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UC1_Cong_thuc" sheetId="2" state="visible" r:id="rId4"/>
    <sheet name="UC2_Cong_thuc" sheetId="3" state="visible" r:id="rId5"/>
    <sheet name="UC3_Cong_thuc" sheetId="4" state="visible" r:id="rId6"/>
    <sheet name="UC4_Cong_thuc" sheetId="5" state="visible" r:id="rId7"/>
    <sheet name="UC4_Huong_dan" sheetId="6" state="visible" r:id="rId8"/>
    <sheet name="Nguong" sheetId="7" state="visible" r:id="rId9"/>
    <sheet name="F01_UC1" sheetId="8" state="visible" r:id="rId10"/>
    <sheet name="F01_UC2" sheetId="9" state="visible" r:id="rId11"/>
    <sheet name="F01_UC03" sheetId="10" state="visible" r:id="rId12"/>
    <sheet name="F01_UC4" sheetId="11" state="visible" r:id="rId13"/>
    <sheet name="D_F01" sheetId="12" state="visible" r:id="rId14"/>
    <sheet name="D_UC03" sheetId="13" state="visible" r:id="rId15"/>
    <sheet name="D_sales" sheetId="14" state="visible" r:id="rId16"/>
    <sheet name="D_purchases" sheetId="15" state="visible" r:id="rId17"/>
    <sheet name="D_inventory" sheetId="16" state="visible" r:id="rId18"/>
    <sheet name="D_flows" sheetId="17" state="visible" r:id="rId19"/>
    <sheet name="Output_contract" sheetId="18" state="visible" r:id="rId20"/>
    <sheet name="Kiem_thu"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<sst xmlns="http://schemas.openxmlformats.org/spreadsheetml/2006/main" count="7068" uniqueCount="3910">
  <si>
    <t xml:space="preserve">Hướng dẫn đọc và phạm vi dữ liệu</t>
  </si>
  <si>
    <t xml:space="preserve">Mục</t>
  </si>
  <si>
    <t xml:space="preserve">Nội dung</t>
  </si>
  <si>
    <t xml:space="preserve">Đọc / kiểm tra ở đâu</t>
  </si>
  <si>
    <t xml:space="preserve">Phạm vi</t>
  </si>
  <si>
    <t xml:space="preserve">Đặc tả và workbook minh họa UC01–UC04 cho doanh nghiệp may F01 theo mô hình FOB: tự mua NVL, sản xuất và bán thành phẩm. Dữ liệu F01 hoàn toàn hư cấu.</t>
  </si>
  <si>
    <t xml:space="preserve">Bản v11 đồng bộ nguồn ngưỡng FOB 2023–2025 và Miller–Orr; giữ bố cục gốc.</t>
  </si>
  <si>
    <t xml:space="preserve">Kỳ UC01</t>
  </si>
  <si>
    <t xml:space="preserve">01/01–30/06/2026 (bán niên), N=181 ngày. Ngày chốt chung 30/06/2026.</t>
  </si>
  <si>
    <t xml:space="preserve">D_F01; F01_UC1</t>
  </si>
  <si>
    <t xml:space="preserve">Kỳ UC02</t>
  </si>
  <si>
    <t xml:space="preserve">01/07–29/09/2026, 13 tuần/91 ngày. Không lấy 181 ngày làm kỳ dự báo.</t>
  </si>
  <si>
    <t xml:space="preserve">F01_UC2</t>
  </si>
  <si>
    <t xml:space="preserve">Cách đọc</t>
  </si>
  <si>
    <t xml:space="preserve">1. Đọc Read_me → 2. Xem bảng công thức UC1/UC2/UC3/UC4 → 3. Kiểm tra Nguong → 4. Xem các bảng minh họa F01 → 5. Đối soát Kiem_thu và kiểm tra UC04.</t>
  </si>
  <si>
    <t xml:space="preserve">Các sheet D_* là đầu vào dùng chung, không có F02/F03.</t>
  </si>
  <si>
    <t xml:space="preserve">Cách viết công thức</t>
  </si>
  <si>
    <t xml:space="preserve">Mỗi dòng có tên biến, phép tính, phạm vi, đơn vị và ngoại lệ. Dấu Σ là cộng các dòng thỏa điều kiện; MAX(0;x) là chỉ giữ phần dương.</t>
  </si>
  <si>
    <t xml:space="preserve">Không dùng công thức dài thay định nghĩa nghiệp vụ.</t>
  </si>
  <si>
    <t xml:space="preserve">Dữ liệu được giữ</t>
  </si>
  <si>
    <t xml:space="preserve">117 hóa đơn bán, 135 hóa đơn mua, 36 lô sở hữu F01. Giá trị và cấu hình kinh doanh được tạo sinh lại cho FOB; doanh thu/giá vốn tính từ bảng dữ liệu.</t>
  </si>
  <si>
    <t xml:space="preserve">D_sales, D_purchases, D_inventory</t>
  </si>
  <si>
    <t xml:space="preserve">Điều chỉnh ngày</t>
  </si>
  <si>
    <t xml:space="preserve">Giữ khóa giao dịch v10 và nối dài dữ liệu đến ngày chốt 30/06/2026 (hóa đơn, lô tồn, dòng tiền ngày 21–30/06). Hóa đơn đã trả trong 21–30/06 ghi PaidDate; số ngày quá hạn / lưu kho tính lại tại ngày chốt mới.</t>
  </si>
  <si>
    <t xml:space="preserve">Số ngày quá hạn / lưu kho tại chốt giữ khi không bị giới hạn đầu kỳ; lưu vết tại D_F01.</t>
  </si>
  <si>
    <t xml:space="preserve">Không giữ kết quả cũ bằng ép số</t>
  </si>
  <si>
    <t xml:space="preserve">Không ép W hoặc TH về một nhãn định sẵn. Kết quả được tính lại từ đầu vào FOB và ngưỡng nguồn.</t>
  </si>
  <si>
    <t xml:space="preserve">Ví dụ mới được tính độc lập trong Kiem_thu.</t>
  </si>
  <si>
    <t xml:space="preserve">Bổ sung để chạy UC02</t>
  </si>
  <si>
    <t xml:space="preserve">Lịch lương, thuế, thuê xưởng, trả nợ và một lịch thu xác nhận đều là giả lập biết tại ngày chốt; không có trong dữ liệu gốc.</t>
  </si>
  <si>
    <t xml:space="preserve">D_flows có source_type, source_ref, known_at và cờ essential.</t>
  </si>
  <si>
    <t xml:space="preserve">Nguồn ưu tiên</t>
  </si>
  <si>
    <t xml:space="preserve">Nguồn chuẩn duy nhất về ngưỡng và ma trận: Nguong_SMEs_FOB_2023_2025 (1).xlsx, config fob.threshold.v3. Công thức dự báo giữ cơ chế sự kiện và chống cộng trùng.</t>
  </si>
  <si>
    <t xml:space="preserve">Nguong ghi nguồn theo sheet/ô; không thay ngưỡng bằng số đã làm tròn trong SRS.</t>
  </si>
  <si>
    <t xml:space="preserve">Khác cơ sở ngành</t>
  </si>
  <si>
    <t xml:space="preserve">Ngành dùng năm và số dư bình quân; F01 dùng 181 ngày và số dư cuối kỳ. So sánh có nhãn provisional, chỉ định hướng.</t>
  </si>
  <si>
    <t xml:space="preserve">Không đổi ngưỡng ngày theo tỷ lệ 181/365. Quy đổi vốn vượt dùng Rev/N hoặc COGS/N.</t>
  </si>
  <si>
    <t xml:space="preserve">Tỷ lệ tiền theo năm</t>
  </si>
  <si>
    <t xml:space="preserve">Dùng doanh thu TTM tạo sinh 133.1 tỷ (63,5 tỷ 6 tháng cuối 2025 + 69.6 tỷ bán niên 2026) để chuẩn hóa UC01 và xác định L của UC02; không dùng doanh thu 181 ngày thay TTM.</t>
  </si>
  <si>
    <t xml:space="preserve">TTM 01/07/2025–30/06/2026 = D_F01!B85 + D_F01!B9; phân biệt Tiền/DT với (Tiền+ĐTNH)/DT.</t>
  </si>
  <si>
    <t xml:space="preserve">Mức dự trữ UC02</t>
  </si>
  <si>
    <t xml:space="preserve">Miller–Orr: L = MAX(P25 Tiền/DT FOB × TTM; sàn chủ DN); Z = L+S/3; H=L+S. F=1 triệu; r năm=4,75% theo giả định nguồn.</t>
  </si>
  <si>
    <t xml:space="preserve">σ tính từ 181 ngày dòng tiền ròng lịch sử D_flows, đủ tối thiểu 90 ngày; dự phòng ngành chỉ khi không đủ ngày.</t>
  </si>
  <si>
    <t xml:space="preserve">Chuẩn ngành và biến điều tiết</t>
  </si>
  <si>
    <t xml:space="preserve">Chuẩn từ 20 DN FOB, 60 năm–DN 2023–2025; kiểm định quy mô cấp DN, hệ số áp dụng bằng 1; mùa vụ bằng 1, chưa hiệu chỉnh.</t>
  </si>
  <si>
    <t xml:space="preserve">Không tính lại kiểm định từ mẫu giao dịch F01. Số 5% là chính sách, không là chuẩn pháp lý bắt buộc.</t>
  </si>
  <si>
    <t xml:space="preserve">W và chi tiết quá hạn</t>
  </si>
  <si>
    <t xml:space="preserve">File SMEs B4 phân lớp W bằng DSO, DIO, DPO thấp+tiền mỏng và mức trọng yếu. Các tín hiệu từng hóa đơn/lô được hiển thị riêng.</t>
  </si>
  <si>
    <t xml:space="preserve">SRS mô tả “bất kỳ tín hiệu” rộng hơn; bản này chọn B4 làm quy tắc W duy nhất để không trộn hai cách phân lớp.</t>
  </si>
  <si>
    <t xml:space="preserve">Độ trễ có kiểm duyệt</t>
  </si>
  <si>
    <t xml:space="preserve">Theo SRS: mẫu mở đã quá hạn là cận dưới, không phải số ngày trễ thanh toán đã quan sát xong. UC01 chỉ dùng hóa đơn đã thu để tả hành vi.</t>
  </si>
  <si>
    <t xml:space="preserve">UC02 dùng riêng bộ mẫu theo due_date; ghi số censored và cấp dự phòng.</t>
  </si>
  <si>
    <t xml:space="preserve">Phân vị và trung bình</t>
  </si>
  <si>
    <t xml:space="preserve">P25 và P75 tính theo số mẫu, trung bình có trọng số theo tiền. Không mặc định P25≤Mean≤P75 luôn đúng.</t>
  </si>
  <si>
    <t xml:space="preserve">Để có dải nhất quán: Opt=MIN(P25;Mean), Cons=MAX(P75;Mean), theo yêu cầu thứ tự SRS.</t>
  </si>
  <si>
    <t xml:space="preserve">Lịch trả quá hạn</t>
  </si>
  <si>
    <t xml:space="preserve">Rải ngày chi theo offset trong SRS là chính sách mô phỏng; không thể hiểu là nhà cung cấp đã đồng ý giãn nợ.</t>
  </si>
  <si>
    <t xml:space="preserve">Lịch đã duyệt luôn ưu tiên; NCC thiết yếu không tự kéo dài lịch khoản chưa đến hạn.</t>
  </si>
  <si>
    <t xml:space="preserve">Dư 14 ngày</t>
  </si>
  <si>
    <t xml:space="preserve">Tiền &lt; L: thiếu; Tiền &gt; H: thừa; trong [L;H]: theo dõi. Khoản điều chỉnh đưa về Z. Không áp quy tắc dư 14 ngày hoặc thiếu chỉ vì dưới Z.</t>
  </si>
  <si>
    <t xml:space="preserve">Base có ngày thiếu thì ưu tiên TH01; nếu không thiếu và có ngày thừa thì TH02; còn lại trong vùng, không gán ô.</t>
  </si>
  <si>
    <t xml:space="preserve">Năm kịch bản</t>
  </si>
  <si>
    <t xml:space="preserve">Chọn Base, Optimistic, Conservative, Stress7 hoặc Continuing tại D_F01. Một bộ tính dùng lại cho mọi lựa chọn.</t>
  </si>
  <si>
    <t xml:space="preserve">TH và ô ma trận được chốt bằng Base trong hệ thống. Workbook hiển thị TH kịch bản đang chọn và mốc Base đối chiếu tĩnh có nhãn.</t>
  </si>
  <si>
    <t xml:space="preserve">Phạm vi workbook</t>
  </si>
  <si>
    <t xml:space="preserve">Các bảng công thức là đặc tả đầy đủ; bảng tính F01 là bộ dữ liệu kiểm thử minh họa các phép tính chính và 5 kịch bản. Không thay backend có Decimal, phân bổ thu từng phần và kiểm soát quyền.</t>
  </si>
  <si>
    <t xml:space="preserve">Các ca dữ liệu lỗi, phân bổ từng phần, snapshot, quyền được ghi acceptance trong Kiem_thu; không tuyên bố đã chạy backend.</t>
  </si>
  <si>
    <t xml:space="preserve">Tiền không được cộng trùng</t>
  </si>
  <si>
    <t xml:space="preserve">TWC, MoneyAtRisk, phải thu quá hạn và tồn lâu đều là số dư/ước lượng; không cộng thêm vào thu UC02.</t>
  </si>
  <si>
    <t xml:space="preserve">Chỉ event có ngày, hướng và nguồn mới đi vào dòng tiền.</t>
  </si>
  <si>
    <t xml:space="preserve">Đầu ra AI</t>
  </si>
  <si>
    <t xml:space="preserve">UC01 nêu tiền ở đâu, bao nhiêu, bao lâu; UC02 nêu thời điểm, quy mô thiếu/dư và các khoản thu chi góp phần. Không khuyến nghị vay, bán hàng hay lập kế hoạch thu nợ trong UC01.</t>
  </si>
  <si>
    <t xml:space="preserve">Output_contract; mọi số trong câu phải có fact_id của cùng run.</t>
  </si>
  <si>
    <t xml:space="preserve">Cập nhật dữ liệu</t>
  </si>
  <si>
    <t xml:space="preserve">Chỉ sửa ô đầu vào màu xanh; công thức màu đen/xanh lá. Thêm bản ghi ngoài vùng đã khai báo phải mở rộng bảng và kiểm tra lại phạm vi.</t>
  </si>
  <si>
    <t xml:space="preserve">Các ca tham chiếu Kiem_thu là snapshot phát hành, thay dữ liệu sẽ có LỆCH cần lập lại expected.</t>
  </si>
  <si>
    <t xml:space="preserve">Nguồn tệp</t>
  </si>
  <si>
    <t xml:space="preserve">Tệp đặc tả v10 đính kèm làm mẫu định dạng; Nguong_SMEs_FOB_2023_2025 (1).xlsx làm chuẩn số liệu. Dữ liệu F01 tạo sinh FOB v11 (kỳ bán niên).</t>
  </si>
  <si>
    <t xml:space="preserve">Ngưỡng và phương pháp nguồn nằm tại Nguong; dữ liệu hoạt động F01 nằm trong D_*.</t>
  </si>
  <si>
    <t xml:space="preserve">Kết cấu thay đổi</t>
  </si>
  <si>
    <t xml:space="preserve">Giữ 19 sheet và cấu trúc gốc; mở rộng cuối Nguong, D_F01 và D_flows để bổ sung căn cứ, tài chính năm và lịch sử tiền.</t>
  </si>
  <si>
    <t xml:space="preserve">Dữ liệu F01 nằm trong chính workbook, không cần nạp bộ 3 doanh nghiệp cũ.</t>
  </si>
  <si>
    <t xml:space="preserve">Khi đổi kỳ lần nữa</t>
  </si>
  <si>
    <t xml:space="preserve">Không chỉ sửa ngày chốt trong một ô: phải cập nhật đồng bộ ngày giao dịch, lịch xác nhận, nguồn dự trữ, snapshot và kết quả độc lập. Các ví dụ và expected hiện gắn kỳ 01/01–30/06/2026.</t>
  </si>
  <si>
    <t xml:space="preserve">Đổi kỳ là tạo snapshot mới, không là kịch bản thu chậm.</t>
  </si>
  <si>
    <t xml:space="preserve">Độ phủ lịch sử</t>
  </si>
  <si>
    <t xml:space="preserve">Có đủ 181 ngày trong cửa sổ lịch sử hiện có; ngày không phát sinh vẫn là 0 thu/chi có xác nhận trong dữ liệu tạo sinh. σ dùng dữ liệu ngày riêng DN, không dùng biến động tiền cuối năm của F01.</t>
  </si>
  <si>
    <t xml:space="preserve">Cửa sổ phương pháp tối đa 3 năm; không đòi phải có đủ 3 năm để đạt tối thiểu 90 ngày.</t>
  </si>
  <si>
    <t xml:space="preserve">Đáy kịch bản có thể trùng</t>
  </si>
  <si>
    <t xml:space="preserve">Các kịch bản có thể trùng đáy nhưng khác diễn biến thu/chi. Bảng đối chiếu ghi kết quả độc lập của snapshot FOB mới; không ép các đáy phải khác nhau.</t>
  </si>
  <si>
    <t xml:space="preserve">Xem diễn biến theo ngày, tuần và từng sự kiện, không chỉ so một con số MinCash.</t>
  </si>
  <si>
    <t xml:space="preserve">Khả năng mở và tính lại</t>
  </si>
  <si>
    <t xml:space="preserve">Công thức sống giữ hàm Excel và các tham chiếu. Kết quả được tính lại, đối soát khoản thu/chi, trạng thái và ma trận; kiểm soát quyền và thực thi thuộc hệ thống.</t>
  </si>
  <si>
    <t xml:space="preserve">Đã tính lại và kiểm tra năm kịch bản UC02, bảy lựa chọn UC04; không thay thế nghiệm thu backend.</t>
  </si>
  <si>
    <t xml:space="preserve">Công thức UC03</t>
  </si>
  <si>
    <t xml:space="preserve">UC3_Cong_thuc: 38 công thức T3-01 – T3-38 và 10 tham số T3-P01 – T3-P10 theo mẫu cột của UC1/UC2_Cong_thuc. Khoảng thiếu một lần đổi mức, tối đa 2 đợt; bốn phương án và tiền nội bộ; khóa xếp hạng ưu tiên tốc độ có chế độ Khẩn; chi phí theo thời gian thực; gói theo từng đợt.</t>
  </si>
  <si>
    <t xml:space="preserve">UC3_Cong_thuc; Output_contract hàng UC03. Tham số sản phẩm và số tiền ví dụ là giả định minh họa; bảng tính F01 cho UC03 nằm ở sheet F01_UC03, đầu vào sản phẩm ở D_UC03.</t>
  </si>
  <si>
    <t xml:space="preserve">Quan hệ với UC02</t>
  </si>
  <si>
    <t xml:space="preserve">UC03 nhận trạng thái tiền Miller–Orr, số tiền khôi phục về Z, W và ô M1–M6 cùng snapshot. Chỉ TH01 tạo khoản cần tài trợ; thừa hoặc trong vùng không tự sinh vay.</t>
  </si>
  <si>
    <t xml:space="preserve">Giữ riêng số thiếu dưới L và số tiền đưa về Z; không cộng MoneyAtRisk vào dòng tiền.</t>
  </si>
  <si>
    <t xml:space="preserve">Tính UC03 cho F01</t>
  </si>
  <si>
    <t xml:space="preserve">F01_UC03 dùng dữ liệu FOB và ưu tiên sáu ô nguồn; D_UC03 vẫn là sản phẩm minh họa. Các điều kiện cầm cố, đối tác thiết yếu, thời gian có tiền và chi phí tiếp tục được kiểm tra.</t>
  </si>
  <si>
    <t xml:space="preserve">Bảng tính chạy gói đợt 1; đợt 2 nếu có được hiển thị riêng theo cấu trúc gốc.</t>
  </si>
  <si>
    <t xml:space="preserve">Bổ sung UC04</t>
  </si>
  <si>
    <t xml:space="preserve">UC04 mô phỏng trên cùng dữ liệu FOB, số dư đầu kỳ và ngưỡng Miller–Orr; cập nhật toàn bộ chỉ tiêu thiếu, TH và ô ma trận theo phiên bản mới.</t>
  </si>
  <si>
    <t xml:space="preserve">Giữ snapshot lịch sử; mô phỏng không thay đổi W tại ngày chốt.</t>
  </si>
  <si>
    <t xml:space="preserve">Dữ liệu UC04 theo v8</t>
  </si>
  <si>
    <t xml:space="preserve">UC04 dùng đầy đủ F01_UC2!A220:Y341 (122 dòng sự kiện), gồm 30 dòng điện/vận tải bổ sung và cờ chống trùng của UC02.</t>
  </si>
  <si>
    <t xml:space="preserve">Thiết lập B5:B27; đường tiền A50:O141; sự kiện A150:S272; tuần dòng 306; kiểm tra dòng 324.</t>
  </si>
  <si>
    <t xml:space="preserve">Cách thử UC04</t>
  </si>
  <si>
    <t xml:space="preserve">Chọn kịch bản tại F01_UC4!B5; các giả định là số liệu minh họa. UC04 chưa dùng sản phẩm tài trợ UC03, không gửi hành động hoặc thay snapshot.</t>
  </si>
  <si>
    <t xml:space="preserve">Giữ nguyên Cash0, ngưỡng và nền UC02; không xóa nghĩa vụ bị giãn ngoài kỳ.</t>
  </si>
  <si>
    <t xml:space="preserve">Cập nhật v11 – kỳ bán niên</t>
  </si>
  <si>
    <t xml:space="preserve">UC01 chuyển từ 01/01–20/06/2026 (N=171) sang bán niên 01/01–30/06/2026 (N=181). UC02 dời theo ngày chốt mới: 13 tuần/91 ngày từ 01/07 đến 29/09/2026 (v10: 21/06–19/09).</t>
  </si>
  <si>
    <t xml:space="preserve">D_F01!B7:B8; F01_UC1; F01_UC2!B6:B7</t>
  </si>
  <si>
    <t xml:space="preserve">Dữ liệu được cập nhật</t>
  </si>
  <si>
    <t xml:space="preserve">Thêm 6 hóa đơn bán (INV-F01-0112…0117), 8 hóa đơn mua (BILL-F01-0128…0135), 3 lô tồn (L34–L36) và 10 ngày lịch sử tiền 21–30/06. Ghi nhận thanh toán trong 21–30/06 cho 6 hóa đơn bán và 8 hóa đơn mua đang mở ở v10; số hóa đơn mở tại chốt vẫn là 33 phải thu và 22 phải trả. Lô TP/BTP nhập từ 01/05 được dời +10 ngày (luân chuyển nhanh) để giữ các ca biên 28 ngày và 60 ngày; một số lô thành phẩm giảm số lượng do giao hàng.</t>
  </si>
  <si>
    <t xml:space="preserve">D_sales; D_purchases; D_inventory; D_flows</t>
  </si>
  <si>
    <t xml:space="preserve">Hệ số tính lại theo kỳ mới</t>
  </si>
  <si>
    <t xml:space="preserve">N 171→181 (DSO, DIO, DPO, Rev/N, COGS/N); doanh thu TTM nay là công thức = doanh thu 6 tháng cuối 2025 (D_F01!B85) + doanh thu bán niên 2026 nên L, Z, H đổi theo; σ ngày tính trên 181 ngày; lookback hóa đơn 171→180 ngày (đủ cửa sổ SRS); tiền cuối kỳ = tiền đầu lịch sử + dòng tiền ròng 181 ngày. Ngưỡng ngành theo năm không đổi vì không phụ thuộc kỳ F01 (đã đối chiếu từng giá trị với Nguong_SMEs_FOB_2023_2025_1.xlsx).</t>
  </si>
  <si>
    <t xml:space="preserve">D_F01; Nguong!B81:B91</t>
  </si>
  <si>
    <t xml:space="preserve">Lịch tương lai UC02</t>
  </si>
  <si>
    <t xml:space="preserve">Lương dời sang 28/07, 28/08, 28/09 (giữ nhịp ngày 28 như lịch sử); thuế 20/07, 20/08, 18/09; thuê xưởng 01/07, 01/08, 01/09; gốc và lãi vay 15/08. Bảng sự kiện 122 dòng dựng lại theo hóa đơn mở tại 30/06, known_at = 30/06/2026.</t>
  </si>
  <si>
    <t xml:space="preserve">D_flows!A5:L15; F01_UC2!A220:Y341</t>
  </si>
  <si>
    <t xml:space="preserve">Kỹ thuật tính</t>
  </si>
  <si>
    <t xml:space="preserve">Hàm FILTER trong F01_UC2 thay bằng công thức mảng IF tương đương để file tính đúng trên Excel và LibreOffice; bản v10 tính lại bằng công thức mới cho kết quả giống từng ô. Kiem_thu đã lập lại giá trị độc lập cho snapshot mới.</t>
  </si>
  <si>
    <t xml:space="preserve">F01_UC2!F46:G54; U220:V252; Kiem_thu</t>
  </si>
  <si>
    <t xml:space="preserve">Chỉ tiêu chính</t>
  </si>
  <si>
    <t xml:space="preserve">v10 (20/06/2026, N=171)</t>
  </si>
  <si>
    <t xml:space="preserve">v11 (30/06/2026, N=181)</t>
  </si>
  <si>
    <t xml:space="preserve">Doanh thu kỳ</t>
  </si>
  <si>
    <t xml:space="preserve">65,02 tỷ</t>
  </si>
  <si>
    <t xml:space="preserve">69.63 tỷ</t>
  </si>
  <si>
    <t xml:space="preserve">DSO / DIO / DPO (ngày)</t>
  </si>
  <si>
    <t xml:space="preserve">61,6 / 77,0 / 25,2</t>
  </si>
  <si>
    <t xml:space="preserve">64.8 / 79.5 / 26.6</t>
  </si>
  <si>
    <t xml:space="preserve">CCC (ngày)</t>
  </si>
  <si>
    <t xml:space="preserve">113,3</t>
  </si>
  <si>
    <t xml:space="preserve">117.6</t>
  </si>
  <si>
    <t xml:space="preserve">Phải thu / Tồn / Phải trả</t>
  </si>
  <si>
    <t xml:space="preserve">23,41 / 23,99 / 7,87 tỷ</t>
  </si>
  <si>
    <t xml:space="preserve">24.92 / 25.06 / 8.39 tỷ</t>
  </si>
  <si>
    <t xml:space="preserve">Doanh thu TTM</t>
  </si>
  <si>
    <t xml:space="preserve">128,0 tỷ</t>
  </si>
  <si>
    <t xml:space="preserve">133.1 tỷ</t>
  </si>
  <si>
    <t xml:space="preserve">Phân lớp W</t>
  </si>
  <si>
    <t xml:space="preserve">W1</t>
  </si>
  <si>
    <t xml:space="preserve">L / Z / H</t>
  </si>
  <si>
    <t xml:space="preserve">5,35 / 6,63 / 9,20 tỷ</t>
  </si>
  <si>
    <t xml:space="preserve">5,56 / 6,86 / 9,44 tỷ</t>
  </si>
  <si>
    <t xml:space="preserve">MinCash Base; TH; ô ma trận</t>
  </si>
  <si>
    <t xml:space="preserve">4,64 tỷ (21/06); TH01; M3</t>
  </si>
  <si>
    <t xml:space="preserve">4,14 tỷ (02/07); TH01; M3</t>
  </si>
  <si>
    <t xml:space="preserve">UC01 Chẩn đoán vốn lưu động</t>
  </si>
  <si>
    <t xml:space="preserve">Mã</t>
  </si>
  <si>
    <t xml:space="preserve">Nhóm công thức</t>
  </si>
  <si>
    <t xml:space="preserve">Chỉ tiêu</t>
  </si>
  <si>
    <t xml:space="preserve">Ý nghĩa dễ hiểu</t>
  </si>
  <si>
    <t xml:space="preserve">Công thức từng bước</t>
  </si>
  <si>
    <t xml:space="preserve">Dữ liệu đầu vào</t>
  </si>
  <si>
    <t xml:space="preserve">Phạm vi / điều kiện</t>
  </si>
  <si>
    <t xml:space="preserve">Đơn vị / hiển thị</t>
  </si>
  <si>
    <t xml:space="preserve">Ngoại lệ / kiểm soát</t>
  </si>
  <si>
    <t xml:space="preserve">T1-01</t>
  </si>
  <si>
    <t xml:space="preserve">01. Số dư và chu kỳ</t>
  </si>
  <si>
    <t xml:space="preserve">Doanh thu kỳ (Rev)</t>
  </si>
  <si>
    <t xml:space="preserve">Quy mô bán hàng trong N ngày</t>
  </si>
  <si>
    <t xml:space="preserve">Rev = financials.revenue_vnd</t>
  </si>
  <si>
    <t xml:space="preserve">financials.revenue_vnd; workbook D_F01!B9</t>
  </si>
  <si>
    <t xml:space="preserve">firm_id của phiên; firm_id = F01; ngày chốt 30/06/2026. Kỳ phát sinh 01/01–30/06 nếu áp dụng.</t>
  </si>
  <si>
    <t xml:space="preserve">VND</t>
  </si>
  <si>
    <t xml:space="preserve">Rev=0: chỉ tiêu phụ thuộc not_applicable. Thiếu Rev: missing_data. Demo dùng tổng doanh thu như proxy bán chịu.</t>
  </si>
  <si>
    <t xml:space="preserve">T1-02</t>
  </si>
  <si>
    <t xml:space="preserve">Giá vốn kỳ (COGS)</t>
  </si>
  <si>
    <t xml:space="preserve">Chi phí làm ra hàng đã bán, gồm cả lương công nhân</t>
  </si>
  <si>
    <t xml:space="preserve">COGS = financials.cogs_vnd</t>
  </si>
  <si>
    <t xml:space="preserve">financials.cogs_vnd; workbook D_F01!B10</t>
  </si>
  <si>
    <t xml:space="preserve">COGS=0: tỷ số phụ thuộc not_applicable. Thiếu COGS: missing_data.</t>
  </si>
  <si>
    <t xml:space="preserve">T1-03</t>
  </si>
  <si>
    <t xml:space="preserve">Phải thu (AR)</t>
  </si>
  <si>
    <t xml:space="preserve">Tiền khách còn nợ</t>
  </si>
  <si>
    <t xml:space="preserve">AR = Σ OpenAmount của hóa đơn bán</t>
  </si>
  <si>
    <t xml:space="preserve">sales_invoices.Amount</t>
  </si>
  <si>
    <t xml:space="preserve">Hóa đơn mở tại AsOf; firm_id = F01; ngày chốt 30/06/2026. Kỳ phát sinh 01/01–30/06 nếu áp dụng.</t>
  </si>
  <si>
    <t xml:space="preserve">Không có hóa đơn mở → AR = 0 (hợp lệ)</t>
  </si>
  <si>
    <t xml:space="preserve">T1-04</t>
  </si>
  <si>
    <t xml:space="preserve">Tồn kho (INV)</t>
  </si>
  <si>
    <t xml:space="preserve">Tiền nằm trong kho dưới dạng hàng</t>
  </si>
  <si>
    <t xml:space="preserve">INV = Σ Qty × UnitCost của lô thuộc F01</t>
  </si>
  <si>
    <t xml:space="preserve">inventory.qty, unit_cost_vnd, inventory_type</t>
  </si>
  <si>
    <t xml:space="preserve">inventory_type ≠ HGC; firm_id = F01; ngày chốt 30/06/2026. Kỳ phát sinh 01/01–30/06 nếu áp dụng.</t>
  </si>
  <si>
    <t xml:space="preserve">Thiếu loại/quyền sở hữu: chưa xác định, không tự coi NVL. Demo HGC loại; cost chưa NRV có nhãn.</t>
  </si>
  <si>
    <t xml:space="preserve">T1-05</t>
  </si>
  <si>
    <t xml:space="preserve">Phải trả (AP)</t>
  </si>
  <si>
    <t xml:space="preserve">Số tiền doanh nghiệp còn nợ nhà cung cấp</t>
  </si>
  <si>
    <t xml:space="preserve">AP = Σ OpenAmount của hóa đơn mua</t>
  </si>
  <si>
    <t xml:space="preserve">purchase_invoices.Amount</t>
  </si>
  <si>
    <t xml:space="preserve">Không có hóa đơn mở → AP = 0 (hợp lệ)</t>
  </si>
  <si>
    <t xml:space="preserve">T1-06</t>
  </si>
  <si>
    <t xml:space="preserve">Mua hàng trong kỳ (PUR)</t>
  </si>
  <si>
    <t xml:space="preserve">Giá trị mua chịu từ nhà cung cấp trong N ngày</t>
  </si>
  <si>
    <t xml:space="preserve">PUR = Σ Amount hóa đơn mua phát hành trong kỳ</t>
  </si>
  <si>
    <t xml:space="preserve">purchase_invoices.Amount, issue_date</t>
  </si>
  <si>
    <t xml:space="preserve">AsOf − N + 1 ≤ issue_date ≤ AsOf; firm_id = F01; ngày chốt 30/06/2026. Kỳ phát sinh 01/01–30/06 nếu áp dụng.</t>
  </si>
  <si>
    <t xml:space="preserve">PUR = 0 → bỏ T1-11</t>
  </si>
  <si>
    <t xml:space="preserve">T1-07</t>
  </si>
  <si>
    <t xml:space="preserve">DSO</t>
  </si>
  <si>
    <t xml:space="preserve">Phải thu quy đổi thành số ngày theo doanh thu kỳ; không là ngày tiền chắc chắn về.</t>
  </si>
  <si>
    <t xml:space="preserve">DSO = AR / Rev × N</t>
  </si>
  <si>
    <t xml:space="preserve">T1-03, T1-01</t>
  </si>
  <si>
    <t xml:space="preserve">–; firm_id = F01; ngày chốt 30/06/2026. Kỳ phát sinh 01/01–30/06 nếu áp dụng.</t>
  </si>
  <si>
    <t xml:space="preserve">ngày; 1 số lẻ khi xuất</t>
  </si>
  <si>
    <t xml:space="preserve">Rev=0: not_applicable. Thiếu trường: missing_data.</t>
  </si>
  <si>
    <t xml:space="preserve">T1-08</t>
  </si>
  <si>
    <t xml:space="preserve">DIO</t>
  </si>
  <si>
    <t xml:space="preserve">Tồn kho quy đổi theo giá vốn kỳ; khác số ngày một lô đã lưu kho.</t>
  </si>
  <si>
    <t xml:space="preserve">DIO = INV / COGS × N</t>
  </si>
  <si>
    <t xml:space="preserve">T1-04, T1-02</t>
  </si>
  <si>
    <t xml:space="preserve">ngày; 1 số lẻ</t>
  </si>
  <si>
    <t xml:space="preserve">COGS=0: not_applicable. Thiếu trường: missing_data.</t>
  </si>
  <si>
    <t xml:space="preserve">T1-09</t>
  </si>
  <si>
    <t xml:space="preserve">DPO</t>
  </si>
  <si>
    <t xml:space="preserve">Phải trả cuối kỳ quy đổi theo giá vốn kỳ; không phải kỳ hạn hợp đồng thực tế.</t>
  </si>
  <si>
    <t xml:space="preserve">DPO = AP / COGS × N</t>
  </si>
  <si>
    <t xml:space="preserve">T1-05, T1-02</t>
  </si>
  <si>
    <t xml:space="preserve">T1-10</t>
  </si>
  <si>
    <t xml:space="preserve">CCC</t>
  </si>
  <si>
    <t xml:space="preserve">DSO + DIO − DPO theo cùng phương pháp và kỳ.</t>
  </si>
  <si>
    <t xml:space="preserve">CCC = DSO + DIO − DPO</t>
  </si>
  <si>
    <t xml:space="preserve">T1-07..T1-09 (chưa làm tròn)</t>
  </si>
  <si>
    <t xml:space="preserve">ngày; làm tròn bước cuối</t>
  </si>
  <si>
    <t xml:space="preserve">Metric phụ thuộc không khả dụng: CCC null cùng reason; giữ phần tính được.</t>
  </si>
  <si>
    <t xml:space="preserve">T1-11</t>
  </si>
  <si>
    <t xml:space="preserve">DPO trên mua hàng (chẩn đoán)</t>
  </si>
  <si>
    <t xml:space="preserve">Phải trả cuối kỳ quy đổi theo giá trị mua hàng; vẫn không phải kỳ hạn hợp đồng.</t>
  </si>
  <si>
    <t xml:space="preserve">DPO_mua = AP / PUR × N</t>
  </si>
  <si>
    <t xml:space="preserve">T1-05, T1-06</t>
  </si>
  <si>
    <t xml:space="preserve">PUR = 0 → null</t>
  </si>
  <si>
    <t xml:space="preserve">T1-20</t>
  </si>
  <si>
    <t xml:space="preserve">02. Quy đổi ra tiền</t>
  </si>
  <si>
    <t xml:space="preserve">Doanh thu bình quân ngày</t>
  </si>
  <si>
    <t xml:space="preserve">Mỗi ngày bán được bao nhiêu</t>
  </si>
  <si>
    <t xml:space="preserve">Rev / N</t>
  </si>
  <si>
    <t xml:space="preserve">—</t>
  </si>
  <si>
    <t xml:space="preserve">T1-21</t>
  </si>
  <si>
    <t xml:space="preserve">Giá vốn bình quân ngày</t>
  </si>
  <si>
    <t xml:space="preserve">Mỗi ngày tiêu tốn bao nhiêu cho sản xuất</t>
  </si>
  <si>
    <t xml:space="preserve">COGS / N</t>
  </si>
  <si>
    <t xml:space="preserve">T1-22</t>
  </si>
  <si>
    <t xml:space="preserve">Vốn lưu động thương mại ròng (TWC)</t>
  </si>
  <si>
    <t xml:space="preserve">Vốn thương mại thuần tại chốt: phải thu + tồn sở hữu − phải trả; không là tiền mặt.</t>
  </si>
  <si>
    <t xml:space="preserve">TWC = AR + INV − AP</t>
  </si>
  <si>
    <t xml:space="preserve">T1-03..T1-05</t>
  </si>
  <si>
    <t xml:space="preserve">T1-23</t>
  </si>
  <si>
    <t xml:space="preserve">Vốn tương đương một ngày cải thiện</t>
  </si>
  <si>
    <t xml:space="preserve">Vốn tương đương1 ngày theo lưu lượng kỳ; không bảo đảm thu ngay.</t>
  </si>
  <si>
    <t xml:space="preserve">Bằng T1-20 (DSO) hoặc T1-21 (DIO, DPO)</t>
  </si>
  <si>
    <t xml:space="preserve">T1-20, T1-21</t>
  </si>
  <si>
    <t xml:space="preserve">VND / ngày</t>
  </si>
  <si>
    <t xml:space="preserve">Dùng cho tác vụ 4 (what-if)</t>
  </si>
  <si>
    <t xml:space="preserve">T1-30</t>
  </si>
  <si>
    <t xml:space="preserve">03. Phải thu theo khách hàng</t>
  </si>
  <si>
    <t xml:space="preserve">Phải thu theo khách (AR_k)</t>
  </si>
  <si>
    <t xml:space="preserve">Mỗi khách đang nợ bao nhiêu</t>
  </si>
  <si>
    <t xml:space="preserve">AR_k = Σ Amount của khách k</t>
  </si>
  <si>
    <t xml:space="preserve">sales_invoices.buyer, Amount</t>
  </si>
  <si>
    <t xml:space="preserve">Hóa đơn mở; firm_id = F01; ngày chốt 30/06/2026. Kỳ phát sinh 01/01–30/06 nếu áp dụng.</t>
  </si>
  <si>
    <t xml:space="preserve">T1-31</t>
  </si>
  <si>
    <t xml:space="preserve">Tỷ trọng phải thu</t>
  </si>
  <si>
    <t xml:space="preserve">Mức phụ thuộc vào từng khách</t>
  </si>
  <si>
    <t xml:space="preserve">AR_k / AR</t>
  </si>
  <si>
    <t xml:space="preserve">T1-30, T1-03</t>
  </si>
  <si>
    <t xml:space="preserve">%</t>
  </si>
  <si>
    <t xml:space="preserve">AR=0: not_applicable; không gán tỷ trọng 0.</t>
  </si>
  <si>
    <t xml:space="preserve">T1-32</t>
  </si>
  <si>
    <t xml:space="preserve">Đóng góp DSO của khách</t>
  </si>
  <si>
    <t xml:space="preserve">Phần DSO gắn với số tiền khách còn nợ; tổng đóng góp của mọi khách bằng DSO.</t>
  </si>
  <si>
    <t xml:space="preserve">AR_k / Rev × N</t>
  </si>
  <si>
    <t xml:space="preserve">T1-30, T1-01</t>
  </si>
  <si>
    <t xml:space="preserve">ngày</t>
  </si>
  <si>
    <t xml:space="preserve">Dùng để xếp hạng khách</t>
  </si>
  <si>
    <t xml:space="preserve">T1-33</t>
  </si>
  <si>
    <t xml:space="preserve">Số ngày quá hạn của hóa đơn mở</t>
  </si>
  <si>
    <t xml:space="preserve">Hóa đơn đã quá hạn bao lâu</t>
  </si>
  <si>
    <t xml:space="preserve">DPD = MAX(0; AsOf − DueDate)</t>
  </si>
  <si>
    <t xml:space="preserve">sales_invoices.due_date</t>
  </si>
  <si>
    <t xml:space="preserve">dpd ≤ 0 là chưa đến hạn</t>
  </si>
  <si>
    <t xml:space="preserve">T1-34</t>
  </si>
  <si>
    <t xml:space="preserve">Tuổi nợ phải thu</t>
  </si>
  <si>
    <t xml:space="preserve">Phải thu nằm ở nhóm nào</t>
  </si>
  <si>
    <t xml:space="preserve">5 nhóm: chưa đến hạn; quá hạn1–30;31–60;&gt;60 ngày; chưa rõ hạn</t>
  </si>
  <si>
    <t xml:space="preserve">Tổng5 nhóm=AR; due thiếu vào chưa rõ hạn.</t>
  </si>
  <si>
    <t xml:space="preserve">T1-35</t>
  </si>
  <si>
    <t xml:space="preserve">Tỷ lệ quá hạn</t>
  </si>
  <si>
    <t xml:space="preserve">Bao nhiêu phần phải thu đã quá hạn</t>
  </si>
  <si>
    <t xml:space="preserve">OverdueRatio = Σ AR [due_date &lt;AsOf] / AR</t>
  </si>
  <si>
    <t xml:space="preserve">AR0: not_applicable. Chưa rõ hạn không tự coi quá hạn.</t>
  </si>
  <si>
    <t xml:space="preserve">T1-36</t>
  </si>
  <si>
    <t xml:space="preserve">Số ngày trễ bình quân có trọng số</t>
  </si>
  <si>
    <t xml:space="preserve">Khách thường trả trễ bao nhiêu ngày, khoản lớn tính nặng hơn</t>
  </si>
  <si>
    <t xml:space="preserve">SignedDelay = PaidDate − DueDate
DelaySigned = Σ PaidAmount × SignedDelay / Σ PaidAmount</t>
  </si>
  <si>
    <t xml:space="preserve">sales_invoices.paid_date, due_date, Amount</t>
  </si>
  <si>
    <t xml:space="preserve">paid_date trong (AsOf − lookback, AsOf]; firm_id = F01; ngày chốt 30/06/2026. Kỳ phát sinh 01/01–30/06 nếu áp dụng.</t>
  </si>
  <si>
    <t xml:space="preserve">Khách chưa có lịch sử → null, không gắn cờ Lịch sử F01 có 181 ngày, đủ cửa sổ 180 ngày.</t>
  </si>
  <si>
    <t xml:space="preserve">T1-37</t>
  </si>
  <si>
    <t xml:space="preserve">Kỳ hạn bình quân được cấp cho khách</t>
  </si>
  <si>
    <t xml:space="preserve">Doanh nghiệp cho khách nợ bao lâu theo hợp đồng</t>
  </si>
  <si>
    <t xml:space="preserve">CreditDays = DueDate − IssueDate
AverageTerms = Σ PaidAmount × CreditDays / Σ PaidAmount</t>
  </si>
  <si>
    <t xml:space="preserve">sales_invoices</t>
  </si>
  <si>
    <t xml:space="preserve">Như T1-36; firm_id = F01; ngày chốt 30/06/2026. Kỳ phát sinh 01/01–30/06 nếu áp dụng.</t>
  </si>
  <si>
    <t xml:space="preserve">— Lịch sử F01 có 181 ngày, đủ cửa sổ 180 ngày.</t>
  </si>
  <si>
    <t xml:space="preserve">T1-38</t>
  </si>
  <si>
    <t xml:space="preserve">Dấu hiệu cần chú ý</t>
  </si>
  <si>
    <t xml:space="preserve">Chỉ ra khách có mức tập trung, trễ hoặc quá hạn vượt ngưỡng.</t>
  </si>
  <si>
    <t xml:space="preserve">InvoiceFlag = theo Rho &gt;0,5 hoặc &gt;1 (T1-93)
Tập trung AR và DelaySigned/Positive: mô tả số liệu, chỉ gán cảnh báo nếu có ngưỡng owner_policy đã duyệt.</t>
  </si>
  <si>
    <t xml:space="preserve">T1-31, T1-33, T1-36, T1-93; Nguong</t>
  </si>
  <si>
    <t xml:space="preserve">Có / Không + lý do</t>
  </si>
  <si>
    <t xml:space="preserve">Không tự đặt ngưỡng tập trung hay trễ lịch sử khi file nguồn chưa cấu hình. Cờ chi tiết không tự nâng W ngành.</t>
  </si>
  <si>
    <t xml:space="preserve">T1-40</t>
  </si>
  <si>
    <t xml:space="preserve">04. Tồn kho theo lô</t>
  </si>
  <si>
    <t xml:space="preserve">Giá trị tồn kho theo dòng</t>
  </si>
  <si>
    <t xml:space="preserve">Tiền nằm ở từng dòng hàng</t>
  </si>
  <si>
    <t xml:space="preserve">qty × unit_cost_vnd</t>
  </si>
  <si>
    <t xml:space="preserve">inventory</t>
  </si>
  <si>
    <t xml:space="preserve">T1-41</t>
  </si>
  <si>
    <t xml:space="preserve">Đóng góp DIO của dòng hàng</t>
  </si>
  <si>
    <t xml:space="preserve">Dòng hàng làm DIO dài thêm bao nhiêu ngày (Σ = DIO)</t>
  </si>
  <si>
    <t xml:space="preserve">value / COGS × N</t>
  </si>
  <si>
    <t xml:space="preserve">T1-40, T1-02</t>
  </si>
  <si>
    <t xml:space="preserve">Dùng để xếp hạng dòng hàng</t>
  </si>
  <si>
    <t xml:space="preserve">T1-42</t>
  </si>
  <si>
    <t xml:space="preserve">Cơ cấu tồn kho theo loại</t>
  </si>
  <si>
    <t xml:space="preserve">Tiền kẹt ở nguyên liệu, hàng đang may hay thành phẩm</t>
  </si>
  <si>
    <t xml:space="preserve">Σ value theo inventory_type</t>
  </si>
  <si>
    <t xml:space="preserve">T1-43</t>
  </si>
  <si>
    <t xml:space="preserve">Cờ tồn lâu</t>
  </si>
  <si>
    <t xml:space="preserve">Hàng đã lưu kho lâu hơn ngưỡng; chưa kết luận không bán được.</t>
  </si>
  <si>
    <t xml:space="preserve">days_in_stock &gt; ngưỡng của loại (NVL, BTP, TP)</t>
  </si>
  <si>
    <t xml:space="preserve">inventory.days_in_stock, Nguong</t>
  </si>
  <si>
    <t xml:space="preserve">Có / Không</t>
  </si>
  <si>
    <t xml:space="preserve">T1-44</t>
  </si>
  <si>
    <t xml:space="preserve">Giá trị và tỷ trọng hàng tồn lâu</t>
  </si>
  <si>
    <t xml:space="preserve">Giá trị ghi sổ và tỷ trọng hàng tồn lâu; chưa phải tổn thất.</t>
  </si>
  <si>
    <t xml:space="preserve">Σ value có cờ; / INV</t>
  </si>
  <si>
    <t xml:space="preserve">T1-40, T1-43</t>
  </si>
  <si>
    <t xml:space="preserve">VND; %</t>
  </si>
  <si>
    <t xml:space="preserve">T1-50</t>
  </si>
  <si>
    <t xml:space="preserve">05. Phải trả theo nhà cung cấp</t>
  </si>
  <si>
    <t xml:space="preserve">Phải trả theo nhà cung cấp</t>
  </si>
  <si>
    <t xml:space="preserve">Mình còn nợ từng NCC bao nhiêu</t>
  </si>
  <si>
    <t xml:space="preserve">AP_s = Σ Amount của NCC s</t>
  </si>
  <si>
    <t xml:space="preserve">purchase_invoices</t>
  </si>
  <si>
    <t xml:space="preserve">T1-51</t>
  </si>
  <si>
    <t xml:space="preserve">Đóng góp DPO của NCC</t>
  </si>
  <si>
    <t xml:space="preserve">Phần DPO gắn với phải trả của nhà cung cấp; chưa kết luận tài trợ hiệu quả khi có nợ quá hạn.</t>
  </si>
  <si>
    <t xml:space="preserve">AP_s / COGS × N</t>
  </si>
  <si>
    <t xml:space="preserve">T1-50, T1-02</t>
  </si>
  <si>
    <t xml:space="preserve">T1-52</t>
  </si>
  <si>
    <t xml:space="preserve">Kỳ hạn bình quân NCC cấp</t>
  </si>
  <si>
    <t xml:space="preserve">NCC cho mình nợ bao lâu theo hợp đồng</t>
  </si>
  <si>
    <t xml:space="preserve">Σ(amount × (due_date − issue_date)) / Σ amount</t>
  </si>
  <si>
    <t xml:space="preserve">issue_date trong kỳ; firm_id = F01; ngày chốt 30/06/2026. Kỳ phát sinh 01/01–30/06 nếu áp dụng.</t>
  </si>
  <si>
    <t xml:space="preserve">T1-53</t>
  </si>
  <si>
    <t xml:space="preserve">Cờ kỳ hạn ngắn</t>
  </si>
  <si>
    <t xml:space="preserve">Kỳ hạn thấp hơn ngưỡng cấu hình; chưa chứng minh nhà cung cấp siết nợ.</t>
  </si>
  <si>
    <t xml:space="preserve">ShortTermsFlag = AverageSupplierTerms &lt; ShortTermsPolicy, chỉ khi chính sách đã được duyệt</t>
  </si>
  <si>
    <t xml:space="preserve">T1-52, Nguong</t>
  </si>
  <si>
    <t xml:space="preserve">Chưa cấu hình ShortTermsPolicy: chỉ hiển thị kỳ hạn, không gán cờ. Ngưỡng DPO thấp của ngành không phải ngưỡng kỳ hạn hợp đồng.</t>
  </si>
  <si>
    <t xml:space="preserve">T1-54</t>
  </si>
  <si>
    <t xml:space="preserve">Cơ hội chiết khấu thanh toán sớm</t>
  </si>
  <si>
    <t xml:space="preserve">Trả sớm được giảm giá bao nhiêu, tương đương lãi suất năm bao nhiêu</t>
  </si>
  <si>
    <t xml:space="preserve">Tiết kiệm = amount × pct; Lãi suất ngầm định = pct / (1 − pct) × 365 / (kỳ hạn − số ngày chiết khấu)</t>
  </si>
  <si>
    <t xml:space="preserve">purchase_invoices.early_discount_pct, discount_days</t>
  </si>
  <si>
    <t xml:space="preserve">Hóa đơn mở và issue_date + discount_days ≥ AsOf; firm_id = F01; ngày chốt 30/06/2026. Kỳ phát sinh 01/01–30/06 nếu áp dụng.</t>
  </si>
  <si>
    <t xml:space="preserve">VND; %/năm</t>
  </si>
  <si>
    <t xml:space="preserve">Chỉ hiển thị cơ hội tại ngày chốt; không khuyến nghị trả sớm trong UC01. Cần kỳ hạn &gt; số ngày chiết khấu và điều kiện hợp đồng còn hiệu lực.</t>
  </si>
  <si>
    <t xml:space="preserve">T1-60</t>
  </si>
  <si>
    <t xml:space="preserve">06. Tham chiếu và chất lượng</t>
  </si>
  <si>
    <t xml:space="preserve">So tham chiếu ngành</t>
  </si>
  <si>
    <t xml:space="preserve">Đặt chỉ số theo nhóm ngành và công bố khác cơ sở tính; DPO thấp chỉ là tín hiệu khi đồng thời tiền mỏng.</t>
  </si>
  <si>
    <t xml:space="preserve">Trong khoảng / cao hơn / thấp hơn khoảng tham chiếu; với DPO, thấp hơn là bất lợi</t>
  </si>
  <si>
    <t xml:space="preserve">Nguong bảng tham chiếu</t>
  </si>
  <si>
    <t xml:space="preserve">Nhãn</t>
  </si>
  <si>
    <t xml:space="preserve">Luôn kèm câu nói rõ khác phương pháp</t>
  </si>
  <si>
    <t xml:space="preserve">T1-61</t>
  </si>
  <si>
    <t xml:space="preserve">DQ-01 Đối chiếu doanh thu</t>
  </si>
  <si>
    <t xml:space="preserve">Sổ bán hàng có khớp báo cáo không</t>
  </si>
  <si>
    <t xml:space="preserve">RevenueDiff = Σ SalesAmount phát hành trong kỳ − Rev
RevenueDiffRatio = RevenueDiff / Rev</t>
  </si>
  <si>
    <t xml:space="preserve">sales_invoices, financials</t>
  </si>
  <si>
    <t xml:space="preserve">Rev=0: tỷ lệ không áp dụng. Công bố chênh lệch; không tự chọn tolerance khi chưa cấu hình. Fixture đối soát số học đến 1 VND.</t>
  </si>
  <si>
    <t xml:space="preserve">T1-62</t>
  </si>
  <si>
    <t xml:space="preserve">DQ-02 Hóa đơn bất thường</t>
  </si>
  <si>
    <t xml:space="preserve">Lỗi nhập liệu</t>
  </si>
  <si>
    <t xml:space="preserve">Đếm: due_date &lt; issue_date; paid_date &lt; issue_date; amount ≤ 0</t>
  </si>
  <si>
    <t xml:space="preserve">sales_invoices, purchase_invoices</t>
  </si>
  <si>
    <t xml:space="preserve">số dòng</t>
  </si>
  <si>
    <t xml:space="preserve">&gt; 0 → lỗi, không tính, báo dòng lỗi</t>
  </si>
  <si>
    <t xml:space="preserve">T1-63</t>
  </si>
  <si>
    <t xml:space="preserve">DQ-03 Hàng bị loại trừ</t>
  </si>
  <si>
    <t xml:space="preserve">Minh bạch phần tồn kho không tính</t>
  </si>
  <si>
    <t xml:space="preserve">Đếm dòng inventory_type = HGC và giá trị</t>
  </si>
  <si>
    <t xml:space="preserve">số dòng; VND</t>
  </si>
  <si>
    <t xml:space="preserve">Chỉ thông tin</t>
  </si>
  <si>
    <t xml:space="preserve">T1-70</t>
  </si>
  <si>
    <t xml:space="preserve">07. Cấu trúc chẩn đoán</t>
  </si>
  <si>
    <t xml:space="preserve">Nguyên nhân phải nêu</t>
  </si>
  <si>
    <t xml:space="preserve">Danh sách điểm nghẽn có số tiền, thời gian và nguồn; không kế hoạch hành động.</t>
  </si>
  <si>
    <t xml:space="preserve">Top khách theo đóng góp DSO và quá hạn; top tồn lâu; top AP quá hạn. Xếp hạng riêng từng tiêu chí.</t>
  </si>
  <si>
    <t xml:space="preserve">Lớp C, D, E</t>
  </si>
  <si>
    <t xml:space="preserve">Danh sách</t>
  </si>
  <si>
    <t xml:space="preserve">Không có cờ nào → vẫn nêu top N, nói rõ không có dấu hiệu bất thường</t>
  </si>
  <si>
    <t xml:space="preserve">T1-36b</t>
  </si>
  <si>
    <t xml:space="preserve">Trễ thu bình quân dương</t>
  </si>
  <si>
    <t xml:space="preserve">Tách trễ khỏi việc trả sớm; TV2 dùng số này.</t>
  </si>
  <si>
    <t xml:space="preserve">DelayPositive = Σ amount × MAX(0; paid−due) / Σ amount</t>
  </si>
  <si>
    <t xml:space="preserve">receipts; D_sales</t>
  </si>
  <si>
    <t xml:space="preserve">180 ngày đến chốt; cùng khách; firm_id = F01; ngày chốt 30/06/2026. Kỳ phát sinh 01/01–30/06 nếu áp dụng.</t>
  </si>
  <si>
    <t xml:space="preserve">Ngày;1 số lẻ</t>
  </si>
  <si>
    <t xml:space="preserve">Không có lịch sử: null; không thay DelaySigned của T1-36. Lịch sử F01 có 181 ngày, đủ cửa sổ 180 ngày.</t>
  </si>
  <si>
    <t xml:space="preserve">T1-55</t>
  </si>
  <si>
    <t xml:space="preserve">Tuổi nợ phải trả</t>
  </si>
  <si>
    <t xml:space="preserve">Nợ nhà cung cấp bao nhiêu và quá hạn bao lâu.</t>
  </si>
  <si>
    <t xml:space="preserve">DPD = MAX(0; AsOf−due_date)
OverdueAP = Σ residual [due_date &lt;AsOf]</t>
  </si>
  <si>
    <t xml:space="preserve">purchase_invoices; residual</t>
  </si>
  <si>
    <t xml:space="preserve">Hóa đơn mở; firm; supplier; firm_id = F01; ngày chốt 30/06/2026. Kỳ phát sinh 01/01–30/06 nếu áp dụng.</t>
  </si>
  <si>
    <t xml:space="preserve">VND; ngày;5 nhóm</t>
  </si>
  <si>
    <t xml:space="preserve">Không suy ngừng cung ứng. Due thiếu: không áp dụng aging, không mất khỏi AP.</t>
  </si>
  <si>
    <t xml:space="preserve">T1-80</t>
  </si>
  <si>
    <t xml:space="preserve">08. Ngưỡng và phân lớp W</t>
  </si>
  <si>
    <t xml:space="preserve">Số ngày kỳ</t>
  </si>
  <si>
    <t xml:space="preserve">Đếm đủ cả ngày đầu và ngày cuối.</t>
  </si>
  <si>
    <t xml:space="preserve">N = PeriodEnd − PeriodStart + 1
N = 30/06/2026 − 01/01/2026 + 1 = 181</t>
  </si>
  <si>
    <t xml:space="preserve">D_F01.Start, AsOf</t>
  </si>
  <si>
    <t xml:space="preserve">Không dùng 180, 182, 183 hoặc 365 thay N = 181 (số ngày thực của kỳ 01/01–30/06/2026).</t>
  </si>
  <si>
    <t xml:space="preserve">Ngày</t>
  </si>
  <si>
    <t xml:space="preserve">Không làm tròn giữa các bước; truy vết nguồn và phiên bản.</t>
  </si>
  <si>
    <t xml:space="preserve">T1-81</t>
  </si>
  <si>
    <t xml:space="preserve">Hệ số điều tiết</t>
  </si>
  <si>
    <t xml:space="preserve">Điều chỉnh chuẩn FOB theo quy mô và mùa vụ; mẫu đã giới hạn cùng mô hình kinh doanh.</t>
  </si>
  <si>
    <t xml:space="preserve">RawFactor = MedianSizeGroup / MedianFOB
Factor = 1 nếu p ≥ 0,05; nếu p &lt;0,05: MIN(3;MAX(0,1;RawFactor))</t>
  </si>
  <si>
    <t xml:space="preserve">Nguong: phân vị, trung vị, p-value từ B1/B2 của file SMEs</t>
  </si>
  <si>
    <t xml:space="preserve">FOB được xác nhận trong hồ sơ. Nguồn 20 DN FOB, 2023–2025; hệ số quy mô đều bằng 1.</t>
  </si>
  <si>
    <t xml:space="preserve">Hệ số</t>
  </si>
  <si>
    <t xml:space="preserve">T1-82</t>
  </si>
  <si>
    <t xml:space="preserve">Ngưỡng doanh nghiệp</t>
  </si>
  <si>
    <t xml:space="preserve">Mức ngành sau điều chỉnh; không tự đặt lại khi đổi kỳ.</t>
  </si>
  <si>
    <t xml:space="preserve">Threshold = FOBPercentile × SizeFactor × SeasonFactor
SeasonFactor chỉ áp dụng DSO, DIO.</t>
  </si>
  <si>
    <t xml:space="preserve">Nguong; B3_NguongKhoanMuc</t>
  </si>
  <si>
    <t xml:space="preserve">Giữ đủ độ chính xác; FOB nhỏ–vừa; không giảm ngưỡng ngày theo độ dài kỳ.</t>
  </si>
  <si>
    <t xml:space="preserve">Ngày / tỷ lệ</t>
  </si>
  <si>
    <t xml:space="preserve">T1-83</t>
  </si>
  <si>
    <t xml:space="preserve">Mức phải thu</t>
  </si>
  <si>
    <t xml:space="preserve">Phân biệt chưa vượt, theo dõi và nghiêm trọng.</t>
  </si>
  <si>
    <t xml:space="preserve">ARLevel = 2 nếu DSO &gt; DSOSevere
Nếu không: 1 nếu DSO &gt; DSOWatch; còn lại 0</t>
  </si>
  <si>
    <t xml:space="preserve">DSO, Nguong</t>
  </si>
  <si>
    <t xml:space="preserve">Đúng ngưỡng không được tính là vượt.</t>
  </si>
  <si>
    <t xml:space="preserve">0/1/2</t>
  </si>
  <si>
    <t xml:space="preserve">T1-84</t>
  </si>
  <si>
    <t xml:space="preserve">Mức tồn kho</t>
  </si>
  <si>
    <t xml:space="preserve">Áp dụng tương tự phải thu.</t>
  </si>
  <si>
    <t xml:space="preserve">INVLevel = 2 nếu DIO &gt; DIOSevere
Nếu không: 1 nếu DIO &gt; DIOWatch; còn lại 0</t>
  </si>
  <si>
    <t xml:space="preserve">DIO, Nguong</t>
  </si>
  <si>
    <t xml:space="preserve">Không dùng ngày lưu kho của một lô thay DIO.</t>
  </si>
  <si>
    <t xml:space="preserve">T1-85</t>
  </si>
  <si>
    <t xml:space="preserve">Chuẩn hóa tỷ lệ tiền cho kỳ ngắn</t>
  </si>
  <si>
    <t xml:space="preserve">Tránh đem tỷ lệ trên doanh thu 181 ngày so thẳng với tỷ lệ ngành theo năm.</t>
  </si>
  <si>
    <t xml:space="preserve">CashRatio = (Cash + ShortInvestments) / RevenueTTM
RevenueTTM là doanh thu 12 tháng thực của snapshot tạo sinh.</t>
  </si>
  <si>
    <t xml:space="preserve">D_F01.Revenue, Cash, ShortInvestments</t>
  </si>
  <si>
    <t xml:space="preserve">F01 có đủ TTM. Tỷ lệ tiền mỏng UC01 dùng Tiền+ĐTNH; giới hạn dưới UC02 dùng riêng Tiền.</t>
  </si>
  <si>
    <t xml:space="preserve">Tỷ lệ</t>
  </si>
  <si>
    <t xml:space="preserve">T1-86</t>
  </si>
  <si>
    <t xml:space="preserve">Tín hiệu phải trả</t>
  </si>
  <si>
    <t xml:space="preserve">DPO thấp chỉ là tín hiệu khi đồng thời tiền mỏng.</t>
  </si>
  <si>
    <t xml:space="preserve">APSignal = 1 nếu DPO &lt; DPOLow VÀ CashRatio &lt; CashThin
DPO &gt; DPOHigh: chỉ thông tin</t>
  </si>
  <si>
    <t xml:space="preserve">T1-09, T1-85, Nguong</t>
  </si>
  <si>
    <t xml:space="preserve">Quá hạn NCC được nêu riêng; không tự coi DPO cao là hiệu quả.</t>
  </si>
  <si>
    <t xml:space="preserve">0/1</t>
  </si>
  <si>
    <t xml:space="preserve">T1-87</t>
  </si>
  <si>
    <t xml:space="preserve">Vốn phải thu vượt ngưỡng</t>
  </si>
  <si>
    <t xml:space="preserve">Ước phần số dư vượt mức theo dõi.</t>
  </si>
  <si>
    <t xml:space="preserve">ExcessAR = MAX(0; DSO − DSOWatch) × Rev / N</t>
  </si>
  <si>
    <t xml:space="preserve">T1-07, Nguong, Rev, N</t>
  </si>
  <si>
    <t xml:space="preserve">Đổi kỳ thì mẫu số dùng đúng N = 171.</t>
  </si>
  <si>
    <t xml:space="preserve">T1-88</t>
  </si>
  <si>
    <t xml:space="preserve">Vốn tồn kho vượt ngưỡng</t>
  </si>
  <si>
    <t xml:space="preserve">Ước phần tồn sở hữu vượt mức theo dõi.</t>
  </si>
  <si>
    <t xml:space="preserve">ExcessINV = MAX(0; DIO − DIOWatch) × COGS / N</t>
  </si>
  <si>
    <t xml:space="preserve">T1-08, Nguong, COGS, N</t>
  </si>
  <si>
    <t xml:space="preserve">Không bao gồm tồn thuộc khách hàng.</t>
  </si>
  <si>
    <t xml:space="preserve">T1-89</t>
  </si>
  <si>
    <t xml:space="preserve">Tỷ lệ trọng yếu</t>
  </si>
  <si>
    <t xml:space="preserve">So phần vượt lớn nhất với quy mô tài sản ngắn hạn.</t>
  </si>
  <si>
    <t xml:space="preserve">MaterialityRatio = MAX(ExcessAR; ExcessINV) / CurrentAssets</t>
  </si>
  <si>
    <t xml:space="preserve">D_F01.CurrentAssets, T1-87, T1-88</t>
  </si>
  <si>
    <t xml:space="preserve">Không cộng AR quá hạn lần nữa vào ExcessAR. Giả định dữ liệu đủ và TSNH dương.</t>
  </si>
  <si>
    <t xml:space="preserve">T1-90</t>
  </si>
  <si>
    <t xml:space="preserve">Tuân theo B4_PhanLopW của file SMEs.</t>
  </si>
  <si>
    <t xml:space="preserve">W2 nếu SevereForcesW2=1 và MAX(ARLevel;INVLevel)=2
Hoặc W2 nếu MAX(ARLevel;INVLevel)≥1 và MAX(ExcessAR;ExcessINV)/TSNH≥5%
W1 nếu còn tín hiệu AR/INV hoặc APSignal=1
Còn lại W0; giả định DN luôn tải đủ dữ liệu.</t>
  </si>
  <si>
    <t xml:space="preserve">T1-83…89; Nguong</t>
  </si>
  <si>
    <t xml:space="preserve">Mức 5% và cờ =1 là owner_policy của nguồn, chưa là quy định bắt buộc. Chi tiết quá hạn không tự thay logic W ngành.</t>
  </si>
  <si>
    <t xml:space="preserve">W0/W1/W2</t>
  </si>
  <si>
    <t xml:space="preserve">T1-91</t>
  </si>
  <si>
    <t xml:space="preserve">Vốn vượt ngưỡng tổng cộng</t>
  </si>
  <si>
    <t xml:space="preserve">Chỉ số bàn giao để giải thích, không phải tiền sẽ thu.</t>
  </si>
  <si>
    <t xml:space="preserve">MoneyAtRisk = ExcessAR + ExcessINV</t>
  </si>
  <si>
    <t xml:space="preserve">T1-87, T1-88</t>
  </si>
  <si>
    <t xml:space="preserve">Không cộng vào Cash0, dòng thu hoặc gap của UC02.</t>
  </si>
  <si>
    <t xml:space="preserve">T1-92</t>
  </si>
  <si>
    <t xml:space="preserve">09. Chi tiết và liên kết</t>
  </si>
  <si>
    <t xml:space="preserve">Tồn chậm hoặc đơn hủy</t>
  </si>
  <si>
    <t xml:space="preserve">Chỉ cộng một lần khi lô thỏa cả hai điều kiện.</t>
  </si>
  <si>
    <t xml:space="preserve">SlowOrCancelled = IsOwned AND (Age &gt; SlowDays OR Cancelled)
StuckInventory = Σ BookValue có cờ này</t>
  </si>
  <si>
    <t xml:space="preserve">D_inventory</t>
  </si>
  <si>
    <t xml:space="preserve">Age = AsOf − ReceivedDate; Age có thể dài hơn kỳ do tồn đầu kỳ.</t>
  </si>
  <si>
    <t xml:space="preserve">T1-93</t>
  </si>
  <si>
    <t xml:space="preserve">Chỉ số quá hạn theo hợp đồng</t>
  </si>
  <si>
    <t xml:space="preserve">Quá hạn so với kỳ hạn đã cấp.</t>
  </si>
  <si>
    <t xml:space="preserve">Rho = DPD / CreditDays
Theo dõi nếu Rho &gt; 0,5; nghiêm trọng nếu &gt;1</t>
  </si>
  <si>
    <t xml:space="preserve">D_sales, D_purchases</t>
  </si>
  <si>
    <t xml:space="preserve">CreditDays ≤0: không chia; phân loại riêng khoản phải trả ngay.</t>
  </si>
  <si>
    <t xml:space="preserve">Lần</t>
  </si>
  <si>
    <t xml:space="preserve">T1-94</t>
  </si>
  <si>
    <t xml:space="preserve">Tồn lâu nhất và vốn lớn nhất</t>
  </si>
  <si>
    <t xml:space="preserve">Hai cách xếp hạng khác nhau, phải nêu đúng.</t>
  </si>
  <si>
    <t xml:space="preserve">LongestHeld = sắp Age giảm dần
LargestInventory = sắp OwnedValue giảm dần
LargestAR = sắp AR_k giảm dần; sâu quá hạn = sắp DPD giảm dần</t>
  </si>
  <si>
    <t xml:space="preserve">F01_UC1: bảng khách, NCC, từng lô</t>
  </si>
  <si>
    <t xml:space="preserve">Đồng hạng dùng entity_id/lot_id tăng dần để kết quả ổn định.</t>
  </si>
  <si>
    <t xml:space="preserve">T1-95</t>
  </si>
  <si>
    <t xml:space="preserve">Quan hệ đối tác</t>
  </si>
  <si>
    <t xml:space="preserve">Đặc điểm quan hệ khác mức độ rủi ro thanh toán.</t>
  </si>
  <si>
    <t xml:space="preserve">Mới nếu RelationshipAge ≤60
Thường xuyên nếu InvoiceCount ≥12 VÀ ActiveMonths ≥4
Còn lại Vãng lai</t>
  </si>
  <si>
    <t xml:space="preserve">D_sales; hồ sơ đối tác</t>
  </si>
  <si>
    <t xml:space="preserve">Quy tắc demo, không phải ngưỡng ngành. Ít lịch sử không đồng nghĩa khách xấu.</t>
  </si>
  <si>
    <t xml:space="preserve">UC02 Dự báo tiền và cảnh báo</t>
  </si>
  <si>
    <t xml:space="preserve">T2-01</t>
  </si>
  <si>
    <t xml:space="preserve">01. Tiền đầu kỳ và nghĩa vụ</t>
  </si>
  <si>
    <t xml:space="preserve">Tiền khả dụng đầu dự báo</t>
  </si>
  <si>
    <t xml:space="preserve">Tiền doanh nghiệp có thể chi ngay sau ngày chốt.</t>
  </si>
  <si>
    <t xml:space="preserve">Cash0 = cash_AsOf_vnd − restricted_vnd</t>
  </si>
  <si>
    <t xml:space="preserve">cash_snapshot.cash_vnd, restricted_vnd</t>
  </si>
  <si>
    <t xml:space="preserve">Đúng doanh nghiệp, ngày chốt, tiền tệ.</t>
  </si>
  <si>
    <t xml:space="preserve">VND; raw</t>
  </si>
  <si>
    <t xml:space="preserve">Thiếu Cash0: chỉ dùng proxy được xác định và gắn nhãn trong chính sách → provisional. Nếu không có proxy hợp lệ → missing_data; không tự điền 0. Tiền bị hạn chế phải tách riêng.</t>
  </si>
  <si>
    <t xml:space="preserve">T2-02</t>
  </si>
  <si>
    <t xml:space="preserve">Phải thu dùng lập lịch tiền</t>
  </si>
  <si>
    <t xml:space="preserve">Chỉ dự báo phần khách chưa trả.</t>
  </si>
  <si>
    <t xml:space="preserve">AR_cash = gross_invoice − receipts_to_AsOf − credits_to_AsOf</t>
  </si>
  <si>
    <t xml:space="preserve">sales_invoices; receipt_allocations; credit_notes</t>
  </si>
  <si>
    <t xml:space="preserve">Đã ghi nhận đến ngày chốt; chọn phần dư dương.</t>
  </si>
  <si>
    <t xml:space="preserve">VND gồm thuế</t>
  </si>
  <si>
    <t xml:space="preserve">Demo net/noVAT, trả toàn bộ một lần. Dư âm tách ứng trước. Không tự dùng VAT 10%.</t>
  </si>
  <si>
    <t xml:space="preserve">T2-03</t>
  </si>
  <si>
    <t xml:space="preserve">Phải trả dùng lập lịch tiền</t>
  </si>
  <si>
    <t xml:space="preserve">Chỉ dự báo phần nghĩa vụ chưa trả.</t>
  </si>
  <si>
    <t xml:space="preserve">AP_cash = gross_invoice − payments_to_AsOf − credits_to_AsOf</t>
  </si>
  <si>
    <t xml:space="preserve">purchase_invoices; payment_allocations</t>
  </si>
  <si>
    <t xml:space="preserve">Đúng phạm vi thương mại và ngày chốt.</t>
  </si>
  <si>
    <t xml:space="preserve">Lương, thuế, nợ vay vào plan riêng. Một nghĩa vụ chỉ tính một lần.</t>
  </si>
  <si>
    <t xml:space="preserve">T2-04</t>
  </si>
  <si>
    <t xml:space="preserve">02. Lập lịch và tính số dư</t>
  </si>
  <si>
    <t xml:space="preserve">Ước ngày thu theo lịch sử từng khách. Khoản lớn có trọng số lớn.</t>
  </si>
  <si>
    <t xml:space="preserve">CompletedLate = MAX(0; PaidDate − DueDate)
OpenLowerBound = MAX(0; AsOf − DueDate)
ModelDelay = CompletedLate hoặc OpenLowerBound
DelayBase = Σ ModelAmount × ModelDelay / Σ ModelAmount</t>
  </si>
  <si>
    <t xml:space="preserve">receipt_allocations; due_date</t>
  </si>
  <si>
    <t xml:space="preserve">DueDate trong (AsOf − 180; AsOf]; mẫu mở có cờ censored, mẫu trả xong có cờ completed. Chọn khách khi ≥5 mẫu; nếu không dùng toàn F01 ≥5; cuối cùng mặc định 7 ngày.</t>
  </si>
  <si>
    <t xml:space="preserve">Ngày; giữ raw</t>
  </si>
  <si>
    <t xml:space="preserve">Theo SRS 2.7.11.1: mẫu mở chỉ là cận dưới. Không gọi trung bình hỗn hợp là ngày thanh toán thực tế. UC01 vẫn dùng riêng mẫu đã thanh toán.</t>
  </si>
  <si>
    <t xml:space="preserve">T2-05</t>
  </si>
  <si>
    <t xml:space="preserve">Ngày thu dự kiến</t>
  </si>
  <si>
    <t xml:space="preserve">Ưu tiên lịch xác nhận, sau đó mới ước tính.</t>
  </si>
  <si>
    <t xml:space="preserve">Ngày thu = ConfirmedDate nếu lịch được biết tại AsOf
Chưa quá hạn: MAX(Start; DueDate + CEILING(DelayScenario; 1))
Đã quá hạn: xem T2-19; không tự gom mọi khoản về Start.</t>
  </si>
  <si>
    <t xml:space="preserve">receipt_schedule; T2-04; due_date</t>
  </si>
  <si>
    <t xml:space="preserve">Lịch biết tại ngày chốt; portions không vượt dư.</t>
  </si>
  <si>
    <t xml:space="preserve">Ngày lịch</t>
  </si>
  <si>
    <t xml:space="preserve">Ngày đã qua chuyển về Start chỉ theo policy có nhãn. Thiếu ngày: unscheduled. Không dùng paid_date tương lai.</t>
  </si>
  <si>
    <t xml:space="preserve">T2-06</t>
  </si>
  <si>
    <t xml:space="preserve">Ngày chi dự kiến</t>
  </si>
  <si>
    <t xml:space="preserve">Giữ nghĩa vụ đến hạn và nói rõ giả định khoản quá hạn.</t>
  </si>
  <si>
    <t xml:space="preserve">Ngày chi = ApprovedDate nếu có
Chưa quá hạn: DueDate + lịch sử trễ theo chính sách
NCC thiết yếu / Conservative: DueDate
Quá hạn: AsOf + OffsetScenario + MOD(Rank; 5)</t>
  </si>
  <si>
    <t xml:space="preserve">payment_schedule; purchase_invoices</t>
  </si>
  <si>
    <t xml:space="preserve">Lịch đã duyệt, biết tại ngày chốt.</t>
  </si>
  <si>
    <t xml:space="preserve">Đây là chính sách mô phỏng theo SRS, không phải gia hạn đã được NCC chấp thuận. Lịch được duyệt ưu tiên. Offset: Conservative 1, Base 5, Optimistic 10 ngày.</t>
  </si>
  <si>
    <t xml:space="preserve">T2-07</t>
  </si>
  <si>
    <t xml:space="preserve">Tiền vào ngày hoặc tuần</t>
  </si>
  <si>
    <t xml:space="preserve">Cộng khoản thu được xếp vào đúng kỳ.</t>
  </si>
  <si>
    <t xml:space="preserve">In = Σ Amount [direction = IN; date ∈ kỳ]</t>
  </si>
  <si>
    <t xml:space="preserve">cash_events</t>
  </si>
  <si>
    <t xml:space="preserve">Cùng firm, run, case, currency; không trùng nguồn.</t>
  </si>
  <si>
    <t xml:space="preserve">Thu hóa đơn và thu khác có căn cứ. Không lấy Rev/N làm tiền thu, không tự coi tồn kho sẽ bán được.</t>
  </si>
  <si>
    <t xml:space="preserve">T2-08</t>
  </si>
  <si>
    <t xml:space="preserve">Tiền ra ngày hoặc tuần</t>
  </si>
  <si>
    <t xml:space="preserve">Trả nhà cung cấp và các khoản chi có lịch.</t>
  </si>
  <si>
    <t xml:space="preserve">Out = Σ Amount [direction = OUT; date ∈ kỳ]</t>
  </si>
  <si>
    <t xml:space="preserve">cash_events; planned_events</t>
  </si>
  <si>
    <t xml:space="preserve">Cùng scope và kỳ; một phần nghĩa vụ một lần.</t>
  </si>
  <si>
    <t xml:space="preserve">Không cộng COGS như tiền chi. Gốc/lãi vay, lương, thuế, đầu tư cần lịch riêng.</t>
  </si>
  <si>
    <t xml:space="preserve">T2-09</t>
  </si>
  <si>
    <t xml:space="preserve">Số dư tiền</t>
  </si>
  <si>
    <t xml:space="preserve">Một phép tính cho ngày và tuần, liên kết kỳ trước sang kỳ sau.</t>
  </si>
  <si>
    <t xml:space="preserve">CashEnd = CashStart + In − Out
CashStart_next = CashEnd</t>
  </si>
  <si>
    <t xml:space="preserve">T2-01; T2-07; T2-08</t>
  </si>
  <si>
    <t xml:space="preserve">Ngày đầu bằng Cash0; tuần cộng cùng event ledger.</t>
  </si>
  <si>
    <t xml:space="preserve">VND; giữ số âm</t>
  </si>
  <si>
    <t xml:space="preserve">Ví dụ đầu100 triệu, thu100, chi150 → cuối50; vẫn có thể âm giữa tuần. Không ép số âm về0.</t>
  </si>
  <si>
    <t xml:space="preserve">T2-10</t>
  </si>
  <si>
    <t xml:space="preserve">03. Cảnh báo thiếu tiền</t>
  </si>
  <si>
    <t xml:space="preserve">Thiếu so mức dự phòng</t>
  </si>
  <si>
    <t xml:space="preserve">Chỉ phát sinh nhu cầu điều chỉnh khi dưới L; số tiền cần bổ sung đưa về Z.</t>
  </si>
  <si>
    <t xml:space="preserve">GapRestore_d = IF(CashEnd_d &lt; L; Z − CashEnd_d; 0)
GapFloor_d = MAX(0; L − CashEnd_d)</t>
  </si>
  <si>
    <t xml:space="preserve">buffer_vnd; T2-09</t>
  </si>
  <si>
    <t xml:space="preserve">Dự phòng đã xác nhận; ghi rõ ngày/cuối tuần.</t>
  </si>
  <si>
    <t xml:space="preserve">Tiền còn350 triệu, buffer500 → thiếu150; chưa phải tiền âm.</t>
  </si>
  <si>
    <t xml:space="preserve">T2-11</t>
  </si>
  <si>
    <t xml:space="preserve">Thiếu để không âm</t>
  </si>
  <si>
    <t xml:space="preserve">Khoản bù để số dư dự kiến trở lại0.</t>
  </si>
  <si>
    <t xml:space="preserve">GapZero = MAX(0; −CashEnd)</t>
  </si>
  <si>
    <t xml:space="preserve">Cùng ngày/tuần đang xét.</t>
  </si>
  <si>
    <t xml:space="preserve">Tiền−50 triệu → thiếu50 để không âm. Không cộng với GapBuffer.</t>
  </si>
  <si>
    <t xml:space="preserve">T2-12</t>
  </si>
  <si>
    <t xml:space="preserve">Tỷ lệ thiếu</t>
  </si>
  <si>
    <t xml:space="preserve">Dùng phân màu vàng, cam, đỏ.</t>
  </si>
  <si>
    <t xml:space="preserve">GapRatio_d = GapRestore_d / Z; chỉ dùng mô tả quy mô, không thay điều kiện Cash&lt;L.</t>
  </si>
  <si>
    <t xml:space="preserve">T2-10; buffer_vnd</t>
  </si>
  <si>
    <t xml:space="preserve">Buffer &gt;0; phân loại bằng raw chưa làm tròn.</t>
  </si>
  <si>
    <t xml:space="preserve">Tỷ lệ; hiển thị1 số lẻ%</t>
  </si>
  <si>
    <t xml:space="preserve">Buffer0: null/not_applicable. Thiếu/âm Buffer không thay0. Ngưỡng ở Nguong.</t>
  </si>
  <si>
    <t xml:space="preserve">T2-13</t>
  </si>
  <si>
    <t xml:space="preserve">Tiền thấp nhất trong tuần</t>
  </si>
  <si>
    <t xml:space="preserve">Bắt ngày thiếu dù cuối tuần có thể còn đủ tiền.</t>
  </si>
  <si>
    <t xml:space="preserve">MinDaily = MIN(CashEnd_d trong tuần)</t>
  </si>
  <si>
    <t xml:space="preserve">daily[]</t>
  </si>
  <si>
    <t xml:space="preserve">Đủ ngày; khi bằng nhau chọn ngày đầu.</t>
  </si>
  <si>
    <t xml:space="preserve">VND và ngày</t>
  </si>
  <si>
    <t xml:space="preserve">weekly_only: null. Cuối ngày không phản ánh thiếu trong từng giờ.</t>
  </si>
  <si>
    <t xml:space="preserve">T2-14</t>
  </si>
  <si>
    <t xml:space="preserve">Thời điểm thiếu đầu tiên</t>
  </si>
  <si>
    <t xml:space="preserve">Tách ngày đầu dưới dự phòng và ngày đầu tiền âm.</t>
  </si>
  <si>
    <t xml:space="preserve">FirstLower = MIN(date có CashEnd&lt;L)
FirstNegative = MIN(date có CashEnd&lt;0)
InitialBreach = Cash0&lt;L tại AsOf; ghi riêng, không gọi ngày đầu dự báo là bắt đầu vấn đề.</t>
  </si>
  <si>
    <t xml:space="preserve">daily[] hoặc weekly[]</t>
  </si>
  <si>
    <t xml:space="preserve">So theo grain riêng; initial tại ngày chốt tách riêng.</t>
  </si>
  <si>
    <t xml:space="preserve">Ngày/tuần; nullable</t>
  </si>
  <si>
    <t xml:space="preserve">Không breach: null, không0. Đã thiếu tại chốt không gọi ngày đầu dự báo là bắt đầu vấn đề.</t>
  </si>
  <si>
    <t xml:space="preserve">T2-15</t>
  </si>
  <si>
    <t xml:space="preserve">Mức thiếu lớn nhất</t>
  </si>
  <si>
    <t xml:space="preserve">Cho biết quy mô thiếu nặng nhất trong kỳ.</t>
  </si>
  <si>
    <t xml:space="preserve">PeakBuffer = MAX(GapBuffer)
PeakZero = MAX(GapZero)</t>
  </si>
  <si>
    <t xml:space="preserve">T2-10; T2-11</t>
  </si>
  <si>
    <t xml:space="preserve">Cùng grain/basis; tie lấy ngày đầu.</t>
  </si>
  <si>
    <t xml:space="preserve">Không SUM thiếu lặp qua tuần. Chưa phải khoản vay tối ưu.</t>
  </si>
  <si>
    <t xml:space="preserve">T2-16</t>
  </si>
  <si>
    <t xml:space="preserve">04. Giải thích và kịch bản</t>
  </si>
  <si>
    <t xml:space="preserve">Thu–chi giải thích số dư</t>
  </si>
  <si>
    <t xml:space="preserve">Nêu chi đến trước, thu dự kiến đến sau.</t>
  </si>
  <si>
    <t xml:space="preserve">Cash_d = Cash0 + Σ In_to_d − Σ Out_to_d</t>
  </si>
  <si>
    <t xml:space="preserve">cash_events; critical_date</t>
  </si>
  <si>
    <t xml:space="preserve">Phân rã lũy kế khớp số dư; các event có nguồn.</t>
  </si>
  <si>
    <t xml:space="preserve">Khoản chi lớn là đóng góp, chưa chứng minh nguyên nhân gốc. Thu dự kiến không là cam kết.</t>
  </si>
  <si>
    <t xml:space="preserve">T2-17</t>
  </si>
  <si>
    <t xml:space="preserve">Phụ thuộc nguồn thu từng khách</t>
  </si>
  <si>
    <t xml:space="preserve">Dự báo phụ thuộc khách nào và bao nhiêu.</t>
  </si>
  <si>
    <t xml:space="preserve">ReceiptShare_k = In_k / TotalIn</t>
  </si>
  <si>
    <t xml:space="preserve">cash_events direction IN</t>
  </si>
  <si>
    <t xml:space="preserve">Cùng horizon; chỉ thu khách, mẫu số toàn thu theo phạm vi khai báo.</t>
  </si>
  <si>
    <t xml:space="preserve">Tỷ lệ;1 số lẻ%</t>
  </si>
  <si>
    <t xml:space="preserve">Khác AR share của TV1. Tổng thu0 → không áp dụng.</t>
  </si>
  <si>
    <t xml:space="preserve">T2-18</t>
  </si>
  <si>
    <t xml:space="preserve">Thu chậm hơn</t>
  </si>
  <si>
    <t xml:space="preserve">Kiểm độ nhạy bằng chạy lại ngày thu.</t>
  </si>
  <si>
    <t xml:space="preserve">StressDate = BaseDate + 7 ngày, chỉ với thu ước tính
Giữ lịch thu đã xác nhận và lịch chi Base
Chạy lại số dư, gap, màu, đợt thiếu.</t>
  </si>
  <si>
    <t xml:space="preserve">case config; estimated receipts</t>
  </si>
  <si>
    <t xml:space="preserve">Cùng Cash0, buffer, cutoff, horizon; chỉ lịch ước tính được phép.</t>
  </si>
  <si>
    <t xml:space="preserve">Ngày; VND</t>
  </si>
  <si>
    <t xml:space="preserve">Không tự dịch confirmed schedule, ngày chi hoặc raw history. Đây không là xác suất xảy ra.</t>
  </si>
  <si>
    <t xml:space="preserve">T2-19</t>
  </si>
  <si>
    <t xml:space="preserve">Thu khoản đã quá hạn</t>
  </si>
  <si>
    <t xml:space="preserve">Không cộng tiếp toàn bộ số ngày trễ như một khoảng chờ mới.</t>
  </si>
  <si>
    <t xml:space="preserve">Eligible = mẫu ModelDelay ≥ DPD, cùng cấp dự phòng
Nếu ≥3 mẫu: dùng thống kê có điều kiện
Nếu thiếu: TotalDelay = DPD + ResidualDays
ResidualDays: Opt 3; Base 10; Cons 21
ReceiptDate = MAX(Start; DueDate + CEILING(TotalDelay;1))</t>
  </si>
  <si>
    <t xml:space="preserve">D_sales; bảng mẫu độ trễ; scenario</t>
  </si>
  <si>
    <t xml:space="preserve">Mẫu mở là cận dưới; phải ghi conditional_sample_count, method.</t>
  </si>
  <si>
    <t xml:space="preserve">T2-20</t>
  </si>
  <si>
    <t xml:space="preserve">Gộp kế hoạch thu chi</t>
  </si>
  <si>
    <t xml:space="preserve">Không bỏ lương, thuế, thuê và trả nợ khỏi dự báo.</t>
  </si>
  <si>
    <t xml:space="preserve">CashEvents = InvoiceEvents + ApprovedPlans
Loại trùng bằng SourceType + SourceId + PortionId
Giữ KnownAt ≤ AsOf</t>
  </si>
  <si>
    <t xml:space="preserve">D_flows; lịch xác nhận; hóa đơn mở</t>
  </si>
  <si>
    <t xml:space="preserve">Lịch xác nhận của hóa đơn thay ngày của cùng sự kiện, không cộng thêm lần hai.</t>
  </si>
  <si>
    <t xml:space="preserve">Ledger</t>
  </si>
  <si>
    <t xml:space="preserve">T2-21</t>
  </si>
  <si>
    <t xml:space="preserve">Hoạt động tiếp diễn</t>
  </si>
  <si>
    <t xml:space="preserve">Có doanh thu mới phải có chi phí tiền mặt tương ứng.</t>
  </si>
  <si>
    <t xml:space="preserve">WeeklySales = Rev / N × 7
NewReceiptDate = NewIssueDate + Terms + DelayBase
IncrementalOut = WeeklySales × IncrementalCostRatio
OutDate = NewIssueDate + CostLag
Thêm cả thu lẫn chi rồi chạy lại số dư</t>
  </si>
  <si>
    <t xml:space="preserve">D_F01; giả định hoạt động tại D_flows</t>
  </si>
  <si>
    <t xml:space="preserve">Continuing dùng tỷ lệ chi tăng thêm FOB 65% cho NVL/biến phí; không gồm lương và thuê đã có trong Base. Đây là giả định, không là tỷ lệ ngành.</t>
  </si>
  <si>
    <t xml:space="preserve">T2-22</t>
  </si>
  <si>
    <t xml:space="preserve">Cơ sở tiền và VAT</t>
  </si>
  <si>
    <t xml:space="preserve">Không tự thêm VAT mặc định.</t>
  </si>
  <si>
    <t xml:space="preserve">Nếu gross: dùng gross
Nếu net và VAT đã biết: Gross = Net × (1 + VAT)
Nếu net/noVAT demo: giữ Net, gắn provisional</t>
  </si>
  <si>
    <t xml:space="preserve">Invoice basis, VAT rate</t>
  </si>
  <si>
    <t xml:space="preserve">Bộ F01 dùng net/noVAT minh họa; doanh nghiệp thật phải xác nhận cơ sở.</t>
  </si>
  <si>
    <t xml:space="preserve">T2-23</t>
  </si>
  <si>
    <t xml:space="preserve">05. Dự trữ và trạng thái</t>
  </si>
  <si>
    <t xml:space="preserve">Giới hạn dưới Miller–Orr</t>
  </si>
  <si>
    <t xml:space="preserve">Dùng chuẩn ngành FOB và sàn do chủ DN đặt.</t>
  </si>
  <si>
    <t xml:space="preserve">L = MAX(cash.mo.lower_ratio × RevenueTTM; cash.mo.lower_min_owner)
Nguồn lower_ratio = 0,0417986209613163; không dùng Rmin=50%Z.</t>
  </si>
  <si>
    <t xml:space="preserve">D_F01; Nguong; RevenueTTM</t>
  </si>
  <si>
    <t xml:space="preserve">Giả định DN có đủ dữ liệu; RevenueTTM&gt;0. Chủ DN duyệt sàn tối thiểu.</t>
  </si>
  <si>
    <t xml:space="preserve">T2-24</t>
  </si>
  <si>
    <t xml:space="preserve">Mục tiêu và giới hạn trên Miller–Orr</t>
  </si>
  <si>
    <t xml:space="preserve">Độ biến động dòng tiền và chi phí chuyển đổi quyết định vùng kiểm soát.</t>
  </si>
  <si>
    <t xml:space="preserve">σ = STDEV(dòng tiền ròng ngày của DN trong tối đa 3 năm) nếu có ≥90 ngày
Dự phòng nguồn: σ = 0,0478749879778917 × RevenueTTM / SQRT(365)
r = 0,0475/365; F = 1.000.000
S = 3 × (3Fσ²/(4r))^(1/3)
Z=L+S/3; H=L+S=3Z−2L</t>
  </si>
  <si>
    <t xml:space="preserve">Lịch sử tiền ngày; TTM; F; r; cấu hình Nguong</t>
  </si>
  <si>
    <t xml:space="preserve">F01 có 181 ngày đầy đủ nên dùng σ riêng DN; dự phòng ngành là cấu hình phương pháp.</t>
  </si>
  <si>
    <t xml:space="preserve">T2-25</t>
  </si>
  <si>
    <t xml:space="preserve">Màu cảnh báo</t>
  </si>
  <si>
    <t xml:space="preserve">Ưu tiên Đỏ kể cả tiền dương nhưng dưới sàn.</t>
  </si>
  <si>
    <t xml:space="preserve">Đỏ nếu CashEnd &lt; L (bao gồm tiền âm).
Trong [L;H]: không cảnh báo thiếu.
Trên H: tín hiệu thừa riêng.</t>
  </si>
  <si>
    <t xml:space="preserve">T2-09, T2-12, Rmin, Nguong</t>
  </si>
  <si>
    <t xml:space="preserve">Không dùng tỷ lệ thiếu 20%/50% để thay ranh giới Miller–Orr.</t>
  </si>
  <si>
    <t xml:space="preserve">0/1/2/3</t>
  </si>
  <si>
    <t xml:space="preserve">T2-26</t>
  </si>
  <si>
    <t xml:space="preserve">Tiền đầu kỳ cần có</t>
  </si>
  <si>
    <t xml:space="preserve">Khác số thiếu so với tiền đang có.</t>
  </si>
  <si>
    <t xml:space="preserve">Cum_d=Σ In−Σ Out
Nếu có ngày CashEnd&lt;L: NeedToZ=MAX(0;Z−MIN(0;MIN(Cum_d)))
Additional=MAX(0;NeedToZ−Cash0)
Không thiếu: Additional=0
NeedZero=MAX(0;−MIN(0;MIN(Cum_d)))</t>
  </si>
  <si>
    <t xml:space="preserve">Daily ledger; Rtarget</t>
  </si>
  <si>
    <t xml:space="preserve">Ngưỡng không đổi trong ví dụ. Ngưỡng theo ngày: Need = MAX(0; MAX(Rtarget_d − Cum_d)). Không cộng GapBuffer qua ngày.</t>
  </si>
  <si>
    <t xml:space="preserve">T2-27</t>
  </si>
  <si>
    <t xml:space="preserve">Đợt thiếu</t>
  </si>
  <si>
    <t xml:space="preserve">Gom các ngày thiếu liên tiếp thành một đợt.</t>
  </si>
  <si>
    <t xml:space="preserve">Breach_d = CashEnd_d &lt; L
StartFlag_d = Breach_d AND NOT Breach_previous
EpisodeId = tổng StartFlag đến d
Mỗi đợt: ngày đầu/cuối, MinCash, MAX(Z−Cash khi Cash&lt;L), ngày phục hồi về ≥L.</t>
  </si>
  <si>
    <t xml:space="preserve">Daily[]</t>
  </si>
  <si>
    <t xml:space="preserve">Đợt cuối kỳ chưa phục hồi phải ghi ongoing, không gọi ngày cuối là ngày phục hồi.</t>
  </si>
  <si>
    <t xml:space="preserve">Đợt / ngày</t>
  </si>
  <si>
    <t xml:space="preserve">T2-28</t>
  </si>
  <si>
    <t xml:space="preserve">Tín hiệu thừa tiền</t>
  </si>
  <si>
    <t xml:space="preserve">Vượt giới hạn trên là tín hiệu điều chỉnh về Z.</t>
  </si>
  <si>
    <t xml:space="preserve">Surplus_d = IF(CashEnd_d &gt; H; CashEnd_d−Z; 0)
Ghi ngày đầu và mức dư; số ngày liên tiếp chỉ là thông tin.</t>
  </si>
  <si>
    <t xml:space="preserve">Không bắt buộc dư liên tiếp 14 ngày; dùng đúng ranh giới H của nguồn.</t>
  </si>
  <si>
    <t xml:space="preserve">T2-29</t>
  </si>
  <si>
    <t xml:space="preserve">Trạng thái TH</t>
  </si>
  <si>
    <t xml:space="preserve">Thiếu được xét trước dư.</t>
  </si>
  <si>
    <t xml:space="preserve">Base có ít nhất một ngày CashEnd&lt;L → TH01 (Thiếu)
Nếu không thiếu và có ít nhất một ngày CashEnd&gt;H → TH02 (Thừa)
Còn lại → Trong vùng L–H, theo dõi.</t>
  </si>
  <si>
    <t xml:space="preserve">Base daily; T2-28</t>
  </si>
  <si>
    <t xml:space="preserve">Quy ước tổng hợp horizon: ưu tiên thiếu; vẫn lưu trạng thái mỗi ngày. Kịch bản khác Base chỉ tham khảo.</t>
  </si>
  <si>
    <t xml:space="preserve">TH01/02/03</t>
  </si>
  <si>
    <t xml:space="preserve">T2-30</t>
  </si>
  <si>
    <t xml:space="preserve">Ma trận sáu trường hợp</t>
  </si>
  <si>
    <t xml:space="preserve">Ghép hai kết luận độc lập.</t>
  </si>
  <si>
    <t xml:space="preserve">MatrixId = M[2×W_index + cash_column]
W_index = 0/1/2; cash_column = 1 Thiếu / 2 Thừa
Trong [L;H]: không gán ô.</t>
  </si>
  <si>
    <t xml:space="preserve">UC01.W, UC02.TH, snapshot_id</t>
  </si>
  <si>
    <t xml:space="preserve">Giả định luôn đủ dữ liệu. W0 thiếu M1; W1 thiếu M3; W2 thiếu M5.</t>
  </si>
  <si>
    <t xml:space="preserve">M1–M6</t>
  </si>
  <si>
    <t xml:space="preserve">T2-31</t>
  </si>
  <si>
    <t xml:space="preserve">Khối hai tuần</t>
  </si>
  <si>
    <t xml:space="preserve">Bắt cả thiếu giữa khối.</t>
  </si>
  <si>
    <t xml:space="preserve">MinBlock = MIN(CashEnd trong khối)
Thiếu nếu MinBlock&lt;L
Thừa cả khối nếu MinBlock&gt;H
Còn lại trong vùng hoặc hỗn hợp; xem dữ liệu ngày.</t>
  </si>
  <si>
    <t xml:space="preserve">Daily[]; khối 14 ngày, khối cuối 7 ngày</t>
  </si>
  <si>
    <t xml:space="preserve">Hai khối cuối 14+7 chỉ là 21 ngày; nhãn “≥4 tuần” cần kiểm tra đủ 28 ngày.</t>
  </si>
  <si>
    <t xml:space="preserve">VND / nhãn</t>
  </si>
  <si>
    <t xml:space="preserve">T2-32</t>
  </si>
  <si>
    <t xml:space="preserve">Thứ tự dải kịch bản</t>
  </si>
  <si>
    <t xml:space="preserve">So sánh kết quả có cùng phạm vi.</t>
  </si>
  <si>
    <t xml:space="preserve">OptimisticReceipt ≤ BaseReceipt ≤ ConservativeReceipt
APCons ≤ APBase ≤ APOpt
CashOpt_d ≥ CashBase_d ≥ CashCons_d khi cùng ledger
Stress giữ lịch xác nhận</t>
  </si>
  <si>
    <t xml:space="preserve">Ba run-off cùng Cash0, dự trữ và sự kiện</t>
  </si>
  <si>
    <t xml:space="preserve">P25 không luôn ≤ trung bình gia quyền: dùng Opt = MIN(P25; Mean), Cons = MAX(P75; Mean). Continuing có phạm vi khác nên không ép thứ tự.</t>
  </si>
  <si>
    <t xml:space="preserve">Kiểm tra</t>
  </si>
  <si>
    <t xml:space="preserve">T2-33</t>
  </si>
  <si>
    <t xml:space="preserve">Đóng góp vào mức thiếu</t>
  </si>
  <si>
    <t xml:space="preserve">Giải thích bằng khoản thu và chi cụ thể.</t>
  </si>
  <si>
    <t xml:space="preserve">CashAtLow = Cash0 + InToLow − OutToLow
TopOut = sắp khoản chi đến ngày thấp nhất theo tiền
PendingIn = các khoản thu dự kiến sau ngày thấp nhất</t>
  </si>
  <si>
    <t xml:space="preserve">Events có source_id, counterparty, known_at</t>
  </si>
  <si>
    <t xml:space="preserve">Khoản chi lớn là đóng góp số học, chưa chứng minh nguyên nhân gốc; không cộng MoneyAtRisk vào gap.</t>
  </si>
  <si>
    <t xml:space="preserve">VND / danh sách</t>
  </si>
  <si>
    <t xml:space="preserve">T2-34</t>
  </si>
  <si>
    <t xml:space="preserve">06. Chất lượng và bàn giao</t>
  </si>
  <si>
    <t xml:space="preserve">Coverage của sự kiện</t>
  </si>
  <si>
    <t xml:space="preserve">Không làm mất khoản ngoài kỳ hoặc chưa xếp lịch.</t>
  </si>
  <si>
    <t xml:space="preserve">OpenResidual = InHorizon + BeyondHorizon + Unscheduled
PlannedAmount tương tự; các nhóm không trùng</t>
  </si>
  <si>
    <t xml:space="preserve">CashEvents; horizon Start–End</t>
  </si>
  <si>
    <t xml:space="preserve">Thiếu ngày khác ngày sau kỳ. Không kéo khoản sau kỳ về tuần 13.</t>
  </si>
  <si>
    <t xml:space="preserve">T2-35</t>
  </si>
  <si>
    <t xml:space="preserve">Cảnh báo và nguyên nhân tách biệt</t>
  </si>
  <si>
    <t xml:space="preserve">Không để W thay màu forecast.</t>
  </si>
  <si>
    <t xml:space="preserve">Warning = f(CashEnd,L)
CashState = f(CashEnd,L,H)
W = f(working-capital inputs)
Không cộng MoneyAtRisk vào thu tiền.</t>
  </si>
  <si>
    <t xml:space="preserve">Cùng snapshot, firm_id và run_id</t>
  </si>
  <si>
    <t xml:space="preserve">Chỉ dùng số của tool cùng lượt; LLM không tự tính thêm.</t>
  </si>
  <si>
    <t xml:space="preserve">Object</t>
  </si>
  <si>
    <t xml:space="preserve">T2-36</t>
  </si>
  <si>
    <t xml:space="preserve">Quy tắc thời gian và dữ liệu</t>
  </si>
  <si>
    <t xml:space="preserve">Kỳ chẩn đoán khác kỳ dự báo.</t>
  </si>
  <si>
    <t xml:space="preserve">Start = AsOf +1
End = AsOf +7×H
H =13 →91 ngày
Ngày đầu: 01/07/2026; ngày cuối: 29/09/2026</t>
  </si>
  <si>
    <t xml:space="preserve">D_F01.AsOf, HorizonWeeks</t>
  </si>
  <si>
    <t xml:space="preserve">Không dùng N=181 làm horizon. KnownAt phải ≤AsOf.</t>
  </si>
  <si>
    <t xml:space="preserve">T2-37</t>
  </si>
  <si>
    <t xml:space="preserve">Trạng thái dữ liệu</t>
  </si>
  <si>
    <t xml:space="preserve">Phân biệt giả định đủ dữ liệu với kiểm soát quyền và nguồn.</t>
  </si>
  <si>
    <t xml:space="preserve">Giả định doanh nghiệp luôn tải đủ dữ liệu; phân lớp W và tiền luôn tính được.
Giữ kiểm soát quyền truy cập, snapshot, thời điểm biết dữ liệu và chống trùng.</t>
  </si>
  <si>
    <t xml:space="preserve">Nguồn, validation, manifest</t>
  </si>
  <si>
    <t xml:space="preserve">Dữ liệu F01 vẫn ghi provisional vì là dữ liệu tạo sinh, không có trạng thái W chưa xác định.</t>
  </si>
  <si>
    <t xml:space="preserve">Enum</t>
  </si>
  <si>
    <t xml:space="preserve">UC03 So khớp phương án tài trợ</t>
  </si>
  <si>
    <t xml:space="preserve">T3-01</t>
  </si>
  <si>
    <t xml:space="preserve">01. Khoảng thiếu và đợt cần tiền</t>
  </si>
  <si>
    <t xml:space="preserve">Mức thiếu theo khối 2 tuần</t>
  </si>
  <si>
    <t xml:space="preserve">Cho biết mỗi khối 2 tuần thiếu bao nhiêu so với mức dự trữ muốn giữ.</t>
  </si>
  <si>
    <t xml:space="preserve">Deficit_k = IF(MinDaily_k &lt; L; Z−MinDaily_k; 0)
k là khối 2 tuần trong 13 tuần.</t>
  </si>
  <si>
    <t xml:space="preserve">UC02: Rtarget; MinDaily theo khối (T2-13)</t>
  </si>
  <si>
    <t xml:space="preserve">Chỉ khối có ngày dưới L mới tạo nhu cầu; số tiền điều chỉnh đưa về Z.</t>
  </si>
  <si>
    <t xml:space="preserve">Không cộng Deficit_k qua các khối. Chưa phải số tiền cần vay.</t>
  </si>
  <si>
    <t xml:space="preserve">T3-02</t>
  </si>
  <si>
    <t xml:space="preserve">Ngưỡng đổi mức và mức trọng yếu</t>
  </si>
  <si>
    <t xml:space="preserve">Lọc nhiễu: chỉ coi là đổi mức khi chênh lệch đủ lớn và giữ đủ lâu.</t>
  </si>
  <si>
    <t xml:space="preserve">θ = Rtarget × PARAM_THETA_PCT
Is_Material_Gap = 1 nếu |ΔDeficit| ≥ θ VÀ mức mới giữ ≥ PARAM_MIN_DAYS ngày; ngược lại 0</t>
  </si>
  <si>
    <t xml:space="preserve">T3-01; PARAM_THETA_PCT (25%); PARAM_MIN_DAYS (14)</t>
  </si>
  <si>
    <t xml:space="preserve">So hai khối liền kề; mức không giữ đủ 14 ngày gộp vào mức trước.</t>
  </si>
  <si>
    <t xml:space="preserve">VND; ngày</t>
  </si>
  <si>
    <t xml:space="preserve">Dao động nhỏ hoặc xen kẽ bị coi là nhiễu, không tạo đợt mới.</t>
  </si>
  <si>
    <t xml:space="preserve">T3-03</t>
  </si>
  <si>
    <t xml:space="preserve">Dạng khoảng thiếu (gap_shape)</t>
  </si>
  <si>
    <t xml:space="preserve">Phân loại đường thiếu theo số lần đổi mức: tối đa một lần.</t>
  </si>
  <si>
    <t xml:space="preserve">Đếm n = số lần Is_Material_Gap = 1 trong kỳ
n = 0 → đồng đều
n = 1 và mức tăng → tăng một lần
n = 1 và mức giảm → giảm một lần
n ≥ 2 → không phân loại được</t>
  </si>
  <si>
    <t xml:space="preserve">Chỉ TH01 tạo khoảng cần tài trợ; TH02 là thừa tiền; trong vùng L–H tiếp tục theo dõi.</t>
  </si>
  <si>
    <t xml:space="preserve">enum</t>
  </si>
  <si>
    <t xml:space="preserve">n ≥ 2: dùng mức thiếu lớn nhất cho cả kỳ và gắn cờ REVIEW_MANUAL. Không mô hình hóa bật tắt xen kẽ.</t>
  </si>
  <si>
    <t xml:space="preserve">T3-04</t>
  </si>
  <si>
    <t xml:space="preserve">Cắt đợt cần tiền (gap_request)</t>
  </si>
  <si>
    <t xml:space="preserve">Đổi đường thiếu thành tối đa 2 đợt có ngày và số tiền cần.</t>
  </si>
  <si>
    <t xml:space="preserve">Đồng đều/giảm một lần: need_date = ngày đầu CashEnd&lt;L; G_cum là mức điều chỉnh lớn nhất về Z.
Tăng một lần: tối đa 2 đợt; G_incr_j=G_cum_j−G_cum_(j−1).</t>
  </si>
  <si>
    <t xml:space="preserve">UC02: gap_shape, gap_request; T3-03</t>
  </si>
  <si>
    <t xml:space="preserve">Mỗi đợt có need_date và G_cum; G_incr đợt 1 = G_cum đợt 1.</t>
  </si>
  <si>
    <t xml:space="preserve">Giảm một lần: kỳ hạn chỉ cần phủ đến ngày chuyển mức. Hóa đơn hoặc lô đã dùng ở đợt 1 bị loại khỏi đợt 2.</t>
  </si>
  <si>
    <t xml:space="preserve">T3-05</t>
  </si>
  <si>
    <t xml:space="preserve">Mức nhẹ / nặng của khoảng thiếu</t>
  </si>
  <si>
    <t xml:space="preserve">Phân nhẹ hoặc nặng để chọn cách xử lý.</t>
  </si>
  <si>
    <t xml:space="preserve">gap_severity = NẶNG nếu PeakGap ≥ θ; NHẸ nếu nhỏ hơn</t>
  </si>
  <si>
    <t xml:space="preserve">T3-02; PeakGap của đợt</t>
  </si>
  <si>
    <t xml:space="preserve">Tính riêng từng đợt.</t>
  </si>
  <si>
    <t xml:space="preserve">Ngưỡng dùng chung với T3-02.</t>
  </si>
  <si>
    <t xml:space="preserve">T3-06</t>
  </si>
  <si>
    <t xml:space="preserve">Số ngày còn lại và chế độ Khẩn</t>
  </si>
  <si>
    <t xml:space="preserve">Còn bao nhiêu ngày đến lúc cần tiền; sát hạn thì ưu tiên tiền nhanh nhất.</t>
  </si>
  <si>
    <t xml:space="preserve">DaysLeft = need_date − ngày yêu cầu
Urgent_Mode = 1 nếu DaysLeft ≤ PARAM_URGENT_DAYS (7)</t>
  </si>
  <si>
    <t xml:space="preserve">gap_request; PARAM_URGENT_DAYS</t>
  </si>
  <si>
    <t xml:space="preserve">Tính riêng từng đợt; ngày yêu cầu là ngày chạy UC03.</t>
  </si>
  <si>
    <t xml:space="preserve">Ngày; 0/1</t>
  </si>
  <si>
    <t xml:space="preserve">DaysLeft ≤ 0: không có nguồn nào kịp ngoài tiền nội bộ; hiển thị “không kịp ngày cần tiền”.</t>
  </si>
  <si>
    <t xml:space="preserve">T3-07</t>
  </si>
  <si>
    <t xml:space="preserve">Thời gian thiếu kéo dài (duration)</t>
  </si>
  <si>
    <t xml:space="preserve">Số ngày khoảng thiếu còn tồn tại kể từ ngày cần tiền; dùng để tính chi phí thực.</t>
  </si>
  <si>
    <t xml:space="preserve">duration_j tính từ need_date đến ngày cuối CashEnd&lt;L; giảm một lần tính đến ngày chuyển mức.</t>
  </si>
  <si>
    <t xml:space="preserve">UC02: daily[]</t>
  </si>
  <si>
    <t xml:space="preserve">Từng đợt.</t>
  </si>
  <si>
    <t xml:space="preserve">duration &lt; PARAM_MIN_TENOR (14): loại sản phẩm khóa kỳ hạn hoặc có phí cố định, ưu tiên tiền nội bộ và giãn lịch.</t>
  </si>
  <si>
    <t xml:space="preserve">T3-08</t>
  </si>
  <si>
    <t xml:space="preserve">02. Yếu tố góp phần và kịch bản</t>
  </si>
  <si>
    <t xml:space="preserve">Tỷ lệ tham chiếu của yếu tố góp phần</t>
  </si>
  <si>
    <t xml:space="preserve">Dùng để định tuyến kịch bản, không phải phần thiếu do yếu tố gây ra.</t>
  </si>
  <si>
    <t xml:space="preserve">Share_k = MIN(100%; số tiền yếu tố k / PeakGap), k ∈ {E_AR, E_INV, E_AP}
Vai trò: CHÍNH nếu ≥ PARAM_CAUSE_MAIN (50%); PHỤ nếu ≥ PARAM_CAUSE_SEC (15%); còn lại BỎ QUA</t>
  </si>
  <si>
    <t xml:space="preserve">UC01: E_AR, E_INV, E_AP; PeakGap</t>
  </si>
  <si>
    <t xml:space="preserve">Số tiền yếu tố là số tham chiếu, không cộng được (SRS 2.7.11.9).</t>
  </si>
  <si>
    <t xml:space="preserve">Tỷ lệ; 1 số lẻ%</t>
  </si>
  <si>
    <t xml:space="preserve">Với người dùng chỉ nói “yếu tố góp phần” kèm loại liên kết và mức bằng chứng; candidate phải gắn “chưa kiểm chứng”. Không gọi là nguyên nhân chính.</t>
  </si>
  <si>
    <t xml:space="preserve">T3-09</t>
  </si>
  <si>
    <t xml:space="preserve">Sự kiện trọng yếu</t>
  </si>
  <si>
    <t xml:space="preserve">Nhận biết khoản chi hoặc nhập NVL lớn làm mức thiếu tăng vọt.</t>
  </si>
  <si>
    <t xml:space="preserve">Major_Event = 1 nếu giá trị khoản đơn lẻ / PeakGap ≥ PARAM_MAJOR_EVENT (30%)</t>
  </si>
  <si>
    <t xml:space="preserve">cash_events OUT; PeakGap</t>
  </si>
  <si>
    <t xml:space="preserve">Trong ±7 ngày quanh ngày chuyển mức.</t>
  </si>
  <si>
    <t xml:space="preserve">Không có sự kiện nào: ghi “đổi mức không gắn được sự kiện”.</t>
  </si>
  <si>
    <t xml:space="preserve">T3-10</t>
  </si>
  <si>
    <t xml:space="preserve">Chọn kịch bản một đợt A1–A4</t>
  </si>
  <si>
    <t xml:space="preserve">Chọn nhóm nguồn theo yếu tố chính của khoảng thiếu.</t>
  </si>
  <si>
    <t xml:space="preserve">Không chuỗi gap (TH01):
main = AR → A1; main = INV → A2; main = AP → A4; còn lại (BN0, L3) → A3</t>
  </si>
  <si>
    <t xml:space="preserve">UC01: main_bottleneck, bn_pattern; T3-08</t>
  </si>
  <si>
    <t xml:space="preserve">Chỉ TH01 và chưa thỏa điều kiện chuỗi gap ở T3-11.</t>
  </si>
  <si>
    <t xml:space="preserve">Yếu tố PHỤ mở thêm nhóm sản phẩm nhưng không đổi kịch bản.</t>
  </si>
  <si>
    <t xml:space="preserve">T3-11</t>
  </si>
  <si>
    <t xml:space="preserve">Chuỗi gap B1 / B2</t>
  </si>
  <si>
    <t xml:space="preserve">Thiếu kéo dài mang tính cấu trúc nên cần gói đa nguồn.</t>
  </si>
  <si>
    <t xml:space="preserve">Persistent = 1 nếu TH01 và số khối thiếu liên tiếp ≥ min_blocks (2)
Persistent = 1: B2 nếu (W2 và n_yếu_tố ≥ 2) HOẶC BestC &lt; G
B1 nếu n_yếu_tố &gt; 0, không có yếu tố tồn kho và mọi liên kết L1
Còn lại B2</t>
  </si>
  <si>
    <t xml:space="preserve">UC02: số khối; UC01: W, bn_pattern, loại liên kết; BestC = MAX C của nguồn qua lọc và kịp hạn</t>
  </si>
  <si>
    <t xml:space="preserve">n_yếu_tố = c_AR + c_INV + c_AP.</t>
  </si>
  <si>
    <t xml:space="preserve">Thay cách chọn B1/B2 ở phiên bản trước; khớp bộ tính tham chiếu.</t>
  </si>
  <si>
    <t xml:space="preserve">T3-12</t>
  </si>
  <si>
    <t xml:space="preserve">Nhóm xử lý theo kịch bản</t>
  </si>
  <si>
    <t xml:space="preserve">Nhóm sản phẩm được xếp trước khi còn thời gian.</t>
  </si>
  <si>
    <t xml:space="preserve">Ưu tiên tiền nội bộ khả dụng trước; các nguồn ngoài theo ô:
M1: vay ngắn hạn
M3: thu phải thu → giãn NCC
M5: phải thu → tồn kho → giãn NCC → vay
Sau đó lọc điều kiện và thời gian có tiền.</t>
  </si>
  <si>
    <t xml:space="preserve">T3-10; T3-11; nhóm sản phẩm</t>
  </si>
  <si>
    <t xml:space="preserve">Hạn mức CL không thuộc nhóm nguyên nhân nên chỉ xếp theo tốc độ.</t>
  </si>
  <si>
    <t xml:space="preserve">Cause_Match = 1 nếu nhóm sản phẩm thuộc nhóm kịch bản hoặc thuộc nhóm của yếu tố phụ.</t>
  </si>
  <si>
    <t xml:space="preserve">T3-13</t>
  </si>
  <si>
    <t xml:space="preserve">03. Điều kiện và số tiền từng nguồn</t>
  </si>
  <si>
    <t xml:space="preserve">Tiền nội bộ (bước 0)</t>
  </si>
  <si>
    <t xml:space="preserve">Tiền doanh nghiệp tự điều chuyển ngay, chi phí 0.</t>
  </si>
  <si>
    <t xml:space="preserve">C_NB = MIN(NB_amount; CashAvailable)
CashAvailable = tổng tiền − restricted_cash</t>
  </si>
  <si>
    <t xml:space="preserve">D_F01; cash_snapshot; restricted_cash</t>
  </si>
  <si>
    <t xml:space="preserve">Nằm trong SafeCash tính từ ngày dùng t0; luôn đứng đầu gói nếu có.</t>
  </si>
  <si>
    <t xml:space="preserve">Tiền ký quỹ, phong tỏa không dùng làm tiền nội bộ.</t>
  </si>
  <si>
    <t xml:space="preserve">T3-14</t>
  </si>
  <si>
    <t xml:space="preserve">Giãn thanh toán nhà cung cấp (O1)</t>
  </si>
  <si>
    <t xml:space="preserve">Số tiền chưa phải trả ngay nếu nhà cung cấp đồng ý.</t>
  </si>
  <si>
    <t xml:space="preserve">AP_EXT_Eligible = 0 nếu nhà cung cấp thiết yếu/độc quyền HOẶC tỷ trọng mua ≥ PARAM_KEY_PARTNER (30%); ngược lại 1
C_APX = MIN(ext_amount; khoản đến hạn trong duration) × AP_EXT_Eligible
Số ngày giãn ≤ khung EXT (15–30 ngày) và ≤ duration</t>
  </si>
  <si>
    <t xml:space="preserve">UC01: nhãn nhà cung cấp; E_AP; r_disc</t>
  </si>
  <si>
    <t xml:space="preserve">Nhà cung cấp có E_AP &gt; 0 không giãn tiếp.</t>
  </si>
  <si>
    <t xml:space="preserve">Giãn ≥ lùi gap sang đoạn sau: kiểm shifted_risk (T3-37). Cần nhà cung cấp đồng ý nên độ chắc chắn Thấp.</t>
  </si>
  <si>
    <t xml:space="preserve">T3-15</t>
  </si>
  <si>
    <t xml:space="preserve">Hạn mức tín dụng còn trống (O2)</t>
  </si>
  <si>
    <t xml:space="preserve">Số tiền rút thêm được từ hạn mức.</t>
  </si>
  <si>
    <t xml:space="preserve">Headroom = MAX(0; limit_approved − drawn_amount − blocked_amount)
C_CL = Headroom</t>
  </si>
  <si>
    <t xml:space="preserve">committed_limit; drawn_amount; blocked_amount</t>
  </si>
  <si>
    <t xml:space="preserve">Mỗi hạn mức dùng một lần trong phiên; phần đã rút ở đợt 1 trừ khỏi hạn mức đợt 2.</t>
  </si>
  <si>
    <t xml:space="preserve">Hạn mức dùng chung giữa nhiều sản phẩm chưa mô hình hóa: nhập hạn mức còn trống đã trừ phần dùng chung.</t>
  </si>
  <si>
    <t xml:space="preserve">T3-16</t>
  </si>
  <si>
    <t xml:space="preserve">Tài trợ hóa đơn RF và FAC (O2)</t>
  </si>
  <si>
    <t xml:space="preserve">Số tiền ứng trước trên hóa đơn khách hàng đủ điều kiện.</t>
  </si>
  <si>
    <t xml:space="preserve">C_inv = MIN(giá trị hóa đơn; buyer_program_headroom) × advance_rate
Đủ điều kiện: người mua thuộc danh sách trắng MST; disputed ≠ Y; không quá hạn kéo dài &gt; 30 ngày</t>
  </si>
  <si>
    <t xml:space="preserve">D_sales; Bảng sản phẩm; UC01: nhãn khách hàng</t>
  </si>
  <si>
    <t xml:space="preserve">RF cần người mua trong chương trình; FAC kiểm late_pos_wavg và collect_days_wavg.</t>
  </si>
  <si>
    <t xml:space="preserve">room = 0 → PROGRAM_HEADROOM_EXHAUSTED, chuyển sang FAC hoặc INV_LOAN. Một hóa đơn chỉ dùng cho một sản phẩm.</t>
  </si>
  <si>
    <t xml:space="preserve">T3-17</t>
  </si>
  <si>
    <t xml:space="preserve">Vay bảo đảm bằng tồn kho (O2)</t>
  </si>
  <si>
    <t xml:space="preserve">Số tiền vay trên lô hàng sở hữu hợp lệ.</t>
  </si>
  <si>
    <t xml:space="preserve">C_loan = giá trị lô × appraisal_ratio × advance_rate
appraisal_ratio mặc định 1</t>
  </si>
  <si>
    <t xml:space="preserve">D_inventory; Bảng sản phẩm; collateral_j</t>
  </si>
  <si>
    <t xml:space="preserve">Lô không cầm cố, không loại trừ hoặc đơn hủy.</t>
  </si>
  <si>
    <t xml:space="preserve">Sức mạnh thế chấp và tiền bán xả là hai chỉ số riêng, không cộng với nhau.</t>
  </si>
  <si>
    <t xml:space="preserve">T3-18</t>
  </si>
  <si>
    <t xml:space="preserve">Bán tồn kho (O3)</t>
  </si>
  <si>
    <t xml:space="preserve">Số tiền thu về nếu bán xả lô tồn lâu.</t>
  </si>
  <si>
    <t xml:space="preserve">C_sale = giá trị lô × (1 − haircut)
TOO_SLOW nếu days_to_fund &gt; DaysLeft</t>
  </si>
  <si>
    <t xml:space="preserve">D_inventory; haircut; days_to_fund</t>
  </si>
  <si>
    <t xml:space="preserve">Chỉ lô tồn lâu nhóm HH/TP/HGC bán được; NVL/BTP tái sử dụng là giai đoạn 2.</t>
  </si>
  <si>
    <t xml:space="preserve">Không ghi tái sử dụng tồn kho là tiền thu; chỉ là giảm chi mua mới.</t>
  </si>
  <si>
    <t xml:space="preserve">T3-19</t>
  </si>
  <si>
    <t xml:space="preserve">Thu tiền khách sớm (O4)</t>
  </si>
  <si>
    <t xml:space="preserve">Số tiền thu sớm sau chiết khấu thanh toán sớm.</t>
  </si>
  <si>
    <t xml:space="preserve">C_AR = giá trị hóa đơn × (1 − discount)
Eligible = khách Mới/Thường xuyên, không Chiến lược, disputed ≠ Y</t>
  </si>
  <si>
    <t xml:space="preserve">D_sales; UC01: bậc can thiệp</t>
  </si>
  <si>
    <t xml:space="preserve">Khách bậc can thiệp 1 chỉ nhắc nhở, không chiết khấu. Khách Lớn ≥ 30% chuyển cấp quản lý.</t>
  </si>
  <si>
    <t xml:space="preserve">Khách không đồng ý thì không có tiền; độ chắc chắn Trung bình, hạ xuống Thấp nếu trả chậm thường xuyên (late_pos_wavg &gt; 10).</t>
  </si>
  <si>
    <t xml:space="preserve">T3-20</t>
  </si>
  <si>
    <t xml:space="preserve">Lọc cứng và mã lý do loại</t>
  </si>
  <si>
    <t xml:space="preserve">Loại nguồn không dùng được và ghi rõ lý do.</t>
  </si>
  <si>
    <t xml:space="preserve">Hard_Pass = NOT(pledged) VÀ NOT(Strategic_or_Critical) VÀ data_ok VÀ C &gt; 0 VÀ NOT(disputed với FAC/RF/AR_EARLY) VÀ room &gt; 0
reason_code: PLEDGED; STRATEGIC_OR_CRITICAL; DISPUTED; PROGRAM_HEADROOM_EXHAUSTED; NO_PRODUCT_DATA; NO_NET_CASH; OUT_OF_SCENARIO; TOO_SLOW; BELOW_MIN_DRAW</t>
  </si>
  <si>
    <t xml:space="preserve">T3-13 – T3-19; nhãn UC01</t>
  </si>
  <si>
    <t xml:space="preserve">Không thuộc nhóm kịch bản: OUT_OF_SCENARIO. Không về kịp: TOO_SLOW (hiển thị nhưng không vào gói).</t>
  </si>
  <si>
    <t xml:space="preserve">Mọi nguồn bị loại phải có reason_code trong excluded[].</t>
  </si>
  <si>
    <t xml:space="preserve">T3-21</t>
  </si>
  <si>
    <t xml:space="preserve">04. Chi phí</t>
  </si>
  <si>
    <t xml:space="preserve">Chi phí sản phẩm trả trước được (early_repay = 1)</t>
  </si>
  <si>
    <t xml:space="preserve">Chi phí chỉ tính cho số ngày thực sự cần.</t>
  </si>
  <si>
    <t xml:space="preserve">Cost = C × rate × MIN(hold; duration) / 365 + C × fee_pct + fee_flat
Áp dụng: hạn mức, vay bảo đảm tồn kho, giãn lịch, thu sớm</t>
  </si>
  <si>
    <t xml:space="preserve">Bảng sản phẩm: rate, fee_pct, fee_flat, hold; T3-07</t>
  </si>
  <si>
    <t xml:space="preserve">duration của đợt đang xét.</t>
  </si>
  <si>
    <t xml:space="preserve">Thu sớm: fee_pct là chiết khấu thanh toán sớm. Giãn lịch: chi phí 0 trừ khi mất chiết khấu hoặc bị phạt.</t>
  </si>
  <si>
    <t xml:space="preserve">T3-22</t>
  </si>
  <si>
    <t xml:space="preserve">Chi phí sản phẩm khóa kỳ hạn (early_repay = 0)</t>
  </si>
  <si>
    <t xml:space="preserve">Bao thanh toán và tài trợ chuỗi đảo ngược phải trả đủ kỳ hạn.</t>
  </si>
  <si>
    <t xml:space="preserve">Cost = C × rate × hold / 365 + C × fee_pct + fee_flat
covers_duration = (hold ≥ duration)
Nếu hold &lt; duration: cờ NOT_COVERING_DURATION</t>
  </si>
  <si>
    <t xml:space="preserve">Bảng sản phẩm; T3-07</t>
  </si>
  <si>
    <t xml:space="preserve">RF, FAC.</t>
  </si>
  <si>
    <t xml:space="preserve">VND; cờ</t>
  </si>
  <si>
    <t xml:space="preserve">Cờ kèm gợi ý gia hạn hoặc bổ sung nguồn; không tự thêm nguồn.</t>
  </si>
  <si>
    <t xml:space="preserve">T3-23</t>
  </si>
  <si>
    <t xml:space="preserve">Chi phí bán xả</t>
  </si>
  <si>
    <t xml:space="preserve">Mất giá khi bán nhanh.</t>
  </si>
  <si>
    <t xml:space="preserve">Cost_sale = giá trị lô × haircut + fee_flat</t>
  </si>
  <si>
    <t xml:space="preserve">D_inventory; haircut</t>
  </si>
  <si>
    <t xml:space="preserve">INV_SALE.</t>
  </si>
  <si>
    <t xml:space="preserve">Haircut theo tuổi tồn; số liệu giả định.</t>
  </si>
  <si>
    <t xml:space="preserve">T3-24</t>
  </si>
  <si>
    <t xml:space="preserve">Chi phí theo phần rút</t>
  </si>
  <si>
    <t xml:space="preserve">Chỉ tính chi phí cho phần thật sự rút.</t>
  </si>
  <si>
    <t xml:space="preserve">Cost_draw = Cost × Draw / C</t>
  </si>
  <si>
    <t xml:space="preserve">T3-21 – T3-23; T3-32</t>
  </si>
  <si>
    <t xml:space="preserve">Draw ≤ C.</t>
  </si>
  <si>
    <t xml:space="preserve">Làm tròn chỉ ở bước hiển thị.</t>
  </si>
  <si>
    <t xml:space="preserve">T3-25</t>
  </si>
  <si>
    <t xml:space="preserve">Chi phí trên khoảng thiếu</t>
  </si>
  <si>
    <t xml:space="preserve">So sánh chi phí giữa các nguồn trên cùng phần cần bù.</t>
  </si>
  <si>
    <t xml:space="preserve">CostPerGap = ROUND_HALF_UP(Cost / MIN(C; G); 4)</t>
  </si>
  <si>
    <t xml:space="preserve">T3-21 – T3-23; G của đợt</t>
  </si>
  <si>
    <t xml:space="preserve">C &gt; 0.</t>
  </si>
  <si>
    <t xml:space="preserve">Tỷ lệ 4 chữ số</t>
  </si>
  <si>
    <t xml:space="preserve">Dùng ở bậc 5 của khóa xếp hạng.</t>
  </si>
  <si>
    <t xml:space="preserve">T3-26</t>
  </si>
  <si>
    <t xml:space="preserve">05. Xếp hạng và dựng gói</t>
  </si>
  <si>
    <t xml:space="preserve">Kịp hạn</t>
  </si>
  <si>
    <t xml:space="preserve">Nguồn phải có tiền trước ngày cần.</t>
  </si>
  <si>
    <t xml:space="preserve">Timely = 1 nếu days_to_fund ≤ DaysLeft</t>
  </si>
  <si>
    <t xml:space="preserve">Bảng sản phẩm; T3-06</t>
  </si>
  <si>
    <t xml:space="preserve">Timely = 0: xếp cuối, ghi TOO_SLOW, không vào gói.</t>
  </si>
  <si>
    <t xml:space="preserve">T3-27</t>
  </si>
  <si>
    <t xml:space="preserve">Khớp nguyên nhân</t>
  </si>
  <si>
    <t xml:space="preserve">Ưu tiên nguồn xử lý đúng gốc rễ khi còn thời gian.</t>
  </si>
  <si>
    <t xml:space="preserve">Cause_Match = 1 nếu nhóm sản phẩm thuộc nhóm xử lý (T3-12)
Chế độ Khẩn (Urgent_Mode = 1): bỏ tiêu chí này</t>
  </si>
  <si>
    <t xml:space="preserve">T3-12; T3-06</t>
  </si>
  <si>
    <t xml:space="preserve">Chế độ Thường mới dùng.</t>
  </si>
  <si>
    <t xml:space="preserve">Khi sát hạn, tiền nhanh nhất quyết định.</t>
  </si>
  <si>
    <t xml:space="preserve">T3-28</t>
  </si>
  <si>
    <t xml:space="preserve">Dải tốc độ</t>
  </si>
  <si>
    <t xml:space="preserve">Gom ngày về tiền thành ba dải.</t>
  </si>
  <si>
    <t xml:space="preserve">S1 nếu days_to_fund ≤ 3; S2 nếu 4–10; S3 nếu &gt; 10</t>
  </si>
  <si>
    <t xml:space="preserve">days_to_fund</t>
  </si>
  <si>
    <t xml:space="preserve">Dải nhỏ xếp trước.</t>
  </si>
  <si>
    <t xml:space="preserve">S1/S2/S3</t>
  </si>
  <si>
    <t xml:space="preserve">Tránh phân biệt thừa giữa 1 ngày và 2 ngày.</t>
  </si>
  <si>
    <t xml:space="preserve">T3-29</t>
  </si>
  <si>
    <t xml:space="preserve">Độ chắc chắn</t>
  </si>
  <si>
    <t xml:space="preserve">Mức tin cậy nguồn thành hiện thực.</t>
  </si>
  <si>
    <t xml:space="preserve">Cao: tiền nội bộ, hạn mức còn trống
Trung bình: RF, FAC, vay bảo đảm, thu sớm
Thấp: giãn lịch, bán xả
model_health = degraded: mọi nguồn về Thấp</t>
  </si>
  <si>
    <t xml:space="preserve">Bảng sản phẩm; UC02: model_health</t>
  </si>
  <si>
    <t xml:space="preserve">Cao → Trung bình → Thấp.</t>
  </si>
  <si>
    <t xml:space="preserve">Cao / Trung bình / Thấp</t>
  </si>
  <si>
    <t xml:space="preserve">Giá trị theo sản phẩm là giả định, cần xác nhận với đối tác.</t>
  </si>
  <si>
    <t xml:space="preserve">T3-30</t>
  </si>
  <si>
    <t xml:space="preserve">Ảnh hưởng quan hệ</t>
  </si>
  <si>
    <t xml:space="preserve">Ưu tiên nguồn ít ảnh hưởng đối tác.</t>
  </si>
  <si>
    <t xml:space="preserve">Rel = 0 không ảnh hưởng; 1 nhẹ; 2 nhà cung cấp thiết yếu hoặc khách chiến lược</t>
  </si>
  <si>
    <t xml:space="preserve">UC01 nhãn; Bảng sản phẩm</t>
  </si>
  <si>
    <t xml:space="preserve">Điểm thấp xếp trước.</t>
  </si>
  <si>
    <t xml:space="preserve">Điểm 2 đã bị loại cứng ở T3-20 trừ khi người dùng ghi đè kèm lý do.</t>
  </si>
  <si>
    <t xml:space="preserve">T3-31</t>
  </si>
  <si>
    <t xml:space="preserve">Khóa xếp hạng</t>
  </si>
  <si>
    <t xml:space="preserve">Thứ tự so sánh từng cấp, kết quả lặp lại được.</t>
  </si>
  <si>
    <t xml:space="preserve">Xếp theo: kịp hạn → ưu tiên ô M → tốc độ → độ chắc chắn → chi phí → ảnh hưởng quan hệ → mã.
Chế độ Khẩn ưu tiên tốc độ trước nhóm giải pháp, vẫn không bỏ lọc cứng.</t>
  </si>
  <si>
    <t xml:space="preserve">T3-25 – T3-30</t>
  </si>
  <si>
    <t xml:space="preserve">Chỉ nguồn qua lọc cứng và thuộc phạm vi kịch bản.</t>
  </si>
  <si>
    <t xml:space="preserve">Thứ hạng 1..n</t>
  </si>
  <si>
    <t xml:space="preserve">Không dùng điểm cộng trọng số (Tier×1000 + Speed×10 + CostPerGap) vì CostPerGap gần như không ảnh hưởng. Bỏ Tier 0/1 theo “một nguồn đủ tiền”.</t>
  </si>
  <si>
    <t xml:space="preserve">T3-32</t>
  </si>
  <si>
    <t xml:space="preserve">Dựng gói cho từng đợt</t>
  </si>
  <si>
    <t xml:space="preserve">Ghép các nguồn theo thứ hạng cho đến khi đủ.</t>
  </si>
  <si>
    <t xml:space="preserve">MinDraw = G × PARAM_MIN_DRAW_PCT (5%)
Duyệt theo thứ hạng; Draw_i = MIN(C_i; G_còn)
Nguồn có C_i &lt; MinDraw bị loại (BELOW_MIN_DRAW)
Tối đa 2 nguồn mỗi phương án, tối đa PARAM_MAX_SOURCES (4) nguồn mỗi gói
Tiền nội bộ đứng đầu nếu có</t>
  </si>
  <si>
    <t xml:space="preserve">T3-31; T3-13 – T3-19</t>
  </si>
  <si>
    <t xml:space="preserve">Một đối tượng chỉ dùng một lần; dừng khi tổng rút ≥ G.</t>
  </si>
  <si>
    <t xml:space="preserve">Phần còn thiếu cuối &lt; MinDraw được cộng vào nguồn đã chọn còn dư năng lực.</t>
  </si>
  <si>
    <t xml:space="preserve">T3-33</t>
  </si>
  <si>
    <t xml:space="preserve">Phần phủ và phần còn thiếu</t>
  </si>
  <si>
    <t xml:space="preserve">Đợt đã được phủ bao nhiêu, còn thiếu bao nhiêu.</t>
  </si>
  <si>
    <t xml:space="preserve">covered_j = Σ Draw_i
remaining_gap_j = MAX(0; G_incr_j − covered_j)
Tổng phiên: totals.draw = Σ covered; totals.cost = Σ Cost_draw; totals.remaining_gap = Σ remaining_gap</t>
  </si>
  <si>
    <t xml:space="preserve">Từng đợt, rồi cộng cả phiên.</t>
  </si>
  <si>
    <t xml:space="preserve">Hết nguồn vẫn thiếu: hiển thị remaining_gap, đề xuất con đường thủ công; UC03 không tự bù.</t>
  </si>
  <si>
    <t xml:space="preserve">T3-34</t>
  </si>
  <si>
    <t xml:space="preserve">06. Thừa tiền và kiểm soát</t>
  </si>
  <si>
    <t xml:space="preserve">Lãi suất ngầm của chiết khấu thanh toán sớm</t>
  </si>
  <si>
    <t xml:space="preserve">So chiết khấu nhà cung cấp với chi phí vay.</t>
  </si>
  <si>
    <t xml:space="preserve">r_disc = d / (1 − d) × 365 / (T − k)
d = tỷ lệ chiết khấu; T = hạn trả thường; k = số ngày trả trước</t>
  </si>
  <si>
    <t xml:space="preserve">UC01: điều khoản nhà cung cấp</t>
  </si>
  <si>
    <t xml:space="preserve">d = 2%, T − k = 20 ngày → 37,2%/năm; d = 1% → 18,4%/năm.</t>
  </si>
  <si>
    <t xml:space="preserve">%/năm; 1 số lẻ</t>
  </si>
  <si>
    <t xml:space="preserve">Chỉ trích 37,2% cho d = 2%.</t>
  </si>
  <si>
    <t xml:space="preserve">T3-35</t>
  </si>
  <si>
    <t xml:space="preserve">Quyết định trả sớm (DD)</t>
  </si>
  <si>
    <t xml:space="preserve">Trả sớm chỉ khi lợi hơn chi phí tiền.</t>
  </si>
  <si>
    <t xml:space="preserve">Chỉ M2 (W0, thừa) xem xét đầu tư ngắn hạn trong giới hạn tiền an toàn.
M4/M6 (W1/W2, thừa): giữ làm dự trữ, xử lý điểm nghẽn.
Chiết khấu thanh toán sớm chỉ là phép so sánh, chưa thay ưu tiên nguồn.</t>
  </si>
  <si>
    <t xml:space="preserve">T3-34; SafeCash (UC02); lãi vay</t>
  </si>
  <si>
    <t xml:space="preserve">Không tự đề xuất trả sớm chỉ vì đang thừa tiền.</t>
  </si>
  <si>
    <t xml:space="preserve">TH01 không vay để trả sớm. Không trả sớm nhà cung cấp đang tranh chấp.</t>
  </si>
  <si>
    <t xml:space="preserve">T3-36</t>
  </si>
  <si>
    <t xml:space="preserve">Giới hạn tiền có thể phân bổ</t>
  </si>
  <si>
    <t xml:space="preserve">Số tiền dư dùng được mà không phạm mức dự trữ.</t>
  </si>
  <si>
    <t xml:space="preserve">Khi tiền tại ngày dùng &gt;H: TransferCandidate=Cash−Z
SafeCash=MAX(0;MIN trên đường tiền bất lợi (CashEnd_d−Z)), chỉ đến ngày có dữ liệu nghĩa vụ
Khoản phân bổ ≤MIN(TransferCandidate;SafeCash).</t>
  </si>
  <si>
    <t xml:space="preserve">UC02 (T2-09, T2-10)</t>
  </si>
  <si>
    <t xml:space="preserve">M2 mới xem xét đầu tư; M4/M6 giữ dự trữ; trong vùng L–H không hành động.</t>
  </si>
  <si>
    <t xml:space="preserve">Không coi khoản thừa tại một ngày là số tiền an toàn cho toàn kỳ.</t>
  </si>
  <si>
    <t xml:space="preserve">T3-37</t>
  </si>
  <si>
    <t xml:space="preserve">Rủi ro dời gap sang đoạn sau</t>
  </si>
  <si>
    <t xml:space="preserve">Giãn nợ có thể tạo gap mới nặng hơn.</t>
  </si>
  <si>
    <t xml:space="preserve">Sau khi chọn giãn: chạy lại UC02 với lịch trả mới
shifted_risk_created = 1 nếu gap mới ở đoạn sau ≥ gap vừa giải tỏa</t>
  </si>
  <si>
    <t xml:space="preserve">UC02 chạy lại; T3-14</t>
  </si>
  <si>
    <t xml:space="preserve">Chỉ với nguồn AP_EXT.</t>
  </si>
  <si>
    <t xml:space="preserve">0/1; cờ</t>
  </si>
  <si>
    <t xml:space="preserve">Gắn resolved_with_shifted_risk. Giãn không được tạo lần đổi mức thứ hai nặng hơn.</t>
  </si>
  <si>
    <t xml:space="preserve">T3-38</t>
  </si>
  <si>
    <t xml:space="preserve">Ca quyết định của con người</t>
  </si>
  <si>
    <t xml:space="preserve">Đánh dấu bước UC03 không thể tự thực hiện.</t>
  </si>
  <si>
    <t xml:space="preserve">requires_human_decision = 1 nếu gói có AP_EXT, AR_EARLY, ghi đè hoặc cờ REVIEW_MANUAL</t>
  </si>
  <si>
    <t xml:space="preserve">T3-32; cờ cấp phiên</t>
  </si>
  <si>
    <t xml:space="preserve">Cả phiên.</t>
  </si>
  <si>
    <t xml:space="preserve">UC03 chỉ đề xuất; UC04 soạn nội dung, người có thẩm quyền duyệt.</t>
  </si>
  <si>
    <t xml:space="preserve">Tham số ngưỡng UC03 (giá trị mặc định, tách khỏi công thức)</t>
  </si>
  <si>
    <t xml:space="preserve">Tham số</t>
  </si>
  <si>
    <t xml:space="preserve">Giá trị mặc định</t>
  </si>
  <si>
    <t xml:space="preserve">Công thức dùng</t>
  </si>
  <si>
    <t xml:space="preserve">Ghi chú</t>
  </si>
  <si>
    <t xml:space="preserve">T3-P01</t>
  </si>
  <si>
    <t xml:space="preserve">PARAM_THETA_PCT</t>
  </si>
  <si>
    <t xml:space="preserve">25% (% Rtarget)</t>
  </si>
  <si>
    <t xml:space="preserve">Chênh lệch tối thiểu công nhận đổi mức; ranh giới gap nhẹ / nặng</t>
  </si>
  <si>
    <t xml:space="preserve">T3-02, T3-05</t>
  </si>
  <si>
    <t xml:space="preserve">Mặc định; đổi theo quy mô doanh nghiệp</t>
  </si>
  <si>
    <t xml:space="preserve">T3-P02</t>
  </si>
  <si>
    <t xml:space="preserve">PARAM_MIN_DAYS</t>
  </si>
  <si>
    <t xml:space="preserve">14 (ngày)</t>
  </si>
  <si>
    <t xml:space="preserve">Thời gian giữ mức mới (2 khối 2 tuần, khớp min_blocks = 2)</t>
  </si>
  <si>
    <t xml:space="preserve">Mặc định</t>
  </si>
  <si>
    <t xml:space="preserve">T3-P03</t>
  </si>
  <si>
    <t xml:space="preserve">PARAM_CAUSE_MAIN</t>
  </si>
  <si>
    <t xml:space="preserve">50% (% PeakGap)</t>
  </si>
  <si>
    <t xml:space="preserve">Từ ngưỡng này là yếu tố góp phần chính (chỉ để định tuyến)</t>
  </si>
  <si>
    <t xml:space="preserve">T3-P04</t>
  </si>
  <si>
    <t xml:space="preserve">PARAM_CAUSE_SEC</t>
  </si>
  <si>
    <t xml:space="preserve">15% (% PeakGap)</t>
  </si>
  <si>
    <t xml:space="preserve">Từ ngưỡng này đến dưới 50% là yếu tố phụ</t>
  </si>
  <si>
    <t xml:space="preserve">T3-P05</t>
  </si>
  <si>
    <t xml:space="preserve">PARAM_MAJOR_EVENT</t>
  </si>
  <si>
    <t xml:space="preserve">30% (% PeakGap)</t>
  </si>
  <si>
    <t xml:space="preserve">Khoản đơn lẻ từ ngưỡng này là sự kiện trọng yếu</t>
  </si>
  <si>
    <t xml:space="preserve">T3-P06</t>
  </si>
  <si>
    <t xml:space="preserve">PARAM_MIN_DRAW_PCT</t>
  </si>
  <si>
    <t xml:space="preserve">5% (% PeakGap)</t>
  </si>
  <si>
    <t xml:space="preserve">Số rút tối thiểu mỗi nguồn</t>
  </si>
  <si>
    <t xml:space="preserve">T3-P07</t>
  </si>
  <si>
    <t xml:space="preserve">PARAM_MAX_SOURCES</t>
  </si>
  <si>
    <t xml:space="preserve">4 (nguồn)</t>
  </si>
  <si>
    <t xml:space="preserve">Số nguồn tối đa trong một gói</t>
  </si>
  <si>
    <t xml:space="preserve">T3-P08</t>
  </si>
  <si>
    <t xml:space="preserve">PARAM_URGENT_DAYS</t>
  </si>
  <si>
    <t xml:space="preserve">7 (ngày)</t>
  </si>
  <si>
    <t xml:space="preserve">DaysLeft nhỏ hơn hoặc bằng ngưỡng là chế độ Khẩn</t>
  </si>
  <si>
    <t xml:space="preserve">T3-06, T3-27</t>
  </si>
  <si>
    <t xml:space="preserve">T3-P09</t>
  </si>
  <si>
    <t xml:space="preserve">PARAM_MIN_TENOR</t>
  </si>
  <si>
    <t xml:space="preserve">Thời gian thiếu ngắn hơn ngưỡng thì loại sản phẩm khóa kỳ hạn hoặc phí cố định</t>
  </si>
  <si>
    <t xml:space="preserve">T3-P10</t>
  </si>
  <si>
    <t xml:space="preserve">PARAM_KEY_PARTNER</t>
  </si>
  <si>
    <t xml:space="preserve">30% (% mua/bán)</t>
  </si>
  <si>
    <t xml:space="preserve">Nhà cung cấp từ ngưỡng này bị loại khỏi giãn nợ; khách hàng từ ngưỡng này chuyển cấp quản lý</t>
  </si>
  <si>
    <t xml:space="preserve">T3-14, T3-19</t>
  </si>
  <si>
    <t xml:space="preserve">UC04 Mô phỏng tác động lên dòng tiền</t>
  </si>
  <si>
    <t xml:space="preserve">U4-01</t>
  </si>
  <si>
    <t xml:space="preserve">01. Phạm vi và dữ liệu</t>
  </si>
  <si>
    <t xml:space="preserve">Đường tiền đối chiếu</t>
  </si>
  <si>
    <t xml:space="preserve">Lấy kết quả UC02 làm điểm xuất phát, không dựng lại lịch tùy ý.</t>
  </si>
  <si>
    <t xml:space="preserve">Base = UC02.daily
Events = UC02.cash_events
Giữ firm, snapshot, kỳ, Cash0, dự trữ và phiên bản</t>
  </si>
  <si>
    <t xml:space="preserve">F01_UC2!A70:M160; A220:Y341; D_F01</t>
  </si>
  <si>
    <t xml:space="preserve">Workbook bắt đầu bằng D_F01!B19=1 (Base). Có thể thử nền UC02 khác, nhãn phải đổi theo.</t>
  </si>
  <si>
    <t xml:space="preserve">Run UC01/UC02 khác firm/snapshot → chặn. Không ghép run-off và continuing như cùng cơ sở.</t>
  </si>
  <si>
    <t xml:space="preserve">U4-02</t>
  </si>
  <si>
    <t xml:space="preserve">Đối tượng mô phỏng</t>
  </si>
  <si>
    <t xml:space="preserve">Chọn khách, NCC và lô từ kết quả chẩn đoán, rồi nối đến sự kiện tiền.</t>
  </si>
  <si>
    <t xml:space="preserve">Candidate = UC01.drivers
AffectedEvents = Events có entity_id/source_id được chọn</t>
  </si>
  <si>
    <t xml:space="preserve">UC01; D_sales; D_purchases; D_inventory</t>
  </si>
  <si>
    <t xml:space="preserve">ID gốc, không nối bằng tên. Bản minh họa chọn 1 khách, 1 NCC, 1 lô; backend nhận danh sách event.</t>
  </si>
  <si>
    <t xml:space="preserve">ID / danh sách</t>
  </si>
  <si>
    <t xml:space="preserve">Điểm nghẽn UC01 chưa chắc tạo gap. Chỉ mô tả tác động do phép thử; không khẳng định quan hệ nhân quả đã được chứng minh.</t>
  </si>
  <si>
    <t xml:space="preserve">U4-03</t>
  </si>
  <si>
    <t xml:space="preserve">Kiểm tra giả định</t>
  </si>
  <si>
    <t xml:space="preserve">Phân biệt giá trị 0 đã nhập với thiếu đầu vào.</t>
  </si>
  <si>
    <t xml:space="preserve">0 ≤ Share ≤1; Days ≥0 và nguyên
0 ≤ Discount, Fee, Recovery, SaleCost ≤1
ID có thật; ngày hợp lệ; số tiền không vượt dư</t>
  </si>
  <si>
    <t xml:space="preserve">F01_UC4!B5:B27</t>
  </si>
  <si>
    <t xml:space="preserve">0%/0 ngày là lựa chọn không tác động. Rmin≤Rtarget≤Rupper; Rtarget&gt;0.</t>
  </si>
  <si>
    <t xml:space="preserve">Hợp lệ / lỗi</t>
  </si>
  <si>
    <t xml:space="preserve">Sai tham số → rejected; nguồn mâu thuẫn → invalid_data; thiếu dữ liệu cần thiết → missing_data. Không cắt số sai về mức hợp lệ.</t>
  </si>
  <si>
    <t xml:space="preserve">U4-04</t>
  </si>
  <si>
    <t xml:space="preserve">02. Thu sớm hoặc thu chậm</t>
  </si>
  <si>
    <t xml:space="preserve">Phần tiền chuyển lịch</t>
  </si>
  <si>
    <t xml:space="preserve">Chỉ chuyển một phần khoản thu; phần còn lại giữ lịch cũ.</t>
  </si>
  <si>
    <t xml:space="preserve">Moved_i = Amount_i × ShareAR
Remain_i = Amount_i − Moved_i</t>
  </si>
  <si>
    <t xml:space="preserve">UC02 event IN, category Thu công nợ; AR_share</t>
  </si>
  <si>
    <t xml:space="preserve">Đúng customer_id, hóa đơn mở. Lịch confirmed giữ nguyên trừ khi bật giả định thay cam kết.</t>
  </si>
  <si>
    <t xml:space="preserve">Một phần hóa đơn chỉ được phân bổ một lần. Không dùng Rev/ngày × số ngày như tiền sẽ thu.</t>
  </si>
  <si>
    <t xml:space="preserve">U4-05</t>
  </si>
  <si>
    <t xml:space="preserve">Ngày thu mới</t>
  </si>
  <si>
    <t xml:space="preserve">Có thể thử cả thu sớm và khách trả chậm.</t>
  </si>
  <si>
    <t xml:space="preserve">Thu sớm: NewDate_i = MAX(Start; OldDate_i − EarlyDays)
Stress chậm: NewDate_i = OldDate_i + LateDays</t>
  </si>
  <si>
    <t xml:space="preserve">Ngày thu UC02; số ngày do người dùng nhập</t>
  </si>
  <si>
    <t xml:space="preserve">Chỉ tương lai sau AsOf; stress mới thay thế thao tác thu sớm trên cùng phần tiền.</t>
  </si>
  <si>
    <t xml:space="preserve">Không dịch lịch sử, không coi khách đã đồng ý. Lịch xác nhận bị thay phải có cờ và lý do.</t>
  </si>
  <si>
    <t xml:space="preserve">U4-06</t>
  </si>
  <si>
    <t xml:space="preserve">Thu ròng và chiết khấu</t>
  </si>
  <si>
    <t xml:space="preserve">Thu nhanh hơn có thể phải chấp nhận giảm số tiền.</t>
  </si>
  <si>
    <t xml:space="preserve">DiscountCost_i = Moved_i × Discount
NewReceipt_i = Moved_i − DiscountCost_i</t>
  </si>
  <si>
    <t xml:space="preserve">AR_discount; U4-04</t>
  </si>
  <si>
    <t xml:space="preserve">Chiết khấu chỉ áp phần thực sự được thu sớm; không áp ngày không thay đổi hoặc stress thu chậm.</t>
  </si>
  <si>
    <t xml:space="preserve">Workbook ghi khoản chiết khấu bằng giảm thu, không ghi thêm OUT lần hai. Không tự đặt chiết khấu 0 khi chưa biết trong vận hành.</t>
  </si>
  <si>
    <t xml:space="preserve">U4-07</t>
  </si>
  <si>
    <t xml:space="preserve">03. Giãn trả nhà cung cấp</t>
  </si>
  <si>
    <t xml:space="preserve">Phần chi chuyển lịch</t>
  </si>
  <si>
    <t xml:space="preserve">Giãn chi tạo khoảng đệm thời gian, không xóa nợ.</t>
  </si>
  <si>
    <t xml:space="preserve">MovedPay_i = Amount_i × ShareAP
RemainPay_i = Amount_i − MovedPay_i
NewPayDate_i = OldDate_i + ExtendDays</t>
  </si>
  <si>
    <t xml:space="preserve">UC02 OUT / Trả NCC; supplier_id</t>
  </si>
  <si>
    <t xml:space="preserve">Chỉ khoản thương mại đã chọn. Lương, thuế, gốc/lãi vay không áp đòn bẩy này.</t>
  </si>
  <si>
    <t xml:space="preserve">NCC thiết yếu chỉ mô phỏng khi có xác nhận giả định được phép thử. Không coi xác nhận mô phỏng là thỏa thuận thật.</t>
  </si>
  <si>
    <t xml:space="preserve">U4-08</t>
  </si>
  <si>
    <t xml:space="preserve">Phí giãn trả</t>
  </si>
  <si>
    <t xml:space="preserve">Đưa đủ chi phí vào lịch trả mới.</t>
  </si>
  <si>
    <t xml:space="preserve">ExtensionFee_i = MovedPay_i × FeeAP
NewPayment_i = MovedPay_i + ExtensionFee_i</t>
  </si>
  <si>
    <t xml:space="preserve">AP_fee_pct; U4-07</t>
  </si>
  <si>
    <t xml:space="preserve">Phí phần trăm một lần trong bản đầu; biết ngày chi cùng ngày trả mới.</t>
  </si>
  <si>
    <t xml:space="preserve">NCC từ chối trong stress → giữ lịch cũ, không phí. Mất chiết khấu chỉ tính khi đã mô hình trong nền, không cộng tùy ý.</t>
  </si>
  <si>
    <t xml:space="preserve">U4-09</t>
  </si>
  <si>
    <t xml:space="preserve">04. Bán một phần tồn kho</t>
  </si>
  <si>
    <t xml:space="preserve">Lô được phép thử bán</t>
  </si>
  <si>
    <t xml:space="preserve">Không lấy hàng của khách hoặc hàng vướng quyền làm tiền của F01.</t>
  </si>
  <si>
    <t xml:space="preserve">EligibleLot = Owner=F01 AND Pledged=không AND UserSaleAssumption=1
ReleasedBook = OwnedValue × SaleShare</t>
  </si>
  <si>
    <t xml:space="preserve">D_inventory!A:M; sale_assumption</t>
  </si>
  <si>
    <t xml:space="preserve">Kiểm tra lượng bán≤lượng lô. Bản đầu chỉ bán lô chưa có khoản thu bán tương ứng trong nền.</t>
  </si>
  <si>
    <t xml:space="preserve">VND giá ghi sổ</t>
  </si>
  <si>
    <t xml:space="preserve">Hàng HGC, cầm cố hoặc chưa rõ cầm cố → chặn đòn bẩy lô đó. Muốn thử cần bổ sung bằng chứng, không sửa D_inventory để vượt chặn.</t>
  </si>
  <si>
    <t xml:space="preserve">U4-10</t>
  </si>
  <si>
    <t xml:space="preserve">Tiền bán hàng và phí</t>
  </si>
  <si>
    <t xml:space="preserve">Giá ghi sổ giảm không đồng nghĩa thu được từng ấy tiền.</t>
  </si>
  <si>
    <t xml:space="preserve">SaleGross = ReleasedBook × RecoveryRate
SaleCashCost = SaleGross × SaleCostRate
SaleNet = SaleGross − SaleCashCost</t>
  </si>
  <si>
    <t xml:space="preserve">Tỷ lệ bán; tỷ lệ thu hồi; tỷ lệ chi phí</t>
  </si>
  <si>
    <t xml:space="preserve">Demo RecoveryRate từ 0 đến 100% giá ghi sổ; không tự đặt giá thị trường.</t>
  </si>
  <si>
    <t xml:space="preserve">Chênh lệch giá ghi sổ và tiền bán là tổn thất giá trị mô phỏng, không là một dòng tiền chi thêm.</t>
  </si>
  <si>
    <t xml:space="preserve">U4-11</t>
  </si>
  <si>
    <t xml:space="preserve">Ngày bán và ngày thu</t>
  </si>
  <si>
    <t xml:space="preserve">Chỉ phát sinh tiền khi giả định có giao dịch và thời điểm thu rõ.</t>
  </si>
  <si>
    <t xml:space="preserve">SaleDate = Start + SaleLag
SaleReceiptDate = SaleDate + ReceiptLag
Kho giảm tại SaleDate; tiền về tại SaleReceiptDate</t>
  </si>
  <si>
    <t xml:space="preserve">F01_UC4 tham số lô; nhật ký giả định</t>
  </si>
  <si>
    <t xml:space="preserve">Bản minh họa ReceiptLag=0, thu ngay; backend cho phép trả chậm.</t>
  </si>
  <si>
    <t xml:space="preserve">Tái sử dụng nguyên liệu hoặc ghi giảm giá trị chưa tạo tiền; chỉ ghi giảm chi mua khi có kế hoạch mua thay thế tương ứng được điều chỉnh.</t>
  </si>
  <si>
    <t xml:space="preserve">U4-12</t>
  </si>
  <si>
    <t xml:space="preserve">05. Cập nhật đường tiền</t>
  </si>
  <si>
    <t xml:space="preserve">Dòng tiền chênh lệch</t>
  </si>
  <si>
    <t xml:space="preserve">Đảo đúng lịch cũ của phần được chuyển, rồi thêm lịch mới.</t>
  </si>
  <si>
    <t xml:space="preserve">ΔAR_d = Σ NewReceipt tại d − Σ MovedAR ở ngày cũ
ΔAP_d = Σ MovedAP ở ngày cũ − Σ NewPayment tại d
ΔINV_d = SaleNet tại ngày thu
ΔNet_d = ΔAR_d + ΔAP_d + ΔINV_d</t>
  </si>
  <si>
    <t xml:space="preserve">U4-04…11; ledger có source_event_id</t>
  </si>
  <si>
    <t xml:space="preserve">Phần không dịch giữ nguyên trong nền. Hướng tiền IN dương, OUT âm.</t>
  </si>
  <si>
    <t xml:space="preserve">Không cộng toàn bộ số tiền chuyển vào Cash0. Không cộng lại MoneyAtRisk, tồn lâu hay phải thu quá hạn.</t>
  </si>
  <si>
    <t xml:space="preserve">U4-13</t>
  </si>
  <si>
    <t xml:space="preserve">Tiền cuối ngày sau mô phỏng</t>
  </si>
  <si>
    <t xml:space="preserve">Dùng chung Cash0 và các nghĩa vụ không thay đổi.</t>
  </si>
  <si>
    <t xml:space="preserve">CashAfter_d = CashBase_d + Σ ΔNet đến ngày d</t>
  </si>
  <si>
    <t xml:space="preserve">UC02.daily; U4-12</t>
  </si>
  <si>
    <t xml:space="preserve">Bản sao kịch bản, không sửa dữ liệu nguồn hoặc snapshot.</t>
  </si>
  <si>
    <t xml:space="preserve">VND, giữ số âm</t>
  </si>
  <si>
    <t xml:space="preserve">Đồng nhất với cách tính Cash0+thu sau−chi sau; chênh lệch &gt;1 VND thì không phát hành.</t>
  </si>
  <si>
    <t xml:space="preserve">U4-14</t>
  </si>
  <si>
    <t xml:space="preserve">Khoản ngoài kỳ</t>
  </si>
  <si>
    <t xml:space="preserve">Giãn nợ ra sau 13 tuần vẫn phải được ghi nhận.</t>
  </si>
  <si>
    <t xml:space="preserve">TailPay = Σ NewPayment có NewDate&gt;End
TailReceipt = Σ NewReceipt có NewDate&gt;End
Nếu phát sinh ngoài kỳ: lập lịch kiểm tiếp đến ngày cuối của các khoản bị chuyển</t>
  </si>
  <si>
    <t xml:space="preserve">Ledger phần dịch; không xóa ngày ngoài kỳ</t>
  </si>
  <si>
    <t xml:space="preserve">Trong kỳ chỉ cộng đúng ngày; phần ngoài kỳ hiển thị riêng.</t>
  </si>
  <si>
    <t xml:space="preserve">TailPay&gt;0 → kết luận chưa đủ đánh giá toàn bộ nghĩa vụ, không gọi đã giải quyết. Workbook chỉ tính 91 ngày và hiện Tail; backend phải mở rộng nguồn nghĩa vụ trước kết luận toàn kỳ mở rộng.</t>
  </si>
  <si>
    <t xml:space="preserve">U4-15</t>
  </si>
  <si>
    <t xml:space="preserve">06. So sánh và cảnh báo</t>
  </si>
  <si>
    <t xml:space="preserve">Thiếu tiền và cảnh báo</t>
  </si>
  <si>
    <t xml:space="preserve">Dùng lại ngưỡng của UC02 để so trước/sau.</t>
  </si>
  <si>
    <t xml:space="preserve">GapAfter_d=IF(CashAfter_d&lt;L;Z−CashAfter_d;0)
GapZeroAfter_d=MAX(0;−CashAfter_d)
Đỏ nếu CashAfter&lt;L; không cảnh báo thiếu nếu ≥L.</t>
  </si>
  <si>
    <t xml:space="preserve">Rmin, Rtarget, Rupper; Nguong!B62:B63</t>
  </si>
  <si>
    <t xml:space="preserve">Giữ nguyên L/Z/H của UC02 khi mô phỏng; không điều chỉnh ngưỡng để làm đẹp kết quả.</t>
  </si>
  <si>
    <t xml:space="preserve">VND; màu / nhãn</t>
  </si>
  <si>
    <t xml:space="preserve">Không thêm ngưỡng UC04 khác UC02. Không cộng GapZero với GapBuffer.</t>
  </si>
  <si>
    <t xml:space="preserve">U4-16</t>
  </si>
  <si>
    <t xml:space="preserve">Đáy và mức thiếu lớn nhất</t>
  </si>
  <si>
    <t xml:space="preserve">Kết quả chính cho doanh nghiệp.</t>
  </si>
  <si>
    <t xml:space="preserve">MinCashAfter = MIN(CashAfter_d)
PeakGapAfter = MAX(GapAfter_d)
GapReduction = PeakGapBase − PeakGapAfter</t>
  </si>
  <si>
    <t xml:space="preserve">daily trước/sau</t>
  </si>
  <si>
    <t xml:space="preserve">Đáy trước và sau có thể khác ngày; hiển thị cả hai ngày.</t>
  </si>
  <si>
    <t xml:space="preserve">GapReduction&lt;0 là xấu hơn. Đỉnh cả kỳ giảm không chứng minh mọi đợt thiếu được cải thiện.</t>
  </si>
  <si>
    <t xml:space="preserve">U4-17</t>
  </si>
  <si>
    <t xml:space="preserve">Ngày thiếu và ngày xấu đi</t>
  </si>
  <si>
    <t xml:space="preserve">Phát hiện tác dụng ngược, kể cả ngày đã thiếu từ trước.</t>
  </si>
  <si>
    <t xml:space="preserve">GapDays=COUNT(CashAfter&lt;L)
NewGapDays=COUNT(GapBase=0 AND GapAfter&gt;0)
WorseGapDays=COUNT(GapAfter&gt;GapBase+1 VND)</t>
  </si>
  <si>
    <t xml:space="preserve">daily trước/sau; tolerance=1 VND</t>
  </si>
  <si>
    <t xml:space="preserve">Cùng toàn bộ horizon; ngày bằng ngưỡng không là vi phạm.</t>
  </si>
  <si>
    <t xml:space="preserve">Số ngày</t>
  </si>
  <si>
    <t xml:space="preserve">Chỉ kiểm ngày thiếu mới là chưa đủ: ngày thiếu cũ có thể nặng hơn. Không bỏ qua phí làm xấu ngày khác.</t>
  </si>
  <si>
    <t xml:space="preserve">U4-18</t>
  </si>
  <si>
    <t xml:space="preserve">Tác động tại một ngày trọng yếu</t>
  </si>
  <si>
    <t xml:space="preserve">Biết phương án có giúp kịp ngày cần tiền không.</t>
  </si>
  <si>
    <t xml:space="preserve">CashLiftAtDate = CashAfter_t − CashBase_t
GapReductionAtDate = GapBase_t − GapAfter_t</t>
  </si>
  <si>
    <t xml:space="preserve">critical_date do người dùng chọn hoặc ngày đáy nền</t>
  </si>
  <si>
    <t xml:space="preserve">Không tự lấy ngày đáy sau để so với ngày đáy trước như cùng ngày.</t>
  </si>
  <si>
    <t xml:space="preserve">Ngày ngoài horizon → invalid_request; cải thiện tại một ngày không thay kiểm tra toàn kỳ.</t>
  </si>
  <si>
    <t xml:space="preserve">U4-19</t>
  </si>
  <si>
    <t xml:space="preserve">Hiệu quả riêng đợt thiếu</t>
  </si>
  <si>
    <t xml:space="preserve">Gắn điểm nghẽn với đợt tiền cụ thể mà không cần UC03.</t>
  </si>
  <si>
    <t xml:space="preserve">TargetEpisode = UC02.episodes[episode_id]
EpisodePeakAfter = MAX(GapAfter trong đoạn Start…End)
EpisodeReduction = EpisodePeakBase − EpisodePeakAfter</t>
  </si>
  <si>
    <t xml:space="preserve">UC02 episodes + source_event_ids</t>
  </si>
  <si>
    <t xml:space="preserve">Bản minh họa đối chiếu toàn 91 ngày; backend nhận episode_id tùy chọn từ UC02.</t>
  </si>
  <si>
    <t xml:space="preserve">Không có đợt thiếu vẫn cho phép stress. Không trả not_applicable cho toàn UC04 chỉ vì doanh nghiệp hiện chưa thiếu.</t>
  </si>
  <si>
    <t xml:space="preserve">U4-20</t>
  </si>
  <si>
    <t xml:space="preserve">Chi phí và giảm giá trị</t>
  </si>
  <si>
    <t xml:space="preserve">Tách tiền phải trả và phần giá trị không thu hồi.</t>
  </si>
  <si>
    <t xml:space="preserve">CashCost = Σ DiscountCost + Σ ExtensionFee + SaleCashCost
BookShortfall = MAX(0; ReleasedBook − SaleGross)
EconomicCost = CashCost + BookShortfall</t>
  </si>
  <si>
    <t xml:space="preserve">U4-06; U4-08; U4-10</t>
  </si>
  <si>
    <t xml:space="preserve">Hiển thị từng cấu phần; chiết khấu là thu giảm, phí bán là chi phí tiền.</t>
  </si>
  <si>
    <t xml:space="preserve">Không trừ EconomicCost lần nữa khỏi CashAfter. Thuế chưa mô hình → provisional và nêu net_noVAT.</t>
  </si>
  <si>
    <t xml:space="preserve">U4-21</t>
  </si>
  <si>
    <t xml:space="preserve">Kết luận phép thử</t>
  </si>
  <si>
    <t xml:space="preserve">Nêu phần còn thiếu, không ép luôn có phương án giải quyết.</t>
  </si>
  <si>
    <t xml:space="preserve">Nếu giả định không hợp lệ: không phát hành
Có nghĩa vụ dời ngoài kỳ: Chưa đủ đánh giá
Không ngày dưới L: Không thiếu trong phạm vi mô phỏng
Có ngày gap xấu đi: nêu rõ
Có cải thiện và còn gap: Cải thiện một phần
Còn lại: Không cải thiện.</t>
  </si>
  <si>
    <t xml:space="preserve">Kết quả U4-14…20</t>
  </si>
  <si>
    <t xml:space="preserve">Mọi kết luận giữ nhãn provisional vì là giả định; không phải chấp thuận đối tác.</t>
  </si>
  <si>
    <t xml:space="preserve">Trạng thái và lý do</t>
  </si>
  <si>
    <t xml:space="preserve">Giảm số ngày thiếu nhưng đáy không đổi vẫn phải nêu tác động có giới hạn. Không dùng nhãn bền vững chỉ từ một kịch bản.</t>
  </si>
  <si>
    <t xml:space="preserve">U4-22</t>
  </si>
  <si>
    <t xml:space="preserve">07. Stress và trường hợp dư</t>
  </si>
  <si>
    <t xml:space="preserve">Khách trả ít hơn kỳ vọng thu sớm</t>
  </si>
  <si>
    <t xml:space="preserve">Thử mức thực hiện của phương án thu sớm.</t>
  </si>
  <si>
    <t xml:space="preserve">MovedAR_stress = MovedAR_plan × 50%
Phần còn lại vẫn về theo lịch nền</t>
  </si>
  <si>
    <t xml:space="preserve">case=2 hoặc 5; hệ số editable 50%</t>
  </si>
  <si>
    <t xml:space="preserve">Đây là chỉ thu sớm được một phần, không phải mất 50% công nợ.</t>
  </si>
  <si>
    <t xml:space="preserve">Nếu thử không thu được tiền phải tạo kịch bản riêng có ngày và tỷ lệ thực nhận; không đánh đồng chậm thu với mất nợ.</t>
  </si>
  <si>
    <t xml:space="preserve">U4-23</t>
  </si>
  <si>
    <t xml:space="preserve">NCC từ chối hoặc tồn bán chậm</t>
  </si>
  <si>
    <t xml:space="preserve">Kiểm tra phụ thuộc vào sự đồng ý và nhu cầu mua.</t>
  </si>
  <si>
    <t xml:space="preserve">Từ chối giãn → ShareAP_active=0
Tồn bán chậm → SaleDate_active=SaleDate_plan+StressSaleDays</t>
  </si>
  <si>
    <t xml:space="preserve">case=3/4/5; stress_sale_days</t>
  </si>
  <si>
    <t xml:space="preserve">Có thể phối hợp với stress thu sớm một phần trong cùng bộ tính.</t>
  </si>
  <si>
    <t xml:space="preserve">Ngày; tỷ lệ</t>
  </si>
  <si>
    <t xml:space="preserve">Mỗi stress chỉ đổi giả định đã định nghĩa; không tự thay cả Cash0, ngưỡng hay chi bắt buộc.</t>
  </si>
  <si>
    <t xml:space="preserve">U4-24</t>
  </si>
  <si>
    <t xml:space="preserve">Stress khách trả chậm</t>
  </si>
  <si>
    <t xml:space="preserve">Dùng được cả khi nền đang đủ hoặc dư tiền.</t>
  </si>
  <si>
    <t xml:space="preserve">AR NewDate = OldDate + StressLateDays
AR_share_active = AR_share_plan
AR_discount_active=0</t>
  </si>
  <si>
    <t xml:space="preserve">case=6; customer_id; share; stress_late_days</t>
  </si>
  <si>
    <t xml:space="preserve">Không áp đồng thời thu sớm và chậm lên cùng phần tiền.</t>
  </si>
  <si>
    <t xml:space="preserve">Nền không có tín hiệu vẫn được phép thử; kết quả chưa cảnh báo không chứng minh an toàn ngoài phạm vi dữ liệu.</t>
  </si>
  <si>
    <t xml:space="preserve">U4-25</t>
  </si>
  <si>
    <t xml:space="preserve">Dư tiền và SafeCash</t>
  </si>
  <si>
    <t xml:space="preserve">Không coi toàn bộ tiền dư trên tài khoản là có thể dùng.</t>
  </si>
  <si>
    <t xml:space="preserve">TH sau: có ngày dưới L → TH01; nếu không thì có ngày trên H → TH02; còn lại trong vùng.
Tiền chuyển về mục tiêu khi thừa = Cash−Z.
SafeCash xét đường tiền đến ngày cần thu hồi và nghĩa vụ sau kỳ.</t>
  </si>
  <si>
    <t xml:space="preserve">daily đầy đủ đến ngày cần thu hồi; TH sau chỉ tham khảo</t>
  </si>
  <si>
    <t xml:space="preserve">Nếu phân bổ thực tế cần đường tiền bất lợi và mọi nghĩa vụ trong kỳ ràng buộc.</t>
  </si>
  <si>
    <t xml:space="preserve">Bản đầu không tự mô phỏng đầu tư/trả nợ sớm, không xếp hạng sản phẩm. Thiếu dữ liệu sau horizon → không kết luận SafeCash cho kỳ dài hơn.</t>
  </si>
  <si>
    <t xml:space="preserve">U4-26</t>
  </si>
  <si>
    <t xml:space="preserve">08. Giới hạn chỉ số và đầu ra</t>
  </si>
  <si>
    <t xml:space="preserve">CCC tại ngày chốt</t>
  </si>
  <si>
    <t xml:space="preserve">Giữ kết quả UC01 làm mốc chẩn đoán.</t>
  </si>
  <si>
    <t xml:space="preserve">DSO/ DIO/ DPO/ CCC tại AsOf không đổi
CashDaysAR = Σ MovedAR_i × (OldDate_i−NewDate_i) / Rev
CashDaysAP = Σ MovedAP_i × (NewDate_i−OldDate_i) / COGS</t>
  </si>
  <si>
    <t xml:space="preserve">Rev, COGS của UC01; phần tiền dịch thực sự</t>
  </si>
  <si>
    <t xml:space="preserve">Hai CashDays là ngày vốn tương đương theo lượng tiền×thời gian / lưu lượng kỳ. Không phải CCC_after và không cộng vào dòng tiền.</t>
  </si>
  <si>
    <t xml:space="preserve">Ngày vốn tương đương</t>
  </si>
  <si>
    <t xml:space="preserve">Rev/COGS≤0 → null; thu chậm cho CashDaysAR âm. Cách này khác ngày giảm DSO bền vững. Không quy đổi thành lãi tiết kiệm tự động.</t>
  </si>
  <si>
    <t xml:space="preserve">U4-27</t>
  </si>
  <si>
    <t xml:space="preserve">Chống đếm trùng và bất biến</t>
  </si>
  <si>
    <t xml:space="preserve">Một hóa đơn không được nhận thêm tiền hai lần.</t>
  </si>
  <si>
    <t xml:space="preserve">Σ Remain_i + Σ Moved_i = Σ Amount_i
CashAfter_End−CashBase_End = Σ ΔNet trong kỳ
OriginalSnapshotHash_before = after</t>
  </si>
  <si>
    <t xml:space="preserve">Ledger; source_event_id; phần phân bổ</t>
  </si>
  <si>
    <t xml:space="preserve">Lô đã có khoản thu bán trong nền phải thay phần thu đó thay vì thêm toàn bộ thu mới; demo chưa hỗ trợ overlap này.</t>
  </si>
  <si>
    <t xml:space="preserve">VND; hash</t>
  </si>
  <si>
    <t xml:space="preserve">Trùng event hoặc vượt phần dư → invalid_data. Không ghi vào nguồn gốc, không chuyển mô phỏng thành giao dịch thật.</t>
  </si>
  <si>
    <t xml:space="preserve">U4-28</t>
  </si>
  <si>
    <t xml:space="preserve">Trạng thái và bằng chứng</t>
  </si>
  <si>
    <t xml:space="preserve">Đầu ra phải chỉ được tính từ đúng lượt mô phỏng.</t>
  </si>
  <si>
    <t xml:space="preserve">meta = firm + run nguồn + snapshot + versions + giả định
result = metrics_before/after + daily + weekly + tail
facts = giá trị có unit, date, entity, evidence_id</t>
  </si>
  <si>
    <t xml:space="preserve">UC4_Huong_dan hợp đồng output</t>
  </si>
  <si>
    <t xml:space="preserve">Backend Decimal, ROUND_HALF_UP; tiền kiểm 1 VND; ngày hiển thị dd/mm/yyyy.</t>
  </si>
  <si>
    <t xml:space="preserve">LLM không tính thêm, không hứa thu được tiền, không nói NCC đã đồng ý. Chỉ mô phỏng đọc; chưa tạo bản nháp phê duyệt.</t>
  </si>
  <si>
    <t xml:space="preserve">U4-29</t>
  </si>
  <si>
    <t xml:space="preserve">So các phương án đã thử</t>
  </si>
  <si>
    <t xml:space="preserve">Giúp người dùng so sánh nhưng không tự cấp vốn hay ra quyết định.</t>
  </si>
  <si>
    <t xml:space="preserve">Chỉ so run cùng nền và giả định chi phí đầy đủ
So lần lượt: gap còn lại, ngày xấu đi, đuôi nghĩa vụ, chi phí, mức phụ thuộc giả định</t>
  </si>
  <si>
    <t xml:space="preserve">Các simulate_scenario đã lưu</t>
  </si>
  <si>
    <t xml:space="preserve">Workbook dùng một selector, tính một phương án tại một thời điểm; cột đối chiếu là nền UC02.</t>
  </si>
  <si>
    <t xml:space="preserve">Bảng so sánh</t>
  </si>
  <si>
    <t xml:space="preserve">Chưa gọi tối ưu, chưa có recommendation tự động. Backend có thể lưu các run độc lập, không dùng snapshot giá trị cũ như kết quả đang tính.</t>
  </si>
  <si>
    <t xml:space="preserve">U4-30</t>
  </si>
  <si>
    <t xml:space="preserve">Đợt thiếu sau và ma trận</t>
  </si>
  <si>
    <t xml:space="preserve">Đánh giá trạng thái tiền mới nhưng không xóa chẩn đoán cũ.</t>
  </si>
  <si>
    <t xml:space="preserve">TH_after = quy tắc UC02 trên đường tiền sau
Matrix_after = M(3×W_index+TH_index)</t>
  </si>
  <si>
    <t xml:space="preserve">W tại AsOf; TH_after; cùng cơ sở nền</t>
  </si>
  <si>
    <t xml:space="preserve">Nếu không phải nền Base thì TH/matrix chỉ là tham khảo; W không thay do thao tác tương lai.</t>
  </si>
  <si>
    <t xml:space="preserve">W / TH / M</t>
  </si>
  <si>
    <t xml:space="preserve">Không đổi W2 thành W0 vì tiền tạm dư. Mức màu tính riêng, không suy từ ô M.</t>
  </si>
  <si>
    <t xml:space="preserve">UC04 Phạm vi và hướng dẫn triển khai</t>
  </si>
  <si>
    <t xml:space="preserve">Nhóm</t>
  </si>
  <si>
    <t xml:space="preserve">Quy tắc áp dụng</t>
  </si>
  <si>
    <t xml:space="preserve">Vị trí / ví dụ</t>
  </si>
  <si>
    <t xml:space="preserve">Luồng tổng thể</t>
  </si>
  <si>
    <t xml:space="preserve">UC01 chọn đối tượng → UC02 cung cấp lịch tiền → UC04 thay giả định trên bản sao → so trước/sau và stress.</t>
  </si>
  <si>
    <t xml:space="preserve">Không cần chạy UC03. Không mặc định khách/NCC đã chấp thuận.</t>
  </si>
  <si>
    <t xml:space="preserve">F01_UC4: thiết lập A4:C40; kết quả E4:H40; ngày dòng 50; sự kiện dòng 150; tuần dòng 306.</t>
  </si>
  <si>
    <t xml:space="preserve">Phạm vi bản đầu</t>
  </si>
  <si>
    <t xml:space="preserve">Ba đòn bẩy nội bộ: thu sớm/chậm, giãn trả NCC, bán lô tồn sở hữu.</t>
  </si>
  <si>
    <t xml:space="preserve">Không gồm vay, tài trợ hóa đơn, đầu tư tiền dư, gửi thư hoặc phê duyệt hành động. Không đổi SRS trong lần này.</t>
  </si>
  <si>
    <t xml:space="preserve">Bản thiết kế công thức chờ duyệt. UC03 vẫn có thể nối thêm sau.</t>
  </si>
  <si>
    <t xml:space="preserve">Đối chiếu draft cũ</t>
  </si>
  <si>
    <t xml:space="preserve">Giữ bản sao bất biến, dịch sự kiện, kiểm tra gap mới, chi phí và bằng chứng.</t>
  </si>
  <si>
    <t xml:space="preserve">Bỏ phụ thuộc TV3_Nguong/TV3_Dot_thieu/D_catalogue; bỏ bộ F02/F03, bảng bản nháp và submit_action.</t>
  </si>
  <si>
    <t xml:space="preserve">Draft cũ có 30 sheet, gồm cả UC03 và dữ liệu cũ. Bản mới chỉ bổ sung 3 sheet.</t>
  </si>
  <si>
    <t xml:space="preserve">Sửa điểm nghiệp vụ</t>
  </si>
  <si>
    <t xml:space="preserve">Không dùng doanh thu bình quân×ngày để thay AR/AP tại ngày chốt; không mặc định tài trợ được loại AR; không coi toàn bộ thiếu biến mất khi hết một đợt.</t>
  </si>
  <si>
    <t xml:space="preserve">Giữ CCC lịch sử; tập trung tiền theo ngày, ngày xấu đi và nghĩa vụ ngoài kỳ.</t>
  </si>
  <si>
    <t xml:space="preserve">U4-14, U4-17, U4-26. Không suy tiết kiệm lãi khi chưa có lịch dư nợ thực.</t>
  </si>
  <si>
    <t xml:space="preserve">Dùng chung dữ liệu</t>
  </si>
  <si>
    <t xml:space="preserve">F01, ngày chốt 30/06/2026; chẩn đoán 01/01–30/06; forecast 01/07–29/09.</t>
  </si>
  <si>
    <t xml:space="preserve">Không chép lại D_* từ TV4 draft. UC04 nối trực tiếp sự kiện UC02 và lô từ D_inventory.</t>
  </si>
  <si>
    <t xml:space="preserve">D_F01, D_sales, D_purchases, D_inventory, D_flows giữ nguyên.</t>
  </si>
  <si>
    <t xml:space="preserve">Mã công thức</t>
  </si>
  <si>
    <t xml:space="preserve">UC04 dùng mã U4-01…U4-30 để phân biệt bản draft T4 cũ.</t>
  </si>
  <si>
    <t xml:space="preserve">Bảng 9 cột giống UC1/UC2_Cong_thuc; mỗi phép có đầu vào, điều kiện và ngoại lệ.</t>
  </si>
  <si>
    <t xml:space="preserve">Không gộp công thức và yêu cầu quyền thành một phép toán.</t>
  </si>
  <si>
    <t xml:space="preserve">Kịch bản đang chọn</t>
  </si>
  <si>
    <t xml:space="preserve">0 Giữ nguyên; 1 Thực hiện giả định; 2 Chỉ thu sớm được 50%; 3 NCC từ chối; 4 Bán tồn chậm; 5 Ba bất lợi kết hợp; 6 Khách trả chậm.</t>
  </si>
  <si>
    <t xml:space="preserve">Một selector ở F01_UC4!B5; tất cả dùng cùng một ledger và một đường tiền.</t>
  </si>
  <si>
    <t xml:space="preserve">B6 đọc nhãn; B28:B34 là giả định hiệu lực tính từ selector và thông số.</t>
  </si>
  <si>
    <t xml:space="preserve">Nhóm khách hàng</t>
  </si>
  <si>
    <t xml:space="preserve">Gợi ý chọn từ UC01 theo vốn đang giữ, trễ bao lâu, quan hệ và mức tập trung; người dùng chọn ID.</t>
  </si>
  <si>
    <t xml:space="preserve">Không tự siết khách mới/vãng lai hoặc nới khách lớn. Nhãn quan hệ là ngữ cảnh, không phải sự chấp thuận.</t>
  </si>
  <si>
    <t xml:space="preserve">B7 customer_id. Có thể lọc từng event_id ở backend; workbook áp theo khách và tỷ lệ chung.</t>
  </si>
  <si>
    <t xml:space="preserve">Nhóm nhà cung cấp</t>
  </si>
  <si>
    <t xml:space="preserve">Chỉ dịch khoản Trả NCC thuộc supplier_id; giữ lương, thuế và nghĩa vụ tài chính.</t>
  </si>
  <si>
    <t xml:space="preserve">NCC thiết yếu cần bật xác nhận giả định mô phỏng. Không dùng công cụ what-if để sửa hợp đồng.</t>
  </si>
  <si>
    <t xml:space="preserve">B13 supplier_id; B17 chỉ xác nhận được phép thử, không xác nhận đối tác đã đồng ý.</t>
  </si>
  <si>
    <t xml:space="preserve">Nhóm hàng tồn kho</t>
  </si>
  <si>
    <t xml:space="preserve">Bán lô phải thuộc F01, không cầm cố và có giả định thị trường.</t>
  </si>
  <si>
    <t xml:space="preserve">Mặc định L27 không cầm cố; lô phụ liệu đơn hủy L06 chưa rõ cầm cố nên không chọn sẵn để tạo tiền.</t>
  </si>
  <si>
    <t xml:space="preserve">B18 lot_id; B24 xác nhận giả định; nếu đổi sang L06 mà chưa có dữ liệu thì trạng thái chặn.</t>
  </si>
  <si>
    <t xml:space="preserve">Điều kiện lịch xác nhận</t>
  </si>
  <si>
    <t xml:space="preserve">Mặc định không đổi lịch thu được xác nhận ở UC02.</t>
  </si>
  <si>
    <t xml:space="preserve">B12=1 cho phép thử thay lịch xác nhận; phải nói rõ giả định này trong kết quả.</t>
  </si>
  <si>
    <t xml:space="preserve">Không lấy paid_date tương lai làm chứng cứ có tại ngày chốt.</t>
  </si>
  <si>
    <t xml:space="preserve">Chi phí và thuế</t>
  </si>
  <si>
    <t xml:space="preserve">Chiết khấu thu sớm, phí giãn trả, phí bán được nhập riêng; không tự suy từ ngành.</t>
  </si>
  <si>
    <t xml:space="preserve">Mặc định minh họa 1%, 0,5%, 2% không là điều khoản thật. Thu hồi tồn 80%, bán 50% là giả định.</t>
  </si>
  <si>
    <t xml:space="preserve">Nguồn duy nhất của các tỷ lệ mới là demo_assumption; đầu ra net_noVAT/provisional.</t>
  </si>
  <si>
    <t xml:space="preserve">Chặn và lỗi</t>
  </si>
  <si>
    <t xml:space="preserve">Trường sai → rejected; dữ liệu mâu thuẫn → invalid_data; thiếu nguồn → missing_data; giả định hợp lệ → provisional.</t>
  </si>
  <si>
    <t xml:space="preserve">Trong workbook lỗi thiết lập chặn toàn bộ kết quả sau mô phỏng; không âm thầm bỏ đòn bẩy rồi gọi đạt.</t>
  </si>
  <si>
    <t xml:space="preserve">Các trạng thái này độc lập thiếu tiền hay dư tiền.</t>
  </si>
  <si>
    <t xml:space="preserve">Ngoài horizon</t>
  </si>
  <si>
    <t xml:space="preserve">Sự kiện dịch ngoài 91 ngày vẫn được giữ trong ledger và cộng TailPay/TailReceipt.</t>
  </si>
  <si>
    <t xml:space="preserve">Nếu có chi sau kỳ do giãn nợ, kết luận chưa đủ đánh giá; không gọi tiết kiệm tiền.</t>
  </si>
  <si>
    <t xml:space="preserve">Mở rộng nguồn nghĩa vụ mới đánh giá được số dư sau 29/09, không kéo dài bằng giả định 0 chi.</t>
  </si>
  <si>
    <t xml:space="preserve">Giới hạn khả thi</t>
  </si>
  <si>
    <t xml:space="preserve">Chưa mô hình thay đổi đơn hàng, mất doanh thu, rủi ro cung ứng, thuế và điều kiện pháp lý bán hàng.</t>
  </si>
  <si>
    <t xml:space="preserve">Công cụ đo tác động có điều kiện, không khẳng định phương án khả thi thương mại. Không tự tối ưu hoặc thực thi.</t>
  </si>
  <si>
    <t xml:space="preserve">Muốn dùng thật cần xác minh cam kết khách, thỏa thuận NCC, nhu cầu mua và quyền bán lô.</t>
  </si>
  <si>
    <t xml:space="preserve">Hợp đồng đầu vào</t>
  </si>
  <si>
    <t xml:space="preserve">simulate_scenario(uc1_run_id, uc2_run_id, scenario, levers, target_episode_id?)</t>
  </si>
  <si>
    <t xml:space="preserve">Máy chủ gán firm/snapshot và đọc Cash0, dự trữ từ run nguồn. Mô hình chỉ truyền ID, tỷ lệ, ngày và loại phép thử trong schema cho phép.</t>
  </si>
  <si>
    <t xml:space="preserve">levers.ar: event_ids, share, days, discount; ap: event_ids, share, days, fee; inv: lot_id, share, recovery, date, cost.</t>
  </si>
  <si>
    <t xml:space="preserve">Hợp đồng đầu ra</t>
  </si>
  <si>
    <t xml:space="preserve">meta; assumptions; affected_events; metrics_before_after; daily; weekly; episodes; tail; costs; limitations; evidence; fact_registry; narrative.</t>
  </si>
  <si>
    <t xml:space="preserve">meta ghi run nguồn, case nền, case UC04, snapshot, phiên bản uc4.formulas.v1, amount_basis. Mỗi fact có giá trị raw, đơn vị, ngày và entity/source ID.</t>
  </si>
  <si>
    <t xml:space="preserve">Đầu ra luôn tách số liệu dự báo với cam kết thật. Không đặt số thay cho null.</t>
  </si>
  <si>
    <t xml:space="preserve">Thứ tự diễn giải</t>
  </si>
  <si>
    <t xml:space="preserve">1 Phép thử nào với ai và bao nhiêu. 2 Thay đổi ngày tiền và số tiền ròng. 3 Mức thiếu, ngày thiếu và đáy trước/sau. 4 Phần còn thiếu, ngày xấu đi, khoản sau kỳ và giới hạn.</t>
  </si>
  <si>
    <t xml:space="preserve">Chỉ dùng fact cùng lượt. Kết luận ngắn, nêu rõ cải thiện tạm thời hay giữ lại lâu hơn; không liệt kê số không giải thích.</t>
  </si>
  <si>
    <t xml:space="preserve">Ví dụ mẫu cuối sheet; số thật phải được thay từ công cụ, không dùng mẫu cố định.</t>
  </si>
  <si>
    <t xml:space="preserve">Bảo toàn UC01 và UC02</t>
  </si>
  <si>
    <t xml:space="preserve">Giữ snapshot UC01/UC02 trong mỗi lần mô phỏng; bản v11 đã đồng bộ FOB và Miller–Orr cho toàn bộ workbook.</t>
  </si>
  <si>
    <t xml:space="preserve">UC04 thay lịch sự kiện và tiền mô phỏng, không sửa W lịch sử hoặc ngưỡng.</t>
  </si>
  <si>
    <t xml:space="preserve">Chẩn đoán W tại AsOf không đổi vì một phép thử dòng tiền tương lai.</t>
  </si>
  <si>
    <t xml:space="preserve">Kết luận khi không có gap</t>
  </si>
  <si>
    <t xml:space="preserve">Vẫn chạy stress, giữ nguyên cũng là một kết quả hợp lệ.</t>
  </si>
  <si>
    <t xml:space="preserve">Không tự tạo nhu cầu vay hoặc đầu tư. Dư bền cần dữ liệu đủ và stress phù hợp trước khi phân bổ.</t>
  </si>
  <si>
    <t xml:space="preserve">Thừa tiền: M2 đầu tư ngắn hạn có kiểm tra; M4/M6 giữ dự trữ. Trong vùng L–H: theo dõi.</t>
  </si>
  <si>
    <t xml:space="preserve">Phạm vi kiểm thử</t>
  </si>
  <si>
    <t xml:space="preserve">Workbook có công thức minh họa sống và ca đối chiếu; backend Decimal, quyền, audit và phân bổ nhiều phần còn phải nghiệm thu.</t>
  </si>
  <si>
    <t xml:space="preserve">Thay input kiểm phạm vi vùng 122 sự kiện; thêm event ngoài dòng 341 phải mở rộng vùng.</t>
  </si>
  <si>
    <t xml:space="preserve">Không tuyên bố đã có backend hoặc đã kiểm thử mọi bản Excel.</t>
  </si>
  <si>
    <t xml:space="preserve">Ô ma trận</t>
  </si>
  <si>
    <t xml:space="preserve">Câu hỏi UC04 cần trả lời</t>
  </si>
  <si>
    <t xml:space="preserve">Phép thử ưu tiên</t>
  </si>
  <si>
    <t xml:space="preserve">Điều không được kết luận</t>
  </si>
  <si>
    <t xml:space="preserve">M1 · W0 / Thiếu</t>
  </si>
  <si>
    <t xml:space="preserve">Thiếu tạm thời có được bù đúng hạn?</t>
  </si>
  <si>
    <t xml:space="preserve">Mô phỏng nguồn tiền và chi phí; vay ngắn hạn theo UC03.</t>
  </si>
  <si>
    <t xml:space="preserve">Không tự kết luận nguyên nhân chỉ do lệch lịch.</t>
  </si>
  <si>
    <t xml:space="preserve">M2 · W0 / Thừa</t>
  </si>
  <si>
    <t xml:space="preserve">Đầu tư ngắn hạn có giữ được Z và nghĩa vụ tương lai?</t>
  </si>
  <si>
    <t xml:space="preserve">Stress thu chậm, kiểm tra tiền an toàn.</t>
  </si>
  <si>
    <t xml:space="preserve">Không dùng toàn bộ số dư làm vốn đầu tư.</t>
  </si>
  <si>
    <t xml:space="preserve">M3 · W1 / Thiếu</t>
  </si>
  <si>
    <t xml:space="preserve">Thu phải thu và giãn NCC có bù đúng ngày?</t>
  </si>
  <si>
    <t xml:space="preserve">Thu sớm một phần rồi giãn khoản được phép.</t>
  </si>
  <si>
    <t xml:space="preserve">Không bỏ chi phí hoặc nghĩa vụ sau kỳ.</t>
  </si>
  <si>
    <t xml:space="preserve">M4 · W1 / Thừa</t>
  </si>
  <si>
    <t xml:space="preserve">Tiền dự trữ có đủ nếu thu về chậm?</t>
  </si>
  <si>
    <t xml:space="preserve">Giữ dự trữ; stress khách đang giữ vốn.</t>
  </si>
  <si>
    <t xml:space="preserve">Không tự chuyển tiền thừa sang đầu tư.</t>
  </si>
  <si>
    <t xml:space="preserve">M5 · W2 / Thiếu</t>
  </si>
  <si>
    <t xml:space="preserve">Giải phóng AR/INV/AP có đủ, trước khi vay?</t>
  </si>
  <si>
    <t xml:space="preserve">Tổ hợp thu sớm, bán tồn, giãn NCC; stress bất lợi.</t>
  </si>
  <si>
    <t xml:space="preserve">Không xóa W2 vì tiền mô phỏng tăng.</t>
  </si>
  <si>
    <t xml:space="preserve">M6 · W2 / Thừa</t>
  </si>
  <si>
    <t xml:space="preserve">Dự trữ có che lấp điểm nghẽn vốn lưu động?</t>
  </si>
  <si>
    <t xml:space="preserve">Giữ dự trữ; stress thu chậm và nghĩa vụ sau kỳ.</t>
  </si>
  <si>
    <t xml:space="preserve">Không coi thừa tiền là đã giải quyết điểm nghẽn.</t>
  </si>
  <si>
    <t xml:space="preserve">Mục đầu ra</t>
  </si>
  <si>
    <t xml:space="preserve">Nội dung phải có</t>
  </si>
  <si>
    <t xml:space="preserve">Nguồn</t>
  </si>
  <si>
    <t xml:space="preserve">Tóm tắt phép thử</t>
  </si>
  <si>
    <t xml:space="preserve">Khách/NCC/lô được chọn, tỷ lệ và ngày dịch, phần có lịch xác nhận bị thay.</t>
  </si>
  <si>
    <t xml:space="preserve">Giả sử khách X trả sớm ... ngày trên ...% phần dư ...; NCC Y cho lùi ...; bán ...% lô Z.</t>
  </si>
  <si>
    <t xml:space="preserve">B7:B27; ledger</t>
  </si>
  <si>
    <t xml:space="preserve">Tác động tiền</t>
  </si>
  <si>
    <t xml:space="preserve">Đáy trước/sau và ngày; mức thiếu lớn nhất, số ngày dưới L, tác động tại ngày trọng yếu.</t>
  </si>
  <si>
    <t xml:space="preserve">... vẫn thiếu ...; chỉ ... ngày được cải thiện. Nếu đáy không đổi thì giải thích các khoản thu đều về trước đợt chi cuối kỳ.</t>
  </si>
  <si>
    <t xml:space="preserve">F01_UC4 E4:H40 và daily</t>
  </si>
  <si>
    <t xml:space="preserve">Chi phí và khả năng đảo ngược</t>
  </si>
  <si>
    <t xml:space="preserve">Chiết khấu, phí, giảm giá trị; phần nợ dời sau 29/09; ngày xấu đi.</t>
  </si>
  <si>
    <t xml:space="preserve">Giãn ... đồng chỉ chuyển ngày trả, không xóa nghĩa vụ. Tồn bán thu ròng ... khác giá ghi sổ ...</t>
  </si>
  <si>
    <t xml:space="preserve">Ledger; cost; tail</t>
  </si>
  <si>
    <t xml:space="preserve">Stress và giới hạn</t>
  </si>
  <si>
    <t xml:space="preserve">Kịch bản đang chọn và những gì chưa thử; số liệu hư cấu, thuế chưa mô hình.</t>
  </si>
  <si>
    <t xml:space="preserve">Kết quả là mô phỏng từ dữ liệu tại 30/06/2026, không xác nhận khách trả hay NCC đồng ý.</t>
  </si>
  <si>
    <t xml:space="preserve">meta, assumptions, issues</t>
  </si>
  <si>
    <t xml:space="preserve">Liên kết UC03 sau này</t>
  </si>
  <si>
    <t xml:space="preserve">Nếu nguồn nội bộ chưa đủ, chuyển remaining_gap, need_date, affected_events, assumptions và tail.</t>
  </si>
  <si>
    <t xml:space="preserve">Không tự tạo financing option hoặc dùng danh mục cũ để lấp gap.</t>
  </si>
  <si>
    <t xml:space="preserve">UC03 là giai đoạn tiếp theo</t>
  </si>
  <si>
    <t xml:space="preserve">Cách đọc stress</t>
  </si>
  <si>
    <t xml:space="preserve">Thu sớm ít hơn có thể làm chiết khấu giảm, nên đáy cuối kỳ có thể cao hơn dù số ngày thiếu tăng.</t>
  </si>
  <si>
    <t xml:space="preserve">Phải so cả thời điểm, số ngày thiếu, ngày xấu đi và chi phí; không xếp hạng chỉ theo MinCash.</t>
  </si>
  <si>
    <t xml:space="preserve">Stress kiểm tác động có điều kiện; không phải dự đoán xác suất.</t>
  </si>
  <si>
    <t xml:space="preserve">Mã kiểm thử</t>
  </si>
  <si>
    <t xml:space="preserve">Thiết lập / thao tác</t>
  </si>
  <si>
    <t xml:space="preserve">Kết quả bắt buộc</t>
  </si>
  <si>
    <t xml:space="preserve">Phạm vi xác nhận</t>
  </si>
  <si>
    <t xml:space="preserve">U4-T01</t>
  </si>
  <si>
    <t xml:space="preserve">Case0: giữ nguyên.</t>
  </si>
  <si>
    <t xml:space="preserve">Khớp nền ở 91 ngày; phần chuyển và chi phí bằng 0.</t>
  </si>
  <si>
    <t xml:space="preserve">Đã đối chiếu workbook.</t>
  </si>
  <si>
    <t xml:space="preserve">U4-T02</t>
  </si>
  <si>
    <t xml:space="preserve">Case1: thu sớm 7 ngày; giãn 14 ngày; bán 50% L27.</t>
  </si>
  <si>
    <t xml:space="preserve">Đảo phần dịch ở ngày cũ, thêm tiền ròng ngày mới; phần còn lại giữ nguyên.</t>
  </si>
  <si>
    <t xml:space="preserve">Đã đối chiếu ledger, daily và kết quả.</t>
  </si>
  <si>
    <t xml:space="preserve">U4-T03</t>
  </si>
  <si>
    <t xml:space="preserve">Case2…5: chỉ thu sớm được 50%, NCC từ chối, bán chậm và kết hợp.</t>
  </si>
  <si>
    <t xml:space="preserve">Phần không thu sớm giữ ngày nền; NCC từ chối không thu phí giãn; tồn bán chậm đúng 21 ngày.</t>
  </si>
  <si>
    <t xml:space="preserve">Đã đối chiếu từng kịch bản.</t>
  </si>
  <si>
    <t xml:space="preserve">U4-T04</t>
  </si>
  <si>
    <t xml:space="preserve">Case6: khách trả chậm 14 ngày.</t>
  </si>
  <si>
    <t xml:space="preserve">Chỉ dịch thu khách; không chiết khấu, không giãn AP, không bán kho. Bắt cả ngày thiếu cũ xấu đi.</t>
  </si>
  <si>
    <t xml:space="preserve">Đã đối chiếu 91 ngày.</t>
  </si>
  <si>
    <t xml:space="preserve">U4-T05</t>
  </si>
  <si>
    <t xml:space="preserve">Tỷ lệ các đòn bẩy=0; số ngày dịch=0.</t>
  </si>
  <si>
    <t xml:space="preserve">Không tạo phí khi không dịch; đường tiền giữ nền.</t>
  </si>
  <si>
    <t xml:space="preserve">Đã kiểm hai cấu hình.</t>
  </si>
  <si>
    <t xml:space="preserve">U4-T06</t>
  </si>
  <si>
    <t xml:space="preserve">B12=1 để thử thay lịch confirmed; B17=0 với NCC thiết yếu.</t>
  </si>
  <si>
    <t xml:space="preserve">Lịch confirmed chỉ thay khi cho phép; thiếu xác nhận thử giãn NCC thiết yếu thì chặn.</t>
  </si>
  <si>
    <t xml:space="preserve">Đã kiểm input thay đổi.</t>
  </si>
  <si>
    <t xml:space="preserve">U4-T07</t>
  </si>
  <si>
    <t xml:space="preserve">Lô L06, L17, L33 hoặc ID không tồn tại.</t>
  </si>
  <si>
    <t xml:space="preserve">Chặn vì chưa rõ cầm cố, hàng khách, đã cầm cố hoặc thiếu ID; không hiển thị kết quả sau.</t>
  </si>
  <si>
    <t xml:space="preserve">Đã kiểm từng trường hợp.</t>
  </si>
  <si>
    <t xml:space="preserve">U4-T08</t>
  </si>
  <si>
    <t xml:space="preserve">Giãn 120 ngày; bán sau 120 ngày.</t>
  </si>
  <si>
    <t xml:space="preserve">Khoản ngoài kỳ vẫn hiện; có nợ giãn sau kỳ thì Chưa đủ đánh giá.</t>
  </si>
  <si>
    <t xml:space="preserve">Đã kiểm TailPay/TailReceipt.</t>
  </si>
  <si>
    <t xml:space="preserve">U4-T09</t>
  </si>
  <si>
    <t xml:space="preserve">Ngày thu bán đúng End và End+1.</t>
  </si>
  <si>
    <t xml:space="preserve">End được tính; End+1 chỉ hiện khoản ngoài kỳ.</t>
  </si>
  <si>
    <t xml:space="preserve">Đã kiểm biên cắt kỳ.</t>
  </si>
  <si>
    <t xml:space="preserve">U4-T10</t>
  </si>
  <si>
    <t xml:space="preserve">Tỷ lệ 110%, ngày âm, thu hồi 0%, phần dịch 100%.</t>
  </si>
  <si>
    <t xml:space="preserve">Tham số sai bị chặn; thu hồi 0 không tạo tiền; 100% không vượt dư.</t>
  </si>
  <si>
    <t xml:space="preserve">Đã kiểm bốn cấu hình biên.</t>
  </si>
  <si>
    <t xml:space="preserve">U4-T11</t>
  </si>
  <si>
    <t xml:space="preserve">Case0 không nhập lô bán.</t>
  </si>
  <si>
    <t xml:space="preserve">Không chặn khi đòn bẩy lô không được dùng.</t>
  </si>
  <si>
    <t xml:space="preserve">Đã kiểm.</t>
  </si>
  <si>
    <t xml:space="preserve">U4-T12</t>
  </si>
  <si>
    <t xml:space="preserve">Cầu nối số dư và phân bổ từng sự kiện.</t>
  </si>
  <si>
    <t xml:space="preserve">Tiền sau−tiền nền=ΣΔ; phần giữ+phần dịch=tiền nguồn; sai số ≤1 VND.</t>
  </si>
  <si>
    <t xml:space="preserve">Đã đối chiếu độc lập 7 case.</t>
  </si>
  <si>
    <t xml:space="preserve">U4-T13</t>
  </si>
  <si>
    <t xml:space="preserve">Chia nhiều phần một hóa đơn; lô có khoản thu bán trùng nền; tái sử dụng.</t>
  </si>
  <si>
    <t xml:space="preserve">Không vượt dư và không cộng trùng. Tái sử dụng không tạo IN; phải có lịch mua tránh được mới giảm chi.</t>
  </si>
  <si>
    <t xml:space="preserve">Ca nghiệm thu backend; fixture chưa hỗ trợ overlap thu bán.</t>
  </si>
  <si>
    <t xml:space="preserve">U4-T14</t>
  </si>
  <si>
    <t xml:space="preserve">Sai firm/snapshot, thiếu quyền, lời giải thích không có fact hoặc ghi audit lỗi.</t>
  </si>
  <si>
    <t xml:space="preserve">Chặn đúng điểm; không thực thi hoặc phát hành ngoài quyền; Decimal và kiểm chứng cùng run.</t>
  </si>
  <si>
    <t xml:space="preserve">Ca nghiệm thu backend; không tuyên bố đã có ứng dụng.</t>
  </si>
  <si>
    <t xml:space="preserve">Ngưỡng SMEs, biến điều tiết và quy tắc áp dụng</t>
  </si>
  <si>
    <t xml:space="preserve">Khóa cấu hình</t>
  </si>
  <si>
    <t xml:space="preserve">Giá trị nguồn</t>
  </si>
  <si>
    <t xml:space="preserve">Đơn vị</t>
  </si>
  <si>
    <t xml:space="preserve">Áp dụng</t>
  </si>
  <si>
    <t xml:space="preserve">Giới hạn</t>
  </si>
  <si>
    <t xml:space="preserve">cash.mo.lower_ratio</t>
  </si>
  <si>
    <t xml:space="preserve">tỷ lệ DT năm</t>
  </si>
  <si>
    <t xml:space="preserve">L ngành (P25 Tiền/DT)</t>
  </si>
  <si>
    <t xml:space="preserve">B6_MillerOrr!C17</t>
  </si>
  <si>
    <t xml:space="preserve">20 DN FOB, 60 năm–DN, 2023–2025</t>
  </si>
  <si>
    <t xml:space="preserve">cash.mo.lower_min_owner</t>
  </si>
  <si>
    <t xml:space="preserve">Sàn do chủ DN đặt</t>
  </si>
  <si>
    <t xml:space="preserve">ThamSo!P25</t>
  </si>
  <si>
    <t xml:space="preserve">Giá trị mặc định nguồn</t>
  </si>
  <si>
    <t xml:space="preserve">cash.mo.sigma_annual_ratio</t>
  </si>
  <si>
    <t xml:space="preserve">tỷ lệ</t>
  </si>
  <si>
    <t xml:space="preserve">σ năm ngành / DT</t>
  </si>
  <si>
    <t xml:space="preserve">B6_MillerOrr!C18</t>
  </si>
  <si>
    <t xml:space="preserve">40 biến động năm 2024–2025</t>
  </si>
  <si>
    <t xml:space="preserve">cash.mo.sigma_daily_ratio</t>
  </si>
  <si>
    <t xml:space="preserve">σ ngày ngành / DT</t>
  </si>
  <si>
    <t xml:space="preserve">B6_MillerOrr!C20</t>
  </si>
  <si>
    <t xml:space="preserve">Dự phòng ngành; không dùng nếu đủ lịch sử DN</t>
  </si>
  <si>
    <t xml:space="preserve">cash.mo.min_daily_obs</t>
  </si>
  <si>
    <t xml:space="preserve">Số quan sát ngày tối thiểu</t>
  </si>
  <si>
    <t xml:space="preserve">ThamSo!P26</t>
  </si>
  <si>
    <t xml:space="preserve">Dùng lịch sử trong tối đa 3 năm</t>
  </si>
  <si>
    <t xml:space="preserve">cash.mo.transaction_cost</t>
  </si>
  <si>
    <t xml:space="preserve">VND/lần</t>
  </si>
  <si>
    <t xml:space="preserve">F: chi phí chuyển đổi</t>
  </si>
  <si>
    <t xml:space="preserve">ThamSo!P22</t>
  </si>
  <si>
    <t xml:space="preserve">demo_assumption</t>
  </si>
  <si>
    <t xml:space="preserve">cash.mo.rate_annual</t>
  </si>
  <si>
    <t xml:space="preserve">tỷ lệ/năm</t>
  </si>
  <si>
    <t xml:space="preserve">r năm: chi phí cơ hội</t>
  </si>
  <si>
    <t xml:space="preserve">ThamSo!P23</t>
  </si>
  <si>
    <t xml:space="preserve">demo_assumption; không là lãi suất vay</t>
  </si>
  <si>
    <t xml:space="preserve">cash.mo.days_per_year</t>
  </si>
  <si>
    <t xml:space="preserve">Quy đổi về ngày</t>
  </si>
  <si>
    <t xml:space="preserve">ThamSo!P24</t>
  </si>
  <si>
    <t xml:space="preserve">cash.mo.annual_change_obs</t>
  </si>
  <si>
    <t xml:space="preserve">quan sát</t>
  </si>
  <si>
    <t xml:space="preserve">Số quan sát biến động ngành</t>
  </si>
  <si>
    <t xml:space="preserve">B6_MillerOrr!C19</t>
  </si>
  <si>
    <t xml:space="preserve">wc.dso.reference.fob</t>
  </si>
  <si>
    <t xml:space="preserve">Phải thu – tham chiếu (P50)</t>
  </si>
  <si>
    <t xml:space="preserve">verified_reference: FiinTrade 2023–2025, 20 DN may FOB</t>
  </si>
  <si>
    <t xml:space="preserve">wc.dso.watch.fob</t>
  </si>
  <si>
    <t xml:space="preserve">Phải thu – R-AR-1 → Có nguy cơ</t>
  </si>
  <si>
    <t xml:space="preserve">wc.dso.severe.fob</t>
  </si>
  <si>
    <t xml:space="preserve">Phải thu – R-AR-2 → Thiếu trầm trọng</t>
  </si>
  <si>
    <t xml:space="preserve">wc.dio.reference.fob</t>
  </si>
  <si>
    <t xml:space="preserve">Tồn kho – tham chiếu (P50)</t>
  </si>
  <si>
    <t xml:space="preserve">wc.dio.watch.fob</t>
  </si>
  <si>
    <t xml:space="preserve">Tồn kho – R-INV-1 → Có nguy cơ</t>
  </si>
  <si>
    <t xml:space="preserve">wc.dio.severe.fob</t>
  </si>
  <si>
    <t xml:space="preserve">Tồn kho – R-INV-2 → Thiếu trầm trọng</t>
  </si>
  <si>
    <t xml:space="preserve">wc.dpo.high_info.fob</t>
  </si>
  <si>
    <t xml:space="preserve">Phải trả – R-AP-INFO</t>
  </si>
  <si>
    <t xml:space="preserve">wc.dpo.low.fob</t>
  </si>
  <si>
    <t xml:space="preserve">Phải trả – R-AP-1</t>
  </si>
  <si>
    <t xml:space="preserve">liq.cash_buffer.thin.fob</t>
  </si>
  <si>
    <t xml:space="preserve">% doanh thu</t>
  </si>
  <si>
    <t xml:space="preserve">Phải trả – R-AP-1 (điều kiện kèm)</t>
  </si>
  <si>
    <t xml:space="preserve">wc.materiality_share</t>
  </si>
  <si>
    <t xml:space="preserve">tỷ lệ TSNH</t>
  </si>
  <si>
    <t xml:space="preserve">R-MAT → W2</t>
  </si>
  <si>
    <t xml:space="preserve">owner_policy (mặc định demo)</t>
  </si>
  <si>
    <t xml:space="preserve">Chủ DN duyệt; độ nhạy ở B5</t>
  </si>
  <si>
    <t xml:space="preserve">wc.severe_forces_w2</t>
  </si>
  <si>
    <t xml:space="preserve">cờ</t>
  </si>
  <si>
    <t xml:space="preserve">R-AR-2 / R-INV-2 → W2</t>
  </si>
  <si>
    <t xml:space="preserve">owner_policy</t>
  </si>
  <si>
    <t xml:space="preserve">scope.reference_start</t>
  </si>
  <si>
    <t xml:space="preserve">năm</t>
  </si>
  <si>
    <t xml:space="preserve">Đầu cửa sổ chuẩn ngành</t>
  </si>
  <si>
    <t xml:space="preserve">ThamSo!P19</t>
  </si>
  <si>
    <t xml:space="preserve">Chỉ FOB</t>
  </si>
  <si>
    <t xml:space="preserve">scope.reference_end</t>
  </si>
  <si>
    <t xml:space="preserve">Cuối cửa sổ chuẩn ngành</t>
  </si>
  <si>
    <t xml:space="preserve">ThamSo!P20</t>
  </si>
  <si>
    <t xml:space="preserve">20 DN, 60 năm–DN</t>
  </si>
  <si>
    <t xml:space="preserve">wc.factor.size</t>
  </si>
  <si>
    <t xml:space="preserve">hệ số</t>
  </si>
  <si>
    <t xml:space="preserve">Mọi ngưỡng</t>
  </si>
  <si>
    <t xml:space="preserve">verified_reference</t>
  </si>
  <si>
    <t xml:space="preserve">Không khác biệt có ý nghĩa → 1</t>
  </si>
  <si>
    <t xml:space="preserve">wc.factor.season</t>
  </si>
  <si>
    <t xml:space="preserve">Ngưỡng DSO, DIO</t>
  </si>
  <si>
    <t xml:space="preserve">Chưa hiệu chỉnh</t>
  </si>
  <si>
    <t xml:space="preserve">ar.invoice.overdue_watch_rho</t>
  </si>
  <si>
    <t xml:space="preserve">lần</t>
  </si>
  <si>
    <t xml:space="preserve">Cấp hóa đơn: ngày quá hạn / kỳ hạn</t>
  </si>
  <si>
    <t xml:space="preserve">Không hiệu chỉnh được từ BCTC</t>
  </si>
  <si>
    <t xml:space="preserve">ar.invoice.overdue_severe_rho</t>
  </si>
  <si>
    <t xml:space="preserve">Cấp hóa đơn</t>
  </si>
  <si>
    <t xml:space="preserve">inv.lot.slow_days.nvl_hh</t>
  </si>
  <si>
    <t xml:space="preserve">Cấp lô: NVL, hàng hóa</t>
  </si>
  <si>
    <t xml:space="preserve">inv.lot.slow_days.btp_tp</t>
  </si>
  <si>
    <t xml:space="preserve">Cấp lô: BTP, thành phẩm</t>
  </si>
  <si>
    <t xml:space="preserve">Nguồn chuẩn: Nguong_SMEs_FOB_2023_2025 (1).xlsx; Nguong_SRS config_version fob.threshold.v3. Số liệu nguồn được giữ đủ độ chính xác; F01 là dữ liệu tạo sinh riêng.</t>
  </si>
  <si>
    <t xml:space="preserve">P10 ngành</t>
  </si>
  <si>
    <t xml:space="preserve">P25 ngành</t>
  </si>
  <si>
    <t xml:space="preserve">P50 ngành</t>
  </si>
  <si>
    <t xml:space="preserve">P75 ngành</t>
  </si>
  <si>
    <t xml:space="preserve">P90 ngành</t>
  </si>
  <si>
    <t xml:space="preserve">Trung vị nhỏ–vừa FOB</t>
  </si>
  <si>
    <t xml:space="preserve">Trung vị FOB</t>
  </si>
  <si>
    <t xml:space="preserve">p-value</t>
  </si>
  <si>
    <t xml:space="preserve">Hệ số quy mô</t>
  </si>
  <si>
    <t xml:space="preserve">Cash</t>
  </si>
  <si>
    <t xml:space="preserve">Ngưỡng FOB tính lại</t>
  </si>
  <si>
    <t xml:space="preserve">Giá trị</t>
  </si>
  <si>
    <t xml:space="preserve">DSO theo dõi</t>
  </si>
  <si>
    <t xml:space="preserve">P75 DSO FOB × hệ số quy mô × mùa vụ</t>
  </si>
  <si>
    <t xml:space="preserve">DSO nghiêm trọng</t>
  </si>
  <si>
    <t xml:space="preserve">P90 DSO FOB × hệ số quy mô × mùa vụ</t>
  </si>
  <si>
    <t xml:space="preserve">DIO theo dõi</t>
  </si>
  <si>
    <t xml:space="preserve">P75 DIO FOB × hệ số quy mô × mùa vụ</t>
  </si>
  <si>
    <t xml:space="preserve">DIO nghiêm trọng</t>
  </si>
  <si>
    <t xml:space="preserve">P90 DIO FOB × hệ số quy mô × mùa vụ</t>
  </si>
  <si>
    <t xml:space="preserve">DPO thấp</t>
  </si>
  <si>
    <t xml:space="preserve">P10 DPO FOB × hệ số quy mô</t>
  </si>
  <si>
    <t xml:space="preserve">DPO cao (thông tin)</t>
  </si>
  <si>
    <t xml:space="preserve">P75 DPO FOB × hệ số quy mô</t>
  </si>
  <si>
    <t xml:space="preserve">Tiền mỏng (tỷ lệ năm)</t>
  </si>
  <si>
    <t xml:space="preserve">P25 (Tiền+ĐTNH)/DT FOB × hệ số quy mô</t>
  </si>
  <si>
    <t xml:space="preserve">L – giới hạn dưới (VND)</t>
  </si>
  <si>
    <t xml:space="preserve">L = MAX(tỷ lệ tiền ngành × TTM; sàn chủ DN)</t>
  </si>
  <si>
    <t xml:space="preserve">Z – mức tiền mục tiêu (VND)</t>
  </si>
  <si>
    <t xml:space="preserve">Z = L + S/3; đơn vị VND</t>
  </si>
  <si>
    <t xml:space="preserve">H – giới hạn trên (VND)</t>
  </si>
  <si>
    <t xml:space="preserve">H = L + S; đơn vị VND</t>
  </si>
  <si>
    <t xml:space="preserve">Quy tắc</t>
  </si>
  <si>
    <t xml:space="preserve">Giá trị / phép tính</t>
  </si>
  <si>
    <t xml:space="preserve">Mức trọng yếu</t>
  </si>
  <si>
    <t xml:space="preserve">5% TSNH, owner_policy</t>
  </si>
  <si>
    <t xml:space="preserve">Nghiêm trọng tự nâng W2</t>
  </si>
  <si>
    <t xml:space="preserve">Cờ 1 đúng B4 nguồn</t>
  </si>
  <si>
    <t xml:space="preserve">Cảnh báo trong vùng</t>
  </si>
  <si>
    <t xml:space="preserve">L ≤ Tiền ≤ H: không phát cảnh báo thiếu</t>
  </si>
  <si>
    <t xml:space="preserve">Cảnh báo thiếu</t>
  </si>
  <si>
    <t xml:space="preserve">Tiền &lt; L: Đỏ; tiền âm ghi riêng</t>
  </si>
  <si>
    <t xml:space="preserve">Điều kiện thiếu</t>
  </si>
  <si>
    <t xml:space="preserve">Cash &lt; L</t>
  </si>
  <si>
    <t xml:space="preserve">Mức cần bổ sung = Z − Cash khi dưới L</t>
  </si>
  <si>
    <t xml:space="preserve">Số ngày kích hoạt dư</t>
  </si>
  <si>
    <t xml:space="preserve">Có ngày Cash &gt; H; không yêu cầu 14 ngày theo file ngưỡng</t>
  </si>
  <si>
    <t xml:space="preserve">Lô NVL/HH chậm</t>
  </si>
  <si>
    <t xml:space="preserve">Ngày, demo_assumption</t>
  </si>
  <si>
    <t xml:space="preserve">Lô BTP/TP chậm</t>
  </si>
  <si>
    <t xml:space="preserve">Rho cảnh báo</t>
  </si>
  <si>
    <t xml:space="preserve">Theo hợp đồng, không thay W ngành</t>
  </si>
  <si>
    <t xml:space="preserve">Rho nghiêm trọng</t>
  </si>
  <si>
    <t xml:space="preserve">W / trạng thái tiền</t>
  </si>
  <si>
    <t xml:space="preserve">TH01 Thiếu: Tiền &lt; L</t>
  </si>
  <si>
    <t xml:space="preserve">TH02 Thừa: Tiền &gt; H</t>
  </si>
  <si>
    <t xml:space="preserve">L ≤ Tiền ≤ H: theo dõi</t>
  </si>
  <si>
    <t xml:space="preserve">W0</t>
  </si>
  <si>
    <t xml:space="preserve">M1</t>
  </si>
  <si>
    <t xml:space="preserve">M2</t>
  </si>
  <si>
    <t xml:space="preserve">Không gán ô, không hành động</t>
  </si>
  <si>
    <t xml:space="preserve">M3</t>
  </si>
  <si>
    <t xml:space="preserve">M4</t>
  </si>
  <si>
    <t xml:space="preserve">W2</t>
  </si>
  <si>
    <t xml:space="preserve">M5</t>
  </si>
  <si>
    <t xml:space="preserve">M6</t>
  </si>
  <si>
    <t xml:space="preserve">Miller–Orr cho F01</t>
  </si>
  <si>
    <t xml:space="preserve">Đơn vị / cách tính</t>
  </si>
  <si>
    <t xml:space="preserve">Số ngày lịch sử</t>
  </si>
  <si>
    <t xml:space="preserve">D_flows; đủ ngày không đồng nghĩa có giao dịch mỗi ngày</t>
  </si>
  <si>
    <t xml:space="preserve">σ ngày của DN</t>
  </si>
  <si>
    <t xml:space="preserve">VND/ngày</t>
  </si>
  <si>
    <t xml:space="preserve">Dòng tiền ròng đã loại chuyển nội bộ</t>
  </si>
  <si>
    <t xml:space="preserve">σ ngày áp dụng</t>
  </si>
  <si>
    <t xml:space="preserve">Ưu tiên lịch sử DN; dự phòng ngành theo cấu hình nguồn</t>
  </si>
  <si>
    <t xml:space="preserve">Nguồn σ</t>
  </si>
  <si>
    <t xml:space="preserve">Cửa sổ tối đa 3 năm trước AsOf</t>
  </si>
  <si>
    <t xml:space="preserve">Lãi suất ngày</t>
  </si>
  <si>
    <t xml:space="preserve">tỷ lệ/ngày</t>
  </si>
  <si>
    <t xml:space="preserve">Lãi suất năm / 365</t>
  </si>
  <si>
    <t xml:space="preserve">Khoảng dao động S</t>
  </si>
  <si>
    <t xml:space="preserve">Miller–Orr: 3 × căn bậc ba(3Fσ²/4r)</t>
  </si>
  <si>
    <t xml:space="preserve">Giới hạn dưới L</t>
  </si>
  <si>
    <t xml:space="preserve">Chặn dưới bởi chính sách DN</t>
  </si>
  <si>
    <t xml:space="preserve">Mục tiêu Z</t>
  </si>
  <si>
    <t xml:space="preserve">L+S/3</t>
  </si>
  <si>
    <t xml:space="preserve">Giới hạn trên H</t>
  </si>
  <si>
    <t xml:space="preserve">L+S = 3Z−2L</t>
  </si>
  <si>
    <t xml:space="preserve">Doanh thu 12 tháng kết thúc AsOf, dữ liệu tạo sinh</t>
  </si>
  <si>
    <t xml:space="preserve">Mức tiền bình quân mô hình</t>
  </si>
  <si>
    <t xml:space="preserve">Không dùng làm ngưỡng phân loại</t>
  </si>
  <si>
    <t xml:space="preserve">Cấu hình</t>
  </si>
  <si>
    <t xml:space="preserve">fob.threshold.v3</t>
  </si>
  <si>
    <t xml:space="preserve">Nguồn: Nguong_SRS</t>
  </si>
  <si>
    <t xml:space="preserve">Giả định DN luôn tải đủ dữ liệu; W0/W1/W2</t>
  </si>
  <si>
    <t xml:space="preserve">Ưu tiên trạng thái trong horizon</t>
  </si>
  <si>
    <t xml:space="preserve">Thiếu trước; nếu không thiếu thì xét thừa</t>
  </si>
  <si>
    <t xml:space="preserve">Quy ước tổng hợp triển khai</t>
  </si>
  <si>
    <t xml:space="preserve">Theo ngày vẫn lưu cả hai loại tín hiệu</t>
  </si>
  <si>
    <t xml:space="preserve">Đơn vị tiền</t>
  </si>
  <si>
    <t xml:space="preserve">VND; giữ số thập phân tính toán</t>
  </si>
  <si>
    <t xml:space="preserve">Chỉ làm tròn khi hiển thị</t>
  </si>
  <si>
    <t xml:space="preserve">Không cộng thiếu qua các ngày</t>
  </si>
  <si>
    <t xml:space="preserve">Căn cứ và phạm vi</t>
  </si>
  <si>
    <t xml:space="preserve">Cách sử dụng</t>
  </si>
  <si>
    <t xml:space="preserve">Mẫu ngành</t>
  </si>
  <si>
    <t xml:space="preserve">DN may FOB</t>
  </si>
  <si>
    <t xml:space="preserve">Không coi mọi DN niêm yết là SME pháp lý</t>
  </si>
  <si>
    <t xml:space="preserve">Số quan sát tỷ số</t>
  </si>
  <si>
    <t xml:space="preserve">2023–2025</t>
  </si>
  <si>
    <t xml:space="preserve">Mỗi DN tối đa 3 năm</t>
  </si>
  <si>
    <t xml:space="preserve">Biến động tiền</t>
  </si>
  <si>
    <t xml:space="preserve">2024–2025</t>
  </si>
  <si>
    <t xml:space="preserve">Proxy năm không phải dữ liệu dòng tiền ngày</t>
  </si>
  <si>
    <t xml:space="preserve">Quy mô nhỏ–vừa</t>
  </si>
  <si>
    <t xml:space="preserve">Ranh giới doanh thu kiểm định</t>
  </si>
  <si>
    <t xml:space="preserve">Không thay định nghĩa SME pháp lý</t>
  </si>
  <si>
    <t xml:space="preserve">Phân vị</t>
  </si>
  <si>
    <t xml:space="preserve">P50 / P75 / P90</t>
  </si>
  <si>
    <t xml:space="preserve">Tham chiếu / Có nguy cơ / Trầm trọng</t>
  </si>
  <si>
    <t xml:space="preserve">DPO thấp P10; tiền mỏng P25</t>
  </si>
  <si>
    <t xml:space="preserve">p-value từ B2 của nguồn</t>
  </si>
  <si>
    <t xml:space="preserve">Chưa tìm thấy khác biệt ở mức 5%</t>
  </si>
  <si>
    <t xml:space="preserve">Hệ số mùa vụ</t>
  </si>
  <si>
    <t xml:space="preserve">Không suy ra mùa vụ từ dữ liệu năm</t>
  </si>
  <si>
    <t xml:space="preserve">Trọng yếu</t>
  </si>
  <si>
    <t xml:space="preserve">MAX(vốn AR vượt; vốn INV vượt)/TSNH</t>
  </si>
  <si>
    <t xml:space="preserve">owner_policy, chưa tối ưu hóa thống kê</t>
  </si>
  <si>
    <t xml:space="preserve">DPO cao</t>
  </si>
  <si>
    <t xml:space="preserve">Không tự nâng W</t>
  </si>
  <si>
    <t xml:space="preserve">Kiểm tra quá hạn ở cấp hóa đơn</t>
  </si>
  <si>
    <t xml:space="preserve">Tiền ngành và tiền UC01</t>
  </si>
  <si>
    <t xml:space="preserve">Tiền/DT khác (Tiền+ĐTNH)/DT</t>
  </si>
  <si>
    <t xml:space="preserve">L dùng Tiền/DT; R-AP-1 dùng Tiền+ĐTNH</t>
  </si>
  <si>
    <t xml:space="preserve">Không trộn hai mẫu số/chỉ tiêu</t>
  </si>
  <si>
    <t xml:space="preserve">Dữ liệu F01</t>
  </si>
  <si>
    <t xml:space="preserve">Tạo sinh FOB</t>
  </si>
  <si>
    <t xml:space="preserve">Tự mua vải, phụ liệu; sở hữu NVL/BTP/TP</t>
  </si>
  <si>
    <t xml:space="preserve">Không sử dụng số liệu doanh nghiệp có thật</t>
  </si>
  <si>
    <t xml:space="preserve">Nguồn giá F, r</t>
  </si>
  <si>
    <t xml:space="preserve">Giả định demo theo file ngưỡng</t>
  </si>
  <si>
    <t xml:space="preserve">Chủ DN xác nhận khi dùng thật</t>
  </si>
  <si>
    <t xml:space="preserve">Không trình bày như báo giá ngân hàng</t>
  </si>
  <si>
    <t xml:space="preserve">Tham số nguồn</t>
  </si>
  <si>
    <t xml:space="preserve">Tên</t>
  </si>
  <si>
    <t xml:space="preserve">Căn cứ</t>
  </si>
  <si>
    <t xml:space="preserve">P1</t>
  </si>
  <si>
    <t xml:space="preserve">Phân vị mức THAM CHIẾU (bình thường)</t>
  </si>
  <si>
    <t xml:space="preserve">phân vị</t>
  </si>
  <si>
    <t xml:space="preserve">Trung vị ngành FOB: một nửa năm–DN FOB có số ngày thấp hơn.</t>
  </si>
  <si>
    <t xml:space="preserve">P2</t>
  </si>
  <si>
    <t xml:space="preserve">Phân vị ngưỡng CÓ NGUY CƠ (theo dõi)</t>
  </si>
  <si>
    <t xml:space="preserve">Cao hơn 75% năm–DN FOB → UC01 mức “Có nguy cơ”.</t>
  </si>
  <si>
    <t xml:space="preserve">P3</t>
  </si>
  <si>
    <t xml:space="preserve">Phân vị ngưỡng TRẦM TRỌNG</t>
  </si>
  <si>
    <t xml:space="preserve">Thập phân vị cao nhất ngành FOB → UC01 mức “Thiếu trầm trọng”.</t>
  </si>
  <si>
    <t xml:space="preserve">P4</t>
  </si>
  <si>
    <t xml:space="preserve">Phân vị DPO THẤP (NCC gần như không cho nợ)</t>
  </si>
  <si>
    <t xml:space="preserve">Chỉ là tín hiệu khi đi kèm tiền mỏng (P5) – quy tắc có điều kiện.</t>
  </si>
  <si>
    <t xml:space="preserve">P5</t>
  </si>
  <si>
    <t xml:space="preserve">Phân vị ĐỆM TIỀN mỏng ((Tiền + ĐTNH) / Doanh thu)</t>
  </si>
  <si>
    <t xml:space="preserve">Đệm tiền thấp hơn 75% năm–DN FOB.</t>
  </si>
  <si>
    <t xml:space="preserve">P6</t>
  </si>
  <si>
    <t xml:space="preserve">Mức TRỌNG YẾU: vốn vượt ngưỡng có nguy cơ / Tài sản ngắn hạn</t>
  </si>
  <si>
    <t xml:space="preserve">Chính sách chủ DN duyệt (materiality_share). Độ nhạy ở B5_KiemDinh.</t>
  </si>
  <si>
    <t xml:space="preserve">P7</t>
  </si>
  <si>
    <t xml:space="preserve">Vượt ngưỡng TRẦM TRỌNG thì xếp W2 dù chưa đạt trọng yếu (1 = có)</t>
  </si>
  <si>
    <t xml:space="preserve">Một khoản ở thập phân vị cao nhất ngành đã là điểm nghẽn.</t>
  </si>
  <si>
    <t xml:space="preserve">P8</t>
  </si>
  <si>
    <t xml:space="preserve">Doanh thu tối thiểu để coi là đang hoạt động</t>
  </si>
  <si>
    <t xml:space="preserve">đồng</t>
  </si>
  <si>
    <t xml:space="preserve">Loại năm gần như ngừng hoạt động (G20, MPT, GMC, VTI trong 2023–2025): số ngày khi đó vô nghĩa.</t>
  </si>
  <si>
    <t xml:space="preserve">P9</t>
  </si>
  <si>
    <t xml:space="preserve">Ranh giới nhóm quy mô Nhỏ–vừa / Lớn (doanh thu)</t>
  </si>
  <si>
    <t xml:space="preserve">Chia nhóm để kiểm định biến điều tiết quy mô.</t>
  </si>
  <si>
    <t xml:space="preserve">P10</t>
  </si>
  <si>
    <t xml:space="preserve">SME theo NĐ 80/2021: doanh thu tối đa (công nghiệp)</t>
  </si>
  <si>
    <t xml:space="preserve">Nghị định 80/2021/NĐ-CP, Điều 5.</t>
  </si>
  <si>
    <t xml:space="preserve">P11</t>
  </si>
  <si>
    <t xml:space="preserve">SME theo NĐ 80/2021: tổng nguồn vốn tối đa</t>
  </si>
  <si>
    <t xml:space="preserve">Như trên (chưa kiểm được tiêu chí lao động – FiinTrade không có).</t>
  </si>
  <si>
    <t xml:space="preserve">P12</t>
  </si>
  <si>
    <t xml:space="preserve">DIO trung vị dưới mức này → mô hình GIA CÔNG (CMT), loại khỏi mẫu FOB</t>
  </si>
  <si>
    <t xml:space="preserve">Gia công dùng nguyên liệu của khách nên gần như không có tồn kho: PTG 4, THM 5, DCG 9 ngày (2023–2025); DN FOB tiếp theo ≥ 23 ngày.</t>
  </si>
  <si>
    <t xml:space="preserve">P13</t>
  </si>
  <si>
    <t xml:space="preserve">Mức ý nghĩa để áp dụng một biến điều tiết</t>
  </si>
  <si>
    <t xml:space="preserve">Chỉ điều chỉnh khi khác biệt giữa các nhóm có ý nghĩa thống kê.</t>
  </si>
  <si>
    <t xml:space="preserve">P14</t>
  </si>
  <si>
    <t xml:space="preserve">Hệ số điều tiết tối thiểu</t>
  </si>
  <si>
    <t xml:space="preserve">Chặn dưới.</t>
  </si>
  <si>
    <t xml:space="preserve">P15</t>
  </si>
  <si>
    <t xml:space="preserve">Hệ số điều tiết tối đa</t>
  </si>
  <si>
    <t xml:space="preserve">Chặn trên.</t>
  </si>
  <si>
    <t xml:space="preserve">P16</t>
  </si>
  <si>
    <t xml:space="preserve">Hệ số mùa vụ (áp lên ngưỡng DSO, DIO)</t>
  </si>
  <si>
    <t xml:space="preserve">CHƯA HIỆU CHỈNH: số liệu năm chốt 31/12.</t>
  </si>
  <si>
    <t xml:space="preserve">P17</t>
  </si>
  <si>
    <t xml:space="preserve">Biến cố năm sau: doanh thu giảm hơn</t>
  </si>
  <si>
    <t xml:space="preserve">Biến cố = năm sau lỗ HOẶC doanh thu giảm &gt; 30% (chỉ để kiểm định).</t>
  </si>
  <si>
    <t xml:space="preserve">P18</t>
  </si>
  <si>
    <t xml:space="preserve">Năm hiển thị ở sheet TongHop2025</t>
  </si>
  <si>
    <t xml:space="preserve">Đổi để xem năm khác trong cửa sổ P19–P20.</t>
  </si>
  <si>
    <t xml:space="preserve">P19</t>
  </si>
  <si>
    <t xml:space="preserve">Năm đầu cửa sổ dữ liệu</t>
  </si>
  <si>
    <t xml:space="preserve">Theo góp ý của giảng viên: chỉ dùng 3 năm gần nhất của DN và ngành.</t>
  </si>
  <si>
    <t xml:space="preserve">P20</t>
  </si>
  <si>
    <t xml:space="preserve">Năm cuối cửa sổ dữ liệu</t>
  </si>
  <si>
    <t xml:space="preserve">Năm tài chính gần nhất có BCTC (chốt 31/12/2025).</t>
  </si>
  <si>
    <t xml:space="preserve">P21</t>
  </si>
  <si>
    <t xml:space="preserve">Miller–Orr: phân vị Tiền / Doanh thu ngành FOB dùng làm giới hạn dưới L</t>
  </si>
  <si>
    <t xml:space="preserve">L = mức tiền tối thiểu: dưới L thì DN giữ ít tiền hơn 75% năm–DN FOB → UC02 “Thiếu tiền”.</t>
  </si>
  <si>
    <t xml:space="preserve">P22</t>
  </si>
  <si>
    <t xml:space="preserve">Miller–Orr: chi phí một lần chuyển đổi tiền ↔ đầu tư / vay (F)</t>
  </si>
  <si>
    <t xml:space="preserve">đồng / lần</t>
  </si>
  <si>
    <t xml:space="preserve">demo_assumption: phí chuyển khoản, phí tất toán, thời gian kế toán. DN nhập lại theo ngân hàng giao dịch.</t>
  </si>
  <si>
    <t xml:space="preserve">P23</t>
  </si>
  <si>
    <t xml:space="preserve">Miller–Orr: lãi suất cơ hội năm của tiền nhàn rỗi (r)</t>
  </si>
  <si>
    <t xml:space="preserve">%/năm</t>
  </si>
  <si>
    <t xml:space="preserve">Trần lãi suất tiền gửi kỳ hạn dưới 6 tháng (4,75%/năm), mức nhiều ngân hàng niêm yết năm 2026.</t>
  </si>
  <si>
    <t xml:space="preserve">P24</t>
  </si>
  <si>
    <t xml:space="preserve">Số ngày trong năm</t>
  </si>
  <si>
    <t xml:space="preserve">Quy đổi lãi suất năm, độ lệch chuẩn năm sang ngày.</t>
  </si>
  <si>
    <t xml:space="preserve">P25</t>
  </si>
  <si>
    <t xml:space="preserve">Miller–Orr: L tối thiểu do chủ DN đặt (vd lương + thuế + nợ đến hạn 2 tuần)</t>
  </si>
  <si>
    <t xml:space="preserve">L áp dụng = MAX(L ngành × doanh thu; P25). Mặc định 0 = chỉ dùng L ngành.</t>
  </si>
  <si>
    <t xml:space="preserve">P26</t>
  </si>
  <si>
    <t xml:space="preserve">Miller–Orr: số ngày dữ liệu tối thiểu để dùng σ riêng của DN</t>
  </si>
  <si>
    <t xml:space="preserve">Đủ ≥ 90 ngày dòng tiền ròng (trong 3 năm gần nhất) thì dùng σ ngày của chính DN; thiếu thì dùng σ ngành × doanh thu.</t>
  </si>
  <si>
    <t xml:space="preserve">Ô</t>
  </si>
  <si>
    <t xml:space="preserve">W</t>
  </si>
  <si>
    <t xml:space="preserve">Trạng thái tiền</t>
  </si>
  <si>
    <t xml:space="preserve">Ưu tiên giải pháp</t>
  </si>
  <si>
    <t xml:space="preserve">Giải thích</t>
  </si>
  <si>
    <t xml:space="preserve">An toàn</t>
  </si>
  <si>
    <t xml:space="preserve">Thiếu</t>
  </si>
  <si>
    <t xml:space="preserve">1. Vay ngắn hạn (short-term financing)</t>
  </si>
  <si>
    <t xml:space="preserve">Vốn lưu động lành mạnh, thiếu là tạm thời; vay ngắn hạn nhanh, chi phí thấp, không ảnh hưởng quan hệ khách hàng và NCC.</t>
  </si>
  <si>
    <t xml:space="preserve">Thừa</t>
  </si>
  <si>
    <t xml:space="preserve">1. Đầu tư ngắn hạn phần (Tiền − Z)</t>
  </si>
  <si>
    <t xml:space="preserve">Thừa ít và không có điểm nghẽn: tiền nhàn rỗi nên sinh lời; giữ lại tối thiểu Z.</t>
  </si>
  <si>
    <t xml:space="preserve">Có nguy cơ</t>
  </si>
  <si>
    <t xml:space="preserve">1. Thu hồi phải thu (AR) → 2. Giãn trả NCC (AP)</t>
  </si>
  <si>
    <t xml:space="preserve">Xử lý đúng điểm đang giữ vốn trước khi đi vay.</t>
  </si>
  <si>
    <t xml:space="preserve">1. Giữ làm dự trữ</t>
  </si>
  <si>
    <t xml:space="preserve">Có dấu hiệu nghẽn: tiền dư là đệm cho rủi ro, chưa nên đầu tư.</t>
  </si>
  <si>
    <t xml:space="preserve">Thiếu trầm trọng</t>
  </si>
  <si>
    <t xml:space="preserve">1. AR → 2. Hàng tồn kho → 3. AP → 4. Vay (chỉ khi 3 nguồn trên chưa đủ)</t>
  </si>
  <si>
    <t xml:space="preserve">Vốn bị giữ trọng yếu, đi vay khó: giải phóng vốn nội bộ trước.</t>
  </si>
  <si>
    <t xml:space="preserve">Tồn đọng nhiều tiền nhưng vốn lưu động nghẽn trầm trọng: giữ dự trữ, xử lý điểm nghẽn.</t>
  </si>
  <si>
    <t xml:space="preserve">F01 Chẩn đoán tại 30/06/2026</t>
  </si>
  <si>
    <t xml:space="preserve">Cách tính / giới hạn</t>
  </si>
  <si>
    <t xml:space="preserve">Doanh thu</t>
  </si>
  <si>
    <t xml:space="preserve">Giá vốn</t>
  </si>
  <si>
    <t xml:space="preserve">Ngày cuối − ngày đầu +1</t>
  </si>
  <si>
    <t xml:space="preserve">Phải thu</t>
  </si>
  <si>
    <t xml:space="preserve">AR = tổng dư hóa đơn bán mở</t>
  </si>
  <si>
    <t xml:space="preserve">Tồn sở hữu</t>
  </si>
  <si>
    <t xml:space="preserve">INV = tổng giá trị lô thuộc F01</t>
  </si>
  <si>
    <t xml:space="preserve">Phải trả</t>
  </si>
  <si>
    <t xml:space="preserve">AP = tổng dư hóa đơn mua mở</t>
  </si>
  <si>
    <t xml:space="preserve">Tổng mua kỳ</t>
  </si>
  <si>
    <t xml:space="preserve">PUR; không bằng giá vốn do có lao động và chi phí sản xuất</t>
  </si>
  <si>
    <t xml:space="preserve">AR / Rev × N</t>
  </si>
  <si>
    <t xml:space="preserve">INV / COGS × N</t>
  </si>
  <si>
    <t xml:space="preserve">AP / COGS × N</t>
  </si>
  <si>
    <t xml:space="preserve">DSO + DIO − DPO</t>
  </si>
  <si>
    <t xml:space="preserve">Vốn thương mại ròng</t>
  </si>
  <si>
    <t xml:space="preserve">AR + INV − AP; không phải tiền mặt</t>
  </si>
  <si>
    <t xml:space="preserve">Phải thu quá hạn</t>
  </si>
  <si>
    <t xml:space="preserve">Chỉ phần đã đến hạn chưa trả</t>
  </si>
  <si>
    <t xml:space="preserve">Phải trả quá hạn</t>
  </si>
  <si>
    <t xml:space="preserve">Không tự suy NCC ngừng cung ứng</t>
  </si>
  <si>
    <t xml:space="preserve">Tồn lâu hoặc đơn hủy</t>
  </si>
  <si>
    <t xml:space="preserve">Hợp của hai cờ; không cộng trùng</t>
  </si>
  <si>
    <t xml:space="preserve">Tồn thuộc khách hàng</t>
  </si>
  <si>
    <t xml:space="preserve">Loại khỏi INV, TWC và TSNH</t>
  </si>
  <si>
    <t xml:space="preserve">Tài sản ngắn hạn</t>
  </si>
  <si>
    <t xml:space="preserve">Tiền + ĐTNH + tài sản khác + AR + INV</t>
  </si>
  <si>
    <t xml:space="preserve">Mức AR</t>
  </si>
  <si>
    <t xml:space="preserve">So ngưỡng FOB 2023–2025, chưa làm tròn</t>
  </si>
  <si>
    <t xml:space="preserve">Mức INV</t>
  </si>
  <si>
    <t xml:space="preserve">So ngưỡng FOB 2023–2025</t>
  </si>
  <si>
    <t xml:space="preserve">Doanh thu năm tham chiếu</t>
  </si>
  <si>
    <t xml:space="preserve">Doanh thu TTM tạo sinh đã đủ; không quy đổi kỳ ngắn</t>
  </si>
  <si>
    <t xml:space="preserve">Tỷ lệ tiền trên TTM</t>
  </si>
  <si>
    <t xml:space="preserve">(Tiền + ĐTNH) / doanh thu TTM</t>
  </si>
  <si>
    <t xml:space="preserve">Tín hiệu AP</t>
  </si>
  <si>
    <t xml:space="preserve">DPO thấp đồng thời tiền mỏng</t>
  </si>
  <si>
    <t xml:space="preserve">Vốn AR vượt ngưỡng</t>
  </si>
  <si>
    <t xml:space="preserve">MAX(DSO − DSOWatch;0) × Rev/N</t>
  </si>
  <si>
    <t xml:space="preserve">Vốn tồn vượt ngưỡng</t>
  </si>
  <si>
    <t xml:space="preserve">MAX(DIO − DIOWatch;0) × COGS/N</t>
  </si>
  <si>
    <t xml:space="preserve">MAX(vốn AR vượt; vốn tồn vượt) / TSNH</t>
  </si>
  <si>
    <t xml:space="preserve">W0 An toàn / W1 Có nguy cơ / W2 Thiếu trầm trọng; giả định đủ dữ liệu</t>
  </si>
  <si>
    <t xml:space="preserve">Vốn vượt tổng</t>
  </si>
  <si>
    <t xml:space="preserve">Không cộng vào dòng thu hay mức thiếu UC02</t>
  </si>
  <si>
    <t xml:space="preserve">Lô sở hữu lưu lâu nhất</t>
  </si>
  <si>
    <t xml:space="preserve">Lưu kho có thể trước đầu kỳ</t>
  </si>
  <si>
    <t xml:space="preserve">Mô hình / trạng thái</t>
  </si>
  <si>
    <t xml:space="preserve">FOB / provisional</t>
  </si>
  <si>
    <t xml:space="preserve">Số dư cuối kỳ 181 ngày khác bình quân năm của ngành</t>
  </si>
  <si>
    <t xml:space="preserve">Khách</t>
  </si>
  <si>
    <t xml:space="preserve">Tỷ trọng AR</t>
  </si>
  <si>
    <t xml:space="preserve">Góp DSO</t>
  </si>
  <si>
    <t xml:space="preserve">Quá hạn tổng</t>
  </si>
  <si>
    <t xml:space="preserve">1–30 ngày</t>
  </si>
  <si>
    <t xml:space="preserve">31–60 ngày</t>
  </si>
  <si>
    <t xml:space="preserve">&gt;60 ngày</t>
  </si>
  <si>
    <t xml:space="preserve">MaxDPD</t>
  </si>
  <si>
    <t xml:space="preserve">Trễ có dấu 180d</t>
  </si>
  <si>
    <t xml:space="preserve">Trễ dương 180d</t>
  </si>
  <si>
    <t xml:space="preserve">Số hóa đơn đã thu</t>
  </si>
  <si>
    <t xml:space="preserve">Kỳ hạn hợp đồng</t>
  </si>
  <si>
    <t xml:space="preserve">Quan hệ demo</t>
  </si>
  <si>
    <t xml:space="preserve">BYR-F01-002</t>
  </si>
  <si>
    <t xml:space="preserve">BYR-F01-001</t>
  </si>
  <si>
    <t xml:space="preserve">BYR-F01-005</t>
  </si>
  <si>
    <t xml:space="preserve">BYR-F01-006</t>
  </si>
  <si>
    <t xml:space="preserve">BYR-F01-003</t>
  </si>
  <si>
    <t xml:space="preserve">BYR-F01-007</t>
  </si>
  <si>
    <t xml:space="preserve">BYR-F01-004</t>
  </si>
  <si>
    <t xml:space="preserve">BYR-F01-008</t>
  </si>
  <si>
    <t xml:space="preserve">BYR-F01-009</t>
  </si>
  <si>
    <t xml:space="preserve">NCC</t>
  </si>
  <si>
    <t xml:space="preserve">Quá hạn</t>
  </si>
  <si>
    <t xml:space="preserve">Góp DPO</t>
  </si>
  <si>
    <t xml:space="preserve">Thiết yếu</t>
  </si>
  <si>
    <t xml:space="preserve">Chiết khấu hợp lệ</t>
  </si>
  <si>
    <t xml:space="preserve">Tiết kiệm (nếu đủ điều kiện)</t>
  </si>
  <si>
    <t xml:space="preserve">SUP-F01-001</t>
  </si>
  <si>
    <t xml:space="preserve">SUP-F01-002</t>
  </si>
  <si>
    <t xml:space="preserve">SUP-F01-003</t>
  </si>
  <si>
    <t xml:space="preserve">SUP-F01-004</t>
  </si>
  <si>
    <t xml:space="preserve">SUP-F01-005</t>
  </si>
  <si>
    <t xml:space="preserve">SUP-F01-006</t>
  </si>
  <si>
    <t xml:space="preserve">SUP-F01-007</t>
  </si>
  <si>
    <t xml:space="preserve">SUP-F01-008</t>
  </si>
  <si>
    <t xml:space="preserve">SUP-F01-009</t>
  </si>
  <si>
    <t xml:space="preserve">Lô</t>
  </si>
  <si>
    <t xml:space="preserve">Mặt hàng</t>
  </si>
  <si>
    <t xml:space="preserve">Chủ sở hữu</t>
  </si>
  <si>
    <t xml:space="preserve">Giá trị sở hữu</t>
  </si>
  <si>
    <t xml:space="preserve">Đã lưu kho (ngày)</t>
  </si>
  <si>
    <t xml:space="preserve">Ngưỡng lưu lâu</t>
  </si>
  <si>
    <t xml:space="preserve">Tồn lâu</t>
  </si>
  <si>
    <t xml:space="preserve">Đơn hủy</t>
  </si>
  <si>
    <t xml:space="preserve">Góp DIO</t>
  </si>
  <si>
    <t xml:space="preserve">Xếp theo thời gian</t>
  </si>
  <si>
    <t xml:space="preserve">F01 Dự báo tiền từ 01/07 đến 29/09/2026</t>
  </si>
  <si>
    <t xml:space="preserve">Ý nghĩa</t>
  </si>
  <si>
    <t xml:space="preserve">Kịch bản</t>
  </si>
  <si>
    <t xml:space="preserve">Một selector tại D_F01!B19</t>
  </si>
  <si>
    <t xml:space="preserve">Ngày đầu</t>
  </si>
  <si>
    <t xml:space="preserve">AsOf+1</t>
  </si>
  <si>
    <t xml:space="preserve">Ngày cuối</t>
  </si>
  <si>
    <t xml:space="preserve">H13=91 ngày; không phải N181</t>
  </si>
  <si>
    <t xml:space="preserve">Tiền đầu dự báo</t>
  </si>
  <si>
    <t xml:space="preserve">Tiền khả dụng giả lập tại ngày chốt</t>
  </si>
  <si>
    <t xml:space="preserve">L – giới hạn dưới</t>
  </si>
  <si>
    <t xml:space="preserve">Tiền &lt; L: thiếu; không xét thiếu chỉ vì thấp hơn Z</t>
  </si>
  <si>
    <t xml:space="preserve">Z – mức tiền mục tiêu</t>
  </si>
  <si>
    <t xml:space="preserve">Mức hồi sau điều chỉnh; không tự ghi thêm vào thu dự báo</t>
  </si>
  <si>
    <t xml:space="preserve">H – giới hạn trên</t>
  </si>
  <si>
    <t xml:space="preserve">Tiền &gt; H: thừa; tiền trong [L;H] tiếp tục theo dõi</t>
  </si>
  <si>
    <t xml:space="preserve">MinCash</t>
  </si>
  <si>
    <t xml:space="preserve">Số dư cuối ngày thấp nhất</t>
  </si>
  <si>
    <t xml:space="preserve">Ngày MinCash</t>
  </si>
  <si>
    <t xml:space="preserve">Nếu bằng nhau lấy ngày đầu</t>
  </si>
  <si>
    <t xml:space="preserve">PeakBuffer</t>
  </si>
  <si>
    <t xml:space="preserve">Không cộng gap lặp qua ngày</t>
  </si>
  <si>
    <t xml:space="preserve">PeakZero</t>
  </si>
  <si>
    <t xml:space="preserve">Không cộng với PeakBuffer</t>
  </si>
  <si>
    <t xml:space="preserve">MinCum</t>
  </si>
  <si>
    <t xml:space="preserve">Lũy kế thu trừ chi, chưa có Cash0</t>
  </si>
  <si>
    <t xml:space="preserve">NeedTarget</t>
  </si>
  <si>
    <t xml:space="preserve">Tiền đầu kỳ cần để nâng đáy lên Z khi có ngày dưới L; không thiếu thì giữ Cash0</t>
  </si>
  <si>
    <t xml:space="preserve">NeedZero</t>
  </si>
  <si>
    <t xml:space="preserve">Tổng tiền đầu kỳ cần để không âm</t>
  </si>
  <si>
    <t xml:space="preserve">Additional</t>
  </si>
  <si>
    <t xml:space="preserve">NeedTarget trừ tiền đang có, chặn dưới 0</t>
  </si>
  <si>
    <t xml:space="preserve">Ngày đầu thiếu</t>
  </si>
  <si>
    <t xml:space="preserve">Ngày đầu trong dự báo; xem M43 để biết thiếu đã có tại ngày chốt</t>
  </si>
  <si>
    <t xml:space="preserve">Ngày đầu âm</t>
  </si>
  <si>
    <t xml:space="preserve">Tách riêng ngày đầu dưới dự trữ</t>
  </si>
  <si>
    <t xml:space="preserve">Cảnh báo toàn kỳ</t>
  </si>
  <si>
    <t xml:space="preserve">Mức nặng nhất theo ngày của kịch bản đang chọn</t>
  </si>
  <si>
    <t xml:space="preserve">TH để định tuyến</t>
  </si>
  <si>
    <t xml:space="preserve">Base: có ngày dưới L → TH01; nếu không thì có ngày trên H → TH02; còn lại trong vùng</t>
  </si>
  <si>
    <t xml:space="preserve">Ma trận M1–M6, 3 mức W × 2 trạng thái tiền; trong vùng không gán ô</t>
  </si>
  <si>
    <t xml:space="preserve">Trạng thái</t>
  </si>
  <si>
    <t xml:space="preserve">provisional</t>
  </si>
  <si>
    <t xml:space="preserve">Dữ liệu hư cấu, net/noVAT, lịch chi quá hạn là giả định</t>
  </si>
  <si>
    <t xml:space="preserve">Chế độ</t>
  </si>
  <si>
    <t xml:space="preserve">Run-off không có toàn bộ hoạt động mới; continuing có thêm cả thu và chi</t>
  </si>
  <si>
    <t xml:space="preserve">Tuần</t>
  </si>
  <si>
    <t xml:space="preserve">Thu</t>
  </si>
  <si>
    <t xml:space="preserve">Chi</t>
  </si>
  <si>
    <t xml:space="preserve">Cuối tuần</t>
  </si>
  <si>
    <t xml:space="preserve">Thấp nhất tuần</t>
  </si>
  <si>
    <t xml:space="preserve">Ngày thấp nhất</t>
  </si>
  <si>
    <t xml:space="preserve">Mức cuối tuần</t>
  </si>
  <si>
    <t xml:space="preserve">Mức xấu nhất</t>
  </si>
  <si>
    <t xml:space="preserve">Khối</t>
  </si>
  <si>
    <t xml:space="preserve">MinDaily</t>
  </si>
  <si>
    <t xml:space="preserve">Thiếu kéo dài từ hai khối đủ 28 ngày</t>
  </si>
  <si>
    <t xml:space="preserve">Chi thiết yếu bình quân/ngày</t>
  </si>
  <si>
    <t xml:space="preserve">15 ngày chi thiết yếu</t>
  </si>
  <si>
    <t xml:space="preserve">Đối chiếu sàn L với nghĩa vụ thiết yếu</t>
  </si>
  <si>
    <t xml:space="preserve">Tiền thừa lớn nhất về Z</t>
  </si>
  <si>
    <t xml:space="preserve">Thiếu ngay tại ngày chốt</t>
  </si>
  <si>
    <t xml:space="preserve">Thiếu lớn nhất so với L</t>
  </si>
  <si>
    <t xml:space="preserve">Số mẫu riêng</t>
  </si>
  <si>
    <t xml:space="preserve">Cấp dùng</t>
  </si>
  <si>
    <t xml:space="preserve">Số mẫu dùng</t>
  </si>
  <si>
    <t xml:space="preserve">Mean gia quyền</t>
  </si>
  <si>
    <t xml:space="preserve">P25 mẫu</t>
  </si>
  <si>
    <t xml:space="preserve">P75 mẫu</t>
  </si>
  <si>
    <t xml:space="preserve">Delay Opt</t>
  </si>
  <si>
    <t xml:space="preserve">Delay Cons</t>
  </si>
  <si>
    <t xml:space="preserve">Mẫu mở cận dưới</t>
  </si>
  <si>
    <t xml:space="preserve">Date</t>
  </si>
  <si>
    <t xml:space="preserve">In</t>
  </si>
  <si>
    <t xml:space="preserve">Out</t>
  </si>
  <si>
    <t xml:space="preserve">CumNet</t>
  </si>
  <si>
    <t xml:space="preserve">Opening</t>
  </si>
  <si>
    <t xml:space="preserve">Net</t>
  </si>
  <si>
    <t xml:space="preserve">Closing</t>
  </si>
  <si>
    <t xml:space="preserve">GapTarget</t>
  </si>
  <si>
    <t xml:space="preserve">GapZero</t>
  </si>
  <si>
    <t xml:space="preserve">GapRatio</t>
  </si>
  <si>
    <t xml:space="preserve">Level</t>
  </si>
  <si>
    <t xml:space="preserve">EpisodeId</t>
  </si>
  <si>
    <t xml:space="preserve">SurplusStreak</t>
  </si>
  <si>
    <t xml:space="preserve">StartFlag</t>
  </si>
  <si>
    <t xml:space="preserve">EndFlag</t>
  </si>
  <si>
    <t xml:space="preserve">EpisodeDays</t>
  </si>
  <si>
    <t xml:space="preserve">ReserveTarget</t>
  </si>
  <si>
    <t xml:space="preserve">Đợt</t>
  </si>
  <si>
    <t xml:space="preserve">Ngày cuối quan sát</t>
  </si>
  <si>
    <t xml:space="preserve">Số dư thấp nhất</t>
  </si>
  <si>
    <t xml:space="preserve">PeakGap</t>
  </si>
  <si>
    <t xml:space="preserve">Ngày phục hồi</t>
  </si>
  <si>
    <t xml:space="preserve">Ongoing</t>
  </si>
  <si>
    <t xml:space="preserve">event_id</t>
  </si>
  <si>
    <t xml:space="preserve">source_id</t>
  </si>
  <si>
    <t xml:space="preserve">entity_id</t>
  </si>
  <si>
    <t xml:space="preserve">direction</t>
  </si>
  <si>
    <t xml:space="preserve">amount</t>
  </si>
  <si>
    <t xml:space="preserve">due / issue</t>
  </si>
  <si>
    <t xml:space="preserve">DPD</t>
  </si>
  <si>
    <t xml:space="preserve">history_level</t>
  </si>
  <si>
    <t xml:space="preserve">conditional_count</t>
  </si>
  <si>
    <t xml:space="preserve">OptDate</t>
  </si>
  <si>
    <t xml:space="preserve">BaseDate</t>
  </si>
  <si>
    <t xml:space="preserve">ConsDate</t>
  </si>
  <si>
    <t xml:space="preserve">ConfirmedDate</t>
  </si>
  <si>
    <t xml:space="preserve">ActiveDate</t>
  </si>
  <si>
    <t xml:space="preserve">DateMethod</t>
  </si>
  <si>
    <t xml:space="preserve">category</t>
  </si>
  <si>
    <t xml:space="preserve">essential</t>
  </si>
  <si>
    <t xml:space="preserve">known_at</t>
  </si>
  <si>
    <t xml:space="preserve">horizon_bucket</t>
  </si>
  <si>
    <t xml:space="preserve">ConditionalMean</t>
  </si>
  <si>
    <t xml:space="preserve">ConditionalP25</t>
  </si>
  <si>
    <t xml:space="preserve">ConditionalP75</t>
  </si>
  <si>
    <t xml:space="preserve">OptTotalDelay</t>
  </si>
  <si>
    <t xml:space="preserve">BaseTotalDelay</t>
  </si>
  <si>
    <t xml:space="preserve">ConsTotalDelay</t>
  </si>
  <si>
    <t xml:space="preserve">RCV-INV-F01-0038</t>
  </si>
  <si>
    <t xml:space="preserve">INV-F01-0038</t>
  </si>
  <si>
    <t xml:space="preserve">IN</t>
  </si>
  <si>
    <t xml:space="preserve">Thu công nợ</t>
  </si>
  <si>
    <t xml:space="preserve">RCV-INV-F01-0051</t>
  </si>
  <si>
    <t xml:space="preserve">INV-F01-0051</t>
  </si>
  <si>
    <t xml:space="preserve">RCV-INV-F01-0056</t>
  </si>
  <si>
    <t xml:space="preserve">INV-F01-0056</t>
  </si>
  <si>
    <t xml:space="preserve">RCV-INV-F01-0075</t>
  </si>
  <si>
    <t xml:space="preserve">INV-F01-0075</t>
  </si>
  <si>
    <t xml:space="preserve">RCV-INV-F01-0076</t>
  </si>
  <si>
    <t xml:space="preserve">INV-F01-0076</t>
  </si>
  <si>
    <t xml:space="preserve">RCV-INV-F01-0079</t>
  </si>
  <si>
    <t xml:space="preserve">INV-F01-0079</t>
  </si>
  <si>
    <t xml:space="preserve">RCV-INV-F01-0083</t>
  </si>
  <si>
    <t xml:space="preserve">INV-F01-0083</t>
  </si>
  <si>
    <t xml:space="preserve">RCV-INV-F01-0085</t>
  </si>
  <si>
    <t xml:space="preserve">INV-F01-0085</t>
  </si>
  <si>
    <t xml:space="preserve">RCV-INV-F01-0086</t>
  </si>
  <si>
    <t xml:space="preserve">INV-F01-0086</t>
  </si>
  <si>
    <t xml:space="preserve">RCV-INV-F01-0089</t>
  </si>
  <si>
    <t xml:space="preserve">INV-F01-0089</t>
  </si>
  <si>
    <t xml:space="preserve">RCV-INV-F01-0090</t>
  </si>
  <si>
    <t xml:space="preserve">INV-F01-0090</t>
  </si>
  <si>
    <t xml:space="preserve">RCV-INV-F01-0092</t>
  </si>
  <si>
    <t xml:space="preserve">INV-F01-0092</t>
  </si>
  <si>
    <t xml:space="preserve">RCV-INV-F01-0093</t>
  </si>
  <si>
    <t xml:space="preserve">INV-F01-0093</t>
  </si>
  <si>
    <t xml:space="preserve">RCV-INV-F01-0094</t>
  </si>
  <si>
    <t xml:space="preserve">INV-F01-0094</t>
  </si>
  <si>
    <t xml:space="preserve">RCV-INV-F01-0096</t>
  </si>
  <si>
    <t xml:space="preserve">INV-F01-0096</t>
  </si>
  <si>
    <t xml:space="preserve">RCV-INV-F01-0099</t>
  </si>
  <si>
    <t xml:space="preserve">INV-F01-0099</t>
  </si>
  <si>
    <t xml:space="preserve">RCV-INV-F01-0100</t>
  </si>
  <si>
    <t xml:space="preserve">INV-F01-0100</t>
  </si>
  <si>
    <t xml:space="preserve">RCV-INV-F01-0102</t>
  </si>
  <si>
    <t xml:space="preserve">INV-F01-0102</t>
  </si>
  <si>
    <t xml:space="preserve">RCV-INV-F01-0103</t>
  </si>
  <si>
    <t xml:space="preserve">INV-F01-0103</t>
  </si>
  <si>
    <t xml:space="preserve">RCV-INV-F01-0104</t>
  </si>
  <si>
    <t xml:space="preserve">INV-F01-0104</t>
  </si>
  <si>
    <t xml:space="preserve">RCV-INV-F01-0105</t>
  </si>
  <si>
    <t xml:space="preserve">INV-F01-0105</t>
  </si>
  <si>
    <t xml:space="preserve">RCV-INV-F01-0106</t>
  </si>
  <si>
    <t xml:space="preserve">INV-F01-0106</t>
  </si>
  <si>
    <t xml:space="preserve">RCV-INV-F01-0107</t>
  </si>
  <si>
    <t xml:space="preserve">INV-F01-0107</t>
  </si>
  <si>
    <t xml:space="preserve">RCV-INV-F01-0108</t>
  </si>
  <si>
    <t xml:space="preserve">INV-F01-0108</t>
  </si>
  <si>
    <t xml:space="preserve">RCV-INV-F01-0109</t>
  </si>
  <si>
    <t xml:space="preserve">INV-F01-0109</t>
  </si>
  <si>
    <t xml:space="preserve">RCV-INV-F01-0110</t>
  </si>
  <si>
    <t xml:space="preserve">INV-F01-0110</t>
  </si>
  <si>
    <t xml:space="preserve">RCV-INV-F01-0111</t>
  </si>
  <si>
    <t xml:space="preserve">INV-F01-0111</t>
  </si>
  <si>
    <t xml:space="preserve">RCV-INV-F01-0112</t>
  </si>
  <si>
    <t xml:space="preserve">INV-F01-0112</t>
  </si>
  <si>
    <t xml:space="preserve">RCV-INV-F01-0113</t>
  </si>
  <si>
    <t xml:space="preserve">INV-F01-0113</t>
  </si>
  <si>
    <t xml:space="preserve">RCV-INV-F01-0114</t>
  </si>
  <si>
    <t xml:space="preserve">INV-F01-0114</t>
  </si>
  <si>
    <t xml:space="preserve">RCV-INV-F01-0115</t>
  </si>
  <si>
    <t xml:space="preserve">INV-F01-0115</t>
  </si>
  <si>
    <t xml:space="preserve">RCV-INV-F01-0116</t>
  </si>
  <si>
    <t xml:space="preserve">INV-F01-0116</t>
  </si>
  <si>
    <t xml:space="preserve">RCV-INV-F01-0117</t>
  </si>
  <si>
    <t xml:space="preserve">INV-F01-0117</t>
  </si>
  <si>
    <t xml:space="preserve">PAY-BILL-F01-0105</t>
  </si>
  <si>
    <t xml:space="preserve">BILL-F01-0105</t>
  </si>
  <si>
    <t xml:space="preserve">OUT</t>
  </si>
  <si>
    <t xml:space="preserve">supplier_history</t>
  </si>
  <si>
    <t xml:space="preserve">Trả NCC</t>
  </si>
  <si>
    <t xml:space="preserve">PAY-BILL-F01-0106</t>
  </si>
  <si>
    <t xml:space="preserve">BILL-F01-0106</t>
  </si>
  <si>
    <t xml:space="preserve">PAY-BILL-F01-0109</t>
  </si>
  <si>
    <t xml:space="preserve">BILL-F01-0109</t>
  </si>
  <si>
    <t xml:space="preserve">PAY-BILL-F01-0114</t>
  </si>
  <si>
    <t xml:space="preserve">BILL-F01-0114</t>
  </si>
  <si>
    <t xml:space="preserve">PAY-BILL-F01-0115</t>
  </si>
  <si>
    <t xml:space="preserve">BILL-F01-0115</t>
  </si>
  <si>
    <t xml:space="preserve">PAY-BILL-F01-0117</t>
  </si>
  <si>
    <t xml:space="preserve">BILL-F01-0117</t>
  </si>
  <si>
    <t xml:space="preserve">PAY-BILL-F01-0120</t>
  </si>
  <si>
    <t xml:space="preserve">BILL-F01-0120</t>
  </si>
  <si>
    <t xml:space="preserve">PAY-BILL-F01-0121</t>
  </si>
  <si>
    <t xml:space="preserve">BILL-F01-0121</t>
  </si>
  <si>
    <t xml:space="preserve">PAY-BILL-F01-0122</t>
  </si>
  <si>
    <t xml:space="preserve">BILL-F01-0122</t>
  </si>
  <si>
    <t xml:space="preserve">PAY-BILL-F01-0123</t>
  </si>
  <si>
    <t xml:space="preserve">BILL-F01-0123</t>
  </si>
  <si>
    <t xml:space="preserve">PAY-BILL-F01-0124</t>
  </si>
  <si>
    <t xml:space="preserve">BILL-F01-0124</t>
  </si>
  <si>
    <t xml:space="preserve">PAY-BILL-F01-0125</t>
  </si>
  <si>
    <t xml:space="preserve">BILL-F01-0125</t>
  </si>
  <si>
    <t xml:space="preserve">PAY-BILL-F01-0126</t>
  </si>
  <si>
    <t xml:space="preserve">BILL-F01-0126</t>
  </si>
  <si>
    <t xml:space="preserve">PAY-BILL-F01-0127</t>
  </si>
  <si>
    <t xml:space="preserve">BILL-F01-0127</t>
  </si>
  <si>
    <t xml:space="preserve">PAY-BILL-F01-0128</t>
  </si>
  <si>
    <t xml:space="preserve">BILL-F01-0128</t>
  </si>
  <si>
    <t xml:space="preserve">PAY-BILL-F01-0129</t>
  </si>
  <si>
    <t xml:space="preserve">BILL-F01-0129</t>
  </si>
  <si>
    <t xml:space="preserve">PAY-BILL-F01-0130</t>
  </si>
  <si>
    <t xml:space="preserve">BILL-F01-0130</t>
  </si>
  <si>
    <t xml:space="preserve">PAY-BILL-F01-0131</t>
  </si>
  <si>
    <t xml:space="preserve">BILL-F01-0131</t>
  </si>
  <si>
    <t xml:space="preserve">PAY-BILL-F01-0132</t>
  </si>
  <si>
    <t xml:space="preserve">BILL-F01-0132</t>
  </si>
  <si>
    <t xml:space="preserve">PAY-BILL-F01-0133</t>
  </si>
  <si>
    <t xml:space="preserve">BILL-F01-0133</t>
  </si>
  <si>
    <t xml:space="preserve">PAY-BILL-F01-0134</t>
  </si>
  <si>
    <t xml:space="preserve">BILL-F01-0134</t>
  </si>
  <si>
    <t xml:space="preserve">PAY-BILL-F01-0135</t>
  </si>
  <si>
    <t xml:space="preserve">BILL-F01-0135</t>
  </si>
  <si>
    <t xml:space="preserve">PAYROLL-7</t>
  </si>
  <si>
    <t xml:space="preserve">Nhân viên</t>
  </si>
  <si>
    <t xml:space="preserve">planned</t>
  </si>
  <si>
    <t xml:space="preserve">synthetic_plan_known_at_cutoff</t>
  </si>
  <si>
    <t xml:space="preserve">Lương</t>
  </si>
  <si>
    <t xml:space="preserve">PAYROLL-8</t>
  </si>
  <si>
    <t xml:space="preserve">PAYROLL-9</t>
  </si>
  <si>
    <t xml:space="preserve">TAX-7</t>
  </si>
  <si>
    <t xml:space="preserve">Cơ quan thuế</t>
  </si>
  <si>
    <t xml:space="preserve">Thuế</t>
  </si>
  <si>
    <t xml:space="preserve">TAX-8</t>
  </si>
  <si>
    <t xml:space="preserve">TAX-9</t>
  </si>
  <si>
    <t xml:space="preserve">RENT-7</t>
  </si>
  <si>
    <t xml:space="preserve">Bên cho thuê</t>
  </si>
  <si>
    <t xml:space="preserve">Thuê xưởng</t>
  </si>
  <si>
    <t xml:space="preserve">RENT-8</t>
  </si>
  <si>
    <t xml:space="preserve">RENT-9</t>
  </si>
  <si>
    <t xml:space="preserve">DEBT-PRINCIPAL</t>
  </si>
  <si>
    <t xml:space="preserve">Ngân hàng</t>
  </si>
  <si>
    <t xml:space="preserve">Gốc vay</t>
  </si>
  <si>
    <t xml:space="preserve">DEBT-INTEREST</t>
  </si>
  <si>
    <t xml:space="preserve">Lãi vay</t>
  </si>
  <si>
    <t xml:space="preserve">NEW-1-IN</t>
  </si>
  <si>
    <t xml:space="preserve">NEW-1</t>
  </si>
  <si>
    <t xml:space="preserve">NEW_CUSTOMERS</t>
  </si>
  <si>
    <t xml:space="preserve">new_activity_assumption</t>
  </si>
  <si>
    <t xml:space="preserve">incremental_sales_and_cost</t>
  </si>
  <si>
    <t xml:space="preserve">Hoạt động mới</t>
  </si>
  <si>
    <t xml:space="preserve">NEW-1-OUT</t>
  </si>
  <si>
    <t xml:space="preserve">VARIABLE_COST</t>
  </si>
  <si>
    <t xml:space="preserve">NEW-2-IN</t>
  </si>
  <si>
    <t xml:space="preserve">NEW-2</t>
  </si>
  <si>
    <t xml:space="preserve">NEW-2-OUT</t>
  </si>
  <si>
    <t xml:space="preserve">NEW-3-IN</t>
  </si>
  <si>
    <t xml:space="preserve">NEW-3</t>
  </si>
  <si>
    <t xml:space="preserve">NEW-3-OUT</t>
  </si>
  <si>
    <t xml:space="preserve">NEW-4-IN</t>
  </si>
  <si>
    <t xml:space="preserve">NEW-4</t>
  </si>
  <si>
    <t xml:space="preserve">NEW-4-OUT</t>
  </si>
  <si>
    <t xml:space="preserve">NEW-5-IN</t>
  </si>
  <si>
    <t xml:space="preserve">NEW-5</t>
  </si>
  <si>
    <t xml:space="preserve">NEW-5-OUT</t>
  </si>
  <si>
    <t xml:space="preserve">NEW-6-IN</t>
  </si>
  <si>
    <t xml:space="preserve">NEW-6</t>
  </si>
  <si>
    <t xml:space="preserve">NEW-6-OUT</t>
  </si>
  <si>
    <t xml:space="preserve">NEW-7-IN</t>
  </si>
  <si>
    <t xml:space="preserve">NEW-7</t>
  </si>
  <si>
    <t xml:space="preserve">NEW-7-OUT</t>
  </si>
  <si>
    <t xml:space="preserve">NEW-8-IN</t>
  </si>
  <si>
    <t xml:space="preserve">NEW-8</t>
  </si>
  <si>
    <t xml:space="preserve">NEW-8-OUT</t>
  </si>
  <si>
    <t xml:space="preserve">NEW-9-IN</t>
  </si>
  <si>
    <t xml:space="preserve">NEW-9</t>
  </si>
  <si>
    <t xml:space="preserve">NEW-9-OUT</t>
  </si>
  <si>
    <t xml:space="preserve">NEW-10-IN</t>
  </si>
  <si>
    <t xml:space="preserve">NEW-10</t>
  </si>
  <si>
    <t xml:space="preserve">NEW-10-OUT</t>
  </si>
  <si>
    <t xml:space="preserve">NEW-11-IN</t>
  </si>
  <si>
    <t xml:space="preserve">NEW-11</t>
  </si>
  <si>
    <t xml:space="preserve">NEW-11-OUT</t>
  </si>
  <si>
    <t xml:space="preserve">NEW-12-IN</t>
  </si>
  <si>
    <t xml:space="preserve">NEW-12</t>
  </si>
  <si>
    <t xml:space="preserve">NEW-12-OUT</t>
  </si>
  <si>
    <t xml:space="preserve">NEW-13-IN</t>
  </si>
  <si>
    <t xml:space="preserve">NEW-13</t>
  </si>
  <si>
    <t xml:space="preserve">NEW-13-OUT</t>
  </si>
  <si>
    <t xml:space="preserve">Dòng 312-341: 30 hóa đơn điện/vận tải từ D_flows!A16:L45. Chỉ cộng vào dự báo khi ngày ≥ ngày đầu kỳ và hóa đơn chưa có ở các dòng PAY-BILL (253-274); hóa đơn đã trả trước as_of hoặc đã có ở PAY-BILL thì amount = 0 (xem cột O) để không tính trùng.</t>
  </si>
  <si>
    <t xml:space="preserve">F01 So khớp phương án tài trợ UC03 tại 30/06/2026</t>
  </si>
  <si>
    <t xml:space="preserve">Chỉ tính cho kịch bản Base. Đầu vào lấy từ F01_UC1, F01_UC2; sản phẩm và tham số lấy từ D_UC03. UC03 chỉ đề xuất, không thực hiện.</t>
  </si>
  <si>
    <t xml:space="preserve">1. Kết quả UC03</t>
  </si>
  <si>
    <t xml:space="preserve">W × TH cùng snapshot</t>
  </si>
  <si>
    <t xml:space="preserve">TH</t>
  </si>
  <si>
    <t xml:space="preserve">A1–A4, B1, B2</t>
  </si>
  <si>
    <t xml:space="preserve">gap_shape</t>
  </si>
  <si>
    <t xml:space="preserve">Cờ REVIEW_MANUAL</t>
  </si>
  <si>
    <t xml:space="preserve">Số đợt cần tiền</t>
  </si>
  <si>
    <t xml:space="preserve">Gói chỉ chạy cho đợt 1</t>
  </si>
  <si>
    <t xml:space="preserve">need_date đợt 1</t>
  </si>
  <si>
    <t xml:space="preserve">DaysLeft</t>
  </si>
  <si>
    <t xml:space="preserve">G đợt 1 (VND)</t>
  </si>
  <si>
    <t xml:space="preserve">duration (ngày)</t>
  </si>
  <si>
    <t xml:space="preserve">Xếp hạng 1 – 3</t>
  </si>
  <si>
    <t xml:space="preserve">Nguồn đủ điều kiện, kịp hạn đứng trước</t>
  </si>
  <si>
    <t xml:space="preserve">Gói đề xuất</t>
  </si>
  <si>
    <t xml:space="preserve">Tiền thu về (VND)</t>
  </si>
  <si>
    <t xml:space="preserve">Chi phí gói (VND)</t>
  </si>
  <si>
    <t xml:space="preserve">CostPerGap</t>
  </si>
  <si>
    <t xml:space="preserve">Còn thiếu (VND)</t>
  </si>
  <si>
    <t xml:space="preserve">Số nguồn bị cờ NOT_COVERING_DURATION</t>
  </si>
  <si>
    <t xml:space="preserve">requires_human_decision</t>
  </si>
  <si>
    <t xml:space="preserve">REVIEW_MANUAL, còn thiếu hoặc chưa phủ hết thời gian</t>
  </si>
  <si>
    <t xml:space="preserve">2. Đầu vào từ UC01 và UC02</t>
  </si>
  <si>
    <t xml:space="preserve">Cách lấy</t>
  </si>
  <si>
    <t xml:space="preserve">Ngày chạy (as_of)</t>
  </si>
  <si>
    <t xml:space="preserve">Ngày chốt</t>
  </si>
  <si>
    <t xml:space="preserve">F01_UC2!B10</t>
  </si>
  <si>
    <t xml:space="preserve">F01_UC2!B23; chỉ Base</t>
  </si>
  <si>
    <t xml:space="preserve">F01_UC1!B30</t>
  </si>
  <si>
    <t xml:space="preserve">F01_UC2!B24</t>
  </si>
  <si>
    <t xml:space="preserve">Thiếu kéo dài (≥ 2 khối, 28 ngày)</t>
  </si>
  <si>
    <t xml:space="preserve">F01_UC2!M37; điều kiện chuỗi gap T3-11</t>
  </si>
  <si>
    <t xml:space="preserve">c_AR</t>
  </si>
  <si>
    <t xml:space="preserve">Mức AR ≥ 1</t>
  </si>
  <si>
    <t xml:space="preserve">c_INV</t>
  </si>
  <si>
    <t xml:space="preserve">Mức INV ≥ 1</t>
  </si>
  <si>
    <t xml:space="preserve">c_AP</t>
  </si>
  <si>
    <t xml:space="preserve">n_yếu_tố</t>
  </si>
  <si>
    <t xml:space="preserve">Số yếu tố góp phần</t>
  </si>
  <si>
    <t xml:space="preserve">E_AR</t>
  </si>
  <si>
    <t xml:space="preserve">Vốn AR vượt ngưỡng (số tham chiếu)</t>
  </si>
  <si>
    <t xml:space="preserve">E_INV</t>
  </si>
  <si>
    <t xml:space="preserve">Vốn tồn vượt ngưỡng (số tham chiếu)</t>
  </si>
  <si>
    <t xml:space="preserve">E_AP</t>
  </si>
  <si>
    <t xml:space="preserve">Phải trả quá hạn (số tham chiếu)</t>
  </si>
  <si>
    <t xml:space="preserve">model_health</t>
  </si>
  <si>
    <t xml:space="preserve">D_UC03</t>
  </si>
  <si>
    <t xml:space="preserve">3. Khoảng thiếu và đợt cần tiền</t>
  </si>
  <si>
    <t xml:space="preserve">Cách tính</t>
  </si>
  <si>
    <t xml:space="preserve">θ = Rtarget × PARAM_THETA_PCT</t>
  </si>
  <si>
    <t xml:space="preserve">Deficit</t>
  </si>
  <si>
    <t xml:space="preserve">|Δ| so với khối trước</t>
  </si>
  <si>
    <t xml:space="preserve">Đổi mức trọng yếu</t>
  </si>
  <si>
    <t xml:space="preserve">Số lần đổi mức trọng yếu (n)</t>
  </si>
  <si>
    <t xml:space="preserve">Chiều đổi mức (khi n = 1)</t>
  </si>
  <si>
    <t xml:space="preserve">Dương: tăng; âm: giảm</t>
  </si>
  <si>
    <t xml:space="preserve">n ≥ 2: dùng mức thiếu lớn nhất, chờ người xem lại</t>
  </si>
  <si>
    <t xml:space="preserve">PeakGap (mức thiếu lớn nhất)</t>
  </si>
  <si>
    <t xml:space="preserve">Khi MinDaily &lt; L: Z − MinDaily; còn lại 0</t>
  </si>
  <si>
    <t xml:space="preserve">Vị trí khối đổi mức</t>
  </si>
  <si>
    <t xml:space="preserve">0 nếu không đổi mức</t>
  </si>
  <si>
    <t xml:space="preserve">Mức đợt 1 (G_cum)</t>
  </si>
  <si>
    <t xml:space="preserve">Tăng một lần: mức thấp trước ngày chuyển; còn lại: mức lớn nhất</t>
  </si>
  <si>
    <t xml:space="preserve">Ngày đầu dự báo dưới L; UC02!M43 ghi thiếu đã có tại ngày chốt</t>
  </si>
  <si>
    <t xml:space="preserve">Ngày chuyển mức</t>
  </si>
  <si>
    <t xml:space="preserve">Đầu khối có đổi mức trọng yếu</t>
  </si>
  <si>
    <t xml:space="preserve">Ngày cuối số dư dưới L</t>
  </si>
  <si>
    <t xml:space="preserve">duration đợt 1 (ngày)</t>
  </si>
  <si>
    <t xml:space="preserve">T3-07: đến ngày cuối còn thiếu; giảm một lần: đến ngày chuyển mức</t>
  </si>
  <si>
    <t xml:space="preserve">Đợt 2: G_cum</t>
  </si>
  <si>
    <t xml:space="preserve">Chỉ khi tăng một lần; F01 chỉ chạy gói đợt 1</t>
  </si>
  <si>
    <t xml:space="preserve">Đợt 2: need_date</t>
  </si>
  <si>
    <t xml:space="preserve">Đợt 2: G_incr</t>
  </si>
  <si>
    <t xml:space="preserve">G_cum đợt 2 − G_cum đợt 1</t>
  </si>
  <si>
    <t xml:space="preserve">G đợt 1 (số tiền cần)</t>
  </si>
  <si>
    <t xml:space="preserve">Chạy gói cho số này</t>
  </si>
  <si>
    <t xml:space="preserve">Chế độ Khẩn (1 = có)</t>
  </si>
  <si>
    <t xml:space="preserve">DaysLeft ≤ PARAM_URGENT_DAYS</t>
  </si>
  <si>
    <t xml:space="preserve">gap_severity</t>
  </si>
  <si>
    <t xml:space="preserve">MinDraw</t>
  </si>
  <si>
    <t xml:space="preserve">G × PARAM_MIN_DRAW_PCT</t>
  </si>
  <si>
    <t xml:space="preserve">4. Yếu tố góp phần và kịch bản</t>
  </si>
  <si>
    <t xml:space="preserve">Share_AR (tham chiếu)</t>
  </si>
  <si>
    <t xml:space="preserve">T3-08: chỉ để định tuyến, không cộng được</t>
  </si>
  <si>
    <t xml:space="preserve">Share_INV (tham chiếu)</t>
  </si>
  <si>
    <t xml:space="preserve">Share_AP (tham chiếu)</t>
  </si>
  <si>
    <t xml:space="preserve">Vai trò AR</t>
  </si>
  <si>
    <t xml:space="preserve">CHÍNH ≥ 50%; PHỤ ≥ 15%</t>
  </si>
  <si>
    <t xml:space="preserve">Vai trò INV</t>
  </si>
  <si>
    <t xml:space="preserve">Vai trò AP</t>
  </si>
  <si>
    <t xml:space="preserve">Yếu tố chính</t>
  </si>
  <si>
    <t xml:space="preserve">Rỗng nếu không yếu tố nào ≥ 50%</t>
  </si>
  <si>
    <t xml:space="preserve">BestC (nguồn lớn nhất qua lọc, kịp hạn)</t>
  </si>
  <si>
    <t xml:space="preserve">Kịch bản đợt đơn (A1–A4)</t>
  </si>
  <si>
    <t xml:space="preserve">Thiếu: gói tài trợ; thừa W0: đầu tư; thừa W1/W2: dự trữ; trong vùng: theo dõi</t>
  </si>
  <si>
    <t xml:space="preserve">5. Lọc cứng, chi phí và xếp hạng sản phẩm</t>
  </si>
  <si>
    <t xml:space="preserve">Phương án</t>
  </si>
  <si>
    <t xml:space="preserve">Đối tượng</t>
  </si>
  <si>
    <t xml:space="preserve">Cơ sở</t>
  </si>
  <si>
    <t xml:space="preserve">Tỷ lệ ròng</t>
  </si>
  <si>
    <t xml:space="preserve">C (năng lực)</t>
  </si>
  <si>
    <t xml:space="preserve">Hold tính phí</t>
  </si>
  <si>
    <t xml:space="preserve">Chi phí</t>
  </si>
  <si>
    <t xml:space="preserve">Ngày có tiền</t>
  </si>
  <si>
    <t xml:space="preserve">Qua lọc cứng</t>
  </si>
  <si>
    <t xml:space="preserve">Thuộc kịch bản</t>
  </si>
  <si>
    <t xml:space="preserve">Đủ điều kiện</t>
  </si>
  <si>
    <t xml:space="preserve">C kịp+qua lọc</t>
  </si>
  <si>
    <t xml:space="preserve">Ưu tiên ma trận</t>
  </si>
  <si>
    <t xml:space="preserve">Rel</t>
  </si>
  <si>
    <t xml:space="preserve">Tier</t>
  </si>
  <si>
    <t xml:space="preserve">Thứ tự</t>
  </si>
  <si>
    <t xml:space="preserve">Hạng</t>
  </si>
  <si>
    <t xml:space="preserve">Mã lý do</t>
  </si>
  <si>
    <t xml:space="preserve">Cờ</t>
  </si>
  <si>
    <t xml:space="preserve">6. Gói theo thứ hạng </t>
  </si>
  <si>
    <t xml:space="preserve">Dòng SP</t>
  </si>
  <si>
    <t xml:space="preserve">C</t>
  </si>
  <si>
    <t xml:space="preserve">Chi phí đủ C</t>
  </si>
  <si>
    <t xml:space="preserve">Lý do bỏ qua</t>
  </si>
  <si>
    <t xml:space="preserve">Dùng</t>
  </si>
  <si>
    <t xml:space="preserve">Đã rút trước</t>
  </si>
  <si>
    <t xml:space="preserve">Rút</t>
  </si>
  <si>
    <t xml:space="preserve">Chi phí phần rút</t>
  </si>
  <si>
    <t xml:space="preserve">Số nguồn cùng phương án</t>
  </si>
  <si>
    <t xml:space="preserve">Gói (lũy kế)</t>
  </si>
  <si>
    <t xml:space="preserve">7. Tổng gói</t>
  </si>
  <si>
    <t xml:space="preserve">Tiền thu về (covered)</t>
  </si>
  <si>
    <t xml:space="preserve">Chi phí gói</t>
  </si>
  <si>
    <t xml:space="preserve">CostPerGap của gói</t>
  </si>
  <si>
    <t xml:space="preserve">Còn thiếu (remaining_gap)</t>
  </si>
  <si>
    <t xml:space="preserve">UC03 không tự bù phần này</t>
  </si>
  <si>
    <t xml:space="preserve">Số nguồn trong gói</t>
  </si>
  <si>
    <t xml:space="preserve">Số sản phẩm đủ điều kiện</t>
  </si>
  <si>
    <t xml:space="preserve">Số nguồn trong gói bị cờ NOT_COVERING_DURATION</t>
  </si>
  <si>
    <t xml:space="preserve">Hold ngắn hơn duration: cần gia hạn hoặc nguồn bổ sung</t>
  </si>
  <si>
    <t xml:space="preserve">Gói (mã)</t>
  </si>
  <si>
    <t xml:space="preserve">F01 UC04 Mô phỏng trên cùng dữ liệu UC01 và UC02</t>
  </si>
  <si>
    <t xml:space="preserve">Thiết lập</t>
  </si>
  <si>
    <t xml:space="preserve">So sánh kết quả</t>
  </si>
  <si>
    <t xml:space="preserve">Nền UC02</t>
  </si>
  <si>
    <t xml:space="preserve">Sau mô phỏng</t>
  </si>
  <si>
    <t xml:space="preserve">Mã kịch bản UC04</t>
  </si>
  <si>
    <t xml:space="preserve">0 Giữ nguyên; 1 thực hiện giả định; 2 thu sớm 50%; 3 NCC từ chối; 4 tồn bán chậm; 5 kết hợp bất lợi; 6 khách trả chậm</t>
  </si>
  <si>
    <t xml:space="preserve">So cùng đường tiền gốc</t>
  </si>
  <si>
    <t xml:space="preserve">Một selector B5; không thay D_F01!B19 khi đổi UC04</t>
  </si>
  <si>
    <t xml:space="preserve">Tiền thấp nhất</t>
  </si>
  <si>
    <t xml:space="preserve">Không coi tăng tiền tạm thời là giải quyết cả kỳ</t>
  </si>
  <si>
    <t xml:space="preserve">Khách được chọn</t>
  </si>
  <si>
    <t xml:space="preserve">Ngày tiền thấp nhất</t>
  </si>
  <si>
    <t xml:space="preserve">Cùng đáy chọn ngày đầu</t>
  </si>
  <si>
    <t xml:space="preserve">Phần khoản thu chuyển lịch</t>
  </si>
  <si>
    <t xml:space="preserve">50% mỗi khoản thu hợp lệ của khách; còn lại giữ ngày cũ</t>
  </si>
  <si>
    <t xml:space="preserve">Thiếu lớn nhất so Rtarget</t>
  </si>
  <si>
    <t xml:space="preserve">Số ngày thu sớm</t>
  </si>
  <si>
    <t xml:space="preserve">Ngày lịch; cận dưới là ngày đầu dự báo</t>
  </si>
  <si>
    <t xml:space="preserve">Thiếu lớn nhất để không âm</t>
  </si>
  <si>
    <t xml:space="preserve">Không cộng với dòng trên</t>
  </si>
  <si>
    <t xml:space="preserve">Chiết khấu thu sớm</t>
  </si>
  <si>
    <t xml:space="preserve">Giả định 1% trên phần thực sự thu sớm</t>
  </si>
  <si>
    <t xml:space="preserve">Số ngày dưới L</t>
  </si>
  <si>
    <t xml:space="preserve">Ngày trong 91 ngày</t>
  </si>
  <si>
    <t xml:space="preserve">Stress số ngày khách trả chậm</t>
  </si>
  <si>
    <t xml:space="preserve">Case6: thay thu sớm bằng thu chậm</t>
  </si>
  <si>
    <t xml:space="preserve">Số ngày tiền âm</t>
  </si>
  <si>
    <t xml:space="preserve">Không phản ánh thiếu tiền trong từng giờ</t>
  </si>
  <si>
    <t xml:space="preserve">Cho thử thay lịch đã xác nhận</t>
  </si>
  <si>
    <t xml:space="preserve">0 giữ lịch confirmed; 1 cho phép giả định thay lịch; không sửa cam kết thật</t>
  </si>
  <si>
    <t xml:space="preserve">Cảnh báo nặng nhất</t>
  </si>
  <si>
    <t xml:space="preserve">Ngưỡng UC02 giữ nguyên</t>
  </si>
  <si>
    <t xml:space="preserve">NCC được chọn</t>
  </si>
  <si>
    <t xml:space="preserve">Tiền cuối horizon</t>
  </si>
  <si>
    <t xml:space="preserve">Mốc 29/09/2026</t>
  </si>
  <si>
    <t xml:space="preserve">Phần phải trả được giãn</t>
  </si>
  <si>
    <t xml:space="preserve">0–100%; không xóa nợ</t>
  </si>
  <si>
    <t xml:space="preserve">Tiền ngày trọng yếu</t>
  </si>
  <si>
    <t xml:space="preserve">Cùng ngày B26</t>
  </si>
  <si>
    <t xml:space="preserve">Số ngày giãn trả</t>
  </si>
  <si>
    <t xml:space="preserve">Ngày lịch, tính từ lịch UC02</t>
  </si>
  <si>
    <t xml:space="preserve">Mức giảm thiếu lớn nhất</t>
  </si>
  <si>
    <t xml:space="preserve">Âm là xấu hơn</t>
  </si>
  <si>
    <t xml:space="preserve">Phí giãn trả một lần</t>
  </si>
  <si>
    <t xml:space="preserve">Giả định 0,5% trên phần thật sự dịch</t>
  </si>
  <si>
    <t xml:space="preserve">Số ngày thiếu mới</t>
  </si>
  <si>
    <t xml:space="preserve">Nền đủ nhưng sau thiếu</t>
  </si>
  <si>
    <t xml:space="preserve">Cho phép thử với NCC thiết yếu</t>
  </si>
  <si>
    <t xml:space="preserve">1 xác nhận giả định để thử, không phải đồng ý từ NCC</t>
  </si>
  <si>
    <t xml:space="preserve">Số ngày gap xấu đi</t>
  </si>
  <si>
    <t xml:space="preserve">Bắt cả ngày nền đã thiếu</t>
  </si>
  <si>
    <t xml:space="preserve">Lô thử bán</t>
  </si>
  <si>
    <t xml:space="preserve">L27</t>
  </si>
  <si>
    <t xml:space="preserve">CK thu sớm giảm thu</t>
  </si>
  <si>
    <t xml:space="preserve">Không ghi chi thêm lần nữa</t>
  </si>
  <si>
    <t xml:space="preserve">Tỷ lệ lô bán</t>
  </si>
  <si>
    <t xml:space="preserve">50% giá ghi sổ/khối lượng cùng đơn giá của lô</t>
  </si>
  <si>
    <t xml:space="preserve">Phí giãn trả NCC</t>
  </si>
  <si>
    <t xml:space="preserve">Chi ở lịch trả mới</t>
  </si>
  <si>
    <t xml:space="preserve">Tỷ lệ giá thu hồi</t>
  </si>
  <si>
    <t xml:space="preserve">80% giá ghi sổ là giả định, không là giá thị trường</t>
  </si>
  <si>
    <t xml:space="preserve">Chi phí tiền bán tồn</t>
  </si>
  <si>
    <t xml:space="preserve">Tỷ lệ trên tiền bán gộp</t>
  </si>
  <si>
    <t xml:space="preserve">Số ngày từ Start đến bán/thu</t>
  </si>
  <si>
    <t xml:space="preserve">Demo giao và thu cùng ngày; backend tách ngày bán/ngày thu</t>
  </si>
  <si>
    <t xml:space="preserve">Giảm giá trị so sổ</t>
  </si>
  <si>
    <t xml:space="preserve">Không phải dòng chi tiền riêng</t>
  </si>
  <si>
    <t xml:space="preserve">Chi phí tiền khi bán</t>
  </si>
  <si>
    <t xml:space="preserve">2% tiền bán gộp; trừ đúng một lần</t>
  </si>
  <si>
    <t xml:space="preserve">Tổng chi phí tiền</t>
  </si>
  <si>
    <t xml:space="preserve">Chi phí đủ trong và ngoài kỳ</t>
  </si>
  <si>
    <t xml:space="preserve">Stress bán tồn trễ thêm</t>
  </si>
  <si>
    <t xml:space="preserve">Case4/5; không tự thay tỷ lệ giá thu hồi</t>
  </si>
  <si>
    <t xml:space="preserve">Chi phí kinh tế mô phỏng</t>
  </si>
  <si>
    <t xml:space="preserve">Không trừ lại khỏi dòng tiền</t>
  </si>
  <si>
    <t xml:space="preserve">Xác nhận giả định có thể bán lô</t>
  </si>
  <si>
    <t xml:space="preserve">0 chặn khi có tỷ lệ bán&gt;0; không chứng minh có người mua</t>
  </si>
  <si>
    <t xml:space="preserve">Nợ giãn dời sau horizon</t>
  </si>
  <si>
    <t xml:space="preserve">Chưa trả không đồng nghĩa tiết kiệm</t>
  </si>
  <si>
    <t xml:space="preserve">Tỷ lệ thu sớm thực hiện khi stress</t>
  </si>
  <si>
    <t xml:space="preserve">Case2/5 chỉ thu sớm được 50% phần đã định chuyển; phần khác về ngày cũ</t>
  </si>
  <si>
    <t xml:space="preserve">Thu dịch dời sau horizon</t>
  </si>
  <si>
    <t xml:space="preserve">Tiền chưa về trong horizon</t>
  </si>
  <si>
    <t xml:space="preserve">Ngày đối chiếu trọng yếu</t>
  </si>
  <si>
    <t xml:space="preserve">Mặc định ngày đáy UC02; có thể nhập ngày trong horizon</t>
  </si>
  <si>
    <t xml:space="preserve">W tại ngày chốt</t>
  </si>
  <si>
    <t xml:space="preserve">Không sửa chẩn đoán lịch sử</t>
  </si>
  <si>
    <t xml:space="preserve">Sai số tiền kiểm tra (VND)</t>
  </si>
  <si>
    <t xml:space="preserve">Không phải ngưỡng cảnh báo</t>
  </si>
  <si>
    <t xml:space="preserve">TH trong kịch bản</t>
  </si>
  <si>
    <t xml:space="preserve">Nếu nền không Base: chỉ tham khảo</t>
  </si>
  <si>
    <t xml:space="preserve">AR share hiệu lực</t>
  </si>
  <si>
    <t xml:space="preserve">Thay đổi theo case; không sửa nguồn</t>
  </si>
  <si>
    <t xml:space="preserve">Ô ma trận tham khảo</t>
  </si>
  <si>
    <t xml:space="preserve">Không đồng nhất màu cảnh báo với ô M</t>
  </si>
  <si>
    <t xml:space="preserve">Ngày dịch thu có dấu</t>
  </si>
  <si>
    <t xml:space="preserve">Âm = sớm; dương = chậm</t>
  </si>
  <si>
    <t xml:space="preserve">Phần thu KH được chuyển</t>
  </si>
  <si>
    <t xml:space="preserve">Số tiền gộp, khác lợi ích tại một ngày</t>
  </si>
  <si>
    <t xml:space="preserve">Chiết khấu hiệu lực</t>
  </si>
  <si>
    <t xml:space="preserve">Case6 không chiết khấu</t>
  </si>
  <si>
    <t xml:space="preserve">Phần trả NCC được chuyển</t>
  </si>
  <si>
    <t xml:space="preserve">Giữ nghĩa vụ hoàn trả</t>
  </si>
  <si>
    <t xml:space="preserve">AP share hiệu lực</t>
  </si>
  <si>
    <t xml:space="preserve">NCC từ chối → 0</t>
  </si>
  <si>
    <t xml:space="preserve">Tiền ròng bán tồn</t>
  </si>
  <si>
    <t xml:space="preserve">Có thể đến sau horizon</t>
  </si>
  <si>
    <t xml:space="preserve">Tỷ lệ bán hiệu lực</t>
  </si>
  <si>
    <t xml:space="preserve">Case0 không bán</t>
  </si>
  <si>
    <t xml:space="preserve">Ngày đầu dưới dự trữ</t>
  </si>
  <si>
    <t xml:space="preserve">Chưa thay thế mốc vấn đề có từ ngày chốt</t>
  </si>
  <si>
    <t xml:space="preserve">Ngày bán/thu hiệu lực</t>
  </si>
  <si>
    <t xml:space="preserve">Có thể nằm sau horizon; không xóa khoản đó</t>
  </si>
  <si>
    <t xml:space="preserve">AR ngày vốn tương đương</t>
  </si>
  <si>
    <t xml:space="preserve">Không là số ngày CCC giảm</t>
  </si>
  <si>
    <t xml:space="preserve">Kiểm tra thiết lập</t>
  </si>
  <si>
    <t xml:space="preserve">Lỗi chặn kết quả sau; phải sửa đầu vào</t>
  </si>
  <si>
    <t xml:space="preserve">AP ngày vốn tương đương</t>
  </si>
  <si>
    <t xml:space="preserve">Không đổi DPO tại 30/06</t>
  </si>
  <si>
    <t xml:space="preserve">Kịch bản nền UC02</t>
  </si>
  <si>
    <t xml:space="preserve">Base mặc định. Chọn nền khác ở D_F01: mọi đối chiếu dùng đúng nền đó</t>
  </si>
  <si>
    <t xml:space="preserve">Ngày, giữ nguyên</t>
  </si>
  <si>
    <t xml:space="preserve">Snapshot</t>
  </si>
  <si>
    <t xml:space="preserve">Giữ cùng snapshot UC01/UC02</t>
  </si>
  <si>
    <t xml:space="preserve">Kết luận</t>
  </si>
  <si>
    <t xml:space="preserve">Không phải quyết định hoặc cam kết</t>
  </si>
  <si>
    <t xml:space="preserve">Giá ghi sổ lô</t>
  </si>
  <si>
    <t xml:space="preserve">Tra D_inventory trực tiếp</t>
  </si>
  <si>
    <t xml:space="preserve">Giả định; dữ liệu hư cấu; chưa mô hình VAT</t>
  </si>
  <si>
    <t xml:space="preserve">Chủ sở hữu lô</t>
  </si>
  <si>
    <t xml:space="preserve">Chỉ bán lô thuộc F01; mô hình FOB tự sở hữu nguyên liệu và thành phẩm</t>
  </si>
  <si>
    <t xml:space="preserve">Lịch confirmed bị thử thay</t>
  </si>
  <si>
    <t xml:space="preserve">Nếu &gt;0 phải nêu trong diễn giải</t>
  </si>
  <si>
    <t xml:space="preserve">Cầm cố lô</t>
  </si>
  <si>
    <t xml:space="preserve">Chưa rõ cũng bị chặn</t>
  </si>
  <si>
    <t xml:space="preserve">Dự trữ mục tiêu</t>
  </si>
  <si>
    <t xml:space="preserve">Không thay để tạo kết quả đẹp</t>
  </si>
  <si>
    <t xml:space="preserve">Nguồn các tham số UC04</t>
  </si>
  <si>
    <t xml:space="preserve">Dữ liệu giả lập; không xác nhận phương án khả thi; net_noVAT</t>
  </si>
  <si>
    <t xml:space="preserve">Chỉ 13 tuần</t>
  </si>
  <si>
    <t xml:space="preserve">Không thực thi</t>
  </si>
  <si>
    <t xml:space="preserve">Không suy tiết kiệm lãi; không gọi bền vững từ một lần chạy</t>
  </si>
  <si>
    <t xml:space="preserve">Tồn kho</t>
  </si>
  <si>
    <t xml:space="preserve">Giá ghi sổ phần bán</t>
  </si>
  <si>
    <t xml:space="preserve">Không là tiền thu</t>
  </si>
  <si>
    <t xml:space="preserve">Tiền bán gộp</t>
  </si>
  <si>
    <t xml:space="preserve">Theo tỷ lệ thu hồi giả định</t>
  </si>
  <si>
    <t xml:space="preserve">Chi phí bán bằng tiền</t>
  </si>
  <si>
    <t xml:space="preserve">Giảm thu ròng, không chi thêm lần hai</t>
  </si>
  <si>
    <t xml:space="preserve">Tiền bán ròng</t>
  </si>
  <si>
    <t xml:space="preserve">Giao và thu ngay trong demo</t>
  </si>
  <si>
    <t xml:space="preserve">Tiền nền</t>
  </si>
  <si>
    <t xml:space="preserve">Δ thu KH</t>
  </si>
  <si>
    <t xml:space="preserve">Δ trả NCC</t>
  </si>
  <si>
    <t xml:space="preserve">Δ bán tồn</t>
  </si>
  <si>
    <t xml:space="preserve">Δ ròng</t>
  </si>
  <si>
    <t xml:space="preserve">Δ lũy kế</t>
  </si>
  <si>
    <t xml:space="preserve">Tiền sau</t>
  </si>
  <si>
    <t xml:space="preserve">Thiếu nền</t>
  </si>
  <si>
    <t xml:space="preserve">Thiếu sau</t>
  </si>
  <si>
    <t xml:space="preserve">Mức màu sau</t>
  </si>
  <si>
    <t xml:space="preserve">Ngày thiếu mới</t>
  </si>
  <si>
    <t xml:space="preserve">Ngày gap xấu đi</t>
  </si>
  <si>
    <t xml:space="preserve">Chuỗi dư sau</t>
  </si>
  <si>
    <t xml:space="preserve">Giảm gap</t>
  </si>
  <si>
    <t xml:space="preserve">Hướng</t>
  </si>
  <si>
    <t xml:space="preserve">Ngày nền</t>
  </si>
  <si>
    <t xml:space="preserve">Ngày xác nhận</t>
  </si>
  <si>
    <t xml:space="preserve">Loại</t>
  </si>
  <si>
    <t xml:space="preserve">Phần AR chuyển</t>
  </si>
  <si>
    <t xml:space="preserve">Ngày AR mới</t>
  </si>
  <si>
    <t xml:space="preserve">AR thu ròng</t>
  </si>
  <si>
    <t xml:space="preserve">CK giảm thu</t>
  </si>
  <si>
    <t xml:space="preserve">Phần AP chuyển</t>
  </si>
  <si>
    <t xml:space="preserve">Ngày AP mới</t>
  </si>
  <si>
    <t xml:space="preserve">AP trả gồm phí</t>
  </si>
  <si>
    <t xml:space="preserve">Phí AP</t>
  </si>
  <si>
    <t xml:space="preserve">Phần giữ lịch</t>
  </si>
  <si>
    <t xml:space="preserve">Hợp lệ sự kiện</t>
  </si>
  <si>
    <t xml:space="preserve">Bắt đầu</t>
  </si>
  <si>
    <t xml:space="preserve">Kết thúc</t>
  </si>
  <si>
    <t xml:space="preserve">Min tiền nền</t>
  </si>
  <si>
    <t xml:space="preserve">Min tiền sau</t>
  </si>
  <si>
    <t xml:space="preserve">Cuối tuần nền</t>
  </si>
  <si>
    <t xml:space="preserve">Cuối tuần sau</t>
  </si>
  <si>
    <t xml:space="preserve">Thiếu lớn nhất sau</t>
  </si>
  <si>
    <t xml:space="preserve">Màu xấu nhất sau</t>
  </si>
  <si>
    <t xml:space="preserve">Kiểm tra minh họa</t>
  </si>
  <si>
    <t xml:space="preserve">Sai lệch / kết quả</t>
  </si>
  <si>
    <t xml:space="preserve">Kỳ vọng</t>
  </si>
  <si>
    <t xml:space="preserve">Cầu nối tiền cuối</t>
  </si>
  <si>
    <t xml:space="preserve">0 ±1 VND</t>
  </si>
  <si>
    <t xml:space="preserve">Bắt lỗi cộng Δ sai hoặc cộng hai lần</t>
  </si>
  <si>
    <t xml:space="preserve">Phân bổ phần tiền</t>
  </si>
  <si>
    <t xml:space="preserve">Phần giữ lịch + phần chuyển = tiền nền</t>
  </si>
  <si>
    <t xml:space="preserve">Bản giữ nguyên</t>
  </si>
  <si>
    <t xml:space="preserve">0 khi case0</t>
  </si>
  <si>
    <t xml:space="preserve">Case0 phải khớp nền từng ngày</t>
  </si>
  <si>
    <t xml:space="preserve">Ngày nguồn không trùng</t>
  </si>
  <si>
    <t xml:space="preserve">122 event nguồn của fixture; không thêm nghĩa vụ trùng</t>
  </si>
  <si>
    <t xml:space="preserve">Không sửa nguồn</t>
  </si>
  <si>
    <t xml:space="preserve">Kiểm bằng đối chiếu package và hash</t>
  </si>
  <si>
    <t xml:space="preserve">D_* nguyên vẹn</t>
  </si>
  <si>
    <t xml:space="preserve">UC04 không sửa các bảng dữ liệu FOB đã chốt</t>
  </si>
  <si>
    <t xml:space="preserve">Stress và biên</t>
  </si>
  <si>
    <t xml:space="preserve">Kiểm tra trên dữ liệu FOB v11: case0–6; cầu nối tiền, bảo toàn phần tiền và biên Miller–Orr</t>
  </si>
  <si>
    <t xml:space="preserve">Xem mô tả bên dưới</t>
  </si>
  <si>
    <t xml:space="preserve">Case0…6; 0%/0 ngày; confirmed; NCC thiết yếu; quyền bán; dời ngoài kỳ</t>
  </si>
  <si>
    <t xml:space="preserve">Các ca đặc tả còn cần backend: nhiều phần trên cùng hóa đơn; lô có thu nền trùng; thiếu nguồn/phiên bản/snapshot; phân quyền; Decimal; diễn giải đúng fact.</t>
  </si>
  <si>
    <t xml:space="preserve">F01 Hồ sơ, tài chính và cấu hình</t>
  </si>
  <si>
    <t xml:space="preserve">Trường</t>
  </si>
  <si>
    <t xml:space="preserve">Cơ sở và nguồn</t>
  </si>
  <si>
    <t xml:space="preserve">firm_id</t>
  </si>
  <si>
    <t xml:space="preserve">F01</t>
  </si>
  <si>
    <t xml:space="preserve">Doanh nghiệp may FOB tự mua nguyên liệu, sản xuất và bán thành phẩm</t>
  </si>
  <si>
    <t xml:space="preserve">period_start</t>
  </si>
  <si>
    <t xml:space="preserve">Đầu kỳ theo yêu cầu</t>
  </si>
  <si>
    <t xml:space="preserve">as_of</t>
  </si>
  <si>
    <t xml:space="preserve">Ngày chốt theo yêu cầu</t>
  </si>
  <si>
    <t xml:space="preserve">N</t>
  </si>
  <si>
    <t xml:space="preserve">181 ngày (bán niên 01/01–30/06/2026), gồm cả hai mốc</t>
  </si>
  <si>
    <t xml:space="preserve">revenue_vnd</t>
  </si>
  <si>
    <t xml:space="preserve">Tổng 117 hóa đơn bán FOB trong 181 ngày; không phải tiền thu</t>
  </si>
  <si>
    <t xml:space="preserve">cogs_vnd</t>
  </si>
  <si>
    <t xml:space="preserve">Biên lợi nhuận gộp giả lập 18%; bao gồm NVL, lao động và chi phí sản xuất</t>
  </si>
  <si>
    <t xml:space="preserve">cash_total_vnd</t>
  </si>
  <si>
    <t xml:space="preserve">Tiền khả dụng cuối ngày chốt 30/06/2026 = tiền đầu lịch sử 4.523.270.445 + dòng tiền ròng 181 ngày; đối chiếu lịch sử tại D_flows</t>
  </si>
  <si>
    <t xml:space="preserve">restricted_vnd</t>
  </si>
  <si>
    <t xml:space="preserve">Giả lập không có hạn chế rút</t>
  </si>
  <si>
    <t xml:space="preserve">short_investments_vnd</t>
  </si>
  <si>
    <t xml:space="preserve">Không tự coi là Cash0</t>
  </si>
  <si>
    <t xml:space="preserve">other_current_assets_vnd</t>
  </si>
  <si>
    <t xml:space="preserve">Giả lập độc lập</t>
  </si>
  <si>
    <t xml:space="preserve">rmin_vnd</t>
  </si>
  <si>
    <t xml:space="preserve">Miller–Orr: MAX(P25 Tiền/DT ngành × doanh thu TTM; sàn chủ DN)</t>
  </si>
  <si>
    <t xml:space="preserve">rtarget_vnd</t>
  </si>
  <si>
    <t xml:space="preserve">Miller–Orr: Z = L + S/3; không dùng mức cố định 500 triệu</t>
  </si>
  <si>
    <t xml:space="preserve">rupper_vnd</t>
  </si>
  <si>
    <t xml:space="preserve">Miller–Orr: H = L + S</t>
  </si>
  <si>
    <t xml:space="preserve">horizon_weeks</t>
  </si>
  <si>
    <t xml:space="preserve">13 tuần/91 ngày (01/07–29/09/2026); khác N=181</t>
  </si>
  <si>
    <t xml:space="preserve">scenario_id</t>
  </si>
  <si>
    <t xml:space="preserve">1 Base;2 Optimistic;3 Conservative;4 Stress7;5 Continuing</t>
  </si>
  <si>
    <t xml:space="preserve">mode</t>
  </si>
  <si>
    <t xml:space="preserve">Chọn một kịch bản; cùng một bộ tính</t>
  </si>
  <si>
    <t xml:space="preserve">revenue_ttm_actual</t>
  </si>
  <si>
    <t xml:space="preserve">TTM 01/07/2025–30/06/2026 = B85 + B9; doanh thu 6 tháng cuối 2025 tạo sinh độc lập</t>
  </si>
  <si>
    <t xml:space="preserve">snapshot_id</t>
  </si>
  <si>
    <t xml:space="preserve">F01-FOB-20260630-v11</t>
  </si>
  <si>
    <t xml:space="preserve">Giữ bất biến theo lần chạy</t>
  </si>
  <si>
    <t xml:space="preserve">business_model</t>
  </si>
  <si>
    <t xml:space="preserve">FOB</t>
  </si>
  <si>
    <t xml:space="preserve">Hồ sơ giả lập; không suy từ DIO</t>
  </si>
  <si>
    <t xml:space="preserve">amount_basis</t>
  </si>
  <si>
    <t xml:space="preserve">net_noVAT</t>
  </si>
  <si>
    <t xml:space="preserve">Demo không mô hình hóa VAT; phải xác nhận khi dùng thật</t>
  </si>
  <si>
    <t xml:space="preserve">lookback_days</t>
  </si>
  <si>
    <t xml:space="preserve">180 ngày: cửa sổ lịch sử theo SRS; F01 có đủ 181 ngày dữ liệu giao dịch và số dư trong fixture</t>
  </si>
  <si>
    <t xml:space="preserve">min_model_samples</t>
  </si>
  <si>
    <t xml:space="preserve">Ưu tiên khách → toàn F01 → mặc định</t>
  </si>
  <si>
    <t xml:space="preserve">min_conditional_samples</t>
  </si>
  <si>
    <t xml:space="preserve">Khoản quá hạn cần mẫu độ trễ ≥ DPD</t>
  </si>
  <si>
    <t xml:space="preserve">fallback_days</t>
  </si>
  <si>
    <t xml:space="preserve">Giả định demo khi toàn doanh nghiệp ít mẫu</t>
  </si>
  <si>
    <t xml:space="preserve">incremental_cost_ratio</t>
  </si>
  <si>
    <t xml:space="preserve">Chi tiền tăng thêm FOB: NVL, phụ liệu, biến phí; không cộng lại lương/thuê cố định</t>
  </si>
  <si>
    <t xml:space="preserve">incremental_cost_lag_days</t>
  </si>
  <si>
    <t xml:space="preserve">Giả định lịch chi tăng thêm</t>
  </si>
  <si>
    <t xml:space="preserve">new_sales_credit_days</t>
  </si>
  <si>
    <t xml:space="preserve">Giả định kỳ hạn bán mới cho continuing</t>
  </si>
  <si>
    <t xml:space="preserve">source_coverage_confirmed</t>
  </si>
  <si>
    <t xml:space="preserve">1: đủ các nguồn của fixture; không phải xác nhận dữ liệu thực</t>
  </si>
  <si>
    <t xml:space="preserve">status</t>
  </si>
  <si>
    <t xml:space="preserve">Mọi đầu vào đều là tạo sinh</t>
  </si>
  <si>
    <t xml:space="preserve">history_days_available</t>
  </si>
  <si>
    <t xml:space="preserve">Lịch sử ngày 01/01–30/06/2026 (181 ngày), trong cửa sổ tối đa 3 năm; đủ 90 ngày để dùng σ riêng</t>
  </si>
  <si>
    <t xml:space="preserve">customer_id</t>
  </si>
  <si>
    <t xml:space="preserve">Tên khách hàng</t>
  </si>
  <si>
    <t xml:space="preserve">Chiến lược (khai báo)</t>
  </si>
  <si>
    <t xml:space="preserve">Khách mua FOB Lớn K1</t>
  </si>
  <si>
    <t xml:space="preserve">không</t>
  </si>
  <si>
    <t xml:space="preserve">Khách mua FOB K2</t>
  </si>
  <si>
    <t xml:space="preserve">có</t>
  </si>
  <si>
    <t xml:space="preserve">Nhà mua hàng FOB K5</t>
  </si>
  <si>
    <t xml:space="preserve">Thương hiệu thời trang theo mùa K6</t>
  </si>
  <si>
    <t xml:space="preserve">Thương hiệu nội địa K3</t>
  </si>
  <si>
    <t xml:space="preserve">Đại lý vãng lai K7</t>
  </si>
  <si>
    <t xml:space="preserve">Khách mới K4</t>
  </si>
  <si>
    <t xml:space="preserve">Cửa hàng nhỏ K8</t>
  </si>
  <si>
    <t xml:space="preserve">Khách ngừng mua K9</t>
  </si>
  <si>
    <t xml:space="preserve">supplier_id</t>
  </si>
  <si>
    <t xml:space="preserve">Tên nhà cung cấp</t>
  </si>
  <si>
    <t xml:space="preserve">Độc quyền</t>
  </si>
  <si>
    <t xml:space="preserve">Nguồn thay thế</t>
  </si>
  <si>
    <t xml:space="preserve">Lead time ngày</t>
  </si>
  <si>
    <t xml:space="preserve">Nhà phân phối vải Beta</t>
  </si>
  <si>
    <t xml:space="preserve">Bao bì – phụ liệu Gamma</t>
  </si>
  <si>
    <t xml:space="preserve">Chỉ – nút – khóa NCC4</t>
  </si>
  <si>
    <t xml:space="preserve">Vận tải nội địa NCC5</t>
  </si>
  <si>
    <t xml:space="preserve">Xưởng thêu – in ngoài NCC6</t>
  </si>
  <si>
    <t xml:space="preserve">Điện lực khu công nghiệp</t>
  </si>
  <si>
    <t xml:space="preserve">Vải phụ trợ mới NCC7</t>
  </si>
  <si>
    <t xml:space="preserve">Vật tư tiêu hao NCC8</t>
  </si>
  <si>
    <t xml:space="preserve">Phụ liệu chỉ định NCC9</t>
  </si>
  <si>
    <t xml:space="preserve">Nguồn F01: dữ liệu tạo sinh FOB v11 (kỳ bán niên 01/01–30/06/2026); giữ khóa giao dịch, cập nhật giá trị, quyền sở hữu và kế hoạch thu–chi. Nguồn chuẩn: Nguong_SMEs_FOB_2023_2025 (1).xlsx.</t>
  </si>
  <si>
    <t xml:space="preserve">Tên chuẩn</t>
  </si>
  <si>
    <t xml:space="preserve">Vị trí workbook</t>
  </si>
  <si>
    <t xml:space="preserve">Kiểm soát</t>
  </si>
  <si>
    <t xml:space="preserve">financials.revenue_vnd</t>
  </si>
  <si>
    <t xml:space="preserve">D_F01!B9</t>
  </si>
  <si>
    <t xml:space="preserve">Doanh thu 181 ngày</t>
  </si>
  <si>
    <t xml:space="preserve">Không dùng tiền đã thu</t>
  </si>
  <si>
    <t xml:space="preserve">financials.cogs_vnd</t>
  </si>
  <si>
    <t xml:space="preserve">D_F01!B10</t>
  </si>
  <si>
    <t xml:space="preserve">Giá vốn cùng kỳ</t>
  </si>
  <si>
    <t xml:space="preserve">Không cộng làm chi forecast</t>
  </si>
  <si>
    <t xml:space="preserve">financials.current_assets</t>
  </si>
  <si>
    <t xml:space="preserve">F01_UC1!B21</t>
  </si>
  <si>
    <t xml:space="preserve">TSNH từ cấu phần giả lập</t>
  </si>
  <si>
    <t xml:space="preserve">Không có hàng thuộc khách</t>
  </si>
  <si>
    <t xml:space="preserve">D_sales!A5:L121</t>
  </si>
  <si>
    <t xml:space="preserve">117 hóa đơn F01</t>
  </si>
  <si>
    <t xml:space="preserve">Full settlement demo</t>
  </si>
  <si>
    <t xml:space="preserve">D_purchases!A5:M139</t>
  </si>
  <si>
    <t xml:space="preserve">135 hóa đơn F01</t>
  </si>
  <si>
    <t xml:space="preserve">D_inventory!A5:M40</t>
  </si>
  <si>
    <t xml:space="preserve">36 lô có ownership</t>
  </si>
  <si>
    <t xml:space="preserve">Ngày nhập trước kỳ là tồn đầu kỳ</t>
  </si>
  <si>
    <t xml:space="preserve">planned_flows</t>
  </si>
  <si>
    <t xml:space="preserve">D_flows!A5:L45</t>
  </si>
  <si>
    <t xml:space="preserve">11 khoản chi tương lai bổ sung + 30 hóa đơn điện/vận tải (dòng 16-45)</t>
  </si>
  <si>
    <t xml:space="preserve">KnownAt =30/06/2026</t>
  </si>
  <si>
    <t xml:space="preserve">confirmed_receipts</t>
  </si>
  <si>
    <t xml:space="preserve">D_flows!A52:D52</t>
  </si>
  <si>
    <t xml:space="preserve">Một lịch thu xác nhận giả lập</t>
  </si>
  <si>
    <t xml:space="preserve">Thay ngày cùng nguồn, không cộng thêm tiền</t>
  </si>
  <si>
    <t xml:space="preserve">cash0</t>
  </si>
  <si>
    <t xml:space="preserve">D_F01!B11-B12</t>
  </si>
  <si>
    <t xml:space="preserve">Tiền khả dụng tại chốt</t>
  </si>
  <si>
    <t xml:space="preserve">Không cộng ĐTNH tự động</t>
  </si>
  <si>
    <t xml:space="preserve">D_F01!B22</t>
  </si>
  <si>
    <t xml:space="preserve">ID snapshot hư cấu</t>
  </si>
  <si>
    <t xml:space="preserve">Không trộn kỳ cũ vào bản này</t>
  </si>
  <si>
    <t xml:space="preserve">Tài chính lịch sử tạo sinh</t>
  </si>
  <si>
    <t xml:space="preserve">Doanh thu (VND)</t>
  </si>
  <si>
    <t xml:space="preserve">Giá vốn (VND)</t>
  </si>
  <si>
    <t xml:space="preserve">Tổng hợp năm hư cấu, không dùng để thay σ ngày</t>
  </si>
  <si>
    <t xml:space="preserve">01/07–31/12/2025</t>
  </si>
  <si>
    <t xml:space="preserve">Doanh thu 6 tháng cuối 2025 (tạo sinh); TTM = B85 + doanh thu 01/01–30/06/2026</t>
  </si>
  <si>
    <t xml:space="preserve">Chi phí chuyển hóa vào giá vốn kỳ</t>
  </si>
  <si>
    <t xml:space="preserve">30% COGS</t>
  </si>
  <si>
    <t xml:space="preserve">Lao động và sản xuất chung giả lập; phần còn lại là NVL</t>
  </si>
  <si>
    <t xml:space="preserve">Tồn đầu kỳ quy đổi</t>
  </si>
  <si>
    <t xml:space="preserve">Tồn cuối = Tồn đầu + mua NVL + chi phí chuyển hóa − giá vốn; cầu nối tổng hợp tạo sinh</t>
  </si>
  <si>
    <t xml:space="preserve">UC03 Đầu vào sản phẩm và tham số cho F01</t>
  </si>
  <si>
    <t xml:space="preserve">Ô xanh dương là giả định nhập tay; ô xanh lá lấy từ dữ liệu F01. Sản phẩm tài trợ chưa có dữ liệu thật: lãi suất, hạn mức, thời gian có tiền là giả định minh họa.</t>
  </si>
  <si>
    <t xml:space="preserve">Dùng ở / ghi chú</t>
  </si>
  <si>
    <t xml:space="preserve">% Rtarget</t>
  </si>
  <si>
    <t xml:space="preserve">T3-02, T3-05: ngưỡng đổi mức và ranh giới nhẹ/nặng</t>
  </si>
  <si>
    <t xml:space="preserve">T3-02: thời gian giữ mức mới</t>
  </si>
  <si>
    <t xml:space="preserve">% PeakGap</t>
  </si>
  <si>
    <t xml:space="preserve">T3-08: yếu tố chính (chỉ để định tuyến)</t>
  </si>
  <si>
    <t xml:space="preserve">T3-08: yếu tố phụ</t>
  </si>
  <si>
    <t xml:space="preserve">T3-09: chưa dùng trong F01_UC03 (cần sự kiện chi đơn lẻ theo ngày)</t>
  </si>
  <si>
    <t xml:space="preserve">% G</t>
  </si>
  <si>
    <t xml:space="preserve">T3-32: số rút tối thiểu mỗi nguồn</t>
  </si>
  <si>
    <t xml:space="preserve">nguồn</t>
  </si>
  <si>
    <t xml:space="preserve">T3-32: tối đa nguồn mỗi gói</t>
  </si>
  <si>
    <t xml:space="preserve">T3-06: chế độ Khẩn khi DaysLeft ≤ ngưỡng</t>
  </si>
  <si>
    <t xml:space="preserve">T3-07: duration ngắn hơn thì loại sản phẩm khóa kỳ hạn hoặc phí cố định</t>
  </si>
  <si>
    <t xml:space="preserve">% mua</t>
  </si>
  <si>
    <t xml:space="preserve">T3-14: NCC từ ngưỡng này bị loại khỏi giãn nợ</t>
  </si>
  <si>
    <t xml:space="preserve">MAX_PER_OPTION</t>
  </si>
  <si>
    <t xml:space="preserve">T3-32: tối đa nguồn mỗi phương án</t>
  </si>
  <si>
    <t xml:space="preserve">all_L1</t>
  </si>
  <si>
    <t xml:space="preserve">T3-11: mọi liên kết yếu tố là L1 (UC01); giả định demo, F01 chưa có bảng loại liên kết</t>
  </si>
  <si>
    <t xml:space="preserve">ok</t>
  </si>
  <si>
    <t xml:space="preserve">T3-29: degraded thì mọi nguồn về độ chắc chắn Thấp</t>
  </si>
  <si>
    <t xml:space="preserve">Bảng sản phẩm (14 dòng); số tiền cơ sở lấy từ F01</t>
  </si>
  <si>
    <t xml:space="preserve">Sản phẩm</t>
  </si>
  <si>
    <t xml:space="preserve">Cơ sở (VND)</t>
  </si>
  <si>
    <t xml:space="preserve">Tỷ lệ ứng</t>
  </si>
  <si>
    <t xml:space="preserve">Haircut</t>
  </si>
  <si>
    <t xml:space="preserve">Lãi/năm</t>
  </si>
  <si>
    <t xml:space="preserve">Phí %</t>
  </si>
  <si>
    <t xml:space="preserve">Phí cố định</t>
  </si>
  <si>
    <t xml:space="preserve">Hold (ngày)</t>
  </si>
  <si>
    <t xml:space="preserve">Chiến lược/thiết yếu</t>
  </si>
  <si>
    <t xml:space="preserve">Đã cầm cố</t>
  </si>
  <si>
    <t xml:space="preserve">Có dữ liệu</t>
  </si>
  <si>
    <t xml:space="preserve">Trả trước được</t>
  </si>
  <si>
    <t xml:space="preserve">Nguyên nhân</t>
  </si>
  <si>
    <t xml:space="preserve">Nguồn cơ sở</t>
  </si>
  <si>
    <t xml:space="preserve">NB-01</t>
  </si>
  <si>
    <t xml:space="preserve">Thanh lý đầu tư ngắn hạn (bước 0)</t>
  </si>
  <si>
    <t xml:space="preserve">NB</t>
  </si>
  <si>
    <t xml:space="preserve">O0</t>
  </si>
  <si>
    <t xml:space="preserve">OBJ-NB</t>
  </si>
  <si>
    <t xml:space="preserve">Cao</t>
  </si>
  <si>
    <t xml:space="preserve">Y</t>
  </si>
  <si>
    <t xml:space="preserve">Đầu tư ngắn hạn D_F01!B13; ngày có tiền là giả định</t>
  </si>
  <si>
    <t xml:space="preserve">EX-01</t>
  </si>
  <si>
    <t xml:space="preserve">Giãn lịch trả NCC không thiết yếu 15–30 ngày</t>
  </si>
  <si>
    <t xml:space="preserve">AP_EXT</t>
  </si>
  <si>
    <t xml:space="preserve">O1</t>
  </si>
  <si>
    <t xml:space="preserve">OBJ-APX</t>
  </si>
  <si>
    <t xml:space="preserve">Thấp</t>
  </si>
  <si>
    <t xml:space="preserve">AP</t>
  </si>
  <si>
    <t xml:space="preserve">Phải trả của NCC không thiết yếu, chưa quá hạn, tỷ trọng mua &lt; PARAM_KEY_PARTNER</t>
  </si>
  <si>
    <t xml:space="preserve">EX-02</t>
  </si>
  <si>
    <t xml:space="preserve">Giãn lịch trả NCC thiết yếu</t>
  </si>
  <si>
    <t xml:space="preserve">OBJ-APS</t>
  </si>
  <si>
    <t xml:space="preserve">NCC thiết yếu: loại cứng</t>
  </si>
  <si>
    <t xml:space="preserve">AR-01</t>
  </si>
  <si>
    <t xml:space="preserve">Thu sớm hóa đơn K1, chiết khấu 1%</t>
  </si>
  <si>
    <t xml:space="preserve">AR_EARLY</t>
  </si>
  <si>
    <t xml:space="preserve">O4</t>
  </si>
  <si>
    <t xml:space="preserve">OBJ-AR-K1</t>
  </si>
  <si>
    <t xml:space="preserve">Trung bình</t>
  </si>
  <si>
    <t xml:space="preserve">AR</t>
  </si>
  <si>
    <t xml:space="preserve">Phải thu K1 chưa quá hạn = C41 − F41</t>
  </si>
  <si>
    <t xml:space="preserve">AR-02</t>
  </si>
  <si>
    <t xml:space="preserve">Thu sớm hóa đơn K2</t>
  </si>
  <si>
    <t xml:space="preserve">OBJ-AR-K2</t>
  </si>
  <si>
    <t xml:space="preserve">K2 khai báo chiến lược: loại cứng</t>
  </si>
  <si>
    <t xml:space="preserve">RF-001</t>
  </si>
  <si>
    <t xml:space="preserve">Tài trợ chuỗi cung ứng đảo ngược (hóa đơn K1)</t>
  </si>
  <si>
    <t xml:space="preserve">RF</t>
  </si>
  <si>
    <t xml:space="preserve">O2</t>
  </si>
  <si>
    <t xml:space="preserve">Cùng hóa đơn K1 với AR-01 và FAC-001: một gói chỉ dùng một</t>
  </si>
  <si>
    <t xml:space="preserve">FAC-001</t>
  </si>
  <si>
    <t xml:space="preserve">Bao thanh toán hóa đơn K1</t>
  </si>
  <si>
    <t xml:space="preserve">FAC</t>
  </si>
  <si>
    <t xml:space="preserve">Cùng hóa đơn K1</t>
  </si>
  <si>
    <t xml:space="preserve">FAC-002</t>
  </si>
  <si>
    <t xml:space="preserve">Bao thanh toán hóa đơn K6</t>
  </si>
  <si>
    <t xml:space="preserve">OBJ-AR-K6</t>
  </si>
  <si>
    <t xml:space="preserve">Phải thu K6 chưa quá hạn = C44 − F44</t>
  </si>
  <si>
    <t xml:space="preserve">INV-001</t>
  </si>
  <si>
    <t xml:space="preserve">Vay có bảo đảm bằng tồn kho bình thường</t>
  </si>
  <si>
    <t xml:space="preserve">INV_LOAN</t>
  </si>
  <si>
    <t xml:space="preserve">OBJ-INV-NOR</t>
  </si>
  <si>
    <t xml:space="preserve">INV</t>
  </si>
  <si>
    <t xml:space="preserve">Lô sở hữu, chưa cầm cố, không tồn lâu/đơn hủy</t>
  </si>
  <si>
    <t xml:space="preserve">INV-002</t>
  </si>
  <si>
    <t xml:space="preserve">Bán xả lô tồn lâu TP/HH</t>
  </si>
  <si>
    <t xml:space="preserve">INV_SALE</t>
  </si>
  <si>
    <t xml:space="preserve">O3</t>
  </si>
  <si>
    <t xml:space="preserve">OBJ-INV-SLOW</t>
  </si>
  <si>
    <t xml:space="preserve">Lô tồn lâu, không phải NVL/BTP, đơn không hủy; haircut 12,5% giả định</t>
  </si>
  <si>
    <t xml:space="preserve">INV-003</t>
  </si>
  <si>
    <t xml:space="preserve">Vay có bảo đảm lô đã cầm cố</t>
  </si>
  <si>
    <t xml:space="preserve">OBJ-INV-PLG</t>
  </si>
  <si>
    <t xml:space="preserve">Lô đã cầm cố: loại cứng</t>
  </si>
  <si>
    <t xml:space="preserve">CL-001</t>
  </si>
  <si>
    <t xml:space="preserve">Hạn mức tín dụng quay vòng 1</t>
  </si>
  <si>
    <t xml:space="preserve">CL</t>
  </si>
  <si>
    <t xml:space="preserve">LIM-CL-001</t>
  </si>
  <si>
    <t xml:space="preserve">Hạn mức còn trống: giả định demo (F01 chưa có dữ liệu hạn mức)</t>
  </si>
  <si>
    <t xml:space="preserve">CL-002</t>
  </si>
  <si>
    <t xml:space="preserve">Hạn mức tín dụng quay vòng 2</t>
  </si>
  <si>
    <t xml:space="preserve">LIM-CL-002</t>
  </si>
  <si>
    <t xml:space="preserve">Hạn mức còn trống: giả định demo</t>
  </si>
  <si>
    <t xml:space="preserve">TT-001</t>
  </si>
  <si>
    <t xml:space="preserve">Thấu chi (chưa có dữ liệu sản phẩm)</t>
  </si>
  <si>
    <t xml:space="preserve">LIM-TT-001</t>
  </si>
  <si>
    <t xml:space="preserve">Chưa có dữ liệu: loại</t>
  </si>
  <si>
    <t xml:space="preserve">Nhóm được phép theo kịch bản (SCEN, T3-12)</t>
  </si>
  <si>
    <t xml:space="preserve">Nhóm \ Kịch bản</t>
  </si>
  <si>
    <t xml:space="preserve">A1</t>
  </si>
  <si>
    <t xml:space="preserve">A2</t>
  </si>
  <si>
    <t xml:space="preserve">A3</t>
  </si>
  <si>
    <t xml:space="preserve">A4</t>
  </si>
  <si>
    <t xml:space="preserve">B1</t>
  </si>
  <si>
    <t xml:space="preserve">B2</t>
  </si>
  <si>
    <t xml:space="preserve">Phạm vi sản phẩm theo ô M1/M3/M5; W0 thiếu ưu tiên vay ngắn hạn, W1 thiếu AR rồi AP, W2 thiếu AR/INV/AP/vay. Thừa W0 đầu tư; thừa W1/W2 giữ dự trữ.</t>
  </si>
  <si>
    <t xml:space="preserve">Nhóm xử lý đúng nguyên nhân (T3-12, bỏ khi chế độ Khẩn)</t>
  </si>
  <si>
    <t xml:space="preserve">F01 Hóa đơn bán và mẫu lịch sử</t>
  </si>
  <si>
    <t xml:space="preserve">invoice_id</t>
  </si>
  <si>
    <t xml:space="preserve">Tên khách</t>
  </si>
  <si>
    <t xml:space="preserve">order_id</t>
  </si>
  <si>
    <t xml:space="preserve">Amount net</t>
  </si>
  <si>
    <t xml:space="preserve">IssueDate</t>
  </si>
  <si>
    <t xml:space="preserve">DueDate</t>
  </si>
  <si>
    <t xml:space="preserve">PaidDate</t>
  </si>
  <si>
    <t xml:space="preserve">Terms</t>
  </si>
  <si>
    <t xml:space="preserve">Model</t>
  </si>
  <si>
    <t xml:space="preserve">Status</t>
  </si>
  <si>
    <t xml:space="preserve">OpenFlag</t>
  </si>
  <si>
    <t xml:space="preserve">OpenAmount</t>
  </si>
  <si>
    <t xml:space="preserve">DelaySigned</t>
  </si>
  <si>
    <t xml:space="preserve">DelayPositive</t>
  </si>
  <si>
    <t xml:space="preserve">Paid180Flag</t>
  </si>
  <si>
    <t xml:space="preserve">Paid×DelayPositive</t>
  </si>
  <si>
    <t xml:space="preserve">Paid180Amount</t>
  </si>
  <si>
    <t xml:space="preserve">ModelDelay</t>
  </si>
  <si>
    <t xml:space="preserve">ModelAmount</t>
  </si>
  <si>
    <t xml:space="preserve">ModelFlag</t>
  </si>
  <si>
    <t xml:space="preserve">ModelAmount×Delay</t>
  </si>
  <si>
    <t xml:space="preserve">CensoredFlag</t>
  </si>
  <si>
    <t xml:space="preserve">Paid×DelaySigned</t>
  </si>
  <si>
    <t xml:space="preserve">PaidAmount × CreditDays</t>
  </si>
  <si>
    <t xml:space="preserve">INV-F01-0001</t>
  </si>
  <si>
    <t xml:space="preserve">SO-F01-K1-01</t>
  </si>
  <si>
    <t xml:space="preserve">active</t>
  </si>
  <si>
    <t xml:space="preserve">INV-F01-0002</t>
  </si>
  <si>
    <t xml:space="preserve">SO-F01-K5-01</t>
  </si>
  <si>
    <t xml:space="preserve">INV-F01-0003</t>
  </si>
  <si>
    <t xml:space="preserve">SO-F01-K3-01</t>
  </si>
  <si>
    <t xml:space="preserve">INV-F01-0004</t>
  </si>
  <si>
    <t xml:space="preserve">SO-F01-K9-01</t>
  </si>
  <si>
    <t xml:space="preserve">INV-F01-0005</t>
  </si>
  <si>
    <t xml:space="preserve">INV-F01-0006</t>
  </si>
  <si>
    <t xml:space="preserve">SO-F01-K8-01</t>
  </si>
  <si>
    <t xml:space="preserve">INV-F01-0007</t>
  </si>
  <si>
    <t xml:space="preserve">SO-F01-K2-01</t>
  </si>
  <si>
    <t xml:space="preserve">INV-F01-0008</t>
  </si>
  <si>
    <t xml:space="preserve">SO-F01-K6-01</t>
  </si>
  <si>
    <t xml:space="preserve">INV-F01-0009</t>
  </si>
  <si>
    <t xml:space="preserve">SO-F01-K7-01</t>
  </si>
  <si>
    <t xml:space="preserve">INV-F01-0010</t>
  </si>
  <si>
    <t xml:space="preserve">SO-F01-K2-02</t>
  </si>
  <si>
    <t xml:space="preserve">INV-F01-0011</t>
  </si>
  <si>
    <t xml:space="preserve">SO-F01-K9-02</t>
  </si>
  <si>
    <t xml:space="preserve">INV-F01-0012</t>
  </si>
  <si>
    <t xml:space="preserve">SO-F01-K2-03</t>
  </si>
  <si>
    <t xml:space="preserve">INV-F01-0013</t>
  </si>
  <si>
    <t xml:space="preserve">SO-F01-K1-02</t>
  </si>
  <si>
    <t xml:space="preserve">INV-F01-0014</t>
  </si>
  <si>
    <t xml:space="preserve">SO-F01-K1-03</t>
  </si>
  <si>
    <t xml:space="preserve">INV-F01-0015</t>
  </si>
  <si>
    <t xml:space="preserve">SO-F01-K3-02</t>
  </si>
  <si>
    <t xml:space="preserve">INV-F01-0016</t>
  </si>
  <si>
    <t xml:space="preserve">SO-F01-K5-02</t>
  </si>
  <si>
    <t xml:space="preserve">INV-F01-0017</t>
  </si>
  <si>
    <t xml:space="preserve">SO-F01-K2-04</t>
  </si>
  <si>
    <t xml:space="preserve">INV-F01-0018</t>
  </si>
  <si>
    <t xml:space="preserve">SO-F01-K5-03</t>
  </si>
  <si>
    <t xml:space="preserve">INV-F01-0019</t>
  </si>
  <si>
    <t xml:space="preserve">INV-F01-0020</t>
  </si>
  <si>
    <t xml:space="preserve">SO-F01-K2-05</t>
  </si>
  <si>
    <t xml:space="preserve">INV-F01-0021</t>
  </si>
  <si>
    <t xml:space="preserve">SO-F01-K1-04</t>
  </si>
  <si>
    <t xml:space="preserve">INV-F01-0022</t>
  </si>
  <si>
    <t xml:space="preserve">INV-F01-0023</t>
  </si>
  <si>
    <t xml:space="preserve">INV-F01-0024</t>
  </si>
  <si>
    <t xml:space="preserve">SO-F01-K8-02</t>
  </si>
  <si>
    <t xml:space="preserve">INV-F01-0025</t>
  </si>
  <si>
    <t xml:space="preserve">INV-F01-0026</t>
  </si>
  <si>
    <t xml:space="preserve">SO-F01-K5-04</t>
  </si>
  <si>
    <t xml:space="preserve">INV-F01-0027</t>
  </si>
  <si>
    <t xml:space="preserve">INV-F01-0028</t>
  </si>
  <si>
    <t xml:space="preserve">INV-F01-0029</t>
  </si>
  <si>
    <t xml:space="preserve">SO-F01-K2-06</t>
  </si>
  <si>
    <t xml:space="preserve">INV-F01-0030</t>
  </si>
  <si>
    <t xml:space="preserve">INV-F01-0031</t>
  </si>
  <si>
    <t xml:space="preserve">SO-F01-K1-05</t>
  </si>
  <si>
    <t xml:space="preserve">INV-F01-0032</t>
  </si>
  <si>
    <t xml:space="preserve">SO-F01-K8-03</t>
  </si>
  <si>
    <t xml:space="preserve">INV-F01-0033</t>
  </si>
  <si>
    <t xml:space="preserve">SO-F01-K2-07</t>
  </si>
  <si>
    <t xml:space="preserve">INV-F01-0034</t>
  </si>
  <si>
    <t xml:space="preserve">SO-F01-K2-08</t>
  </si>
  <si>
    <t xml:space="preserve">INV-F01-0035</t>
  </si>
  <si>
    <t xml:space="preserve">SO-F01-K5-05</t>
  </si>
  <si>
    <t xml:space="preserve">INV-F01-0036</t>
  </si>
  <si>
    <t xml:space="preserve">SO-F01-K6-02</t>
  </si>
  <si>
    <t xml:space="preserve">INV-F01-0037</t>
  </si>
  <si>
    <t xml:space="preserve">SO-F01-K7-02</t>
  </si>
  <si>
    <t xml:space="preserve">SO-F01-K8-04</t>
  </si>
  <si>
    <t xml:space="preserve">INV-F01-0039</t>
  </si>
  <si>
    <t xml:space="preserve">SO-F01-K2-09</t>
  </si>
  <si>
    <t xml:space="preserve">INV-F01-0040</t>
  </si>
  <si>
    <t xml:space="preserve">SO-F01-K3-03</t>
  </si>
  <si>
    <t xml:space="preserve">INV-F01-0041</t>
  </si>
  <si>
    <t xml:space="preserve">SO-F01-K3-04</t>
  </si>
  <si>
    <t xml:space="preserve">INV-F01-0042</t>
  </si>
  <si>
    <t xml:space="preserve">INV-F01-0043</t>
  </si>
  <si>
    <t xml:space="preserve">SO-F01-K1-06</t>
  </si>
  <si>
    <t xml:space="preserve">INV-F01-0044</t>
  </si>
  <si>
    <t xml:space="preserve">INV-F01-0045</t>
  </si>
  <si>
    <t xml:space="preserve">SO-F01-K5-06</t>
  </si>
  <si>
    <t xml:space="preserve">INV-F01-0046</t>
  </si>
  <si>
    <t xml:space="preserve">SO-F01-K2-10</t>
  </si>
  <si>
    <t xml:space="preserve">INV-F01-0047</t>
  </si>
  <si>
    <t xml:space="preserve">SO-F01-K6-03</t>
  </si>
  <si>
    <t xml:space="preserve">INV-F01-0048</t>
  </si>
  <si>
    <t xml:space="preserve">SO-F01-K2-11</t>
  </si>
  <si>
    <t xml:space="preserve">INV-F01-0049</t>
  </si>
  <si>
    <t xml:space="preserve">SO-F01-K5-07</t>
  </si>
  <si>
    <t xml:space="preserve">INV-F01-0050</t>
  </si>
  <si>
    <t xml:space="preserve">SO-F01-K2-12</t>
  </si>
  <si>
    <t xml:space="preserve">SO-F01-K5-08</t>
  </si>
  <si>
    <t xml:space="preserve">INV-F01-0052</t>
  </si>
  <si>
    <t xml:space="preserve">SO-F01-K1-07</t>
  </si>
  <si>
    <t xml:space="preserve">INV-F01-0053</t>
  </si>
  <si>
    <t xml:space="preserve">SO-F01-K6-04</t>
  </si>
  <si>
    <t xml:space="preserve">INV-F01-0054</t>
  </si>
  <si>
    <t xml:space="preserve">SO-F01-K2-13</t>
  </si>
  <si>
    <t xml:space="preserve">INV-F01-0055</t>
  </si>
  <si>
    <t xml:space="preserve">SO-F01-K5-09</t>
  </si>
  <si>
    <t xml:space="preserve">INV-F01-0057</t>
  </si>
  <si>
    <t xml:space="preserve">INV-F01-0058</t>
  </si>
  <si>
    <t xml:space="preserve">SO-F01-K3-05</t>
  </si>
  <si>
    <t xml:space="preserve">INV-F01-0059</t>
  </si>
  <si>
    <t xml:space="preserve">SO-F01-K2-14</t>
  </si>
  <si>
    <t xml:space="preserve">INV-F01-0060</t>
  </si>
  <si>
    <t xml:space="preserve">SO-F01-K1-08</t>
  </si>
  <si>
    <t xml:space="preserve">INV-F01-0061</t>
  </si>
  <si>
    <t xml:space="preserve">INV-F01-0062</t>
  </si>
  <si>
    <t xml:space="preserve">SO-F01-K1-09</t>
  </si>
  <si>
    <t xml:space="preserve">INV-F01-0063</t>
  </si>
  <si>
    <t xml:space="preserve">SO-F01-K5-10</t>
  </si>
  <si>
    <t xml:space="preserve">INV-F01-0064</t>
  </si>
  <si>
    <t xml:space="preserve">SO-F01-K2-15</t>
  </si>
  <si>
    <t xml:space="preserve">INV-F01-0065</t>
  </si>
  <si>
    <t xml:space="preserve">SO-F01-K5-11</t>
  </si>
  <si>
    <t xml:space="preserve">INV-F01-0066</t>
  </si>
  <si>
    <t xml:space="preserve">SO-F01-K1-10</t>
  </si>
  <si>
    <t xml:space="preserve">INV-F01-0067</t>
  </si>
  <si>
    <t xml:space="preserve">SO-F01-K7-03</t>
  </si>
  <si>
    <t xml:space="preserve">INV-F01-0068</t>
  </si>
  <si>
    <t xml:space="preserve">SO-F01-K1-11</t>
  </si>
  <si>
    <t xml:space="preserve">INV-F01-0069</t>
  </si>
  <si>
    <t xml:space="preserve">SO-F01-K1-12</t>
  </si>
  <si>
    <t xml:space="preserve">INV-F01-0070</t>
  </si>
  <si>
    <t xml:space="preserve">SO-F01-K3-06</t>
  </si>
  <si>
    <t xml:space="preserve">INV-F01-0071</t>
  </si>
  <si>
    <t xml:space="preserve">SO-F01-K1-13</t>
  </si>
  <si>
    <t xml:space="preserve">INV-F01-0072</t>
  </si>
  <si>
    <t xml:space="preserve">SO-F01-K3-07</t>
  </si>
  <si>
    <t xml:space="preserve">INV-F01-0073</t>
  </si>
  <si>
    <t xml:space="preserve">SO-F01-K5-12</t>
  </si>
  <si>
    <t xml:space="preserve">INV-F01-0074</t>
  </si>
  <si>
    <t xml:space="preserve">SO-F01-K5-13</t>
  </si>
  <si>
    <t xml:space="preserve">SO-F01-K1-14</t>
  </si>
  <si>
    <t xml:space="preserve">SO-F01-K1-15</t>
  </si>
  <si>
    <t xml:space="preserve">INV-F01-0077</t>
  </si>
  <si>
    <t xml:space="preserve">SO-F01-K6-05</t>
  </si>
  <si>
    <t xml:space="preserve">INV-F01-0078</t>
  </si>
  <si>
    <t xml:space="preserve">SO-F01-K2-16</t>
  </si>
  <si>
    <t xml:space="preserve">SO-F01-K4-01</t>
  </si>
  <si>
    <t xml:space="preserve">INV-F01-0080</t>
  </si>
  <si>
    <t xml:space="preserve">SO-F01-K5-14</t>
  </si>
  <si>
    <t xml:space="preserve">INV-F01-0081</t>
  </si>
  <si>
    <t xml:space="preserve">SO-F01-K2-17</t>
  </si>
  <si>
    <t xml:space="preserve">INV-F01-0082</t>
  </si>
  <si>
    <t xml:space="preserve">SO-F01-K3-08</t>
  </si>
  <si>
    <t xml:space="preserve">SO-F01-K1-16</t>
  </si>
  <si>
    <t xml:space="preserve">INV-F01-0084</t>
  </si>
  <si>
    <t xml:space="preserve">SO-F01-K1-17</t>
  </si>
  <si>
    <t xml:space="preserve">INV-F01-0087</t>
  </si>
  <si>
    <t xml:space="preserve">SO-F01-K2-18</t>
  </si>
  <si>
    <t xml:space="preserve">INV-F01-0088</t>
  </si>
  <si>
    <t xml:space="preserve">SO-F01-K6-06</t>
  </si>
  <si>
    <t xml:space="preserve">SO-F01-K1-18</t>
  </si>
  <si>
    <t xml:space="preserve">SO-F01-K1-19</t>
  </si>
  <si>
    <t xml:space="preserve">INV-F01-0091</t>
  </si>
  <si>
    <t xml:space="preserve">SO-F01-K2-19</t>
  </si>
  <si>
    <t xml:space="preserve">SO-F01-K1-20</t>
  </si>
  <si>
    <t xml:space="preserve">SO-F01-K1-21</t>
  </si>
  <si>
    <t xml:space="preserve">INV-F01-0095</t>
  </si>
  <si>
    <t xml:space="preserve">SO-F01-K2-20</t>
  </si>
  <si>
    <t xml:space="preserve">INV-F01-0097</t>
  </si>
  <si>
    <t xml:space="preserve">SO-F01-K3-09</t>
  </si>
  <si>
    <t xml:space="preserve">INV-F01-0098</t>
  </si>
  <si>
    <t xml:space="preserve">SO-F01-K6-07</t>
  </si>
  <si>
    <t xml:space="preserve">SO-F01-K1-22</t>
  </si>
  <si>
    <t xml:space="preserve">SO-F01-K6-08</t>
  </si>
  <si>
    <t xml:space="preserve">INV-F01-0101</t>
  </si>
  <si>
    <t xml:space="preserve">SO-F01-K3-10</t>
  </si>
  <si>
    <t xml:space="preserve">SO-F01-K3-11</t>
  </si>
  <si>
    <t xml:space="preserve">SO-F01-K2-21</t>
  </si>
  <si>
    <t xml:space="preserve">SO-F01-K1-23</t>
  </si>
  <si>
    <t xml:space="preserve">SO-F01-K1-24</t>
  </si>
  <si>
    <t xml:space="preserve">SO-F01-K4-02</t>
  </si>
  <si>
    <t xml:space="preserve">SO-F01-K5-15</t>
  </si>
  <si>
    <t xml:space="preserve">SO-F01-K1-25</t>
  </si>
  <si>
    <t xml:space="preserve">SO-F01-K2-22</t>
  </si>
  <si>
    <t xml:space="preserve">SO-F01-K1-26</t>
  </si>
  <si>
    <t xml:space="preserve">SO-F01-K1-27</t>
  </si>
  <si>
    <t xml:space="preserve">SO-F01-K2-23</t>
  </si>
  <si>
    <t xml:space="preserve">SO-F01-K5-16</t>
  </si>
  <si>
    <t xml:space="preserve">SO-F01-K6-09</t>
  </si>
  <si>
    <t xml:space="preserve">SO-F01-K3-12</t>
  </si>
  <si>
    <t xml:space="preserve">SO-F01-K1-28</t>
  </si>
  <si>
    <t xml:space="preserve">F01 Hóa đơn mua và lịch sử trả tiền</t>
  </si>
  <si>
    <t xml:space="preserve">bill_id</t>
  </si>
  <si>
    <t xml:space="preserve">Tên NCC</t>
  </si>
  <si>
    <t xml:space="preserve">purchase_order</t>
  </si>
  <si>
    <t xml:space="preserve">Nhóm mua</t>
  </si>
  <si>
    <t xml:space="preserve">DiscountPct</t>
  </si>
  <si>
    <t xml:space="preserve">DiscountDays</t>
  </si>
  <si>
    <t xml:space="preserve">Paid×Delay</t>
  </si>
  <si>
    <t xml:space="preserve">PaidAmount</t>
  </si>
  <si>
    <t xml:space="preserve">Essential</t>
  </si>
  <si>
    <t xml:space="preserve">DiscountEligible</t>
  </si>
  <si>
    <t xml:space="preserve">DiscountSaving</t>
  </si>
  <si>
    <t xml:space="preserve">AnnualisedSimpleRate</t>
  </si>
  <si>
    <t xml:space="preserve">BILL-F01-0001</t>
  </si>
  <si>
    <t xml:space="preserve">PO-F01-S9-01</t>
  </si>
  <si>
    <t xml:space="preserve">Vải và phụ liệu doanh nghiệp tự mua theo đơn FOB</t>
  </si>
  <si>
    <t xml:space="preserve">BILL-F01-0002</t>
  </si>
  <si>
    <t xml:space="preserve">PO-F01-S3-01</t>
  </si>
  <si>
    <t xml:space="preserve">Phụ liệu chuyên dụng</t>
  </si>
  <si>
    <t xml:space="preserve">BILL-F01-0003</t>
  </si>
  <si>
    <t xml:space="preserve">PO-F01-S6-01</t>
  </si>
  <si>
    <t xml:space="preserve">Tiện ích (điện)</t>
  </si>
  <si>
    <t xml:space="preserve">BILL-F01-0004</t>
  </si>
  <si>
    <t xml:space="preserve">PO-F01-S3-02</t>
  </si>
  <si>
    <t xml:space="preserve">BILL-F01-0005</t>
  </si>
  <si>
    <t xml:space="preserve">Nhà phân phối vải Beta (F02)</t>
  </si>
  <si>
    <t xml:space="preserve">PO-F01-S1-01</t>
  </si>
  <si>
    <t xml:space="preserve">Phụ liệu bổ sung cho đơn FOB</t>
  </si>
  <si>
    <t xml:space="preserve">BILL-F01-0006</t>
  </si>
  <si>
    <t xml:space="preserve">PO-F01-S4-01</t>
  </si>
  <si>
    <t xml:space="preserve">Vận tải</t>
  </si>
  <si>
    <t xml:space="preserve">BILL-F01-0007</t>
  </si>
  <si>
    <t xml:space="preserve">PO-F01-S3-03</t>
  </si>
  <si>
    <t xml:space="preserve">BILL-F01-0008</t>
  </si>
  <si>
    <t xml:space="preserve">PO-F01-S3-04</t>
  </si>
  <si>
    <t xml:space="preserve">BILL-F01-0009</t>
  </si>
  <si>
    <t xml:space="preserve">PO-F01-S4-02</t>
  </si>
  <si>
    <t xml:space="preserve">BILL-F01-0010</t>
  </si>
  <si>
    <t xml:space="preserve">PO-F01-S3-05</t>
  </si>
  <si>
    <t xml:space="preserve">BILL-F01-0011</t>
  </si>
  <si>
    <t xml:space="preserve">Bao bì – phụ liệu Gamma (F03)</t>
  </si>
  <si>
    <t xml:space="preserve">PO-F01-S2-01</t>
  </si>
  <si>
    <t xml:space="preserve">Bao bì, phụ liệu đóng gói</t>
  </si>
  <si>
    <t xml:space="preserve">BILL-F01-0012</t>
  </si>
  <si>
    <t xml:space="preserve">PO-F01-S3-06</t>
  </si>
  <si>
    <t xml:space="preserve">BILL-F01-0013</t>
  </si>
  <si>
    <t xml:space="preserve">PO-F01-S4-03</t>
  </si>
  <si>
    <t xml:space="preserve">BILL-F01-0014</t>
  </si>
  <si>
    <t xml:space="preserve">PO-F01-S2-02</t>
  </si>
  <si>
    <t xml:space="preserve">BILL-F01-0015</t>
  </si>
  <si>
    <t xml:space="preserve">PO-F01-S4-04</t>
  </si>
  <si>
    <t xml:space="preserve">BILL-F01-0016</t>
  </si>
  <si>
    <t xml:space="preserve">PO-F01-S2-03</t>
  </si>
  <si>
    <t xml:space="preserve">BILL-F01-0017</t>
  </si>
  <si>
    <t xml:space="preserve">PO-F01-S1-02</t>
  </si>
  <si>
    <t xml:space="preserve">BILL-F01-0018</t>
  </si>
  <si>
    <t xml:space="preserve">PO-F01-S6-02</t>
  </si>
  <si>
    <t xml:space="preserve">BILL-F01-0019</t>
  </si>
  <si>
    <t xml:space="preserve">PO-F01-S3-07</t>
  </si>
  <si>
    <t xml:space="preserve">BILL-F01-0020</t>
  </si>
  <si>
    <t xml:space="preserve">PO-F01-S4-05</t>
  </si>
  <si>
    <t xml:space="preserve">BILL-F01-0021</t>
  </si>
  <si>
    <t xml:space="preserve">PO-F01-S8-01</t>
  </si>
  <si>
    <t xml:space="preserve">Vật tư tiêu hao (kim, dầu máy)</t>
  </si>
  <si>
    <t xml:space="preserve">BILL-F01-0022</t>
  </si>
  <si>
    <t xml:space="preserve">PO-F01-S3-08</t>
  </si>
  <si>
    <t xml:space="preserve">BILL-F01-0023</t>
  </si>
  <si>
    <t xml:space="preserve">PO-F01-S9-02</t>
  </si>
  <si>
    <t xml:space="preserve">BILL-F01-0024</t>
  </si>
  <si>
    <t xml:space="preserve">PO-F01-S2-04</t>
  </si>
  <si>
    <t xml:space="preserve">BILL-F01-0025</t>
  </si>
  <si>
    <t xml:space="preserve">PO-F01-S3-09</t>
  </si>
  <si>
    <t xml:space="preserve">BILL-F01-0026</t>
  </si>
  <si>
    <t xml:space="preserve">PO-F01-S9-03</t>
  </si>
  <si>
    <t xml:space="preserve">BILL-F01-0027</t>
  </si>
  <si>
    <t xml:space="preserve">PO-F01-S1-03</t>
  </si>
  <si>
    <t xml:space="preserve">BILL-F01-0028</t>
  </si>
  <si>
    <t xml:space="preserve">PO-F01-S2-05</t>
  </si>
  <si>
    <t xml:space="preserve">BILL-F01-0029</t>
  </si>
  <si>
    <t xml:space="preserve">PO-F01-S3-10</t>
  </si>
  <si>
    <t xml:space="preserve">BILL-F01-0030</t>
  </si>
  <si>
    <t xml:space="preserve">PO-F01-S4-06</t>
  </si>
  <si>
    <t xml:space="preserve">BILL-F01-0031</t>
  </si>
  <si>
    <t xml:space="preserve">PO-F01-S3-11</t>
  </si>
  <si>
    <t xml:space="preserve">BILL-F01-0032</t>
  </si>
  <si>
    <t xml:space="preserve">PO-F01-S1-04</t>
  </si>
  <si>
    <t xml:space="preserve">BILL-F01-0033</t>
  </si>
  <si>
    <t xml:space="preserve">PO-F01-S2-06</t>
  </si>
  <si>
    <t xml:space="preserve">BILL-F01-0034</t>
  </si>
  <si>
    <t xml:space="preserve">PO-F01-S1-05</t>
  </si>
  <si>
    <t xml:space="preserve">BILL-F01-0035</t>
  </si>
  <si>
    <t xml:space="preserve">PO-F01-S4-07</t>
  </si>
  <si>
    <t xml:space="preserve">BILL-F01-0036</t>
  </si>
  <si>
    <t xml:space="preserve">PO-F01-S6-03</t>
  </si>
  <si>
    <t xml:space="preserve">BILL-F01-0037</t>
  </si>
  <si>
    <t xml:space="preserve">PO-F01-S4-08</t>
  </si>
  <si>
    <t xml:space="preserve">BILL-F01-0038</t>
  </si>
  <si>
    <t xml:space="preserve">PO-F01-S3-12</t>
  </si>
  <si>
    <t xml:space="preserve">BILL-F01-0039</t>
  </si>
  <si>
    <t xml:space="preserve">PO-F01-S4-09</t>
  </si>
  <si>
    <t xml:space="preserve">BILL-F01-0040</t>
  </si>
  <si>
    <t xml:space="preserve">PO-F01-S5-01</t>
  </si>
  <si>
    <t xml:space="preserve">Gia công ngoài (thêu, in)</t>
  </si>
  <si>
    <t xml:space="preserve">BILL-F01-0041</t>
  </si>
  <si>
    <t xml:space="preserve">PO-F01-S2-07</t>
  </si>
  <si>
    <t xml:space="preserve">BILL-F01-0042</t>
  </si>
  <si>
    <t xml:space="preserve">PO-F01-S4-10</t>
  </si>
  <si>
    <t xml:space="preserve">BILL-F01-0043</t>
  </si>
  <si>
    <t xml:space="preserve">PO-F01-S4-11</t>
  </si>
  <si>
    <t xml:space="preserve">BILL-F01-0044</t>
  </si>
  <si>
    <t xml:space="preserve">PO-F01-S1-06</t>
  </si>
  <si>
    <t xml:space="preserve">BILL-F01-0045</t>
  </si>
  <si>
    <t xml:space="preserve">PO-F01-S3-13</t>
  </si>
  <si>
    <t xml:space="preserve">BILL-F01-0046</t>
  </si>
  <si>
    <t xml:space="preserve">PO-F01-S1-07</t>
  </si>
  <si>
    <t xml:space="preserve">BILL-F01-0047</t>
  </si>
  <si>
    <t xml:space="preserve">PO-F01-S4-12</t>
  </si>
  <si>
    <t xml:space="preserve">BILL-F01-0048</t>
  </si>
  <si>
    <t xml:space="preserve">PO-F01-S9-04</t>
  </si>
  <si>
    <t xml:space="preserve">BILL-F01-0049</t>
  </si>
  <si>
    <t xml:space="preserve">PO-F01-S8-02</t>
  </si>
  <si>
    <t xml:space="preserve">BILL-F01-0050</t>
  </si>
  <si>
    <t xml:space="preserve">PO-F01-S9-05</t>
  </si>
  <si>
    <t xml:space="preserve">BILL-F01-0051</t>
  </si>
  <si>
    <t xml:space="preserve">PO-F01-S4-13</t>
  </si>
  <si>
    <t xml:space="preserve">BILL-F01-0052</t>
  </si>
  <si>
    <t xml:space="preserve">PO-F01-S2-08</t>
  </si>
  <si>
    <t xml:space="preserve">BILL-F01-0053</t>
  </si>
  <si>
    <t xml:space="preserve">PO-F01-S2-09</t>
  </si>
  <si>
    <t xml:space="preserve">BILL-F01-0054</t>
  </si>
  <si>
    <t xml:space="preserve">PO-F01-S4-14</t>
  </si>
  <si>
    <t xml:space="preserve">BILL-F01-0055</t>
  </si>
  <si>
    <t xml:space="preserve">PO-F01-S2-10</t>
  </si>
  <si>
    <t xml:space="preserve">BILL-F01-0056</t>
  </si>
  <si>
    <t xml:space="preserve">PO-F01-S5-02</t>
  </si>
  <si>
    <t xml:space="preserve">BILL-F01-0057</t>
  </si>
  <si>
    <t xml:space="preserve">PO-F01-S1-08</t>
  </si>
  <si>
    <t xml:space="preserve">BILL-F01-0058</t>
  </si>
  <si>
    <t xml:space="preserve">PO-F01-S2-11</t>
  </si>
  <si>
    <t xml:space="preserve">BILL-F01-0059</t>
  </si>
  <si>
    <t xml:space="preserve">PO-F01-S1-09</t>
  </si>
  <si>
    <t xml:space="preserve">BILL-F01-0060</t>
  </si>
  <si>
    <t xml:space="preserve">PO-F01-S6-04</t>
  </si>
  <si>
    <t xml:space="preserve">BILL-F01-0061</t>
  </si>
  <si>
    <t xml:space="preserve">PO-F01-S2-12</t>
  </si>
  <si>
    <t xml:space="preserve">BILL-F01-0062</t>
  </si>
  <si>
    <t xml:space="preserve">PO-F01-S9-06</t>
  </si>
  <si>
    <t xml:space="preserve">BILL-F01-0063</t>
  </si>
  <si>
    <t xml:space="preserve">PO-F01-S3-14</t>
  </si>
  <si>
    <t xml:space="preserve">BILL-F01-0064</t>
  </si>
  <si>
    <t xml:space="preserve">PO-F01-S9-07</t>
  </si>
  <si>
    <t xml:space="preserve">BILL-F01-0065</t>
  </si>
  <si>
    <t xml:space="preserve">PO-F01-S1-10</t>
  </si>
  <si>
    <t xml:space="preserve">BILL-F01-0066</t>
  </si>
  <si>
    <t xml:space="preserve">PO-F01-S4-15</t>
  </si>
  <si>
    <t xml:space="preserve">BILL-F01-0067</t>
  </si>
  <si>
    <t xml:space="preserve">PO-F01-S1-11</t>
  </si>
  <si>
    <t xml:space="preserve">BILL-F01-0068</t>
  </si>
  <si>
    <t xml:space="preserve">PO-F01-S5-03</t>
  </si>
  <si>
    <t xml:space="preserve">BILL-F01-0069</t>
  </si>
  <si>
    <t xml:space="preserve">PO-F01-S8-03</t>
  </si>
  <si>
    <t xml:space="preserve">BILL-F01-0070</t>
  </si>
  <si>
    <t xml:space="preserve">PO-F01-S3-15</t>
  </si>
  <si>
    <t xml:space="preserve">BILL-F01-0071</t>
  </si>
  <si>
    <t xml:space="preserve">PO-F01-S2-13</t>
  </si>
  <si>
    <t xml:space="preserve">BILL-F01-0072</t>
  </si>
  <si>
    <t xml:space="preserve">PO-F01-S1-12</t>
  </si>
  <si>
    <t xml:space="preserve">BILL-F01-0073</t>
  </si>
  <si>
    <t xml:space="preserve">PO-F01-S9-08</t>
  </si>
  <si>
    <t xml:space="preserve">BILL-F01-0074</t>
  </si>
  <si>
    <t xml:space="preserve">PO-F01-S2-14</t>
  </si>
  <si>
    <t xml:space="preserve">BILL-F01-0075</t>
  </si>
  <si>
    <t xml:space="preserve">PO-F01-S3-16</t>
  </si>
  <si>
    <t xml:space="preserve">BILL-F01-0076</t>
  </si>
  <si>
    <t xml:space="preserve">PO-F01-S3-17</t>
  </si>
  <si>
    <t xml:space="preserve">BILL-F01-0077</t>
  </si>
  <si>
    <t xml:space="preserve">PO-F01-S3-18</t>
  </si>
  <si>
    <t xml:space="preserve">BILL-F01-0078</t>
  </si>
  <si>
    <t xml:space="preserve">PO-F01-S4-16</t>
  </si>
  <si>
    <t xml:space="preserve">BILL-F01-0079</t>
  </si>
  <si>
    <t xml:space="preserve">PO-F01-S2-15</t>
  </si>
  <si>
    <t xml:space="preserve">BILL-F01-0080</t>
  </si>
  <si>
    <t xml:space="preserve">PO-F01-S2-16</t>
  </si>
  <si>
    <t xml:space="preserve">BILL-F01-0081</t>
  </si>
  <si>
    <t xml:space="preserve">PO-F01-S3-19</t>
  </si>
  <si>
    <t xml:space="preserve">BILL-F01-0082</t>
  </si>
  <si>
    <t xml:space="preserve">PO-F01-S5-04</t>
  </si>
  <si>
    <t xml:space="preserve">BILL-F01-0083</t>
  </si>
  <si>
    <t xml:space="preserve">PO-F01-S1-13</t>
  </si>
  <si>
    <t xml:space="preserve">BILL-F01-0084</t>
  </si>
  <si>
    <t xml:space="preserve">PO-F01-S6-05</t>
  </si>
  <si>
    <t xml:space="preserve">BILL-F01-0085</t>
  </si>
  <si>
    <t xml:space="preserve">PO-F01-S8-04</t>
  </si>
  <si>
    <t xml:space="preserve">BILL-F01-0086</t>
  </si>
  <si>
    <t xml:space="preserve">PO-F01-S2-17</t>
  </si>
  <si>
    <t xml:space="preserve">BILL-F01-0087</t>
  </si>
  <si>
    <t xml:space="preserve">PO-F01-S4-17</t>
  </si>
  <si>
    <t xml:space="preserve">BILL-F01-0088</t>
  </si>
  <si>
    <t xml:space="preserve">PO-F01-S9-09</t>
  </si>
  <si>
    <t xml:space="preserve">BILL-F01-0089</t>
  </si>
  <si>
    <t xml:space="preserve">PO-F01-S1-14</t>
  </si>
  <si>
    <t xml:space="preserve">BILL-F01-0090</t>
  </si>
  <si>
    <t xml:space="preserve">PO-F01-S3-20</t>
  </si>
  <si>
    <t xml:space="preserve">BILL-F01-0091</t>
  </si>
  <si>
    <t xml:space="preserve">PO-F01-S1-15</t>
  </si>
  <si>
    <t xml:space="preserve">BILL-F01-0092</t>
  </si>
  <si>
    <t xml:space="preserve">PO-F01-S2-18</t>
  </si>
  <si>
    <t xml:space="preserve">BILL-F01-0093</t>
  </si>
  <si>
    <t xml:space="preserve">PO-F01-S1-16</t>
  </si>
  <si>
    <t xml:space="preserve">BILL-F01-0094</t>
  </si>
  <si>
    <t xml:space="preserve">PO-F01-S7-01</t>
  </si>
  <si>
    <t xml:space="preserve">Vải phụ trợ</t>
  </si>
  <si>
    <t xml:space="preserve">BILL-F01-0095</t>
  </si>
  <si>
    <t xml:space="preserve">PO-F01-S1-17</t>
  </si>
  <si>
    <t xml:space="preserve">BILL-F01-0096</t>
  </si>
  <si>
    <t xml:space="preserve">PO-F01-S9-10</t>
  </si>
  <si>
    <t xml:space="preserve">BILL-F01-0097</t>
  </si>
  <si>
    <t xml:space="preserve">PO-F01-S3-21</t>
  </si>
  <si>
    <t xml:space="preserve">BILL-F01-0098</t>
  </si>
  <si>
    <t xml:space="preserve">PO-F01-S4-18</t>
  </si>
  <si>
    <t xml:space="preserve">BILL-F01-0099</t>
  </si>
  <si>
    <t xml:space="preserve">PO-F01-S9-11</t>
  </si>
  <si>
    <t xml:space="preserve">BILL-F01-0100</t>
  </si>
  <si>
    <t xml:space="preserve">PO-F01-S3-22</t>
  </si>
  <si>
    <t xml:space="preserve">BILL-F01-0101</t>
  </si>
  <si>
    <t xml:space="preserve">PO-F01-S4-19</t>
  </si>
  <si>
    <t xml:space="preserve">BILL-F01-0102</t>
  </si>
  <si>
    <t xml:space="preserve">PO-F01-S4-20</t>
  </si>
  <si>
    <t xml:space="preserve">BILL-F01-0103</t>
  </si>
  <si>
    <t xml:space="preserve">PO-F01-S5-05</t>
  </si>
  <si>
    <t xml:space="preserve">BILL-F01-0104</t>
  </si>
  <si>
    <t xml:space="preserve">PO-F01-S1-18</t>
  </si>
  <si>
    <t xml:space="preserve">PO-F01-S2-19</t>
  </si>
  <si>
    <t xml:space="preserve">PO-F01-S2-20</t>
  </si>
  <si>
    <t xml:space="preserve">BILL-F01-0107</t>
  </si>
  <si>
    <t xml:space="preserve">PO-F01-S6-06</t>
  </si>
  <si>
    <t xml:space="preserve">BILL-F01-0108</t>
  </si>
  <si>
    <t xml:space="preserve">PO-F01-S9-12</t>
  </si>
  <si>
    <t xml:space="preserve">PO-F01-S2-21</t>
  </si>
  <si>
    <t xml:space="preserve">BILL-F01-0110</t>
  </si>
  <si>
    <t xml:space="preserve">PO-F01-S4-21</t>
  </si>
  <si>
    <t xml:space="preserve">BILL-F01-0111</t>
  </si>
  <si>
    <t xml:space="preserve">PO-F01-S3-23</t>
  </si>
  <si>
    <t xml:space="preserve">BILL-F01-0112</t>
  </si>
  <si>
    <t xml:space="preserve">PO-F01-S8-05</t>
  </si>
  <si>
    <t xml:space="preserve">BILL-F01-0113</t>
  </si>
  <si>
    <t xml:space="preserve">PO-F01-S4-22</t>
  </si>
  <si>
    <t xml:space="preserve">PO-F01-S1-19</t>
  </si>
  <si>
    <t xml:space="preserve">PO-F01-S7-02</t>
  </si>
  <si>
    <t xml:space="preserve">BILL-F01-0116</t>
  </si>
  <si>
    <t xml:space="preserve">PO-F01-S3-24</t>
  </si>
  <si>
    <t xml:space="preserve">PO-F01-S5-06</t>
  </si>
  <si>
    <t xml:space="preserve">BILL-F01-0118</t>
  </si>
  <si>
    <t xml:space="preserve">PO-F01-S1-20</t>
  </si>
  <si>
    <t xml:space="preserve">BILL-F01-0119</t>
  </si>
  <si>
    <t xml:space="preserve">PO-F01-S3-25</t>
  </si>
  <si>
    <t xml:space="preserve">PO-F01-S9-13</t>
  </si>
  <si>
    <t xml:space="preserve">PO-F01-S1-21</t>
  </si>
  <si>
    <t xml:space="preserve">PO-F01-S4-23</t>
  </si>
  <si>
    <t xml:space="preserve">PO-F01-S1-22</t>
  </si>
  <si>
    <t xml:space="preserve">PO-F01-S4-24</t>
  </si>
  <si>
    <t xml:space="preserve">PO-F01-S2-22</t>
  </si>
  <si>
    <t xml:space="preserve">PO-F01-S3-26</t>
  </si>
  <si>
    <t xml:space="preserve">PO-F01-S9-14</t>
  </si>
  <si>
    <t xml:space="preserve">PO-F01-S1-23</t>
  </si>
  <si>
    <t xml:space="preserve">PO-F01-S3-27</t>
  </si>
  <si>
    <t xml:space="preserve">PO-F01-S9-15</t>
  </si>
  <si>
    <t xml:space="preserve">PO-F01-S4-25</t>
  </si>
  <si>
    <t xml:space="preserve">PO-F01-S2-23</t>
  </si>
  <si>
    <t xml:space="preserve">PO-F01-S6-07</t>
  </si>
  <si>
    <t xml:space="preserve">PO-F01-S1-24</t>
  </si>
  <si>
    <t xml:space="preserve">PO-F01-S4-26</t>
  </si>
  <si>
    <t xml:space="preserve">F01 Tồn kho theo lô và quyền sở hữu</t>
  </si>
  <si>
    <t xml:space="preserve">lot_id</t>
  </si>
  <si>
    <t xml:space="preserve">Mặt hàng / lô</t>
  </si>
  <si>
    <t xml:space="preserve">Type</t>
  </si>
  <si>
    <t xml:space="preserve">Owner</t>
  </si>
  <si>
    <t xml:space="preserve">Supplier</t>
  </si>
  <si>
    <t xml:space="preserve">Order</t>
  </si>
  <si>
    <t xml:space="preserve">OrderStatus</t>
  </si>
  <si>
    <t xml:space="preserve">ReceivedDate</t>
  </si>
  <si>
    <t xml:space="preserve">Qty</t>
  </si>
  <si>
    <t xml:space="preserve">Unit</t>
  </si>
  <si>
    <t xml:space="preserve">UnitCost</t>
  </si>
  <si>
    <t xml:space="preserve">Pledged</t>
  </si>
  <si>
    <t xml:space="preserve">Age</t>
  </si>
  <si>
    <t xml:space="preserve">BookValue</t>
  </si>
  <si>
    <t xml:space="preserve">OwnedValue</t>
  </si>
  <si>
    <t xml:space="preserve">SlowDays</t>
  </si>
  <si>
    <t xml:space="preserve">SlowFlag</t>
  </si>
  <si>
    <t xml:space="preserve">SlowOrCancelled</t>
  </si>
  <si>
    <t xml:space="preserve">DIOContribution</t>
  </si>
  <si>
    <t xml:space="preserve">L01</t>
  </si>
  <si>
    <t xml:space="preserve">Vải chính tự mua đơn FOB-0826</t>
  </si>
  <si>
    <t xml:space="preserve">NVL</t>
  </si>
  <si>
    <t xml:space="preserve">SO-FOB-0826</t>
  </si>
  <si>
    <t xml:space="preserve">Đang hoạt động</t>
  </si>
  <si>
    <t xml:space="preserve">m</t>
  </si>
  <si>
    <t xml:space="preserve">L02</t>
  </si>
  <si>
    <t xml:space="preserve">Phụ liệu lót đơn FOB-0826</t>
  </si>
  <si>
    <t xml:space="preserve">L03</t>
  </si>
  <si>
    <t xml:space="preserve">Vải kaki tồn từ mùa trước</t>
  </si>
  <si>
    <t xml:space="preserve">Không gắn đơn</t>
  </si>
  <si>
    <t xml:space="preserve">L04</t>
  </si>
  <si>
    <t xml:space="preserve">Vải ren – lụa mua thử (lô cũ nhất)</t>
  </si>
  <si>
    <t xml:space="preserve">L05</t>
  </si>
  <si>
    <t xml:space="preserve">Phụ liệu chuyên dụng (chỉ, nút, khóa)</t>
  </si>
  <si>
    <t xml:space="preserve">bộ</t>
  </si>
  <si>
    <t xml:space="preserve">L06</t>
  </si>
  <si>
    <t xml:space="preserve">Phụ liệu đơn hàng bị hủy mùa Hè</t>
  </si>
  <si>
    <t xml:space="preserve">SO-CAN-0604</t>
  </si>
  <si>
    <t xml:space="preserve">Đã hủy</t>
  </si>
  <si>
    <t xml:space="preserve">L07</t>
  </si>
  <si>
    <t xml:space="preserve">Bao bì carton, túi PE</t>
  </si>
  <si>
    <t xml:space="preserve">cái</t>
  </si>
  <si>
    <t xml:space="preserve">L08</t>
  </si>
  <si>
    <t xml:space="preserve">Nhãn dệt, thẻ bài đã đổi thiết kế</t>
  </si>
  <si>
    <t xml:space="preserve">SO-K3-0708</t>
  </si>
  <si>
    <t xml:space="preserve">Thay đổi thiết kế</t>
  </si>
  <si>
    <t xml:space="preserve">L09</t>
  </si>
  <si>
    <t xml:space="preserve">BTP đã cắt chờ may – đơn FOB-0826</t>
  </si>
  <si>
    <t xml:space="preserve">BTP</t>
  </si>
  <si>
    <t xml:space="preserve">L10</t>
  </si>
  <si>
    <t xml:space="preserve">BTP chờ kiểm QC, sửa lỗi</t>
  </si>
  <si>
    <t xml:space="preserve">SO-K5-0814</t>
  </si>
  <si>
    <t xml:space="preserve">L11</t>
  </si>
  <si>
    <t xml:space="preserve">BTP đang may – đơn K2</t>
  </si>
  <si>
    <t xml:space="preserve">SO-K2-0919</t>
  </si>
  <si>
    <t xml:space="preserve">L12</t>
  </si>
  <si>
    <t xml:space="preserve">Thành phẩm chờ xuất – đơn K2</t>
  </si>
  <si>
    <t xml:space="preserve">TP</t>
  </si>
  <si>
    <t xml:space="preserve">SO-K2-0914</t>
  </si>
  <si>
    <t xml:space="preserve">L13</t>
  </si>
  <si>
    <t xml:space="preserve">Thành phẩm đơn K1 – khách chậm nhận hàng</t>
  </si>
  <si>
    <t xml:space="preserve">SO-K1-0818</t>
  </si>
  <si>
    <t xml:space="preserve">L14</t>
  </si>
  <si>
    <t xml:space="preserve">Thành phẩm lỗi mẫu chờ xử lý</t>
  </si>
  <si>
    <t xml:space="preserve">SO-K5-0701</t>
  </si>
  <si>
    <t xml:space="preserve">L15</t>
  </si>
  <si>
    <t xml:space="preserve">Vải mua về để bán lại (đầu cuộn)</t>
  </si>
  <si>
    <t xml:space="preserve">HH</t>
  </si>
  <si>
    <t xml:space="preserve">L16</t>
  </si>
  <si>
    <t xml:space="preserve">Phụ liệu mua bán lại cho khách K3</t>
  </si>
  <si>
    <t xml:space="preserve">SO-K3-0912</t>
  </si>
  <si>
    <t xml:space="preserve">L17</t>
  </si>
  <si>
    <t xml:space="preserve">Vải tự mua cho đơn FOB K1</t>
  </si>
  <si>
    <t xml:space="preserve">SO-K1-0911</t>
  </si>
  <si>
    <t xml:space="preserve">L18</t>
  </si>
  <si>
    <t xml:space="preserve">Vải tự mua cho đơn FOB K2</t>
  </si>
  <si>
    <t xml:space="preserve">SO-K2-0915</t>
  </si>
  <si>
    <t xml:space="preserve">L19</t>
  </si>
  <si>
    <t xml:space="preserve">Phụ liệu tự mua cho đơn FOB K3</t>
  </si>
  <si>
    <t xml:space="preserve">L20</t>
  </si>
  <si>
    <t xml:space="preserve">Chỉ may &amp; khóa kéo (tiêu hao hằng ngày)</t>
  </si>
  <si>
    <t xml:space="preserve">cuộn</t>
  </si>
  <si>
    <t xml:space="preserve">L21</t>
  </si>
  <si>
    <t xml:space="preserve">Vải lót mùa thu (tuổi &lt; ngưỡng nhưng dùng chậm)</t>
  </si>
  <si>
    <t xml:space="preserve">L22</t>
  </si>
  <si>
    <t xml:space="preserve">Vải bộ sưu tập cũ không còn đơn</t>
  </si>
  <si>
    <t xml:space="preserve">SO-OLD-0405</t>
  </si>
  <si>
    <t xml:space="preserve">Hoàn tất</t>
  </si>
  <si>
    <t xml:space="preserve">L23</t>
  </si>
  <si>
    <t xml:space="preserve">Keo, nhãn dệt (tồn an toàn)</t>
  </si>
  <si>
    <t xml:space="preserve">kg</t>
  </si>
  <si>
    <t xml:space="preserve">L24</t>
  </si>
  <si>
    <t xml:space="preserve">Thân áo cắt sẵn chờ may (K2)</t>
  </si>
  <si>
    <t xml:space="preserve">SO-K2-0922</t>
  </si>
  <si>
    <t xml:space="preserve">L25</t>
  </si>
  <si>
    <t xml:space="preserve">Áo may xong chờ thêu (tuổi &lt; ngưỡng, ùn)</t>
  </si>
  <si>
    <t xml:space="preserve">L26</t>
  </si>
  <si>
    <t xml:space="preserve">Áo thun basic tồn sẵn bán nhanh</t>
  </si>
  <si>
    <t xml:space="preserve">SO-STOCK-01</t>
  </si>
  <si>
    <t xml:space="preserve">Thành phẩm bộ sưu tập mùa trước</t>
  </si>
  <si>
    <t xml:space="preserve">SO-OLD-0302</t>
  </si>
  <si>
    <t xml:space="preserve">L28</t>
  </si>
  <si>
    <t xml:space="preserve">Thành phẩm chờ giao K2</t>
  </si>
  <si>
    <t xml:space="preserve">SO-K2-0925</t>
  </si>
  <si>
    <t xml:space="preserve">L29</t>
  </si>
  <si>
    <t xml:space="preserve">Phụ kiện mua về bán lại</t>
  </si>
  <si>
    <t xml:space="preserve">SO-STOCK-02</t>
  </si>
  <si>
    <t xml:space="preserve">L30</t>
  </si>
  <si>
    <t xml:space="preserve">Hàng hóa lỗi mốt</t>
  </si>
  <si>
    <t xml:space="preserve">SO-OLD-0210</t>
  </si>
  <si>
    <t xml:space="preserve">L31</t>
  </si>
  <si>
    <t xml:space="preserve">Thành phẩm sát ngưỡng 30 ngày (28 ngày)</t>
  </si>
  <si>
    <t xml:space="preserve">SO-STOCK-03</t>
  </si>
  <si>
    <t xml:space="preserve">L32</t>
  </si>
  <si>
    <t xml:space="preserve">Vải đúng ngưỡng 60 ngày (không &gt; 60)</t>
  </si>
  <si>
    <t xml:space="preserve">SO-FOB-0701</t>
  </si>
  <si>
    <t xml:space="preserve">L33</t>
  </si>
  <si>
    <t xml:space="preserve">Thành phẩm đã cầm cố, luân chuyển tốt</t>
  </si>
  <si>
    <t xml:space="preserve">SO-STOCK-04</t>
  </si>
  <si>
    <t xml:space="preserve">L34</t>
  </si>
  <si>
    <t xml:space="preserve">Vải tự mua cho đơn FOB K5</t>
  </si>
  <si>
    <t xml:space="preserve">SO-K5-0917</t>
  </si>
  <si>
    <t xml:space="preserve">L35</t>
  </si>
  <si>
    <t xml:space="preserve">Phụ liệu tự mua cho đơn FOB K5</t>
  </si>
  <si>
    <t xml:space="preserve">L36</t>
  </si>
  <si>
    <t xml:space="preserve">Thân áo cắt sẵn chờ may (K5)</t>
  </si>
  <si>
    <t xml:space="preserve">SO-K5-0918</t>
  </si>
  <si>
    <t xml:space="preserve">Lịch tương lai bổ sung cho UC02</t>
  </si>
  <si>
    <t xml:space="preserve">firm</t>
  </si>
  <si>
    <t xml:space="preserve">date</t>
  </si>
  <si>
    <t xml:space="preserve">amount_vnd</t>
  </si>
  <si>
    <t xml:space="preserve">certainty</t>
  </si>
  <si>
    <t xml:space="preserve">invoice_ref</t>
  </si>
  <si>
    <t xml:space="preserve">counterparty</t>
  </si>
  <si>
    <t xml:space="preserve">source_type</t>
  </si>
  <si>
    <t xml:space="preserve">confirmed</t>
  </si>
  <si>
    <t xml:space="preserve">TRANS-F01-0013</t>
  </si>
  <si>
    <t xml:space="preserve">D_purchases</t>
  </si>
  <si>
    <t xml:space="preserve">TRANS-F01-0015</t>
  </si>
  <si>
    <t xml:space="preserve">ELEC-F01-0018</t>
  </si>
  <si>
    <t xml:space="preserve">TRANS-F01-0020</t>
  </si>
  <si>
    <t xml:space="preserve">TRANS-F01-0030</t>
  </si>
  <si>
    <t xml:space="preserve">TRANS-F01-0035</t>
  </si>
  <si>
    <t xml:space="preserve">ELEC-F01-0036</t>
  </si>
  <si>
    <t xml:space="preserve">TRANS-F01-0037</t>
  </si>
  <si>
    <t xml:space="preserve">TRANS-F01-0039</t>
  </si>
  <si>
    <t xml:space="preserve">TRANS-F01-0042</t>
  </si>
  <si>
    <t xml:space="preserve">TRANS-F01-0043</t>
  </si>
  <si>
    <t xml:space="preserve">TRANS-F01-0047</t>
  </si>
  <si>
    <t xml:space="preserve">TRANS-F01-0051</t>
  </si>
  <si>
    <t xml:space="preserve">TRANS-F01-0054</t>
  </si>
  <si>
    <t xml:space="preserve">ELEC-F01-0060</t>
  </si>
  <si>
    <t xml:space="preserve">TRANS-F01-0066</t>
  </si>
  <si>
    <t xml:space="preserve">TRANS-F01-0078</t>
  </si>
  <si>
    <t xml:space="preserve">ELEC-F01-0084</t>
  </si>
  <si>
    <t xml:space="preserve">TRANS-F01-0087</t>
  </si>
  <si>
    <t xml:space="preserve">TRANS-F01-0098</t>
  </si>
  <si>
    <t xml:space="preserve">TRANS-F01-0101</t>
  </si>
  <si>
    <t xml:space="preserve">TRANS-F01-0102</t>
  </si>
  <si>
    <t xml:space="preserve">ELEC-F01-0107</t>
  </si>
  <si>
    <t xml:space="preserve">TRANS-F01-0110</t>
  </si>
  <si>
    <t xml:space="preserve">TRANS-F01-0113</t>
  </si>
  <si>
    <t xml:space="preserve">TRANS-F01-0122</t>
  </si>
  <si>
    <t xml:space="preserve">TRANS-F01-0124</t>
  </si>
  <si>
    <t xml:space="preserve">TRANS-F01-0131</t>
  </si>
  <si>
    <t xml:space="preserve">ELEC-F01-0133</t>
  </si>
  <si>
    <t xml:space="preserve">TRANS-F01-0135</t>
  </si>
  <si>
    <t xml:space="preserve">Dòng 16-45: 30 hóa đơn "Tiện ích (điện)" và "Vận tải" gần nhất (v11: kỳ đến 30/06/2026 có 33 hóa đơn, giữ 30 hóa đơn mới nhất; ba hóa đơn tháng 01–02 đã trả nên bỏ khỏi danh sách) lấy từ D_purchases bằng công thức tham chiếu. Ngày = PaidDate nếu đã trả, chưa trả thì dùng DueDate (certainty = estimated). Khi đưa vào F01_UC2 (dòng 312-341): hóa đơn đã trả là quá khứ nên không cộng; hóa đơn chưa trả đã có ở dòng PAY-BILL nên không cộng lần nữa.</t>
  </si>
  <si>
    <t xml:space="preserve">Lịch xác nhận riêng cho hóa đơn (thay ngày, không tạo thêm tiền)</t>
  </si>
  <si>
    <t xml:space="preserve">Source</t>
  </si>
  <si>
    <t xml:space="preserve">Dòng 5–15 là nghĩa vụ tương lai đã biết tại ngày chốt. Điện/vận tải tham chiếu hóa đơn và không cộng trùng. Continuing thêm 65% doanh thu mới cho NVL/biến phí FOB; lương/thuê cố định giữ riêng.</t>
  </si>
  <si>
    <t xml:space="preserve">Lịch sử tiền ngày của F01 FOB</t>
  </si>
  <si>
    <t xml:space="preserve">181 ngày đầy đủ</t>
  </si>
  <si>
    <t xml:space="preserve">Tạo sinh; không cộng dữ liệu tương lai</t>
  </si>
  <si>
    <t xml:space="preserve">Dùng tính σ ngày Miller–Orr</t>
  </si>
  <si>
    <t xml:space="preserve">Tiền đầu lịch sử</t>
  </si>
  <si>
    <t xml:space="preserve">Số dư mở kỳ để cầu nối khớp tiền cuối; không đưa vào σ</t>
  </si>
  <si>
    <t xml:space="preserve">Thu khách đã nhận</t>
  </si>
  <si>
    <t xml:space="preserve">Trả NCC đã chi</t>
  </si>
  <si>
    <t xml:space="preserve">Chi vận hành khác</t>
  </si>
  <si>
    <t xml:space="preserve">Dòng tiền ròng ngày</t>
  </si>
  <si>
    <t xml:space="preserve">Tiền cuối ngày</t>
  </si>
  <si>
    <t xml:space="preserve">Tiền đầu ngày</t>
  </si>
  <si>
    <t xml:space="preserve">synthetic_daily; invoices + payroll/rent/other</t>
  </si>
  <si>
    <t xml:space="preserve">Hợp đồng kết quả để phát triển AI Agent</t>
  </si>
  <si>
    <t xml:space="preserve">UC</t>
  </si>
  <si>
    <t xml:space="preserve">Đường dẫn trường</t>
  </si>
  <si>
    <t xml:space="preserve">Kiểu / đơn vị</t>
  </si>
  <si>
    <t xml:space="preserve">Nội dung và yêu cầu</t>
  </si>
  <si>
    <t xml:space="preserve">Chung</t>
  </si>
  <si>
    <t xml:space="preserve">run_id, snapshot_id, formula_version, threshold_version</t>
  </si>
  <si>
    <t xml:space="preserve">string</t>
  </si>
  <si>
    <t xml:space="preserve">Cùng snapshot cho UC01, UC02 và ma trận.</t>
  </si>
  <si>
    <t xml:space="preserve">status, assumptions[], missing_fields[]</t>
  </si>
  <si>
    <t xml:space="preserve">enum, list</t>
  </si>
  <si>
    <t xml:space="preserve">provisional cho dữ liệu giả lập; missing không phải 0.</t>
  </si>
  <si>
    <t xml:space="preserve">facts[]</t>
  </si>
  <si>
    <t xml:space="preserve">object[]</t>
  </si>
  <si>
    <t xml:space="preserve">fact_id, value_raw, value_display, unit, entity_id, source_refs, formula_id, scenario, date.</t>
  </si>
  <si>
    <t xml:space="preserve">UC01</t>
  </si>
  <si>
    <t xml:space="preserve">inputs.period_start, period_end, N</t>
  </si>
  <si>
    <t xml:space="preserve">date, int</t>
  </si>
  <si>
    <t xml:space="preserve">01/01/2026;30/06/2026;171.</t>
  </si>
  <si>
    <t xml:space="preserve">metrics.AR, INV_owned, AP, TWC</t>
  </si>
  <si>
    <t xml:space="preserve">Nêu đầy đủ cả ba cấu phần và phần ròng; hàng khách hàng loại riêng.</t>
  </si>
  <si>
    <t xml:space="preserve">metrics.DSO,DIO,DPO,CCC</t>
  </si>
  <si>
    <t xml:space="preserve">Raw chưa làm tròn, display 1 chữ số thập phân.</t>
  </si>
  <si>
    <t xml:space="preserve">thresholds.applied, source, basis_mismatch</t>
  </si>
  <si>
    <t xml:space="preserve">object</t>
  </si>
  <si>
    <t xml:space="preserve">FOB nhỏ–vừa; chuẩn 20 DN 2023–2025; quy mô và mùa vụ bằng 1; config fob.threshold.v3.</t>
  </si>
  <si>
    <t xml:space="preserve">classification.wc_class, rule_ids, materiality</t>
  </si>
  <si>
    <t xml:space="preserve">enum, list, ratio</t>
  </si>
  <si>
    <t xml:space="preserve">W theo B4, quy tắc kích hoạt và tỷ lệ trọng yếu.</t>
  </si>
  <si>
    <t xml:space="preserve">receivables[]</t>
  </si>
  <si>
    <t xml:space="preserve">Khách, số dư, tỷ trọng, quá hạn 1–30/31–60/&gt;60, maxDPD, DSOContribution, DelaySigned/Positive, history_count.</t>
  </si>
  <si>
    <t xml:space="preserve">inventory[]</t>
  </si>
  <si>
    <t xml:space="preserve">Lô, tên, quyền sở hữu, giá trị, ngày đã lưu kho, đơn hủy, DIOContribution, thứ hạng lâu nhất và lớn nhất.</t>
  </si>
  <si>
    <t xml:space="preserve">payables[]</t>
  </si>
  <si>
    <t xml:space="preserve">NCC, phải trả, quá hạn và nhóm ngày, thiết yếu, kỳ hạn, DPOContribution; không suy ngừng cung ứng.</t>
  </si>
  <si>
    <t xml:space="preserve">findings[], main_bottleneck, money_at_risk</t>
  </si>
  <si>
    <t xml:space="preserve">Có mã finding và căn cứ; không thay thành kế hoạch hành động.</t>
  </si>
  <si>
    <t xml:space="preserve">narrative.sections</t>
  </si>
  <si>
    <t xml:space="preserve">4 phần</t>
  </si>
  <si>
    <t xml:space="preserve">Tổng quan → Phải thu → Tồn kho → Phải trả; kết thúc bằng điểm nghẽn và giới hạn.</t>
  </si>
  <si>
    <t xml:space="preserve">UC02</t>
  </si>
  <si>
    <t xml:space="preserve">scope.Start, End, H, mode, scenario</t>
  </si>
  <si>
    <t xml:space="preserve">dates, enum</t>
  </si>
  <si>
    <t xml:space="preserve">01/07–29/09/2026; H13; run_off hoặc continuing.</t>
  </si>
  <si>
    <t xml:space="preserve">cash0; reserve.lower_L,target_Z,upper_H; sigma_source; F; r_daily</t>
  </si>
  <si>
    <t xml:space="preserve">VND, enum</t>
  </si>
  <si>
    <t xml:space="preserve">Giữ trường alias rmin/rtarget/rupper tương ứng L/Z/H; phân loại dựa L/H, tiền điều chỉnh dựa Z.</t>
  </si>
  <si>
    <t xml:space="preserve">events[]</t>
  </si>
  <si>
    <t xml:space="preserve">source_id, portion_id, counterparty, amount, direction, date, date_method, known_at, censored_count, finding_refs.</t>
  </si>
  <si>
    <t xml:space="preserve">daily[], weekly[], fortnightly[]</t>
  </si>
  <si>
    <t xml:space="preserve">Số dư đầu/cuối, thu/chi, MinDaily, GapBuffer, GapZero, GapRatio, màu; đúng grain.</t>
  </si>
  <si>
    <t xml:space="preserve">summary.first_below_target,first_negative,minimum,peak_gap</t>
  </si>
  <si>
    <t xml:space="preserve">date, VND</t>
  </si>
  <si>
    <t xml:space="preserve">Ngày không có sự kiện là null; mức thiếu không cộng qua ngày.</t>
  </si>
  <si>
    <t xml:space="preserve">cash0_need.target,zero,additional</t>
  </si>
  <si>
    <t xml:space="preserve">Cần tổng tiền đầu kỳ và cần bổ sung là hai số riêng.</t>
  </si>
  <si>
    <t xml:space="preserve">episodes[]</t>
  </si>
  <si>
    <t xml:space="preserve">Ngày đầu/cuối, số ngày, đáy, peak, ngày phục hồi nullable, ongoing.</t>
  </si>
  <si>
    <t xml:space="preserve">drivers[]</t>
  </si>
  <si>
    <t xml:space="preserve">Lũy kế thu/chi khớp CashAtLow; top khoản chi và thu dự kiến sau ngày đáy.</t>
  </si>
  <si>
    <t xml:space="preserve">TH, reserve_surplus_reference, matrix_case_id</t>
  </si>
  <si>
    <t xml:space="preserve">enum,bool</t>
  </si>
  <si>
    <t xml:space="preserve">Base ưu tiên ngày dưới L; nếu không thiếu mới xét ngày trên H. Chỉ M1–M6; trong vùng không gán ô.</t>
  </si>
  <si>
    <t xml:space="preserve">Tổng quan → Giai đoạn đáng chú ý → Thu chi góp phần → Giả định và giới hạn.</t>
  </si>
  <si>
    <t xml:space="preserve">gap_request</t>
  </si>
  <si>
    <t xml:space="preserve">Ngày cần, peak, ngày peak, NeedTarget, episodes, finding_refs, run/snapshot/version; không là quyết định tín dụng.</t>
  </si>
  <si>
    <t xml:space="preserve">UC03</t>
  </si>
  <si>
    <t xml:space="preserve">run_id, policy_version, as_of, TH, W, cell, scenario, gap_shape, gap_severity, model_health</t>
  </si>
  <si>
    <t xml:space="preserve">string, enum, date</t>
  </si>
  <si>
    <t xml:space="preserve">Cùng snapshot với UC02; chỉ TH01 có khoản cần tài trợ. TH02 W0 đầu tư; TH02 W1/W2 giữ dự trữ; trong vùng theo dõi.</t>
  </si>
  <si>
    <t xml:space="preserve">tranches[]: tranche_no, need_date, days_left, mode, gap_incremental, gap_cumulative, covered, remaining_gap</t>
  </si>
  <si>
    <t xml:space="preserve">object[], tối đa 2</t>
  </si>
  <si>
    <t xml:space="preserve">mode THƯỜNG hoặc KHẨN (DaysLeft ≤ 7). Số cần thêm đợt sau = lũy kế − đợt trước.</t>
  </si>
  <si>
    <t xml:space="preserve">tranches[].package[]: product_id, option (O0–O4), object_id, draw, cost, cost_per_gap, days_to_fund, speed_band, certainty, rank, covers_duration</t>
  </si>
  <si>
    <t xml:space="preserve">Tối đa 4 nguồn mỗi gói, 2 nguồn mỗi phương án; covers_duration = false kèm NOT_COVERING_DURATION. Mọi số lấy từ đầu ra, AI không tự tính.</t>
  </si>
  <si>
    <t xml:space="preserve">totals, excluded[], flags[], requires_human_decision, assumptions[]</t>
  </si>
  <si>
    <t xml:space="preserve">object, list, bool</t>
  </si>
  <si>
    <t xml:space="preserve">excluded[] có reason_code (PLEDGED, STRATEGIC_OR_CRITICAL, DISPUTED, PROGRAM_HEADROOM_EXHAUSTED, NO_PRODUCT_DATA, NO_NET_CASH, OUT_OF_SCENARIO, TOO_SLOW, BELOW_MIN_DRAW); flags[] gồm resolved_with_shifted_risk, TOO_SLOW, NOT_COVERING_DURATION, REVIEW_MANUAL.</t>
  </si>
  <si>
    <t xml:space="preserve">Mẫu diễn giải tiếng Anh</t>
  </si>
  <si>
    <t xml:space="preserve">Nguồn dữ kiện</t>
  </si>
  <si>
    <t xml:space="preserve">F01_UC1 B8:B16</t>
  </si>
  <si>
    <t xml:space="preserve">Số ngày quy đổi cuối kỳ, không phải thời gian thật của từng đồng tiền.</t>
  </si>
  <si>
    <t xml:space="preserve">F01_UC1 C41:J41</t>
  </si>
  <si>
    <t xml:space="preserve">Trong câu đầy đủ phải có thêm bucket 1–30/31–60/&gt;60 khi trọng yếu.</t>
  </si>
  <si>
    <t xml:space="preserve">F01_UC1 B18:B20 và bảng từng lô</t>
  </si>
  <si>
    <t xml:space="preserve">Không gọi giá trị ghi sổ là tiền thu hồi. UC01 dừng ở chẩn đoán.</t>
  </si>
  <si>
    <t xml:space="preserve">F01_UC2 B5:B19</t>
  </si>
  <si>
    <t xml:space="preserve">Cần bổ sung đợt thiếu và các event nguồn trong response hệ thống, không suy luận nguyên nhân chỉ từ CCC.</t>
  </si>
  <si>
    <t xml:space="preserve">The forecast includes separately identified payroll, tax, rent and debt payments. Receipt dates without confirmation are estimates, and the spread of overdue supplier payments is an unapproved modelling assumption. Inventory values and money_at_risk are not added to cash inflows. Run-off omits new trading activity, while Continuing adds both new receipts and incremental costs. These are synthetic diagnostic estimates, not a credit decision.</t>
  </si>
  <si>
    <t xml:space="preserve">D_flows; event ledger; T2-06, T2-21</t>
  </si>
  <si>
    <t xml:space="preserve">Các hướng dẫn đi vay, xử lý hàng hoặc đầu tư thuộc UC03–04.</t>
  </si>
  <si>
    <t xml:space="preserve">Đối soát số học và tiêu chí nghiệm thu</t>
  </si>
  <si>
    <t xml:space="preserve">Chỉ tiêu / phép kiểm</t>
  </si>
  <si>
    <t xml:space="preserve">Giá trị tính</t>
  </si>
  <si>
    <t xml:space="preserve">Giá trị độc lập</t>
  </si>
  <si>
    <t xml:space="preserve">Chênh lệch</t>
  </si>
  <si>
    <t xml:space="preserve">Kết quả</t>
  </si>
  <si>
    <t xml:space="preserve">N1</t>
  </si>
  <si>
    <t xml:space="preserve">Tính độc lập từ snapshot 181 ngày (01/01–30/06/2026)</t>
  </si>
  <si>
    <t xml:space="preserve">N2</t>
  </si>
  <si>
    <t xml:space="preserve">UC01 B5</t>
  </si>
  <si>
    <t xml:space="preserve">Oracle Python từ dữ liệu FOB và chuẩn nguồn, chưa làm tròn</t>
  </si>
  <si>
    <t xml:space="preserve">N3</t>
  </si>
  <si>
    <t xml:space="preserve">UC01 B6</t>
  </si>
  <si>
    <t xml:space="preserve">N4</t>
  </si>
  <si>
    <t xml:space="preserve">UC01 B7</t>
  </si>
  <si>
    <t xml:space="preserve">N5</t>
  </si>
  <si>
    <t xml:space="preserve">UC01 B8</t>
  </si>
  <si>
    <t xml:space="preserve">N6</t>
  </si>
  <si>
    <t xml:space="preserve">UC01 B9</t>
  </si>
  <si>
    <t xml:space="preserve">N7</t>
  </si>
  <si>
    <t xml:space="preserve">UC01 B10</t>
  </si>
  <si>
    <t xml:space="preserve">N8</t>
  </si>
  <si>
    <t xml:space="preserve">UC01 B11</t>
  </si>
  <si>
    <t xml:space="preserve">N9</t>
  </si>
  <si>
    <t xml:space="preserve">UC01 B12</t>
  </si>
  <si>
    <t xml:space="preserve">N10</t>
  </si>
  <si>
    <t xml:space="preserve">UC01 B13</t>
  </si>
  <si>
    <t xml:space="preserve">N11</t>
  </si>
  <si>
    <t xml:space="preserve">UC01 B14</t>
  </si>
  <si>
    <t xml:space="preserve">N12</t>
  </si>
  <si>
    <t xml:space="preserve">UC01 B15</t>
  </si>
  <si>
    <t xml:space="preserve">N13</t>
  </si>
  <si>
    <t xml:space="preserve">UC01 B16</t>
  </si>
  <si>
    <t xml:space="preserve">N14</t>
  </si>
  <si>
    <t xml:space="preserve">UC01 B17</t>
  </si>
  <si>
    <t xml:space="preserve">N15</t>
  </si>
  <si>
    <t xml:space="preserve">UC01 B18</t>
  </si>
  <si>
    <t xml:space="preserve">N16</t>
  </si>
  <si>
    <t xml:space="preserve">UC01 B19</t>
  </si>
  <si>
    <t xml:space="preserve">N17</t>
  </si>
  <si>
    <t xml:space="preserve">UC01 B20</t>
  </si>
  <si>
    <t xml:space="preserve">N18</t>
  </si>
  <si>
    <t xml:space="preserve">UC01 B21</t>
  </si>
  <si>
    <t xml:space="preserve">N19</t>
  </si>
  <si>
    <t xml:space="preserve">UC01 B22</t>
  </si>
  <si>
    <t xml:space="preserve">N20</t>
  </si>
  <si>
    <t xml:space="preserve">UC01 B23</t>
  </si>
  <si>
    <t xml:space="preserve">N21</t>
  </si>
  <si>
    <t xml:space="preserve">UC01 B24</t>
  </si>
  <si>
    <t xml:space="preserve">N22</t>
  </si>
  <si>
    <t xml:space="preserve">UC01 B25</t>
  </si>
  <si>
    <t xml:space="preserve">N23</t>
  </si>
  <si>
    <t xml:space="preserve">UC01 B26</t>
  </si>
  <si>
    <t xml:space="preserve">N24</t>
  </si>
  <si>
    <t xml:space="preserve">UC01 B27</t>
  </si>
  <si>
    <t xml:space="preserve">N25</t>
  </si>
  <si>
    <t xml:space="preserve">UC01 B28</t>
  </si>
  <si>
    <t xml:space="preserve">N26</t>
  </si>
  <si>
    <t xml:space="preserve">UC01 B29</t>
  </si>
  <si>
    <t xml:space="preserve">N27</t>
  </si>
  <si>
    <t xml:space="preserve">UC01 B30</t>
  </si>
  <si>
    <t xml:space="preserve">N28</t>
  </si>
  <si>
    <t xml:space="preserve">UC01 B31</t>
  </si>
  <si>
    <t xml:space="preserve">N29</t>
  </si>
  <si>
    <t xml:space="preserve">Khớp số thu lịch sử</t>
  </si>
  <si>
    <t xml:space="preserve">Tính độc lập từ snapshot 181 ngày</t>
  </si>
  <si>
    <t xml:space="preserve">N30</t>
  </si>
  <si>
    <t xml:space="preserve">Toàn bộ tồn kho F01 sở hữu</t>
  </si>
  <si>
    <t xml:space="preserve">N31</t>
  </si>
  <si>
    <t xml:space="preserve">Ngưỡng DSO tái tạo</t>
  </si>
  <si>
    <t xml:space="preserve">N32</t>
  </si>
  <si>
    <t xml:space="preserve">Ngưỡng DIO tái tạo</t>
  </si>
  <si>
    <t xml:space="preserve">N33</t>
  </si>
  <si>
    <t xml:space="preserve">Ngưỡng tiền mỏng tái tạo</t>
  </si>
  <si>
    <t xml:space="preserve">N34</t>
  </si>
  <si>
    <t xml:space="preserve">Tổng đóng góp DSO</t>
  </si>
  <si>
    <t xml:space="preserve">N35</t>
  </si>
  <si>
    <t xml:space="preserve">Tổng đóng góp DPO</t>
  </si>
  <si>
    <t xml:space="preserve">N36</t>
  </si>
  <si>
    <t xml:space="preserve">Tổng góp DIO</t>
  </si>
  <si>
    <t xml:space="preserve">N37</t>
  </si>
  <si>
    <t xml:space="preserve">Tổng tuổi nợ AR</t>
  </si>
  <si>
    <t xml:space="preserve">N38</t>
  </si>
  <si>
    <t xml:space="preserve">Tổng tuổi nợ AP</t>
  </si>
  <si>
    <t xml:space="preserve">N39</t>
  </si>
  <si>
    <t xml:space="preserve">Cộng tuần đúng cộng ngày</t>
  </si>
  <si>
    <t xml:space="preserve">N40</t>
  </si>
  <si>
    <t xml:space="preserve">Tiền cuối khớp lũy kế</t>
  </si>
  <si>
    <t xml:space="preserve">MinCash kỳ vọng</t>
  </si>
  <si>
    <t xml:space="preserve">PeakBuffer kỳ vọng</t>
  </si>
  <si>
    <t xml:space="preserve">NeedTarget kỳ vọng</t>
  </si>
  <si>
    <t xml:space="preserve">TH tham chiếu</t>
  </si>
  <si>
    <t xml:space="preserve">Base</t>
  </si>
  <si>
    <t xml:space="preserve">TH01</t>
  </si>
  <si>
    <t xml:space="preserve">Oracle FOB v11: cộng độc lập ledger ngày; snapshot, không là so sánh live</t>
  </si>
  <si>
    <t xml:space="preserve">Optimistic</t>
  </si>
  <si>
    <t xml:space="preserve">Conservative</t>
  </si>
  <si>
    <t xml:space="preserve">Stress7</t>
  </si>
  <si>
    <t xml:space="preserve">Continuing</t>
  </si>
  <si>
    <t xml:space="preserve">Nội dung cần kiểm</t>
  </si>
  <si>
    <t xml:space="preserve">Kết quả phải có</t>
  </si>
  <si>
    <t xml:space="preserve">Loại kiểm thử</t>
  </si>
  <si>
    <t xml:space="preserve">A01</t>
  </si>
  <si>
    <t xml:space="preserve">Rev=0 / COGS=0</t>
  </si>
  <si>
    <t xml:space="preserve">Giả định core đầy đủ, doanh thu/giá vốn/TSNH dương trong luồng chính. Kiểm tra giá trị bằng 0 là kiểm soát đầu vào; không tạo W thứ tư.</t>
  </si>
  <si>
    <t xml:space="preserve">Acceptance backend</t>
  </si>
  <si>
    <t xml:space="preserve">A02</t>
  </si>
  <si>
    <t xml:space="preserve">Nguồn hóa đơn tồn tại nhưng không có dư mở</t>
  </si>
  <si>
    <t xml:space="preserve">AR hoặc AP=0 hợp lệ, không nhầm missing.</t>
  </si>
  <si>
    <t xml:space="preserve">A03</t>
  </si>
  <si>
    <t xml:space="preserve">Thiếu quyền sở hữu lô</t>
  </si>
  <si>
    <t xml:space="preserve">Không tự tính thuộc F01; missing_data và số tiền chưa phân loại.</t>
  </si>
  <si>
    <t xml:space="preserve">A04</t>
  </si>
  <si>
    <t xml:space="preserve">Thiếu due_date</t>
  </si>
  <si>
    <t xml:space="preserve">Giữ số dư, bucket không áp dụng; không tự xếp quá hạn.</t>
  </si>
  <si>
    <t xml:space="preserve">A05</t>
  </si>
  <si>
    <t xml:space="preserve">Hóa đơn trùng ID / paid trước issue</t>
  </si>
  <si>
    <t xml:space="preserve">invalid_data; trả dòng lỗi, không chạy forecast giả.</t>
  </si>
  <si>
    <t xml:space="preserve">A06</t>
  </si>
  <si>
    <t xml:space="preserve">Thanh toán từng phần</t>
  </si>
  <si>
    <t xml:space="preserve">Tính theo allocation đến AsOf, không dùng full_amount hai lần.</t>
  </si>
  <si>
    <t xml:space="preserve">A07</t>
  </si>
  <si>
    <t xml:space="preserve">PaidDate tương lai</t>
  </si>
  <si>
    <t xml:space="preserve">Không dùng làm lịch sử quan sát; dùng lịch xác nhận riêng KnownAt≤AsOf.</t>
  </si>
  <si>
    <t xml:space="preserve">A08</t>
  </si>
  <si>
    <t xml:space="preserve">Thiếu Rtarget và TTM</t>
  </si>
  <si>
    <t xml:space="preserve">Giả định nguồn tiền đầy đủ; vẫn tách tiền hạn chế rút khỏi tiền khả dụng. Không tạo trạng thái TH chưa xác định.</t>
  </si>
  <si>
    <t xml:space="preserve">A09</t>
  </si>
  <si>
    <t xml:space="preserve">Rmin&gt;Rtarget / Rtarget≥Rupper / Rtarget=0</t>
  </si>
  <si>
    <t xml:space="preserve">invalid_request; không chia 0 hay hiển thị xanh.</t>
  </si>
  <si>
    <t xml:space="preserve">A10</t>
  </si>
  <si>
    <t xml:space="preserve">Biên L và H; đúng L không thiếu, đúng H không thừa</t>
  </si>
  <si>
    <t xml:space="preserve">Tiền&lt;L: Đỏ; tiền=L: trong vùng. Tiền&gt;H: thừa; tiền=H: trong vùng. Khoản điều chỉnh đưa về Z.</t>
  </si>
  <si>
    <t xml:space="preserve">Có kiểm tra số học tại Kiem_thu</t>
  </si>
  <si>
    <t xml:space="preserve">A11</t>
  </si>
  <si>
    <t xml:space="preserve">Thu xác nhận dưới Stress7</t>
  </si>
  <si>
    <t xml:space="preserve">Giữ ngày xác nhận; chỉ dời thu ước tính.</t>
  </si>
  <si>
    <t xml:space="preserve">Có kiểm tra snapshot</t>
  </si>
  <si>
    <t xml:space="preserve">A12</t>
  </si>
  <si>
    <t xml:space="preserve">Hai plans cùng nguồn hóa đơn</t>
  </si>
  <si>
    <t xml:space="preserve">Không cộng trùng source/portion.</t>
  </si>
  <si>
    <t xml:space="preserve">A13</t>
  </si>
  <si>
    <t xml:space="preserve">Một đợt dư 14 ngày cắt qua hai khối</t>
  </si>
  <si>
    <t xml:space="preserve">TH02 nếu không có ngày dưới L và có ngày trên H; chuỗi 14 ngày chỉ là thống kê.</t>
  </si>
  <si>
    <t xml:space="preserve">Có kiểm tra logic số học</t>
  </si>
  <si>
    <t xml:space="preserve">A14</t>
  </si>
  <si>
    <t xml:space="preserve">Số dư cuối tuần đủ nhưng giữa tuần thiếu</t>
  </si>
  <si>
    <t xml:space="preserve">Cuối tuần và MinDaily có nhãn riêng.</t>
  </si>
  <si>
    <t xml:space="preserve">Có kiểm tra daily/weekly</t>
  </si>
  <si>
    <t xml:space="preserve">A15</t>
  </si>
  <si>
    <t xml:space="preserve">W0 nhưng UC02 thiếu</t>
  </si>
  <si>
    <t xml:space="preserve">M1 không chứng minh thiếu chỉ do lệch lịch.</t>
  </si>
  <si>
    <t xml:space="preserve">A16</t>
  </si>
  <si>
    <t xml:space="preserve">W hoặc TH snapshot khác</t>
  </si>
  <si>
    <t xml:space="preserve">Ghép cùng snapshot sau kiểm soát quyền; giả định dữ liệu đầy đủ, không tạo trạng thái W khác.</t>
  </si>
  <si>
    <t xml:space="preserve">A17</t>
  </si>
  <si>
    <t xml:space="preserve">Continuing không có chi tăng thêm</t>
  </si>
  <si>
    <t xml:space="preserve">Kịch bản không đủ dữ liệu, không phát hành chỉ có thu.</t>
  </si>
  <si>
    <t xml:space="preserve">A18</t>
  </si>
  <si>
    <t xml:space="preserve">Open mẫu quá hạn 60 ngày</t>
  </si>
  <si>
    <t xml:space="preserve">Là cận dưới 60, không gọi trả chậm xong 60 ngày.</t>
  </si>
  <si>
    <t xml:space="preserve">A19</t>
  </si>
  <si>
    <t xml:space="preserve">Dữ liệu thay sau khi tính</t>
  </si>
  <si>
    <t xml:space="preserve">Đánh dấu stale, không ghép facts cũ vào lời giải thích mới.</t>
  </si>
  <si>
    <t xml:space="preserve">A20</t>
  </si>
  <si>
    <t xml:space="preserve">Diễn giải có số ngoài facts</t>
  </si>
  <si>
    <t xml:space="preserve">Chặn, viết lại một lần, fallback mẫu tất định.</t>
  </si>
  <si>
    <t xml:space="preserve">Ca</t>
  </si>
  <si>
    <t xml:space="preserve">CashEnd</t>
  </si>
  <si>
    <t xml:space="preserve">Rmin</t>
  </si>
  <si>
    <t xml:space="preserve">Rtarget</t>
  </si>
  <si>
    <t xml:space="preserve">Mức tính</t>
  </si>
  <si>
    <t xml:space="preserve">Mức kỳ vọng</t>
  </si>
  <si>
    <t xml:space="preserve">B3</t>
  </si>
  <si>
    <t xml:space="preserve">B4</t>
  </si>
  <si>
    <t xml:space="preserve">B5</t>
  </si>
  <si>
    <t xml:space="preserve">B6</t>
  </si>
  <si>
    <t xml:space="preserve">B7</t>
  </si>
  <si>
    <t xml:space="preserve">B8</t>
  </si>
  <si>
    <t xml:space="preserve">Ô tính</t>
  </si>
  <si>
    <t xml:space="preserve">Ô kỳ vọng</t>
  </si>
  <si>
    <t xml:space="preserve">TH02</t>
  </si>
  <si>
    <t xml:space="preserve">Tiền cao nhất</t>
  </si>
  <si>
    <t xml:space="preserve">TH tính</t>
  </si>
  <si>
    <t xml:space="preserve">TH kỳ vọng</t>
  </si>
  <si>
    <t xml:space="preserve">TH1</t>
  </si>
  <si>
    <t xml:space="preserve">TH2</t>
  </si>
  <si>
    <t xml:space="preserve">Trong vùng L–H</t>
  </si>
  <si>
    <t xml:space="preserve">TH3</t>
  </si>
  <si>
    <t xml:space="preserve">Ngày trong kỳ</t>
  </si>
  <si>
    <t xml:space="preserve">Số dư</t>
  </si>
  <si>
    <t xml:space="preserve">Rupper</t>
  </si>
  <si>
    <t xml:space="preserve">Chuỗi ngày dư</t>
  </si>
  <si>
    <t xml:space="preserve">Chuỗi dư 14 ngày (thông tin, không là ngưỡng định tuyến)</t>
  </si>
  <si>
    <t xml:space="preserve">Phép kiểm Miller–Orr</t>
  </si>
  <si>
    <t xml:space="preserve">Sai lệch</t>
  </si>
  <si>
    <t xml:space="preserve">MO01</t>
  </si>
  <si>
    <t xml:space="preserve">L đúng chuẩn</t>
  </si>
  <si>
    <t xml:space="preserve">FOB v11</t>
  </si>
  <si>
    <t xml:space="preserve">MO02</t>
  </si>
  <si>
    <t xml:space="preserve">H=3Z−2L</t>
  </si>
  <si>
    <t xml:space="preserve">MO03</t>
  </si>
  <si>
    <t xml:space="preserve">Đủ lịch sử σ riêng</t>
  </si>
  <si>
    <t xml:space="preserve">MO04</t>
  </si>
  <si>
    <t xml:space="preserve">Tiền cuối lịch sử khớp Cash0</t>
  </si>
  <si>
    <t xml:space="preserve">MO05</t>
  </si>
  <si>
    <t xml:space="preserve">Không còn tồn gia công khách</t>
  </si>
  <si>
    <t xml:space="preserve">MO06</t>
  </si>
  <si>
    <t xml:space="preserve">Doanh thu khớp hóa đơn</t>
  </si>
  <si>
    <t xml:space="preserve">MO07</t>
  </si>
  <si>
    <t xml:space="preserve">Chủ sở hữu đủ 36 lô</t>
  </si>
  <si>
    <t xml:space="preserve">MO08</t>
  </si>
  <si>
    <t xml:space="preserve">Quy tắc thiếu ngày</t>
  </si>
  <si>
    <t xml:space="preserve">MO09</t>
  </si>
  <si>
    <t xml:space="preserve">Điện/vận tải không cộng trùng</t>
  </si>
  <si>
    <t xml:space="preserve">MO10</t>
  </si>
  <si>
    <t xml:space="preserve">Đúng L không thiếu</t>
  </si>
  <si>
    <t xml:space="preserve">MO11</t>
  </si>
  <si>
    <t xml:space="preserve">Dưới L 1 VND</t>
  </si>
  <si>
    <t xml:space="preserve">MO12</t>
  </si>
  <si>
    <t xml:space="preserve">Đúng H không thừa</t>
  </si>
  <si>
    <t xml:space="preserve">MO13</t>
  </si>
  <si>
    <t xml:space="preserve">Trên H 1 VND</t>
  </si>
</sst>
</file>

<file path=xl/styles.xml><?xml version="1.0" encoding="utf-8"?>
<styleSheet xmlns="http://schemas.openxmlformats.org/spreadsheetml/2006/main">
  <numFmts count="15">
    <numFmt numFmtId="164" formatCode="General"/>
    <numFmt numFmtId="165" formatCode="0.0000000000"/>
    <numFmt numFmtId="166" formatCode="0.00%"/>
    <numFmt numFmtId="167" formatCode="0.0"/>
    <numFmt numFmtId="168" formatCode="#,##0"/>
    <numFmt numFmtId="169" formatCode="0.0%"/>
    <numFmt numFmtId="170" formatCode="0"/>
    <numFmt numFmtId="171" formatCode="dd/mm/yyyy"/>
    <numFmt numFmtId="172" formatCode="General"/>
    <numFmt numFmtId="173" formatCode="0.0000"/>
    <numFmt numFmtId="174" formatCode="#,##0;\(#,##0\);\–"/>
    <numFmt numFmtId="175" formatCode="dd/mm/yyyy;dd/mm/yyyy;;"/>
    <numFmt numFmtId="176" formatCode="#,##0.000000"/>
    <numFmt numFmtId="177" formatCode="#,##0.00"/>
    <numFmt numFmtId="178" formatCode="0.000%"/>
  </numFmts>
  <fonts count="28">
    <font>
      <sz val="11"/>
      <name val="Calibri"/>
      <family val="0"/>
      <charset val="1"/>
    </font>
    <font>
      <sz val="10"/>
      <name val="Arial"/>
      <family val="0"/>
    </font>
    <font>
      <sz val="10"/>
      <name val="Arial"/>
      <family val="0"/>
    </font>
    <font>
      <sz val="10"/>
      <name val="Arial"/>
      <family val="0"/>
    </font>
    <font>
      <b val="true"/>
      <sz val="14"/>
      <color rgb="FF22354B"/>
      <name val="Arial"/>
      <family val="2"/>
      <charset val="1"/>
    </font>
    <font>
      <b val="true"/>
      <sz val="10"/>
      <color rgb="FFFFFFFF"/>
      <name val="Arial"/>
      <family val="2"/>
      <charset val="1"/>
    </font>
    <font>
      <sz val="10"/>
      <color rgb="FF17222B"/>
      <name val="Arial"/>
      <family val="2"/>
      <charset val="1"/>
    </font>
    <font>
      <sz val="10"/>
      <name val="Arial"/>
      <family val="2"/>
      <charset val="1"/>
    </font>
    <font>
      <sz val="10"/>
      <color rgb="FF162C3A"/>
      <name val="Arial"/>
      <family val="2"/>
      <charset val="1"/>
    </font>
    <font>
      <b val="true"/>
      <sz val="12"/>
      <color rgb="FF22354B"/>
      <name val="Arial"/>
      <family val="2"/>
      <charset val="1"/>
    </font>
    <font>
      <b val="true"/>
      <sz val="9"/>
      <color rgb="FFFFFFFF"/>
      <name val="Arial"/>
      <family val="2"/>
      <charset val="1"/>
    </font>
    <font>
      <sz val="9"/>
      <color rgb="FF17222B"/>
      <name val="Arial"/>
      <family val="2"/>
      <charset val="1"/>
    </font>
    <font>
      <sz val="9"/>
      <color rgb="FF162C3A"/>
      <name val="Arial"/>
      <family val="2"/>
      <charset val="1"/>
    </font>
    <font>
      <b val="true"/>
      <sz val="8"/>
      <color rgb="FFFFFFFF"/>
      <name val="Arial"/>
      <family val="2"/>
      <charset val="1"/>
    </font>
    <font>
      <sz val="8"/>
      <name val="Calibri"/>
      <family val="0"/>
      <charset val="1"/>
    </font>
    <font>
      <sz val="8"/>
      <color rgb="FF17222B"/>
      <name val="Arial"/>
      <family val="2"/>
      <charset val="1"/>
    </font>
    <font>
      <sz val="11"/>
      <name val="Arial"/>
      <family val="2"/>
      <charset val="1"/>
    </font>
    <font>
      <b val="true"/>
      <sz val="14"/>
      <color rgb="FF203B4A"/>
      <name val="Arial"/>
      <family val="2"/>
      <charset val="1"/>
    </font>
    <font>
      <sz val="10"/>
      <color rgb="FF008000"/>
      <name val="Arial"/>
      <family val="2"/>
      <charset val="1"/>
    </font>
    <font>
      <i val="true"/>
      <sz val="9"/>
      <color rgb="FF17222B"/>
      <name val="Arial"/>
      <family val="2"/>
      <charset val="1"/>
    </font>
    <font>
      <b val="true"/>
      <sz val="8"/>
      <color rgb="FF22354B"/>
      <name val="Arial"/>
      <family val="2"/>
      <charset val="1"/>
    </font>
    <font>
      <i val="true"/>
      <sz val="8"/>
      <color rgb="FF17222B"/>
      <name val="Arial"/>
      <family val="2"/>
      <charset val="1"/>
    </font>
    <font>
      <sz val="8"/>
      <color rgb="FF008000"/>
      <name val="Arial"/>
      <family val="2"/>
      <charset val="1"/>
    </font>
    <font>
      <sz val="10"/>
      <color rgb="FF0000FF"/>
      <name val="Arial"/>
      <family val="2"/>
      <charset val="1"/>
    </font>
    <font>
      <sz val="10"/>
      <color rgb="FF000000"/>
      <name val="Arial"/>
      <family val="2"/>
      <charset val="1"/>
    </font>
    <font>
      <sz val="10"/>
      <color rgb="FF000000"/>
      <name val="Arial"/>
      <family val="0"/>
      <charset val="1"/>
    </font>
    <font>
      <sz val="10"/>
      <color rgb="FF0000FF"/>
      <name val="Arial"/>
      <family val="0"/>
      <charset val="1"/>
    </font>
    <font>
      <sz val="8"/>
      <color rgb="FF0000FF"/>
      <name val="Arial"/>
      <family val="2"/>
      <charset val="1"/>
    </font>
  </fonts>
  <fills count="6">
    <fill>
      <patternFill patternType="none"/>
    </fill>
    <fill>
      <patternFill patternType="gray125"/>
    </fill>
    <fill>
      <patternFill patternType="solid">
        <fgColor rgb="FF284A60"/>
        <bgColor rgb="FF203B4A"/>
      </patternFill>
    </fill>
    <fill>
      <patternFill patternType="solid">
        <fgColor rgb="FFF2F5F7"/>
        <bgColor rgb="FFF1F5F8"/>
      </patternFill>
    </fill>
    <fill>
      <patternFill patternType="solid">
        <fgColor rgb="FFF1F5F8"/>
        <bgColor rgb="FFF2F5F7"/>
      </patternFill>
    </fill>
    <fill>
      <patternFill patternType="solid">
        <fgColor rgb="FFFFF2CC"/>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1" fillId="3" borderId="0" xfId="0" applyFont="true" applyBorder="true" applyAlignment="true" applyProtection="false">
      <alignment horizontal="general" vertical="center" textRotation="0" wrapText="tru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15" fillId="3" borderId="0"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7" fillId="4" borderId="0"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5" fontId="6" fillId="0" borderId="0" xfId="0" applyFont="true" applyBorder="true" applyAlignment="true" applyProtection="false">
      <alignment horizontal="general" vertical="center" textRotation="0" wrapText="true" indent="0" shrinkToFit="false"/>
      <protection locked="true" hidden="false"/>
    </xf>
    <xf numFmtId="165" fontId="6" fillId="3" borderId="0" xfId="0" applyFont="true" applyBorder="true" applyAlignment="true" applyProtection="false">
      <alignment horizontal="general" vertical="center" textRotation="0" wrapText="true" indent="0" shrinkToFit="false"/>
      <protection locked="true" hidden="false"/>
    </xf>
    <xf numFmtId="166" fontId="6" fillId="0" borderId="0" xfId="0" applyFont="true" applyBorder="true" applyAlignment="true" applyProtection="false">
      <alignment horizontal="general" vertical="center" textRotation="0" wrapText="true" indent="0" shrinkToFit="false"/>
      <protection locked="true" hidden="false"/>
    </xf>
    <xf numFmtId="166" fontId="6" fillId="3" borderId="0" xfId="0" applyFont="true" applyBorder="true" applyAlignment="true" applyProtection="false">
      <alignment horizontal="general" vertical="center" textRotation="0" wrapText="true" indent="0" shrinkToFit="false"/>
      <protection locked="true" hidden="false"/>
    </xf>
    <xf numFmtId="167" fontId="6" fillId="0" borderId="0" xfId="0" applyFont="true" applyBorder="true" applyAlignment="true" applyProtection="false">
      <alignment horizontal="general" vertical="center" textRotation="0" wrapText="true" indent="0" shrinkToFit="false"/>
      <protection locked="true" hidden="false"/>
    </xf>
    <xf numFmtId="167" fontId="6" fillId="3" borderId="0" xfId="0" applyFont="true" applyBorder="true" applyAlignment="true" applyProtection="false">
      <alignment horizontal="general" vertical="center" textRotation="0" wrapText="true" indent="0" shrinkToFit="false"/>
      <protection locked="true" hidden="false"/>
    </xf>
    <xf numFmtId="168" fontId="6" fillId="0" borderId="0" xfId="0" applyFont="true" applyBorder="true" applyAlignment="true" applyProtection="false">
      <alignment horizontal="general" vertical="center" textRotation="0" wrapText="true" indent="0" shrinkToFit="false"/>
      <protection locked="true" hidden="false"/>
    </xf>
    <xf numFmtId="168" fontId="6" fillId="3" borderId="0" xfId="0" applyFont="true" applyBorder="true" applyAlignment="true" applyProtection="false">
      <alignment horizontal="general" vertical="center" textRotation="0" wrapText="true" indent="0" shrinkToFit="false"/>
      <protection locked="true" hidden="false"/>
    </xf>
    <xf numFmtId="169" fontId="6" fillId="0" borderId="0" xfId="0" applyFont="true" applyBorder="true" applyAlignment="true" applyProtection="false">
      <alignment horizontal="general" vertical="center" textRotation="0" wrapText="true" indent="0" shrinkToFit="false"/>
      <protection locked="true" hidden="false"/>
    </xf>
    <xf numFmtId="170" fontId="6" fillId="0" borderId="0" xfId="0" applyFont="true" applyBorder="true" applyAlignment="true" applyProtection="false">
      <alignment horizontal="general" vertical="center" textRotation="0" wrapText="true" indent="0" shrinkToFit="false"/>
      <protection locked="true" hidden="false"/>
    </xf>
    <xf numFmtId="169" fontId="6" fillId="3" borderId="0" xfId="0" applyFont="true" applyBorder="true" applyAlignment="true" applyProtection="false">
      <alignment horizontal="general" vertical="center" textRotation="0" wrapText="true" indent="0" shrinkToFit="false"/>
      <protection locked="true" hidden="false"/>
    </xf>
    <xf numFmtId="170" fontId="6" fillId="3" borderId="0" xfId="0" applyFont="true" applyBorder="true" applyAlignment="true" applyProtection="false">
      <alignment horizontal="general" vertical="center" textRotation="0" wrapText="true" indent="0" shrinkToFit="false"/>
      <protection locked="true" hidden="false"/>
    </xf>
    <xf numFmtId="171" fontId="6" fillId="3" borderId="0" xfId="0" applyFont="true" applyBorder="true" applyAlignment="true" applyProtection="false">
      <alignment horizontal="general" vertical="center" textRotation="0" wrapText="true" indent="0" shrinkToFit="false"/>
      <protection locked="true" hidden="false"/>
    </xf>
    <xf numFmtId="171" fontId="6" fillId="0" borderId="0"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true" applyAlignment="true" applyProtection="false">
      <alignment horizontal="general" vertical="bottom" textRotation="0" wrapText="true" indent="0" shrinkToFit="false"/>
      <protection locked="true" hidden="false"/>
    </xf>
    <xf numFmtId="172" fontId="6" fillId="0" borderId="0" xfId="0" applyFont="true" applyBorder="true" applyAlignment="true" applyProtection="false">
      <alignment horizontal="general" vertical="center" textRotation="0" wrapText="tru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true" applyAlignment="false" applyProtection="false">
      <alignment horizontal="general" vertical="bottom" textRotation="0" wrapText="false" indent="0" shrinkToFit="false"/>
      <protection locked="true" hidden="false"/>
    </xf>
    <xf numFmtId="172" fontId="6" fillId="3"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72" fontId="0" fillId="0" borderId="0" xfId="0" applyFont="false" applyBorder="true" applyAlignment="true" applyProtection="false">
      <alignment horizontal="general" vertical="bottom" textRotation="0" wrapText="true" indent="0" shrinkToFit="false"/>
      <protection locked="true" hidden="false"/>
    </xf>
    <xf numFmtId="168" fontId="0" fillId="0" borderId="0" xfId="0" applyFont="false" applyBorder="true" applyAlignment="true" applyProtection="false">
      <alignment horizontal="general" vertical="bottom" textRotation="0" wrapText="true" indent="0" shrinkToFit="false"/>
      <protection locked="true" hidden="false"/>
    </xf>
    <xf numFmtId="172" fontId="6" fillId="0" borderId="0" xfId="0" applyFont="true" applyBorder="true" applyAlignment="true" applyProtection="false">
      <alignment horizontal="general" vertical="center" textRotation="0" wrapText="true" indent="0" shrinkToFit="false"/>
      <protection locked="true" hidden="false"/>
    </xf>
    <xf numFmtId="172" fontId="6" fillId="3" borderId="0" xfId="0" applyFont="true" applyBorder="true" applyAlignment="true" applyProtection="false">
      <alignment horizontal="general" vertical="center" textRotation="0" wrapText="true" indent="0" shrinkToFit="false"/>
      <protection locked="true" hidden="false"/>
    </xf>
    <xf numFmtId="164" fontId="18" fillId="3" borderId="0" xfId="0" applyFont="true" applyBorder="true" applyAlignment="true" applyProtection="false">
      <alignment horizontal="general" vertical="center" textRotation="0" wrapText="true" indent="0" shrinkToFit="false"/>
      <protection locked="true" hidden="false"/>
    </xf>
    <xf numFmtId="171" fontId="18" fillId="3" borderId="0"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8" fontId="15" fillId="0" borderId="0" xfId="0" applyFont="true" applyBorder="true" applyAlignment="true" applyProtection="false">
      <alignment horizontal="general" vertical="center" textRotation="0" wrapText="true" indent="0" shrinkToFit="false"/>
      <protection locked="true" hidden="false"/>
    </xf>
    <xf numFmtId="171" fontId="15" fillId="0" borderId="0" xfId="0" applyFont="true" applyBorder="true" applyAlignment="true" applyProtection="false">
      <alignment horizontal="general" vertical="center" textRotation="0" wrapText="true" indent="0" shrinkToFit="false"/>
      <protection locked="true" hidden="false"/>
    </xf>
    <xf numFmtId="173" fontId="15" fillId="0" borderId="0" xfId="0" applyFont="true" applyBorder="true" applyAlignment="true" applyProtection="false">
      <alignment horizontal="general" vertical="center" textRotation="0" wrapText="true" indent="0" shrinkToFit="false"/>
      <protection locked="true" hidden="false"/>
    </xf>
    <xf numFmtId="171" fontId="22" fillId="0" borderId="0" xfId="0" applyFont="true" applyBorder="true" applyAlignment="true" applyProtection="false">
      <alignment horizontal="general" vertical="center" textRotation="0" wrapText="true" indent="0" shrinkToFit="false"/>
      <protection locked="true" hidden="false"/>
    </xf>
    <xf numFmtId="168" fontId="22" fillId="0" borderId="0"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true" applyAlignment="true" applyProtection="false">
      <alignment horizontal="general" vertical="center" textRotation="0" wrapText="true" indent="0" shrinkToFit="false"/>
      <protection locked="true" hidden="false"/>
    </xf>
    <xf numFmtId="169" fontId="15" fillId="0" borderId="0" xfId="0" applyFont="true" applyBorder="true" applyAlignment="true" applyProtection="false">
      <alignment horizontal="general" vertical="center" textRotation="0" wrapText="true" indent="0" shrinkToFit="false"/>
      <protection locked="true" hidden="false"/>
    </xf>
    <xf numFmtId="164" fontId="20" fillId="0" borderId="0" xfId="0" applyFont="true" applyBorder="true" applyAlignment="true" applyProtection="false">
      <alignment horizontal="left" vertical="bottom"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13" fillId="2" borderId="0" xfId="0" applyFont="true" applyBorder="true" applyAlignment="true" applyProtection="false">
      <alignment horizontal="left" vertical="center" textRotation="0" wrapText="true" indent="0" shrinkToFit="false"/>
      <protection locked="true" hidden="false"/>
    </xf>
    <xf numFmtId="168" fontId="15" fillId="0" borderId="0"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23" fillId="5" borderId="0" xfId="0" applyFont="true" applyBorder="true" applyAlignment="true" applyProtection="false">
      <alignment horizontal="general" vertical="center" textRotation="0" wrapText="true" indent="0" shrinkToFit="false"/>
      <protection locked="true" hidden="false"/>
    </xf>
    <xf numFmtId="174" fontId="7" fillId="0" borderId="0" xfId="0" applyFont="true" applyBorder="true" applyAlignment="true" applyProtection="false">
      <alignment horizontal="general" vertical="center" textRotation="0" wrapText="true" indent="0" shrinkToFit="false"/>
      <protection locked="true" hidden="false"/>
    </xf>
    <xf numFmtId="171" fontId="7" fillId="0" borderId="0" xfId="0" applyFont="true" applyBorder="true" applyAlignment="true" applyProtection="false">
      <alignment horizontal="general" vertical="center" textRotation="0" wrapText="true" indent="0" shrinkToFit="false"/>
      <protection locked="true" hidden="false"/>
    </xf>
    <xf numFmtId="169" fontId="23" fillId="5" borderId="0" xfId="0" applyFont="true" applyBorder="true" applyAlignment="true" applyProtection="false">
      <alignment horizontal="general" vertical="center" textRotation="0" wrapText="true" indent="0" shrinkToFit="false"/>
      <protection locked="true" hidden="false"/>
    </xf>
    <xf numFmtId="171" fontId="23" fillId="5" borderId="0" xfId="0" applyFont="true" applyBorder="true" applyAlignment="true" applyProtection="false">
      <alignment horizontal="general" vertical="center" textRotation="0" wrapText="true" indent="0" shrinkToFit="false"/>
      <protection locked="true" hidden="false"/>
    </xf>
    <xf numFmtId="169" fontId="7" fillId="0" borderId="0" xfId="0" applyFont="true" applyBorder="true" applyAlignment="true" applyProtection="false">
      <alignment horizontal="general" vertical="center" textRotation="0" wrapText="true" indent="0" shrinkToFit="false"/>
      <protection locked="true" hidden="false"/>
    </xf>
    <xf numFmtId="167" fontId="7" fillId="0" borderId="0" xfId="0" applyFont="true" applyBorder="true" applyAlignment="true" applyProtection="false">
      <alignment horizontal="general" vertical="center" textRotation="0" wrapText="true" indent="0" shrinkToFit="false"/>
      <protection locked="true" hidden="false"/>
    </xf>
    <xf numFmtId="168" fontId="7" fillId="0" borderId="0" xfId="0" applyFont="true" applyBorder="true" applyAlignment="true" applyProtection="false">
      <alignment horizontal="general" vertical="center" textRotation="0" wrapText="true" indent="0" shrinkToFit="false"/>
      <protection locked="true" hidden="false"/>
    </xf>
    <xf numFmtId="168" fontId="7" fillId="0" borderId="0" xfId="0" applyFont="true" applyBorder="true" applyAlignment="true" applyProtection="false">
      <alignment horizontal="general" vertical="center" textRotation="0" wrapText="false" indent="0" shrinkToFit="false"/>
      <protection locked="true" hidden="false"/>
    </xf>
    <xf numFmtId="171" fontId="7" fillId="0" borderId="0" xfId="0" applyFont="true" applyBorder="true" applyAlignment="true" applyProtection="false">
      <alignment horizontal="general" vertical="center" textRotation="0" wrapText="false" indent="0" shrinkToFit="false"/>
      <protection locked="true" hidden="false"/>
    </xf>
    <xf numFmtId="174" fontId="7" fillId="0" borderId="0" xfId="0" applyFont="true" applyBorder="true" applyAlignment="true" applyProtection="false">
      <alignment horizontal="general" vertical="center" textRotation="0" wrapText="false" indent="0" shrinkToFit="false"/>
      <protection locked="true" hidden="false"/>
    </xf>
    <xf numFmtId="172" fontId="7" fillId="0" borderId="0" xfId="0" applyFont="true" applyBorder="true" applyAlignment="true" applyProtection="false">
      <alignment horizontal="general" vertical="center" textRotation="0" wrapText="false" indent="0" shrinkToFit="false"/>
      <protection locked="true" hidden="false"/>
    </xf>
    <xf numFmtId="175" fontId="7"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71" fontId="23" fillId="3" borderId="0" xfId="0" applyFont="true" applyBorder="true" applyAlignment="true" applyProtection="false">
      <alignment horizontal="general" vertical="center" textRotation="0" wrapText="true" indent="0" shrinkToFit="false"/>
      <protection locked="true" hidden="false"/>
    </xf>
    <xf numFmtId="171" fontId="23" fillId="0" borderId="0" xfId="0" applyFont="true" applyBorder="true" applyAlignment="true" applyProtection="false">
      <alignment horizontal="general" vertical="center" textRotation="0" wrapText="true" indent="0" shrinkToFit="false"/>
      <protection locked="true" hidden="false"/>
    </xf>
    <xf numFmtId="172" fontId="24" fillId="3" borderId="0" xfId="0" applyFont="true" applyBorder="true" applyAlignment="true" applyProtection="false">
      <alignment horizontal="general" vertical="center" textRotation="0" wrapText="true" indent="0" shrinkToFit="false"/>
      <protection locked="true" hidden="false"/>
    </xf>
    <xf numFmtId="168" fontId="18" fillId="0" borderId="0" xfId="0" applyFont="true" applyBorder="true" applyAlignment="true" applyProtection="false">
      <alignment horizontal="general" vertical="center" textRotation="0" wrapText="true" indent="0" shrinkToFit="false"/>
      <protection locked="true" hidden="false"/>
    </xf>
    <xf numFmtId="168" fontId="23" fillId="0" borderId="0" xfId="0" applyFont="true" applyBorder="true" applyAlignment="true" applyProtection="false">
      <alignment horizontal="general" vertical="center" textRotation="0" wrapText="true" indent="0" shrinkToFit="false"/>
      <protection locked="true" hidden="false"/>
    </xf>
    <xf numFmtId="168" fontId="23" fillId="3" borderId="0" xfId="0" applyFont="true" applyBorder="true" applyAlignment="true" applyProtection="false">
      <alignment horizontal="general" vertical="center" textRotation="0" wrapText="true" indent="0" shrinkToFit="false"/>
      <protection locked="true" hidden="false"/>
    </xf>
    <xf numFmtId="164" fontId="23" fillId="3" borderId="0" xfId="0" applyFont="true" applyBorder="true" applyAlignment="true" applyProtection="false">
      <alignment horizontal="general" vertical="center" textRotation="0" wrapText="true" indent="0" shrinkToFit="false"/>
      <protection locked="true" hidden="false"/>
    </xf>
    <xf numFmtId="168" fontId="25" fillId="0" borderId="0" xfId="0" applyFont="true" applyBorder="true" applyAlignment="true" applyProtection="false">
      <alignment horizontal="general" vertical="center" textRotation="0" wrapText="true" indent="0" shrinkToFit="false"/>
      <protection locked="true" hidden="false"/>
    </xf>
    <xf numFmtId="169" fontId="23" fillId="0" borderId="0" xfId="0" applyFont="true" applyBorder="true" applyAlignment="true" applyProtection="false">
      <alignment horizontal="general" vertical="center" textRotation="0" wrapText="true" indent="0" shrinkToFit="false"/>
      <protection locked="true" hidden="false"/>
    </xf>
    <xf numFmtId="168" fontId="26" fillId="0" borderId="0" xfId="0" applyFont="true" applyBorder="true" applyAlignment="true" applyProtection="false">
      <alignment horizontal="general" vertical="center" textRotation="0" wrapText="true" indent="0" shrinkToFit="false"/>
      <protection locked="true" hidden="false"/>
    </xf>
    <xf numFmtId="169" fontId="27" fillId="0" borderId="0" xfId="0" applyFont="true" applyBorder="true" applyAlignment="true" applyProtection="false">
      <alignment horizontal="general" vertical="center" textRotation="0" wrapText="true" indent="0" shrinkToFit="false"/>
      <protection locked="true" hidden="false"/>
    </xf>
    <xf numFmtId="168" fontId="27" fillId="0" borderId="0" xfId="0" applyFont="true" applyBorder="true" applyAlignment="true" applyProtection="false">
      <alignment horizontal="general" vertical="center" textRotation="0" wrapText="true" indent="0" shrinkToFit="false"/>
      <protection locked="true" hidden="false"/>
    </xf>
    <xf numFmtId="164" fontId="27" fillId="0" borderId="0" xfId="0" applyFont="true" applyBorder="true" applyAlignment="true" applyProtection="false">
      <alignment horizontal="general" vertical="center" textRotation="0" wrapText="tru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23" fillId="3" borderId="0" xfId="0" applyFont="true" applyBorder="true" applyAlignment="true" applyProtection="false">
      <alignment horizontal="general" vertical="center" textRotation="0" wrapText="true" indent="0" shrinkToFit="false"/>
      <protection locked="true" hidden="false"/>
    </xf>
    <xf numFmtId="176" fontId="23" fillId="0" borderId="0" xfId="0" applyFont="true" applyBorder="true" applyAlignment="true" applyProtection="false">
      <alignment horizontal="general" vertical="center" textRotation="0" wrapText="true" indent="0" shrinkToFit="false"/>
      <protection locked="true" hidden="false"/>
    </xf>
    <xf numFmtId="176" fontId="23" fillId="3" borderId="0" xfId="0" applyFont="true" applyBorder="true" applyAlignment="true" applyProtection="false">
      <alignment horizontal="general" vertical="center" textRotation="0" wrapText="tru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71" fontId="18" fillId="0" borderId="0" xfId="0" applyFont="true" applyBorder="true" applyAlignment="true" applyProtection="false">
      <alignment horizontal="general" vertical="center" textRotation="0" wrapText="true" indent="0" shrinkToFit="false"/>
      <protection locked="true" hidden="false"/>
    </xf>
    <xf numFmtId="177" fontId="6" fillId="0" borderId="0" xfId="0" applyFont="true" applyBorder="true" applyAlignment="true" applyProtection="false">
      <alignment horizontal="general" vertical="center" textRotation="0" wrapText="true" indent="0" shrinkToFit="false"/>
      <protection locked="true" hidden="false"/>
    </xf>
    <xf numFmtId="177" fontId="6" fillId="3" borderId="0" xfId="0" applyFont="true" applyBorder="true" applyAlignment="true" applyProtection="false">
      <alignment horizontal="general" vertical="center" textRotation="0" wrapText="true" indent="0" shrinkToFit="false"/>
      <protection locked="true" hidden="false"/>
    </xf>
    <xf numFmtId="173" fontId="6" fillId="0" borderId="0" xfId="0" applyFont="true" applyBorder="true" applyAlignment="true" applyProtection="false">
      <alignment horizontal="general" vertical="center" textRotation="0" wrapText="true" indent="0" shrinkToFit="false"/>
      <protection locked="true" hidden="false"/>
    </xf>
    <xf numFmtId="173" fontId="6" fillId="3" borderId="0" xfId="0" applyFont="true" applyBorder="true" applyAlignment="true" applyProtection="false">
      <alignment horizontal="general" vertical="center" textRotation="0" wrapText="true" indent="0" shrinkToFit="false"/>
      <protection locked="true" hidden="false"/>
    </xf>
    <xf numFmtId="178" fontId="6" fillId="3"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FF2CC"/>
        </patternFill>
      </fill>
    </dxf>
    <dxf>
      <fill>
        <patternFill>
          <bgColor rgb="FFF8CBAD"/>
        </patternFill>
      </fill>
    </dxf>
    <dxf>
      <fill>
        <patternFill>
          <bgColor rgb="FFFFC7CE"/>
        </patternFill>
      </fill>
    </dxf>
    <dxf>
      <fill>
        <patternFill>
          <bgColor rgb="FFFFF2CC"/>
        </patternFill>
      </fill>
    </dxf>
    <dxf>
      <fill>
        <patternFill>
          <bgColor rgb="FFFCE4D6"/>
        </patternFill>
      </fill>
    </dxf>
    <dxf>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F1F5F8"/>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F2F5F7"/>
      <rgbColor rgb="FFCCFFCC"/>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62C3A"/>
      <rgbColor rgb="FF339966"/>
      <rgbColor rgb="FF17222B"/>
      <rgbColor rgb="FF203B4A"/>
      <rgbColor rgb="FF993300"/>
      <rgbColor rgb="FF993366"/>
      <rgbColor rgb="FF284A60"/>
      <rgbColor rgb="FF2235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58"/>
  <sheetViews>
    <sheetView showFormulas="false" showGridLines="false" showRowColHeaders="true" showZeros="true" rightToLeft="false" tabSelected="true" showOutlineSymbols="true" defaultGridColor="true" view="normal" topLeftCell="A1" colorId="64" zoomScale="78" zoomScaleNormal="78" zoomScalePageLayoutView="100" workbookViewId="0">
      <pane xSplit="0" ySplit="4" topLeftCell="A5" activePane="bottomLeft" state="frozen"/>
      <selection pane="topLeft" activeCell="A1" activeCellId="0" sqref="A1"/>
      <selection pane="bottomLeft" activeCell="B9" activeCellId="0" sqref="B9"/>
    </sheetView>
  </sheetViews>
  <sheetFormatPr defaultColWidth="8.6796875" defaultRowHeight="13.5" zeroHeight="false" outlineLevelRow="0" outlineLevelCol="0"/>
  <cols>
    <col collapsed="false" customWidth="true" hidden="false" outlineLevel="0" max="1" min="1" style="0" width="29"/>
    <col collapsed="false" customWidth="true" hidden="false" outlineLevel="0" max="2" min="2" style="0" width="112"/>
    <col collapsed="false" customWidth="true" hidden="false" outlineLevel="0" max="3" min="3" style="0" width="82"/>
  </cols>
  <sheetData>
    <row r="2" customFormat="false" ht="17.25" hidden="false" customHeight="true" outlineLevel="0" collapsed="false">
      <c r="A2" s="1" t="s">
        <v>0</v>
      </c>
    </row>
    <row r="4" customFormat="false" ht="33.75" hidden="false" customHeight="true" outlineLevel="0" collapsed="false">
      <c r="A4" s="2" t="s">
        <v>1</v>
      </c>
      <c r="B4" s="2" t="s">
        <v>2</v>
      </c>
      <c r="C4" s="2" t="s">
        <v>3</v>
      </c>
    </row>
    <row r="5" customFormat="false" ht="51.75" hidden="false" customHeight="true" outlineLevel="0" collapsed="false">
      <c r="A5" s="3" t="s">
        <v>4</v>
      </c>
      <c r="B5" s="3" t="s">
        <v>5</v>
      </c>
      <c r="C5" s="3" t="s">
        <v>6</v>
      </c>
    </row>
    <row r="6" customFormat="false" ht="25.5" hidden="false" customHeight="true" outlineLevel="0" collapsed="false">
      <c r="A6" s="4" t="s">
        <v>7</v>
      </c>
      <c r="B6" s="4" t="s">
        <v>8</v>
      </c>
      <c r="C6" s="4" t="s">
        <v>9</v>
      </c>
    </row>
    <row r="7" customFormat="false" ht="25.5" hidden="false" customHeight="true" outlineLevel="0" collapsed="false">
      <c r="A7" s="3" t="s">
        <v>10</v>
      </c>
      <c r="B7" s="3" t="s">
        <v>11</v>
      </c>
      <c r="C7" s="3" t="s">
        <v>12</v>
      </c>
    </row>
    <row r="8" customFormat="false" ht="39.75" hidden="false" customHeight="true" outlineLevel="0" collapsed="false">
      <c r="A8" s="4" t="s">
        <v>13</v>
      </c>
      <c r="B8" s="4" t="s">
        <v>14</v>
      </c>
      <c r="C8" s="4" t="s">
        <v>15</v>
      </c>
    </row>
    <row r="9" customFormat="false" ht="39.75" hidden="false" customHeight="true" outlineLevel="0" collapsed="false">
      <c r="A9" s="3" t="s">
        <v>16</v>
      </c>
      <c r="B9" s="3" t="s">
        <v>17</v>
      </c>
      <c r="C9" s="3" t="s">
        <v>18</v>
      </c>
    </row>
    <row r="10" customFormat="false" ht="51.75" hidden="false" customHeight="true" outlineLevel="0" collapsed="false">
      <c r="A10" s="4" t="s">
        <v>19</v>
      </c>
      <c r="B10" s="4" t="s">
        <v>20</v>
      </c>
      <c r="C10" s="4" t="s">
        <v>21</v>
      </c>
    </row>
    <row r="11" customFormat="false" ht="54" hidden="false" customHeight="true" outlineLevel="0" collapsed="false">
      <c r="A11" s="3" t="s">
        <v>22</v>
      </c>
      <c r="B11" s="3" t="s">
        <v>23</v>
      </c>
      <c r="C11" s="3" t="s">
        <v>24</v>
      </c>
    </row>
    <row r="12" customFormat="false" ht="39.75" hidden="false" customHeight="true" outlineLevel="0" collapsed="false">
      <c r="A12" s="4" t="s">
        <v>25</v>
      </c>
      <c r="B12" s="4" t="s">
        <v>26</v>
      </c>
      <c r="C12" s="4" t="s">
        <v>27</v>
      </c>
    </row>
    <row r="13" customFormat="false" ht="39.75" hidden="false" customHeight="true" outlineLevel="0" collapsed="false">
      <c r="A13" s="3" t="s">
        <v>28</v>
      </c>
      <c r="B13" s="3" t="s">
        <v>29</v>
      </c>
      <c r="C13" s="3" t="s">
        <v>30</v>
      </c>
    </row>
    <row r="14" customFormat="false" ht="51.75" hidden="false" customHeight="true" outlineLevel="0" collapsed="false">
      <c r="A14" s="4" t="s">
        <v>31</v>
      </c>
      <c r="B14" s="4" t="s">
        <v>32</v>
      </c>
      <c r="C14" s="4" t="s">
        <v>33</v>
      </c>
    </row>
    <row r="15" customFormat="false" ht="39.75" hidden="false" customHeight="true" outlineLevel="0" collapsed="false">
      <c r="A15" s="3" t="s">
        <v>34</v>
      </c>
      <c r="B15" s="3" t="s">
        <v>35</v>
      </c>
      <c r="C15" s="3" t="s">
        <v>36</v>
      </c>
    </row>
    <row r="16" customFormat="false" ht="39.75" hidden="false" customHeight="true" outlineLevel="0" collapsed="false">
      <c r="A16" s="4" t="s">
        <v>37</v>
      </c>
      <c r="B16" s="4" t="s">
        <v>38</v>
      </c>
      <c r="C16" s="4" t="s">
        <v>39</v>
      </c>
    </row>
    <row r="17" customFormat="false" ht="39.75" hidden="false" customHeight="true" outlineLevel="0" collapsed="false">
      <c r="A17" s="3" t="s">
        <v>40</v>
      </c>
      <c r="B17" s="3" t="s">
        <v>41</v>
      </c>
      <c r="C17" s="3" t="s">
        <v>42</v>
      </c>
    </row>
    <row r="18" customFormat="false" ht="39.75" hidden="false" customHeight="true" outlineLevel="0" collapsed="false">
      <c r="A18" s="4" t="s">
        <v>43</v>
      </c>
      <c r="B18" s="4" t="s">
        <v>44</v>
      </c>
      <c r="C18" s="4" t="s">
        <v>45</v>
      </c>
    </row>
    <row r="19" customFormat="false" ht="39.75" hidden="false" customHeight="true" outlineLevel="0" collapsed="false">
      <c r="A19" s="3" t="s">
        <v>46</v>
      </c>
      <c r="B19" s="3" t="s">
        <v>47</v>
      </c>
      <c r="C19" s="3" t="s">
        <v>48</v>
      </c>
    </row>
    <row r="20" customFormat="false" ht="39.75" hidden="false" customHeight="true" outlineLevel="0" collapsed="false">
      <c r="A20" s="4" t="s">
        <v>49</v>
      </c>
      <c r="B20" s="4" t="s">
        <v>50</v>
      </c>
      <c r="C20" s="4" t="s">
        <v>51</v>
      </c>
    </row>
    <row r="21" customFormat="false" ht="39.75" hidden="false" customHeight="true" outlineLevel="0" collapsed="false">
      <c r="A21" s="3" t="s">
        <v>52</v>
      </c>
      <c r="B21" s="3" t="s">
        <v>53</v>
      </c>
      <c r="C21" s="3" t="s">
        <v>54</v>
      </c>
    </row>
    <row r="22" customFormat="false" ht="39.75" hidden="false" customHeight="true" outlineLevel="0" collapsed="false">
      <c r="A22" s="4" t="s">
        <v>55</v>
      </c>
      <c r="B22" s="4" t="s">
        <v>56</v>
      </c>
      <c r="C22" s="4" t="s">
        <v>57</v>
      </c>
    </row>
    <row r="23" customFormat="false" ht="39.75" hidden="false" customHeight="true" outlineLevel="0" collapsed="false">
      <c r="A23" s="3" t="s">
        <v>58</v>
      </c>
      <c r="B23" s="3" t="s">
        <v>59</v>
      </c>
      <c r="C23" s="3" t="s">
        <v>60</v>
      </c>
    </row>
    <row r="24" customFormat="false" ht="39.75" hidden="false" customHeight="true" outlineLevel="0" collapsed="false">
      <c r="A24" s="4" t="s">
        <v>61</v>
      </c>
      <c r="B24" s="4" t="s">
        <v>62</v>
      </c>
      <c r="C24" s="4" t="s">
        <v>63</v>
      </c>
    </row>
    <row r="25" customFormat="false" ht="39.75" hidden="false" customHeight="true" outlineLevel="0" collapsed="false">
      <c r="A25" s="3" t="s">
        <v>64</v>
      </c>
      <c r="B25" s="3" t="s">
        <v>65</v>
      </c>
      <c r="C25" s="3" t="s">
        <v>66</v>
      </c>
    </row>
    <row r="26" customFormat="false" ht="25.5" hidden="false" customHeight="true" outlineLevel="0" collapsed="false">
      <c r="A26" s="4" t="s">
        <v>67</v>
      </c>
      <c r="B26" s="4" t="s">
        <v>68</v>
      </c>
      <c r="C26" s="4" t="s">
        <v>69</v>
      </c>
    </row>
    <row r="27" customFormat="false" ht="39.75" hidden="false" customHeight="true" outlineLevel="0" collapsed="false">
      <c r="A27" s="3" t="s">
        <v>70</v>
      </c>
      <c r="B27" s="3" t="s">
        <v>71</v>
      </c>
      <c r="C27" s="3" t="s">
        <v>72</v>
      </c>
    </row>
    <row r="28" customFormat="false" ht="39.75" hidden="false" customHeight="true" outlineLevel="0" collapsed="false">
      <c r="A28" s="4" t="s">
        <v>73</v>
      </c>
      <c r="B28" s="4" t="s">
        <v>74</v>
      </c>
      <c r="C28" s="4" t="s">
        <v>75</v>
      </c>
    </row>
    <row r="29" customFormat="false" ht="39.75" hidden="false" customHeight="true" outlineLevel="0" collapsed="false">
      <c r="A29" s="3" t="s">
        <v>76</v>
      </c>
      <c r="B29" s="3" t="s">
        <v>77</v>
      </c>
      <c r="C29" s="3" t="s">
        <v>78</v>
      </c>
    </row>
    <row r="31" customFormat="false" ht="55.5" hidden="false" customHeight="true" outlineLevel="0" collapsed="false">
      <c r="A31" s="5" t="s">
        <v>79</v>
      </c>
      <c r="B31" s="5" t="s">
        <v>80</v>
      </c>
      <c r="C31" s="5" t="s">
        <v>81</v>
      </c>
    </row>
    <row r="32" customFormat="false" ht="55.5" hidden="false" customHeight="true" outlineLevel="0" collapsed="false">
      <c r="A32" s="5" t="s">
        <v>82</v>
      </c>
      <c r="B32" s="5" t="s">
        <v>83</v>
      </c>
      <c r="C32" s="5" t="s">
        <v>84</v>
      </c>
    </row>
    <row r="33" customFormat="false" ht="69.75" hidden="false" customHeight="true" outlineLevel="0" collapsed="false">
      <c r="A33" s="5" t="s">
        <v>85</v>
      </c>
      <c r="B33" s="5" t="s">
        <v>86</v>
      </c>
      <c r="C33" s="5" t="s">
        <v>87</v>
      </c>
    </row>
    <row r="34" customFormat="false" ht="66" hidden="false" customHeight="true" outlineLevel="0" collapsed="false">
      <c r="A34" s="5" t="s">
        <v>88</v>
      </c>
      <c r="B34" s="5" t="s">
        <v>89</v>
      </c>
      <c r="C34" s="5" t="s">
        <v>90</v>
      </c>
    </row>
    <row r="35" customFormat="false" ht="69.75" hidden="false" customHeight="true" outlineLevel="0" collapsed="false">
      <c r="A35" s="5" t="s">
        <v>91</v>
      </c>
      <c r="B35" s="5" t="s">
        <v>92</v>
      </c>
      <c r="C35" s="5" t="s">
        <v>93</v>
      </c>
    </row>
    <row r="36" customFormat="false" ht="54" hidden="false" customHeight="true" outlineLevel="0" collapsed="false">
      <c r="A36" s="5" t="s">
        <v>94</v>
      </c>
      <c r="B36" s="5" t="s">
        <v>95</v>
      </c>
      <c r="C36" s="5" t="s">
        <v>96</v>
      </c>
    </row>
    <row r="37" customFormat="false" ht="54" hidden="false" customHeight="true" outlineLevel="0" collapsed="false">
      <c r="A37" s="5" t="s">
        <v>97</v>
      </c>
      <c r="B37" s="5" t="s">
        <v>98</v>
      </c>
      <c r="C37" s="5" t="s">
        <v>99</v>
      </c>
    </row>
    <row r="38" customFormat="false" ht="91.5" hidden="false" customHeight="true" outlineLevel="0" collapsed="false">
      <c r="A38" s="5" t="s">
        <v>100</v>
      </c>
      <c r="B38" s="5" t="s">
        <v>101</v>
      </c>
      <c r="C38" s="5" t="s">
        <v>102</v>
      </c>
    </row>
    <row r="40" customFormat="false" ht="69.75" hidden="false" customHeight="true" outlineLevel="0" collapsed="false">
      <c r="A40" s="3" t="s">
        <v>103</v>
      </c>
      <c r="B40" s="3" t="s">
        <v>104</v>
      </c>
      <c r="C40" s="3" t="s">
        <v>105</v>
      </c>
    </row>
    <row r="41" customFormat="false" ht="69.75" hidden="false" customHeight="true" outlineLevel="0" collapsed="false">
      <c r="A41" s="4" t="s">
        <v>106</v>
      </c>
      <c r="B41" s="4" t="s">
        <v>107</v>
      </c>
      <c r="C41" s="4" t="s">
        <v>108</v>
      </c>
    </row>
    <row r="42" customFormat="false" ht="69.75" hidden="false" customHeight="true" outlineLevel="0" collapsed="false">
      <c r="A42" s="3" t="s">
        <v>109</v>
      </c>
      <c r="B42" s="3" t="s">
        <v>110</v>
      </c>
      <c r="C42" s="3" t="s">
        <v>111</v>
      </c>
    </row>
    <row r="44" customFormat="false" ht="69.75" hidden="false" customHeight="true" outlineLevel="0" collapsed="false">
      <c r="A44" s="3" t="s">
        <v>112</v>
      </c>
      <c r="B44" s="3" t="s">
        <v>113</v>
      </c>
      <c r="C44" s="3" t="s">
        <v>114</v>
      </c>
    </row>
    <row r="45" customFormat="false" ht="69.75" hidden="false" customHeight="true" outlineLevel="0" collapsed="false">
      <c r="A45" s="3" t="s">
        <v>115</v>
      </c>
      <c r="B45" s="3" t="s">
        <v>116</v>
      </c>
      <c r="C45" s="3" t="s">
        <v>117</v>
      </c>
    </row>
    <row r="46" customFormat="false" ht="69.75" hidden="false" customHeight="true" outlineLevel="0" collapsed="false">
      <c r="A46" s="3" t="s">
        <v>118</v>
      </c>
      <c r="B46" s="3" t="s">
        <v>119</v>
      </c>
      <c r="C46" s="3" t="s">
        <v>120</v>
      </c>
    </row>
    <row r="47" customFormat="false" ht="69.75" hidden="false" customHeight="true" outlineLevel="0" collapsed="false">
      <c r="A47" s="3" t="s">
        <v>121</v>
      </c>
      <c r="B47" s="3" t="s">
        <v>122</v>
      </c>
      <c r="C47" s="3" t="s">
        <v>123</v>
      </c>
    </row>
    <row r="48" customFormat="false" ht="69.75" hidden="false" customHeight="true" outlineLevel="0" collapsed="false">
      <c r="A48" s="3" t="s">
        <v>124</v>
      </c>
      <c r="B48" s="3" t="s">
        <v>125</v>
      </c>
      <c r="C48" s="3" t="s">
        <v>126</v>
      </c>
    </row>
    <row r="50" customFormat="false" ht="69.75" hidden="false" customHeight="true" outlineLevel="0" collapsed="false">
      <c r="A50" s="3" t="s">
        <v>127</v>
      </c>
      <c r="B50" s="3" t="s">
        <v>128</v>
      </c>
      <c r="C50" s="3" t="s">
        <v>129</v>
      </c>
    </row>
    <row r="51" customFormat="false" ht="69.75" hidden="false" customHeight="true" outlineLevel="0" collapsed="false">
      <c r="A51" s="3" t="s">
        <v>130</v>
      </c>
      <c r="B51" s="3" t="s">
        <v>131</v>
      </c>
      <c r="C51" s="3" t="s">
        <v>132</v>
      </c>
    </row>
    <row r="52" customFormat="false" ht="69.75" hidden="false" customHeight="true" outlineLevel="0" collapsed="false">
      <c r="A52" s="3" t="s">
        <v>133</v>
      </c>
      <c r="B52" s="3" t="s">
        <v>134</v>
      </c>
      <c r="C52" s="3" t="s">
        <v>135</v>
      </c>
    </row>
    <row r="53" customFormat="false" ht="69.75" hidden="false" customHeight="true" outlineLevel="0" collapsed="false">
      <c r="A53" s="3" t="s">
        <v>136</v>
      </c>
      <c r="B53" s="3" t="s">
        <v>137</v>
      </c>
      <c r="C53" s="3" t="s">
        <v>138</v>
      </c>
    </row>
    <row r="54" customFormat="false" ht="69.75" hidden="false" customHeight="true" outlineLevel="0" collapsed="false">
      <c r="A54" s="3" t="s">
        <v>139</v>
      </c>
      <c r="B54" s="3" t="s">
        <v>140</v>
      </c>
      <c r="C54" s="3" t="s">
        <v>141</v>
      </c>
    </row>
    <row r="55" customFormat="false" ht="69.75" hidden="false" customHeight="true" outlineLevel="0" collapsed="false">
      <c r="A55" s="3" t="s">
        <v>142</v>
      </c>
      <c r="B55" s="3" t="s">
        <v>143</v>
      </c>
      <c r="C55" s="3" t="s">
        <v>144</v>
      </c>
    </row>
    <row r="56" customFormat="false" ht="69.75" hidden="false" customHeight="true" outlineLevel="0" collapsed="false">
      <c r="A56" s="3" t="s">
        <v>145</v>
      </c>
      <c r="B56" s="3" t="s">
        <v>146</v>
      </c>
      <c r="C56" s="3" t="s">
        <v>146</v>
      </c>
    </row>
    <row r="57" customFormat="false" ht="69.75" hidden="false" customHeight="true" outlineLevel="0" collapsed="false">
      <c r="A57" s="3" t="s">
        <v>147</v>
      </c>
      <c r="B57" s="3" t="s">
        <v>148</v>
      </c>
      <c r="C57" s="3" t="s">
        <v>149</v>
      </c>
    </row>
    <row r="58" customFormat="false" ht="69.75" hidden="false" customHeight="true" outlineLevel="0" collapsed="false">
      <c r="A58" s="3" t="s">
        <v>150</v>
      </c>
      <c r="B58" s="3" t="s">
        <v>151</v>
      </c>
      <c r="C58" s="3" t="s">
        <v>152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11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4" topLeftCell="E36" activePane="bottomRight" state="frozen"/>
      <selection pane="topLeft" activeCell="A1" activeCellId="0" sqref="A1"/>
      <selection pane="topRight" activeCell="E1" activeCellId="0" sqref="E1"/>
      <selection pane="bottomLeft" activeCell="A36" activeCellId="0" sqref="A36"/>
      <selection pane="bottomRight" activeCell="D5" activeCellId="0" sqref="D5"/>
    </sheetView>
  </sheetViews>
  <sheetFormatPr defaultColWidth="8.6796875" defaultRowHeight="13.5" zeroHeight="false" outlineLevelRow="0" outlineLevelCol="0"/>
  <cols>
    <col collapsed="false" customWidth="true" hidden="false" outlineLevel="0" max="1" min="1" style="0" width="14"/>
    <col collapsed="false" customWidth="true" hidden="false" outlineLevel="0" max="2" min="2" style="0" width="31"/>
    <col collapsed="false" customWidth="true" hidden="false" outlineLevel="0" max="3" min="3" style="0" width="34"/>
    <col collapsed="false" customWidth="true" hidden="false" outlineLevel="0" max="4" min="4" style="0" width="49"/>
    <col collapsed="false" customWidth="true" hidden="false" outlineLevel="0" max="5" min="5" style="0" width="70"/>
    <col collapsed="false" customWidth="true" hidden="false" outlineLevel="0" max="6" min="6" style="0" width="53"/>
    <col collapsed="false" customWidth="true" hidden="false" outlineLevel="0" max="7" min="7" style="0" width="65"/>
    <col collapsed="false" customWidth="true" hidden="false" outlineLevel="0" max="8" min="8" style="0" width="24"/>
    <col collapsed="false" customWidth="true" hidden="false" outlineLevel="0" max="9" min="9" style="0" width="68"/>
  </cols>
  <sheetData>
    <row r="2" customFormat="false" ht="17.25" hidden="false" customHeight="true" outlineLevel="0" collapsed="false">
      <c r="A2" s="1" t="s">
        <v>153</v>
      </c>
    </row>
    <row r="4" customFormat="false" ht="33.75" hidden="false" customHeight="true" outlineLevel="0" collapsed="false">
      <c r="A4" s="2" t="s">
        <v>154</v>
      </c>
      <c r="B4" s="2" t="s">
        <v>155</v>
      </c>
      <c r="C4" s="2" t="s">
        <v>156</v>
      </c>
      <c r="D4" s="2" t="s">
        <v>157</v>
      </c>
      <c r="E4" s="2" t="s">
        <v>158</v>
      </c>
      <c r="F4" s="2" t="s">
        <v>159</v>
      </c>
      <c r="G4" s="2" t="s">
        <v>160</v>
      </c>
      <c r="H4" s="2" t="s">
        <v>161</v>
      </c>
      <c r="I4" s="2" t="s">
        <v>162</v>
      </c>
    </row>
    <row r="5" customFormat="false" ht="39.75" hidden="false" customHeight="true" outlineLevel="0" collapsed="false">
      <c r="A5" s="3" t="s">
        <v>163</v>
      </c>
      <c r="B5" s="3" t="s">
        <v>164</v>
      </c>
      <c r="C5" s="3" t="s">
        <v>165</v>
      </c>
      <c r="D5" s="3" t="s">
        <v>166</v>
      </c>
      <c r="E5" s="6" t="s">
        <v>167</v>
      </c>
      <c r="F5" s="3" t="s">
        <v>168</v>
      </c>
      <c r="G5" s="3" t="s">
        <v>169</v>
      </c>
      <c r="H5" s="3" t="s">
        <v>170</v>
      </c>
      <c r="I5" s="3" t="s">
        <v>171</v>
      </c>
    </row>
    <row r="6" customFormat="false" ht="39.75" hidden="false" customHeight="true" outlineLevel="0" collapsed="false">
      <c r="A6" s="4" t="s">
        <v>172</v>
      </c>
      <c r="B6" s="4" t="s">
        <v>164</v>
      </c>
      <c r="C6" s="4" t="s">
        <v>173</v>
      </c>
      <c r="D6" s="4" t="s">
        <v>174</v>
      </c>
      <c r="E6" s="7" t="s">
        <v>175</v>
      </c>
      <c r="F6" s="4" t="s">
        <v>176</v>
      </c>
      <c r="G6" s="4" t="s">
        <v>169</v>
      </c>
      <c r="H6" s="4" t="s">
        <v>170</v>
      </c>
      <c r="I6" s="4" t="s">
        <v>177</v>
      </c>
    </row>
    <row r="7" customFormat="false" ht="39.75" hidden="false" customHeight="true" outlineLevel="0" collapsed="false">
      <c r="A7" s="3" t="s">
        <v>178</v>
      </c>
      <c r="B7" s="3" t="s">
        <v>164</v>
      </c>
      <c r="C7" s="3" t="s">
        <v>179</v>
      </c>
      <c r="D7" s="3" t="s">
        <v>180</v>
      </c>
      <c r="E7" s="6" t="s">
        <v>181</v>
      </c>
      <c r="F7" s="3" t="s">
        <v>182</v>
      </c>
      <c r="G7" s="3" t="s">
        <v>183</v>
      </c>
      <c r="H7" s="3" t="s">
        <v>170</v>
      </c>
      <c r="I7" s="3" t="s">
        <v>184</v>
      </c>
    </row>
    <row r="8" customFormat="false" ht="39.75" hidden="false" customHeight="true" outlineLevel="0" collapsed="false">
      <c r="A8" s="4" t="s">
        <v>185</v>
      </c>
      <c r="B8" s="4" t="s">
        <v>164</v>
      </c>
      <c r="C8" s="4" t="s">
        <v>186</v>
      </c>
      <c r="D8" s="4" t="s">
        <v>187</v>
      </c>
      <c r="E8" s="7" t="s">
        <v>188</v>
      </c>
      <c r="F8" s="4" t="s">
        <v>189</v>
      </c>
      <c r="G8" s="4" t="s">
        <v>190</v>
      </c>
      <c r="H8" s="4" t="s">
        <v>170</v>
      </c>
      <c r="I8" s="4" t="s">
        <v>191</v>
      </c>
    </row>
    <row r="9" customFormat="false" ht="39.75" hidden="false" customHeight="true" outlineLevel="0" collapsed="false">
      <c r="A9" s="3" t="s">
        <v>192</v>
      </c>
      <c r="B9" s="3" t="s">
        <v>164</v>
      </c>
      <c r="C9" s="3" t="s">
        <v>193</v>
      </c>
      <c r="D9" s="3" t="s">
        <v>194</v>
      </c>
      <c r="E9" s="6" t="s">
        <v>195</v>
      </c>
      <c r="F9" s="3" t="s">
        <v>196</v>
      </c>
      <c r="G9" s="3" t="s">
        <v>183</v>
      </c>
      <c r="H9" s="3" t="s">
        <v>170</v>
      </c>
      <c r="I9" s="3" t="s">
        <v>197</v>
      </c>
    </row>
    <row r="10" customFormat="false" ht="39.75" hidden="false" customHeight="true" outlineLevel="0" collapsed="false">
      <c r="A10" s="4" t="s">
        <v>198</v>
      </c>
      <c r="B10" s="4" t="s">
        <v>164</v>
      </c>
      <c r="C10" s="4" t="s">
        <v>199</v>
      </c>
      <c r="D10" s="4" t="s">
        <v>200</v>
      </c>
      <c r="E10" s="7" t="s">
        <v>201</v>
      </c>
      <c r="F10" s="4" t="s">
        <v>202</v>
      </c>
      <c r="G10" s="4" t="s">
        <v>203</v>
      </c>
      <c r="H10" s="4" t="s">
        <v>170</v>
      </c>
      <c r="I10" s="4" t="s">
        <v>204</v>
      </c>
    </row>
    <row r="11" customFormat="false" ht="39.75" hidden="false" customHeight="true" outlineLevel="0" collapsed="false">
      <c r="A11" s="3" t="s">
        <v>205</v>
      </c>
      <c r="B11" s="3" t="s">
        <v>164</v>
      </c>
      <c r="C11" s="3" t="s">
        <v>206</v>
      </c>
      <c r="D11" s="3" t="s">
        <v>207</v>
      </c>
      <c r="E11" s="6" t="s">
        <v>208</v>
      </c>
      <c r="F11" s="3" t="s">
        <v>209</v>
      </c>
      <c r="G11" s="3" t="s">
        <v>210</v>
      </c>
      <c r="H11" s="3" t="s">
        <v>211</v>
      </c>
      <c r="I11" s="3" t="s">
        <v>212</v>
      </c>
    </row>
    <row r="12" customFormat="false" ht="39.75" hidden="false" customHeight="true" outlineLevel="0" collapsed="false">
      <c r="A12" s="4" t="s">
        <v>213</v>
      </c>
      <c r="B12" s="4" t="s">
        <v>164</v>
      </c>
      <c r="C12" s="4" t="s">
        <v>214</v>
      </c>
      <c r="D12" s="4" t="s">
        <v>215</v>
      </c>
      <c r="E12" s="7" t="s">
        <v>216</v>
      </c>
      <c r="F12" s="4" t="s">
        <v>217</v>
      </c>
      <c r="G12" s="4" t="s">
        <v>210</v>
      </c>
      <c r="H12" s="4" t="s">
        <v>218</v>
      </c>
      <c r="I12" s="4" t="s">
        <v>219</v>
      </c>
    </row>
    <row r="13" customFormat="false" ht="39.75" hidden="false" customHeight="true" outlineLevel="0" collapsed="false">
      <c r="A13" s="3" t="s">
        <v>220</v>
      </c>
      <c r="B13" s="3" t="s">
        <v>164</v>
      </c>
      <c r="C13" s="3" t="s">
        <v>221</v>
      </c>
      <c r="D13" s="3" t="s">
        <v>222</v>
      </c>
      <c r="E13" s="6" t="s">
        <v>223</v>
      </c>
      <c r="F13" s="3" t="s">
        <v>224</v>
      </c>
      <c r="G13" s="3" t="s">
        <v>210</v>
      </c>
      <c r="H13" s="3" t="s">
        <v>218</v>
      </c>
      <c r="I13" s="3" t="s">
        <v>219</v>
      </c>
    </row>
    <row r="14" customFormat="false" ht="39.75" hidden="false" customHeight="true" outlineLevel="0" collapsed="false">
      <c r="A14" s="4" t="s">
        <v>225</v>
      </c>
      <c r="B14" s="4" t="s">
        <v>164</v>
      </c>
      <c r="C14" s="4" t="s">
        <v>226</v>
      </c>
      <c r="D14" s="4" t="s">
        <v>227</v>
      </c>
      <c r="E14" s="7" t="s">
        <v>228</v>
      </c>
      <c r="F14" s="4" t="s">
        <v>229</v>
      </c>
      <c r="G14" s="4" t="s">
        <v>210</v>
      </c>
      <c r="H14" s="4" t="s">
        <v>230</v>
      </c>
      <c r="I14" s="4" t="s">
        <v>231</v>
      </c>
    </row>
    <row r="15" customFormat="false" ht="39.75" hidden="false" customHeight="true" outlineLevel="0" collapsed="false">
      <c r="A15" s="3" t="s">
        <v>232</v>
      </c>
      <c r="B15" s="3" t="s">
        <v>164</v>
      </c>
      <c r="C15" s="3" t="s">
        <v>233</v>
      </c>
      <c r="D15" s="3" t="s">
        <v>234</v>
      </c>
      <c r="E15" s="6" t="s">
        <v>235</v>
      </c>
      <c r="F15" s="3" t="s">
        <v>236</v>
      </c>
      <c r="G15" s="3" t="s">
        <v>210</v>
      </c>
      <c r="H15" s="3" t="s">
        <v>218</v>
      </c>
      <c r="I15" s="3" t="s">
        <v>237</v>
      </c>
    </row>
    <row r="16" customFormat="false" ht="39.75" hidden="false" customHeight="true" outlineLevel="0" collapsed="false">
      <c r="A16" s="4" t="s">
        <v>238</v>
      </c>
      <c r="B16" s="4" t="s">
        <v>239</v>
      </c>
      <c r="C16" s="4" t="s">
        <v>240</v>
      </c>
      <c r="D16" s="4" t="s">
        <v>241</v>
      </c>
      <c r="E16" s="7" t="s">
        <v>242</v>
      </c>
      <c r="F16" s="4" t="s">
        <v>163</v>
      </c>
      <c r="G16" s="4" t="s">
        <v>210</v>
      </c>
      <c r="H16" s="4" t="s">
        <v>170</v>
      </c>
      <c r="I16" s="4" t="s">
        <v>243</v>
      </c>
    </row>
    <row r="17" customFormat="false" ht="39.75" hidden="false" customHeight="true" outlineLevel="0" collapsed="false">
      <c r="A17" s="3" t="s">
        <v>244</v>
      </c>
      <c r="B17" s="3" t="s">
        <v>239</v>
      </c>
      <c r="C17" s="3" t="s">
        <v>245</v>
      </c>
      <c r="D17" s="3" t="s">
        <v>246</v>
      </c>
      <c r="E17" s="6" t="s">
        <v>247</v>
      </c>
      <c r="F17" s="3" t="s">
        <v>172</v>
      </c>
      <c r="G17" s="3" t="s">
        <v>210</v>
      </c>
      <c r="H17" s="3" t="s">
        <v>170</v>
      </c>
      <c r="I17" s="3" t="s">
        <v>243</v>
      </c>
    </row>
    <row r="18" customFormat="false" ht="39.75" hidden="false" customHeight="true" outlineLevel="0" collapsed="false">
      <c r="A18" s="4" t="s">
        <v>248</v>
      </c>
      <c r="B18" s="4" t="s">
        <v>239</v>
      </c>
      <c r="C18" s="4" t="s">
        <v>249</v>
      </c>
      <c r="D18" s="4" t="s">
        <v>250</v>
      </c>
      <c r="E18" s="7" t="s">
        <v>251</v>
      </c>
      <c r="F18" s="4" t="s">
        <v>252</v>
      </c>
      <c r="G18" s="4" t="s">
        <v>210</v>
      </c>
      <c r="H18" s="4" t="s">
        <v>170</v>
      </c>
      <c r="I18" s="4" t="s">
        <v>243</v>
      </c>
    </row>
    <row r="19" customFormat="false" ht="39.75" hidden="false" customHeight="true" outlineLevel="0" collapsed="false">
      <c r="A19" s="3" t="s">
        <v>253</v>
      </c>
      <c r="B19" s="3" t="s">
        <v>239</v>
      </c>
      <c r="C19" s="3" t="s">
        <v>254</v>
      </c>
      <c r="D19" s="3" t="s">
        <v>255</v>
      </c>
      <c r="E19" s="6" t="s">
        <v>256</v>
      </c>
      <c r="F19" s="3" t="s">
        <v>257</v>
      </c>
      <c r="G19" s="3" t="s">
        <v>210</v>
      </c>
      <c r="H19" s="3" t="s">
        <v>258</v>
      </c>
      <c r="I19" s="3" t="s">
        <v>259</v>
      </c>
    </row>
    <row r="20" customFormat="false" ht="39.75" hidden="false" customHeight="true" outlineLevel="0" collapsed="false">
      <c r="A20" s="4" t="s">
        <v>260</v>
      </c>
      <c r="B20" s="4" t="s">
        <v>261</v>
      </c>
      <c r="C20" s="4" t="s">
        <v>262</v>
      </c>
      <c r="D20" s="4" t="s">
        <v>263</v>
      </c>
      <c r="E20" s="7" t="s">
        <v>264</v>
      </c>
      <c r="F20" s="4" t="s">
        <v>265</v>
      </c>
      <c r="G20" s="4" t="s">
        <v>266</v>
      </c>
      <c r="H20" s="4" t="s">
        <v>170</v>
      </c>
      <c r="I20" s="4" t="s">
        <v>243</v>
      </c>
    </row>
    <row r="21" customFormat="false" ht="39.75" hidden="false" customHeight="true" outlineLevel="0" collapsed="false">
      <c r="A21" s="3" t="s">
        <v>267</v>
      </c>
      <c r="B21" s="3" t="s">
        <v>261</v>
      </c>
      <c r="C21" s="3" t="s">
        <v>268</v>
      </c>
      <c r="D21" s="3" t="s">
        <v>269</v>
      </c>
      <c r="E21" s="6" t="s">
        <v>270</v>
      </c>
      <c r="F21" s="3" t="s">
        <v>271</v>
      </c>
      <c r="G21" s="3" t="s">
        <v>210</v>
      </c>
      <c r="H21" s="3" t="s">
        <v>272</v>
      </c>
      <c r="I21" s="3" t="s">
        <v>273</v>
      </c>
    </row>
    <row r="22" customFormat="false" ht="39.75" hidden="false" customHeight="true" outlineLevel="0" collapsed="false">
      <c r="A22" s="4" t="s">
        <v>274</v>
      </c>
      <c r="B22" s="4" t="s">
        <v>261</v>
      </c>
      <c r="C22" s="4" t="s">
        <v>275</v>
      </c>
      <c r="D22" s="4" t="s">
        <v>276</v>
      </c>
      <c r="E22" s="7" t="s">
        <v>277</v>
      </c>
      <c r="F22" s="4" t="s">
        <v>278</v>
      </c>
      <c r="G22" s="4" t="s">
        <v>210</v>
      </c>
      <c r="H22" s="4" t="s">
        <v>279</v>
      </c>
      <c r="I22" s="4" t="s">
        <v>280</v>
      </c>
    </row>
    <row r="23" customFormat="false" ht="39.75" hidden="false" customHeight="true" outlineLevel="0" collapsed="false">
      <c r="A23" s="3" t="s">
        <v>281</v>
      </c>
      <c r="B23" s="3" t="s">
        <v>261</v>
      </c>
      <c r="C23" s="3" t="s">
        <v>282</v>
      </c>
      <c r="D23" s="3" t="s">
        <v>283</v>
      </c>
      <c r="E23" s="6" t="s">
        <v>284</v>
      </c>
      <c r="F23" s="3" t="s">
        <v>285</v>
      </c>
      <c r="G23" s="3" t="s">
        <v>266</v>
      </c>
      <c r="H23" s="3" t="s">
        <v>279</v>
      </c>
      <c r="I23" s="3" t="s">
        <v>286</v>
      </c>
    </row>
    <row r="24" customFormat="false" ht="39.75" hidden="false" customHeight="true" outlineLevel="0" collapsed="false">
      <c r="A24" s="4" t="s">
        <v>287</v>
      </c>
      <c r="B24" s="4" t="s">
        <v>261</v>
      </c>
      <c r="C24" s="4" t="s">
        <v>288</v>
      </c>
      <c r="D24" s="4" t="s">
        <v>289</v>
      </c>
      <c r="E24" s="7" t="s">
        <v>290</v>
      </c>
      <c r="F24" s="4" t="s">
        <v>281</v>
      </c>
      <c r="G24" s="4" t="s">
        <v>266</v>
      </c>
      <c r="H24" s="4" t="s">
        <v>170</v>
      </c>
      <c r="I24" s="4" t="s">
        <v>291</v>
      </c>
    </row>
    <row r="25" customFormat="false" ht="39.75" hidden="false" customHeight="true" outlineLevel="0" collapsed="false">
      <c r="A25" s="3" t="s">
        <v>292</v>
      </c>
      <c r="B25" s="3" t="s">
        <v>261</v>
      </c>
      <c r="C25" s="3" t="s">
        <v>293</v>
      </c>
      <c r="D25" s="3" t="s">
        <v>294</v>
      </c>
      <c r="E25" s="6" t="s">
        <v>295</v>
      </c>
      <c r="F25" s="3" t="s">
        <v>287</v>
      </c>
      <c r="G25" s="3" t="s">
        <v>210</v>
      </c>
      <c r="H25" s="3" t="s">
        <v>272</v>
      </c>
      <c r="I25" s="3" t="s">
        <v>296</v>
      </c>
    </row>
    <row r="26" customFormat="false" ht="54" hidden="false" customHeight="true" outlineLevel="0" collapsed="false">
      <c r="A26" s="4" t="s">
        <v>297</v>
      </c>
      <c r="B26" s="4" t="s">
        <v>261</v>
      </c>
      <c r="C26" s="4" t="s">
        <v>298</v>
      </c>
      <c r="D26" s="4" t="s">
        <v>299</v>
      </c>
      <c r="E26" s="7" t="s">
        <v>300</v>
      </c>
      <c r="F26" s="4" t="s">
        <v>301</v>
      </c>
      <c r="G26" s="4" t="s">
        <v>302</v>
      </c>
      <c r="H26" s="4" t="s">
        <v>218</v>
      </c>
      <c r="I26" s="4" t="s">
        <v>303</v>
      </c>
    </row>
    <row r="27" customFormat="false" ht="39.75" hidden="false" customHeight="true" outlineLevel="0" collapsed="false">
      <c r="A27" s="3" t="s">
        <v>304</v>
      </c>
      <c r="B27" s="3" t="s">
        <v>261</v>
      </c>
      <c r="C27" s="3" t="s">
        <v>305</v>
      </c>
      <c r="D27" s="3" t="s">
        <v>306</v>
      </c>
      <c r="E27" s="6" t="s">
        <v>307</v>
      </c>
      <c r="F27" s="3" t="s">
        <v>308</v>
      </c>
      <c r="G27" s="3" t="s">
        <v>309</v>
      </c>
      <c r="H27" s="3" t="s">
        <v>279</v>
      </c>
      <c r="I27" s="3" t="s">
        <v>310</v>
      </c>
    </row>
    <row r="28" customFormat="false" ht="54" hidden="false" customHeight="true" outlineLevel="0" collapsed="false">
      <c r="A28" s="4" t="s">
        <v>311</v>
      </c>
      <c r="B28" s="4" t="s">
        <v>261</v>
      </c>
      <c r="C28" s="4" t="s">
        <v>312</v>
      </c>
      <c r="D28" s="4" t="s">
        <v>313</v>
      </c>
      <c r="E28" s="7" t="s">
        <v>314</v>
      </c>
      <c r="F28" s="4" t="s">
        <v>315</v>
      </c>
      <c r="G28" s="4" t="s">
        <v>210</v>
      </c>
      <c r="H28" s="4" t="s">
        <v>316</v>
      </c>
      <c r="I28" s="4" t="s">
        <v>317</v>
      </c>
    </row>
    <row r="29" customFormat="false" ht="39.75" hidden="false" customHeight="true" outlineLevel="0" collapsed="false">
      <c r="A29" s="3" t="s">
        <v>318</v>
      </c>
      <c r="B29" s="3" t="s">
        <v>319</v>
      </c>
      <c r="C29" s="3" t="s">
        <v>320</v>
      </c>
      <c r="D29" s="3" t="s">
        <v>321</v>
      </c>
      <c r="E29" s="6" t="s">
        <v>322</v>
      </c>
      <c r="F29" s="3" t="s">
        <v>323</v>
      </c>
      <c r="G29" s="3" t="s">
        <v>190</v>
      </c>
      <c r="H29" s="3" t="s">
        <v>170</v>
      </c>
      <c r="I29" s="3" t="s">
        <v>243</v>
      </c>
    </row>
    <row r="30" customFormat="false" ht="39.75" hidden="false" customHeight="true" outlineLevel="0" collapsed="false">
      <c r="A30" s="4" t="s">
        <v>324</v>
      </c>
      <c r="B30" s="4" t="s">
        <v>319</v>
      </c>
      <c r="C30" s="4" t="s">
        <v>325</v>
      </c>
      <c r="D30" s="4" t="s">
        <v>326</v>
      </c>
      <c r="E30" s="7" t="s">
        <v>327</v>
      </c>
      <c r="F30" s="4" t="s">
        <v>328</v>
      </c>
      <c r="G30" s="4" t="s">
        <v>210</v>
      </c>
      <c r="H30" s="4" t="s">
        <v>279</v>
      </c>
      <c r="I30" s="4" t="s">
        <v>329</v>
      </c>
    </row>
    <row r="31" customFormat="false" ht="39.75" hidden="false" customHeight="true" outlineLevel="0" collapsed="false">
      <c r="A31" s="3" t="s">
        <v>330</v>
      </c>
      <c r="B31" s="3" t="s">
        <v>319</v>
      </c>
      <c r="C31" s="3" t="s">
        <v>331</v>
      </c>
      <c r="D31" s="3" t="s">
        <v>332</v>
      </c>
      <c r="E31" s="6" t="s">
        <v>333</v>
      </c>
      <c r="F31" s="3" t="s">
        <v>318</v>
      </c>
      <c r="G31" s="3" t="s">
        <v>210</v>
      </c>
      <c r="H31" s="3" t="s">
        <v>170</v>
      </c>
      <c r="I31" s="3" t="s">
        <v>243</v>
      </c>
    </row>
    <row r="32" customFormat="false" ht="39.75" hidden="false" customHeight="true" outlineLevel="0" collapsed="false">
      <c r="A32" s="4" t="s">
        <v>334</v>
      </c>
      <c r="B32" s="4" t="s">
        <v>319</v>
      </c>
      <c r="C32" s="4" t="s">
        <v>335</v>
      </c>
      <c r="D32" s="4" t="s">
        <v>336</v>
      </c>
      <c r="E32" s="7" t="s">
        <v>337</v>
      </c>
      <c r="F32" s="4" t="s">
        <v>338</v>
      </c>
      <c r="G32" s="4" t="s">
        <v>210</v>
      </c>
      <c r="H32" s="4" t="s">
        <v>339</v>
      </c>
      <c r="I32" s="4" t="s">
        <v>243</v>
      </c>
    </row>
    <row r="33" customFormat="false" ht="39.75" hidden="false" customHeight="true" outlineLevel="0" collapsed="false">
      <c r="A33" s="3" t="s">
        <v>340</v>
      </c>
      <c r="B33" s="3" t="s">
        <v>319</v>
      </c>
      <c r="C33" s="3" t="s">
        <v>341</v>
      </c>
      <c r="D33" s="3" t="s">
        <v>342</v>
      </c>
      <c r="E33" s="6" t="s">
        <v>343</v>
      </c>
      <c r="F33" s="3" t="s">
        <v>344</v>
      </c>
      <c r="G33" s="3" t="s">
        <v>210</v>
      </c>
      <c r="H33" s="3" t="s">
        <v>345</v>
      </c>
      <c r="I33" s="3" t="s">
        <v>243</v>
      </c>
    </row>
    <row r="34" customFormat="false" ht="39.75" hidden="false" customHeight="true" outlineLevel="0" collapsed="false">
      <c r="A34" s="4" t="s">
        <v>346</v>
      </c>
      <c r="B34" s="4" t="s">
        <v>347</v>
      </c>
      <c r="C34" s="4" t="s">
        <v>348</v>
      </c>
      <c r="D34" s="4" t="s">
        <v>349</v>
      </c>
      <c r="E34" s="7" t="s">
        <v>350</v>
      </c>
      <c r="F34" s="4" t="s">
        <v>351</v>
      </c>
      <c r="G34" s="4" t="s">
        <v>266</v>
      </c>
      <c r="H34" s="4" t="s">
        <v>170</v>
      </c>
      <c r="I34" s="4" t="s">
        <v>243</v>
      </c>
    </row>
    <row r="35" customFormat="false" ht="54" hidden="false" customHeight="true" outlineLevel="0" collapsed="false">
      <c r="A35" s="3" t="s">
        <v>352</v>
      </c>
      <c r="B35" s="3" t="s">
        <v>347</v>
      </c>
      <c r="C35" s="3" t="s">
        <v>353</v>
      </c>
      <c r="D35" s="3" t="s">
        <v>354</v>
      </c>
      <c r="E35" s="6" t="s">
        <v>355</v>
      </c>
      <c r="F35" s="3" t="s">
        <v>356</v>
      </c>
      <c r="G35" s="3" t="s">
        <v>210</v>
      </c>
      <c r="H35" s="3" t="s">
        <v>279</v>
      </c>
      <c r="I35" s="3" t="s">
        <v>243</v>
      </c>
    </row>
    <row r="36" customFormat="false" ht="39.75" hidden="false" customHeight="true" outlineLevel="0" collapsed="false">
      <c r="A36" s="4" t="s">
        <v>357</v>
      </c>
      <c r="B36" s="4" t="s">
        <v>347</v>
      </c>
      <c r="C36" s="4" t="s">
        <v>358</v>
      </c>
      <c r="D36" s="4" t="s">
        <v>359</v>
      </c>
      <c r="E36" s="7" t="s">
        <v>360</v>
      </c>
      <c r="F36" s="4" t="s">
        <v>351</v>
      </c>
      <c r="G36" s="4" t="s">
        <v>361</v>
      </c>
      <c r="H36" s="4" t="s">
        <v>279</v>
      </c>
      <c r="I36" s="4" t="s">
        <v>243</v>
      </c>
    </row>
    <row r="37" customFormat="false" ht="54" hidden="false" customHeight="true" outlineLevel="0" collapsed="false">
      <c r="A37" s="3" t="s">
        <v>362</v>
      </c>
      <c r="B37" s="3" t="s">
        <v>347</v>
      </c>
      <c r="C37" s="3" t="s">
        <v>363</v>
      </c>
      <c r="D37" s="3" t="s">
        <v>364</v>
      </c>
      <c r="E37" s="6" t="s">
        <v>365</v>
      </c>
      <c r="F37" s="3" t="s">
        <v>366</v>
      </c>
      <c r="G37" s="3" t="s">
        <v>210</v>
      </c>
      <c r="H37" s="3" t="s">
        <v>339</v>
      </c>
      <c r="I37" s="3" t="s">
        <v>367</v>
      </c>
    </row>
    <row r="38" customFormat="false" ht="54" hidden="false" customHeight="true" outlineLevel="0" collapsed="false">
      <c r="A38" s="4" t="s">
        <v>368</v>
      </c>
      <c r="B38" s="4" t="s">
        <v>347</v>
      </c>
      <c r="C38" s="4" t="s">
        <v>369</v>
      </c>
      <c r="D38" s="4" t="s">
        <v>370</v>
      </c>
      <c r="E38" s="7" t="s">
        <v>371</v>
      </c>
      <c r="F38" s="4" t="s">
        <v>372</v>
      </c>
      <c r="G38" s="4" t="s">
        <v>373</v>
      </c>
      <c r="H38" s="4" t="s">
        <v>374</v>
      </c>
      <c r="I38" s="4" t="s">
        <v>375</v>
      </c>
    </row>
    <row r="39" customFormat="false" ht="54" hidden="false" customHeight="true" outlineLevel="0" collapsed="false">
      <c r="A39" s="3" t="s">
        <v>376</v>
      </c>
      <c r="B39" s="3" t="s">
        <v>377</v>
      </c>
      <c r="C39" s="3" t="s">
        <v>378</v>
      </c>
      <c r="D39" s="3" t="s">
        <v>379</v>
      </c>
      <c r="E39" s="6" t="s">
        <v>380</v>
      </c>
      <c r="F39" s="3" t="s">
        <v>381</v>
      </c>
      <c r="G39" s="3" t="s">
        <v>210</v>
      </c>
      <c r="H39" s="3" t="s">
        <v>382</v>
      </c>
      <c r="I39" s="3" t="s">
        <v>383</v>
      </c>
    </row>
    <row r="40" customFormat="false" ht="54" hidden="false" customHeight="true" outlineLevel="0" collapsed="false">
      <c r="A40" s="4" t="s">
        <v>384</v>
      </c>
      <c r="B40" s="4" t="s">
        <v>377</v>
      </c>
      <c r="C40" s="4" t="s">
        <v>385</v>
      </c>
      <c r="D40" s="4" t="s">
        <v>386</v>
      </c>
      <c r="E40" s="7" t="s">
        <v>387</v>
      </c>
      <c r="F40" s="4" t="s">
        <v>388</v>
      </c>
      <c r="G40" s="4" t="s">
        <v>361</v>
      </c>
      <c r="H40" s="4" t="s">
        <v>272</v>
      </c>
      <c r="I40" s="4" t="s">
        <v>389</v>
      </c>
    </row>
    <row r="41" customFormat="false" ht="39.75" hidden="false" customHeight="true" outlineLevel="0" collapsed="false">
      <c r="A41" s="3" t="s">
        <v>390</v>
      </c>
      <c r="B41" s="3" t="s">
        <v>377</v>
      </c>
      <c r="C41" s="3" t="s">
        <v>391</v>
      </c>
      <c r="D41" s="3" t="s">
        <v>392</v>
      </c>
      <c r="E41" s="6" t="s">
        <v>393</v>
      </c>
      <c r="F41" s="3" t="s">
        <v>394</v>
      </c>
      <c r="G41" s="3" t="s">
        <v>210</v>
      </c>
      <c r="H41" s="3" t="s">
        <v>395</v>
      </c>
      <c r="I41" s="3" t="s">
        <v>396</v>
      </c>
    </row>
    <row r="42" customFormat="false" ht="39.75" hidden="false" customHeight="true" outlineLevel="0" collapsed="false">
      <c r="A42" s="4" t="s">
        <v>397</v>
      </c>
      <c r="B42" s="4" t="s">
        <v>377</v>
      </c>
      <c r="C42" s="4" t="s">
        <v>398</v>
      </c>
      <c r="D42" s="4" t="s">
        <v>399</v>
      </c>
      <c r="E42" s="7" t="s">
        <v>400</v>
      </c>
      <c r="F42" s="4" t="s">
        <v>323</v>
      </c>
      <c r="G42" s="4" t="s">
        <v>210</v>
      </c>
      <c r="H42" s="4" t="s">
        <v>401</v>
      </c>
      <c r="I42" s="4" t="s">
        <v>402</v>
      </c>
    </row>
    <row r="43" customFormat="false" ht="39.75" hidden="false" customHeight="true" outlineLevel="0" collapsed="false">
      <c r="A43" s="3" t="s">
        <v>403</v>
      </c>
      <c r="B43" s="3" t="s">
        <v>404</v>
      </c>
      <c r="C43" s="3" t="s">
        <v>405</v>
      </c>
      <c r="D43" s="3" t="s">
        <v>406</v>
      </c>
      <c r="E43" s="6" t="s">
        <v>407</v>
      </c>
      <c r="F43" s="3" t="s">
        <v>408</v>
      </c>
      <c r="G43" s="3" t="s">
        <v>210</v>
      </c>
      <c r="H43" s="3" t="s">
        <v>409</v>
      </c>
      <c r="I43" s="3" t="s">
        <v>410</v>
      </c>
    </row>
    <row r="44" customFormat="false" ht="54" hidden="false" customHeight="true" outlineLevel="0" collapsed="false">
      <c r="A44" s="4" t="s">
        <v>411</v>
      </c>
      <c r="B44" s="4" t="s">
        <v>261</v>
      </c>
      <c r="C44" s="4" t="s">
        <v>412</v>
      </c>
      <c r="D44" s="4" t="s">
        <v>413</v>
      </c>
      <c r="E44" s="7" t="s">
        <v>414</v>
      </c>
      <c r="F44" s="4" t="s">
        <v>415</v>
      </c>
      <c r="G44" s="4" t="s">
        <v>416</v>
      </c>
      <c r="H44" s="4" t="s">
        <v>417</v>
      </c>
      <c r="I44" s="4" t="s">
        <v>418</v>
      </c>
    </row>
    <row r="45" customFormat="false" ht="51.75" hidden="false" customHeight="true" outlineLevel="0" collapsed="false">
      <c r="A45" s="3" t="s">
        <v>419</v>
      </c>
      <c r="B45" s="3" t="s">
        <v>347</v>
      </c>
      <c r="C45" s="3" t="s">
        <v>420</v>
      </c>
      <c r="D45" s="3" t="s">
        <v>421</v>
      </c>
      <c r="E45" s="6" t="s">
        <v>422</v>
      </c>
      <c r="F45" s="3" t="s">
        <v>423</v>
      </c>
      <c r="G45" s="3" t="s">
        <v>424</v>
      </c>
      <c r="H45" s="3" t="s">
        <v>425</v>
      </c>
      <c r="I45" s="3" t="s">
        <v>426</v>
      </c>
    </row>
    <row r="46" customFormat="false" ht="39.75" hidden="false" customHeight="true" outlineLevel="0" collapsed="false">
      <c r="A46" s="4" t="s">
        <v>427</v>
      </c>
      <c r="B46" s="4" t="s">
        <v>428</v>
      </c>
      <c r="C46" s="4" t="s">
        <v>429</v>
      </c>
      <c r="D46" s="4" t="s">
        <v>430</v>
      </c>
      <c r="E46" s="7" t="s">
        <v>431</v>
      </c>
      <c r="F46" s="4" t="s">
        <v>432</v>
      </c>
      <c r="G46" s="4" t="s">
        <v>433</v>
      </c>
      <c r="H46" s="4" t="s">
        <v>434</v>
      </c>
      <c r="I46" s="4" t="s">
        <v>435</v>
      </c>
    </row>
    <row r="47" customFormat="false" ht="66" hidden="false" customHeight="true" outlineLevel="0" collapsed="false">
      <c r="A47" s="3" t="s">
        <v>436</v>
      </c>
      <c r="B47" s="3" t="s">
        <v>428</v>
      </c>
      <c r="C47" s="3" t="s">
        <v>437</v>
      </c>
      <c r="D47" s="3" t="s">
        <v>438</v>
      </c>
      <c r="E47" s="6" t="s">
        <v>439</v>
      </c>
      <c r="F47" s="3" t="s">
        <v>440</v>
      </c>
      <c r="G47" s="3" t="s">
        <v>441</v>
      </c>
      <c r="H47" s="3" t="s">
        <v>442</v>
      </c>
      <c r="I47" s="3" t="s">
        <v>435</v>
      </c>
    </row>
    <row r="48" customFormat="false" ht="54" hidden="false" customHeight="true" outlineLevel="0" collapsed="false">
      <c r="A48" s="4" t="s">
        <v>443</v>
      </c>
      <c r="B48" s="4" t="s">
        <v>428</v>
      </c>
      <c r="C48" s="4" t="s">
        <v>444</v>
      </c>
      <c r="D48" s="4" t="s">
        <v>445</v>
      </c>
      <c r="E48" s="7" t="s">
        <v>446</v>
      </c>
      <c r="F48" s="4" t="s">
        <v>447</v>
      </c>
      <c r="G48" s="4" t="s">
        <v>448</v>
      </c>
      <c r="H48" s="4" t="s">
        <v>449</v>
      </c>
      <c r="I48" s="4" t="s">
        <v>435</v>
      </c>
    </row>
    <row r="49" customFormat="false" ht="39.75" hidden="false" customHeight="true" outlineLevel="0" collapsed="false">
      <c r="A49" s="3" t="s">
        <v>450</v>
      </c>
      <c r="B49" s="3" t="s">
        <v>428</v>
      </c>
      <c r="C49" s="3" t="s">
        <v>451</v>
      </c>
      <c r="D49" s="3" t="s">
        <v>452</v>
      </c>
      <c r="E49" s="6" t="s">
        <v>453</v>
      </c>
      <c r="F49" s="3" t="s">
        <v>454</v>
      </c>
      <c r="G49" s="3" t="s">
        <v>455</v>
      </c>
      <c r="H49" s="3" t="s">
        <v>456</v>
      </c>
      <c r="I49" s="3" t="s">
        <v>435</v>
      </c>
    </row>
    <row r="50" customFormat="false" ht="39.75" hidden="false" customHeight="true" outlineLevel="0" collapsed="false">
      <c r="A50" s="4" t="s">
        <v>457</v>
      </c>
      <c r="B50" s="4" t="s">
        <v>428</v>
      </c>
      <c r="C50" s="4" t="s">
        <v>458</v>
      </c>
      <c r="D50" s="4" t="s">
        <v>459</v>
      </c>
      <c r="E50" s="7" t="s">
        <v>460</v>
      </c>
      <c r="F50" s="4" t="s">
        <v>461</v>
      </c>
      <c r="G50" s="4" t="s">
        <v>462</v>
      </c>
      <c r="H50" s="4" t="s">
        <v>456</v>
      </c>
      <c r="I50" s="4" t="s">
        <v>435</v>
      </c>
    </row>
    <row r="51" customFormat="false" ht="66" hidden="false" customHeight="true" outlineLevel="0" collapsed="false">
      <c r="A51" s="3" t="s">
        <v>463</v>
      </c>
      <c r="B51" s="3" t="s">
        <v>428</v>
      </c>
      <c r="C51" s="3" t="s">
        <v>464</v>
      </c>
      <c r="D51" s="3" t="s">
        <v>465</v>
      </c>
      <c r="E51" s="6" t="s">
        <v>466</v>
      </c>
      <c r="F51" s="3" t="s">
        <v>467</v>
      </c>
      <c r="G51" s="3" t="s">
        <v>468</v>
      </c>
      <c r="H51" s="3" t="s">
        <v>469</v>
      </c>
      <c r="I51" s="3" t="s">
        <v>435</v>
      </c>
    </row>
    <row r="52" customFormat="false" ht="39.75" hidden="false" customHeight="true" outlineLevel="0" collapsed="false">
      <c r="A52" s="4" t="s">
        <v>470</v>
      </c>
      <c r="B52" s="4" t="s">
        <v>428</v>
      </c>
      <c r="C52" s="4" t="s">
        <v>471</v>
      </c>
      <c r="D52" s="4" t="s">
        <v>472</v>
      </c>
      <c r="E52" s="7" t="s">
        <v>473</v>
      </c>
      <c r="F52" s="4" t="s">
        <v>474</v>
      </c>
      <c r="G52" s="4" t="s">
        <v>475</v>
      </c>
      <c r="H52" s="4" t="s">
        <v>476</v>
      </c>
      <c r="I52" s="4" t="s">
        <v>435</v>
      </c>
    </row>
    <row r="53" customFormat="false" ht="25.5" hidden="false" customHeight="true" outlineLevel="0" collapsed="false">
      <c r="A53" s="3" t="s">
        <v>477</v>
      </c>
      <c r="B53" s="3" t="s">
        <v>428</v>
      </c>
      <c r="C53" s="3" t="s">
        <v>478</v>
      </c>
      <c r="D53" s="3" t="s">
        <v>479</v>
      </c>
      <c r="E53" s="6" t="s">
        <v>480</v>
      </c>
      <c r="F53" s="3" t="s">
        <v>481</v>
      </c>
      <c r="G53" s="3" t="s">
        <v>482</v>
      </c>
      <c r="H53" s="3" t="s">
        <v>170</v>
      </c>
      <c r="I53" s="3" t="s">
        <v>435</v>
      </c>
    </row>
    <row r="54" customFormat="false" ht="25.5" hidden="false" customHeight="true" outlineLevel="0" collapsed="false">
      <c r="A54" s="4" t="s">
        <v>483</v>
      </c>
      <c r="B54" s="4" t="s">
        <v>428</v>
      </c>
      <c r="C54" s="4" t="s">
        <v>484</v>
      </c>
      <c r="D54" s="4" t="s">
        <v>485</v>
      </c>
      <c r="E54" s="7" t="s">
        <v>486</v>
      </c>
      <c r="F54" s="4" t="s">
        <v>487</v>
      </c>
      <c r="G54" s="4" t="s">
        <v>488</v>
      </c>
      <c r="H54" s="4" t="s">
        <v>170</v>
      </c>
      <c r="I54" s="4" t="s">
        <v>435</v>
      </c>
    </row>
    <row r="55" customFormat="false" ht="51.75" hidden="false" customHeight="true" outlineLevel="0" collapsed="false">
      <c r="A55" s="3" t="s">
        <v>489</v>
      </c>
      <c r="B55" s="3" t="s">
        <v>428</v>
      </c>
      <c r="C55" s="3" t="s">
        <v>490</v>
      </c>
      <c r="D55" s="3" t="s">
        <v>491</v>
      </c>
      <c r="E55" s="6" t="s">
        <v>492</v>
      </c>
      <c r="F55" s="3" t="s">
        <v>493</v>
      </c>
      <c r="G55" s="3" t="s">
        <v>494</v>
      </c>
      <c r="H55" s="3" t="s">
        <v>469</v>
      </c>
      <c r="I55" s="3" t="s">
        <v>435</v>
      </c>
    </row>
    <row r="56" customFormat="false" ht="135.75" hidden="false" customHeight="true" outlineLevel="0" collapsed="false">
      <c r="A56" s="4" t="s">
        <v>495</v>
      </c>
      <c r="B56" s="4" t="s">
        <v>428</v>
      </c>
      <c r="C56" s="4" t="s">
        <v>145</v>
      </c>
      <c r="D56" s="4" t="s">
        <v>496</v>
      </c>
      <c r="E56" s="7" t="s">
        <v>497</v>
      </c>
      <c r="F56" s="4" t="s">
        <v>498</v>
      </c>
      <c r="G56" s="4" t="s">
        <v>499</v>
      </c>
      <c r="H56" s="4" t="s">
        <v>500</v>
      </c>
      <c r="I56" s="4" t="s">
        <v>435</v>
      </c>
    </row>
    <row r="57" customFormat="false" ht="39.75" hidden="false" customHeight="true" outlineLevel="0" collapsed="false">
      <c r="A57" s="3" t="s">
        <v>501</v>
      </c>
      <c r="B57" s="3" t="s">
        <v>428</v>
      </c>
      <c r="C57" s="3" t="s">
        <v>502</v>
      </c>
      <c r="D57" s="3" t="s">
        <v>503</v>
      </c>
      <c r="E57" s="6" t="s">
        <v>504</v>
      </c>
      <c r="F57" s="3" t="s">
        <v>505</v>
      </c>
      <c r="G57" s="3" t="s">
        <v>506</v>
      </c>
      <c r="H57" s="3" t="s">
        <v>170</v>
      </c>
      <c r="I57" s="3" t="s">
        <v>435</v>
      </c>
    </row>
    <row r="58" customFormat="false" ht="39.75" hidden="false" customHeight="true" outlineLevel="0" collapsed="false">
      <c r="A58" s="4" t="s">
        <v>507</v>
      </c>
      <c r="B58" s="4" t="s">
        <v>508</v>
      </c>
      <c r="C58" s="4" t="s">
        <v>509</v>
      </c>
      <c r="D58" s="4" t="s">
        <v>510</v>
      </c>
      <c r="E58" s="7" t="s">
        <v>511</v>
      </c>
      <c r="F58" s="4" t="s">
        <v>512</v>
      </c>
      <c r="G58" s="4" t="s">
        <v>513</v>
      </c>
      <c r="H58" s="4" t="s">
        <v>258</v>
      </c>
      <c r="I58" s="4" t="s">
        <v>435</v>
      </c>
    </row>
    <row r="59" customFormat="false" ht="39.75" hidden="false" customHeight="true" outlineLevel="0" collapsed="false">
      <c r="A59" s="3" t="s">
        <v>514</v>
      </c>
      <c r="B59" s="3" t="s">
        <v>508</v>
      </c>
      <c r="C59" s="3" t="s">
        <v>515</v>
      </c>
      <c r="D59" s="3" t="s">
        <v>516</v>
      </c>
      <c r="E59" s="6" t="s">
        <v>517</v>
      </c>
      <c r="F59" s="3" t="s">
        <v>518</v>
      </c>
      <c r="G59" s="3" t="s">
        <v>519</v>
      </c>
      <c r="H59" s="3" t="s">
        <v>520</v>
      </c>
      <c r="I59" s="3" t="s">
        <v>435</v>
      </c>
    </row>
    <row r="60" customFormat="false" ht="54" hidden="false" customHeight="true" outlineLevel="0" collapsed="false">
      <c r="A60" s="4" t="s">
        <v>521</v>
      </c>
      <c r="B60" s="4" t="s">
        <v>508</v>
      </c>
      <c r="C60" s="4" t="s">
        <v>522</v>
      </c>
      <c r="D60" s="4" t="s">
        <v>523</v>
      </c>
      <c r="E60" s="7" t="s">
        <v>524</v>
      </c>
      <c r="F60" s="4" t="s">
        <v>525</v>
      </c>
      <c r="G60" s="4" t="s">
        <v>526</v>
      </c>
      <c r="H60" s="4" t="s">
        <v>409</v>
      </c>
      <c r="I60" s="4" t="s">
        <v>435</v>
      </c>
    </row>
    <row r="61" customFormat="false" ht="54" hidden="false" customHeight="true" outlineLevel="0" collapsed="false">
      <c r="A61" s="3" t="s">
        <v>527</v>
      </c>
      <c r="B61" s="3" t="s">
        <v>508</v>
      </c>
      <c r="C61" s="3" t="s">
        <v>528</v>
      </c>
      <c r="D61" s="3" t="s">
        <v>529</v>
      </c>
      <c r="E61" s="6" t="s">
        <v>530</v>
      </c>
      <c r="F61" s="3" t="s">
        <v>531</v>
      </c>
      <c r="G61" s="3" t="s">
        <v>532</v>
      </c>
      <c r="H61" s="3" t="s">
        <v>382</v>
      </c>
      <c r="I61" s="3" t="s">
        <v>435</v>
      </c>
    </row>
    <row r="62" customFormat="false" ht="13.5" hidden="false" customHeight="false" outlineLevel="0" collapsed="false">
      <c r="E62" s="8"/>
    </row>
    <row r="63" customFormat="false" ht="13.5" hidden="false" customHeight="false" outlineLevel="0" collapsed="false">
      <c r="E63" s="8"/>
    </row>
    <row r="64" customFormat="false" ht="13.5" hidden="false" customHeight="false" outlineLevel="0" collapsed="false">
      <c r="E64" s="8"/>
    </row>
    <row r="65" customFormat="false" ht="13.5" hidden="false" customHeight="false" outlineLevel="0" collapsed="false">
      <c r="E65" s="8"/>
    </row>
    <row r="66" customFormat="false" ht="13.5" hidden="false" customHeight="false" outlineLevel="0" collapsed="false">
      <c r="E66" s="8"/>
    </row>
    <row r="67" customFormat="false" ht="13.5" hidden="false" customHeight="false" outlineLevel="0" collapsed="false">
      <c r="E67" s="8"/>
    </row>
    <row r="68" customFormat="false" ht="13.5" hidden="false" customHeight="false" outlineLevel="0" collapsed="false">
      <c r="E68" s="8"/>
    </row>
    <row r="69" customFormat="false" ht="13.5" hidden="false" customHeight="false" outlineLevel="0" collapsed="false">
      <c r="E69" s="8"/>
    </row>
    <row r="70" customFormat="false" ht="13.5" hidden="false" customHeight="false" outlineLevel="0" collapsed="false">
      <c r="E70" s="8"/>
    </row>
    <row r="71" customFormat="false" ht="13.5" hidden="false" customHeight="false" outlineLevel="0" collapsed="false">
      <c r="E71" s="8"/>
    </row>
    <row r="72" customFormat="false" ht="13.5" hidden="false" customHeight="false" outlineLevel="0" collapsed="false">
      <c r="E72" s="8"/>
    </row>
    <row r="73" customFormat="false" ht="13.5" hidden="false" customHeight="false" outlineLevel="0" collapsed="false">
      <c r="E73" s="8"/>
    </row>
    <row r="74" customFormat="false" ht="13.5" hidden="false" customHeight="false" outlineLevel="0" collapsed="false">
      <c r="E74" s="8"/>
    </row>
    <row r="75" customFormat="false" ht="13.5" hidden="false" customHeight="false" outlineLevel="0" collapsed="false">
      <c r="E75" s="8"/>
    </row>
    <row r="76" customFormat="false" ht="13.5" hidden="false" customHeight="false" outlineLevel="0" collapsed="false">
      <c r="E76" s="8"/>
    </row>
    <row r="77" customFormat="false" ht="13.5" hidden="false" customHeight="false" outlineLevel="0" collapsed="false">
      <c r="E77" s="8"/>
    </row>
    <row r="78" customFormat="false" ht="13.5" hidden="false" customHeight="false" outlineLevel="0" collapsed="false">
      <c r="E78" s="8"/>
    </row>
    <row r="79" customFormat="false" ht="13.5" hidden="false" customHeight="false" outlineLevel="0" collapsed="false">
      <c r="E79" s="8"/>
    </row>
    <row r="80" customFormat="false" ht="13.5" hidden="false" customHeight="false" outlineLevel="0" collapsed="false">
      <c r="E80" s="8"/>
    </row>
    <row r="81" customFormat="false" ht="13.5" hidden="false" customHeight="false" outlineLevel="0" collapsed="false">
      <c r="E81" s="8"/>
    </row>
    <row r="82" customFormat="false" ht="13.5" hidden="false" customHeight="false" outlineLevel="0" collapsed="false">
      <c r="E82" s="8"/>
    </row>
    <row r="83" customFormat="false" ht="13.5" hidden="false" customHeight="false" outlineLevel="0" collapsed="false">
      <c r="E83" s="8"/>
    </row>
    <row r="84" customFormat="false" ht="13.5" hidden="false" customHeight="false" outlineLevel="0" collapsed="false">
      <c r="E84" s="8"/>
    </row>
    <row r="85" customFormat="false" ht="13.5" hidden="false" customHeight="false" outlineLevel="0" collapsed="false">
      <c r="E85" s="8"/>
    </row>
    <row r="86" customFormat="false" ht="13.5" hidden="false" customHeight="false" outlineLevel="0" collapsed="false">
      <c r="E86" s="8"/>
    </row>
    <row r="87" customFormat="false" ht="13.5" hidden="false" customHeight="false" outlineLevel="0" collapsed="false">
      <c r="E87" s="8"/>
    </row>
    <row r="88" customFormat="false" ht="13.5" hidden="false" customHeight="false" outlineLevel="0" collapsed="false">
      <c r="E88" s="8"/>
    </row>
    <row r="89" customFormat="false" ht="13.5" hidden="false" customHeight="false" outlineLevel="0" collapsed="false">
      <c r="E89" s="8"/>
    </row>
    <row r="90" customFormat="false" ht="13.5" hidden="false" customHeight="false" outlineLevel="0" collapsed="false">
      <c r="E90" s="8"/>
    </row>
    <row r="91" customFormat="false" ht="13.5" hidden="false" customHeight="false" outlineLevel="0" collapsed="false">
      <c r="E91" s="8"/>
    </row>
    <row r="92" customFormat="false" ht="13.5" hidden="false" customHeight="false" outlineLevel="0" collapsed="false">
      <c r="E92" s="8"/>
    </row>
    <row r="93" customFormat="false" ht="13.5" hidden="false" customHeight="false" outlineLevel="0" collapsed="false">
      <c r="E93" s="8"/>
    </row>
    <row r="94" customFormat="false" ht="13.5" hidden="false" customHeight="false" outlineLevel="0" collapsed="false">
      <c r="E94" s="8"/>
    </row>
    <row r="95" customFormat="false" ht="13.5" hidden="false" customHeight="false" outlineLevel="0" collapsed="false">
      <c r="E95" s="8"/>
    </row>
    <row r="96" customFormat="false" ht="13.5" hidden="false" customHeight="false" outlineLevel="0" collapsed="false">
      <c r="E96" s="8"/>
    </row>
    <row r="97" customFormat="false" ht="13.5" hidden="false" customHeight="false" outlineLevel="0" collapsed="false">
      <c r="E97" s="8"/>
    </row>
    <row r="98" customFormat="false" ht="13.5" hidden="false" customHeight="false" outlineLevel="0" collapsed="false">
      <c r="E98" s="8"/>
    </row>
    <row r="99" customFormat="false" ht="13.5" hidden="false" customHeight="false" outlineLevel="0" collapsed="false">
      <c r="E99" s="8"/>
    </row>
    <row r="100" customFormat="false" ht="13.5" hidden="false" customHeight="false" outlineLevel="0" collapsed="false">
      <c r="E100" s="8"/>
    </row>
    <row r="101" customFormat="false" ht="13.5" hidden="false" customHeight="false" outlineLevel="0" collapsed="false">
      <c r="E101" s="8"/>
    </row>
    <row r="102" customFormat="false" ht="13.5" hidden="false" customHeight="false" outlineLevel="0" collapsed="false">
      <c r="E102" s="8"/>
    </row>
    <row r="103" customFormat="false" ht="13.5" hidden="false" customHeight="false" outlineLevel="0" collapsed="false">
      <c r="E103" s="8"/>
    </row>
    <row r="104" customFormat="false" ht="13.5" hidden="false" customHeight="false" outlineLevel="0" collapsed="false">
      <c r="E104" s="8"/>
    </row>
    <row r="105" customFormat="false" ht="13.5" hidden="false" customHeight="false" outlineLevel="0" collapsed="false">
      <c r="E105" s="8"/>
    </row>
    <row r="106" customFormat="false" ht="13.5" hidden="false" customHeight="false" outlineLevel="0" collapsed="false">
      <c r="E106" s="8"/>
    </row>
    <row r="107" customFormat="false" ht="13.5" hidden="false" customHeight="false" outlineLevel="0" collapsed="false">
      <c r="E107" s="8"/>
    </row>
    <row r="108" customFormat="false" ht="13.5" hidden="false" customHeight="false" outlineLevel="0" collapsed="false">
      <c r="E108" s="8"/>
    </row>
    <row r="109" customFormat="false" ht="13.5" hidden="false" customHeight="false" outlineLevel="0" collapsed="false">
      <c r="E109" s="8"/>
    </row>
    <row r="110" customFormat="false" ht="13.5" hidden="false" customHeight="false" outlineLevel="0" collapsed="false">
      <c r="E110"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8.6796875" defaultRowHeight="13.5" zeroHeight="false" outlineLevelRow="0" outlineLevelCol="0"/>
  <cols>
    <col collapsed="false" customWidth="true" hidden="false" outlineLevel="0" max="1" min="1" style="0" width="14"/>
    <col collapsed="false" customWidth="true" hidden="false" outlineLevel="0" max="2" min="2" style="0" width="31"/>
    <col collapsed="false" customWidth="true" hidden="false" outlineLevel="0" max="3" min="3" style="0" width="34"/>
    <col collapsed="false" customWidth="true" hidden="false" outlineLevel="0" max="4" min="4" style="0" width="49"/>
    <col collapsed="false" customWidth="true" hidden="false" outlineLevel="0" max="5" min="5" style="0" width="70"/>
    <col collapsed="false" customWidth="true" hidden="false" outlineLevel="0" max="6" min="6" style="0" width="53"/>
    <col collapsed="false" customWidth="true" hidden="false" outlineLevel="0" max="7" min="7" style="0" width="65"/>
    <col collapsed="false" customWidth="true" hidden="false" outlineLevel="0" max="8" min="8" style="0" width="24"/>
    <col collapsed="false" customWidth="true" hidden="false" outlineLevel="0" max="9" min="9" style="0" width="68"/>
  </cols>
  <sheetData>
    <row r="2" customFormat="false" ht="17.25" hidden="false" customHeight="true" outlineLevel="0" collapsed="false">
      <c r="A2" s="1" t="s">
        <v>533</v>
      </c>
    </row>
    <row r="4" customFormat="false" ht="33.75" hidden="false" customHeight="true" outlineLevel="0" collapsed="false">
      <c r="A4" s="2" t="s">
        <v>154</v>
      </c>
      <c r="B4" s="2" t="s">
        <v>155</v>
      </c>
      <c r="C4" s="2" t="s">
        <v>156</v>
      </c>
      <c r="D4" s="2" t="s">
        <v>157</v>
      </c>
      <c r="E4" s="2" t="s">
        <v>158</v>
      </c>
      <c r="F4" s="2" t="s">
        <v>159</v>
      </c>
      <c r="G4" s="2" t="s">
        <v>160</v>
      </c>
      <c r="H4" s="2" t="s">
        <v>161</v>
      </c>
      <c r="I4" s="2" t="s">
        <v>162</v>
      </c>
    </row>
    <row r="5" customFormat="false" ht="54" hidden="false" customHeight="true" outlineLevel="0" collapsed="false">
      <c r="A5" s="3" t="s">
        <v>534</v>
      </c>
      <c r="B5" s="3" t="s">
        <v>535</v>
      </c>
      <c r="C5" s="3" t="s">
        <v>536</v>
      </c>
      <c r="D5" s="3" t="s">
        <v>537</v>
      </c>
      <c r="E5" s="6" t="s">
        <v>538</v>
      </c>
      <c r="F5" s="3" t="s">
        <v>539</v>
      </c>
      <c r="G5" s="3" t="s">
        <v>540</v>
      </c>
      <c r="H5" s="3" t="s">
        <v>541</v>
      </c>
      <c r="I5" s="3" t="s">
        <v>542</v>
      </c>
    </row>
    <row r="6" customFormat="false" ht="39.75" hidden="false" customHeight="true" outlineLevel="0" collapsed="false">
      <c r="A6" s="4" t="s">
        <v>543</v>
      </c>
      <c r="B6" s="4" t="s">
        <v>535</v>
      </c>
      <c r="C6" s="4" t="s">
        <v>544</v>
      </c>
      <c r="D6" s="4" t="s">
        <v>545</v>
      </c>
      <c r="E6" s="7" t="s">
        <v>546</v>
      </c>
      <c r="F6" s="4" t="s">
        <v>547</v>
      </c>
      <c r="G6" s="4" t="s">
        <v>548</v>
      </c>
      <c r="H6" s="4" t="s">
        <v>549</v>
      </c>
      <c r="I6" s="4" t="s">
        <v>550</v>
      </c>
    </row>
    <row r="7" customFormat="false" ht="39.75" hidden="false" customHeight="true" outlineLevel="0" collapsed="false">
      <c r="A7" s="3" t="s">
        <v>551</v>
      </c>
      <c r="B7" s="3" t="s">
        <v>535</v>
      </c>
      <c r="C7" s="3" t="s">
        <v>552</v>
      </c>
      <c r="D7" s="3" t="s">
        <v>553</v>
      </c>
      <c r="E7" s="6" t="s">
        <v>554</v>
      </c>
      <c r="F7" s="3" t="s">
        <v>555</v>
      </c>
      <c r="G7" s="3" t="s">
        <v>556</v>
      </c>
      <c r="H7" s="3" t="s">
        <v>549</v>
      </c>
      <c r="I7" s="3" t="s">
        <v>557</v>
      </c>
    </row>
    <row r="8" customFormat="false" ht="67.5" hidden="false" customHeight="true" outlineLevel="0" collapsed="false">
      <c r="A8" s="4" t="s">
        <v>558</v>
      </c>
      <c r="B8" s="4" t="s">
        <v>559</v>
      </c>
      <c r="C8" s="4" t="s">
        <v>412</v>
      </c>
      <c r="D8" s="4" t="s">
        <v>560</v>
      </c>
      <c r="E8" s="7" t="s">
        <v>561</v>
      </c>
      <c r="F8" s="4" t="s">
        <v>562</v>
      </c>
      <c r="G8" s="4" t="s">
        <v>563</v>
      </c>
      <c r="H8" s="4" t="s">
        <v>564</v>
      </c>
      <c r="I8" s="4" t="s">
        <v>565</v>
      </c>
    </row>
    <row r="9" customFormat="false" ht="54" hidden="false" customHeight="true" outlineLevel="0" collapsed="false">
      <c r="A9" s="3" t="s">
        <v>566</v>
      </c>
      <c r="B9" s="3" t="s">
        <v>559</v>
      </c>
      <c r="C9" s="3" t="s">
        <v>567</v>
      </c>
      <c r="D9" s="3" t="s">
        <v>568</v>
      </c>
      <c r="E9" s="6" t="s">
        <v>569</v>
      </c>
      <c r="F9" s="3" t="s">
        <v>570</v>
      </c>
      <c r="G9" s="3" t="s">
        <v>571</v>
      </c>
      <c r="H9" s="3" t="s">
        <v>572</v>
      </c>
      <c r="I9" s="3" t="s">
        <v>573</v>
      </c>
    </row>
    <row r="10" customFormat="false" ht="67.5" hidden="false" customHeight="true" outlineLevel="0" collapsed="false">
      <c r="A10" s="4" t="s">
        <v>574</v>
      </c>
      <c r="B10" s="4" t="s">
        <v>559</v>
      </c>
      <c r="C10" s="4" t="s">
        <v>575</v>
      </c>
      <c r="D10" s="4" t="s">
        <v>576</v>
      </c>
      <c r="E10" s="7" t="s">
        <v>577</v>
      </c>
      <c r="F10" s="4" t="s">
        <v>578</v>
      </c>
      <c r="G10" s="4" t="s">
        <v>579</v>
      </c>
      <c r="H10" s="4" t="s">
        <v>572</v>
      </c>
      <c r="I10" s="4" t="s">
        <v>580</v>
      </c>
    </row>
    <row r="11" customFormat="false" ht="39.75" hidden="false" customHeight="true" outlineLevel="0" collapsed="false">
      <c r="A11" s="3" t="s">
        <v>581</v>
      </c>
      <c r="B11" s="3" t="s">
        <v>559</v>
      </c>
      <c r="C11" s="3" t="s">
        <v>582</v>
      </c>
      <c r="D11" s="3" t="s">
        <v>583</v>
      </c>
      <c r="E11" s="6" t="s">
        <v>584</v>
      </c>
      <c r="F11" s="3" t="s">
        <v>585</v>
      </c>
      <c r="G11" s="3" t="s">
        <v>586</v>
      </c>
      <c r="H11" s="3" t="s">
        <v>170</v>
      </c>
      <c r="I11" s="3" t="s">
        <v>587</v>
      </c>
    </row>
    <row r="12" customFormat="false" ht="39.75" hidden="false" customHeight="true" outlineLevel="0" collapsed="false">
      <c r="A12" s="4" t="s">
        <v>588</v>
      </c>
      <c r="B12" s="4" t="s">
        <v>559</v>
      </c>
      <c r="C12" s="4" t="s">
        <v>589</v>
      </c>
      <c r="D12" s="4" t="s">
        <v>590</v>
      </c>
      <c r="E12" s="7" t="s">
        <v>591</v>
      </c>
      <c r="F12" s="4" t="s">
        <v>592</v>
      </c>
      <c r="G12" s="4" t="s">
        <v>593</v>
      </c>
      <c r="H12" s="4" t="s">
        <v>170</v>
      </c>
      <c r="I12" s="4" t="s">
        <v>594</v>
      </c>
    </row>
    <row r="13" customFormat="false" ht="39.75" hidden="false" customHeight="true" outlineLevel="0" collapsed="false">
      <c r="A13" s="3" t="s">
        <v>595</v>
      </c>
      <c r="B13" s="3" t="s">
        <v>559</v>
      </c>
      <c r="C13" s="3" t="s">
        <v>596</v>
      </c>
      <c r="D13" s="3" t="s">
        <v>597</v>
      </c>
      <c r="E13" s="6" t="s">
        <v>598</v>
      </c>
      <c r="F13" s="3" t="s">
        <v>599</v>
      </c>
      <c r="G13" s="3" t="s">
        <v>600</v>
      </c>
      <c r="H13" s="3" t="s">
        <v>601</v>
      </c>
      <c r="I13" s="3" t="s">
        <v>602</v>
      </c>
    </row>
    <row r="14" customFormat="false" ht="51.75" hidden="false" customHeight="true" outlineLevel="0" collapsed="false">
      <c r="A14" s="4" t="s">
        <v>603</v>
      </c>
      <c r="B14" s="4" t="s">
        <v>604</v>
      </c>
      <c r="C14" s="4" t="s">
        <v>605</v>
      </c>
      <c r="D14" s="4" t="s">
        <v>606</v>
      </c>
      <c r="E14" s="7" t="s">
        <v>607</v>
      </c>
      <c r="F14" s="4" t="s">
        <v>608</v>
      </c>
      <c r="G14" s="4" t="s">
        <v>609</v>
      </c>
      <c r="H14" s="4" t="s">
        <v>170</v>
      </c>
      <c r="I14" s="4" t="s">
        <v>610</v>
      </c>
    </row>
    <row r="15" customFormat="false" ht="39.75" hidden="false" customHeight="true" outlineLevel="0" collapsed="false">
      <c r="A15" s="3" t="s">
        <v>611</v>
      </c>
      <c r="B15" s="3" t="s">
        <v>604</v>
      </c>
      <c r="C15" s="3" t="s">
        <v>612</v>
      </c>
      <c r="D15" s="3" t="s">
        <v>613</v>
      </c>
      <c r="E15" s="6" t="s">
        <v>614</v>
      </c>
      <c r="F15" s="3" t="s">
        <v>595</v>
      </c>
      <c r="G15" s="3" t="s">
        <v>615</v>
      </c>
      <c r="H15" s="3" t="s">
        <v>170</v>
      </c>
      <c r="I15" s="3" t="s">
        <v>616</v>
      </c>
    </row>
    <row r="16" customFormat="false" ht="51.75" hidden="false" customHeight="true" outlineLevel="0" collapsed="false">
      <c r="A16" s="4" t="s">
        <v>617</v>
      </c>
      <c r="B16" s="4" t="s">
        <v>604</v>
      </c>
      <c r="C16" s="4" t="s">
        <v>618</v>
      </c>
      <c r="D16" s="4" t="s">
        <v>619</v>
      </c>
      <c r="E16" s="7" t="s">
        <v>620</v>
      </c>
      <c r="F16" s="4" t="s">
        <v>621</v>
      </c>
      <c r="G16" s="4" t="s">
        <v>622</v>
      </c>
      <c r="H16" s="4" t="s">
        <v>623</v>
      </c>
      <c r="I16" s="4" t="s">
        <v>624</v>
      </c>
    </row>
    <row r="17" customFormat="false" ht="39.75" hidden="false" customHeight="true" outlineLevel="0" collapsed="false">
      <c r="A17" s="3" t="s">
        <v>625</v>
      </c>
      <c r="B17" s="3" t="s">
        <v>604</v>
      </c>
      <c r="C17" s="3" t="s">
        <v>626</v>
      </c>
      <c r="D17" s="3" t="s">
        <v>627</v>
      </c>
      <c r="E17" s="6" t="s">
        <v>628</v>
      </c>
      <c r="F17" s="3" t="s">
        <v>629</v>
      </c>
      <c r="G17" s="3" t="s">
        <v>630</v>
      </c>
      <c r="H17" s="3" t="s">
        <v>631</v>
      </c>
      <c r="I17" s="3" t="s">
        <v>632</v>
      </c>
    </row>
    <row r="18" customFormat="false" ht="108" hidden="false" customHeight="true" outlineLevel="0" collapsed="false">
      <c r="A18" s="4" t="s">
        <v>633</v>
      </c>
      <c r="B18" s="4" t="s">
        <v>604</v>
      </c>
      <c r="C18" s="4" t="s">
        <v>634</v>
      </c>
      <c r="D18" s="4" t="s">
        <v>635</v>
      </c>
      <c r="E18" s="7" t="s">
        <v>636</v>
      </c>
      <c r="F18" s="4" t="s">
        <v>637</v>
      </c>
      <c r="G18" s="4" t="s">
        <v>638</v>
      </c>
      <c r="H18" s="4" t="s">
        <v>639</v>
      </c>
      <c r="I18" s="4" t="s">
        <v>640</v>
      </c>
    </row>
    <row r="19" customFormat="false" ht="39.75" hidden="false" customHeight="true" outlineLevel="0" collapsed="false">
      <c r="A19" s="3" t="s">
        <v>641</v>
      </c>
      <c r="B19" s="3" t="s">
        <v>604</v>
      </c>
      <c r="C19" s="3" t="s">
        <v>642</v>
      </c>
      <c r="D19" s="3" t="s">
        <v>643</v>
      </c>
      <c r="E19" s="6" t="s">
        <v>644</v>
      </c>
      <c r="F19" s="3" t="s">
        <v>645</v>
      </c>
      <c r="G19" s="3" t="s">
        <v>646</v>
      </c>
      <c r="H19" s="3" t="s">
        <v>631</v>
      </c>
      <c r="I19" s="3" t="s">
        <v>647</v>
      </c>
    </row>
    <row r="20" customFormat="false" ht="39.75" hidden="false" customHeight="true" outlineLevel="0" collapsed="false">
      <c r="A20" s="4" t="s">
        <v>648</v>
      </c>
      <c r="B20" s="4" t="s">
        <v>649</v>
      </c>
      <c r="C20" s="4" t="s">
        <v>650</v>
      </c>
      <c r="D20" s="4" t="s">
        <v>651</v>
      </c>
      <c r="E20" s="7" t="s">
        <v>652</v>
      </c>
      <c r="F20" s="4" t="s">
        <v>653</v>
      </c>
      <c r="G20" s="4" t="s">
        <v>654</v>
      </c>
      <c r="H20" s="4" t="s">
        <v>631</v>
      </c>
      <c r="I20" s="4" t="s">
        <v>655</v>
      </c>
    </row>
    <row r="21" customFormat="false" ht="39.75" hidden="false" customHeight="true" outlineLevel="0" collapsed="false">
      <c r="A21" s="3" t="s">
        <v>656</v>
      </c>
      <c r="B21" s="3" t="s">
        <v>649</v>
      </c>
      <c r="C21" s="3" t="s">
        <v>657</v>
      </c>
      <c r="D21" s="3" t="s">
        <v>658</v>
      </c>
      <c r="E21" s="6" t="s">
        <v>659</v>
      </c>
      <c r="F21" s="3" t="s">
        <v>660</v>
      </c>
      <c r="G21" s="3" t="s">
        <v>661</v>
      </c>
      <c r="H21" s="3" t="s">
        <v>662</v>
      </c>
      <c r="I21" s="3" t="s">
        <v>663</v>
      </c>
    </row>
    <row r="22" customFormat="false" ht="54" hidden="false" customHeight="true" outlineLevel="0" collapsed="false">
      <c r="A22" s="4" t="s">
        <v>664</v>
      </c>
      <c r="B22" s="4" t="s">
        <v>649</v>
      </c>
      <c r="C22" s="4" t="s">
        <v>665</v>
      </c>
      <c r="D22" s="4" t="s">
        <v>666</v>
      </c>
      <c r="E22" s="7" t="s">
        <v>667</v>
      </c>
      <c r="F22" s="4" t="s">
        <v>668</v>
      </c>
      <c r="G22" s="4" t="s">
        <v>669</v>
      </c>
      <c r="H22" s="4" t="s">
        <v>670</v>
      </c>
      <c r="I22" s="4" t="s">
        <v>671</v>
      </c>
    </row>
    <row r="23" customFormat="false" ht="81.75" hidden="false" customHeight="true" outlineLevel="0" collapsed="false">
      <c r="A23" s="3" t="s">
        <v>672</v>
      </c>
      <c r="B23" s="3" t="s">
        <v>559</v>
      </c>
      <c r="C23" s="3" t="s">
        <v>673</v>
      </c>
      <c r="D23" s="3" t="s">
        <v>674</v>
      </c>
      <c r="E23" s="6" t="s">
        <v>675</v>
      </c>
      <c r="F23" s="3" t="s">
        <v>676</v>
      </c>
      <c r="G23" s="3" t="s">
        <v>677</v>
      </c>
      <c r="H23" s="3" t="s">
        <v>434</v>
      </c>
      <c r="I23" s="3" t="s">
        <v>435</v>
      </c>
    </row>
    <row r="24" customFormat="false" ht="54" hidden="false" customHeight="true" outlineLevel="0" collapsed="false">
      <c r="A24" s="4" t="s">
        <v>678</v>
      </c>
      <c r="B24" s="4" t="s">
        <v>559</v>
      </c>
      <c r="C24" s="4" t="s">
        <v>679</v>
      </c>
      <c r="D24" s="4" t="s">
        <v>680</v>
      </c>
      <c r="E24" s="7" t="s">
        <v>681</v>
      </c>
      <c r="F24" s="4" t="s">
        <v>682</v>
      </c>
      <c r="G24" s="4" t="s">
        <v>683</v>
      </c>
      <c r="H24" s="4" t="s">
        <v>684</v>
      </c>
      <c r="I24" s="4" t="s">
        <v>435</v>
      </c>
    </row>
    <row r="25" customFormat="false" ht="81.75" hidden="false" customHeight="true" outlineLevel="0" collapsed="false">
      <c r="A25" s="3" t="s">
        <v>685</v>
      </c>
      <c r="B25" s="3" t="s">
        <v>649</v>
      </c>
      <c r="C25" s="3" t="s">
        <v>686</v>
      </c>
      <c r="D25" s="3" t="s">
        <v>687</v>
      </c>
      <c r="E25" s="6" t="s">
        <v>688</v>
      </c>
      <c r="F25" s="3" t="s">
        <v>689</v>
      </c>
      <c r="G25" s="3" t="s">
        <v>690</v>
      </c>
      <c r="H25" s="3" t="s">
        <v>258</v>
      </c>
      <c r="I25" s="3" t="s">
        <v>435</v>
      </c>
    </row>
    <row r="26" customFormat="false" ht="54" hidden="false" customHeight="true" outlineLevel="0" collapsed="false">
      <c r="A26" s="4" t="s">
        <v>691</v>
      </c>
      <c r="B26" s="4" t="s">
        <v>535</v>
      </c>
      <c r="C26" s="4" t="s">
        <v>692</v>
      </c>
      <c r="D26" s="4" t="s">
        <v>693</v>
      </c>
      <c r="E26" s="7" t="s">
        <v>694</v>
      </c>
      <c r="F26" s="4" t="s">
        <v>695</v>
      </c>
      <c r="G26" s="4" t="s">
        <v>696</v>
      </c>
      <c r="H26" s="4" t="s">
        <v>170</v>
      </c>
      <c r="I26" s="4" t="s">
        <v>435</v>
      </c>
    </row>
    <row r="27" customFormat="false" ht="67.5" hidden="false" customHeight="true" outlineLevel="0" collapsed="false">
      <c r="A27" s="3" t="s">
        <v>697</v>
      </c>
      <c r="B27" s="3" t="s">
        <v>698</v>
      </c>
      <c r="C27" s="3" t="s">
        <v>699</v>
      </c>
      <c r="D27" s="3" t="s">
        <v>700</v>
      </c>
      <c r="E27" s="6" t="s">
        <v>701</v>
      </c>
      <c r="F27" s="3" t="s">
        <v>702</v>
      </c>
      <c r="G27" s="3" t="s">
        <v>703</v>
      </c>
      <c r="H27" s="3" t="s">
        <v>170</v>
      </c>
      <c r="I27" s="3" t="s">
        <v>435</v>
      </c>
    </row>
    <row r="28" customFormat="false" ht="121.5" hidden="false" customHeight="true" outlineLevel="0" collapsed="false">
      <c r="A28" s="4" t="s">
        <v>704</v>
      </c>
      <c r="B28" s="4" t="s">
        <v>698</v>
      </c>
      <c r="C28" s="4" t="s">
        <v>705</v>
      </c>
      <c r="D28" s="4" t="s">
        <v>706</v>
      </c>
      <c r="E28" s="7" t="s">
        <v>707</v>
      </c>
      <c r="F28" s="4" t="s">
        <v>708</v>
      </c>
      <c r="G28" s="4" t="s">
        <v>709</v>
      </c>
      <c r="H28" s="4" t="s">
        <v>170</v>
      </c>
      <c r="I28" s="4" t="s">
        <v>435</v>
      </c>
    </row>
    <row r="29" customFormat="false" ht="67.5" hidden="false" customHeight="true" outlineLevel="0" collapsed="false">
      <c r="A29" s="3" t="s">
        <v>710</v>
      </c>
      <c r="B29" s="3" t="s">
        <v>604</v>
      </c>
      <c r="C29" s="3" t="s">
        <v>711</v>
      </c>
      <c r="D29" s="3" t="s">
        <v>712</v>
      </c>
      <c r="E29" s="6" t="s">
        <v>713</v>
      </c>
      <c r="F29" s="3" t="s">
        <v>714</v>
      </c>
      <c r="G29" s="3" t="s">
        <v>715</v>
      </c>
      <c r="H29" s="3" t="s">
        <v>716</v>
      </c>
      <c r="I29" s="3" t="s">
        <v>435</v>
      </c>
    </row>
    <row r="30" customFormat="false" ht="93.75" hidden="false" customHeight="true" outlineLevel="0" collapsed="false">
      <c r="A30" s="4" t="s">
        <v>717</v>
      </c>
      <c r="B30" s="4" t="s">
        <v>604</v>
      </c>
      <c r="C30" s="4" t="s">
        <v>718</v>
      </c>
      <c r="D30" s="4" t="s">
        <v>719</v>
      </c>
      <c r="E30" s="7" t="s">
        <v>720</v>
      </c>
      <c r="F30" s="4" t="s">
        <v>721</v>
      </c>
      <c r="G30" s="4" t="s">
        <v>722</v>
      </c>
      <c r="H30" s="4" t="s">
        <v>170</v>
      </c>
      <c r="I30" s="4" t="s">
        <v>435</v>
      </c>
    </row>
    <row r="31" customFormat="false" ht="108" hidden="false" customHeight="true" outlineLevel="0" collapsed="false">
      <c r="A31" s="3" t="s">
        <v>723</v>
      </c>
      <c r="B31" s="3" t="s">
        <v>604</v>
      </c>
      <c r="C31" s="3" t="s">
        <v>724</v>
      </c>
      <c r="D31" s="3" t="s">
        <v>725</v>
      </c>
      <c r="E31" s="6" t="s">
        <v>726</v>
      </c>
      <c r="F31" s="3" t="s">
        <v>727</v>
      </c>
      <c r="G31" s="3" t="s">
        <v>728</v>
      </c>
      <c r="H31" s="3" t="s">
        <v>729</v>
      </c>
      <c r="I31" s="3" t="s">
        <v>435</v>
      </c>
    </row>
    <row r="32" customFormat="false" ht="66" hidden="false" customHeight="true" outlineLevel="0" collapsed="false">
      <c r="A32" s="4" t="s">
        <v>730</v>
      </c>
      <c r="B32" s="4" t="s">
        <v>698</v>
      </c>
      <c r="C32" s="4" t="s">
        <v>731</v>
      </c>
      <c r="D32" s="4" t="s">
        <v>732</v>
      </c>
      <c r="E32" s="7" t="s">
        <v>733</v>
      </c>
      <c r="F32" s="4" t="s">
        <v>727</v>
      </c>
      <c r="G32" s="4" t="s">
        <v>734</v>
      </c>
      <c r="H32" s="4" t="s">
        <v>434</v>
      </c>
      <c r="I32" s="4" t="s">
        <v>435</v>
      </c>
    </row>
    <row r="33" customFormat="false" ht="93.75" hidden="false" customHeight="true" outlineLevel="0" collapsed="false">
      <c r="A33" s="3" t="s">
        <v>735</v>
      </c>
      <c r="B33" s="3" t="s">
        <v>698</v>
      </c>
      <c r="C33" s="3" t="s">
        <v>736</v>
      </c>
      <c r="D33" s="3" t="s">
        <v>737</v>
      </c>
      <c r="E33" s="6" t="s">
        <v>738</v>
      </c>
      <c r="F33" s="3" t="s">
        <v>739</v>
      </c>
      <c r="G33" s="3" t="s">
        <v>740</v>
      </c>
      <c r="H33" s="3" t="s">
        <v>741</v>
      </c>
      <c r="I33" s="3" t="s">
        <v>435</v>
      </c>
    </row>
    <row r="34" customFormat="false" ht="79.5" hidden="false" customHeight="true" outlineLevel="0" collapsed="false">
      <c r="A34" s="4" t="s">
        <v>742</v>
      </c>
      <c r="B34" s="4" t="s">
        <v>698</v>
      </c>
      <c r="C34" s="4" t="s">
        <v>743</v>
      </c>
      <c r="D34" s="4" t="s">
        <v>744</v>
      </c>
      <c r="E34" s="7" t="s">
        <v>745</v>
      </c>
      <c r="F34" s="4" t="s">
        <v>746</v>
      </c>
      <c r="G34" s="4" t="s">
        <v>747</v>
      </c>
      <c r="H34" s="4" t="s">
        <v>748</v>
      </c>
      <c r="I34" s="4" t="s">
        <v>435</v>
      </c>
    </row>
    <row r="35" customFormat="false" ht="79.5" hidden="false" customHeight="true" outlineLevel="0" collapsed="false">
      <c r="A35" s="3" t="s">
        <v>749</v>
      </c>
      <c r="B35" s="3" t="s">
        <v>604</v>
      </c>
      <c r="C35" s="3" t="s">
        <v>750</v>
      </c>
      <c r="D35" s="3" t="s">
        <v>751</v>
      </c>
      <c r="E35" s="6" t="s">
        <v>752</v>
      </c>
      <c r="F35" s="3" t="s">
        <v>753</v>
      </c>
      <c r="G35" s="3" t="s">
        <v>754</v>
      </c>
      <c r="H35" s="3" t="s">
        <v>755</v>
      </c>
      <c r="I35" s="3" t="s">
        <v>435</v>
      </c>
    </row>
    <row r="36" customFormat="false" ht="67.5" hidden="false" customHeight="true" outlineLevel="0" collapsed="false">
      <c r="A36" s="4" t="s">
        <v>756</v>
      </c>
      <c r="B36" s="4" t="s">
        <v>649</v>
      </c>
      <c r="C36" s="4" t="s">
        <v>757</v>
      </c>
      <c r="D36" s="4" t="s">
        <v>758</v>
      </c>
      <c r="E36" s="7" t="s">
        <v>759</v>
      </c>
      <c r="F36" s="4" t="s">
        <v>760</v>
      </c>
      <c r="G36" s="4" t="s">
        <v>761</v>
      </c>
      <c r="H36" s="4" t="s">
        <v>762</v>
      </c>
      <c r="I36" s="4" t="s">
        <v>435</v>
      </c>
    </row>
    <row r="37" customFormat="false" ht="54" hidden="false" customHeight="true" outlineLevel="0" collapsed="false">
      <c r="A37" s="3" t="s">
        <v>763</v>
      </c>
      <c r="B37" s="3" t="s">
        <v>649</v>
      </c>
      <c r="C37" s="3" t="s">
        <v>764</v>
      </c>
      <c r="D37" s="3" t="s">
        <v>765</v>
      </c>
      <c r="E37" s="6" t="s">
        <v>766</v>
      </c>
      <c r="F37" s="3" t="s">
        <v>767</v>
      </c>
      <c r="G37" s="3" t="s">
        <v>768</v>
      </c>
      <c r="H37" s="3" t="s">
        <v>769</v>
      </c>
      <c r="I37" s="3" t="s">
        <v>435</v>
      </c>
    </row>
    <row r="38" customFormat="false" ht="39.75" hidden="false" customHeight="true" outlineLevel="0" collapsed="false">
      <c r="A38" s="4" t="s">
        <v>770</v>
      </c>
      <c r="B38" s="4" t="s">
        <v>771</v>
      </c>
      <c r="C38" s="4" t="s">
        <v>772</v>
      </c>
      <c r="D38" s="4" t="s">
        <v>773</v>
      </c>
      <c r="E38" s="7" t="s">
        <v>774</v>
      </c>
      <c r="F38" s="4" t="s">
        <v>775</v>
      </c>
      <c r="G38" s="4" t="s">
        <v>776</v>
      </c>
      <c r="H38" s="4" t="s">
        <v>170</v>
      </c>
      <c r="I38" s="4" t="s">
        <v>435</v>
      </c>
    </row>
    <row r="39" customFormat="false" ht="79.5" hidden="false" customHeight="true" outlineLevel="0" collapsed="false">
      <c r="A39" s="3" t="s">
        <v>777</v>
      </c>
      <c r="B39" s="3" t="s">
        <v>771</v>
      </c>
      <c r="C39" s="3" t="s">
        <v>778</v>
      </c>
      <c r="D39" s="3" t="s">
        <v>779</v>
      </c>
      <c r="E39" s="6" t="s">
        <v>780</v>
      </c>
      <c r="F39" s="3" t="s">
        <v>781</v>
      </c>
      <c r="G39" s="3" t="s">
        <v>782</v>
      </c>
      <c r="H39" s="3" t="s">
        <v>783</v>
      </c>
      <c r="I39" s="3" t="s">
        <v>435</v>
      </c>
    </row>
    <row r="40" customFormat="false" ht="67.5" hidden="false" customHeight="true" outlineLevel="0" collapsed="false">
      <c r="A40" s="4" t="s">
        <v>784</v>
      </c>
      <c r="B40" s="4" t="s">
        <v>771</v>
      </c>
      <c r="C40" s="4" t="s">
        <v>785</v>
      </c>
      <c r="D40" s="4" t="s">
        <v>786</v>
      </c>
      <c r="E40" s="7" t="s">
        <v>787</v>
      </c>
      <c r="F40" s="4" t="s">
        <v>788</v>
      </c>
      <c r="G40" s="4" t="s">
        <v>789</v>
      </c>
      <c r="H40" s="4" t="s">
        <v>434</v>
      </c>
      <c r="I40" s="4" t="s">
        <v>435</v>
      </c>
    </row>
    <row r="41" customFormat="false" ht="93.75" hidden="false" customHeight="true" outlineLevel="0" collapsed="false">
      <c r="A41" s="3" t="s">
        <v>790</v>
      </c>
      <c r="B41" s="3" t="s">
        <v>771</v>
      </c>
      <c r="C41" s="3" t="s">
        <v>791</v>
      </c>
      <c r="D41" s="3" t="s">
        <v>792</v>
      </c>
      <c r="E41" s="6" t="s">
        <v>793</v>
      </c>
      <c r="F41" s="3" t="s">
        <v>794</v>
      </c>
      <c r="G41" s="3" t="s">
        <v>795</v>
      </c>
      <c r="H41" s="3" t="s">
        <v>796</v>
      </c>
      <c r="I41" s="3" t="s">
        <v>435</v>
      </c>
    </row>
    <row r="42" customFormat="false" ht="13.5" hidden="false" customHeight="false" outlineLevel="0" collapsed="false">
      <c r="E42" s="8"/>
    </row>
    <row r="43" customFormat="false" ht="13.5" hidden="false" customHeight="false" outlineLevel="0" collapsed="false">
      <c r="E43" s="8"/>
    </row>
    <row r="44" customFormat="false" ht="13.5" hidden="false" customHeight="false" outlineLevel="0" collapsed="false">
      <c r="E44" s="8"/>
    </row>
    <row r="45" customFormat="false" ht="13.5" hidden="false" customHeight="false" outlineLevel="0" collapsed="false">
      <c r="E45" s="8"/>
    </row>
    <row r="46" customFormat="false" ht="13.5" hidden="false" customHeight="false" outlineLevel="0" collapsed="false">
      <c r="E46" s="8"/>
    </row>
    <row r="47" customFormat="false" ht="13.5" hidden="false" customHeight="false" outlineLevel="0" collapsed="false">
      <c r="E47" s="8"/>
    </row>
    <row r="48" customFormat="false" ht="13.5" hidden="false" customHeight="false" outlineLevel="0" collapsed="false">
      <c r="E48" s="8"/>
    </row>
    <row r="49" customFormat="false" ht="13.5" hidden="false" customHeight="false" outlineLevel="0" collapsed="false">
      <c r="E49" s="8"/>
    </row>
    <row r="50" customFormat="false" ht="13.5" hidden="false" customHeight="false" outlineLevel="0" collapsed="false">
      <c r="E50" s="8"/>
    </row>
    <row r="51" customFormat="false" ht="13.5" hidden="false" customHeight="false" outlineLevel="0" collapsed="false">
      <c r="E51" s="8"/>
    </row>
    <row r="52" customFormat="false" ht="13.5" hidden="false" customHeight="false" outlineLevel="0" collapsed="false">
      <c r="E52" s="8"/>
    </row>
    <row r="53" customFormat="false" ht="13.5" hidden="false" customHeight="false" outlineLevel="0" collapsed="false">
      <c r="E53" s="8"/>
    </row>
    <row r="54" customFormat="false" ht="13.5" hidden="false" customHeight="false" outlineLevel="0" collapsed="false">
      <c r="E54" s="8"/>
    </row>
    <row r="55" customFormat="false" ht="13.5" hidden="false" customHeight="false" outlineLevel="0" collapsed="false">
      <c r="E55" s="8"/>
    </row>
    <row r="56" customFormat="false" ht="13.5" hidden="false" customHeight="false" outlineLevel="0" collapsed="false">
      <c r="E56" s="8"/>
    </row>
    <row r="57" customFormat="false" ht="13.5" hidden="false" customHeight="false" outlineLevel="0" collapsed="false">
      <c r="E57" s="8"/>
    </row>
    <row r="58" customFormat="false" ht="13.5" hidden="false" customHeight="false" outlineLevel="0" collapsed="false">
      <c r="E58" s="8"/>
    </row>
    <row r="59" customFormat="false" ht="13.5" hidden="false" customHeight="false" outlineLevel="0" collapsed="false">
      <c r="E59" s="8"/>
    </row>
    <row r="60" customFormat="false" ht="13.5" hidden="false" customHeight="false" outlineLevel="0" collapsed="false">
      <c r="E60" s="8"/>
    </row>
    <row r="61" customFormat="false" ht="13.5" hidden="false" customHeight="false" outlineLevel="0" collapsed="false">
      <c r="E61" s="8"/>
    </row>
    <row r="62" customFormat="false" ht="13.5" hidden="false" customHeight="false" outlineLevel="0" collapsed="false">
      <c r="E62" s="8"/>
    </row>
    <row r="63" customFormat="false" ht="13.5" hidden="false" customHeight="false" outlineLevel="0" collapsed="false">
      <c r="E63" s="8"/>
    </row>
    <row r="64" customFormat="false" ht="13.5" hidden="false" customHeight="false" outlineLevel="0" collapsed="false">
      <c r="E64" s="8"/>
    </row>
    <row r="65" customFormat="false" ht="13.5" hidden="false" customHeight="false" outlineLevel="0" collapsed="false">
      <c r="E65" s="8"/>
    </row>
    <row r="66" customFormat="false" ht="13.5" hidden="false" customHeight="false" outlineLevel="0" collapsed="false">
      <c r="E66" s="8"/>
    </row>
    <row r="67" customFormat="false" ht="13.5" hidden="false" customHeight="false" outlineLevel="0" collapsed="false">
      <c r="E67" s="8"/>
    </row>
    <row r="68" customFormat="false" ht="13.5" hidden="false" customHeight="false" outlineLevel="0" collapsed="false">
      <c r="E68" s="8"/>
    </row>
    <row r="69" customFormat="false" ht="13.5" hidden="false" customHeight="false" outlineLevel="0" collapsed="false">
      <c r="E69" s="8"/>
    </row>
    <row r="70" customFormat="false" ht="13.5" hidden="false" customHeight="false" outlineLevel="0" collapsed="false">
      <c r="E70" s="8"/>
    </row>
    <row r="71" customFormat="false" ht="13.5" hidden="false" customHeight="false" outlineLevel="0" collapsed="false">
      <c r="E71" s="8"/>
    </row>
    <row r="72" customFormat="false" ht="13.5" hidden="false" customHeight="false" outlineLevel="0" collapsed="false">
      <c r="E72" s="8"/>
    </row>
    <row r="73" customFormat="false" ht="13.5" hidden="false" customHeight="false" outlineLevel="0" collapsed="false">
      <c r="E73" s="8"/>
    </row>
    <row r="74" customFormat="false" ht="13.5" hidden="false" customHeight="false" outlineLevel="0" collapsed="false">
      <c r="E74" s="8"/>
    </row>
    <row r="75" customFormat="false" ht="13.5" hidden="false" customHeight="false" outlineLevel="0" collapsed="false">
      <c r="E75" s="8"/>
    </row>
    <row r="76" customFormat="false" ht="13.5" hidden="false" customHeight="false" outlineLevel="0" collapsed="false">
      <c r="E76" s="8"/>
    </row>
    <row r="77" customFormat="false" ht="13.5" hidden="false" customHeight="false" outlineLevel="0" collapsed="false">
      <c r="E77" s="8"/>
    </row>
    <row r="78" customFormat="false" ht="13.5" hidden="false" customHeight="false" outlineLevel="0" collapsed="false">
      <c r="E78" s="8"/>
    </row>
    <row r="79" customFormat="false" ht="13.5" hidden="false" customHeight="false" outlineLevel="0" collapsed="false">
      <c r="E79" s="8"/>
    </row>
    <row r="80" customFormat="false" ht="13.5" hidden="false" customHeight="false" outlineLevel="0" collapsed="false">
      <c r="E80" s="8"/>
    </row>
    <row r="81" customFormat="false" ht="13.5" hidden="false" customHeight="false" outlineLevel="0" collapsed="false">
      <c r="E81" s="8"/>
    </row>
    <row r="82" customFormat="false" ht="13.5" hidden="false" customHeight="false" outlineLevel="0" collapsed="false">
      <c r="E82" s="8"/>
    </row>
    <row r="83" customFormat="false" ht="13.5" hidden="false" customHeight="false" outlineLevel="0" collapsed="false">
      <c r="E83" s="8"/>
    </row>
    <row r="84" customFormat="false" ht="13.5" hidden="false" customHeight="false" outlineLevel="0" collapsed="false">
      <c r="E84" s="8"/>
    </row>
    <row r="85" customFormat="false" ht="13.5" hidden="false" customHeight="false" outlineLevel="0" collapsed="false">
      <c r="E85" s="8"/>
    </row>
    <row r="86" customFormat="false" ht="13.5" hidden="false" customHeight="false" outlineLevel="0" collapsed="false">
      <c r="E86" s="8"/>
    </row>
    <row r="87" customFormat="false" ht="13.5" hidden="false" customHeight="false" outlineLevel="0" collapsed="false">
      <c r="E87" s="8"/>
    </row>
    <row r="88" customFormat="false" ht="13.5" hidden="false" customHeight="false" outlineLevel="0" collapsed="false">
      <c r="E88" s="8"/>
    </row>
    <row r="89" customFormat="false" ht="13.5" hidden="false" customHeight="false" outlineLevel="0" collapsed="false">
      <c r="E89" s="8"/>
    </row>
    <row r="90" customFormat="false" ht="13.5" hidden="false" customHeight="false" outlineLevel="0" collapsed="false">
      <c r="E90" s="8"/>
    </row>
    <row r="91" customFormat="false" ht="13.5" hidden="false" customHeight="false" outlineLevel="0" collapsed="false">
      <c r="E91" s="8"/>
    </row>
    <row r="92" customFormat="false" ht="13.5" hidden="false" customHeight="false" outlineLevel="0" collapsed="false">
      <c r="E92" s="8"/>
    </row>
    <row r="93" customFormat="false" ht="13.5" hidden="false" customHeight="false" outlineLevel="0" collapsed="false">
      <c r="E93" s="8"/>
    </row>
    <row r="94" customFormat="false" ht="13.5" hidden="false" customHeight="false" outlineLevel="0" collapsed="false">
      <c r="E94" s="8"/>
    </row>
    <row r="95" customFormat="false" ht="13.5" hidden="false" customHeight="false" outlineLevel="0" collapsed="false">
      <c r="E95" s="8"/>
    </row>
    <row r="96" customFormat="false" ht="13.5" hidden="false" customHeight="false" outlineLevel="0" collapsed="false">
      <c r="E96" s="8"/>
    </row>
    <row r="97" customFormat="false" ht="13.5" hidden="false" customHeight="false" outlineLevel="0" collapsed="false">
      <c r="E97" s="8"/>
    </row>
    <row r="98" customFormat="false" ht="13.5" hidden="false" customHeight="false" outlineLevel="0" collapsed="false">
      <c r="E98" s="8"/>
    </row>
    <row r="99" customFormat="false" ht="13.5" hidden="false" customHeight="false" outlineLevel="0" collapsed="false">
      <c r="E99" s="8"/>
    </row>
    <row r="100" customFormat="false" ht="13.5" hidden="false" customHeight="false" outlineLevel="0" collapsed="false">
      <c r="E100" s="8"/>
    </row>
    <row r="101" customFormat="false" ht="13.5" hidden="false" customHeight="false" outlineLevel="0" collapsed="false">
      <c r="E101" s="8"/>
    </row>
    <row r="102" customFormat="false" ht="13.5" hidden="false" customHeight="false" outlineLevel="0" collapsed="false">
      <c r="E102" s="8"/>
    </row>
    <row r="103" customFormat="false" ht="13.5" hidden="false" customHeight="false" outlineLevel="0" collapsed="false">
      <c r="E103" s="8"/>
    </row>
    <row r="104" customFormat="false" ht="13.5" hidden="false" customHeight="false" outlineLevel="0" collapsed="false">
      <c r="E104" s="8"/>
    </row>
    <row r="105" customFormat="false" ht="13.5" hidden="false" customHeight="false" outlineLevel="0" collapsed="false">
      <c r="E105" s="8"/>
    </row>
    <row r="106" customFormat="false" ht="13.5" hidden="false" customHeight="false" outlineLevel="0" collapsed="false">
      <c r="E106" s="8"/>
    </row>
    <row r="107" customFormat="false" ht="13.5" hidden="false" customHeight="false" outlineLevel="0" collapsed="false">
      <c r="E107" s="8"/>
    </row>
    <row r="108" customFormat="false" ht="13.5" hidden="false" customHeight="false" outlineLevel="0" collapsed="false">
      <c r="E108" s="8"/>
    </row>
    <row r="109" customFormat="false" ht="13.5" hidden="false" customHeight="false" outlineLevel="0" collapsed="false">
      <c r="E109" s="8"/>
    </row>
    <row r="110" customFormat="false" ht="13.5" hidden="false" customHeight="false" outlineLevel="0" collapsed="false">
      <c r="E110"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8" activeCellId="0" sqref="D8"/>
    </sheetView>
  </sheetViews>
  <sheetFormatPr defaultColWidth="8.6796875" defaultRowHeight="13.5" zeroHeight="false" outlineLevelRow="0" outlineLevelCol="0"/>
  <cols>
    <col collapsed="false" customWidth="true" hidden="false" outlineLevel="0" max="1" min="1" style="0" width="14"/>
    <col collapsed="false" customWidth="true" hidden="false" outlineLevel="0" max="2" min="2" style="0" width="31"/>
    <col collapsed="false" customWidth="true" hidden="false" outlineLevel="0" max="3" min="3" style="0" width="34"/>
    <col collapsed="false" customWidth="true" hidden="false" outlineLevel="0" max="4" min="4" style="0" width="49"/>
    <col collapsed="false" customWidth="true" hidden="false" outlineLevel="0" max="5" min="5" style="0" width="70"/>
    <col collapsed="false" customWidth="true" hidden="false" outlineLevel="0" max="6" min="6" style="0" width="53"/>
    <col collapsed="false" customWidth="true" hidden="false" outlineLevel="0" max="7" min="7" style="0" width="65"/>
    <col collapsed="false" customWidth="true" hidden="false" outlineLevel="0" max="8" min="8" style="0" width="24"/>
    <col collapsed="false" customWidth="true" hidden="false" outlineLevel="0" max="9" min="9" style="0" width="68"/>
  </cols>
  <sheetData>
    <row r="2" customFormat="false" ht="17.25" hidden="false" customHeight="true" outlineLevel="0" collapsed="false">
      <c r="A2" s="9" t="s">
        <v>797</v>
      </c>
    </row>
    <row r="4" customFormat="false" ht="33.75" hidden="false" customHeight="true" outlineLevel="0" collapsed="false">
      <c r="A4" s="10" t="s">
        <v>154</v>
      </c>
      <c r="B4" s="10" t="s">
        <v>155</v>
      </c>
      <c r="C4" s="10" t="s">
        <v>156</v>
      </c>
      <c r="D4" s="10" t="s">
        <v>157</v>
      </c>
      <c r="E4" s="10" t="s">
        <v>158</v>
      </c>
      <c r="F4" s="10" t="s">
        <v>159</v>
      </c>
      <c r="G4" s="10" t="s">
        <v>160</v>
      </c>
      <c r="H4" s="10" t="s">
        <v>161</v>
      </c>
      <c r="I4" s="10" t="s">
        <v>162</v>
      </c>
    </row>
    <row r="5" customFormat="false" ht="51.75" hidden="false" customHeight="true" outlineLevel="0" collapsed="false">
      <c r="A5" s="11" t="s">
        <v>798</v>
      </c>
      <c r="B5" s="11" t="s">
        <v>799</v>
      </c>
      <c r="C5" s="11" t="s">
        <v>800</v>
      </c>
      <c r="D5" s="11" t="s">
        <v>801</v>
      </c>
      <c r="E5" s="12" t="s">
        <v>802</v>
      </c>
      <c r="F5" s="11" t="s">
        <v>803</v>
      </c>
      <c r="G5" s="11" t="s">
        <v>804</v>
      </c>
      <c r="H5" s="11" t="s">
        <v>541</v>
      </c>
      <c r="I5" s="11" t="s">
        <v>805</v>
      </c>
    </row>
    <row r="6" customFormat="false" ht="47.25" hidden="false" customHeight="true" outlineLevel="0" collapsed="false">
      <c r="A6" s="13" t="s">
        <v>806</v>
      </c>
      <c r="B6" s="13" t="s">
        <v>799</v>
      </c>
      <c r="C6" s="13" t="s">
        <v>807</v>
      </c>
      <c r="D6" s="13" t="s">
        <v>808</v>
      </c>
      <c r="E6" s="14" t="s">
        <v>809</v>
      </c>
      <c r="F6" s="13" t="s">
        <v>810</v>
      </c>
      <c r="G6" s="13" t="s">
        <v>811</v>
      </c>
      <c r="H6" s="13" t="s">
        <v>812</v>
      </c>
      <c r="I6" s="13" t="s">
        <v>813</v>
      </c>
    </row>
    <row r="7" customFormat="false" ht="73.5" hidden="false" customHeight="true" outlineLevel="0" collapsed="false">
      <c r="A7" s="11" t="s">
        <v>814</v>
      </c>
      <c r="B7" s="11" t="s">
        <v>799</v>
      </c>
      <c r="C7" s="11" t="s">
        <v>815</v>
      </c>
      <c r="D7" s="11" t="s">
        <v>816</v>
      </c>
      <c r="E7" s="12" t="s">
        <v>817</v>
      </c>
      <c r="F7" s="11" t="s">
        <v>806</v>
      </c>
      <c r="G7" s="11" t="s">
        <v>818</v>
      </c>
      <c r="H7" s="11" t="s">
        <v>819</v>
      </c>
      <c r="I7" s="11" t="s">
        <v>820</v>
      </c>
    </row>
    <row r="8" customFormat="false" ht="79.5" hidden="false" customHeight="true" outlineLevel="0" collapsed="false">
      <c r="A8" s="13" t="s">
        <v>821</v>
      </c>
      <c r="B8" s="13" t="s">
        <v>799</v>
      </c>
      <c r="C8" s="13" t="s">
        <v>822</v>
      </c>
      <c r="D8" s="13" t="s">
        <v>823</v>
      </c>
      <c r="E8" s="14" t="s">
        <v>824</v>
      </c>
      <c r="F8" s="13" t="s">
        <v>825</v>
      </c>
      <c r="G8" s="13" t="s">
        <v>826</v>
      </c>
      <c r="H8" s="13" t="s">
        <v>812</v>
      </c>
      <c r="I8" s="13" t="s">
        <v>827</v>
      </c>
    </row>
    <row r="9" customFormat="false" ht="39.75" hidden="false" customHeight="true" outlineLevel="0" collapsed="false">
      <c r="A9" s="11" t="s">
        <v>828</v>
      </c>
      <c r="B9" s="11" t="s">
        <v>799</v>
      </c>
      <c r="C9" s="11" t="s">
        <v>829</v>
      </c>
      <c r="D9" s="11" t="s">
        <v>830</v>
      </c>
      <c r="E9" s="12" t="s">
        <v>831</v>
      </c>
      <c r="F9" s="11" t="s">
        <v>832</v>
      </c>
      <c r="G9" s="11" t="s">
        <v>833</v>
      </c>
      <c r="H9" s="11" t="s">
        <v>819</v>
      </c>
      <c r="I9" s="11" t="s">
        <v>834</v>
      </c>
    </row>
    <row r="10" customFormat="false" ht="39.75" hidden="false" customHeight="true" outlineLevel="0" collapsed="false">
      <c r="A10" s="13" t="s">
        <v>835</v>
      </c>
      <c r="B10" s="13" t="s">
        <v>799</v>
      </c>
      <c r="C10" s="13" t="s">
        <v>836</v>
      </c>
      <c r="D10" s="13" t="s">
        <v>837</v>
      </c>
      <c r="E10" s="14" t="s">
        <v>838</v>
      </c>
      <c r="F10" s="13" t="s">
        <v>839</v>
      </c>
      <c r="G10" s="13" t="s">
        <v>840</v>
      </c>
      <c r="H10" s="13" t="s">
        <v>841</v>
      </c>
      <c r="I10" s="13" t="s">
        <v>842</v>
      </c>
    </row>
    <row r="11" customFormat="false" ht="51.75" hidden="false" customHeight="true" outlineLevel="0" collapsed="false">
      <c r="A11" s="11" t="s">
        <v>843</v>
      </c>
      <c r="B11" s="11" t="s">
        <v>799</v>
      </c>
      <c r="C11" s="11" t="s">
        <v>844</v>
      </c>
      <c r="D11" s="11" t="s">
        <v>845</v>
      </c>
      <c r="E11" s="12" t="s">
        <v>846</v>
      </c>
      <c r="F11" s="11" t="s">
        <v>847</v>
      </c>
      <c r="G11" s="11" t="s">
        <v>848</v>
      </c>
      <c r="H11" s="11" t="s">
        <v>434</v>
      </c>
      <c r="I11" s="11" t="s">
        <v>849</v>
      </c>
    </row>
    <row r="12" customFormat="false" ht="47.25" hidden="false" customHeight="true" outlineLevel="0" collapsed="false">
      <c r="A12" s="13" t="s">
        <v>850</v>
      </c>
      <c r="B12" s="13" t="s">
        <v>851</v>
      </c>
      <c r="C12" s="13" t="s">
        <v>852</v>
      </c>
      <c r="D12" s="13" t="s">
        <v>853</v>
      </c>
      <c r="E12" s="14" t="s">
        <v>854</v>
      </c>
      <c r="F12" s="13" t="s">
        <v>855</v>
      </c>
      <c r="G12" s="13" t="s">
        <v>856</v>
      </c>
      <c r="H12" s="13" t="s">
        <v>857</v>
      </c>
      <c r="I12" s="13" t="s">
        <v>858</v>
      </c>
    </row>
    <row r="13" customFormat="false" ht="39.75" hidden="false" customHeight="true" outlineLevel="0" collapsed="false">
      <c r="A13" s="11" t="s">
        <v>859</v>
      </c>
      <c r="B13" s="11" t="s">
        <v>851</v>
      </c>
      <c r="C13" s="11" t="s">
        <v>860</v>
      </c>
      <c r="D13" s="11" t="s">
        <v>861</v>
      </c>
      <c r="E13" s="12" t="s">
        <v>862</v>
      </c>
      <c r="F13" s="11" t="s">
        <v>863</v>
      </c>
      <c r="G13" s="11" t="s">
        <v>864</v>
      </c>
      <c r="H13" s="11" t="s">
        <v>476</v>
      </c>
      <c r="I13" s="11" t="s">
        <v>865</v>
      </c>
    </row>
    <row r="14" customFormat="false" ht="39.75" hidden="false" customHeight="true" outlineLevel="0" collapsed="false">
      <c r="A14" s="13" t="s">
        <v>866</v>
      </c>
      <c r="B14" s="13" t="s">
        <v>851</v>
      </c>
      <c r="C14" s="13" t="s">
        <v>867</v>
      </c>
      <c r="D14" s="13" t="s">
        <v>868</v>
      </c>
      <c r="E14" s="14" t="s">
        <v>869</v>
      </c>
      <c r="F14" s="13" t="s">
        <v>870</v>
      </c>
      <c r="G14" s="13" t="s">
        <v>871</v>
      </c>
      <c r="H14" s="13" t="s">
        <v>819</v>
      </c>
      <c r="I14" s="13" t="s">
        <v>872</v>
      </c>
    </row>
    <row r="15" customFormat="false" ht="60.75" hidden="false" customHeight="true" outlineLevel="0" collapsed="false">
      <c r="A15" s="11" t="s">
        <v>873</v>
      </c>
      <c r="B15" s="11" t="s">
        <v>851</v>
      </c>
      <c r="C15" s="11" t="s">
        <v>874</v>
      </c>
      <c r="D15" s="11" t="s">
        <v>875</v>
      </c>
      <c r="E15" s="12" t="s">
        <v>876</v>
      </c>
      <c r="F15" s="11" t="s">
        <v>877</v>
      </c>
      <c r="G15" s="11" t="s">
        <v>878</v>
      </c>
      <c r="H15" s="11" t="s">
        <v>819</v>
      </c>
      <c r="I15" s="11" t="s">
        <v>879</v>
      </c>
    </row>
    <row r="16" customFormat="false" ht="121.5" hidden="false" customHeight="true" outlineLevel="0" collapsed="false">
      <c r="A16" s="13" t="s">
        <v>880</v>
      </c>
      <c r="B16" s="13" t="s">
        <v>851</v>
      </c>
      <c r="C16" s="13" t="s">
        <v>881</v>
      </c>
      <c r="D16" s="13" t="s">
        <v>882</v>
      </c>
      <c r="E16" s="14" t="s">
        <v>883</v>
      </c>
      <c r="F16" s="13" t="s">
        <v>884</v>
      </c>
      <c r="G16" s="13" t="s">
        <v>885</v>
      </c>
      <c r="H16" s="13" t="s">
        <v>819</v>
      </c>
      <c r="I16" s="13" t="s">
        <v>886</v>
      </c>
    </row>
    <row r="17" customFormat="false" ht="39.75" hidden="false" customHeight="true" outlineLevel="0" collapsed="false">
      <c r="A17" s="11" t="s">
        <v>887</v>
      </c>
      <c r="B17" s="11" t="s">
        <v>888</v>
      </c>
      <c r="C17" s="11" t="s">
        <v>889</v>
      </c>
      <c r="D17" s="11" t="s">
        <v>890</v>
      </c>
      <c r="E17" s="12" t="s">
        <v>891</v>
      </c>
      <c r="F17" s="11" t="s">
        <v>892</v>
      </c>
      <c r="G17" s="11" t="s">
        <v>893</v>
      </c>
      <c r="H17" s="11" t="s">
        <v>170</v>
      </c>
      <c r="I17" s="11" t="s">
        <v>894</v>
      </c>
    </row>
    <row r="18" customFormat="false" ht="60.75" hidden="false" customHeight="true" outlineLevel="0" collapsed="false">
      <c r="A18" s="13" t="s">
        <v>895</v>
      </c>
      <c r="B18" s="13" t="s">
        <v>888</v>
      </c>
      <c r="C18" s="13" t="s">
        <v>896</v>
      </c>
      <c r="D18" s="13" t="s">
        <v>897</v>
      </c>
      <c r="E18" s="14" t="s">
        <v>898</v>
      </c>
      <c r="F18" s="13" t="s">
        <v>899</v>
      </c>
      <c r="G18" s="13" t="s">
        <v>900</v>
      </c>
      <c r="H18" s="13" t="s">
        <v>812</v>
      </c>
      <c r="I18" s="13" t="s">
        <v>901</v>
      </c>
    </row>
    <row r="19" customFormat="false" ht="39.75" hidden="false" customHeight="true" outlineLevel="0" collapsed="false">
      <c r="A19" s="11" t="s">
        <v>902</v>
      </c>
      <c r="B19" s="11" t="s">
        <v>888</v>
      </c>
      <c r="C19" s="11" t="s">
        <v>903</v>
      </c>
      <c r="D19" s="11" t="s">
        <v>904</v>
      </c>
      <c r="E19" s="12" t="s">
        <v>905</v>
      </c>
      <c r="F19" s="11" t="s">
        <v>906</v>
      </c>
      <c r="G19" s="11" t="s">
        <v>907</v>
      </c>
      <c r="H19" s="11" t="s">
        <v>170</v>
      </c>
      <c r="I19" s="11" t="s">
        <v>908</v>
      </c>
    </row>
    <row r="20" customFormat="false" ht="47.25" hidden="false" customHeight="true" outlineLevel="0" collapsed="false">
      <c r="A20" s="13" t="s">
        <v>909</v>
      </c>
      <c r="B20" s="13" t="s">
        <v>888</v>
      </c>
      <c r="C20" s="13" t="s">
        <v>910</v>
      </c>
      <c r="D20" s="13" t="s">
        <v>911</v>
      </c>
      <c r="E20" s="14" t="s">
        <v>912</v>
      </c>
      <c r="F20" s="13" t="s">
        <v>913</v>
      </c>
      <c r="G20" s="13" t="s">
        <v>914</v>
      </c>
      <c r="H20" s="13" t="s">
        <v>170</v>
      </c>
      <c r="I20" s="13" t="s">
        <v>915</v>
      </c>
    </row>
    <row r="21" customFormat="false" ht="39.75" hidden="false" customHeight="true" outlineLevel="0" collapsed="false">
      <c r="A21" s="11" t="s">
        <v>916</v>
      </c>
      <c r="B21" s="11" t="s">
        <v>888</v>
      </c>
      <c r="C21" s="11" t="s">
        <v>917</v>
      </c>
      <c r="D21" s="11" t="s">
        <v>918</v>
      </c>
      <c r="E21" s="12" t="s">
        <v>919</v>
      </c>
      <c r="F21" s="11" t="s">
        <v>920</v>
      </c>
      <c r="G21" s="11" t="s">
        <v>921</v>
      </c>
      <c r="H21" s="11" t="s">
        <v>170</v>
      </c>
      <c r="I21" s="11" t="s">
        <v>922</v>
      </c>
    </row>
    <row r="22" customFormat="false" ht="39.75" hidden="false" customHeight="true" outlineLevel="0" collapsed="false">
      <c r="A22" s="13" t="s">
        <v>923</v>
      </c>
      <c r="B22" s="13" t="s">
        <v>888</v>
      </c>
      <c r="C22" s="13" t="s">
        <v>924</v>
      </c>
      <c r="D22" s="13" t="s">
        <v>925</v>
      </c>
      <c r="E22" s="14" t="s">
        <v>926</v>
      </c>
      <c r="F22" s="13" t="s">
        <v>927</v>
      </c>
      <c r="G22" s="13" t="s">
        <v>928</v>
      </c>
      <c r="H22" s="13" t="s">
        <v>170</v>
      </c>
      <c r="I22" s="13" t="s">
        <v>929</v>
      </c>
    </row>
    <row r="23" customFormat="false" ht="39.75" hidden="false" customHeight="true" outlineLevel="0" collapsed="false">
      <c r="A23" s="11" t="s">
        <v>930</v>
      </c>
      <c r="B23" s="11" t="s">
        <v>888</v>
      </c>
      <c r="C23" s="11" t="s">
        <v>931</v>
      </c>
      <c r="D23" s="11" t="s">
        <v>932</v>
      </c>
      <c r="E23" s="12" t="s">
        <v>933</v>
      </c>
      <c r="F23" s="11" t="s">
        <v>934</v>
      </c>
      <c r="G23" s="11" t="s">
        <v>935</v>
      </c>
      <c r="H23" s="11" t="s">
        <v>170</v>
      </c>
      <c r="I23" s="11" t="s">
        <v>936</v>
      </c>
    </row>
    <row r="24" customFormat="false" ht="73.5" hidden="false" customHeight="true" outlineLevel="0" collapsed="false">
      <c r="A24" s="13" t="s">
        <v>937</v>
      </c>
      <c r="B24" s="13" t="s">
        <v>888</v>
      </c>
      <c r="C24" s="13" t="s">
        <v>938</v>
      </c>
      <c r="D24" s="13" t="s">
        <v>939</v>
      </c>
      <c r="E24" s="14" t="s">
        <v>940</v>
      </c>
      <c r="F24" s="13" t="s">
        <v>941</v>
      </c>
      <c r="G24" s="13" t="s">
        <v>942</v>
      </c>
      <c r="H24" s="13" t="s">
        <v>819</v>
      </c>
      <c r="I24" s="13" t="s">
        <v>943</v>
      </c>
    </row>
    <row r="25" customFormat="false" ht="39.75" hidden="false" customHeight="true" outlineLevel="0" collapsed="false">
      <c r="A25" s="11" t="s">
        <v>944</v>
      </c>
      <c r="B25" s="11" t="s">
        <v>945</v>
      </c>
      <c r="C25" s="11" t="s">
        <v>946</v>
      </c>
      <c r="D25" s="11" t="s">
        <v>947</v>
      </c>
      <c r="E25" s="12" t="s">
        <v>948</v>
      </c>
      <c r="F25" s="11" t="s">
        <v>949</v>
      </c>
      <c r="G25" s="11" t="s">
        <v>950</v>
      </c>
      <c r="H25" s="11" t="s">
        <v>170</v>
      </c>
      <c r="I25" s="11" t="s">
        <v>951</v>
      </c>
    </row>
    <row r="26" customFormat="false" ht="47.25" hidden="false" customHeight="true" outlineLevel="0" collapsed="false">
      <c r="A26" s="13" t="s">
        <v>952</v>
      </c>
      <c r="B26" s="13" t="s">
        <v>945</v>
      </c>
      <c r="C26" s="13" t="s">
        <v>953</v>
      </c>
      <c r="D26" s="13" t="s">
        <v>954</v>
      </c>
      <c r="E26" s="14" t="s">
        <v>955</v>
      </c>
      <c r="F26" s="13" t="s">
        <v>956</v>
      </c>
      <c r="G26" s="13" t="s">
        <v>957</v>
      </c>
      <c r="H26" s="13" t="s">
        <v>958</v>
      </c>
      <c r="I26" s="13" t="s">
        <v>959</v>
      </c>
    </row>
    <row r="27" customFormat="false" ht="39.75" hidden="false" customHeight="true" outlineLevel="0" collapsed="false">
      <c r="A27" s="11" t="s">
        <v>960</v>
      </c>
      <c r="B27" s="11" t="s">
        <v>945</v>
      </c>
      <c r="C27" s="11" t="s">
        <v>961</v>
      </c>
      <c r="D27" s="11" t="s">
        <v>962</v>
      </c>
      <c r="E27" s="12" t="s">
        <v>963</v>
      </c>
      <c r="F27" s="11" t="s">
        <v>964</v>
      </c>
      <c r="G27" s="11" t="s">
        <v>965</v>
      </c>
      <c r="H27" s="11" t="s">
        <v>170</v>
      </c>
      <c r="I27" s="11" t="s">
        <v>966</v>
      </c>
    </row>
    <row r="28" customFormat="false" ht="39.75" hidden="false" customHeight="true" outlineLevel="0" collapsed="false">
      <c r="A28" s="13" t="s">
        <v>967</v>
      </c>
      <c r="B28" s="13" t="s">
        <v>945</v>
      </c>
      <c r="C28" s="13" t="s">
        <v>968</v>
      </c>
      <c r="D28" s="13" t="s">
        <v>969</v>
      </c>
      <c r="E28" s="14" t="s">
        <v>970</v>
      </c>
      <c r="F28" s="13" t="s">
        <v>971</v>
      </c>
      <c r="G28" s="13" t="s">
        <v>972</v>
      </c>
      <c r="H28" s="13" t="s">
        <v>170</v>
      </c>
      <c r="I28" s="13" t="s">
        <v>973</v>
      </c>
    </row>
    <row r="29" customFormat="false" ht="39.75" hidden="false" customHeight="true" outlineLevel="0" collapsed="false">
      <c r="A29" s="11" t="s">
        <v>974</v>
      </c>
      <c r="B29" s="11" t="s">
        <v>945</v>
      </c>
      <c r="C29" s="11" t="s">
        <v>975</v>
      </c>
      <c r="D29" s="11" t="s">
        <v>976</v>
      </c>
      <c r="E29" s="12" t="s">
        <v>977</v>
      </c>
      <c r="F29" s="11" t="s">
        <v>978</v>
      </c>
      <c r="G29" s="11" t="s">
        <v>979</v>
      </c>
      <c r="H29" s="11" t="s">
        <v>980</v>
      </c>
      <c r="I29" s="11" t="s">
        <v>981</v>
      </c>
    </row>
    <row r="30" customFormat="false" ht="39.75" hidden="false" customHeight="true" outlineLevel="0" collapsed="false">
      <c r="A30" s="13" t="s">
        <v>982</v>
      </c>
      <c r="B30" s="13" t="s">
        <v>983</v>
      </c>
      <c r="C30" s="13" t="s">
        <v>984</v>
      </c>
      <c r="D30" s="13" t="s">
        <v>985</v>
      </c>
      <c r="E30" s="14" t="s">
        <v>986</v>
      </c>
      <c r="F30" s="13" t="s">
        <v>987</v>
      </c>
      <c r="G30" s="13" t="s">
        <v>848</v>
      </c>
      <c r="H30" s="13" t="s">
        <v>476</v>
      </c>
      <c r="I30" s="13" t="s">
        <v>988</v>
      </c>
    </row>
    <row r="31" customFormat="false" ht="39.75" hidden="false" customHeight="true" outlineLevel="0" collapsed="false">
      <c r="A31" s="11" t="s">
        <v>989</v>
      </c>
      <c r="B31" s="11" t="s">
        <v>983</v>
      </c>
      <c r="C31" s="11" t="s">
        <v>990</v>
      </c>
      <c r="D31" s="11" t="s">
        <v>991</v>
      </c>
      <c r="E31" s="12" t="s">
        <v>992</v>
      </c>
      <c r="F31" s="11" t="s">
        <v>993</v>
      </c>
      <c r="G31" s="11" t="s">
        <v>994</v>
      </c>
      <c r="H31" s="11" t="s">
        <v>476</v>
      </c>
      <c r="I31" s="11" t="s">
        <v>995</v>
      </c>
    </row>
    <row r="32" customFormat="false" ht="39.75" hidden="false" customHeight="true" outlineLevel="0" collapsed="false">
      <c r="A32" s="13" t="s">
        <v>996</v>
      </c>
      <c r="B32" s="13" t="s">
        <v>983</v>
      </c>
      <c r="C32" s="13" t="s">
        <v>997</v>
      </c>
      <c r="D32" s="13" t="s">
        <v>998</v>
      </c>
      <c r="E32" s="14" t="s">
        <v>999</v>
      </c>
      <c r="F32" s="13" t="s">
        <v>1000</v>
      </c>
      <c r="G32" s="13" t="s">
        <v>1001</v>
      </c>
      <c r="H32" s="13" t="s">
        <v>1002</v>
      </c>
      <c r="I32" s="13" t="s">
        <v>1003</v>
      </c>
    </row>
    <row r="33" customFormat="false" ht="60.75" hidden="false" customHeight="true" outlineLevel="0" collapsed="false">
      <c r="A33" s="11" t="s">
        <v>1004</v>
      </c>
      <c r="B33" s="11" t="s">
        <v>983</v>
      </c>
      <c r="C33" s="11" t="s">
        <v>1005</v>
      </c>
      <c r="D33" s="11" t="s">
        <v>1006</v>
      </c>
      <c r="E33" s="12" t="s">
        <v>1007</v>
      </c>
      <c r="F33" s="11" t="s">
        <v>1008</v>
      </c>
      <c r="G33" s="11" t="s">
        <v>1009</v>
      </c>
      <c r="H33" s="11" t="s">
        <v>1010</v>
      </c>
      <c r="I33" s="11" t="s">
        <v>1011</v>
      </c>
    </row>
    <row r="34" customFormat="false" ht="39.75" hidden="false" customHeight="true" outlineLevel="0" collapsed="false">
      <c r="A34" s="13" t="s">
        <v>1012</v>
      </c>
      <c r="B34" s="13" t="s">
        <v>983</v>
      </c>
      <c r="C34" s="13" t="s">
        <v>1013</v>
      </c>
      <c r="D34" s="13" t="s">
        <v>1014</v>
      </c>
      <c r="E34" s="14" t="s">
        <v>1015</v>
      </c>
      <c r="F34" s="13" t="s">
        <v>1016</v>
      </c>
      <c r="G34" s="13" t="s">
        <v>1017</v>
      </c>
      <c r="H34" s="13" t="s">
        <v>456</v>
      </c>
      <c r="I34" s="13" t="s">
        <v>1018</v>
      </c>
    </row>
    <row r="35" customFormat="false" ht="113.25" hidden="false" customHeight="true" outlineLevel="0" collapsed="false">
      <c r="A35" s="11" t="s">
        <v>1019</v>
      </c>
      <c r="B35" s="11" t="s">
        <v>983</v>
      </c>
      <c r="C35" s="11" t="s">
        <v>1020</v>
      </c>
      <c r="D35" s="11" t="s">
        <v>1021</v>
      </c>
      <c r="E35" s="12" t="s">
        <v>1022</v>
      </c>
      <c r="F35" s="11" t="s">
        <v>1023</v>
      </c>
      <c r="G35" s="11" t="s">
        <v>1024</v>
      </c>
      <c r="H35" s="11" t="s">
        <v>1025</v>
      </c>
      <c r="I35" s="11" t="s">
        <v>1026</v>
      </c>
    </row>
    <row r="36" customFormat="false" ht="73.5" hidden="false" customHeight="true" outlineLevel="0" collapsed="false">
      <c r="A36" s="13" t="s">
        <v>1027</v>
      </c>
      <c r="B36" s="13" t="s">
        <v>983</v>
      </c>
      <c r="C36" s="13" t="s">
        <v>1028</v>
      </c>
      <c r="D36" s="13" t="s">
        <v>1029</v>
      </c>
      <c r="E36" s="14" t="s">
        <v>1030</v>
      </c>
      <c r="F36" s="13" t="s">
        <v>1031</v>
      </c>
      <c r="G36" s="13" t="s">
        <v>1032</v>
      </c>
      <c r="H36" s="13" t="s">
        <v>170</v>
      </c>
      <c r="I36" s="13" t="s">
        <v>1033</v>
      </c>
    </row>
    <row r="37" customFormat="false" ht="60.75" hidden="false" customHeight="true" outlineLevel="0" collapsed="false">
      <c r="A37" s="11" t="s">
        <v>1034</v>
      </c>
      <c r="B37" s="11" t="s">
        <v>983</v>
      </c>
      <c r="C37" s="11" t="s">
        <v>1035</v>
      </c>
      <c r="D37" s="11" t="s">
        <v>1036</v>
      </c>
      <c r="E37" s="12" t="s">
        <v>1037</v>
      </c>
      <c r="F37" s="11" t="s">
        <v>1027</v>
      </c>
      <c r="G37" s="11" t="s">
        <v>1038</v>
      </c>
      <c r="H37" s="11" t="s">
        <v>170</v>
      </c>
      <c r="I37" s="11" t="s">
        <v>1039</v>
      </c>
    </row>
    <row r="38" customFormat="false" ht="39.75" hidden="false" customHeight="true" outlineLevel="0" collapsed="false">
      <c r="A38" s="13" t="s">
        <v>1040</v>
      </c>
      <c r="B38" s="13" t="s">
        <v>1041</v>
      </c>
      <c r="C38" s="13" t="s">
        <v>1042</v>
      </c>
      <c r="D38" s="13" t="s">
        <v>1043</v>
      </c>
      <c r="E38" s="14" t="s">
        <v>1044</v>
      </c>
      <c r="F38" s="13" t="s">
        <v>1045</v>
      </c>
      <c r="G38" s="13" t="s">
        <v>1046</v>
      </c>
      <c r="H38" s="13" t="s">
        <v>1047</v>
      </c>
      <c r="I38" s="13" t="s">
        <v>1048</v>
      </c>
    </row>
    <row r="39" customFormat="false" ht="121.5" hidden="false" customHeight="true" outlineLevel="0" collapsed="false">
      <c r="A39" s="11" t="s">
        <v>1049</v>
      </c>
      <c r="B39" s="11" t="s">
        <v>1041</v>
      </c>
      <c r="C39" s="11" t="s">
        <v>1050</v>
      </c>
      <c r="D39" s="11" t="s">
        <v>1051</v>
      </c>
      <c r="E39" s="12" t="s">
        <v>1052</v>
      </c>
      <c r="F39" s="11" t="s">
        <v>1053</v>
      </c>
      <c r="G39" s="11" t="s">
        <v>1054</v>
      </c>
      <c r="H39" s="11" t="s">
        <v>476</v>
      </c>
      <c r="I39" s="11" t="s">
        <v>1055</v>
      </c>
    </row>
    <row r="40" customFormat="false" ht="108" hidden="false" customHeight="true" outlineLevel="0" collapsed="false">
      <c r="A40" s="13" t="s">
        <v>1056</v>
      </c>
      <c r="B40" s="13" t="s">
        <v>1041</v>
      </c>
      <c r="C40" s="13" t="s">
        <v>1057</v>
      </c>
      <c r="D40" s="13" t="s">
        <v>1058</v>
      </c>
      <c r="E40" s="14" t="s">
        <v>1059</v>
      </c>
      <c r="F40" s="13" t="s">
        <v>1060</v>
      </c>
      <c r="G40" s="13" t="s">
        <v>1061</v>
      </c>
      <c r="H40" s="13" t="s">
        <v>170</v>
      </c>
      <c r="I40" s="13" t="s">
        <v>1062</v>
      </c>
    </row>
    <row r="41" customFormat="false" ht="39.75" hidden="false" customHeight="true" outlineLevel="0" collapsed="false">
      <c r="A41" s="11" t="s">
        <v>1063</v>
      </c>
      <c r="B41" s="11" t="s">
        <v>1041</v>
      </c>
      <c r="C41" s="11" t="s">
        <v>1064</v>
      </c>
      <c r="D41" s="11" t="s">
        <v>1065</v>
      </c>
      <c r="E41" s="12" t="s">
        <v>1066</v>
      </c>
      <c r="F41" s="11" t="s">
        <v>1067</v>
      </c>
      <c r="G41" s="11" t="s">
        <v>1068</v>
      </c>
      <c r="H41" s="11" t="s">
        <v>1069</v>
      </c>
      <c r="I41" s="11" t="s">
        <v>1070</v>
      </c>
    </row>
    <row r="42" customFormat="false" ht="39.75" hidden="false" customHeight="true" outlineLevel="0" collapsed="false">
      <c r="A42" s="13" t="s">
        <v>1071</v>
      </c>
      <c r="B42" s="13" t="s">
        <v>1041</v>
      </c>
      <c r="C42" s="13" t="s">
        <v>1072</v>
      </c>
      <c r="D42" s="13" t="s">
        <v>1073</v>
      </c>
      <c r="E42" s="14" t="s">
        <v>1074</v>
      </c>
      <c r="F42" s="13" t="s">
        <v>1075</v>
      </c>
      <c r="G42" s="13" t="s">
        <v>1076</v>
      </c>
      <c r="H42" s="13" t="s">
        <v>476</v>
      </c>
      <c r="I42" s="13" t="s">
        <v>1077</v>
      </c>
    </row>
    <row r="44" customFormat="false" ht="17.25" hidden="false" customHeight="true" outlineLevel="0" collapsed="false">
      <c r="A44" s="9" t="s">
        <v>1078</v>
      </c>
    </row>
    <row r="46" customFormat="false" ht="33.75" hidden="false" customHeight="true" outlineLevel="0" collapsed="false">
      <c r="A46" s="15" t="s">
        <v>154</v>
      </c>
      <c r="B46" s="15" t="s">
        <v>1079</v>
      </c>
      <c r="C46" s="15" t="s">
        <v>1080</v>
      </c>
      <c r="D46" s="15" t="s">
        <v>157</v>
      </c>
      <c r="E46" s="15" t="s">
        <v>1081</v>
      </c>
      <c r="F46" s="15" t="s">
        <v>1082</v>
      </c>
      <c r="G46" s="16"/>
      <c r="H46" s="16"/>
      <c r="I46" s="16"/>
    </row>
    <row r="47" customFormat="false" ht="34.5" hidden="false" customHeight="true" outlineLevel="0" collapsed="false">
      <c r="A47" s="17" t="s">
        <v>1083</v>
      </c>
      <c r="B47" s="17" t="s">
        <v>1084</v>
      </c>
      <c r="C47" s="17" t="s">
        <v>1085</v>
      </c>
      <c r="D47" s="17" t="s">
        <v>1086</v>
      </c>
      <c r="E47" s="17" t="s">
        <v>1087</v>
      </c>
      <c r="F47" s="17" t="s">
        <v>1088</v>
      </c>
      <c r="G47" s="16"/>
      <c r="H47" s="16"/>
      <c r="I47" s="16"/>
    </row>
    <row r="48" customFormat="false" ht="34.5" hidden="false" customHeight="true" outlineLevel="0" collapsed="false">
      <c r="A48" s="18" t="s">
        <v>1089</v>
      </c>
      <c r="B48" s="18" t="s">
        <v>1090</v>
      </c>
      <c r="C48" s="18" t="s">
        <v>1091</v>
      </c>
      <c r="D48" s="18" t="s">
        <v>1092</v>
      </c>
      <c r="E48" s="18" t="s">
        <v>806</v>
      </c>
      <c r="F48" s="18" t="s">
        <v>1093</v>
      </c>
      <c r="G48" s="16"/>
      <c r="H48" s="16"/>
      <c r="I48" s="16"/>
    </row>
    <row r="49" customFormat="false" ht="34.5" hidden="false" customHeight="true" outlineLevel="0" collapsed="false">
      <c r="A49" s="17" t="s">
        <v>1094</v>
      </c>
      <c r="B49" s="17" t="s">
        <v>1095</v>
      </c>
      <c r="C49" s="17" t="s">
        <v>1096</v>
      </c>
      <c r="D49" s="17" t="s">
        <v>1097</v>
      </c>
      <c r="E49" s="17" t="s">
        <v>850</v>
      </c>
      <c r="F49" s="17" t="s">
        <v>1093</v>
      </c>
      <c r="G49" s="16"/>
      <c r="H49" s="16"/>
      <c r="I49" s="16"/>
    </row>
    <row r="50" customFormat="false" ht="27" hidden="false" customHeight="true" outlineLevel="0" collapsed="false">
      <c r="A50" s="18" t="s">
        <v>1098</v>
      </c>
      <c r="B50" s="18" t="s">
        <v>1099</v>
      </c>
      <c r="C50" s="18" t="s">
        <v>1100</v>
      </c>
      <c r="D50" s="18" t="s">
        <v>1101</v>
      </c>
      <c r="E50" s="18" t="s">
        <v>850</v>
      </c>
      <c r="F50" s="18" t="s">
        <v>1093</v>
      </c>
      <c r="G50" s="16"/>
      <c r="H50" s="16"/>
      <c r="I50" s="16"/>
    </row>
    <row r="51" customFormat="false" ht="27" hidden="false" customHeight="true" outlineLevel="0" collapsed="false">
      <c r="A51" s="17" t="s">
        <v>1102</v>
      </c>
      <c r="B51" s="17" t="s">
        <v>1103</v>
      </c>
      <c r="C51" s="17" t="s">
        <v>1104</v>
      </c>
      <c r="D51" s="17" t="s">
        <v>1105</v>
      </c>
      <c r="E51" s="17" t="s">
        <v>859</v>
      </c>
      <c r="F51" s="17" t="s">
        <v>1093</v>
      </c>
      <c r="G51" s="16"/>
      <c r="H51" s="16"/>
      <c r="I51" s="16"/>
    </row>
    <row r="52" customFormat="false" ht="27" hidden="false" customHeight="true" outlineLevel="0" collapsed="false">
      <c r="A52" s="18" t="s">
        <v>1106</v>
      </c>
      <c r="B52" s="18" t="s">
        <v>1107</v>
      </c>
      <c r="C52" s="18" t="s">
        <v>1108</v>
      </c>
      <c r="D52" s="18" t="s">
        <v>1109</v>
      </c>
      <c r="E52" s="18" t="s">
        <v>1027</v>
      </c>
      <c r="F52" s="18" t="s">
        <v>1093</v>
      </c>
      <c r="G52" s="16"/>
      <c r="H52" s="16"/>
      <c r="I52" s="16"/>
    </row>
    <row r="53" customFormat="false" ht="27" hidden="false" customHeight="true" outlineLevel="0" collapsed="false">
      <c r="A53" s="17" t="s">
        <v>1110</v>
      </c>
      <c r="B53" s="17" t="s">
        <v>1111</v>
      </c>
      <c r="C53" s="17" t="s">
        <v>1112</v>
      </c>
      <c r="D53" s="17" t="s">
        <v>1113</v>
      </c>
      <c r="E53" s="17" t="s">
        <v>1027</v>
      </c>
      <c r="F53" s="17" t="s">
        <v>1093</v>
      </c>
      <c r="G53" s="16"/>
      <c r="H53" s="16"/>
      <c r="I53" s="16"/>
    </row>
    <row r="54" customFormat="false" ht="27" hidden="false" customHeight="true" outlineLevel="0" collapsed="false">
      <c r="A54" s="18" t="s">
        <v>1114</v>
      </c>
      <c r="B54" s="18" t="s">
        <v>1115</v>
      </c>
      <c r="C54" s="18" t="s">
        <v>1116</v>
      </c>
      <c r="D54" s="18" t="s">
        <v>1117</v>
      </c>
      <c r="E54" s="18" t="s">
        <v>1118</v>
      </c>
      <c r="F54" s="18" t="s">
        <v>1093</v>
      </c>
      <c r="G54" s="16"/>
      <c r="H54" s="16"/>
      <c r="I54" s="16"/>
    </row>
    <row r="55" customFormat="false" ht="34.5" hidden="false" customHeight="true" outlineLevel="0" collapsed="false">
      <c r="A55" s="17" t="s">
        <v>1119</v>
      </c>
      <c r="B55" s="17" t="s">
        <v>1120</v>
      </c>
      <c r="C55" s="17" t="s">
        <v>1091</v>
      </c>
      <c r="D55" s="17" t="s">
        <v>1121</v>
      </c>
      <c r="E55" s="17" t="s">
        <v>843</v>
      </c>
      <c r="F55" s="17" t="s">
        <v>1093</v>
      </c>
      <c r="G55" s="16"/>
      <c r="H55" s="16"/>
      <c r="I55" s="16"/>
    </row>
    <row r="56" customFormat="false" ht="34.5" hidden="false" customHeight="true" outlineLevel="0" collapsed="false">
      <c r="A56" s="18" t="s">
        <v>1122</v>
      </c>
      <c r="B56" s="18" t="s">
        <v>1123</v>
      </c>
      <c r="C56" s="18" t="s">
        <v>1124</v>
      </c>
      <c r="D56" s="18" t="s">
        <v>1125</v>
      </c>
      <c r="E56" s="18" t="s">
        <v>1126</v>
      </c>
      <c r="F56" s="18" t="s">
        <v>1093</v>
      </c>
      <c r="G56" s="16"/>
      <c r="H56" s="16"/>
      <c r="I56" s="1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3" activePane="bottomLeft" state="frozen"/>
      <selection pane="topLeft" activeCell="A1" activeCellId="0" sqref="A1"/>
      <selection pane="bottomLeft" activeCell="D9" activeCellId="0" sqref="D9"/>
    </sheetView>
  </sheetViews>
  <sheetFormatPr defaultColWidth="8.6796875" defaultRowHeight="13.5" zeroHeight="false" outlineLevelRow="0" outlineLevelCol="0"/>
  <cols>
    <col collapsed="false" customWidth="true" hidden="false" outlineLevel="0" max="1" min="1" style="0" width="14"/>
    <col collapsed="false" customWidth="true" hidden="false" outlineLevel="0" max="2" min="2" style="0" width="31"/>
    <col collapsed="false" customWidth="true" hidden="false" outlineLevel="0" max="3" min="3" style="0" width="34"/>
    <col collapsed="false" customWidth="true" hidden="false" outlineLevel="0" max="4" min="4" style="0" width="49"/>
    <col collapsed="false" customWidth="true" hidden="false" outlineLevel="0" max="5" min="5" style="0" width="70"/>
    <col collapsed="false" customWidth="true" hidden="false" outlineLevel="0" max="6" min="6" style="0" width="53"/>
    <col collapsed="false" customWidth="true" hidden="false" outlineLevel="0" max="7" min="7" style="0" width="65"/>
    <col collapsed="false" customWidth="true" hidden="false" outlineLevel="0" max="8" min="8" style="0" width="24"/>
    <col collapsed="false" customWidth="true" hidden="false" outlineLevel="0" max="9" min="9" style="0" width="68"/>
  </cols>
  <sheetData>
    <row r="1" customFormat="false" ht="13.5" hidden="false" customHeight="false" outlineLevel="0" collapsed="false">
      <c r="A1" s="19"/>
      <c r="B1" s="19"/>
      <c r="C1" s="19"/>
      <c r="D1" s="19"/>
      <c r="E1" s="19"/>
      <c r="F1" s="19"/>
      <c r="G1" s="19"/>
      <c r="H1" s="19"/>
      <c r="I1" s="19"/>
      <c r="J1" s="19"/>
      <c r="K1" s="19"/>
      <c r="L1" s="19"/>
      <c r="M1" s="19"/>
      <c r="N1" s="19"/>
      <c r="O1" s="19"/>
      <c r="P1" s="19"/>
      <c r="Q1" s="19"/>
      <c r="R1" s="19"/>
      <c r="S1" s="19"/>
      <c r="T1" s="19"/>
      <c r="U1" s="19"/>
    </row>
    <row r="2" customFormat="false" ht="15" hidden="false" customHeight="true" outlineLevel="0" collapsed="false">
      <c r="A2" s="9" t="s">
        <v>1127</v>
      </c>
      <c r="B2" s="19"/>
      <c r="C2" s="19"/>
      <c r="D2" s="19"/>
      <c r="E2" s="19"/>
      <c r="F2" s="19"/>
      <c r="G2" s="19"/>
      <c r="H2" s="19"/>
      <c r="I2" s="19"/>
      <c r="J2" s="19"/>
      <c r="K2" s="19"/>
      <c r="L2" s="19"/>
      <c r="M2" s="19"/>
      <c r="N2" s="19"/>
      <c r="O2" s="19"/>
      <c r="P2" s="19"/>
      <c r="Q2" s="19"/>
      <c r="R2" s="19"/>
      <c r="S2" s="19"/>
      <c r="T2" s="19"/>
      <c r="U2" s="19"/>
    </row>
    <row r="3" customFormat="false" ht="13.5" hidden="false" customHeight="false" outlineLevel="0" collapsed="false">
      <c r="A3" s="19"/>
      <c r="B3" s="19"/>
      <c r="C3" s="19"/>
      <c r="D3" s="19"/>
      <c r="E3" s="19"/>
      <c r="F3" s="19"/>
      <c r="G3" s="19"/>
      <c r="H3" s="19"/>
      <c r="I3" s="19"/>
      <c r="J3" s="19"/>
      <c r="K3" s="19"/>
      <c r="L3" s="19"/>
      <c r="M3" s="19"/>
      <c r="N3" s="19"/>
      <c r="O3" s="19"/>
      <c r="P3" s="19"/>
      <c r="Q3" s="19"/>
      <c r="R3" s="19"/>
      <c r="S3" s="19"/>
      <c r="T3" s="19"/>
      <c r="U3" s="19"/>
    </row>
    <row r="4" customFormat="false" ht="30" hidden="false" customHeight="true" outlineLevel="0" collapsed="false">
      <c r="A4" s="10" t="s">
        <v>154</v>
      </c>
      <c r="B4" s="10" t="s">
        <v>155</v>
      </c>
      <c r="C4" s="10" t="s">
        <v>156</v>
      </c>
      <c r="D4" s="10" t="s">
        <v>157</v>
      </c>
      <c r="E4" s="10" t="s">
        <v>158</v>
      </c>
      <c r="F4" s="10" t="s">
        <v>159</v>
      </c>
      <c r="G4" s="10" t="s">
        <v>160</v>
      </c>
      <c r="H4" s="10" t="s">
        <v>161</v>
      </c>
      <c r="I4" s="10" t="s">
        <v>162</v>
      </c>
      <c r="J4" s="19"/>
      <c r="K4" s="19"/>
      <c r="L4" s="19"/>
      <c r="M4" s="19"/>
      <c r="N4" s="19"/>
      <c r="O4" s="19"/>
      <c r="P4" s="19"/>
      <c r="Q4" s="19"/>
      <c r="R4" s="19"/>
      <c r="S4" s="19"/>
      <c r="T4" s="19"/>
      <c r="U4" s="19"/>
    </row>
    <row r="5" customFormat="false" ht="94.5" hidden="false" customHeight="true" outlineLevel="0" collapsed="false">
      <c r="A5" s="11" t="s">
        <v>1128</v>
      </c>
      <c r="B5" s="11" t="s">
        <v>1129</v>
      </c>
      <c r="C5" s="11" t="s">
        <v>1130</v>
      </c>
      <c r="D5" s="11" t="s">
        <v>1131</v>
      </c>
      <c r="E5" s="12" t="s">
        <v>1132</v>
      </c>
      <c r="F5" s="11" t="s">
        <v>1133</v>
      </c>
      <c r="G5" s="11" t="s">
        <v>1134</v>
      </c>
      <c r="H5" s="11" t="s">
        <v>670</v>
      </c>
      <c r="I5" s="11" t="s">
        <v>1135</v>
      </c>
      <c r="J5" s="19"/>
      <c r="K5" s="19"/>
      <c r="L5" s="19"/>
      <c r="M5" s="19"/>
      <c r="N5" s="19"/>
      <c r="O5" s="19"/>
      <c r="P5" s="19"/>
      <c r="Q5" s="19"/>
      <c r="R5" s="19"/>
      <c r="S5" s="19"/>
      <c r="T5" s="19"/>
      <c r="U5" s="19"/>
    </row>
    <row r="6" customFormat="false" ht="94.5" hidden="false" customHeight="true" outlineLevel="0" collapsed="false">
      <c r="A6" s="13" t="s">
        <v>1136</v>
      </c>
      <c r="B6" s="13" t="s">
        <v>1129</v>
      </c>
      <c r="C6" s="13" t="s">
        <v>1137</v>
      </c>
      <c r="D6" s="13" t="s">
        <v>1138</v>
      </c>
      <c r="E6" s="14" t="s">
        <v>1139</v>
      </c>
      <c r="F6" s="13" t="s">
        <v>1140</v>
      </c>
      <c r="G6" s="13" t="s">
        <v>1141</v>
      </c>
      <c r="H6" s="13" t="s">
        <v>1142</v>
      </c>
      <c r="I6" s="13" t="s">
        <v>1143</v>
      </c>
      <c r="J6" s="19"/>
      <c r="K6" s="19"/>
      <c r="L6" s="19"/>
      <c r="M6" s="19"/>
      <c r="N6" s="19"/>
      <c r="O6" s="19"/>
      <c r="P6" s="19"/>
      <c r="Q6" s="19"/>
      <c r="R6" s="19"/>
      <c r="S6" s="19"/>
      <c r="T6" s="19"/>
      <c r="U6" s="19"/>
    </row>
    <row r="7" customFormat="false" ht="94.5" hidden="false" customHeight="true" outlineLevel="0" collapsed="false">
      <c r="A7" s="11" t="s">
        <v>1144</v>
      </c>
      <c r="B7" s="11" t="s">
        <v>1129</v>
      </c>
      <c r="C7" s="11" t="s">
        <v>1145</v>
      </c>
      <c r="D7" s="11" t="s">
        <v>1146</v>
      </c>
      <c r="E7" s="12" t="s">
        <v>1147</v>
      </c>
      <c r="F7" s="11" t="s">
        <v>1148</v>
      </c>
      <c r="G7" s="11" t="s">
        <v>1149</v>
      </c>
      <c r="H7" s="11" t="s">
        <v>1150</v>
      </c>
      <c r="I7" s="11" t="s">
        <v>1151</v>
      </c>
      <c r="J7" s="19"/>
      <c r="K7" s="19"/>
      <c r="L7" s="19"/>
      <c r="M7" s="19"/>
      <c r="N7" s="19"/>
      <c r="O7" s="19"/>
      <c r="P7" s="19"/>
      <c r="Q7" s="19"/>
      <c r="R7" s="19"/>
      <c r="S7" s="19"/>
      <c r="T7" s="19"/>
      <c r="U7" s="19"/>
    </row>
    <row r="8" customFormat="false" ht="94.5" hidden="false" customHeight="true" outlineLevel="0" collapsed="false">
      <c r="A8" s="13" t="s">
        <v>1152</v>
      </c>
      <c r="B8" s="13" t="s">
        <v>1153</v>
      </c>
      <c r="C8" s="13" t="s">
        <v>1154</v>
      </c>
      <c r="D8" s="13" t="s">
        <v>1155</v>
      </c>
      <c r="E8" s="14" t="s">
        <v>1156</v>
      </c>
      <c r="F8" s="13" t="s">
        <v>1157</v>
      </c>
      <c r="G8" s="13" t="s">
        <v>1158</v>
      </c>
      <c r="H8" s="13" t="s">
        <v>170</v>
      </c>
      <c r="I8" s="13" t="s">
        <v>1159</v>
      </c>
      <c r="J8" s="19"/>
      <c r="K8" s="19"/>
      <c r="L8" s="19"/>
      <c r="M8" s="19"/>
      <c r="N8" s="19"/>
      <c r="O8" s="19"/>
      <c r="P8" s="19"/>
      <c r="Q8" s="19"/>
      <c r="R8" s="19"/>
      <c r="S8" s="19"/>
      <c r="T8" s="19"/>
      <c r="U8" s="19"/>
    </row>
    <row r="9" customFormat="false" ht="94.5" hidden="false" customHeight="true" outlineLevel="0" collapsed="false">
      <c r="A9" s="11" t="s">
        <v>1160</v>
      </c>
      <c r="B9" s="11" t="s">
        <v>1153</v>
      </c>
      <c r="C9" s="11" t="s">
        <v>1161</v>
      </c>
      <c r="D9" s="11" t="s">
        <v>1162</v>
      </c>
      <c r="E9" s="12" t="s">
        <v>1163</v>
      </c>
      <c r="F9" s="11" t="s">
        <v>1164</v>
      </c>
      <c r="G9" s="11" t="s">
        <v>1165</v>
      </c>
      <c r="H9" s="11" t="s">
        <v>572</v>
      </c>
      <c r="I9" s="11" t="s">
        <v>1166</v>
      </c>
      <c r="J9" s="19"/>
      <c r="K9" s="19"/>
      <c r="L9" s="19"/>
      <c r="M9" s="19"/>
      <c r="N9" s="19"/>
      <c r="O9" s="19"/>
      <c r="P9" s="19"/>
      <c r="Q9" s="19"/>
      <c r="R9" s="19"/>
      <c r="S9" s="19"/>
      <c r="T9" s="19"/>
      <c r="U9" s="19"/>
    </row>
    <row r="10" customFormat="false" ht="94.5" hidden="false" customHeight="true" outlineLevel="0" collapsed="false">
      <c r="A10" s="13" t="s">
        <v>1167</v>
      </c>
      <c r="B10" s="13" t="s">
        <v>1153</v>
      </c>
      <c r="C10" s="13" t="s">
        <v>1168</v>
      </c>
      <c r="D10" s="13" t="s">
        <v>1169</v>
      </c>
      <c r="E10" s="14" t="s">
        <v>1170</v>
      </c>
      <c r="F10" s="13" t="s">
        <v>1171</v>
      </c>
      <c r="G10" s="13" t="s">
        <v>1172</v>
      </c>
      <c r="H10" s="13" t="s">
        <v>170</v>
      </c>
      <c r="I10" s="13" t="s">
        <v>1173</v>
      </c>
      <c r="J10" s="19"/>
      <c r="K10" s="19"/>
      <c r="L10" s="19"/>
      <c r="M10" s="19"/>
      <c r="N10" s="19"/>
      <c r="O10" s="19"/>
      <c r="P10" s="19"/>
      <c r="Q10" s="19"/>
      <c r="R10" s="19"/>
      <c r="S10" s="19"/>
      <c r="T10" s="19"/>
      <c r="U10" s="19"/>
    </row>
    <row r="11" customFormat="false" ht="94.5" hidden="false" customHeight="true" outlineLevel="0" collapsed="false">
      <c r="A11" s="11" t="s">
        <v>1174</v>
      </c>
      <c r="B11" s="11" t="s">
        <v>1175</v>
      </c>
      <c r="C11" s="11" t="s">
        <v>1176</v>
      </c>
      <c r="D11" s="11" t="s">
        <v>1177</v>
      </c>
      <c r="E11" s="12" t="s">
        <v>1178</v>
      </c>
      <c r="F11" s="11" t="s">
        <v>1179</v>
      </c>
      <c r="G11" s="11" t="s">
        <v>1180</v>
      </c>
      <c r="H11" s="11" t="s">
        <v>812</v>
      </c>
      <c r="I11" s="11" t="s">
        <v>1181</v>
      </c>
      <c r="J11" s="19"/>
      <c r="K11" s="19"/>
      <c r="L11" s="19"/>
      <c r="M11" s="19"/>
      <c r="N11" s="19"/>
      <c r="O11" s="19"/>
      <c r="P11" s="19"/>
      <c r="Q11" s="19"/>
      <c r="R11" s="19"/>
      <c r="S11" s="19"/>
      <c r="T11" s="19"/>
      <c r="U11" s="19"/>
    </row>
    <row r="12" customFormat="false" ht="94.5" hidden="false" customHeight="true" outlineLevel="0" collapsed="false">
      <c r="A12" s="13" t="s">
        <v>1182</v>
      </c>
      <c r="B12" s="13" t="s">
        <v>1175</v>
      </c>
      <c r="C12" s="13" t="s">
        <v>1183</v>
      </c>
      <c r="D12" s="13" t="s">
        <v>1184</v>
      </c>
      <c r="E12" s="14" t="s">
        <v>1185</v>
      </c>
      <c r="F12" s="13" t="s">
        <v>1186</v>
      </c>
      <c r="G12" s="13" t="s">
        <v>1187</v>
      </c>
      <c r="H12" s="13" t="s">
        <v>170</v>
      </c>
      <c r="I12" s="13" t="s">
        <v>1188</v>
      </c>
      <c r="J12" s="19"/>
      <c r="K12" s="19"/>
      <c r="L12" s="19"/>
      <c r="M12" s="19"/>
      <c r="N12" s="19"/>
      <c r="O12" s="19"/>
      <c r="P12" s="19"/>
      <c r="Q12" s="19"/>
      <c r="R12" s="19"/>
      <c r="S12" s="19"/>
      <c r="T12" s="19"/>
      <c r="U12" s="19"/>
    </row>
    <row r="13" customFormat="false" ht="94.5" hidden="false" customHeight="true" outlineLevel="0" collapsed="false">
      <c r="A13" s="11" t="s">
        <v>1189</v>
      </c>
      <c r="B13" s="11" t="s">
        <v>1190</v>
      </c>
      <c r="C13" s="11" t="s">
        <v>1191</v>
      </c>
      <c r="D13" s="11" t="s">
        <v>1192</v>
      </c>
      <c r="E13" s="12" t="s">
        <v>1193</v>
      </c>
      <c r="F13" s="11" t="s">
        <v>1194</v>
      </c>
      <c r="G13" s="11" t="s">
        <v>1195</v>
      </c>
      <c r="H13" s="11" t="s">
        <v>1196</v>
      </c>
      <c r="I13" s="11" t="s">
        <v>1197</v>
      </c>
      <c r="J13" s="19"/>
      <c r="K13" s="19"/>
      <c r="L13" s="19"/>
      <c r="M13" s="19"/>
      <c r="N13" s="19"/>
      <c r="O13" s="19"/>
      <c r="P13" s="19"/>
      <c r="Q13" s="19"/>
      <c r="R13" s="19"/>
      <c r="S13" s="19"/>
      <c r="T13" s="19"/>
      <c r="U13" s="19"/>
    </row>
    <row r="14" customFormat="false" ht="94.5" hidden="false" customHeight="true" outlineLevel="0" collapsed="false">
      <c r="A14" s="13" t="s">
        <v>1198</v>
      </c>
      <c r="B14" s="13" t="s">
        <v>1190</v>
      </c>
      <c r="C14" s="13" t="s">
        <v>1199</v>
      </c>
      <c r="D14" s="13" t="s">
        <v>1200</v>
      </c>
      <c r="E14" s="14" t="s">
        <v>1201</v>
      </c>
      <c r="F14" s="13" t="s">
        <v>1202</v>
      </c>
      <c r="G14" s="13" t="s">
        <v>1203</v>
      </c>
      <c r="H14" s="13" t="s">
        <v>170</v>
      </c>
      <c r="I14" s="13" t="s">
        <v>1204</v>
      </c>
      <c r="J14" s="19"/>
      <c r="K14" s="19"/>
      <c r="L14" s="19"/>
      <c r="M14" s="19"/>
      <c r="N14" s="19"/>
      <c r="O14" s="19"/>
      <c r="P14" s="19"/>
      <c r="Q14" s="19"/>
      <c r="R14" s="19"/>
      <c r="S14" s="19"/>
      <c r="T14" s="19"/>
      <c r="U14" s="19"/>
    </row>
    <row r="15" customFormat="false" ht="94.5" hidden="false" customHeight="true" outlineLevel="0" collapsed="false">
      <c r="A15" s="11" t="s">
        <v>1205</v>
      </c>
      <c r="B15" s="11" t="s">
        <v>1190</v>
      </c>
      <c r="C15" s="11" t="s">
        <v>1206</v>
      </c>
      <c r="D15" s="11" t="s">
        <v>1207</v>
      </c>
      <c r="E15" s="12" t="s">
        <v>1208</v>
      </c>
      <c r="F15" s="11" t="s">
        <v>1209</v>
      </c>
      <c r="G15" s="11" t="s">
        <v>1210</v>
      </c>
      <c r="H15" s="11" t="s">
        <v>670</v>
      </c>
      <c r="I15" s="11" t="s">
        <v>1211</v>
      </c>
      <c r="J15" s="19"/>
      <c r="K15" s="19"/>
      <c r="L15" s="19"/>
      <c r="M15" s="19"/>
      <c r="N15" s="19"/>
      <c r="O15" s="19"/>
      <c r="P15" s="19"/>
      <c r="Q15" s="19"/>
      <c r="R15" s="19"/>
      <c r="S15" s="19"/>
      <c r="T15" s="19"/>
      <c r="U15" s="19"/>
    </row>
    <row r="16" customFormat="false" ht="94.5" hidden="false" customHeight="true" outlineLevel="0" collapsed="false">
      <c r="A16" s="13" t="s">
        <v>1212</v>
      </c>
      <c r="B16" s="13" t="s">
        <v>1213</v>
      </c>
      <c r="C16" s="13" t="s">
        <v>1214</v>
      </c>
      <c r="D16" s="13" t="s">
        <v>1215</v>
      </c>
      <c r="E16" s="14" t="s">
        <v>1216</v>
      </c>
      <c r="F16" s="13" t="s">
        <v>1217</v>
      </c>
      <c r="G16" s="13" t="s">
        <v>1218</v>
      </c>
      <c r="H16" s="13" t="s">
        <v>258</v>
      </c>
      <c r="I16" s="13" t="s">
        <v>1219</v>
      </c>
      <c r="J16" s="19"/>
      <c r="K16" s="19"/>
      <c r="L16" s="19"/>
      <c r="M16" s="19"/>
      <c r="N16" s="19"/>
      <c r="O16" s="19"/>
      <c r="P16" s="19"/>
      <c r="Q16" s="19"/>
      <c r="R16" s="19"/>
      <c r="S16" s="19"/>
      <c r="T16" s="19"/>
      <c r="U16" s="19"/>
    </row>
    <row r="17" customFormat="false" ht="94.5" hidden="false" customHeight="true" outlineLevel="0" collapsed="false">
      <c r="A17" s="11" t="s">
        <v>1220</v>
      </c>
      <c r="B17" s="11" t="s">
        <v>1213</v>
      </c>
      <c r="C17" s="11" t="s">
        <v>1221</v>
      </c>
      <c r="D17" s="11" t="s">
        <v>1222</v>
      </c>
      <c r="E17" s="12" t="s">
        <v>1223</v>
      </c>
      <c r="F17" s="11" t="s">
        <v>1224</v>
      </c>
      <c r="G17" s="11" t="s">
        <v>1225</v>
      </c>
      <c r="H17" s="11" t="s">
        <v>1226</v>
      </c>
      <c r="I17" s="11" t="s">
        <v>1227</v>
      </c>
      <c r="J17" s="19"/>
      <c r="K17" s="19"/>
      <c r="L17" s="19"/>
      <c r="M17" s="19"/>
      <c r="N17" s="19"/>
      <c r="O17" s="19"/>
      <c r="P17" s="19"/>
      <c r="Q17" s="19"/>
      <c r="R17" s="19"/>
      <c r="S17" s="19"/>
      <c r="T17" s="19"/>
      <c r="U17" s="19"/>
    </row>
    <row r="18" customFormat="false" ht="94.5" hidden="false" customHeight="true" outlineLevel="0" collapsed="false">
      <c r="A18" s="13" t="s">
        <v>1228</v>
      </c>
      <c r="B18" s="13" t="s">
        <v>1213</v>
      </c>
      <c r="C18" s="13" t="s">
        <v>1229</v>
      </c>
      <c r="D18" s="13" t="s">
        <v>1230</v>
      </c>
      <c r="E18" s="14" t="s">
        <v>1231</v>
      </c>
      <c r="F18" s="13" t="s">
        <v>1232</v>
      </c>
      <c r="G18" s="13" t="s">
        <v>1233</v>
      </c>
      <c r="H18" s="13" t="s">
        <v>812</v>
      </c>
      <c r="I18" s="13" t="s">
        <v>1234</v>
      </c>
      <c r="J18" s="19"/>
      <c r="K18" s="19"/>
      <c r="L18" s="19"/>
      <c r="M18" s="19"/>
      <c r="N18" s="19"/>
      <c r="O18" s="19"/>
      <c r="P18" s="19"/>
      <c r="Q18" s="19"/>
      <c r="R18" s="19"/>
      <c r="S18" s="19"/>
      <c r="T18" s="19"/>
      <c r="U18" s="19"/>
    </row>
    <row r="19" customFormat="false" ht="94.5" hidden="false" customHeight="true" outlineLevel="0" collapsed="false">
      <c r="A19" s="11" t="s">
        <v>1235</v>
      </c>
      <c r="B19" s="11" t="s">
        <v>1236</v>
      </c>
      <c r="C19" s="11" t="s">
        <v>1237</v>
      </c>
      <c r="D19" s="11" t="s">
        <v>1238</v>
      </c>
      <c r="E19" s="12" t="s">
        <v>1239</v>
      </c>
      <c r="F19" s="11" t="s">
        <v>1240</v>
      </c>
      <c r="G19" s="11" t="s">
        <v>1241</v>
      </c>
      <c r="H19" s="11" t="s">
        <v>1242</v>
      </c>
      <c r="I19" s="11" t="s">
        <v>1243</v>
      </c>
      <c r="J19" s="19"/>
      <c r="K19" s="19"/>
      <c r="L19" s="19"/>
      <c r="M19" s="19"/>
      <c r="N19" s="19"/>
      <c r="O19" s="19"/>
      <c r="P19" s="19"/>
      <c r="Q19" s="19"/>
      <c r="R19" s="19"/>
      <c r="S19" s="19"/>
      <c r="T19" s="19"/>
      <c r="U19" s="19"/>
    </row>
    <row r="20" customFormat="false" ht="94.5" hidden="false" customHeight="true" outlineLevel="0" collapsed="false">
      <c r="A20" s="13" t="s">
        <v>1244</v>
      </c>
      <c r="B20" s="13" t="s">
        <v>1236</v>
      </c>
      <c r="C20" s="13" t="s">
        <v>1245</v>
      </c>
      <c r="D20" s="13" t="s">
        <v>1246</v>
      </c>
      <c r="E20" s="14" t="s">
        <v>1247</v>
      </c>
      <c r="F20" s="13" t="s">
        <v>1248</v>
      </c>
      <c r="G20" s="13" t="s">
        <v>1249</v>
      </c>
      <c r="H20" s="13" t="s">
        <v>812</v>
      </c>
      <c r="I20" s="13" t="s">
        <v>1250</v>
      </c>
      <c r="J20" s="19"/>
      <c r="K20" s="19"/>
      <c r="L20" s="19"/>
      <c r="M20" s="19"/>
      <c r="N20" s="19"/>
      <c r="O20" s="19"/>
      <c r="P20" s="19"/>
      <c r="Q20" s="19"/>
      <c r="R20" s="19"/>
      <c r="S20" s="19"/>
      <c r="T20" s="19"/>
      <c r="U20" s="19"/>
    </row>
    <row r="21" customFormat="false" ht="94.5" hidden="false" customHeight="true" outlineLevel="0" collapsed="false">
      <c r="A21" s="11" t="s">
        <v>1251</v>
      </c>
      <c r="B21" s="11" t="s">
        <v>1236</v>
      </c>
      <c r="C21" s="11" t="s">
        <v>1252</v>
      </c>
      <c r="D21" s="11" t="s">
        <v>1253</v>
      </c>
      <c r="E21" s="12" t="s">
        <v>1254</v>
      </c>
      <c r="F21" s="11" t="s">
        <v>1255</v>
      </c>
      <c r="G21" s="11" t="s">
        <v>1256</v>
      </c>
      <c r="H21" s="11" t="s">
        <v>1257</v>
      </c>
      <c r="I21" s="11" t="s">
        <v>1258</v>
      </c>
      <c r="J21" s="19"/>
      <c r="K21" s="19"/>
      <c r="L21" s="19"/>
      <c r="M21" s="19"/>
      <c r="N21" s="19"/>
      <c r="O21" s="19"/>
      <c r="P21" s="19"/>
      <c r="Q21" s="19"/>
      <c r="R21" s="19"/>
      <c r="S21" s="19"/>
      <c r="T21" s="19"/>
      <c r="U21" s="19"/>
    </row>
    <row r="22" customFormat="false" ht="94.5" hidden="false" customHeight="true" outlineLevel="0" collapsed="false">
      <c r="A22" s="13" t="s">
        <v>1259</v>
      </c>
      <c r="B22" s="13" t="s">
        <v>1236</v>
      </c>
      <c r="C22" s="13" t="s">
        <v>1260</v>
      </c>
      <c r="D22" s="13" t="s">
        <v>1261</v>
      </c>
      <c r="E22" s="14" t="s">
        <v>1262</v>
      </c>
      <c r="F22" s="13" t="s">
        <v>1263</v>
      </c>
      <c r="G22" s="13" t="s">
        <v>1264</v>
      </c>
      <c r="H22" s="13" t="s">
        <v>170</v>
      </c>
      <c r="I22" s="13" t="s">
        <v>1265</v>
      </c>
      <c r="J22" s="19"/>
      <c r="K22" s="19"/>
      <c r="L22" s="19"/>
      <c r="M22" s="19"/>
      <c r="N22" s="19"/>
      <c r="O22" s="19"/>
      <c r="P22" s="19"/>
      <c r="Q22" s="19"/>
      <c r="R22" s="19"/>
      <c r="S22" s="19"/>
      <c r="T22" s="19"/>
      <c r="U22" s="19"/>
    </row>
    <row r="23" customFormat="false" ht="94.5" hidden="false" customHeight="true" outlineLevel="0" collapsed="false">
      <c r="A23" s="11" t="s">
        <v>1266</v>
      </c>
      <c r="B23" s="11" t="s">
        <v>1236</v>
      </c>
      <c r="C23" s="11" t="s">
        <v>1267</v>
      </c>
      <c r="D23" s="11" t="s">
        <v>1268</v>
      </c>
      <c r="E23" s="12" t="s">
        <v>1269</v>
      </c>
      <c r="F23" s="11" t="s">
        <v>1270</v>
      </c>
      <c r="G23" s="11" t="s">
        <v>1271</v>
      </c>
      <c r="H23" s="11" t="s">
        <v>170</v>
      </c>
      <c r="I23" s="11" t="s">
        <v>1272</v>
      </c>
      <c r="J23" s="19"/>
      <c r="K23" s="19"/>
      <c r="L23" s="19"/>
      <c r="M23" s="19"/>
      <c r="N23" s="19"/>
      <c r="O23" s="19"/>
      <c r="P23" s="19"/>
      <c r="Q23" s="19"/>
      <c r="R23" s="19"/>
      <c r="S23" s="19"/>
      <c r="T23" s="19"/>
      <c r="U23" s="19"/>
    </row>
    <row r="24" customFormat="false" ht="94.5" hidden="false" customHeight="true" outlineLevel="0" collapsed="false">
      <c r="A24" s="13" t="s">
        <v>1273</v>
      </c>
      <c r="B24" s="13" t="s">
        <v>1236</v>
      </c>
      <c r="C24" s="13" t="s">
        <v>1274</v>
      </c>
      <c r="D24" s="13" t="s">
        <v>1275</v>
      </c>
      <c r="E24" s="14" t="s">
        <v>1276</v>
      </c>
      <c r="F24" s="13" t="s">
        <v>1277</v>
      </c>
      <c r="G24" s="13" t="s">
        <v>1278</v>
      </c>
      <c r="H24" s="13" t="s">
        <v>170</v>
      </c>
      <c r="I24" s="13" t="s">
        <v>1279</v>
      </c>
      <c r="J24" s="19"/>
      <c r="K24" s="19"/>
      <c r="L24" s="19"/>
      <c r="M24" s="19"/>
      <c r="N24" s="19"/>
      <c r="O24" s="19"/>
      <c r="P24" s="19"/>
      <c r="Q24" s="19"/>
      <c r="R24" s="19"/>
      <c r="S24" s="19"/>
      <c r="T24" s="19"/>
      <c r="U24" s="19"/>
    </row>
    <row r="25" customFormat="false" ht="150" hidden="false" customHeight="true" outlineLevel="0" collapsed="false">
      <c r="A25" s="11" t="s">
        <v>1280</v>
      </c>
      <c r="B25" s="11" t="s">
        <v>1236</v>
      </c>
      <c r="C25" s="11" t="s">
        <v>1281</v>
      </c>
      <c r="D25" s="11" t="s">
        <v>1282</v>
      </c>
      <c r="E25" s="12" t="s">
        <v>1283</v>
      </c>
      <c r="F25" s="11" t="s">
        <v>1284</v>
      </c>
      <c r="G25" s="11" t="s">
        <v>1285</v>
      </c>
      <c r="H25" s="11" t="s">
        <v>1286</v>
      </c>
      <c r="I25" s="11" t="s">
        <v>1287</v>
      </c>
      <c r="J25" s="19"/>
      <c r="K25" s="19"/>
      <c r="L25" s="19"/>
      <c r="M25" s="19"/>
      <c r="N25" s="19"/>
      <c r="O25" s="19"/>
      <c r="P25" s="19"/>
      <c r="Q25" s="19"/>
      <c r="R25" s="19"/>
      <c r="S25" s="19"/>
      <c r="T25" s="19"/>
      <c r="U25" s="19"/>
    </row>
    <row r="26" customFormat="false" ht="94.5" hidden="false" customHeight="true" outlineLevel="0" collapsed="false">
      <c r="A26" s="13" t="s">
        <v>1288</v>
      </c>
      <c r="B26" s="13" t="s">
        <v>1289</v>
      </c>
      <c r="C26" s="13" t="s">
        <v>1290</v>
      </c>
      <c r="D26" s="13" t="s">
        <v>1291</v>
      </c>
      <c r="E26" s="14" t="s">
        <v>1292</v>
      </c>
      <c r="F26" s="13" t="s">
        <v>1293</v>
      </c>
      <c r="G26" s="13" t="s">
        <v>1294</v>
      </c>
      <c r="H26" s="13" t="s">
        <v>170</v>
      </c>
      <c r="I26" s="13" t="s">
        <v>1295</v>
      </c>
      <c r="J26" s="19"/>
      <c r="K26" s="19"/>
      <c r="L26" s="19"/>
      <c r="M26" s="19"/>
      <c r="N26" s="19"/>
      <c r="O26" s="19"/>
      <c r="P26" s="19"/>
      <c r="Q26" s="19"/>
      <c r="R26" s="19"/>
      <c r="S26" s="19"/>
      <c r="T26" s="19"/>
      <c r="U26" s="19"/>
    </row>
    <row r="27" customFormat="false" ht="94.5" hidden="false" customHeight="true" outlineLevel="0" collapsed="false">
      <c r="A27" s="11" t="s">
        <v>1296</v>
      </c>
      <c r="B27" s="11" t="s">
        <v>1289</v>
      </c>
      <c r="C27" s="11" t="s">
        <v>1297</v>
      </c>
      <c r="D27" s="11" t="s">
        <v>1298</v>
      </c>
      <c r="E27" s="12" t="s">
        <v>1299</v>
      </c>
      <c r="F27" s="11" t="s">
        <v>1300</v>
      </c>
      <c r="G27" s="11" t="s">
        <v>1301</v>
      </c>
      <c r="H27" s="11" t="s">
        <v>1302</v>
      </c>
      <c r="I27" s="11" t="s">
        <v>1303</v>
      </c>
      <c r="J27" s="19"/>
      <c r="K27" s="19"/>
      <c r="L27" s="19"/>
      <c r="M27" s="19"/>
      <c r="N27" s="19"/>
      <c r="O27" s="19"/>
      <c r="P27" s="19"/>
      <c r="Q27" s="19"/>
      <c r="R27" s="19"/>
      <c r="S27" s="19"/>
      <c r="T27" s="19"/>
      <c r="U27" s="19"/>
    </row>
    <row r="28" customFormat="false" ht="94.5" hidden="false" customHeight="true" outlineLevel="0" collapsed="false">
      <c r="A28" s="13" t="s">
        <v>1304</v>
      </c>
      <c r="B28" s="13" t="s">
        <v>1289</v>
      </c>
      <c r="C28" s="13" t="s">
        <v>1305</v>
      </c>
      <c r="D28" s="13" t="s">
        <v>1306</v>
      </c>
      <c r="E28" s="14" t="s">
        <v>1307</v>
      </c>
      <c r="F28" s="13" t="s">
        <v>1308</v>
      </c>
      <c r="G28" s="13" t="s">
        <v>1309</v>
      </c>
      <c r="H28" s="13" t="s">
        <v>434</v>
      </c>
      <c r="I28" s="13" t="s">
        <v>1310</v>
      </c>
      <c r="J28" s="19"/>
      <c r="K28" s="19"/>
      <c r="L28" s="19"/>
      <c r="M28" s="19"/>
      <c r="N28" s="19"/>
      <c r="O28" s="19"/>
      <c r="P28" s="19"/>
      <c r="Q28" s="19"/>
      <c r="R28" s="19"/>
      <c r="S28" s="19"/>
      <c r="T28" s="19"/>
      <c r="U28" s="19"/>
    </row>
    <row r="29" customFormat="false" ht="108" hidden="false" customHeight="true" outlineLevel="0" collapsed="false">
      <c r="A29" s="11" t="s">
        <v>1311</v>
      </c>
      <c r="B29" s="11" t="s">
        <v>1289</v>
      </c>
      <c r="C29" s="11" t="s">
        <v>1312</v>
      </c>
      <c r="D29" s="11" t="s">
        <v>1313</v>
      </c>
      <c r="E29" s="12" t="s">
        <v>1314</v>
      </c>
      <c r="F29" s="11" t="s">
        <v>1315</v>
      </c>
      <c r="G29" s="11" t="s">
        <v>1316</v>
      </c>
      <c r="H29" s="11" t="s">
        <v>170</v>
      </c>
      <c r="I29" s="11" t="s">
        <v>1317</v>
      </c>
      <c r="J29" s="19"/>
      <c r="K29" s="19"/>
      <c r="L29" s="19"/>
      <c r="M29" s="19"/>
      <c r="N29" s="19"/>
      <c r="O29" s="19"/>
      <c r="P29" s="19"/>
      <c r="Q29" s="19"/>
      <c r="R29" s="19"/>
      <c r="S29" s="19"/>
      <c r="T29" s="19"/>
      <c r="U29" s="19"/>
    </row>
    <row r="30" customFormat="false" ht="94.5" hidden="false" customHeight="true" outlineLevel="0" collapsed="false">
      <c r="A30" s="13" t="s">
        <v>1318</v>
      </c>
      <c r="B30" s="13" t="s">
        <v>1319</v>
      </c>
      <c r="C30" s="13" t="s">
        <v>1320</v>
      </c>
      <c r="D30" s="13" t="s">
        <v>1321</v>
      </c>
      <c r="E30" s="14" t="s">
        <v>1322</v>
      </c>
      <c r="F30" s="13" t="s">
        <v>1323</v>
      </c>
      <c r="G30" s="13" t="s">
        <v>1324</v>
      </c>
      <c r="H30" s="13" t="s">
        <v>1325</v>
      </c>
      <c r="I30" s="13" t="s">
        <v>1326</v>
      </c>
      <c r="J30" s="19"/>
      <c r="K30" s="19"/>
      <c r="L30" s="19"/>
      <c r="M30" s="19"/>
      <c r="N30" s="19"/>
      <c r="O30" s="19"/>
      <c r="P30" s="19"/>
      <c r="Q30" s="19"/>
      <c r="R30" s="19"/>
      <c r="S30" s="19"/>
      <c r="T30" s="19"/>
      <c r="U30" s="19"/>
    </row>
    <row r="31" customFormat="false" ht="94.5" hidden="false" customHeight="true" outlineLevel="0" collapsed="false">
      <c r="A31" s="11" t="s">
        <v>1327</v>
      </c>
      <c r="B31" s="11" t="s">
        <v>1319</v>
      </c>
      <c r="C31" s="11" t="s">
        <v>1328</v>
      </c>
      <c r="D31" s="11" t="s">
        <v>1329</v>
      </c>
      <c r="E31" s="12" t="s">
        <v>1330</v>
      </c>
      <c r="F31" s="11" t="s">
        <v>1331</v>
      </c>
      <c r="G31" s="11" t="s">
        <v>1332</v>
      </c>
      <c r="H31" s="11" t="s">
        <v>1333</v>
      </c>
      <c r="I31" s="11" t="s">
        <v>1334</v>
      </c>
      <c r="J31" s="19"/>
      <c r="K31" s="19"/>
      <c r="L31" s="19"/>
      <c r="M31" s="19"/>
      <c r="N31" s="19"/>
      <c r="O31" s="19"/>
      <c r="P31" s="19"/>
      <c r="Q31" s="19"/>
      <c r="R31" s="19"/>
      <c r="S31" s="19"/>
      <c r="T31" s="19"/>
      <c r="U31" s="19"/>
    </row>
    <row r="32" customFormat="false" ht="94.5" hidden="false" customHeight="true" outlineLevel="0" collapsed="false">
      <c r="A32" s="13" t="s">
        <v>1335</v>
      </c>
      <c r="B32" s="13" t="s">
        <v>1319</v>
      </c>
      <c r="C32" s="13" t="s">
        <v>1336</v>
      </c>
      <c r="D32" s="13" t="s">
        <v>1337</v>
      </c>
      <c r="E32" s="14" t="s">
        <v>1338</v>
      </c>
      <c r="F32" s="13" t="s">
        <v>1339</v>
      </c>
      <c r="G32" s="13" t="s">
        <v>1340</v>
      </c>
      <c r="H32" s="13" t="s">
        <v>783</v>
      </c>
      <c r="I32" s="13" t="s">
        <v>1341</v>
      </c>
      <c r="J32" s="19"/>
      <c r="K32" s="19"/>
      <c r="L32" s="19"/>
      <c r="M32" s="19"/>
      <c r="N32" s="19"/>
      <c r="O32" s="19"/>
      <c r="P32" s="19"/>
      <c r="Q32" s="19"/>
      <c r="R32" s="19"/>
      <c r="S32" s="19"/>
      <c r="T32" s="19"/>
      <c r="U32" s="19"/>
    </row>
    <row r="33" customFormat="false" ht="94.5" hidden="false" customHeight="true" outlineLevel="0" collapsed="false">
      <c r="A33" s="11" t="s">
        <v>1342</v>
      </c>
      <c r="B33" s="11" t="s">
        <v>1319</v>
      </c>
      <c r="C33" s="11" t="s">
        <v>1343</v>
      </c>
      <c r="D33" s="11" t="s">
        <v>1344</v>
      </c>
      <c r="E33" s="12" t="s">
        <v>1345</v>
      </c>
      <c r="F33" s="11" t="s">
        <v>1346</v>
      </c>
      <c r="G33" s="11" t="s">
        <v>1347</v>
      </c>
      <c r="H33" s="11" t="s">
        <v>1348</v>
      </c>
      <c r="I33" s="11" t="s">
        <v>1349</v>
      </c>
      <c r="J33" s="19"/>
      <c r="K33" s="19"/>
      <c r="L33" s="19"/>
      <c r="M33" s="19"/>
      <c r="N33" s="19"/>
      <c r="O33" s="19"/>
      <c r="P33" s="19"/>
      <c r="Q33" s="19"/>
      <c r="R33" s="19"/>
      <c r="S33" s="19"/>
      <c r="T33" s="19"/>
      <c r="U33" s="19"/>
    </row>
    <row r="34" customFormat="false" ht="94.5" hidden="false" customHeight="true" outlineLevel="0" collapsed="false">
      <c r="A34" s="13" t="s">
        <v>1350</v>
      </c>
      <c r="B34" s="13" t="s">
        <v>1319</v>
      </c>
      <c r="C34" s="13" t="s">
        <v>1351</v>
      </c>
      <c r="D34" s="13" t="s">
        <v>1352</v>
      </c>
      <c r="E34" s="14" t="s">
        <v>1353</v>
      </c>
      <c r="F34" s="13" t="s">
        <v>1354</v>
      </c>
      <c r="G34" s="13" t="s">
        <v>1355</v>
      </c>
      <c r="H34" s="13" t="s">
        <v>1356</v>
      </c>
      <c r="I34" s="13" t="s">
        <v>1357</v>
      </c>
      <c r="J34" s="19"/>
      <c r="K34" s="19"/>
      <c r="L34" s="19"/>
      <c r="M34" s="19"/>
      <c r="N34" s="19"/>
      <c r="O34" s="19"/>
      <c r="P34" s="19"/>
      <c r="Q34" s="19"/>
      <c r="R34" s="19"/>
      <c r="S34" s="19"/>
      <c r="T34" s="19"/>
      <c r="U34" s="19"/>
    </row>
    <row r="35" customFormat="false" ht="13.5" hidden="false" customHeight="false" outlineLevel="0" collapsed="false">
      <c r="A35" s="19"/>
      <c r="B35" s="19"/>
      <c r="C35" s="19"/>
      <c r="D35" s="19"/>
      <c r="E35" s="19"/>
      <c r="F35" s="19"/>
      <c r="G35" s="19"/>
      <c r="H35" s="19"/>
      <c r="I35" s="19"/>
      <c r="J35" s="19"/>
      <c r="K35" s="19"/>
      <c r="L35" s="19"/>
      <c r="M35" s="19"/>
      <c r="N35" s="19"/>
      <c r="O35" s="19"/>
      <c r="P35" s="19"/>
      <c r="Q35" s="19"/>
      <c r="R35" s="19"/>
      <c r="S35" s="19"/>
      <c r="T35" s="19"/>
      <c r="U35" s="19"/>
    </row>
    <row r="36" customFormat="false" ht="13.5" hidden="false" customHeight="false" outlineLevel="0" collapsed="false">
      <c r="A36" s="19"/>
      <c r="B36" s="19"/>
      <c r="C36" s="19"/>
      <c r="D36" s="19"/>
      <c r="E36" s="19"/>
      <c r="F36" s="19"/>
      <c r="G36" s="19"/>
      <c r="H36" s="19"/>
      <c r="I36" s="19"/>
      <c r="J36" s="19"/>
      <c r="K36" s="19"/>
      <c r="L36" s="19"/>
      <c r="M36" s="19"/>
      <c r="N36" s="19"/>
      <c r="O36" s="19"/>
      <c r="P36" s="19"/>
      <c r="Q36" s="19"/>
      <c r="R36" s="19"/>
      <c r="S36" s="19"/>
      <c r="T36" s="19"/>
      <c r="U36" s="19"/>
    </row>
    <row r="37" customFormat="false" ht="13.5" hidden="false" customHeight="false" outlineLevel="0" collapsed="false">
      <c r="A37" s="19"/>
      <c r="B37" s="19"/>
      <c r="C37" s="19"/>
      <c r="D37" s="19"/>
      <c r="E37" s="19"/>
      <c r="F37" s="19"/>
      <c r="G37" s="19"/>
      <c r="H37" s="19"/>
      <c r="I37" s="19"/>
      <c r="J37" s="19"/>
      <c r="K37" s="19"/>
      <c r="L37" s="19"/>
      <c r="M37" s="19"/>
      <c r="N37" s="19"/>
      <c r="O37" s="19"/>
      <c r="P37" s="19"/>
      <c r="Q37" s="19"/>
      <c r="R37" s="19"/>
      <c r="S37" s="19"/>
      <c r="T37" s="19"/>
      <c r="U37" s="19"/>
    </row>
    <row r="38" customFormat="false" ht="13.5" hidden="false" customHeight="false" outlineLevel="0" collapsed="false">
      <c r="A38" s="19"/>
      <c r="B38" s="19"/>
      <c r="C38" s="19"/>
      <c r="D38" s="19"/>
      <c r="E38" s="19"/>
      <c r="F38" s="19"/>
      <c r="G38" s="19"/>
      <c r="H38" s="19"/>
      <c r="I38" s="19"/>
      <c r="J38" s="19"/>
      <c r="K38" s="19"/>
      <c r="L38" s="19"/>
      <c r="M38" s="19"/>
      <c r="N38" s="19"/>
      <c r="O38" s="19"/>
      <c r="P38" s="19"/>
      <c r="Q38" s="19"/>
      <c r="R38" s="19"/>
      <c r="S38" s="19"/>
      <c r="T38" s="19"/>
      <c r="U38" s="19"/>
    </row>
    <row r="39" customFormat="false" ht="13.5" hidden="false" customHeight="false" outlineLevel="0" collapsed="false">
      <c r="A39" s="19"/>
      <c r="B39" s="19"/>
      <c r="C39" s="19"/>
      <c r="D39" s="19"/>
      <c r="E39" s="19"/>
      <c r="F39" s="19"/>
      <c r="G39" s="19"/>
      <c r="H39" s="19"/>
      <c r="I39" s="19"/>
      <c r="J39" s="19"/>
      <c r="K39" s="19"/>
      <c r="L39" s="19"/>
      <c r="M39" s="19"/>
      <c r="N39" s="19"/>
      <c r="O39" s="19"/>
      <c r="P39" s="19"/>
      <c r="Q39" s="19"/>
      <c r="R39" s="19"/>
      <c r="S39" s="19"/>
      <c r="T39" s="19"/>
      <c r="U39" s="19"/>
    </row>
    <row r="40" customFormat="false" ht="13.5" hidden="false" customHeight="false" outlineLevel="0" collapsed="false">
      <c r="A40" s="19"/>
      <c r="B40" s="19"/>
      <c r="C40" s="19"/>
      <c r="D40" s="19"/>
      <c r="E40" s="19"/>
      <c r="F40" s="19"/>
      <c r="G40" s="19"/>
      <c r="H40" s="19"/>
      <c r="I40" s="19"/>
      <c r="J40" s="19"/>
      <c r="K40" s="19"/>
      <c r="L40" s="19"/>
      <c r="M40" s="19"/>
      <c r="N40" s="19"/>
      <c r="O40" s="19"/>
      <c r="P40" s="19"/>
      <c r="Q40" s="19"/>
      <c r="R40" s="19"/>
      <c r="S40" s="19"/>
      <c r="T40" s="19"/>
      <c r="U40" s="19"/>
    </row>
    <row r="41" customFormat="false" ht="13.5" hidden="false" customHeight="false" outlineLevel="0" collapsed="false">
      <c r="A41" s="19"/>
      <c r="B41" s="19"/>
      <c r="C41" s="19"/>
      <c r="D41" s="19"/>
      <c r="E41" s="19"/>
      <c r="F41" s="19"/>
      <c r="G41" s="19"/>
      <c r="H41" s="19"/>
      <c r="I41" s="19"/>
      <c r="J41" s="19"/>
      <c r="K41" s="19"/>
      <c r="L41" s="19"/>
      <c r="M41" s="19"/>
      <c r="N41" s="19"/>
      <c r="O41" s="19"/>
      <c r="P41" s="19"/>
      <c r="Q41" s="19"/>
      <c r="R41" s="19"/>
      <c r="S41" s="19"/>
      <c r="T41" s="19"/>
      <c r="U41" s="19"/>
    </row>
    <row r="42" customFormat="false" ht="13.5" hidden="false" customHeight="false" outlineLevel="0" collapsed="false">
      <c r="A42" s="19"/>
      <c r="B42" s="19"/>
      <c r="C42" s="19"/>
      <c r="D42" s="19"/>
      <c r="E42" s="19"/>
      <c r="F42" s="19"/>
      <c r="G42" s="19"/>
      <c r="H42" s="19"/>
      <c r="I42" s="19"/>
      <c r="J42" s="19"/>
      <c r="K42" s="19"/>
      <c r="L42" s="19"/>
      <c r="M42" s="19"/>
      <c r="N42" s="19"/>
      <c r="O42" s="19"/>
      <c r="P42" s="19"/>
      <c r="Q42" s="19"/>
      <c r="R42" s="19"/>
      <c r="S42" s="19"/>
      <c r="T42" s="19"/>
      <c r="U42" s="19"/>
    </row>
    <row r="43" customFormat="false" ht="13.5" hidden="false" customHeight="false" outlineLevel="0" collapsed="false">
      <c r="A43" s="19"/>
      <c r="B43" s="19"/>
      <c r="C43" s="19"/>
      <c r="D43" s="19"/>
      <c r="E43" s="19"/>
      <c r="F43" s="19"/>
      <c r="G43" s="19"/>
      <c r="H43" s="19"/>
      <c r="I43" s="19"/>
      <c r="J43" s="19"/>
      <c r="K43" s="19"/>
      <c r="L43" s="19"/>
      <c r="M43" s="19"/>
      <c r="N43" s="19"/>
      <c r="O43" s="19"/>
      <c r="P43" s="19"/>
      <c r="Q43" s="19"/>
      <c r="R43" s="19"/>
      <c r="S43" s="19"/>
      <c r="T43" s="19"/>
      <c r="U43" s="19"/>
    </row>
    <row r="44" customFormat="false" ht="13.5" hidden="false" customHeight="false" outlineLevel="0" collapsed="false">
      <c r="A44" s="19"/>
      <c r="B44" s="19"/>
      <c r="C44" s="19"/>
      <c r="D44" s="19"/>
      <c r="E44" s="19"/>
      <c r="F44" s="19"/>
      <c r="G44" s="19"/>
      <c r="H44" s="19"/>
      <c r="I44" s="19"/>
      <c r="J44" s="19"/>
      <c r="K44" s="19"/>
      <c r="L44" s="19"/>
      <c r="M44" s="19"/>
      <c r="N44" s="19"/>
      <c r="O44" s="19"/>
      <c r="P44" s="19"/>
      <c r="Q44" s="19"/>
      <c r="R44" s="19"/>
      <c r="S44" s="19"/>
      <c r="T44" s="19"/>
      <c r="U44" s="19"/>
    </row>
    <row r="45" customFormat="false" ht="13.5" hidden="false" customHeight="false" outlineLevel="0" collapsed="false">
      <c r="A45" s="19"/>
      <c r="B45" s="19"/>
      <c r="C45" s="19"/>
      <c r="D45" s="19"/>
      <c r="E45" s="19"/>
      <c r="F45" s="19"/>
      <c r="G45" s="19"/>
      <c r="H45" s="19"/>
      <c r="I45" s="19"/>
      <c r="J45" s="19"/>
      <c r="K45" s="19"/>
      <c r="L45" s="19"/>
      <c r="M45" s="19"/>
      <c r="N45" s="19"/>
      <c r="O45" s="19"/>
      <c r="P45" s="19"/>
      <c r="Q45" s="19"/>
      <c r="R45" s="19"/>
      <c r="S45" s="19"/>
      <c r="T45" s="19"/>
      <c r="U45" s="19"/>
    </row>
    <row r="46" customFormat="false" ht="13.5" hidden="false" customHeight="false" outlineLevel="0" collapsed="false">
      <c r="A46" s="19"/>
      <c r="B46" s="19"/>
      <c r="C46" s="19"/>
      <c r="D46" s="19"/>
      <c r="E46" s="19"/>
      <c r="F46" s="19"/>
      <c r="G46" s="19"/>
      <c r="H46" s="19"/>
      <c r="I46" s="19"/>
      <c r="J46" s="19"/>
      <c r="K46" s="19"/>
      <c r="L46" s="19"/>
      <c r="M46" s="19"/>
      <c r="N46" s="19"/>
      <c r="O46" s="19"/>
      <c r="P46" s="19"/>
      <c r="Q46" s="19"/>
      <c r="R46" s="19"/>
      <c r="S46" s="19"/>
      <c r="T46" s="19"/>
      <c r="U46" s="19"/>
    </row>
    <row r="47" customFormat="false" ht="13.5" hidden="false" customHeight="false" outlineLevel="0" collapsed="false">
      <c r="A47" s="19"/>
      <c r="B47" s="19"/>
      <c r="C47" s="19"/>
      <c r="D47" s="19"/>
      <c r="E47" s="19"/>
      <c r="F47" s="19"/>
      <c r="G47" s="19"/>
      <c r="H47" s="19"/>
      <c r="I47" s="19"/>
      <c r="J47" s="19"/>
      <c r="K47" s="19"/>
      <c r="L47" s="19"/>
      <c r="M47" s="19"/>
      <c r="N47" s="19"/>
      <c r="O47" s="19"/>
      <c r="P47" s="19"/>
      <c r="Q47" s="19"/>
      <c r="R47" s="19"/>
      <c r="S47" s="19"/>
      <c r="T47" s="19"/>
      <c r="U47" s="19"/>
    </row>
    <row r="48" customFormat="false" ht="13.5" hidden="false" customHeight="false" outlineLevel="0" collapsed="false">
      <c r="A48" s="19"/>
      <c r="B48" s="19"/>
      <c r="C48" s="19"/>
      <c r="D48" s="19"/>
      <c r="E48" s="19"/>
      <c r="F48" s="19"/>
      <c r="G48" s="19"/>
      <c r="H48" s="19"/>
      <c r="I48" s="19"/>
      <c r="J48" s="19"/>
      <c r="K48" s="19"/>
      <c r="L48" s="19"/>
      <c r="M48" s="19"/>
      <c r="N48" s="19"/>
      <c r="O48" s="19"/>
      <c r="P48" s="19"/>
      <c r="Q48" s="19"/>
      <c r="R48" s="19"/>
      <c r="S48" s="19"/>
      <c r="T48" s="19"/>
      <c r="U48" s="19"/>
    </row>
    <row r="49" customFormat="false" ht="13.5" hidden="false" customHeight="false" outlineLevel="0" collapsed="false">
      <c r="A49" s="19"/>
      <c r="B49" s="19"/>
      <c r="C49" s="19"/>
      <c r="D49" s="19"/>
      <c r="E49" s="19"/>
      <c r="F49" s="19"/>
      <c r="G49" s="19"/>
      <c r="H49" s="19"/>
      <c r="I49" s="19"/>
      <c r="J49" s="19"/>
      <c r="K49" s="19"/>
      <c r="L49" s="19"/>
      <c r="M49" s="19"/>
      <c r="N49" s="19"/>
      <c r="O49" s="19"/>
      <c r="P49" s="19"/>
      <c r="Q49" s="19"/>
      <c r="R49" s="19"/>
      <c r="S49" s="19"/>
      <c r="T49" s="19"/>
      <c r="U49" s="19"/>
    </row>
    <row r="50" customFormat="false" ht="13.5" hidden="false" customHeight="false" outlineLevel="0" collapsed="false">
      <c r="A50" s="19"/>
      <c r="B50" s="19"/>
      <c r="C50" s="19"/>
      <c r="D50" s="19"/>
      <c r="E50" s="19"/>
      <c r="F50" s="19"/>
      <c r="G50" s="19"/>
      <c r="H50" s="19"/>
      <c r="I50" s="19"/>
      <c r="J50" s="19"/>
      <c r="K50" s="19"/>
      <c r="L50" s="19"/>
      <c r="M50" s="19"/>
      <c r="N50" s="19"/>
      <c r="O50" s="19"/>
      <c r="P50" s="19"/>
      <c r="Q50" s="19"/>
      <c r="R50" s="19"/>
      <c r="S50" s="19"/>
      <c r="T50" s="19"/>
      <c r="U50" s="19"/>
    </row>
    <row r="51" customFormat="false" ht="13.5" hidden="false" customHeight="false" outlineLevel="0" collapsed="false">
      <c r="A51" s="19"/>
      <c r="B51" s="19"/>
      <c r="C51" s="19"/>
      <c r="D51" s="19"/>
      <c r="E51" s="19"/>
      <c r="F51" s="19"/>
      <c r="G51" s="19"/>
      <c r="H51" s="19"/>
      <c r="I51" s="19"/>
      <c r="J51" s="19"/>
      <c r="K51" s="19"/>
      <c r="L51" s="19"/>
      <c r="M51" s="19"/>
      <c r="N51" s="19"/>
      <c r="O51" s="19"/>
      <c r="P51" s="19"/>
      <c r="Q51" s="19"/>
      <c r="R51" s="19"/>
      <c r="S51" s="19"/>
      <c r="T51" s="19"/>
      <c r="U51" s="19"/>
    </row>
    <row r="52" customFormat="false" ht="13.5" hidden="false" customHeight="false" outlineLevel="0" collapsed="false">
      <c r="A52" s="19"/>
      <c r="B52" s="19"/>
      <c r="C52" s="19"/>
      <c r="D52" s="19"/>
      <c r="E52" s="19"/>
      <c r="F52" s="19"/>
      <c r="G52" s="19"/>
      <c r="H52" s="19"/>
      <c r="I52" s="19"/>
      <c r="J52" s="19"/>
      <c r="K52" s="19"/>
      <c r="L52" s="19"/>
      <c r="M52" s="19"/>
      <c r="N52" s="19"/>
      <c r="O52" s="19"/>
      <c r="P52" s="19"/>
      <c r="Q52" s="19"/>
      <c r="R52" s="19"/>
      <c r="S52" s="19"/>
      <c r="T52" s="19"/>
      <c r="U52" s="19"/>
    </row>
    <row r="53" customFormat="false" ht="13.5" hidden="false" customHeight="false" outlineLevel="0" collapsed="false">
      <c r="A53" s="19"/>
      <c r="B53" s="19"/>
      <c r="C53" s="19"/>
      <c r="D53" s="19"/>
      <c r="E53" s="19"/>
      <c r="F53" s="19"/>
      <c r="G53" s="19"/>
      <c r="H53" s="19"/>
      <c r="I53" s="19"/>
      <c r="J53" s="19"/>
      <c r="K53" s="19"/>
      <c r="L53" s="19"/>
      <c r="M53" s="19"/>
      <c r="N53" s="19"/>
      <c r="O53" s="19"/>
      <c r="P53" s="19"/>
      <c r="Q53" s="19"/>
      <c r="R53" s="19"/>
      <c r="S53" s="19"/>
      <c r="T53" s="19"/>
      <c r="U53" s="19"/>
    </row>
    <row r="54" customFormat="false" ht="13.5" hidden="false" customHeight="false" outlineLevel="0" collapsed="false">
      <c r="A54" s="19"/>
      <c r="B54" s="19"/>
      <c r="C54" s="19"/>
      <c r="D54" s="19"/>
      <c r="E54" s="19"/>
      <c r="F54" s="19"/>
      <c r="G54" s="19"/>
      <c r="H54" s="19"/>
      <c r="I54" s="19"/>
      <c r="J54" s="19"/>
      <c r="K54" s="19"/>
      <c r="L54" s="19"/>
      <c r="M54" s="19"/>
      <c r="N54" s="19"/>
      <c r="O54" s="19"/>
      <c r="P54" s="19"/>
      <c r="Q54" s="19"/>
      <c r="R54" s="19"/>
      <c r="S54" s="19"/>
      <c r="T54" s="19"/>
      <c r="U54" s="19"/>
    </row>
    <row r="55" customFormat="false" ht="13.5" hidden="false" customHeight="false" outlineLevel="0" collapsed="false">
      <c r="A55" s="19"/>
      <c r="B55" s="19"/>
      <c r="C55" s="19"/>
      <c r="D55" s="19"/>
      <c r="E55" s="19"/>
      <c r="F55" s="19"/>
      <c r="G55" s="19"/>
      <c r="H55" s="19"/>
      <c r="I55" s="19"/>
      <c r="J55" s="19"/>
      <c r="K55" s="19"/>
      <c r="L55" s="19"/>
      <c r="M55" s="19"/>
      <c r="N55" s="19"/>
      <c r="O55" s="19"/>
      <c r="P55" s="19"/>
      <c r="Q55" s="19"/>
      <c r="R55" s="19"/>
      <c r="S55" s="19"/>
      <c r="T55" s="19"/>
      <c r="U55" s="19"/>
    </row>
    <row r="56" customFormat="false" ht="13.5" hidden="false" customHeight="false" outlineLevel="0" collapsed="false">
      <c r="A56" s="19"/>
      <c r="B56" s="19"/>
      <c r="C56" s="19"/>
      <c r="D56" s="19"/>
      <c r="E56" s="19"/>
      <c r="F56" s="19"/>
      <c r="G56" s="19"/>
      <c r="H56" s="19"/>
      <c r="I56" s="19"/>
      <c r="J56" s="19"/>
      <c r="K56" s="19"/>
      <c r="L56" s="19"/>
      <c r="M56" s="19"/>
      <c r="N56" s="19"/>
      <c r="O56" s="19"/>
      <c r="P56" s="19"/>
      <c r="Q56" s="19"/>
      <c r="R56" s="19"/>
      <c r="S56" s="19"/>
      <c r="T56" s="19"/>
      <c r="U56" s="19"/>
    </row>
    <row r="57" customFormat="false" ht="13.5" hidden="false" customHeight="false" outlineLevel="0" collapsed="false">
      <c r="A57" s="19"/>
      <c r="B57" s="19"/>
      <c r="C57" s="19"/>
      <c r="D57" s="19"/>
      <c r="E57" s="19"/>
      <c r="F57" s="19"/>
      <c r="G57" s="19"/>
      <c r="H57" s="19"/>
      <c r="I57" s="19"/>
      <c r="J57" s="19"/>
      <c r="K57" s="19"/>
      <c r="L57" s="19"/>
      <c r="M57" s="19"/>
      <c r="N57" s="19"/>
      <c r="O57" s="19"/>
      <c r="P57" s="19"/>
      <c r="Q57" s="19"/>
      <c r="R57" s="19"/>
      <c r="S57" s="19"/>
      <c r="T57" s="19"/>
      <c r="U57" s="19"/>
    </row>
    <row r="58" customFormat="false" ht="13.5" hidden="false" customHeight="false" outlineLevel="0" collapsed="false">
      <c r="A58" s="19"/>
      <c r="B58" s="19"/>
      <c r="C58" s="19"/>
      <c r="D58" s="19"/>
      <c r="E58" s="19"/>
      <c r="F58" s="19"/>
      <c r="G58" s="19"/>
      <c r="H58" s="19"/>
      <c r="I58" s="19"/>
      <c r="J58" s="19"/>
      <c r="K58" s="19"/>
      <c r="L58" s="19"/>
      <c r="M58" s="19"/>
      <c r="N58" s="19"/>
      <c r="O58" s="19"/>
      <c r="P58" s="19"/>
      <c r="Q58" s="19"/>
      <c r="R58" s="19"/>
      <c r="S58" s="19"/>
      <c r="T58" s="19"/>
      <c r="U58" s="19"/>
    </row>
    <row r="59" customFormat="false" ht="13.5" hidden="false" customHeight="false" outlineLevel="0" collapsed="false">
      <c r="A59" s="19"/>
      <c r="B59" s="19"/>
      <c r="C59" s="19"/>
      <c r="D59" s="19"/>
      <c r="E59" s="19"/>
      <c r="F59" s="19"/>
      <c r="G59" s="19"/>
      <c r="H59" s="19"/>
      <c r="I59" s="19"/>
      <c r="J59" s="19"/>
      <c r="K59" s="19"/>
      <c r="L59" s="19"/>
      <c r="M59" s="19"/>
      <c r="N59" s="19"/>
      <c r="O59" s="19"/>
      <c r="P59" s="19"/>
      <c r="Q59" s="19"/>
      <c r="R59" s="19"/>
      <c r="S59" s="19"/>
      <c r="T59" s="19"/>
      <c r="U59" s="19"/>
    </row>
    <row r="60" customFormat="false" ht="13.5" hidden="false" customHeight="false" outlineLevel="0" collapsed="false">
      <c r="A60" s="19"/>
      <c r="B60" s="19"/>
      <c r="C60" s="19"/>
      <c r="D60" s="19"/>
      <c r="E60" s="19"/>
      <c r="F60" s="19"/>
      <c r="G60" s="19"/>
      <c r="H60" s="19"/>
      <c r="I60" s="19"/>
      <c r="J60" s="19"/>
      <c r="K60" s="19"/>
      <c r="L60" s="19"/>
      <c r="M60" s="19"/>
      <c r="N60" s="19"/>
      <c r="O60" s="19"/>
      <c r="P60" s="19"/>
      <c r="Q60" s="19"/>
      <c r="R60" s="19"/>
      <c r="S60" s="19"/>
      <c r="T60" s="19"/>
      <c r="U60" s="19"/>
    </row>
    <row r="61" customFormat="false" ht="13.5" hidden="false" customHeight="false" outlineLevel="0" collapsed="false">
      <c r="A61" s="19"/>
      <c r="B61" s="19"/>
      <c r="C61" s="19"/>
      <c r="D61" s="19"/>
      <c r="E61" s="19"/>
      <c r="F61" s="19"/>
      <c r="G61" s="19"/>
      <c r="H61" s="19"/>
      <c r="I61" s="19"/>
      <c r="J61" s="19"/>
      <c r="K61" s="19"/>
      <c r="L61" s="19"/>
      <c r="M61" s="19"/>
      <c r="N61" s="19"/>
      <c r="O61" s="19"/>
      <c r="P61" s="19"/>
      <c r="Q61" s="19"/>
      <c r="R61" s="19"/>
      <c r="S61" s="19"/>
      <c r="T61" s="19"/>
      <c r="U61" s="19"/>
    </row>
    <row r="62" customFormat="false" ht="13.5" hidden="false" customHeight="false" outlineLevel="0" collapsed="false">
      <c r="A62" s="19"/>
      <c r="B62" s="19"/>
      <c r="C62" s="19"/>
      <c r="D62" s="19"/>
      <c r="E62" s="19"/>
      <c r="F62" s="19"/>
      <c r="G62" s="19"/>
      <c r="H62" s="19"/>
      <c r="I62" s="19"/>
      <c r="J62" s="19"/>
      <c r="K62" s="19"/>
      <c r="L62" s="19"/>
      <c r="M62" s="19"/>
      <c r="N62" s="19"/>
      <c r="O62" s="19"/>
      <c r="P62" s="19"/>
      <c r="Q62" s="19"/>
      <c r="R62" s="19"/>
      <c r="S62" s="19"/>
      <c r="T62" s="19"/>
      <c r="U62" s="19"/>
    </row>
    <row r="63" customFormat="false" ht="13.5" hidden="false" customHeight="false" outlineLevel="0" collapsed="false">
      <c r="A63" s="19"/>
      <c r="B63" s="19"/>
      <c r="C63" s="19"/>
      <c r="D63" s="19"/>
      <c r="E63" s="19"/>
      <c r="F63" s="19"/>
      <c r="G63" s="19"/>
      <c r="H63" s="19"/>
      <c r="I63" s="19"/>
      <c r="J63" s="19"/>
      <c r="K63" s="19"/>
      <c r="L63" s="19"/>
      <c r="M63" s="19"/>
      <c r="N63" s="19"/>
      <c r="O63" s="19"/>
      <c r="P63" s="19"/>
      <c r="Q63" s="19"/>
      <c r="R63" s="19"/>
      <c r="S63" s="19"/>
      <c r="T63" s="19"/>
      <c r="U63" s="19"/>
    </row>
    <row r="64" customFormat="false" ht="13.5" hidden="false" customHeight="false" outlineLevel="0" collapsed="false">
      <c r="A64" s="19"/>
      <c r="B64" s="19"/>
      <c r="C64" s="19"/>
      <c r="D64" s="19"/>
      <c r="E64" s="19"/>
      <c r="F64" s="19"/>
      <c r="G64" s="19"/>
      <c r="H64" s="19"/>
      <c r="I64" s="19"/>
      <c r="J64" s="19"/>
      <c r="K64" s="19"/>
      <c r="L64" s="19"/>
      <c r="M64" s="19"/>
      <c r="N64" s="19"/>
      <c r="O64" s="19"/>
      <c r="P64" s="19"/>
      <c r="Q64" s="19"/>
      <c r="R64" s="19"/>
      <c r="S64" s="19"/>
      <c r="T64" s="19"/>
      <c r="U64" s="19"/>
    </row>
    <row r="65" customFormat="false" ht="13.5" hidden="false" customHeight="false" outlineLevel="0" collapsed="false">
      <c r="A65" s="19"/>
      <c r="B65" s="19"/>
      <c r="C65" s="19"/>
      <c r="D65" s="19"/>
      <c r="E65" s="19"/>
      <c r="F65" s="19"/>
      <c r="G65" s="19"/>
      <c r="H65" s="19"/>
      <c r="I65" s="19"/>
      <c r="J65" s="19"/>
      <c r="K65" s="19"/>
      <c r="L65" s="19"/>
      <c r="M65" s="19"/>
      <c r="N65" s="19"/>
      <c r="O65" s="19"/>
      <c r="P65" s="19"/>
      <c r="Q65" s="19"/>
      <c r="R65" s="19"/>
      <c r="S65" s="19"/>
      <c r="T65" s="19"/>
      <c r="U65" s="19"/>
    </row>
    <row r="66" customFormat="false" ht="13.5" hidden="false" customHeight="false" outlineLevel="0" collapsed="false">
      <c r="A66" s="19"/>
      <c r="B66" s="19"/>
      <c r="C66" s="19"/>
      <c r="D66" s="19"/>
      <c r="E66" s="19"/>
      <c r="F66" s="19"/>
      <c r="G66" s="19"/>
      <c r="H66" s="19"/>
      <c r="I66" s="19"/>
      <c r="J66" s="19"/>
      <c r="K66" s="19"/>
      <c r="L66" s="19"/>
      <c r="M66" s="19"/>
      <c r="N66" s="19"/>
      <c r="O66" s="19"/>
      <c r="P66" s="19"/>
      <c r="Q66" s="19"/>
      <c r="R66" s="19"/>
      <c r="S66" s="19"/>
      <c r="T66" s="19"/>
      <c r="U66" s="19"/>
    </row>
    <row r="67" customFormat="false" ht="13.5" hidden="false" customHeight="false" outlineLevel="0" collapsed="false">
      <c r="A67" s="19"/>
      <c r="B67" s="19"/>
      <c r="C67" s="19"/>
      <c r="D67" s="19"/>
      <c r="E67" s="19"/>
      <c r="F67" s="19"/>
      <c r="G67" s="19"/>
      <c r="H67" s="19"/>
      <c r="I67" s="19"/>
      <c r="J67" s="19"/>
      <c r="K67" s="19"/>
      <c r="L67" s="19"/>
      <c r="M67" s="19"/>
      <c r="N67" s="19"/>
      <c r="O67" s="19"/>
      <c r="P67" s="19"/>
      <c r="Q67" s="19"/>
      <c r="R67" s="19"/>
      <c r="S67" s="19"/>
      <c r="T67" s="19"/>
      <c r="U67" s="19"/>
    </row>
    <row r="68" customFormat="false" ht="13.5" hidden="false" customHeight="false" outlineLevel="0" collapsed="false">
      <c r="A68" s="19"/>
      <c r="B68" s="19"/>
      <c r="C68" s="19"/>
      <c r="D68" s="19"/>
      <c r="E68" s="19"/>
      <c r="F68" s="19"/>
      <c r="G68" s="19"/>
      <c r="H68" s="19"/>
      <c r="I68" s="19"/>
      <c r="J68" s="19"/>
      <c r="K68" s="19"/>
      <c r="L68" s="19"/>
      <c r="M68" s="19"/>
      <c r="N68" s="19"/>
      <c r="O68" s="19"/>
      <c r="P68" s="19"/>
      <c r="Q68" s="19"/>
      <c r="R68" s="19"/>
      <c r="S68" s="19"/>
      <c r="T68" s="19"/>
      <c r="U68" s="19"/>
    </row>
    <row r="69" customFormat="false" ht="13.5" hidden="false" customHeight="false" outlineLevel="0" collapsed="false">
      <c r="A69" s="19"/>
      <c r="B69" s="19"/>
      <c r="C69" s="19"/>
      <c r="D69" s="19"/>
      <c r="E69" s="19"/>
      <c r="F69" s="19"/>
      <c r="G69" s="19"/>
      <c r="H69" s="19"/>
      <c r="I69" s="19"/>
      <c r="J69" s="19"/>
      <c r="K69" s="19"/>
      <c r="L69" s="19"/>
      <c r="M69" s="19"/>
      <c r="N69" s="19"/>
      <c r="O69" s="19"/>
      <c r="P69" s="19"/>
      <c r="Q69" s="19"/>
      <c r="R69" s="19"/>
      <c r="S69" s="19"/>
      <c r="T69" s="19"/>
      <c r="U69" s="19"/>
    </row>
    <row r="70" customFormat="false" ht="13.5" hidden="false" customHeight="false" outlineLevel="0" collapsed="false">
      <c r="A70" s="19"/>
      <c r="B70" s="19"/>
      <c r="C70" s="19"/>
      <c r="D70" s="19"/>
      <c r="E70" s="19"/>
      <c r="F70" s="19"/>
      <c r="G70" s="19"/>
      <c r="H70" s="19"/>
      <c r="I70" s="19"/>
      <c r="J70" s="19"/>
      <c r="K70" s="19"/>
      <c r="L70" s="19"/>
      <c r="M70" s="19"/>
      <c r="N70" s="19"/>
      <c r="O70" s="19"/>
      <c r="P70" s="19"/>
      <c r="Q70" s="19"/>
      <c r="R70" s="19"/>
      <c r="S70" s="19"/>
      <c r="T70" s="19"/>
      <c r="U70" s="19"/>
    </row>
    <row r="71" customFormat="false" ht="13.5" hidden="false" customHeight="false" outlineLevel="0" collapsed="false">
      <c r="A71" s="19"/>
      <c r="B71" s="19"/>
      <c r="C71" s="19"/>
      <c r="D71" s="19"/>
      <c r="E71" s="19"/>
      <c r="F71" s="19"/>
      <c r="G71" s="19"/>
      <c r="H71" s="19"/>
      <c r="I71" s="19"/>
      <c r="J71" s="19"/>
      <c r="K71" s="19"/>
      <c r="L71" s="19"/>
      <c r="M71" s="19"/>
      <c r="N71" s="19"/>
      <c r="O71" s="19"/>
      <c r="P71" s="19"/>
      <c r="Q71" s="19"/>
      <c r="R71" s="19"/>
      <c r="S71" s="19"/>
      <c r="T71" s="19"/>
      <c r="U71" s="19"/>
    </row>
    <row r="72" customFormat="false" ht="13.5" hidden="false" customHeight="false" outlineLevel="0" collapsed="false">
      <c r="A72" s="19"/>
      <c r="B72" s="19"/>
      <c r="C72" s="19"/>
      <c r="D72" s="19"/>
      <c r="E72" s="19"/>
      <c r="F72" s="19"/>
      <c r="G72" s="19"/>
      <c r="H72" s="19"/>
      <c r="I72" s="19"/>
      <c r="J72" s="19"/>
      <c r="K72" s="19"/>
      <c r="L72" s="19"/>
      <c r="M72" s="19"/>
      <c r="N72" s="19"/>
      <c r="O72" s="19"/>
      <c r="P72" s="19"/>
      <c r="Q72" s="19"/>
      <c r="R72" s="19"/>
      <c r="S72" s="19"/>
      <c r="T72" s="19"/>
      <c r="U72" s="19"/>
    </row>
    <row r="73" customFormat="false" ht="13.5" hidden="false" customHeight="false" outlineLevel="0" collapsed="false">
      <c r="A73" s="19"/>
      <c r="B73" s="19"/>
      <c r="C73" s="19"/>
      <c r="D73" s="19"/>
      <c r="E73" s="19"/>
      <c r="F73" s="19"/>
      <c r="G73" s="19"/>
      <c r="H73" s="19"/>
      <c r="I73" s="19"/>
      <c r="J73" s="19"/>
      <c r="K73" s="19"/>
      <c r="L73" s="19"/>
      <c r="M73" s="19"/>
      <c r="N73" s="19"/>
      <c r="O73" s="19"/>
      <c r="P73" s="19"/>
      <c r="Q73" s="19"/>
      <c r="R73" s="19"/>
      <c r="S73" s="19"/>
      <c r="T73" s="19"/>
      <c r="U73" s="19"/>
    </row>
    <row r="74" customFormat="false" ht="13.5" hidden="false" customHeight="false" outlineLevel="0" collapsed="false">
      <c r="A74" s="19"/>
      <c r="B74" s="19"/>
      <c r="C74" s="19"/>
      <c r="D74" s="19"/>
      <c r="E74" s="19"/>
      <c r="F74" s="19"/>
      <c r="G74" s="19"/>
      <c r="H74" s="19"/>
      <c r="I74" s="19"/>
      <c r="J74" s="19"/>
      <c r="K74" s="19"/>
      <c r="L74" s="19"/>
      <c r="M74" s="19"/>
      <c r="N74" s="19"/>
      <c r="O74" s="19"/>
      <c r="P74" s="19"/>
      <c r="Q74" s="19"/>
      <c r="R74" s="19"/>
      <c r="S74" s="19"/>
      <c r="T74" s="19"/>
      <c r="U74" s="19"/>
    </row>
    <row r="75" customFormat="false" ht="13.5" hidden="false" customHeight="false" outlineLevel="0" collapsed="false">
      <c r="A75" s="19"/>
      <c r="B75" s="19"/>
      <c r="C75" s="19"/>
      <c r="D75" s="19"/>
      <c r="E75" s="19"/>
      <c r="F75" s="19"/>
      <c r="G75" s="19"/>
      <c r="H75" s="19"/>
      <c r="I75" s="19"/>
      <c r="J75" s="19"/>
      <c r="K75" s="19"/>
      <c r="L75" s="19"/>
      <c r="M75" s="19"/>
      <c r="N75" s="19"/>
      <c r="O75" s="19"/>
      <c r="P75" s="19"/>
      <c r="Q75" s="19"/>
      <c r="R75" s="19"/>
      <c r="S75" s="19"/>
      <c r="T75" s="19"/>
      <c r="U75" s="19"/>
    </row>
    <row r="76" customFormat="false" ht="13.5" hidden="false" customHeight="false" outlineLevel="0" collapsed="false">
      <c r="A76" s="19"/>
      <c r="B76" s="19"/>
      <c r="C76" s="19"/>
      <c r="D76" s="19"/>
      <c r="E76" s="19"/>
      <c r="F76" s="19"/>
      <c r="G76" s="19"/>
      <c r="H76" s="19"/>
      <c r="I76" s="19"/>
      <c r="J76" s="19"/>
      <c r="K76" s="19"/>
      <c r="L76" s="19"/>
      <c r="M76" s="19"/>
      <c r="N76" s="19"/>
      <c r="O76" s="19"/>
      <c r="P76" s="19"/>
      <c r="Q76" s="19"/>
      <c r="R76" s="19"/>
      <c r="S76" s="19"/>
      <c r="T76" s="19"/>
      <c r="U76" s="19"/>
    </row>
    <row r="77" customFormat="false" ht="13.5" hidden="false" customHeight="false" outlineLevel="0" collapsed="false">
      <c r="A77" s="19"/>
      <c r="B77" s="19"/>
      <c r="C77" s="19"/>
      <c r="D77" s="19"/>
      <c r="E77" s="19"/>
      <c r="F77" s="19"/>
      <c r="G77" s="19"/>
      <c r="H77" s="19"/>
      <c r="I77" s="19"/>
      <c r="J77" s="19"/>
      <c r="K77" s="19"/>
      <c r="L77" s="19"/>
      <c r="M77" s="19"/>
      <c r="N77" s="19"/>
      <c r="O77" s="19"/>
      <c r="P77" s="19"/>
      <c r="Q77" s="19"/>
      <c r="R77" s="19"/>
      <c r="S77" s="19"/>
      <c r="T77" s="19"/>
      <c r="U77" s="19"/>
    </row>
    <row r="78" customFormat="false" ht="13.5" hidden="false" customHeight="false" outlineLevel="0" collapsed="false">
      <c r="A78" s="19"/>
      <c r="B78" s="19"/>
      <c r="C78" s="19"/>
      <c r="D78" s="19"/>
      <c r="E78" s="19"/>
      <c r="F78" s="19"/>
      <c r="G78" s="19"/>
      <c r="H78" s="19"/>
      <c r="I78" s="19"/>
      <c r="J78" s="19"/>
      <c r="K78" s="19"/>
      <c r="L78" s="19"/>
      <c r="M78" s="19"/>
      <c r="N78" s="19"/>
      <c r="O78" s="19"/>
      <c r="P78" s="19"/>
      <c r="Q78" s="19"/>
      <c r="R78" s="19"/>
      <c r="S78" s="19"/>
      <c r="T78" s="19"/>
      <c r="U78" s="19"/>
    </row>
    <row r="79" customFormat="false" ht="13.5" hidden="false" customHeight="false" outlineLevel="0" collapsed="false">
      <c r="A79" s="19"/>
      <c r="B79" s="19"/>
      <c r="C79" s="19"/>
      <c r="D79" s="19"/>
      <c r="E79" s="19"/>
      <c r="F79" s="19"/>
      <c r="G79" s="19"/>
      <c r="H79" s="19"/>
      <c r="I79" s="19"/>
      <c r="J79" s="19"/>
      <c r="K79" s="19"/>
      <c r="L79" s="19"/>
      <c r="M79" s="19"/>
      <c r="N79" s="19"/>
      <c r="O79" s="19"/>
      <c r="P79" s="19"/>
      <c r="Q79" s="19"/>
      <c r="R79" s="19"/>
      <c r="S79" s="19"/>
      <c r="T79" s="19"/>
      <c r="U79" s="19"/>
    </row>
    <row r="80" customFormat="false" ht="13.5" hidden="false" customHeight="false" outlineLevel="0" collapsed="false">
      <c r="A80" s="19"/>
      <c r="B80" s="19"/>
      <c r="C80" s="19"/>
      <c r="D80" s="19"/>
      <c r="E80" s="19"/>
      <c r="F80" s="19"/>
      <c r="G80" s="19"/>
      <c r="H80" s="19"/>
      <c r="I80" s="19"/>
      <c r="J80" s="19"/>
      <c r="K80" s="19"/>
      <c r="L80" s="19"/>
      <c r="M80" s="19"/>
      <c r="N80" s="19"/>
      <c r="O80" s="19"/>
      <c r="P80" s="19"/>
      <c r="Q80" s="19"/>
      <c r="R80" s="19"/>
      <c r="S80" s="19"/>
      <c r="T80" s="19"/>
      <c r="U80" s="19"/>
    </row>
    <row r="81" customFormat="false" ht="13.5" hidden="false" customHeight="false" outlineLevel="0" collapsed="false">
      <c r="A81" s="19"/>
      <c r="B81" s="19"/>
      <c r="C81" s="19"/>
      <c r="D81" s="19"/>
      <c r="E81" s="19"/>
      <c r="F81" s="19"/>
      <c r="G81" s="19"/>
      <c r="H81" s="19"/>
      <c r="I81" s="19"/>
      <c r="J81" s="19"/>
      <c r="K81" s="19"/>
      <c r="L81" s="19"/>
      <c r="M81" s="19"/>
      <c r="N81" s="19"/>
      <c r="O81" s="19"/>
      <c r="P81" s="19"/>
      <c r="Q81" s="19"/>
      <c r="R81" s="19"/>
      <c r="S81" s="19"/>
      <c r="T81" s="19"/>
      <c r="U81" s="19"/>
    </row>
    <row r="82" customFormat="false" ht="13.5" hidden="false" customHeight="false" outlineLevel="0" collapsed="false">
      <c r="A82" s="19"/>
      <c r="B82" s="19"/>
      <c r="C82" s="19"/>
      <c r="D82" s="19"/>
      <c r="E82" s="19"/>
      <c r="F82" s="19"/>
      <c r="G82" s="19"/>
      <c r="H82" s="19"/>
      <c r="I82" s="19"/>
      <c r="J82" s="19"/>
      <c r="K82" s="19"/>
      <c r="L82" s="19"/>
      <c r="M82" s="19"/>
      <c r="N82" s="19"/>
      <c r="O82" s="19"/>
      <c r="P82" s="19"/>
      <c r="Q82" s="19"/>
      <c r="R82" s="19"/>
      <c r="S82" s="19"/>
      <c r="T82" s="19"/>
      <c r="U82" s="19"/>
    </row>
    <row r="83" customFormat="false" ht="13.5" hidden="false" customHeight="false" outlineLevel="0" collapsed="false">
      <c r="A83" s="19"/>
      <c r="B83" s="19"/>
      <c r="C83" s="19"/>
      <c r="D83" s="19"/>
      <c r="E83" s="19"/>
      <c r="F83" s="19"/>
      <c r="G83" s="19"/>
      <c r="H83" s="19"/>
      <c r="I83" s="19"/>
      <c r="J83" s="19"/>
      <c r="K83" s="19"/>
      <c r="L83" s="19"/>
      <c r="M83" s="19"/>
      <c r="N83" s="19"/>
      <c r="O83" s="19"/>
      <c r="P83" s="19"/>
      <c r="Q83" s="19"/>
      <c r="R83" s="19"/>
      <c r="S83" s="19"/>
      <c r="T83" s="19"/>
      <c r="U83" s="19"/>
    </row>
    <row r="84" customFormat="false" ht="13.5" hidden="false" customHeight="false" outlineLevel="0" collapsed="false">
      <c r="A84" s="19"/>
      <c r="B84" s="19"/>
      <c r="C84" s="19"/>
      <c r="D84" s="19"/>
      <c r="E84" s="19"/>
      <c r="F84" s="19"/>
      <c r="G84" s="19"/>
      <c r="H84" s="19"/>
      <c r="I84" s="19"/>
      <c r="J84" s="19"/>
      <c r="K84" s="19"/>
      <c r="L84" s="19"/>
      <c r="M84" s="19"/>
      <c r="N84" s="19"/>
      <c r="O84" s="19"/>
      <c r="P84" s="19"/>
      <c r="Q84" s="19"/>
      <c r="R84" s="19"/>
      <c r="S84" s="19"/>
      <c r="T84" s="19"/>
      <c r="U84" s="19"/>
    </row>
    <row r="85" customFormat="false" ht="13.5" hidden="false" customHeight="false" outlineLevel="0" collapsed="false">
      <c r="A85" s="19"/>
      <c r="B85" s="19"/>
      <c r="C85" s="19"/>
      <c r="D85" s="19"/>
      <c r="E85" s="19"/>
      <c r="F85" s="19"/>
      <c r="G85" s="19"/>
      <c r="H85" s="19"/>
      <c r="I85" s="19"/>
      <c r="J85" s="19"/>
      <c r="K85" s="19"/>
      <c r="L85" s="19"/>
      <c r="M85" s="19"/>
      <c r="N85" s="19"/>
      <c r="O85" s="19"/>
      <c r="P85" s="19"/>
      <c r="Q85" s="19"/>
      <c r="R85" s="19"/>
      <c r="S85" s="19"/>
      <c r="T85" s="19"/>
      <c r="U85" s="19"/>
    </row>
    <row r="86" customFormat="false" ht="13.5" hidden="false" customHeight="false" outlineLevel="0" collapsed="false">
      <c r="A86" s="19"/>
      <c r="B86" s="19"/>
      <c r="C86" s="19"/>
      <c r="D86" s="19"/>
      <c r="E86" s="19"/>
      <c r="F86" s="19"/>
      <c r="G86" s="19"/>
      <c r="H86" s="19"/>
      <c r="I86" s="19"/>
      <c r="J86" s="19"/>
      <c r="K86" s="19"/>
      <c r="L86" s="19"/>
      <c r="M86" s="19"/>
      <c r="N86" s="19"/>
      <c r="O86" s="19"/>
      <c r="P86" s="19"/>
      <c r="Q86" s="19"/>
      <c r="R86" s="19"/>
      <c r="S86" s="19"/>
      <c r="T86" s="19"/>
      <c r="U86" s="19"/>
    </row>
    <row r="87" customFormat="false" ht="13.5" hidden="false" customHeight="false" outlineLevel="0" collapsed="false">
      <c r="A87" s="19"/>
      <c r="B87" s="19"/>
      <c r="C87" s="19"/>
      <c r="D87" s="19"/>
      <c r="E87" s="19"/>
      <c r="F87" s="19"/>
      <c r="G87" s="19"/>
      <c r="H87" s="19"/>
      <c r="I87" s="19"/>
      <c r="J87" s="19"/>
      <c r="K87" s="19"/>
      <c r="L87" s="19"/>
      <c r="M87" s="19"/>
      <c r="N87" s="19"/>
      <c r="O87" s="19"/>
      <c r="P87" s="19"/>
      <c r="Q87" s="19"/>
      <c r="R87" s="19"/>
      <c r="S87" s="19"/>
      <c r="T87" s="19"/>
      <c r="U87" s="19"/>
    </row>
    <row r="88" customFormat="false" ht="13.5" hidden="false" customHeight="false" outlineLevel="0" collapsed="false">
      <c r="A88" s="19"/>
      <c r="B88" s="19"/>
      <c r="C88" s="19"/>
      <c r="D88" s="19"/>
      <c r="E88" s="19"/>
      <c r="F88" s="19"/>
      <c r="G88" s="19"/>
      <c r="H88" s="19"/>
      <c r="I88" s="19"/>
      <c r="J88" s="19"/>
      <c r="K88" s="19"/>
      <c r="L88" s="19"/>
      <c r="M88" s="19"/>
      <c r="N88" s="19"/>
      <c r="O88" s="19"/>
      <c r="P88" s="19"/>
      <c r="Q88" s="19"/>
      <c r="R88" s="19"/>
      <c r="S88" s="19"/>
      <c r="T88" s="19"/>
      <c r="U88" s="19"/>
    </row>
    <row r="89" customFormat="false" ht="13.5" hidden="false" customHeight="false" outlineLevel="0" collapsed="false">
      <c r="A89" s="19"/>
      <c r="B89" s="19"/>
      <c r="C89" s="19"/>
      <c r="D89" s="19"/>
      <c r="E89" s="19"/>
      <c r="F89" s="19"/>
      <c r="G89" s="19"/>
      <c r="H89" s="19"/>
      <c r="I89" s="19"/>
      <c r="J89" s="19"/>
      <c r="K89" s="19"/>
      <c r="L89" s="19"/>
      <c r="M89" s="19"/>
      <c r="N89" s="19"/>
      <c r="O89" s="19"/>
      <c r="P89" s="19"/>
      <c r="Q89" s="19"/>
      <c r="R89" s="19"/>
      <c r="S89" s="19"/>
      <c r="T89" s="19"/>
      <c r="U89" s="19"/>
    </row>
    <row r="90" customFormat="false" ht="13.5" hidden="false" customHeight="false" outlineLevel="0" collapsed="false">
      <c r="A90" s="19"/>
      <c r="B90" s="19"/>
      <c r="C90" s="19"/>
      <c r="D90" s="19"/>
      <c r="E90" s="19"/>
      <c r="F90" s="19"/>
      <c r="G90" s="19"/>
      <c r="H90" s="19"/>
      <c r="I90" s="19"/>
      <c r="J90" s="19"/>
      <c r="K90" s="19"/>
      <c r="L90" s="19"/>
      <c r="M90" s="19"/>
      <c r="N90" s="19"/>
      <c r="O90" s="19"/>
      <c r="P90" s="19"/>
      <c r="Q90" s="19"/>
      <c r="R90" s="19"/>
      <c r="S90" s="19"/>
      <c r="T90" s="19"/>
      <c r="U90" s="19"/>
    </row>
    <row r="91" customFormat="false" ht="13.5" hidden="false" customHeight="false" outlineLevel="0" collapsed="false">
      <c r="A91" s="19"/>
      <c r="B91" s="19"/>
      <c r="C91" s="19"/>
      <c r="D91" s="19"/>
      <c r="E91" s="19"/>
      <c r="F91" s="19"/>
      <c r="G91" s="19"/>
      <c r="H91" s="19"/>
      <c r="I91" s="19"/>
      <c r="J91" s="19"/>
      <c r="K91" s="19"/>
      <c r="L91" s="19"/>
      <c r="M91" s="19"/>
      <c r="N91" s="19"/>
      <c r="O91" s="19"/>
      <c r="P91" s="19"/>
      <c r="Q91" s="19"/>
      <c r="R91" s="19"/>
      <c r="S91" s="19"/>
      <c r="T91" s="19"/>
      <c r="U91" s="19"/>
    </row>
    <row r="92" customFormat="false" ht="13.5" hidden="false" customHeight="false" outlineLevel="0" collapsed="false">
      <c r="A92" s="19"/>
      <c r="B92" s="19"/>
      <c r="C92" s="19"/>
      <c r="D92" s="19"/>
      <c r="E92" s="19"/>
      <c r="F92" s="19"/>
      <c r="G92" s="19"/>
      <c r="H92" s="19"/>
      <c r="I92" s="19"/>
      <c r="J92" s="19"/>
      <c r="K92" s="19"/>
      <c r="L92" s="19"/>
      <c r="M92" s="19"/>
      <c r="N92" s="19"/>
      <c r="O92" s="19"/>
      <c r="P92" s="19"/>
      <c r="Q92" s="19"/>
      <c r="R92" s="19"/>
      <c r="S92" s="19"/>
      <c r="T92" s="19"/>
      <c r="U92" s="19"/>
    </row>
    <row r="93" customFormat="false" ht="13.5" hidden="false" customHeight="false" outlineLevel="0" collapsed="false">
      <c r="A93" s="19"/>
      <c r="B93" s="19"/>
      <c r="C93" s="19"/>
      <c r="D93" s="19"/>
      <c r="E93" s="19"/>
      <c r="F93" s="19"/>
      <c r="G93" s="19"/>
      <c r="H93" s="19"/>
      <c r="I93" s="19"/>
      <c r="J93" s="19"/>
      <c r="K93" s="19"/>
      <c r="L93" s="19"/>
      <c r="M93" s="19"/>
      <c r="N93" s="19"/>
      <c r="O93" s="19"/>
      <c r="P93" s="19"/>
      <c r="Q93" s="19"/>
      <c r="R93" s="19"/>
      <c r="S93" s="19"/>
      <c r="T93" s="19"/>
      <c r="U93" s="19"/>
    </row>
    <row r="94" customFormat="false" ht="13.5" hidden="false" customHeight="false" outlineLevel="0" collapsed="false">
      <c r="A94" s="19"/>
      <c r="B94" s="19"/>
      <c r="C94" s="19"/>
      <c r="D94" s="19"/>
      <c r="E94" s="19"/>
      <c r="F94" s="19"/>
      <c r="G94" s="19"/>
      <c r="H94" s="19"/>
      <c r="I94" s="19"/>
      <c r="J94" s="19"/>
      <c r="K94" s="19"/>
      <c r="L94" s="19"/>
      <c r="M94" s="19"/>
      <c r="N94" s="19"/>
      <c r="O94" s="19"/>
      <c r="P94" s="19"/>
      <c r="Q94" s="19"/>
      <c r="R94" s="19"/>
      <c r="S94" s="19"/>
      <c r="T94" s="19"/>
      <c r="U94" s="19"/>
    </row>
    <row r="95" customFormat="false" ht="13.5" hidden="false" customHeight="false" outlineLevel="0" collapsed="false">
      <c r="A95" s="19"/>
      <c r="B95" s="19"/>
      <c r="C95" s="19"/>
      <c r="D95" s="19"/>
      <c r="E95" s="19"/>
      <c r="F95" s="19"/>
      <c r="G95" s="19"/>
      <c r="H95" s="19"/>
      <c r="I95" s="19"/>
      <c r="J95" s="19"/>
      <c r="K95" s="19"/>
      <c r="L95" s="19"/>
      <c r="M95" s="19"/>
      <c r="N95" s="19"/>
      <c r="O95" s="19"/>
      <c r="P95" s="19"/>
      <c r="Q95" s="19"/>
      <c r="R95" s="19"/>
      <c r="S95" s="19"/>
      <c r="T95" s="19"/>
      <c r="U95" s="19"/>
    </row>
    <row r="96" customFormat="false" ht="13.5" hidden="false" customHeight="false" outlineLevel="0" collapsed="false">
      <c r="A96" s="19"/>
      <c r="B96" s="19"/>
      <c r="C96" s="19"/>
      <c r="D96" s="19"/>
      <c r="E96" s="19"/>
      <c r="F96" s="19"/>
      <c r="G96" s="19"/>
      <c r="H96" s="19"/>
      <c r="I96" s="19"/>
      <c r="J96" s="19"/>
      <c r="K96" s="19"/>
      <c r="L96" s="19"/>
      <c r="M96" s="19"/>
      <c r="N96" s="19"/>
      <c r="O96" s="19"/>
      <c r="P96" s="19"/>
      <c r="Q96" s="19"/>
      <c r="R96" s="19"/>
      <c r="S96" s="19"/>
      <c r="T96" s="19"/>
      <c r="U96" s="19"/>
    </row>
    <row r="97" customFormat="false" ht="13.5" hidden="false" customHeight="false" outlineLevel="0" collapsed="false">
      <c r="A97" s="19"/>
      <c r="B97" s="19"/>
      <c r="C97" s="19"/>
      <c r="D97" s="19"/>
      <c r="E97" s="19"/>
      <c r="F97" s="19"/>
      <c r="G97" s="19"/>
      <c r="H97" s="19"/>
      <c r="I97" s="19"/>
      <c r="J97" s="19"/>
      <c r="K97" s="19"/>
      <c r="L97" s="19"/>
      <c r="M97" s="19"/>
      <c r="N97" s="19"/>
      <c r="O97" s="19"/>
      <c r="P97" s="19"/>
      <c r="Q97" s="19"/>
      <c r="R97" s="19"/>
      <c r="S97" s="19"/>
      <c r="T97" s="19"/>
      <c r="U97" s="19"/>
    </row>
    <row r="98" customFormat="false" ht="13.5" hidden="false" customHeight="false" outlineLevel="0" collapsed="false">
      <c r="A98" s="19"/>
      <c r="B98" s="19"/>
      <c r="C98" s="19"/>
      <c r="D98" s="19"/>
      <c r="E98" s="19"/>
      <c r="F98" s="19"/>
      <c r="G98" s="19"/>
      <c r="H98" s="19"/>
      <c r="I98" s="19"/>
      <c r="J98" s="19"/>
      <c r="K98" s="19"/>
      <c r="L98" s="19"/>
      <c r="M98" s="19"/>
      <c r="N98" s="19"/>
      <c r="O98" s="19"/>
      <c r="P98" s="19"/>
      <c r="Q98" s="19"/>
      <c r="R98" s="19"/>
      <c r="S98" s="19"/>
      <c r="T98" s="19"/>
      <c r="U98" s="19"/>
    </row>
    <row r="99" customFormat="false" ht="13.5" hidden="false" customHeight="false" outlineLevel="0" collapsed="false">
      <c r="A99" s="19"/>
      <c r="B99" s="19"/>
      <c r="C99" s="19"/>
      <c r="D99" s="19"/>
      <c r="E99" s="19"/>
      <c r="F99" s="19"/>
      <c r="G99" s="19"/>
      <c r="H99" s="19"/>
      <c r="I99" s="19"/>
      <c r="J99" s="19"/>
      <c r="K99" s="19"/>
      <c r="L99" s="19"/>
      <c r="M99" s="19"/>
      <c r="N99" s="19"/>
      <c r="O99" s="19"/>
      <c r="P99" s="19"/>
      <c r="Q99" s="19"/>
      <c r="R99" s="19"/>
      <c r="S99" s="19"/>
      <c r="T99" s="19"/>
      <c r="U99" s="19"/>
    </row>
    <row r="100" customFormat="false" ht="13.5" hidden="false" customHeight="false" outlineLevel="0" collapsed="false">
      <c r="A100" s="19"/>
      <c r="B100" s="19"/>
      <c r="C100" s="19"/>
      <c r="D100" s="19"/>
      <c r="E100" s="19"/>
      <c r="F100" s="19"/>
      <c r="G100" s="19"/>
      <c r="H100" s="19"/>
      <c r="I100" s="19"/>
      <c r="J100" s="19"/>
      <c r="K100" s="19"/>
      <c r="L100" s="19"/>
      <c r="M100" s="19"/>
      <c r="N100" s="19"/>
      <c r="O100" s="19"/>
      <c r="P100" s="19"/>
      <c r="Q100" s="19"/>
      <c r="R100" s="19"/>
      <c r="S100" s="19"/>
      <c r="T100" s="19"/>
      <c r="U100" s="19"/>
    </row>
    <row r="101" customFormat="false" ht="13.5" hidden="false" customHeight="false" outlineLevel="0" collapsed="false">
      <c r="A101" s="19"/>
      <c r="B101" s="19"/>
      <c r="C101" s="19"/>
      <c r="D101" s="19"/>
      <c r="E101" s="19"/>
      <c r="F101" s="19"/>
      <c r="G101" s="19"/>
      <c r="H101" s="19"/>
      <c r="I101" s="19"/>
      <c r="J101" s="19"/>
      <c r="K101" s="19"/>
      <c r="L101" s="19"/>
      <c r="M101" s="19"/>
      <c r="N101" s="19"/>
      <c r="O101" s="19"/>
      <c r="P101" s="19"/>
      <c r="Q101" s="19"/>
      <c r="R101" s="19"/>
      <c r="S101" s="19"/>
      <c r="T101" s="19"/>
      <c r="U101" s="19"/>
    </row>
    <row r="102" customFormat="false" ht="13.5" hidden="false" customHeight="false" outlineLevel="0" collapsed="false">
      <c r="A102" s="19"/>
      <c r="B102" s="19"/>
      <c r="C102" s="19"/>
      <c r="D102" s="19"/>
      <c r="E102" s="19"/>
      <c r="F102" s="19"/>
      <c r="G102" s="19"/>
      <c r="H102" s="19"/>
      <c r="I102" s="19"/>
      <c r="J102" s="19"/>
      <c r="K102" s="19"/>
      <c r="L102" s="19"/>
      <c r="M102" s="19"/>
      <c r="N102" s="19"/>
      <c r="O102" s="19"/>
      <c r="P102" s="19"/>
      <c r="Q102" s="19"/>
      <c r="R102" s="19"/>
      <c r="S102" s="19"/>
      <c r="T102" s="19"/>
      <c r="U102" s="19"/>
    </row>
    <row r="103" customFormat="false" ht="13.5" hidden="false" customHeight="false" outlineLevel="0" collapsed="false">
      <c r="A103" s="19"/>
      <c r="B103" s="19"/>
      <c r="C103" s="19"/>
      <c r="D103" s="19"/>
      <c r="E103" s="19"/>
      <c r="F103" s="19"/>
      <c r="G103" s="19"/>
      <c r="H103" s="19"/>
      <c r="I103" s="19"/>
      <c r="J103" s="19"/>
      <c r="K103" s="19"/>
      <c r="L103" s="19"/>
      <c r="M103" s="19"/>
      <c r="N103" s="19"/>
      <c r="O103" s="19"/>
      <c r="P103" s="19"/>
      <c r="Q103" s="19"/>
      <c r="R103" s="19"/>
      <c r="S103" s="19"/>
      <c r="T103" s="19"/>
      <c r="U103" s="19"/>
    </row>
    <row r="104" customFormat="false" ht="13.5" hidden="false" customHeight="false" outlineLevel="0" collapsed="false">
      <c r="A104" s="19"/>
      <c r="B104" s="19"/>
      <c r="C104" s="19"/>
      <c r="D104" s="19"/>
      <c r="E104" s="19"/>
      <c r="F104" s="19"/>
      <c r="G104" s="19"/>
      <c r="H104" s="19"/>
      <c r="I104" s="19"/>
      <c r="J104" s="19"/>
      <c r="K104" s="19"/>
      <c r="L104" s="19"/>
      <c r="M104" s="19"/>
      <c r="N104" s="19"/>
      <c r="O104" s="19"/>
      <c r="P104" s="19"/>
      <c r="Q104" s="19"/>
      <c r="R104" s="19"/>
      <c r="S104" s="19"/>
      <c r="T104" s="19"/>
      <c r="U104" s="19"/>
    </row>
    <row r="105" customFormat="false" ht="13.5" hidden="false" customHeight="false" outlineLevel="0" collapsed="false">
      <c r="A105" s="19"/>
      <c r="B105" s="19"/>
      <c r="C105" s="19"/>
      <c r="D105" s="19"/>
      <c r="E105" s="19"/>
      <c r="F105" s="19"/>
      <c r="G105" s="19"/>
      <c r="H105" s="19"/>
      <c r="I105" s="19"/>
      <c r="J105" s="19"/>
      <c r="K105" s="19"/>
      <c r="L105" s="19"/>
      <c r="M105" s="19"/>
      <c r="N105" s="19"/>
      <c r="O105" s="19"/>
      <c r="P105" s="19"/>
      <c r="Q105" s="19"/>
      <c r="R105" s="19"/>
      <c r="S105" s="19"/>
      <c r="T105" s="19"/>
      <c r="U105" s="19"/>
    </row>
    <row r="106" customFormat="false" ht="13.5" hidden="false" customHeight="false" outlineLevel="0" collapsed="false">
      <c r="A106" s="19"/>
      <c r="B106" s="19"/>
      <c r="C106" s="19"/>
      <c r="D106" s="19"/>
      <c r="E106" s="19"/>
      <c r="F106" s="19"/>
      <c r="G106" s="19"/>
      <c r="H106" s="19"/>
      <c r="I106" s="19"/>
      <c r="J106" s="19"/>
      <c r="K106" s="19"/>
      <c r="L106" s="19"/>
      <c r="M106" s="19"/>
      <c r="N106" s="19"/>
      <c r="O106" s="19"/>
      <c r="P106" s="19"/>
      <c r="Q106" s="19"/>
      <c r="R106" s="19"/>
      <c r="S106" s="19"/>
      <c r="T106" s="19"/>
      <c r="U106" s="19"/>
    </row>
    <row r="107" customFormat="false" ht="13.5" hidden="false" customHeight="false" outlineLevel="0" collapsed="false">
      <c r="A107" s="19"/>
      <c r="B107" s="19"/>
      <c r="C107" s="19"/>
      <c r="D107" s="19"/>
      <c r="E107" s="19"/>
      <c r="F107" s="19"/>
      <c r="G107" s="19"/>
      <c r="H107" s="19"/>
      <c r="I107" s="19"/>
      <c r="J107" s="19"/>
      <c r="K107" s="19"/>
      <c r="L107" s="19"/>
      <c r="M107" s="19"/>
      <c r="N107" s="19"/>
      <c r="O107" s="19"/>
      <c r="P107" s="19"/>
      <c r="Q107" s="19"/>
      <c r="R107" s="19"/>
      <c r="S107" s="19"/>
      <c r="T107" s="19"/>
      <c r="U107" s="19"/>
    </row>
    <row r="108" customFormat="false" ht="13.5" hidden="false" customHeight="false" outlineLevel="0" collapsed="false">
      <c r="A108" s="19"/>
      <c r="B108" s="19"/>
      <c r="C108" s="19"/>
      <c r="D108" s="19"/>
      <c r="E108" s="19"/>
      <c r="F108" s="19"/>
      <c r="G108" s="19"/>
      <c r="H108" s="19"/>
      <c r="I108" s="19"/>
      <c r="J108" s="19"/>
      <c r="K108" s="19"/>
      <c r="L108" s="19"/>
      <c r="M108" s="19"/>
      <c r="N108" s="19"/>
      <c r="O108" s="19"/>
      <c r="P108" s="19"/>
      <c r="Q108" s="19"/>
      <c r="R108" s="19"/>
      <c r="S108" s="19"/>
      <c r="T108" s="19"/>
      <c r="U108" s="19"/>
    </row>
    <row r="109" customFormat="false" ht="13.5" hidden="false" customHeight="false" outlineLevel="0" collapsed="false">
      <c r="A109" s="19"/>
      <c r="B109" s="19"/>
      <c r="C109" s="19"/>
      <c r="D109" s="19"/>
      <c r="E109" s="19"/>
      <c r="F109" s="19"/>
      <c r="G109" s="19"/>
      <c r="H109" s="19"/>
      <c r="I109" s="19"/>
      <c r="J109" s="19"/>
      <c r="K109" s="19"/>
      <c r="L109" s="19"/>
      <c r="M109" s="19"/>
      <c r="N109" s="19"/>
      <c r="O109" s="19"/>
      <c r="P109" s="19"/>
      <c r="Q109" s="19"/>
      <c r="R109" s="19"/>
      <c r="S109" s="19"/>
      <c r="T109" s="19"/>
      <c r="U109" s="19"/>
    </row>
    <row r="110" customFormat="false" ht="13.5" hidden="false" customHeight="false" outlineLevel="0" collapsed="false">
      <c r="A110" s="19"/>
      <c r="B110" s="19"/>
      <c r="C110" s="19"/>
      <c r="D110" s="19"/>
      <c r="E110" s="19"/>
      <c r="F110" s="19"/>
      <c r="G110" s="19"/>
      <c r="H110" s="19"/>
      <c r="I110" s="19"/>
      <c r="J110" s="19"/>
      <c r="K110" s="19"/>
      <c r="L110" s="19"/>
      <c r="M110" s="19"/>
      <c r="N110" s="19"/>
      <c r="O110" s="19"/>
      <c r="P110" s="19"/>
      <c r="Q110" s="19"/>
      <c r="R110" s="19"/>
      <c r="S110" s="19"/>
      <c r="T110" s="19"/>
      <c r="U110" s="19"/>
    </row>
    <row r="111" customFormat="false" ht="13.5" hidden="false" customHeight="false" outlineLevel="0" collapsed="false">
      <c r="A111" s="19"/>
      <c r="B111" s="19"/>
      <c r="C111" s="19"/>
      <c r="D111" s="19"/>
      <c r="E111" s="19"/>
      <c r="F111" s="19"/>
      <c r="G111" s="19"/>
      <c r="H111" s="19"/>
      <c r="I111" s="19"/>
      <c r="J111" s="19"/>
      <c r="K111" s="19"/>
      <c r="L111" s="19"/>
      <c r="M111" s="19"/>
      <c r="N111" s="19"/>
      <c r="O111" s="19"/>
      <c r="P111" s="19"/>
      <c r="Q111" s="19"/>
      <c r="R111" s="19"/>
      <c r="S111" s="19"/>
      <c r="T111" s="19"/>
      <c r="U111" s="19"/>
    </row>
    <row r="112" customFormat="false" ht="13.5" hidden="false" customHeight="false" outlineLevel="0" collapsed="false">
      <c r="A112" s="19"/>
      <c r="B112" s="19"/>
      <c r="C112" s="19"/>
      <c r="D112" s="19"/>
      <c r="E112" s="19"/>
      <c r="F112" s="19"/>
      <c r="G112" s="19"/>
      <c r="H112" s="19"/>
      <c r="I112" s="19"/>
      <c r="J112" s="19"/>
      <c r="K112" s="19"/>
      <c r="L112" s="19"/>
      <c r="M112" s="19"/>
      <c r="N112" s="19"/>
      <c r="O112" s="19"/>
      <c r="P112" s="19"/>
      <c r="Q112" s="19"/>
      <c r="R112" s="19"/>
      <c r="S112" s="19"/>
      <c r="T112" s="19"/>
      <c r="U112" s="19"/>
    </row>
    <row r="113" customFormat="false" ht="13.5" hidden="false" customHeight="false" outlineLevel="0" collapsed="false">
      <c r="A113" s="19"/>
      <c r="B113" s="19"/>
      <c r="C113" s="19"/>
      <c r="D113" s="19"/>
      <c r="E113" s="19"/>
      <c r="F113" s="19"/>
      <c r="G113" s="19"/>
      <c r="H113" s="19"/>
      <c r="I113" s="19"/>
      <c r="J113" s="19"/>
      <c r="K113" s="19"/>
      <c r="L113" s="19"/>
      <c r="M113" s="19"/>
      <c r="N113" s="19"/>
      <c r="O113" s="19"/>
      <c r="P113" s="19"/>
      <c r="Q113" s="19"/>
      <c r="R113" s="19"/>
      <c r="S113" s="19"/>
      <c r="T113" s="19"/>
      <c r="U113" s="19"/>
    </row>
    <row r="114" customFormat="false" ht="13.5" hidden="false" customHeight="false" outlineLevel="0" collapsed="false">
      <c r="A114" s="19"/>
      <c r="B114" s="19"/>
      <c r="C114" s="19"/>
      <c r="D114" s="19"/>
      <c r="E114" s="19"/>
      <c r="F114" s="19"/>
      <c r="G114" s="19"/>
      <c r="H114" s="19"/>
      <c r="I114" s="19"/>
      <c r="J114" s="19"/>
      <c r="K114" s="19"/>
      <c r="L114" s="19"/>
      <c r="M114" s="19"/>
      <c r="N114" s="19"/>
      <c r="O114" s="19"/>
      <c r="P114" s="19"/>
      <c r="Q114" s="19"/>
      <c r="R114" s="19"/>
      <c r="S114" s="19"/>
      <c r="T114" s="19"/>
      <c r="U114" s="19"/>
    </row>
    <row r="115" customFormat="false" ht="13.5" hidden="false" customHeight="false" outlineLevel="0" collapsed="false">
      <c r="A115" s="19"/>
      <c r="B115" s="19"/>
      <c r="C115" s="19"/>
      <c r="D115" s="19"/>
      <c r="E115" s="19"/>
      <c r="F115" s="19"/>
      <c r="G115" s="19"/>
      <c r="H115" s="19"/>
      <c r="I115" s="19"/>
      <c r="J115" s="19"/>
      <c r="K115" s="19"/>
      <c r="L115" s="19"/>
      <c r="M115" s="19"/>
      <c r="N115" s="19"/>
      <c r="O115" s="19"/>
      <c r="P115" s="19"/>
      <c r="Q115" s="19"/>
      <c r="R115" s="19"/>
      <c r="S115" s="19"/>
      <c r="T115" s="19"/>
      <c r="U115" s="19"/>
    </row>
    <row r="116" customFormat="false" ht="13.5" hidden="false" customHeight="false" outlineLevel="0" collapsed="false">
      <c r="A116" s="19"/>
      <c r="B116" s="19"/>
      <c r="C116" s="19"/>
      <c r="D116" s="19"/>
      <c r="E116" s="19"/>
      <c r="F116" s="19"/>
      <c r="G116" s="19"/>
      <c r="H116" s="19"/>
      <c r="I116" s="19"/>
      <c r="J116" s="19"/>
      <c r="K116" s="19"/>
      <c r="L116" s="19"/>
      <c r="M116" s="19"/>
      <c r="N116" s="19"/>
      <c r="O116" s="19"/>
      <c r="P116" s="19"/>
      <c r="Q116" s="19"/>
      <c r="R116" s="19"/>
      <c r="S116" s="19"/>
      <c r="T116" s="19"/>
      <c r="U116" s="19"/>
    </row>
    <row r="117" customFormat="false" ht="13.5" hidden="false" customHeight="false" outlineLevel="0" collapsed="false">
      <c r="A117" s="19"/>
      <c r="B117" s="19"/>
      <c r="C117" s="19"/>
      <c r="D117" s="19"/>
      <c r="E117" s="19"/>
      <c r="F117" s="19"/>
      <c r="G117" s="19"/>
      <c r="H117" s="19"/>
      <c r="I117" s="19"/>
      <c r="J117" s="19"/>
      <c r="K117" s="19"/>
      <c r="L117" s="19"/>
      <c r="M117" s="19"/>
      <c r="N117" s="19"/>
      <c r="O117" s="19"/>
      <c r="P117" s="19"/>
      <c r="Q117" s="19"/>
      <c r="R117" s="19"/>
      <c r="S117" s="19"/>
      <c r="T117" s="19"/>
      <c r="U117" s="19"/>
    </row>
    <row r="118" customFormat="false" ht="13.5" hidden="false" customHeight="false" outlineLevel="0" collapsed="false">
      <c r="A118" s="19"/>
      <c r="B118" s="19"/>
      <c r="C118" s="19"/>
      <c r="D118" s="19"/>
      <c r="E118" s="19"/>
      <c r="F118" s="19"/>
      <c r="G118" s="19"/>
      <c r="H118" s="19"/>
      <c r="I118" s="19"/>
      <c r="J118" s="19"/>
      <c r="K118" s="19"/>
      <c r="L118" s="19"/>
      <c r="M118" s="19"/>
      <c r="N118" s="19"/>
      <c r="O118" s="19"/>
      <c r="P118" s="19"/>
      <c r="Q118" s="19"/>
      <c r="R118" s="19"/>
      <c r="S118" s="19"/>
      <c r="T118" s="19"/>
      <c r="U118" s="19"/>
    </row>
    <row r="119" customFormat="false" ht="13.5" hidden="false" customHeight="false" outlineLevel="0" collapsed="false">
      <c r="A119" s="19"/>
      <c r="B119" s="19"/>
      <c r="C119" s="19"/>
      <c r="D119" s="19"/>
      <c r="E119" s="19"/>
      <c r="F119" s="19"/>
      <c r="G119" s="19"/>
      <c r="H119" s="19"/>
      <c r="I119" s="19"/>
      <c r="J119" s="19"/>
      <c r="K119" s="19"/>
      <c r="L119" s="19"/>
      <c r="M119" s="19"/>
      <c r="N119" s="19"/>
      <c r="O119" s="19"/>
      <c r="P119" s="19"/>
      <c r="Q119" s="19"/>
      <c r="R119" s="19"/>
      <c r="S119" s="19"/>
      <c r="T119" s="19"/>
      <c r="U119" s="19"/>
    </row>
    <row r="120" customFormat="false" ht="13.5" hidden="false" customHeight="false" outlineLevel="0" collapsed="false">
      <c r="A120" s="19"/>
      <c r="B120" s="19"/>
      <c r="C120" s="19"/>
      <c r="D120" s="19"/>
      <c r="E120" s="19"/>
      <c r="F120" s="19"/>
      <c r="G120" s="19"/>
      <c r="H120" s="19"/>
      <c r="I120" s="19"/>
      <c r="J120" s="19"/>
      <c r="K120" s="19"/>
      <c r="L120" s="19"/>
      <c r="M120" s="19"/>
      <c r="N120" s="19"/>
      <c r="O120" s="19"/>
      <c r="P120" s="19"/>
      <c r="Q120" s="19"/>
      <c r="R120" s="19"/>
      <c r="S120" s="19"/>
      <c r="T120" s="19"/>
      <c r="U120" s="19"/>
    </row>
    <row r="121" customFormat="false" ht="13.5" hidden="false" customHeight="false" outlineLevel="0" collapsed="false">
      <c r="A121" s="19"/>
      <c r="B121" s="19"/>
      <c r="C121" s="19"/>
      <c r="D121" s="19"/>
      <c r="E121" s="19"/>
      <c r="F121" s="19"/>
      <c r="G121" s="19"/>
      <c r="H121" s="19"/>
      <c r="I121" s="19"/>
      <c r="J121" s="19"/>
      <c r="K121" s="19"/>
      <c r="L121" s="19"/>
      <c r="M121" s="19"/>
      <c r="N121" s="19"/>
      <c r="O121" s="19"/>
      <c r="P121" s="19"/>
      <c r="Q121" s="19"/>
      <c r="R121" s="19"/>
      <c r="S121" s="19"/>
      <c r="T121" s="19"/>
      <c r="U121" s="19"/>
    </row>
    <row r="122" customFormat="false" ht="13.5" hidden="false" customHeight="false" outlineLevel="0" collapsed="false">
      <c r="A122" s="19"/>
      <c r="B122" s="19"/>
      <c r="C122" s="19"/>
      <c r="D122" s="19"/>
      <c r="E122" s="19"/>
      <c r="F122" s="19"/>
      <c r="G122" s="19"/>
      <c r="H122" s="19"/>
      <c r="I122" s="19"/>
      <c r="J122" s="19"/>
      <c r="K122" s="19"/>
      <c r="L122" s="19"/>
      <c r="M122" s="19"/>
      <c r="N122" s="19"/>
      <c r="O122" s="19"/>
      <c r="P122" s="19"/>
      <c r="Q122" s="19"/>
      <c r="R122" s="19"/>
      <c r="S122" s="19"/>
      <c r="T122" s="19"/>
      <c r="U122" s="19"/>
    </row>
    <row r="123" customFormat="false" ht="13.5" hidden="false" customHeight="false" outlineLevel="0" collapsed="false">
      <c r="A123" s="19"/>
      <c r="B123" s="19"/>
      <c r="C123" s="19"/>
      <c r="D123" s="19"/>
      <c r="E123" s="19"/>
      <c r="F123" s="19"/>
      <c r="G123" s="19"/>
      <c r="H123" s="19"/>
      <c r="I123" s="19"/>
      <c r="J123" s="19"/>
      <c r="K123" s="19"/>
      <c r="L123" s="19"/>
      <c r="M123" s="19"/>
      <c r="N123" s="19"/>
      <c r="O123" s="19"/>
      <c r="P123" s="19"/>
      <c r="Q123" s="19"/>
      <c r="R123" s="19"/>
      <c r="S123" s="19"/>
      <c r="T123" s="19"/>
      <c r="U123" s="19"/>
    </row>
    <row r="124" customFormat="false" ht="13.5" hidden="false" customHeight="fals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row>
    <row r="125" customFormat="false" ht="13.5" hidden="false" customHeight="false" outlineLevel="0" collapsed="false">
      <c r="A125" s="19"/>
      <c r="B125" s="19"/>
      <c r="C125" s="19"/>
      <c r="D125" s="19"/>
      <c r="E125" s="19"/>
      <c r="F125" s="19"/>
      <c r="G125" s="19"/>
      <c r="H125" s="19"/>
      <c r="I125" s="19"/>
      <c r="J125" s="19"/>
      <c r="K125" s="19"/>
      <c r="L125" s="19"/>
      <c r="M125" s="19"/>
      <c r="N125" s="19"/>
      <c r="O125" s="19"/>
      <c r="P125" s="19"/>
      <c r="Q125" s="19"/>
      <c r="R125" s="19"/>
      <c r="S125" s="19"/>
      <c r="T125" s="19"/>
      <c r="U125" s="19"/>
    </row>
    <row r="126" customFormat="false" ht="13.5" hidden="false" customHeight="false" outlineLevel="0" collapsed="false">
      <c r="A126" s="19"/>
      <c r="B126" s="19"/>
      <c r="C126" s="19"/>
      <c r="D126" s="19"/>
      <c r="E126" s="19"/>
      <c r="F126" s="19"/>
      <c r="G126" s="19"/>
      <c r="H126" s="19"/>
      <c r="I126" s="19"/>
      <c r="J126" s="19"/>
      <c r="K126" s="19"/>
      <c r="L126" s="19"/>
      <c r="M126" s="19"/>
      <c r="N126" s="19"/>
      <c r="O126" s="19"/>
      <c r="P126" s="19"/>
      <c r="Q126" s="19"/>
      <c r="R126" s="19"/>
      <c r="S126" s="19"/>
      <c r="T126" s="19"/>
      <c r="U126" s="19"/>
    </row>
    <row r="127" customFormat="false" ht="13.5" hidden="false" customHeight="false" outlineLevel="0" collapsed="false">
      <c r="A127" s="19"/>
      <c r="B127" s="19"/>
      <c r="C127" s="19"/>
      <c r="D127" s="19"/>
      <c r="E127" s="19"/>
      <c r="F127" s="19"/>
      <c r="G127" s="19"/>
      <c r="H127" s="19"/>
      <c r="I127" s="19"/>
      <c r="J127" s="19"/>
      <c r="K127" s="19"/>
      <c r="L127" s="19"/>
      <c r="M127" s="19"/>
      <c r="N127" s="19"/>
      <c r="O127" s="19"/>
      <c r="P127" s="19"/>
      <c r="Q127" s="19"/>
      <c r="R127" s="19"/>
      <c r="S127" s="19"/>
      <c r="T127" s="19"/>
      <c r="U127" s="19"/>
    </row>
    <row r="128" customFormat="false" ht="13.5" hidden="false" customHeight="false" outlineLevel="0" collapsed="false">
      <c r="A128" s="19"/>
      <c r="B128" s="19"/>
      <c r="C128" s="19"/>
      <c r="D128" s="19"/>
      <c r="E128" s="19"/>
      <c r="F128" s="19"/>
      <c r="G128" s="19"/>
      <c r="H128" s="19"/>
      <c r="I128" s="19"/>
      <c r="J128" s="19"/>
      <c r="K128" s="19"/>
      <c r="L128" s="19"/>
      <c r="M128" s="19"/>
      <c r="N128" s="19"/>
      <c r="O128" s="19"/>
      <c r="P128" s="19"/>
      <c r="Q128" s="19"/>
      <c r="R128" s="19"/>
      <c r="S128" s="19"/>
      <c r="T128" s="19"/>
      <c r="U128" s="19"/>
    </row>
    <row r="129" customFormat="false" ht="13.5" hidden="false" customHeight="false" outlineLevel="0" collapsed="false">
      <c r="A129" s="19"/>
      <c r="B129" s="19"/>
      <c r="C129" s="19"/>
      <c r="D129" s="19"/>
      <c r="E129" s="19"/>
      <c r="F129" s="19"/>
      <c r="G129" s="19"/>
      <c r="H129" s="19"/>
      <c r="I129" s="19"/>
      <c r="J129" s="19"/>
      <c r="K129" s="19"/>
      <c r="L129" s="19"/>
      <c r="M129" s="19"/>
      <c r="N129" s="19"/>
      <c r="O129" s="19"/>
      <c r="P129" s="19"/>
      <c r="Q129" s="19"/>
      <c r="R129" s="19"/>
      <c r="S129" s="19"/>
      <c r="T129" s="19"/>
      <c r="U129" s="19"/>
    </row>
    <row r="130" customFormat="false" ht="13.5" hidden="false" customHeight="false" outlineLevel="0" collapsed="false">
      <c r="A130" s="19"/>
      <c r="B130" s="19"/>
      <c r="C130" s="19"/>
      <c r="D130" s="19"/>
      <c r="E130" s="19"/>
      <c r="F130" s="19"/>
      <c r="G130" s="19"/>
      <c r="H130" s="19"/>
      <c r="I130" s="19"/>
      <c r="J130" s="19"/>
      <c r="K130" s="19"/>
      <c r="L130" s="19"/>
      <c r="M130" s="19"/>
      <c r="N130" s="19"/>
      <c r="O130" s="19"/>
      <c r="P130" s="19"/>
      <c r="Q130" s="19"/>
      <c r="R130" s="19"/>
      <c r="S130" s="19"/>
      <c r="T130" s="19"/>
      <c r="U130" s="19"/>
    </row>
    <row r="131" customFormat="false" ht="13.5" hidden="false" customHeight="false" outlineLevel="0" collapsed="false">
      <c r="A131" s="19"/>
      <c r="B131" s="19"/>
      <c r="C131" s="19"/>
      <c r="D131" s="19"/>
      <c r="E131" s="19"/>
      <c r="F131" s="19"/>
      <c r="G131" s="19"/>
      <c r="H131" s="19"/>
      <c r="I131" s="19"/>
      <c r="J131" s="19"/>
      <c r="K131" s="19"/>
      <c r="L131" s="19"/>
      <c r="M131" s="19"/>
      <c r="N131" s="19"/>
      <c r="O131" s="19"/>
      <c r="P131" s="19"/>
      <c r="Q131" s="19"/>
      <c r="R131" s="19"/>
      <c r="S131" s="19"/>
      <c r="T131" s="19"/>
      <c r="U131" s="19"/>
    </row>
    <row r="132" customFormat="false" ht="13.5" hidden="false" customHeight="false" outlineLevel="0" collapsed="false">
      <c r="A132" s="19"/>
      <c r="B132" s="19"/>
      <c r="C132" s="19"/>
      <c r="D132" s="19"/>
      <c r="E132" s="19"/>
      <c r="F132" s="19"/>
      <c r="G132" s="19"/>
      <c r="H132" s="19"/>
      <c r="I132" s="19"/>
      <c r="J132" s="19"/>
      <c r="K132" s="19"/>
      <c r="L132" s="19"/>
      <c r="M132" s="19"/>
      <c r="N132" s="19"/>
      <c r="O132" s="19"/>
      <c r="P132" s="19"/>
      <c r="Q132" s="19"/>
      <c r="R132" s="19"/>
      <c r="S132" s="19"/>
      <c r="T132" s="19"/>
      <c r="U132" s="19"/>
    </row>
    <row r="133" customFormat="false" ht="13.5" hidden="false" customHeight="false" outlineLevel="0" collapsed="false">
      <c r="A133" s="19"/>
      <c r="B133" s="19"/>
      <c r="C133" s="19"/>
      <c r="D133" s="19"/>
      <c r="E133" s="19"/>
      <c r="F133" s="19"/>
      <c r="G133" s="19"/>
      <c r="H133" s="19"/>
      <c r="I133" s="19"/>
      <c r="J133" s="19"/>
      <c r="K133" s="19"/>
      <c r="L133" s="19"/>
      <c r="M133" s="19"/>
      <c r="N133" s="19"/>
      <c r="O133" s="19"/>
      <c r="P133" s="19"/>
      <c r="Q133" s="19"/>
      <c r="R133" s="19"/>
      <c r="S133" s="19"/>
      <c r="T133" s="19"/>
      <c r="U133" s="19"/>
    </row>
    <row r="134" customFormat="false" ht="13.5" hidden="false" customHeight="false" outlineLevel="0" collapsed="false">
      <c r="A134" s="19"/>
      <c r="B134" s="19"/>
      <c r="C134" s="19"/>
      <c r="D134" s="19"/>
      <c r="E134" s="19"/>
      <c r="F134" s="19"/>
      <c r="G134" s="19"/>
      <c r="H134" s="19"/>
      <c r="I134" s="19"/>
      <c r="J134" s="19"/>
      <c r="K134" s="19"/>
      <c r="L134" s="19"/>
      <c r="M134" s="19"/>
      <c r="N134" s="19"/>
      <c r="O134" s="19"/>
      <c r="P134" s="19"/>
      <c r="Q134" s="19"/>
      <c r="R134" s="19"/>
      <c r="S134" s="19"/>
      <c r="T134" s="19"/>
      <c r="U134" s="19"/>
    </row>
    <row r="135" customFormat="false" ht="13.5" hidden="false" customHeight="false" outlineLevel="0" collapsed="false">
      <c r="A135" s="19"/>
      <c r="B135" s="19"/>
      <c r="C135" s="19"/>
      <c r="D135" s="19"/>
      <c r="E135" s="19"/>
      <c r="F135" s="19"/>
      <c r="G135" s="19"/>
      <c r="H135" s="19"/>
      <c r="I135" s="19"/>
      <c r="J135" s="19"/>
      <c r="K135" s="19"/>
      <c r="L135" s="19"/>
      <c r="M135" s="19"/>
      <c r="N135" s="19"/>
      <c r="O135" s="19"/>
      <c r="P135" s="19"/>
      <c r="Q135" s="19"/>
      <c r="R135" s="19"/>
      <c r="S135" s="19"/>
      <c r="T135" s="19"/>
      <c r="U135" s="19"/>
    </row>
    <row r="136" customFormat="false" ht="13.5" hidden="false" customHeight="false" outlineLevel="0" collapsed="false">
      <c r="A136" s="19"/>
      <c r="B136" s="19"/>
      <c r="C136" s="19"/>
      <c r="D136" s="19"/>
      <c r="E136" s="19"/>
      <c r="F136" s="19"/>
      <c r="G136" s="19"/>
      <c r="H136" s="19"/>
      <c r="I136" s="19"/>
      <c r="J136" s="19"/>
      <c r="K136" s="19"/>
      <c r="L136" s="19"/>
      <c r="M136" s="19"/>
      <c r="N136" s="19"/>
      <c r="O136" s="19"/>
      <c r="P136" s="19"/>
      <c r="Q136" s="19"/>
      <c r="R136" s="19"/>
      <c r="S136" s="19"/>
      <c r="T136" s="19"/>
      <c r="U136" s="19"/>
    </row>
    <row r="137" customFormat="false" ht="13.5" hidden="false" customHeight="false" outlineLevel="0" collapsed="false">
      <c r="A137" s="19"/>
      <c r="B137" s="19"/>
      <c r="C137" s="19"/>
      <c r="D137" s="19"/>
      <c r="E137" s="19"/>
      <c r="F137" s="19"/>
      <c r="G137" s="19"/>
      <c r="H137" s="19"/>
      <c r="I137" s="19"/>
      <c r="J137" s="19"/>
      <c r="K137" s="19"/>
      <c r="L137" s="19"/>
      <c r="M137" s="19"/>
      <c r="N137" s="19"/>
      <c r="O137" s="19"/>
      <c r="P137" s="19"/>
      <c r="Q137" s="19"/>
      <c r="R137" s="19"/>
      <c r="S137" s="19"/>
      <c r="T137" s="19"/>
      <c r="U137" s="19"/>
    </row>
    <row r="138" customFormat="false" ht="13.5" hidden="false" customHeight="false" outlineLevel="0" collapsed="false">
      <c r="A138" s="19"/>
      <c r="B138" s="19"/>
      <c r="C138" s="19"/>
      <c r="D138" s="19"/>
      <c r="E138" s="19"/>
      <c r="F138" s="19"/>
      <c r="G138" s="19"/>
      <c r="H138" s="19"/>
      <c r="I138" s="19"/>
      <c r="J138" s="19"/>
      <c r="K138" s="19"/>
      <c r="L138" s="19"/>
      <c r="M138" s="19"/>
      <c r="N138" s="19"/>
      <c r="O138" s="19"/>
      <c r="P138" s="19"/>
      <c r="Q138" s="19"/>
      <c r="R138" s="19"/>
      <c r="S138" s="19"/>
      <c r="T138" s="19"/>
      <c r="U138" s="19"/>
    </row>
    <row r="139" customFormat="false" ht="13.5" hidden="false" customHeight="false" outlineLevel="0" collapsed="false">
      <c r="A139" s="19"/>
      <c r="B139" s="19"/>
      <c r="C139" s="19"/>
      <c r="D139" s="19"/>
      <c r="E139" s="19"/>
      <c r="F139" s="19"/>
      <c r="G139" s="19"/>
      <c r="H139" s="19"/>
      <c r="I139" s="19"/>
      <c r="J139" s="19"/>
      <c r="K139" s="19"/>
      <c r="L139" s="19"/>
      <c r="M139" s="19"/>
      <c r="N139" s="19"/>
      <c r="O139" s="19"/>
      <c r="P139" s="19"/>
      <c r="Q139" s="19"/>
      <c r="R139" s="19"/>
      <c r="S139" s="19"/>
      <c r="T139" s="19"/>
      <c r="U139" s="19"/>
    </row>
    <row r="140" customFormat="false" ht="13.5" hidden="false" customHeight="false" outlineLevel="0" collapsed="false">
      <c r="A140" s="19"/>
      <c r="B140" s="19"/>
      <c r="C140" s="19"/>
      <c r="D140" s="19"/>
      <c r="E140" s="19"/>
      <c r="F140" s="19"/>
      <c r="G140" s="19"/>
      <c r="H140" s="19"/>
      <c r="I140" s="19"/>
      <c r="J140" s="19"/>
      <c r="K140" s="19"/>
      <c r="L140" s="19"/>
      <c r="M140" s="19"/>
      <c r="N140" s="19"/>
      <c r="O140" s="19"/>
      <c r="P140" s="19"/>
      <c r="Q140" s="19"/>
      <c r="R140" s="19"/>
      <c r="S140" s="19"/>
      <c r="T140" s="19"/>
      <c r="U140" s="19"/>
    </row>
    <row r="141" customFormat="false" ht="13.5" hidden="false" customHeight="false" outlineLevel="0" collapsed="false">
      <c r="A141" s="19"/>
      <c r="B141" s="19"/>
      <c r="C141" s="19"/>
      <c r="D141" s="19"/>
      <c r="E141" s="19"/>
      <c r="F141" s="19"/>
      <c r="G141" s="19"/>
      <c r="H141" s="19"/>
      <c r="I141" s="19"/>
      <c r="J141" s="19"/>
      <c r="K141" s="19"/>
      <c r="L141" s="19"/>
      <c r="M141" s="19"/>
      <c r="N141" s="19"/>
      <c r="O141" s="19"/>
      <c r="P141" s="19"/>
      <c r="Q141" s="19"/>
      <c r="R141" s="19"/>
      <c r="S141" s="19"/>
      <c r="T141" s="19"/>
      <c r="U141" s="19"/>
    </row>
    <row r="142" customFormat="false" ht="13.5" hidden="false" customHeight="false" outlineLevel="0" collapsed="false">
      <c r="A142" s="19"/>
      <c r="B142" s="19"/>
      <c r="C142" s="19"/>
      <c r="D142" s="19"/>
      <c r="E142" s="19"/>
      <c r="F142" s="19"/>
      <c r="G142" s="19"/>
      <c r="H142" s="19"/>
      <c r="I142" s="19"/>
      <c r="J142" s="19"/>
      <c r="K142" s="19"/>
      <c r="L142" s="19"/>
      <c r="M142" s="19"/>
      <c r="N142" s="19"/>
      <c r="O142" s="19"/>
      <c r="P142" s="19"/>
      <c r="Q142" s="19"/>
      <c r="R142" s="19"/>
      <c r="S142" s="19"/>
      <c r="T142" s="19"/>
      <c r="U142" s="19"/>
    </row>
    <row r="143" customFormat="false" ht="13.5" hidden="false" customHeight="false" outlineLevel="0" collapsed="false">
      <c r="A143" s="19"/>
      <c r="B143" s="19"/>
      <c r="C143" s="19"/>
      <c r="D143" s="19"/>
      <c r="E143" s="19"/>
      <c r="F143" s="19"/>
      <c r="G143" s="19"/>
      <c r="H143" s="19"/>
      <c r="I143" s="19"/>
      <c r="J143" s="19"/>
      <c r="K143" s="19"/>
      <c r="L143" s="19"/>
      <c r="M143" s="19"/>
      <c r="N143" s="19"/>
      <c r="O143" s="19"/>
      <c r="P143" s="19"/>
      <c r="Q143" s="19"/>
      <c r="R143" s="19"/>
      <c r="S143" s="19"/>
      <c r="T143" s="19"/>
      <c r="U143" s="19"/>
    </row>
    <row r="144" customFormat="false" ht="13.5" hidden="false" customHeight="false" outlineLevel="0" collapsed="false">
      <c r="A144" s="19"/>
      <c r="B144" s="19"/>
      <c r="C144" s="19"/>
      <c r="D144" s="19"/>
      <c r="E144" s="19"/>
      <c r="F144" s="19"/>
      <c r="G144" s="19"/>
      <c r="H144" s="19"/>
      <c r="I144" s="19"/>
      <c r="J144" s="19"/>
      <c r="K144" s="19"/>
      <c r="L144" s="19"/>
      <c r="M144" s="19"/>
      <c r="N144" s="19"/>
      <c r="O144" s="19"/>
      <c r="P144" s="19"/>
      <c r="Q144" s="19"/>
      <c r="R144" s="19"/>
      <c r="S144" s="19"/>
      <c r="T144" s="19"/>
      <c r="U144" s="19"/>
    </row>
    <row r="145" customFormat="false" ht="13.5" hidden="false" customHeight="false" outlineLevel="0" collapsed="false">
      <c r="A145" s="19"/>
      <c r="B145" s="19"/>
      <c r="C145" s="19"/>
      <c r="D145" s="19"/>
      <c r="E145" s="19"/>
      <c r="F145" s="19"/>
      <c r="G145" s="19"/>
      <c r="H145" s="19"/>
      <c r="I145" s="19"/>
      <c r="J145" s="19"/>
      <c r="K145" s="19"/>
      <c r="L145" s="19"/>
      <c r="M145" s="19"/>
      <c r="N145" s="19"/>
      <c r="O145" s="19"/>
      <c r="P145" s="19"/>
      <c r="Q145" s="19"/>
      <c r="R145" s="19"/>
      <c r="S145" s="19"/>
      <c r="T145" s="19"/>
      <c r="U145" s="19"/>
    </row>
    <row r="146" customFormat="false" ht="13.5" hidden="false" customHeight="false" outlineLevel="0" collapsed="false">
      <c r="A146" s="19"/>
      <c r="B146" s="19"/>
      <c r="C146" s="19"/>
      <c r="D146" s="19"/>
      <c r="E146" s="19"/>
      <c r="F146" s="19"/>
      <c r="G146" s="19"/>
      <c r="H146" s="19"/>
      <c r="I146" s="19"/>
      <c r="J146" s="19"/>
      <c r="K146" s="19"/>
      <c r="L146" s="19"/>
      <c r="M146" s="19"/>
      <c r="N146" s="19"/>
      <c r="O146" s="19"/>
      <c r="P146" s="19"/>
      <c r="Q146" s="19"/>
      <c r="R146" s="19"/>
      <c r="S146" s="19"/>
      <c r="T146" s="19"/>
      <c r="U146" s="19"/>
    </row>
    <row r="147" customFormat="false" ht="13.5" hidden="false" customHeight="false" outlineLevel="0" collapsed="false">
      <c r="A147" s="19"/>
      <c r="B147" s="19"/>
      <c r="C147" s="19"/>
      <c r="D147" s="19"/>
      <c r="E147" s="19"/>
      <c r="F147" s="19"/>
      <c r="G147" s="19"/>
      <c r="H147" s="19"/>
      <c r="I147" s="19"/>
      <c r="J147" s="19"/>
      <c r="K147" s="19"/>
      <c r="L147" s="19"/>
      <c r="M147" s="19"/>
      <c r="N147" s="19"/>
      <c r="O147" s="19"/>
      <c r="P147" s="19"/>
      <c r="Q147" s="19"/>
      <c r="R147" s="19"/>
      <c r="S147" s="19"/>
      <c r="T147" s="19"/>
      <c r="U147" s="19"/>
    </row>
    <row r="148" customFormat="false" ht="13.5" hidden="false" customHeight="false" outlineLevel="0" collapsed="false">
      <c r="A148" s="19"/>
      <c r="B148" s="19"/>
      <c r="C148" s="19"/>
      <c r="D148" s="19"/>
      <c r="E148" s="19"/>
      <c r="F148" s="19"/>
      <c r="G148" s="19"/>
      <c r="H148" s="19"/>
      <c r="I148" s="19"/>
      <c r="J148" s="19"/>
      <c r="K148" s="19"/>
      <c r="L148" s="19"/>
      <c r="M148" s="19"/>
      <c r="N148" s="19"/>
      <c r="O148" s="19"/>
      <c r="P148" s="19"/>
      <c r="Q148" s="19"/>
      <c r="R148" s="19"/>
      <c r="S148" s="19"/>
      <c r="T148" s="19"/>
      <c r="U148" s="19"/>
    </row>
    <row r="149" customFormat="false" ht="13.5" hidden="false" customHeight="false" outlineLevel="0" collapsed="false">
      <c r="A149" s="19"/>
      <c r="B149" s="19"/>
      <c r="C149" s="19"/>
      <c r="D149" s="19"/>
      <c r="E149" s="19"/>
      <c r="F149" s="19"/>
      <c r="G149" s="19"/>
      <c r="H149" s="19"/>
      <c r="I149" s="19"/>
      <c r="J149" s="19"/>
      <c r="K149" s="19"/>
      <c r="L149" s="19"/>
      <c r="M149" s="19"/>
      <c r="N149" s="19"/>
      <c r="O149" s="19"/>
      <c r="P149" s="19"/>
      <c r="Q149" s="19"/>
      <c r="R149" s="19"/>
      <c r="S149" s="19"/>
      <c r="T149" s="19"/>
      <c r="U149" s="19"/>
    </row>
    <row r="150" customFormat="false" ht="13.5" hidden="false" customHeight="false" outlineLevel="0" collapsed="false">
      <c r="A150" s="19"/>
      <c r="B150" s="19"/>
      <c r="C150" s="19"/>
      <c r="D150" s="19"/>
      <c r="E150" s="19"/>
      <c r="F150" s="19"/>
      <c r="G150" s="19"/>
      <c r="H150" s="19"/>
      <c r="I150" s="19"/>
      <c r="J150" s="19"/>
      <c r="K150" s="19"/>
      <c r="L150" s="19"/>
      <c r="M150" s="19"/>
      <c r="N150" s="19"/>
      <c r="O150" s="19"/>
      <c r="P150" s="19"/>
      <c r="Q150" s="19"/>
      <c r="R150" s="19"/>
      <c r="S150" s="19"/>
      <c r="T150" s="19"/>
      <c r="U150" s="19"/>
    </row>
    <row r="151" customFormat="false" ht="13.5" hidden="false" customHeight="false" outlineLevel="0" collapsed="false">
      <c r="A151" s="19"/>
      <c r="B151" s="19"/>
      <c r="C151" s="19"/>
      <c r="D151" s="19"/>
      <c r="E151" s="19"/>
      <c r="F151" s="19"/>
      <c r="G151" s="19"/>
      <c r="H151" s="19"/>
      <c r="I151" s="19"/>
      <c r="J151" s="19"/>
      <c r="K151" s="19"/>
      <c r="L151" s="19"/>
      <c r="M151" s="19"/>
      <c r="N151" s="19"/>
      <c r="O151" s="19"/>
      <c r="P151" s="19"/>
      <c r="Q151" s="19"/>
      <c r="R151" s="19"/>
      <c r="S151" s="19"/>
      <c r="T151" s="19"/>
      <c r="U151" s="19"/>
    </row>
    <row r="152" customFormat="false" ht="13.5" hidden="false" customHeight="false" outlineLevel="0" collapsed="false">
      <c r="A152" s="19"/>
      <c r="B152" s="19"/>
      <c r="C152" s="19"/>
      <c r="D152" s="19"/>
      <c r="E152" s="19"/>
      <c r="F152" s="19"/>
      <c r="G152" s="19"/>
      <c r="H152" s="19"/>
      <c r="I152" s="19"/>
      <c r="J152" s="19"/>
      <c r="K152" s="19"/>
      <c r="L152" s="19"/>
      <c r="M152" s="19"/>
      <c r="N152" s="19"/>
      <c r="O152" s="19"/>
      <c r="P152" s="19"/>
      <c r="Q152" s="19"/>
      <c r="R152" s="19"/>
      <c r="S152" s="19"/>
      <c r="T152" s="19"/>
      <c r="U152" s="19"/>
    </row>
    <row r="153" customFormat="false" ht="13.5" hidden="false" customHeight="false" outlineLevel="0" collapsed="false">
      <c r="A153" s="19"/>
      <c r="B153" s="19"/>
      <c r="C153" s="19"/>
      <c r="D153" s="19"/>
      <c r="E153" s="19"/>
      <c r="F153" s="19"/>
      <c r="G153" s="19"/>
      <c r="H153" s="19"/>
      <c r="I153" s="19"/>
      <c r="J153" s="19"/>
      <c r="K153" s="19"/>
      <c r="L153" s="19"/>
      <c r="M153" s="19"/>
      <c r="N153" s="19"/>
      <c r="O153" s="19"/>
      <c r="P153" s="19"/>
      <c r="Q153" s="19"/>
      <c r="R153" s="19"/>
      <c r="S153" s="19"/>
      <c r="T153" s="19"/>
      <c r="U153" s="19"/>
    </row>
    <row r="154" customFormat="false" ht="13.5" hidden="false" customHeight="false" outlineLevel="0" collapsed="false">
      <c r="A154" s="19"/>
      <c r="B154" s="19"/>
      <c r="C154" s="19"/>
      <c r="D154" s="19"/>
      <c r="E154" s="19"/>
      <c r="F154" s="19"/>
      <c r="G154" s="19"/>
      <c r="H154" s="19"/>
      <c r="I154" s="19"/>
      <c r="J154" s="19"/>
      <c r="K154" s="19"/>
      <c r="L154" s="19"/>
      <c r="M154" s="19"/>
      <c r="N154" s="19"/>
      <c r="O154" s="19"/>
      <c r="P154" s="19"/>
      <c r="Q154" s="19"/>
      <c r="R154" s="19"/>
      <c r="S154" s="19"/>
      <c r="T154" s="19"/>
      <c r="U154" s="19"/>
    </row>
    <row r="155" customFormat="false" ht="13.5" hidden="false" customHeight="false" outlineLevel="0" collapsed="false">
      <c r="A155" s="19"/>
      <c r="B155" s="19"/>
      <c r="C155" s="19"/>
      <c r="D155" s="19"/>
      <c r="E155" s="19"/>
      <c r="F155" s="19"/>
      <c r="G155" s="19"/>
      <c r="H155" s="19"/>
      <c r="I155" s="19"/>
      <c r="J155" s="19"/>
      <c r="K155" s="19"/>
      <c r="L155" s="19"/>
      <c r="M155" s="19"/>
      <c r="N155" s="19"/>
      <c r="O155" s="19"/>
      <c r="P155" s="19"/>
      <c r="Q155" s="19"/>
      <c r="R155" s="19"/>
      <c r="S155" s="19"/>
      <c r="T155" s="19"/>
      <c r="U155" s="19"/>
    </row>
    <row r="156" customFormat="false" ht="13.5" hidden="false" customHeight="false" outlineLevel="0" collapsed="false">
      <c r="A156" s="19"/>
      <c r="B156" s="19"/>
      <c r="C156" s="19"/>
      <c r="D156" s="19"/>
      <c r="E156" s="19"/>
      <c r="F156" s="19"/>
      <c r="G156" s="19"/>
      <c r="H156" s="19"/>
      <c r="I156" s="19"/>
      <c r="J156" s="19"/>
      <c r="K156" s="19"/>
      <c r="L156" s="19"/>
      <c r="M156" s="19"/>
      <c r="N156" s="19"/>
      <c r="O156" s="19"/>
      <c r="P156" s="19"/>
      <c r="Q156" s="19"/>
      <c r="R156" s="19"/>
      <c r="S156" s="19"/>
      <c r="T156" s="19"/>
      <c r="U156" s="19"/>
    </row>
    <row r="157" customFormat="false" ht="13.5" hidden="false" customHeight="false" outlineLevel="0" collapsed="false">
      <c r="A157" s="19"/>
      <c r="B157" s="19"/>
      <c r="C157" s="19"/>
      <c r="D157" s="19"/>
      <c r="E157" s="19"/>
      <c r="F157" s="19"/>
      <c r="G157" s="19"/>
      <c r="H157" s="19"/>
      <c r="I157" s="19"/>
      <c r="J157" s="19"/>
      <c r="K157" s="19"/>
      <c r="L157" s="19"/>
      <c r="M157" s="19"/>
      <c r="N157" s="19"/>
      <c r="O157" s="19"/>
      <c r="P157" s="19"/>
      <c r="Q157" s="19"/>
      <c r="R157" s="19"/>
      <c r="S157" s="19"/>
      <c r="T157" s="19"/>
      <c r="U157" s="19"/>
    </row>
    <row r="158" customFormat="false" ht="13.5" hidden="false" customHeight="false" outlineLevel="0" collapsed="false">
      <c r="A158" s="19"/>
      <c r="B158" s="19"/>
      <c r="C158" s="19"/>
      <c r="D158" s="19"/>
      <c r="E158" s="19"/>
      <c r="F158" s="19"/>
      <c r="G158" s="19"/>
      <c r="H158" s="19"/>
      <c r="I158" s="19"/>
      <c r="J158" s="19"/>
      <c r="K158" s="19"/>
      <c r="L158" s="19"/>
      <c r="M158" s="19"/>
      <c r="N158" s="19"/>
      <c r="O158" s="19"/>
      <c r="P158" s="19"/>
      <c r="Q158" s="19"/>
      <c r="R158" s="19"/>
      <c r="S158" s="19"/>
      <c r="T158" s="19"/>
      <c r="U158" s="19"/>
    </row>
    <row r="159" customFormat="false" ht="13.5" hidden="false" customHeight="false" outlineLevel="0" collapsed="false">
      <c r="A159" s="19"/>
      <c r="B159" s="19"/>
      <c r="C159" s="19"/>
      <c r="D159" s="19"/>
      <c r="E159" s="19"/>
      <c r="F159" s="19"/>
      <c r="G159" s="19"/>
      <c r="H159" s="19"/>
      <c r="I159" s="19"/>
      <c r="J159" s="19"/>
      <c r="K159" s="19"/>
      <c r="L159" s="19"/>
      <c r="M159" s="19"/>
      <c r="N159" s="19"/>
      <c r="O159" s="19"/>
      <c r="P159" s="19"/>
      <c r="Q159" s="19"/>
      <c r="R159" s="19"/>
      <c r="S159" s="19"/>
      <c r="T159" s="19"/>
      <c r="U159" s="19"/>
    </row>
    <row r="160" customFormat="false" ht="13.5" hidden="false" customHeight="false" outlineLevel="0" collapsed="false">
      <c r="A160" s="19"/>
      <c r="B160" s="19"/>
      <c r="C160" s="19"/>
      <c r="D160" s="19"/>
      <c r="E160" s="19"/>
      <c r="F160" s="19"/>
      <c r="G160" s="19"/>
      <c r="H160" s="19"/>
      <c r="I160" s="19"/>
      <c r="J160" s="19"/>
      <c r="K160" s="19"/>
      <c r="L160" s="19"/>
      <c r="M160" s="19"/>
      <c r="N160" s="19"/>
      <c r="O160" s="19"/>
      <c r="P160" s="19"/>
      <c r="Q160" s="19"/>
      <c r="R160" s="19"/>
      <c r="S160" s="19"/>
      <c r="T160" s="19"/>
      <c r="U160" s="19"/>
    </row>
    <row r="161" customFormat="false" ht="13.5" hidden="false" customHeight="false" outlineLevel="0" collapsed="false">
      <c r="A161" s="19"/>
      <c r="B161" s="19"/>
      <c r="C161" s="19"/>
      <c r="D161" s="19"/>
      <c r="E161" s="19"/>
      <c r="F161" s="19"/>
      <c r="G161" s="19"/>
      <c r="H161" s="19"/>
      <c r="I161" s="19"/>
      <c r="J161" s="19"/>
      <c r="K161" s="19"/>
      <c r="L161" s="19"/>
      <c r="M161" s="19"/>
      <c r="N161" s="19"/>
      <c r="O161" s="19"/>
      <c r="P161" s="19"/>
      <c r="Q161" s="19"/>
      <c r="R161" s="19"/>
      <c r="S161" s="19"/>
      <c r="T161" s="19"/>
      <c r="U161" s="19"/>
    </row>
    <row r="162" customFormat="false" ht="13.5" hidden="false" customHeight="false" outlineLevel="0" collapsed="false">
      <c r="A162" s="19"/>
      <c r="B162" s="19"/>
      <c r="C162" s="19"/>
      <c r="D162" s="19"/>
      <c r="E162" s="19"/>
      <c r="F162" s="19"/>
      <c r="G162" s="19"/>
      <c r="H162" s="19"/>
      <c r="I162" s="19"/>
      <c r="J162" s="19"/>
      <c r="K162" s="19"/>
      <c r="L162" s="19"/>
      <c r="M162" s="19"/>
      <c r="N162" s="19"/>
      <c r="O162" s="19"/>
      <c r="P162" s="19"/>
      <c r="Q162" s="19"/>
      <c r="R162" s="19"/>
      <c r="S162" s="19"/>
      <c r="T162" s="19"/>
      <c r="U162" s="19"/>
    </row>
    <row r="163" customFormat="false" ht="13.5" hidden="false" customHeight="false" outlineLevel="0" collapsed="false">
      <c r="A163" s="19"/>
      <c r="B163" s="19"/>
      <c r="C163" s="19"/>
      <c r="D163" s="19"/>
      <c r="E163" s="19"/>
      <c r="F163" s="19"/>
      <c r="G163" s="19"/>
      <c r="H163" s="19"/>
      <c r="I163" s="19"/>
      <c r="J163" s="19"/>
      <c r="K163" s="19"/>
      <c r="L163" s="19"/>
      <c r="M163" s="19"/>
      <c r="N163" s="19"/>
      <c r="O163" s="19"/>
      <c r="P163" s="19"/>
      <c r="Q163" s="19"/>
      <c r="R163" s="19"/>
      <c r="S163" s="19"/>
      <c r="T163" s="19"/>
      <c r="U163" s="19"/>
    </row>
    <row r="164" customFormat="false" ht="13.5" hidden="false" customHeight="false" outlineLevel="0" collapsed="false">
      <c r="A164" s="19"/>
      <c r="B164" s="19"/>
      <c r="C164" s="19"/>
      <c r="D164" s="19"/>
      <c r="E164" s="19"/>
      <c r="F164" s="19"/>
      <c r="G164" s="19"/>
      <c r="H164" s="19"/>
      <c r="I164" s="19"/>
      <c r="J164" s="19"/>
      <c r="K164" s="19"/>
      <c r="L164" s="19"/>
      <c r="M164" s="19"/>
      <c r="N164" s="19"/>
      <c r="O164" s="19"/>
      <c r="P164" s="19"/>
      <c r="Q164" s="19"/>
      <c r="R164" s="19"/>
      <c r="S164" s="19"/>
      <c r="T164" s="19"/>
      <c r="U164" s="19"/>
    </row>
    <row r="165" customFormat="false" ht="13.5" hidden="false" customHeight="false" outlineLevel="0" collapsed="false">
      <c r="A165" s="19"/>
      <c r="B165" s="19"/>
      <c r="C165" s="19"/>
      <c r="D165" s="19"/>
      <c r="E165" s="19"/>
      <c r="F165" s="19"/>
      <c r="G165" s="19"/>
      <c r="H165" s="19"/>
      <c r="I165" s="19"/>
      <c r="J165" s="19"/>
      <c r="K165" s="19"/>
      <c r="L165" s="19"/>
      <c r="M165" s="19"/>
      <c r="N165" s="19"/>
      <c r="O165" s="19"/>
      <c r="P165" s="19"/>
      <c r="Q165" s="19"/>
      <c r="R165" s="19"/>
      <c r="S165" s="19"/>
      <c r="T165" s="19"/>
      <c r="U165" s="19"/>
    </row>
    <row r="166" customFormat="false" ht="13.5" hidden="false" customHeight="false" outlineLevel="0" collapsed="false">
      <c r="A166" s="19"/>
      <c r="B166" s="19"/>
      <c r="C166" s="19"/>
      <c r="D166" s="19"/>
      <c r="E166" s="19"/>
      <c r="F166" s="19"/>
      <c r="G166" s="19"/>
      <c r="H166" s="19"/>
      <c r="I166" s="19"/>
      <c r="J166" s="19"/>
      <c r="K166" s="19"/>
      <c r="L166" s="19"/>
      <c r="M166" s="19"/>
      <c r="N166" s="19"/>
      <c r="O166" s="19"/>
      <c r="P166" s="19"/>
      <c r="Q166" s="19"/>
      <c r="R166" s="19"/>
      <c r="S166" s="19"/>
      <c r="T166" s="19"/>
      <c r="U166" s="19"/>
    </row>
    <row r="167" customFormat="false" ht="13.5" hidden="false" customHeight="false" outlineLevel="0" collapsed="false">
      <c r="A167" s="19"/>
      <c r="B167" s="19"/>
      <c r="C167" s="19"/>
      <c r="D167" s="19"/>
      <c r="E167" s="19"/>
      <c r="F167" s="19"/>
      <c r="G167" s="19"/>
      <c r="H167" s="19"/>
      <c r="I167" s="19"/>
      <c r="J167" s="19"/>
      <c r="K167" s="19"/>
      <c r="L167" s="19"/>
      <c r="M167" s="19"/>
      <c r="N167" s="19"/>
      <c r="O167" s="19"/>
      <c r="P167" s="19"/>
      <c r="Q167" s="19"/>
      <c r="R167" s="19"/>
      <c r="S167" s="19"/>
      <c r="T167" s="19"/>
      <c r="U167" s="19"/>
    </row>
    <row r="168" customFormat="false" ht="13.5" hidden="false" customHeight="false" outlineLevel="0" collapsed="false">
      <c r="A168" s="19"/>
      <c r="B168" s="19"/>
      <c r="C168" s="19"/>
      <c r="D168" s="19"/>
      <c r="E168" s="19"/>
      <c r="F168" s="19"/>
      <c r="G168" s="19"/>
      <c r="H168" s="19"/>
      <c r="I168" s="19"/>
      <c r="J168" s="19"/>
      <c r="K168" s="19"/>
      <c r="L168" s="19"/>
      <c r="M168" s="19"/>
      <c r="N168" s="19"/>
      <c r="O168" s="19"/>
      <c r="P168" s="19"/>
      <c r="Q168" s="19"/>
      <c r="R168" s="19"/>
      <c r="S168" s="19"/>
      <c r="T168" s="19"/>
      <c r="U168" s="19"/>
    </row>
    <row r="169" customFormat="false" ht="13.5" hidden="false" customHeight="false" outlineLevel="0" collapsed="false">
      <c r="A169" s="19"/>
      <c r="B169" s="19"/>
      <c r="C169" s="19"/>
      <c r="D169" s="19"/>
      <c r="E169" s="19"/>
      <c r="F169" s="19"/>
      <c r="G169" s="19"/>
      <c r="H169" s="19"/>
      <c r="I169" s="19"/>
      <c r="J169" s="19"/>
      <c r="K169" s="19"/>
      <c r="L169" s="19"/>
      <c r="M169" s="19"/>
      <c r="N169" s="19"/>
      <c r="O169" s="19"/>
      <c r="P169" s="19"/>
      <c r="Q169" s="19"/>
      <c r="R169" s="19"/>
      <c r="S169" s="19"/>
      <c r="T169" s="19"/>
      <c r="U169" s="19"/>
    </row>
    <row r="170" customFormat="false" ht="13.5" hidden="false" customHeight="false" outlineLevel="0" collapsed="false">
      <c r="A170" s="19"/>
      <c r="B170" s="19"/>
      <c r="C170" s="19"/>
      <c r="D170" s="19"/>
      <c r="E170" s="19"/>
      <c r="F170" s="19"/>
      <c r="G170" s="19"/>
      <c r="H170" s="19"/>
      <c r="I170" s="19"/>
      <c r="J170" s="19"/>
      <c r="K170" s="19"/>
      <c r="L170" s="19"/>
      <c r="M170" s="19"/>
      <c r="N170" s="19"/>
      <c r="O170" s="19"/>
      <c r="P170" s="19"/>
      <c r="Q170" s="19"/>
      <c r="R170" s="19"/>
      <c r="S170" s="19"/>
      <c r="T170" s="19"/>
      <c r="U170" s="19"/>
    </row>
    <row r="171" customFormat="false" ht="13.5" hidden="false" customHeight="false" outlineLevel="0" collapsed="false">
      <c r="A171" s="19"/>
      <c r="B171" s="19"/>
      <c r="C171" s="19"/>
      <c r="D171" s="19"/>
      <c r="E171" s="19"/>
      <c r="F171" s="19"/>
      <c r="G171" s="19"/>
      <c r="H171" s="19"/>
      <c r="I171" s="19"/>
      <c r="J171" s="19"/>
      <c r="K171" s="19"/>
      <c r="L171" s="19"/>
      <c r="M171" s="19"/>
      <c r="N171" s="19"/>
      <c r="O171" s="19"/>
      <c r="P171" s="19"/>
      <c r="Q171" s="19"/>
      <c r="R171" s="19"/>
      <c r="S171" s="19"/>
      <c r="T171" s="19"/>
      <c r="U171" s="19"/>
    </row>
    <row r="172" customFormat="false" ht="13.5" hidden="false" customHeight="false" outlineLevel="0" collapsed="false">
      <c r="A172" s="19"/>
      <c r="B172" s="19"/>
      <c r="C172" s="19"/>
      <c r="D172" s="19"/>
      <c r="E172" s="19"/>
      <c r="F172" s="19"/>
      <c r="G172" s="19"/>
      <c r="H172" s="19"/>
      <c r="I172" s="19"/>
      <c r="J172" s="19"/>
      <c r="K172" s="19"/>
      <c r="L172" s="19"/>
      <c r="M172" s="19"/>
      <c r="N172" s="19"/>
      <c r="O172" s="19"/>
      <c r="P172" s="19"/>
      <c r="Q172" s="19"/>
      <c r="R172" s="19"/>
      <c r="S172" s="19"/>
      <c r="T172" s="19"/>
      <c r="U172" s="19"/>
    </row>
    <row r="173" customFormat="false" ht="13.5" hidden="false" customHeight="false" outlineLevel="0" collapsed="false">
      <c r="A173" s="19"/>
      <c r="B173" s="19"/>
      <c r="C173" s="19"/>
      <c r="D173" s="19"/>
      <c r="E173" s="19"/>
      <c r="F173" s="19"/>
      <c r="G173" s="19"/>
      <c r="H173" s="19"/>
      <c r="I173" s="19"/>
      <c r="J173" s="19"/>
      <c r="K173" s="19"/>
      <c r="L173" s="19"/>
      <c r="M173" s="19"/>
      <c r="N173" s="19"/>
      <c r="O173" s="19"/>
      <c r="P173" s="19"/>
      <c r="Q173" s="19"/>
      <c r="R173" s="19"/>
      <c r="S173" s="19"/>
      <c r="T173" s="19"/>
      <c r="U173" s="19"/>
    </row>
    <row r="174" customFormat="false" ht="13.5" hidden="false" customHeight="false" outlineLevel="0" collapsed="false">
      <c r="A174" s="19"/>
      <c r="B174" s="19"/>
      <c r="C174" s="19"/>
      <c r="D174" s="19"/>
      <c r="E174" s="19"/>
      <c r="F174" s="19"/>
      <c r="G174" s="19"/>
      <c r="H174" s="19"/>
      <c r="I174" s="19"/>
      <c r="J174" s="19"/>
      <c r="K174" s="19"/>
      <c r="L174" s="19"/>
      <c r="M174" s="19"/>
      <c r="N174" s="19"/>
      <c r="O174" s="19"/>
      <c r="P174" s="19"/>
      <c r="Q174" s="19"/>
      <c r="R174" s="19"/>
      <c r="S174" s="19"/>
      <c r="T174" s="19"/>
      <c r="U174" s="19"/>
    </row>
    <row r="175" customFormat="false" ht="13.5" hidden="false" customHeight="false" outlineLevel="0" collapsed="false">
      <c r="A175" s="19"/>
      <c r="B175" s="19"/>
      <c r="C175" s="19"/>
      <c r="D175" s="19"/>
      <c r="E175" s="19"/>
      <c r="F175" s="19"/>
      <c r="G175" s="19"/>
      <c r="H175" s="19"/>
      <c r="I175" s="19"/>
      <c r="J175" s="19"/>
      <c r="K175" s="19"/>
      <c r="L175" s="19"/>
      <c r="M175" s="19"/>
      <c r="N175" s="19"/>
      <c r="O175" s="19"/>
      <c r="P175" s="19"/>
      <c r="Q175" s="19"/>
      <c r="R175" s="19"/>
      <c r="S175" s="19"/>
      <c r="T175" s="19"/>
      <c r="U175" s="19"/>
    </row>
    <row r="176" customFormat="false" ht="13.5" hidden="false" customHeight="false" outlineLevel="0" collapsed="false">
      <c r="A176" s="19"/>
      <c r="B176" s="19"/>
      <c r="C176" s="19"/>
      <c r="D176" s="19"/>
      <c r="E176" s="19"/>
      <c r="F176" s="19"/>
      <c r="G176" s="19"/>
      <c r="H176" s="19"/>
      <c r="I176" s="19"/>
      <c r="J176" s="19"/>
      <c r="K176" s="19"/>
      <c r="L176" s="19"/>
      <c r="M176" s="19"/>
      <c r="N176" s="19"/>
      <c r="O176" s="19"/>
      <c r="P176" s="19"/>
      <c r="Q176" s="19"/>
      <c r="R176" s="19"/>
      <c r="S176" s="19"/>
      <c r="T176" s="19"/>
      <c r="U176" s="19"/>
    </row>
    <row r="177" customFormat="false" ht="13.5" hidden="false" customHeight="false" outlineLevel="0" collapsed="false">
      <c r="A177" s="19"/>
      <c r="B177" s="19"/>
      <c r="C177" s="19"/>
      <c r="D177" s="19"/>
      <c r="E177" s="19"/>
      <c r="F177" s="19"/>
      <c r="G177" s="19"/>
      <c r="H177" s="19"/>
      <c r="I177" s="19"/>
      <c r="J177" s="19"/>
      <c r="K177" s="19"/>
      <c r="L177" s="19"/>
      <c r="M177" s="19"/>
      <c r="N177" s="19"/>
      <c r="O177" s="19"/>
      <c r="P177" s="19"/>
      <c r="Q177" s="19"/>
      <c r="R177" s="19"/>
      <c r="S177" s="19"/>
      <c r="T177" s="19"/>
      <c r="U177" s="19"/>
    </row>
    <row r="178" customFormat="false" ht="13.5" hidden="false" customHeight="false" outlineLevel="0" collapsed="false">
      <c r="A178" s="19"/>
      <c r="B178" s="19"/>
      <c r="C178" s="19"/>
      <c r="D178" s="19"/>
      <c r="E178" s="19"/>
      <c r="F178" s="19"/>
      <c r="G178" s="19"/>
      <c r="H178" s="19"/>
      <c r="I178" s="19"/>
      <c r="J178" s="19"/>
      <c r="K178" s="19"/>
      <c r="L178" s="19"/>
      <c r="M178" s="19"/>
      <c r="N178" s="19"/>
      <c r="O178" s="19"/>
      <c r="P178" s="19"/>
      <c r="Q178" s="19"/>
      <c r="R178" s="19"/>
      <c r="S178" s="19"/>
      <c r="T178" s="19"/>
      <c r="U178" s="19"/>
    </row>
    <row r="179" customFormat="false" ht="13.5" hidden="false" customHeight="false" outlineLevel="0" collapsed="false">
      <c r="A179" s="19"/>
      <c r="B179" s="19"/>
      <c r="C179" s="19"/>
      <c r="D179" s="19"/>
      <c r="E179" s="19"/>
      <c r="F179" s="19"/>
      <c r="G179" s="19"/>
      <c r="H179" s="19"/>
      <c r="I179" s="19"/>
      <c r="J179" s="19"/>
      <c r="K179" s="19"/>
      <c r="L179" s="19"/>
      <c r="M179" s="19"/>
      <c r="N179" s="19"/>
      <c r="O179" s="19"/>
      <c r="P179" s="19"/>
      <c r="Q179" s="19"/>
      <c r="R179" s="19"/>
      <c r="S179" s="19"/>
      <c r="T179" s="19"/>
      <c r="U179" s="19"/>
    </row>
    <row r="180" customFormat="false" ht="13.5" hidden="false" customHeight="false" outlineLevel="0" collapsed="false">
      <c r="A180" s="19"/>
      <c r="B180" s="19"/>
      <c r="C180" s="19"/>
      <c r="D180" s="19"/>
      <c r="E180" s="19"/>
      <c r="F180" s="19"/>
      <c r="G180" s="19"/>
      <c r="H180" s="19"/>
      <c r="I180" s="19"/>
      <c r="J180" s="19"/>
      <c r="K180" s="19"/>
      <c r="L180" s="19"/>
      <c r="M180" s="19"/>
      <c r="N180" s="19"/>
      <c r="O180" s="19"/>
      <c r="P180" s="19"/>
      <c r="Q180" s="19"/>
      <c r="R180" s="19"/>
      <c r="S180" s="19"/>
      <c r="T180" s="19"/>
      <c r="U180" s="19"/>
    </row>
    <row r="181" customFormat="false" ht="13.5" hidden="false" customHeight="false" outlineLevel="0" collapsed="false">
      <c r="A181" s="19"/>
      <c r="B181" s="19"/>
      <c r="C181" s="19"/>
      <c r="D181" s="19"/>
      <c r="E181" s="19"/>
      <c r="F181" s="19"/>
      <c r="G181" s="19"/>
      <c r="H181" s="19"/>
      <c r="I181" s="19"/>
      <c r="J181" s="19"/>
      <c r="K181" s="19"/>
      <c r="L181" s="19"/>
      <c r="M181" s="19"/>
      <c r="N181" s="19"/>
      <c r="O181" s="19"/>
      <c r="P181" s="19"/>
      <c r="Q181" s="19"/>
      <c r="R181" s="19"/>
      <c r="S181" s="19"/>
      <c r="T181" s="19"/>
      <c r="U181" s="19"/>
    </row>
    <row r="182" customFormat="false" ht="13.5" hidden="false" customHeight="false" outlineLevel="0" collapsed="false">
      <c r="A182" s="19"/>
      <c r="B182" s="19"/>
      <c r="C182" s="19"/>
      <c r="D182" s="19"/>
      <c r="E182" s="19"/>
      <c r="F182" s="19"/>
      <c r="G182" s="19"/>
      <c r="H182" s="19"/>
      <c r="I182" s="19"/>
      <c r="J182" s="19"/>
      <c r="K182" s="19"/>
      <c r="L182" s="19"/>
      <c r="M182" s="19"/>
      <c r="N182" s="19"/>
      <c r="O182" s="19"/>
      <c r="P182" s="19"/>
      <c r="Q182" s="19"/>
      <c r="R182" s="19"/>
      <c r="S182" s="19"/>
      <c r="T182" s="19"/>
      <c r="U182" s="19"/>
    </row>
    <row r="183" customFormat="false" ht="13.5" hidden="false" customHeight="false" outlineLevel="0" collapsed="false">
      <c r="A183" s="19"/>
      <c r="B183" s="19"/>
      <c r="C183" s="19"/>
      <c r="D183" s="19"/>
      <c r="E183" s="19"/>
      <c r="F183" s="19"/>
      <c r="G183" s="19"/>
      <c r="H183" s="19"/>
      <c r="I183" s="19"/>
      <c r="J183" s="19"/>
      <c r="K183" s="19"/>
      <c r="L183" s="19"/>
      <c r="M183" s="19"/>
      <c r="N183" s="19"/>
      <c r="O183" s="19"/>
      <c r="P183" s="19"/>
      <c r="Q183" s="19"/>
      <c r="R183" s="19"/>
      <c r="S183" s="19"/>
      <c r="T183" s="19"/>
      <c r="U183" s="19"/>
    </row>
    <row r="184" customFormat="false" ht="13.5" hidden="false" customHeight="false" outlineLevel="0" collapsed="false">
      <c r="A184" s="19"/>
      <c r="B184" s="19"/>
      <c r="C184" s="19"/>
      <c r="D184" s="19"/>
      <c r="E184" s="19"/>
      <c r="F184" s="19"/>
      <c r="G184" s="19"/>
      <c r="H184" s="19"/>
      <c r="I184" s="19"/>
      <c r="J184" s="19"/>
      <c r="K184" s="19"/>
      <c r="L184" s="19"/>
      <c r="M184" s="19"/>
      <c r="N184" s="19"/>
      <c r="O184" s="19"/>
      <c r="P184" s="19"/>
      <c r="Q184" s="19"/>
      <c r="R184" s="19"/>
      <c r="S184" s="19"/>
      <c r="T184" s="19"/>
      <c r="U184" s="19"/>
    </row>
    <row r="185" customFormat="false" ht="13.5" hidden="false" customHeight="false" outlineLevel="0" collapsed="false">
      <c r="A185" s="19"/>
      <c r="B185" s="19"/>
      <c r="C185" s="19"/>
      <c r="D185" s="19"/>
      <c r="E185" s="19"/>
      <c r="F185" s="19"/>
      <c r="G185" s="19"/>
      <c r="H185" s="19"/>
      <c r="I185" s="19"/>
      <c r="J185" s="19"/>
      <c r="K185" s="19"/>
      <c r="L185" s="19"/>
      <c r="M185" s="19"/>
      <c r="N185" s="19"/>
      <c r="O185" s="19"/>
      <c r="P185" s="19"/>
      <c r="Q185" s="19"/>
      <c r="R185" s="19"/>
      <c r="S185" s="19"/>
      <c r="T185" s="19"/>
      <c r="U185" s="19"/>
    </row>
    <row r="186" customFormat="false" ht="13.5" hidden="false" customHeight="false" outlineLevel="0" collapsed="false">
      <c r="A186" s="19"/>
      <c r="B186" s="19"/>
      <c r="C186" s="19"/>
      <c r="D186" s="19"/>
      <c r="E186" s="19"/>
      <c r="F186" s="19"/>
      <c r="G186" s="19"/>
      <c r="H186" s="19"/>
      <c r="I186" s="19"/>
      <c r="J186" s="19"/>
      <c r="K186" s="19"/>
      <c r="L186" s="19"/>
      <c r="M186" s="19"/>
      <c r="N186" s="19"/>
      <c r="O186" s="19"/>
      <c r="P186" s="19"/>
      <c r="Q186" s="19"/>
      <c r="R186" s="19"/>
      <c r="S186" s="19"/>
      <c r="T186" s="19"/>
      <c r="U186" s="19"/>
    </row>
    <row r="187" customFormat="false" ht="13.5" hidden="false" customHeight="false" outlineLevel="0" collapsed="false">
      <c r="A187" s="19"/>
      <c r="B187" s="19"/>
      <c r="C187" s="19"/>
      <c r="D187" s="19"/>
      <c r="E187" s="19"/>
      <c r="F187" s="19"/>
      <c r="G187" s="19"/>
      <c r="H187" s="19"/>
      <c r="I187" s="19"/>
      <c r="J187" s="19"/>
      <c r="K187" s="19"/>
      <c r="L187" s="19"/>
      <c r="M187" s="19"/>
      <c r="N187" s="19"/>
      <c r="O187" s="19"/>
      <c r="P187" s="19"/>
      <c r="Q187" s="19"/>
      <c r="R187" s="19"/>
      <c r="S187" s="19"/>
      <c r="T187" s="19"/>
      <c r="U187" s="19"/>
    </row>
    <row r="188" customFormat="false" ht="13.5" hidden="false" customHeight="false" outlineLevel="0" collapsed="false">
      <c r="A188" s="19"/>
      <c r="B188" s="19"/>
      <c r="C188" s="19"/>
      <c r="D188" s="19"/>
      <c r="E188" s="19"/>
      <c r="F188" s="19"/>
      <c r="G188" s="19"/>
      <c r="H188" s="19"/>
      <c r="I188" s="19"/>
      <c r="J188" s="19"/>
      <c r="K188" s="19"/>
      <c r="L188" s="19"/>
      <c r="M188" s="19"/>
      <c r="N188" s="19"/>
      <c r="O188" s="19"/>
      <c r="P188" s="19"/>
      <c r="Q188" s="19"/>
      <c r="R188" s="19"/>
      <c r="S188" s="19"/>
      <c r="T188" s="19"/>
      <c r="U188" s="19"/>
    </row>
    <row r="189" customFormat="false" ht="13.5" hidden="false" customHeight="false" outlineLevel="0" collapsed="false">
      <c r="A189" s="19"/>
      <c r="B189" s="19"/>
      <c r="C189" s="19"/>
      <c r="D189" s="19"/>
      <c r="E189" s="19"/>
      <c r="F189" s="19"/>
      <c r="G189" s="19"/>
      <c r="H189" s="19"/>
      <c r="I189" s="19"/>
      <c r="J189" s="19"/>
      <c r="K189" s="19"/>
      <c r="L189" s="19"/>
      <c r="M189" s="19"/>
      <c r="N189" s="19"/>
      <c r="O189" s="19"/>
      <c r="P189" s="19"/>
      <c r="Q189" s="19"/>
      <c r="R189" s="19"/>
      <c r="S189" s="19"/>
      <c r="T189" s="19"/>
      <c r="U189" s="19"/>
    </row>
    <row r="190" customFormat="false" ht="13.5" hidden="false" customHeight="false" outlineLevel="0" collapsed="false">
      <c r="A190" s="19"/>
      <c r="B190" s="19"/>
      <c r="C190" s="19"/>
      <c r="D190" s="19"/>
      <c r="E190" s="19"/>
      <c r="F190" s="19"/>
      <c r="G190" s="19"/>
      <c r="H190" s="19"/>
      <c r="I190" s="19"/>
      <c r="J190" s="19"/>
      <c r="K190" s="19"/>
      <c r="L190" s="19"/>
      <c r="M190" s="19"/>
      <c r="N190" s="19"/>
      <c r="O190" s="19"/>
      <c r="P190" s="19"/>
      <c r="Q190" s="19"/>
      <c r="R190" s="19"/>
      <c r="S190" s="19"/>
      <c r="T190" s="19"/>
      <c r="U190" s="19"/>
    </row>
    <row r="191" customFormat="false" ht="13.5" hidden="false" customHeight="false" outlineLevel="0" collapsed="false">
      <c r="A191" s="19"/>
      <c r="B191" s="19"/>
      <c r="C191" s="19"/>
      <c r="D191" s="19"/>
      <c r="E191" s="19"/>
      <c r="F191" s="19"/>
      <c r="G191" s="19"/>
      <c r="H191" s="19"/>
      <c r="I191" s="19"/>
      <c r="J191" s="19"/>
      <c r="K191" s="19"/>
      <c r="L191" s="19"/>
      <c r="M191" s="19"/>
      <c r="N191" s="19"/>
      <c r="O191" s="19"/>
      <c r="P191" s="19"/>
      <c r="Q191" s="19"/>
      <c r="R191" s="19"/>
      <c r="S191" s="19"/>
      <c r="T191" s="19"/>
      <c r="U191" s="19"/>
    </row>
    <row r="192" customFormat="false" ht="13.5" hidden="false" customHeight="false" outlineLevel="0" collapsed="false">
      <c r="A192" s="19"/>
      <c r="B192" s="19"/>
      <c r="C192" s="19"/>
      <c r="D192" s="19"/>
      <c r="E192" s="19"/>
      <c r="F192" s="19"/>
      <c r="G192" s="19"/>
      <c r="H192" s="19"/>
      <c r="I192" s="19"/>
      <c r="J192" s="19"/>
      <c r="K192" s="19"/>
      <c r="L192" s="19"/>
      <c r="M192" s="19"/>
      <c r="N192" s="19"/>
      <c r="O192" s="19"/>
      <c r="P192" s="19"/>
      <c r="Q192" s="19"/>
      <c r="R192" s="19"/>
      <c r="S192" s="19"/>
      <c r="T192" s="19"/>
      <c r="U192" s="19"/>
    </row>
    <row r="193" customFormat="false" ht="13.5" hidden="false" customHeight="false" outlineLevel="0" collapsed="false">
      <c r="A193" s="19"/>
      <c r="B193" s="19"/>
      <c r="C193" s="19"/>
      <c r="D193" s="19"/>
      <c r="E193" s="19"/>
      <c r="F193" s="19"/>
      <c r="G193" s="19"/>
      <c r="H193" s="19"/>
      <c r="I193" s="19"/>
      <c r="J193" s="19"/>
      <c r="K193" s="19"/>
      <c r="L193" s="19"/>
      <c r="M193" s="19"/>
      <c r="N193" s="19"/>
      <c r="O193" s="19"/>
      <c r="P193" s="19"/>
      <c r="Q193" s="19"/>
      <c r="R193" s="19"/>
      <c r="S193" s="19"/>
      <c r="T193" s="19"/>
      <c r="U193" s="19"/>
    </row>
    <row r="194" customFormat="false" ht="13.5" hidden="false" customHeight="false" outlineLevel="0" collapsed="false">
      <c r="A194" s="19"/>
      <c r="B194" s="19"/>
      <c r="C194" s="19"/>
      <c r="D194" s="19"/>
      <c r="E194" s="19"/>
      <c r="F194" s="19"/>
      <c r="G194" s="19"/>
      <c r="H194" s="19"/>
      <c r="I194" s="19"/>
      <c r="J194" s="19"/>
      <c r="K194" s="19"/>
      <c r="L194" s="19"/>
      <c r="M194" s="19"/>
      <c r="N194" s="19"/>
      <c r="O194" s="19"/>
      <c r="P194" s="19"/>
      <c r="Q194" s="19"/>
      <c r="R194" s="19"/>
      <c r="S194" s="19"/>
      <c r="T194" s="19"/>
      <c r="U194" s="19"/>
    </row>
    <row r="195" customFormat="false" ht="13.5" hidden="false" customHeight="false" outlineLevel="0" collapsed="false">
      <c r="A195" s="19"/>
      <c r="B195" s="19"/>
      <c r="C195" s="19"/>
      <c r="D195" s="19"/>
      <c r="E195" s="19"/>
      <c r="F195" s="19"/>
      <c r="G195" s="19"/>
      <c r="H195" s="19"/>
      <c r="I195" s="19"/>
      <c r="J195" s="19"/>
      <c r="K195" s="19"/>
      <c r="L195" s="19"/>
      <c r="M195" s="19"/>
      <c r="N195" s="19"/>
      <c r="O195" s="19"/>
      <c r="P195" s="19"/>
      <c r="Q195" s="19"/>
      <c r="R195" s="19"/>
      <c r="S195" s="19"/>
      <c r="T195" s="19"/>
      <c r="U195" s="19"/>
    </row>
    <row r="196" customFormat="false" ht="13.5" hidden="false" customHeight="false" outlineLevel="0" collapsed="false">
      <c r="A196" s="19"/>
      <c r="B196" s="19"/>
      <c r="C196" s="19"/>
      <c r="D196" s="19"/>
      <c r="E196" s="19"/>
      <c r="F196" s="19"/>
      <c r="G196" s="19"/>
      <c r="H196" s="19"/>
      <c r="I196" s="19"/>
      <c r="J196" s="19"/>
      <c r="K196" s="19"/>
      <c r="L196" s="19"/>
      <c r="M196" s="19"/>
      <c r="N196" s="19"/>
      <c r="O196" s="19"/>
      <c r="P196" s="19"/>
      <c r="Q196" s="19"/>
      <c r="R196" s="19"/>
      <c r="S196" s="19"/>
      <c r="T196" s="19"/>
      <c r="U196" s="19"/>
    </row>
    <row r="197" customFormat="false" ht="13.5" hidden="false" customHeight="false" outlineLevel="0" collapsed="false">
      <c r="A197" s="19"/>
      <c r="B197" s="19"/>
      <c r="C197" s="19"/>
      <c r="D197" s="19"/>
      <c r="E197" s="19"/>
      <c r="F197" s="19"/>
      <c r="G197" s="19"/>
      <c r="H197" s="19"/>
      <c r="I197" s="19"/>
      <c r="J197" s="19"/>
      <c r="K197" s="19"/>
      <c r="L197" s="19"/>
      <c r="M197" s="19"/>
      <c r="N197" s="19"/>
      <c r="O197" s="19"/>
      <c r="P197" s="19"/>
      <c r="Q197" s="19"/>
      <c r="R197" s="19"/>
      <c r="S197" s="19"/>
      <c r="T197" s="19"/>
      <c r="U197" s="19"/>
    </row>
    <row r="198" customFormat="false" ht="13.5" hidden="false" customHeight="false" outlineLevel="0" collapsed="false">
      <c r="A198" s="19"/>
      <c r="B198" s="19"/>
      <c r="C198" s="19"/>
      <c r="D198" s="19"/>
      <c r="E198" s="19"/>
      <c r="F198" s="19"/>
      <c r="G198" s="19"/>
      <c r="H198" s="19"/>
      <c r="I198" s="19"/>
      <c r="J198" s="19"/>
      <c r="K198" s="19"/>
      <c r="L198" s="19"/>
      <c r="M198" s="19"/>
      <c r="N198" s="19"/>
      <c r="O198" s="19"/>
      <c r="P198" s="19"/>
      <c r="Q198" s="19"/>
      <c r="R198" s="19"/>
      <c r="S198" s="19"/>
      <c r="T198" s="19"/>
      <c r="U198" s="19"/>
    </row>
    <row r="199" customFormat="false" ht="13.5" hidden="false" customHeight="false" outlineLevel="0" collapsed="false">
      <c r="A199" s="19"/>
      <c r="B199" s="19"/>
      <c r="C199" s="19"/>
      <c r="D199" s="19"/>
      <c r="E199" s="19"/>
      <c r="F199" s="19"/>
      <c r="G199" s="19"/>
      <c r="H199" s="19"/>
      <c r="I199" s="19"/>
      <c r="J199" s="19"/>
      <c r="K199" s="19"/>
      <c r="L199" s="19"/>
      <c r="M199" s="19"/>
      <c r="N199" s="19"/>
      <c r="O199" s="19"/>
      <c r="P199" s="19"/>
      <c r="Q199" s="19"/>
      <c r="R199" s="19"/>
      <c r="S199" s="19"/>
      <c r="T199" s="19"/>
      <c r="U199" s="19"/>
    </row>
    <row r="200" customFormat="false" ht="13.5" hidden="false" customHeight="false" outlineLevel="0" collapsed="false">
      <c r="A200" s="19"/>
      <c r="B200" s="19"/>
      <c r="C200" s="19"/>
      <c r="D200" s="19"/>
      <c r="E200" s="19"/>
      <c r="F200" s="19"/>
      <c r="G200" s="19"/>
      <c r="H200" s="19"/>
      <c r="I200" s="19"/>
      <c r="J200" s="19"/>
      <c r="K200" s="19"/>
      <c r="L200" s="19"/>
      <c r="M200" s="19"/>
      <c r="N200" s="19"/>
      <c r="O200" s="19"/>
      <c r="P200" s="19"/>
      <c r="Q200" s="19"/>
      <c r="R200" s="19"/>
      <c r="S200" s="19"/>
      <c r="T200" s="19"/>
      <c r="U200" s="19"/>
    </row>
    <row r="201" customFormat="false" ht="13.5" hidden="false" customHeight="false" outlineLevel="0" collapsed="false">
      <c r="A201" s="19"/>
      <c r="B201" s="19"/>
      <c r="C201" s="19"/>
      <c r="D201" s="19"/>
      <c r="E201" s="19"/>
      <c r="F201" s="19"/>
      <c r="G201" s="19"/>
      <c r="H201" s="19"/>
      <c r="I201" s="19"/>
      <c r="J201" s="19"/>
      <c r="K201" s="19"/>
      <c r="L201" s="19"/>
      <c r="M201" s="19"/>
      <c r="N201" s="19"/>
      <c r="O201" s="19"/>
      <c r="P201" s="19"/>
      <c r="Q201" s="19"/>
      <c r="R201" s="19"/>
      <c r="S201" s="19"/>
      <c r="T201" s="19"/>
      <c r="U201" s="19"/>
    </row>
    <row r="202" customFormat="false" ht="13.5" hidden="false" customHeight="false" outlineLevel="0" collapsed="false">
      <c r="A202" s="19"/>
      <c r="B202" s="19"/>
      <c r="C202" s="19"/>
      <c r="D202" s="19"/>
      <c r="E202" s="19"/>
      <c r="F202" s="19"/>
      <c r="G202" s="19"/>
      <c r="H202" s="19"/>
      <c r="I202" s="19"/>
      <c r="J202" s="19"/>
      <c r="K202" s="19"/>
      <c r="L202" s="19"/>
      <c r="M202" s="19"/>
      <c r="N202" s="19"/>
      <c r="O202" s="19"/>
      <c r="P202" s="19"/>
      <c r="Q202" s="19"/>
      <c r="R202" s="19"/>
      <c r="S202" s="19"/>
      <c r="T202" s="19"/>
      <c r="U202" s="19"/>
    </row>
    <row r="203" customFormat="false" ht="13.5" hidden="false" customHeight="false" outlineLevel="0" collapsed="false">
      <c r="A203" s="19"/>
      <c r="B203" s="19"/>
      <c r="C203" s="19"/>
      <c r="D203" s="19"/>
      <c r="E203" s="19"/>
      <c r="F203" s="19"/>
      <c r="G203" s="19"/>
      <c r="H203" s="19"/>
      <c r="I203" s="19"/>
      <c r="J203" s="19"/>
      <c r="K203" s="19"/>
      <c r="L203" s="19"/>
      <c r="M203" s="19"/>
      <c r="N203" s="19"/>
      <c r="O203" s="19"/>
      <c r="P203" s="19"/>
      <c r="Q203" s="19"/>
      <c r="R203" s="19"/>
      <c r="S203" s="19"/>
      <c r="T203" s="19"/>
      <c r="U203" s="19"/>
    </row>
    <row r="204" customFormat="false" ht="13.5" hidden="false" customHeight="false" outlineLevel="0" collapsed="false">
      <c r="A204" s="19"/>
      <c r="B204" s="19"/>
      <c r="C204" s="19"/>
      <c r="D204" s="19"/>
      <c r="E204" s="19"/>
      <c r="F204" s="19"/>
      <c r="G204" s="19"/>
      <c r="H204" s="19"/>
      <c r="I204" s="19"/>
      <c r="J204" s="19"/>
      <c r="K204" s="19"/>
      <c r="L204" s="19"/>
      <c r="M204" s="19"/>
      <c r="N204" s="19"/>
      <c r="O204" s="19"/>
      <c r="P204" s="19"/>
      <c r="Q204" s="19"/>
      <c r="R204" s="19"/>
      <c r="S204" s="19"/>
      <c r="T204" s="19"/>
      <c r="U204" s="19"/>
    </row>
    <row r="205" customFormat="false" ht="13.5" hidden="false" customHeight="false" outlineLevel="0" collapsed="false">
      <c r="A205" s="19"/>
      <c r="B205" s="19"/>
      <c r="C205" s="19"/>
      <c r="D205" s="19"/>
      <c r="E205" s="19"/>
      <c r="F205" s="19"/>
      <c r="G205" s="19"/>
      <c r="H205" s="19"/>
      <c r="I205" s="19"/>
      <c r="J205" s="19"/>
      <c r="K205" s="19"/>
      <c r="L205" s="19"/>
      <c r="M205" s="19"/>
      <c r="N205" s="19"/>
      <c r="O205" s="19"/>
      <c r="P205" s="19"/>
      <c r="Q205" s="19"/>
      <c r="R205" s="19"/>
      <c r="S205" s="19"/>
      <c r="T205" s="19"/>
      <c r="U205" s="19"/>
    </row>
    <row r="206" customFormat="false" ht="13.5" hidden="false" customHeight="false" outlineLevel="0" collapsed="false">
      <c r="A206" s="19"/>
      <c r="B206" s="19"/>
      <c r="C206" s="19"/>
      <c r="D206" s="19"/>
      <c r="E206" s="19"/>
      <c r="F206" s="19"/>
      <c r="G206" s="19"/>
      <c r="H206" s="19"/>
      <c r="I206" s="19"/>
      <c r="J206" s="19"/>
      <c r="K206" s="19"/>
      <c r="L206" s="19"/>
      <c r="M206" s="19"/>
      <c r="N206" s="19"/>
      <c r="O206" s="19"/>
      <c r="P206" s="19"/>
      <c r="Q206" s="19"/>
      <c r="R206" s="19"/>
      <c r="S206" s="19"/>
      <c r="T206" s="19"/>
      <c r="U206" s="19"/>
    </row>
    <row r="207" customFormat="false" ht="13.5" hidden="false" customHeight="false" outlineLevel="0" collapsed="false">
      <c r="A207" s="19"/>
      <c r="B207" s="19"/>
      <c r="C207" s="19"/>
      <c r="D207" s="19"/>
      <c r="E207" s="19"/>
      <c r="F207" s="19"/>
      <c r="G207" s="19"/>
      <c r="H207" s="19"/>
      <c r="I207" s="19"/>
      <c r="J207" s="19"/>
      <c r="K207" s="19"/>
      <c r="L207" s="19"/>
      <c r="M207" s="19"/>
      <c r="N207" s="19"/>
      <c r="O207" s="19"/>
      <c r="P207" s="19"/>
      <c r="Q207" s="19"/>
      <c r="R207" s="19"/>
      <c r="S207" s="19"/>
      <c r="T207" s="19"/>
      <c r="U207" s="19"/>
    </row>
    <row r="208" customFormat="false" ht="13.5" hidden="false" customHeight="false" outlineLevel="0" collapsed="false">
      <c r="A208" s="19"/>
      <c r="B208" s="19"/>
      <c r="C208" s="19"/>
      <c r="D208" s="19"/>
      <c r="E208" s="19"/>
      <c r="F208" s="19"/>
      <c r="G208" s="19"/>
      <c r="H208" s="19"/>
      <c r="I208" s="19"/>
      <c r="J208" s="19"/>
      <c r="K208" s="19"/>
      <c r="L208" s="19"/>
      <c r="M208" s="19"/>
      <c r="N208" s="19"/>
      <c r="O208" s="19"/>
      <c r="P208" s="19"/>
      <c r="Q208" s="19"/>
      <c r="R208" s="19"/>
      <c r="S208" s="19"/>
      <c r="T208" s="19"/>
      <c r="U208" s="19"/>
    </row>
    <row r="209" customFormat="false" ht="13.5" hidden="false" customHeight="false" outlineLevel="0" collapsed="false">
      <c r="A209" s="19"/>
      <c r="B209" s="19"/>
      <c r="C209" s="19"/>
      <c r="D209" s="19"/>
      <c r="E209" s="19"/>
      <c r="F209" s="19"/>
      <c r="G209" s="19"/>
      <c r="H209" s="19"/>
      <c r="I209" s="19"/>
      <c r="J209" s="19"/>
      <c r="K209" s="19"/>
      <c r="L209" s="19"/>
      <c r="M209" s="19"/>
      <c r="N209" s="19"/>
      <c r="O209" s="19"/>
      <c r="P209" s="19"/>
      <c r="Q209" s="19"/>
      <c r="R209" s="19"/>
      <c r="S209" s="19"/>
      <c r="T209" s="19"/>
      <c r="U209" s="19"/>
    </row>
    <row r="210" customFormat="false" ht="13.5" hidden="false" customHeight="false" outlineLevel="0" collapsed="false">
      <c r="A210" s="19"/>
      <c r="B210" s="19"/>
      <c r="C210" s="19"/>
      <c r="D210" s="19"/>
      <c r="E210" s="19"/>
      <c r="F210" s="19"/>
      <c r="G210" s="19"/>
      <c r="H210" s="19"/>
      <c r="I210" s="19"/>
      <c r="J210" s="19"/>
      <c r="K210" s="19"/>
      <c r="L210" s="19"/>
      <c r="M210" s="19"/>
      <c r="N210" s="19"/>
      <c r="O210" s="19"/>
      <c r="P210" s="19"/>
      <c r="Q210" s="19"/>
      <c r="R210" s="19"/>
      <c r="S210" s="19"/>
      <c r="T210" s="19"/>
      <c r="U210" s="19"/>
    </row>
    <row r="211" customFormat="false" ht="13.5" hidden="false" customHeight="false" outlineLevel="0" collapsed="false">
      <c r="A211" s="19"/>
      <c r="B211" s="19"/>
      <c r="C211" s="19"/>
      <c r="D211" s="19"/>
      <c r="E211" s="19"/>
      <c r="F211" s="19"/>
      <c r="G211" s="19"/>
      <c r="H211" s="19"/>
      <c r="I211" s="19"/>
      <c r="J211" s="19"/>
      <c r="K211" s="19"/>
      <c r="L211" s="19"/>
      <c r="M211" s="19"/>
      <c r="N211" s="19"/>
      <c r="O211" s="19"/>
      <c r="P211" s="19"/>
      <c r="Q211" s="19"/>
      <c r="R211" s="19"/>
      <c r="S211" s="19"/>
      <c r="T211" s="19"/>
      <c r="U211" s="19"/>
    </row>
    <row r="212" customFormat="false" ht="13.5" hidden="false" customHeight="false" outlineLevel="0" collapsed="false">
      <c r="A212" s="19"/>
      <c r="B212" s="19"/>
      <c r="C212" s="19"/>
      <c r="D212" s="19"/>
      <c r="E212" s="19"/>
      <c r="F212" s="19"/>
      <c r="G212" s="19"/>
      <c r="H212" s="19"/>
      <c r="I212" s="19"/>
      <c r="J212" s="19"/>
      <c r="K212" s="19"/>
      <c r="L212" s="19"/>
      <c r="M212" s="19"/>
      <c r="N212" s="19"/>
      <c r="O212" s="19"/>
      <c r="P212" s="19"/>
      <c r="Q212" s="19"/>
      <c r="R212" s="19"/>
      <c r="S212" s="19"/>
      <c r="T212" s="19"/>
      <c r="U212" s="19"/>
    </row>
    <row r="213" customFormat="false" ht="13.5" hidden="false" customHeight="false" outlineLevel="0" collapsed="false">
      <c r="A213" s="19"/>
      <c r="B213" s="19"/>
      <c r="C213" s="19"/>
      <c r="D213" s="19"/>
      <c r="E213" s="19"/>
      <c r="F213" s="19"/>
      <c r="G213" s="19"/>
      <c r="H213" s="19"/>
      <c r="I213" s="19"/>
      <c r="J213" s="19"/>
      <c r="K213" s="19"/>
      <c r="L213" s="19"/>
      <c r="M213" s="19"/>
      <c r="N213" s="19"/>
      <c r="O213" s="19"/>
      <c r="P213" s="19"/>
      <c r="Q213" s="19"/>
      <c r="R213" s="19"/>
      <c r="S213" s="19"/>
      <c r="T213" s="19"/>
      <c r="U213" s="19"/>
    </row>
    <row r="214" customFormat="false" ht="13.5" hidden="false" customHeight="false" outlineLevel="0" collapsed="false">
      <c r="A214" s="19"/>
      <c r="B214" s="19"/>
      <c r="C214" s="19"/>
      <c r="D214" s="19"/>
      <c r="E214" s="19"/>
      <c r="F214" s="19"/>
      <c r="G214" s="19"/>
      <c r="H214" s="19"/>
      <c r="I214" s="19"/>
      <c r="J214" s="19"/>
      <c r="K214" s="19"/>
      <c r="L214" s="19"/>
      <c r="M214" s="19"/>
      <c r="N214" s="19"/>
      <c r="O214" s="19"/>
      <c r="P214" s="19"/>
      <c r="Q214" s="19"/>
      <c r="R214" s="19"/>
      <c r="S214" s="19"/>
      <c r="T214" s="19"/>
      <c r="U214" s="19"/>
    </row>
    <row r="215" customFormat="false" ht="13.5" hidden="false" customHeight="false" outlineLevel="0" collapsed="false">
      <c r="A215" s="19"/>
      <c r="B215" s="19"/>
      <c r="C215" s="19"/>
      <c r="D215" s="19"/>
      <c r="E215" s="19"/>
      <c r="F215" s="19"/>
      <c r="G215" s="19"/>
      <c r="H215" s="19"/>
      <c r="I215" s="19"/>
      <c r="J215" s="19"/>
      <c r="K215" s="19"/>
      <c r="L215" s="19"/>
      <c r="M215" s="19"/>
      <c r="N215" s="19"/>
      <c r="O215" s="19"/>
      <c r="P215" s="19"/>
      <c r="Q215" s="19"/>
      <c r="R215" s="19"/>
      <c r="S215" s="19"/>
      <c r="T215" s="19"/>
      <c r="U215" s="19"/>
    </row>
    <row r="216" customFormat="false" ht="13.5" hidden="false" customHeight="false" outlineLevel="0" collapsed="false">
      <c r="A216" s="19"/>
      <c r="B216" s="19"/>
      <c r="C216" s="19"/>
      <c r="D216" s="19"/>
      <c r="E216" s="19"/>
      <c r="F216" s="19"/>
      <c r="G216" s="19"/>
      <c r="H216" s="19"/>
      <c r="I216" s="19"/>
      <c r="J216" s="19"/>
      <c r="K216" s="19"/>
      <c r="L216" s="19"/>
      <c r="M216" s="19"/>
      <c r="N216" s="19"/>
      <c r="O216" s="19"/>
      <c r="P216" s="19"/>
      <c r="Q216" s="19"/>
      <c r="R216" s="19"/>
      <c r="S216" s="19"/>
      <c r="T216" s="19"/>
      <c r="U216" s="19"/>
    </row>
    <row r="217" customFormat="false" ht="13.5" hidden="false" customHeight="false" outlineLevel="0" collapsed="false">
      <c r="A217" s="19"/>
      <c r="B217" s="19"/>
      <c r="C217" s="19"/>
      <c r="D217" s="19"/>
      <c r="E217" s="19"/>
      <c r="F217" s="19"/>
      <c r="G217" s="19"/>
      <c r="H217" s="19"/>
      <c r="I217" s="19"/>
      <c r="J217" s="19"/>
      <c r="K217" s="19"/>
      <c r="L217" s="19"/>
      <c r="M217" s="19"/>
      <c r="N217" s="19"/>
      <c r="O217" s="19"/>
      <c r="P217" s="19"/>
      <c r="Q217" s="19"/>
      <c r="R217" s="19"/>
      <c r="S217" s="19"/>
      <c r="T217" s="19"/>
      <c r="U217" s="19"/>
    </row>
    <row r="218" customFormat="false" ht="13.5" hidden="false" customHeight="false" outlineLevel="0" collapsed="false">
      <c r="A218" s="19"/>
      <c r="B218" s="19"/>
      <c r="C218" s="19"/>
      <c r="D218" s="19"/>
      <c r="E218" s="19"/>
      <c r="F218" s="19"/>
      <c r="G218" s="19"/>
      <c r="H218" s="19"/>
      <c r="I218" s="19"/>
      <c r="J218" s="19"/>
      <c r="K218" s="19"/>
      <c r="L218" s="19"/>
      <c r="M218" s="19"/>
      <c r="N218" s="19"/>
      <c r="O218" s="19"/>
      <c r="P218" s="19"/>
      <c r="Q218" s="19"/>
      <c r="R218" s="19"/>
      <c r="S218" s="19"/>
      <c r="T218" s="19"/>
      <c r="U218" s="19"/>
    </row>
    <row r="219" customFormat="false" ht="13.5" hidden="false" customHeight="false" outlineLevel="0" collapsed="false">
      <c r="A219" s="19"/>
      <c r="B219" s="19"/>
      <c r="C219" s="19"/>
      <c r="D219" s="19"/>
      <c r="E219" s="19"/>
      <c r="F219" s="19"/>
      <c r="G219" s="19"/>
      <c r="H219" s="19"/>
      <c r="I219" s="19"/>
      <c r="J219" s="19"/>
      <c r="K219" s="19"/>
      <c r="L219" s="19"/>
      <c r="M219" s="19"/>
      <c r="N219" s="19"/>
      <c r="O219" s="19"/>
      <c r="P219" s="19"/>
      <c r="Q219" s="19"/>
      <c r="R219" s="19"/>
      <c r="S219" s="19"/>
      <c r="T219" s="19"/>
      <c r="U219" s="19"/>
    </row>
    <row r="220" customFormat="false" ht="13.5" hidden="false" customHeight="false" outlineLevel="0" collapsed="false">
      <c r="A220" s="19"/>
      <c r="B220" s="19"/>
      <c r="C220" s="19"/>
      <c r="D220" s="19"/>
      <c r="E220" s="19"/>
      <c r="F220" s="19"/>
      <c r="G220" s="19"/>
      <c r="H220" s="19"/>
      <c r="I220" s="19"/>
      <c r="J220" s="19"/>
      <c r="K220" s="19"/>
      <c r="L220" s="19"/>
      <c r="M220" s="19"/>
      <c r="N220" s="19"/>
      <c r="O220" s="19"/>
      <c r="P220" s="19"/>
      <c r="Q220" s="19"/>
      <c r="R220" s="19"/>
      <c r="S220" s="19"/>
      <c r="T220" s="19"/>
      <c r="U220" s="19"/>
    </row>
    <row r="221" customFormat="false" ht="13.5" hidden="false" customHeight="false" outlineLevel="0" collapsed="false">
      <c r="A221" s="19"/>
      <c r="B221" s="19"/>
      <c r="C221" s="19"/>
      <c r="D221" s="19"/>
      <c r="E221" s="19"/>
      <c r="F221" s="19"/>
      <c r="G221" s="19"/>
      <c r="H221" s="19"/>
      <c r="I221" s="19"/>
      <c r="J221" s="19"/>
      <c r="K221" s="19"/>
      <c r="L221" s="19"/>
      <c r="M221" s="19"/>
      <c r="N221" s="19"/>
      <c r="O221" s="19"/>
      <c r="P221" s="19"/>
      <c r="Q221" s="19"/>
      <c r="R221" s="19"/>
      <c r="S221" s="19"/>
      <c r="T221" s="19"/>
      <c r="U221" s="19"/>
    </row>
    <row r="222" customFormat="false" ht="13.5" hidden="false" customHeight="false" outlineLevel="0" collapsed="false">
      <c r="A222" s="19"/>
      <c r="B222" s="19"/>
      <c r="C222" s="19"/>
      <c r="D222" s="19"/>
      <c r="E222" s="19"/>
      <c r="F222" s="19"/>
      <c r="G222" s="19"/>
      <c r="H222" s="19"/>
      <c r="I222" s="19"/>
      <c r="J222" s="19"/>
      <c r="K222" s="19"/>
      <c r="L222" s="19"/>
      <c r="M222" s="19"/>
      <c r="N222" s="19"/>
      <c r="O222" s="19"/>
      <c r="P222" s="19"/>
      <c r="Q222" s="19"/>
      <c r="R222" s="19"/>
      <c r="S222" s="19"/>
      <c r="T222" s="19"/>
      <c r="U222" s="19"/>
    </row>
    <row r="223" customFormat="false" ht="13.5" hidden="false" customHeight="false" outlineLevel="0" collapsed="false">
      <c r="A223" s="19"/>
      <c r="B223" s="19"/>
      <c r="C223" s="19"/>
      <c r="D223" s="19"/>
      <c r="E223" s="19"/>
      <c r="F223" s="19"/>
      <c r="G223" s="19"/>
      <c r="H223" s="19"/>
      <c r="I223" s="19"/>
      <c r="J223" s="19"/>
      <c r="K223" s="19"/>
      <c r="L223" s="19"/>
      <c r="M223" s="19"/>
      <c r="N223" s="19"/>
      <c r="O223" s="19"/>
      <c r="P223" s="19"/>
      <c r="Q223" s="19"/>
      <c r="R223" s="19"/>
      <c r="S223" s="19"/>
      <c r="T223" s="19"/>
      <c r="U223" s="19"/>
    </row>
    <row r="224" customFormat="false" ht="13.5" hidden="false" customHeight="false" outlineLevel="0" collapsed="false">
      <c r="A224" s="19"/>
      <c r="B224" s="19"/>
      <c r="C224" s="19"/>
      <c r="D224" s="19"/>
      <c r="E224" s="19"/>
      <c r="F224" s="19"/>
      <c r="G224" s="19"/>
      <c r="H224" s="19"/>
      <c r="I224" s="19"/>
      <c r="J224" s="19"/>
      <c r="K224" s="19"/>
      <c r="L224" s="19"/>
      <c r="M224" s="19"/>
      <c r="N224" s="19"/>
      <c r="O224" s="19"/>
      <c r="P224" s="19"/>
      <c r="Q224" s="19"/>
      <c r="R224" s="19"/>
      <c r="S224" s="19"/>
      <c r="T224" s="19"/>
      <c r="U224" s="19"/>
    </row>
    <row r="225" customFormat="false" ht="13.5" hidden="false" customHeight="false" outlineLevel="0" collapsed="false">
      <c r="A225" s="19"/>
      <c r="B225" s="19"/>
      <c r="C225" s="19"/>
      <c r="D225" s="19"/>
      <c r="E225" s="19"/>
      <c r="F225" s="19"/>
      <c r="G225" s="19"/>
      <c r="H225" s="19"/>
      <c r="I225" s="19"/>
      <c r="J225" s="19"/>
      <c r="K225" s="19"/>
      <c r="L225" s="19"/>
      <c r="M225" s="19"/>
      <c r="N225" s="19"/>
      <c r="O225" s="19"/>
      <c r="P225" s="19"/>
      <c r="Q225" s="19"/>
      <c r="R225" s="19"/>
      <c r="S225" s="19"/>
      <c r="T225" s="19"/>
      <c r="U225" s="19"/>
    </row>
    <row r="226" customFormat="false" ht="13.5" hidden="false" customHeight="false" outlineLevel="0" collapsed="false">
      <c r="A226" s="19"/>
      <c r="B226" s="19"/>
      <c r="C226" s="19"/>
      <c r="D226" s="19"/>
      <c r="E226" s="19"/>
      <c r="F226" s="19"/>
      <c r="G226" s="19"/>
      <c r="H226" s="19"/>
      <c r="I226" s="19"/>
      <c r="J226" s="19"/>
      <c r="K226" s="19"/>
      <c r="L226" s="19"/>
      <c r="M226" s="19"/>
      <c r="N226" s="19"/>
      <c r="O226" s="19"/>
      <c r="P226" s="19"/>
      <c r="Q226" s="19"/>
      <c r="R226" s="19"/>
      <c r="S226" s="19"/>
      <c r="T226" s="19"/>
      <c r="U226" s="19"/>
    </row>
    <row r="227" customFormat="false" ht="13.5" hidden="false" customHeight="false" outlineLevel="0" collapsed="false">
      <c r="A227" s="19"/>
      <c r="B227" s="19"/>
      <c r="C227" s="19"/>
      <c r="D227" s="19"/>
      <c r="E227" s="19"/>
      <c r="F227" s="19"/>
      <c r="G227" s="19"/>
      <c r="H227" s="19"/>
      <c r="I227" s="19"/>
      <c r="J227" s="19"/>
      <c r="K227" s="19"/>
      <c r="L227" s="19"/>
      <c r="M227" s="19"/>
      <c r="N227" s="19"/>
      <c r="O227" s="19"/>
      <c r="P227" s="19"/>
      <c r="Q227" s="19"/>
      <c r="R227" s="19"/>
      <c r="S227" s="19"/>
      <c r="T227" s="19"/>
      <c r="U227" s="19"/>
    </row>
    <row r="228" customFormat="false" ht="13.5" hidden="false" customHeight="false" outlineLevel="0" collapsed="false">
      <c r="A228" s="19"/>
      <c r="B228" s="19"/>
      <c r="C228" s="19"/>
      <c r="D228" s="19"/>
      <c r="E228" s="19"/>
      <c r="F228" s="19"/>
      <c r="G228" s="19"/>
      <c r="H228" s="19"/>
      <c r="I228" s="19"/>
      <c r="J228" s="19"/>
      <c r="K228" s="19"/>
      <c r="L228" s="19"/>
      <c r="M228" s="19"/>
      <c r="N228" s="19"/>
      <c r="O228" s="19"/>
      <c r="P228" s="19"/>
      <c r="Q228" s="19"/>
      <c r="R228" s="19"/>
      <c r="S228" s="19"/>
      <c r="T228" s="19"/>
      <c r="U228" s="19"/>
    </row>
    <row r="229" customFormat="false" ht="13.5" hidden="false" customHeight="false" outlineLevel="0" collapsed="false">
      <c r="A229" s="19"/>
      <c r="B229" s="19"/>
      <c r="C229" s="19"/>
      <c r="D229" s="19"/>
      <c r="E229" s="19"/>
      <c r="F229" s="19"/>
      <c r="G229" s="19"/>
      <c r="H229" s="19"/>
      <c r="I229" s="19"/>
      <c r="J229" s="19"/>
      <c r="K229" s="19"/>
      <c r="L229" s="19"/>
      <c r="M229" s="19"/>
      <c r="N229" s="19"/>
      <c r="O229" s="19"/>
      <c r="P229" s="19"/>
      <c r="Q229" s="19"/>
      <c r="R229" s="19"/>
      <c r="S229" s="19"/>
      <c r="T229" s="19"/>
      <c r="U229" s="19"/>
    </row>
    <row r="230" customFormat="false" ht="13.5" hidden="false" customHeight="false" outlineLevel="0" collapsed="false">
      <c r="A230" s="19"/>
      <c r="B230" s="19"/>
      <c r="C230" s="19"/>
      <c r="D230" s="19"/>
      <c r="E230" s="19"/>
      <c r="F230" s="19"/>
      <c r="G230" s="19"/>
      <c r="H230" s="19"/>
      <c r="I230" s="19"/>
      <c r="J230" s="19"/>
      <c r="K230" s="19"/>
      <c r="L230" s="19"/>
      <c r="M230" s="19"/>
      <c r="N230" s="19"/>
      <c r="O230" s="19"/>
      <c r="P230" s="19"/>
      <c r="Q230" s="19"/>
      <c r="R230" s="19"/>
      <c r="S230" s="19"/>
      <c r="T230" s="19"/>
      <c r="U230" s="19"/>
    </row>
    <row r="231" customFormat="false" ht="13.5" hidden="false" customHeight="false" outlineLevel="0" collapsed="false">
      <c r="A231" s="19"/>
      <c r="B231" s="19"/>
      <c r="C231" s="19"/>
      <c r="D231" s="19"/>
      <c r="E231" s="19"/>
      <c r="F231" s="19"/>
      <c r="G231" s="19"/>
      <c r="H231" s="19"/>
      <c r="I231" s="19"/>
      <c r="J231" s="19"/>
      <c r="K231" s="19"/>
      <c r="L231" s="19"/>
      <c r="M231" s="19"/>
      <c r="N231" s="19"/>
      <c r="O231" s="19"/>
      <c r="P231" s="19"/>
      <c r="Q231" s="19"/>
      <c r="R231" s="19"/>
      <c r="S231" s="19"/>
      <c r="T231" s="19"/>
      <c r="U231" s="19"/>
    </row>
    <row r="232" customFormat="false" ht="13.5" hidden="false" customHeight="false" outlineLevel="0" collapsed="false">
      <c r="A232" s="19"/>
      <c r="B232" s="19"/>
      <c r="C232" s="19"/>
      <c r="D232" s="19"/>
      <c r="E232" s="19"/>
      <c r="F232" s="19"/>
      <c r="G232" s="19"/>
      <c r="H232" s="19"/>
      <c r="I232" s="19"/>
      <c r="J232" s="19"/>
      <c r="K232" s="19"/>
      <c r="L232" s="19"/>
      <c r="M232" s="19"/>
      <c r="N232" s="19"/>
      <c r="O232" s="19"/>
      <c r="P232" s="19"/>
      <c r="Q232" s="19"/>
      <c r="R232" s="19"/>
      <c r="S232" s="19"/>
      <c r="T232" s="19"/>
      <c r="U232" s="19"/>
    </row>
    <row r="233" customFormat="false" ht="13.5" hidden="false" customHeight="false" outlineLevel="0" collapsed="false">
      <c r="A233" s="19"/>
      <c r="B233" s="19"/>
      <c r="C233" s="19"/>
      <c r="D233" s="19"/>
      <c r="E233" s="19"/>
      <c r="F233" s="19"/>
      <c r="G233" s="19"/>
      <c r="H233" s="19"/>
      <c r="I233" s="19"/>
      <c r="J233" s="19"/>
      <c r="K233" s="19"/>
      <c r="L233" s="19"/>
      <c r="M233" s="19"/>
      <c r="N233" s="19"/>
      <c r="O233" s="19"/>
      <c r="P233" s="19"/>
      <c r="Q233" s="19"/>
      <c r="R233" s="19"/>
      <c r="S233" s="19"/>
      <c r="T233" s="19"/>
      <c r="U233" s="19"/>
    </row>
    <row r="234" customFormat="false" ht="13.5" hidden="false" customHeight="false" outlineLevel="0" collapsed="false">
      <c r="A234" s="19"/>
      <c r="B234" s="19"/>
      <c r="C234" s="19"/>
      <c r="D234" s="19"/>
      <c r="E234" s="19"/>
      <c r="F234" s="19"/>
      <c r="G234" s="19"/>
      <c r="H234" s="19"/>
      <c r="I234" s="19"/>
      <c r="J234" s="19"/>
      <c r="K234" s="19"/>
      <c r="L234" s="19"/>
      <c r="M234" s="19"/>
      <c r="N234" s="19"/>
      <c r="O234" s="19"/>
      <c r="P234" s="19"/>
      <c r="Q234" s="19"/>
      <c r="R234" s="19"/>
      <c r="S234" s="19"/>
      <c r="T234" s="19"/>
      <c r="U234" s="19"/>
    </row>
    <row r="235" customFormat="false" ht="13.5" hidden="false" customHeight="false" outlineLevel="0" collapsed="false">
      <c r="A235" s="19"/>
      <c r="B235" s="19"/>
      <c r="C235" s="19"/>
      <c r="D235" s="19"/>
      <c r="E235" s="19"/>
      <c r="F235" s="19"/>
      <c r="G235" s="19"/>
      <c r="H235" s="19"/>
      <c r="I235" s="19"/>
      <c r="J235" s="19"/>
      <c r="K235" s="19"/>
      <c r="L235" s="19"/>
      <c r="M235" s="19"/>
      <c r="N235" s="19"/>
      <c r="O235" s="19"/>
      <c r="P235" s="19"/>
      <c r="Q235" s="19"/>
      <c r="R235" s="19"/>
      <c r="S235" s="19"/>
      <c r="T235" s="19"/>
      <c r="U235" s="19"/>
    </row>
    <row r="236" customFormat="false" ht="13.5" hidden="false" customHeight="false" outlineLevel="0" collapsed="false">
      <c r="A236" s="19"/>
      <c r="B236" s="19"/>
      <c r="C236" s="19"/>
      <c r="D236" s="19"/>
      <c r="E236" s="19"/>
      <c r="F236" s="19"/>
      <c r="G236" s="19"/>
      <c r="H236" s="19"/>
      <c r="I236" s="19"/>
      <c r="J236" s="19"/>
      <c r="K236" s="19"/>
      <c r="L236" s="19"/>
      <c r="M236" s="19"/>
      <c r="N236" s="19"/>
      <c r="O236" s="19"/>
      <c r="P236" s="19"/>
      <c r="Q236" s="19"/>
      <c r="R236" s="19"/>
      <c r="S236" s="19"/>
      <c r="T236" s="19"/>
      <c r="U236" s="19"/>
    </row>
    <row r="237" customFormat="false" ht="13.5" hidden="false" customHeight="false" outlineLevel="0" collapsed="false">
      <c r="A237" s="19"/>
      <c r="B237" s="19"/>
      <c r="C237" s="19"/>
      <c r="D237" s="19"/>
      <c r="E237" s="19"/>
      <c r="F237" s="19"/>
      <c r="G237" s="19"/>
      <c r="H237" s="19"/>
      <c r="I237" s="19"/>
      <c r="J237" s="19"/>
      <c r="K237" s="19"/>
      <c r="L237" s="19"/>
      <c r="M237" s="19"/>
      <c r="N237" s="19"/>
      <c r="O237" s="19"/>
      <c r="P237" s="19"/>
      <c r="Q237" s="19"/>
      <c r="R237" s="19"/>
      <c r="S237" s="19"/>
      <c r="T237" s="19"/>
      <c r="U237" s="19"/>
    </row>
    <row r="238" customFormat="false" ht="13.5" hidden="false" customHeight="false" outlineLevel="0" collapsed="false">
      <c r="A238" s="19"/>
      <c r="B238" s="19"/>
      <c r="C238" s="19"/>
      <c r="D238" s="19"/>
      <c r="E238" s="19"/>
      <c r="F238" s="19"/>
      <c r="G238" s="19"/>
      <c r="H238" s="19"/>
      <c r="I238" s="19"/>
      <c r="J238" s="19"/>
      <c r="K238" s="19"/>
      <c r="L238" s="19"/>
      <c r="M238" s="19"/>
      <c r="N238" s="19"/>
      <c r="O238" s="19"/>
      <c r="P238" s="19"/>
      <c r="Q238" s="19"/>
      <c r="R238" s="19"/>
      <c r="S238" s="19"/>
      <c r="T238" s="19"/>
      <c r="U238" s="19"/>
    </row>
    <row r="239" customFormat="false" ht="13.5" hidden="false" customHeight="false" outlineLevel="0" collapsed="false">
      <c r="A239" s="19"/>
      <c r="B239" s="19"/>
      <c r="C239" s="19"/>
      <c r="D239" s="19"/>
      <c r="E239" s="19"/>
      <c r="F239" s="19"/>
      <c r="G239" s="19"/>
      <c r="H239" s="19"/>
      <c r="I239" s="19"/>
      <c r="J239" s="19"/>
      <c r="K239" s="19"/>
      <c r="L239" s="19"/>
      <c r="M239" s="19"/>
      <c r="N239" s="19"/>
      <c r="O239" s="19"/>
      <c r="P239" s="19"/>
      <c r="Q239" s="19"/>
      <c r="R239" s="19"/>
      <c r="S239" s="19"/>
      <c r="T239" s="19"/>
      <c r="U239" s="19"/>
    </row>
    <row r="240" customFormat="false" ht="13.5" hidden="false" customHeight="false" outlineLevel="0" collapsed="false">
      <c r="A240" s="19"/>
      <c r="B240" s="19"/>
      <c r="C240" s="19"/>
      <c r="D240" s="19"/>
      <c r="E240" s="19"/>
      <c r="F240" s="19"/>
      <c r="G240" s="19"/>
      <c r="H240" s="19"/>
      <c r="I240" s="19"/>
      <c r="J240" s="19"/>
      <c r="K240" s="19"/>
      <c r="L240" s="19"/>
      <c r="M240" s="19"/>
      <c r="N240" s="19"/>
      <c r="O240" s="19"/>
      <c r="P240" s="19"/>
      <c r="Q240" s="19"/>
      <c r="R240" s="19"/>
      <c r="S240" s="19"/>
      <c r="T240" s="19"/>
      <c r="U240" s="19"/>
    </row>
    <row r="241" customFormat="false" ht="13.5" hidden="false" customHeight="false" outlineLevel="0" collapsed="false">
      <c r="A241" s="19"/>
      <c r="B241" s="19"/>
      <c r="C241" s="19"/>
      <c r="D241" s="19"/>
      <c r="E241" s="19"/>
      <c r="F241" s="19"/>
      <c r="G241" s="19"/>
      <c r="H241" s="19"/>
      <c r="I241" s="19"/>
      <c r="J241" s="19"/>
      <c r="K241" s="19"/>
      <c r="L241" s="19"/>
      <c r="M241" s="19"/>
      <c r="N241" s="19"/>
      <c r="O241" s="19"/>
      <c r="P241" s="19"/>
      <c r="Q241" s="19"/>
      <c r="R241" s="19"/>
      <c r="S241" s="19"/>
      <c r="T241" s="19"/>
      <c r="U241" s="19"/>
    </row>
    <row r="242" customFormat="false" ht="13.5" hidden="false" customHeight="false" outlineLevel="0" collapsed="false">
      <c r="A242" s="19"/>
      <c r="B242" s="19"/>
      <c r="C242" s="19"/>
      <c r="D242" s="19"/>
      <c r="E242" s="19"/>
      <c r="F242" s="19"/>
      <c r="G242" s="19"/>
      <c r="H242" s="19"/>
      <c r="I242" s="19"/>
      <c r="J242" s="19"/>
      <c r="K242" s="19"/>
      <c r="L242" s="19"/>
      <c r="M242" s="19"/>
      <c r="N242" s="19"/>
      <c r="O242" s="19"/>
      <c r="P242" s="19"/>
      <c r="Q242" s="19"/>
      <c r="R242" s="19"/>
      <c r="S242" s="19"/>
      <c r="T242" s="19"/>
      <c r="U242" s="19"/>
    </row>
    <row r="243" customFormat="false" ht="13.5" hidden="false" customHeight="false" outlineLevel="0" collapsed="false">
      <c r="A243" s="19"/>
      <c r="B243" s="19"/>
      <c r="C243" s="19"/>
      <c r="D243" s="19"/>
      <c r="E243" s="19"/>
      <c r="F243" s="19"/>
      <c r="G243" s="19"/>
      <c r="H243" s="19"/>
      <c r="I243" s="19"/>
      <c r="J243" s="19"/>
      <c r="K243" s="19"/>
      <c r="L243" s="19"/>
      <c r="M243" s="19"/>
      <c r="N243" s="19"/>
      <c r="O243" s="19"/>
      <c r="P243" s="19"/>
      <c r="Q243" s="19"/>
      <c r="R243" s="19"/>
      <c r="S243" s="19"/>
      <c r="T243" s="19"/>
      <c r="U243" s="19"/>
    </row>
    <row r="244" customFormat="false" ht="13.5" hidden="false" customHeight="false" outlineLevel="0" collapsed="false">
      <c r="A244" s="19"/>
      <c r="B244" s="19"/>
      <c r="C244" s="19"/>
      <c r="D244" s="19"/>
      <c r="E244" s="19"/>
      <c r="F244" s="19"/>
      <c r="G244" s="19"/>
      <c r="H244" s="19"/>
      <c r="I244" s="19"/>
      <c r="J244" s="19"/>
      <c r="K244" s="19"/>
      <c r="L244" s="19"/>
      <c r="M244" s="19"/>
      <c r="N244" s="19"/>
      <c r="O244" s="19"/>
      <c r="P244" s="19"/>
      <c r="Q244" s="19"/>
      <c r="R244" s="19"/>
      <c r="S244" s="19"/>
      <c r="T244" s="19"/>
      <c r="U244" s="19"/>
    </row>
    <row r="245" customFormat="false" ht="13.5" hidden="false" customHeight="false" outlineLevel="0" collapsed="false">
      <c r="A245" s="19"/>
      <c r="B245" s="19"/>
      <c r="C245" s="19"/>
      <c r="D245" s="19"/>
      <c r="E245" s="19"/>
      <c r="F245" s="19"/>
      <c r="G245" s="19"/>
      <c r="H245" s="19"/>
      <c r="I245" s="19"/>
      <c r="J245" s="19"/>
      <c r="K245" s="19"/>
      <c r="L245" s="19"/>
      <c r="M245" s="19"/>
      <c r="N245" s="19"/>
      <c r="O245" s="19"/>
      <c r="P245" s="19"/>
      <c r="Q245" s="19"/>
      <c r="R245" s="19"/>
      <c r="S245" s="19"/>
      <c r="T245" s="19"/>
      <c r="U245" s="19"/>
    </row>
    <row r="246" customFormat="false" ht="13.5" hidden="false" customHeight="false" outlineLevel="0" collapsed="false">
      <c r="A246" s="19"/>
      <c r="B246" s="19"/>
      <c r="C246" s="19"/>
      <c r="D246" s="19"/>
      <c r="E246" s="19"/>
      <c r="F246" s="19"/>
      <c r="G246" s="19"/>
      <c r="H246" s="19"/>
      <c r="I246" s="19"/>
      <c r="J246" s="19"/>
      <c r="K246" s="19"/>
      <c r="L246" s="19"/>
      <c r="M246" s="19"/>
      <c r="N246" s="19"/>
      <c r="O246" s="19"/>
      <c r="P246" s="19"/>
      <c r="Q246" s="19"/>
      <c r="R246" s="19"/>
      <c r="S246" s="19"/>
      <c r="T246" s="19"/>
      <c r="U246" s="19"/>
    </row>
    <row r="247" customFormat="false" ht="13.5" hidden="false" customHeight="false" outlineLevel="0" collapsed="false">
      <c r="A247" s="19"/>
      <c r="B247" s="19"/>
      <c r="C247" s="19"/>
      <c r="D247" s="19"/>
      <c r="E247" s="19"/>
      <c r="F247" s="19"/>
      <c r="G247" s="19"/>
      <c r="H247" s="19"/>
      <c r="I247" s="19"/>
      <c r="J247" s="19"/>
      <c r="K247" s="19"/>
      <c r="L247" s="19"/>
      <c r="M247" s="19"/>
      <c r="N247" s="19"/>
      <c r="O247" s="19"/>
      <c r="P247" s="19"/>
      <c r="Q247" s="19"/>
      <c r="R247" s="19"/>
      <c r="S247" s="19"/>
      <c r="T247" s="19"/>
      <c r="U247" s="19"/>
    </row>
    <row r="248" customFormat="false" ht="13.5" hidden="false" customHeight="false" outlineLevel="0" collapsed="false">
      <c r="A248" s="19"/>
      <c r="B248" s="19"/>
      <c r="C248" s="19"/>
      <c r="D248" s="19"/>
      <c r="E248" s="19"/>
      <c r="F248" s="19"/>
      <c r="G248" s="19"/>
      <c r="H248" s="19"/>
      <c r="I248" s="19"/>
      <c r="J248" s="19"/>
      <c r="K248" s="19"/>
      <c r="L248" s="19"/>
      <c r="M248" s="19"/>
      <c r="N248" s="19"/>
      <c r="O248" s="19"/>
      <c r="P248" s="19"/>
      <c r="Q248" s="19"/>
      <c r="R248" s="19"/>
      <c r="S248" s="19"/>
      <c r="T248" s="19"/>
      <c r="U248" s="19"/>
    </row>
    <row r="249" customFormat="false" ht="13.5" hidden="false" customHeight="false" outlineLevel="0" collapsed="false">
      <c r="A249" s="19"/>
      <c r="B249" s="19"/>
      <c r="C249" s="19"/>
      <c r="D249" s="19"/>
      <c r="E249" s="19"/>
      <c r="F249" s="19"/>
      <c r="G249" s="19"/>
      <c r="H249" s="19"/>
      <c r="I249" s="19"/>
      <c r="J249" s="19"/>
      <c r="K249" s="19"/>
      <c r="L249" s="19"/>
      <c r="M249" s="19"/>
      <c r="N249" s="19"/>
      <c r="O249" s="19"/>
      <c r="P249" s="19"/>
      <c r="Q249" s="19"/>
      <c r="R249" s="19"/>
      <c r="S249" s="19"/>
      <c r="T249" s="19"/>
      <c r="U249" s="19"/>
    </row>
    <row r="250" customFormat="false" ht="13.5" hidden="false" customHeight="false" outlineLevel="0" collapsed="false">
      <c r="A250" s="19"/>
      <c r="B250" s="19"/>
      <c r="C250" s="19"/>
      <c r="D250" s="19"/>
      <c r="E250" s="19"/>
      <c r="F250" s="19"/>
      <c r="G250" s="19"/>
      <c r="H250" s="19"/>
      <c r="I250" s="19"/>
      <c r="J250" s="19"/>
      <c r="K250" s="19"/>
      <c r="L250" s="19"/>
      <c r="M250" s="19"/>
      <c r="N250" s="19"/>
      <c r="O250" s="19"/>
      <c r="P250" s="19"/>
      <c r="Q250" s="19"/>
      <c r="R250" s="19"/>
      <c r="S250" s="19"/>
      <c r="T250" s="19"/>
      <c r="U250" s="19"/>
    </row>
    <row r="251" customFormat="false" ht="13.5" hidden="false" customHeight="false" outlineLevel="0" collapsed="false">
      <c r="A251" s="19"/>
      <c r="B251" s="19"/>
      <c r="C251" s="19"/>
      <c r="D251" s="19"/>
      <c r="E251" s="19"/>
      <c r="F251" s="19"/>
      <c r="G251" s="19"/>
      <c r="H251" s="19"/>
      <c r="I251" s="19"/>
      <c r="J251" s="19"/>
      <c r="K251" s="19"/>
      <c r="L251" s="19"/>
      <c r="M251" s="19"/>
      <c r="N251" s="19"/>
      <c r="O251" s="19"/>
      <c r="P251" s="19"/>
      <c r="Q251" s="19"/>
      <c r="R251" s="19"/>
      <c r="S251" s="19"/>
      <c r="T251" s="19"/>
      <c r="U251" s="19"/>
    </row>
    <row r="252" customFormat="false" ht="13.5" hidden="false" customHeight="false" outlineLevel="0" collapsed="false">
      <c r="A252" s="19"/>
      <c r="B252" s="19"/>
      <c r="C252" s="19"/>
      <c r="D252" s="19"/>
      <c r="E252" s="19"/>
      <c r="F252" s="19"/>
      <c r="G252" s="19"/>
      <c r="H252" s="19"/>
      <c r="I252" s="19"/>
      <c r="J252" s="19"/>
      <c r="K252" s="19"/>
      <c r="L252" s="19"/>
      <c r="M252" s="19"/>
      <c r="N252" s="19"/>
      <c r="O252" s="19"/>
      <c r="P252" s="19"/>
      <c r="Q252" s="19"/>
      <c r="R252" s="19"/>
      <c r="S252" s="19"/>
      <c r="T252" s="19"/>
      <c r="U252" s="19"/>
    </row>
    <row r="253" customFormat="false" ht="13.5" hidden="false" customHeight="false" outlineLevel="0" collapsed="false">
      <c r="A253" s="19"/>
      <c r="B253" s="19"/>
      <c r="C253" s="19"/>
      <c r="D253" s="19"/>
      <c r="E253" s="19"/>
      <c r="F253" s="19"/>
      <c r="G253" s="19"/>
      <c r="H253" s="19"/>
      <c r="I253" s="19"/>
      <c r="J253" s="19"/>
      <c r="K253" s="19"/>
      <c r="L253" s="19"/>
      <c r="M253" s="19"/>
      <c r="N253" s="19"/>
      <c r="O253" s="19"/>
      <c r="P253" s="19"/>
      <c r="Q253" s="19"/>
      <c r="R253" s="19"/>
      <c r="S253" s="19"/>
      <c r="T253" s="19"/>
      <c r="U253" s="19"/>
    </row>
    <row r="254" customFormat="false" ht="13.5" hidden="false" customHeight="false" outlineLevel="0" collapsed="false">
      <c r="A254" s="19"/>
      <c r="B254" s="19"/>
      <c r="C254" s="19"/>
      <c r="D254" s="19"/>
      <c r="E254" s="19"/>
      <c r="F254" s="19"/>
      <c r="G254" s="19"/>
      <c r="H254" s="19"/>
      <c r="I254" s="19"/>
      <c r="J254" s="19"/>
      <c r="K254" s="19"/>
      <c r="L254" s="19"/>
      <c r="M254" s="19"/>
      <c r="N254" s="19"/>
      <c r="O254" s="19"/>
      <c r="P254" s="19"/>
      <c r="Q254" s="19"/>
      <c r="R254" s="19"/>
      <c r="S254" s="19"/>
      <c r="T254" s="19"/>
      <c r="U254" s="19"/>
    </row>
    <row r="255" customFormat="false" ht="13.5" hidden="false" customHeight="false" outlineLevel="0" collapsed="false">
      <c r="A255" s="19"/>
      <c r="B255" s="19"/>
      <c r="C255" s="19"/>
      <c r="D255" s="19"/>
      <c r="E255" s="19"/>
      <c r="F255" s="19"/>
      <c r="G255" s="19"/>
      <c r="H255" s="19"/>
      <c r="I255" s="19"/>
      <c r="J255" s="19"/>
      <c r="K255" s="19"/>
      <c r="L255" s="19"/>
      <c r="M255" s="19"/>
      <c r="N255" s="19"/>
      <c r="O255" s="19"/>
      <c r="P255" s="19"/>
      <c r="Q255" s="19"/>
      <c r="R255" s="19"/>
      <c r="S255" s="19"/>
      <c r="T255" s="19"/>
      <c r="U255" s="19"/>
    </row>
    <row r="256" customFormat="false" ht="13.5" hidden="false" customHeight="false" outlineLevel="0" collapsed="false">
      <c r="A256" s="19"/>
      <c r="B256" s="19"/>
      <c r="C256" s="19"/>
      <c r="D256" s="19"/>
      <c r="E256" s="19"/>
      <c r="F256" s="19"/>
      <c r="G256" s="19"/>
      <c r="H256" s="19"/>
      <c r="I256" s="19"/>
      <c r="J256" s="19"/>
      <c r="K256" s="19"/>
      <c r="L256" s="19"/>
      <c r="M256" s="19"/>
      <c r="N256" s="19"/>
      <c r="O256" s="19"/>
      <c r="P256" s="19"/>
      <c r="Q256" s="19"/>
      <c r="R256" s="19"/>
      <c r="S256" s="19"/>
      <c r="T256" s="19"/>
      <c r="U256" s="19"/>
    </row>
    <row r="257" customFormat="false" ht="13.5" hidden="false" customHeight="false" outlineLevel="0" collapsed="false">
      <c r="A257" s="19"/>
      <c r="B257" s="19"/>
      <c r="C257" s="19"/>
      <c r="D257" s="19"/>
      <c r="E257" s="19"/>
      <c r="F257" s="19"/>
      <c r="G257" s="19"/>
      <c r="H257" s="19"/>
      <c r="I257" s="19"/>
      <c r="J257" s="19"/>
      <c r="K257" s="19"/>
      <c r="L257" s="19"/>
      <c r="M257" s="19"/>
      <c r="N257" s="19"/>
      <c r="O257" s="19"/>
      <c r="P257" s="19"/>
      <c r="Q257" s="19"/>
      <c r="R257" s="19"/>
      <c r="S257" s="19"/>
      <c r="T257" s="19"/>
      <c r="U257" s="19"/>
    </row>
    <row r="258" customFormat="false" ht="13.5" hidden="false" customHeight="false" outlineLevel="0" collapsed="false">
      <c r="A258" s="19"/>
      <c r="B258" s="19"/>
      <c r="C258" s="19"/>
      <c r="D258" s="19"/>
      <c r="E258" s="19"/>
      <c r="F258" s="19"/>
      <c r="G258" s="19"/>
      <c r="H258" s="19"/>
      <c r="I258" s="19"/>
      <c r="J258" s="19"/>
      <c r="K258" s="19"/>
      <c r="L258" s="19"/>
      <c r="M258" s="19"/>
      <c r="N258" s="19"/>
      <c r="O258" s="19"/>
      <c r="P258" s="19"/>
      <c r="Q258" s="19"/>
      <c r="R258" s="19"/>
      <c r="S258" s="19"/>
      <c r="T258" s="19"/>
      <c r="U258" s="19"/>
    </row>
    <row r="259" customFormat="false" ht="13.5" hidden="false" customHeight="false" outlineLevel="0" collapsed="false">
      <c r="A259" s="19"/>
      <c r="B259" s="19"/>
      <c r="C259" s="19"/>
      <c r="D259" s="19"/>
      <c r="E259" s="19"/>
      <c r="F259" s="19"/>
      <c r="G259" s="19"/>
      <c r="H259" s="19"/>
      <c r="I259" s="19"/>
      <c r="J259" s="19"/>
      <c r="K259" s="19"/>
      <c r="L259" s="19"/>
      <c r="M259" s="19"/>
      <c r="N259" s="19"/>
      <c r="O259" s="19"/>
      <c r="P259" s="19"/>
      <c r="Q259" s="19"/>
      <c r="R259" s="19"/>
      <c r="S259" s="19"/>
      <c r="T259" s="19"/>
      <c r="U259" s="19"/>
    </row>
    <row r="260" customFormat="false" ht="13.5" hidden="false" customHeight="false" outlineLevel="0" collapsed="false">
      <c r="A260" s="19"/>
      <c r="B260" s="19"/>
      <c r="C260" s="19"/>
      <c r="D260" s="19"/>
      <c r="E260" s="19"/>
      <c r="F260" s="19"/>
      <c r="G260" s="19"/>
      <c r="H260" s="19"/>
      <c r="I260" s="19"/>
      <c r="J260" s="19"/>
      <c r="K260" s="19"/>
      <c r="L260" s="19"/>
      <c r="M260" s="19"/>
      <c r="N260" s="19"/>
      <c r="O260" s="19"/>
      <c r="P260" s="19"/>
      <c r="Q260" s="19"/>
      <c r="R260" s="19"/>
      <c r="S260" s="19"/>
      <c r="T260" s="19"/>
      <c r="U260" s="19"/>
    </row>
    <row r="261" customFormat="false" ht="13.5" hidden="false" customHeight="false" outlineLevel="0" collapsed="false">
      <c r="A261" s="19"/>
      <c r="B261" s="19"/>
      <c r="C261" s="19"/>
      <c r="D261" s="19"/>
      <c r="E261" s="19"/>
      <c r="F261" s="19"/>
      <c r="G261" s="19"/>
      <c r="H261" s="19"/>
      <c r="I261" s="19"/>
      <c r="J261" s="19"/>
      <c r="K261" s="19"/>
      <c r="L261" s="19"/>
      <c r="M261" s="19"/>
      <c r="N261" s="19"/>
      <c r="O261" s="19"/>
      <c r="P261" s="19"/>
      <c r="Q261" s="19"/>
      <c r="R261" s="19"/>
      <c r="S261" s="19"/>
      <c r="T261" s="19"/>
      <c r="U261" s="19"/>
    </row>
    <row r="262" customFormat="false" ht="13.5" hidden="false" customHeight="false" outlineLevel="0" collapsed="false">
      <c r="A262" s="19"/>
      <c r="B262" s="19"/>
      <c r="C262" s="19"/>
      <c r="D262" s="19"/>
      <c r="E262" s="19"/>
      <c r="F262" s="19"/>
      <c r="G262" s="19"/>
      <c r="H262" s="19"/>
      <c r="I262" s="19"/>
      <c r="J262" s="19"/>
      <c r="K262" s="19"/>
      <c r="L262" s="19"/>
      <c r="M262" s="19"/>
      <c r="N262" s="19"/>
      <c r="O262" s="19"/>
      <c r="P262" s="19"/>
      <c r="Q262" s="19"/>
      <c r="R262" s="19"/>
      <c r="S262" s="19"/>
      <c r="T262" s="19"/>
      <c r="U262" s="19"/>
    </row>
    <row r="263" customFormat="false" ht="13.5" hidden="false" customHeight="false" outlineLevel="0" collapsed="false">
      <c r="A263" s="19"/>
      <c r="B263" s="19"/>
      <c r="C263" s="19"/>
      <c r="D263" s="19"/>
      <c r="E263" s="19"/>
      <c r="F263" s="19"/>
      <c r="G263" s="19"/>
      <c r="H263" s="19"/>
      <c r="I263" s="19"/>
      <c r="J263" s="19"/>
      <c r="K263" s="19"/>
      <c r="L263" s="19"/>
      <c r="M263" s="19"/>
      <c r="N263" s="19"/>
      <c r="O263" s="19"/>
      <c r="P263" s="19"/>
      <c r="Q263" s="19"/>
      <c r="R263" s="19"/>
      <c r="S263" s="19"/>
      <c r="T263" s="19"/>
      <c r="U263" s="19"/>
    </row>
    <row r="264" customFormat="false" ht="13.5" hidden="false" customHeight="false" outlineLevel="0" collapsed="false">
      <c r="A264" s="19"/>
      <c r="B264" s="19"/>
      <c r="C264" s="19"/>
      <c r="D264" s="19"/>
      <c r="E264" s="19"/>
      <c r="F264" s="19"/>
      <c r="G264" s="19"/>
      <c r="H264" s="19"/>
      <c r="I264" s="19"/>
      <c r="J264" s="19"/>
      <c r="K264" s="19"/>
      <c r="L264" s="19"/>
      <c r="M264" s="19"/>
      <c r="N264" s="19"/>
      <c r="O264" s="19"/>
      <c r="P264" s="19"/>
      <c r="Q264" s="19"/>
      <c r="R264" s="19"/>
      <c r="S264" s="19"/>
      <c r="T264" s="19"/>
      <c r="U264" s="19"/>
    </row>
    <row r="265" customFormat="false" ht="13.5" hidden="false" customHeight="false" outlineLevel="0" collapsed="false">
      <c r="A265" s="19"/>
      <c r="B265" s="19"/>
      <c r="C265" s="19"/>
      <c r="D265" s="19"/>
      <c r="E265" s="19"/>
      <c r="F265" s="19"/>
      <c r="G265" s="19"/>
      <c r="H265" s="19"/>
      <c r="I265" s="19"/>
      <c r="J265" s="19"/>
      <c r="K265" s="19"/>
      <c r="L265" s="19"/>
      <c r="M265" s="19"/>
      <c r="N265" s="19"/>
      <c r="O265" s="19"/>
      <c r="P265" s="19"/>
      <c r="Q265" s="19"/>
      <c r="R265" s="19"/>
      <c r="S265" s="19"/>
      <c r="T265" s="19"/>
      <c r="U265" s="19"/>
    </row>
    <row r="266" customFormat="false" ht="13.5" hidden="false" customHeight="false" outlineLevel="0" collapsed="false">
      <c r="A266" s="19"/>
      <c r="B266" s="19"/>
      <c r="C266" s="19"/>
      <c r="D266" s="19"/>
      <c r="E266" s="19"/>
      <c r="F266" s="19"/>
      <c r="G266" s="19"/>
      <c r="H266" s="19"/>
      <c r="I266" s="19"/>
      <c r="J266" s="19"/>
      <c r="K266" s="19"/>
      <c r="L266" s="19"/>
      <c r="M266" s="19"/>
      <c r="N266" s="19"/>
      <c r="O266" s="19"/>
      <c r="P266" s="19"/>
      <c r="Q266" s="19"/>
      <c r="R266" s="19"/>
      <c r="S266" s="19"/>
      <c r="T266" s="19"/>
      <c r="U266" s="19"/>
    </row>
    <row r="267" customFormat="false" ht="13.5" hidden="false" customHeight="false" outlineLevel="0" collapsed="false">
      <c r="A267" s="19"/>
      <c r="B267" s="19"/>
      <c r="C267" s="19"/>
      <c r="D267" s="19"/>
      <c r="E267" s="19"/>
      <c r="F267" s="19"/>
      <c r="G267" s="19"/>
      <c r="H267" s="19"/>
      <c r="I267" s="19"/>
      <c r="J267" s="19"/>
      <c r="K267" s="19"/>
      <c r="L267" s="19"/>
      <c r="M267" s="19"/>
      <c r="N267" s="19"/>
      <c r="O267" s="19"/>
      <c r="P267" s="19"/>
      <c r="Q267" s="19"/>
      <c r="R267" s="19"/>
      <c r="S267" s="19"/>
      <c r="T267" s="19"/>
      <c r="U267" s="19"/>
    </row>
    <row r="268" customFormat="false" ht="13.5" hidden="false" customHeight="false" outlineLevel="0" collapsed="false">
      <c r="A268" s="19"/>
      <c r="B268" s="19"/>
      <c r="C268" s="19"/>
      <c r="D268" s="19"/>
      <c r="E268" s="19"/>
      <c r="F268" s="19"/>
      <c r="G268" s="19"/>
      <c r="H268" s="19"/>
      <c r="I268" s="19"/>
      <c r="J268" s="19"/>
      <c r="K268" s="19"/>
      <c r="L268" s="19"/>
      <c r="M268" s="19"/>
      <c r="N268" s="19"/>
      <c r="O268" s="19"/>
      <c r="P268" s="19"/>
      <c r="Q268" s="19"/>
      <c r="R268" s="19"/>
      <c r="S268" s="19"/>
      <c r="T268" s="19"/>
      <c r="U268" s="19"/>
    </row>
    <row r="269" customFormat="false" ht="13.5" hidden="false" customHeight="false" outlineLevel="0" collapsed="false">
      <c r="A269" s="19"/>
      <c r="B269" s="19"/>
      <c r="C269" s="19"/>
      <c r="D269" s="19"/>
      <c r="E269" s="19"/>
      <c r="F269" s="19"/>
      <c r="G269" s="19"/>
      <c r="H269" s="19"/>
      <c r="I269" s="19"/>
      <c r="J269" s="19"/>
      <c r="K269" s="19"/>
      <c r="L269" s="19"/>
      <c r="M269" s="19"/>
      <c r="N269" s="19"/>
      <c r="O269" s="19"/>
      <c r="P269" s="19"/>
      <c r="Q269" s="19"/>
      <c r="R269" s="19"/>
      <c r="S269" s="19"/>
      <c r="T269" s="19"/>
      <c r="U269" s="19"/>
    </row>
    <row r="270" customFormat="false" ht="13.5" hidden="false" customHeight="false" outlineLevel="0" collapsed="false">
      <c r="A270" s="19"/>
      <c r="B270" s="19"/>
      <c r="C270" s="19"/>
      <c r="D270" s="19"/>
      <c r="E270" s="19"/>
      <c r="F270" s="19"/>
      <c r="G270" s="19"/>
      <c r="H270" s="19"/>
      <c r="I270" s="19"/>
      <c r="J270" s="19"/>
      <c r="K270" s="19"/>
      <c r="L270" s="19"/>
      <c r="M270" s="19"/>
      <c r="N270" s="19"/>
      <c r="O270" s="19"/>
      <c r="P270" s="19"/>
      <c r="Q270" s="19"/>
      <c r="R270" s="19"/>
      <c r="S270" s="19"/>
      <c r="T270" s="19"/>
      <c r="U270" s="19"/>
    </row>
    <row r="271" customFormat="false" ht="13.5" hidden="false" customHeight="false" outlineLevel="0" collapsed="false">
      <c r="A271" s="19"/>
      <c r="B271" s="19"/>
      <c r="C271" s="19"/>
      <c r="D271" s="19"/>
      <c r="E271" s="19"/>
      <c r="F271" s="19"/>
      <c r="G271" s="19"/>
      <c r="H271" s="19"/>
      <c r="I271" s="19"/>
      <c r="J271" s="19"/>
      <c r="K271" s="19"/>
      <c r="L271" s="19"/>
      <c r="M271" s="19"/>
      <c r="N271" s="19"/>
      <c r="O271" s="19"/>
      <c r="P271" s="19"/>
      <c r="Q271" s="19"/>
      <c r="R271" s="19"/>
      <c r="S271" s="19"/>
      <c r="T271" s="19"/>
      <c r="U271" s="19"/>
    </row>
    <row r="272" customFormat="false" ht="13.5" hidden="false" customHeight="false" outlineLevel="0" collapsed="false">
      <c r="A272" s="19"/>
      <c r="B272" s="19"/>
      <c r="C272" s="19"/>
      <c r="D272" s="19"/>
      <c r="E272" s="19"/>
      <c r="F272" s="19"/>
      <c r="G272" s="19"/>
      <c r="H272" s="19"/>
      <c r="I272" s="19"/>
      <c r="J272" s="19"/>
      <c r="K272" s="19"/>
      <c r="L272" s="19"/>
      <c r="M272" s="19"/>
      <c r="N272" s="19"/>
      <c r="O272" s="19"/>
      <c r="P272" s="19"/>
      <c r="Q272" s="19"/>
      <c r="R272" s="19"/>
      <c r="S272" s="19"/>
      <c r="T272" s="19"/>
      <c r="U272" s="19"/>
    </row>
    <row r="273" customFormat="false" ht="13.5" hidden="false" customHeight="false" outlineLevel="0" collapsed="false">
      <c r="A273" s="19"/>
      <c r="B273" s="19"/>
      <c r="C273" s="19"/>
      <c r="D273" s="19"/>
      <c r="E273" s="19"/>
      <c r="F273" s="19"/>
      <c r="G273" s="19"/>
      <c r="H273" s="19"/>
      <c r="I273" s="19"/>
      <c r="J273" s="19"/>
      <c r="K273" s="19"/>
      <c r="L273" s="19"/>
      <c r="M273" s="19"/>
      <c r="N273" s="19"/>
      <c r="O273" s="19"/>
      <c r="P273" s="19"/>
      <c r="Q273" s="19"/>
      <c r="R273" s="19"/>
      <c r="S273" s="19"/>
      <c r="T273" s="19"/>
      <c r="U273" s="19"/>
    </row>
    <row r="274" customFormat="false" ht="13.5" hidden="false" customHeight="false" outlineLevel="0" collapsed="false">
      <c r="A274" s="19"/>
      <c r="B274" s="19"/>
      <c r="C274" s="19"/>
      <c r="D274" s="19"/>
      <c r="E274" s="19"/>
      <c r="F274" s="19"/>
      <c r="G274" s="19"/>
      <c r="H274" s="19"/>
      <c r="I274" s="19"/>
      <c r="J274" s="19"/>
      <c r="K274" s="19"/>
      <c r="L274" s="19"/>
      <c r="M274" s="19"/>
      <c r="N274" s="19"/>
      <c r="O274" s="19"/>
      <c r="P274" s="19"/>
      <c r="Q274" s="19"/>
      <c r="R274" s="19"/>
      <c r="S274" s="19"/>
      <c r="T274" s="19"/>
      <c r="U274" s="19"/>
    </row>
    <row r="275" customFormat="false" ht="13.5" hidden="false" customHeight="false" outlineLevel="0" collapsed="false">
      <c r="A275" s="19"/>
      <c r="B275" s="19"/>
      <c r="C275" s="19"/>
      <c r="D275" s="19"/>
      <c r="E275" s="19"/>
      <c r="F275" s="19"/>
      <c r="G275" s="19"/>
      <c r="H275" s="19"/>
      <c r="I275" s="19"/>
      <c r="J275" s="19"/>
      <c r="K275" s="19"/>
      <c r="L275" s="19"/>
      <c r="M275" s="19"/>
      <c r="N275" s="19"/>
      <c r="O275" s="19"/>
      <c r="P275" s="19"/>
      <c r="Q275" s="19"/>
      <c r="R275" s="19"/>
      <c r="S275" s="19"/>
      <c r="T275" s="19"/>
      <c r="U275" s="19"/>
    </row>
    <row r="276" customFormat="false" ht="13.5" hidden="false" customHeight="false" outlineLevel="0" collapsed="false">
      <c r="A276" s="19"/>
      <c r="B276" s="19"/>
      <c r="C276" s="19"/>
      <c r="D276" s="19"/>
      <c r="E276" s="19"/>
      <c r="F276" s="19"/>
      <c r="G276" s="19"/>
      <c r="H276" s="19"/>
      <c r="I276" s="19"/>
      <c r="J276" s="19"/>
      <c r="K276" s="19"/>
      <c r="L276" s="19"/>
      <c r="M276" s="19"/>
      <c r="N276" s="19"/>
      <c r="O276" s="19"/>
      <c r="P276" s="19"/>
      <c r="Q276" s="19"/>
      <c r="R276" s="19"/>
      <c r="S276" s="19"/>
      <c r="T276" s="19"/>
      <c r="U276" s="19"/>
    </row>
    <row r="277" customFormat="false" ht="13.5" hidden="false" customHeight="false" outlineLevel="0" collapsed="false">
      <c r="A277" s="19"/>
      <c r="B277" s="19"/>
      <c r="C277" s="19"/>
      <c r="D277" s="19"/>
      <c r="E277" s="19"/>
      <c r="F277" s="19"/>
      <c r="G277" s="19"/>
      <c r="H277" s="19"/>
      <c r="I277" s="19"/>
      <c r="J277" s="19"/>
      <c r="K277" s="19"/>
      <c r="L277" s="19"/>
      <c r="M277" s="19"/>
      <c r="N277" s="19"/>
      <c r="O277" s="19"/>
      <c r="P277" s="19"/>
      <c r="Q277" s="19"/>
      <c r="R277" s="19"/>
      <c r="S277" s="19"/>
      <c r="T277" s="19"/>
      <c r="U277" s="19"/>
    </row>
    <row r="278" customFormat="false" ht="13.5" hidden="false" customHeight="false" outlineLevel="0" collapsed="false">
      <c r="A278" s="19"/>
      <c r="B278" s="19"/>
      <c r="C278" s="19"/>
      <c r="D278" s="19"/>
      <c r="E278" s="19"/>
      <c r="F278" s="19"/>
      <c r="G278" s="19"/>
      <c r="H278" s="19"/>
      <c r="I278" s="19"/>
      <c r="J278" s="19"/>
      <c r="K278" s="19"/>
      <c r="L278" s="19"/>
      <c r="M278" s="19"/>
      <c r="N278" s="19"/>
      <c r="O278" s="19"/>
      <c r="P278" s="19"/>
      <c r="Q278" s="19"/>
      <c r="R278" s="19"/>
      <c r="S278" s="19"/>
      <c r="T278" s="19"/>
      <c r="U278" s="19"/>
    </row>
    <row r="279" customFormat="false" ht="13.5" hidden="false" customHeight="false" outlineLevel="0" collapsed="false">
      <c r="A279" s="19"/>
      <c r="B279" s="19"/>
      <c r="C279" s="19"/>
      <c r="D279" s="19"/>
      <c r="E279" s="19"/>
      <c r="F279" s="19"/>
      <c r="G279" s="19"/>
      <c r="H279" s="19"/>
      <c r="I279" s="19"/>
      <c r="J279" s="19"/>
      <c r="K279" s="19"/>
      <c r="L279" s="19"/>
      <c r="M279" s="19"/>
      <c r="N279" s="19"/>
      <c r="O279" s="19"/>
      <c r="P279" s="19"/>
      <c r="Q279" s="19"/>
      <c r="R279" s="19"/>
      <c r="S279" s="19"/>
      <c r="T279" s="19"/>
      <c r="U279" s="19"/>
    </row>
    <row r="280" customFormat="false" ht="13.5" hidden="false" customHeight="false" outlineLevel="0" collapsed="false">
      <c r="A280" s="19"/>
      <c r="B280" s="19"/>
      <c r="C280" s="19"/>
      <c r="D280" s="19"/>
      <c r="E280" s="19"/>
      <c r="F280" s="19"/>
      <c r="G280" s="19"/>
      <c r="H280" s="19"/>
      <c r="I280" s="19"/>
      <c r="J280" s="19"/>
      <c r="K280" s="19"/>
      <c r="L280" s="19"/>
      <c r="M280" s="19"/>
      <c r="N280" s="19"/>
      <c r="O280" s="19"/>
      <c r="P280" s="19"/>
      <c r="Q280" s="19"/>
      <c r="R280" s="19"/>
      <c r="S280" s="19"/>
      <c r="T280" s="19"/>
      <c r="U280" s="19"/>
    </row>
    <row r="281" customFormat="false" ht="13.5" hidden="false" customHeight="false" outlineLevel="0" collapsed="false">
      <c r="A281" s="19"/>
      <c r="B281" s="19"/>
      <c r="C281" s="19"/>
      <c r="D281" s="19"/>
      <c r="E281" s="19"/>
      <c r="F281" s="19"/>
      <c r="G281" s="19"/>
      <c r="H281" s="19"/>
      <c r="I281" s="19"/>
      <c r="J281" s="19"/>
      <c r="K281" s="19"/>
      <c r="L281" s="19"/>
      <c r="M281" s="19"/>
      <c r="N281" s="19"/>
      <c r="O281" s="19"/>
      <c r="P281" s="19"/>
      <c r="Q281" s="19"/>
      <c r="R281" s="19"/>
      <c r="S281" s="19"/>
      <c r="T281" s="19"/>
      <c r="U281" s="19"/>
    </row>
    <row r="282" customFormat="false" ht="13.5" hidden="false" customHeight="false" outlineLevel="0" collapsed="false">
      <c r="A282" s="19"/>
      <c r="B282" s="19"/>
      <c r="C282" s="19"/>
      <c r="D282" s="19"/>
      <c r="E282" s="19"/>
      <c r="F282" s="19"/>
      <c r="G282" s="19"/>
      <c r="H282" s="19"/>
      <c r="I282" s="19"/>
      <c r="J282" s="19"/>
      <c r="K282" s="19"/>
      <c r="L282" s="19"/>
      <c r="M282" s="19"/>
      <c r="N282" s="19"/>
      <c r="O282" s="19"/>
      <c r="P282" s="19"/>
      <c r="Q282" s="19"/>
      <c r="R282" s="19"/>
      <c r="S282" s="19"/>
      <c r="T282" s="19"/>
      <c r="U282" s="19"/>
    </row>
    <row r="283" customFormat="false" ht="13.5" hidden="false" customHeight="false" outlineLevel="0" collapsed="false">
      <c r="A283" s="19"/>
      <c r="B283" s="19"/>
      <c r="C283" s="19"/>
      <c r="D283" s="19"/>
      <c r="E283" s="19"/>
      <c r="F283" s="19"/>
      <c r="G283" s="19"/>
      <c r="H283" s="19"/>
      <c r="I283" s="19"/>
      <c r="J283" s="19"/>
      <c r="K283" s="19"/>
      <c r="L283" s="19"/>
      <c r="M283" s="19"/>
      <c r="N283" s="19"/>
      <c r="O283" s="19"/>
      <c r="P283" s="19"/>
      <c r="Q283" s="19"/>
      <c r="R283" s="19"/>
      <c r="S283" s="19"/>
      <c r="T283" s="19"/>
      <c r="U283" s="19"/>
    </row>
    <row r="284" customFormat="false" ht="13.5" hidden="false" customHeight="false" outlineLevel="0" collapsed="false">
      <c r="A284" s="19"/>
      <c r="B284" s="19"/>
      <c r="C284" s="19"/>
      <c r="D284" s="19"/>
      <c r="E284" s="19"/>
      <c r="F284" s="19"/>
      <c r="G284" s="19"/>
      <c r="H284" s="19"/>
      <c r="I284" s="19"/>
      <c r="J284" s="19"/>
      <c r="K284" s="19"/>
      <c r="L284" s="19"/>
      <c r="M284" s="19"/>
      <c r="N284" s="19"/>
      <c r="O284" s="19"/>
      <c r="P284" s="19"/>
      <c r="Q284" s="19"/>
      <c r="R284" s="19"/>
      <c r="S284" s="19"/>
      <c r="T284" s="19"/>
      <c r="U284" s="19"/>
    </row>
    <row r="285" customFormat="false" ht="13.5" hidden="false" customHeight="false" outlineLevel="0" collapsed="false">
      <c r="A285" s="19"/>
      <c r="B285" s="19"/>
      <c r="C285" s="19"/>
      <c r="D285" s="19"/>
      <c r="E285" s="19"/>
      <c r="F285" s="19"/>
      <c r="G285" s="19"/>
      <c r="H285" s="19"/>
      <c r="I285" s="19"/>
      <c r="J285" s="19"/>
      <c r="K285" s="19"/>
      <c r="L285" s="19"/>
      <c r="M285" s="19"/>
      <c r="N285" s="19"/>
      <c r="O285" s="19"/>
      <c r="P285" s="19"/>
      <c r="Q285" s="19"/>
      <c r="R285" s="19"/>
      <c r="S285" s="19"/>
      <c r="T285" s="19"/>
      <c r="U285" s="19"/>
    </row>
    <row r="286" customFormat="false" ht="13.5" hidden="false" customHeight="false" outlineLevel="0" collapsed="false">
      <c r="A286" s="19"/>
      <c r="B286" s="19"/>
      <c r="C286" s="19"/>
      <c r="D286" s="19"/>
      <c r="E286" s="19"/>
      <c r="F286" s="19"/>
      <c r="G286" s="19"/>
      <c r="H286" s="19"/>
      <c r="I286" s="19"/>
      <c r="J286" s="19"/>
      <c r="K286" s="19"/>
      <c r="L286" s="19"/>
      <c r="M286" s="19"/>
      <c r="N286" s="19"/>
      <c r="O286" s="19"/>
      <c r="P286" s="19"/>
      <c r="Q286" s="19"/>
      <c r="R286" s="19"/>
      <c r="S286" s="19"/>
      <c r="T286" s="19"/>
      <c r="U286" s="19"/>
    </row>
    <row r="287" customFormat="false" ht="13.5" hidden="false" customHeight="false" outlineLevel="0" collapsed="false">
      <c r="A287" s="19"/>
      <c r="B287" s="19"/>
      <c r="C287" s="19"/>
      <c r="D287" s="19"/>
      <c r="E287" s="19"/>
      <c r="F287" s="19"/>
      <c r="G287" s="19"/>
      <c r="H287" s="19"/>
      <c r="I287" s="19"/>
      <c r="J287" s="19"/>
      <c r="K287" s="19"/>
      <c r="L287" s="19"/>
      <c r="M287" s="19"/>
      <c r="N287" s="19"/>
      <c r="O287" s="19"/>
      <c r="P287" s="19"/>
      <c r="Q287" s="19"/>
      <c r="R287" s="19"/>
      <c r="S287" s="19"/>
      <c r="T287" s="19"/>
      <c r="U287" s="19"/>
    </row>
    <row r="288" customFormat="false" ht="13.5" hidden="false" customHeight="false" outlineLevel="0" collapsed="false">
      <c r="A288" s="19"/>
      <c r="B288" s="19"/>
      <c r="C288" s="19"/>
      <c r="D288" s="19"/>
      <c r="E288" s="19"/>
      <c r="F288" s="19"/>
      <c r="G288" s="19"/>
      <c r="H288" s="19"/>
      <c r="I288" s="19"/>
      <c r="J288" s="19"/>
      <c r="K288" s="19"/>
      <c r="L288" s="19"/>
      <c r="M288" s="19"/>
      <c r="N288" s="19"/>
      <c r="O288" s="19"/>
      <c r="P288" s="19"/>
      <c r="Q288" s="19"/>
      <c r="R288" s="19"/>
      <c r="S288" s="19"/>
      <c r="T288" s="19"/>
      <c r="U288" s="19"/>
    </row>
    <row r="289" customFormat="false" ht="13.5" hidden="false" customHeight="false" outlineLevel="0" collapsed="false">
      <c r="A289" s="19"/>
      <c r="B289" s="19"/>
      <c r="C289" s="19"/>
      <c r="D289" s="19"/>
      <c r="E289" s="19"/>
      <c r="F289" s="19"/>
      <c r="G289" s="19"/>
      <c r="H289" s="19"/>
      <c r="I289" s="19"/>
      <c r="J289" s="19"/>
      <c r="K289" s="19"/>
      <c r="L289" s="19"/>
      <c r="M289" s="19"/>
      <c r="N289" s="19"/>
      <c r="O289" s="19"/>
      <c r="P289" s="19"/>
      <c r="Q289" s="19"/>
      <c r="R289" s="19"/>
      <c r="S289" s="19"/>
      <c r="T289" s="19"/>
      <c r="U289" s="19"/>
    </row>
    <row r="290" customFormat="false" ht="13.5" hidden="false" customHeight="false" outlineLevel="0" collapsed="false">
      <c r="A290" s="19"/>
      <c r="B290" s="19"/>
      <c r="C290" s="19"/>
      <c r="D290" s="19"/>
      <c r="E290" s="19"/>
      <c r="F290" s="19"/>
      <c r="G290" s="19"/>
      <c r="H290" s="19"/>
      <c r="I290" s="19"/>
      <c r="J290" s="19"/>
      <c r="K290" s="19"/>
      <c r="L290" s="19"/>
      <c r="M290" s="19"/>
      <c r="N290" s="19"/>
      <c r="O290" s="19"/>
      <c r="P290" s="19"/>
      <c r="Q290" s="19"/>
      <c r="R290" s="19"/>
      <c r="S290" s="19"/>
      <c r="T290" s="19"/>
      <c r="U290" s="19"/>
    </row>
    <row r="291" customFormat="false" ht="13.5" hidden="false" customHeight="false" outlineLevel="0" collapsed="false">
      <c r="A291" s="19"/>
      <c r="B291" s="19"/>
      <c r="C291" s="19"/>
      <c r="D291" s="19"/>
      <c r="E291" s="19"/>
      <c r="F291" s="19"/>
      <c r="G291" s="19"/>
      <c r="H291" s="19"/>
      <c r="I291" s="19"/>
      <c r="J291" s="19"/>
      <c r="K291" s="19"/>
      <c r="L291" s="19"/>
      <c r="M291" s="19"/>
      <c r="N291" s="19"/>
      <c r="O291" s="19"/>
      <c r="P291" s="19"/>
      <c r="Q291" s="19"/>
      <c r="R291" s="19"/>
      <c r="S291" s="19"/>
      <c r="T291" s="19"/>
      <c r="U291" s="19"/>
    </row>
    <row r="292" customFormat="false" ht="13.5" hidden="false" customHeight="false" outlineLevel="0" collapsed="false">
      <c r="A292" s="19"/>
      <c r="B292" s="19"/>
      <c r="C292" s="19"/>
      <c r="D292" s="19"/>
      <c r="E292" s="19"/>
      <c r="F292" s="19"/>
      <c r="G292" s="19"/>
      <c r="H292" s="19"/>
      <c r="I292" s="19"/>
      <c r="J292" s="19"/>
      <c r="K292" s="19"/>
      <c r="L292" s="19"/>
      <c r="M292" s="19"/>
      <c r="N292" s="19"/>
      <c r="O292" s="19"/>
      <c r="P292" s="19"/>
      <c r="Q292" s="19"/>
      <c r="R292" s="19"/>
      <c r="S292" s="19"/>
      <c r="T292" s="19"/>
      <c r="U292" s="19"/>
    </row>
    <row r="293" customFormat="false" ht="13.5" hidden="false" customHeight="false" outlineLevel="0" collapsed="false">
      <c r="A293" s="19"/>
      <c r="B293" s="19"/>
      <c r="C293" s="19"/>
      <c r="D293" s="19"/>
      <c r="E293" s="19"/>
      <c r="F293" s="19"/>
      <c r="G293" s="19"/>
      <c r="H293" s="19"/>
      <c r="I293" s="19"/>
      <c r="J293" s="19"/>
      <c r="K293" s="19"/>
      <c r="L293" s="19"/>
      <c r="M293" s="19"/>
      <c r="N293" s="19"/>
      <c r="O293" s="19"/>
      <c r="P293" s="19"/>
      <c r="Q293" s="19"/>
      <c r="R293" s="19"/>
      <c r="S293" s="19"/>
      <c r="T293" s="19"/>
      <c r="U293" s="19"/>
    </row>
    <row r="294" customFormat="false" ht="13.5" hidden="false" customHeight="false" outlineLevel="0" collapsed="false">
      <c r="A294" s="19"/>
      <c r="B294" s="19"/>
      <c r="C294" s="19"/>
      <c r="D294" s="19"/>
      <c r="E294" s="19"/>
      <c r="F294" s="19"/>
      <c r="G294" s="19"/>
      <c r="H294" s="19"/>
      <c r="I294" s="19"/>
      <c r="J294" s="19"/>
      <c r="K294" s="19"/>
      <c r="L294" s="19"/>
      <c r="M294" s="19"/>
      <c r="N294" s="19"/>
      <c r="O294" s="19"/>
      <c r="P294" s="19"/>
      <c r="Q294" s="19"/>
      <c r="R294" s="19"/>
      <c r="S294" s="19"/>
      <c r="T294" s="19"/>
      <c r="U294" s="19"/>
    </row>
    <row r="295" customFormat="false" ht="13.5" hidden="false" customHeight="false" outlineLevel="0" collapsed="false">
      <c r="A295" s="19"/>
      <c r="B295" s="19"/>
      <c r="C295" s="19"/>
      <c r="D295" s="19"/>
      <c r="E295" s="19"/>
      <c r="F295" s="19"/>
      <c r="G295" s="19"/>
      <c r="H295" s="19"/>
      <c r="I295" s="19"/>
      <c r="J295" s="19"/>
      <c r="K295" s="19"/>
      <c r="L295" s="19"/>
      <c r="M295" s="19"/>
      <c r="N295" s="19"/>
      <c r="O295" s="19"/>
      <c r="P295" s="19"/>
      <c r="Q295" s="19"/>
      <c r="R295" s="19"/>
      <c r="S295" s="19"/>
      <c r="T295" s="19"/>
      <c r="U295" s="19"/>
    </row>
    <row r="296" customFormat="false" ht="13.5" hidden="false" customHeight="false" outlineLevel="0" collapsed="false">
      <c r="A296" s="19"/>
      <c r="B296" s="19"/>
      <c r="C296" s="19"/>
      <c r="D296" s="19"/>
      <c r="E296" s="19"/>
      <c r="F296" s="19"/>
      <c r="G296" s="19"/>
      <c r="H296" s="19"/>
      <c r="I296" s="19"/>
      <c r="J296" s="19"/>
      <c r="K296" s="19"/>
      <c r="L296" s="19"/>
      <c r="M296" s="19"/>
      <c r="N296" s="19"/>
      <c r="O296" s="19"/>
      <c r="P296" s="19"/>
      <c r="Q296" s="19"/>
      <c r="R296" s="19"/>
      <c r="S296" s="19"/>
      <c r="T296" s="19"/>
      <c r="U296" s="19"/>
    </row>
    <row r="297" customFormat="false" ht="13.5" hidden="false" customHeight="false" outlineLevel="0" collapsed="false">
      <c r="A297" s="19"/>
      <c r="B297" s="19"/>
      <c r="C297" s="19"/>
      <c r="D297" s="19"/>
      <c r="E297" s="19"/>
      <c r="F297" s="19"/>
      <c r="G297" s="19"/>
      <c r="H297" s="19"/>
      <c r="I297" s="19"/>
      <c r="J297" s="19"/>
      <c r="K297" s="19"/>
      <c r="L297" s="19"/>
      <c r="M297" s="19"/>
      <c r="N297" s="19"/>
      <c r="O297" s="19"/>
      <c r="P297" s="19"/>
      <c r="Q297" s="19"/>
      <c r="R297" s="19"/>
      <c r="S297" s="19"/>
      <c r="T297" s="19"/>
      <c r="U297" s="19"/>
    </row>
    <row r="298" customFormat="false" ht="13.5" hidden="false" customHeight="false" outlineLevel="0" collapsed="false">
      <c r="A298" s="19"/>
      <c r="B298" s="19"/>
      <c r="C298" s="19"/>
      <c r="D298" s="19"/>
      <c r="E298" s="19"/>
      <c r="F298" s="19"/>
      <c r="G298" s="19"/>
      <c r="H298" s="19"/>
      <c r="I298" s="19"/>
      <c r="J298" s="19"/>
      <c r="K298" s="19"/>
      <c r="L298" s="19"/>
      <c r="M298" s="19"/>
      <c r="N298" s="19"/>
      <c r="O298" s="19"/>
      <c r="P298" s="19"/>
      <c r="Q298" s="19"/>
      <c r="R298" s="19"/>
      <c r="S298" s="19"/>
      <c r="T298" s="19"/>
      <c r="U298" s="19"/>
    </row>
    <row r="299" customFormat="false" ht="13.5" hidden="false" customHeight="false" outlineLevel="0" collapsed="false">
      <c r="A299" s="19"/>
      <c r="B299" s="19"/>
      <c r="C299" s="19"/>
      <c r="D299" s="19"/>
      <c r="E299" s="19"/>
      <c r="F299" s="19"/>
      <c r="G299" s="19"/>
      <c r="H299" s="19"/>
      <c r="I299" s="19"/>
      <c r="J299" s="19"/>
      <c r="K299" s="19"/>
      <c r="L299" s="19"/>
      <c r="M299" s="19"/>
      <c r="N299" s="19"/>
      <c r="O299" s="19"/>
      <c r="P299" s="19"/>
      <c r="Q299" s="19"/>
      <c r="R299" s="19"/>
      <c r="S299" s="19"/>
      <c r="T299" s="19"/>
      <c r="U299" s="19"/>
    </row>
    <row r="300" customFormat="false" ht="13.5" hidden="false" customHeight="false" outlineLevel="0" collapsed="false">
      <c r="A300" s="19"/>
      <c r="B300" s="19"/>
      <c r="C300" s="19"/>
      <c r="D300" s="19"/>
      <c r="E300" s="19"/>
      <c r="F300" s="19"/>
      <c r="G300" s="19"/>
      <c r="H300" s="19"/>
      <c r="I300" s="19"/>
      <c r="J300" s="19"/>
      <c r="K300" s="19"/>
      <c r="L300" s="19"/>
      <c r="M300" s="19"/>
      <c r="N300" s="19"/>
      <c r="O300" s="19"/>
      <c r="P300" s="19"/>
      <c r="Q300" s="19"/>
      <c r="R300" s="19"/>
      <c r="S300" s="19"/>
      <c r="T300" s="19"/>
      <c r="U30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U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3.5" zeroHeight="false" outlineLevelRow="0" outlineLevelCol="0"/>
  <cols>
    <col collapsed="false" customWidth="true" hidden="false" outlineLevel="0" max="1" min="1" style="0" width="24"/>
    <col collapsed="false" customWidth="true" hidden="false" outlineLevel="0" max="3" min="2" style="0" width="88"/>
    <col collapsed="false" customWidth="true" hidden="false" outlineLevel="0" max="4" min="4" style="0" width="68"/>
  </cols>
  <sheetData>
    <row r="1" customFormat="false" ht="13.5" hidden="false" customHeight="false" outlineLevel="0" collapsed="false">
      <c r="A1" s="20"/>
      <c r="B1" s="20"/>
      <c r="C1" s="20"/>
      <c r="D1" s="20"/>
      <c r="E1" s="20"/>
      <c r="F1" s="20"/>
      <c r="G1" s="20"/>
      <c r="H1" s="20"/>
      <c r="I1" s="20"/>
      <c r="J1" s="20"/>
      <c r="K1" s="20"/>
      <c r="L1" s="20"/>
      <c r="M1" s="20"/>
      <c r="N1" s="20"/>
      <c r="O1" s="20"/>
      <c r="P1" s="20"/>
      <c r="Q1" s="20"/>
      <c r="R1" s="20"/>
      <c r="S1" s="20"/>
      <c r="T1" s="20"/>
      <c r="U1" s="20"/>
    </row>
    <row r="2" customFormat="false" ht="17.25" hidden="false" customHeight="true" outlineLevel="0" collapsed="false">
      <c r="A2" s="21" t="s">
        <v>1358</v>
      </c>
      <c r="B2" s="20"/>
      <c r="C2" s="20"/>
      <c r="D2" s="20"/>
      <c r="E2" s="20"/>
      <c r="F2" s="20"/>
      <c r="G2" s="20"/>
      <c r="H2" s="20"/>
      <c r="I2" s="20"/>
      <c r="J2" s="20"/>
      <c r="K2" s="20"/>
      <c r="L2" s="20"/>
      <c r="M2" s="20"/>
      <c r="N2" s="20"/>
      <c r="O2" s="20"/>
      <c r="P2" s="20"/>
      <c r="Q2" s="20"/>
      <c r="R2" s="20"/>
      <c r="S2" s="20"/>
      <c r="T2" s="20"/>
      <c r="U2" s="20"/>
    </row>
    <row r="3" customFormat="false" ht="13.5" hidden="false" customHeight="false" outlineLevel="0" collapsed="false">
      <c r="A3" s="20"/>
      <c r="B3" s="20"/>
      <c r="C3" s="20"/>
      <c r="D3" s="20"/>
      <c r="E3" s="20"/>
      <c r="F3" s="20"/>
      <c r="G3" s="20"/>
      <c r="H3" s="20"/>
      <c r="I3" s="20"/>
      <c r="J3" s="20"/>
      <c r="K3" s="20"/>
      <c r="L3" s="20"/>
      <c r="M3" s="20"/>
      <c r="N3" s="20"/>
      <c r="O3" s="20"/>
      <c r="P3" s="20"/>
      <c r="Q3" s="20"/>
      <c r="R3" s="20"/>
      <c r="S3" s="20"/>
      <c r="T3" s="20"/>
      <c r="U3" s="20"/>
    </row>
    <row r="4" customFormat="false" ht="30" hidden="false" customHeight="true" outlineLevel="0" collapsed="false">
      <c r="A4" s="22" t="s">
        <v>1359</v>
      </c>
      <c r="B4" s="22" t="s">
        <v>2</v>
      </c>
      <c r="C4" s="22" t="s">
        <v>1360</v>
      </c>
      <c r="D4" s="22" t="s">
        <v>1361</v>
      </c>
      <c r="E4" s="20"/>
      <c r="F4" s="20"/>
      <c r="G4" s="20"/>
      <c r="H4" s="20"/>
      <c r="I4" s="20"/>
      <c r="J4" s="20"/>
      <c r="K4" s="20"/>
      <c r="L4" s="20"/>
      <c r="M4" s="20"/>
      <c r="N4" s="20"/>
      <c r="O4" s="20"/>
      <c r="P4" s="20"/>
      <c r="Q4" s="20"/>
      <c r="R4" s="20"/>
      <c r="S4" s="20"/>
      <c r="T4" s="20"/>
      <c r="U4" s="20"/>
    </row>
    <row r="5" customFormat="false" ht="99.75" hidden="false" customHeight="true" outlineLevel="0" collapsed="false">
      <c r="A5" s="23" t="s">
        <v>1362</v>
      </c>
      <c r="B5" s="23" t="s">
        <v>1363</v>
      </c>
      <c r="C5" s="23" t="s">
        <v>1364</v>
      </c>
      <c r="D5" s="23" t="s">
        <v>1365</v>
      </c>
      <c r="E5" s="20"/>
      <c r="F5" s="20"/>
      <c r="G5" s="20"/>
      <c r="H5" s="20"/>
      <c r="I5" s="20"/>
      <c r="J5" s="20"/>
      <c r="K5" s="20"/>
      <c r="L5" s="20"/>
      <c r="M5" s="20"/>
      <c r="N5" s="20"/>
      <c r="O5" s="20"/>
      <c r="P5" s="20"/>
      <c r="Q5" s="20"/>
      <c r="R5" s="20"/>
      <c r="S5" s="20"/>
      <c r="T5" s="20"/>
      <c r="U5" s="20"/>
    </row>
    <row r="6" customFormat="false" ht="99.75" hidden="false" customHeight="true" outlineLevel="0" collapsed="false">
      <c r="A6" s="24" t="s">
        <v>1366</v>
      </c>
      <c r="B6" s="24" t="s">
        <v>1367</v>
      </c>
      <c r="C6" s="24" t="s">
        <v>1368</v>
      </c>
      <c r="D6" s="24" t="s">
        <v>1369</v>
      </c>
      <c r="E6" s="20"/>
      <c r="F6" s="20"/>
      <c r="G6" s="20"/>
      <c r="H6" s="20"/>
      <c r="I6" s="20"/>
      <c r="J6" s="20"/>
      <c r="K6" s="20"/>
      <c r="L6" s="20"/>
      <c r="M6" s="20"/>
      <c r="N6" s="20"/>
      <c r="O6" s="20"/>
      <c r="P6" s="20"/>
      <c r="Q6" s="20"/>
      <c r="R6" s="20"/>
      <c r="S6" s="20"/>
      <c r="T6" s="20"/>
      <c r="U6" s="20"/>
    </row>
    <row r="7" customFormat="false" ht="99.75" hidden="false" customHeight="true" outlineLevel="0" collapsed="false">
      <c r="A7" s="23" t="s">
        <v>1370</v>
      </c>
      <c r="B7" s="23" t="s">
        <v>1371</v>
      </c>
      <c r="C7" s="23" t="s">
        <v>1372</v>
      </c>
      <c r="D7" s="23" t="s">
        <v>1373</v>
      </c>
      <c r="E7" s="20"/>
      <c r="F7" s="20"/>
      <c r="G7" s="20"/>
      <c r="H7" s="20"/>
      <c r="I7" s="20"/>
      <c r="J7" s="20"/>
      <c r="K7" s="20"/>
      <c r="L7" s="20"/>
      <c r="M7" s="20"/>
      <c r="N7" s="20"/>
      <c r="O7" s="20"/>
      <c r="P7" s="20"/>
      <c r="Q7" s="20"/>
      <c r="R7" s="20"/>
      <c r="S7" s="20"/>
      <c r="T7" s="20"/>
      <c r="U7" s="20"/>
    </row>
    <row r="8" customFormat="false" ht="99.75" hidden="false" customHeight="true" outlineLevel="0" collapsed="false">
      <c r="A8" s="24" t="s">
        <v>1374</v>
      </c>
      <c r="B8" s="24" t="s">
        <v>1375</v>
      </c>
      <c r="C8" s="24" t="s">
        <v>1376</v>
      </c>
      <c r="D8" s="24" t="s">
        <v>1377</v>
      </c>
      <c r="E8" s="20"/>
      <c r="F8" s="20"/>
      <c r="G8" s="20"/>
      <c r="H8" s="20"/>
      <c r="I8" s="20"/>
      <c r="J8" s="20"/>
      <c r="K8" s="20"/>
      <c r="L8" s="20"/>
      <c r="M8" s="20"/>
      <c r="N8" s="20"/>
      <c r="O8" s="20"/>
      <c r="P8" s="20"/>
      <c r="Q8" s="20"/>
      <c r="R8" s="20"/>
      <c r="S8" s="20"/>
      <c r="T8" s="20"/>
      <c r="U8" s="20"/>
    </row>
    <row r="9" customFormat="false" ht="99.75" hidden="false" customHeight="true" outlineLevel="0" collapsed="false">
      <c r="A9" s="23" t="s">
        <v>1378</v>
      </c>
      <c r="B9" s="23" t="s">
        <v>1379</v>
      </c>
      <c r="C9" s="23" t="s">
        <v>1380</v>
      </c>
      <c r="D9" s="23" t="s">
        <v>1381</v>
      </c>
      <c r="E9" s="20"/>
      <c r="F9" s="20"/>
      <c r="G9" s="20"/>
      <c r="H9" s="20"/>
      <c r="I9" s="20"/>
      <c r="J9" s="20"/>
      <c r="K9" s="20"/>
      <c r="L9" s="20"/>
      <c r="M9" s="20"/>
      <c r="N9" s="20"/>
      <c r="O9" s="20"/>
      <c r="P9" s="20"/>
      <c r="Q9" s="20"/>
      <c r="R9" s="20"/>
      <c r="S9" s="20"/>
      <c r="T9" s="20"/>
      <c r="U9" s="20"/>
    </row>
    <row r="10" customFormat="false" ht="99.75" hidden="false" customHeight="true" outlineLevel="0" collapsed="false">
      <c r="A10" s="24" t="s">
        <v>1382</v>
      </c>
      <c r="B10" s="24" t="s">
        <v>1383</v>
      </c>
      <c r="C10" s="24" t="s">
        <v>1384</v>
      </c>
      <c r="D10" s="24" t="s">
        <v>1385</v>
      </c>
      <c r="E10" s="20"/>
      <c r="F10" s="20"/>
      <c r="G10" s="20"/>
      <c r="H10" s="20"/>
      <c r="I10" s="20"/>
      <c r="J10" s="20"/>
      <c r="K10" s="20"/>
      <c r="L10" s="20"/>
      <c r="M10" s="20"/>
      <c r="N10" s="20"/>
      <c r="O10" s="20"/>
      <c r="P10" s="20"/>
      <c r="Q10" s="20"/>
      <c r="R10" s="20"/>
      <c r="S10" s="20"/>
      <c r="T10" s="20"/>
      <c r="U10" s="20"/>
    </row>
    <row r="11" customFormat="false" ht="99.75" hidden="false" customHeight="true" outlineLevel="0" collapsed="false">
      <c r="A11" s="23" t="s">
        <v>1386</v>
      </c>
      <c r="B11" s="23" t="s">
        <v>1387</v>
      </c>
      <c r="C11" s="23" t="s">
        <v>1388</v>
      </c>
      <c r="D11" s="23" t="s">
        <v>1389</v>
      </c>
      <c r="E11" s="20"/>
      <c r="F11" s="20"/>
      <c r="G11" s="20"/>
      <c r="H11" s="20"/>
      <c r="I11" s="20"/>
      <c r="J11" s="20"/>
      <c r="K11" s="20"/>
      <c r="L11" s="20"/>
      <c r="M11" s="20"/>
      <c r="N11" s="20"/>
      <c r="O11" s="20"/>
      <c r="P11" s="20"/>
      <c r="Q11" s="20"/>
      <c r="R11" s="20"/>
      <c r="S11" s="20"/>
      <c r="T11" s="20"/>
      <c r="U11" s="20"/>
    </row>
    <row r="12" customFormat="false" ht="99.75" hidden="false" customHeight="true" outlineLevel="0" collapsed="false">
      <c r="A12" s="24" t="s">
        <v>1390</v>
      </c>
      <c r="B12" s="24" t="s">
        <v>1391</v>
      </c>
      <c r="C12" s="24" t="s">
        <v>1392</v>
      </c>
      <c r="D12" s="24" t="s">
        <v>1393</v>
      </c>
      <c r="E12" s="20"/>
      <c r="F12" s="20"/>
      <c r="G12" s="20"/>
      <c r="H12" s="20"/>
      <c r="I12" s="20"/>
      <c r="J12" s="20"/>
      <c r="K12" s="20"/>
      <c r="L12" s="20"/>
      <c r="M12" s="20"/>
      <c r="N12" s="20"/>
      <c r="O12" s="20"/>
      <c r="P12" s="20"/>
      <c r="Q12" s="20"/>
      <c r="R12" s="20"/>
      <c r="S12" s="20"/>
      <c r="T12" s="20"/>
      <c r="U12" s="20"/>
    </row>
    <row r="13" customFormat="false" ht="99.75" hidden="false" customHeight="true" outlineLevel="0" collapsed="false">
      <c r="A13" s="23" t="s">
        <v>1394</v>
      </c>
      <c r="B13" s="23" t="s">
        <v>1395</v>
      </c>
      <c r="C13" s="23" t="s">
        <v>1396</v>
      </c>
      <c r="D13" s="23" t="s">
        <v>1397</v>
      </c>
      <c r="E13" s="20"/>
      <c r="F13" s="20"/>
      <c r="G13" s="20"/>
      <c r="H13" s="20"/>
      <c r="I13" s="20"/>
      <c r="J13" s="20"/>
      <c r="K13" s="20"/>
      <c r="L13" s="20"/>
      <c r="M13" s="20"/>
      <c r="N13" s="20"/>
      <c r="O13" s="20"/>
      <c r="P13" s="20"/>
      <c r="Q13" s="20"/>
      <c r="R13" s="20"/>
      <c r="S13" s="20"/>
      <c r="T13" s="20"/>
      <c r="U13" s="20"/>
    </row>
    <row r="14" customFormat="false" ht="99.75" hidden="false" customHeight="true" outlineLevel="0" collapsed="false">
      <c r="A14" s="24" t="s">
        <v>1398</v>
      </c>
      <c r="B14" s="24" t="s">
        <v>1399</v>
      </c>
      <c r="C14" s="24" t="s">
        <v>1400</v>
      </c>
      <c r="D14" s="24" t="s">
        <v>1401</v>
      </c>
      <c r="E14" s="20"/>
      <c r="F14" s="20"/>
      <c r="G14" s="20"/>
      <c r="H14" s="20"/>
      <c r="I14" s="20"/>
      <c r="J14" s="20"/>
      <c r="K14" s="20"/>
      <c r="L14" s="20"/>
      <c r="M14" s="20"/>
      <c r="N14" s="20"/>
      <c r="O14" s="20"/>
      <c r="P14" s="20"/>
      <c r="Q14" s="20"/>
      <c r="R14" s="20"/>
      <c r="S14" s="20"/>
      <c r="T14" s="20"/>
      <c r="U14" s="20"/>
    </row>
    <row r="15" customFormat="false" ht="99.75" hidden="false" customHeight="true" outlineLevel="0" collapsed="false">
      <c r="A15" s="23" t="s">
        <v>1402</v>
      </c>
      <c r="B15" s="23" t="s">
        <v>1403</v>
      </c>
      <c r="C15" s="23" t="s">
        <v>1404</v>
      </c>
      <c r="D15" s="23" t="s">
        <v>1405</v>
      </c>
      <c r="E15" s="20"/>
      <c r="F15" s="20"/>
      <c r="G15" s="20"/>
      <c r="H15" s="20"/>
      <c r="I15" s="20"/>
      <c r="J15" s="20"/>
      <c r="K15" s="20"/>
      <c r="L15" s="20"/>
      <c r="M15" s="20"/>
      <c r="N15" s="20"/>
      <c r="O15" s="20"/>
      <c r="P15" s="20"/>
      <c r="Q15" s="20"/>
      <c r="R15" s="20"/>
      <c r="S15" s="20"/>
      <c r="T15" s="20"/>
      <c r="U15" s="20"/>
    </row>
    <row r="16" customFormat="false" ht="99.75" hidden="false" customHeight="true" outlineLevel="0" collapsed="false">
      <c r="A16" s="24" t="s">
        <v>1406</v>
      </c>
      <c r="B16" s="24" t="s">
        <v>1407</v>
      </c>
      <c r="C16" s="24" t="s">
        <v>1408</v>
      </c>
      <c r="D16" s="24" t="s">
        <v>1409</v>
      </c>
      <c r="E16" s="20"/>
      <c r="F16" s="20"/>
      <c r="G16" s="20"/>
      <c r="H16" s="20"/>
      <c r="I16" s="20"/>
      <c r="J16" s="20"/>
      <c r="K16" s="20"/>
      <c r="L16" s="20"/>
      <c r="M16" s="20"/>
      <c r="N16" s="20"/>
      <c r="O16" s="20"/>
      <c r="P16" s="20"/>
      <c r="Q16" s="20"/>
      <c r="R16" s="20"/>
      <c r="S16" s="20"/>
      <c r="T16" s="20"/>
      <c r="U16" s="20"/>
    </row>
    <row r="17" customFormat="false" ht="99.75" hidden="false" customHeight="true" outlineLevel="0" collapsed="false">
      <c r="A17" s="23" t="s">
        <v>1410</v>
      </c>
      <c r="B17" s="23" t="s">
        <v>1411</v>
      </c>
      <c r="C17" s="23" t="s">
        <v>1412</v>
      </c>
      <c r="D17" s="23" t="s">
        <v>1413</v>
      </c>
      <c r="E17" s="20"/>
      <c r="F17" s="20"/>
      <c r="G17" s="20"/>
      <c r="H17" s="20"/>
      <c r="I17" s="20"/>
      <c r="J17" s="20"/>
      <c r="K17" s="20"/>
      <c r="L17" s="20"/>
      <c r="M17" s="20"/>
      <c r="N17" s="20"/>
      <c r="O17" s="20"/>
      <c r="P17" s="20"/>
      <c r="Q17" s="20"/>
      <c r="R17" s="20"/>
      <c r="S17" s="20"/>
      <c r="T17" s="20"/>
      <c r="U17" s="20"/>
    </row>
    <row r="18" customFormat="false" ht="99.75" hidden="false" customHeight="true" outlineLevel="0" collapsed="false">
      <c r="A18" s="24" t="s">
        <v>1414</v>
      </c>
      <c r="B18" s="24" t="s">
        <v>1415</v>
      </c>
      <c r="C18" s="24" t="s">
        <v>1416</v>
      </c>
      <c r="D18" s="24" t="s">
        <v>1417</v>
      </c>
      <c r="E18" s="20"/>
      <c r="F18" s="20"/>
      <c r="G18" s="20"/>
      <c r="H18" s="20"/>
      <c r="I18" s="20"/>
      <c r="J18" s="20"/>
      <c r="K18" s="20"/>
      <c r="L18" s="20"/>
      <c r="M18" s="20"/>
      <c r="N18" s="20"/>
      <c r="O18" s="20"/>
      <c r="P18" s="20"/>
      <c r="Q18" s="20"/>
      <c r="R18" s="20"/>
      <c r="S18" s="20"/>
      <c r="T18" s="20"/>
      <c r="U18" s="20"/>
    </row>
    <row r="19" customFormat="false" ht="99.75" hidden="false" customHeight="true" outlineLevel="0" collapsed="false">
      <c r="A19" s="23" t="s">
        <v>1418</v>
      </c>
      <c r="B19" s="23" t="s">
        <v>1419</v>
      </c>
      <c r="C19" s="23" t="s">
        <v>1420</v>
      </c>
      <c r="D19" s="23" t="s">
        <v>1421</v>
      </c>
      <c r="E19" s="20"/>
      <c r="F19" s="20"/>
      <c r="G19" s="20"/>
      <c r="H19" s="20"/>
      <c r="I19" s="20"/>
      <c r="J19" s="20"/>
      <c r="K19" s="20"/>
      <c r="L19" s="20"/>
      <c r="M19" s="20"/>
      <c r="N19" s="20"/>
      <c r="O19" s="20"/>
      <c r="P19" s="20"/>
      <c r="Q19" s="20"/>
      <c r="R19" s="20"/>
      <c r="S19" s="20"/>
      <c r="T19" s="20"/>
      <c r="U19" s="20"/>
    </row>
    <row r="20" customFormat="false" ht="99.75" hidden="false" customHeight="true" outlineLevel="0" collapsed="false">
      <c r="A20" s="24" t="s">
        <v>1422</v>
      </c>
      <c r="B20" s="24" t="s">
        <v>1423</v>
      </c>
      <c r="C20" s="24" t="s">
        <v>1424</v>
      </c>
      <c r="D20" s="24" t="s">
        <v>1425</v>
      </c>
      <c r="E20" s="20"/>
      <c r="F20" s="20"/>
      <c r="G20" s="20"/>
      <c r="H20" s="20"/>
      <c r="I20" s="20"/>
      <c r="J20" s="20"/>
      <c r="K20" s="20"/>
      <c r="L20" s="20"/>
      <c r="M20" s="20"/>
      <c r="N20" s="20"/>
      <c r="O20" s="20"/>
      <c r="P20" s="20"/>
      <c r="Q20" s="20"/>
      <c r="R20" s="20"/>
      <c r="S20" s="20"/>
      <c r="T20" s="20"/>
      <c r="U20" s="20"/>
    </row>
    <row r="21" customFormat="false" ht="99.75" hidden="false" customHeight="true" outlineLevel="0" collapsed="false">
      <c r="A21" s="23" t="s">
        <v>1426</v>
      </c>
      <c r="B21" s="23" t="s">
        <v>1427</v>
      </c>
      <c r="C21" s="23" t="s">
        <v>1428</v>
      </c>
      <c r="D21" s="23" t="s">
        <v>1429</v>
      </c>
      <c r="E21" s="20"/>
      <c r="F21" s="20"/>
      <c r="G21" s="20"/>
      <c r="H21" s="20"/>
      <c r="I21" s="20"/>
      <c r="J21" s="20"/>
      <c r="K21" s="20"/>
      <c r="L21" s="20"/>
      <c r="M21" s="20"/>
      <c r="N21" s="20"/>
      <c r="O21" s="20"/>
      <c r="P21" s="20"/>
      <c r="Q21" s="20"/>
      <c r="R21" s="20"/>
      <c r="S21" s="20"/>
      <c r="T21" s="20"/>
      <c r="U21" s="20"/>
    </row>
    <row r="22" customFormat="false" ht="99.75" hidden="false" customHeight="true" outlineLevel="0" collapsed="false">
      <c r="A22" s="24" t="s">
        <v>1430</v>
      </c>
      <c r="B22" s="24" t="s">
        <v>1431</v>
      </c>
      <c r="C22" s="24" t="s">
        <v>1432</v>
      </c>
      <c r="D22" s="24" t="s">
        <v>1433</v>
      </c>
      <c r="E22" s="20"/>
      <c r="F22" s="20"/>
      <c r="G22" s="20"/>
      <c r="H22" s="20"/>
      <c r="I22" s="20"/>
      <c r="J22" s="20"/>
      <c r="K22" s="20"/>
      <c r="L22" s="20"/>
      <c r="M22" s="20"/>
      <c r="N22" s="20"/>
      <c r="O22" s="20"/>
      <c r="P22" s="20"/>
      <c r="Q22" s="20"/>
      <c r="R22" s="20"/>
      <c r="S22" s="20"/>
      <c r="T22" s="20"/>
      <c r="U22" s="20"/>
    </row>
    <row r="23" customFormat="false" ht="99.75" hidden="false" customHeight="true" outlineLevel="0" collapsed="false">
      <c r="A23" s="23" t="s">
        <v>1434</v>
      </c>
      <c r="B23" s="23" t="s">
        <v>1435</v>
      </c>
      <c r="C23" s="23" t="s">
        <v>1436</v>
      </c>
      <c r="D23" s="23" t="s">
        <v>1437</v>
      </c>
      <c r="E23" s="20"/>
      <c r="F23" s="20"/>
      <c r="G23" s="20"/>
      <c r="H23" s="20"/>
      <c r="I23" s="20"/>
      <c r="J23" s="20"/>
      <c r="K23" s="20"/>
      <c r="L23" s="20"/>
      <c r="M23" s="20"/>
      <c r="N23" s="20"/>
      <c r="O23" s="20"/>
      <c r="P23" s="20"/>
      <c r="Q23" s="20"/>
      <c r="R23" s="20"/>
      <c r="S23" s="20"/>
      <c r="T23" s="20"/>
      <c r="U23" s="20"/>
    </row>
    <row r="24" customFormat="false" ht="99.75" hidden="false" customHeight="true" outlineLevel="0" collapsed="false">
      <c r="A24" s="24" t="s">
        <v>1438</v>
      </c>
      <c r="B24" s="24" t="s">
        <v>1439</v>
      </c>
      <c r="C24" s="24" t="s">
        <v>1440</v>
      </c>
      <c r="D24" s="24" t="s">
        <v>1441</v>
      </c>
      <c r="E24" s="20"/>
      <c r="F24" s="20"/>
      <c r="G24" s="20"/>
      <c r="H24" s="20"/>
      <c r="I24" s="20"/>
      <c r="J24" s="20"/>
      <c r="K24" s="20"/>
      <c r="L24" s="20"/>
      <c r="M24" s="20"/>
      <c r="N24" s="20"/>
      <c r="O24" s="20"/>
      <c r="P24" s="20"/>
      <c r="Q24" s="20"/>
      <c r="R24" s="20"/>
      <c r="S24" s="20"/>
      <c r="T24" s="20"/>
      <c r="U24" s="20"/>
    </row>
    <row r="25" customFormat="false" ht="99.75" hidden="false" customHeight="true" outlineLevel="0" collapsed="false">
      <c r="A25" s="23" t="s">
        <v>1442</v>
      </c>
      <c r="B25" s="23" t="s">
        <v>1443</v>
      </c>
      <c r="C25" s="23" t="s">
        <v>1444</v>
      </c>
      <c r="D25" s="23" t="s">
        <v>1445</v>
      </c>
      <c r="E25" s="20"/>
      <c r="F25" s="20"/>
      <c r="G25" s="20"/>
      <c r="H25" s="20"/>
      <c r="I25" s="20"/>
      <c r="J25" s="20"/>
      <c r="K25" s="20"/>
      <c r="L25" s="20"/>
      <c r="M25" s="20"/>
      <c r="N25" s="20"/>
      <c r="O25" s="20"/>
      <c r="P25" s="20"/>
      <c r="Q25" s="20"/>
      <c r="R25" s="20"/>
      <c r="S25" s="20"/>
      <c r="T25" s="20"/>
      <c r="U25" s="20"/>
    </row>
    <row r="26" customFormat="false" ht="90" hidden="false" customHeight="true" outlineLevel="0" collapsed="false">
      <c r="A26" s="24"/>
      <c r="B26" s="24"/>
      <c r="C26" s="24"/>
      <c r="D26" s="24"/>
      <c r="E26" s="20"/>
      <c r="F26" s="20"/>
      <c r="G26" s="20"/>
      <c r="H26" s="20"/>
      <c r="I26" s="20"/>
      <c r="J26" s="20"/>
      <c r="K26" s="20"/>
      <c r="L26" s="20"/>
      <c r="M26" s="20"/>
      <c r="N26" s="20"/>
      <c r="O26" s="20"/>
      <c r="P26" s="20"/>
      <c r="Q26" s="20"/>
      <c r="R26" s="20"/>
      <c r="S26" s="20"/>
      <c r="T26" s="20"/>
      <c r="U26" s="20"/>
    </row>
    <row r="27" customFormat="false" ht="13.5" hidden="false" customHeight="false" outlineLevel="0" collapsed="false">
      <c r="A27" s="23"/>
      <c r="B27" s="23"/>
      <c r="C27" s="23"/>
      <c r="D27" s="23"/>
      <c r="E27" s="20"/>
      <c r="F27" s="20"/>
      <c r="G27" s="20"/>
      <c r="H27" s="20"/>
      <c r="I27" s="20"/>
      <c r="J27" s="20"/>
      <c r="K27" s="20"/>
      <c r="L27" s="20"/>
      <c r="M27" s="20"/>
      <c r="N27" s="20"/>
      <c r="O27" s="20"/>
      <c r="P27" s="20"/>
      <c r="Q27" s="20"/>
      <c r="R27" s="20"/>
      <c r="S27" s="20"/>
      <c r="T27" s="20"/>
      <c r="U27" s="20"/>
    </row>
    <row r="28" customFormat="false" ht="30" hidden="false" customHeight="true" outlineLevel="0" collapsed="false">
      <c r="A28" s="25" t="s">
        <v>1446</v>
      </c>
      <c r="B28" s="25" t="s">
        <v>1447</v>
      </c>
      <c r="C28" s="25" t="s">
        <v>1448</v>
      </c>
      <c r="D28" s="25" t="s">
        <v>1449</v>
      </c>
      <c r="E28" s="20"/>
      <c r="F28" s="20"/>
      <c r="G28" s="20"/>
      <c r="H28" s="20"/>
      <c r="I28" s="20"/>
      <c r="J28" s="20"/>
      <c r="K28" s="20"/>
      <c r="L28" s="20"/>
      <c r="M28" s="20"/>
      <c r="N28" s="20"/>
      <c r="O28" s="20"/>
      <c r="P28" s="20"/>
      <c r="Q28" s="20"/>
      <c r="R28" s="20"/>
      <c r="S28" s="20"/>
      <c r="T28" s="20"/>
      <c r="U28" s="20"/>
    </row>
    <row r="29" customFormat="false" ht="90" hidden="false" customHeight="true" outlineLevel="0" collapsed="false">
      <c r="A29" s="23" t="s">
        <v>1450</v>
      </c>
      <c r="B29" s="23" t="s">
        <v>1451</v>
      </c>
      <c r="C29" s="23" t="s">
        <v>1452</v>
      </c>
      <c r="D29" s="23" t="s">
        <v>1453</v>
      </c>
      <c r="E29" s="20"/>
      <c r="F29" s="20"/>
      <c r="G29" s="20"/>
      <c r="H29" s="20"/>
      <c r="I29" s="20"/>
      <c r="J29" s="20"/>
      <c r="K29" s="20"/>
      <c r="L29" s="20"/>
      <c r="M29" s="20"/>
      <c r="N29" s="20"/>
      <c r="O29" s="20"/>
      <c r="P29" s="20"/>
      <c r="Q29" s="20"/>
      <c r="R29" s="20"/>
      <c r="S29" s="20"/>
      <c r="T29" s="20"/>
      <c r="U29" s="20"/>
    </row>
    <row r="30" customFormat="false" ht="90" hidden="false" customHeight="true" outlineLevel="0" collapsed="false">
      <c r="A30" s="24" t="s">
        <v>1454</v>
      </c>
      <c r="B30" s="24" t="s">
        <v>1455</v>
      </c>
      <c r="C30" s="24" t="s">
        <v>1456</v>
      </c>
      <c r="D30" s="24" t="s">
        <v>1457</v>
      </c>
      <c r="E30" s="20"/>
      <c r="F30" s="20"/>
      <c r="G30" s="20"/>
      <c r="H30" s="20"/>
      <c r="I30" s="20"/>
      <c r="J30" s="20"/>
      <c r="K30" s="20"/>
      <c r="L30" s="20"/>
      <c r="M30" s="20"/>
      <c r="N30" s="20"/>
      <c r="O30" s="20"/>
      <c r="P30" s="20"/>
      <c r="Q30" s="20"/>
      <c r="R30" s="20"/>
      <c r="S30" s="20"/>
      <c r="T30" s="20"/>
      <c r="U30" s="20"/>
    </row>
    <row r="31" customFormat="false" ht="90" hidden="false" customHeight="true" outlineLevel="0" collapsed="false">
      <c r="A31" s="23" t="s">
        <v>1458</v>
      </c>
      <c r="B31" s="23" t="s">
        <v>1459</v>
      </c>
      <c r="C31" s="23" t="s">
        <v>1460</v>
      </c>
      <c r="D31" s="23" t="s">
        <v>1461</v>
      </c>
      <c r="E31" s="20"/>
      <c r="F31" s="20"/>
      <c r="G31" s="20"/>
      <c r="H31" s="20"/>
      <c r="I31" s="20"/>
      <c r="J31" s="20"/>
      <c r="K31" s="20"/>
      <c r="L31" s="20"/>
      <c r="M31" s="20"/>
      <c r="N31" s="20"/>
      <c r="O31" s="20"/>
      <c r="P31" s="20"/>
      <c r="Q31" s="20"/>
      <c r="R31" s="20"/>
      <c r="S31" s="20"/>
      <c r="T31" s="20"/>
      <c r="U31" s="20"/>
    </row>
    <row r="32" customFormat="false" ht="90" hidden="false" customHeight="true" outlineLevel="0" collapsed="false">
      <c r="A32" s="24" t="s">
        <v>1462</v>
      </c>
      <c r="B32" s="24" t="s">
        <v>1463</v>
      </c>
      <c r="C32" s="24" t="s">
        <v>1464</v>
      </c>
      <c r="D32" s="24" t="s">
        <v>1465</v>
      </c>
      <c r="E32" s="20"/>
      <c r="F32" s="20"/>
      <c r="G32" s="20"/>
      <c r="H32" s="20"/>
      <c r="I32" s="20"/>
      <c r="J32" s="20"/>
      <c r="K32" s="20"/>
      <c r="L32" s="20"/>
      <c r="M32" s="20"/>
      <c r="N32" s="20"/>
      <c r="O32" s="20"/>
      <c r="P32" s="20"/>
      <c r="Q32" s="20"/>
      <c r="R32" s="20"/>
      <c r="S32" s="20"/>
      <c r="T32" s="20"/>
      <c r="U32" s="20"/>
    </row>
    <row r="33" customFormat="false" ht="90" hidden="false" customHeight="true" outlineLevel="0" collapsed="false">
      <c r="A33" s="23" t="s">
        <v>1466</v>
      </c>
      <c r="B33" s="23" t="s">
        <v>1467</v>
      </c>
      <c r="C33" s="23" t="s">
        <v>1468</v>
      </c>
      <c r="D33" s="23" t="s">
        <v>1469</v>
      </c>
      <c r="E33" s="20"/>
      <c r="F33" s="20"/>
      <c r="G33" s="20"/>
      <c r="H33" s="20"/>
      <c r="I33" s="20"/>
      <c r="J33" s="20"/>
      <c r="K33" s="20"/>
      <c r="L33" s="20"/>
      <c r="M33" s="20"/>
      <c r="N33" s="20"/>
      <c r="O33" s="20"/>
      <c r="P33" s="20"/>
      <c r="Q33" s="20"/>
      <c r="R33" s="20"/>
      <c r="S33" s="20"/>
      <c r="T33" s="20"/>
      <c r="U33" s="20"/>
    </row>
    <row r="34" customFormat="false" ht="90" hidden="false" customHeight="true" outlineLevel="0" collapsed="false">
      <c r="A34" s="24" t="s">
        <v>1470</v>
      </c>
      <c r="B34" s="24" t="s">
        <v>1471</v>
      </c>
      <c r="C34" s="24" t="s">
        <v>1472</v>
      </c>
      <c r="D34" s="24" t="s">
        <v>1473</v>
      </c>
      <c r="E34" s="20"/>
      <c r="F34" s="20"/>
      <c r="G34" s="20"/>
      <c r="H34" s="20"/>
      <c r="I34" s="20"/>
      <c r="J34" s="20"/>
      <c r="K34" s="20"/>
      <c r="L34" s="20"/>
      <c r="M34" s="20"/>
      <c r="N34" s="20"/>
      <c r="O34" s="20"/>
      <c r="P34" s="20"/>
      <c r="Q34" s="20"/>
      <c r="R34" s="20"/>
      <c r="S34" s="20"/>
      <c r="T34" s="20"/>
      <c r="U34" s="20"/>
    </row>
    <row r="35" customFormat="false" ht="90" hidden="false" customHeight="true" outlineLevel="0" collapsed="false">
      <c r="A35" s="23"/>
      <c r="B35" s="23"/>
      <c r="C35" s="23"/>
      <c r="D35" s="23"/>
      <c r="E35" s="20"/>
      <c r="F35" s="20"/>
      <c r="G35" s="20"/>
      <c r="H35" s="20"/>
      <c r="I35" s="20"/>
      <c r="J35" s="20"/>
      <c r="K35" s="20"/>
      <c r="L35" s="20"/>
      <c r="M35" s="20"/>
      <c r="N35" s="20"/>
      <c r="O35" s="20"/>
      <c r="P35" s="20"/>
      <c r="Q35" s="20"/>
      <c r="R35" s="20"/>
      <c r="S35" s="20"/>
      <c r="T35" s="20"/>
      <c r="U35" s="20"/>
    </row>
    <row r="36" customFormat="false" ht="90" hidden="false" customHeight="true" outlineLevel="0" collapsed="false">
      <c r="A36" s="24"/>
      <c r="B36" s="24"/>
      <c r="C36" s="24"/>
      <c r="D36" s="24"/>
      <c r="E36" s="20"/>
      <c r="F36" s="20"/>
      <c r="G36" s="20"/>
      <c r="H36" s="20"/>
      <c r="I36" s="20"/>
      <c r="J36" s="20"/>
      <c r="K36" s="20"/>
      <c r="L36" s="20"/>
      <c r="M36" s="20"/>
      <c r="N36" s="20"/>
      <c r="O36" s="20"/>
      <c r="P36" s="20"/>
      <c r="Q36" s="20"/>
      <c r="R36" s="20"/>
      <c r="S36" s="20"/>
      <c r="T36" s="20"/>
      <c r="U36" s="20"/>
    </row>
    <row r="37" customFormat="false" ht="90" hidden="false" customHeight="true" outlineLevel="0" collapsed="false">
      <c r="A37" s="23"/>
      <c r="B37" s="23"/>
      <c r="C37" s="23"/>
      <c r="D37" s="23"/>
      <c r="E37" s="20"/>
      <c r="F37" s="20"/>
      <c r="G37" s="20"/>
      <c r="H37" s="20"/>
      <c r="I37" s="20"/>
      <c r="J37" s="20"/>
      <c r="K37" s="20"/>
      <c r="L37" s="20"/>
      <c r="M37" s="20"/>
      <c r="N37" s="20"/>
      <c r="O37" s="20"/>
      <c r="P37" s="20"/>
      <c r="Q37" s="20"/>
      <c r="R37" s="20"/>
      <c r="S37" s="20"/>
      <c r="T37" s="20"/>
      <c r="U37" s="20"/>
    </row>
    <row r="38" customFormat="false" ht="13.5" hidden="false" customHeight="false" outlineLevel="0" collapsed="false">
      <c r="A38" s="23"/>
      <c r="B38" s="23"/>
      <c r="C38" s="23"/>
      <c r="D38" s="23"/>
      <c r="E38" s="20"/>
      <c r="F38" s="20"/>
      <c r="G38" s="20"/>
      <c r="H38" s="20"/>
      <c r="I38" s="20"/>
      <c r="J38" s="20"/>
      <c r="K38" s="20"/>
      <c r="L38" s="20"/>
      <c r="M38" s="20"/>
      <c r="N38" s="20"/>
      <c r="O38" s="20"/>
      <c r="P38" s="20"/>
      <c r="Q38" s="20"/>
      <c r="R38" s="20"/>
      <c r="S38" s="20"/>
      <c r="T38" s="20"/>
      <c r="U38" s="20"/>
    </row>
    <row r="39" customFormat="false" ht="13.5" hidden="false" customHeight="false" outlineLevel="0" collapsed="false">
      <c r="A39" s="23"/>
      <c r="B39" s="23"/>
      <c r="C39" s="23"/>
      <c r="D39" s="23"/>
      <c r="E39" s="20"/>
      <c r="F39" s="20"/>
      <c r="G39" s="20"/>
      <c r="H39" s="20"/>
      <c r="I39" s="20"/>
      <c r="J39" s="20"/>
      <c r="K39" s="20"/>
      <c r="L39" s="20"/>
      <c r="M39" s="20"/>
      <c r="N39" s="20"/>
      <c r="O39" s="20"/>
      <c r="P39" s="20"/>
      <c r="Q39" s="20"/>
      <c r="R39" s="20"/>
      <c r="S39" s="20"/>
      <c r="T39" s="20"/>
      <c r="U39" s="20"/>
    </row>
    <row r="40" customFormat="false" ht="30" hidden="false" customHeight="true" outlineLevel="0" collapsed="false">
      <c r="A40" s="25" t="s">
        <v>1474</v>
      </c>
      <c r="B40" s="25" t="s">
        <v>1475</v>
      </c>
      <c r="C40" s="25" t="s">
        <v>13</v>
      </c>
      <c r="D40" s="25" t="s">
        <v>1476</v>
      </c>
      <c r="E40" s="20"/>
      <c r="F40" s="20"/>
      <c r="G40" s="20"/>
      <c r="H40" s="20"/>
      <c r="I40" s="20"/>
      <c r="J40" s="20"/>
      <c r="K40" s="20"/>
      <c r="L40" s="20"/>
      <c r="M40" s="20"/>
      <c r="N40" s="20"/>
      <c r="O40" s="20"/>
      <c r="P40" s="20"/>
      <c r="Q40" s="20"/>
      <c r="R40" s="20"/>
      <c r="S40" s="20"/>
      <c r="T40" s="20"/>
      <c r="U40" s="20"/>
    </row>
    <row r="41" customFormat="false" ht="90" hidden="false" customHeight="true" outlineLevel="0" collapsed="false">
      <c r="A41" s="23" t="s">
        <v>1477</v>
      </c>
      <c r="B41" s="23" t="s">
        <v>1478</v>
      </c>
      <c r="C41" s="23" t="s">
        <v>1479</v>
      </c>
      <c r="D41" s="23" t="s">
        <v>1480</v>
      </c>
      <c r="E41" s="20"/>
      <c r="F41" s="20"/>
      <c r="G41" s="20"/>
      <c r="H41" s="20"/>
      <c r="I41" s="20"/>
      <c r="J41" s="20"/>
      <c r="K41" s="20"/>
      <c r="L41" s="20"/>
      <c r="M41" s="20"/>
      <c r="N41" s="20"/>
      <c r="O41" s="20"/>
      <c r="P41" s="20"/>
      <c r="Q41" s="20"/>
      <c r="R41" s="20"/>
      <c r="S41" s="20"/>
      <c r="T41" s="20"/>
      <c r="U41" s="20"/>
    </row>
    <row r="42" customFormat="false" ht="90" hidden="false" customHeight="true" outlineLevel="0" collapsed="false">
      <c r="A42" s="24" t="s">
        <v>1481</v>
      </c>
      <c r="B42" s="24" t="s">
        <v>1482</v>
      </c>
      <c r="C42" s="24" t="s">
        <v>1483</v>
      </c>
      <c r="D42" s="24" t="s">
        <v>1484</v>
      </c>
      <c r="E42" s="20"/>
      <c r="F42" s="20"/>
      <c r="G42" s="20"/>
      <c r="H42" s="20"/>
      <c r="I42" s="20"/>
      <c r="J42" s="20"/>
      <c r="K42" s="20"/>
      <c r="L42" s="20"/>
      <c r="M42" s="20"/>
      <c r="N42" s="20"/>
      <c r="O42" s="20"/>
      <c r="P42" s="20"/>
      <c r="Q42" s="20"/>
      <c r="R42" s="20"/>
      <c r="S42" s="20"/>
      <c r="T42" s="20"/>
      <c r="U42" s="20"/>
    </row>
    <row r="43" customFormat="false" ht="90" hidden="false" customHeight="true" outlineLevel="0" collapsed="false">
      <c r="A43" s="23" t="s">
        <v>1485</v>
      </c>
      <c r="B43" s="23" t="s">
        <v>1486</v>
      </c>
      <c r="C43" s="23" t="s">
        <v>1487</v>
      </c>
      <c r="D43" s="23" t="s">
        <v>1488</v>
      </c>
      <c r="E43" s="20"/>
      <c r="F43" s="20"/>
      <c r="G43" s="20"/>
      <c r="H43" s="20"/>
      <c r="I43" s="20"/>
      <c r="J43" s="20"/>
      <c r="K43" s="20"/>
      <c r="L43" s="20"/>
      <c r="M43" s="20"/>
      <c r="N43" s="20"/>
      <c r="O43" s="20"/>
      <c r="P43" s="20"/>
      <c r="Q43" s="20"/>
      <c r="R43" s="20"/>
      <c r="S43" s="20"/>
      <c r="T43" s="20"/>
      <c r="U43" s="20"/>
    </row>
    <row r="44" customFormat="false" ht="90" hidden="false" customHeight="true" outlineLevel="0" collapsed="false">
      <c r="A44" s="24" t="s">
        <v>1489</v>
      </c>
      <c r="B44" s="24" t="s">
        <v>1490</v>
      </c>
      <c r="C44" s="24" t="s">
        <v>1491</v>
      </c>
      <c r="D44" s="24" t="s">
        <v>1492</v>
      </c>
      <c r="E44" s="20"/>
      <c r="F44" s="20"/>
      <c r="G44" s="20"/>
      <c r="H44" s="20"/>
      <c r="I44" s="20"/>
      <c r="J44" s="20"/>
      <c r="K44" s="20"/>
      <c r="L44" s="20"/>
      <c r="M44" s="20"/>
      <c r="N44" s="20"/>
      <c r="O44" s="20"/>
      <c r="P44" s="20"/>
      <c r="Q44" s="20"/>
      <c r="R44" s="20"/>
      <c r="S44" s="20"/>
      <c r="T44" s="20"/>
      <c r="U44" s="20"/>
    </row>
    <row r="45" customFormat="false" ht="90" hidden="false" customHeight="true" outlineLevel="0" collapsed="false">
      <c r="A45" s="23" t="s">
        <v>1493</v>
      </c>
      <c r="B45" s="23" t="s">
        <v>1494</v>
      </c>
      <c r="C45" s="23" t="s">
        <v>1495</v>
      </c>
      <c r="D45" s="23" t="s">
        <v>1496</v>
      </c>
      <c r="E45" s="20"/>
      <c r="F45" s="20"/>
      <c r="G45" s="20"/>
      <c r="H45" s="20"/>
      <c r="I45" s="20"/>
      <c r="J45" s="20"/>
      <c r="K45" s="20"/>
      <c r="L45" s="20"/>
      <c r="M45" s="20"/>
      <c r="N45" s="20"/>
      <c r="O45" s="20"/>
      <c r="P45" s="20"/>
      <c r="Q45" s="20"/>
      <c r="R45" s="20"/>
      <c r="S45" s="20"/>
      <c r="T45" s="20"/>
      <c r="U45" s="20"/>
    </row>
    <row r="46" customFormat="false" ht="13.5" hidden="false" customHeight="false" outlineLevel="0" collapsed="false">
      <c r="A46" s="20"/>
      <c r="B46" s="20"/>
      <c r="C46" s="20"/>
      <c r="D46" s="20"/>
      <c r="E46" s="20"/>
      <c r="F46" s="20"/>
      <c r="G46" s="20"/>
      <c r="H46" s="20"/>
      <c r="I46" s="20"/>
      <c r="J46" s="20"/>
      <c r="K46" s="20"/>
      <c r="L46" s="20"/>
      <c r="M46" s="20"/>
      <c r="N46" s="20"/>
      <c r="O46" s="20"/>
      <c r="P46" s="20"/>
      <c r="Q46" s="20"/>
      <c r="R46" s="20"/>
      <c r="S46" s="20"/>
      <c r="T46" s="20"/>
      <c r="U46" s="20"/>
    </row>
    <row r="47" customFormat="false" ht="84" hidden="false" customHeight="true" outlineLevel="0" collapsed="false">
      <c r="A47" s="23" t="s">
        <v>1497</v>
      </c>
      <c r="B47" s="23" t="s">
        <v>1498</v>
      </c>
      <c r="C47" s="23" t="s">
        <v>1499</v>
      </c>
      <c r="D47" s="23" t="s">
        <v>1500</v>
      </c>
      <c r="E47" s="20"/>
      <c r="F47" s="20"/>
      <c r="G47" s="20"/>
      <c r="H47" s="20"/>
      <c r="I47" s="20"/>
      <c r="J47" s="20"/>
      <c r="K47" s="20"/>
      <c r="L47" s="20"/>
      <c r="M47" s="20"/>
      <c r="N47" s="20"/>
      <c r="O47" s="20"/>
      <c r="P47" s="20"/>
      <c r="Q47" s="20"/>
      <c r="R47" s="20"/>
      <c r="S47" s="20"/>
      <c r="T47" s="20"/>
      <c r="U47" s="20"/>
    </row>
    <row r="48" customFormat="false" ht="84" hidden="false" customHeight="true" outlineLevel="0" collapsed="false">
      <c r="A48" s="23"/>
      <c r="B48" s="23"/>
      <c r="C48" s="23"/>
      <c r="D48" s="23"/>
      <c r="E48" s="20"/>
      <c r="F48" s="20"/>
      <c r="G48" s="20"/>
      <c r="H48" s="20"/>
      <c r="I48" s="20"/>
      <c r="J48" s="20"/>
      <c r="K48" s="20"/>
      <c r="L48" s="20"/>
      <c r="M48" s="20"/>
      <c r="N48" s="20"/>
      <c r="O48" s="20"/>
      <c r="P48" s="20"/>
      <c r="Q48" s="20"/>
      <c r="R48" s="20"/>
      <c r="S48" s="20"/>
      <c r="T48" s="20"/>
      <c r="U48" s="20"/>
    </row>
    <row r="49" customFormat="false" ht="30" hidden="false" customHeight="true" outlineLevel="0" collapsed="false">
      <c r="A49" s="25" t="s">
        <v>1501</v>
      </c>
      <c r="B49" s="25" t="s">
        <v>1502</v>
      </c>
      <c r="C49" s="25" t="s">
        <v>1503</v>
      </c>
      <c r="D49" s="25" t="s">
        <v>1504</v>
      </c>
      <c r="E49" s="20"/>
      <c r="F49" s="20"/>
      <c r="G49" s="20"/>
      <c r="H49" s="20"/>
      <c r="I49" s="20"/>
      <c r="J49" s="20"/>
      <c r="K49" s="20"/>
      <c r="L49" s="20"/>
      <c r="M49" s="20"/>
      <c r="N49" s="20"/>
      <c r="O49" s="20"/>
      <c r="P49" s="20"/>
      <c r="Q49" s="20"/>
      <c r="R49" s="20"/>
      <c r="S49" s="20"/>
      <c r="T49" s="20"/>
      <c r="U49" s="20"/>
    </row>
    <row r="50" customFormat="false" ht="84" hidden="false" customHeight="true" outlineLevel="0" collapsed="false">
      <c r="A50" s="23" t="s">
        <v>1505</v>
      </c>
      <c r="B50" s="23" t="s">
        <v>1506</v>
      </c>
      <c r="C50" s="23" t="s">
        <v>1507</v>
      </c>
      <c r="D50" s="23" t="s">
        <v>1508</v>
      </c>
      <c r="E50" s="20"/>
      <c r="F50" s="20"/>
      <c r="G50" s="20"/>
      <c r="H50" s="20"/>
      <c r="I50" s="20"/>
      <c r="J50" s="20"/>
      <c r="K50" s="20"/>
      <c r="L50" s="20"/>
      <c r="M50" s="20"/>
      <c r="N50" s="20"/>
      <c r="O50" s="20"/>
      <c r="P50" s="20"/>
      <c r="Q50" s="20"/>
      <c r="R50" s="20"/>
      <c r="S50" s="20"/>
      <c r="T50" s="20"/>
      <c r="U50" s="20"/>
    </row>
    <row r="51" customFormat="false" ht="84" hidden="false" customHeight="true" outlineLevel="0" collapsed="false">
      <c r="A51" s="23" t="s">
        <v>1509</v>
      </c>
      <c r="B51" s="23" t="s">
        <v>1510</v>
      </c>
      <c r="C51" s="23" t="s">
        <v>1511</v>
      </c>
      <c r="D51" s="23" t="s">
        <v>1512</v>
      </c>
      <c r="E51" s="20"/>
      <c r="F51" s="20"/>
      <c r="G51" s="20"/>
      <c r="H51" s="20"/>
      <c r="I51" s="20"/>
      <c r="J51" s="20"/>
      <c r="K51" s="20"/>
      <c r="L51" s="20"/>
      <c r="M51" s="20"/>
      <c r="N51" s="20"/>
      <c r="O51" s="20"/>
      <c r="P51" s="20"/>
      <c r="Q51" s="20"/>
      <c r="R51" s="20"/>
      <c r="S51" s="20"/>
      <c r="T51" s="20"/>
      <c r="U51" s="20"/>
    </row>
    <row r="52" customFormat="false" ht="84" hidden="false" customHeight="true" outlineLevel="0" collapsed="false">
      <c r="A52" s="23" t="s">
        <v>1513</v>
      </c>
      <c r="B52" s="23" t="s">
        <v>1514</v>
      </c>
      <c r="C52" s="23" t="s">
        <v>1515</v>
      </c>
      <c r="D52" s="23" t="s">
        <v>1516</v>
      </c>
      <c r="E52" s="20"/>
      <c r="F52" s="20"/>
      <c r="G52" s="20"/>
      <c r="H52" s="20"/>
      <c r="I52" s="20"/>
      <c r="J52" s="20"/>
      <c r="K52" s="20"/>
      <c r="L52" s="20"/>
      <c r="M52" s="20"/>
      <c r="N52" s="20"/>
      <c r="O52" s="20"/>
      <c r="P52" s="20"/>
      <c r="Q52" s="20"/>
      <c r="R52" s="20"/>
      <c r="S52" s="20"/>
      <c r="T52" s="20"/>
      <c r="U52" s="20"/>
    </row>
    <row r="53" customFormat="false" ht="84" hidden="false" customHeight="true" outlineLevel="0" collapsed="false">
      <c r="A53" s="23" t="s">
        <v>1517</v>
      </c>
      <c r="B53" s="23" t="s">
        <v>1518</v>
      </c>
      <c r="C53" s="23" t="s">
        <v>1519</v>
      </c>
      <c r="D53" s="23" t="s">
        <v>1520</v>
      </c>
      <c r="E53" s="20"/>
      <c r="F53" s="20"/>
      <c r="G53" s="20"/>
      <c r="H53" s="20"/>
      <c r="I53" s="20"/>
      <c r="J53" s="20"/>
      <c r="K53" s="20"/>
      <c r="L53" s="20"/>
      <c r="M53" s="20"/>
      <c r="N53" s="20"/>
      <c r="O53" s="20"/>
      <c r="P53" s="20"/>
      <c r="Q53" s="20"/>
      <c r="R53" s="20"/>
      <c r="S53" s="20"/>
      <c r="T53" s="20"/>
      <c r="U53" s="20"/>
    </row>
    <row r="54" customFormat="false" ht="84" hidden="false" customHeight="true" outlineLevel="0" collapsed="false">
      <c r="A54" s="23" t="s">
        <v>1521</v>
      </c>
      <c r="B54" s="23" t="s">
        <v>1522</v>
      </c>
      <c r="C54" s="23" t="s">
        <v>1523</v>
      </c>
      <c r="D54" s="23" t="s">
        <v>1524</v>
      </c>
      <c r="E54" s="20"/>
      <c r="F54" s="20"/>
      <c r="G54" s="20"/>
      <c r="H54" s="20"/>
      <c r="I54" s="20"/>
      <c r="J54" s="20"/>
      <c r="K54" s="20"/>
      <c r="L54" s="20"/>
      <c r="M54" s="20"/>
      <c r="N54" s="20"/>
      <c r="O54" s="20"/>
      <c r="P54" s="20"/>
      <c r="Q54" s="20"/>
      <c r="R54" s="20"/>
      <c r="S54" s="20"/>
      <c r="T54" s="20"/>
      <c r="U54" s="20"/>
    </row>
    <row r="55" customFormat="false" ht="84" hidden="false" customHeight="true" outlineLevel="0" collapsed="false">
      <c r="A55" s="23" t="s">
        <v>1525</v>
      </c>
      <c r="B55" s="23" t="s">
        <v>1526</v>
      </c>
      <c r="C55" s="23" t="s">
        <v>1527</v>
      </c>
      <c r="D55" s="23" t="s">
        <v>1528</v>
      </c>
      <c r="E55" s="20"/>
      <c r="F55" s="20"/>
      <c r="G55" s="20"/>
      <c r="H55" s="20"/>
      <c r="I55" s="20"/>
      <c r="J55" s="20"/>
      <c r="K55" s="20"/>
      <c r="L55" s="20"/>
      <c r="M55" s="20"/>
      <c r="N55" s="20"/>
      <c r="O55" s="20"/>
      <c r="P55" s="20"/>
      <c r="Q55" s="20"/>
      <c r="R55" s="20"/>
      <c r="S55" s="20"/>
      <c r="T55" s="20"/>
      <c r="U55" s="20"/>
    </row>
    <row r="56" customFormat="false" ht="84" hidden="false" customHeight="true" outlineLevel="0" collapsed="false">
      <c r="A56" s="23" t="s">
        <v>1529</v>
      </c>
      <c r="B56" s="23" t="s">
        <v>1530</v>
      </c>
      <c r="C56" s="23" t="s">
        <v>1531</v>
      </c>
      <c r="D56" s="23" t="s">
        <v>1532</v>
      </c>
      <c r="E56" s="20"/>
      <c r="F56" s="20"/>
      <c r="G56" s="20"/>
      <c r="H56" s="20"/>
      <c r="I56" s="20"/>
      <c r="J56" s="20"/>
      <c r="K56" s="20"/>
      <c r="L56" s="20"/>
      <c r="M56" s="20"/>
      <c r="N56" s="20"/>
      <c r="O56" s="20"/>
      <c r="P56" s="20"/>
      <c r="Q56" s="20"/>
      <c r="R56" s="20"/>
      <c r="S56" s="20"/>
      <c r="T56" s="20"/>
      <c r="U56" s="20"/>
    </row>
    <row r="57" customFormat="false" ht="84" hidden="false" customHeight="true" outlineLevel="0" collapsed="false">
      <c r="A57" s="23" t="s">
        <v>1533</v>
      </c>
      <c r="B57" s="23" t="s">
        <v>1534</v>
      </c>
      <c r="C57" s="23" t="s">
        <v>1535</v>
      </c>
      <c r="D57" s="23" t="s">
        <v>1536</v>
      </c>
      <c r="E57" s="20"/>
      <c r="F57" s="20"/>
      <c r="G57" s="20"/>
      <c r="H57" s="20"/>
      <c r="I57" s="20"/>
      <c r="J57" s="20"/>
      <c r="K57" s="20"/>
      <c r="L57" s="20"/>
      <c r="M57" s="20"/>
      <c r="N57" s="20"/>
      <c r="O57" s="20"/>
      <c r="P57" s="20"/>
      <c r="Q57" s="20"/>
      <c r="R57" s="20"/>
      <c r="S57" s="20"/>
      <c r="T57" s="20"/>
      <c r="U57" s="20"/>
    </row>
    <row r="58" customFormat="false" ht="84" hidden="false" customHeight="true" outlineLevel="0" collapsed="false">
      <c r="A58" s="23" t="s">
        <v>1537</v>
      </c>
      <c r="B58" s="23" t="s">
        <v>1538</v>
      </c>
      <c r="C58" s="23" t="s">
        <v>1539</v>
      </c>
      <c r="D58" s="23" t="s">
        <v>1540</v>
      </c>
      <c r="E58" s="20"/>
      <c r="F58" s="20"/>
      <c r="G58" s="20"/>
      <c r="H58" s="20"/>
      <c r="I58" s="20"/>
      <c r="J58" s="20"/>
      <c r="K58" s="20"/>
      <c r="L58" s="20"/>
      <c r="M58" s="20"/>
      <c r="N58" s="20"/>
      <c r="O58" s="20"/>
      <c r="P58" s="20"/>
      <c r="Q58" s="20"/>
      <c r="R58" s="20"/>
      <c r="S58" s="20"/>
      <c r="T58" s="20"/>
      <c r="U58" s="20"/>
    </row>
    <row r="59" customFormat="false" ht="84" hidden="false" customHeight="true" outlineLevel="0" collapsed="false">
      <c r="A59" s="23" t="s">
        <v>1541</v>
      </c>
      <c r="B59" s="23" t="s">
        <v>1542</v>
      </c>
      <c r="C59" s="23" t="s">
        <v>1543</v>
      </c>
      <c r="D59" s="23" t="s">
        <v>1544</v>
      </c>
      <c r="E59" s="20"/>
      <c r="F59" s="20"/>
      <c r="G59" s="20"/>
      <c r="H59" s="20"/>
      <c r="I59" s="20"/>
      <c r="J59" s="20"/>
      <c r="K59" s="20"/>
      <c r="L59" s="20"/>
      <c r="M59" s="20"/>
      <c r="N59" s="20"/>
      <c r="O59" s="20"/>
      <c r="P59" s="20"/>
      <c r="Q59" s="20"/>
      <c r="R59" s="20"/>
      <c r="S59" s="20"/>
      <c r="T59" s="20"/>
      <c r="U59" s="20"/>
    </row>
    <row r="60" customFormat="false" ht="84" hidden="false" customHeight="true" outlineLevel="0" collapsed="false">
      <c r="A60" s="23" t="s">
        <v>1545</v>
      </c>
      <c r="B60" s="23" t="s">
        <v>1546</v>
      </c>
      <c r="C60" s="23" t="s">
        <v>1547</v>
      </c>
      <c r="D60" s="23" t="s">
        <v>1548</v>
      </c>
      <c r="E60" s="20"/>
      <c r="F60" s="20"/>
      <c r="G60" s="20"/>
      <c r="H60" s="20"/>
      <c r="I60" s="20"/>
      <c r="J60" s="20"/>
      <c r="K60" s="20"/>
      <c r="L60" s="20"/>
      <c r="M60" s="20"/>
      <c r="N60" s="20"/>
      <c r="O60" s="20"/>
      <c r="P60" s="20"/>
      <c r="Q60" s="20"/>
      <c r="R60" s="20"/>
      <c r="S60" s="20"/>
      <c r="T60" s="20"/>
      <c r="U60" s="20"/>
    </row>
    <row r="61" customFormat="false" ht="84" hidden="false" customHeight="true" outlineLevel="0" collapsed="false">
      <c r="A61" s="23" t="s">
        <v>1549</v>
      </c>
      <c r="B61" s="23" t="s">
        <v>1550</v>
      </c>
      <c r="C61" s="23" t="s">
        <v>1551</v>
      </c>
      <c r="D61" s="23" t="s">
        <v>1552</v>
      </c>
      <c r="E61" s="20"/>
      <c r="F61" s="20"/>
      <c r="G61" s="20"/>
      <c r="H61" s="20"/>
      <c r="I61" s="20"/>
      <c r="J61" s="20"/>
      <c r="K61" s="20"/>
      <c r="L61" s="20"/>
      <c r="M61" s="20"/>
      <c r="N61" s="20"/>
      <c r="O61" s="20"/>
      <c r="P61" s="20"/>
      <c r="Q61" s="20"/>
      <c r="R61" s="20"/>
      <c r="S61" s="20"/>
      <c r="T61" s="20"/>
      <c r="U61" s="20"/>
    </row>
    <row r="62" customFormat="false" ht="84" hidden="false" customHeight="true" outlineLevel="0" collapsed="false">
      <c r="A62" s="23" t="s">
        <v>1553</v>
      </c>
      <c r="B62" s="23" t="s">
        <v>1554</v>
      </c>
      <c r="C62" s="23" t="s">
        <v>1555</v>
      </c>
      <c r="D62" s="23" t="s">
        <v>1556</v>
      </c>
      <c r="E62" s="20"/>
      <c r="F62" s="20"/>
      <c r="G62" s="20"/>
      <c r="H62" s="20"/>
      <c r="I62" s="20"/>
      <c r="J62" s="20"/>
      <c r="K62" s="20"/>
      <c r="L62" s="20"/>
      <c r="M62" s="20"/>
      <c r="N62" s="20"/>
      <c r="O62" s="20"/>
      <c r="P62" s="20"/>
      <c r="Q62" s="20"/>
      <c r="R62" s="20"/>
      <c r="S62" s="20"/>
      <c r="T62" s="20"/>
      <c r="U62" s="20"/>
    </row>
    <row r="63" customFormat="false" ht="84" hidden="false" customHeight="true" outlineLevel="0" collapsed="false">
      <c r="A63" s="23" t="s">
        <v>1557</v>
      </c>
      <c r="B63" s="23" t="s">
        <v>1558</v>
      </c>
      <c r="C63" s="23" t="s">
        <v>1559</v>
      </c>
      <c r="D63" s="23" t="s">
        <v>1560</v>
      </c>
      <c r="E63" s="20"/>
      <c r="F63" s="20"/>
      <c r="G63" s="20"/>
      <c r="H63" s="20"/>
      <c r="I63" s="20"/>
      <c r="J63" s="20"/>
      <c r="K63" s="20"/>
      <c r="L63" s="20"/>
      <c r="M63" s="20"/>
      <c r="N63" s="20"/>
      <c r="O63" s="20"/>
      <c r="P63" s="20"/>
      <c r="Q63" s="20"/>
      <c r="R63" s="20"/>
      <c r="S63" s="20"/>
      <c r="T63" s="20"/>
      <c r="U63" s="20"/>
    </row>
    <row r="64" customFormat="false" ht="13.5" hidden="false" customHeight="false" outlineLevel="0" collapsed="false">
      <c r="A64" s="20"/>
      <c r="B64" s="20"/>
      <c r="C64" s="20"/>
      <c r="D64" s="20"/>
      <c r="E64" s="20"/>
      <c r="F64" s="20"/>
      <c r="G64" s="20"/>
      <c r="H64" s="20"/>
      <c r="I64" s="20"/>
      <c r="J64" s="20"/>
      <c r="K64" s="20"/>
      <c r="L64" s="20"/>
      <c r="M64" s="20"/>
      <c r="N64" s="20"/>
      <c r="O64" s="20"/>
      <c r="P64" s="20"/>
      <c r="Q64" s="20"/>
      <c r="R64" s="20"/>
      <c r="S64" s="20"/>
      <c r="T64" s="20"/>
      <c r="U64" s="20"/>
    </row>
    <row r="65" customFormat="false" ht="13.5" hidden="false" customHeight="false" outlineLevel="0" collapsed="false">
      <c r="A65" s="20"/>
      <c r="B65" s="20"/>
      <c r="C65" s="20"/>
      <c r="D65" s="20"/>
      <c r="E65" s="20"/>
      <c r="F65" s="20"/>
      <c r="G65" s="20"/>
      <c r="H65" s="20"/>
      <c r="I65" s="20"/>
      <c r="J65" s="20"/>
      <c r="K65" s="20"/>
      <c r="L65" s="20"/>
      <c r="M65" s="20"/>
      <c r="N65" s="20"/>
      <c r="O65" s="20"/>
      <c r="P65" s="20"/>
      <c r="Q65" s="20"/>
      <c r="R65" s="20"/>
      <c r="S65" s="20"/>
      <c r="T65" s="20"/>
      <c r="U65" s="20"/>
    </row>
    <row r="66" customFormat="false" ht="13.5" hidden="false" customHeight="false" outlineLevel="0" collapsed="false">
      <c r="A66" s="20"/>
      <c r="B66" s="20"/>
      <c r="C66" s="20"/>
      <c r="D66" s="20"/>
      <c r="E66" s="20"/>
      <c r="F66" s="20"/>
      <c r="G66" s="20"/>
      <c r="H66" s="20"/>
      <c r="I66" s="20"/>
      <c r="J66" s="20"/>
      <c r="K66" s="20"/>
      <c r="L66" s="20"/>
      <c r="M66" s="20"/>
      <c r="N66" s="20"/>
      <c r="O66" s="20"/>
      <c r="P66" s="20"/>
      <c r="Q66" s="20"/>
      <c r="R66" s="20"/>
      <c r="S66" s="20"/>
      <c r="T66" s="20"/>
      <c r="U66" s="20"/>
    </row>
    <row r="67" customFormat="false" ht="13.5" hidden="false" customHeight="false" outlineLevel="0" collapsed="false">
      <c r="A67" s="20"/>
      <c r="B67" s="20"/>
      <c r="C67" s="20"/>
      <c r="D67" s="20"/>
      <c r="E67" s="20"/>
      <c r="F67" s="20"/>
      <c r="G67" s="20"/>
      <c r="H67" s="20"/>
      <c r="I67" s="20"/>
      <c r="J67" s="20"/>
      <c r="K67" s="20"/>
      <c r="L67" s="20"/>
      <c r="M67" s="20"/>
      <c r="N67" s="20"/>
      <c r="O67" s="20"/>
      <c r="P67" s="20"/>
      <c r="Q67" s="20"/>
      <c r="R67" s="20"/>
      <c r="S67" s="20"/>
      <c r="T67" s="20"/>
      <c r="U67" s="20"/>
    </row>
    <row r="68" customFormat="false" ht="13.5" hidden="false" customHeight="false" outlineLevel="0" collapsed="false">
      <c r="A68" s="20"/>
      <c r="B68" s="20"/>
      <c r="C68" s="20"/>
      <c r="D68" s="20"/>
      <c r="E68" s="20"/>
      <c r="F68" s="20"/>
      <c r="G68" s="20"/>
      <c r="H68" s="20"/>
      <c r="I68" s="20"/>
      <c r="J68" s="20"/>
      <c r="K68" s="20"/>
      <c r="L68" s="20"/>
      <c r="M68" s="20"/>
      <c r="N68" s="20"/>
      <c r="O68" s="20"/>
      <c r="P68" s="20"/>
      <c r="Q68" s="20"/>
      <c r="R68" s="20"/>
      <c r="S68" s="20"/>
      <c r="T68" s="20"/>
      <c r="U68" s="20"/>
    </row>
    <row r="69" customFormat="false" ht="13.5" hidden="false" customHeight="false" outlineLevel="0" collapsed="false">
      <c r="A69" s="20"/>
      <c r="B69" s="20"/>
      <c r="C69" s="20"/>
      <c r="D69" s="20"/>
      <c r="E69" s="20"/>
      <c r="F69" s="20"/>
      <c r="G69" s="20"/>
      <c r="H69" s="20"/>
      <c r="I69" s="20"/>
      <c r="J69" s="20"/>
      <c r="K69" s="20"/>
      <c r="L69" s="20"/>
      <c r="M69" s="20"/>
      <c r="N69" s="20"/>
      <c r="O69" s="20"/>
      <c r="P69" s="20"/>
      <c r="Q69" s="20"/>
      <c r="R69" s="20"/>
      <c r="S69" s="20"/>
      <c r="T69" s="20"/>
      <c r="U69" s="20"/>
    </row>
    <row r="70" customFormat="false" ht="13.5" hidden="false" customHeight="false" outlineLevel="0" collapsed="false">
      <c r="A70" s="20"/>
      <c r="B70" s="20"/>
      <c r="C70" s="20"/>
      <c r="D70" s="20"/>
      <c r="E70" s="20"/>
      <c r="F70" s="20"/>
      <c r="G70" s="20"/>
      <c r="H70" s="20"/>
      <c r="I70" s="20"/>
      <c r="J70" s="20"/>
      <c r="K70" s="20"/>
      <c r="L70" s="20"/>
      <c r="M70" s="20"/>
      <c r="N70" s="20"/>
      <c r="O70" s="20"/>
      <c r="P70" s="20"/>
      <c r="Q70" s="20"/>
      <c r="R70" s="20"/>
      <c r="S70" s="20"/>
      <c r="T70" s="20"/>
      <c r="U70" s="20"/>
    </row>
    <row r="71" customFormat="false" ht="13.5" hidden="false" customHeight="false" outlineLevel="0" collapsed="false">
      <c r="A71" s="20"/>
      <c r="B71" s="20"/>
      <c r="C71" s="20"/>
      <c r="D71" s="20"/>
      <c r="E71" s="20"/>
      <c r="F71" s="20"/>
      <c r="G71" s="20"/>
      <c r="H71" s="20"/>
      <c r="I71" s="20"/>
      <c r="J71" s="20"/>
      <c r="K71" s="20"/>
      <c r="L71" s="20"/>
      <c r="M71" s="20"/>
      <c r="N71" s="20"/>
      <c r="O71" s="20"/>
      <c r="P71" s="20"/>
      <c r="Q71" s="20"/>
      <c r="R71" s="20"/>
      <c r="S71" s="20"/>
      <c r="T71" s="20"/>
      <c r="U71" s="20"/>
    </row>
    <row r="72" customFormat="false" ht="13.5" hidden="false" customHeight="false" outlineLevel="0" collapsed="false">
      <c r="A72" s="20"/>
      <c r="B72" s="20"/>
      <c r="C72" s="20"/>
      <c r="D72" s="20"/>
      <c r="E72" s="20"/>
      <c r="F72" s="20"/>
      <c r="G72" s="20"/>
      <c r="H72" s="20"/>
      <c r="I72" s="20"/>
      <c r="J72" s="20"/>
      <c r="K72" s="20"/>
      <c r="L72" s="20"/>
      <c r="M72" s="20"/>
      <c r="N72" s="20"/>
      <c r="O72" s="20"/>
      <c r="P72" s="20"/>
      <c r="Q72" s="20"/>
      <c r="R72" s="20"/>
      <c r="S72" s="20"/>
      <c r="T72" s="20"/>
      <c r="U72" s="20"/>
    </row>
    <row r="73" customFormat="false" ht="13.5" hidden="false" customHeight="false" outlineLevel="0" collapsed="false">
      <c r="A73" s="20"/>
      <c r="B73" s="20"/>
      <c r="C73" s="20"/>
      <c r="D73" s="20"/>
      <c r="E73" s="20"/>
      <c r="F73" s="20"/>
      <c r="G73" s="20"/>
      <c r="H73" s="20"/>
      <c r="I73" s="20"/>
      <c r="J73" s="20"/>
      <c r="K73" s="20"/>
      <c r="L73" s="20"/>
      <c r="M73" s="20"/>
      <c r="N73" s="20"/>
      <c r="O73" s="20"/>
      <c r="P73" s="20"/>
      <c r="Q73" s="20"/>
      <c r="R73" s="20"/>
      <c r="S73" s="20"/>
      <c r="T73" s="20"/>
      <c r="U73" s="20"/>
    </row>
    <row r="74" customFormat="false" ht="13.5" hidden="false" customHeight="false" outlineLevel="0" collapsed="false">
      <c r="A74" s="20"/>
      <c r="B74" s="20"/>
      <c r="C74" s="20"/>
      <c r="D74" s="20"/>
      <c r="E74" s="20"/>
      <c r="F74" s="20"/>
      <c r="G74" s="20"/>
      <c r="H74" s="20"/>
      <c r="I74" s="20"/>
      <c r="J74" s="20"/>
      <c r="K74" s="20"/>
      <c r="L74" s="20"/>
      <c r="M74" s="20"/>
      <c r="N74" s="20"/>
      <c r="O74" s="20"/>
      <c r="P74" s="20"/>
      <c r="Q74" s="20"/>
      <c r="R74" s="20"/>
      <c r="S74" s="20"/>
      <c r="T74" s="20"/>
      <c r="U74" s="20"/>
    </row>
    <row r="75" customFormat="false" ht="13.5" hidden="false" customHeight="false" outlineLevel="0" collapsed="false">
      <c r="A75" s="20"/>
      <c r="B75" s="20"/>
      <c r="C75" s="20"/>
      <c r="D75" s="20"/>
      <c r="E75" s="20"/>
      <c r="F75" s="20"/>
      <c r="G75" s="20"/>
      <c r="H75" s="20"/>
      <c r="I75" s="20"/>
      <c r="J75" s="20"/>
      <c r="K75" s="20"/>
      <c r="L75" s="20"/>
      <c r="M75" s="20"/>
      <c r="N75" s="20"/>
      <c r="O75" s="20"/>
      <c r="P75" s="20"/>
      <c r="Q75" s="20"/>
      <c r="R75" s="20"/>
      <c r="S75" s="20"/>
      <c r="T75" s="20"/>
      <c r="U75" s="20"/>
    </row>
    <row r="76" customFormat="false" ht="13.5" hidden="false" customHeight="false" outlineLevel="0" collapsed="false">
      <c r="A76" s="20"/>
      <c r="B76" s="20"/>
      <c r="C76" s="20"/>
      <c r="D76" s="20"/>
      <c r="E76" s="20"/>
      <c r="F76" s="20"/>
      <c r="G76" s="20"/>
      <c r="H76" s="20"/>
      <c r="I76" s="20"/>
      <c r="J76" s="20"/>
      <c r="K76" s="20"/>
      <c r="L76" s="20"/>
      <c r="M76" s="20"/>
      <c r="N76" s="20"/>
      <c r="O76" s="20"/>
      <c r="P76" s="20"/>
      <c r="Q76" s="20"/>
      <c r="R76" s="20"/>
      <c r="S76" s="20"/>
      <c r="T76" s="20"/>
      <c r="U76" s="20"/>
    </row>
    <row r="77" customFormat="false" ht="13.5" hidden="false" customHeight="false" outlineLevel="0" collapsed="false">
      <c r="A77" s="20"/>
      <c r="B77" s="20"/>
      <c r="C77" s="20"/>
      <c r="D77" s="20"/>
      <c r="E77" s="20"/>
      <c r="F77" s="20"/>
      <c r="G77" s="20"/>
      <c r="H77" s="20"/>
      <c r="I77" s="20"/>
      <c r="J77" s="20"/>
      <c r="K77" s="20"/>
      <c r="L77" s="20"/>
      <c r="M77" s="20"/>
      <c r="N77" s="20"/>
      <c r="O77" s="20"/>
      <c r="P77" s="20"/>
      <c r="Q77" s="20"/>
      <c r="R77" s="20"/>
      <c r="S77" s="20"/>
      <c r="T77" s="20"/>
      <c r="U77" s="20"/>
    </row>
    <row r="78" customFormat="false" ht="13.5" hidden="false" customHeight="false" outlineLevel="0" collapsed="false">
      <c r="A78" s="20"/>
      <c r="B78" s="20"/>
      <c r="C78" s="20"/>
      <c r="D78" s="20"/>
      <c r="E78" s="20"/>
      <c r="F78" s="20"/>
      <c r="G78" s="20"/>
      <c r="H78" s="20"/>
      <c r="I78" s="20"/>
      <c r="J78" s="20"/>
      <c r="K78" s="20"/>
      <c r="L78" s="20"/>
      <c r="M78" s="20"/>
      <c r="N78" s="20"/>
      <c r="O78" s="20"/>
      <c r="P78" s="20"/>
      <c r="Q78" s="20"/>
      <c r="R78" s="20"/>
      <c r="S78" s="20"/>
      <c r="T78" s="20"/>
      <c r="U78" s="20"/>
    </row>
    <row r="79" customFormat="false" ht="13.5" hidden="false" customHeight="false" outlineLevel="0" collapsed="false">
      <c r="A79" s="20"/>
      <c r="B79" s="20"/>
      <c r="C79" s="20"/>
      <c r="D79" s="20"/>
      <c r="E79" s="20"/>
      <c r="F79" s="20"/>
      <c r="G79" s="20"/>
      <c r="H79" s="20"/>
      <c r="I79" s="20"/>
      <c r="J79" s="20"/>
      <c r="K79" s="20"/>
      <c r="L79" s="20"/>
      <c r="M79" s="20"/>
      <c r="N79" s="20"/>
      <c r="O79" s="20"/>
      <c r="P79" s="20"/>
      <c r="Q79" s="20"/>
      <c r="R79" s="20"/>
      <c r="S79" s="20"/>
      <c r="T79" s="20"/>
      <c r="U79" s="20"/>
    </row>
    <row r="80" customFormat="false" ht="13.5" hidden="false" customHeight="false" outlineLevel="0" collapsed="false">
      <c r="A80" s="20"/>
      <c r="B80" s="20"/>
      <c r="C80" s="20"/>
      <c r="D80" s="20"/>
      <c r="E80" s="20"/>
      <c r="F80" s="20"/>
      <c r="G80" s="20"/>
      <c r="H80" s="20"/>
      <c r="I80" s="20"/>
      <c r="J80" s="20"/>
      <c r="K80" s="20"/>
      <c r="L80" s="20"/>
      <c r="M80" s="20"/>
      <c r="N80" s="20"/>
      <c r="O80" s="20"/>
      <c r="P80" s="20"/>
      <c r="Q80" s="20"/>
      <c r="R80" s="20"/>
      <c r="S80" s="20"/>
      <c r="T80" s="20"/>
      <c r="U80" s="20"/>
    </row>
    <row r="81" customFormat="false" ht="13.5" hidden="false" customHeight="false" outlineLevel="0" collapsed="false">
      <c r="A81" s="20"/>
      <c r="B81" s="20"/>
      <c r="C81" s="20"/>
      <c r="D81" s="20"/>
      <c r="E81" s="20"/>
      <c r="F81" s="20"/>
      <c r="G81" s="20"/>
      <c r="H81" s="20"/>
      <c r="I81" s="20"/>
      <c r="J81" s="20"/>
      <c r="K81" s="20"/>
      <c r="L81" s="20"/>
      <c r="M81" s="20"/>
      <c r="N81" s="20"/>
      <c r="O81" s="20"/>
      <c r="P81" s="20"/>
      <c r="Q81" s="20"/>
      <c r="R81" s="20"/>
      <c r="S81" s="20"/>
      <c r="T81" s="20"/>
      <c r="U81" s="20"/>
    </row>
    <row r="82" customFormat="false" ht="13.5" hidden="false" customHeight="false" outlineLevel="0" collapsed="false">
      <c r="A82" s="20"/>
      <c r="B82" s="20"/>
      <c r="C82" s="20"/>
      <c r="D82" s="20"/>
      <c r="E82" s="20"/>
      <c r="F82" s="20"/>
      <c r="G82" s="20"/>
      <c r="H82" s="20"/>
      <c r="I82" s="20"/>
      <c r="J82" s="20"/>
      <c r="K82" s="20"/>
      <c r="L82" s="20"/>
      <c r="M82" s="20"/>
      <c r="N82" s="20"/>
      <c r="O82" s="20"/>
      <c r="P82" s="20"/>
      <c r="Q82" s="20"/>
      <c r="R82" s="20"/>
      <c r="S82" s="20"/>
      <c r="T82" s="20"/>
      <c r="U82" s="20"/>
    </row>
    <row r="83" customFormat="false" ht="13.5" hidden="false" customHeight="false" outlineLevel="0" collapsed="false">
      <c r="A83" s="20"/>
      <c r="B83" s="20"/>
      <c r="C83" s="20"/>
      <c r="D83" s="20"/>
      <c r="E83" s="20"/>
      <c r="F83" s="20"/>
      <c r="G83" s="20"/>
      <c r="H83" s="20"/>
      <c r="I83" s="20"/>
      <c r="J83" s="20"/>
      <c r="K83" s="20"/>
      <c r="L83" s="20"/>
      <c r="M83" s="20"/>
      <c r="N83" s="20"/>
      <c r="O83" s="20"/>
      <c r="P83" s="20"/>
      <c r="Q83" s="20"/>
      <c r="R83" s="20"/>
      <c r="S83" s="20"/>
      <c r="T83" s="20"/>
      <c r="U83" s="20"/>
    </row>
    <row r="84" customFormat="false" ht="13.5" hidden="false" customHeight="false" outlineLevel="0" collapsed="false">
      <c r="A84" s="20"/>
      <c r="B84" s="20"/>
      <c r="C84" s="20"/>
      <c r="D84" s="20"/>
      <c r="E84" s="20"/>
      <c r="F84" s="20"/>
      <c r="G84" s="20"/>
      <c r="H84" s="20"/>
      <c r="I84" s="20"/>
      <c r="J84" s="20"/>
      <c r="K84" s="20"/>
      <c r="L84" s="20"/>
      <c r="M84" s="20"/>
      <c r="N84" s="20"/>
      <c r="O84" s="20"/>
      <c r="P84" s="20"/>
      <c r="Q84" s="20"/>
      <c r="R84" s="20"/>
      <c r="S84" s="20"/>
      <c r="T84" s="20"/>
      <c r="U84" s="20"/>
    </row>
    <row r="85" customFormat="false" ht="13.5" hidden="false" customHeight="false" outlineLevel="0" collapsed="false">
      <c r="A85" s="20"/>
      <c r="B85" s="20"/>
      <c r="C85" s="20"/>
      <c r="D85" s="20"/>
      <c r="E85" s="20"/>
      <c r="F85" s="20"/>
      <c r="G85" s="20"/>
      <c r="H85" s="20"/>
      <c r="I85" s="20"/>
      <c r="J85" s="20"/>
      <c r="K85" s="20"/>
      <c r="L85" s="20"/>
      <c r="M85" s="20"/>
      <c r="N85" s="20"/>
      <c r="O85" s="20"/>
      <c r="P85" s="20"/>
      <c r="Q85" s="20"/>
      <c r="R85" s="20"/>
      <c r="S85" s="20"/>
      <c r="T85" s="20"/>
      <c r="U85" s="20"/>
    </row>
    <row r="86" customFormat="false" ht="13.5" hidden="false" customHeight="false" outlineLevel="0" collapsed="false">
      <c r="A86" s="20"/>
      <c r="B86" s="20"/>
      <c r="C86" s="20"/>
      <c r="D86" s="20"/>
      <c r="E86" s="20"/>
      <c r="F86" s="20"/>
      <c r="G86" s="20"/>
      <c r="H86" s="20"/>
      <c r="I86" s="20"/>
      <c r="J86" s="20"/>
      <c r="K86" s="20"/>
      <c r="L86" s="20"/>
      <c r="M86" s="20"/>
      <c r="N86" s="20"/>
      <c r="O86" s="20"/>
      <c r="P86" s="20"/>
      <c r="Q86" s="20"/>
      <c r="R86" s="20"/>
      <c r="S86" s="20"/>
      <c r="T86" s="20"/>
      <c r="U86" s="20"/>
    </row>
    <row r="87" customFormat="false" ht="13.5" hidden="false" customHeight="false" outlineLevel="0" collapsed="false">
      <c r="A87" s="20"/>
      <c r="B87" s="20"/>
      <c r="C87" s="20"/>
      <c r="D87" s="20"/>
      <c r="E87" s="20"/>
      <c r="F87" s="20"/>
      <c r="G87" s="20"/>
      <c r="H87" s="20"/>
      <c r="I87" s="20"/>
      <c r="J87" s="20"/>
      <c r="K87" s="20"/>
      <c r="L87" s="20"/>
      <c r="M87" s="20"/>
      <c r="N87" s="20"/>
      <c r="O87" s="20"/>
      <c r="P87" s="20"/>
      <c r="Q87" s="20"/>
      <c r="R87" s="20"/>
      <c r="S87" s="20"/>
      <c r="T87" s="20"/>
      <c r="U87" s="20"/>
    </row>
    <row r="88" customFormat="false" ht="13.5" hidden="false" customHeight="false" outlineLevel="0" collapsed="false">
      <c r="A88" s="20"/>
      <c r="B88" s="20"/>
      <c r="C88" s="20"/>
      <c r="D88" s="20"/>
      <c r="E88" s="20"/>
      <c r="F88" s="20"/>
      <c r="G88" s="20"/>
      <c r="H88" s="20"/>
      <c r="I88" s="20"/>
      <c r="J88" s="20"/>
      <c r="K88" s="20"/>
      <c r="L88" s="20"/>
      <c r="M88" s="20"/>
      <c r="N88" s="20"/>
      <c r="O88" s="20"/>
      <c r="P88" s="20"/>
      <c r="Q88" s="20"/>
      <c r="R88" s="20"/>
      <c r="S88" s="20"/>
      <c r="T88" s="20"/>
      <c r="U88" s="20"/>
    </row>
    <row r="89" customFormat="false" ht="13.5" hidden="false" customHeight="false" outlineLevel="0" collapsed="false">
      <c r="A89" s="20"/>
      <c r="B89" s="20"/>
      <c r="C89" s="20"/>
      <c r="D89" s="20"/>
      <c r="E89" s="20"/>
      <c r="F89" s="20"/>
      <c r="G89" s="20"/>
      <c r="H89" s="20"/>
      <c r="I89" s="20"/>
      <c r="J89" s="20"/>
      <c r="K89" s="20"/>
      <c r="L89" s="20"/>
      <c r="M89" s="20"/>
      <c r="N89" s="20"/>
      <c r="O89" s="20"/>
      <c r="P89" s="20"/>
      <c r="Q89" s="20"/>
      <c r="R89" s="20"/>
      <c r="S89" s="20"/>
      <c r="T89" s="20"/>
      <c r="U89" s="20"/>
    </row>
    <row r="90" customFormat="false" ht="13.5" hidden="false" customHeight="false" outlineLevel="0" collapsed="false">
      <c r="A90" s="20"/>
      <c r="B90" s="20"/>
      <c r="C90" s="20"/>
      <c r="D90" s="20"/>
      <c r="E90" s="20"/>
      <c r="F90" s="20"/>
      <c r="G90" s="20"/>
      <c r="H90" s="20"/>
      <c r="I90" s="20"/>
      <c r="J90" s="20"/>
      <c r="K90" s="20"/>
      <c r="L90" s="20"/>
      <c r="M90" s="20"/>
      <c r="N90" s="20"/>
      <c r="O90" s="20"/>
      <c r="P90" s="20"/>
      <c r="Q90" s="20"/>
      <c r="R90" s="20"/>
      <c r="S90" s="20"/>
      <c r="T90" s="20"/>
      <c r="U90" s="20"/>
    </row>
    <row r="91" customFormat="false" ht="13.5" hidden="false" customHeight="false" outlineLevel="0" collapsed="false">
      <c r="A91" s="20"/>
      <c r="B91" s="20"/>
      <c r="C91" s="20"/>
      <c r="D91" s="20"/>
      <c r="E91" s="20"/>
      <c r="F91" s="20"/>
      <c r="G91" s="20"/>
      <c r="H91" s="20"/>
      <c r="I91" s="20"/>
      <c r="J91" s="20"/>
      <c r="K91" s="20"/>
      <c r="L91" s="20"/>
      <c r="M91" s="20"/>
      <c r="N91" s="20"/>
      <c r="O91" s="20"/>
      <c r="P91" s="20"/>
      <c r="Q91" s="20"/>
      <c r="R91" s="20"/>
      <c r="S91" s="20"/>
      <c r="T91" s="20"/>
      <c r="U91" s="20"/>
    </row>
    <row r="92" customFormat="false" ht="13.5" hidden="false" customHeight="false" outlineLevel="0" collapsed="false">
      <c r="A92" s="20"/>
      <c r="B92" s="20"/>
      <c r="C92" s="20"/>
      <c r="D92" s="20"/>
      <c r="E92" s="20"/>
      <c r="F92" s="20"/>
      <c r="G92" s="20"/>
      <c r="H92" s="20"/>
      <c r="I92" s="20"/>
      <c r="J92" s="20"/>
      <c r="K92" s="20"/>
      <c r="L92" s="20"/>
      <c r="M92" s="20"/>
      <c r="N92" s="20"/>
      <c r="O92" s="20"/>
      <c r="P92" s="20"/>
      <c r="Q92" s="20"/>
      <c r="R92" s="20"/>
      <c r="S92" s="20"/>
      <c r="T92" s="20"/>
      <c r="U92" s="20"/>
    </row>
    <row r="93" customFormat="false" ht="13.5" hidden="false" customHeight="false" outlineLevel="0" collapsed="false">
      <c r="A93" s="20"/>
      <c r="B93" s="20"/>
      <c r="C93" s="20"/>
      <c r="D93" s="20"/>
      <c r="E93" s="20"/>
      <c r="F93" s="20"/>
      <c r="G93" s="20"/>
      <c r="H93" s="20"/>
      <c r="I93" s="20"/>
      <c r="J93" s="20"/>
      <c r="K93" s="20"/>
      <c r="L93" s="20"/>
      <c r="M93" s="20"/>
      <c r="N93" s="20"/>
      <c r="O93" s="20"/>
      <c r="P93" s="20"/>
      <c r="Q93" s="20"/>
      <c r="R93" s="20"/>
      <c r="S93" s="20"/>
      <c r="T93" s="20"/>
      <c r="U93" s="20"/>
    </row>
    <row r="94" customFormat="false" ht="13.5" hidden="false" customHeight="false" outlineLevel="0" collapsed="false">
      <c r="A94" s="20"/>
      <c r="B94" s="20"/>
      <c r="C94" s="20"/>
      <c r="D94" s="20"/>
      <c r="E94" s="20"/>
      <c r="F94" s="20"/>
      <c r="G94" s="20"/>
      <c r="H94" s="20"/>
      <c r="I94" s="20"/>
      <c r="J94" s="20"/>
      <c r="K94" s="20"/>
      <c r="L94" s="20"/>
      <c r="M94" s="20"/>
      <c r="N94" s="20"/>
      <c r="O94" s="20"/>
      <c r="P94" s="20"/>
      <c r="Q94" s="20"/>
      <c r="R94" s="20"/>
      <c r="S94" s="20"/>
      <c r="T94" s="20"/>
      <c r="U94" s="20"/>
    </row>
    <row r="95" customFormat="false" ht="13.5" hidden="false" customHeight="false" outlineLevel="0" collapsed="false">
      <c r="A95" s="20"/>
      <c r="B95" s="20"/>
      <c r="C95" s="20"/>
      <c r="D95" s="20"/>
      <c r="E95" s="20"/>
      <c r="F95" s="20"/>
      <c r="G95" s="20"/>
      <c r="H95" s="20"/>
      <c r="I95" s="20"/>
      <c r="J95" s="20"/>
      <c r="K95" s="20"/>
      <c r="L95" s="20"/>
      <c r="M95" s="20"/>
      <c r="N95" s="20"/>
      <c r="O95" s="20"/>
      <c r="P95" s="20"/>
      <c r="Q95" s="20"/>
      <c r="R95" s="20"/>
      <c r="S95" s="20"/>
      <c r="T95" s="20"/>
      <c r="U95" s="20"/>
    </row>
    <row r="96" customFormat="false" ht="13.5" hidden="false" customHeight="false" outlineLevel="0" collapsed="false">
      <c r="A96" s="20"/>
      <c r="B96" s="20"/>
      <c r="C96" s="20"/>
      <c r="D96" s="20"/>
      <c r="E96" s="20"/>
      <c r="F96" s="20"/>
      <c r="G96" s="20"/>
      <c r="H96" s="20"/>
      <c r="I96" s="20"/>
      <c r="J96" s="20"/>
      <c r="K96" s="20"/>
      <c r="L96" s="20"/>
      <c r="M96" s="20"/>
      <c r="N96" s="20"/>
      <c r="O96" s="20"/>
      <c r="P96" s="20"/>
      <c r="Q96" s="20"/>
      <c r="R96" s="20"/>
      <c r="S96" s="20"/>
      <c r="T96" s="20"/>
      <c r="U96" s="20"/>
    </row>
    <row r="97" customFormat="false" ht="13.5" hidden="false" customHeight="false" outlineLevel="0" collapsed="false">
      <c r="A97" s="20"/>
      <c r="B97" s="20"/>
      <c r="C97" s="20"/>
      <c r="D97" s="20"/>
      <c r="E97" s="20"/>
      <c r="F97" s="20"/>
      <c r="G97" s="20"/>
      <c r="H97" s="20"/>
      <c r="I97" s="20"/>
      <c r="J97" s="20"/>
      <c r="K97" s="20"/>
      <c r="L97" s="20"/>
      <c r="M97" s="20"/>
      <c r="N97" s="20"/>
      <c r="O97" s="20"/>
      <c r="P97" s="20"/>
      <c r="Q97" s="20"/>
      <c r="R97" s="20"/>
      <c r="S97" s="20"/>
      <c r="T97" s="20"/>
      <c r="U97" s="20"/>
    </row>
    <row r="98" customFormat="false" ht="13.5" hidden="false" customHeight="false" outlineLevel="0" collapsed="false">
      <c r="A98" s="20"/>
      <c r="B98" s="20"/>
      <c r="C98" s="20"/>
      <c r="D98" s="20"/>
      <c r="E98" s="20"/>
      <c r="F98" s="20"/>
      <c r="G98" s="20"/>
      <c r="H98" s="20"/>
      <c r="I98" s="20"/>
      <c r="J98" s="20"/>
      <c r="K98" s="20"/>
      <c r="L98" s="20"/>
      <c r="M98" s="20"/>
      <c r="N98" s="20"/>
      <c r="O98" s="20"/>
      <c r="P98" s="20"/>
      <c r="Q98" s="20"/>
      <c r="R98" s="20"/>
      <c r="S98" s="20"/>
      <c r="T98" s="20"/>
      <c r="U98" s="20"/>
    </row>
    <row r="99" customFormat="false" ht="13.5" hidden="false" customHeight="false" outlineLevel="0" collapsed="false">
      <c r="A99" s="20"/>
      <c r="B99" s="20"/>
      <c r="C99" s="20"/>
      <c r="D99" s="20"/>
      <c r="E99" s="20"/>
      <c r="F99" s="20"/>
      <c r="G99" s="20"/>
      <c r="H99" s="20"/>
      <c r="I99" s="20"/>
      <c r="J99" s="20"/>
      <c r="K99" s="20"/>
      <c r="L99" s="20"/>
      <c r="M99" s="20"/>
      <c r="N99" s="20"/>
      <c r="O99" s="20"/>
      <c r="P99" s="20"/>
      <c r="Q99" s="20"/>
      <c r="R99" s="20"/>
      <c r="S99" s="20"/>
      <c r="T99" s="20"/>
      <c r="U99" s="20"/>
    </row>
    <row r="100" customFormat="false" ht="13.5" hidden="false" customHeight="false" outlineLevel="0" collapsed="false">
      <c r="A100" s="20"/>
      <c r="B100" s="20"/>
      <c r="C100" s="20"/>
      <c r="D100" s="20"/>
      <c r="E100" s="20"/>
      <c r="F100" s="20"/>
      <c r="G100" s="20"/>
      <c r="H100" s="20"/>
      <c r="I100" s="20"/>
      <c r="J100" s="20"/>
      <c r="K100" s="20"/>
      <c r="L100" s="20"/>
      <c r="M100" s="20"/>
      <c r="N100" s="20"/>
      <c r="O100" s="20"/>
      <c r="P100" s="20"/>
      <c r="Q100" s="20"/>
      <c r="R100" s="20"/>
      <c r="S100" s="20"/>
      <c r="T100" s="20"/>
      <c r="U100" s="20"/>
    </row>
    <row r="101" customFormat="false" ht="13.5" hidden="false" customHeight="false" outlineLevel="0" collapsed="false">
      <c r="A101" s="20"/>
      <c r="B101" s="20"/>
      <c r="C101" s="20"/>
      <c r="D101" s="20"/>
      <c r="E101" s="20"/>
      <c r="F101" s="20"/>
      <c r="G101" s="20"/>
      <c r="H101" s="20"/>
      <c r="I101" s="20"/>
      <c r="J101" s="20"/>
      <c r="K101" s="20"/>
      <c r="L101" s="20"/>
      <c r="M101" s="20"/>
      <c r="N101" s="20"/>
      <c r="O101" s="20"/>
      <c r="P101" s="20"/>
      <c r="Q101" s="20"/>
      <c r="R101" s="20"/>
      <c r="S101" s="20"/>
      <c r="T101" s="20"/>
      <c r="U101" s="20"/>
    </row>
    <row r="102" customFormat="false" ht="13.5" hidden="false" customHeight="false" outlineLevel="0" collapsed="false">
      <c r="A102" s="20"/>
      <c r="B102" s="20"/>
      <c r="C102" s="20"/>
      <c r="D102" s="20"/>
      <c r="E102" s="20"/>
      <c r="F102" s="20"/>
      <c r="G102" s="20"/>
      <c r="H102" s="20"/>
      <c r="I102" s="20"/>
      <c r="J102" s="20"/>
      <c r="K102" s="20"/>
      <c r="L102" s="20"/>
      <c r="M102" s="20"/>
      <c r="N102" s="20"/>
      <c r="O102" s="20"/>
      <c r="P102" s="20"/>
      <c r="Q102" s="20"/>
      <c r="R102" s="20"/>
      <c r="S102" s="20"/>
      <c r="T102" s="20"/>
      <c r="U102" s="20"/>
    </row>
    <row r="103" customFormat="false" ht="13.5" hidden="false" customHeight="false" outlineLevel="0" collapsed="false">
      <c r="A103" s="20"/>
      <c r="B103" s="20"/>
      <c r="C103" s="20"/>
      <c r="D103" s="20"/>
      <c r="E103" s="20"/>
      <c r="F103" s="20"/>
      <c r="G103" s="20"/>
      <c r="H103" s="20"/>
      <c r="I103" s="20"/>
      <c r="J103" s="20"/>
      <c r="K103" s="20"/>
      <c r="L103" s="20"/>
      <c r="M103" s="20"/>
      <c r="N103" s="20"/>
      <c r="O103" s="20"/>
      <c r="P103" s="20"/>
      <c r="Q103" s="20"/>
      <c r="R103" s="20"/>
      <c r="S103" s="20"/>
      <c r="T103" s="20"/>
      <c r="U103" s="20"/>
    </row>
    <row r="104" customFormat="false" ht="13.5" hidden="false" customHeight="false" outlineLevel="0" collapsed="false">
      <c r="A104" s="20"/>
      <c r="B104" s="20"/>
      <c r="C104" s="20"/>
      <c r="D104" s="20"/>
      <c r="E104" s="20"/>
      <c r="F104" s="20"/>
      <c r="G104" s="20"/>
      <c r="H104" s="20"/>
      <c r="I104" s="20"/>
      <c r="J104" s="20"/>
      <c r="K104" s="20"/>
      <c r="L104" s="20"/>
      <c r="M104" s="20"/>
      <c r="N104" s="20"/>
      <c r="O104" s="20"/>
      <c r="P104" s="20"/>
      <c r="Q104" s="20"/>
      <c r="R104" s="20"/>
      <c r="S104" s="20"/>
      <c r="T104" s="20"/>
      <c r="U104" s="20"/>
    </row>
    <row r="105" customFormat="false" ht="13.5" hidden="false" customHeight="false" outlineLevel="0" collapsed="false">
      <c r="A105" s="20"/>
      <c r="B105" s="20"/>
      <c r="C105" s="20"/>
      <c r="D105" s="20"/>
      <c r="E105" s="20"/>
      <c r="F105" s="20"/>
      <c r="G105" s="20"/>
      <c r="H105" s="20"/>
      <c r="I105" s="20"/>
      <c r="J105" s="20"/>
      <c r="K105" s="20"/>
      <c r="L105" s="20"/>
      <c r="M105" s="20"/>
      <c r="N105" s="20"/>
      <c r="O105" s="20"/>
      <c r="P105" s="20"/>
      <c r="Q105" s="20"/>
      <c r="R105" s="20"/>
      <c r="S105" s="20"/>
      <c r="T105" s="20"/>
      <c r="U105" s="20"/>
    </row>
    <row r="106" customFormat="false" ht="13.5" hidden="false" customHeight="false" outlineLevel="0" collapsed="false">
      <c r="A106" s="20"/>
      <c r="B106" s="20"/>
      <c r="C106" s="20"/>
      <c r="D106" s="20"/>
      <c r="E106" s="20"/>
      <c r="F106" s="20"/>
      <c r="G106" s="20"/>
      <c r="H106" s="20"/>
      <c r="I106" s="20"/>
      <c r="J106" s="20"/>
      <c r="K106" s="20"/>
      <c r="L106" s="20"/>
      <c r="M106" s="20"/>
      <c r="N106" s="20"/>
      <c r="O106" s="20"/>
      <c r="P106" s="20"/>
      <c r="Q106" s="20"/>
      <c r="R106" s="20"/>
      <c r="S106" s="20"/>
      <c r="T106" s="20"/>
      <c r="U106" s="20"/>
    </row>
    <row r="107" customFormat="false" ht="13.5" hidden="false" customHeight="false" outlineLevel="0" collapsed="false">
      <c r="A107" s="20"/>
      <c r="B107" s="20"/>
      <c r="C107" s="20"/>
      <c r="D107" s="20"/>
      <c r="E107" s="20"/>
      <c r="F107" s="20"/>
      <c r="G107" s="20"/>
      <c r="H107" s="20"/>
      <c r="I107" s="20"/>
      <c r="J107" s="20"/>
      <c r="K107" s="20"/>
      <c r="L107" s="20"/>
      <c r="M107" s="20"/>
      <c r="N107" s="20"/>
      <c r="O107" s="20"/>
      <c r="P107" s="20"/>
      <c r="Q107" s="20"/>
      <c r="R107" s="20"/>
      <c r="S107" s="20"/>
      <c r="T107" s="20"/>
      <c r="U107" s="20"/>
    </row>
    <row r="108" customFormat="false" ht="13.5" hidden="false" customHeight="false" outlineLevel="0" collapsed="false">
      <c r="A108" s="20"/>
      <c r="B108" s="20"/>
      <c r="C108" s="20"/>
      <c r="D108" s="20"/>
      <c r="E108" s="20"/>
      <c r="F108" s="20"/>
      <c r="G108" s="20"/>
      <c r="H108" s="20"/>
      <c r="I108" s="20"/>
      <c r="J108" s="20"/>
      <c r="K108" s="20"/>
      <c r="L108" s="20"/>
      <c r="M108" s="20"/>
      <c r="N108" s="20"/>
      <c r="O108" s="20"/>
      <c r="P108" s="20"/>
      <c r="Q108" s="20"/>
      <c r="R108" s="20"/>
      <c r="S108" s="20"/>
      <c r="T108" s="20"/>
      <c r="U108" s="20"/>
    </row>
    <row r="109" customFormat="false" ht="13.5" hidden="false" customHeight="false" outlineLevel="0" collapsed="false">
      <c r="A109" s="20"/>
      <c r="B109" s="20"/>
      <c r="C109" s="20"/>
      <c r="D109" s="20"/>
      <c r="E109" s="20"/>
      <c r="F109" s="20"/>
      <c r="G109" s="20"/>
      <c r="H109" s="20"/>
      <c r="I109" s="20"/>
      <c r="J109" s="20"/>
      <c r="K109" s="20"/>
      <c r="L109" s="20"/>
      <c r="M109" s="20"/>
      <c r="N109" s="20"/>
      <c r="O109" s="20"/>
      <c r="P109" s="20"/>
      <c r="Q109" s="20"/>
      <c r="R109" s="20"/>
      <c r="S109" s="20"/>
      <c r="T109" s="20"/>
      <c r="U109" s="20"/>
    </row>
    <row r="110" customFormat="false" ht="13.5" hidden="false" customHeight="false" outlineLevel="0" collapsed="false">
      <c r="A110" s="20"/>
      <c r="B110" s="20"/>
      <c r="C110" s="20"/>
      <c r="D110" s="20"/>
      <c r="E110" s="20"/>
      <c r="F110" s="20"/>
      <c r="G110" s="20"/>
      <c r="H110" s="20"/>
      <c r="I110" s="20"/>
      <c r="J110" s="20"/>
      <c r="K110" s="20"/>
      <c r="L110" s="20"/>
      <c r="M110" s="20"/>
      <c r="N110" s="20"/>
      <c r="O110" s="20"/>
      <c r="P110" s="20"/>
      <c r="Q110" s="20"/>
      <c r="R110" s="20"/>
      <c r="S110" s="20"/>
      <c r="T110" s="20"/>
      <c r="U110" s="20"/>
    </row>
    <row r="111" customFormat="false" ht="13.5" hidden="false" customHeight="false" outlineLevel="0" collapsed="false">
      <c r="A111" s="20"/>
      <c r="B111" s="20"/>
      <c r="C111" s="20"/>
      <c r="D111" s="20"/>
      <c r="E111" s="20"/>
      <c r="F111" s="20"/>
      <c r="G111" s="20"/>
      <c r="H111" s="20"/>
      <c r="I111" s="20"/>
      <c r="J111" s="20"/>
      <c r="K111" s="20"/>
      <c r="L111" s="20"/>
      <c r="M111" s="20"/>
      <c r="N111" s="20"/>
      <c r="O111" s="20"/>
      <c r="P111" s="20"/>
      <c r="Q111" s="20"/>
      <c r="R111" s="20"/>
      <c r="S111" s="20"/>
      <c r="T111" s="20"/>
      <c r="U111" s="20"/>
    </row>
    <row r="112" customFormat="false" ht="13.5" hidden="false" customHeight="false" outlineLevel="0" collapsed="false">
      <c r="A112" s="20"/>
      <c r="B112" s="20"/>
      <c r="C112" s="20"/>
      <c r="D112" s="20"/>
      <c r="E112" s="20"/>
      <c r="F112" s="20"/>
      <c r="G112" s="20"/>
      <c r="H112" s="20"/>
      <c r="I112" s="20"/>
      <c r="J112" s="20"/>
      <c r="K112" s="20"/>
      <c r="L112" s="20"/>
      <c r="M112" s="20"/>
      <c r="N112" s="20"/>
      <c r="O112" s="20"/>
      <c r="P112" s="20"/>
      <c r="Q112" s="20"/>
      <c r="R112" s="20"/>
      <c r="S112" s="20"/>
      <c r="T112" s="20"/>
      <c r="U112" s="20"/>
    </row>
    <row r="113" customFormat="false" ht="13.5" hidden="false" customHeight="false" outlineLevel="0" collapsed="false">
      <c r="A113" s="20"/>
      <c r="B113" s="20"/>
      <c r="C113" s="20"/>
      <c r="D113" s="20"/>
      <c r="E113" s="20"/>
      <c r="F113" s="20"/>
      <c r="G113" s="20"/>
      <c r="H113" s="20"/>
      <c r="I113" s="20"/>
      <c r="J113" s="20"/>
      <c r="K113" s="20"/>
      <c r="L113" s="20"/>
      <c r="M113" s="20"/>
      <c r="N113" s="20"/>
      <c r="O113" s="20"/>
      <c r="P113" s="20"/>
      <c r="Q113" s="20"/>
      <c r="R113" s="20"/>
      <c r="S113" s="20"/>
      <c r="T113" s="20"/>
      <c r="U113" s="20"/>
    </row>
    <row r="114" customFormat="false" ht="13.5" hidden="false" customHeight="false" outlineLevel="0" collapsed="false">
      <c r="A114" s="20"/>
      <c r="B114" s="20"/>
      <c r="C114" s="20"/>
      <c r="D114" s="20"/>
      <c r="E114" s="20"/>
      <c r="F114" s="20"/>
      <c r="G114" s="20"/>
      <c r="H114" s="20"/>
      <c r="I114" s="20"/>
      <c r="J114" s="20"/>
      <c r="K114" s="20"/>
      <c r="L114" s="20"/>
      <c r="M114" s="20"/>
      <c r="N114" s="20"/>
      <c r="O114" s="20"/>
      <c r="P114" s="20"/>
      <c r="Q114" s="20"/>
      <c r="R114" s="20"/>
      <c r="S114" s="20"/>
      <c r="T114" s="20"/>
      <c r="U114" s="20"/>
    </row>
    <row r="115" customFormat="false" ht="13.5" hidden="false" customHeight="false" outlineLevel="0" collapsed="false">
      <c r="A115" s="20"/>
      <c r="B115" s="20"/>
      <c r="C115" s="20"/>
      <c r="D115" s="20"/>
      <c r="E115" s="20"/>
      <c r="F115" s="20"/>
      <c r="G115" s="20"/>
      <c r="H115" s="20"/>
      <c r="I115" s="20"/>
      <c r="J115" s="20"/>
      <c r="K115" s="20"/>
      <c r="L115" s="20"/>
      <c r="M115" s="20"/>
      <c r="N115" s="20"/>
      <c r="O115" s="20"/>
      <c r="P115" s="20"/>
      <c r="Q115" s="20"/>
      <c r="R115" s="20"/>
      <c r="S115" s="20"/>
      <c r="T115" s="20"/>
      <c r="U115" s="20"/>
    </row>
    <row r="116" customFormat="false" ht="13.5" hidden="false" customHeight="false" outlineLevel="0" collapsed="false">
      <c r="A116" s="20"/>
      <c r="B116" s="20"/>
      <c r="C116" s="20"/>
      <c r="D116" s="20"/>
      <c r="E116" s="20"/>
      <c r="F116" s="20"/>
      <c r="G116" s="20"/>
      <c r="H116" s="20"/>
      <c r="I116" s="20"/>
      <c r="J116" s="20"/>
      <c r="K116" s="20"/>
      <c r="L116" s="20"/>
      <c r="M116" s="20"/>
      <c r="N116" s="20"/>
      <c r="O116" s="20"/>
      <c r="P116" s="20"/>
      <c r="Q116" s="20"/>
      <c r="R116" s="20"/>
      <c r="S116" s="20"/>
      <c r="T116" s="20"/>
      <c r="U116" s="20"/>
    </row>
    <row r="117" customFormat="false" ht="13.5" hidden="false" customHeight="false" outlineLevel="0" collapsed="false">
      <c r="A117" s="20"/>
      <c r="B117" s="20"/>
      <c r="C117" s="20"/>
      <c r="D117" s="20"/>
      <c r="E117" s="20"/>
      <c r="F117" s="20"/>
      <c r="G117" s="20"/>
      <c r="H117" s="20"/>
      <c r="I117" s="20"/>
      <c r="J117" s="20"/>
      <c r="K117" s="20"/>
      <c r="L117" s="20"/>
      <c r="M117" s="20"/>
      <c r="N117" s="20"/>
      <c r="O117" s="20"/>
      <c r="P117" s="20"/>
      <c r="Q117" s="20"/>
      <c r="R117" s="20"/>
      <c r="S117" s="20"/>
      <c r="T117" s="20"/>
      <c r="U117" s="20"/>
    </row>
    <row r="118" customFormat="false" ht="13.5" hidden="false" customHeight="false" outlineLevel="0" collapsed="false">
      <c r="A118" s="20"/>
      <c r="B118" s="20"/>
      <c r="C118" s="20"/>
      <c r="D118" s="20"/>
      <c r="E118" s="20"/>
      <c r="F118" s="20"/>
      <c r="G118" s="20"/>
      <c r="H118" s="20"/>
      <c r="I118" s="20"/>
      <c r="J118" s="20"/>
      <c r="K118" s="20"/>
      <c r="L118" s="20"/>
      <c r="M118" s="20"/>
      <c r="N118" s="20"/>
      <c r="O118" s="20"/>
      <c r="P118" s="20"/>
      <c r="Q118" s="20"/>
      <c r="R118" s="20"/>
      <c r="S118" s="20"/>
      <c r="T118" s="20"/>
      <c r="U118" s="20"/>
    </row>
    <row r="119" customFormat="false" ht="13.5" hidden="false" customHeight="false" outlineLevel="0" collapsed="false">
      <c r="A119" s="20"/>
      <c r="B119" s="20"/>
      <c r="C119" s="20"/>
      <c r="D119" s="20"/>
      <c r="E119" s="20"/>
      <c r="F119" s="20"/>
      <c r="G119" s="20"/>
      <c r="H119" s="20"/>
      <c r="I119" s="20"/>
      <c r="J119" s="20"/>
      <c r="K119" s="20"/>
      <c r="L119" s="20"/>
      <c r="M119" s="20"/>
      <c r="N119" s="20"/>
      <c r="O119" s="20"/>
      <c r="P119" s="20"/>
      <c r="Q119" s="20"/>
      <c r="R119" s="20"/>
      <c r="S119" s="20"/>
      <c r="T119" s="20"/>
      <c r="U119" s="20"/>
    </row>
    <row r="120" customFormat="false" ht="13.5" hidden="false" customHeight="false" outlineLevel="0" collapsed="false">
      <c r="A120" s="20"/>
      <c r="B120" s="20"/>
      <c r="C120" s="20"/>
      <c r="D120" s="20"/>
      <c r="E120" s="20"/>
      <c r="F120" s="20"/>
      <c r="G120" s="20"/>
      <c r="H120" s="20"/>
      <c r="I120" s="20"/>
      <c r="J120" s="20"/>
      <c r="K120" s="20"/>
      <c r="L120" s="20"/>
      <c r="M120" s="20"/>
      <c r="N120" s="20"/>
      <c r="O120" s="20"/>
      <c r="P120" s="20"/>
      <c r="Q120" s="20"/>
      <c r="R120" s="20"/>
      <c r="S120" s="20"/>
      <c r="T120" s="20"/>
      <c r="U120" s="20"/>
    </row>
    <row r="121" customFormat="false" ht="13.5" hidden="false" customHeight="false" outlineLevel="0" collapsed="false">
      <c r="A121" s="20"/>
      <c r="B121" s="20"/>
      <c r="C121" s="20"/>
      <c r="D121" s="20"/>
      <c r="E121" s="20"/>
      <c r="F121" s="20"/>
      <c r="G121" s="20"/>
      <c r="H121" s="20"/>
      <c r="I121" s="20"/>
      <c r="J121" s="20"/>
      <c r="K121" s="20"/>
      <c r="L121" s="20"/>
      <c r="M121" s="20"/>
      <c r="N121" s="20"/>
      <c r="O121" s="20"/>
      <c r="P121" s="20"/>
      <c r="Q121" s="20"/>
      <c r="R121" s="20"/>
      <c r="S121" s="20"/>
      <c r="T121" s="20"/>
      <c r="U121" s="20"/>
    </row>
    <row r="122" customFormat="false" ht="13.5" hidden="false" customHeight="false" outlineLevel="0" collapsed="false">
      <c r="A122" s="20"/>
      <c r="B122" s="20"/>
      <c r="C122" s="20"/>
      <c r="D122" s="20"/>
      <c r="E122" s="20"/>
      <c r="F122" s="20"/>
      <c r="G122" s="20"/>
      <c r="H122" s="20"/>
      <c r="I122" s="20"/>
      <c r="J122" s="20"/>
      <c r="K122" s="20"/>
      <c r="L122" s="20"/>
      <c r="M122" s="20"/>
      <c r="N122" s="20"/>
      <c r="O122" s="20"/>
      <c r="P122" s="20"/>
      <c r="Q122" s="20"/>
      <c r="R122" s="20"/>
      <c r="S122" s="20"/>
      <c r="T122" s="20"/>
      <c r="U122" s="20"/>
    </row>
    <row r="123" customFormat="false" ht="13.5" hidden="false" customHeight="false" outlineLevel="0" collapsed="false">
      <c r="A123" s="20"/>
      <c r="B123" s="20"/>
      <c r="C123" s="20"/>
      <c r="D123" s="20"/>
      <c r="E123" s="20"/>
      <c r="F123" s="20"/>
      <c r="G123" s="20"/>
      <c r="H123" s="20"/>
      <c r="I123" s="20"/>
      <c r="J123" s="20"/>
      <c r="K123" s="20"/>
      <c r="L123" s="20"/>
      <c r="M123" s="20"/>
      <c r="N123" s="20"/>
      <c r="O123" s="20"/>
      <c r="P123" s="20"/>
      <c r="Q123" s="20"/>
      <c r="R123" s="20"/>
      <c r="S123" s="20"/>
      <c r="T123" s="20"/>
      <c r="U123" s="20"/>
    </row>
    <row r="124" customFormat="false" ht="13.5" hidden="false" customHeight="false" outlineLevel="0" collapsed="false">
      <c r="A124" s="20"/>
      <c r="B124" s="20"/>
      <c r="C124" s="20"/>
      <c r="D124" s="20"/>
      <c r="E124" s="20"/>
      <c r="F124" s="20"/>
      <c r="G124" s="20"/>
      <c r="H124" s="20"/>
      <c r="I124" s="20"/>
      <c r="J124" s="20"/>
      <c r="K124" s="20"/>
      <c r="L124" s="20"/>
      <c r="M124" s="20"/>
      <c r="N124" s="20"/>
      <c r="O124" s="20"/>
      <c r="P124" s="20"/>
      <c r="Q124" s="20"/>
      <c r="R124" s="20"/>
      <c r="S124" s="20"/>
      <c r="T124" s="20"/>
      <c r="U124" s="20"/>
    </row>
    <row r="125" customFormat="false" ht="13.5" hidden="false" customHeight="false" outlineLevel="0" collapsed="false">
      <c r="A125" s="20"/>
      <c r="B125" s="20"/>
      <c r="C125" s="20"/>
      <c r="D125" s="20"/>
      <c r="E125" s="20"/>
      <c r="F125" s="20"/>
      <c r="G125" s="20"/>
      <c r="H125" s="20"/>
      <c r="I125" s="20"/>
      <c r="J125" s="20"/>
      <c r="K125" s="20"/>
      <c r="L125" s="20"/>
      <c r="M125" s="20"/>
      <c r="N125" s="20"/>
      <c r="O125" s="20"/>
      <c r="P125" s="20"/>
      <c r="Q125" s="20"/>
      <c r="R125" s="20"/>
      <c r="S125" s="20"/>
      <c r="T125" s="20"/>
      <c r="U125" s="20"/>
    </row>
    <row r="126" customFormat="false" ht="13.5" hidden="false" customHeight="false" outlineLevel="0" collapsed="false">
      <c r="A126" s="20"/>
      <c r="B126" s="20"/>
      <c r="C126" s="20"/>
      <c r="D126" s="20"/>
      <c r="E126" s="20"/>
      <c r="F126" s="20"/>
      <c r="G126" s="20"/>
      <c r="H126" s="20"/>
      <c r="I126" s="20"/>
      <c r="J126" s="20"/>
      <c r="K126" s="20"/>
      <c r="L126" s="20"/>
      <c r="M126" s="20"/>
      <c r="N126" s="20"/>
      <c r="O126" s="20"/>
      <c r="P126" s="20"/>
      <c r="Q126" s="20"/>
      <c r="R126" s="20"/>
      <c r="S126" s="20"/>
      <c r="T126" s="20"/>
      <c r="U126" s="20"/>
    </row>
    <row r="127" customFormat="false" ht="13.5" hidden="false" customHeight="false" outlineLevel="0" collapsed="false">
      <c r="A127" s="20"/>
      <c r="B127" s="20"/>
      <c r="C127" s="20"/>
      <c r="D127" s="20"/>
      <c r="E127" s="20"/>
      <c r="F127" s="20"/>
      <c r="G127" s="20"/>
      <c r="H127" s="20"/>
      <c r="I127" s="20"/>
      <c r="J127" s="20"/>
      <c r="K127" s="20"/>
      <c r="L127" s="20"/>
      <c r="M127" s="20"/>
      <c r="N127" s="20"/>
      <c r="O127" s="20"/>
      <c r="P127" s="20"/>
      <c r="Q127" s="20"/>
      <c r="R127" s="20"/>
      <c r="S127" s="20"/>
      <c r="T127" s="20"/>
      <c r="U127" s="20"/>
    </row>
    <row r="128" customFormat="false" ht="13.5" hidden="false" customHeight="false" outlineLevel="0" collapsed="false">
      <c r="A128" s="20"/>
      <c r="B128" s="20"/>
      <c r="C128" s="20"/>
      <c r="D128" s="20"/>
      <c r="E128" s="20"/>
      <c r="F128" s="20"/>
      <c r="G128" s="20"/>
      <c r="H128" s="20"/>
      <c r="I128" s="20"/>
      <c r="J128" s="20"/>
      <c r="K128" s="20"/>
      <c r="L128" s="20"/>
      <c r="M128" s="20"/>
      <c r="N128" s="20"/>
      <c r="O128" s="20"/>
      <c r="P128" s="20"/>
      <c r="Q128" s="20"/>
      <c r="R128" s="20"/>
      <c r="S128" s="20"/>
      <c r="T128" s="20"/>
      <c r="U128" s="20"/>
    </row>
    <row r="129" customFormat="false" ht="13.5" hidden="false" customHeight="false" outlineLevel="0" collapsed="false">
      <c r="A129" s="20"/>
      <c r="B129" s="20"/>
      <c r="C129" s="20"/>
      <c r="D129" s="20"/>
      <c r="E129" s="20"/>
      <c r="F129" s="20"/>
      <c r="G129" s="20"/>
      <c r="H129" s="20"/>
      <c r="I129" s="20"/>
      <c r="J129" s="20"/>
      <c r="K129" s="20"/>
      <c r="L129" s="20"/>
      <c r="M129" s="20"/>
      <c r="N129" s="20"/>
      <c r="O129" s="20"/>
      <c r="P129" s="20"/>
      <c r="Q129" s="20"/>
      <c r="R129" s="20"/>
      <c r="S129" s="20"/>
      <c r="T129" s="20"/>
      <c r="U129" s="20"/>
    </row>
    <row r="130" customFormat="false" ht="13.5" hidden="false" customHeight="false" outlineLevel="0" collapsed="false">
      <c r="A130" s="20"/>
      <c r="B130" s="20"/>
      <c r="C130" s="20"/>
      <c r="D130" s="20"/>
      <c r="E130" s="20"/>
      <c r="F130" s="20"/>
      <c r="G130" s="20"/>
      <c r="H130" s="20"/>
      <c r="I130" s="20"/>
      <c r="J130" s="20"/>
      <c r="K130" s="20"/>
      <c r="L130" s="20"/>
      <c r="M130" s="20"/>
      <c r="N130" s="20"/>
      <c r="O130" s="20"/>
      <c r="P130" s="20"/>
      <c r="Q130" s="20"/>
      <c r="R130" s="20"/>
      <c r="S130" s="20"/>
      <c r="T130" s="20"/>
      <c r="U130" s="20"/>
    </row>
    <row r="131" customFormat="false" ht="13.5" hidden="false" customHeight="false" outlineLevel="0" collapsed="false">
      <c r="A131" s="20"/>
      <c r="B131" s="20"/>
      <c r="C131" s="20"/>
      <c r="D131" s="20"/>
      <c r="E131" s="20"/>
      <c r="F131" s="20"/>
      <c r="G131" s="20"/>
      <c r="H131" s="20"/>
      <c r="I131" s="20"/>
      <c r="J131" s="20"/>
      <c r="K131" s="20"/>
      <c r="L131" s="20"/>
      <c r="M131" s="20"/>
      <c r="N131" s="20"/>
      <c r="O131" s="20"/>
      <c r="P131" s="20"/>
      <c r="Q131" s="20"/>
      <c r="R131" s="20"/>
      <c r="S131" s="20"/>
      <c r="T131" s="20"/>
      <c r="U131" s="20"/>
    </row>
    <row r="132" customFormat="false" ht="13.5" hidden="false" customHeight="false" outlineLevel="0" collapsed="false">
      <c r="A132" s="20"/>
      <c r="B132" s="20"/>
      <c r="C132" s="20"/>
      <c r="D132" s="20"/>
      <c r="E132" s="20"/>
      <c r="F132" s="20"/>
      <c r="G132" s="20"/>
      <c r="H132" s="20"/>
      <c r="I132" s="20"/>
      <c r="J132" s="20"/>
      <c r="K132" s="20"/>
      <c r="L132" s="20"/>
      <c r="M132" s="20"/>
      <c r="N132" s="20"/>
      <c r="O132" s="20"/>
      <c r="P132" s="20"/>
      <c r="Q132" s="20"/>
      <c r="R132" s="20"/>
      <c r="S132" s="20"/>
      <c r="T132" s="20"/>
      <c r="U132" s="20"/>
    </row>
    <row r="133" customFormat="false" ht="13.5" hidden="false" customHeight="false" outlineLevel="0" collapsed="false">
      <c r="A133" s="20"/>
      <c r="B133" s="20"/>
      <c r="C133" s="20"/>
      <c r="D133" s="20"/>
      <c r="E133" s="20"/>
      <c r="F133" s="20"/>
      <c r="G133" s="20"/>
      <c r="H133" s="20"/>
      <c r="I133" s="20"/>
      <c r="J133" s="20"/>
      <c r="K133" s="20"/>
      <c r="L133" s="20"/>
      <c r="M133" s="20"/>
      <c r="N133" s="20"/>
      <c r="O133" s="20"/>
      <c r="P133" s="20"/>
      <c r="Q133" s="20"/>
      <c r="R133" s="20"/>
      <c r="S133" s="20"/>
      <c r="T133" s="20"/>
      <c r="U133" s="20"/>
    </row>
    <row r="134" customFormat="false" ht="13.5" hidden="false" customHeight="false" outlineLevel="0" collapsed="false">
      <c r="A134" s="20"/>
      <c r="B134" s="20"/>
      <c r="C134" s="20"/>
      <c r="D134" s="20"/>
      <c r="E134" s="20"/>
      <c r="F134" s="20"/>
      <c r="G134" s="20"/>
      <c r="H134" s="20"/>
      <c r="I134" s="20"/>
      <c r="J134" s="20"/>
      <c r="K134" s="20"/>
      <c r="L134" s="20"/>
      <c r="M134" s="20"/>
      <c r="N134" s="20"/>
      <c r="O134" s="20"/>
      <c r="P134" s="20"/>
      <c r="Q134" s="20"/>
      <c r="R134" s="20"/>
      <c r="S134" s="20"/>
      <c r="T134" s="20"/>
      <c r="U134" s="20"/>
    </row>
    <row r="135" customFormat="false" ht="13.5" hidden="false" customHeight="false" outlineLevel="0" collapsed="false">
      <c r="A135" s="20"/>
      <c r="B135" s="20"/>
      <c r="C135" s="20"/>
      <c r="D135" s="20"/>
      <c r="E135" s="20"/>
      <c r="F135" s="20"/>
      <c r="G135" s="20"/>
      <c r="H135" s="20"/>
      <c r="I135" s="20"/>
      <c r="J135" s="20"/>
      <c r="K135" s="20"/>
      <c r="L135" s="20"/>
      <c r="M135" s="20"/>
      <c r="N135" s="20"/>
      <c r="O135" s="20"/>
      <c r="P135" s="20"/>
      <c r="Q135" s="20"/>
      <c r="R135" s="20"/>
      <c r="S135" s="20"/>
      <c r="T135" s="20"/>
      <c r="U135" s="20"/>
    </row>
    <row r="136" customFormat="false" ht="13.5" hidden="false" customHeight="false" outlineLevel="0" collapsed="false">
      <c r="A136" s="20"/>
      <c r="B136" s="20"/>
      <c r="C136" s="20"/>
      <c r="D136" s="20"/>
      <c r="E136" s="20"/>
      <c r="F136" s="20"/>
      <c r="G136" s="20"/>
      <c r="H136" s="20"/>
      <c r="I136" s="20"/>
      <c r="J136" s="20"/>
      <c r="K136" s="20"/>
      <c r="L136" s="20"/>
      <c r="M136" s="20"/>
      <c r="N136" s="20"/>
      <c r="O136" s="20"/>
      <c r="P136" s="20"/>
      <c r="Q136" s="20"/>
      <c r="R136" s="20"/>
      <c r="S136" s="20"/>
      <c r="T136" s="20"/>
      <c r="U136" s="20"/>
    </row>
    <row r="137" customFormat="false" ht="13.5" hidden="false" customHeight="false" outlineLevel="0" collapsed="false">
      <c r="A137" s="20"/>
      <c r="B137" s="20"/>
      <c r="C137" s="20"/>
      <c r="D137" s="20"/>
      <c r="E137" s="20"/>
      <c r="F137" s="20"/>
      <c r="G137" s="20"/>
      <c r="H137" s="20"/>
      <c r="I137" s="20"/>
      <c r="J137" s="20"/>
      <c r="K137" s="20"/>
      <c r="L137" s="20"/>
      <c r="M137" s="20"/>
      <c r="N137" s="20"/>
      <c r="O137" s="20"/>
      <c r="P137" s="20"/>
      <c r="Q137" s="20"/>
      <c r="R137" s="20"/>
      <c r="S137" s="20"/>
      <c r="T137" s="20"/>
      <c r="U137" s="20"/>
    </row>
    <row r="138" customFormat="false" ht="13.5" hidden="false" customHeight="false" outlineLevel="0" collapsed="false">
      <c r="A138" s="20"/>
      <c r="B138" s="20"/>
      <c r="C138" s="20"/>
      <c r="D138" s="20"/>
      <c r="E138" s="20"/>
      <c r="F138" s="20"/>
      <c r="G138" s="20"/>
      <c r="H138" s="20"/>
      <c r="I138" s="20"/>
      <c r="J138" s="20"/>
      <c r="K138" s="20"/>
      <c r="L138" s="20"/>
      <c r="M138" s="20"/>
      <c r="N138" s="20"/>
      <c r="O138" s="20"/>
      <c r="P138" s="20"/>
      <c r="Q138" s="20"/>
      <c r="R138" s="20"/>
      <c r="S138" s="20"/>
      <c r="T138" s="20"/>
      <c r="U138" s="20"/>
    </row>
    <row r="139" customFormat="false" ht="13.5" hidden="false" customHeight="false" outlineLevel="0" collapsed="false">
      <c r="A139" s="20"/>
      <c r="B139" s="20"/>
      <c r="C139" s="20"/>
      <c r="D139" s="20"/>
      <c r="E139" s="20"/>
      <c r="F139" s="20"/>
      <c r="G139" s="20"/>
      <c r="H139" s="20"/>
      <c r="I139" s="20"/>
      <c r="J139" s="20"/>
      <c r="K139" s="20"/>
      <c r="L139" s="20"/>
      <c r="M139" s="20"/>
      <c r="N139" s="20"/>
      <c r="O139" s="20"/>
      <c r="P139" s="20"/>
      <c r="Q139" s="20"/>
      <c r="R139" s="20"/>
      <c r="S139" s="20"/>
      <c r="T139" s="20"/>
      <c r="U139" s="20"/>
    </row>
    <row r="140" customFormat="false" ht="13.5" hidden="false" customHeight="false" outlineLevel="0" collapsed="false">
      <c r="A140" s="20"/>
      <c r="B140" s="20"/>
      <c r="C140" s="20"/>
      <c r="D140" s="20"/>
      <c r="E140" s="20"/>
      <c r="F140" s="20"/>
      <c r="G140" s="20"/>
      <c r="H140" s="20"/>
      <c r="I140" s="20"/>
      <c r="J140" s="20"/>
      <c r="K140" s="20"/>
      <c r="L140" s="20"/>
      <c r="M140" s="20"/>
      <c r="N140" s="20"/>
      <c r="O140" s="20"/>
      <c r="P140" s="20"/>
      <c r="Q140" s="20"/>
      <c r="R140" s="20"/>
      <c r="S140" s="20"/>
      <c r="T140" s="20"/>
      <c r="U140" s="20"/>
    </row>
    <row r="141" customFormat="false" ht="13.5" hidden="false" customHeight="false" outlineLevel="0" collapsed="false">
      <c r="A141" s="20"/>
      <c r="B141" s="20"/>
      <c r="C141" s="20"/>
      <c r="D141" s="20"/>
      <c r="E141" s="20"/>
      <c r="F141" s="20"/>
      <c r="G141" s="20"/>
      <c r="H141" s="20"/>
      <c r="I141" s="20"/>
      <c r="J141" s="20"/>
      <c r="K141" s="20"/>
      <c r="L141" s="20"/>
      <c r="M141" s="20"/>
      <c r="N141" s="20"/>
      <c r="O141" s="20"/>
      <c r="P141" s="20"/>
      <c r="Q141" s="20"/>
      <c r="R141" s="20"/>
      <c r="S141" s="20"/>
      <c r="T141" s="20"/>
      <c r="U141" s="20"/>
    </row>
    <row r="142" customFormat="false" ht="13.5" hidden="false" customHeight="false" outlineLevel="0" collapsed="false">
      <c r="A142" s="20"/>
      <c r="B142" s="20"/>
      <c r="C142" s="20"/>
      <c r="D142" s="20"/>
      <c r="E142" s="20"/>
      <c r="F142" s="20"/>
      <c r="G142" s="20"/>
      <c r="H142" s="20"/>
      <c r="I142" s="20"/>
      <c r="J142" s="20"/>
      <c r="K142" s="20"/>
      <c r="L142" s="20"/>
      <c r="M142" s="20"/>
      <c r="N142" s="20"/>
      <c r="O142" s="20"/>
      <c r="P142" s="20"/>
      <c r="Q142" s="20"/>
      <c r="R142" s="20"/>
      <c r="S142" s="20"/>
      <c r="T142" s="20"/>
      <c r="U142" s="20"/>
    </row>
    <row r="143" customFormat="false" ht="13.5" hidden="false" customHeight="false" outlineLevel="0" collapsed="false">
      <c r="A143" s="20"/>
      <c r="B143" s="20"/>
      <c r="C143" s="20"/>
      <c r="D143" s="20"/>
      <c r="E143" s="20"/>
      <c r="F143" s="20"/>
      <c r="G143" s="20"/>
      <c r="H143" s="20"/>
      <c r="I143" s="20"/>
      <c r="J143" s="20"/>
      <c r="K143" s="20"/>
      <c r="L143" s="20"/>
      <c r="M143" s="20"/>
      <c r="N143" s="20"/>
      <c r="O143" s="20"/>
      <c r="P143" s="20"/>
      <c r="Q143" s="20"/>
      <c r="R143" s="20"/>
      <c r="S143" s="20"/>
      <c r="T143" s="20"/>
      <c r="U143" s="20"/>
    </row>
    <row r="144" customFormat="false" ht="13.5" hidden="false" customHeight="false" outlineLevel="0" collapsed="false">
      <c r="A144" s="20"/>
      <c r="B144" s="20"/>
      <c r="C144" s="20"/>
      <c r="D144" s="20"/>
      <c r="E144" s="20"/>
      <c r="F144" s="20"/>
      <c r="G144" s="20"/>
      <c r="H144" s="20"/>
      <c r="I144" s="20"/>
      <c r="J144" s="20"/>
      <c r="K144" s="20"/>
      <c r="L144" s="20"/>
      <c r="M144" s="20"/>
      <c r="N144" s="20"/>
      <c r="O144" s="20"/>
      <c r="P144" s="20"/>
      <c r="Q144" s="20"/>
      <c r="R144" s="20"/>
      <c r="S144" s="20"/>
      <c r="T144" s="20"/>
      <c r="U144" s="20"/>
    </row>
    <row r="145" customFormat="false" ht="13.5" hidden="false" customHeight="false" outlineLevel="0" collapsed="false">
      <c r="A145" s="20"/>
      <c r="B145" s="20"/>
      <c r="C145" s="20"/>
      <c r="D145" s="20"/>
      <c r="E145" s="20"/>
      <c r="F145" s="20"/>
      <c r="G145" s="20"/>
      <c r="H145" s="20"/>
      <c r="I145" s="20"/>
      <c r="J145" s="20"/>
      <c r="K145" s="20"/>
      <c r="L145" s="20"/>
      <c r="M145" s="20"/>
      <c r="N145" s="20"/>
      <c r="O145" s="20"/>
      <c r="P145" s="20"/>
      <c r="Q145" s="20"/>
      <c r="R145" s="20"/>
      <c r="S145" s="20"/>
      <c r="T145" s="20"/>
      <c r="U145" s="20"/>
    </row>
    <row r="146" customFormat="false" ht="13.5" hidden="false" customHeight="false" outlineLevel="0" collapsed="false">
      <c r="A146" s="20"/>
      <c r="B146" s="20"/>
      <c r="C146" s="20"/>
      <c r="D146" s="20"/>
      <c r="E146" s="20"/>
      <c r="F146" s="20"/>
      <c r="G146" s="20"/>
      <c r="H146" s="20"/>
      <c r="I146" s="20"/>
      <c r="J146" s="20"/>
      <c r="K146" s="20"/>
      <c r="L146" s="20"/>
      <c r="M146" s="20"/>
      <c r="N146" s="20"/>
      <c r="O146" s="20"/>
      <c r="P146" s="20"/>
      <c r="Q146" s="20"/>
      <c r="R146" s="20"/>
      <c r="S146" s="20"/>
      <c r="T146" s="20"/>
      <c r="U146" s="20"/>
    </row>
    <row r="147" customFormat="false" ht="13.5" hidden="false" customHeight="false" outlineLevel="0" collapsed="false">
      <c r="A147" s="20"/>
      <c r="B147" s="20"/>
      <c r="C147" s="20"/>
      <c r="D147" s="20"/>
      <c r="E147" s="20"/>
      <c r="F147" s="20"/>
      <c r="G147" s="20"/>
      <c r="H147" s="20"/>
      <c r="I147" s="20"/>
      <c r="J147" s="20"/>
      <c r="K147" s="20"/>
      <c r="L147" s="20"/>
      <c r="M147" s="20"/>
      <c r="N147" s="20"/>
      <c r="O147" s="20"/>
      <c r="P147" s="20"/>
      <c r="Q147" s="20"/>
      <c r="R147" s="20"/>
      <c r="S147" s="20"/>
      <c r="T147" s="20"/>
      <c r="U147" s="20"/>
    </row>
    <row r="148" customFormat="false" ht="13.5" hidden="false" customHeight="false" outlineLevel="0" collapsed="false">
      <c r="A148" s="20"/>
      <c r="B148" s="20"/>
      <c r="C148" s="20"/>
      <c r="D148" s="20"/>
      <c r="E148" s="20"/>
      <c r="F148" s="20"/>
      <c r="G148" s="20"/>
      <c r="H148" s="20"/>
      <c r="I148" s="20"/>
      <c r="J148" s="20"/>
      <c r="K148" s="20"/>
      <c r="L148" s="20"/>
      <c r="M148" s="20"/>
      <c r="N148" s="20"/>
      <c r="O148" s="20"/>
      <c r="P148" s="20"/>
      <c r="Q148" s="20"/>
      <c r="R148" s="20"/>
      <c r="S148" s="20"/>
      <c r="T148" s="20"/>
      <c r="U148" s="20"/>
    </row>
    <row r="149" customFormat="false" ht="13.5" hidden="false" customHeight="false" outlineLevel="0" collapsed="false">
      <c r="A149" s="20"/>
      <c r="B149" s="20"/>
      <c r="C149" s="20"/>
      <c r="D149" s="20"/>
      <c r="E149" s="20"/>
      <c r="F149" s="20"/>
      <c r="G149" s="20"/>
      <c r="H149" s="20"/>
      <c r="I149" s="20"/>
      <c r="J149" s="20"/>
      <c r="K149" s="20"/>
      <c r="L149" s="20"/>
      <c r="M149" s="20"/>
      <c r="N149" s="20"/>
      <c r="O149" s="20"/>
      <c r="P149" s="20"/>
      <c r="Q149" s="20"/>
      <c r="R149" s="20"/>
      <c r="S149" s="20"/>
      <c r="T149" s="20"/>
      <c r="U149" s="20"/>
    </row>
    <row r="150" customFormat="false" ht="13.5" hidden="false" customHeight="false" outlineLevel="0" collapsed="false">
      <c r="A150" s="20"/>
      <c r="B150" s="20"/>
      <c r="C150" s="20"/>
      <c r="D150" s="20"/>
      <c r="E150" s="20"/>
      <c r="F150" s="20"/>
      <c r="G150" s="20"/>
      <c r="H150" s="20"/>
      <c r="I150" s="20"/>
      <c r="J150" s="20"/>
      <c r="K150" s="20"/>
      <c r="L150" s="20"/>
      <c r="M150" s="20"/>
      <c r="N150" s="20"/>
      <c r="O150" s="20"/>
      <c r="P150" s="20"/>
      <c r="Q150" s="20"/>
      <c r="R150" s="20"/>
      <c r="S150" s="20"/>
      <c r="T150" s="20"/>
      <c r="U150" s="20"/>
    </row>
    <row r="151" customFormat="false" ht="13.5" hidden="false" customHeight="false" outlineLevel="0" collapsed="false">
      <c r="A151" s="20"/>
      <c r="B151" s="20"/>
      <c r="C151" s="20"/>
      <c r="D151" s="20"/>
      <c r="E151" s="20"/>
      <c r="F151" s="20"/>
      <c r="G151" s="20"/>
      <c r="H151" s="20"/>
      <c r="I151" s="20"/>
      <c r="J151" s="20"/>
      <c r="K151" s="20"/>
      <c r="L151" s="20"/>
      <c r="M151" s="20"/>
      <c r="N151" s="20"/>
      <c r="O151" s="20"/>
      <c r="P151" s="20"/>
      <c r="Q151" s="20"/>
      <c r="R151" s="20"/>
      <c r="S151" s="20"/>
      <c r="T151" s="20"/>
      <c r="U151" s="20"/>
    </row>
    <row r="152" customFormat="false" ht="13.5" hidden="false" customHeight="false" outlineLevel="0" collapsed="false">
      <c r="A152" s="20"/>
      <c r="B152" s="20"/>
      <c r="C152" s="20"/>
      <c r="D152" s="20"/>
      <c r="E152" s="20"/>
      <c r="F152" s="20"/>
      <c r="G152" s="20"/>
      <c r="H152" s="20"/>
      <c r="I152" s="20"/>
      <c r="J152" s="20"/>
      <c r="K152" s="20"/>
      <c r="L152" s="20"/>
      <c r="M152" s="20"/>
      <c r="N152" s="20"/>
      <c r="O152" s="20"/>
      <c r="P152" s="20"/>
      <c r="Q152" s="20"/>
      <c r="R152" s="20"/>
      <c r="S152" s="20"/>
      <c r="T152" s="20"/>
      <c r="U152" s="20"/>
    </row>
    <row r="153" customFormat="false" ht="13.5" hidden="false" customHeight="false" outlineLevel="0" collapsed="false">
      <c r="A153" s="20"/>
      <c r="B153" s="20"/>
      <c r="C153" s="20"/>
      <c r="D153" s="20"/>
      <c r="E153" s="20"/>
      <c r="F153" s="20"/>
      <c r="G153" s="20"/>
      <c r="H153" s="20"/>
      <c r="I153" s="20"/>
      <c r="J153" s="20"/>
      <c r="K153" s="20"/>
      <c r="L153" s="20"/>
      <c r="M153" s="20"/>
      <c r="N153" s="20"/>
      <c r="O153" s="20"/>
      <c r="P153" s="20"/>
      <c r="Q153" s="20"/>
      <c r="R153" s="20"/>
      <c r="S153" s="20"/>
      <c r="T153" s="20"/>
      <c r="U153" s="20"/>
    </row>
    <row r="154" customFormat="false" ht="13.5" hidden="false" customHeight="false" outlineLevel="0" collapsed="false">
      <c r="A154" s="20"/>
      <c r="B154" s="20"/>
      <c r="C154" s="20"/>
      <c r="D154" s="20"/>
      <c r="E154" s="20"/>
      <c r="F154" s="20"/>
      <c r="G154" s="20"/>
      <c r="H154" s="20"/>
      <c r="I154" s="20"/>
      <c r="J154" s="20"/>
      <c r="K154" s="20"/>
      <c r="L154" s="20"/>
      <c r="M154" s="20"/>
      <c r="N154" s="20"/>
      <c r="O154" s="20"/>
      <c r="P154" s="20"/>
      <c r="Q154" s="20"/>
      <c r="R154" s="20"/>
      <c r="S154" s="20"/>
      <c r="T154" s="20"/>
      <c r="U154" s="20"/>
    </row>
    <row r="155" customFormat="false" ht="13.5" hidden="false" customHeight="false" outlineLevel="0" collapsed="false">
      <c r="A155" s="20"/>
      <c r="B155" s="20"/>
      <c r="C155" s="20"/>
      <c r="D155" s="20"/>
      <c r="E155" s="20"/>
      <c r="F155" s="20"/>
      <c r="G155" s="20"/>
      <c r="H155" s="20"/>
      <c r="I155" s="20"/>
      <c r="J155" s="20"/>
      <c r="K155" s="20"/>
      <c r="L155" s="20"/>
      <c r="M155" s="20"/>
      <c r="N155" s="20"/>
      <c r="O155" s="20"/>
      <c r="P155" s="20"/>
      <c r="Q155" s="20"/>
      <c r="R155" s="20"/>
      <c r="S155" s="20"/>
      <c r="T155" s="20"/>
      <c r="U155" s="20"/>
    </row>
    <row r="156" customFormat="false" ht="13.5" hidden="false" customHeight="false" outlineLevel="0" collapsed="false">
      <c r="A156" s="20"/>
      <c r="B156" s="20"/>
      <c r="C156" s="20"/>
      <c r="D156" s="20"/>
      <c r="E156" s="20"/>
      <c r="F156" s="20"/>
      <c r="G156" s="20"/>
      <c r="H156" s="20"/>
      <c r="I156" s="20"/>
      <c r="J156" s="20"/>
      <c r="K156" s="20"/>
      <c r="L156" s="20"/>
      <c r="M156" s="20"/>
      <c r="N156" s="20"/>
      <c r="O156" s="20"/>
      <c r="P156" s="20"/>
      <c r="Q156" s="20"/>
      <c r="R156" s="20"/>
      <c r="S156" s="20"/>
      <c r="T156" s="20"/>
      <c r="U156" s="20"/>
    </row>
    <row r="157" customFormat="false" ht="13.5" hidden="false" customHeight="false" outlineLevel="0" collapsed="false">
      <c r="A157" s="20"/>
      <c r="B157" s="20"/>
      <c r="C157" s="20"/>
      <c r="D157" s="20"/>
      <c r="E157" s="20"/>
      <c r="F157" s="20"/>
      <c r="G157" s="20"/>
      <c r="H157" s="20"/>
      <c r="I157" s="20"/>
      <c r="J157" s="20"/>
      <c r="K157" s="20"/>
      <c r="L157" s="20"/>
      <c r="M157" s="20"/>
      <c r="N157" s="20"/>
      <c r="O157" s="20"/>
      <c r="P157" s="20"/>
      <c r="Q157" s="20"/>
      <c r="R157" s="20"/>
      <c r="S157" s="20"/>
      <c r="T157" s="20"/>
      <c r="U157" s="20"/>
    </row>
    <row r="158" customFormat="false" ht="13.5" hidden="false" customHeight="false" outlineLevel="0" collapsed="false">
      <c r="A158" s="20"/>
      <c r="B158" s="20"/>
      <c r="C158" s="20"/>
      <c r="D158" s="20"/>
      <c r="E158" s="20"/>
      <c r="F158" s="20"/>
      <c r="G158" s="20"/>
      <c r="H158" s="20"/>
      <c r="I158" s="20"/>
      <c r="J158" s="20"/>
      <c r="K158" s="20"/>
      <c r="L158" s="20"/>
      <c r="M158" s="20"/>
      <c r="N158" s="20"/>
      <c r="O158" s="20"/>
      <c r="P158" s="20"/>
      <c r="Q158" s="20"/>
      <c r="R158" s="20"/>
      <c r="S158" s="20"/>
      <c r="T158" s="20"/>
      <c r="U158" s="20"/>
    </row>
    <row r="159" customFormat="false" ht="13.5" hidden="false" customHeight="false" outlineLevel="0" collapsed="false">
      <c r="A159" s="20"/>
      <c r="B159" s="20"/>
      <c r="C159" s="20"/>
      <c r="D159" s="20"/>
      <c r="E159" s="20"/>
      <c r="F159" s="20"/>
      <c r="G159" s="20"/>
      <c r="H159" s="20"/>
      <c r="I159" s="20"/>
      <c r="J159" s="20"/>
      <c r="K159" s="20"/>
      <c r="L159" s="20"/>
      <c r="M159" s="20"/>
      <c r="N159" s="20"/>
      <c r="O159" s="20"/>
      <c r="P159" s="20"/>
      <c r="Q159" s="20"/>
      <c r="R159" s="20"/>
      <c r="S159" s="20"/>
      <c r="T159" s="20"/>
      <c r="U159" s="20"/>
    </row>
    <row r="160" customFormat="false" ht="13.5" hidden="false" customHeight="false" outlineLevel="0" collapsed="false">
      <c r="A160" s="20"/>
      <c r="B160" s="20"/>
      <c r="C160" s="20"/>
      <c r="D160" s="20"/>
      <c r="E160" s="20"/>
      <c r="F160" s="20"/>
      <c r="G160" s="20"/>
      <c r="H160" s="20"/>
      <c r="I160" s="20"/>
      <c r="J160" s="20"/>
      <c r="K160" s="20"/>
      <c r="L160" s="20"/>
      <c r="M160" s="20"/>
      <c r="N160" s="20"/>
      <c r="O160" s="20"/>
      <c r="P160" s="20"/>
      <c r="Q160" s="20"/>
      <c r="R160" s="20"/>
      <c r="S160" s="20"/>
      <c r="T160" s="20"/>
      <c r="U160" s="20"/>
    </row>
    <row r="161" customFormat="false" ht="13.5" hidden="false" customHeight="false" outlineLevel="0" collapsed="false">
      <c r="A161" s="20"/>
      <c r="B161" s="20"/>
      <c r="C161" s="20"/>
      <c r="D161" s="20"/>
      <c r="E161" s="20"/>
      <c r="F161" s="20"/>
      <c r="G161" s="20"/>
      <c r="H161" s="20"/>
      <c r="I161" s="20"/>
      <c r="J161" s="20"/>
      <c r="K161" s="20"/>
      <c r="L161" s="20"/>
      <c r="M161" s="20"/>
      <c r="N161" s="20"/>
      <c r="O161" s="20"/>
      <c r="P161" s="20"/>
      <c r="Q161" s="20"/>
      <c r="R161" s="20"/>
      <c r="S161" s="20"/>
      <c r="T161" s="20"/>
      <c r="U161" s="20"/>
    </row>
    <row r="162" customFormat="false" ht="13.5" hidden="false" customHeight="false" outlineLevel="0" collapsed="false">
      <c r="A162" s="20"/>
      <c r="B162" s="20"/>
      <c r="C162" s="20"/>
      <c r="D162" s="20"/>
      <c r="E162" s="20"/>
      <c r="F162" s="20"/>
      <c r="G162" s="20"/>
      <c r="H162" s="20"/>
      <c r="I162" s="20"/>
      <c r="J162" s="20"/>
      <c r="K162" s="20"/>
      <c r="L162" s="20"/>
      <c r="M162" s="20"/>
      <c r="N162" s="20"/>
      <c r="O162" s="20"/>
      <c r="P162" s="20"/>
      <c r="Q162" s="20"/>
      <c r="R162" s="20"/>
      <c r="S162" s="20"/>
      <c r="T162" s="20"/>
      <c r="U162" s="20"/>
    </row>
    <row r="163" customFormat="false" ht="13.5" hidden="false" customHeight="false" outlineLevel="0" collapsed="false">
      <c r="A163" s="20"/>
      <c r="B163" s="20"/>
      <c r="C163" s="20"/>
      <c r="D163" s="20"/>
      <c r="E163" s="20"/>
      <c r="F163" s="20"/>
      <c r="G163" s="20"/>
      <c r="H163" s="20"/>
      <c r="I163" s="20"/>
      <c r="J163" s="20"/>
      <c r="K163" s="20"/>
      <c r="L163" s="20"/>
      <c r="M163" s="20"/>
      <c r="N163" s="20"/>
      <c r="O163" s="20"/>
      <c r="P163" s="20"/>
      <c r="Q163" s="20"/>
      <c r="R163" s="20"/>
      <c r="S163" s="20"/>
      <c r="T163" s="20"/>
      <c r="U163" s="20"/>
    </row>
    <row r="164" customFormat="false" ht="13.5" hidden="false" customHeight="false" outlineLevel="0" collapsed="false">
      <c r="A164" s="20"/>
      <c r="B164" s="20"/>
      <c r="C164" s="20"/>
      <c r="D164" s="20"/>
      <c r="E164" s="20"/>
      <c r="F164" s="20"/>
      <c r="G164" s="20"/>
      <c r="H164" s="20"/>
      <c r="I164" s="20"/>
      <c r="J164" s="20"/>
      <c r="K164" s="20"/>
      <c r="L164" s="20"/>
      <c r="M164" s="20"/>
      <c r="N164" s="20"/>
      <c r="O164" s="20"/>
      <c r="P164" s="20"/>
      <c r="Q164" s="20"/>
      <c r="R164" s="20"/>
      <c r="S164" s="20"/>
      <c r="T164" s="20"/>
      <c r="U164" s="20"/>
    </row>
    <row r="165" customFormat="false" ht="13.5" hidden="false" customHeight="false" outlineLevel="0" collapsed="false">
      <c r="A165" s="20"/>
      <c r="B165" s="20"/>
      <c r="C165" s="20"/>
      <c r="D165" s="20"/>
      <c r="E165" s="20"/>
      <c r="F165" s="20"/>
      <c r="G165" s="20"/>
      <c r="H165" s="20"/>
      <c r="I165" s="20"/>
      <c r="J165" s="20"/>
      <c r="K165" s="20"/>
      <c r="L165" s="20"/>
      <c r="M165" s="20"/>
      <c r="N165" s="20"/>
      <c r="O165" s="20"/>
      <c r="P165" s="20"/>
      <c r="Q165" s="20"/>
      <c r="R165" s="20"/>
      <c r="S165" s="20"/>
      <c r="T165" s="20"/>
      <c r="U165" s="20"/>
    </row>
    <row r="166" customFormat="false" ht="13.5" hidden="false" customHeight="false" outlineLevel="0" collapsed="false">
      <c r="A166" s="20"/>
      <c r="B166" s="20"/>
      <c r="C166" s="20"/>
      <c r="D166" s="20"/>
      <c r="E166" s="20"/>
      <c r="F166" s="20"/>
      <c r="G166" s="20"/>
      <c r="H166" s="20"/>
      <c r="I166" s="20"/>
      <c r="J166" s="20"/>
      <c r="K166" s="20"/>
      <c r="L166" s="20"/>
      <c r="M166" s="20"/>
      <c r="N166" s="20"/>
      <c r="O166" s="20"/>
      <c r="P166" s="20"/>
      <c r="Q166" s="20"/>
      <c r="R166" s="20"/>
      <c r="S166" s="20"/>
      <c r="T166" s="20"/>
      <c r="U166" s="20"/>
    </row>
    <row r="167" customFormat="false" ht="13.5" hidden="false" customHeight="false" outlineLevel="0" collapsed="false">
      <c r="A167" s="20"/>
      <c r="B167" s="20"/>
      <c r="C167" s="20"/>
      <c r="D167" s="20"/>
      <c r="E167" s="20"/>
      <c r="F167" s="20"/>
      <c r="G167" s="20"/>
      <c r="H167" s="20"/>
      <c r="I167" s="20"/>
      <c r="J167" s="20"/>
      <c r="K167" s="20"/>
      <c r="L167" s="20"/>
      <c r="M167" s="20"/>
      <c r="N167" s="20"/>
      <c r="O167" s="20"/>
      <c r="P167" s="20"/>
      <c r="Q167" s="20"/>
      <c r="R167" s="20"/>
      <c r="S167" s="20"/>
      <c r="T167" s="20"/>
      <c r="U167" s="20"/>
    </row>
    <row r="168" customFormat="false" ht="13.5" hidden="false" customHeight="false" outlineLevel="0" collapsed="false">
      <c r="A168" s="20"/>
      <c r="B168" s="20"/>
      <c r="C168" s="20"/>
      <c r="D168" s="20"/>
      <c r="E168" s="20"/>
      <c r="F168" s="20"/>
      <c r="G168" s="20"/>
      <c r="H168" s="20"/>
      <c r="I168" s="20"/>
      <c r="J168" s="20"/>
      <c r="K168" s="20"/>
      <c r="L168" s="20"/>
      <c r="M168" s="20"/>
      <c r="N168" s="20"/>
      <c r="O168" s="20"/>
      <c r="P168" s="20"/>
      <c r="Q168" s="20"/>
      <c r="R168" s="20"/>
      <c r="S168" s="20"/>
      <c r="T168" s="20"/>
      <c r="U168" s="20"/>
    </row>
    <row r="169" customFormat="false" ht="13.5" hidden="false" customHeight="false" outlineLevel="0" collapsed="false">
      <c r="A169" s="20"/>
      <c r="B169" s="20"/>
      <c r="C169" s="20"/>
      <c r="D169" s="20"/>
      <c r="E169" s="20"/>
      <c r="F169" s="20"/>
      <c r="G169" s="20"/>
      <c r="H169" s="20"/>
      <c r="I169" s="20"/>
      <c r="J169" s="20"/>
      <c r="K169" s="20"/>
      <c r="L169" s="20"/>
      <c r="M169" s="20"/>
      <c r="N169" s="20"/>
      <c r="O169" s="20"/>
      <c r="P169" s="20"/>
      <c r="Q169" s="20"/>
      <c r="R169" s="20"/>
      <c r="S169" s="20"/>
      <c r="T169" s="20"/>
      <c r="U169" s="20"/>
    </row>
    <row r="170" customFormat="false" ht="13.5" hidden="false" customHeight="false" outlineLevel="0" collapsed="false">
      <c r="A170" s="20"/>
      <c r="B170" s="20"/>
      <c r="C170" s="20"/>
      <c r="D170" s="20"/>
      <c r="E170" s="20"/>
      <c r="F170" s="20"/>
      <c r="G170" s="20"/>
      <c r="H170" s="20"/>
      <c r="I170" s="20"/>
      <c r="J170" s="20"/>
      <c r="K170" s="20"/>
      <c r="L170" s="20"/>
      <c r="M170" s="20"/>
      <c r="N170" s="20"/>
      <c r="O170" s="20"/>
      <c r="P170" s="20"/>
      <c r="Q170" s="20"/>
      <c r="R170" s="20"/>
      <c r="S170" s="20"/>
      <c r="T170" s="20"/>
      <c r="U170" s="20"/>
    </row>
    <row r="171" customFormat="false" ht="13.5" hidden="false" customHeight="false" outlineLevel="0" collapsed="false">
      <c r="A171" s="20"/>
      <c r="B171" s="20"/>
      <c r="C171" s="20"/>
      <c r="D171" s="20"/>
      <c r="E171" s="20"/>
      <c r="F171" s="20"/>
      <c r="G171" s="20"/>
      <c r="H171" s="20"/>
      <c r="I171" s="20"/>
      <c r="J171" s="20"/>
      <c r="K171" s="20"/>
      <c r="L171" s="20"/>
      <c r="M171" s="20"/>
      <c r="N171" s="20"/>
      <c r="O171" s="20"/>
      <c r="P171" s="20"/>
      <c r="Q171" s="20"/>
      <c r="R171" s="20"/>
      <c r="S171" s="20"/>
      <c r="T171" s="20"/>
      <c r="U171" s="20"/>
    </row>
    <row r="172" customFormat="false" ht="13.5" hidden="false" customHeight="false" outlineLevel="0" collapsed="false">
      <c r="A172" s="20"/>
      <c r="B172" s="20"/>
      <c r="C172" s="20"/>
      <c r="D172" s="20"/>
      <c r="E172" s="20"/>
      <c r="F172" s="20"/>
      <c r="G172" s="20"/>
      <c r="H172" s="20"/>
      <c r="I172" s="20"/>
      <c r="J172" s="20"/>
      <c r="K172" s="20"/>
      <c r="L172" s="20"/>
      <c r="M172" s="20"/>
      <c r="N172" s="20"/>
      <c r="O172" s="20"/>
      <c r="P172" s="20"/>
      <c r="Q172" s="20"/>
      <c r="R172" s="20"/>
      <c r="S172" s="20"/>
      <c r="T172" s="20"/>
      <c r="U172" s="20"/>
    </row>
    <row r="173" customFormat="false" ht="13.5" hidden="false" customHeight="false" outlineLevel="0" collapsed="false">
      <c r="A173" s="20"/>
      <c r="B173" s="20"/>
      <c r="C173" s="20"/>
      <c r="D173" s="20"/>
      <c r="E173" s="20"/>
      <c r="F173" s="20"/>
      <c r="G173" s="20"/>
      <c r="H173" s="20"/>
      <c r="I173" s="20"/>
      <c r="J173" s="20"/>
      <c r="K173" s="20"/>
      <c r="L173" s="20"/>
      <c r="M173" s="20"/>
      <c r="N173" s="20"/>
      <c r="O173" s="20"/>
      <c r="P173" s="20"/>
      <c r="Q173" s="20"/>
      <c r="R173" s="20"/>
      <c r="S173" s="20"/>
      <c r="T173" s="20"/>
      <c r="U173" s="20"/>
    </row>
    <row r="174" customFormat="false" ht="13.5" hidden="false" customHeight="false" outlineLevel="0" collapsed="false">
      <c r="A174" s="20"/>
      <c r="B174" s="20"/>
      <c r="C174" s="20"/>
      <c r="D174" s="20"/>
      <c r="E174" s="20"/>
      <c r="F174" s="20"/>
      <c r="G174" s="20"/>
      <c r="H174" s="20"/>
      <c r="I174" s="20"/>
      <c r="J174" s="20"/>
      <c r="K174" s="20"/>
      <c r="L174" s="20"/>
      <c r="M174" s="20"/>
      <c r="N174" s="20"/>
      <c r="O174" s="20"/>
      <c r="P174" s="20"/>
      <c r="Q174" s="20"/>
      <c r="R174" s="20"/>
      <c r="S174" s="20"/>
      <c r="T174" s="20"/>
      <c r="U174" s="20"/>
    </row>
    <row r="175" customFormat="false" ht="13.5" hidden="false" customHeight="false" outlineLevel="0" collapsed="false">
      <c r="A175" s="20"/>
      <c r="B175" s="20"/>
      <c r="C175" s="20"/>
      <c r="D175" s="20"/>
      <c r="E175" s="20"/>
      <c r="F175" s="20"/>
      <c r="G175" s="20"/>
      <c r="H175" s="20"/>
      <c r="I175" s="20"/>
      <c r="J175" s="20"/>
      <c r="K175" s="20"/>
      <c r="L175" s="20"/>
      <c r="M175" s="20"/>
      <c r="N175" s="20"/>
      <c r="O175" s="20"/>
      <c r="P175" s="20"/>
      <c r="Q175" s="20"/>
      <c r="R175" s="20"/>
      <c r="S175" s="20"/>
      <c r="T175" s="20"/>
      <c r="U175" s="20"/>
    </row>
    <row r="176" customFormat="false" ht="13.5" hidden="false" customHeight="false" outlineLevel="0" collapsed="false">
      <c r="A176" s="20"/>
      <c r="B176" s="20"/>
      <c r="C176" s="20"/>
      <c r="D176" s="20"/>
      <c r="E176" s="20"/>
      <c r="F176" s="20"/>
      <c r="G176" s="20"/>
      <c r="H176" s="20"/>
      <c r="I176" s="20"/>
      <c r="J176" s="20"/>
      <c r="K176" s="20"/>
      <c r="L176" s="20"/>
      <c r="M176" s="20"/>
      <c r="N176" s="20"/>
      <c r="O176" s="20"/>
      <c r="P176" s="20"/>
      <c r="Q176" s="20"/>
      <c r="R176" s="20"/>
      <c r="S176" s="20"/>
      <c r="T176" s="20"/>
      <c r="U176" s="20"/>
    </row>
    <row r="177" customFormat="false" ht="13.5" hidden="false" customHeight="false" outlineLevel="0" collapsed="false">
      <c r="A177" s="20"/>
      <c r="B177" s="20"/>
      <c r="C177" s="20"/>
      <c r="D177" s="20"/>
      <c r="E177" s="20"/>
      <c r="F177" s="20"/>
      <c r="G177" s="20"/>
      <c r="H177" s="20"/>
      <c r="I177" s="20"/>
      <c r="J177" s="20"/>
      <c r="K177" s="20"/>
      <c r="L177" s="20"/>
      <c r="M177" s="20"/>
      <c r="N177" s="20"/>
      <c r="O177" s="20"/>
      <c r="P177" s="20"/>
      <c r="Q177" s="20"/>
      <c r="R177" s="20"/>
      <c r="S177" s="20"/>
      <c r="T177" s="20"/>
      <c r="U177" s="20"/>
    </row>
    <row r="178" customFormat="false" ht="13.5" hidden="false" customHeight="false" outlineLevel="0" collapsed="false">
      <c r="A178" s="20"/>
      <c r="B178" s="20"/>
      <c r="C178" s="20"/>
      <c r="D178" s="20"/>
      <c r="E178" s="20"/>
      <c r="F178" s="20"/>
      <c r="G178" s="20"/>
      <c r="H178" s="20"/>
      <c r="I178" s="20"/>
      <c r="J178" s="20"/>
      <c r="K178" s="20"/>
      <c r="L178" s="20"/>
      <c r="M178" s="20"/>
      <c r="N178" s="20"/>
      <c r="O178" s="20"/>
      <c r="P178" s="20"/>
      <c r="Q178" s="20"/>
      <c r="R178" s="20"/>
      <c r="S178" s="20"/>
      <c r="T178" s="20"/>
      <c r="U178" s="20"/>
    </row>
    <row r="179" customFormat="false" ht="13.5" hidden="false" customHeight="false" outlineLevel="0" collapsed="false">
      <c r="A179" s="20"/>
      <c r="B179" s="20"/>
      <c r="C179" s="20"/>
      <c r="D179" s="20"/>
      <c r="E179" s="20"/>
      <c r="F179" s="20"/>
      <c r="G179" s="20"/>
      <c r="H179" s="20"/>
      <c r="I179" s="20"/>
      <c r="J179" s="20"/>
      <c r="K179" s="20"/>
      <c r="L179" s="20"/>
      <c r="M179" s="20"/>
      <c r="N179" s="20"/>
      <c r="O179" s="20"/>
      <c r="P179" s="20"/>
      <c r="Q179" s="20"/>
      <c r="R179" s="20"/>
      <c r="S179" s="20"/>
      <c r="T179" s="20"/>
      <c r="U179" s="20"/>
    </row>
    <row r="180" customFormat="false" ht="13.5" hidden="false" customHeight="false" outlineLevel="0" collapsed="false">
      <c r="A180" s="20"/>
      <c r="B180" s="20"/>
      <c r="C180" s="20"/>
      <c r="D180" s="20"/>
      <c r="E180" s="20"/>
      <c r="F180" s="20"/>
      <c r="G180" s="20"/>
      <c r="H180" s="20"/>
      <c r="I180" s="20"/>
      <c r="J180" s="20"/>
      <c r="K180" s="20"/>
      <c r="L180" s="20"/>
      <c r="M180" s="20"/>
      <c r="N180" s="20"/>
      <c r="O180" s="20"/>
      <c r="P180" s="20"/>
      <c r="Q180" s="20"/>
      <c r="R180" s="20"/>
      <c r="S180" s="20"/>
      <c r="T180" s="20"/>
      <c r="U180" s="20"/>
    </row>
    <row r="181" customFormat="false" ht="13.5" hidden="false" customHeight="false" outlineLevel="0" collapsed="false">
      <c r="A181" s="20"/>
      <c r="B181" s="20"/>
      <c r="C181" s="20"/>
      <c r="D181" s="20"/>
      <c r="E181" s="20"/>
      <c r="F181" s="20"/>
      <c r="G181" s="20"/>
      <c r="H181" s="20"/>
      <c r="I181" s="20"/>
      <c r="J181" s="20"/>
      <c r="K181" s="20"/>
      <c r="L181" s="20"/>
      <c r="M181" s="20"/>
      <c r="N181" s="20"/>
      <c r="O181" s="20"/>
      <c r="P181" s="20"/>
      <c r="Q181" s="20"/>
      <c r="R181" s="20"/>
      <c r="S181" s="20"/>
      <c r="T181" s="20"/>
      <c r="U181" s="20"/>
    </row>
    <row r="182" customFormat="false" ht="13.5" hidden="false" customHeight="false" outlineLevel="0" collapsed="false">
      <c r="A182" s="20"/>
      <c r="B182" s="20"/>
      <c r="C182" s="20"/>
      <c r="D182" s="20"/>
      <c r="E182" s="20"/>
      <c r="F182" s="20"/>
      <c r="G182" s="20"/>
      <c r="H182" s="20"/>
      <c r="I182" s="20"/>
      <c r="J182" s="20"/>
      <c r="K182" s="20"/>
      <c r="L182" s="20"/>
      <c r="M182" s="20"/>
      <c r="N182" s="20"/>
      <c r="O182" s="20"/>
      <c r="P182" s="20"/>
      <c r="Q182" s="20"/>
      <c r="R182" s="20"/>
      <c r="S182" s="20"/>
      <c r="T182" s="20"/>
      <c r="U182" s="20"/>
    </row>
    <row r="183" customFormat="false" ht="13.5" hidden="false" customHeight="false" outlineLevel="0" collapsed="false">
      <c r="A183" s="20"/>
      <c r="B183" s="20"/>
      <c r="C183" s="20"/>
      <c r="D183" s="20"/>
      <c r="E183" s="20"/>
      <c r="F183" s="20"/>
      <c r="G183" s="20"/>
      <c r="H183" s="20"/>
      <c r="I183" s="20"/>
      <c r="J183" s="20"/>
      <c r="K183" s="20"/>
      <c r="L183" s="20"/>
      <c r="M183" s="20"/>
      <c r="N183" s="20"/>
      <c r="O183" s="20"/>
      <c r="P183" s="20"/>
      <c r="Q183" s="20"/>
      <c r="R183" s="20"/>
      <c r="S183" s="20"/>
      <c r="T183" s="20"/>
      <c r="U183" s="20"/>
    </row>
    <row r="184" customFormat="false" ht="13.5" hidden="false" customHeight="false" outlineLevel="0" collapsed="false">
      <c r="A184" s="20"/>
      <c r="B184" s="20"/>
      <c r="C184" s="20"/>
      <c r="D184" s="20"/>
      <c r="E184" s="20"/>
      <c r="F184" s="20"/>
      <c r="G184" s="20"/>
      <c r="H184" s="20"/>
      <c r="I184" s="20"/>
      <c r="J184" s="20"/>
      <c r="K184" s="20"/>
      <c r="L184" s="20"/>
      <c r="M184" s="20"/>
      <c r="N184" s="20"/>
      <c r="O184" s="20"/>
      <c r="P184" s="20"/>
      <c r="Q184" s="20"/>
      <c r="R184" s="20"/>
      <c r="S184" s="20"/>
      <c r="T184" s="20"/>
      <c r="U184" s="20"/>
    </row>
    <row r="185" customFormat="false" ht="13.5" hidden="false" customHeight="false" outlineLevel="0" collapsed="false">
      <c r="A185" s="20"/>
      <c r="B185" s="20"/>
      <c r="C185" s="20"/>
      <c r="D185" s="20"/>
      <c r="E185" s="20"/>
      <c r="F185" s="20"/>
      <c r="G185" s="20"/>
      <c r="H185" s="20"/>
      <c r="I185" s="20"/>
      <c r="J185" s="20"/>
      <c r="K185" s="20"/>
      <c r="L185" s="20"/>
      <c r="M185" s="20"/>
      <c r="N185" s="20"/>
      <c r="O185" s="20"/>
      <c r="P185" s="20"/>
      <c r="Q185" s="20"/>
      <c r="R185" s="20"/>
      <c r="S185" s="20"/>
      <c r="T185" s="20"/>
      <c r="U185" s="20"/>
    </row>
    <row r="186" customFormat="false" ht="13.5" hidden="false" customHeight="false" outlineLevel="0" collapsed="false">
      <c r="A186" s="20"/>
      <c r="B186" s="20"/>
      <c r="C186" s="20"/>
      <c r="D186" s="20"/>
      <c r="E186" s="20"/>
      <c r="F186" s="20"/>
      <c r="G186" s="20"/>
      <c r="H186" s="20"/>
      <c r="I186" s="20"/>
      <c r="J186" s="20"/>
      <c r="K186" s="20"/>
      <c r="L186" s="20"/>
      <c r="M186" s="20"/>
      <c r="N186" s="20"/>
      <c r="O186" s="20"/>
      <c r="P186" s="20"/>
      <c r="Q186" s="20"/>
      <c r="R186" s="20"/>
      <c r="S186" s="20"/>
      <c r="T186" s="20"/>
      <c r="U186" s="20"/>
    </row>
    <row r="187" customFormat="false" ht="13.5" hidden="false" customHeight="false" outlineLevel="0" collapsed="false">
      <c r="A187" s="20"/>
      <c r="B187" s="20"/>
      <c r="C187" s="20"/>
      <c r="D187" s="20"/>
      <c r="E187" s="20"/>
      <c r="F187" s="20"/>
      <c r="G187" s="20"/>
      <c r="H187" s="20"/>
      <c r="I187" s="20"/>
      <c r="J187" s="20"/>
      <c r="K187" s="20"/>
      <c r="L187" s="20"/>
      <c r="M187" s="20"/>
      <c r="N187" s="20"/>
      <c r="O187" s="20"/>
      <c r="P187" s="20"/>
      <c r="Q187" s="20"/>
      <c r="R187" s="20"/>
      <c r="S187" s="20"/>
      <c r="T187" s="20"/>
      <c r="U187" s="20"/>
    </row>
    <row r="188" customFormat="false" ht="13.5" hidden="false" customHeight="false" outlineLevel="0" collapsed="false">
      <c r="A188" s="20"/>
      <c r="B188" s="20"/>
      <c r="C188" s="20"/>
      <c r="D188" s="20"/>
      <c r="E188" s="20"/>
      <c r="F188" s="20"/>
      <c r="G188" s="20"/>
      <c r="H188" s="20"/>
      <c r="I188" s="20"/>
      <c r="J188" s="20"/>
      <c r="K188" s="20"/>
      <c r="L188" s="20"/>
      <c r="M188" s="20"/>
      <c r="N188" s="20"/>
      <c r="O188" s="20"/>
      <c r="P188" s="20"/>
      <c r="Q188" s="20"/>
      <c r="R188" s="20"/>
      <c r="S188" s="20"/>
      <c r="T188" s="20"/>
      <c r="U188" s="20"/>
    </row>
    <row r="189" customFormat="false" ht="13.5" hidden="false" customHeight="false" outlineLevel="0" collapsed="false">
      <c r="A189" s="20"/>
      <c r="B189" s="20"/>
      <c r="C189" s="20"/>
      <c r="D189" s="20"/>
      <c r="E189" s="20"/>
      <c r="F189" s="20"/>
      <c r="G189" s="20"/>
      <c r="H189" s="20"/>
      <c r="I189" s="20"/>
      <c r="J189" s="20"/>
      <c r="K189" s="20"/>
      <c r="L189" s="20"/>
      <c r="M189" s="20"/>
      <c r="N189" s="20"/>
      <c r="O189" s="20"/>
      <c r="P189" s="20"/>
      <c r="Q189" s="20"/>
      <c r="R189" s="20"/>
      <c r="S189" s="20"/>
      <c r="T189" s="20"/>
      <c r="U189" s="20"/>
    </row>
    <row r="190" customFormat="false" ht="13.5" hidden="false" customHeight="false" outlineLevel="0" collapsed="false">
      <c r="A190" s="20"/>
      <c r="B190" s="20"/>
      <c r="C190" s="20"/>
      <c r="D190" s="20"/>
      <c r="E190" s="20"/>
      <c r="F190" s="20"/>
      <c r="G190" s="20"/>
      <c r="H190" s="20"/>
      <c r="I190" s="20"/>
      <c r="J190" s="20"/>
      <c r="K190" s="20"/>
      <c r="L190" s="20"/>
      <c r="M190" s="20"/>
      <c r="N190" s="20"/>
      <c r="O190" s="20"/>
      <c r="P190" s="20"/>
      <c r="Q190" s="20"/>
      <c r="R190" s="20"/>
      <c r="S190" s="20"/>
      <c r="T190" s="20"/>
      <c r="U190" s="20"/>
    </row>
    <row r="191" customFormat="false" ht="13.5" hidden="false" customHeight="false" outlineLevel="0" collapsed="false">
      <c r="A191" s="20"/>
      <c r="B191" s="20"/>
      <c r="C191" s="20"/>
      <c r="D191" s="20"/>
      <c r="E191" s="20"/>
      <c r="F191" s="20"/>
      <c r="G191" s="20"/>
      <c r="H191" s="20"/>
      <c r="I191" s="20"/>
      <c r="J191" s="20"/>
      <c r="K191" s="20"/>
      <c r="L191" s="20"/>
      <c r="M191" s="20"/>
      <c r="N191" s="20"/>
      <c r="O191" s="20"/>
      <c r="P191" s="20"/>
      <c r="Q191" s="20"/>
      <c r="R191" s="20"/>
      <c r="S191" s="20"/>
      <c r="T191" s="20"/>
      <c r="U191" s="20"/>
    </row>
    <row r="192" customFormat="false" ht="13.5" hidden="false" customHeight="false" outlineLevel="0" collapsed="false">
      <c r="A192" s="20"/>
      <c r="B192" s="20"/>
      <c r="C192" s="20"/>
      <c r="D192" s="20"/>
      <c r="E192" s="20"/>
      <c r="F192" s="20"/>
      <c r="G192" s="20"/>
      <c r="H192" s="20"/>
      <c r="I192" s="20"/>
      <c r="J192" s="20"/>
      <c r="K192" s="20"/>
      <c r="L192" s="20"/>
      <c r="M192" s="20"/>
      <c r="N192" s="20"/>
      <c r="O192" s="20"/>
      <c r="P192" s="20"/>
      <c r="Q192" s="20"/>
      <c r="R192" s="20"/>
      <c r="S192" s="20"/>
      <c r="T192" s="20"/>
      <c r="U192" s="20"/>
    </row>
    <row r="193" customFormat="false" ht="13.5" hidden="false" customHeight="false" outlineLevel="0" collapsed="false">
      <c r="A193" s="20"/>
      <c r="B193" s="20"/>
      <c r="C193" s="20"/>
      <c r="D193" s="20"/>
      <c r="E193" s="20"/>
      <c r="F193" s="20"/>
      <c r="G193" s="20"/>
      <c r="H193" s="20"/>
      <c r="I193" s="20"/>
      <c r="J193" s="20"/>
      <c r="K193" s="20"/>
      <c r="L193" s="20"/>
      <c r="M193" s="20"/>
      <c r="N193" s="20"/>
      <c r="O193" s="20"/>
      <c r="P193" s="20"/>
      <c r="Q193" s="20"/>
      <c r="R193" s="20"/>
      <c r="S193" s="20"/>
      <c r="T193" s="20"/>
      <c r="U193" s="20"/>
    </row>
    <row r="194" customFormat="false" ht="13.5" hidden="false" customHeight="false" outlineLevel="0" collapsed="false">
      <c r="A194" s="20"/>
      <c r="B194" s="20"/>
      <c r="C194" s="20"/>
      <c r="D194" s="20"/>
      <c r="E194" s="20"/>
      <c r="F194" s="20"/>
      <c r="G194" s="20"/>
      <c r="H194" s="20"/>
      <c r="I194" s="20"/>
      <c r="J194" s="20"/>
      <c r="K194" s="20"/>
      <c r="L194" s="20"/>
      <c r="M194" s="20"/>
      <c r="N194" s="20"/>
      <c r="O194" s="20"/>
      <c r="P194" s="20"/>
      <c r="Q194" s="20"/>
      <c r="R194" s="20"/>
      <c r="S194" s="20"/>
      <c r="T194" s="20"/>
      <c r="U194" s="20"/>
    </row>
    <row r="195" customFormat="false" ht="13.5" hidden="false" customHeight="false" outlineLevel="0" collapsed="false">
      <c r="A195" s="20"/>
      <c r="B195" s="20"/>
      <c r="C195" s="20"/>
      <c r="D195" s="20"/>
      <c r="E195" s="20"/>
      <c r="F195" s="20"/>
      <c r="G195" s="20"/>
      <c r="H195" s="20"/>
      <c r="I195" s="20"/>
      <c r="J195" s="20"/>
      <c r="K195" s="20"/>
      <c r="L195" s="20"/>
      <c r="M195" s="20"/>
      <c r="N195" s="20"/>
      <c r="O195" s="20"/>
      <c r="P195" s="20"/>
      <c r="Q195" s="20"/>
      <c r="R195" s="20"/>
      <c r="S195" s="20"/>
      <c r="T195" s="20"/>
      <c r="U195" s="20"/>
    </row>
    <row r="196" customFormat="false" ht="13.5" hidden="false" customHeight="false" outlineLevel="0" collapsed="false">
      <c r="A196" s="20"/>
      <c r="B196" s="20"/>
      <c r="C196" s="20"/>
      <c r="D196" s="20"/>
      <c r="E196" s="20"/>
      <c r="F196" s="20"/>
      <c r="G196" s="20"/>
      <c r="H196" s="20"/>
      <c r="I196" s="20"/>
      <c r="J196" s="20"/>
      <c r="K196" s="20"/>
      <c r="L196" s="20"/>
      <c r="M196" s="20"/>
      <c r="N196" s="20"/>
      <c r="O196" s="20"/>
      <c r="P196" s="20"/>
      <c r="Q196" s="20"/>
      <c r="R196" s="20"/>
      <c r="S196" s="20"/>
      <c r="T196" s="20"/>
      <c r="U196" s="20"/>
    </row>
    <row r="197" customFormat="false" ht="13.5" hidden="false" customHeight="false" outlineLevel="0" collapsed="false">
      <c r="A197" s="20"/>
      <c r="B197" s="20"/>
      <c r="C197" s="20"/>
      <c r="D197" s="20"/>
      <c r="E197" s="20"/>
      <c r="F197" s="20"/>
      <c r="G197" s="20"/>
      <c r="H197" s="20"/>
      <c r="I197" s="20"/>
      <c r="J197" s="20"/>
      <c r="K197" s="20"/>
      <c r="L197" s="20"/>
      <c r="M197" s="20"/>
      <c r="N197" s="20"/>
      <c r="O197" s="20"/>
      <c r="P197" s="20"/>
      <c r="Q197" s="20"/>
      <c r="R197" s="20"/>
      <c r="S197" s="20"/>
      <c r="T197" s="20"/>
      <c r="U197" s="20"/>
    </row>
    <row r="198" customFormat="false" ht="13.5" hidden="false" customHeight="false" outlineLevel="0" collapsed="false">
      <c r="A198" s="20"/>
      <c r="B198" s="20"/>
      <c r="C198" s="20"/>
      <c r="D198" s="20"/>
      <c r="E198" s="20"/>
      <c r="F198" s="20"/>
      <c r="G198" s="20"/>
      <c r="H198" s="20"/>
      <c r="I198" s="20"/>
      <c r="J198" s="20"/>
      <c r="K198" s="20"/>
      <c r="L198" s="20"/>
      <c r="M198" s="20"/>
      <c r="N198" s="20"/>
      <c r="O198" s="20"/>
      <c r="P198" s="20"/>
      <c r="Q198" s="20"/>
      <c r="R198" s="20"/>
      <c r="S198" s="20"/>
      <c r="T198" s="20"/>
      <c r="U198" s="20"/>
    </row>
    <row r="199" customFormat="false" ht="13.5" hidden="false" customHeight="false" outlineLevel="0" collapsed="false">
      <c r="A199" s="20"/>
      <c r="B199" s="20"/>
      <c r="C199" s="20"/>
      <c r="D199" s="20"/>
      <c r="E199" s="20"/>
      <c r="F199" s="20"/>
      <c r="G199" s="20"/>
      <c r="H199" s="20"/>
      <c r="I199" s="20"/>
      <c r="J199" s="20"/>
      <c r="K199" s="20"/>
      <c r="L199" s="20"/>
      <c r="M199" s="20"/>
      <c r="N199" s="20"/>
      <c r="O199" s="20"/>
      <c r="P199" s="20"/>
      <c r="Q199" s="20"/>
      <c r="R199" s="20"/>
      <c r="S199" s="20"/>
      <c r="T199" s="20"/>
      <c r="U199" s="20"/>
    </row>
    <row r="200" customFormat="false" ht="13.5" hidden="false" customHeight="false" outlineLevel="0" collapsed="false">
      <c r="A200" s="20"/>
      <c r="B200" s="20"/>
      <c r="C200" s="20"/>
      <c r="D200" s="20"/>
      <c r="E200" s="20"/>
      <c r="F200" s="20"/>
      <c r="G200" s="20"/>
      <c r="H200" s="20"/>
      <c r="I200" s="20"/>
      <c r="J200" s="20"/>
      <c r="K200" s="20"/>
      <c r="L200" s="20"/>
      <c r="M200" s="20"/>
      <c r="N200" s="20"/>
      <c r="O200" s="20"/>
      <c r="P200" s="20"/>
      <c r="Q200" s="20"/>
      <c r="R200" s="20"/>
      <c r="S200" s="20"/>
      <c r="T200" s="20"/>
      <c r="U200" s="20"/>
    </row>
    <row r="201" customFormat="false" ht="13.5" hidden="false" customHeight="false" outlineLevel="0" collapsed="false">
      <c r="A201" s="20"/>
      <c r="B201" s="20"/>
      <c r="C201" s="20"/>
      <c r="D201" s="20"/>
      <c r="E201" s="20"/>
      <c r="F201" s="20"/>
      <c r="G201" s="20"/>
      <c r="H201" s="20"/>
      <c r="I201" s="20"/>
      <c r="J201" s="20"/>
      <c r="K201" s="20"/>
      <c r="L201" s="20"/>
      <c r="M201" s="20"/>
      <c r="N201" s="20"/>
      <c r="O201" s="20"/>
      <c r="P201" s="20"/>
      <c r="Q201" s="20"/>
      <c r="R201" s="20"/>
      <c r="S201" s="20"/>
      <c r="T201" s="20"/>
      <c r="U201" s="20"/>
    </row>
    <row r="202" customFormat="false" ht="13.5" hidden="false" customHeight="false" outlineLevel="0" collapsed="false">
      <c r="A202" s="20"/>
      <c r="B202" s="20"/>
      <c r="C202" s="20"/>
      <c r="D202" s="20"/>
      <c r="E202" s="20"/>
      <c r="F202" s="20"/>
      <c r="G202" s="20"/>
      <c r="H202" s="20"/>
      <c r="I202" s="20"/>
      <c r="J202" s="20"/>
      <c r="K202" s="20"/>
      <c r="L202" s="20"/>
      <c r="M202" s="20"/>
      <c r="N202" s="20"/>
      <c r="O202" s="20"/>
      <c r="P202" s="20"/>
      <c r="Q202" s="20"/>
      <c r="R202" s="20"/>
      <c r="S202" s="20"/>
      <c r="T202" s="20"/>
      <c r="U202" s="20"/>
    </row>
    <row r="203" customFormat="false" ht="13.5" hidden="false" customHeight="false" outlineLevel="0" collapsed="false">
      <c r="A203" s="20"/>
      <c r="B203" s="20"/>
      <c r="C203" s="20"/>
      <c r="D203" s="20"/>
      <c r="E203" s="20"/>
      <c r="F203" s="20"/>
      <c r="G203" s="20"/>
      <c r="H203" s="20"/>
      <c r="I203" s="20"/>
      <c r="J203" s="20"/>
      <c r="K203" s="20"/>
      <c r="L203" s="20"/>
      <c r="M203" s="20"/>
      <c r="N203" s="20"/>
      <c r="O203" s="20"/>
      <c r="P203" s="20"/>
      <c r="Q203" s="20"/>
      <c r="R203" s="20"/>
      <c r="S203" s="20"/>
      <c r="T203" s="20"/>
      <c r="U203" s="20"/>
    </row>
    <row r="204" customFormat="false" ht="13.5" hidden="false" customHeight="false" outlineLevel="0" collapsed="false">
      <c r="A204" s="20"/>
      <c r="B204" s="20"/>
      <c r="C204" s="20"/>
      <c r="D204" s="20"/>
      <c r="E204" s="20"/>
      <c r="F204" s="20"/>
      <c r="G204" s="20"/>
      <c r="H204" s="20"/>
      <c r="I204" s="20"/>
      <c r="J204" s="20"/>
      <c r="K204" s="20"/>
      <c r="L204" s="20"/>
      <c r="M204" s="20"/>
      <c r="N204" s="20"/>
      <c r="O204" s="20"/>
      <c r="P204" s="20"/>
      <c r="Q204" s="20"/>
      <c r="R204" s="20"/>
      <c r="S204" s="20"/>
      <c r="T204" s="20"/>
      <c r="U204" s="20"/>
    </row>
    <row r="205" customFormat="false" ht="13.5" hidden="false" customHeight="false" outlineLevel="0" collapsed="false">
      <c r="A205" s="20"/>
      <c r="B205" s="20"/>
      <c r="C205" s="20"/>
      <c r="D205" s="20"/>
      <c r="E205" s="20"/>
      <c r="F205" s="20"/>
      <c r="G205" s="20"/>
      <c r="H205" s="20"/>
      <c r="I205" s="20"/>
      <c r="J205" s="20"/>
      <c r="K205" s="20"/>
      <c r="L205" s="20"/>
      <c r="M205" s="20"/>
      <c r="N205" s="20"/>
      <c r="O205" s="20"/>
      <c r="P205" s="20"/>
      <c r="Q205" s="20"/>
      <c r="R205" s="20"/>
      <c r="S205" s="20"/>
      <c r="T205" s="20"/>
      <c r="U205" s="20"/>
    </row>
    <row r="206" customFormat="false" ht="13.5" hidden="false" customHeight="false" outlineLevel="0" collapsed="false">
      <c r="A206" s="20"/>
      <c r="B206" s="20"/>
      <c r="C206" s="20"/>
      <c r="D206" s="20"/>
      <c r="E206" s="20"/>
      <c r="F206" s="20"/>
      <c r="G206" s="20"/>
      <c r="H206" s="20"/>
      <c r="I206" s="20"/>
      <c r="J206" s="20"/>
      <c r="K206" s="20"/>
      <c r="L206" s="20"/>
      <c r="M206" s="20"/>
      <c r="N206" s="20"/>
      <c r="O206" s="20"/>
      <c r="P206" s="20"/>
      <c r="Q206" s="20"/>
      <c r="R206" s="20"/>
      <c r="S206" s="20"/>
      <c r="T206" s="20"/>
      <c r="U206" s="20"/>
    </row>
    <row r="207" customFormat="false" ht="13.5" hidden="false" customHeight="false" outlineLevel="0" collapsed="false">
      <c r="A207" s="20"/>
      <c r="B207" s="20"/>
      <c r="C207" s="20"/>
      <c r="D207" s="20"/>
      <c r="E207" s="20"/>
      <c r="F207" s="20"/>
      <c r="G207" s="20"/>
      <c r="H207" s="20"/>
      <c r="I207" s="20"/>
      <c r="J207" s="20"/>
      <c r="K207" s="20"/>
      <c r="L207" s="20"/>
      <c r="M207" s="20"/>
      <c r="N207" s="20"/>
      <c r="O207" s="20"/>
      <c r="P207" s="20"/>
      <c r="Q207" s="20"/>
      <c r="R207" s="20"/>
      <c r="S207" s="20"/>
      <c r="T207" s="20"/>
      <c r="U207" s="20"/>
    </row>
    <row r="208" customFormat="false" ht="13.5" hidden="false" customHeight="false" outlineLevel="0" collapsed="false">
      <c r="A208" s="20"/>
      <c r="B208" s="20"/>
      <c r="C208" s="20"/>
      <c r="D208" s="20"/>
      <c r="E208" s="20"/>
      <c r="F208" s="20"/>
      <c r="G208" s="20"/>
      <c r="H208" s="20"/>
      <c r="I208" s="20"/>
      <c r="J208" s="20"/>
      <c r="K208" s="20"/>
      <c r="L208" s="20"/>
      <c r="M208" s="20"/>
      <c r="N208" s="20"/>
      <c r="O208" s="20"/>
      <c r="P208" s="20"/>
      <c r="Q208" s="20"/>
      <c r="R208" s="20"/>
      <c r="S208" s="20"/>
      <c r="T208" s="20"/>
      <c r="U208" s="20"/>
    </row>
    <row r="209" customFormat="false" ht="13.5" hidden="false" customHeight="false" outlineLevel="0" collapsed="false">
      <c r="A209" s="20"/>
      <c r="B209" s="20"/>
      <c r="C209" s="20"/>
      <c r="D209" s="20"/>
      <c r="E209" s="20"/>
      <c r="F209" s="20"/>
      <c r="G209" s="20"/>
      <c r="H209" s="20"/>
      <c r="I209" s="20"/>
      <c r="J209" s="20"/>
      <c r="K209" s="20"/>
      <c r="L209" s="20"/>
      <c r="M209" s="20"/>
      <c r="N209" s="20"/>
      <c r="O209" s="20"/>
      <c r="P209" s="20"/>
      <c r="Q209" s="20"/>
      <c r="R209" s="20"/>
      <c r="S209" s="20"/>
      <c r="T209" s="20"/>
      <c r="U209" s="20"/>
    </row>
    <row r="210" customFormat="false" ht="13.5" hidden="false" customHeight="false" outlineLevel="0" collapsed="false">
      <c r="A210" s="20"/>
      <c r="B210" s="20"/>
      <c r="C210" s="20"/>
      <c r="D210" s="20"/>
      <c r="E210" s="20"/>
      <c r="F210" s="20"/>
      <c r="G210" s="20"/>
      <c r="H210" s="20"/>
      <c r="I210" s="20"/>
      <c r="J210" s="20"/>
      <c r="K210" s="20"/>
      <c r="L210" s="20"/>
      <c r="M210" s="20"/>
      <c r="N210" s="20"/>
      <c r="O210" s="20"/>
      <c r="P210" s="20"/>
      <c r="Q210" s="20"/>
      <c r="R210" s="20"/>
      <c r="S210" s="20"/>
      <c r="T210" s="20"/>
      <c r="U210" s="20"/>
    </row>
    <row r="211" customFormat="false" ht="13.5" hidden="false" customHeight="false" outlineLevel="0" collapsed="false">
      <c r="A211" s="20"/>
      <c r="B211" s="20"/>
      <c r="C211" s="20"/>
      <c r="D211" s="20"/>
      <c r="E211" s="20"/>
      <c r="F211" s="20"/>
      <c r="G211" s="20"/>
      <c r="H211" s="20"/>
      <c r="I211" s="20"/>
      <c r="J211" s="20"/>
      <c r="K211" s="20"/>
      <c r="L211" s="20"/>
      <c r="M211" s="20"/>
      <c r="N211" s="20"/>
      <c r="O211" s="20"/>
      <c r="P211" s="20"/>
      <c r="Q211" s="20"/>
      <c r="R211" s="20"/>
      <c r="S211" s="20"/>
      <c r="T211" s="20"/>
      <c r="U211" s="20"/>
    </row>
    <row r="212" customFormat="false" ht="13.5" hidden="false" customHeight="false" outlineLevel="0" collapsed="false">
      <c r="A212" s="20"/>
      <c r="B212" s="20"/>
      <c r="C212" s="20"/>
      <c r="D212" s="20"/>
      <c r="E212" s="20"/>
      <c r="F212" s="20"/>
      <c r="G212" s="20"/>
      <c r="H212" s="20"/>
      <c r="I212" s="20"/>
      <c r="J212" s="20"/>
      <c r="K212" s="20"/>
      <c r="L212" s="20"/>
      <c r="M212" s="20"/>
      <c r="N212" s="20"/>
      <c r="O212" s="20"/>
      <c r="P212" s="20"/>
      <c r="Q212" s="20"/>
      <c r="R212" s="20"/>
      <c r="S212" s="20"/>
      <c r="T212" s="20"/>
      <c r="U212" s="20"/>
    </row>
    <row r="213" customFormat="false" ht="13.5" hidden="false" customHeight="false" outlineLevel="0" collapsed="false">
      <c r="A213" s="20"/>
      <c r="B213" s="20"/>
      <c r="C213" s="20"/>
      <c r="D213" s="20"/>
      <c r="E213" s="20"/>
      <c r="F213" s="20"/>
      <c r="G213" s="20"/>
      <c r="H213" s="20"/>
      <c r="I213" s="20"/>
      <c r="J213" s="20"/>
      <c r="K213" s="20"/>
      <c r="L213" s="20"/>
      <c r="M213" s="20"/>
      <c r="N213" s="20"/>
      <c r="O213" s="20"/>
      <c r="P213" s="20"/>
      <c r="Q213" s="20"/>
      <c r="R213" s="20"/>
      <c r="S213" s="20"/>
      <c r="T213" s="20"/>
      <c r="U213" s="20"/>
    </row>
    <row r="214" customFormat="false" ht="13.5" hidden="false" customHeight="false" outlineLevel="0" collapsed="false">
      <c r="A214" s="20"/>
      <c r="B214" s="20"/>
      <c r="C214" s="20"/>
      <c r="D214" s="20"/>
      <c r="E214" s="20"/>
      <c r="F214" s="20"/>
      <c r="G214" s="20"/>
      <c r="H214" s="20"/>
      <c r="I214" s="20"/>
      <c r="J214" s="20"/>
      <c r="K214" s="20"/>
      <c r="L214" s="20"/>
      <c r="M214" s="20"/>
      <c r="N214" s="20"/>
      <c r="O214" s="20"/>
      <c r="P214" s="20"/>
      <c r="Q214" s="20"/>
      <c r="R214" s="20"/>
      <c r="S214" s="20"/>
      <c r="T214" s="20"/>
      <c r="U214" s="20"/>
    </row>
    <row r="215" customFormat="false" ht="13.5" hidden="false" customHeight="false" outlineLevel="0" collapsed="false">
      <c r="A215" s="20"/>
      <c r="B215" s="20"/>
      <c r="C215" s="20"/>
      <c r="D215" s="20"/>
      <c r="E215" s="20"/>
      <c r="F215" s="20"/>
      <c r="G215" s="20"/>
      <c r="H215" s="20"/>
      <c r="I215" s="20"/>
      <c r="J215" s="20"/>
      <c r="K215" s="20"/>
      <c r="L215" s="20"/>
      <c r="M215" s="20"/>
      <c r="N215" s="20"/>
      <c r="O215" s="20"/>
      <c r="P215" s="20"/>
      <c r="Q215" s="20"/>
      <c r="R215" s="20"/>
      <c r="S215" s="20"/>
      <c r="T215" s="20"/>
      <c r="U215" s="20"/>
    </row>
    <row r="216" customFormat="false" ht="13.5" hidden="false" customHeight="false" outlineLevel="0" collapsed="false">
      <c r="A216" s="20"/>
      <c r="B216" s="20"/>
      <c r="C216" s="20"/>
      <c r="D216" s="20"/>
      <c r="E216" s="20"/>
      <c r="F216" s="20"/>
      <c r="G216" s="20"/>
      <c r="H216" s="20"/>
      <c r="I216" s="20"/>
      <c r="J216" s="20"/>
      <c r="K216" s="20"/>
      <c r="L216" s="20"/>
      <c r="M216" s="20"/>
      <c r="N216" s="20"/>
      <c r="O216" s="20"/>
      <c r="P216" s="20"/>
      <c r="Q216" s="20"/>
      <c r="R216" s="20"/>
      <c r="S216" s="20"/>
      <c r="T216" s="20"/>
      <c r="U216" s="20"/>
    </row>
    <row r="217" customFormat="false" ht="13.5" hidden="false" customHeight="false" outlineLevel="0" collapsed="false">
      <c r="A217" s="20"/>
      <c r="B217" s="20"/>
      <c r="C217" s="20"/>
      <c r="D217" s="20"/>
      <c r="E217" s="20"/>
      <c r="F217" s="20"/>
      <c r="G217" s="20"/>
      <c r="H217" s="20"/>
      <c r="I217" s="20"/>
      <c r="J217" s="20"/>
      <c r="K217" s="20"/>
      <c r="L217" s="20"/>
      <c r="M217" s="20"/>
      <c r="N217" s="20"/>
      <c r="O217" s="20"/>
      <c r="P217" s="20"/>
      <c r="Q217" s="20"/>
      <c r="R217" s="20"/>
      <c r="S217" s="20"/>
      <c r="T217" s="20"/>
      <c r="U217" s="20"/>
    </row>
    <row r="218" customFormat="false" ht="13.5" hidden="false" customHeight="false" outlineLevel="0" collapsed="false">
      <c r="A218" s="20"/>
      <c r="B218" s="20"/>
      <c r="C218" s="20"/>
      <c r="D218" s="20"/>
      <c r="E218" s="20"/>
      <c r="F218" s="20"/>
      <c r="G218" s="20"/>
      <c r="H218" s="20"/>
      <c r="I218" s="20"/>
      <c r="J218" s="20"/>
      <c r="K218" s="20"/>
      <c r="L218" s="20"/>
      <c r="M218" s="20"/>
      <c r="N218" s="20"/>
      <c r="O218" s="20"/>
      <c r="P218" s="20"/>
      <c r="Q218" s="20"/>
      <c r="R218" s="20"/>
      <c r="S218" s="20"/>
      <c r="T218" s="20"/>
      <c r="U218" s="20"/>
    </row>
    <row r="219" customFormat="false" ht="13.5" hidden="false" customHeight="false" outlineLevel="0" collapsed="false">
      <c r="A219" s="20"/>
      <c r="B219" s="20"/>
      <c r="C219" s="20"/>
      <c r="D219" s="20"/>
      <c r="E219" s="20"/>
      <c r="F219" s="20"/>
      <c r="G219" s="20"/>
      <c r="H219" s="20"/>
      <c r="I219" s="20"/>
      <c r="J219" s="20"/>
      <c r="K219" s="20"/>
      <c r="L219" s="20"/>
      <c r="M219" s="20"/>
      <c r="N219" s="20"/>
      <c r="O219" s="20"/>
      <c r="P219" s="20"/>
      <c r="Q219" s="20"/>
      <c r="R219" s="20"/>
      <c r="S219" s="20"/>
      <c r="T219" s="20"/>
      <c r="U219" s="20"/>
    </row>
    <row r="220" customFormat="false" ht="13.5" hidden="false" customHeight="false" outlineLevel="0" collapsed="false">
      <c r="A220" s="20"/>
      <c r="B220" s="20"/>
      <c r="C220" s="20"/>
      <c r="D220" s="20"/>
      <c r="E220" s="20"/>
      <c r="F220" s="20"/>
      <c r="G220" s="20"/>
      <c r="H220" s="20"/>
      <c r="I220" s="20"/>
      <c r="J220" s="20"/>
      <c r="K220" s="20"/>
      <c r="L220" s="20"/>
      <c r="M220" s="20"/>
      <c r="N220" s="20"/>
      <c r="O220" s="20"/>
      <c r="P220" s="20"/>
      <c r="Q220" s="20"/>
      <c r="R220" s="20"/>
      <c r="S220" s="20"/>
      <c r="T220" s="20"/>
      <c r="U220" s="20"/>
    </row>
    <row r="221" customFormat="false" ht="13.5" hidden="false" customHeight="false" outlineLevel="0" collapsed="false">
      <c r="A221" s="20"/>
      <c r="B221" s="20"/>
      <c r="C221" s="20"/>
      <c r="D221" s="20"/>
      <c r="E221" s="20"/>
      <c r="F221" s="20"/>
      <c r="G221" s="20"/>
      <c r="H221" s="20"/>
      <c r="I221" s="20"/>
      <c r="J221" s="20"/>
      <c r="K221" s="20"/>
      <c r="L221" s="20"/>
      <c r="M221" s="20"/>
      <c r="N221" s="20"/>
      <c r="O221" s="20"/>
      <c r="P221" s="20"/>
      <c r="Q221" s="20"/>
      <c r="R221" s="20"/>
      <c r="S221" s="20"/>
      <c r="T221" s="20"/>
      <c r="U221" s="20"/>
    </row>
    <row r="222" customFormat="false" ht="13.5" hidden="false" customHeight="false" outlineLevel="0" collapsed="false">
      <c r="A222" s="20"/>
      <c r="B222" s="20"/>
      <c r="C222" s="20"/>
      <c r="D222" s="20"/>
      <c r="E222" s="20"/>
      <c r="F222" s="20"/>
      <c r="G222" s="20"/>
      <c r="H222" s="20"/>
      <c r="I222" s="20"/>
      <c r="J222" s="20"/>
      <c r="K222" s="20"/>
      <c r="L222" s="20"/>
      <c r="M222" s="20"/>
      <c r="N222" s="20"/>
      <c r="O222" s="20"/>
      <c r="P222" s="20"/>
      <c r="Q222" s="20"/>
      <c r="R222" s="20"/>
      <c r="S222" s="20"/>
      <c r="T222" s="20"/>
      <c r="U222" s="20"/>
    </row>
    <row r="223" customFormat="false" ht="13.5" hidden="false" customHeight="false" outlineLevel="0" collapsed="false">
      <c r="A223" s="20"/>
      <c r="B223" s="20"/>
      <c r="C223" s="20"/>
      <c r="D223" s="20"/>
      <c r="E223" s="20"/>
      <c r="F223" s="20"/>
      <c r="G223" s="20"/>
      <c r="H223" s="20"/>
      <c r="I223" s="20"/>
      <c r="J223" s="20"/>
      <c r="K223" s="20"/>
      <c r="L223" s="20"/>
      <c r="M223" s="20"/>
      <c r="N223" s="20"/>
      <c r="O223" s="20"/>
      <c r="P223" s="20"/>
      <c r="Q223" s="20"/>
      <c r="R223" s="20"/>
      <c r="S223" s="20"/>
      <c r="T223" s="20"/>
      <c r="U223" s="20"/>
    </row>
    <row r="224" customFormat="false" ht="13.5" hidden="false" customHeight="false" outlineLevel="0" collapsed="false">
      <c r="A224" s="20"/>
      <c r="B224" s="20"/>
      <c r="C224" s="20"/>
      <c r="D224" s="20"/>
      <c r="E224" s="20"/>
      <c r="F224" s="20"/>
      <c r="G224" s="20"/>
      <c r="H224" s="20"/>
      <c r="I224" s="20"/>
      <c r="J224" s="20"/>
      <c r="K224" s="20"/>
      <c r="L224" s="20"/>
      <c r="M224" s="20"/>
      <c r="N224" s="20"/>
      <c r="O224" s="20"/>
      <c r="P224" s="20"/>
      <c r="Q224" s="20"/>
      <c r="R224" s="20"/>
      <c r="S224" s="20"/>
      <c r="T224" s="20"/>
      <c r="U224" s="20"/>
    </row>
    <row r="225" customFormat="false" ht="13.5" hidden="false" customHeight="false" outlineLevel="0" collapsed="false">
      <c r="A225" s="20"/>
      <c r="B225" s="20"/>
      <c r="C225" s="20"/>
      <c r="D225" s="20"/>
      <c r="E225" s="20"/>
      <c r="F225" s="20"/>
      <c r="G225" s="20"/>
      <c r="H225" s="20"/>
      <c r="I225" s="20"/>
      <c r="J225" s="20"/>
      <c r="K225" s="20"/>
      <c r="L225" s="20"/>
      <c r="M225" s="20"/>
      <c r="N225" s="20"/>
      <c r="O225" s="20"/>
      <c r="P225" s="20"/>
      <c r="Q225" s="20"/>
      <c r="R225" s="20"/>
      <c r="S225" s="20"/>
      <c r="T225" s="20"/>
      <c r="U225" s="20"/>
    </row>
    <row r="226" customFormat="false" ht="13.5" hidden="false" customHeight="false" outlineLevel="0" collapsed="false">
      <c r="A226" s="20"/>
      <c r="B226" s="20"/>
      <c r="C226" s="20"/>
      <c r="D226" s="20"/>
      <c r="E226" s="20"/>
      <c r="F226" s="20"/>
      <c r="G226" s="20"/>
      <c r="H226" s="20"/>
      <c r="I226" s="20"/>
      <c r="J226" s="20"/>
      <c r="K226" s="20"/>
      <c r="L226" s="20"/>
      <c r="M226" s="20"/>
      <c r="N226" s="20"/>
      <c r="O226" s="20"/>
      <c r="P226" s="20"/>
      <c r="Q226" s="20"/>
      <c r="R226" s="20"/>
      <c r="S226" s="20"/>
      <c r="T226" s="20"/>
      <c r="U226" s="20"/>
    </row>
    <row r="227" customFormat="false" ht="13.5" hidden="false" customHeight="false" outlineLevel="0" collapsed="false">
      <c r="A227" s="20"/>
      <c r="B227" s="20"/>
      <c r="C227" s="20"/>
      <c r="D227" s="20"/>
      <c r="E227" s="20"/>
      <c r="F227" s="20"/>
      <c r="G227" s="20"/>
      <c r="H227" s="20"/>
      <c r="I227" s="20"/>
      <c r="J227" s="20"/>
      <c r="K227" s="20"/>
      <c r="L227" s="20"/>
      <c r="M227" s="20"/>
      <c r="N227" s="20"/>
      <c r="O227" s="20"/>
      <c r="P227" s="20"/>
      <c r="Q227" s="20"/>
      <c r="R227" s="20"/>
      <c r="S227" s="20"/>
      <c r="T227" s="20"/>
      <c r="U227" s="20"/>
    </row>
    <row r="228" customFormat="false" ht="13.5" hidden="false" customHeight="false" outlineLevel="0" collapsed="false">
      <c r="A228" s="20"/>
      <c r="B228" s="20"/>
      <c r="C228" s="20"/>
      <c r="D228" s="20"/>
      <c r="E228" s="20"/>
      <c r="F228" s="20"/>
      <c r="G228" s="20"/>
      <c r="H228" s="20"/>
      <c r="I228" s="20"/>
      <c r="J228" s="20"/>
      <c r="K228" s="20"/>
      <c r="L228" s="20"/>
      <c r="M228" s="20"/>
      <c r="N228" s="20"/>
      <c r="O228" s="20"/>
      <c r="P228" s="20"/>
      <c r="Q228" s="20"/>
      <c r="R228" s="20"/>
      <c r="S228" s="20"/>
      <c r="T228" s="20"/>
      <c r="U228" s="20"/>
    </row>
    <row r="229" customFormat="false" ht="13.5" hidden="false" customHeight="false" outlineLevel="0" collapsed="false">
      <c r="A229" s="20"/>
      <c r="B229" s="20"/>
      <c r="C229" s="20"/>
      <c r="D229" s="20"/>
      <c r="E229" s="20"/>
      <c r="F229" s="20"/>
      <c r="G229" s="20"/>
      <c r="H229" s="20"/>
      <c r="I229" s="20"/>
      <c r="J229" s="20"/>
      <c r="K229" s="20"/>
      <c r="L229" s="20"/>
      <c r="M229" s="20"/>
      <c r="N229" s="20"/>
      <c r="O229" s="20"/>
      <c r="P229" s="20"/>
      <c r="Q229" s="20"/>
      <c r="R229" s="20"/>
      <c r="S229" s="20"/>
      <c r="T229" s="20"/>
      <c r="U229" s="20"/>
    </row>
    <row r="230" customFormat="false" ht="13.5" hidden="false" customHeight="false" outlineLevel="0" collapsed="false">
      <c r="A230" s="20"/>
      <c r="B230" s="20"/>
      <c r="C230" s="20"/>
      <c r="D230" s="20"/>
      <c r="E230" s="20"/>
      <c r="F230" s="20"/>
      <c r="G230" s="20"/>
      <c r="H230" s="20"/>
      <c r="I230" s="20"/>
      <c r="J230" s="20"/>
      <c r="K230" s="20"/>
      <c r="L230" s="20"/>
      <c r="M230" s="20"/>
      <c r="N230" s="20"/>
      <c r="O230" s="20"/>
      <c r="P230" s="20"/>
      <c r="Q230" s="20"/>
      <c r="R230" s="20"/>
      <c r="S230" s="20"/>
      <c r="T230" s="20"/>
      <c r="U230" s="20"/>
    </row>
    <row r="231" customFormat="false" ht="13.5" hidden="false" customHeight="false" outlineLevel="0" collapsed="false">
      <c r="A231" s="20"/>
      <c r="B231" s="20"/>
      <c r="C231" s="20"/>
      <c r="D231" s="20"/>
      <c r="E231" s="20"/>
      <c r="F231" s="20"/>
      <c r="G231" s="20"/>
      <c r="H231" s="20"/>
      <c r="I231" s="20"/>
      <c r="J231" s="20"/>
      <c r="K231" s="20"/>
      <c r="L231" s="20"/>
      <c r="M231" s="20"/>
      <c r="N231" s="20"/>
      <c r="O231" s="20"/>
      <c r="P231" s="20"/>
      <c r="Q231" s="20"/>
      <c r="R231" s="20"/>
      <c r="S231" s="20"/>
      <c r="T231" s="20"/>
      <c r="U231" s="20"/>
    </row>
    <row r="232" customFormat="false" ht="13.5" hidden="false" customHeight="false" outlineLevel="0" collapsed="false">
      <c r="A232" s="20"/>
      <c r="B232" s="20"/>
      <c r="C232" s="20"/>
      <c r="D232" s="20"/>
      <c r="E232" s="20"/>
      <c r="F232" s="20"/>
      <c r="G232" s="20"/>
      <c r="H232" s="20"/>
      <c r="I232" s="20"/>
      <c r="J232" s="20"/>
      <c r="K232" s="20"/>
      <c r="L232" s="20"/>
      <c r="M232" s="20"/>
      <c r="N232" s="20"/>
      <c r="O232" s="20"/>
      <c r="P232" s="20"/>
      <c r="Q232" s="20"/>
      <c r="R232" s="20"/>
      <c r="S232" s="20"/>
      <c r="T232" s="20"/>
      <c r="U232" s="20"/>
    </row>
    <row r="233" customFormat="false" ht="13.5" hidden="false" customHeight="false" outlineLevel="0" collapsed="false">
      <c r="A233" s="20"/>
      <c r="B233" s="20"/>
      <c r="C233" s="20"/>
      <c r="D233" s="20"/>
      <c r="E233" s="20"/>
      <c r="F233" s="20"/>
      <c r="G233" s="20"/>
      <c r="H233" s="20"/>
      <c r="I233" s="20"/>
      <c r="J233" s="20"/>
      <c r="K233" s="20"/>
      <c r="L233" s="20"/>
      <c r="M233" s="20"/>
      <c r="N233" s="20"/>
      <c r="O233" s="20"/>
      <c r="P233" s="20"/>
      <c r="Q233" s="20"/>
      <c r="R233" s="20"/>
      <c r="S233" s="20"/>
      <c r="T233" s="20"/>
      <c r="U233" s="20"/>
    </row>
    <row r="234" customFormat="false" ht="13.5" hidden="false" customHeight="false" outlineLevel="0" collapsed="false">
      <c r="A234" s="20"/>
      <c r="B234" s="20"/>
      <c r="C234" s="20"/>
      <c r="D234" s="20"/>
      <c r="E234" s="20"/>
      <c r="F234" s="20"/>
      <c r="G234" s="20"/>
      <c r="H234" s="20"/>
      <c r="I234" s="20"/>
      <c r="J234" s="20"/>
      <c r="K234" s="20"/>
      <c r="L234" s="20"/>
      <c r="M234" s="20"/>
      <c r="N234" s="20"/>
      <c r="O234" s="20"/>
      <c r="P234" s="20"/>
      <c r="Q234" s="20"/>
      <c r="R234" s="20"/>
      <c r="S234" s="20"/>
      <c r="T234" s="20"/>
      <c r="U234" s="20"/>
    </row>
    <row r="235" customFormat="false" ht="13.5" hidden="false" customHeight="false" outlineLevel="0" collapsed="false">
      <c r="A235" s="20"/>
      <c r="B235" s="20"/>
      <c r="C235" s="20"/>
      <c r="D235" s="20"/>
      <c r="E235" s="20"/>
      <c r="F235" s="20"/>
      <c r="G235" s="20"/>
      <c r="H235" s="20"/>
      <c r="I235" s="20"/>
      <c r="J235" s="20"/>
      <c r="K235" s="20"/>
      <c r="L235" s="20"/>
      <c r="M235" s="20"/>
      <c r="N235" s="20"/>
      <c r="O235" s="20"/>
      <c r="P235" s="20"/>
      <c r="Q235" s="20"/>
      <c r="R235" s="20"/>
      <c r="S235" s="20"/>
      <c r="T235" s="20"/>
      <c r="U235" s="20"/>
    </row>
    <row r="236" customFormat="false" ht="13.5" hidden="false" customHeight="false" outlineLevel="0" collapsed="false">
      <c r="A236" s="20"/>
      <c r="B236" s="20"/>
      <c r="C236" s="20"/>
      <c r="D236" s="20"/>
      <c r="E236" s="20"/>
      <c r="F236" s="20"/>
      <c r="G236" s="20"/>
      <c r="H236" s="20"/>
      <c r="I236" s="20"/>
      <c r="J236" s="20"/>
      <c r="K236" s="20"/>
      <c r="L236" s="20"/>
      <c r="M236" s="20"/>
      <c r="N236" s="20"/>
      <c r="O236" s="20"/>
      <c r="P236" s="20"/>
      <c r="Q236" s="20"/>
      <c r="R236" s="20"/>
      <c r="S236" s="20"/>
      <c r="T236" s="20"/>
      <c r="U236" s="20"/>
    </row>
    <row r="237" customFormat="false" ht="13.5" hidden="false" customHeight="false" outlineLevel="0" collapsed="false">
      <c r="A237" s="20"/>
      <c r="B237" s="20"/>
      <c r="C237" s="20"/>
      <c r="D237" s="20"/>
      <c r="E237" s="20"/>
      <c r="F237" s="20"/>
      <c r="G237" s="20"/>
      <c r="H237" s="20"/>
      <c r="I237" s="20"/>
      <c r="J237" s="20"/>
      <c r="K237" s="20"/>
      <c r="L237" s="20"/>
      <c r="M237" s="20"/>
      <c r="N237" s="20"/>
      <c r="O237" s="20"/>
      <c r="P237" s="20"/>
      <c r="Q237" s="20"/>
      <c r="R237" s="20"/>
      <c r="S237" s="20"/>
      <c r="T237" s="20"/>
      <c r="U237" s="20"/>
    </row>
    <row r="238" customFormat="false" ht="13.5" hidden="false" customHeight="false" outlineLevel="0" collapsed="false">
      <c r="A238" s="20"/>
      <c r="B238" s="20"/>
      <c r="C238" s="20"/>
      <c r="D238" s="20"/>
      <c r="E238" s="20"/>
      <c r="F238" s="20"/>
      <c r="G238" s="20"/>
      <c r="H238" s="20"/>
      <c r="I238" s="20"/>
      <c r="J238" s="20"/>
      <c r="K238" s="20"/>
      <c r="L238" s="20"/>
      <c r="M238" s="20"/>
      <c r="N238" s="20"/>
      <c r="O238" s="20"/>
      <c r="P238" s="20"/>
      <c r="Q238" s="20"/>
      <c r="R238" s="20"/>
      <c r="S238" s="20"/>
      <c r="T238" s="20"/>
      <c r="U238" s="20"/>
    </row>
    <row r="239" customFormat="false" ht="13.5" hidden="false" customHeight="false" outlineLevel="0" collapsed="false">
      <c r="A239" s="20"/>
      <c r="B239" s="20"/>
      <c r="C239" s="20"/>
      <c r="D239" s="20"/>
      <c r="E239" s="20"/>
      <c r="F239" s="20"/>
      <c r="G239" s="20"/>
      <c r="H239" s="20"/>
      <c r="I239" s="20"/>
      <c r="J239" s="20"/>
      <c r="K239" s="20"/>
      <c r="L239" s="20"/>
      <c r="M239" s="20"/>
      <c r="N239" s="20"/>
      <c r="O239" s="20"/>
      <c r="P239" s="20"/>
      <c r="Q239" s="20"/>
      <c r="R239" s="20"/>
      <c r="S239" s="20"/>
      <c r="T239" s="20"/>
      <c r="U239" s="20"/>
    </row>
    <row r="240" customFormat="false" ht="13.5" hidden="false" customHeight="false" outlineLevel="0" collapsed="false">
      <c r="A240" s="20"/>
      <c r="B240" s="20"/>
      <c r="C240" s="20"/>
      <c r="D240" s="20"/>
      <c r="E240" s="20"/>
      <c r="F240" s="20"/>
      <c r="G240" s="20"/>
      <c r="H240" s="20"/>
      <c r="I240" s="20"/>
      <c r="J240" s="20"/>
      <c r="K240" s="20"/>
      <c r="L240" s="20"/>
      <c r="M240" s="20"/>
      <c r="N240" s="20"/>
      <c r="O240" s="20"/>
      <c r="P240" s="20"/>
      <c r="Q240" s="20"/>
      <c r="R240" s="20"/>
      <c r="S240" s="20"/>
      <c r="T240" s="20"/>
      <c r="U240" s="20"/>
    </row>
    <row r="241" customFormat="false" ht="13.5" hidden="false" customHeight="false" outlineLevel="0" collapsed="false">
      <c r="A241" s="20"/>
      <c r="B241" s="20"/>
      <c r="C241" s="20"/>
      <c r="D241" s="20"/>
      <c r="E241" s="20"/>
      <c r="F241" s="20"/>
      <c r="G241" s="20"/>
      <c r="H241" s="20"/>
      <c r="I241" s="20"/>
      <c r="J241" s="20"/>
      <c r="K241" s="20"/>
      <c r="L241" s="20"/>
      <c r="M241" s="20"/>
      <c r="N241" s="20"/>
      <c r="O241" s="20"/>
      <c r="P241" s="20"/>
      <c r="Q241" s="20"/>
      <c r="R241" s="20"/>
      <c r="S241" s="20"/>
      <c r="T241" s="20"/>
      <c r="U241" s="20"/>
    </row>
    <row r="242" customFormat="false" ht="13.5" hidden="false" customHeight="false" outlineLevel="0" collapsed="false">
      <c r="A242" s="20"/>
      <c r="B242" s="20"/>
      <c r="C242" s="20"/>
      <c r="D242" s="20"/>
      <c r="E242" s="20"/>
      <c r="F242" s="20"/>
      <c r="G242" s="20"/>
      <c r="H242" s="20"/>
      <c r="I242" s="20"/>
      <c r="J242" s="20"/>
      <c r="K242" s="20"/>
      <c r="L242" s="20"/>
      <c r="M242" s="20"/>
      <c r="N242" s="20"/>
      <c r="O242" s="20"/>
      <c r="P242" s="20"/>
      <c r="Q242" s="20"/>
      <c r="R242" s="20"/>
      <c r="S242" s="20"/>
      <c r="T242" s="20"/>
      <c r="U242" s="20"/>
    </row>
    <row r="243" customFormat="false" ht="13.5" hidden="false" customHeight="false" outlineLevel="0" collapsed="false">
      <c r="A243" s="20"/>
      <c r="B243" s="20"/>
      <c r="C243" s="20"/>
      <c r="D243" s="20"/>
      <c r="E243" s="20"/>
      <c r="F243" s="20"/>
      <c r="G243" s="20"/>
      <c r="H243" s="20"/>
      <c r="I243" s="20"/>
      <c r="J243" s="20"/>
      <c r="K243" s="20"/>
      <c r="L243" s="20"/>
      <c r="M243" s="20"/>
      <c r="N243" s="20"/>
      <c r="O243" s="20"/>
      <c r="P243" s="20"/>
      <c r="Q243" s="20"/>
      <c r="R243" s="20"/>
      <c r="S243" s="20"/>
      <c r="T243" s="20"/>
      <c r="U243" s="20"/>
    </row>
    <row r="244" customFormat="false" ht="13.5" hidden="false" customHeight="false" outlineLevel="0" collapsed="false">
      <c r="A244" s="20"/>
      <c r="B244" s="20"/>
      <c r="C244" s="20"/>
      <c r="D244" s="20"/>
      <c r="E244" s="20"/>
      <c r="F244" s="20"/>
      <c r="G244" s="20"/>
      <c r="H244" s="20"/>
      <c r="I244" s="20"/>
      <c r="J244" s="20"/>
      <c r="K244" s="20"/>
      <c r="L244" s="20"/>
      <c r="M244" s="20"/>
      <c r="N244" s="20"/>
      <c r="O244" s="20"/>
      <c r="P244" s="20"/>
      <c r="Q244" s="20"/>
      <c r="R244" s="20"/>
      <c r="S244" s="20"/>
      <c r="T244" s="20"/>
      <c r="U244" s="20"/>
    </row>
    <row r="245" customFormat="false" ht="13.5" hidden="false" customHeight="false" outlineLevel="0" collapsed="false">
      <c r="A245" s="20"/>
      <c r="B245" s="20"/>
      <c r="C245" s="20"/>
      <c r="D245" s="20"/>
      <c r="E245" s="20"/>
      <c r="F245" s="20"/>
      <c r="G245" s="20"/>
      <c r="H245" s="20"/>
      <c r="I245" s="20"/>
      <c r="J245" s="20"/>
      <c r="K245" s="20"/>
      <c r="L245" s="20"/>
      <c r="M245" s="20"/>
      <c r="N245" s="20"/>
      <c r="O245" s="20"/>
      <c r="P245" s="20"/>
      <c r="Q245" s="20"/>
      <c r="R245" s="20"/>
      <c r="S245" s="20"/>
      <c r="T245" s="20"/>
      <c r="U245" s="20"/>
    </row>
    <row r="246" customFormat="false" ht="13.5" hidden="false" customHeight="false" outlineLevel="0" collapsed="false">
      <c r="A246" s="20"/>
      <c r="B246" s="20"/>
      <c r="C246" s="20"/>
      <c r="D246" s="20"/>
      <c r="E246" s="20"/>
      <c r="F246" s="20"/>
      <c r="G246" s="20"/>
      <c r="H246" s="20"/>
      <c r="I246" s="20"/>
      <c r="J246" s="20"/>
      <c r="K246" s="20"/>
      <c r="L246" s="20"/>
      <c r="M246" s="20"/>
      <c r="N246" s="20"/>
      <c r="O246" s="20"/>
      <c r="P246" s="20"/>
      <c r="Q246" s="20"/>
      <c r="R246" s="20"/>
      <c r="S246" s="20"/>
      <c r="T246" s="20"/>
      <c r="U246" s="20"/>
    </row>
    <row r="247" customFormat="false" ht="13.5" hidden="false" customHeight="false" outlineLevel="0" collapsed="false">
      <c r="A247" s="20"/>
      <c r="B247" s="20"/>
      <c r="C247" s="20"/>
      <c r="D247" s="20"/>
      <c r="E247" s="20"/>
      <c r="F247" s="20"/>
      <c r="G247" s="20"/>
      <c r="H247" s="20"/>
      <c r="I247" s="20"/>
      <c r="J247" s="20"/>
      <c r="K247" s="20"/>
      <c r="L247" s="20"/>
      <c r="M247" s="20"/>
      <c r="N247" s="20"/>
      <c r="O247" s="20"/>
      <c r="P247" s="20"/>
      <c r="Q247" s="20"/>
      <c r="R247" s="20"/>
      <c r="S247" s="20"/>
      <c r="T247" s="20"/>
      <c r="U247" s="20"/>
    </row>
    <row r="248" customFormat="false" ht="13.5" hidden="false" customHeight="false" outlineLevel="0" collapsed="false">
      <c r="A248" s="20"/>
      <c r="B248" s="20"/>
      <c r="C248" s="20"/>
      <c r="D248" s="20"/>
      <c r="E248" s="20"/>
      <c r="F248" s="20"/>
      <c r="G248" s="20"/>
      <c r="H248" s="20"/>
      <c r="I248" s="20"/>
      <c r="J248" s="20"/>
      <c r="K248" s="20"/>
      <c r="L248" s="20"/>
      <c r="M248" s="20"/>
      <c r="N248" s="20"/>
      <c r="O248" s="20"/>
      <c r="P248" s="20"/>
      <c r="Q248" s="20"/>
      <c r="R248" s="20"/>
      <c r="S248" s="20"/>
      <c r="T248" s="20"/>
      <c r="U248" s="20"/>
    </row>
    <row r="249" customFormat="false" ht="13.5" hidden="false" customHeight="false" outlineLevel="0" collapsed="false">
      <c r="A249" s="20"/>
      <c r="B249" s="20"/>
      <c r="C249" s="20"/>
      <c r="D249" s="20"/>
      <c r="E249" s="20"/>
      <c r="F249" s="20"/>
      <c r="G249" s="20"/>
      <c r="H249" s="20"/>
      <c r="I249" s="20"/>
      <c r="J249" s="20"/>
      <c r="K249" s="20"/>
      <c r="L249" s="20"/>
      <c r="M249" s="20"/>
      <c r="N249" s="20"/>
      <c r="O249" s="20"/>
      <c r="P249" s="20"/>
      <c r="Q249" s="20"/>
      <c r="R249" s="20"/>
      <c r="S249" s="20"/>
      <c r="T249" s="20"/>
      <c r="U249" s="20"/>
    </row>
    <row r="250" customFormat="false" ht="13.5" hidden="false" customHeight="false" outlineLevel="0" collapsed="false">
      <c r="A250" s="20"/>
      <c r="B250" s="20"/>
      <c r="C250" s="20"/>
      <c r="D250" s="20"/>
      <c r="E250" s="20"/>
      <c r="F250" s="20"/>
      <c r="G250" s="20"/>
      <c r="H250" s="20"/>
      <c r="I250" s="20"/>
      <c r="J250" s="20"/>
      <c r="K250" s="20"/>
      <c r="L250" s="20"/>
      <c r="M250" s="20"/>
      <c r="N250" s="20"/>
      <c r="O250" s="20"/>
      <c r="P250" s="20"/>
      <c r="Q250" s="20"/>
      <c r="R250" s="20"/>
      <c r="S250" s="20"/>
      <c r="T250" s="20"/>
      <c r="U250" s="20"/>
    </row>
    <row r="251" customFormat="false" ht="13.5" hidden="false" customHeight="false" outlineLevel="0" collapsed="false">
      <c r="A251" s="20"/>
      <c r="B251" s="20"/>
      <c r="C251" s="20"/>
      <c r="D251" s="20"/>
      <c r="E251" s="20"/>
      <c r="F251" s="20"/>
      <c r="G251" s="20"/>
      <c r="H251" s="20"/>
      <c r="I251" s="20"/>
      <c r="J251" s="20"/>
      <c r="K251" s="20"/>
      <c r="L251" s="20"/>
      <c r="M251" s="20"/>
      <c r="N251" s="20"/>
      <c r="O251" s="20"/>
      <c r="P251" s="20"/>
      <c r="Q251" s="20"/>
      <c r="R251" s="20"/>
      <c r="S251" s="20"/>
      <c r="T251" s="20"/>
      <c r="U251" s="20"/>
    </row>
    <row r="252" customFormat="false" ht="13.5" hidden="false" customHeight="false" outlineLevel="0" collapsed="false">
      <c r="A252" s="20"/>
      <c r="B252" s="20"/>
      <c r="C252" s="20"/>
      <c r="D252" s="20"/>
      <c r="E252" s="20"/>
      <c r="F252" s="20"/>
      <c r="G252" s="20"/>
      <c r="H252" s="20"/>
      <c r="I252" s="20"/>
      <c r="J252" s="20"/>
      <c r="K252" s="20"/>
      <c r="L252" s="20"/>
      <c r="M252" s="20"/>
      <c r="N252" s="20"/>
      <c r="O252" s="20"/>
      <c r="P252" s="20"/>
      <c r="Q252" s="20"/>
      <c r="R252" s="20"/>
      <c r="S252" s="20"/>
      <c r="T252" s="20"/>
      <c r="U252" s="20"/>
    </row>
    <row r="253" customFormat="false" ht="13.5" hidden="false" customHeight="false" outlineLevel="0" collapsed="false">
      <c r="A253" s="20"/>
      <c r="B253" s="20"/>
      <c r="C253" s="20"/>
      <c r="D253" s="20"/>
      <c r="E253" s="20"/>
      <c r="F253" s="20"/>
      <c r="G253" s="20"/>
      <c r="H253" s="20"/>
      <c r="I253" s="20"/>
      <c r="J253" s="20"/>
      <c r="K253" s="20"/>
      <c r="L253" s="20"/>
      <c r="M253" s="20"/>
      <c r="N253" s="20"/>
      <c r="O253" s="20"/>
      <c r="P253" s="20"/>
      <c r="Q253" s="20"/>
      <c r="R253" s="20"/>
      <c r="S253" s="20"/>
      <c r="T253" s="20"/>
      <c r="U253" s="20"/>
    </row>
    <row r="254" customFormat="false" ht="13.5" hidden="false" customHeight="false" outlineLevel="0" collapsed="false">
      <c r="A254" s="20"/>
      <c r="B254" s="20"/>
      <c r="C254" s="20"/>
      <c r="D254" s="20"/>
      <c r="E254" s="20"/>
      <c r="F254" s="20"/>
      <c r="G254" s="20"/>
      <c r="H254" s="20"/>
      <c r="I254" s="20"/>
      <c r="J254" s="20"/>
      <c r="K254" s="20"/>
      <c r="L254" s="20"/>
      <c r="M254" s="20"/>
      <c r="N254" s="20"/>
      <c r="O254" s="20"/>
      <c r="P254" s="20"/>
      <c r="Q254" s="20"/>
      <c r="R254" s="20"/>
      <c r="S254" s="20"/>
      <c r="T254" s="20"/>
      <c r="U254" s="20"/>
    </row>
    <row r="255" customFormat="false" ht="13.5" hidden="false" customHeight="false" outlineLevel="0" collapsed="false">
      <c r="A255" s="20"/>
      <c r="B255" s="20"/>
      <c r="C255" s="20"/>
      <c r="D255" s="20"/>
      <c r="E255" s="20"/>
      <c r="F255" s="20"/>
      <c r="G255" s="20"/>
      <c r="H255" s="20"/>
      <c r="I255" s="20"/>
      <c r="J255" s="20"/>
      <c r="K255" s="20"/>
      <c r="L255" s="20"/>
      <c r="M255" s="20"/>
      <c r="N255" s="20"/>
      <c r="O255" s="20"/>
      <c r="P255" s="20"/>
      <c r="Q255" s="20"/>
      <c r="R255" s="20"/>
      <c r="S255" s="20"/>
      <c r="T255" s="20"/>
      <c r="U255" s="20"/>
    </row>
    <row r="256" customFormat="false" ht="13.5" hidden="false" customHeight="false" outlineLevel="0" collapsed="false">
      <c r="A256" s="20"/>
      <c r="B256" s="20"/>
      <c r="C256" s="20"/>
      <c r="D256" s="20"/>
      <c r="E256" s="20"/>
      <c r="F256" s="20"/>
      <c r="G256" s="20"/>
      <c r="H256" s="20"/>
      <c r="I256" s="20"/>
      <c r="J256" s="20"/>
      <c r="K256" s="20"/>
      <c r="L256" s="20"/>
      <c r="M256" s="20"/>
      <c r="N256" s="20"/>
      <c r="O256" s="20"/>
      <c r="P256" s="20"/>
      <c r="Q256" s="20"/>
      <c r="R256" s="20"/>
      <c r="S256" s="20"/>
      <c r="T256" s="20"/>
      <c r="U256" s="20"/>
    </row>
    <row r="257" customFormat="false" ht="13.5" hidden="false" customHeight="false" outlineLevel="0" collapsed="false">
      <c r="A257" s="20"/>
      <c r="B257" s="20"/>
      <c r="C257" s="20"/>
      <c r="D257" s="20"/>
      <c r="E257" s="20"/>
      <c r="F257" s="20"/>
      <c r="G257" s="20"/>
      <c r="H257" s="20"/>
      <c r="I257" s="20"/>
      <c r="J257" s="20"/>
      <c r="K257" s="20"/>
      <c r="L257" s="20"/>
      <c r="M257" s="20"/>
      <c r="N257" s="20"/>
      <c r="O257" s="20"/>
      <c r="P257" s="20"/>
      <c r="Q257" s="20"/>
      <c r="R257" s="20"/>
      <c r="S257" s="20"/>
      <c r="T257" s="20"/>
      <c r="U257" s="20"/>
    </row>
    <row r="258" customFormat="false" ht="13.5" hidden="false" customHeight="false" outlineLevel="0" collapsed="false">
      <c r="A258" s="20"/>
      <c r="B258" s="20"/>
      <c r="C258" s="20"/>
      <c r="D258" s="20"/>
      <c r="E258" s="20"/>
      <c r="F258" s="20"/>
      <c r="G258" s="20"/>
      <c r="H258" s="20"/>
      <c r="I258" s="20"/>
      <c r="J258" s="20"/>
      <c r="K258" s="20"/>
      <c r="L258" s="20"/>
      <c r="M258" s="20"/>
      <c r="N258" s="20"/>
      <c r="O258" s="20"/>
      <c r="P258" s="20"/>
      <c r="Q258" s="20"/>
      <c r="R258" s="20"/>
      <c r="S258" s="20"/>
      <c r="T258" s="20"/>
      <c r="U258" s="20"/>
    </row>
    <row r="259" customFormat="false" ht="13.5" hidden="false" customHeight="false" outlineLevel="0" collapsed="false">
      <c r="A259" s="20"/>
      <c r="B259" s="20"/>
      <c r="C259" s="20"/>
      <c r="D259" s="20"/>
      <c r="E259" s="20"/>
      <c r="F259" s="20"/>
      <c r="G259" s="20"/>
      <c r="H259" s="20"/>
      <c r="I259" s="20"/>
      <c r="J259" s="20"/>
      <c r="K259" s="20"/>
      <c r="L259" s="20"/>
      <c r="M259" s="20"/>
      <c r="N259" s="20"/>
      <c r="O259" s="20"/>
      <c r="P259" s="20"/>
      <c r="Q259" s="20"/>
      <c r="R259" s="20"/>
      <c r="S259" s="20"/>
      <c r="T259" s="20"/>
      <c r="U259" s="20"/>
    </row>
    <row r="260" customFormat="false" ht="13.5" hidden="false" customHeight="false" outlineLevel="0" collapsed="false">
      <c r="A260" s="20"/>
      <c r="B260" s="20"/>
      <c r="C260" s="20"/>
      <c r="D260" s="20"/>
      <c r="E260" s="20"/>
      <c r="F260" s="20"/>
      <c r="G260" s="20"/>
      <c r="H260" s="20"/>
      <c r="I260" s="20"/>
      <c r="J260" s="20"/>
      <c r="K260" s="20"/>
      <c r="L260" s="20"/>
      <c r="M260" s="20"/>
      <c r="N260" s="20"/>
      <c r="O260" s="20"/>
      <c r="P260" s="20"/>
      <c r="Q260" s="20"/>
      <c r="R260" s="20"/>
      <c r="S260" s="20"/>
      <c r="T260" s="20"/>
      <c r="U260" s="20"/>
    </row>
    <row r="261" customFormat="false" ht="13.5" hidden="false" customHeight="false" outlineLevel="0" collapsed="false">
      <c r="A261" s="20"/>
      <c r="B261" s="20"/>
      <c r="C261" s="20"/>
      <c r="D261" s="20"/>
      <c r="E261" s="20"/>
      <c r="F261" s="20"/>
      <c r="G261" s="20"/>
      <c r="H261" s="20"/>
      <c r="I261" s="20"/>
      <c r="J261" s="20"/>
      <c r="K261" s="20"/>
      <c r="L261" s="20"/>
      <c r="M261" s="20"/>
      <c r="N261" s="20"/>
      <c r="O261" s="20"/>
      <c r="P261" s="20"/>
      <c r="Q261" s="20"/>
      <c r="R261" s="20"/>
      <c r="S261" s="20"/>
      <c r="T261" s="20"/>
      <c r="U261" s="20"/>
    </row>
    <row r="262" customFormat="false" ht="13.5" hidden="false" customHeight="false" outlineLevel="0" collapsed="false">
      <c r="A262" s="20"/>
      <c r="B262" s="20"/>
      <c r="C262" s="20"/>
      <c r="D262" s="20"/>
      <c r="E262" s="20"/>
      <c r="F262" s="20"/>
      <c r="G262" s="20"/>
      <c r="H262" s="20"/>
      <c r="I262" s="20"/>
      <c r="J262" s="20"/>
      <c r="K262" s="20"/>
      <c r="L262" s="20"/>
      <c r="M262" s="20"/>
      <c r="N262" s="20"/>
      <c r="O262" s="20"/>
      <c r="P262" s="20"/>
      <c r="Q262" s="20"/>
      <c r="R262" s="20"/>
      <c r="S262" s="20"/>
      <c r="T262" s="20"/>
      <c r="U262" s="20"/>
    </row>
    <row r="263" customFormat="false" ht="13.5" hidden="false" customHeight="false" outlineLevel="0" collapsed="false">
      <c r="A263" s="20"/>
      <c r="B263" s="20"/>
      <c r="C263" s="20"/>
      <c r="D263" s="20"/>
      <c r="E263" s="20"/>
      <c r="F263" s="20"/>
      <c r="G263" s="20"/>
      <c r="H263" s="20"/>
      <c r="I263" s="20"/>
      <c r="J263" s="20"/>
      <c r="K263" s="20"/>
      <c r="L263" s="20"/>
      <c r="M263" s="20"/>
      <c r="N263" s="20"/>
      <c r="O263" s="20"/>
      <c r="P263" s="20"/>
      <c r="Q263" s="20"/>
      <c r="R263" s="20"/>
      <c r="S263" s="20"/>
      <c r="T263" s="20"/>
      <c r="U263" s="20"/>
    </row>
    <row r="264" customFormat="false" ht="13.5" hidden="false" customHeight="false" outlineLevel="0" collapsed="false">
      <c r="A264" s="20"/>
      <c r="B264" s="20"/>
      <c r="C264" s="20"/>
      <c r="D264" s="20"/>
      <c r="E264" s="20"/>
      <c r="F264" s="20"/>
      <c r="G264" s="20"/>
      <c r="H264" s="20"/>
      <c r="I264" s="20"/>
      <c r="J264" s="20"/>
      <c r="K264" s="20"/>
      <c r="L264" s="20"/>
      <c r="M264" s="20"/>
      <c r="N264" s="20"/>
      <c r="O264" s="20"/>
      <c r="P264" s="20"/>
      <c r="Q264" s="20"/>
      <c r="R264" s="20"/>
      <c r="S264" s="20"/>
      <c r="T264" s="20"/>
      <c r="U264" s="20"/>
    </row>
    <row r="265" customFormat="false" ht="13.5" hidden="false" customHeight="false" outlineLevel="0" collapsed="false">
      <c r="A265" s="20"/>
      <c r="B265" s="20"/>
      <c r="C265" s="20"/>
      <c r="D265" s="20"/>
      <c r="E265" s="20"/>
      <c r="F265" s="20"/>
      <c r="G265" s="20"/>
      <c r="H265" s="20"/>
      <c r="I265" s="20"/>
      <c r="J265" s="20"/>
      <c r="K265" s="20"/>
      <c r="L265" s="20"/>
      <c r="M265" s="20"/>
      <c r="N265" s="20"/>
      <c r="O265" s="20"/>
      <c r="P265" s="20"/>
      <c r="Q265" s="20"/>
      <c r="R265" s="20"/>
      <c r="S265" s="20"/>
      <c r="T265" s="20"/>
      <c r="U265" s="20"/>
    </row>
    <row r="266" customFormat="false" ht="13.5" hidden="false" customHeight="false" outlineLevel="0" collapsed="false">
      <c r="A266" s="20"/>
      <c r="B266" s="20"/>
      <c r="C266" s="20"/>
      <c r="D266" s="20"/>
      <c r="E266" s="20"/>
      <c r="F266" s="20"/>
      <c r="G266" s="20"/>
      <c r="H266" s="20"/>
      <c r="I266" s="20"/>
      <c r="J266" s="20"/>
      <c r="K266" s="20"/>
      <c r="L266" s="20"/>
      <c r="M266" s="20"/>
      <c r="N266" s="20"/>
      <c r="O266" s="20"/>
      <c r="P266" s="20"/>
      <c r="Q266" s="20"/>
      <c r="R266" s="20"/>
      <c r="S266" s="20"/>
      <c r="T266" s="20"/>
      <c r="U266" s="20"/>
    </row>
    <row r="267" customFormat="false" ht="13.5" hidden="false" customHeight="false" outlineLevel="0" collapsed="false">
      <c r="A267" s="20"/>
      <c r="B267" s="20"/>
      <c r="C267" s="20"/>
      <c r="D267" s="20"/>
      <c r="E267" s="20"/>
      <c r="F267" s="20"/>
      <c r="G267" s="20"/>
      <c r="H267" s="20"/>
      <c r="I267" s="20"/>
      <c r="J267" s="20"/>
      <c r="K267" s="20"/>
      <c r="L267" s="20"/>
      <c r="M267" s="20"/>
      <c r="N267" s="20"/>
      <c r="O267" s="20"/>
      <c r="P267" s="20"/>
      <c r="Q267" s="20"/>
      <c r="R267" s="20"/>
      <c r="S267" s="20"/>
      <c r="T267" s="20"/>
      <c r="U267" s="20"/>
    </row>
    <row r="268" customFormat="false" ht="13.5" hidden="false" customHeight="false" outlineLevel="0" collapsed="false">
      <c r="A268" s="20"/>
      <c r="B268" s="20"/>
      <c r="C268" s="20"/>
      <c r="D268" s="20"/>
      <c r="E268" s="20"/>
      <c r="F268" s="20"/>
      <c r="G268" s="20"/>
      <c r="H268" s="20"/>
      <c r="I268" s="20"/>
      <c r="J268" s="20"/>
      <c r="K268" s="20"/>
      <c r="L268" s="20"/>
      <c r="M268" s="20"/>
      <c r="N268" s="20"/>
      <c r="O268" s="20"/>
      <c r="P268" s="20"/>
      <c r="Q268" s="20"/>
      <c r="R268" s="20"/>
      <c r="S268" s="20"/>
      <c r="T268" s="20"/>
      <c r="U268" s="20"/>
    </row>
    <row r="269" customFormat="false" ht="13.5" hidden="false" customHeight="false" outlineLevel="0" collapsed="false">
      <c r="A269" s="20"/>
      <c r="B269" s="20"/>
      <c r="C269" s="20"/>
      <c r="D269" s="20"/>
      <c r="E269" s="20"/>
      <c r="F269" s="20"/>
      <c r="G269" s="20"/>
      <c r="H269" s="20"/>
      <c r="I269" s="20"/>
      <c r="J269" s="20"/>
      <c r="K269" s="20"/>
      <c r="L269" s="20"/>
      <c r="M269" s="20"/>
      <c r="N269" s="20"/>
      <c r="O269" s="20"/>
      <c r="P269" s="20"/>
      <c r="Q269" s="20"/>
      <c r="R269" s="20"/>
      <c r="S269" s="20"/>
      <c r="T269" s="20"/>
      <c r="U269" s="20"/>
    </row>
    <row r="270" customFormat="false" ht="13.5" hidden="false" customHeight="false" outlineLevel="0" collapsed="false">
      <c r="A270" s="20"/>
      <c r="B270" s="20"/>
      <c r="C270" s="20"/>
      <c r="D270" s="20"/>
      <c r="E270" s="20"/>
      <c r="F270" s="20"/>
      <c r="G270" s="20"/>
      <c r="H270" s="20"/>
      <c r="I270" s="20"/>
      <c r="J270" s="20"/>
      <c r="K270" s="20"/>
      <c r="L270" s="20"/>
      <c r="M270" s="20"/>
      <c r="N270" s="20"/>
      <c r="O270" s="20"/>
      <c r="P270" s="20"/>
      <c r="Q270" s="20"/>
      <c r="R270" s="20"/>
      <c r="S270" s="20"/>
      <c r="T270" s="20"/>
      <c r="U270" s="20"/>
    </row>
    <row r="271" customFormat="false" ht="13.5" hidden="false" customHeight="false" outlineLevel="0" collapsed="false">
      <c r="A271" s="20"/>
      <c r="B271" s="20"/>
      <c r="C271" s="20"/>
      <c r="D271" s="20"/>
      <c r="E271" s="20"/>
      <c r="F271" s="20"/>
      <c r="G271" s="20"/>
      <c r="H271" s="20"/>
      <c r="I271" s="20"/>
      <c r="J271" s="20"/>
      <c r="K271" s="20"/>
      <c r="L271" s="20"/>
      <c r="M271" s="20"/>
      <c r="N271" s="20"/>
      <c r="O271" s="20"/>
      <c r="P271" s="20"/>
      <c r="Q271" s="20"/>
      <c r="R271" s="20"/>
      <c r="S271" s="20"/>
      <c r="T271" s="20"/>
      <c r="U271" s="20"/>
    </row>
    <row r="272" customFormat="false" ht="13.5" hidden="false" customHeight="false" outlineLevel="0" collapsed="false">
      <c r="A272" s="20"/>
      <c r="B272" s="20"/>
      <c r="C272" s="20"/>
      <c r="D272" s="20"/>
      <c r="E272" s="20"/>
      <c r="F272" s="20"/>
      <c r="G272" s="20"/>
      <c r="H272" s="20"/>
      <c r="I272" s="20"/>
      <c r="J272" s="20"/>
      <c r="K272" s="20"/>
      <c r="L272" s="20"/>
      <c r="M272" s="20"/>
      <c r="N272" s="20"/>
      <c r="O272" s="20"/>
      <c r="P272" s="20"/>
      <c r="Q272" s="20"/>
      <c r="R272" s="20"/>
      <c r="S272" s="20"/>
      <c r="T272" s="20"/>
      <c r="U272" s="20"/>
    </row>
    <row r="273" customFormat="false" ht="13.5" hidden="false" customHeight="false" outlineLevel="0" collapsed="false">
      <c r="A273" s="20"/>
      <c r="B273" s="20"/>
      <c r="C273" s="20"/>
      <c r="D273" s="20"/>
      <c r="E273" s="20"/>
      <c r="F273" s="20"/>
      <c r="G273" s="20"/>
      <c r="H273" s="20"/>
      <c r="I273" s="20"/>
      <c r="J273" s="20"/>
      <c r="K273" s="20"/>
      <c r="L273" s="20"/>
      <c r="M273" s="20"/>
      <c r="N273" s="20"/>
      <c r="O273" s="20"/>
      <c r="P273" s="20"/>
      <c r="Q273" s="20"/>
      <c r="R273" s="20"/>
      <c r="S273" s="20"/>
      <c r="T273" s="20"/>
      <c r="U273" s="20"/>
    </row>
    <row r="274" customFormat="false" ht="13.5" hidden="false" customHeight="fals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row>
    <row r="275" customFormat="false" ht="13.5" hidden="false" customHeight="fals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row>
    <row r="276" customFormat="false" ht="13.5" hidden="false" customHeight="fals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row>
    <row r="277" customFormat="false" ht="13.5" hidden="false" customHeight="fals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row>
    <row r="278" customFormat="false" ht="13.5" hidden="false" customHeight="fals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row>
    <row r="279" customFormat="false" ht="13.5" hidden="false" customHeight="fals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row>
    <row r="280" customFormat="false" ht="13.5" hidden="false" customHeight="fals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row>
    <row r="281" customFormat="false" ht="13.5" hidden="false" customHeight="fals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row>
    <row r="282" customFormat="false" ht="13.5" hidden="false" customHeight="fals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row>
    <row r="283" customFormat="false" ht="13.5" hidden="false" customHeight="fals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row>
    <row r="284" customFormat="false" ht="13.5" hidden="false" customHeight="fals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row>
    <row r="285" customFormat="false" ht="13.5" hidden="false" customHeight="fals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row>
    <row r="286" customFormat="false" ht="13.5" hidden="false" customHeight="fals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row>
    <row r="287" customFormat="false" ht="13.5" hidden="false" customHeight="fals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row>
    <row r="288" customFormat="false" ht="13.5" hidden="false" customHeight="fals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row>
    <row r="289" customFormat="false" ht="13.5" hidden="false" customHeight="fals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row>
    <row r="290" customFormat="false" ht="13.5" hidden="false" customHeight="fals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row>
    <row r="291" customFormat="false" ht="13.5" hidden="false" customHeight="fals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row>
    <row r="292" customFormat="false" ht="13.5" hidden="false" customHeight="fals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row>
    <row r="293" customFormat="false" ht="13.5" hidden="false" customHeight="fals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row>
    <row r="294" customFormat="false" ht="13.5" hidden="false" customHeight="fals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row>
    <row r="295" customFormat="false" ht="13.5" hidden="false" customHeight="fals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row>
    <row r="296" customFormat="false" ht="13.5" hidden="false" customHeight="fals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row>
    <row r="297" customFormat="false" ht="13.5" hidden="false" customHeight="fals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row>
    <row r="298" customFormat="false" ht="13.5" hidden="false" customHeight="fals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row>
    <row r="299" customFormat="false" ht="13.5" hidden="false" customHeight="fals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row>
    <row r="300" customFormat="false" ht="13.5" hidden="false" customHeight="fals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47"/>
  <sheetViews>
    <sheetView showFormulas="false" showGridLines="false" showRowColHeaders="true" showZeros="true" rightToLeft="false" tabSelected="false" showOutlineSymbols="true" defaultGridColor="true" view="normal" topLeftCell="A1" colorId="64" zoomScale="79" zoomScaleNormal="79" zoomScalePageLayoutView="100" workbookViewId="0">
      <selection pane="topLeft" activeCell="A1" activeCellId="0" sqref="A1"/>
    </sheetView>
  </sheetViews>
  <sheetFormatPr defaultColWidth="8.6796875" defaultRowHeight="13.5" zeroHeight="false" outlineLevelRow="0" outlineLevelCol="0"/>
  <cols>
    <col collapsed="false" customWidth="true" hidden="false" outlineLevel="0" max="1" min="1" style="0" width="48"/>
    <col collapsed="false" customWidth="true" hidden="false" outlineLevel="0" max="2" min="2" style="0" width="25"/>
    <col collapsed="false" customWidth="true" hidden="false" outlineLevel="0" max="3" min="3" style="0" width="24"/>
    <col collapsed="false" customWidth="true" hidden="false" outlineLevel="0" max="4" min="4" style="0" width="59"/>
    <col collapsed="false" customWidth="true" hidden="false" outlineLevel="0" max="5" min="5" style="0" width="64"/>
    <col collapsed="false" customWidth="true" hidden="false" outlineLevel="0" max="6" min="6" style="0" width="69"/>
    <col collapsed="false" customWidth="true" hidden="false" outlineLevel="0" max="10" min="7" style="0" width="20"/>
  </cols>
  <sheetData>
    <row r="2" customFormat="false" ht="17.25" hidden="false" customHeight="true" outlineLevel="0" collapsed="false">
      <c r="A2" s="1" t="s">
        <v>1561</v>
      </c>
    </row>
    <row r="4" customFormat="false" ht="33.75" hidden="false" customHeight="true" outlineLevel="0" collapsed="false">
      <c r="A4" s="2" t="s">
        <v>1562</v>
      </c>
      <c r="B4" s="2" t="s">
        <v>1563</v>
      </c>
      <c r="C4" s="2" t="s">
        <v>1564</v>
      </c>
      <c r="D4" s="2" t="s">
        <v>1565</v>
      </c>
      <c r="E4" s="2" t="s">
        <v>1476</v>
      </c>
      <c r="F4" s="2" t="s">
        <v>1566</v>
      </c>
    </row>
    <row r="5" customFormat="false" ht="25.5" hidden="false" customHeight="true" outlineLevel="0" collapsed="false">
      <c r="A5" s="3" t="s">
        <v>1567</v>
      </c>
      <c r="B5" s="26" t="n">
        <v>0.0417986209613163</v>
      </c>
      <c r="C5" s="3" t="s">
        <v>1568</v>
      </c>
      <c r="D5" s="3" t="s">
        <v>1569</v>
      </c>
      <c r="E5" s="3" t="s">
        <v>1570</v>
      </c>
      <c r="F5" s="3" t="s">
        <v>1571</v>
      </c>
    </row>
    <row r="6" customFormat="false" ht="25.5" hidden="false" customHeight="true" outlineLevel="0" collapsed="false">
      <c r="A6" s="4" t="s">
        <v>1572</v>
      </c>
      <c r="B6" s="27" t="n">
        <v>0</v>
      </c>
      <c r="C6" s="4" t="s">
        <v>170</v>
      </c>
      <c r="D6" s="4" t="s">
        <v>1573</v>
      </c>
      <c r="E6" s="4" t="s">
        <v>1574</v>
      </c>
      <c r="F6" s="4" t="s">
        <v>1575</v>
      </c>
    </row>
    <row r="7" customFormat="false" ht="25.5" hidden="false" customHeight="true" outlineLevel="0" collapsed="false">
      <c r="A7" s="3" t="s">
        <v>1576</v>
      </c>
      <c r="B7" s="26" t="n">
        <v>0.0478749879778917</v>
      </c>
      <c r="C7" s="3" t="s">
        <v>1577</v>
      </c>
      <c r="D7" s="3" t="s">
        <v>1578</v>
      </c>
      <c r="E7" s="3" t="s">
        <v>1579</v>
      </c>
      <c r="F7" s="3" t="s">
        <v>1580</v>
      </c>
    </row>
    <row r="8" customFormat="false" ht="25.5" hidden="false" customHeight="true" outlineLevel="0" collapsed="false">
      <c r="A8" s="4" t="s">
        <v>1581</v>
      </c>
      <c r="B8" s="27" t="n">
        <f aca="false">B7/SQRT(B12)</f>
        <v>0.00250589140013474</v>
      </c>
      <c r="C8" s="4" t="s">
        <v>1577</v>
      </c>
      <c r="D8" s="4" t="s">
        <v>1582</v>
      </c>
      <c r="E8" s="4" t="s">
        <v>1583</v>
      </c>
      <c r="F8" s="4" t="s">
        <v>1584</v>
      </c>
    </row>
    <row r="9" customFormat="false" ht="25.5" hidden="false" customHeight="true" outlineLevel="0" collapsed="false">
      <c r="A9" s="3" t="s">
        <v>1585</v>
      </c>
      <c r="B9" s="26" t="n">
        <v>90</v>
      </c>
      <c r="C9" s="3" t="s">
        <v>279</v>
      </c>
      <c r="D9" s="3" t="s">
        <v>1586</v>
      </c>
      <c r="E9" s="3" t="s">
        <v>1587</v>
      </c>
      <c r="F9" s="3" t="s">
        <v>1588</v>
      </c>
    </row>
    <row r="10" customFormat="false" ht="25.5" hidden="false" customHeight="true" outlineLevel="0" collapsed="false">
      <c r="A10" s="4" t="s">
        <v>1589</v>
      </c>
      <c r="B10" s="27" t="n">
        <v>1000000</v>
      </c>
      <c r="C10" s="4" t="s">
        <v>1590</v>
      </c>
      <c r="D10" s="4" t="s">
        <v>1591</v>
      </c>
      <c r="E10" s="4" t="s">
        <v>1592</v>
      </c>
      <c r="F10" s="4" t="s">
        <v>1593</v>
      </c>
    </row>
    <row r="11" customFormat="false" ht="25.5" hidden="false" customHeight="true" outlineLevel="0" collapsed="false">
      <c r="A11" s="3" t="s">
        <v>1594</v>
      </c>
      <c r="B11" s="26" t="n">
        <v>0.0475</v>
      </c>
      <c r="C11" s="3" t="s">
        <v>1595</v>
      </c>
      <c r="D11" s="3" t="s">
        <v>1596</v>
      </c>
      <c r="E11" s="3" t="s">
        <v>1597</v>
      </c>
      <c r="F11" s="3" t="s">
        <v>1598</v>
      </c>
    </row>
    <row r="12" customFormat="false" ht="25.5" hidden="false" customHeight="true" outlineLevel="0" collapsed="false">
      <c r="A12" s="4" t="s">
        <v>1599</v>
      </c>
      <c r="B12" s="27" t="n">
        <v>365</v>
      </c>
      <c r="C12" s="4" t="s">
        <v>279</v>
      </c>
      <c r="D12" s="4" t="s">
        <v>1600</v>
      </c>
      <c r="E12" s="4" t="s">
        <v>1601</v>
      </c>
      <c r="F12" s="4"/>
    </row>
    <row r="13" customFormat="false" ht="25.5" hidden="false" customHeight="true" outlineLevel="0" collapsed="false">
      <c r="A13" s="3" t="s">
        <v>1602</v>
      </c>
      <c r="B13" s="28" t="n">
        <v>40</v>
      </c>
      <c r="C13" s="3" t="s">
        <v>1603</v>
      </c>
      <c r="D13" s="3" t="s">
        <v>1604</v>
      </c>
      <c r="E13" s="3" t="s">
        <v>1605</v>
      </c>
      <c r="F13" s="3"/>
    </row>
    <row r="14" customFormat="false" ht="25.5" hidden="false" customHeight="true" outlineLevel="0" collapsed="false">
      <c r="A14" s="4" t="s">
        <v>1606</v>
      </c>
      <c r="B14" s="27" t="n">
        <v>43.24705229</v>
      </c>
      <c r="C14" s="4" t="s">
        <v>279</v>
      </c>
      <c r="D14" s="4" t="s">
        <v>1607</v>
      </c>
      <c r="E14" s="4" t="s">
        <v>1608</v>
      </c>
      <c r="F14" s="4"/>
    </row>
    <row r="15" customFormat="false" ht="25.5" hidden="false" customHeight="true" outlineLevel="0" collapsed="false">
      <c r="A15" s="3" t="s">
        <v>1609</v>
      </c>
      <c r="B15" s="26" t="n">
        <v>58.2071385175</v>
      </c>
      <c r="C15" s="3" t="s">
        <v>279</v>
      </c>
      <c r="D15" s="3" t="s">
        <v>1610</v>
      </c>
      <c r="E15" s="3" t="s">
        <v>1608</v>
      </c>
      <c r="F15" s="3"/>
    </row>
    <row r="16" customFormat="false" ht="25.5" hidden="false" customHeight="true" outlineLevel="0" collapsed="false">
      <c r="A16" s="4" t="s">
        <v>1611</v>
      </c>
      <c r="B16" s="27" t="n">
        <v>66.26326635</v>
      </c>
      <c r="C16" s="4" t="s">
        <v>279</v>
      </c>
      <c r="D16" s="4" t="s">
        <v>1612</v>
      </c>
      <c r="E16" s="4" t="s">
        <v>1608</v>
      </c>
      <c r="F16" s="4"/>
    </row>
    <row r="17" customFormat="false" ht="25.5" hidden="false" customHeight="true" outlineLevel="0" collapsed="false">
      <c r="A17" s="3" t="s">
        <v>1613</v>
      </c>
      <c r="B17" s="26" t="n">
        <v>69.751755075</v>
      </c>
      <c r="C17" s="3" t="s">
        <v>279</v>
      </c>
      <c r="D17" s="3" t="s">
        <v>1614</v>
      </c>
      <c r="E17" s="3" t="s">
        <v>1608</v>
      </c>
      <c r="F17" s="3"/>
    </row>
    <row r="18" customFormat="false" ht="25.5" hidden="false" customHeight="true" outlineLevel="0" collapsed="false">
      <c r="A18" s="4" t="s">
        <v>1615</v>
      </c>
      <c r="B18" s="27" t="n">
        <v>86.118055065</v>
      </c>
      <c r="C18" s="4" t="s">
        <v>279</v>
      </c>
      <c r="D18" s="4" t="s">
        <v>1616</v>
      </c>
      <c r="E18" s="4" t="s">
        <v>1608</v>
      </c>
      <c r="F18" s="4"/>
    </row>
    <row r="19" customFormat="false" ht="25.5" hidden="false" customHeight="true" outlineLevel="0" collapsed="false">
      <c r="A19" s="3" t="s">
        <v>1617</v>
      </c>
      <c r="B19" s="26" t="n">
        <v>137.965147652</v>
      </c>
      <c r="C19" s="3" t="s">
        <v>279</v>
      </c>
      <c r="D19" s="3" t="s">
        <v>1618</v>
      </c>
      <c r="E19" s="3" t="s">
        <v>1608</v>
      </c>
      <c r="F19" s="3"/>
    </row>
    <row r="20" customFormat="false" ht="25.5" hidden="false" customHeight="true" outlineLevel="0" collapsed="false">
      <c r="A20" s="4" t="s">
        <v>1619</v>
      </c>
      <c r="B20" s="27" t="n">
        <v>68.3092044425</v>
      </c>
      <c r="C20" s="4" t="s">
        <v>279</v>
      </c>
      <c r="D20" s="4" t="s">
        <v>1620</v>
      </c>
      <c r="E20" s="4" t="s">
        <v>1608</v>
      </c>
      <c r="F20" s="4"/>
    </row>
    <row r="21" customFormat="false" ht="25.5" hidden="false" customHeight="true" outlineLevel="0" collapsed="false">
      <c r="A21" s="3" t="s">
        <v>1621</v>
      </c>
      <c r="B21" s="26" t="n">
        <v>14.892652922</v>
      </c>
      <c r="C21" s="3" t="s">
        <v>279</v>
      </c>
      <c r="D21" s="3" t="s">
        <v>1622</v>
      </c>
      <c r="E21" s="3" t="s">
        <v>1608</v>
      </c>
      <c r="F21" s="3"/>
    </row>
    <row r="22" customFormat="false" ht="25.5" hidden="false" customHeight="true" outlineLevel="0" collapsed="false">
      <c r="A22" s="4" t="s">
        <v>1623</v>
      </c>
      <c r="B22" s="29" t="n">
        <v>0.0830079952170207</v>
      </c>
      <c r="C22" s="4" t="s">
        <v>1624</v>
      </c>
      <c r="D22" s="4" t="s">
        <v>1625</v>
      </c>
      <c r="E22" s="4" t="s">
        <v>1608</v>
      </c>
      <c r="F22" s="4"/>
    </row>
    <row r="23" customFormat="false" ht="25.5" hidden="false" customHeight="true" outlineLevel="0" collapsed="false">
      <c r="A23" s="3" t="s">
        <v>1626</v>
      </c>
      <c r="B23" s="28" t="n">
        <v>0.05</v>
      </c>
      <c r="C23" s="3" t="s">
        <v>1627</v>
      </c>
      <c r="D23" s="3" t="s">
        <v>1628</v>
      </c>
      <c r="E23" s="3" t="s">
        <v>1629</v>
      </c>
      <c r="F23" s="3" t="s">
        <v>1630</v>
      </c>
    </row>
    <row r="24" customFormat="false" ht="25.5" hidden="false" customHeight="true" outlineLevel="0" collapsed="false">
      <c r="A24" s="4" t="s">
        <v>1631</v>
      </c>
      <c r="B24" s="27" t="n">
        <v>1</v>
      </c>
      <c r="C24" s="4" t="s">
        <v>1632</v>
      </c>
      <c r="D24" s="4" t="s">
        <v>1633</v>
      </c>
      <c r="E24" s="4" t="s">
        <v>1634</v>
      </c>
      <c r="F24" s="4"/>
    </row>
    <row r="25" customFormat="false" ht="25.5" hidden="false" customHeight="true" outlineLevel="0" collapsed="false">
      <c r="A25" s="3" t="s">
        <v>1635</v>
      </c>
      <c r="B25" s="26" t="n">
        <v>2023</v>
      </c>
      <c r="C25" s="3" t="s">
        <v>1636</v>
      </c>
      <c r="D25" s="3" t="s">
        <v>1637</v>
      </c>
      <c r="E25" s="3" t="s">
        <v>1638</v>
      </c>
      <c r="F25" s="3" t="s">
        <v>1639</v>
      </c>
    </row>
    <row r="26" customFormat="false" ht="25.5" hidden="false" customHeight="true" outlineLevel="0" collapsed="false">
      <c r="A26" s="4" t="s">
        <v>1640</v>
      </c>
      <c r="B26" s="27" t="n">
        <v>2025</v>
      </c>
      <c r="C26" s="4" t="s">
        <v>1636</v>
      </c>
      <c r="D26" s="4" t="s">
        <v>1641</v>
      </c>
      <c r="E26" s="4" t="s">
        <v>1642</v>
      </c>
      <c r="F26" s="4" t="s">
        <v>1643</v>
      </c>
    </row>
    <row r="27" customFormat="false" ht="25.5" hidden="false" customHeight="true" outlineLevel="0" collapsed="false">
      <c r="A27" s="3" t="s">
        <v>1644</v>
      </c>
      <c r="B27" s="26" t="n">
        <v>1</v>
      </c>
      <c r="C27" s="3" t="s">
        <v>1645</v>
      </c>
      <c r="D27" s="3" t="s">
        <v>1646</v>
      </c>
      <c r="E27" s="3" t="s">
        <v>1647</v>
      </c>
      <c r="F27" s="3" t="s">
        <v>1648</v>
      </c>
    </row>
    <row r="28" customFormat="false" ht="25.5" hidden="false" customHeight="true" outlineLevel="0" collapsed="false">
      <c r="A28" s="4" t="s">
        <v>1649</v>
      </c>
      <c r="B28" s="27" t="n">
        <v>1</v>
      </c>
      <c r="C28" s="4" t="s">
        <v>1645</v>
      </c>
      <c r="D28" s="4" t="s">
        <v>1650</v>
      </c>
      <c r="E28" s="4" t="s">
        <v>1593</v>
      </c>
      <c r="F28" s="4" t="s">
        <v>1651</v>
      </c>
    </row>
    <row r="29" customFormat="false" ht="25.5" hidden="false" customHeight="true" outlineLevel="0" collapsed="false">
      <c r="A29" s="3" t="s">
        <v>1652</v>
      </c>
      <c r="B29" s="26" t="n">
        <v>0.5</v>
      </c>
      <c r="C29" s="3" t="s">
        <v>1653</v>
      </c>
      <c r="D29" s="3" t="s">
        <v>1654</v>
      </c>
      <c r="E29" s="3" t="s">
        <v>1593</v>
      </c>
      <c r="F29" s="3" t="s">
        <v>1655</v>
      </c>
    </row>
    <row r="30" customFormat="false" ht="25.5" hidden="false" customHeight="true" outlineLevel="0" collapsed="false">
      <c r="A30" s="4" t="s">
        <v>1656</v>
      </c>
      <c r="B30" s="27" t="n">
        <v>1</v>
      </c>
      <c r="C30" s="4" t="s">
        <v>1653</v>
      </c>
      <c r="D30" s="4" t="s">
        <v>1657</v>
      </c>
      <c r="E30" s="4" t="s">
        <v>1593</v>
      </c>
      <c r="F30" s="4"/>
    </row>
    <row r="31" customFormat="false" ht="25.5" hidden="false" customHeight="true" outlineLevel="0" collapsed="false">
      <c r="A31" s="3" t="s">
        <v>1658</v>
      </c>
      <c r="B31" s="26" t="n">
        <v>60</v>
      </c>
      <c r="C31" s="3" t="s">
        <v>279</v>
      </c>
      <c r="D31" s="3" t="s">
        <v>1659</v>
      </c>
      <c r="E31" s="3" t="s">
        <v>1593</v>
      </c>
      <c r="F31" s="3"/>
    </row>
    <row r="32" customFormat="false" ht="25.5" hidden="false" customHeight="true" outlineLevel="0" collapsed="false">
      <c r="A32" s="4" t="s">
        <v>1660</v>
      </c>
      <c r="B32" s="27" t="n">
        <v>30</v>
      </c>
      <c r="C32" s="4" t="s">
        <v>279</v>
      </c>
      <c r="D32" s="4" t="s">
        <v>1661</v>
      </c>
      <c r="E32" s="4" t="s">
        <v>1593</v>
      </c>
      <c r="F32" s="4"/>
    </row>
    <row r="34" customFormat="false" ht="13.5" hidden="false" customHeight="true" outlineLevel="0" collapsed="false">
      <c r="A34" s="3" t="s">
        <v>1662</v>
      </c>
      <c r="B34" s="3"/>
      <c r="C34" s="3"/>
      <c r="D34" s="3"/>
      <c r="E34" s="3"/>
      <c r="F34" s="3"/>
    </row>
    <row r="35" customFormat="false" ht="13.5" hidden="false" customHeight="false" outlineLevel="0" collapsed="false">
      <c r="A35" s="3"/>
      <c r="B35" s="3"/>
      <c r="C35" s="3"/>
      <c r="D35" s="3"/>
      <c r="E35" s="3"/>
      <c r="F35" s="3"/>
    </row>
    <row r="38" customFormat="false" ht="33.75" hidden="false" customHeight="true" outlineLevel="0" collapsed="false">
      <c r="A38" s="2" t="s">
        <v>156</v>
      </c>
      <c r="B38" s="2" t="s">
        <v>1663</v>
      </c>
      <c r="C38" s="2" t="s">
        <v>1664</v>
      </c>
      <c r="D38" s="2" t="s">
        <v>1665</v>
      </c>
      <c r="E38" s="2" t="s">
        <v>1666</v>
      </c>
      <c r="F38" s="2" t="s">
        <v>1667</v>
      </c>
      <c r="G38" s="2" t="s">
        <v>1668</v>
      </c>
      <c r="H38" s="2" t="s">
        <v>1669</v>
      </c>
      <c r="I38" s="2" t="s">
        <v>1670</v>
      </c>
      <c r="J38" s="2" t="s">
        <v>1671</v>
      </c>
    </row>
    <row r="39" customFormat="false" ht="25.5" hidden="false" customHeight="true" outlineLevel="0" collapsed="false">
      <c r="A39" s="3" t="s">
        <v>206</v>
      </c>
      <c r="B39" s="3" t="n">
        <v>25.76923076</v>
      </c>
      <c r="C39" s="3" t="n">
        <v>34.408949135</v>
      </c>
      <c r="D39" s="3" t="n">
        <v>43.24705229</v>
      </c>
      <c r="E39" s="3" t="n">
        <v>58.2071385175</v>
      </c>
      <c r="F39" s="3" t="n">
        <v>66.26326635</v>
      </c>
      <c r="G39" s="3" t="n">
        <v>36.135936565</v>
      </c>
      <c r="H39" s="3" t="n">
        <v>43.24705229</v>
      </c>
      <c r="I39" s="3" t="n">
        <v>0.171460206064327</v>
      </c>
      <c r="J39" s="3" t="n">
        <f aca="false">IF(I39&lt;0.05,MIN(3,MAX(0.1,G39/H39)),1)</f>
        <v>1</v>
      </c>
    </row>
    <row r="40" customFormat="false" ht="39.75" hidden="false" customHeight="true" outlineLevel="0" collapsed="false">
      <c r="A40" s="4" t="s">
        <v>214</v>
      </c>
      <c r="B40" s="4" t="n">
        <v>33.857892339</v>
      </c>
      <c r="C40" s="4" t="n">
        <v>57.27663468</v>
      </c>
      <c r="D40" s="4" t="n">
        <v>69.751755075</v>
      </c>
      <c r="E40" s="4" t="n">
        <v>86.118055065</v>
      </c>
      <c r="F40" s="4" t="n">
        <v>137.965147652</v>
      </c>
      <c r="G40" s="4" t="n">
        <v>75.80493665</v>
      </c>
      <c r="H40" s="4" t="n">
        <v>69.751755075</v>
      </c>
      <c r="I40" s="4" t="n">
        <v>0.287495418869168</v>
      </c>
      <c r="J40" s="4" t="n">
        <f aca="false">IF(I40&lt;0.05,MIN(3,MAX(0.1,G40/H40)),1)</f>
        <v>1</v>
      </c>
    </row>
    <row r="41" customFormat="false" ht="39.75" hidden="false" customHeight="true" outlineLevel="0" collapsed="false">
      <c r="A41" s="3" t="s">
        <v>221</v>
      </c>
      <c r="B41" s="3" t="n">
        <v>14.892652922</v>
      </c>
      <c r="C41" s="3" t="n">
        <v>19.3757025575</v>
      </c>
      <c r="D41" s="3" t="n">
        <v>34.262286885</v>
      </c>
      <c r="E41" s="3" t="n">
        <v>68.3092044425</v>
      </c>
      <c r="F41" s="3" t="n">
        <v>88.215244975</v>
      </c>
      <c r="G41" s="3" t="n">
        <v>29.967554965</v>
      </c>
      <c r="H41" s="3" t="n">
        <v>34.262286885</v>
      </c>
      <c r="I41" s="3" t="n">
        <v>0.594853423788325</v>
      </c>
      <c r="J41" s="3" t="n">
        <f aca="false">IF(I41&lt;0.05,MIN(3,MAX(0.1,G41/H41)),1)</f>
        <v>1</v>
      </c>
    </row>
    <row r="42" customFormat="false" ht="25.5" hidden="false" customHeight="true" outlineLevel="0" collapsed="false">
      <c r="A42" s="4" t="s">
        <v>1672</v>
      </c>
      <c r="B42" s="4" t="n">
        <v>0.0445121717234173</v>
      </c>
      <c r="C42" s="4" t="n">
        <v>0.0830079952170207</v>
      </c>
      <c r="D42" s="4" t="n">
        <v>0.118831765401653</v>
      </c>
      <c r="E42" s="4" t="n">
        <v>0.183401513073855</v>
      </c>
      <c r="F42" s="4" t="n">
        <v>0.298400259274756</v>
      </c>
      <c r="G42" s="4" t="n">
        <v>0.117979570473285</v>
      </c>
      <c r="H42" s="4" t="n">
        <v>0.118831765401653</v>
      </c>
      <c r="I42" s="4" t="n">
        <v>0.447411702009319</v>
      </c>
      <c r="J42" s="4" t="n">
        <f aca="false">IF(I42&lt;0.05,MIN(3,MAX(0.1,G42/H42)),1)</f>
        <v>1</v>
      </c>
    </row>
    <row r="45" customFormat="false" ht="33.75" hidden="false" customHeight="true" outlineLevel="0" collapsed="false">
      <c r="A45" s="2" t="s">
        <v>1673</v>
      </c>
      <c r="B45" s="2" t="s">
        <v>1674</v>
      </c>
      <c r="C45" s="2" t="s">
        <v>13</v>
      </c>
    </row>
    <row r="46" customFormat="false" ht="39.75" hidden="false" customHeight="true" outlineLevel="0" collapsed="false">
      <c r="A46" s="3" t="s">
        <v>1675</v>
      </c>
      <c r="B46" s="30" t="n">
        <f aca="false">E39*J39*B28</f>
        <v>58.2071385175</v>
      </c>
      <c r="C46" s="3" t="s">
        <v>1676</v>
      </c>
    </row>
    <row r="47" customFormat="false" ht="39.75" hidden="false" customHeight="true" outlineLevel="0" collapsed="false">
      <c r="A47" s="4" t="s">
        <v>1677</v>
      </c>
      <c r="B47" s="31" t="n">
        <f aca="false">F39*J39*B28</f>
        <v>66.26326635</v>
      </c>
      <c r="C47" s="4" t="s">
        <v>1678</v>
      </c>
    </row>
    <row r="48" customFormat="false" ht="39.75" hidden="false" customHeight="true" outlineLevel="0" collapsed="false">
      <c r="A48" s="3" t="s">
        <v>1679</v>
      </c>
      <c r="B48" s="30" t="n">
        <f aca="false">E40*J40*B28</f>
        <v>86.118055065</v>
      </c>
      <c r="C48" s="3" t="s">
        <v>1680</v>
      </c>
    </row>
    <row r="49" customFormat="false" ht="39.75" hidden="false" customHeight="true" outlineLevel="0" collapsed="false">
      <c r="A49" s="4" t="s">
        <v>1681</v>
      </c>
      <c r="B49" s="31" t="n">
        <f aca="false">F40*J40*B28</f>
        <v>137.965147652</v>
      </c>
      <c r="C49" s="4" t="s">
        <v>1682</v>
      </c>
    </row>
    <row r="50" customFormat="false" ht="39.75" hidden="false" customHeight="true" outlineLevel="0" collapsed="false">
      <c r="A50" s="3" t="s">
        <v>1683</v>
      </c>
      <c r="B50" s="30" t="n">
        <f aca="false">B41*J41</f>
        <v>14.892652922</v>
      </c>
      <c r="C50" s="3" t="s">
        <v>1684</v>
      </c>
    </row>
    <row r="51" customFormat="false" ht="39.75" hidden="false" customHeight="true" outlineLevel="0" collapsed="false">
      <c r="A51" s="4" t="s">
        <v>1685</v>
      </c>
      <c r="B51" s="31" t="n">
        <f aca="false">E41*J41</f>
        <v>68.3092044425</v>
      </c>
      <c r="C51" s="4" t="s">
        <v>1686</v>
      </c>
    </row>
    <row r="52" customFormat="false" ht="39.75" hidden="false" customHeight="true" outlineLevel="0" collapsed="false">
      <c r="A52" s="3" t="s">
        <v>1687</v>
      </c>
      <c r="B52" s="28" t="n">
        <f aca="false">C42*J42</f>
        <v>0.0830079952170207</v>
      </c>
      <c r="C52" s="3" t="s">
        <v>1688</v>
      </c>
    </row>
    <row r="53" customFormat="false" ht="54" hidden="false" customHeight="true" outlineLevel="0" collapsed="false">
      <c r="A53" s="4" t="s">
        <v>1689</v>
      </c>
      <c r="B53" s="29" t="n">
        <f aca="false">D_F01!B15</f>
        <v>5564546291.68451</v>
      </c>
      <c r="C53" s="4" t="s">
        <v>1690</v>
      </c>
    </row>
    <row r="54" customFormat="false" ht="39.75" hidden="false" customHeight="true" outlineLevel="0" collapsed="false">
      <c r="A54" s="3" t="s">
        <v>1691</v>
      </c>
      <c r="B54" s="28" t="n">
        <f aca="false">D_F01!B16</f>
        <v>6855965890.22435</v>
      </c>
      <c r="C54" s="3" t="s">
        <v>1692</v>
      </c>
    </row>
    <row r="55" customFormat="false" ht="39.75" hidden="false" customHeight="true" outlineLevel="0" collapsed="false">
      <c r="A55" s="4" t="s">
        <v>1693</v>
      </c>
      <c r="B55" s="29" t="n">
        <f aca="false">D_F01!B17</f>
        <v>9438805087.30403</v>
      </c>
      <c r="C55" s="4" t="s">
        <v>1694</v>
      </c>
    </row>
    <row r="59" customFormat="false" ht="33.75" hidden="false" customHeight="true" outlineLevel="0" collapsed="false">
      <c r="A59" s="2" t="s">
        <v>1695</v>
      </c>
      <c r="B59" s="2" t="s">
        <v>1696</v>
      </c>
      <c r="C59" s="2" t="s">
        <v>4</v>
      </c>
    </row>
    <row r="60" customFormat="false" ht="25.5" hidden="false" customHeight="true" outlineLevel="0" collapsed="false">
      <c r="A60" s="3" t="s">
        <v>1697</v>
      </c>
      <c r="B60" s="28" t="n">
        <f aca="false">B23</f>
        <v>0.05</v>
      </c>
      <c r="C60" s="3" t="s">
        <v>1698</v>
      </c>
    </row>
    <row r="61" customFormat="false" ht="25.5" hidden="false" customHeight="true" outlineLevel="0" collapsed="false">
      <c r="A61" s="4" t="s">
        <v>1699</v>
      </c>
      <c r="B61" s="27" t="n">
        <f aca="false">B24</f>
        <v>1</v>
      </c>
      <c r="C61" s="4" t="s">
        <v>1700</v>
      </c>
    </row>
    <row r="62" customFormat="false" ht="39.75" hidden="false" customHeight="true" outlineLevel="0" collapsed="false">
      <c r="A62" s="3" t="s">
        <v>1701</v>
      </c>
      <c r="B62" s="3" t="n">
        <v>0</v>
      </c>
      <c r="C62" s="3" t="s">
        <v>1702</v>
      </c>
    </row>
    <row r="63" customFormat="false" ht="54" hidden="false" customHeight="true" outlineLevel="0" collapsed="false">
      <c r="A63" s="4" t="s">
        <v>1703</v>
      </c>
      <c r="B63" s="4" t="n">
        <v>3</v>
      </c>
      <c r="C63" s="4" t="s">
        <v>1704</v>
      </c>
    </row>
    <row r="64" customFormat="false" ht="54" hidden="false" customHeight="true" outlineLevel="0" collapsed="false">
      <c r="A64" s="3" t="s">
        <v>1705</v>
      </c>
      <c r="B64" s="3" t="s">
        <v>1706</v>
      </c>
      <c r="C64" s="3" t="s">
        <v>1707</v>
      </c>
    </row>
    <row r="65" customFormat="false" ht="54" hidden="false" customHeight="true" outlineLevel="0" collapsed="false">
      <c r="A65" s="4" t="s">
        <v>1708</v>
      </c>
      <c r="B65" s="4" t="n">
        <v>1</v>
      </c>
      <c r="C65" s="4" t="s">
        <v>1709</v>
      </c>
    </row>
    <row r="66" customFormat="false" ht="25.5" hidden="false" customHeight="true" outlineLevel="0" collapsed="false">
      <c r="A66" s="3" t="s">
        <v>1710</v>
      </c>
      <c r="B66" s="26" t="n">
        <f aca="false">B31</f>
        <v>60</v>
      </c>
      <c r="C66" s="3" t="s">
        <v>1711</v>
      </c>
    </row>
    <row r="67" customFormat="false" ht="25.5" hidden="false" customHeight="true" outlineLevel="0" collapsed="false">
      <c r="A67" s="4" t="s">
        <v>1712</v>
      </c>
      <c r="B67" s="27" t="n">
        <f aca="false">B32</f>
        <v>30</v>
      </c>
      <c r="C67" s="4" t="s">
        <v>1711</v>
      </c>
    </row>
    <row r="68" customFormat="false" ht="39.75" hidden="false" customHeight="true" outlineLevel="0" collapsed="false">
      <c r="A68" s="3" t="s">
        <v>1713</v>
      </c>
      <c r="B68" s="26" t="n">
        <f aca="false">B29</f>
        <v>0.5</v>
      </c>
      <c r="C68" s="3" t="s">
        <v>1714</v>
      </c>
    </row>
    <row r="69" customFormat="false" ht="39.75" hidden="false" customHeight="true" outlineLevel="0" collapsed="false">
      <c r="A69" s="4" t="s">
        <v>1715</v>
      </c>
      <c r="B69" s="27" t="n">
        <f aca="false">B30</f>
        <v>1</v>
      </c>
      <c r="C69" s="4" t="s">
        <v>1714</v>
      </c>
    </row>
    <row r="73" customFormat="false" ht="33.75" hidden="false" customHeight="true" outlineLevel="0" collapsed="false">
      <c r="A73" s="2" t="s">
        <v>1716</v>
      </c>
      <c r="B73" s="2" t="s">
        <v>1717</v>
      </c>
      <c r="C73" s="2" t="s">
        <v>1718</v>
      </c>
      <c r="D73" s="2" t="s">
        <v>1719</v>
      </c>
    </row>
    <row r="74" customFormat="false" ht="39.75" hidden="false" customHeight="true" outlineLevel="0" collapsed="false">
      <c r="A74" s="3" t="s">
        <v>1720</v>
      </c>
      <c r="B74" s="3" t="s">
        <v>1721</v>
      </c>
      <c r="C74" s="3" t="s">
        <v>1722</v>
      </c>
      <c r="D74" s="3" t="s">
        <v>1723</v>
      </c>
    </row>
    <row r="75" customFormat="false" ht="39.75" hidden="false" customHeight="true" outlineLevel="0" collapsed="false">
      <c r="A75" s="4" t="s">
        <v>146</v>
      </c>
      <c r="B75" s="4" t="s">
        <v>1724</v>
      </c>
      <c r="C75" s="4" t="s">
        <v>1725</v>
      </c>
      <c r="D75" s="4" t="s">
        <v>1723</v>
      </c>
    </row>
    <row r="76" customFormat="false" ht="39.75" hidden="false" customHeight="true" outlineLevel="0" collapsed="false">
      <c r="A76" s="3" t="s">
        <v>1726</v>
      </c>
      <c r="B76" s="3" t="s">
        <v>1727</v>
      </c>
      <c r="C76" s="3" t="s">
        <v>1728</v>
      </c>
      <c r="D76" s="3" t="s">
        <v>1723</v>
      </c>
    </row>
    <row r="80" customFormat="false" ht="36" hidden="false" customHeight="true" outlineLevel="0" collapsed="false">
      <c r="A80" s="2" t="s">
        <v>1729</v>
      </c>
      <c r="B80" s="2" t="s">
        <v>1674</v>
      </c>
      <c r="C80" s="2" t="s">
        <v>1730</v>
      </c>
      <c r="D80" s="2" t="s">
        <v>1476</v>
      </c>
    </row>
    <row r="81" customFormat="false" ht="36" hidden="false" customHeight="true" outlineLevel="0" collapsed="false">
      <c r="A81" s="4" t="s">
        <v>1731</v>
      </c>
      <c r="B81" s="32" t="n">
        <f aca="false">COUNT(D_flows!A65:A245)</f>
        <v>181</v>
      </c>
      <c r="C81" s="4" t="s">
        <v>279</v>
      </c>
      <c r="D81" s="4" t="s">
        <v>1732</v>
      </c>
    </row>
    <row r="82" customFormat="false" ht="36" hidden="false" customHeight="true" outlineLevel="0" collapsed="false">
      <c r="A82" s="4" t="s">
        <v>1733</v>
      </c>
      <c r="B82" s="32" t="n">
        <f aca="false">STDEV(D_flows!E65:E245)</f>
        <v>611323090.972821</v>
      </c>
      <c r="C82" s="4" t="s">
        <v>1734</v>
      </c>
      <c r="D82" s="4" t="s">
        <v>1735</v>
      </c>
    </row>
    <row r="83" customFormat="false" ht="36" hidden="false" customHeight="true" outlineLevel="0" collapsed="false">
      <c r="A83" s="4" t="s">
        <v>1736</v>
      </c>
      <c r="B83" s="32" t="n">
        <f aca="false">IF(B81&gt;=B9,B82,B8*D_F01!B21)</f>
        <v>611323090.972821</v>
      </c>
      <c r="C83" s="4" t="s">
        <v>1734</v>
      </c>
      <c r="D83" s="4" t="s">
        <v>1737</v>
      </c>
    </row>
    <row r="84" customFormat="false" ht="36" hidden="false" customHeight="true" outlineLevel="0" collapsed="false">
      <c r="A84" s="4" t="s">
        <v>1738</v>
      </c>
      <c r="B84" s="3" t="str">
        <f aca="false">IF(B81&gt;=B9,"firm_daily","industry_proxy")</f>
        <v>firm_daily</v>
      </c>
      <c r="C84" s="4" t="s">
        <v>819</v>
      </c>
      <c r="D84" s="4" t="s">
        <v>1739</v>
      </c>
    </row>
    <row r="85" customFormat="false" ht="36" hidden="false" customHeight="true" outlineLevel="0" collapsed="false">
      <c r="A85" s="4" t="s">
        <v>1740</v>
      </c>
      <c r="B85" s="27" t="n">
        <f aca="false">B11/B12</f>
        <v>0.00013013698630137</v>
      </c>
      <c r="C85" s="4" t="s">
        <v>1741</v>
      </c>
      <c r="D85" s="4" t="s">
        <v>1742</v>
      </c>
    </row>
    <row r="86" customFormat="false" ht="36" hidden="false" customHeight="true" outlineLevel="0" collapsed="false">
      <c r="A86" s="4" t="s">
        <v>1743</v>
      </c>
      <c r="B86" s="32" t="n">
        <f aca="false">3*(0.75*B10*B83^2/B85)^(1/3)</f>
        <v>3874258795.61952</v>
      </c>
      <c r="C86" s="4" t="s">
        <v>170</v>
      </c>
      <c r="D86" s="4" t="s">
        <v>1744</v>
      </c>
    </row>
    <row r="87" customFormat="false" ht="36" hidden="false" customHeight="true" outlineLevel="0" collapsed="false">
      <c r="A87" s="4" t="s">
        <v>1745</v>
      </c>
      <c r="B87" s="32" t="n">
        <f aca="false">D_F01!B15</f>
        <v>5564546291.68451</v>
      </c>
      <c r="C87" s="4" t="s">
        <v>170</v>
      </c>
      <c r="D87" s="4" t="s">
        <v>1746</v>
      </c>
    </row>
    <row r="88" customFormat="false" ht="36" hidden="false" customHeight="true" outlineLevel="0" collapsed="false">
      <c r="A88" s="4" t="s">
        <v>1747</v>
      </c>
      <c r="B88" s="32" t="n">
        <f aca="false">D_F01!B16</f>
        <v>6855965890.22435</v>
      </c>
      <c r="C88" s="4" t="s">
        <v>170</v>
      </c>
      <c r="D88" s="4" t="s">
        <v>1748</v>
      </c>
    </row>
    <row r="89" customFormat="false" ht="36" hidden="false" customHeight="true" outlineLevel="0" collapsed="false">
      <c r="A89" s="4" t="s">
        <v>1749</v>
      </c>
      <c r="B89" s="32" t="n">
        <f aca="false">D_F01!B17</f>
        <v>9438805087.30403</v>
      </c>
      <c r="C89" s="4" t="s">
        <v>170</v>
      </c>
      <c r="D89" s="4" t="s">
        <v>1750</v>
      </c>
    </row>
    <row r="90" customFormat="false" ht="36" hidden="false" customHeight="true" outlineLevel="0" collapsed="false">
      <c r="A90" s="4" t="s">
        <v>142</v>
      </c>
      <c r="B90" s="32" t="n">
        <f aca="false">D_F01!B21</f>
        <v>133127509083</v>
      </c>
      <c r="C90" s="4" t="s">
        <v>170</v>
      </c>
      <c r="D90" s="4" t="s">
        <v>1751</v>
      </c>
    </row>
    <row r="91" customFormat="false" ht="36" hidden="false" customHeight="true" outlineLevel="0" collapsed="false">
      <c r="A91" s="4" t="s">
        <v>1752</v>
      </c>
      <c r="B91" s="32" t="n">
        <f aca="false">(4*B88-B87)/3</f>
        <v>7286439089.73763</v>
      </c>
      <c r="C91" s="4" t="s">
        <v>170</v>
      </c>
      <c r="D91" s="4" t="s">
        <v>1753</v>
      </c>
    </row>
    <row r="92" customFormat="false" ht="36" hidden="false" customHeight="true" outlineLevel="0" collapsed="false">
      <c r="A92" s="4" t="s">
        <v>1754</v>
      </c>
      <c r="B92" s="3" t="s">
        <v>1755</v>
      </c>
      <c r="C92" s="4" t="s">
        <v>1756</v>
      </c>
      <c r="D92" s="4" t="s">
        <v>1757</v>
      </c>
    </row>
    <row r="93" customFormat="false" ht="36" hidden="false" customHeight="true" outlineLevel="0" collapsed="false">
      <c r="A93" s="4" t="s">
        <v>1758</v>
      </c>
      <c r="B93" s="3" t="s">
        <v>1759</v>
      </c>
      <c r="C93" s="4" t="s">
        <v>1760</v>
      </c>
      <c r="D93" s="4" t="s">
        <v>1761</v>
      </c>
    </row>
    <row r="94" customFormat="false" ht="36" hidden="false" customHeight="true" outlineLevel="0" collapsed="false">
      <c r="A94" s="4" t="s">
        <v>1762</v>
      </c>
      <c r="B94" s="3" t="s">
        <v>1763</v>
      </c>
      <c r="C94" s="4" t="s">
        <v>1764</v>
      </c>
      <c r="D94" s="4" t="s">
        <v>1765</v>
      </c>
    </row>
    <row r="97" customFormat="false" ht="36" hidden="false" customHeight="true" outlineLevel="0" collapsed="false">
      <c r="A97" s="2" t="s">
        <v>1766</v>
      </c>
      <c r="B97" s="2" t="s">
        <v>1674</v>
      </c>
      <c r="C97" s="2" t="s">
        <v>1767</v>
      </c>
      <c r="D97" s="2" t="s">
        <v>1566</v>
      </c>
    </row>
    <row r="98" customFormat="false" ht="36" hidden="false" customHeight="true" outlineLevel="0" collapsed="false">
      <c r="A98" s="4" t="s">
        <v>1768</v>
      </c>
      <c r="B98" s="32" t="n">
        <v>20</v>
      </c>
      <c r="C98" s="4" t="s">
        <v>1769</v>
      </c>
      <c r="D98" s="4" t="s">
        <v>1770</v>
      </c>
    </row>
    <row r="99" customFormat="false" ht="36" hidden="false" customHeight="true" outlineLevel="0" collapsed="false">
      <c r="A99" s="4" t="s">
        <v>1771</v>
      </c>
      <c r="B99" s="32" t="n">
        <v>60</v>
      </c>
      <c r="C99" s="4" t="s">
        <v>1772</v>
      </c>
      <c r="D99" s="4" t="s">
        <v>1773</v>
      </c>
    </row>
    <row r="100" customFormat="false" ht="36" hidden="false" customHeight="true" outlineLevel="0" collapsed="false">
      <c r="A100" s="4" t="s">
        <v>1774</v>
      </c>
      <c r="B100" s="32" t="n">
        <v>40</v>
      </c>
      <c r="C100" s="4" t="s">
        <v>1775</v>
      </c>
      <c r="D100" s="4" t="s">
        <v>1776</v>
      </c>
    </row>
    <row r="101" customFormat="false" ht="36" hidden="false" customHeight="true" outlineLevel="0" collapsed="false">
      <c r="A101" s="4" t="s">
        <v>1777</v>
      </c>
      <c r="B101" s="32" t="n">
        <v>1500000000000</v>
      </c>
      <c r="C101" s="4" t="s">
        <v>1778</v>
      </c>
      <c r="D101" s="4" t="s">
        <v>1779</v>
      </c>
    </row>
    <row r="102" customFormat="false" ht="36" hidden="false" customHeight="true" outlineLevel="0" collapsed="false">
      <c r="A102" s="4" t="s">
        <v>1780</v>
      </c>
      <c r="B102" s="3" t="s">
        <v>1781</v>
      </c>
      <c r="C102" s="4" t="s">
        <v>1782</v>
      </c>
      <c r="D102" s="4" t="s">
        <v>1783</v>
      </c>
    </row>
    <row r="103" customFormat="false" ht="36" hidden="false" customHeight="true" outlineLevel="0" collapsed="false">
      <c r="A103" s="4" t="s">
        <v>1671</v>
      </c>
      <c r="B103" s="32" t="n">
        <v>1</v>
      </c>
      <c r="C103" s="4" t="s">
        <v>1784</v>
      </c>
      <c r="D103" s="4" t="s">
        <v>1785</v>
      </c>
    </row>
    <row r="104" customFormat="false" ht="36" hidden="false" customHeight="true" outlineLevel="0" collapsed="false">
      <c r="A104" s="4" t="s">
        <v>1786</v>
      </c>
      <c r="B104" s="32" t="n">
        <v>1</v>
      </c>
      <c r="C104" s="4" t="s">
        <v>1651</v>
      </c>
      <c r="D104" s="4" t="s">
        <v>1787</v>
      </c>
    </row>
    <row r="105" customFormat="false" ht="36" hidden="false" customHeight="true" outlineLevel="0" collapsed="false">
      <c r="A105" s="4" t="s">
        <v>1788</v>
      </c>
      <c r="B105" s="32" t="n">
        <v>0.05</v>
      </c>
      <c r="C105" s="4" t="s">
        <v>1789</v>
      </c>
      <c r="D105" s="4" t="s">
        <v>1790</v>
      </c>
    </row>
    <row r="106" customFormat="false" ht="36" hidden="false" customHeight="true" outlineLevel="0" collapsed="false">
      <c r="A106" s="4" t="s">
        <v>1791</v>
      </c>
      <c r="B106" s="3" t="s">
        <v>402</v>
      </c>
      <c r="C106" s="4" t="s">
        <v>1792</v>
      </c>
      <c r="D106" s="4" t="s">
        <v>1793</v>
      </c>
    </row>
    <row r="107" customFormat="false" ht="36" hidden="false" customHeight="true" outlineLevel="0" collapsed="false">
      <c r="A107" s="4" t="s">
        <v>1794</v>
      </c>
      <c r="B107" s="3" t="s">
        <v>1795</v>
      </c>
      <c r="C107" s="4" t="s">
        <v>1796</v>
      </c>
      <c r="D107" s="4" t="s">
        <v>1797</v>
      </c>
    </row>
    <row r="108" customFormat="false" ht="36" hidden="false" customHeight="true" outlineLevel="0" collapsed="false">
      <c r="A108" s="4" t="s">
        <v>1798</v>
      </c>
      <c r="B108" s="3" t="s">
        <v>1799</v>
      </c>
      <c r="C108" s="4" t="s">
        <v>1800</v>
      </c>
      <c r="D108" s="4" t="s">
        <v>1801</v>
      </c>
    </row>
    <row r="109" customFormat="false" ht="36" hidden="false" customHeight="true" outlineLevel="0" collapsed="false">
      <c r="A109" s="4" t="s">
        <v>1802</v>
      </c>
      <c r="B109" s="3" t="s">
        <v>1803</v>
      </c>
      <c r="C109" s="4" t="s">
        <v>1804</v>
      </c>
      <c r="D109" s="4" t="s">
        <v>1805</v>
      </c>
    </row>
    <row r="112" customFormat="false" ht="36" hidden="false" customHeight="true" outlineLevel="0" collapsed="false">
      <c r="A112" s="2" t="s">
        <v>1806</v>
      </c>
      <c r="B112" s="2" t="s">
        <v>1807</v>
      </c>
      <c r="C112" s="2" t="s">
        <v>1674</v>
      </c>
      <c r="D112" s="2" t="s">
        <v>1564</v>
      </c>
      <c r="E112" s="2" t="s">
        <v>1808</v>
      </c>
    </row>
    <row r="113" customFormat="false" ht="36" hidden="false" customHeight="true" outlineLevel="0" collapsed="false">
      <c r="A113" s="4" t="s">
        <v>1809</v>
      </c>
      <c r="B113" s="3" t="s">
        <v>1810</v>
      </c>
      <c r="C113" s="4" t="n">
        <v>0.5</v>
      </c>
      <c r="D113" s="4" t="s">
        <v>1811</v>
      </c>
      <c r="E113" s="4" t="s">
        <v>1812</v>
      </c>
    </row>
    <row r="114" customFormat="false" ht="36" hidden="false" customHeight="true" outlineLevel="0" collapsed="false">
      <c r="A114" s="4" t="s">
        <v>1813</v>
      </c>
      <c r="B114" s="3" t="s">
        <v>1814</v>
      </c>
      <c r="C114" s="4" t="n">
        <v>0.75</v>
      </c>
      <c r="D114" s="4" t="s">
        <v>1811</v>
      </c>
      <c r="E114" s="4" t="s">
        <v>1815</v>
      </c>
    </row>
    <row r="115" customFormat="false" ht="36" hidden="false" customHeight="true" outlineLevel="0" collapsed="false">
      <c r="A115" s="4" t="s">
        <v>1816</v>
      </c>
      <c r="B115" s="3" t="s">
        <v>1817</v>
      </c>
      <c r="C115" s="4" t="n">
        <v>0.9</v>
      </c>
      <c r="D115" s="4" t="s">
        <v>1811</v>
      </c>
      <c r="E115" s="4" t="s">
        <v>1818</v>
      </c>
    </row>
    <row r="116" customFormat="false" ht="36" hidden="false" customHeight="true" outlineLevel="0" collapsed="false">
      <c r="A116" s="4" t="s">
        <v>1819</v>
      </c>
      <c r="B116" s="3" t="s">
        <v>1820</v>
      </c>
      <c r="C116" s="4" t="n">
        <v>0.1</v>
      </c>
      <c r="D116" s="4" t="s">
        <v>1811</v>
      </c>
      <c r="E116" s="4" t="s">
        <v>1821</v>
      </c>
    </row>
    <row r="117" customFormat="false" ht="36" hidden="false" customHeight="true" outlineLevel="0" collapsed="false">
      <c r="A117" s="4" t="s">
        <v>1822</v>
      </c>
      <c r="B117" s="3" t="s">
        <v>1823</v>
      </c>
      <c r="C117" s="4" t="n">
        <v>0.25</v>
      </c>
      <c r="D117" s="4" t="s">
        <v>1811</v>
      </c>
      <c r="E117" s="4" t="s">
        <v>1824</v>
      </c>
    </row>
    <row r="118" customFormat="false" ht="36" hidden="false" customHeight="true" outlineLevel="0" collapsed="false">
      <c r="A118" s="4" t="s">
        <v>1825</v>
      </c>
      <c r="B118" s="3" t="s">
        <v>1826</v>
      </c>
      <c r="C118" s="4" t="n">
        <v>0.05</v>
      </c>
      <c r="D118" s="4" t="s">
        <v>1577</v>
      </c>
      <c r="E118" s="4" t="s">
        <v>1827</v>
      </c>
    </row>
    <row r="119" customFormat="false" ht="36" hidden="false" customHeight="true" outlineLevel="0" collapsed="false">
      <c r="A119" s="4" t="s">
        <v>1828</v>
      </c>
      <c r="B119" s="3" t="s">
        <v>1829</v>
      </c>
      <c r="C119" s="4" t="n">
        <v>1</v>
      </c>
      <c r="D119" s="4" t="s">
        <v>1632</v>
      </c>
      <c r="E119" s="4" t="s">
        <v>1830</v>
      </c>
    </row>
    <row r="120" customFormat="false" ht="36" hidden="false" customHeight="true" outlineLevel="0" collapsed="false">
      <c r="A120" s="4" t="s">
        <v>1831</v>
      </c>
      <c r="B120" s="3" t="s">
        <v>1832</v>
      </c>
      <c r="C120" s="4" t="n">
        <v>50000000000</v>
      </c>
      <c r="D120" s="4" t="s">
        <v>1833</v>
      </c>
      <c r="E120" s="4" t="s">
        <v>1834</v>
      </c>
    </row>
    <row r="121" customFormat="false" ht="36" hidden="false" customHeight="true" outlineLevel="0" collapsed="false">
      <c r="A121" s="4" t="s">
        <v>1835</v>
      </c>
      <c r="B121" s="3" t="s">
        <v>1836</v>
      </c>
      <c r="C121" s="4" t="n">
        <v>1500000000000</v>
      </c>
      <c r="D121" s="4" t="s">
        <v>1833</v>
      </c>
      <c r="E121" s="4" t="s">
        <v>1837</v>
      </c>
    </row>
    <row r="122" customFormat="false" ht="36" hidden="false" customHeight="true" outlineLevel="0" collapsed="false">
      <c r="A122" s="4" t="s">
        <v>1838</v>
      </c>
      <c r="B122" s="3" t="s">
        <v>1839</v>
      </c>
      <c r="C122" s="4" t="n">
        <v>200000000000</v>
      </c>
      <c r="D122" s="4" t="s">
        <v>1833</v>
      </c>
      <c r="E122" s="4" t="s">
        <v>1840</v>
      </c>
    </row>
    <row r="123" customFormat="false" ht="36" hidden="false" customHeight="true" outlineLevel="0" collapsed="false">
      <c r="A123" s="4" t="s">
        <v>1841</v>
      </c>
      <c r="B123" s="3" t="s">
        <v>1842</v>
      </c>
      <c r="C123" s="4" t="n">
        <v>100000000000</v>
      </c>
      <c r="D123" s="4" t="s">
        <v>1833</v>
      </c>
      <c r="E123" s="4" t="s">
        <v>1843</v>
      </c>
    </row>
    <row r="124" customFormat="false" ht="36" hidden="false" customHeight="true" outlineLevel="0" collapsed="false">
      <c r="A124" s="4" t="s">
        <v>1844</v>
      </c>
      <c r="B124" s="3" t="s">
        <v>1845</v>
      </c>
      <c r="C124" s="4" t="n">
        <v>20</v>
      </c>
      <c r="D124" s="4" t="s">
        <v>279</v>
      </c>
      <c r="E124" s="4" t="s">
        <v>1846</v>
      </c>
    </row>
    <row r="125" customFormat="false" ht="36" hidden="false" customHeight="true" outlineLevel="0" collapsed="false">
      <c r="A125" s="4" t="s">
        <v>1847</v>
      </c>
      <c r="B125" s="3" t="s">
        <v>1848</v>
      </c>
      <c r="C125" s="4" t="n">
        <v>0.05</v>
      </c>
      <c r="D125" s="4" t="s">
        <v>1670</v>
      </c>
      <c r="E125" s="4" t="s">
        <v>1849</v>
      </c>
    </row>
    <row r="126" customFormat="false" ht="36" hidden="false" customHeight="true" outlineLevel="0" collapsed="false">
      <c r="A126" s="4" t="s">
        <v>1850</v>
      </c>
      <c r="B126" s="3" t="s">
        <v>1851</v>
      </c>
      <c r="C126" s="4" t="n">
        <v>0.1</v>
      </c>
      <c r="D126" s="4" t="s">
        <v>1645</v>
      </c>
      <c r="E126" s="4" t="s">
        <v>1852</v>
      </c>
    </row>
    <row r="127" customFormat="false" ht="36" hidden="false" customHeight="true" outlineLevel="0" collapsed="false">
      <c r="A127" s="4" t="s">
        <v>1853</v>
      </c>
      <c r="B127" s="3" t="s">
        <v>1854</v>
      </c>
      <c r="C127" s="4" t="n">
        <v>3</v>
      </c>
      <c r="D127" s="4" t="s">
        <v>1645</v>
      </c>
      <c r="E127" s="4" t="s">
        <v>1855</v>
      </c>
    </row>
    <row r="128" customFormat="false" ht="36" hidden="false" customHeight="true" outlineLevel="0" collapsed="false">
      <c r="A128" s="4" t="s">
        <v>1856</v>
      </c>
      <c r="B128" s="3" t="s">
        <v>1857</v>
      </c>
      <c r="C128" s="4" t="n">
        <v>1</v>
      </c>
      <c r="D128" s="4" t="s">
        <v>1645</v>
      </c>
      <c r="E128" s="4" t="s">
        <v>1858</v>
      </c>
    </row>
    <row r="129" customFormat="false" ht="36" hidden="false" customHeight="true" outlineLevel="0" collapsed="false">
      <c r="A129" s="4" t="s">
        <v>1859</v>
      </c>
      <c r="B129" s="3" t="s">
        <v>1860</v>
      </c>
      <c r="C129" s="4" t="n">
        <v>0.3</v>
      </c>
      <c r="D129" s="4" t="s">
        <v>1577</v>
      </c>
      <c r="E129" s="4" t="s">
        <v>1861</v>
      </c>
    </row>
    <row r="130" customFormat="false" ht="36" hidden="false" customHeight="true" outlineLevel="0" collapsed="false">
      <c r="A130" s="4" t="s">
        <v>1862</v>
      </c>
      <c r="B130" s="3" t="s">
        <v>1863</v>
      </c>
      <c r="C130" s="4" t="n">
        <v>2025</v>
      </c>
      <c r="D130" s="4" t="s">
        <v>1636</v>
      </c>
      <c r="E130" s="4" t="s">
        <v>1864</v>
      </c>
    </row>
    <row r="131" customFormat="false" ht="36" hidden="false" customHeight="true" outlineLevel="0" collapsed="false">
      <c r="A131" s="4" t="s">
        <v>1865</v>
      </c>
      <c r="B131" s="3" t="s">
        <v>1866</v>
      </c>
      <c r="C131" s="4" t="n">
        <v>2023</v>
      </c>
      <c r="D131" s="4" t="s">
        <v>1636</v>
      </c>
      <c r="E131" s="4" t="s">
        <v>1867</v>
      </c>
    </row>
    <row r="132" customFormat="false" ht="36" hidden="false" customHeight="true" outlineLevel="0" collapsed="false">
      <c r="A132" s="4" t="s">
        <v>1868</v>
      </c>
      <c r="B132" s="3" t="s">
        <v>1869</v>
      </c>
      <c r="C132" s="4" t="n">
        <v>2025</v>
      </c>
      <c r="D132" s="4" t="s">
        <v>1636</v>
      </c>
      <c r="E132" s="4" t="s">
        <v>1870</v>
      </c>
    </row>
    <row r="133" customFormat="false" ht="36" hidden="false" customHeight="true" outlineLevel="0" collapsed="false">
      <c r="A133" s="4" t="s">
        <v>1871</v>
      </c>
      <c r="B133" s="3" t="s">
        <v>1872</v>
      </c>
      <c r="C133" s="4" t="n">
        <v>0.25</v>
      </c>
      <c r="D133" s="4" t="s">
        <v>1811</v>
      </c>
      <c r="E133" s="4" t="s">
        <v>1873</v>
      </c>
    </row>
    <row r="134" customFormat="false" ht="36" hidden="false" customHeight="true" outlineLevel="0" collapsed="false">
      <c r="A134" s="4" t="s">
        <v>1874</v>
      </c>
      <c r="B134" s="3" t="s">
        <v>1875</v>
      </c>
      <c r="C134" s="4" t="n">
        <v>1000000</v>
      </c>
      <c r="D134" s="4" t="s">
        <v>1876</v>
      </c>
      <c r="E134" s="4" t="s">
        <v>1877</v>
      </c>
    </row>
    <row r="135" customFormat="false" ht="36" hidden="false" customHeight="true" outlineLevel="0" collapsed="false">
      <c r="A135" s="4" t="s">
        <v>1878</v>
      </c>
      <c r="B135" s="3" t="s">
        <v>1879</v>
      </c>
      <c r="C135" s="4" t="n">
        <v>0.0475</v>
      </c>
      <c r="D135" s="4" t="s">
        <v>1880</v>
      </c>
      <c r="E135" s="4" t="s">
        <v>1881</v>
      </c>
    </row>
    <row r="136" customFormat="false" ht="36" hidden="false" customHeight="true" outlineLevel="0" collapsed="false">
      <c r="A136" s="4" t="s">
        <v>1882</v>
      </c>
      <c r="B136" s="3" t="s">
        <v>1883</v>
      </c>
      <c r="C136" s="4" t="n">
        <v>365</v>
      </c>
      <c r="D136" s="4" t="s">
        <v>279</v>
      </c>
      <c r="E136" s="4" t="s">
        <v>1884</v>
      </c>
    </row>
    <row r="137" customFormat="false" ht="36" hidden="false" customHeight="true" outlineLevel="0" collapsed="false">
      <c r="A137" s="4" t="s">
        <v>1885</v>
      </c>
      <c r="B137" s="3" t="s">
        <v>1886</v>
      </c>
      <c r="C137" s="4" t="n">
        <v>0</v>
      </c>
      <c r="D137" s="4" t="s">
        <v>1833</v>
      </c>
      <c r="E137" s="4" t="s">
        <v>1887</v>
      </c>
    </row>
    <row r="138" customFormat="false" ht="36" hidden="false" customHeight="true" outlineLevel="0" collapsed="false">
      <c r="A138" s="4" t="s">
        <v>1888</v>
      </c>
      <c r="B138" s="3" t="s">
        <v>1889</v>
      </c>
      <c r="C138" s="4" t="n">
        <v>90</v>
      </c>
      <c r="D138" s="4" t="s">
        <v>279</v>
      </c>
      <c r="E138" s="4" t="s">
        <v>1890</v>
      </c>
    </row>
    <row r="141" customFormat="false" ht="36" hidden="false" customHeight="true" outlineLevel="0" collapsed="false">
      <c r="A141" s="2" t="s">
        <v>1891</v>
      </c>
      <c r="B141" s="2" t="s">
        <v>1892</v>
      </c>
      <c r="C141" s="2" t="s">
        <v>1893</v>
      </c>
      <c r="D141" s="2" t="s">
        <v>1894</v>
      </c>
      <c r="E141" s="2" t="s">
        <v>1895</v>
      </c>
    </row>
    <row r="142" customFormat="false" ht="36" hidden="false" customHeight="true" outlineLevel="0" collapsed="false">
      <c r="A142" s="4" t="s">
        <v>1721</v>
      </c>
      <c r="B142" s="3" t="s">
        <v>1896</v>
      </c>
      <c r="C142" s="4" t="s">
        <v>1897</v>
      </c>
      <c r="D142" s="4" t="s">
        <v>1898</v>
      </c>
      <c r="E142" s="4" t="s">
        <v>1899</v>
      </c>
    </row>
    <row r="143" customFormat="false" ht="36" hidden="false" customHeight="true" outlineLevel="0" collapsed="false">
      <c r="A143" s="4" t="s">
        <v>1722</v>
      </c>
      <c r="B143" s="3" t="s">
        <v>1896</v>
      </c>
      <c r="C143" s="4" t="s">
        <v>1900</v>
      </c>
      <c r="D143" s="4" t="s">
        <v>1901</v>
      </c>
      <c r="E143" s="4" t="s">
        <v>1902</v>
      </c>
    </row>
    <row r="144" customFormat="false" ht="36" hidden="false" customHeight="true" outlineLevel="0" collapsed="false">
      <c r="A144" s="4" t="s">
        <v>1724</v>
      </c>
      <c r="B144" s="3" t="s">
        <v>1903</v>
      </c>
      <c r="C144" s="4" t="s">
        <v>1897</v>
      </c>
      <c r="D144" s="4" t="s">
        <v>1904</v>
      </c>
      <c r="E144" s="4" t="s">
        <v>1905</v>
      </c>
    </row>
    <row r="145" customFormat="false" ht="36" hidden="false" customHeight="true" outlineLevel="0" collapsed="false">
      <c r="A145" s="4" t="s">
        <v>1725</v>
      </c>
      <c r="B145" s="3" t="s">
        <v>1903</v>
      </c>
      <c r="C145" s="4" t="s">
        <v>1900</v>
      </c>
      <c r="D145" s="4" t="s">
        <v>1906</v>
      </c>
      <c r="E145" s="4" t="s">
        <v>1907</v>
      </c>
    </row>
    <row r="146" customFormat="false" ht="36" hidden="false" customHeight="true" outlineLevel="0" collapsed="false">
      <c r="A146" s="4" t="s">
        <v>1727</v>
      </c>
      <c r="B146" s="3" t="s">
        <v>1908</v>
      </c>
      <c r="C146" s="4" t="s">
        <v>1897</v>
      </c>
      <c r="D146" s="4" t="s">
        <v>1909</v>
      </c>
      <c r="E146" s="4" t="s">
        <v>1910</v>
      </c>
    </row>
    <row r="147" customFormat="false" ht="36" hidden="false" customHeight="true" outlineLevel="0" collapsed="false">
      <c r="A147" s="4" t="s">
        <v>1728</v>
      </c>
      <c r="B147" s="3" t="s">
        <v>1908</v>
      </c>
      <c r="C147" s="4" t="s">
        <v>1900</v>
      </c>
      <c r="D147" s="4" t="s">
        <v>1906</v>
      </c>
      <c r="E147" s="4" t="s">
        <v>1911</v>
      </c>
    </row>
  </sheetData>
  <mergeCells count="1">
    <mergeCell ref="A34:F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102"/>
  <sheetViews>
    <sheetView showFormulas="false" showGridLines="false" showRowColHeaders="true" showZeros="true" rightToLeft="false" tabSelected="false" showOutlineSymbols="true" defaultGridColor="true" view="normal" topLeftCell="A40" colorId="64" zoomScale="81" zoomScaleNormal="81" zoomScalePageLayoutView="100" workbookViewId="0">
      <selection pane="topLeft" activeCell="A1" activeCellId="0" sqref="A1"/>
    </sheetView>
  </sheetViews>
  <sheetFormatPr defaultColWidth="8.6796875" defaultRowHeight="13.5" zeroHeight="false" outlineLevelRow="0" outlineLevelCol="0"/>
  <cols>
    <col collapsed="false" customWidth="true" hidden="false" outlineLevel="0" max="1" min="1" style="0" width="44"/>
    <col collapsed="false" customWidth="true" hidden="false" outlineLevel="0" max="2" min="2" style="0" width="27"/>
    <col collapsed="false" customWidth="true" hidden="false" outlineLevel="0" max="3" min="3" style="0" width="80"/>
    <col collapsed="false" customWidth="true" hidden="false" outlineLevel="0" max="4" min="4" style="0" width="20"/>
    <col collapsed="false" customWidth="true" hidden="false" outlineLevel="0" max="15" min="5" style="0" width="23"/>
  </cols>
  <sheetData>
    <row r="2" customFormat="false" ht="17.25" hidden="false" customHeight="true" outlineLevel="0" collapsed="false">
      <c r="A2" s="1" t="s">
        <v>1912</v>
      </c>
    </row>
    <row r="4" customFormat="false" ht="33.75" hidden="false" customHeight="true" outlineLevel="0" collapsed="false">
      <c r="A4" s="2" t="s">
        <v>156</v>
      </c>
      <c r="B4" s="2" t="s">
        <v>1674</v>
      </c>
      <c r="C4" s="2" t="s">
        <v>1913</v>
      </c>
      <c r="D4" s="2" t="s">
        <v>1564</v>
      </c>
    </row>
    <row r="5" customFormat="false" ht="25.5" hidden="false" customHeight="true" outlineLevel="0" collapsed="false">
      <c r="A5" s="3" t="s">
        <v>1914</v>
      </c>
      <c r="B5" s="32" t="n">
        <f aca="false">D_F01!B9</f>
        <v>69627509083</v>
      </c>
      <c r="C5" s="3" t="s">
        <v>167</v>
      </c>
      <c r="D5" s="3" t="s">
        <v>170</v>
      </c>
    </row>
    <row r="6" customFormat="false" ht="25.5" hidden="false" customHeight="true" outlineLevel="0" collapsed="false">
      <c r="A6" s="4" t="s">
        <v>1915</v>
      </c>
      <c r="B6" s="33" t="n">
        <f aca="false">D_F01!B10</f>
        <v>57094557448.06</v>
      </c>
      <c r="C6" s="4" t="s">
        <v>175</v>
      </c>
      <c r="D6" s="4" t="s">
        <v>170</v>
      </c>
    </row>
    <row r="7" customFormat="false" ht="25.5" hidden="false" customHeight="true" outlineLevel="0" collapsed="false">
      <c r="A7" s="3" t="s">
        <v>429</v>
      </c>
      <c r="B7" s="32" t="n">
        <f aca="false">D_F01!B8</f>
        <v>181</v>
      </c>
      <c r="C7" s="3" t="s">
        <v>1916</v>
      </c>
      <c r="D7" s="3" t="s">
        <v>434</v>
      </c>
    </row>
    <row r="8" customFormat="false" ht="25.5" hidden="false" customHeight="true" outlineLevel="0" collapsed="false">
      <c r="A8" s="4" t="s">
        <v>1917</v>
      </c>
      <c r="B8" s="33" t="n">
        <f aca="false">SUM(D_sales!N5:N121)</f>
        <v>24915591245</v>
      </c>
      <c r="C8" s="4" t="s">
        <v>1918</v>
      </c>
      <c r="D8" s="4" t="s">
        <v>170</v>
      </c>
    </row>
    <row r="9" customFormat="false" ht="25.5" hidden="false" customHeight="true" outlineLevel="0" collapsed="false">
      <c r="A9" s="3" t="s">
        <v>1919</v>
      </c>
      <c r="B9" s="32" t="n">
        <f aca="false">SUM(D_inventory!P5:P40)</f>
        <v>25064351197.8</v>
      </c>
      <c r="C9" s="3" t="s">
        <v>1920</v>
      </c>
      <c r="D9" s="3" t="s">
        <v>170</v>
      </c>
    </row>
    <row r="10" customFormat="false" ht="25.5" hidden="false" customHeight="true" outlineLevel="0" collapsed="false">
      <c r="A10" s="4" t="s">
        <v>1921</v>
      </c>
      <c r="B10" s="33" t="n">
        <f aca="false">SUM(D_purchases!O5:O139)</f>
        <v>8393038071</v>
      </c>
      <c r="C10" s="4" t="s">
        <v>1922</v>
      </c>
      <c r="D10" s="4" t="s">
        <v>170</v>
      </c>
    </row>
    <row r="11" customFormat="false" ht="25.5" hidden="false" customHeight="true" outlineLevel="0" collapsed="false">
      <c r="A11" s="3" t="s">
        <v>1923</v>
      </c>
      <c r="B11" s="32" t="n">
        <f aca="false">SUM(D_purchases!G5:G139)</f>
        <v>42021300381</v>
      </c>
      <c r="C11" s="3" t="s">
        <v>1924</v>
      </c>
      <c r="D11" s="3" t="s">
        <v>170</v>
      </c>
    </row>
    <row r="12" customFormat="false" ht="25.5" hidden="false" customHeight="true" outlineLevel="0" collapsed="false">
      <c r="A12" s="4" t="s">
        <v>206</v>
      </c>
      <c r="B12" s="31" t="n">
        <f aca="false">B8/B5*B7</f>
        <v>64.7692567885655</v>
      </c>
      <c r="C12" s="4" t="s">
        <v>1925</v>
      </c>
      <c r="D12" s="4" t="s">
        <v>434</v>
      </c>
    </row>
    <row r="13" customFormat="false" ht="25.5" hidden="false" customHeight="true" outlineLevel="0" collapsed="false">
      <c r="A13" s="3" t="s">
        <v>214</v>
      </c>
      <c r="B13" s="30" t="n">
        <f aca="false">B9/B6*B7</f>
        <v>79.4584942869358</v>
      </c>
      <c r="C13" s="3" t="s">
        <v>1926</v>
      </c>
      <c r="D13" s="3" t="s">
        <v>434</v>
      </c>
    </row>
    <row r="14" customFormat="false" ht="25.5" hidden="false" customHeight="true" outlineLevel="0" collapsed="false">
      <c r="A14" s="4" t="s">
        <v>221</v>
      </c>
      <c r="B14" s="31" t="n">
        <f aca="false">B10/B6*B7</f>
        <v>26.6074378846529</v>
      </c>
      <c r="C14" s="4" t="s">
        <v>1927</v>
      </c>
      <c r="D14" s="4" t="s">
        <v>434</v>
      </c>
    </row>
    <row r="15" customFormat="false" ht="25.5" hidden="false" customHeight="true" outlineLevel="0" collapsed="false">
      <c r="A15" s="3" t="s">
        <v>226</v>
      </c>
      <c r="B15" s="30" t="n">
        <f aca="false">B12+B13-B14</f>
        <v>117.620313190848</v>
      </c>
      <c r="C15" s="3" t="s">
        <v>1928</v>
      </c>
      <c r="D15" s="3" t="s">
        <v>434</v>
      </c>
    </row>
    <row r="16" customFormat="false" ht="25.5" hidden="false" customHeight="true" outlineLevel="0" collapsed="false">
      <c r="A16" s="4" t="s">
        <v>1929</v>
      </c>
      <c r="B16" s="33" t="n">
        <f aca="false">B8+B9-B10</f>
        <v>41586904371.8</v>
      </c>
      <c r="C16" s="4" t="s">
        <v>1930</v>
      </c>
      <c r="D16" s="4" t="s">
        <v>170</v>
      </c>
    </row>
    <row r="17" customFormat="false" ht="25.5" hidden="false" customHeight="true" outlineLevel="0" collapsed="false">
      <c r="A17" s="3" t="s">
        <v>1931</v>
      </c>
      <c r="B17" s="32" t="n">
        <f aca="false">SUMIFS(D_sales!N5:N121,D_sales!O5:O121,"&gt;0")</f>
        <v>9778180962</v>
      </c>
      <c r="C17" s="3" t="s">
        <v>1932</v>
      </c>
      <c r="D17" s="3" t="s">
        <v>170</v>
      </c>
    </row>
    <row r="18" customFormat="false" ht="25.5" hidden="false" customHeight="true" outlineLevel="0" collapsed="false">
      <c r="A18" s="4" t="s">
        <v>1933</v>
      </c>
      <c r="B18" s="33" t="n">
        <f aca="false">SUMIFS(D_purchases!O5:O139,D_purchases!P5:P139,"&gt;0")</f>
        <v>979364994</v>
      </c>
      <c r="C18" s="4" t="s">
        <v>1934</v>
      </c>
      <c r="D18" s="4" t="s">
        <v>170</v>
      </c>
    </row>
    <row r="19" customFormat="false" ht="25.5" hidden="false" customHeight="true" outlineLevel="0" collapsed="false">
      <c r="A19" s="3" t="s">
        <v>1935</v>
      </c>
      <c r="B19" s="32" t="n">
        <f aca="false">SUMPRODUCT(D_inventory!P5:P40,D_inventory!S5:S40)</f>
        <v>5441257639.8</v>
      </c>
      <c r="C19" s="3" t="s">
        <v>1936</v>
      </c>
      <c r="D19" s="3" t="s">
        <v>170</v>
      </c>
    </row>
    <row r="20" customFormat="false" ht="25.5" hidden="false" customHeight="true" outlineLevel="0" collapsed="false">
      <c r="A20" s="4" t="s">
        <v>1937</v>
      </c>
      <c r="B20" s="33" t="n">
        <f aca="false">SUM(D_inventory!O5:O40)-B9</f>
        <v>0</v>
      </c>
      <c r="C20" s="4" t="s">
        <v>1938</v>
      </c>
      <c r="D20" s="4" t="s">
        <v>170</v>
      </c>
    </row>
    <row r="21" customFormat="false" ht="25.5" hidden="false" customHeight="true" outlineLevel="0" collapsed="false">
      <c r="A21" s="3" t="s">
        <v>1939</v>
      </c>
      <c r="B21" s="32" t="n">
        <f aca="false">D_F01!B11+D_F01!B13+D_F01!B14+B8+B9</f>
        <v>59381868415.8</v>
      </c>
      <c r="C21" s="3" t="s">
        <v>1940</v>
      </c>
      <c r="D21" s="3" t="s">
        <v>170</v>
      </c>
    </row>
    <row r="22" customFormat="false" ht="25.5" hidden="false" customHeight="true" outlineLevel="0" collapsed="false">
      <c r="A22" s="4" t="s">
        <v>1941</v>
      </c>
      <c r="B22" s="33" t="n">
        <f aca="false">IF(B12&gt;Nguong!B47,2,IF(B12&gt;Nguong!B46,1,0))</f>
        <v>1</v>
      </c>
      <c r="C22" s="4" t="s">
        <v>1942</v>
      </c>
      <c r="D22" s="4" t="s">
        <v>456</v>
      </c>
    </row>
    <row r="23" customFormat="false" ht="25.5" hidden="false" customHeight="true" outlineLevel="0" collapsed="false">
      <c r="A23" s="3" t="s">
        <v>1943</v>
      </c>
      <c r="B23" s="32" t="n">
        <f aca="false">IF(B13&gt;Nguong!B49,2,IF(B13&gt;Nguong!B48,1,0))</f>
        <v>0</v>
      </c>
      <c r="C23" s="3" t="s">
        <v>1944</v>
      </c>
      <c r="D23" s="3" t="s">
        <v>456</v>
      </c>
    </row>
    <row r="24" customFormat="false" ht="25.5" hidden="false" customHeight="true" outlineLevel="0" collapsed="false">
      <c r="A24" s="4" t="s">
        <v>1945</v>
      </c>
      <c r="B24" s="33" t="n">
        <f aca="false">D_F01!B21</f>
        <v>133127509083</v>
      </c>
      <c r="C24" s="4" t="s">
        <v>1946</v>
      </c>
      <c r="D24" s="4" t="s">
        <v>170</v>
      </c>
    </row>
    <row r="25" customFormat="false" ht="25.5" hidden="false" customHeight="true" outlineLevel="0" collapsed="false">
      <c r="A25" s="3" t="s">
        <v>1947</v>
      </c>
      <c r="B25" s="34" t="n">
        <f aca="false">(D_F01!B11+D_F01!B13)/B24</f>
        <v>0.0480886784188882</v>
      </c>
      <c r="C25" s="3" t="s">
        <v>1948</v>
      </c>
      <c r="D25" s="3" t="s">
        <v>469</v>
      </c>
    </row>
    <row r="26" customFormat="false" ht="25.5" hidden="false" customHeight="true" outlineLevel="0" collapsed="false">
      <c r="A26" s="4" t="s">
        <v>1949</v>
      </c>
      <c r="B26" s="33" t="n">
        <f aca="false">IF(AND(B14&lt;Nguong!B50,B25&lt;Nguong!B52),1,0)</f>
        <v>0</v>
      </c>
      <c r="C26" s="4" t="s">
        <v>1950</v>
      </c>
      <c r="D26" s="4" t="s">
        <v>476</v>
      </c>
    </row>
    <row r="27" customFormat="false" ht="25.5" hidden="false" customHeight="true" outlineLevel="0" collapsed="false">
      <c r="A27" s="3" t="s">
        <v>1951</v>
      </c>
      <c r="B27" s="32" t="n">
        <f aca="false">MAX(0,B12-Nguong!B46)*B5/B7</f>
        <v>2524331212.83056</v>
      </c>
      <c r="C27" s="3" t="s">
        <v>1952</v>
      </c>
      <c r="D27" s="3" t="s">
        <v>170</v>
      </c>
    </row>
    <row r="28" customFormat="false" ht="25.5" hidden="false" customHeight="true" outlineLevel="0" collapsed="false">
      <c r="A28" s="4" t="s">
        <v>1953</v>
      </c>
      <c r="B28" s="33" t="n">
        <f aca="false">MAX(0,B13-Nguong!B48)*B6/B7</f>
        <v>0</v>
      </c>
      <c r="C28" s="4" t="s">
        <v>1954</v>
      </c>
      <c r="D28" s="4" t="s">
        <v>170</v>
      </c>
    </row>
    <row r="29" customFormat="false" ht="25.5" hidden="false" customHeight="true" outlineLevel="0" collapsed="false">
      <c r="A29" s="3" t="s">
        <v>490</v>
      </c>
      <c r="B29" s="34" t="n">
        <f aca="false">MAX(B27,B28)/B21</f>
        <v>0.0425101344934929</v>
      </c>
      <c r="C29" s="3" t="s">
        <v>1955</v>
      </c>
      <c r="D29" s="3" t="s">
        <v>469</v>
      </c>
    </row>
    <row r="30" customFormat="false" ht="25.5" hidden="false" customHeight="true" outlineLevel="0" collapsed="false">
      <c r="A30" s="4" t="s">
        <v>145</v>
      </c>
      <c r="B30" s="33" t="str">
        <f aca="false">IF(OR(AND(Nguong!B24=1,MAX(B22,B23)=2),AND(MAX(B22,B23)&gt;=1,B29&gt;=Nguong!B23)),"W2",IF(OR(MAX(B22,B23)&gt;=1,B26=1),"W1","W0"))</f>
        <v>W1</v>
      </c>
      <c r="C30" s="4" t="s">
        <v>1956</v>
      </c>
      <c r="D30" s="4" t="s">
        <v>796</v>
      </c>
    </row>
    <row r="31" customFormat="false" ht="25.5" hidden="false" customHeight="true" outlineLevel="0" collapsed="false">
      <c r="A31" s="3" t="s">
        <v>1957</v>
      </c>
      <c r="B31" s="32" t="n">
        <f aca="false">B27+B28</f>
        <v>2524331212.83056</v>
      </c>
      <c r="C31" s="3" t="s">
        <v>1958</v>
      </c>
      <c r="D31" s="3" t="s">
        <v>170</v>
      </c>
    </row>
    <row r="32" customFormat="false" ht="25.5" hidden="false" customHeight="true" outlineLevel="0" collapsed="false">
      <c r="A32" s="4" t="s">
        <v>1959</v>
      </c>
      <c r="B32" s="4" t="n">
        <f aca="false">_xlfn.MAXIFS(D_inventory!N5:N40,D_inventory!E5:E40,"F01")</f>
        <v>238</v>
      </c>
      <c r="C32" s="4" t="s">
        <v>1960</v>
      </c>
      <c r="D32" s="4" t="s">
        <v>434</v>
      </c>
    </row>
    <row r="33" customFormat="false" ht="25.5" hidden="false" customHeight="true" outlineLevel="0" collapsed="false">
      <c r="A33" s="3" t="s">
        <v>1961</v>
      </c>
      <c r="B33" s="3" t="s">
        <v>1962</v>
      </c>
      <c r="C33" s="3" t="s">
        <v>1963</v>
      </c>
      <c r="D33" s="3" t="s">
        <v>382</v>
      </c>
    </row>
    <row r="40" customFormat="false" ht="33.75" hidden="false" customHeight="true" outlineLevel="0" collapsed="false">
      <c r="A40" s="2" t="s">
        <v>1964</v>
      </c>
      <c r="B40" s="2" t="s">
        <v>1807</v>
      </c>
      <c r="C40" s="2" t="s">
        <v>1917</v>
      </c>
      <c r="D40" s="2" t="s">
        <v>1965</v>
      </c>
      <c r="E40" s="2" t="s">
        <v>1966</v>
      </c>
      <c r="F40" s="2" t="s">
        <v>1967</v>
      </c>
      <c r="G40" s="2" t="s">
        <v>1968</v>
      </c>
      <c r="H40" s="2" t="s">
        <v>1969</v>
      </c>
      <c r="I40" s="2" t="s">
        <v>1970</v>
      </c>
      <c r="J40" s="2" t="s">
        <v>1971</v>
      </c>
      <c r="K40" s="2" t="s">
        <v>1972</v>
      </c>
      <c r="L40" s="2" t="s">
        <v>1973</v>
      </c>
      <c r="M40" s="2" t="s">
        <v>1974</v>
      </c>
      <c r="N40" s="2" t="s">
        <v>1975</v>
      </c>
      <c r="O40" s="2" t="s">
        <v>1976</v>
      </c>
    </row>
    <row r="41" customFormat="false" ht="51.75" hidden="false" customHeight="true" outlineLevel="0" collapsed="false">
      <c r="A41" s="3" t="s">
        <v>1977</v>
      </c>
      <c r="B41" s="3" t="str">
        <f aca="false">D_F01!B38</f>
        <v>Khách mua FOB Lớn K1</v>
      </c>
      <c r="C41" s="32" t="n">
        <f aca="false">SUMIFS(D_sales!$N$5:$N$121,D_sales!$C$5:$C$121,A41)</f>
        <v>13893078293</v>
      </c>
      <c r="D41" s="34" t="n">
        <f aca="false">IF($B$8&gt;0,C41/$B$8,0)</f>
        <v>0.557605804188493</v>
      </c>
      <c r="E41" s="30" t="n">
        <f aca="false">C41/$B$5*$B$7</f>
        <v>36.115713518279</v>
      </c>
      <c r="F41" s="32" t="n">
        <f aca="false">SUMIFS(D_sales!$N$5:$N$121,D_sales!$C$5:$C$121,A41,D_sales!$O$5:$O$121,"&gt;0")</f>
        <v>4187759307</v>
      </c>
      <c r="G41" s="32" t="n">
        <f aca="false">SUMIFS(D_sales!$N$5:$N$121,D_sales!$C$5:$C$121,A41,D_sales!$O$5:$O$121,"&gt;0",D_sales!$O$5:$O$121,"&lt;=30")</f>
        <v>4187759307</v>
      </c>
      <c r="H41" s="32" t="n">
        <f aca="false">SUMIFS(D_sales!$N$5:$N$121,D_sales!$C$5:$C$121,A41,D_sales!$O$5:$O$121,"&gt;30",D_sales!$O$5:$O$121,"&lt;=60")</f>
        <v>0</v>
      </c>
      <c r="I41" s="32" t="n">
        <f aca="false">SUMIFS(D_sales!$N$5:$N$121,D_sales!$C$5:$C$121,A41,D_sales!$O$5:$O$121,"&gt;60",D_sales!$O$5:$O$121,"&lt;=9999")</f>
        <v>0</v>
      </c>
      <c r="J41" s="3" t="n">
        <f aca="false">_xlfn.MAXIFS(D_sales!$O$5:$O$121,D_sales!$C$5:$C$121,A41)</f>
        <v>21</v>
      </c>
      <c r="K41" s="30" t="n">
        <f aca="false">IF(SUMIFS(D_sales!$T$5:$T$121,D_sales!$C$5:$C$121,A41)=0,"n.a.",SUMIFS(D_sales!$Z$5:$Z$121,D_sales!$C$5:$C$121,A41)/SUMIFS(D_sales!$T$5:$T$121,D_sales!$C$5:$C$121,A41))</f>
        <v>19.1577768458283</v>
      </c>
      <c r="L41" s="30" t="n">
        <f aca="false">IF(SUMIFS(D_sales!$T$5:$T$121,D_sales!$C$5:$C$121,A41)=0,"n.a.",SUMIFS(D_sales!$S$5:$S$121,D_sales!$C$5:$C$121,A41)/SUMIFS(D_sales!$T$5:$T$121,D_sales!$C$5:$C$121,A41))</f>
        <v>19.1577768458283</v>
      </c>
      <c r="M41" s="35" t="n">
        <f aca="false">COUNTIFS(D_sales!$C$5:$C$121,A41,D_sales!$R$5:$R$121,1)</f>
        <v>16</v>
      </c>
      <c r="N41" s="30" t="n">
        <f aca="false">IF(SUMIFS(D_sales!$T$5:$T$121,D_sales!$C$5:$C$121,A41)=0,"n.a.",SUMIFS(D_sales!$AA$5:$AA$121,D_sales!$C$5:$C$121,A41)/SUMIFS(D_sales!$T$5:$T$121,D_sales!$C$5:$C$121,A41))</f>
        <v>45</v>
      </c>
      <c r="O41" s="3" t="str">
        <f aca="false">IF(D_F01!$B$7-_xlfn.MINIFS(D_sales!$G$5:$G$121,D_sales!$C$5:$C$121,A41)+1&lt;=60,"Mới",IF(AND(COUNTIF(D_sales!$C$5:$C$121,A41)&gt;=12,6&gt;=4),"Thường xuyên","Vãng lai"))</f>
        <v>Thường xuyên</v>
      </c>
    </row>
    <row r="42" customFormat="false" ht="51.75" hidden="false" customHeight="true" outlineLevel="0" collapsed="false">
      <c r="A42" s="4" t="s">
        <v>1978</v>
      </c>
      <c r="B42" s="4" t="str">
        <f aca="false">D_F01!B39</f>
        <v>Khách mua FOB K2</v>
      </c>
      <c r="C42" s="33" t="n">
        <f aca="false">SUMIFS(D_sales!$N$5:$N$121,D_sales!$C$5:$C$121,A42)</f>
        <v>4870640111</v>
      </c>
      <c r="D42" s="36" t="n">
        <f aca="false">IF($B$8&gt;0,C42/$B$8,0)</f>
        <v>0.195485632394031</v>
      </c>
      <c r="E42" s="31" t="n">
        <f aca="false">C42/$B$5*$B$7</f>
        <v>12.6614591230041</v>
      </c>
      <c r="F42" s="33" t="n">
        <f aca="false">SUMIFS(D_sales!$N$5:$N$121,D_sales!$C$5:$C$121,A42,D_sales!$O$5:$O$121,"&gt;0")</f>
        <v>1998889941</v>
      </c>
      <c r="G42" s="33" t="n">
        <f aca="false">SUMIFS(D_sales!$N$5:$N$121,D_sales!$C$5:$C$121,A42,D_sales!$O$5:$O$121,"&gt;0",D_sales!$O$5:$O$121,"&lt;=30")</f>
        <v>1998889941</v>
      </c>
      <c r="H42" s="33" t="n">
        <f aca="false">SUMIFS(D_sales!$N$5:$N$121,D_sales!$C$5:$C$121,A42,D_sales!$O$5:$O$121,"&gt;30",D_sales!$O$5:$O$121,"&lt;=60")</f>
        <v>0</v>
      </c>
      <c r="I42" s="33" t="n">
        <f aca="false">SUMIFS(D_sales!$N$5:$N$121,D_sales!$C$5:$C$121,A42,D_sales!$O$5:$O$121,"&gt;60",D_sales!$O$5:$O$121,"&lt;=9999")</f>
        <v>0</v>
      </c>
      <c r="J42" s="4" t="n">
        <f aca="false">_xlfn.MAXIFS(D_sales!$O$5:$O$121,D_sales!$C$5:$C$121,A42)</f>
        <v>7</v>
      </c>
      <c r="K42" s="31" t="n">
        <f aca="false">IF(SUMIFS(D_sales!$T$5:$T$121,D_sales!$C$5:$C$121,A42)=0,"n.a.",SUMIFS(D_sales!$Z$5:$Z$121,D_sales!$C$5:$C$121,A42)/SUMIFS(D_sales!$T$5:$T$121,D_sales!$C$5:$C$121,A42))</f>
        <v>-1.1383315584966</v>
      </c>
      <c r="L42" s="31" t="n">
        <f aca="false">IF(SUMIFS(D_sales!$T$5:$T$121,D_sales!$C$5:$C$121,A42)=0,"n.a.",SUMIFS(D_sales!$S$5:$S$121,D_sales!$C$5:$C$121,A42)/SUMIFS(D_sales!$T$5:$T$121,D_sales!$C$5:$C$121,A42))</f>
        <v>1.11512646990506</v>
      </c>
      <c r="M42" s="37" t="n">
        <f aca="false">COUNTIFS(D_sales!$C$5:$C$121,A42,D_sales!$R$5:$R$121,1)</f>
        <v>24</v>
      </c>
      <c r="N42" s="31" t="n">
        <f aca="false">IF(SUMIFS(D_sales!$T$5:$T$121,D_sales!$C$5:$C$121,A42)=0,"n.a.",SUMIFS(D_sales!$AA$5:$AA$121,D_sales!$C$5:$C$121,A42)/SUMIFS(D_sales!$T$5:$T$121,D_sales!$C$5:$C$121,A42))</f>
        <v>30</v>
      </c>
      <c r="O42" s="4" t="str">
        <f aca="false">IF(D_F01!$B$7-_xlfn.MINIFS(D_sales!$G$5:$G$121,D_sales!$C$5:$C$121,A42)+1&lt;=60,"Mới",IF(AND(COUNTIF(D_sales!$C$5:$C$121,A42)&gt;=12,6&gt;=4),"Thường xuyên","Vãng lai"))</f>
        <v>Thường xuyên</v>
      </c>
    </row>
    <row r="43" customFormat="false" ht="51.75" hidden="false" customHeight="true" outlineLevel="0" collapsed="false">
      <c r="A43" s="3" t="s">
        <v>1979</v>
      </c>
      <c r="B43" s="3" t="str">
        <f aca="false">D_F01!B40</f>
        <v>Nhà mua hàng FOB K5</v>
      </c>
      <c r="C43" s="32" t="n">
        <f aca="false">SUMIFS(D_sales!$N$5:$N$121,D_sales!$C$5:$C$121,A43)</f>
        <v>2247943156</v>
      </c>
      <c r="D43" s="34" t="n">
        <f aca="false">IF($B$8&gt;0,C43/$B$8,0)</f>
        <v>0.0902223484843496</v>
      </c>
      <c r="E43" s="30" t="n">
        <f aca="false">C43/$B$5*$B$7</f>
        <v>5.84363445705028</v>
      </c>
      <c r="F43" s="32" t="n">
        <f aca="false">SUMIFS(D_sales!$N$5:$N$121,D_sales!$C$5:$C$121,A43,D_sales!$O$5:$O$121,"&gt;0")</f>
        <v>1323908589</v>
      </c>
      <c r="G43" s="32" t="n">
        <f aca="false">SUMIFS(D_sales!$N$5:$N$121,D_sales!$C$5:$C$121,A43,D_sales!$O$5:$O$121,"&gt;0",D_sales!$O$5:$O$121,"&lt;=30")</f>
        <v>0</v>
      </c>
      <c r="H43" s="32" t="n">
        <f aca="false">SUMIFS(D_sales!$N$5:$N$121,D_sales!$C$5:$C$121,A43,D_sales!$O$5:$O$121,"&gt;30",D_sales!$O$5:$O$121,"&lt;=60")</f>
        <v>0</v>
      </c>
      <c r="I43" s="32" t="n">
        <f aca="false">SUMIFS(D_sales!$N$5:$N$121,D_sales!$C$5:$C$121,A43,D_sales!$O$5:$O$121,"&gt;60",D_sales!$O$5:$O$121,"&lt;=9999")</f>
        <v>1323908589</v>
      </c>
      <c r="J43" s="3" t="n">
        <f aca="false">_xlfn.MAXIFS(D_sales!$O$5:$O$121,D_sales!$C$5:$C$121,A43)</f>
        <v>77</v>
      </c>
      <c r="K43" s="30" t="n">
        <f aca="false">IF(SUMIFS(D_sales!$T$5:$T$121,D_sales!$C$5:$C$121,A43)=0,"n.a.",SUMIFS(D_sales!$Z$5:$Z$121,D_sales!$C$5:$C$121,A43)/SUMIFS(D_sales!$T$5:$T$121,D_sales!$C$5:$C$121,A43))</f>
        <v>5.32038790105896</v>
      </c>
      <c r="L43" s="30" t="n">
        <f aca="false">IF(SUMIFS(D_sales!$T$5:$T$121,D_sales!$C$5:$C$121,A43)=0,"n.a.",SUMIFS(D_sales!$S$5:$S$121,D_sales!$C$5:$C$121,A43)/SUMIFS(D_sales!$T$5:$T$121,D_sales!$C$5:$C$121,A43))</f>
        <v>5.32038790105896</v>
      </c>
      <c r="M43" s="35" t="n">
        <f aca="false">COUNTIFS(D_sales!$C$5:$C$121,A43,D_sales!$R$5:$R$121,1)</f>
        <v>15</v>
      </c>
      <c r="N43" s="30" t="n">
        <f aca="false">IF(SUMIFS(D_sales!$T$5:$T$121,D_sales!$C$5:$C$121,A43)=0,"n.a.",SUMIFS(D_sales!$AA$5:$AA$121,D_sales!$C$5:$C$121,A43)/SUMIFS(D_sales!$T$5:$T$121,D_sales!$C$5:$C$121,A43))</f>
        <v>30</v>
      </c>
      <c r="O43" s="3" t="str">
        <f aca="false">IF(D_F01!$B$7-_xlfn.MINIFS(D_sales!$G$5:$G$121,D_sales!$C$5:$C$121,A43)+1&lt;=60,"Mới",IF(AND(COUNTIF(D_sales!$C$5:$C$121,A43)&gt;=12,6&gt;=4),"Thường xuyên","Vãng lai"))</f>
        <v>Thường xuyên</v>
      </c>
    </row>
    <row r="44" customFormat="false" ht="51.75" hidden="false" customHeight="true" outlineLevel="0" collapsed="false">
      <c r="A44" s="4" t="s">
        <v>1980</v>
      </c>
      <c r="B44" s="4" t="str">
        <f aca="false">D_F01!B41</f>
        <v>Thương hiệu thời trang theo mùa K6</v>
      </c>
      <c r="C44" s="33" t="n">
        <f aca="false">SUMIFS(D_sales!$N$5:$N$121,D_sales!$C$5:$C$121,A44)</f>
        <v>2599202710</v>
      </c>
      <c r="D44" s="36" t="n">
        <f aca="false">IF($B$8&gt;0,C44/$B$8,0)</f>
        <v>0.104320330368303</v>
      </c>
      <c r="E44" s="31" t="n">
        <f aca="false">C44/$B$5*$B$7</f>
        <v>6.7567502658926</v>
      </c>
      <c r="F44" s="33" t="n">
        <f aca="false">SUMIFS(D_sales!$N$5:$N$121,D_sales!$C$5:$C$121,A44,D_sales!$O$5:$O$121,"&gt;0")</f>
        <v>1909998793</v>
      </c>
      <c r="G44" s="33" t="n">
        <f aca="false">SUMIFS(D_sales!$N$5:$N$121,D_sales!$C$5:$C$121,A44,D_sales!$O$5:$O$121,"&gt;0",D_sales!$O$5:$O$121,"&lt;=30")</f>
        <v>1909998793</v>
      </c>
      <c r="H44" s="33" t="n">
        <f aca="false">SUMIFS(D_sales!$N$5:$N$121,D_sales!$C$5:$C$121,A44,D_sales!$O$5:$O$121,"&gt;30",D_sales!$O$5:$O$121,"&lt;=60")</f>
        <v>0</v>
      </c>
      <c r="I44" s="33" t="n">
        <f aca="false">SUMIFS(D_sales!$N$5:$N$121,D_sales!$C$5:$C$121,A44,D_sales!$O$5:$O$121,"&gt;60",D_sales!$O$5:$O$121,"&lt;=9999")</f>
        <v>0</v>
      </c>
      <c r="J44" s="4" t="n">
        <f aca="false">_xlfn.MAXIFS(D_sales!$O$5:$O$121,D_sales!$C$5:$C$121,A44)</f>
        <v>3</v>
      </c>
      <c r="K44" s="31" t="n">
        <f aca="false">IF(SUMIFS(D_sales!$T$5:$T$121,D_sales!$C$5:$C$121,A44)=0,"n.a.",SUMIFS(D_sales!$Z$5:$Z$121,D_sales!$C$5:$C$121,A44)/SUMIFS(D_sales!$T$5:$T$121,D_sales!$C$5:$C$121,A44))</f>
        <v>0.596099346953152</v>
      </c>
      <c r="L44" s="31" t="n">
        <f aca="false">IF(SUMIFS(D_sales!$T$5:$T$121,D_sales!$C$5:$C$121,A44)=0,"n.a.",SUMIFS(D_sales!$S$5:$S$121,D_sales!$C$5:$C$121,A44)/SUMIFS(D_sales!$T$5:$T$121,D_sales!$C$5:$C$121,A44))</f>
        <v>1.51014604365779</v>
      </c>
      <c r="M44" s="37" t="n">
        <f aca="false">COUNTIFS(D_sales!$C$5:$C$121,A44,D_sales!$R$5:$R$121,1)</f>
        <v>8</v>
      </c>
      <c r="N44" s="31" t="n">
        <f aca="false">IF(SUMIFS(D_sales!$T$5:$T$121,D_sales!$C$5:$C$121,A44)=0,"n.a.",SUMIFS(D_sales!$AA$5:$AA$121,D_sales!$C$5:$C$121,A44)/SUMIFS(D_sales!$T$5:$T$121,D_sales!$C$5:$C$121,A44))</f>
        <v>36.3892428586184</v>
      </c>
      <c r="O44" s="4" t="str">
        <f aca="false">IF(D_F01!$B$7-_xlfn.MINIFS(D_sales!$G$5:$G$121,D_sales!$C$5:$C$121,A44)+1&lt;=60,"Mới",IF(AND(COUNTIF(D_sales!$C$5:$C$121,A44)&gt;=12,5&gt;=4),"Thường xuyên","Vãng lai"))</f>
        <v>Vãng lai</v>
      </c>
    </row>
    <row r="45" customFormat="false" ht="51.75" hidden="false" customHeight="true" outlineLevel="0" collapsed="false">
      <c r="A45" s="3" t="s">
        <v>1981</v>
      </c>
      <c r="B45" s="3" t="str">
        <f aca="false">D_F01!B42</f>
        <v>Thương hiệu nội địa K3</v>
      </c>
      <c r="C45" s="32" t="n">
        <f aca="false">SUMIFS(D_sales!$N$5:$N$121,D_sales!$C$5:$C$121,A45)</f>
        <v>617202404</v>
      </c>
      <c r="D45" s="34" t="n">
        <f aca="false">IF($B$8&gt;0,C45/$B$8,0)</f>
        <v>0.0247717342097534</v>
      </c>
      <c r="E45" s="30" t="n">
        <f aca="false">C45/$B$5*$B$7</f>
        <v>1.60444681412961</v>
      </c>
      <c r="F45" s="32" t="n">
        <f aca="false">SUMIFS(D_sales!$N$5:$N$121,D_sales!$C$5:$C$121,A45,D_sales!$O$5:$O$121,"&gt;0")</f>
        <v>0</v>
      </c>
      <c r="G45" s="32" t="n">
        <f aca="false">SUMIFS(D_sales!$N$5:$N$121,D_sales!$C$5:$C$121,A45,D_sales!$O$5:$O$121,"&gt;0",D_sales!$O$5:$O$121,"&lt;=30")</f>
        <v>0</v>
      </c>
      <c r="H45" s="32" t="n">
        <f aca="false">SUMIFS(D_sales!$N$5:$N$121,D_sales!$C$5:$C$121,A45,D_sales!$O$5:$O$121,"&gt;30",D_sales!$O$5:$O$121,"&lt;=60")</f>
        <v>0</v>
      </c>
      <c r="I45" s="32" t="n">
        <f aca="false">SUMIFS(D_sales!$N$5:$N$121,D_sales!$C$5:$C$121,A45,D_sales!$O$5:$O$121,"&gt;60",D_sales!$O$5:$O$121,"&lt;=9999")</f>
        <v>0</v>
      </c>
      <c r="J45" s="3" t="n">
        <f aca="false">_xlfn.MAXIFS(D_sales!$O$5:$O$121,D_sales!$C$5:$C$121,A45)</f>
        <v>0</v>
      </c>
      <c r="K45" s="30" t="n">
        <f aca="false">IF(SUMIFS(D_sales!$T$5:$T$121,D_sales!$C$5:$C$121,A45)=0,"n.a.",SUMIFS(D_sales!$Z$5:$Z$121,D_sales!$C$5:$C$121,A45)/SUMIFS(D_sales!$T$5:$T$121,D_sales!$C$5:$C$121,A45))</f>
        <v>1.87591031131938</v>
      </c>
      <c r="L45" s="30" t="n">
        <f aca="false">IF(SUMIFS(D_sales!$T$5:$T$121,D_sales!$C$5:$C$121,A45)=0,"n.a.",SUMIFS(D_sales!$S$5:$S$121,D_sales!$C$5:$C$121,A45)/SUMIFS(D_sales!$T$5:$T$121,D_sales!$C$5:$C$121,A45))</f>
        <v>2.02020392543456</v>
      </c>
      <c r="M45" s="35" t="n">
        <f aca="false">COUNTIFS(D_sales!$C$5:$C$121,A45,D_sales!$R$5:$R$121,1)</f>
        <v>13</v>
      </c>
      <c r="N45" s="30" t="n">
        <f aca="false">IF(SUMIFS(D_sales!$T$5:$T$121,D_sales!$C$5:$C$121,A45)=0,"n.a.",SUMIFS(D_sales!$AA$5:$AA$121,D_sales!$C$5:$C$121,A45)/SUMIFS(D_sales!$T$5:$T$121,D_sales!$C$5:$C$121,A45))</f>
        <v>30</v>
      </c>
      <c r="O45" s="3" t="str">
        <f aca="false">IF(D_F01!$B$7-_xlfn.MINIFS(D_sales!$G$5:$G$121,D_sales!$C$5:$C$121,A45)+1&lt;=60,"Mới",IF(AND(COUNTIF(D_sales!$C$5:$C$121,A45)&gt;=12,5&gt;=4),"Thường xuyên","Vãng lai"))</f>
        <v>Thường xuyên</v>
      </c>
    </row>
    <row r="46" customFormat="false" ht="51.75" hidden="false" customHeight="true" outlineLevel="0" collapsed="false">
      <c r="A46" s="4" t="s">
        <v>1982</v>
      </c>
      <c r="B46" s="4" t="str">
        <f aca="false">D_F01!B43</f>
        <v>Đại lý vãng lai K7</v>
      </c>
      <c r="C46" s="33" t="n">
        <f aca="false">SUMIFS(D_sales!$N$5:$N$121,D_sales!$C$5:$C$121,A46)</f>
        <v>0</v>
      </c>
      <c r="D46" s="36" t="n">
        <f aca="false">IF($B$8&gt;0,C46/$B$8,0)</f>
        <v>0</v>
      </c>
      <c r="E46" s="31" t="n">
        <f aca="false">C46/$B$5*$B$7</f>
        <v>0</v>
      </c>
      <c r="F46" s="33" t="n">
        <f aca="false">SUMIFS(D_sales!$N$5:$N$121,D_sales!$C$5:$C$121,A46,D_sales!$O$5:$O$121,"&gt;0")</f>
        <v>0</v>
      </c>
      <c r="G46" s="33" t="n">
        <f aca="false">SUMIFS(D_sales!$N$5:$N$121,D_sales!$C$5:$C$121,A46,D_sales!$O$5:$O$121,"&gt;0",D_sales!$O$5:$O$121,"&lt;=30")</f>
        <v>0</v>
      </c>
      <c r="H46" s="33" t="n">
        <f aca="false">SUMIFS(D_sales!$N$5:$N$121,D_sales!$C$5:$C$121,A46,D_sales!$O$5:$O$121,"&gt;30",D_sales!$O$5:$O$121,"&lt;=60")</f>
        <v>0</v>
      </c>
      <c r="I46" s="33" t="n">
        <f aca="false">SUMIFS(D_sales!$N$5:$N$121,D_sales!$C$5:$C$121,A46,D_sales!$O$5:$O$121,"&gt;60",D_sales!$O$5:$O$121,"&lt;=9999")</f>
        <v>0</v>
      </c>
      <c r="J46" s="4" t="n">
        <f aca="false">_xlfn.MAXIFS(D_sales!$O$5:$O$121,D_sales!$C$5:$C$121,A46)</f>
        <v>0</v>
      </c>
      <c r="K46" s="31" t="n">
        <f aca="false">IF(SUMIFS(D_sales!$T$5:$T$121,D_sales!$C$5:$C$121,A46)=0,"n.a.",SUMIFS(D_sales!$Z$5:$Z$121,D_sales!$C$5:$C$121,A46)/SUMIFS(D_sales!$T$5:$T$121,D_sales!$C$5:$C$121,A46))</f>
        <v>1.19485001038042</v>
      </c>
      <c r="L46" s="31" t="n">
        <f aca="false">IF(SUMIFS(D_sales!$T$5:$T$121,D_sales!$C$5:$C$121,A46)=0,"n.a.",SUMIFS(D_sales!$S$5:$S$121,D_sales!$C$5:$C$121,A46)/SUMIFS(D_sales!$T$5:$T$121,D_sales!$C$5:$C$121,A46))</f>
        <v>2.45127084102424</v>
      </c>
      <c r="M46" s="37" t="n">
        <f aca="false">COUNTIFS(D_sales!$C$5:$C$121,A46,D_sales!$R$5:$R$121,1)</f>
        <v>3</v>
      </c>
      <c r="N46" s="31" t="n">
        <f aca="false">IF(SUMIFS(D_sales!$T$5:$T$121,D_sales!$C$5:$C$121,A46)=0,"n.a.",SUMIFS(D_sales!$AA$5:$AA$121,D_sales!$C$5:$C$121,A46)/SUMIFS(D_sales!$T$5:$T$121,D_sales!$C$5:$C$121,A46))</f>
        <v>30</v>
      </c>
      <c r="O46" s="4" t="str">
        <f aca="false">IF(D_F01!$B$7-_xlfn.MINIFS(D_sales!$G$5:$G$121,D_sales!$C$5:$C$121,A46)+1&lt;=60,"Mới",IF(AND(COUNTIF(D_sales!$C$5:$C$121,A46)&gt;=12,3&gt;=4),"Thường xuyên","Vãng lai"))</f>
        <v>Vãng lai</v>
      </c>
    </row>
    <row r="47" customFormat="false" ht="51.75" hidden="false" customHeight="true" outlineLevel="0" collapsed="false">
      <c r="A47" s="3" t="s">
        <v>1983</v>
      </c>
      <c r="B47" s="3" t="str">
        <f aca="false">D_F01!B44</f>
        <v>Khách mới K4</v>
      </c>
      <c r="C47" s="32" t="n">
        <f aca="false">SUMIFS(D_sales!$N$5:$N$121,D_sales!$C$5:$C$121,A47)</f>
        <v>604815984</v>
      </c>
      <c r="D47" s="34" t="n">
        <f aca="false">IF($B$8&gt;0,C47/$B$8,0)</f>
        <v>0.0242745989068741</v>
      </c>
      <c r="E47" s="30" t="n">
        <f aca="false">C47/$B$5*$B$7</f>
        <v>1.57224773003876</v>
      </c>
      <c r="F47" s="32" t="n">
        <f aca="false">SUMIFS(D_sales!$N$5:$N$121,D_sales!$C$5:$C$121,A47,D_sales!$O$5:$O$121,"&gt;0")</f>
        <v>274915745</v>
      </c>
      <c r="G47" s="32" t="n">
        <f aca="false">SUMIFS(D_sales!$N$5:$N$121,D_sales!$C$5:$C$121,A47,D_sales!$O$5:$O$121,"&gt;0",D_sales!$O$5:$O$121,"&lt;=30")</f>
        <v>274915745</v>
      </c>
      <c r="H47" s="32" t="n">
        <f aca="false">SUMIFS(D_sales!$N$5:$N$121,D_sales!$C$5:$C$121,A47,D_sales!$O$5:$O$121,"&gt;30",D_sales!$O$5:$O$121,"&lt;=60")</f>
        <v>0</v>
      </c>
      <c r="I47" s="32" t="n">
        <f aca="false">SUMIFS(D_sales!$N$5:$N$121,D_sales!$C$5:$C$121,A47,D_sales!$O$5:$O$121,"&gt;60",D_sales!$O$5:$O$121,"&lt;=9999")</f>
        <v>0</v>
      </c>
      <c r="J47" s="3" t="n">
        <f aca="false">_xlfn.MAXIFS(D_sales!$O$5:$O$121,D_sales!$C$5:$C$121,A47)</f>
        <v>29</v>
      </c>
      <c r="K47" s="30" t="str">
        <f aca="false">IF(SUMIFS(D_sales!$T$5:$T$121,D_sales!$C$5:$C$121,A47)=0,"n.a.",SUMIFS(D_sales!$Z$5:$Z$121,D_sales!$C$5:$C$121,A47)/SUMIFS(D_sales!$T$5:$T$121,D_sales!$C$5:$C$121,A47))</f>
        <v>n.a.</v>
      </c>
      <c r="L47" s="30" t="str">
        <f aca="false">IF(SUMIFS(D_sales!$T$5:$T$121,D_sales!$C$5:$C$121,A47)=0,"n.a.",SUMIFS(D_sales!$S$5:$S$121,D_sales!$C$5:$C$121,A47)/SUMIFS(D_sales!$T$5:$T$121,D_sales!$C$5:$C$121,A47))</f>
        <v>n.a.</v>
      </c>
      <c r="M47" s="35" t="n">
        <f aca="false">COUNTIFS(D_sales!$C$5:$C$121,A47,D_sales!$R$5:$R$121,1)</f>
        <v>0</v>
      </c>
      <c r="N47" s="30" t="str">
        <f aca="false">IF(SUMIFS(D_sales!$T$5:$T$121,D_sales!$C$5:$C$121,A47)=0,"n.a.",SUMIFS(D_sales!$AA$5:$AA$121,D_sales!$C$5:$C$121,A47)/SUMIFS(D_sales!$T$5:$T$121,D_sales!$C$5:$C$121,A47))</f>
        <v>n.a.</v>
      </c>
      <c r="O47" s="3" t="str">
        <f aca="false">IF(D_F01!$B$7-_xlfn.MINIFS(D_sales!$G$5:$G$121,D_sales!$C$5:$C$121,A47)+1&lt;=60,"Mới",IF(AND(COUNTIF(D_sales!$C$5:$C$121,A47)&gt;=12,2&gt;=4),"Thường xuyên","Vãng lai"))</f>
        <v>Mới</v>
      </c>
    </row>
    <row r="48" customFormat="false" ht="51.75" hidden="false" customHeight="true" outlineLevel="0" collapsed="false">
      <c r="A48" s="4" t="s">
        <v>1984</v>
      </c>
      <c r="B48" s="4" t="str">
        <f aca="false">D_F01!B45</f>
        <v>Cửa hàng nhỏ K8</v>
      </c>
      <c r="C48" s="33" t="n">
        <f aca="false">SUMIFS(D_sales!$N$5:$N$121,D_sales!$C$5:$C$121,A48)</f>
        <v>82708587</v>
      </c>
      <c r="D48" s="36" t="n">
        <f aca="false">IF($B$8&gt;0,C48/$B$8,0)</f>
        <v>0.00331955144819603</v>
      </c>
      <c r="E48" s="31" t="n">
        <f aca="false">C48/$B$5*$B$7</f>
        <v>0.215004880171063</v>
      </c>
      <c r="F48" s="33" t="n">
        <f aca="false">SUMIFS(D_sales!$N$5:$N$121,D_sales!$C$5:$C$121,A48,D_sales!$O$5:$O$121,"&gt;0")</f>
        <v>82708587</v>
      </c>
      <c r="G48" s="33" t="n">
        <f aca="false">SUMIFS(D_sales!$N$5:$N$121,D_sales!$C$5:$C$121,A48,D_sales!$O$5:$O$121,"&gt;0",D_sales!$O$5:$O$121,"&lt;=30")</f>
        <v>0</v>
      </c>
      <c r="H48" s="33" t="n">
        <f aca="false">SUMIFS(D_sales!$N$5:$N$121,D_sales!$C$5:$C$121,A48,D_sales!$O$5:$O$121,"&gt;30",D_sales!$O$5:$O$121,"&lt;=60")</f>
        <v>0</v>
      </c>
      <c r="I48" s="33" t="n">
        <f aca="false">SUMIFS(D_sales!$N$5:$N$121,D_sales!$C$5:$C$121,A48,D_sales!$O$5:$O$121,"&gt;60",D_sales!$O$5:$O$121,"&lt;=9999")</f>
        <v>82708587</v>
      </c>
      <c r="J48" s="4" t="n">
        <f aca="false">_xlfn.MAXIFS(D_sales!$O$5:$O$121,D_sales!$C$5:$C$121,A48)</f>
        <v>92</v>
      </c>
      <c r="K48" s="31" t="n">
        <f aca="false">IF(SUMIFS(D_sales!$T$5:$T$121,D_sales!$C$5:$C$121,A48)=0,"n.a.",SUMIFS(D_sales!$Z$5:$Z$121,D_sales!$C$5:$C$121,A48)/SUMIFS(D_sales!$T$5:$T$121,D_sales!$C$5:$C$121,A48))</f>
        <v>0</v>
      </c>
      <c r="L48" s="31" t="n">
        <f aca="false">IF(SUMIFS(D_sales!$T$5:$T$121,D_sales!$C$5:$C$121,A48)=0,"n.a.",SUMIFS(D_sales!$S$5:$S$121,D_sales!$C$5:$C$121,A48)/SUMIFS(D_sales!$T$5:$T$121,D_sales!$C$5:$C$121,A48))</f>
        <v>0</v>
      </c>
      <c r="M48" s="37" t="n">
        <f aca="false">COUNTIFS(D_sales!$C$5:$C$121,A48,D_sales!$R$5:$R$121,1)</f>
        <v>3</v>
      </c>
      <c r="N48" s="31" t="n">
        <f aca="false">IF(SUMIFS(D_sales!$T$5:$T$121,D_sales!$C$5:$C$121,A48)=0,"n.a.",SUMIFS(D_sales!$AA$5:$AA$121,D_sales!$C$5:$C$121,A48)/SUMIFS(D_sales!$T$5:$T$121,D_sales!$C$5:$C$121,A48))</f>
        <v>30</v>
      </c>
      <c r="O48" s="4" t="str">
        <f aca="false">IF(D_F01!$B$7-_xlfn.MINIFS(D_sales!$G$5:$G$121,D_sales!$C$5:$C$121,A48)+1&lt;=60,"Mới",IF(AND(COUNTIF(D_sales!$C$5:$C$121,A48)&gt;=12,2&gt;=4),"Thường xuyên","Vãng lai"))</f>
        <v>Vãng lai</v>
      </c>
    </row>
    <row r="49" customFormat="false" ht="51.75" hidden="false" customHeight="true" outlineLevel="0" collapsed="false">
      <c r="A49" s="3" t="s">
        <v>1985</v>
      </c>
      <c r="B49" s="3" t="str">
        <f aca="false">D_F01!B46</f>
        <v>Khách ngừng mua K9</v>
      </c>
      <c r="C49" s="32" t="n">
        <f aca="false">SUMIFS(D_sales!$N$5:$N$121,D_sales!$C$5:$C$121,A49)</f>
        <v>0</v>
      </c>
      <c r="D49" s="34" t="n">
        <f aca="false">IF($B$8&gt;0,C49/$B$8,0)</f>
        <v>0</v>
      </c>
      <c r="E49" s="30" t="n">
        <f aca="false">C49/$B$5*$B$7</f>
        <v>0</v>
      </c>
      <c r="F49" s="32" t="n">
        <f aca="false">SUMIFS(D_sales!$N$5:$N$121,D_sales!$C$5:$C$121,A49,D_sales!$O$5:$O$121,"&gt;0")</f>
        <v>0</v>
      </c>
      <c r="G49" s="32" t="n">
        <f aca="false">SUMIFS(D_sales!$N$5:$N$121,D_sales!$C$5:$C$121,A49,D_sales!$O$5:$O$121,"&gt;0",D_sales!$O$5:$O$121,"&lt;=30")</f>
        <v>0</v>
      </c>
      <c r="H49" s="32" t="n">
        <f aca="false">SUMIFS(D_sales!$N$5:$N$121,D_sales!$C$5:$C$121,A49,D_sales!$O$5:$O$121,"&gt;30",D_sales!$O$5:$O$121,"&lt;=60")</f>
        <v>0</v>
      </c>
      <c r="I49" s="32" t="n">
        <f aca="false">SUMIFS(D_sales!$N$5:$N$121,D_sales!$C$5:$C$121,A49,D_sales!$O$5:$O$121,"&gt;60",D_sales!$O$5:$O$121,"&lt;=9999")</f>
        <v>0</v>
      </c>
      <c r="J49" s="3" t="n">
        <f aca="false">_xlfn.MAXIFS(D_sales!$O$5:$O$121,D_sales!$C$5:$C$121,A49)</f>
        <v>0</v>
      </c>
      <c r="K49" s="30" t="n">
        <f aca="false">IF(SUMIFS(D_sales!$T$5:$T$121,D_sales!$C$5:$C$121,A49)=0,"n.a.",SUMIFS(D_sales!$Z$5:$Z$121,D_sales!$C$5:$C$121,A49)/SUMIFS(D_sales!$T$5:$T$121,D_sales!$C$5:$C$121,A49))</f>
        <v>-2.58496000393433</v>
      </c>
      <c r="L49" s="30" t="n">
        <f aca="false">IF(SUMIFS(D_sales!$T$5:$T$121,D_sales!$C$5:$C$121,A49)=0,"n.a.",SUMIFS(D_sales!$S$5:$S$121,D_sales!$C$5:$C$121,A49)/SUMIFS(D_sales!$T$5:$T$121,D_sales!$C$5:$C$121,A49))</f>
        <v>0</v>
      </c>
      <c r="M49" s="35" t="n">
        <f aca="false">COUNTIFS(D_sales!$C$5:$C$121,A49,D_sales!$R$5:$R$121,1)</f>
        <v>2</v>
      </c>
      <c r="N49" s="30" t="n">
        <f aca="false">IF(SUMIFS(D_sales!$T$5:$T$121,D_sales!$C$5:$C$121,A49)=0,"n.a.",SUMIFS(D_sales!$AA$5:$AA$121,D_sales!$C$5:$C$121,A49)/SUMIFS(D_sales!$T$5:$T$121,D_sales!$C$5:$C$121,A49))</f>
        <v>30</v>
      </c>
      <c r="O49" s="3" t="str">
        <f aca="false">IF(D_F01!$B$7-_xlfn.MINIFS(D_sales!$G$5:$G$121,D_sales!$C$5:$C$121,A49)+1&lt;=60,"Mới",IF(AND(COUNTIF(D_sales!$C$5:$C$121,A49)&gt;=12,1&gt;=4),"Thường xuyên","Vãng lai"))</f>
        <v>Vãng lai</v>
      </c>
    </row>
    <row r="53" customFormat="false" ht="33.75" hidden="false" customHeight="true" outlineLevel="0" collapsed="false">
      <c r="A53" s="2" t="s">
        <v>1986</v>
      </c>
      <c r="B53" s="2" t="s">
        <v>1807</v>
      </c>
      <c r="C53" s="2" t="s">
        <v>1921</v>
      </c>
      <c r="D53" s="2" t="s">
        <v>1987</v>
      </c>
      <c r="E53" s="2" t="s">
        <v>1968</v>
      </c>
      <c r="F53" s="2" t="s">
        <v>1969</v>
      </c>
      <c r="G53" s="2" t="s">
        <v>1970</v>
      </c>
      <c r="H53" s="2" t="s">
        <v>1971</v>
      </c>
      <c r="I53" s="2" t="s">
        <v>1988</v>
      </c>
      <c r="J53" s="2" t="s">
        <v>1989</v>
      </c>
      <c r="K53" s="2" t="s">
        <v>1990</v>
      </c>
      <c r="L53" s="2" t="s">
        <v>1991</v>
      </c>
    </row>
    <row r="54" customFormat="false" ht="51.75" hidden="false" customHeight="true" outlineLevel="0" collapsed="false">
      <c r="A54" s="3" t="s">
        <v>1992</v>
      </c>
      <c r="B54" s="3" t="str">
        <f aca="false">D_F01!B51</f>
        <v>Nhà phân phối vải Beta</v>
      </c>
      <c r="C54" s="32" t="n">
        <f aca="false">SUMIFS(D_purchases!$O$5:$O$139,D_purchases!$C$5:$C$139,A54)</f>
        <v>2750066214</v>
      </c>
      <c r="D54" s="32" t="n">
        <f aca="false">SUMIFS(D_purchases!$O$5:$O$139,D_purchases!$C$5:$C$139,A54,D_purchases!$P$5:$P$139,"&gt;0")</f>
        <v>0</v>
      </c>
      <c r="E54" s="32" t="n">
        <f aca="false">SUMIFS(D_purchases!$O$5:$O$139,D_purchases!$C$5:$C$139,A54,D_purchases!$P$5:$P$139,"&gt;0",D_purchases!$P$5:$P$139,"&lt;=30")</f>
        <v>0</v>
      </c>
      <c r="F54" s="32" t="n">
        <f aca="false">SUMIFS(D_purchases!$O$5:$O$139,D_purchases!$C$5:$C$139,A54,D_purchases!$P$5:$P$139,"&gt;30",D_purchases!$P$5:$P$139,"&lt;=60")</f>
        <v>0</v>
      </c>
      <c r="G54" s="32" t="n">
        <f aca="false">SUMIFS(D_purchases!$O$5:$O$139,D_purchases!$C$5:$C$139,A54,D_purchases!$P$5:$P$139,"&gt;60",D_purchases!$P$5:$P$139,"&lt;=9999")</f>
        <v>0</v>
      </c>
      <c r="H54" s="3" t="n">
        <f aca="false">_xlfn.MAXIFS(D_purchases!$P$5:$P$139,D_purchases!$C$5:$C$139,A54)</f>
        <v>0</v>
      </c>
      <c r="I54" s="30" t="n">
        <f aca="false">C54/$B$6*$B$7</f>
        <v>8.71820374799864</v>
      </c>
      <c r="J54" s="3" t="str">
        <f aca="false">D_F01!C51</f>
        <v>có</v>
      </c>
      <c r="K54" s="3" t="n">
        <f aca="false">SUMIFS(D_purchases!$V$5:$V$139,D_purchases!$C$5:$C$139,A54)</f>
        <v>2</v>
      </c>
      <c r="L54" s="32" t="n">
        <f aca="false">SUMIFS(D_purchases!$W$5:$W$139,D_purchases!$C$5:$C$139,A54)</f>
        <v>21452622.24</v>
      </c>
    </row>
    <row r="55" customFormat="false" ht="51.75" hidden="false" customHeight="true" outlineLevel="0" collapsed="false">
      <c r="A55" s="4" t="s">
        <v>1993</v>
      </c>
      <c r="B55" s="4" t="str">
        <f aca="false">D_F01!B52</f>
        <v>Bao bì – phụ liệu Gamma</v>
      </c>
      <c r="C55" s="33" t="n">
        <f aca="false">SUMIFS(D_purchases!$O$5:$O$139,D_purchases!$C$5:$C$139,A55)</f>
        <v>1624912040</v>
      </c>
      <c r="D55" s="33" t="n">
        <f aca="false">SUMIFS(D_purchases!$O$5:$O$139,D_purchases!$C$5:$C$139,A55,D_purchases!$P$5:$P$139,"&gt;0")</f>
        <v>0</v>
      </c>
      <c r="E55" s="33" t="n">
        <f aca="false">SUMIFS(D_purchases!$O$5:$O$139,D_purchases!$C$5:$C$139,A55,D_purchases!$P$5:$P$139,"&gt;0",D_purchases!$P$5:$P$139,"&lt;=30")</f>
        <v>0</v>
      </c>
      <c r="F55" s="33" t="n">
        <f aca="false">SUMIFS(D_purchases!$O$5:$O$139,D_purchases!$C$5:$C$139,A55,D_purchases!$P$5:$P$139,"&gt;30",D_purchases!$P$5:$P$139,"&lt;=60")</f>
        <v>0</v>
      </c>
      <c r="G55" s="33" t="n">
        <f aca="false">SUMIFS(D_purchases!$O$5:$O$139,D_purchases!$C$5:$C$139,A55,D_purchases!$P$5:$P$139,"&gt;60",D_purchases!$P$5:$P$139,"&lt;=9999")</f>
        <v>0</v>
      </c>
      <c r="H55" s="4" t="n">
        <f aca="false">_xlfn.MAXIFS(D_purchases!$P$5:$P$139,D_purchases!$C$5:$C$139,A55)</f>
        <v>0</v>
      </c>
      <c r="I55" s="31" t="n">
        <f aca="false">C55/$B$6*$B$7</f>
        <v>5.15126296420734</v>
      </c>
      <c r="J55" s="4" t="str">
        <f aca="false">D_F01!C52</f>
        <v>không</v>
      </c>
      <c r="K55" s="4" t="n">
        <f aca="false">SUMIFS(D_purchases!$V$5:$V$139,D_purchases!$C$5:$C$139,A55)</f>
        <v>0</v>
      </c>
      <c r="L55" s="33" t="n">
        <f aca="false">SUMIFS(D_purchases!$W$5:$W$139,D_purchases!$C$5:$C$139,A55)</f>
        <v>0</v>
      </c>
    </row>
    <row r="56" customFormat="false" ht="51.75" hidden="false" customHeight="true" outlineLevel="0" collapsed="false">
      <c r="A56" s="3" t="s">
        <v>1994</v>
      </c>
      <c r="B56" s="3" t="str">
        <f aca="false">D_F01!B53</f>
        <v>Chỉ – nút – khóa NCC4</v>
      </c>
      <c r="C56" s="32" t="n">
        <f aca="false">SUMIFS(D_purchases!$O$5:$O$139,D_purchases!$C$5:$C$139,A56)</f>
        <v>462141816</v>
      </c>
      <c r="D56" s="32" t="n">
        <f aca="false">SUMIFS(D_purchases!$O$5:$O$139,D_purchases!$C$5:$C$139,A56,D_purchases!$P$5:$P$139,"&gt;0")</f>
        <v>0</v>
      </c>
      <c r="E56" s="32" t="n">
        <f aca="false">SUMIFS(D_purchases!$O$5:$O$139,D_purchases!$C$5:$C$139,A56,D_purchases!$P$5:$P$139,"&gt;0",D_purchases!$P$5:$P$139,"&lt;=30")</f>
        <v>0</v>
      </c>
      <c r="F56" s="32" t="n">
        <f aca="false">SUMIFS(D_purchases!$O$5:$O$139,D_purchases!$C$5:$C$139,A56,D_purchases!$P$5:$P$139,"&gt;30",D_purchases!$P$5:$P$139,"&lt;=60")</f>
        <v>0</v>
      </c>
      <c r="G56" s="32" t="n">
        <f aca="false">SUMIFS(D_purchases!$O$5:$O$139,D_purchases!$C$5:$C$139,A56,D_purchases!$P$5:$P$139,"&gt;60",D_purchases!$P$5:$P$139,"&lt;=9999")</f>
        <v>0</v>
      </c>
      <c r="H56" s="3" t="n">
        <f aca="false">_xlfn.MAXIFS(D_purchases!$P$5:$P$139,D_purchases!$C$5:$C$139,A56)</f>
        <v>0</v>
      </c>
      <c r="I56" s="30" t="n">
        <f aca="false">C56/$B$6*$B$7</f>
        <v>1.46507254692526</v>
      </c>
      <c r="J56" s="3" t="str">
        <f aca="false">D_F01!C53</f>
        <v>có</v>
      </c>
      <c r="K56" s="3" t="n">
        <f aca="false">SUMIFS(D_purchases!$V$5:$V$139,D_purchases!$C$5:$C$139,A56)</f>
        <v>0</v>
      </c>
      <c r="L56" s="32" t="n">
        <f aca="false">SUMIFS(D_purchases!$W$5:$W$139,D_purchases!$C$5:$C$139,A56)</f>
        <v>0</v>
      </c>
    </row>
    <row r="57" customFormat="false" ht="51.75" hidden="false" customHeight="true" outlineLevel="0" collapsed="false">
      <c r="A57" s="4" t="s">
        <v>1995</v>
      </c>
      <c r="B57" s="4" t="str">
        <f aca="false">D_F01!B54</f>
        <v>Vận tải nội địa NCC5</v>
      </c>
      <c r="C57" s="33" t="n">
        <f aca="false">SUMIFS(D_purchases!$O$5:$O$139,D_purchases!$C$5:$C$139,A57)</f>
        <v>432413861</v>
      </c>
      <c r="D57" s="33" t="n">
        <f aca="false">SUMIFS(D_purchases!$O$5:$O$139,D_purchases!$C$5:$C$139,A57,D_purchases!$P$5:$P$139,"&gt;0")</f>
        <v>0</v>
      </c>
      <c r="E57" s="33" t="n">
        <f aca="false">SUMIFS(D_purchases!$O$5:$O$139,D_purchases!$C$5:$C$139,A57,D_purchases!$P$5:$P$139,"&gt;0",D_purchases!$P$5:$P$139,"&lt;=30")</f>
        <v>0</v>
      </c>
      <c r="F57" s="33" t="n">
        <f aca="false">SUMIFS(D_purchases!$O$5:$O$139,D_purchases!$C$5:$C$139,A57,D_purchases!$P$5:$P$139,"&gt;30",D_purchases!$P$5:$P$139,"&lt;=60")</f>
        <v>0</v>
      </c>
      <c r="G57" s="33" t="n">
        <f aca="false">SUMIFS(D_purchases!$O$5:$O$139,D_purchases!$C$5:$C$139,A57,D_purchases!$P$5:$P$139,"&gt;60",D_purchases!$P$5:$P$139,"&lt;=9999")</f>
        <v>0</v>
      </c>
      <c r="H57" s="4" t="n">
        <f aca="false">_xlfn.MAXIFS(D_purchases!$P$5:$P$139,D_purchases!$C$5:$C$139,A57)</f>
        <v>0</v>
      </c>
      <c r="I57" s="31" t="n">
        <f aca="false">C57/$B$6*$B$7</f>
        <v>1.37082959110771</v>
      </c>
      <c r="J57" s="4" t="str">
        <f aca="false">D_F01!C54</f>
        <v>không</v>
      </c>
      <c r="K57" s="4" t="n">
        <f aca="false">SUMIFS(D_purchases!$V$5:$V$139,D_purchases!$C$5:$C$139,A57)</f>
        <v>0</v>
      </c>
      <c r="L57" s="33" t="n">
        <f aca="false">SUMIFS(D_purchases!$W$5:$W$139,D_purchases!$C$5:$C$139,A57)</f>
        <v>0</v>
      </c>
    </row>
    <row r="58" customFormat="false" ht="51.75" hidden="false" customHeight="true" outlineLevel="0" collapsed="false">
      <c r="A58" s="3" t="s">
        <v>1996</v>
      </c>
      <c r="B58" s="3" t="str">
        <f aca="false">D_F01!B55</f>
        <v>Xưởng thêu – in ngoài NCC6</v>
      </c>
      <c r="C58" s="32" t="n">
        <f aca="false">SUMIFS(D_purchases!$O$5:$O$139,D_purchases!$C$5:$C$139,A58)</f>
        <v>925742208</v>
      </c>
      <c r="D58" s="32" t="n">
        <f aca="false">SUMIFS(D_purchases!$O$5:$O$139,D_purchases!$C$5:$C$139,A58,D_purchases!$P$5:$P$139,"&gt;0")</f>
        <v>0</v>
      </c>
      <c r="E58" s="32" t="n">
        <f aca="false">SUMIFS(D_purchases!$O$5:$O$139,D_purchases!$C$5:$C$139,A58,D_purchases!$P$5:$P$139,"&gt;0",D_purchases!$P$5:$P$139,"&lt;=30")</f>
        <v>0</v>
      </c>
      <c r="F58" s="32" t="n">
        <f aca="false">SUMIFS(D_purchases!$O$5:$O$139,D_purchases!$C$5:$C$139,A58,D_purchases!$P$5:$P$139,"&gt;30",D_purchases!$P$5:$P$139,"&lt;=60")</f>
        <v>0</v>
      </c>
      <c r="G58" s="32" t="n">
        <f aca="false">SUMIFS(D_purchases!$O$5:$O$139,D_purchases!$C$5:$C$139,A58,D_purchases!$P$5:$P$139,"&gt;60",D_purchases!$P$5:$P$139,"&lt;=9999")</f>
        <v>0</v>
      </c>
      <c r="H58" s="3" t="n">
        <f aca="false">_xlfn.MAXIFS(D_purchases!$P$5:$P$139,D_purchases!$C$5:$C$139,A58)</f>
        <v>0</v>
      </c>
      <c r="I58" s="30" t="n">
        <f aca="false">C58/$B$6*$B$7</f>
        <v>2.93476904169775</v>
      </c>
      <c r="J58" s="3" t="str">
        <f aca="false">D_F01!C55</f>
        <v>không</v>
      </c>
      <c r="K58" s="3" t="n">
        <f aca="false">SUMIFS(D_purchases!$V$5:$V$139,D_purchases!$C$5:$C$139,A58)</f>
        <v>0</v>
      </c>
      <c r="L58" s="32" t="n">
        <f aca="false">SUMIFS(D_purchases!$W$5:$W$139,D_purchases!$C$5:$C$139,A58)</f>
        <v>0</v>
      </c>
    </row>
    <row r="59" customFormat="false" ht="51.75" hidden="false" customHeight="true" outlineLevel="0" collapsed="false">
      <c r="A59" s="4" t="s">
        <v>1997</v>
      </c>
      <c r="B59" s="4" t="str">
        <f aca="false">D_F01!B56</f>
        <v>Điện lực khu công nghiệp</v>
      </c>
      <c r="C59" s="33" t="n">
        <f aca="false">SUMIFS(D_purchases!$O$5:$O$139,D_purchases!$C$5:$C$139,A59)</f>
        <v>389201455</v>
      </c>
      <c r="D59" s="33" t="n">
        <f aca="false">SUMIFS(D_purchases!$O$5:$O$139,D_purchases!$C$5:$C$139,A59,D_purchases!$P$5:$P$139,"&gt;0")</f>
        <v>0</v>
      </c>
      <c r="E59" s="33" t="n">
        <f aca="false">SUMIFS(D_purchases!$O$5:$O$139,D_purchases!$C$5:$C$139,A59,D_purchases!$P$5:$P$139,"&gt;0",D_purchases!$P$5:$P$139,"&lt;=30")</f>
        <v>0</v>
      </c>
      <c r="F59" s="33" t="n">
        <f aca="false">SUMIFS(D_purchases!$O$5:$O$139,D_purchases!$C$5:$C$139,A59,D_purchases!$P$5:$P$139,"&gt;30",D_purchases!$P$5:$P$139,"&lt;=60")</f>
        <v>0</v>
      </c>
      <c r="G59" s="33" t="n">
        <f aca="false">SUMIFS(D_purchases!$O$5:$O$139,D_purchases!$C$5:$C$139,A59,D_purchases!$P$5:$P$139,"&gt;60",D_purchases!$P$5:$P$139,"&lt;=9999")</f>
        <v>0</v>
      </c>
      <c r="H59" s="4" t="n">
        <f aca="false">_xlfn.MAXIFS(D_purchases!$P$5:$P$139,D_purchases!$C$5:$C$139,A59)</f>
        <v>0</v>
      </c>
      <c r="I59" s="31" t="n">
        <f aca="false">C59/$B$6*$B$7</f>
        <v>1.23383850411811</v>
      </c>
      <c r="J59" s="4" t="str">
        <f aca="false">D_F01!C56</f>
        <v>có</v>
      </c>
      <c r="K59" s="4" t="n">
        <f aca="false">SUMIFS(D_purchases!$V$5:$V$139,D_purchases!$C$5:$C$139,A59)</f>
        <v>0</v>
      </c>
      <c r="L59" s="33" t="n">
        <f aca="false">SUMIFS(D_purchases!$W$5:$W$139,D_purchases!$C$5:$C$139,A59)</f>
        <v>0</v>
      </c>
    </row>
    <row r="60" customFormat="false" ht="51.75" hidden="false" customHeight="true" outlineLevel="0" collapsed="false">
      <c r="A60" s="3" t="s">
        <v>1998</v>
      </c>
      <c r="B60" s="3" t="str">
        <f aca="false">D_F01!B57</f>
        <v>Vải phụ trợ mới NCC7</v>
      </c>
      <c r="C60" s="32" t="n">
        <f aca="false">SUMIFS(D_purchases!$O$5:$O$139,D_purchases!$C$5:$C$139,A60)</f>
        <v>979364994</v>
      </c>
      <c r="D60" s="32" t="n">
        <f aca="false">SUMIFS(D_purchases!$O$5:$O$139,D_purchases!$C$5:$C$139,A60,D_purchases!$P$5:$P$139,"&gt;0")</f>
        <v>979364994</v>
      </c>
      <c r="E60" s="32" t="n">
        <f aca="false">SUMIFS(D_purchases!$O$5:$O$139,D_purchases!$C$5:$C$139,A60,D_purchases!$P$5:$P$139,"&gt;0",D_purchases!$P$5:$P$139,"&lt;=30")</f>
        <v>0</v>
      </c>
      <c r="F60" s="32" t="n">
        <f aca="false">SUMIFS(D_purchases!$O$5:$O$139,D_purchases!$C$5:$C$139,A60,D_purchases!$P$5:$P$139,"&gt;30",D_purchases!$P$5:$P$139,"&lt;=60")</f>
        <v>0</v>
      </c>
      <c r="G60" s="32" t="n">
        <f aca="false">SUMIFS(D_purchases!$O$5:$O$139,D_purchases!$C$5:$C$139,A60,D_purchases!$P$5:$P$139,"&gt;60",D_purchases!$P$5:$P$139,"&lt;=9999")</f>
        <v>979364994</v>
      </c>
      <c r="H60" s="3" t="n">
        <f aca="false">_xlfn.MAXIFS(D_purchases!$P$5:$P$139,D_purchases!$C$5:$C$139,A60)</f>
        <v>85</v>
      </c>
      <c r="I60" s="30" t="n">
        <f aca="false">C60/$B$6*$B$7</f>
        <v>3.10476290275586</v>
      </c>
      <c r="J60" s="3" t="str">
        <f aca="false">D_F01!C57</f>
        <v>không</v>
      </c>
      <c r="K60" s="3" t="n">
        <f aca="false">SUMIFS(D_purchases!$V$5:$V$139,D_purchases!$C$5:$C$139,A60)</f>
        <v>0</v>
      </c>
      <c r="L60" s="32" t="n">
        <f aca="false">SUMIFS(D_purchases!$W$5:$W$139,D_purchases!$C$5:$C$139,A60)</f>
        <v>0</v>
      </c>
    </row>
    <row r="61" customFormat="false" ht="51.75" hidden="false" customHeight="true" outlineLevel="0" collapsed="false">
      <c r="A61" s="4" t="s">
        <v>1999</v>
      </c>
      <c r="B61" s="4" t="str">
        <f aca="false">D_F01!B58</f>
        <v>Vật tư tiêu hao NCC8</v>
      </c>
      <c r="C61" s="33" t="n">
        <f aca="false">SUMIFS(D_purchases!$O$5:$O$139,D_purchases!$C$5:$C$139,A61)</f>
        <v>0</v>
      </c>
      <c r="D61" s="33" t="n">
        <f aca="false">SUMIFS(D_purchases!$O$5:$O$139,D_purchases!$C$5:$C$139,A61,D_purchases!$P$5:$P$139,"&gt;0")</f>
        <v>0</v>
      </c>
      <c r="E61" s="33" t="n">
        <f aca="false">SUMIFS(D_purchases!$O$5:$O$139,D_purchases!$C$5:$C$139,A61,D_purchases!$P$5:$P$139,"&gt;0",D_purchases!$P$5:$P$139,"&lt;=30")</f>
        <v>0</v>
      </c>
      <c r="F61" s="33" t="n">
        <f aca="false">SUMIFS(D_purchases!$O$5:$O$139,D_purchases!$C$5:$C$139,A61,D_purchases!$P$5:$P$139,"&gt;30",D_purchases!$P$5:$P$139,"&lt;=60")</f>
        <v>0</v>
      </c>
      <c r="G61" s="33" t="n">
        <f aca="false">SUMIFS(D_purchases!$O$5:$O$139,D_purchases!$C$5:$C$139,A61,D_purchases!$P$5:$P$139,"&gt;60",D_purchases!$P$5:$P$139,"&lt;=9999")</f>
        <v>0</v>
      </c>
      <c r="H61" s="4" t="n">
        <f aca="false">_xlfn.MAXIFS(D_purchases!$P$5:$P$139,D_purchases!$C$5:$C$139,A61)</f>
        <v>0</v>
      </c>
      <c r="I61" s="31" t="n">
        <f aca="false">C61/$B$6*$B$7</f>
        <v>0</v>
      </c>
      <c r="J61" s="4" t="str">
        <f aca="false">D_F01!C58</f>
        <v>không</v>
      </c>
      <c r="K61" s="4" t="n">
        <f aca="false">SUMIFS(D_purchases!$V$5:$V$139,D_purchases!$C$5:$C$139,A61)</f>
        <v>0</v>
      </c>
      <c r="L61" s="33" t="n">
        <f aca="false">SUMIFS(D_purchases!$W$5:$W$139,D_purchases!$C$5:$C$139,A61)</f>
        <v>0</v>
      </c>
    </row>
    <row r="62" customFormat="false" ht="51.75" hidden="false" customHeight="true" outlineLevel="0" collapsed="false">
      <c r="A62" s="3" t="s">
        <v>2000</v>
      </c>
      <c r="B62" s="3" t="str">
        <f aca="false">D_F01!B59</f>
        <v>Phụ liệu chỉ định NCC9</v>
      </c>
      <c r="C62" s="32" t="n">
        <f aca="false">SUMIFS(D_purchases!$O$5:$O$139,D_purchases!$C$5:$C$139,A62)</f>
        <v>829195483</v>
      </c>
      <c r="D62" s="32" t="n">
        <f aca="false">SUMIFS(D_purchases!$O$5:$O$139,D_purchases!$C$5:$C$139,A62,D_purchases!$P$5:$P$139,"&gt;0")</f>
        <v>0</v>
      </c>
      <c r="E62" s="32" t="n">
        <f aca="false">SUMIFS(D_purchases!$O$5:$O$139,D_purchases!$C$5:$C$139,A62,D_purchases!$P$5:$P$139,"&gt;0",D_purchases!$P$5:$P$139,"&lt;=30")</f>
        <v>0</v>
      </c>
      <c r="F62" s="32" t="n">
        <f aca="false">SUMIFS(D_purchases!$O$5:$O$139,D_purchases!$C$5:$C$139,A62,D_purchases!$P$5:$P$139,"&gt;30",D_purchases!$P$5:$P$139,"&lt;=60")</f>
        <v>0</v>
      </c>
      <c r="G62" s="32" t="n">
        <f aca="false">SUMIFS(D_purchases!$O$5:$O$139,D_purchases!$C$5:$C$139,A62,D_purchases!$P$5:$P$139,"&gt;60",D_purchases!$P$5:$P$139,"&lt;=9999")</f>
        <v>0</v>
      </c>
      <c r="H62" s="3" t="n">
        <f aca="false">_xlfn.MAXIFS(D_purchases!$P$5:$P$139,D_purchases!$C$5:$C$139,A62)</f>
        <v>0</v>
      </c>
      <c r="I62" s="30" t="n">
        <f aca="false">C62/$B$6*$B$7</f>
        <v>2.62869858584217</v>
      </c>
      <c r="J62" s="3" t="str">
        <f aca="false">D_F01!C59</f>
        <v>có</v>
      </c>
      <c r="K62" s="3" t="n">
        <f aca="false">SUMIFS(D_purchases!$V$5:$V$139,D_purchases!$C$5:$C$139,A62)</f>
        <v>1</v>
      </c>
      <c r="L62" s="32" t="n">
        <f aca="false">SUMIFS(D_purchases!$W$5:$W$139,D_purchases!$C$5:$C$139,A62)</f>
        <v>3129450.67</v>
      </c>
    </row>
    <row r="66" customFormat="false" ht="33.75" hidden="false" customHeight="true" outlineLevel="0" collapsed="false">
      <c r="A66" s="2" t="s">
        <v>2001</v>
      </c>
      <c r="B66" s="2" t="s">
        <v>2002</v>
      </c>
      <c r="C66" s="2" t="s">
        <v>2003</v>
      </c>
      <c r="D66" s="2" t="s">
        <v>2004</v>
      </c>
      <c r="E66" s="2" t="s">
        <v>2005</v>
      </c>
      <c r="F66" s="2" t="s">
        <v>2006</v>
      </c>
      <c r="G66" s="2" t="s">
        <v>2007</v>
      </c>
      <c r="H66" s="2" t="s">
        <v>2008</v>
      </c>
      <c r="I66" s="2" t="s">
        <v>2009</v>
      </c>
      <c r="J66" s="2" t="s">
        <v>2010</v>
      </c>
    </row>
    <row r="67" customFormat="false" ht="51.75" hidden="false" customHeight="true" outlineLevel="0" collapsed="false">
      <c r="A67" s="3" t="str">
        <f aca="false">D_inventory!A5</f>
        <v>L01</v>
      </c>
      <c r="B67" s="3" t="str">
        <f aca="false">D_inventory!C5</f>
        <v>Vải chính tự mua đơn FOB-0826</v>
      </c>
      <c r="C67" s="3" t="str">
        <f aca="false">D_inventory!E5</f>
        <v>F01</v>
      </c>
      <c r="D67" s="32" t="n">
        <f aca="false">D_inventory!P5</f>
        <v>2195715060</v>
      </c>
      <c r="E67" s="3" t="n">
        <f aca="false">D_inventory!N5</f>
        <v>42</v>
      </c>
      <c r="F67" s="26" t="n">
        <f aca="false">D_inventory!Q5</f>
        <v>60</v>
      </c>
      <c r="G67" s="3" t="n">
        <f aca="false">D_inventory!R5</f>
        <v>0</v>
      </c>
      <c r="H67" s="3" t="str">
        <f aca="false">D_inventory!H5</f>
        <v>Đang hoạt động</v>
      </c>
      <c r="I67" s="30" t="n">
        <f aca="false">D_inventory!T5</f>
        <v>6.96081104090429</v>
      </c>
      <c r="J67" s="3" t="n">
        <f aca="false">IF(C67="F01",COUNTIFS($C$67:$C$102,"F01",$E$67:$E$102,"&gt;"&amp;E67)+1,"Loại trừ")</f>
        <v>14</v>
      </c>
    </row>
    <row r="68" customFormat="false" ht="51.75" hidden="false" customHeight="true" outlineLevel="0" collapsed="false">
      <c r="A68" s="4" t="str">
        <f aca="false">D_inventory!A6</f>
        <v>L02</v>
      </c>
      <c r="B68" s="4" t="str">
        <f aca="false">D_inventory!C6</f>
        <v>Phụ liệu lót đơn FOB-0826</v>
      </c>
      <c r="C68" s="4" t="str">
        <f aca="false">D_inventory!E6</f>
        <v>F01</v>
      </c>
      <c r="D68" s="33" t="n">
        <f aca="false">D_inventory!P6</f>
        <v>520338682.5</v>
      </c>
      <c r="E68" s="4" t="n">
        <f aca="false">D_inventory!N6</f>
        <v>35</v>
      </c>
      <c r="F68" s="27" t="n">
        <f aca="false">D_inventory!Q6</f>
        <v>60</v>
      </c>
      <c r="G68" s="4" t="n">
        <f aca="false">D_inventory!R6</f>
        <v>0</v>
      </c>
      <c r="H68" s="4" t="str">
        <f aca="false">D_inventory!H6</f>
        <v>Đang hoạt động</v>
      </c>
      <c r="I68" s="31" t="n">
        <f aca="false">D_inventory!T6</f>
        <v>1.64956706456966</v>
      </c>
      <c r="J68" s="4" t="n">
        <f aca="false">IF(C68="F01",COUNTIFS($C$67:$C$102,"F01",$E$67:$E$102,"&gt;"&amp;E68)+1,"Loại trừ")</f>
        <v>16</v>
      </c>
    </row>
    <row r="69" customFormat="false" ht="51.75" hidden="false" customHeight="true" outlineLevel="0" collapsed="false">
      <c r="A69" s="3" t="str">
        <f aca="false">D_inventory!A7</f>
        <v>L03</v>
      </c>
      <c r="B69" s="3" t="str">
        <f aca="false">D_inventory!C7</f>
        <v>Vải kaki tồn từ mùa trước</v>
      </c>
      <c r="C69" s="3" t="str">
        <f aca="false">D_inventory!E7</f>
        <v>F01</v>
      </c>
      <c r="D69" s="32" t="n">
        <f aca="false">D_inventory!P7</f>
        <v>784510713</v>
      </c>
      <c r="E69" s="3" t="n">
        <f aca="false">D_inventory!N7</f>
        <v>181</v>
      </c>
      <c r="F69" s="26" t="n">
        <f aca="false">D_inventory!Q7</f>
        <v>60</v>
      </c>
      <c r="G69" s="3" t="n">
        <f aca="false">D_inventory!R7</f>
        <v>1</v>
      </c>
      <c r="H69" s="3" t="str">
        <f aca="false">D_inventory!H7</f>
        <v>Không gắn đơn</v>
      </c>
      <c r="I69" s="30" t="n">
        <f aca="false">D_inventory!T7</f>
        <v>2.48703984056934</v>
      </c>
      <c r="J69" s="3" t="n">
        <f aca="false">IF(C69="F01",COUNTIFS($C$67:$C$102,"F01",$E$67:$E$102,"&gt;"&amp;E69)+1,"Loại trừ")</f>
        <v>3</v>
      </c>
    </row>
    <row r="70" customFormat="false" ht="51.75" hidden="false" customHeight="true" outlineLevel="0" collapsed="false">
      <c r="A70" s="4" t="str">
        <f aca="false">D_inventory!A8</f>
        <v>L04</v>
      </c>
      <c r="B70" s="4" t="str">
        <f aca="false">D_inventory!C8</f>
        <v>Vải ren – lụa mua thử (lô cũ nhất)</v>
      </c>
      <c r="C70" s="4" t="str">
        <f aca="false">D_inventory!E8</f>
        <v>F01</v>
      </c>
      <c r="D70" s="33" t="n">
        <f aca="false">D_inventory!P8</f>
        <v>49174867.8</v>
      </c>
      <c r="E70" s="4" t="n">
        <f aca="false">D_inventory!N8</f>
        <v>238</v>
      </c>
      <c r="F70" s="27" t="n">
        <f aca="false">D_inventory!Q8</f>
        <v>60</v>
      </c>
      <c r="G70" s="4" t="n">
        <f aca="false">D_inventory!R8</f>
        <v>1</v>
      </c>
      <c r="H70" s="4" t="str">
        <f aca="false">D_inventory!H8</f>
        <v>Không gắn đơn</v>
      </c>
      <c r="I70" s="31" t="n">
        <f aca="false">D_inventory!T8</f>
        <v>0.155893161618725</v>
      </c>
      <c r="J70" s="4" t="n">
        <f aca="false">IF(C70="F01",COUNTIFS($C$67:$C$102,"F01",$E$67:$E$102,"&gt;"&amp;E70)+1,"Loại trừ")</f>
        <v>1</v>
      </c>
    </row>
    <row r="71" customFormat="false" ht="51.75" hidden="false" customHeight="true" outlineLevel="0" collapsed="false">
      <c r="A71" s="3" t="str">
        <f aca="false">D_inventory!A9</f>
        <v>L05</v>
      </c>
      <c r="B71" s="3" t="str">
        <f aca="false">D_inventory!C9</f>
        <v>Phụ liệu chuyên dụng (chỉ, nút, khóa)</v>
      </c>
      <c r="C71" s="3" t="str">
        <f aca="false">D_inventory!E9</f>
        <v>F01</v>
      </c>
      <c r="D71" s="32" t="n">
        <f aca="false">D_inventory!P9</f>
        <v>1219077600</v>
      </c>
      <c r="E71" s="3" t="n">
        <f aca="false">D_inventory!N9</f>
        <v>38</v>
      </c>
      <c r="F71" s="26" t="n">
        <f aca="false">D_inventory!Q9</f>
        <v>60</v>
      </c>
      <c r="G71" s="3" t="n">
        <f aca="false">D_inventory!R9</f>
        <v>0</v>
      </c>
      <c r="H71" s="3" t="str">
        <f aca="false">D_inventory!H9</f>
        <v>Đang hoạt động</v>
      </c>
      <c r="I71" s="30" t="n">
        <f aca="false">D_inventory!T9</f>
        <v>3.86469491073177</v>
      </c>
      <c r="J71" s="3" t="n">
        <f aca="false">IF(C71="F01",COUNTIFS($C$67:$C$102,"F01",$E$67:$E$102,"&gt;"&amp;E71)+1,"Loại trừ")</f>
        <v>15</v>
      </c>
    </row>
    <row r="72" customFormat="false" ht="51.75" hidden="false" customHeight="true" outlineLevel="0" collapsed="false">
      <c r="A72" s="4" t="str">
        <f aca="false">D_inventory!A10</f>
        <v>L06</v>
      </c>
      <c r="B72" s="4" t="str">
        <f aca="false">D_inventory!C10</f>
        <v>Phụ liệu đơn hàng bị hủy mùa Hè</v>
      </c>
      <c r="C72" s="4" t="str">
        <f aca="false">D_inventory!E10</f>
        <v>F01</v>
      </c>
      <c r="D72" s="33" t="n">
        <f aca="false">D_inventory!P10</f>
        <v>819582150</v>
      </c>
      <c r="E72" s="4" t="n">
        <f aca="false">D_inventory!N10</f>
        <v>128</v>
      </c>
      <c r="F72" s="27" t="n">
        <f aca="false">D_inventory!Q10</f>
        <v>60</v>
      </c>
      <c r="G72" s="4" t="n">
        <f aca="false">D_inventory!R10</f>
        <v>1</v>
      </c>
      <c r="H72" s="4" t="str">
        <f aca="false">D_inventory!H10</f>
        <v>Đã hủy</v>
      </c>
      <c r="I72" s="31" t="n">
        <f aca="false">D_inventory!T10</f>
        <v>2.59822259389525</v>
      </c>
      <c r="J72" s="4" t="n">
        <f aca="false">IF(C72="F01",COUNTIFS($C$67:$C$102,"F01",$E$67:$E$102,"&gt;"&amp;E72)+1,"Loại trừ")</f>
        <v>6</v>
      </c>
    </row>
    <row r="73" customFormat="false" ht="51.75" hidden="false" customHeight="true" outlineLevel="0" collapsed="false">
      <c r="A73" s="3" t="str">
        <f aca="false">D_inventory!A11</f>
        <v>L07</v>
      </c>
      <c r="B73" s="3" t="str">
        <f aca="false">D_inventory!C11</f>
        <v>Bao bì carton, túi PE</v>
      </c>
      <c r="C73" s="3" t="str">
        <f aca="false">D_inventory!E11</f>
        <v>F01</v>
      </c>
      <c r="D73" s="32" t="n">
        <f aca="false">D_inventory!P11</f>
        <v>738578100</v>
      </c>
      <c r="E73" s="3" t="n">
        <f aca="false">D_inventory!N11</f>
        <v>30</v>
      </c>
      <c r="F73" s="26" t="n">
        <f aca="false">D_inventory!Q11</f>
        <v>60</v>
      </c>
      <c r="G73" s="3" t="n">
        <f aca="false">D_inventory!R11</f>
        <v>0</v>
      </c>
      <c r="H73" s="3" t="str">
        <f aca="false">D_inventory!H11</f>
        <v>Không gắn đơn</v>
      </c>
      <c r="I73" s="30" t="n">
        <f aca="false">D_inventory!T11</f>
        <v>2.34142520890216</v>
      </c>
      <c r="J73" s="3" t="n">
        <f aca="false">IF(C73="F01",COUNTIFS($C$67:$C$102,"F01",$E$67:$E$102,"&gt;"&amp;E73)+1,"Loại trừ")</f>
        <v>17</v>
      </c>
    </row>
    <row r="74" customFormat="false" ht="51.75" hidden="false" customHeight="true" outlineLevel="0" collapsed="false">
      <c r="A74" s="4" t="str">
        <f aca="false">D_inventory!A12</f>
        <v>L08</v>
      </c>
      <c r="B74" s="4" t="str">
        <f aca="false">D_inventory!C12</f>
        <v>Nhãn dệt, thẻ bài đã đổi thiết kế</v>
      </c>
      <c r="C74" s="4" t="str">
        <f aca="false">D_inventory!E12</f>
        <v>F01</v>
      </c>
      <c r="D74" s="33" t="n">
        <f aca="false">D_inventory!P12</f>
        <v>171540450</v>
      </c>
      <c r="E74" s="4" t="n">
        <f aca="false">D_inventory!N12</f>
        <v>94</v>
      </c>
      <c r="F74" s="27" t="n">
        <f aca="false">D_inventory!Q12</f>
        <v>60</v>
      </c>
      <c r="G74" s="4" t="n">
        <f aca="false">D_inventory!R12</f>
        <v>1</v>
      </c>
      <c r="H74" s="4" t="str">
        <f aca="false">D_inventory!H12</f>
        <v>Thay đổi thiết kế</v>
      </c>
      <c r="I74" s="31" t="n">
        <f aca="false">D_inventory!T12</f>
        <v>0.543814031280402</v>
      </c>
      <c r="J74" s="4" t="n">
        <f aca="false">IF(C74="F01",COUNTIFS($C$67:$C$102,"F01",$E$67:$E$102,"&gt;"&amp;E74)+1,"Loại trừ")</f>
        <v>8</v>
      </c>
    </row>
    <row r="75" customFormat="false" ht="51.75" hidden="false" customHeight="true" outlineLevel="0" collapsed="false">
      <c r="A75" s="3" t="str">
        <f aca="false">D_inventory!A13</f>
        <v>L09</v>
      </c>
      <c r="B75" s="3" t="str">
        <f aca="false">D_inventory!C13</f>
        <v>BTP đã cắt chờ may – đơn FOB-0826</v>
      </c>
      <c r="C75" s="3" t="str">
        <f aca="false">D_inventory!E13</f>
        <v>F01</v>
      </c>
      <c r="D75" s="32" t="n">
        <f aca="false">D_inventory!P13</f>
        <v>1094045610</v>
      </c>
      <c r="E75" s="3" t="n">
        <f aca="false">D_inventory!N13</f>
        <v>9</v>
      </c>
      <c r="F75" s="26" t="n">
        <f aca="false">D_inventory!Q13</f>
        <v>30</v>
      </c>
      <c r="G75" s="3" t="n">
        <f aca="false">D_inventory!R13</f>
        <v>0</v>
      </c>
      <c r="H75" s="3" t="str">
        <f aca="false">D_inventory!H13</f>
        <v>Đang hoạt động</v>
      </c>
      <c r="I75" s="30" t="n">
        <f aca="false">D_inventory!T13</f>
        <v>3.46832104951763</v>
      </c>
      <c r="J75" s="3" t="n">
        <f aca="false">IF(C75="F01",COUNTIFS($C$67:$C$102,"F01",$E$67:$E$102,"&gt;"&amp;E75)+1,"Loại trừ")</f>
        <v>31</v>
      </c>
    </row>
    <row r="76" customFormat="false" ht="51.75" hidden="false" customHeight="true" outlineLevel="0" collapsed="false">
      <c r="A76" s="4" t="str">
        <f aca="false">D_inventory!A14</f>
        <v>L10</v>
      </c>
      <c r="B76" s="4" t="str">
        <f aca="false">D_inventory!C14</f>
        <v>BTP chờ kiểm QC, sửa lỗi</v>
      </c>
      <c r="C76" s="4" t="str">
        <f aca="false">D_inventory!E14</f>
        <v>F01</v>
      </c>
      <c r="D76" s="33" t="n">
        <f aca="false">D_inventory!P14</f>
        <v>376626132</v>
      </c>
      <c r="E76" s="4" t="n">
        <f aca="false">D_inventory!N14</f>
        <v>47</v>
      </c>
      <c r="F76" s="27" t="n">
        <f aca="false">D_inventory!Q14</f>
        <v>30</v>
      </c>
      <c r="G76" s="4" t="n">
        <f aca="false">D_inventory!R14</f>
        <v>1</v>
      </c>
      <c r="H76" s="4" t="str">
        <f aca="false">D_inventory!H14</f>
        <v>Đang hoạt động</v>
      </c>
      <c r="I76" s="31" t="n">
        <f aca="false">D_inventory!T14</f>
        <v>1.19397247196486</v>
      </c>
      <c r="J76" s="4" t="n">
        <f aca="false">IF(C76="F01",COUNTIFS($C$67:$C$102,"F01",$E$67:$E$102,"&gt;"&amp;E76)+1,"Loại trừ")</f>
        <v>12</v>
      </c>
    </row>
    <row r="77" customFormat="false" ht="51.75" hidden="false" customHeight="true" outlineLevel="0" collapsed="false">
      <c r="A77" s="3" t="str">
        <f aca="false">D_inventory!A15</f>
        <v>L11</v>
      </c>
      <c r="B77" s="3" t="str">
        <f aca="false">D_inventory!C15</f>
        <v>BTP đang may – đơn K2</v>
      </c>
      <c r="C77" s="3" t="str">
        <f aca="false">D_inventory!E15</f>
        <v>F01</v>
      </c>
      <c r="D77" s="32" t="n">
        <f aca="false">D_inventory!P15</f>
        <v>651852855</v>
      </c>
      <c r="E77" s="3" t="n">
        <f aca="false">D_inventory!N15</f>
        <v>11</v>
      </c>
      <c r="F77" s="26" t="n">
        <f aca="false">D_inventory!Q15</f>
        <v>30</v>
      </c>
      <c r="G77" s="3" t="n">
        <f aca="false">D_inventory!R15</f>
        <v>0</v>
      </c>
      <c r="H77" s="3" t="str">
        <f aca="false">D_inventory!H15</f>
        <v>Đang hoạt động</v>
      </c>
      <c r="I77" s="30" t="n">
        <f aca="false">D_inventory!T15</f>
        <v>2.06649060836199</v>
      </c>
      <c r="J77" s="3" t="n">
        <f aca="false">IF(C77="F01",COUNTIFS($C$67:$C$102,"F01",$E$67:$E$102,"&gt;"&amp;E77)+1,"Loại trừ")</f>
        <v>30</v>
      </c>
    </row>
    <row r="78" customFormat="false" ht="51.75" hidden="false" customHeight="true" outlineLevel="0" collapsed="false">
      <c r="A78" s="4" t="str">
        <f aca="false">D_inventory!A16</f>
        <v>L12</v>
      </c>
      <c r="B78" s="4" t="str">
        <f aca="false">D_inventory!C16</f>
        <v>Thành phẩm chờ xuất – đơn K2</v>
      </c>
      <c r="C78" s="4" t="str">
        <f aca="false">D_inventory!E16</f>
        <v>F01</v>
      </c>
      <c r="D78" s="33" t="n">
        <f aca="false">D_inventory!P16</f>
        <v>707508192</v>
      </c>
      <c r="E78" s="4" t="n">
        <f aca="false">D_inventory!N16</f>
        <v>16</v>
      </c>
      <c r="F78" s="27" t="n">
        <f aca="false">D_inventory!Q16</f>
        <v>30</v>
      </c>
      <c r="G78" s="4" t="n">
        <f aca="false">D_inventory!R16</f>
        <v>0</v>
      </c>
      <c r="H78" s="4" t="str">
        <f aca="false">D_inventory!H16</f>
        <v>Đang hoạt động</v>
      </c>
      <c r="I78" s="31" t="n">
        <f aca="false">D_inventory!T16</f>
        <v>2.24292802109024</v>
      </c>
      <c r="J78" s="4" t="n">
        <f aca="false">IF(C78="F01",COUNTIFS($C$67:$C$102,"F01",$E$67:$E$102,"&gt;"&amp;E78)+1,"Loại trừ")</f>
        <v>28</v>
      </c>
    </row>
    <row r="79" customFormat="false" ht="51.75" hidden="false" customHeight="true" outlineLevel="0" collapsed="false">
      <c r="A79" s="3" t="str">
        <f aca="false">D_inventory!A17</f>
        <v>L13</v>
      </c>
      <c r="B79" s="3" t="str">
        <f aca="false">D_inventory!C17</f>
        <v>Thành phẩm đơn K1 – khách chậm nhận hàng</v>
      </c>
      <c r="C79" s="3" t="str">
        <f aca="false">D_inventory!E17</f>
        <v>F01</v>
      </c>
      <c r="D79" s="32" t="n">
        <f aca="false">D_inventory!P17</f>
        <v>1362791925</v>
      </c>
      <c r="E79" s="3" t="n">
        <f aca="false">D_inventory!N17</f>
        <v>43</v>
      </c>
      <c r="F79" s="26" t="n">
        <f aca="false">D_inventory!Q17</f>
        <v>30</v>
      </c>
      <c r="G79" s="3" t="n">
        <f aca="false">D_inventory!R17</f>
        <v>1</v>
      </c>
      <c r="H79" s="3" t="str">
        <f aca="false">D_inventory!H17</f>
        <v>Đang hoạt động</v>
      </c>
      <c r="I79" s="30" t="n">
        <f aca="false">D_inventory!T17</f>
        <v>4.32029512882022</v>
      </c>
      <c r="J79" s="3" t="n">
        <f aca="false">IF(C79="F01",COUNTIFS($C$67:$C$102,"F01",$E$67:$E$102,"&gt;"&amp;E79)+1,"Loại trừ")</f>
        <v>13</v>
      </c>
    </row>
    <row r="80" customFormat="false" ht="51.75" hidden="false" customHeight="true" outlineLevel="0" collapsed="false">
      <c r="A80" s="4" t="str">
        <f aca="false">D_inventory!A18</f>
        <v>L14</v>
      </c>
      <c r="B80" s="4" t="str">
        <f aca="false">D_inventory!C18</f>
        <v>Thành phẩm lỗi mẫu chờ xử lý</v>
      </c>
      <c r="C80" s="4" t="str">
        <f aca="false">D_inventory!E18</f>
        <v>F01</v>
      </c>
      <c r="D80" s="33" t="n">
        <f aca="false">D_inventory!P18</f>
        <v>89200926</v>
      </c>
      <c r="E80" s="4" t="n">
        <f aca="false">D_inventory!N18</f>
        <v>101</v>
      </c>
      <c r="F80" s="27" t="n">
        <f aca="false">D_inventory!Q18</f>
        <v>30</v>
      </c>
      <c r="G80" s="4" t="n">
        <f aca="false">D_inventory!R18</f>
        <v>1</v>
      </c>
      <c r="H80" s="4" t="str">
        <f aca="false">D_inventory!H18</f>
        <v>Đang hoạt động</v>
      </c>
      <c r="I80" s="31" t="n">
        <f aca="false">D_inventory!T18</f>
        <v>0.282782953886415</v>
      </c>
      <c r="J80" s="4" t="n">
        <f aca="false">IF(C80="F01",COUNTIFS($C$67:$C$102,"F01",$E$67:$E$102,"&gt;"&amp;E80)+1,"Loại trừ")</f>
        <v>7</v>
      </c>
    </row>
    <row r="81" customFormat="false" ht="51.75" hidden="false" customHeight="true" outlineLevel="0" collapsed="false">
      <c r="A81" s="3" t="str">
        <f aca="false">D_inventory!A19</f>
        <v>L15</v>
      </c>
      <c r="B81" s="3" t="str">
        <f aca="false">D_inventory!C19</f>
        <v>Vải mua về để bán lại (đầu cuộn)</v>
      </c>
      <c r="C81" s="3" t="str">
        <f aca="false">D_inventory!E19</f>
        <v>F01</v>
      </c>
      <c r="D81" s="32" t="n">
        <f aca="false">D_inventory!P19</f>
        <v>434568600</v>
      </c>
      <c r="E81" s="3" t="n">
        <f aca="false">D_inventory!N19</f>
        <v>82</v>
      </c>
      <c r="F81" s="26" t="n">
        <f aca="false">D_inventory!Q19</f>
        <v>60</v>
      </c>
      <c r="G81" s="3" t="n">
        <f aca="false">D_inventory!R19</f>
        <v>1</v>
      </c>
      <c r="H81" s="3" t="str">
        <f aca="false">D_inventory!H19</f>
        <v>Không gắn đơn</v>
      </c>
      <c r="I81" s="30" t="n">
        <f aca="false">D_inventory!T19</f>
        <v>1.37766050068005</v>
      </c>
      <c r="J81" s="3" t="n">
        <f aca="false">IF(C81="F01",COUNTIFS($C$67:$C$102,"F01",$E$67:$E$102,"&gt;"&amp;E81)+1,"Loại trừ")</f>
        <v>9</v>
      </c>
    </row>
    <row r="82" customFormat="false" ht="51.75" hidden="false" customHeight="true" outlineLevel="0" collapsed="false">
      <c r="A82" s="4" t="str">
        <f aca="false">D_inventory!A20</f>
        <v>L16</v>
      </c>
      <c r="B82" s="4" t="str">
        <f aca="false">D_inventory!C20</f>
        <v>Phụ liệu mua bán lại cho khách K3</v>
      </c>
      <c r="C82" s="4" t="str">
        <f aca="false">D_inventory!E20</f>
        <v>F01</v>
      </c>
      <c r="D82" s="33" t="n">
        <f aca="false">D_inventory!P20</f>
        <v>285900300</v>
      </c>
      <c r="E82" s="4" t="n">
        <f aca="false">D_inventory!N20</f>
        <v>28</v>
      </c>
      <c r="F82" s="27" t="n">
        <f aca="false">D_inventory!Q20</f>
        <v>60</v>
      </c>
      <c r="G82" s="4" t="n">
        <f aca="false">D_inventory!R20</f>
        <v>0</v>
      </c>
      <c r="H82" s="4" t="str">
        <f aca="false">D_inventory!H20</f>
        <v>Đang hoạt động</v>
      </c>
      <c r="I82" s="31" t="n">
        <f aca="false">D_inventory!T20</f>
        <v>0.90635529221986</v>
      </c>
      <c r="J82" s="4" t="n">
        <f aca="false">IF(C82="F01",COUNTIFS($C$67:$C$102,"F01",$E$67:$E$102,"&gt;"&amp;E82)+1,"Loại trừ")</f>
        <v>20</v>
      </c>
    </row>
    <row r="83" customFormat="false" ht="51.75" hidden="false" customHeight="true" outlineLevel="0" collapsed="false">
      <c r="A83" s="3" t="str">
        <f aca="false">D_inventory!A21</f>
        <v>L17</v>
      </c>
      <c r="B83" s="3" t="str">
        <f aca="false">D_inventory!C21</f>
        <v>Vải tự mua cho đơn FOB K1</v>
      </c>
      <c r="C83" s="3" t="str">
        <f aca="false">D_inventory!E21</f>
        <v>F01</v>
      </c>
      <c r="D83" s="32" t="n">
        <f aca="false">D_inventory!P21</f>
        <v>3900000000</v>
      </c>
      <c r="E83" s="3" t="n">
        <f aca="false">D_inventory!N21</f>
        <v>30</v>
      </c>
      <c r="F83" s="26" t="n">
        <f aca="false">D_inventory!Q21</f>
        <v>60</v>
      </c>
      <c r="G83" s="3" t="n">
        <f aca="false">D_inventory!R21</f>
        <v>0</v>
      </c>
      <c r="H83" s="3" t="str">
        <f aca="false">D_inventory!H21</f>
        <v>Đang hoạt động</v>
      </c>
      <c r="I83" s="30" t="n">
        <f aca="false">D_inventory!T21</f>
        <v>12.3637003516871</v>
      </c>
      <c r="J83" s="3" t="n">
        <f aca="false">IF(C83="F01",COUNTIFS($C$67:$C$102,"F01",$E$67:$E$102,"&gt;"&amp;E83)+1,"Loại trừ")</f>
        <v>17</v>
      </c>
    </row>
    <row r="84" customFormat="false" ht="51.75" hidden="false" customHeight="true" outlineLevel="0" collapsed="false">
      <c r="A84" s="4" t="str">
        <f aca="false">D_inventory!A22</f>
        <v>L18</v>
      </c>
      <c r="B84" s="4" t="str">
        <f aca="false">D_inventory!C22</f>
        <v>Vải tự mua cho đơn FOB K2</v>
      </c>
      <c r="C84" s="4" t="str">
        <f aca="false">D_inventory!E22</f>
        <v>F01</v>
      </c>
      <c r="D84" s="33" t="n">
        <f aca="false">D_inventory!P22</f>
        <v>1080000000</v>
      </c>
      <c r="E84" s="4" t="n">
        <f aca="false">D_inventory!N22</f>
        <v>25</v>
      </c>
      <c r="F84" s="27" t="n">
        <f aca="false">D_inventory!Q22</f>
        <v>60</v>
      </c>
      <c r="G84" s="4" t="n">
        <f aca="false">D_inventory!R22</f>
        <v>0</v>
      </c>
      <c r="H84" s="4" t="str">
        <f aca="false">D_inventory!H22</f>
        <v>Đang hoạt động</v>
      </c>
      <c r="I84" s="31" t="n">
        <f aca="false">D_inventory!T22</f>
        <v>3.42379394354413</v>
      </c>
      <c r="J84" s="4" t="n">
        <f aca="false">IF(C84="F01",COUNTIFS($C$67:$C$102,"F01",$E$67:$E$102,"&gt;"&amp;E84)+1,"Loại trừ")</f>
        <v>23</v>
      </c>
    </row>
    <row r="85" customFormat="false" ht="51.75" hidden="false" customHeight="true" outlineLevel="0" collapsed="false">
      <c r="A85" s="3" t="str">
        <f aca="false">D_inventory!A23</f>
        <v>L19</v>
      </c>
      <c r="B85" s="3" t="str">
        <f aca="false">D_inventory!C23</f>
        <v>Phụ liệu tự mua cho đơn FOB K3</v>
      </c>
      <c r="C85" s="3" t="str">
        <f aca="false">D_inventory!E23</f>
        <v>F01</v>
      </c>
      <c r="D85" s="32" t="n">
        <f aca="false">D_inventory!P23</f>
        <v>127500000</v>
      </c>
      <c r="E85" s="3" t="n">
        <f aca="false">D_inventory!N23</f>
        <v>22</v>
      </c>
      <c r="F85" s="26" t="n">
        <f aca="false">D_inventory!Q23</f>
        <v>60</v>
      </c>
      <c r="G85" s="3" t="n">
        <f aca="false">D_inventory!R23</f>
        <v>0</v>
      </c>
      <c r="H85" s="3" t="str">
        <f aca="false">D_inventory!H23</f>
        <v>Đang hoạt động</v>
      </c>
      <c r="I85" s="30" t="n">
        <f aca="false">D_inventory!T23</f>
        <v>0.404197896112848</v>
      </c>
      <c r="J85" s="3" t="n">
        <f aca="false">IF(C85="F01",COUNTIFS($C$67:$C$102,"F01",$E$67:$E$102,"&gt;"&amp;E85)+1,"Loại trừ")</f>
        <v>26</v>
      </c>
    </row>
    <row r="86" customFormat="false" ht="51.75" hidden="false" customHeight="true" outlineLevel="0" collapsed="false">
      <c r="A86" s="4" t="str">
        <f aca="false">D_inventory!A24</f>
        <v>L20</v>
      </c>
      <c r="B86" s="4" t="str">
        <f aca="false">D_inventory!C24</f>
        <v>Chỉ may &amp; khóa kéo (tiêu hao hằng ngày)</v>
      </c>
      <c r="C86" s="4" t="str">
        <f aca="false">D_inventory!E24</f>
        <v>F01</v>
      </c>
      <c r="D86" s="33" t="n">
        <f aca="false">D_inventory!P24</f>
        <v>343080540</v>
      </c>
      <c r="E86" s="4" t="n">
        <f aca="false">D_inventory!N24</f>
        <v>24</v>
      </c>
      <c r="F86" s="27" t="n">
        <f aca="false">D_inventory!Q24</f>
        <v>60</v>
      </c>
      <c r="G86" s="4" t="n">
        <f aca="false">D_inventory!R24</f>
        <v>0</v>
      </c>
      <c r="H86" s="4" t="str">
        <f aca="false">D_inventory!H24</f>
        <v>Đang hoạt động</v>
      </c>
      <c r="I86" s="31" t="n">
        <f aca="false">D_inventory!T24</f>
        <v>1.08762692129616</v>
      </c>
      <c r="J86" s="4" t="n">
        <f aca="false">IF(C86="F01",COUNTIFS($C$67:$C$102,"F01",$E$67:$E$102,"&gt;"&amp;E86)+1,"Loại trừ")</f>
        <v>25</v>
      </c>
    </row>
    <row r="87" customFormat="false" ht="51.75" hidden="false" customHeight="true" outlineLevel="0" collapsed="false">
      <c r="A87" s="3" t="str">
        <f aca="false">D_inventory!A25</f>
        <v>L21</v>
      </c>
      <c r="B87" s="3" t="str">
        <f aca="false">D_inventory!C25</f>
        <v>Vải lót mùa thu (tuổi &lt; ngưỡng nhưng dùng chậm)</v>
      </c>
      <c r="C87" s="3" t="str">
        <f aca="false">D_inventory!E25</f>
        <v>F01</v>
      </c>
      <c r="D87" s="32" t="n">
        <f aca="false">D_inventory!P25</f>
        <v>400260510</v>
      </c>
      <c r="E87" s="3" t="n">
        <f aca="false">D_inventory!N25</f>
        <v>55</v>
      </c>
      <c r="F87" s="26" t="n">
        <f aca="false">D_inventory!Q25</f>
        <v>60</v>
      </c>
      <c r="G87" s="3" t="n">
        <f aca="false">D_inventory!R25</f>
        <v>0</v>
      </c>
      <c r="H87" s="3" t="str">
        <f aca="false">D_inventory!H25</f>
        <v>Đang hoạt động</v>
      </c>
      <c r="I87" s="30" t="n">
        <f aca="false">D_inventory!T25</f>
        <v>1.26889769442397</v>
      </c>
      <c r="J87" s="3" t="n">
        <f aca="false">IF(C87="F01",COUNTIFS($C$67:$C$102,"F01",$E$67:$E$102,"&gt;"&amp;E87)+1,"Loại trừ")</f>
        <v>11</v>
      </c>
    </row>
    <row r="88" customFormat="false" ht="51.75" hidden="false" customHeight="true" outlineLevel="0" collapsed="false">
      <c r="A88" s="4" t="str">
        <f aca="false">D_inventory!A26</f>
        <v>L22</v>
      </c>
      <c r="B88" s="4" t="str">
        <f aca="false">D_inventory!C26</f>
        <v>Vải bộ sưu tập cũ không còn đơn</v>
      </c>
      <c r="C88" s="4" t="str">
        <f aca="false">D_inventory!E26</f>
        <v>F01</v>
      </c>
      <c r="D88" s="33" t="n">
        <f aca="false">D_inventory!P26</f>
        <v>343080480</v>
      </c>
      <c r="E88" s="4" t="n">
        <f aca="false">D_inventory!N26</f>
        <v>150</v>
      </c>
      <c r="F88" s="27" t="n">
        <f aca="false">D_inventory!Q26</f>
        <v>60</v>
      </c>
      <c r="G88" s="4" t="n">
        <f aca="false">D_inventory!R26</f>
        <v>1</v>
      </c>
      <c r="H88" s="4" t="str">
        <f aca="false">D_inventory!H26</f>
        <v>Hoàn tất</v>
      </c>
      <c r="I88" s="31" t="n">
        <f aca="false">D_inventory!T26</f>
        <v>1.08762673108538</v>
      </c>
      <c r="J88" s="4" t="n">
        <f aca="false">IF(C88="F01",COUNTIFS($C$67:$C$102,"F01",$E$67:$E$102,"&gt;"&amp;E88)+1,"Loại trừ")</f>
        <v>5</v>
      </c>
    </row>
    <row r="89" customFormat="false" ht="51.75" hidden="false" customHeight="true" outlineLevel="0" collapsed="false">
      <c r="A89" s="3" t="str">
        <f aca="false">D_inventory!A27</f>
        <v>L23</v>
      </c>
      <c r="B89" s="3" t="str">
        <f aca="false">D_inventory!C27</f>
        <v>Keo, nhãn dệt (tồn an toàn)</v>
      </c>
      <c r="C89" s="3" t="str">
        <f aca="false">D_inventory!E27</f>
        <v>F01</v>
      </c>
      <c r="D89" s="32" t="n">
        <f aca="false">D_inventory!P27</f>
        <v>182976252</v>
      </c>
      <c r="E89" s="3" t="n">
        <f aca="false">D_inventory!N27</f>
        <v>30</v>
      </c>
      <c r="F89" s="26" t="n">
        <f aca="false">D_inventory!Q27</f>
        <v>60</v>
      </c>
      <c r="G89" s="3" t="n">
        <f aca="false">D_inventory!R27</f>
        <v>0</v>
      </c>
      <c r="H89" s="3" t="str">
        <f aca="false">D_inventory!H27</f>
        <v>Đang hoạt động</v>
      </c>
      <c r="I89" s="30" t="n">
        <f aca="false">D_inventory!T27</f>
        <v>0.580067577231485</v>
      </c>
      <c r="J89" s="3" t="n">
        <f aca="false">IF(C89="F01",COUNTIFS($C$67:$C$102,"F01",$E$67:$E$102,"&gt;"&amp;E89)+1,"Loại trừ")</f>
        <v>17</v>
      </c>
    </row>
    <row r="90" customFormat="false" ht="51.75" hidden="false" customHeight="true" outlineLevel="0" collapsed="false">
      <c r="A90" s="4" t="str">
        <f aca="false">D_inventory!A28</f>
        <v>L24</v>
      </c>
      <c r="B90" s="4" t="str">
        <f aca="false">D_inventory!C28</f>
        <v>Thân áo cắt sẵn chờ may (K2)</v>
      </c>
      <c r="C90" s="4" t="str">
        <f aca="false">D_inventory!E28</f>
        <v>F01</v>
      </c>
      <c r="D90" s="33" t="n">
        <f aca="false">D_inventory!P28</f>
        <v>905351250</v>
      </c>
      <c r="E90" s="4" t="n">
        <f aca="false">D_inventory!N28</f>
        <v>8</v>
      </c>
      <c r="F90" s="27" t="n">
        <f aca="false">D_inventory!Q28</f>
        <v>30</v>
      </c>
      <c r="G90" s="4" t="n">
        <f aca="false">D_inventory!R28</f>
        <v>0</v>
      </c>
      <c r="H90" s="4" t="str">
        <f aca="false">D_inventory!H28</f>
        <v>Đang hoạt động</v>
      </c>
      <c r="I90" s="31" t="n">
        <f aca="false">D_inventory!T28</f>
        <v>2.87012604308343</v>
      </c>
      <c r="J90" s="4" t="n">
        <f aca="false">IF(C90="F01",COUNTIFS($C$67:$C$102,"F01",$E$67:$E$102,"&gt;"&amp;E90)+1,"Loại trừ")</f>
        <v>32</v>
      </c>
    </row>
    <row r="91" customFormat="false" ht="51.75" hidden="false" customHeight="true" outlineLevel="0" collapsed="false">
      <c r="A91" s="3" t="str">
        <f aca="false">D_inventory!A29</f>
        <v>L25</v>
      </c>
      <c r="B91" s="3" t="str">
        <f aca="false">D_inventory!C29</f>
        <v>Áo may xong chờ thêu (tuổi &lt; ngưỡng, ùn)</v>
      </c>
      <c r="C91" s="3" t="str">
        <f aca="false">D_inventory!E29</f>
        <v>F01</v>
      </c>
      <c r="D91" s="32" t="n">
        <f aca="false">D_inventory!P29</f>
        <v>628980885</v>
      </c>
      <c r="E91" s="3" t="n">
        <f aca="false">D_inventory!N29</f>
        <v>25</v>
      </c>
      <c r="F91" s="26" t="n">
        <f aca="false">D_inventory!Q29</f>
        <v>30</v>
      </c>
      <c r="G91" s="3" t="n">
        <f aca="false">D_inventory!R29</f>
        <v>0</v>
      </c>
      <c r="H91" s="3" t="str">
        <f aca="false">D_inventory!H29</f>
        <v>Đang hoạt động</v>
      </c>
      <c r="I91" s="30" t="n">
        <f aca="false">D_inventory!T29</f>
        <v>1.9939823561741</v>
      </c>
      <c r="J91" s="3" t="n">
        <f aca="false">IF(C91="F01",COUNTIFS($C$67:$C$102,"F01",$E$67:$E$102,"&gt;"&amp;E91)+1,"Loại trừ")</f>
        <v>23</v>
      </c>
    </row>
    <row r="92" customFormat="false" ht="51.75" hidden="false" customHeight="true" outlineLevel="0" collapsed="false">
      <c r="A92" s="4" t="str">
        <f aca="false">D_inventory!A30</f>
        <v>L26</v>
      </c>
      <c r="B92" s="4" t="str">
        <f aca="false">D_inventory!C30</f>
        <v>Áo thun basic tồn sẵn bán nhanh</v>
      </c>
      <c r="C92" s="4" t="str">
        <f aca="false">D_inventory!E30</f>
        <v>F01</v>
      </c>
      <c r="D92" s="33" t="n">
        <f aca="false">D_inventory!P30</f>
        <v>571800780</v>
      </c>
      <c r="E92" s="4" t="n">
        <f aca="false">D_inventory!N30</f>
        <v>12</v>
      </c>
      <c r="F92" s="27" t="n">
        <f aca="false">D_inventory!Q30</f>
        <v>30</v>
      </c>
      <c r="G92" s="4" t="n">
        <f aca="false">D_inventory!R30</f>
        <v>0</v>
      </c>
      <c r="H92" s="4" t="str">
        <f aca="false">D_inventory!H30</f>
        <v>Đang hoạt động</v>
      </c>
      <c r="I92" s="31" t="n">
        <f aca="false">D_inventory!T30</f>
        <v>1.81271115507204</v>
      </c>
      <c r="J92" s="4" t="n">
        <f aca="false">IF(C92="F01",COUNTIFS($C$67:$C$102,"F01",$E$67:$E$102,"&gt;"&amp;E92)+1,"Loại trừ")</f>
        <v>29</v>
      </c>
    </row>
    <row r="93" customFormat="false" ht="51.75" hidden="false" customHeight="true" outlineLevel="0" collapsed="false">
      <c r="A93" s="3" t="str">
        <f aca="false">D_inventory!A31</f>
        <v>L27</v>
      </c>
      <c r="B93" s="3" t="str">
        <f aca="false">D_inventory!C31</f>
        <v>Thành phẩm bộ sưu tập mùa trước</v>
      </c>
      <c r="C93" s="3" t="str">
        <f aca="false">D_inventory!E31</f>
        <v>F01</v>
      </c>
      <c r="D93" s="32" t="n">
        <f aca="false">D_inventory!P31</f>
        <v>609920850</v>
      </c>
      <c r="E93" s="3" t="n">
        <f aca="false">D_inventory!N31</f>
        <v>160</v>
      </c>
      <c r="F93" s="26" t="n">
        <f aca="false">D_inventory!Q31</f>
        <v>30</v>
      </c>
      <c r="G93" s="3" t="n">
        <f aca="false">D_inventory!R31</f>
        <v>1</v>
      </c>
      <c r="H93" s="3" t="str">
        <f aca="false">D_inventory!H31</f>
        <v>Hoàn tất</v>
      </c>
      <c r="I93" s="30" t="n">
        <f aca="false">D_inventory!T31</f>
        <v>1.93355862247341</v>
      </c>
      <c r="J93" s="3" t="n">
        <f aca="false">IF(C93="F01",COUNTIFS($C$67:$C$102,"F01",$E$67:$E$102,"&gt;"&amp;E93)+1,"Loại trừ")</f>
        <v>4</v>
      </c>
    </row>
    <row r="94" customFormat="false" ht="51.75" hidden="false" customHeight="true" outlineLevel="0" collapsed="false">
      <c r="A94" s="4" t="str">
        <f aca="false">D_inventory!A32</f>
        <v>L28</v>
      </c>
      <c r="B94" s="4" t="str">
        <f aca="false">D_inventory!C32</f>
        <v>Thành phẩm chờ giao K2</v>
      </c>
      <c r="C94" s="4" t="str">
        <f aca="false">D_inventory!E32</f>
        <v>F01</v>
      </c>
      <c r="D94" s="33" t="n">
        <f aca="false">D_inventory!P32</f>
        <v>1029241440</v>
      </c>
      <c r="E94" s="4" t="n">
        <f aca="false">D_inventory!N32</f>
        <v>6</v>
      </c>
      <c r="F94" s="27" t="n">
        <f aca="false">D_inventory!Q32</f>
        <v>30</v>
      </c>
      <c r="G94" s="4" t="n">
        <f aca="false">D_inventory!R32</f>
        <v>0</v>
      </c>
      <c r="H94" s="4" t="str">
        <f aca="false">D_inventory!H32</f>
        <v>Đang hoạt động</v>
      </c>
      <c r="I94" s="31" t="n">
        <f aca="false">D_inventory!T32</f>
        <v>3.26288019325614</v>
      </c>
      <c r="J94" s="4" t="n">
        <f aca="false">IF(C94="F01",COUNTIFS($C$67:$C$102,"F01",$E$67:$E$102,"&gt;"&amp;E94)+1,"Loại trừ")</f>
        <v>33</v>
      </c>
    </row>
    <row r="95" customFormat="false" ht="51.75" hidden="false" customHeight="true" outlineLevel="0" collapsed="false">
      <c r="A95" s="3" t="str">
        <f aca="false">D_inventory!A33</f>
        <v>L29</v>
      </c>
      <c r="B95" s="3" t="str">
        <f aca="false">D_inventory!C33</f>
        <v>Phụ kiện mua về bán lại</v>
      </c>
      <c r="C95" s="3" t="str">
        <f aca="false">D_inventory!E33</f>
        <v>F01</v>
      </c>
      <c r="D95" s="32" t="n">
        <f aca="false">D_inventory!P33</f>
        <v>285900412.5</v>
      </c>
      <c r="E95" s="3" t="n">
        <f aca="false">D_inventory!N33</f>
        <v>28</v>
      </c>
      <c r="F95" s="26" t="n">
        <f aca="false">D_inventory!Q33</f>
        <v>60</v>
      </c>
      <c r="G95" s="3" t="n">
        <f aca="false">D_inventory!R33</f>
        <v>0</v>
      </c>
      <c r="H95" s="3" t="str">
        <f aca="false">D_inventory!H33</f>
        <v>Đang hoạt động</v>
      </c>
      <c r="I95" s="30" t="n">
        <f aca="false">D_inventory!T33</f>
        <v>0.906355648865062</v>
      </c>
      <c r="J95" s="3" t="n">
        <f aca="false">IF(C95="F01",COUNTIFS($C$67:$C$102,"F01",$E$67:$E$102,"&gt;"&amp;E95)+1,"Loại trừ")</f>
        <v>20</v>
      </c>
    </row>
    <row r="96" customFormat="false" ht="51.75" hidden="false" customHeight="true" outlineLevel="0" collapsed="false">
      <c r="A96" s="4" t="str">
        <f aca="false">D_inventory!A34</f>
        <v>L30</v>
      </c>
      <c r="B96" s="4" t="str">
        <f aca="false">D_inventory!C34</f>
        <v>Hàng hóa lỗi mốt</v>
      </c>
      <c r="C96" s="4" t="str">
        <f aca="false">D_inventory!E34</f>
        <v>F01</v>
      </c>
      <c r="D96" s="33" t="n">
        <f aca="false">D_inventory!P34</f>
        <v>114360156</v>
      </c>
      <c r="E96" s="4" t="n">
        <f aca="false">D_inventory!N34</f>
        <v>220</v>
      </c>
      <c r="F96" s="27" t="n">
        <f aca="false">D_inventory!Q34</f>
        <v>60</v>
      </c>
      <c r="G96" s="4" t="n">
        <f aca="false">D_inventory!R34</f>
        <v>1</v>
      </c>
      <c r="H96" s="4" t="str">
        <f aca="false">D_inventory!H34</f>
        <v>Hoàn tất</v>
      </c>
      <c r="I96" s="31" t="n">
        <f aca="false">D_inventory!T34</f>
        <v>0.362542231014409</v>
      </c>
      <c r="J96" s="4" t="n">
        <f aca="false">IF(C96="F01",COUNTIFS($C$67:$C$102,"F01",$E$67:$E$102,"&gt;"&amp;E96)+1,"Loại trừ")</f>
        <v>2</v>
      </c>
    </row>
    <row r="97" customFormat="false" ht="51.75" hidden="false" customHeight="true" outlineLevel="0" collapsed="false">
      <c r="A97" s="3" t="str">
        <f aca="false">D_inventory!A35</f>
        <v>L31</v>
      </c>
      <c r="B97" s="3" t="str">
        <f aca="false">D_inventory!C35</f>
        <v>Thành phẩm sát ngưỡng 30 ngày (28 ngày)</v>
      </c>
      <c r="C97" s="3" t="str">
        <f aca="false">D_inventory!E35</f>
        <v>F01</v>
      </c>
      <c r="D97" s="32" t="n">
        <f aca="false">D_inventory!P35</f>
        <v>400260555</v>
      </c>
      <c r="E97" s="3" t="n">
        <f aca="false">D_inventory!N35</f>
        <v>28</v>
      </c>
      <c r="F97" s="26" t="n">
        <f aca="false">D_inventory!Q35</f>
        <v>30</v>
      </c>
      <c r="G97" s="3" t="n">
        <f aca="false">D_inventory!R35</f>
        <v>0</v>
      </c>
      <c r="H97" s="3" t="str">
        <f aca="false">D_inventory!H35</f>
        <v>Đang hoạt động</v>
      </c>
      <c r="I97" s="30" t="n">
        <f aca="false">D_inventory!T35</f>
        <v>1.26889783708205</v>
      </c>
      <c r="J97" s="3" t="n">
        <f aca="false">IF(C97="F01",COUNTIFS($C$67:$C$102,"F01",$E$67:$E$102,"&gt;"&amp;E97)+1,"Loại trừ")</f>
        <v>20</v>
      </c>
    </row>
    <row r="98" customFormat="false" ht="51.75" hidden="false" customHeight="true" outlineLevel="0" collapsed="false">
      <c r="A98" s="4" t="str">
        <f aca="false">D_inventory!A36</f>
        <v>L32</v>
      </c>
      <c r="B98" s="4" t="str">
        <f aca="false">D_inventory!C36</f>
        <v>Vải đúng ngưỡng 60 ngày (không &gt; 60)</v>
      </c>
      <c r="C98" s="4" t="str">
        <f aca="false">D_inventory!E36</f>
        <v>F01</v>
      </c>
      <c r="D98" s="33" t="n">
        <f aca="false">D_inventory!P36</f>
        <v>285900390</v>
      </c>
      <c r="E98" s="4" t="n">
        <f aca="false">D_inventory!N36</f>
        <v>70</v>
      </c>
      <c r="F98" s="27" t="n">
        <f aca="false">D_inventory!Q36</f>
        <v>60</v>
      </c>
      <c r="G98" s="4" t="n">
        <f aca="false">D_inventory!R36</f>
        <v>1</v>
      </c>
      <c r="H98" s="4" t="str">
        <f aca="false">D_inventory!H36</f>
        <v>Đang hoạt động</v>
      </c>
      <c r="I98" s="31" t="n">
        <f aca="false">D_inventory!T36</f>
        <v>0.906355577536022</v>
      </c>
      <c r="J98" s="4" t="n">
        <f aca="false">IF(C98="F01",COUNTIFS($C$67:$C$102,"F01",$E$67:$E$102,"&gt;"&amp;E98)+1,"Loại trừ")</f>
        <v>10</v>
      </c>
    </row>
    <row r="99" customFormat="false" ht="51.75" hidden="false" customHeight="true" outlineLevel="0" collapsed="false">
      <c r="A99" s="3" t="str">
        <f aca="false">D_inventory!A37</f>
        <v>L33</v>
      </c>
      <c r="B99" s="3" t="str">
        <f aca="false">D_inventory!C37</f>
        <v>Thành phẩm đã cầm cố, luân chuyển tốt</v>
      </c>
      <c r="C99" s="3" t="str">
        <f aca="false">D_inventory!E37</f>
        <v>F01</v>
      </c>
      <c r="D99" s="32" t="n">
        <f aca="false">D_inventory!P37</f>
        <v>388824534</v>
      </c>
      <c r="E99" s="3" t="n">
        <f aca="false">D_inventory!N37</f>
        <v>20</v>
      </c>
      <c r="F99" s="26" t="n">
        <f aca="false">D_inventory!Q37</f>
        <v>30</v>
      </c>
      <c r="G99" s="3" t="n">
        <f aca="false">D_inventory!R37</f>
        <v>0</v>
      </c>
      <c r="H99" s="3" t="str">
        <f aca="false">D_inventory!H37</f>
        <v>Đang hoạt động</v>
      </c>
      <c r="I99" s="30" t="n">
        <f aca="false">D_inventory!T37</f>
        <v>1.23264359686164</v>
      </c>
      <c r="J99" s="3" t="n">
        <f aca="false">IF(C99="F01",COUNTIFS($C$67:$C$102,"F01",$E$67:$E$102,"&gt;"&amp;E99)+1,"Loại trừ")</f>
        <v>27</v>
      </c>
    </row>
    <row r="100" customFormat="false" ht="13.5" hidden="false" customHeight="false" outlineLevel="0" collapsed="false">
      <c r="A100" s="3" t="str">
        <f aca="false">D_inventory!A38</f>
        <v>L34</v>
      </c>
      <c r="B100" s="3" t="str">
        <f aca="false">D_inventory!C38</f>
        <v>Vải tự mua cho đơn FOB K5</v>
      </c>
      <c r="C100" s="3" t="str">
        <f aca="false">D_inventory!E38</f>
        <v>F01</v>
      </c>
      <c r="D100" s="32" t="n">
        <f aca="false">D_inventory!P38</f>
        <v>1152000000</v>
      </c>
      <c r="E100" s="3" t="n">
        <f aca="false">D_inventory!N38</f>
        <v>6</v>
      </c>
      <c r="F100" s="26" t="n">
        <f aca="false">D_inventory!Q38</f>
        <v>60</v>
      </c>
      <c r="G100" s="3" t="n">
        <f aca="false">D_inventory!R38</f>
        <v>0</v>
      </c>
      <c r="H100" s="3" t="str">
        <f aca="false">D_inventory!H38</f>
        <v>Đang hoạt động</v>
      </c>
      <c r="I100" s="30" t="n">
        <f aca="false">D_inventory!T38</f>
        <v>3.65204687311373</v>
      </c>
      <c r="J100" s="3" t="n">
        <f aca="false">IF(C100="F01",COUNTIFS($C$67:$C$102,"F01",$E$67:$E$102,"&gt;"&amp;E100)+1,"Loại trừ")</f>
        <v>33</v>
      </c>
    </row>
    <row r="101" customFormat="false" ht="23.85" hidden="false" customHeight="false" outlineLevel="0" collapsed="false">
      <c r="A101" s="3" t="str">
        <f aca="false">D_inventory!A39</f>
        <v>L35</v>
      </c>
      <c r="B101" s="3" t="str">
        <f aca="false">D_inventory!C39</f>
        <v>Phụ liệu tự mua cho đơn FOB K5</v>
      </c>
      <c r="C101" s="3" t="str">
        <f aca="false">D_inventory!E39</f>
        <v>F01</v>
      </c>
      <c r="D101" s="32" t="n">
        <f aca="false">D_inventory!P39</f>
        <v>102900000</v>
      </c>
      <c r="E101" s="3" t="n">
        <f aca="false">D_inventory!N39</f>
        <v>3</v>
      </c>
      <c r="F101" s="26" t="n">
        <f aca="false">D_inventory!Q39</f>
        <v>60</v>
      </c>
      <c r="G101" s="3" t="n">
        <f aca="false">D_inventory!R39</f>
        <v>0</v>
      </c>
      <c r="H101" s="3" t="str">
        <f aca="false">D_inventory!H39</f>
        <v>Đang hoạt động</v>
      </c>
      <c r="I101" s="30" t="n">
        <f aca="false">D_inventory!T39</f>
        <v>0.326211478509899</v>
      </c>
      <c r="J101" s="3" t="n">
        <f aca="false">IF(C101="F01",COUNTIFS($C$67:$C$102,"F01",$E$67:$E$102,"&gt;"&amp;E101)+1,"Loại trừ")</f>
        <v>35</v>
      </c>
    </row>
    <row r="102" customFormat="false" ht="13.5" hidden="false" customHeight="false" outlineLevel="0" collapsed="false">
      <c r="A102" s="3" t="str">
        <f aca="false">D_inventory!A40</f>
        <v>L36</v>
      </c>
      <c r="B102" s="3" t="str">
        <f aca="false">D_inventory!C40</f>
        <v>Thân áo cắt sẵn chờ may (K5)</v>
      </c>
      <c r="C102" s="3" t="str">
        <f aca="false">D_inventory!E40</f>
        <v>F01</v>
      </c>
      <c r="D102" s="32" t="n">
        <f aca="false">D_inventory!P40</f>
        <v>711000000</v>
      </c>
      <c r="E102" s="3" t="n">
        <f aca="false">D_inventory!N40</f>
        <v>1</v>
      </c>
      <c r="F102" s="26" t="n">
        <f aca="false">D_inventory!Q40</f>
        <v>30</v>
      </c>
      <c r="G102" s="3" t="n">
        <f aca="false">D_inventory!R40</f>
        <v>0</v>
      </c>
      <c r="H102" s="3" t="str">
        <f aca="false">D_inventory!H40</f>
        <v>Đang hoạt động</v>
      </c>
      <c r="I102" s="30" t="n">
        <f aca="false">D_inventory!T40</f>
        <v>2.25399767949988</v>
      </c>
      <c r="J102" s="3" t="n">
        <f aca="false">IF(C102="F01",COUNTIFS($C$67:$C$102,"F01",$E$67:$E$102,"&gt;"&amp;E102)+1,"Loại trừ")</f>
        <v>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Y343"/>
  <sheetViews>
    <sheetView showFormulas="false" showGridLines="false" showRowColHeaders="true" showZeros="true" rightToLeft="false" tabSelected="false" showOutlineSymbols="true" defaultGridColor="true" view="normal" topLeftCell="K234" colorId="64" zoomScale="93" zoomScaleNormal="93" zoomScalePageLayoutView="100" workbookViewId="0">
      <selection pane="topLeft" activeCell="M238" activeCellId="0" sqref="M238"/>
    </sheetView>
  </sheetViews>
  <sheetFormatPr defaultColWidth="8.6796875" defaultRowHeight="13.5" zeroHeight="false" outlineLevelRow="0" outlineLevelCol="0"/>
  <cols>
    <col collapsed="false" customWidth="true" hidden="false" outlineLevel="0" max="1" min="1" style="0" width="28"/>
    <col collapsed="false" customWidth="true" hidden="false" outlineLevel="0" max="2" min="2" style="0" width="27"/>
    <col collapsed="false" customWidth="true" hidden="false" outlineLevel="0" max="3" min="3" style="0" width="80"/>
    <col collapsed="false" customWidth="true" hidden="false" outlineLevel="0" max="25" min="4" style="0" width="23"/>
  </cols>
  <sheetData>
    <row r="2" customFormat="false" ht="17.25" hidden="false" customHeight="true" outlineLevel="0" collapsed="false">
      <c r="A2" s="1" t="s">
        <v>2011</v>
      </c>
    </row>
    <row r="4" customFormat="false" ht="33.75" hidden="false" customHeight="true" outlineLevel="0" collapsed="false">
      <c r="A4" s="2" t="s">
        <v>156</v>
      </c>
      <c r="B4" s="2" t="s">
        <v>1674</v>
      </c>
      <c r="C4" s="2" t="s">
        <v>2012</v>
      </c>
    </row>
    <row r="5" customFormat="false" ht="25.5" hidden="false" customHeight="true" outlineLevel="0" collapsed="false">
      <c r="A5" s="3" t="s">
        <v>2013</v>
      </c>
      <c r="B5" s="3" t="str">
        <f aca="false">CHOOSE(D_F01!B19,"Base","Optimistic","Conservative","Stress7","Continuing")</f>
        <v>Base</v>
      </c>
      <c r="C5" s="3" t="s">
        <v>2014</v>
      </c>
    </row>
    <row r="6" customFormat="false" ht="25.5" hidden="false" customHeight="true" outlineLevel="0" collapsed="false">
      <c r="A6" s="4" t="s">
        <v>2015</v>
      </c>
      <c r="B6" s="38" t="n">
        <f aca="false">D_F01!B7+1</f>
        <v>46204</v>
      </c>
      <c r="C6" s="4" t="s">
        <v>2016</v>
      </c>
    </row>
    <row r="7" customFormat="false" ht="25.5" hidden="false" customHeight="true" outlineLevel="0" collapsed="false">
      <c r="A7" s="3" t="s">
        <v>2017</v>
      </c>
      <c r="B7" s="39" t="n">
        <f aca="false">D_F01!B7+7*D_F01!B18</f>
        <v>46294</v>
      </c>
      <c r="C7" s="3" t="s">
        <v>2018</v>
      </c>
    </row>
    <row r="8" customFormat="false" ht="25.5" hidden="false" customHeight="true" outlineLevel="0" collapsed="false">
      <c r="A8" s="4" t="s">
        <v>2019</v>
      </c>
      <c r="B8" s="33" t="n">
        <f aca="false">D_F01!B11-D_F01!B12</f>
        <v>4401925973</v>
      </c>
      <c r="C8" s="4" t="s">
        <v>2020</v>
      </c>
    </row>
    <row r="9" customFormat="false" ht="25.5" hidden="false" customHeight="true" outlineLevel="0" collapsed="false">
      <c r="A9" s="3" t="s">
        <v>2021</v>
      </c>
      <c r="B9" s="32" t="n">
        <f aca="false">D_F01!B15</f>
        <v>5564546291.68451</v>
      </c>
      <c r="C9" s="3" t="s">
        <v>2022</v>
      </c>
    </row>
    <row r="10" customFormat="false" ht="25.5" hidden="false" customHeight="true" outlineLevel="0" collapsed="false">
      <c r="A10" s="4" t="s">
        <v>2023</v>
      </c>
      <c r="B10" s="33" t="n">
        <f aca="false">D_F01!B16</f>
        <v>6855965890.22435</v>
      </c>
      <c r="C10" s="4" t="s">
        <v>2024</v>
      </c>
    </row>
    <row r="11" customFormat="false" ht="25.5" hidden="false" customHeight="true" outlineLevel="0" collapsed="false">
      <c r="A11" s="3" t="s">
        <v>2025</v>
      </c>
      <c r="B11" s="32" t="n">
        <f aca="false">D_F01!B17</f>
        <v>9438805087.30403</v>
      </c>
      <c r="C11" s="3" t="s">
        <v>2026</v>
      </c>
    </row>
    <row r="12" customFormat="false" ht="25.5" hidden="false" customHeight="true" outlineLevel="0" collapsed="false">
      <c r="A12" s="4" t="s">
        <v>2027</v>
      </c>
      <c r="B12" s="33" t="n">
        <f aca="false">MIN(G70:G160)</f>
        <v>4140480437</v>
      </c>
      <c r="C12" s="4" t="s">
        <v>2028</v>
      </c>
    </row>
    <row r="13" customFormat="false" ht="25.5" hidden="false" customHeight="true" outlineLevel="0" collapsed="false">
      <c r="A13" s="3" t="s">
        <v>2029</v>
      </c>
      <c r="B13" s="39" t="n">
        <f aca="false">INDEX(A70:A160,MATCH(B12,G70:G160,0))</f>
        <v>46205</v>
      </c>
      <c r="C13" s="3" t="s">
        <v>2030</v>
      </c>
    </row>
    <row r="14" customFormat="false" ht="25.5" hidden="false" customHeight="true" outlineLevel="0" collapsed="false">
      <c r="A14" s="4" t="s">
        <v>2031</v>
      </c>
      <c r="B14" s="33" t="n">
        <f aca="false">MAX(H70:H160)</f>
        <v>2715485453.22435</v>
      </c>
      <c r="C14" s="4" t="s">
        <v>2032</v>
      </c>
    </row>
    <row r="15" customFormat="false" ht="25.5" hidden="false" customHeight="true" outlineLevel="0" collapsed="false">
      <c r="A15" s="3" t="s">
        <v>2033</v>
      </c>
      <c r="B15" s="32" t="n">
        <f aca="false">MAX(I70:I160)</f>
        <v>0</v>
      </c>
      <c r="C15" s="3" t="s">
        <v>2034</v>
      </c>
    </row>
    <row r="16" customFormat="false" ht="25.5" hidden="false" customHeight="true" outlineLevel="0" collapsed="false">
      <c r="A16" s="4" t="s">
        <v>2035</v>
      </c>
      <c r="B16" s="33" t="n">
        <f aca="false">MIN(0,MIN(D70:D160))</f>
        <v>-261445536</v>
      </c>
      <c r="C16" s="4" t="s">
        <v>2036</v>
      </c>
    </row>
    <row r="17" customFormat="false" ht="25.5" hidden="false" customHeight="true" outlineLevel="0" collapsed="false">
      <c r="A17" s="3" t="s">
        <v>2037</v>
      </c>
      <c r="B17" s="32" t="n">
        <f aca="false">IF(COUNTIF(G70:G160,"&lt;"&amp;B9)&gt;0,MAX(0,B10-B16),B8)</f>
        <v>7117411426.22435</v>
      </c>
      <c r="C17" s="3" t="s">
        <v>2038</v>
      </c>
    </row>
    <row r="18" customFormat="false" ht="25.5" hidden="false" customHeight="true" outlineLevel="0" collapsed="false">
      <c r="A18" s="4" t="s">
        <v>2039</v>
      </c>
      <c r="B18" s="33" t="n">
        <f aca="false">MAX(0,-B16)</f>
        <v>261445536</v>
      </c>
      <c r="C18" s="4" t="s">
        <v>2040</v>
      </c>
    </row>
    <row r="19" customFormat="false" ht="25.5" hidden="false" customHeight="true" outlineLevel="0" collapsed="false">
      <c r="A19" s="3" t="s">
        <v>2041</v>
      </c>
      <c r="B19" s="32" t="n">
        <f aca="false">MAX(0,B17-B8)</f>
        <v>2715485453.22435</v>
      </c>
      <c r="C19" s="3" t="s">
        <v>2042</v>
      </c>
    </row>
    <row r="20" customFormat="false" ht="25.5" hidden="false" customHeight="true" outlineLevel="0" collapsed="false">
      <c r="A20" s="4" t="s">
        <v>2043</v>
      </c>
      <c r="B20" s="38" t="n">
        <f aca="false">IF(COUNTIF(G70:G160,"&lt;"&amp;B9)=0,"n.a.",_xlfn.MINIFS(A70:A160,G70:G160,"&lt;"&amp;B9))</f>
        <v>46204</v>
      </c>
      <c r="C20" s="4" t="s">
        <v>2044</v>
      </c>
    </row>
    <row r="21" customFormat="false" ht="25.5" hidden="false" customHeight="true" outlineLevel="0" collapsed="false">
      <c r="A21" s="3" t="s">
        <v>2045</v>
      </c>
      <c r="B21" s="39" t="str">
        <f aca="false">IF(COUNTIF(G70:G160,"&lt;0")=0,"n.a.",_xlfn.MINIFS(A70:A160,G70:G160,"&lt;0"))</f>
        <v>n.a.</v>
      </c>
      <c r="C21" s="3" t="s">
        <v>2046</v>
      </c>
    </row>
    <row r="22" customFormat="false" ht="25.5" hidden="false" customHeight="true" outlineLevel="0" collapsed="false">
      <c r="A22" s="4" t="s">
        <v>2047</v>
      </c>
      <c r="B22" s="4" t="str">
        <f aca="false">CHOOSE(MAX(K70:K160)+1,"Không cảnh báo","Vàng","Cam","Đỏ")</f>
        <v>Đỏ</v>
      </c>
      <c r="C22" s="4" t="s">
        <v>2048</v>
      </c>
    </row>
    <row r="23" customFormat="false" ht="25.5" hidden="false" customHeight="true" outlineLevel="0" collapsed="false">
      <c r="A23" s="3" t="s">
        <v>2049</v>
      </c>
      <c r="B23" s="3" t="str">
        <f aca="false">IF(D_F01!B19&lt;&gt;1,"Chọn Base để định tuyến",IF(MIN(G70:G160)&lt;B9,"TH01",IF(MAX(G70:G160)&gt;B11,"TH02","Trong vùng L–H")))</f>
        <v>TH01</v>
      </c>
      <c r="C23" s="3" t="s">
        <v>2050</v>
      </c>
    </row>
    <row r="24" customFormat="false" ht="25.5" hidden="false" customHeight="true" outlineLevel="0" collapsed="false">
      <c r="A24" s="4" t="s">
        <v>1446</v>
      </c>
      <c r="B24" s="4" t="str">
        <f aca="false">IF(OR(D_F01!B19&lt;&gt;1,B23="Trong vùng L–H"),"—","M"&amp;(VALUE(RIGHT(F01_UC1!B30,1))*2+IF(B23="TH01",1,2)))</f>
        <v>M3</v>
      </c>
      <c r="C24" s="4" t="s">
        <v>2051</v>
      </c>
    </row>
    <row r="25" customFormat="false" ht="25.5" hidden="false" customHeight="true" outlineLevel="0" collapsed="false">
      <c r="A25" s="3" t="s">
        <v>2052</v>
      </c>
      <c r="B25" s="3" t="s">
        <v>2053</v>
      </c>
      <c r="C25" s="3" t="s">
        <v>2054</v>
      </c>
    </row>
    <row r="26" customFormat="false" ht="25.5" hidden="false" customHeight="true" outlineLevel="0" collapsed="false">
      <c r="A26" s="4" t="s">
        <v>2055</v>
      </c>
      <c r="B26" s="4" t="str">
        <f aca="false">D_F01!B20</f>
        <v>run_off</v>
      </c>
      <c r="C26" s="4" t="s">
        <v>2056</v>
      </c>
    </row>
    <row r="28" customFormat="false" ht="43.5" hidden="false" customHeight="true" outlineLevel="0" collapsed="false">
      <c r="A28" s="2" t="s">
        <v>2057</v>
      </c>
      <c r="B28" s="2" t="s">
        <v>2015</v>
      </c>
      <c r="C28" s="2" t="s">
        <v>2017</v>
      </c>
      <c r="D28" s="2" t="s">
        <v>2058</v>
      </c>
      <c r="E28" s="2" t="s">
        <v>2059</v>
      </c>
      <c r="F28" s="2" t="s">
        <v>2060</v>
      </c>
      <c r="G28" s="2" t="s">
        <v>2061</v>
      </c>
      <c r="H28" s="2" t="s">
        <v>2062</v>
      </c>
      <c r="I28" s="2" t="s">
        <v>2063</v>
      </c>
      <c r="J28" s="2" t="s">
        <v>2064</v>
      </c>
      <c r="L28" s="40" t="s">
        <v>2065</v>
      </c>
      <c r="M28" s="40" t="s">
        <v>2015</v>
      </c>
      <c r="N28" s="40" t="s">
        <v>2017</v>
      </c>
      <c r="O28" s="40" t="s">
        <v>2066</v>
      </c>
      <c r="P28" s="40" t="s">
        <v>2052</v>
      </c>
      <c r="Q28" s="40" t="s">
        <v>2064</v>
      </c>
      <c r="R28" s="40" t="s">
        <v>1257</v>
      </c>
      <c r="S28" s="40" t="s">
        <v>1566</v>
      </c>
    </row>
    <row r="29" customFormat="false" ht="30" hidden="false" customHeight="true" outlineLevel="0" collapsed="false">
      <c r="A29" s="3" t="n">
        <v>1</v>
      </c>
      <c r="B29" s="39" t="n">
        <f aca="false">$B$6+0</f>
        <v>46204</v>
      </c>
      <c r="C29" s="39" t="n">
        <f aca="false">B29+6</f>
        <v>46210</v>
      </c>
      <c r="D29" s="32" t="n">
        <f aca="false">SUMIFS($B$70:$B$160,$A$70:$A$160,"&gt;="&amp;B29,$A$70:$A$160,"&lt;="&amp;C29)</f>
        <v>3251880497</v>
      </c>
      <c r="E29" s="32" t="n">
        <f aca="false">SUMIFS($C$70:$C$160,$A$70:$A$160,"&gt;="&amp;B29,$A$70:$A$160,"&lt;="&amp;C29)</f>
        <v>3138231714</v>
      </c>
      <c r="F29" s="32" t="n">
        <f aca="false">INDEX($G$70:$G$160,MATCH(C29,$A$70:$A$160,0))</f>
        <v>4515574756</v>
      </c>
      <c r="G29" s="32" t="n">
        <f aca="false">_xlfn.MINIFS($G$70:$G$160,$A$70:$A$160,"&gt;="&amp;B29,$A$70:$A$160,"&lt;="&amp;C29)</f>
        <v>4140480437</v>
      </c>
      <c r="H29" s="39" t="n">
        <f aca="false">_xlfn.MINIFS($A$70:$A$160,$A$70:$A$160,"&gt;="&amp;B29,$A$70:$A$160,"&lt;="&amp;C29,$G$70:$G$160,G29)</f>
        <v>46205</v>
      </c>
      <c r="I29" s="41" t="n">
        <f aca="false">INDEX($K$70:$K$160,MATCH(C29,$A$70:$A$160,0))</f>
        <v>3</v>
      </c>
      <c r="J29" s="41" t="n">
        <f aca="false">_xlfn.MAXIFS($K$70:$K$160,$A$70:$A$160,"&gt;="&amp;B29,$A$70:$A$160,"&lt;="&amp;C29)</f>
        <v>3</v>
      </c>
      <c r="L29" s="42" t="n">
        <f aca="false">1</f>
        <v>1</v>
      </c>
      <c r="M29" s="43" t="n">
        <f aca="false">$B$6+0</f>
        <v>46204</v>
      </c>
      <c r="N29" s="43" t="n">
        <f aca="false">MIN($B$7,M29+13)</f>
        <v>46217</v>
      </c>
      <c r="O29" s="44" t="n">
        <f aca="false">_xlfn.MINIFS($G$70:$G$160,$A$70:$A$160,"&gt;="&amp;M29,$A$70:$A$160,"&lt;="&amp;N29)</f>
        <v>4140480437</v>
      </c>
      <c r="P29" s="0" t="str">
        <f aca="false">IF(O29&lt;$B$9,"Thiếu",IF(O29&gt;$B$11,"Thừa","Trong vùng L–H"))</f>
        <v>Thiếu</v>
      </c>
      <c r="Q29" s="42" t="n">
        <f aca="false">_xlfn.MAXIFS($K$70:$K$160,$A$70:$A$160,"&gt;="&amp;M29,$A$70:$A$160,"&lt;="&amp;N29)</f>
        <v>3</v>
      </c>
      <c r="R29" s="42" t="n">
        <f aca="false">N29-M29+1</f>
        <v>14</v>
      </c>
      <c r="S29" s="0" t="str">
        <f aca="false">IF(R29=7,"Khối cuối 7 ngày","Khối 14 ngày")</f>
        <v>Khối 14 ngày</v>
      </c>
    </row>
    <row r="30" customFormat="false" ht="30" hidden="false" customHeight="true" outlineLevel="0" collapsed="false">
      <c r="A30" s="4" t="n">
        <v>2</v>
      </c>
      <c r="B30" s="38" t="n">
        <f aca="false">$B$6+7</f>
        <v>46211</v>
      </c>
      <c r="C30" s="38" t="n">
        <f aca="false">B30+6</f>
        <v>46217</v>
      </c>
      <c r="D30" s="33" t="n">
        <f aca="false">SUMIFS($B$70:$B$160,$A$70:$A$160,"&gt;="&amp;B30,$A$70:$A$160,"&lt;="&amp;C30)</f>
        <v>7371181354</v>
      </c>
      <c r="E30" s="33" t="n">
        <f aca="false">SUMIFS($C$70:$C$160,$A$70:$A$160,"&gt;="&amp;B30,$A$70:$A$160,"&lt;="&amp;C30)</f>
        <v>830190311</v>
      </c>
      <c r="F30" s="33" t="n">
        <f aca="false">INDEX($G$70:$G$160,MATCH(C30,$A$70:$A$160,0))</f>
        <v>11056565799</v>
      </c>
      <c r="G30" s="33" t="n">
        <f aca="false">_xlfn.MINIFS($G$70:$G$160,$A$70:$A$160,"&gt;="&amp;B30,$A$70:$A$160,"&lt;="&amp;C30)</f>
        <v>5314587071</v>
      </c>
      <c r="H30" s="38" t="n">
        <f aca="false">_xlfn.MINIFS($A$70:$A$160,$A$70:$A$160,"&gt;="&amp;B30,$A$70:$A$160,"&lt;="&amp;C30,$G$70:$G$160,G30)</f>
        <v>46211</v>
      </c>
      <c r="I30" s="45" t="n">
        <f aca="false">INDEX($K$70:$K$160,MATCH(C30,$A$70:$A$160,0))</f>
        <v>0</v>
      </c>
      <c r="J30" s="45" t="n">
        <f aca="false">_xlfn.MAXIFS($K$70:$K$160,$A$70:$A$160,"&gt;="&amp;B30,$A$70:$A$160,"&lt;="&amp;C30)</f>
        <v>3</v>
      </c>
      <c r="L30" s="42" t="n">
        <f aca="false">2</f>
        <v>2</v>
      </c>
      <c r="M30" s="43" t="n">
        <f aca="false">$B$6+14</f>
        <v>46218</v>
      </c>
      <c r="N30" s="43" t="n">
        <f aca="false">MIN($B$7,M30+13)</f>
        <v>46231</v>
      </c>
      <c r="O30" s="44" t="n">
        <f aca="false">_xlfn.MINIFS($G$70:$G$160,$A$70:$A$160,"&gt;="&amp;M30,$A$70:$A$160,"&lt;="&amp;N30)</f>
        <v>11150672753</v>
      </c>
      <c r="P30" s="0" t="str">
        <f aca="false">IF(O30&lt;$B$9,"Thiếu",IF(O30&gt;$B$11,"Thừa","Trong vùng L–H"))</f>
        <v>Thừa</v>
      </c>
      <c r="Q30" s="42" t="n">
        <f aca="false">_xlfn.MAXIFS($K$70:$K$160,$A$70:$A$160,"&gt;="&amp;M30,$A$70:$A$160,"&lt;="&amp;N30)</f>
        <v>0</v>
      </c>
      <c r="R30" s="42" t="n">
        <f aca="false">N30-M30+1</f>
        <v>14</v>
      </c>
      <c r="S30" s="0" t="str">
        <f aca="false">IF(R30=7,"Khối cuối 7 ngày","Khối 14 ngày")</f>
        <v>Khối 14 ngày</v>
      </c>
    </row>
    <row r="31" customFormat="false" ht="30" hidden="false" customHeight="true" outlineLevel="0" collapsed="false">
      <c r="A31" s="3" t="n">
        <v>3</v>
      </c>
      <c r="B31" s="39" t="n">
        <f aca="false">$B$6+14</f>
        <v>46218</v>
      </c>
      <c r="C31" s="39" t="n">
        <f aca="false">B31+6</f>
        <v>46224</v>
      </c>
      <c r="D31" s="32" t="n">
        <f aca="false">SUMIFS($B$70:$B$160,$A$70:$A$160,"&gt;="&amp;B31,$A$70:$A$160,"&lt;="&amp;C31)</f>
        <v>3653992400</v>
      </c>
      <c r="E31" s="32" t="n">
        <f aca="false">SUMIFS($C$70:$C$160,$A$70:$A$160,"&gt;="&amp;B31,$A$70:$A$160,"&lt;="&amp;C31)</f>
        <v>2302640567</v>
      </c>
      <c r="F31" s="32" t="n">
        <f aca="false">INDEX($G$70:$G$160,MATCH(C31,$A$70:$A$160,0))</f>
        <v>12407917632</v>
      </c>
      <c r="G31" s="32" t="n">
        <f aca="false">_xlfn.MINIFS($G$70:$G$160,$A$70:$A$160,"&gt;="&amp;B31,$A$70:$A$160,"&lt;="&amp;C31)</f>
        <v>11150672753</v>
      </c>
      <c r="H31" s="39" t="n">
        <f aca="false">_xlfn.MINIFS($A$70:$A$160,$A$70:$A$160,"&gt;="&amp;B31,$A$70:$A$160,"&lt;="&amp;C31,$G$70:$G$160,G31)</f>
        <v>46218</v>
      </c>
      <c r="I31" s="41" t="n">
        <f aca="false">INDEX($K$70:$K$160,MATCH(C31,$A$70:$A$160,0))</f>
        <v>0</v>
      </c>
      <c r="J31" s="41" t="n">
        <f aca="false">_xlfn.MAXIFS($K$70:$K$160,$A$70:$A$160,"&gt;="&amp;B31,$A$70:$A$160,"&lt;="&amp;C31)</f>
        <v>0</v>
      </c>
      <c r="L31" s="42" t="n">
        <f aca="false">3</f>
        <v>3</v>
      </c>
      <c r="M31" s="43" t="n">
        <f aca="false">$B$6+28</f>
        <v>46232</v>
      </c>
      <c r="N31" s="43" t="n">
        <f aca="false">MIN($B$7,M31+13)</f>
        <v>46245</v>
      </c>
      <c r="O31" s="44" t="n">
        <f aca="false">_xlfn.MINIFS($G$70:$G$160,$A$70:$A$160,"&gt;="&amp;M31,$A$70:$A$160,"&lt;="&amp;N31)</f>
        <v>12461774647</v>
      </c>
      <c r="P31" s="0" t="str">
        <f aca="false">IF(O31&lt;$B$9,"Thiếu",IF(O31&gt;$B$11,"Thừa","Trong vùng L–H"))</f>
        <v>Thừa</v>
      </c>
      <c r="Q31" s="42" t="n">
        <f aca="false">_xlfn.MAXIFS($K$70:$K$160,$A$70:$A$160,"&gt;="&amp;M31,$A$70:$A$160,"&lt;="&amp;N31)</f>
        <v>0</v>
      </c>
      <c r="R31" s="42" t="n">
        <f aca="false">N31-M31+1</f>
        <v>14</v>
      </c>
      <c r="S31" s="0" t="str">
        <f aca="false">IF(R31=7,"Khối cuối 7 ngày","Khối 14 ngày")</f>
        <v>Khối 14 ngày</v>
      </c>
    </row>
    <row r="32" customFormat="false" ht="30" hidden="false" customHeight="true" outlineLevel="0" collapsed="false">
      <c r="A32" s="4" t="n">
        <v>4</v>
      </c>
      <c r="B32" s="38" t="n">
        <f aca="false">$B$6+21</f>
        <v>46225</v>
      </c>
      <c r="C32" s="38" t="n">
        <f aca="false">B32+6</f>
        <v>46231</v>
      </c>
      <c r="D32" s="33" t="n">
        <f aca="false">SUMIFS($B$70:$B$160,$A$70:$A$160,"&gt;="&amp;B32,$A$70:$A$160,"&lt;="&amp;C32)</f>
        <v>3339440235</v>
      </c>
      <c r="E32" s="33" t="n">
        <f aca="false">SUMIFS($C$70:$C$160,$A$70:$A$160,"&gt;="&amp;B32,$A$70:$A$160,"&lt;="&amp;C32)</f>
        <v>3225945927</v>
      </c>
      <c r="F32" s="33" t="n">
        <f aca="false">INDEX($G$70:$G$160,MATCH(C32,$A$70:$A$160,0))</f>
        <v>12521411940</v>
      </c>
      <c r="G32" s="33" t="n">
        <f aca="false">_xlfn.MINIFS($G$70:$G$160,$A$70:$A$160,"&gt;="&amp;B32,$A$70:$A$160,"&lt;="&amp;C32)</f>
        <v>11937730444</v>
      </c>
      <c r="H32" s="38" t="n">
        <f aca="false">_xlfn.MINIFS($A$70:$A$160,$A$70:$A$160,"&gt;="&amp;B32,$A$70:$A$160,"&lt;="&amp;C32,$G$70:$G$160,G32)</f>
        <v>46226</v>
      </c>
      <c r="I32" s="45" t="n">
        <f aca="false">INDEX($K$70:$K$160,MATCH(C32,$A$70:$A$160,0))</f>
        <v>0</v>
      </c>
      <c r="J32" s="45" t="n">
        <f aca="false">_xlfn.MAXIFS($K$70:$K$160,$A$70:$A$160,"&gt;="&amp;B32,$A$70:$A$160,"&lt;="&amp;C32)</f>
        <v>0</v>
      </c>
      <c r="L32" s="42" t="n">
        <f aca="false">4</f>
        <v>4</v>
      </c>
      <c r="M32" s="43" t="n">
        <f aca="false">$B$6+42</f>
        <v>46246</v>
      </c>
      <c r="N32" s="43" t="n">
        <f aca="false">MIN($B$7,M32+13)</f>
        <v>46259</v>
      </c>
      <c r="O32" s="44" t="n">
        <f aca="false">_xlfn.MINIFS($G$70:$G$160,$A$70:$A$160,"&gt;="&amp;M32,$A$70:$A$160,"&lt;="&amp;N32)</f>
        <v>15514035449</v>
      </c>
      <c r="P32" s="0" t="str">
        <f aca="false">IF(O32&lt;$B$9,"Thiếu",IF(O32&gt;$B$11,"Thừa","Trong vùng L–H"))</f>
        <v>Thừa</v>
      </c>
      <c r="Q32" s="42" t="n">
        <f aca="false">_xlfn.MAXIFS($K$70:$K$160,$A$70:$A$160,"&gt;="&amp;M32,$A$70:$A$160,"&lt;="&amp;N32)</f>
        <v>0</v>
      </c>
      <c r="R32" s="42" t="n">
        <f aca="false">N32-M32+1</f>
        <v>14</v>
      </c>
      <c r="S32" s="0" t="str">
        <f aca="false">IF(R32=7,"Khối cuối 7 ngày","Khối 14 ngày")</f>
        <v>Khối 14 ngày</v>
      </c>
    </row>
    <row r="33" customFormat="false" ht="30" hidden="false" customHeight="true" outlineLevel="0" collapsed="false">
      <c r="A33" s="3" t="n">
        <v>5</v>
      </c>
      <c r="B33" s="39" t="n">
        <f aca="false">$B$6+28</f>
        <v>46232</v>
      </c>
      <c r="C33" s="39" t="n">
        <f aca="false">B33+6</f>
        <v>46238</v>
      </c>
      <c r="D33" s="32" t="n">
        <f aca="false">SUMIFS($B$70:$B$160,$A$70:$A$160,"&gt;="&amp;B33,$A$70:$A$160,"&lt;="&amp;C33)</f>
        <v>296418085</v>
      </c>
      <c r="E33" s="32" t="n">
        <f aca="false">SUMIFS($C$70:$C$160,$A$70:$A$160,"&gt;="&amp;B33,$A$70:$A$160,"&lt;="&amp;C33)</f>
        <v>356055378</v>
      </c>
      <c r="F33" s="32" t="n">
        <f aca="false">INDEX($G$70:$G$160,MATCH(C33,$A$70:$A$160,0))</f>
        <v>12461774647</v>
      </c>
      <c r="G33" s="32" t="n">
        <f aca="false">_xlfn.MINIFS($G$70:$G$160,$A$70:$A$160,"&gt;="&amp;B33,$A$70:$A$160,"&lt;="&amp;C33)</f>
        <v>12461774647</v>
      </c>
      <c r="H33" s="39" t="n">
        <f aca="false">_xlfn.MINIFS($A$70:$A$160,$A$70:$A$160,"&gt;="&amp;B33,$A$70:$A$160,"&lt;="&amp;C33,$G$70:$G$160,G33)</f>
        <v>46235</v>
      </c>
      <c r="I33" s="41" t="n">
        <f aca="false">INDEX($K$70:$K$160,MATCH(C33,$A$70:$A$160,0))</f>
        <v>0</v>
      </c>
      <c r="J33" s="41" t="n">
        <f aca="false">_xlfn.MAXIFS($K$70:$K$160,$A$70:$A$160,"&gt;="&amp;B33,$A$70:$A$160,"&lt;="&amp;C33)</f>
        <v>0</v>
      </c>
      <c r="L33" s="42" t="n">
        <f aca="false">5</f>
        <v>5</v>
      </c>
      <c r="M33" s="43" t="n">
        <f aca="false">$B$6+56</f>
        <v>46260</v>
      </c>
      <c r="N33" s="43" t="n">
        <f aca="false">MIN($B$7,M33+13)</f>
        <v>46273</v>
      </c>
      <c r="O33" s="44" t="n">
        <f aca="false">_xlfn.MINIFS($G$70:$G$160,$A$70:$A$160,"&gt;="&amp;M33,$A$70:$A$160,"&lt;="&amp;N33)</f>
        <v>14828618808</v>
      </c>
      <c r="P33" s="0" t="str">
        <f aca="false">IF(O33&lt;$B$9,"Thiếu",IF(O33&gt;$B$11,"Thừa","Trong vùng L–H"))</f>
        <v>Thừa</v>
      </c>
      <c r="Q33" s="42" t="n">
        <f aca="false">_xlfn.MAXIFS($K$70:$K$160,$A$70:$A$160,"&gt;="&amp;M33,$A$70:$A$160,"&lt;="&amp;N33)</f>
        <v>0</v>
      </c>
      <c r="R33" s="42" t="n">
        <f aca="false">N33-M33+1</f>
        <v>14</v>
      </c>
      <c r="S33" s="0" t="str">
        <f aca="false">IF(R33=7,"Khối cuối 7 ngày","Khối 14 ngày")</f>
        <v>Khối 14 ngày</v>
      </c>
    </row>
    <row r="34" customFormat="false" ht="30" hidden="false" customHeight="true" outlineLevel="0" collapsed="false">
      <c r="A34" s="4" t="n">
        <v>6</v>
      </c>
      <c r="B34" s="38" t="n">
        <f aca="false">$B$6+35</f>
        <v>46239</v>
      </c>
      <c r="C34" s="38" t="n">
        <f aca="false">B34+6</f>
        <v>46245</v>
      </c>
      <c r="D34" s="33" t="n">
        <f aca="false">SUMIFS($B$70:$B$160,$A$70:$A$160,"&gt;="&amp;B34,$A$70:$A$160,"&lt;="&amp;C34)</f>
        <v>3474637645</v>
      </c>
      <c r="E34" s="33" t="n">
        <f aca="false">SUMIFS($C$70:$C$160,$A$70:$A$160,"&gt;="&amp;B34,$A$70:$A$160,"&lt;="&amp;C34)</f>
        <v>0</v>
      </c>
      <c r="F34" s="33" t="n">
        <f aca="false">INDEX($G$70:$G$160,MATCH(C34,$A$70:$A$160,0))</f>
        <v>15936412292</v>
      </c>
      <c r="G34" s="33" t="n">
        <f aca="false">_xlfn.MINIFS($G$70:$G$160,$A$70:$A$160,"&gt;="&amp;B34,$A$70:$A$160,"&lt;="&amp;C34)</f>
        <v>12461774647</v>
      </c>
      <c r="H34" s="38" t="n">
        <f aca="false">_xlfn.MINIFS($A$70:$A$160,$A$70:$A$160,"&gt;="&amp;B34,$A$70:$A$160,"&lt;="&amp;C34,$G$70:$G$160,G34)</f>
        <v>46239</v>
      </c>
      <c r="I34" s="45" t="n">
        <f aca="false">INDEX($K$70:$K$160,MATCH(C34,$A$70:$A$160,0))</f>
        <v>0</v>
      </c>
      <c r="J34" s="45" t="n">
        <f aca="false">_xlfn.MAXIFS($K$70:$K$160,$A$70:$A$160,"&gt;="&amp;B34,$A$70:$A$160,"&lt;="&amp;C34)</f>
        <v>0</v>
      </c>
      <c r="L34" s="42" t="n">
        <f aca="false">6</f>
        <v>6</v>
      </c>
      <c r="M34" s="43" t="n">
        <f aca="false">$B$6+70</f>
        <v>46274</v>
      </c>
      <c r="N34" s="43" t="n">
        <f aca="false">MIN($B$7,M34+13)</f>
        <v>46287</v>
      </c>
      <c r="O34" s="44" t="n">
        <f aca="false">_xlfn.MINIFS($G$70:$G$160,$A$70:$A$160,"&gt;="&amp;M34,$A$70:$A$160,"&lt;="&amp;N34)</f>
        <v>15656479147</v>
      </c>
      <c r="P34" s="0" t="str">
        <f aca="false">IF(O34&lt;$B$9,"Thiếu",IF(O34&gt;$B$11,"Thừa","Trong vùng L–H"))</f>
        <v>Thừa</v>
      </c>
      <c r="Q34" s="42" t="n">
        <f aca="false">_xlfn.MAXIFS($K$70:$K$160,$A$70:$A$160,"&gt;="&amp;M34,$A$70:$A$160,"&lt;="&amp;N34)</f>
        <v>0</v>
      </c>
      <c r="R34" s="42" t="n">
        <f aca="false">N34-M34+1</f>
        <v>14</v>
      </c>
      <c r="S34" s="0" t="str">
        <f aca="false">IF(R34=7,"Khối cuối 7 ngày","Khối 14 ngày")</f>
        <v>Khối 14 ngày</v>
      </c>
    </row>
    <row r="35" customFormat="false" ht="30" hidden="false" customHeight="true" outlineLevel="0" collapsed="false">
      <c r="A35" s="3" t="n">
        <v>7</v>
      </c>
      <c r="B35" s="39" t="n">
        <f aca="false">$B$6+42</f>
        <v>46246</v>
      </c>
      <c r="C35" s="39" t="n">
        <f aca="false">B35+6</f>
        <v>46252</v>
      </c>
      <c r="D35" s="32" t="n">
        <f aca="false">SUMIFS($B$70:$B$160,$A$70:$A$160,"&gt;="&amp;B35,$A$70:$A$160,"&lt;="&amp;C35)</f>
        <v>1537862235</v>
      </c>
      <c r="E35" s="32" t="n">
        <f aca="false">SUMIFS($C$70:$C$160,$A$70:$A$160,"&gt;="&amp;B35,$A$70:$A$160,"&lt;="&amp;C35)</f>
        <v>1008000000</v>
      </c>
      <c r="F35" s="32" t="n">
        <f aca="false">INDEX($G$70:$G$160,MATCH(C35,$A$70:$A$160,0))</f>
        <v>16466274527</v>
      </c>
      <c r="G35" s="32" t="n">
        <f aca="false">_xlfn.MINIFS($G$70:$G$160,$A$70:$A$160,"&gt;="&amp;B35,$A$70:$A$160,"&lt;="&amp;C35)</f>
        <v>15514035449</v>
      </c>
      <c r="H35" s="39" t="n">
        <f aca="false">_xlfn.MINIFS($A$70:$A$160,$A$70:$A$160,"&gt;="&amp;B35,$A$70:$A$160,"&lt;="&amp;C35,$G$70:$G$160,G35)</f>
        <v>46249</v>
      </c>
      <c r="I35" s="41" t="n">
        <f aca="false">INDEX($K$70:$K$160,MATCH(C35,$A$70:$A$160,0))</f>
        <v>0</v>
      </c>
      <c r="J35" s="41" t="n">
        <f aca="false">_xlfn.MAXIFS($K$70:$K$160,$A$70:$A$160,"&gt;="&amp;B35,$A$70:$A$160,"&lt;="&amp;C35)</f>
        <v>0</v>
      </c>
      <c r="L35" s="42" t="n">
        <f aca="false">7</f>
        <v>7</v>
      </c>
      <c r="M35" s="43" t="n">
        <f aca="false">$B$6+84</f>
        <v>46288</v>
      </c>
      <c r="N35" s="43" t="n">
        <f aca="false">MIN($B$7,M35+13)</f>
        <v>46294</v>
      </c>
      <c r="O35" s="44" t="n">
        <f aca="false">_xlfn.MINIFS($G$70:$G$160,$A$70:$A$160,"&gt;="&amp;M35,$A$70:$A$160,"&lt;="&amp;N35)</f>
        <v>14156479147</v>
      </c>
      <c r="P35" s="0" t="str">
        <f aca="false">IF(O35&lt;$B$9,"Thiếu",IF(O35&gt;$B$11,"Thừa","Trong vùng L–H"))</f>
        <v>Thừa</v>
      </c>
      <c r="Q35" s="42" t="n">
        <f aca="false">_xlfn.MAXIFS($K$70:$K$160,$A$70:$A$160,"&gt;="&amp;M35,$A$70:$A$160,"&lt;="&amp;N35)</f>
        <v>0</v>
      </c>
      <c r="R35" s="42" t="n">
        <f aca="false">N35-M35+1</f>
        <v>7</v>
      </c>
      <c r="S35" s="0" t="str">
        <f aca="false">IF(R35=7,"Khối cuối 7 ngày","Khối 14 ngày")</f>
        <v>Khối cuối 7 ngày</v>
      </c>
    </row>
    <row r="36" customFormat="false" ht="25.5" hidden="false" customHeight="true" outlineLevel="0" collapsed="false">
      <c r="A36" s="4" t="n">
        <v>8</v>
      </c>
      <c r="B36" s="38" t="n">
        <f aca="false">$B$6+49</f>
        <v>46253</v>
      </c>
      <c r="C36" s="38" t="n">
        <f aca="false">B36+6</f>
        <v>46259</v>
      </c>
      <c r="D36" s="33" t="n">
        <f aca="false">SUMIFS($B$70:$B$160,$A$70:$A$160,"&gt;="&amp;B36,$A$70:$A$160,"&lt;="&amp;C36)</f>
        <v>742318455</v>
      </c>
      <c r="E36" s="33" t="n">
        <f aca="false">SUMIFS($C$70:$C$160,$A$70:$A$160,"&gt;="&amp;B36,$A$70:$A$160,"&lt;="&amp;C36)</f>
        <v>528199584</v>
      </c>
      <c r="F36" s="33" t="n">
        <f aca="false">INDEX($G$70:$G$160,MATCH(C36,$A$70:$A$160,0))</f>
        <v>16680393398</v>
      </c>
      <c r="G36" s="33" t="n">
        <f aca="false">_xlfn.MINIFS($G$70:$G$160,$A$70:$A$160,"&gt;="&amp;B36,$A$70:$A$160,"&lt;="&amp;C36)</f>
        <v>15938074943</v>
      </c>
      <c r="H36" s="38" t="n">
        <f aca="false">_xlfn.MINIFS($A$70:$A$160,$A$70:$A$160,"&gt;="&amp;B36,$A$70:$A$160,"&lt;="&amp;C36,$G$70:$G$160,G36)</f>
        <v>46254</v>
      </c>
      <c r="I36" s="45" t="n">
        <f aca="false">INDEX($K$70:$K$160,MATCH(C36,$A$70:$A$160,0))</f>
        <v>0</v>
      </c>
      <c r="J36" s="45" t="n">
        <f aca="false">_xlfn.MAXIFS($K$70:$K$160,$A$70:$A$160,"&gt;="&amp;B36,$A$70:$A$160,"&lt;="&amp;C36)</f>
        <v>0</v>
      </c>
    </row>
    <row r="37" customFormat="false" ht="39.75" hidden="false" customHeight="true" outlineLevel="0" collapsed="false">
      <c r="A37" s="3" t="n">
        <v>9</v>
      </c>
      <c r="B37" s="39" t="n">
        <f aca="false">$B$6+56</f>
        <v>46260</v>
      </c>
      <c r="C37" s="39" t="n">
        <f aca="false">B37+6</f>
        <v>46266</v>
      </c>
      <c r="D37" s="32" t="n">
        <f aca="false">SUMIFS($B$70:$B$160,$A$70:$A$160,"&gt;="&amp;B37,$A$70:$A$160,"&lt;="&amp;C37)</f>
        <v>1247860339</v>
      </c>
      <c r="E37" s="32" t="n">
        <f aca="false">SUMIFS($C$70:$C$160,$A$70:$A$160,"&gt;="&amp;B37,$A$70:$A$160,"&lt;="&amp;C37)</f>
        <v>2031774590</v>
      </c>
      <c r="F37" s="32" t="n">
        <f aca="false">INDEX($G$70:$G$160,MATCH(C37,$A$70:$A$160,0))</f>
        <v>15896479147</v>
      </c>
      <c r="G37" s="32" t="n">
        <f aca="false">_xlfn.MINIFS($G$70:$G$160,$A$70:$A$160,"&gt;="&amp;B37,$A$70:$A$160,"&lt;="&amp;C37)</f>
        <v>14828618808</v>
      </c>
      <c r="H37" s="39" t="n">
        <f aca="false">_xlfn.MINIFS($A$70:$A$160,$A$70:$A$160,"&gt;="&amp;B37,$A$70:$A$160,"&lt;="&amp;C37,$G$70:$G$160,G37)</f>
        <v>46262</v>
      </c>
      <c r="I37" s="41" t="n">
        <f aca="false">INDEX($K$70:$K$160,MATCH(C37,$A$70:$A$160,0))</f>
        <v>0</v>
      </c>
      <c r="J37" s="41" t="n">
        <f aca="false">_xlfn.MAXIFS($K$70:$K$160,$A$70:$A$160,"&gt;="&amp;B37,$A$70:$A$160,"&lt;="&amp;C37)</f>
        <v>0</v>
      </c>
      <c r="L37" s="46" t="s">
        <v>2067</v>
      </c>
      <c r="M37" s="47" t="b">
        <f aca="false">MAX(P70:P160)&gt;=28</f>
        <v>0</v>
      </c>
    </row>
    <row r="38" customFormat="false" ht="39.75" hidden="false" customHeight="true" outlineLevel="0" collapsed="false">
      <c r="A38" s="4" t="n">
        <v>10</v>
      </c>
      <c r="B38" s="38" t="n">
        <f aca="false">$B$6+63</f>
        <v>46267</v>
      </c>
      <c r="C38" s="38" t="n">
        <f aca="false">B38+6</f>
        <v>46273</v>
      </c>
      <c r="D38" s="33" t="n">
        <f aca="false">SUMIFS($B$70:$B$160,$A$70:$A$160,"&gt;="&amp;B38,$A$70:$A$160,"&lt;="&amp;C38)</f>
        <v>0</v>
      </c>
      <c r="E38" s="33" t="n">
        <f aca="false">SUMIFS($C$70:$C$160,$A$70:$A$160,"&gt;="&amp;B38,$A$70:$A$160,"&lt;="&amp;C38)</f>
        <v>0</v>
      </c>
      <c r="F38" s="33" t="n">
        <f aca="false">INDEX($G$70:$G$160,MATCH(C38,$A$70:$A$160,0))</f>
        <v>15896479147</v>
      </c>
      <c r="G38" s="33" t="n">
        <f aca="false">_xlfn.MINIFS($G$70:$G$160,$A$70:$A$160,"&gt;="&amp;B38,$A$70:$A$160,"&lt;="&amp;C38)</f>
        <v>15896479147</v>
      </c>
      <c r="H38" s="38" t="n">
        <f aca="false">_xlfn.MINIFS($A$70:$A$160,$A$70:$A$160,"&gt;="&amp;B38,$A$70:$A$160,"&lt;="&amp;C38,$G$70:$G$160,G38)</f>
        <v>46267</v>
      </c>
      <c r="I38" s="45" t="n">
        <f aca="false">INDEX($K$70:$K$160,MATCH(C38,$A$70:$A$160,0))</f>
        <v>0</v>
      </c>
      <c r="J38" s="45" t="n">
        <f aca="false">_xlfn.MAXIFS($K$70:$K$160,$A$70:$A$160,"&gt;="&amp;B38,$A$70:$A$160,"&lt;="&amp;C38)</f>
        <v>0</v>
      </c>
      <c r="L38" s="46"/>
      <c r="M38" s="46"/>
    </row>
    <row r="39" customFormat="false" ht="39.75" hidden="false" customHeight="true" outlineLevel="0" collapsed="false">
      <c r="A39" s="3" t="n">
        <v>11</v>
      </c>
      <c r="B39" s="39" t="n">
        <f aca="false">$B$6+70</f>
        <v>46274</v>
      </c>
      <c r="C39" s="39" t="n">
        <f aca="false">B39+6</f>
        <v>46280</v>
      </c>
      <c r="D39" s="32" t="n">
        <f aca="false">SUMIFS($B$70:$B$160,$A$70:$A$160,"&gt;="&amp;B39,$A$70:$A$160,"&lt;="&amp;C39)</f>
        <v>0</v>
      </c>
      <c r="E39" s="32" t="n">
        <f aca="false">SUMIFS($C$70:$C$160,$A$70:$A$160,"&gt;="&amp;B39,$A$70:$A$160,"&lt;="&amp;C39)</f>
        <v>0</v>
      </c>
      <c r="F39" s="32" t="n">
        <f aca="false">INDEX($G$70:$G$160,MATCH(C39,$A$70:$A$160,0))</f>
        <v>15896479147</v>
      </c>
      <c r="G39" s="32" t="n">
        <f aca="false">_xlfn.MINIFS($G$70:$G$160,$A$70:$A$160,"&gt;="&amp;B39,$A$70:$A$160,"&lt;="&amp;C39)</f>
        <v>15896479147</v>
      </c>
      <c r="H39" s="39" t="n">
        <f aca="false">_xlfn.MINIFS($A$70:$A$160,$A$70:$A$160,"&gt;="&amp;B39,$A$70:$A$160,"&lt;="&amp;C39,$G$70:$G$160,G39)</f>
        <v>46274</v>
      </c>
      <c r="I39" s="41" t="n">
        <f aca="false">INDEX($K$70:$K$160,MATCH(C39,$A$70:$A$160,0))</f>
        <v>0</v>
      </c>
      <c r="J39" s="41" t="n">
        <f aca="false">_xlfn.MAXIFS($K$70:$K$160,$A$70:$A$160,"&gt;="&amp;B39,$A$70:$A$160,"&lt;="&amp;C39)</f>
        <v>0</v>
      </c>
      <c r="L39" s="46" t="s">
        <v>2068</v>
      </c>
      <c r="M39" s="48" t="n">
        <f aca="false">SUMIFS(E220:E341,D220:D341,"OUT",Q220:Q341,1)/91</f>
        <v>123061593.054945</v>
      </c>
    </row>
    <row r="40" customFormat="false" ht="39.75" hidden="false" customHeight="true" outlineLevel="0" collapsed="false">
      <c r="A40" s="4" t="n">
        <v>12</v>
      </c>
      <c r="B40" s="38" t="n">
        <f aca="false">$B$6+77</f>
        <v>46281</v>
      </c>
      <c r="C40" s="38" t="n">
        <f aca="false">B40+6</f>
        <v>46287</v>
      </c>
      <c r="D40" s="33" t="n">
        <f aca="false">SUMIFS($B$70:$B$160,$A$70:$A$160,"&gt;="&amp;B40,$A$70:$A$160,"&lt;="&amp;C40)</f>
        <v>0</v>
      </c>
      <c r="E40" s="33" t="n">
        <f aca="false">SUMIFS($C$70:$C$160,$A$70:$A$160,"&gt;="&amp;B40,$A$70:$A$160,"&lt;="&amp;C40)</f>
        <v>240000000</v>
      </c>
      <c r="F40" s="33" t="n">
        <f aca="false">INDEX($G$70:$G$160,MATCH(C40,$A$70:$A$160,0))</f>
        <v>15656479147</v>
      </c>
      <c r="G40" s="33" t="n">
        <f aca="false">_xlfn.MINIFS($G$70:$G$160,$A$70:$A$160,"&gt;="&amp;B40,$A$70:$A$160,"&lt;="&amp;C40)</f>
        <v>15656479147</v>
      </c>
      <c r="H40" s="38" t="n">
        <f aca="false">_xlfn.MINIFS($A$70:$A$160,$A$70:$A$160,"&gt;="&amp;B40,$A$70:$A$160,"&lt;="&amp;C40,$G$70:$G$160,G40)</f>
        <v>46283</v>
      </c>
      <c r="I40" s="45" t="n">
        <f aca="false">INDEX($K$70:$K$160,MATCH(C40,$A$70:$A$160,0))</f>
        <v>0</v>
      </c>
      <c r="J40" s="45" t="n">
        <f aca="false">_xlfn.MAXIFS($K$70:$K$160,$A$70:$A$160,"&gt;="&amp;B40,$A$70:$A$160,"&lt;="&amp;C40)</f>
        <v>0</v>
      </c>
      <c r="L40" s="46" t="s">
        <v>2069</v>
      </c>
      <c r="M40" s="48" t="n">
        <f aca="false">M39*15</f>
        <v>1845923895.82418</v>
      </c>
    </row>
    <row r="41" customFormat="false" ht="66" hidden="false" customHeight="true" outlineLevel="0" collapsed="false">
      <c r="A41" s="3" t="n">
        <v>13</v>
      </c>
      <c r="B41" s="39" t="n">
        <f aca="false">$B$6+84</f>
        <v>46288</v>
      </c>
      <c r="C41" s="39" t="n">
        <f aca="false">B41+6</f>
        <v>46294</v>
      </c>
      <c r="D41" s="32" t="n">
        <f aca="false">SUMIFS($B$70:$B$160,$A$70:$A$160,"&gt;="&amp;B41,$A$70:$A$160,"&lt;="&amp;C41)</f>
        <v>0</v>
      </c>
      <c r="E41" s="32" t="n">
        <f aca="false">SUMIFS($C$70:$C$160,$A$70:$A$160,"&gt;="&amp;B41,$A$70:$A$160,"&lt;="&amp;C41)</f>
        <v>1500000000</v>
      </c>
      <c r="F41" s="32" t="n">
        <f aca="false">INDEX($G$70:$G$160,MATCH(C41,$A$70:$A$160,0))</f>
        <v>14156479147</v>
      </c>
      <c r="G41" s="32" t="n">
        <f aca="false">_xlfn.MINIFS($G$70:$G$160,$A$70:$A$160,"&gt;="&amp;B41,$A$70:$A$160,"&lt;="&amp;C41)</f>
        <v>14156479147</v>
      </c>
      <c r="H41" s="39" t="n">
        <f aca="false">_xlfn.MINIFS($A$70:$A$160,$A$70:$A$160,"&gt;="&amp;B41,$A$70:$A$160,"&lt;="&amp;C41,$G$70:$G$160,G41)</f>
        <v>46293</v>
      </c>
      <c r="I41" s="41" t="n">
        <f aca="false">INDEX($K$70:$K$160,MATCH(C41,$A$70:$A$160,0))</f>
        <v>0</v>
      </c>
      <c r="J41" s="41" t="n">
        <f aca="false">_xlfn.MAXIFS($K$70:$K$160,$A$70:$A$160,"&gt;="&amp;B41,$A$70:$A$160,"&lt;="&amp;C41)</f>
        <v>0</v>
      </c>
      <c r="L41" s="46" t="s">
        <v>2070</v>
      </c>
      <c r="M41" s="46" t="str">
        <f aca="false">IF(B9&lt;M40,"L thấp hơn 15 ngày chi thiết yếu: chủ DN xem lại sàn","L không thấp hơn 15 ngày chi thiết yếu")</f>
        <v>L không thấp hơn 15 ngày chi thiết yếu</v>
      </c>
    </row>
    <row r="42" customFormat="false" ht="36" hidden="false" customHeight="true" outlineLevel="0" collapsed="false">
      <c r="L42" s="0" t="s">
        <v>2071</v>
      </c>
      <c r="M42" s="0" t="n">
        <f aca="false">IF(MAX(G70:G160)&gt;B11,MAX(G70:G160)-B10,0)</f>
        <v>9824427507.77565</v>
      </c>
    </row>
    <row r="43" customFormat="false" ht="36" hidden="false" customHeight="true" outlineLevel="0" collapsed="false">
      <c r="L43" s="0" t="s">
        <v>2072</v>
      </c>
      <c r="M43" s="0" t="str">
        <f aca="false">IF(B8&lt;B9,"Có: thiếu đã có tại AsOf","Không")</f>
        <v>Có: thiếu đã có tại AsOf</v>
      </c>
    </row>
    <row r="44" customFormat="false" ht="36" hidden="false" customHeight="true" outlineLevel="0" collapsed="false">
      <c r="L44" s="0" t="s">
        <v>2073</v>
      </c>
      <c r="M44" s="0" t="n">
        <f aca="false">MAX(0,B9-B12)</f>
        <v>1424065854.68451</v>
      </c>
    </row>
    <row r="45" customFormat="false" ht="33.75" hidden="false" customHeight="true" outlineLevel="0" collapsed="false">
      <c r="A45" s="2" t="s">
        <v>1964</v>
      </c>
      <c r="B45" s="2" t="s">
        <v>2074</v>
      </c>
      <c r="C45" s="2" t="s">
        <v>2075</v>
      </c>
      <c r="D45" s="2" t="s">
        <v>2076</v>
      </c>
      <c r="E45" s="2" t="s">
        <v>2077</v>
      </c>
      <c r="F45" s="2" t="s">
        <v>2078</v>
      </c>
      <c r="G45" s="2" t="s">
        <v>2079</v>
      </c>
      <c r="H45" s="2" t="s">
        <v>2080</v>
      </c>
      <c r="I45" s="2" t="s">
        <v>2081</v>
      </c>
      <c r="J45" s="2" t="s">
        <v>2082</v>
      </c>
    </row>
    <row r="46" customFormat="false" ht="25.5" hidden="false" customHeight="true" outlineLevel="0" collapsed="false">
      <c r="A46" s="3" t="s">
        <v>1977</v>
      </c>
      <c r="B46" s="3" t="n">
        <f aca="false">COUNTIFS(D_sales!$C$5:$C$121,A46,D_sales!$W$5:$W$121,1)</f>
        <v>23</v>
      </c>
      <c r="C46" s="3" t="str">
        <f aca="false">IF(B46&gt;=D_F01!$B$26,"customer",IF(SUM(D_sales!$W$5:$W$121)&gt;=D_F01!$B$26,"firm","default"))</f>
        <v>customer</v>
      </c>
      <c r="D46" s="3" t="n">
        <f aca="false">IF(C46="customer",B46,IF(C46="firm",SUM(D_sales!$W$5:$W$121),0))</f>
        <v>23</v>
      </c>
      <c r="E46" s="3" t="n">
        <f aca="false">IF(C46="default",D_F01!$B$28,IF(C46="customer",SUMIFS(D_sales!$X$5:$X$121,D_sales!$C$5:$C$121,A46)/SUMIFS(D_sales!$V$5:$V$121,D_sales!$C$5:$C$121,A46),SUM(D_sales!$X$5:$X$121)/SUM(D_sales!$V$5:$V$121)))</f>
        <v>16.2114491908565</v>
      </c>
      <c r="F46" s="3" t="n">
        <f aca="false" t="array" ref="F46:F46">IF(C46="default",D_F01!$B$28,IF(C46="customer",PERCENTILE(IF((D_sales!$C$5:$C$121=A46)*(D_sales!$W$5:$W$121=1),D_sales!$U$5:$U$121),0.25),PERCENTILE(IF(D_sales!$W$5:$W$121=1,D_sales!$U$5:$U$121),0.25)))</f>
        <v>10.5</v>
      </c>
      <c r="G46" s="3" t="n">
        <f aca="false" t="array" ref="G46:G46">IF(C46="default",D_F01!$B$28,IF(C46="customer",PERCENTILE(IF((D_sales!$C$5:$C$121=A46)*(D_sales!$W$5:$W$121=1),D_sales!$U$5:$U$121),0.75),PERCENTILE(IF(D_sales!$W$5:$W$121=1,D_sales!$U$5:$U$121),0.75)))</f>
        <v>22.5</v>
      </c>
      <c r="H46" s="3" t="n">
        <f aca="false">MIN(E46,F46)</f>
        <v>10.5</v>
      </c>
      <c r="I46" s="3" t="n">
        <f aca="false">MAX(E46,G46)</f>
        <v>22.5</v>
      </c>
      <c r="J46" s="3" t="n">
        <f aca="false">IF(C46="customer",SUMIFS(D_sales!$Y$5:$Y$121,D_sales!$C$5:$C$121,A46),IF(C46="firm",SUM(D_sales!$Y$5:$Y$121),0))</f>
        <v>7</v>
      </c>
    </row>
    <row r="47" customFormat="false" ht="25.5" hidden="false" customHeight="true" outlineLevel="0" collapsed="false">
      <c r="A47" s="4" t="s">
        <v>1978</v>
      </c>
      <c r="B47" s="4" t="n">
        <f aca="false">COUNTIFS(D_sales!$C$5:$C$121,A47,D_sales!$W$5:$W$121,1)</f>
        <v>26</v>
      </c>
      <c r="C47" s="4" t="str">
        <f aca="false">IF(B47&gt;=D_F01!$B$26,"customer",IF(SUM(D_sales!$W$5:$W$121)&gt;=D_F01!$B$26,"firm","default"))</f>
        <v>customer</v>
      </c>
      <c r="D47" s="4" t="n">
        <f aca="false">IF(C47="customer",B47,IF(C47="firm",SUM(D_sales!$W$5:$W$121),0))</f>
        <v>26</v>
      </c>
      <c r="E47" s="4" t="n">
        <f aca="false">IF(C47="default",D_F01!$B$28,IF(C47="customer",SUMIFS(D_sales!$X$5:$X$121,D_sales!$C$5:$C$121,A47)/SUMIFS(D_sales!$V$5:$V$121,D_sales!$C$5:$C$121,A47),SUM(D_sales!$X$5:$X$121)/SUM(D_sales!$V$5:$V$121)))</f>
        <v>1.43170046737709</v>
      </c>
      <c r="F47" s="4" t="n">
        <f aca="false" t="array" ref="F47:F47">IF(C47="default",D_F01!$B$28,IF(C47="customer",PERCENTILE(IF((D_sales!$C$5:$C$121=A47)*(D_sales!$W$5:$W$121=1),D_sales!$U$5:$U$121),0.25),PERCENTILE(IF(D_sales!$W$5:$W$121=1,D_sales!$U$5:$U$121),0.25)))</f>
        <v>0</v>
      </c>
      <c r="G47" s="4" t="n">
        <f aca="false" t="array" ref="G47:G47">IF(C47="default",D_F01!$B$28,IF(C47="customer",PERCENTILE(IF((D_sales!$C$5:$C$121=A47)*(D_sales!$W$5:$W$121=1),D_sales!$U$5:$U$121),0.75),PERCENTILE(IF(D_sales!$W$5:$W$121=1,D_sales!$U$5:$U$121),0.75)))</f>
        <v>3</v>
      </c>
      <c r="H47" s="4" t="n">
        <f aca="false">MIN(E47,F47)</f>
        <v>0</v>
      </c>
      <c r="I47" s="4" t="n">
        <f aca="false">MAX(E47,G47)</f>
        <v>3</v>
      </c>
      <c r="J47" s="4" t="n">
        <f aca="false">IF(C47="customer",SUMIFS(D_sales!$Y$5:$Y$121,D_sales!$C$5:$C$121,A47),IF(C47="firm",SUM(D_sales!$Y$5:$Y$121),0))</f>
        <v>2</v>
      </c>
    </row>
    <row r="48" customFormat="false" ht="25.5" hidden="false" customHeight="true" outlineLevel="0" collapsed="false">
      <c r="A48" s="3" t="s">
        <v>1979</v>
      </c>
      <c r="B48" s="3" t="n">
        <f aca="false">COUNTIFS(D_sales!$C$5:$C$121,A48,D_sales!$W$5:$W$121,1)</f>
        <v>17</v>
      </c>
      <c r="C48" s="3" t="str">
        <f aca="false">IF(B48&gt;=D_F01!$B$26,"customer",IF(SUM(D_sales!$W$5:$W$121)&gt;=D_F01!$B$26,"firm","default"))</f>
        <v>customer</v>
      </c>
      <c r="D48" s="3" t="n">
        <f aca="false">IF(C48="customer",B48,IF(C48="firm",SUM(D_sales!$W$5:$W$121),0))</f>
        <v>17</v>
      </c>
      <c r="E48" s="3" t="n">
        <f aca="false">IF(C48="default",D_F01!$B$28,IF(C48="customer",SUMIFS(D_sales!$X$5:$X$121,D_sales!$C$5:$C$121,A48)/SUMIFS(D_sales!$V$5:$V$121,D_sales!$C$5:$C$121,A48),SUM(D_sales!$X$5:$X$121)/SUM(D_sales!$V$5:$V$121)))</f>
        <v>14.5562853738424</v>
      </c>
      <c r="F48" s="3" t="n">
        <f aca="false" t="array" ref="F48:F48">IF(C48="default",D_F01!$B$28,IF(C48="customer",PERCENTILE(IF((D_sales!$C$5:$C$121=A48)*(D_sales!$W$5:$W$121=1),D_sales!$U$5:$U$121),0.25),PERCENTILE(IF(D_sales!$W$5:$W$121=1,D_sales!$U$5:$U$121),0.25)))</f>
        <v>4</v>
      </c>
      <c r="G48" s="3" t="n">
        <f aca="false" t="array" ref="G48:G48">IF(C48="default",D_F01!$B$28,IF(C48="customer",PERCENTILE(IF((D_sales!$C$5:$C$121=A48)*(D_sales!$W$5:$W$121=1),D_sales!$U$5:$U$121),0.75),PERCENTILE(IF(D_sales!$W$5:$W$121=1,D_sales!$U$5:$U$121),0.75)))</f>
        <v>10</v>
      </c>
      <c r="H48" s="3" t="n">
        <f aca="false">MIN(E48,F48)</f>
        <v>4</v>
      </c>
      <c r="I48" s="3" t="n">
        <f aca="false">MAX(E48,G48)</f>
        <v>14.5562853738424</v>
      </c>
      <c r="J48" s="3" t="n">
        <f aca="false">IF(C48="customer",SUMIFS(D_sales!$Y$5:$Y$121,D_sales!$C$5:$C$121,A48),IF(C48="firm",SUM(D_sales!$Y$5:$Y$121),0))</f>
        <v>2</v>
      </c>
    </row>
    <row r="49" customFormat="false" ht="25.5" hidden="false" customHeight="true" outlineLevel="0" collapsed="false">
      <c r="A49" s="4" t="s">
        <v>1980</v>
      </c>
      <c r="B49" s="4" t="n">
        <f aca="false">COUNTIFS(D_sales!$C$5:$C$121,A49,D_sales!$W$5:$W$121,1)</f>
        <v>9</v>
      </c>
      <c r="C49" s="4" t="str">
        <f aca="false">IF(B49&gt;=D_F01!$B$26,"customer",IF(SUM(D_sales!$W$5:$W$121)&gt;=D_F01!$B$26,"firm","default"))</f>
        <v>customer</v>
      </c>
      <c r="D49" s="4" t="n">
        <f aca="false">IF(C49="customer",B49,IF(C49="firm",SUM(D_sales!$W$5:$W$121),0))</f>
        <v>9</v>
      </c>
      <c r="E49" s="4" t="n">
        <f aca="false">IF(C49="default",D_F01!$B$28,IF(C49="customer",SUMIFS(D_sales!$X$5:$X$121,D_sales!$C$5:$C$121,A49)/SUMIFS(D_sales!$V$5:$V$121,D_sales!$C$5:$C$121,A49),SUM(D_sales!$X$5:$X$121)/SUM(D_sales!$V$5:$V$121)))</f>
        <v>1.79284907670481</v>
      </c>
      <c r="F49" s="4" t="n">
        <f aca="false" t="array" ref="F49:F49">IF(C49="default",D_F01!$B$28,IF(C49="customer",PERCENTILE(IF((D_sales!$C$5:$C$121=A49)*(D_sales!$W$5:$W$121=1),D_sales!$U$5:$U$121),0.25),PERCENTILE(IF(D_sales!$W$5:$W$121=1,D_sales!$U$5:$U$121),0.25)))</f>
        <v>0</v>
      </c>
      <c r="G49" s="4" t="n">
        <f aca="false" t="array" ref="G49:G49">IF(C49="default",D_F01!$B$28,IF(C49="customer",PERCENTILE(IF((D_sales!$C$5:$C$121=A49)*(D_sales!$W$5:$W$121=1),D_sales!$U$5:$U$121),0.75),PERCENTILE(IF(D_sales!$W$5:$W$121=1,D_sales!$U$5:$U$121),0.75)))</f>
        <v>2</v>
      </c>
      <c r="H49" s="4" t="n">
        <f aca="false">MIN(E49,F49)</f>
        <v>0</v>
      </c>
      <c r="I49" s="4" t="n">
        <f aca="false">MAX(E49,G49)</f>
        <v>2</v>
      </c>
      <c r="J49" s="4" t="n">
        <f aca="false">IF(C49="customer",SUMIFS(D_sales!$Y$5:$Y$121,D_sales!$C$5:$C$121,A49),IF(C49="firm",SUM(D_sales!$Y$5:$Y$121),0))</f>
        <v>1</v>
      </c>
    </row>
    <row r="50" customFormat="false" ht="25.5" hidden="false" customHeight="true" outlineLevel="0" collapsed="false">
      <c r="A50" s="3" t="s">
        <v>1981</v>
      </c>
      <c r="B50" s="3" t="n">
        <f aca="false">COUNTIFS(D_sales!$C$5:$C$121,A50,D_sales!$W$5:$W$121,1)</f>
        <v>13</v>
      </c>
      <c r="C50" s="3" t="str">
        <f aca="false">IF(B50&gt;=D_F01!$B$26,"customer",IF(SUM(D_sales!$W$5:$W$121)&gt;=D_F01!$B$26,"firm","default"))</f>
        <v>customer</v>
      </c>
      <c r="D50" s="3" t="n">
        <f aca="false">IF(C50="customer",B50,IF(C50="firm",SUM(D_sales!$W$5:$W$121),0))</f>
        <v>13</v>
      </c>
      <c r="E50" s="3" t="n">
        <f aca="false">IF(C50="default",D_F01!$B$28,IF(C50="customer",SUMIFS(D_sales!$X$5:$X$121,D_sales!$C$5:$C$121,A50)/SUMIFS(D_sales!$V$5:$V$121,D_sales!$C$5:$C$121,A50),SUM(D_sales!$X$5:$X$121)/SUM(D_sales!$V$5:$V$121)))</f>
        <v>2.02020392543456</v>
      </c>
      <c r="F50" s="3" t="n">
        <f aca="false" t="array" ref="F50:F50">IF(C50="default",D_F01!$B$28,IF(C50="customer",PERCENTILE(IF((D_sales!$C$5:$C$121=A50)*(D_sales!$W$5:$W$121=1),D_sales!$U$5:$U$121),0.25),PERCENTILE(IF(D_sales!$W$5:$W$121=1,D_sales!$U$5:$U$121),0.25)))</f>
        <v>0</v>
      </c>
      <c r="G50" s="3" t="n">
        <f aca="false" t="array" ref="G50:G50">IF(C50="default",D_F01!$B$28,IF(C50="customer",PERCENTILE(IF((D_sales!$C$5:$C$121=A50)*(D_sales!$W$5:$W$121=1),D_sales!$U$5:$U$121),0.75),PERCENTILE(IF(D_sales!$W$5:$W$121=1,D_sales!$U$5:$U$121),0.75)))</f>
        <v>4</v>
      </c>
      <c r="H50" s="3" t="n">
        <f aca="false">MIN(E50,F50)</f>
        <v>0</v>
      </c>
      <c r="I50" s="3" t="n">
        <f aca="false">MAX(E50,G50)</f>
        <v>4</v>
      </c>
      <c r="J50" s="3" t="n">
        <f aca="false">IF(C50="customer",SUMIFS(D_sales!$Y$5:$Y$121,D_sales!$C$5:$C$121,A50),IF(C50="firm",SUM(D_sales!$Y$5:$Y$121),0))</f>
        <v>0</v>
      </c>
    </row>
    <row r="51" customFormat="false" ht="25.5" hidden="false" customHeight="true" outlineLevel="0" collapsed="false">
      <c r="A51" s="4" t="s">
        <v>1982</v>
      </c>
      <c r="B51" s="4" t="n">
        <f aca="false">COUNTIFS(D_sales!$C$5:$C$121,A51,D_sales!$W$5:$W$121,1)</f>
        <v>3</v>
      </c>
      <c r="C51" s="4" t="str">
        <f aca="false">IF(B51&gt;=D_F01!$B$26,"customer",IF(SUM(D_sales!$W$5:$W$121)&gt;=D_F01!$B$26,"firm","default"))</f>
        <v>firm</v>
      </c>
      <c r="D51" s="4" t="n">
        <f aca="false">IF(C51="customer",B51,IF(C51="firm",SUM(D_sales!$W$5:$W$121),0))</f>
        <v>98</v>
      </c>
      <c r="E51" s="4" t="n">
        <f aca="false">IF(C51="default",D_F01!$B$28,IF(C51="customer",SUMIFS(D_sales!$X$5:$X$121,D_sales!$C$5:$C$121,A51)/SUMIFS(D_sales!$V$5:$V$121,D_sales!$C$5:$C$121,A51),SUM(D_sales!$X$5:$X$121)/SUM(D_sales!$V$5:$V$121)))</f>
        <v>7.46815482657925</v>
      </c>
      <c r="F51" s="4" t="n">
        <f aca="false" t="array" ref="F51:F51">IF(C51="default",D_F01!$B$28,IF(C51="customer",PERCENTILE(IF((D_sales!$C$5:$C$121=A51)*(D_sales!$W$5:$W$121=1),D_sales!$U$5:$U$121),0.25),PERCENTILE(IF(D_sales!$W$5:$W$121=1,D_sales!$U$5:$U$121),0.25)))</f>
        <v>0</v>
      </c>
      <c r="G51" s="4" t="n">
        <f aca="false" t="array" ref="G51:G51">IF(C51="default",D_F01!$B$28,IF(C51="customer",PERCENTILE(IF((D_sales!$C$5:$C$121=A51)*(D_sales!$W$5:$W$121=1),D_sales!$U$5:$U$121),0.75),PERCENTILE(IF(D_sales!$W$5:$W$121=1,D_sales!$U$5:$U$121),0.75)))</f>
        <v>9</v>
      </c>
      <c r="H51" s="4" t="n">
        <f aca="false">MIN(E51,F51)</f>
        <v>0</v>
      </c>
      <c r="I51" s="4" t="n">
        <f aca="false">MAX(E51,G51)</f>
        <v>9</v>
      </c>
      <c r="J51" s="4" t="n">
        <f aca="false">IF(C51="customer",SUMIFS(D_sales!$Y$5:$Y$121,D_sales!$C$5:$C$121,A51),IF(C51="firm",SUM(D_sales!$Y$5:$Y$121),0))</f>
        <v>14</v>
      </c>
    </row>
    <row r="52" customFormat="false" ht="25.5" hidden="false" customHeight="true" outlineLevel="0" collapsed="false">
      <c r="A52" s="3" t="s">
        <v>1983</v>
      </c>
      <c r="B52" s="3" t="n">
        <f aca="false">COUNTIFS(D_sales!$C$5:$C$121,A52,D_sales!$W$5:$W$121,1)</f>
        <v>1</v>
      </c>
      <c r="C52" s="3" t="str">
        <f aca="false">IF(B52&gt;=D_F01!$B$26,"customer",IF(SUM(D_sales!$W$5:$W$121)&gt;=D_F01!$B$26,"firm","default"))</f>
        <v>firm</v>
      </c>
      <c r="D52" s="3" t="n">
        <f aca="false">IF(C52="customer",B52,IF(C52="firm",SUM(D_sales!$W$5:$W$121),0))</f>
        <v>98</v>
      </c>
      <c r="E52" s="3" t="n">
        <f aca="false">IF(C52="default",D_F01!$B$28,IF(C52="customer",SUMIFS(D_sales!$X$5:$X$121,D_sales!$C$5:$C$121,A52)/SUMIFS(D_sales!$V$5:$V$121,D_sales!$C$5:$C$121,A52),SUM(D_sales!$X$5:$X$121)/SUM(D_sales!$V$5:$V$121)))</f>
        <v>7.46815482657925</v>
      </c>
      <c r="F52" s="3" t="n">
        <f aca="false" t="array" ref="F52:F52">IF(C52="default",D_F01!$B$28,IF(C52="customer",PERCENTILE(IF((D_sales!$C$5:$C$121=A52)*(D_sales!$W$5:$W$121=1),D_sales!$U$5:$U$121),0.25),PERCENTILE(IF(D_sales!$W$5:$W$121=1,D_sales!$U$5:$U$121),0.25)))</f>
        <v>0</v>
      </c>
      <c r="G52" s="3" t="n">
        <f aca="false" t="array" ref="G52:G52">IF(C52="default",D_F01!$B$28,IF(C52="customer",PERCENTILE(IF((D_sales!$C$5:$C$121=A52)*(D_sales!$W$5:$W$121=1),D_sales!$U$5:$U$121),0.75),PERCENTILE(IF(D_sales!$W$5:$W$121=1,D_sales!$U$5:$U$121),0.75)))</f>
        <v>9</v>
      </c>
      <c r="H52" s="3" t="n">
        <f aca="false">MIN(E52,F52)</f>
        <v>0</v>
      </c>
      <c r="I52" s="3" t="n">
        <f aca="false">MAX(E52,G52)</f>
        <v>9</v>
      </c>
      <c r="J52" s="3" t="n">
        <f aca="false">IF(C52="customer",SUMIFS(D_sales!$Y$5:$Y$121,D_sales!$C$5:$C$121,A52),IF(C52="firm",SUM(D_sales!$Y$5:$Y$121),0))</f>
        <v>14</v>
      </c>
    </row>
    <row r="53" customFormat="false" ht="25.5" hidden="false" customHeight="true" outlineLevel="0" collapsed="false">
      <c r="A53" s="4" t="s">
        <v>1984</v>
      </c>
      <c r="B53" s="4" t="n">
        <f aca="false">COUNTIFS(D_sales!$C$5:$C$121,A53,D_sales!$W$5:$W$121,1)</f>
        <v>4</v>
      </c>
      <c r="C53" s="4" t="str">
        <f aca="false">IF(B53&gt;=D_F01!$B$26,"customer",IF(SUM(D_sales!$W$5:$W$121)&gt;=D_F01!$B$26,"firm","default"))</f>
        <v>firm</v>
      </c>
      <c r="D53" s="4" t="n">
        <f aca="false">IF(C53="customer",B53,IF(C53="firm",SUM(D_sales!$W$5:$W$121),0))</f>
        <v>98</v>
      </c>
      <c r="E53" s="4" t="n">
        <f aca="false">IF(C53="default",D_F01!$B$28,IF(C53="customer",SUMIFS(D_sales!$X$5:$X$121,D_sales!$C$5:$C$121,A53)/SUMIFS(D_sales!$V$5:$V$121,D_sales!$C$5:$C$121,A53),SUM(D_sales!$X$5:$X$121)/SUM(D_sales!$V$5:$V$121)))</f>
        <v>7.46815482657925</v>
      </c>
      <c r="F53" s="4" t="n">
        <f aca="false" t="array" ref="F53:F53">IF(C53="default",D_F01!$B$28,IF(C53="customer",PERCENTILE(IF((D_sales!$C$5:$C$121=A53)*(D_sales!$W$5:$W$121=1),D_sales!$U$5:$U$121),0.25),PERCENTILE(IF(D_sales!$W$5:$W$121=1,D_sales!$U$5:$U$121),0.25)))</f>
        <v>0</v>
      </c>
      <c r="G53" s="4" t="n">
        <f aca="false" t="array" ref="G53:G53">IF(C53="default",D_F01!$B$28,IF(C53="customer",PERCENTILE(IF((D_sales!$C$5:$C$121=A53)*(D_sales!$W$5:$W$121=1),D_sales!$U$5:$U$121),0.75),PERCENTILE(IF(D_sales!$W$5:$W$121=1,D_sales!$U$5:$U$121),0.75)))</f>
        <v>9</v>
      </c>
      <c r="H53" s="4" t="n">
        <f aca="false">MIN(E53,F53)</f>
        <v>0</v>
      </c>
      <c r="I53" s="4" t="n">
        <f aca="false">MAX(E53,G53)</f>
        <v>9</v>
      </c>
      <c r="J53" s="4" t="n">
        <f aca="false">IF(C53="customer",SUMIFS(D_sales!$Y$5:$Y$121,D_sales!$C$5:$C$121,A53),IF(C53="firm",SUM(D_sales!$Y$5:$Y$121),0))</f>
        <v>14</v>
      </c>
    </row>
    <row r="54" customFormat="false" ht="25.5" hidden="false" customHeight="true" outlineLevel="0" collapsed="false">
      <c r="A54" s="3" t="s">
        <v>1985</v>
      </c>
      <c r="B54" s="3" t="n">
        <f aca="false">COUNTIFS(D_sales!$C$5:$C$121,A54,D_sales!$W$5:$W$121,1)</f>
        <v>2</v>
      </c>
      <c r="C54" s="3" t="str">
        <f aca="false">IF(B54&gt;=D_F01!$B$26,"customer",IF(SUM(D_sales!$W$5:$W$121)&gt;=D_F01!$B$26,"firm","default"))</f>
        <v>firm</v>
      </c>
      <c r="D54" s="3" t="n">
        <f aca="false">IF(C54="customer",B54,IF(C54="firm",SUM(D_sales!$W$5:$W$121),0))</f>
        <v>98</v>
      </c>
      <c r="E54" s="3" t="n">
        <f aca="false">IF(C54="default",D_F01!$B$28,IF(C54="customer",SUMIFS(D_sales!$X$5:$X$121,D_sales!$C$5:$C$121,A54)/SUMIFS(D_sales!$V$5:$V$121,D_sales!$C$5:$C$121,A54),SUM(D_sales!$X$5:$X$121)/SUM(D_sales!$V$5:$V$121)))</f>
        <v>7.46815482657925</v>
      </c>
      <c r="F54" s="3" t="n">
        <f aca="false" t="array" ref="F54:F54">IF(C54="default",D_F01!$B$28,IF(C54="customer",PERCENTILE(IF((D_sales!$C$5:$C$121=A54)*(D_sales!$W$5:$W$121=1),D_sales!$U$5:$U$121),0.25),PERCENTILE(IF(D_sales!$W$5:$W$121=1,D_sales!$U$5:$U$121),0.25)))</f>
        <v>0</v>
      </c>
      <c r="G54" s="3" t="n">
        <f aca="false" t="array" ref="G54:G54">IF(C54="default",D_F01!$B$28,IF(C54="customer",PERCENTILE(IF((D_sales!$C$5:$C$121=A54)*(D_sales!$W$5:$W$121=1),D_sales!$U$5:$U$121),0.75),PERCENTILE(IF(D_sales!$W$5:$W$121=1,D_sales!$U$5:$U$121),0.75)))</f>
        <v>9</v>
      </c>
      <c r="H54" s="3" t="n">
        <f aca="false">MIN(E54,F54)</f>
        <v>0</v>
      </c>
      <c r="I54" s="3" t="n">
        <f aca="false">MAX(E54,G54)</f>
        <v>9</v>
      </c>
      <c r="J54" s="3" t="n">
        <f aca="false">IF(C54="customer",SUMIFS(D_sales!$Y$5:$Y$121,D_sales!$C$5:$C$121,A54),IF(C54="firm",SUM(D_sales!$Y$5:$Y$121),0))</f>
        <v>14</v>
      </c>
    </row>
    <row r="69" customFormat="false" ht="33.75" hidden="false" customHeight="true" outlineLevel="0" collapsed="false">
      <c r="A69" s="2" t="s">
        <v>2083</v>
      </c>
      <c r="B69" s="2" t="s">
        <v>2084</v>
      </c>
      <c r="C69" s="2" t="s">
        <v>2085</v>
      </c>
      <c r="D69" s="2" t="s">
        <v>2086</v>
      </c>
      <c r="E69" s="2" t="s">
        <v>2087</v>
      </c>
      <c r="F69" s="2" t="s">
        <v>2088</v>
      </c>
      <c r="G69" s="2" t="s">
        <v>2089</v>
      </c>
      <c r="H69" s="2" t="s">
        <v>2090</v>
      </c>
      <c r="I69" s="2" t="s">
        <v>2091</v>
      </c>
      <c r="J69" s="2" t="s">
        <v>2092</v>
      </c>
      <c r="K69" s="2" t="s">
        <v>2093</v>
      </c>
      <c r="L69" s="2" t="s">
        <v>2094</v>
      </c>
      <c r="M69" s="2" t="s">
        <v>2095</v>
      </c>
      <c r="N69" s="2" t="s">
        <v>2096</v>
      </c>
      <c r="O69" s="2" t="s">
        <v>2097</v>
      </c>
      <c r="P69" s="2" t="s">
        <v>2098</v>
      </c>
      <c r="Q69" s="2" t="s">
        <v>2099</v>
      </c>
    </row>
    <row r="70" customFormat="false" ht="25.5" hidden="false" customHeight="true" outlineLevel="0" collapsed="false">
      <c r="A70" s="39" t="n">
        <f aca="false">$B$6+0</f>
        <v>46204</v>
      </c>
      <c r="B70" s="32" t="n">
        <f aca="false">SUMIFS($E$220:$E$341,$D$220:$D$341,"IN",$N$220:$N$341,A70)</f>
        <v>0</v>
      </c>
      <c r="C70" s="32" t="n">
        <f aca="false">SUMIFS($E$220:$E$341,$D$220:$D$341,"OUT",$N$220:$N$341,A70)</f>
        <v>180000000</v>
      </c>
      <c r="D70" s="32" t="n">
        <f aca="false">SUM($F$70:F70)</f>
        <v>-180000000</v>
      </c>
      <c r="E70" s="32" t="n">
        <f aca="false">$B$8</f>
        <v>4401925973</v>
      </c>
      <c r="F70" s="32" t="n">
        <f aca="false">B70-C70</f>
        <v>-180000000</v>
      </c>
      <c r="G70" s="32" t="n">
        <f aca="false">E70+F70</f>
        <v>4221925973</v>
      </c>
      <c r="H70" s="32" t="n">
        <f aca="false">IF(G70&lt;$B$9,$B$10-G70,0)</f>
        <v>2634039917.22435</v>
      </c>
      <c r="I70" s="32" t="n">
        <f aca="false">MAX(0,-G70)</f>
        <v>0</v>
      </c>
      <c r="J70" s="34" t="n">
        <f aca="false">H70/$B$10</f>
        <v>0.384196765182295</v>
      </c>
      <c r="K70" s="41" t="n">
        <f aca="false">IF(G70&lt;$B$9,3,0)</f>
        <v>3</v>
      </c>
      <c r="L70" s="3" t="n">
        <f aca="false">IF(G70&lt;$B$9,SUM($N$70:N70),0)</f>
        <v>1</v>
      </c>
      <c r="M70" s="3" t="n">
        <f aca="false">IF(G70&gt;$B$11,0+1,0)</f>
        <v>0</v>
      </c>
      <c r="N70" s="3" t="n">
        <f aca="false">IF(AND(G70&lt;$B$9,TRUE()),1,0)</f>
        <v>1</v>
      </c>
      <c r="O70" s="3" t="n">
        <f aca="false">IF(AND(G70&lt;$B$9,G71&gt;=$B$9),1,0)</f>
        <v>0</v>
      </c>
      <c r="P70" s="3" t="n">
        <f aca="false">IF(L70&gt;0,COUNTIF($L$70:L70,L70),0)</f>
        <v>1</v>
      </c>
      <c r="Q70" s="32" t="n">
        <f aca="false">$B$10</f>
        <v>6855965890.22435</v>
      </c>
    </row>
    <row r="71" customFormat="false" ht="25.5" hidden="false" customHeight="true" outlineLevel="0" collapsed="false">
      <c r="A71" s="38" t="n">
        <f aca="false">$B$6+1</f>
        <v>46205</v>
      </c>
      <c r="B71" s="33" t="n">
        <f aca="false">SUMIFS($E$220:$E$341,$D$220:$D$341,"IN",$N$220:$N$341,A71)</f>
        <v>0</v>
      </c>
      <c r="C71" s="33" t="n">
        <f aca="false">SUMIFS($E$220:$E$341,$D$220:$D$341,"OUT",$N$220:$N$341,A71)</f>
        <v>81445536</v>
      </c>
      <c r="D71" s="33" t="n">
        <f aca="false">SUM($F$70:F71)</f>
        <v>-261445536</v>
      </c>
      <c r="E71" s="33" t="n">
        <f aca="false">G70</f>
        <v>4221925973</v>
      </c>
      <c r="F71" s="33" t="n">
        <f aca="false">B71-C71</f>
        <v>-81445536</v>
      </c>
      <c r="G71" s="33" t="n">
        <f aca="false">E71+F71</f>
        <v>4140480437</v>
      </c>
      <c r="H71" s="33" t="n">
        <f aca="false">IF(G71&lt;$B$9,$B$10-G71,0)</f>
        <v>2715485453.22435</v>
      </c>
      <c r="I71" s="33" t="n">
        <f aca="false">MAX(0,-G71)</f>
        <v>0</v>
      </c>
      <c r="J71" s="36" t="n">
        <f aca="false">H71/$B$10</f>
        <v>0.396076278193894</v>
      </c>
      <c r="K71" s="45" t="n">
        <f aca="false">IF(G71&lt;$B$9,3,0)</f>
        <v>3</v>
      </c>
      <c r="L71" s="4" t="n">
        <f aca="false">IF(G71&lt;$B$9,SUM($N$70:N71),0)</f>
        <v>1</v>
      </c>
      <c r="M71" s="4" t="n">
        <f aca="false">IF(G71&gt;$B$11,M70+1,0)</f>
        <v>0</v>
      </c>
      <c r="N71" s="4" t="n">
        <f aca="false">IF(AND(G71&lt;$B$9,G70&gt;=$B$9),1,0)</f>
        <v>0</v>
      </c>
      <c r="O71" s="4" t="n">
        <f aca="false">IF(AND(G71&lt;$B$9,G72&gt;=$B$9),1,0)</f>
        <v>0</v>
      </c>
      <c r="P71" s="4" t="n">
        <f aca="false">IF(L71&gt;0,COUNTIF($L$70:L71,L71),0)</f>
        <v>2</v>
      </c>
      <c r="Q71" s="33" t="n">
        <f aca="false">$B$10</f>
        <v>6855965890.22435</v>
      </c>
    </row>
    <row r="72" customFormat="false" ht="25.5" hidden="false" customHeight="true" outlineLevel="0" collapsed="false">
      <c r="A72" s="39" t="n">
        <f aca="false">$B$6+2</f>
        <v>46206</v>
      </c>
      <c r="B72" s="32" t="n">
        <f aca="false">SUMIFS($E$220:$E$341,$D$220:$D$341,"IN",$N$220:$N$341,A72)</f>
        <v>1015281069</v>
      </c>
      <c r="C72" s="32" t="n">
        <f aca="false">SUMIFS($E$220:$E$341,$D$220:$D$341,"OUT",$N$220:$N$341,A72)</f>
        <v>371409792</v>
      </c>
      <c r="D72" s="32" t="n">
        <f aca="false">SUM($F$70:F72)</f>
        <v>382425741</v>
      </c>
      <c r="E72" s="32" t="n">
        <f aca="false">G71</f>
        <v>4140480437</v>
      </c>
      <c r="F72" s="32" t="n">
        <f aca="false">B72-C72</f>
        <v>643871277</v>
      </c>
      <c r="G72" s="32" t="n">
        <f aca="false">E72+F72</f>
        <v>4784351714</v>
      </c>
      <c r="H72" s="32" t="n">
        <f aca="false">IF(G72&lt;$B$9,$B$10-G72,0)</f>
        <v>2071614176.22435</v>
      </c>
      <c r="I72" s="32" t="n">
        <f aca="false">MAX(0,-G72)</f>
        <v>0</v>
      </c>
      <c r="J72" s="34" t="n">
        <f aca="false">H72/$B$10</f>
        <v>0.302162264135267</v>
      </c>
      <c r="K72" s="41" t="n">
        <f aca="false">IF(G72&lt;$B$9,3,0)</f>
        <v>3</v>
      </c>
      <c r="L72" s="3" t="n">
        <f aca="false">IF(G72&lt;$B$9,SUM($N$70:N72),0)</f>
        <v>1</v>
      </c>
      <c r="M72" s="3" t="n">
        <f aca="false">IF(G72&gt;$B$11,M71+1,0)</f>
        <v>0</v>
      </c>
      <c r="N72" s="3" t="n">
        <f aca="false">IF(AND(G72&lt;$B$9,G71&gt;=$B$9),1,0)</f>
        <v>0</v>
      </c>
      <c r="O72" s="3" t="n">
        <f aca="false">IF(AND(G72&lt;$B$9,G73&gt;=$B$9),1,0)</f>
        <v>1</v>
      </c>
      <c r="P72" s="3" t="n">
        <f aca="false">IF(L72&gt;0,COUNTIF($L$70:L72,L72),0)</f>
        <v>3</v>
      </c>
      <c r="Q72" s="32" t="n">
        <f aca="false">$B$10</f>
        <v>6855965890.22435</v>
      </c>
    </row>
    <row r="73" customFormat="false" ht="25.5" hidden="false" customHeight="true" outlineLevel="0" collapsed="false">
      <c r="A73" s="38" t="n">
        <f aca="false">$B$6+3</f>
        <v>46207</v>
      </c>
      <c r="B73" s="33" t="n">
        <f aca="false">SUMIFS($E$220:$E$341,$D$220:$D$341,"IN",$N$220:$N$341,A73)</f>
        <v>1915815109</v>
      </c>
      <c r="C73" s="33" t="n">
        <f aca="false">SUMIFS($E$220:$E$341,$D$220:$D$341,"OUT",$N$220:$N$341,A73)</f>
        <v>138127368</v>
      </c>
      <c r="D73" s="33" t="n">
        <f aca="false">SUM($F$70:F73)</f>
        <v>2160113482</v>
      </c>
      <c r="E73" s="33" t="n">
        <f aca="false">G72</f>
        <v>4784351714</v>
      </c>
      <c r="F73" s="33" t="n">
        <f aca="false">B73-C73</f>
        <v>1777687741</v>
      </c>
      <c r="G73" s="33" t="n">
        <f aca="false">E73+F73</f>
        <v>6562039455</v>
      </c>
      <c r="H73" s="33" t="n">
        <f aca="false">IF(G73&lt;$B$9,$B$10-G73,0)</f>
        <v>0</v>
      </c>
      <c r="I73" s="33" t="n">
        <f aca="false">MAX(0,-G73)</f>
        <v>0</v>
      </c>
      <c r="J73" s="36" t="n">
        <f aca="false">H73/$B$10</f>
        <v>0</v>
      </c>
      <c r="K73" s="45" t="n">
        <f aca="false">IF(G73&lt;$B$9,3,0)</f>
        <v>0</v>
      </c>
      <c r="L73" s="4" t="n">
        <f aca="false">IF(G73&lt;$B$9,SUM($N$70:N73),0)</f>
        <v>0</v>
      </c>
      <c r="M73" s="4" t="n">
        <f aca="false">IF(G73&gt;$B$11,M72+1,0)</f>
        <v>0</v>
      </c>
      <c r="N73" s="4" t="n">
        <f aca="false">IF(AND(G73&lt;$B$9,G72&gt;=$B$9),1,0)</f>
        <v>0</v>
      </c>
      <c r="O73" s="4" t="n">
        <f aca="false">IF(AND(G73&lt;$B$9,G74&gt;=$B$9),1,0)</f>
        <v>0</v>
      </c>
      <c r="P73" s="4" t="n">
        <f aca="false">IF(L73&gt;0,COUNTIF($L$70:L73,L73),0)</f>
        <v>0</v>
      </c>
      <c r="Q73" s="33" t="n">
        <f aca="false">$B$10</f>
        <v>6855965890.22435</v>
      </c>
    </row>
    <row r="74" customFormat="false" ht="25.5" hidden="false" customHeight="true" outlineLevel="0" collapsed="false">
      <c r="A74" s="39" t="n">
        <f aca="false">$B$6+4</f>
        <v>46208</v>
      </c>
      <c r="B74" s="32" t="n">
        <f aca="false">SUMIFS($E$220:$E$341,$D$220:$D$341,"IN",$N$220:$N$341,A74)</f>
        <v>0</v>
      </c>
      <c r="C74" s="32" t="n">
        <f aca="false">SUMIFS($E$220:$E$341,$D$220:$D$341,"OUT",$N$220:$N$341,A74)</f>
        <v>1298279892</v>
      </c>
      <c r="D74" s="32" t="n">
        <f aca="false">SUM($F$70:F74)</f>
        <v>861833590</v>
      </c>
      <c r="E74" s="32" t="n">
        <f aca="false">G73</f>
        <v>6562039455</v>
      </c>
      <c r="F74" s="32" t="n">
        <f aca="false">B74-C74</f>
        <v>-1298279892</v>
      </c>
      <c r="G74" s="32" t="n">
        <f aca="false">E74+F74</f>
        <v>5263759563</v>
      </c>
      <c r="H74" s="32" t="n">
        <f aca="false">IF(G74&lt;$B$9,$B$10-G74,0)</f>
        <v>1592206327.22435</v>
      </c>
      <c r="I74" s="32" t="n">
        <f aca="false">MAX(0,-G74)</f>
        <v>0</v>
      </c>
      <c r="J74" s="34" t="n">
        <f aca="false">H74/$B$10</f>
        <v>0.232236617380873</v>
      </c>
      <c r="K74" s="41" t="n">
        <f aca="false">IF(G74&lt;$B$9,3,0)</f>
        <v>3</v>
      </c>
      <c r="L74" s="3" t="n">
        <f aca="false">IF(G74&lt;$B$9,SUM($N$70:N74),0)</f>
        <v>2</v>
      </c>
      <c r="M74" s="3" t="n">
        <f aca="false">IF(G74&gt;$B$11,M73+1,0)</f>
        <v>0</v>
      </c>
      <c r="N74" s="3" t="n">
        <f aca="false">IF(AND(G74&lt;$B$9,G73&gt;=$B$9),1,0)</f>
        <v>1</v>
      </c>
      <c r="O74" s="3" t="n">
        <f aca="false">IF(AND(G74&lt;$B$9,G75&gt;=$B$9),1,0)</f>
        <v>0</v>
      </c>
      <c r="P74" s="3" t="n">
        <f aca="false">IF(L74&gt;0,COUNTIF($L$70:L74,L74),0)</f>
        <v>1</v>
      </c>
      <c r="Q74" s="32" t="n">
        <f aca="false">$B$10</f>
        <v>6855965890.22435</v>
      </c>
    </row>
    <row r="75" customFormat="false" ht="25.5" hidden="false" customHeight="true" outlineLevel="0" collapsed="false">
      <c r="A75" s="38" t="n">
        <f aca="false">$B$6+5</f>
        <v>46209</v>
      </c>
      <c r="B75" s="33" t="n">
        <f aca="false">SUMIFS($E$220:$E$341,$D$220:$D$341,"IN",$N$220:$N$341,A75)</f>
        <v>0</v>
      </c>
      <c r="C75" s="33" t="n">
        <f aca="false">SUMIFS($E$220:$E$341,$D$220:$D$341,"OUT",$N$220:$N$341,A75)</f>
        <v>0</v>
      </c>
      <c r="D75" s="33" t="n">
        <f aca="false">SUM($F$70:F75)</f>
        <v>861833590</v>
      </c>
      <c r="E75" s="33" t="n">
        <f aca="false">G74</f>
        <v>5263759563</v>
      </c>
      <c r="F75" s="33" t="n">
        <f aca="false">B75-C75</f>
        <v>0</v>
      </c>
      <c r="G75" s="33" t="n">
        <f aca="false">E75+F75</f>
        <v>5263759563</v>
      </c>
      <c r="H75" s="33" t="n">
        <f aca="false">IF(G75&lt;$B$9,$B$10-G75,0)</f>
        <v>1592206327.22435</v>
      </c>
      <c r="I75" s="33" t="n">
        <f aca="false">MAX(0,-G75)</f>
        <v>0</v>
      </c>
      <c r="J75" s="36" t="n">
        <f aca="false">H75/$B$10</f>
        <v>0.232236617380873</v>
      </c>
      <c r="K75" s="45" t="n">
        <f aca="false">IF(G75&lt;$B$9,3,0)</f>
        <v>3</v>
      </c>
      <c r="L75" s="4" t="n">
        <f aca="false">IF(G75&lt;$B$9,SUM($N$70:N75),0)</f>
        <v>2</v>
      </c>
      <c r="M75" s="4" t="n">
        <f aca="false">IF(G75&gt;$B$11,M74+1,0)</f>
        <v>0</v>
      </c>
      <c r="N75" s="4" t="n">
        <f aca="false">IF(AND(G75&lt;$B$9,G74&gt;=$B$9),1,0)</f>
        <v>0</v>
      </c>
      <c r="O75" s="4" t="n">
        <f aca="false">IF(AND(G75&lt;$B$9,G76&gt;=$B$9),1,0)</f>
        <v>0</v>
      </c>
      <c r="P75" s="4" t="n">
        <f aca="false">IF(L75&gt;0,COUNTIF($L$70:L75,L75),0)</f>
        <v>2</v>
      </c>
      <c r="Q75" s="33" t="n">
        <f aca="false">$B$10</f>
        <v>6855965890.22435</v>
      </c>
    </row>
    <row r="76" customFormat="false" ht="25.5" hidden="false" customHeight="true" outlineLevel="0" collapsed="false">
      <c r="A76" s="39" t="n">
        <f aca="false">$B$6+6</f>
        <v>46210</v>
      </c>
      <c r="B76" s="32" t="n">
        <f aca="false">SUMIFS($E$220:$E$341,$D$220:$D$341,"IN",$N$220:$N$341,A76)</f>
        <v>320784319</v>
      </c>
      <c r="C76" s="32" t="n">
        <f aca="false">SUMIFS($E$220:$E$341,$D$220:$D$341,"OUT",$N$220:$N$341,A76)</f>
        <v>1068969126</v>
      </c>
      <c r="D76" s="32" t="n">
        <f aca="false">SUM($F$70:F76)</f>
        <v>113648783</v>
      </c>
      <c r="E76" s="32" t="n">
        <f aca="false">G75</f>
        <v>5263759563</v>
      </c>
      <c r="F76" s="32" t="n">
        <f aca="false">B76-C76</f>
        <v>-748184807</v>
      </c>
      <c r="G76" s="32" t="n">
        <f aca="false">E76+F76</f>
        <v>4515574756</v>
      </c>
      <c r="H76" s="32" t="n">
        <f aca="false">IF(G76&lt;$B$9,$B$10-G76,0)</f>
        <v>2340391134.22435</v>
      </c>
      <c r="I76" s="32" t="n">
        <f aca="false">MAX(0,-G76)</f>
        <v>0</v>
      </c>
      <c r="J76" s="34" t="n">
        <f aca="false">H76/$B$10</f>
        <v>0.341365632749343</v>
      </c>
      <c r="K76" s="41" t="n">
        <f aca="false">IF(G76&lt;$B$9,3,0)</f>
        <v>3</v>
      </c>
      <c r="L76" s="3" t="n">
        <f aca="false">IF(G76&lt;$B$9,SUM($N$70:N76),0)</f>
        <v>2</v>
      </c>
      <c r="M76" s="3" t="n">
        <f aca="false">IF(G76&gt;$B$11,M75+1,0)</f>
        <v>0</v>
      </c>
      <c r="N76" s="3" t="n">
        <f aca="false">IF(AND(G76&lt;$B$9,G75&gt;=$B$9),1,0)</f>
        <v>0</v>
      </c>
      <c r="O76" s="3" t="n">
        <f aca="false">IF(AND(G76&lt;$B$9,G77&gt;=$B$9),1,0)</f>
        <v>0</v>
      </c>
      <c r="P76" s="3" t="n">
        <f aca="false">IF(L76&gt;0,COUNTIF($L$70:L76,L76),0)</f>
        <v>3</v>
      </c>
      <c r="Q76" s="32" t="n">
        <f aca="false">$B$10</f>
        <v>6855965890.22435</v>
      </c>
    </row>
    <row r="77" customFormat="false" ht="25.5" hidden="false" customHeight="true" outlineLevel="0" collapsed="false">
      <c r="A77" s="38" t="n">
        <f aca="false">$B$6+7</f>
        <v>46211</v>
      </c>
      <c r="B77" s="33" t="n">
        <f aca="false">SUMIFS($E$220:$E$341,$D$220:$D$341,"IN",$N$220:$N$341,A77)</f>
        <v>799012315</v>
      </c>
      <c r="C77" s="33" t="n">
        <f aca="false">SUMIFS($E$220:$E$341,$D$220:$D$341,"OUT",$N$220:$N$341,A77)</f>
        <v>0</v>
      </c>
      <c r="D77" s="33" t="n">
        <f aca="false">SUM($F$70:F77)</f>
        <v>912661098</v>
      </c>
      <c r="E77" s="33" t="n">
        <f aca="false">G76</f>
        <v>4515574756</v>
      </c>
      <c r="F77" s="33" t="n">
        <f aca="false">B77-C77</f>
        <v>799012315</v>
      </c>
      <c r="G77" s="33" t="n">
        <f aca="false">E77+F77</f>
        <v>5314587071</v>
      </c>
      <c r="H77" s="33" t="n">
        <f aca="false">IF(G77&lt;$B$9,$B$10-G77,0)</f>
        <v>1541378819.22435</v>
      </c>
      <c r="I77" s="33" t="n">
        <f aca="false">MAX(0,-G77)</f>
        <v>0</v>
      </c>
      <c r="J77" s="36" t="n">
        <f aca="false">H77/$B$10</f>
        <v>0.224822999983436</v>
      </c>
      <c r="K77" s="45" t="n">
        <f aca="false">IF(G77&lt;$B$9,3,0)</f>
        <v>3</v>
      </c>
      <c r="L77" s="4" t="n">
        <f aca="false">IF(G77&lt;$B$9,SUM($N$70:N77),0)</f>
        <v>2</v>
      </c>
      <c r="M77" s="4" t="n">
        <f aca="false">IF(G77&gt;$B$11,M76+1,0)</f>
        <v>0</v>
      </c>
      <c r="N77" s="4" t="n">
        <f aca="false">IF(AND(G77&lt;$B$9,G76&gt;=$B$9),1,0)</f>
        <v>0</v>
      </c>
      <c r="O77" s="4" t="n">
        <f aca="false">IF(AND(G77&lt;$B$9,G78&gt;=$B$9),1,0)</f>
        <v>1</v>
      </c>
      <c r="P77" s="4" t="n">
        <f aca="false">IF(L77&gt;0,COUNTIF($L$70:L77,L77),0)</f>
        <v>4</v>
      </c>
      <c r="Q77" s="33" t="n">
        <f aca="false">$B$10</f>
        <v>6855965890.22435</v>
      </c>
    </row>
    <row r="78" customFormat="false" ht="25.5" hidden="false" customHeight="true" outlineLevel="0" collapsed="false">
      <c r="A78" s="39" t="n">
        <f aca="false">$B$6+8</f>
        <v>46212</v>
      </c>
      <c r="B78" s="32" t="n">
        <f aca="false">SUMIFS($E$220:$E$341,$D$220:$D$341,"IN",$N$220:$N$341,A78)</f>
        <v>574833910</v>
      </c>
      <c r="C78" s="32" t="n">
        <f aca="false">SUMIFS($E$220:$E$341,$D$220:$D$341,"OUT",$N$220:$N$341,A78)</f>
        <v>0</v>
      </c>
      <c r="D78" s="32" t="n">
        <f aca="false">SUM($F$70:F78)</f>
        <v>1487495008</v>
      </c>
      <c r="E78" s="32" t="n">
        <f aca="false">G77</f>
        <v>5314587071</v>
      </c>
      <c r="F78" s="32" t="n">
        <f aca="false">B78-C78</f>
        <v>574833910</v>
      </c>
      <c r="G78" s="32" t="n">
        <f aca="false">E78+F78</f>
        <v>5889420981</v>
      </c>
      <c r="H78" s="32" t="n">
        <f aca="false">IF(G78&lt;$B$9,$B$10-G78,0)</f>
        <v>0</v>
      </c>
      <c r="I78" s="32" t="n">
        <f aca="false">MAX(0,-G78)</f>
        <v>0</v>
      </c>
      <c r="J78" s="34" t="n">
        <f aca="false">H78/$B$10</f>
        <v>0</v>
      </c>
      <c r="K78" s="41" t="n">
        <f aca="false">IF(G78&lt;$B$9,3,0)</f>
        <v>0</v>
      </c>
      <c r="L78" s="3" t="n">
        <f aca="false">IF(G78&lt;$B$9,SUM($N$70:N78),0)</f>
        <v>0</v>
      </c>
      <c r="M78" s="3" t="n">
        <f aca="false">IF(G78&gt;$B$11,M77+1,0)</f>
        <v>0</v>
      </c>
      <c r="N78" s="3" t="n">
        <f aca="false">IF(AND(G78&lt;$B$9,G77&gt;=$B$9),1,0)</f>
        <v>0</v>
      </c>
      <c r="O78" s="3" t="n">
        <f aca="false">IF(AND(G78&lt;$B$9,G79&gt;=$B$9),1,0)</f>
        <v>0</v>
      </c>
      <c r="P78" s="3" t="n">
        <f aca="false">IF(L78&gt;0,COUNTIF($L$70:L78,L78),0)</f>
        <v>0</v>
      </c>
      <c r="Q78" s="32" t="n">
        <f aca="false">$B$10</f>
        <v>6855965890.22435</v>
      </c>
    </row>
    <row r="79" customFormat="false" ht="25.5" hidden="false" customHeight="true" outlineLevel="0" collapsed="false">
      <c r="A79" s="38" t="n">
        <f aca="false">$B$6+9</f>
        <v>46213</v>
      </c>
      <c r="B79" s="33" t="n">
        <f aca="false">SUMIFS($E$220:$E$341,$D$220:$D$341,"IN",$N$220:$N$341,A79)</f>
        <v>3316615969</v>
      </c>
      <c r="C79" s="33" t="n">
        <f aca="false">SUMIFS($E$220:$E$341,$D$220:$D$341,"OUT",$N$220:$N$341,A79)</f>
        <v>94380226</v>
      </c>
      <c r="D79" s="33" t="n">
        <f aca="false">SUM($F$70:F79)</f>
        <v>4709730751</v>
      </c>
      <c r="E79" s="33" t="n">
        <f aca="false">G78</f>
        <v>5889420981</v>
      </c>
      <c r="F79" s="33" t="n">
        <f aca="false">B79-C79</f>
        <v>3222235743</v>
      </c>
      <c r="G79" s="33" t="n">
        <f aca="false">E79+F79</f>
        <v>9111656724</v>
      </c>
      <c r="H79" s="33" t="n">
        <f aca="false">IF(G79&lt;$B$9,$B$10-G79,0)</f>
        <v>0</v>
      </c>
      <c r="I79" s="33" t="n">
        <f aca="false">MAX(0,-G79)</f>
        <v>0</v>
      </c>
      <c r="J79" s="36" t="n">
        <f aca="false">H79/$B$10</f>
        <v>0</v>
      </c>
      <c r="K79" s="45" t="n">
        <f aca="false">IF(G79&lt;$B$9,3,0)</f>
        <v>0</v>
      </c>
      <c r="L79" s="4" t="n">
        <f aca="false">IF(G79&lt;$B$9,SUM($N$70:N79),0)</f>
        <v>0</v>
      </c>
      <c r="M79" s="4" t="n">
        <f aca="false">IF(G79&gt;$B$11,M78+1,0)</f>
        <v>0</v>
      </c>
      <c r="N79" s="4" t="n">
        <f aca="false">IF(AND(G79&lt;$B$9,G78&gt;=$B$9),1,0)</f>
        <v>0</v>
      </c>
      <c r="O79" s="4" t="n">
        <f aca="false">IF(AND(G79&lt;$B$9,G80&gt;=$B$9),1,0)</f>
        <v>0</v>
      </c>
      <c r="P79" s="4" t="n">
        <f aca="false">IF(L79&gt;0,COUNTIF($L$70:L79,L79),0)</f>
        <v>0</v>
      </c>
      <c r="Q79" s="33" t="n">
        <f aca="false">$B$10</f>
        <v>6855965890.22435</v>
      </c>
    </row>
    <row r="80" customFormat="false" ht="25.5" hidden="false" customHeight="true" outlineLevel="0" collapsed="false">
      <c r="A80" s="39" t="n">
        <f aca="false">$B$6+10</f>
        <v>46214</v>
      </c>
      <c r="B80" s="32" t="n">
        <f aca="false">SUMIFS($E$220:$E$341,$D$220:$D$341,"IN",$N$220:$N$341,A80)</f>
        <v>967551008</v>
      </c>
      <c r="C80" s="32" t="n">
        <f aca="false">SUMIFS($E$220:$E$341,$D$220:$D$341,"OUT",$N$220:$N$341,A80)</f>
        <v>389201455</v>
      </c>
      <c r="D80" s="32" t="n">
        <f aca="false">SUM($F$70:F80)</f>
        <v>5288080304</v>
      </c>
      <c r="E80" s="32" t="n">
        <f aca="false">G79</f>
        <v>9111656724</v>
      </c>
      <c r="F80" s="32" t="n">
        <f aca="false">B80-C80</f>
        <v>578349553</v>
      </c>
      <c r="G80" s="32" t="n">
        <f aca="false">E80+F80</f>
        <v>9690006277</v>
      </c>
      <c r="H80" s="32" t="n">
        <f aca="false">IF(G80&lt;$B$9,$B$10-G80,0)</f>
        <v>0</v>
      </c>
      <c r="I80" s="32" t="n">
        <f aca="false">MAX(0,-G80)</f>
        <v>0</v>
      </c>
      <c r="J80" s="34" t="n">
        <f aca="false">H80/$B$10</f>
        <v>0</v>
      </c>
      <c r="K80" s="41" t="n">
        <f aca="false">IF(G80&lt;$B$9,3,0)</f>
        <v>0</v>
      </c>
      <c r="L80" s="3" t="n">
        <f aca="false">IF(G80&lt;$B$9,SUM($N$70:N80),0)</f>
        <v>0</v>
      </c>
      <c r="M80" s="3" t="n">
        <f aca="false">IF(G80&gt;$B$11,M79+1,0)</f>
        <v>1</v>
      </c>
      <c r="N80" s="3" t="n">
        <f aca="false">IF(AND(G80&lt;$B$9,G79&gt;=$B$9),1,0)</f>
        <v>0</v>
      </c>
      <c r="O80" s="3" t="n">
        <f aca="false">IF(AND(G80&lt;$B$9,G81&gt;=$B$9),1,0)</f>
        <v>0</v>
      </c>
      <c r="P80" s="3" t="n">
        <f aca="false">IF(L80&gt;0,COUNTIF($L$70:L80,L80),0)</f>
        <v>0</v>
      </c>
      <c r="Q80" s="32" t="n">
        <f aca="false">$B$10</f>
        <v>6855965890.22435</v>
      </c>
    </row>
    <row r="81" customFormat="false" ht="25.5" hidden="false" customHeight="true" outlineLevel="0" collapsed="false">
      <c r="A81" s="38" t="n">
        <f aca="false">$B$6+11</f>
        <v>46215</v>
      </c>
      <c r="B81" s="33" t="n">
        <f aca="false">SUMIFS($E$220:$E$341,$D$220:$D$341,"IN",$N$220:$N$341,A81)</f>
        <v>461323390</v>
      </c>
      <c r="C81" s="33" t="n">
        <f aca="false">SUMIFS($E$220:$E$341,$D$220:$D$341,"OUT",$N$220:$N$341,A81)</f>
        <v>0</v>
      </c>
      <c r="D81" s="33" t="n">
        <f aca="false">SUM($F$70:F81)</f>
        <v>5749403694</v>
      </c>
      <c r="E81" s="33" t="n">
        <f aca="false">G80</f>
        <v>9690006277</v>
      </c>
      <c r="F81" s="33" t="n">
        <f aca="false">B81-C81</f>
        <v>461323390</v>
      </c>
      <c r="G81" s="33" t="n">
        <f aca="false">E81+F81</f>
        <v>10151329667</v>
      </c>
      <c r="H81" s="33" t="n">
        <f aca="false">IF(G81&lt;$B$9,$B$10-G81,0)</f>
        <v>0</v>
      </c>
      <c r="I81" s="33" t="n">
        <f aca="false">MAX(0,-G81)</f>
        <v>0</v>
      </c>
      <c r="J81" s="36" t="n">
        <f aca="false">H81/$B$10</f>
        <v>0</v>
      </c>
      <c r="K81" s="45" t="n">
        <f aca="false">IF(G81&lt;$B$9,3,0)</f>
        <v>0</v>
      </c>
      <c r="L81" s="4" t="n">
        <f aca="false">IF(G81&lt;$B$9,SUM($N$70:N81),0)</f>
        <v>0</v>
      </c>
      <c r="M81" s="4" t="n">
        <f aca="false">IF(G81&gt;$B$11,M80+1,0)</f>
        <v>2</v>
      </c>
      <c r="N81" s="4" t="n">
        <f aca="false">IF(AND(G81&lt;$B$9,G80&gt;=$B$9),1,0)</f>
        <v>0</v>
      </c>
      <c r="O81" s="4" t="n">
        <f aca="false">IF(AND(G81&lt;$B$9,G82&gt;=$B$9),1,0)</f>
        <v>0</v>
      </c>
      <c r="P81" s="4" t="n">
        <f aca="false">IF(L81&gt;0,COUNTIF($L$70:L81,L81),0)</f>
        <v>0</v>
      </c>
      <c r="Q81" s="33" t="n">
        <f aca="false">$B$10</f>
        <v>6855965890.22435</v>
      </c>
    </row>
    <row r="82" customFormat="false" ht="25.5" hidden="false" customHeight="true" outlineLevel="0" collapsed="false">
      <c r="A82" s="39" t="n">
        <f aca="false">$B$6+12</f>
        <v>46216</v>
      </c>
      <c r="B82" s="32" t="n">
        <f aca="false">SUMIFS($E$220:$E$341,$D$220:$D$341,"IN",$N$220:$N$341,A82)</f>
        <v>0</v>
      </c>
      <c r="C82" s="32" t="n">
        <f aca="false">SUMIFS($E$220:$E$341,$D$220:$D$341,"OUT",$N$220:$N$341,A82)</f>
        <v>0</v>
      </c>
      <c r="D82" s="32" t="n">
        <f aca="false">SUM($F$70:F82)</f>
        <v>5749403694</v>
      </c>
      <c r="E82" s="32" t="n">
        <f aca="false">G81</f>
        <v>10151329667</v>
      </c>
      <c r="F82" s="32" t="n">
        <f aca="false">B82-C82</f>
        <v>0</v>
      </c>
      <c r="G82" s="32" t="n">
        <f aca="false">E82+F82</f>
        <v>10151329667</v>
      </c>
      <c r="H82" s="32" t="n">
        <f aca="false">IF(G82&lt;$B$9,$B$10-G82,0)</f>
        <v>0</v>
      </c>
      <c r="I82" s="32" t="n">
        <f aca="false">MAX(0,-G82)</f>
        <v>0</v>
      </c>
      <c r="J82" s="34" t="n">
        <f aca="false">H82/$B$10</f>
        <v>0</v>
      </c>
      <c r="K82" s="41" t="n">
        <f aca="false">IF(G82&lt;$B$9,3,0)</f>
        <v>0</v>
      </c>
      <c r="L82" s="3" t="n">
        <f aca="false">IF(G82&lt;$B$9,SUM($N$70:N82),0)</f>
        <v>0</v>
      </c>
      <c r="M82" s="3" t="n">
        <f aca="false">IF(G82&gt;$B$11,M81+1,0)</f>
        <v>3</v>
      </c>
      <c r="N82" s="3" t="n">
        <f aca="false">IF(AND(G82&lt;$B$9,G81&gt;=$B$9),1,0)</f>
        <v>0</v>
      </c>
      <c r="O82" s="3" t="n">
        <f aca="false">IF(AND(G82&lt;$B$9,G83&gt;=$B$9),1,0)</f>
        <v>0</v>
      </c>
      <c r="P82" s="3" t="n">
        <f aca="false">IF(L82&gt;0,COUNTIF($L$70:L82,L82),0)</f>
        <v>0</v>
      </c>
      <c r="Q82" s="32" t="n">
        <f aca="false">$B$10</f>
        <v>6855965890.22435</v>
      </c>
    </row>
    <row r="83" customFormat="false" ht="25.5" hidden="false" customHeight="true" outlineLevel="0" collapsed="false">
      <c r="A83" s="38" t="n">
        <f aca="false">$B$6+13</f>
        <v>46217</v>
      </c>
      <c r="B83" s="33" t="n">
        <f aca="false">SUMIFS($E$220:$E$341,$D$220:$D$341,"IN",$N$220:$N$341,A83)</f>
        <v>1251844762</v>
      </c>
      <c r="C83" s="33" t="n">
        <f aca="false">SUMIFS($E$220:$E$341,$D$220:$D$341,"OUT",$N$220:$N$341,A83)</f>
        <v>346608630</v>
      </c>
      <c r="D83" s="33" t="n">
        <f aca="false">SUM($F$70:F83)</f>
        <v>6654639826</v>
      </c>
      <c r="E83" s="33" t="n">
        <f aca="false">G82</f>
        <v>10151329667</v>
      </c>
      <c r="F83" s="33" t="n">
        <f aca="false">B83-C83</f>
        <v>905236132</v>
      </c>
      <c r="G83" s="33" t="n">
        <f aca="false">E83+F83</f>
        <v>11056565799</v>
      </c>
      <c r="H83" s="33" t="n">
        <f aca="false">IF(G83&lt;$B$9,$B$10-G83,0)</f>
        <v>0</v>
      </c>
      <c r="I83" s="33" t="n">
        <f aca="false">MAX(0,-G83)</f>
        <v>0</v>
      </c>
      <c r="J83" s="36" t="n">
        <f aca="false">H83/$B$10</f>
        <v>0</v>
      </c>
      <c r="K83" s="45" t="n">
        <f aca="false">IF(G83&lt;$B$9,3,0)</f>
        <v>0</v>
      </c>
      <c r="L83" s="4" t="n">
        <f aca="false">IF(G83&lt;$B$9,SUM($N$70:N83),0)</f>
        <v>0</v>
      </c>
      <c r="M83" s="4" t="n">
        <f aca="false">IF(G83&gt;$B$11,M82+1,0)</f>
        <v>4</v>
      </c>
      <c r="N83" s="4" t="n">
        <f aca="false">IF(AND(G83&lt;$B$9,G82&gt;=$B$9),1,0)</f>
        <v>0</v>
      </c>
      <c r="O83" s="4" t="n">
        <f aca="false">IF(AND(G83&lt;$B$9,G84&gt;=$B$9),1,0)</f>
        <v>0</v>
      </c>
      <c r="P83" s="4" t="n">
        <f aca="false">IF(L83&gt;0,COUNTIF($L$70:L83,L83),0)</f>
        <v>0</v>
      </c>
      <c r="Q83" s="33" t="n">
        <f aca="false">$B$10</f>
        <v>6855965890.22435</v>
      </c>
    </row>
    <row r="84" customFormat="false" ht="25.5" hidden="false" customHeight="true" outlineLevel="0" collapsed="false">
      <c r="A84" s="39" t="n">
        <f aca="false">$B$6+14</f>
        <v>46218</v>
      </c>
      <c r="B84" s="32" t="n">
        <f aca="false">SUMIFS($E$220:$E$341,$D$220:$D$341,"IN",$N$220:$N$341,A84)</f>
        <v>946197645</v>
      </c>
      <c r="C84" s="32" t="n">
        <f aca="false">SUMIFS($E$220:$E$341,$D$220:$D$341,"OUT",$N$220:$N$341,A84)</f>
        <v>852090691</v>
      </c>
      <c r="D84" s="32" t="n">
        <f aca="false">SUM($F$70:F84)</f>
        <v>6748746780</v>
      </c>
      <c r="E84" s="32" t="n">
        <f aca="false">G83</f>
        <v>11056565799</v>
      </c>
      <c r="F84" s="32" t="n">
        <f aca="false">B84-C84</f>
        <v>94106954</v>
      </c>
      <c r="G84" s="32" t="n">
        <f aca="false">E84+F84</f>
        <v>11150672753</v>
      </c>
      <c r="H84" s="32" t="n">
        <f aca="false">IF(G84&lt;$B$9,$B$10-G84,0)</f>
        <v>0</v>
      </c>
      <c r="I84" s="32" t="n">
        <f aca="false">MAX(0,-G84)</f>
        <v>0</v>
      </c>
      <c r="J84" s="34" t="n">
        <f aca="false">H84/$B$10</f>
        <v>0</v>
      </c>
      <c r="K84" s="41" t="n">
        <f aca="false">IF(G84&lt;$B$9,3,0)</f>
        <v>0</v>
      </c>
      <c r="L84" s="3" t="n">
        <f aca="false">IF(G84&lt;$B$9,SUM($N$70:N84),0)</f>
        <v>0</v>
      </c>
      <c r="M84" s="3" t="n">
        <f aca="false">IF(G84&gt;$B$11,M83+1,0)</f>
        <v>5</v>
      </c>
      <c r="N84" s="3" t="n">
        <f aca="false">IF(AND(G84&lt;$B$9,G83&gt;=$B$9),1,0)</f>
        <v>0</v>
      </c>
      <c r="O84" s="3" t="n">
        <f aca="false">IF(AND(G84&lt;$B$9,G85&gt;=$B$9),1,0)</f>
        <v>0</v>
      </c>
      <c r="P84" s="3" t="n">
        <f aca="false">IF(L84&gt;0,COUNTIF($L$70:L84,L84),0)</f>
        <v>0</v>
      </c>
      <c r="Q84" s="32" t="n">
        <f aca="false">$B$10</f>
        <v>6855965890.22435</v>
      </c>
    </row>
    <row r="85" customFormat="false" ht="25.5" hidden="false" customHeight="true" outlineLevel="0" collapsed="false">
      <c r="A85" s="38" t="n">
        <f aca="false">$B$6+15</f>
        <v>46219</v>
      </c>
      <c r="B85" s="33" t="n">
        <f aca="false">SUMIFS($E$220:$E$341,$D$220:$D$341,"IN",$N$220:$N$341,A85)</f>
        <v>0</v>
      </c>
      <c r="C85" s="33" t="n">
        <f aca="false">SUMIFS($E$220:$E$341,$D$220:$D$341,"OUT",$N$220:$N$341,A85)</f>
        <v>0</v>
      </c>
      <c r="D85" s="33" t="n">
        <f aca="false">SUM($F$70:F85)</f>
        <v>6748746780</v>
      </c>
      <c r="E85" s="33" t="n">
        <f aca="false">G84</f>
        <v>11150672753</v>
      </c>
      <c r="F85" s="33" t="n">
        <f aca="false">B85-C85</f>
        <v>0</v>
      </c>
      <c r="G85" s="33" t="n">
        <f aca="false">E85+F85</f>
        <v>11150672753</v>
      </c>
      <c r="H85" s="33" t="n">
        <f aca="false">IF(G85&lt;$B$9,$B$10-G85,0)</f>
        <v>0</v>
      </c>
      <c r="I85" s="33" t="n">
        <f aca="false">MAX(0,-G85)</f>
        <v>0</v>
      </c>
      <c r="J85" s="36" t="n">
        <f aca="false">H85/$B$10</f>
        <v>0</v>
      </c>
      <c r="K85" s="45" t="n">
        <f aca="false">IF(G85&lt;$B$9,3,0)</f>
        <v>0</v>
      </c>
      <c r="L85" s="4" t="n">
        <f aca="false">IF(G85&lt;$B$9,SUM($N$70:N85),0)</f>
        <v>0</v>
      </c>
      <c r="M85" s="4" t="n">
        <f aca="false">IF(G85&gt;$B$11,M84+1,0)</f>
        <v>6</v>
      </c>
      <c r="N85" s="4" t="n">
        <f aca="false">IF(AND(G85&lt;$B$9,G84&gt;=$B$9),1,0)</f>
        <v>0</v>
      </c>
      <c r="O85" s="4" t="n">
        <f aca="false">IF(AND(G85&lt;$B$9,G86&gt;=$B$9),1,0)</f>
        <v>0</v>
      </c>
      <c r="P85" s="4" t="n">
        <f aca="false">IF(L85&gt;0,COUNTIF($L$70:L85,L85),0)</f>
        <v>0</v>
      </c>
      <c r="Q85" s="33" t="n">
        <f aca="false">$B$10</f>
        <v>6855965890.22435</v>
      </c>
    </row>
    <row r="86" customFormat="false" ht="25.5" hidden="false" customHeight="true" outlineLevel="0" collapsed="false">
      <c r="A86" s="39" t="n">
        <f aca="false">$B$6+16</f>
        <v>46220</v>
      </c>
      <c r="B86" s="32" t="n">
        <f aca="false">SUMIFS($E$220:$E$341,$D$220:$D$341,"IN",$N$220:$N$341,A86)</f>
        <v>0</v>
      </c>
      <c r="C86" s="32" t="n">
        <f aca="false">SUMIFS($E$220:$E$341,$D$220:$D$341,"OUT",$N$220:$N$341,A86)</f>
        <v>0</v>
      </c>
      <c r="D86" s="32" t="n">
        <f aca="false">SUM($F$70:F86)</f>
        <v>6748746780</v>
      </c>
      <c r="E86" s="32" t="n">
        <f aca="false">G85</f>
        <v>11150672753</v>
      </c>
      <c r="F86" s="32" t="n">
        <f aca="false">B86-C86</f>
        <v>0</v>
      </c>
      <c r="G86" s="32" t="n">
        <f aca="false">E86+F86</f>
        <v>11150672753</v>
      </c>
      <c r="H86" s="32" t="n">
        <f aca="false">IF(G86&lt;$B$9,$B$10-G86,0)</f>
        <v>0</v>
      </c>
      <c r="I86" s="32" t="n">
        <f aca="false">MAX(0,-G86)</f>
        <v>0</v>
      </c>
      <c r="J86" s="34" t="n">
        <f aca="false">H86/$B$10</f>
        <v>0</v>
      </c>
      <c r="K86" s="41" t="n">
        <f aca="false">IF(G86&lt;$B$9,3,0)</f>
        <v>0</v>
      </c>
      <c r="L86" s="3" t="n">
        <f aca="false">IF(G86&lt;$B$9,SUM($N$70:N86),0)</f>
        <v>0</v>
      </c>
      <c r="M86" s="3" t="n">
        <f aca="false">IF(G86&gt;$B$11,M85+1,0)</f>
        <v>7</v>
      </c>
      <c r="N86" s="3" t="n">
        <f aca="false">IF(AND(G86&lt;$B$9,G85&gt;=$B$9),1,0)</f>
        <v>0</v>
      </c>
      <c r="O86" s="3" t="n">
        <f aca="false">IF(AND(G86&lt;$B$9,G87&gt;=$B$9),1,0)</f>
        <v>0</v>
      </c>
      <c r="P86" s="3" t="n">
        <f aca="false">IF(L86&gt;0,COUNTIF($L$70:L86,L86),0)</f>
        <v>0</v>
      </c>
      <c r="Q86" s="32" t="n">
        <f aca="false">$B$10</f>
        <v>6855965890.22435</v>
      </c>
    </row>
    <row r="87" customFormat="false" ht="25.5" hidden="false" customHeight="true" outlineLevel="0" collapsed="false">
      <c r="A87" s="38" t="n">
        <f aca="false">$B$6+17</f>
        <v>46221</v>
      </c>
      <c r="B87" s="33" t="n">
        <f aca="false">SUMIFS($E$220:$E$341,$D$220:$D$341,"IN",$N$220:$N$341,A87)</f>
        <v>1219755913</v>
      </c>
      <c r="C87" s="33" t="n">
        <f aca="false">SUMIFS($E$220:$E$341,$D$220:$D$341,"OUT",$N$220:$N$341,A87)</f>
        <v>572395350</v>
      </c>
      <c r="D87" s="33" t="n">
        <f aca="false">SUM($F$70:F87)</f>
        <v>7396107343</v>
      </c>
      <c r="E87" s="33" t="n">
        <f aca="false">G86</f>
        <v>11150672753</v>
      </c>
      <c r="F87" s="33" t="n">
        <f aca="false">B87-C87</f>
        <v>647360563</v>
      </c>
      <c r="G87" s="33" t="n">
        <f aca="false">E87+F87</f>
        <v>11798033316</v>
      </c>
      <c r="H87" s="33" t="n">
        <f aca="false">IF(G87&lt;$B$9,$B$10-G87,0)</f>
        <v>0</v>
      </c>
      <c r="I87" s="33" t="n">
        <f aca="false">MAX(0,-G87)</f>
        <v>0</v>
      </c>
      <c r="J87" s="36" t="n">
        <f aca="false">H87/$B$10</f>
        <v>0</v>
      </c>
      <c r="K87" s="45" t="n">
        <f aca="false">IF(G87&lt;$B$9,3,0)</f>
        <v>0</v>
      </c>
      <c r="L87" s="4" t="n">
        <f aca="false">IF(G87&lt;$B$9,SUM($N$70:N87),0)</f>
        <v>0</v>
      </c>
      <c r="M87" s="4" t="n">
        <f aca="false">IF(G87&gt;$B$11,M86+1,0)</f>
        <v>8</v>
      </c>
      <c r="N87" s="4" t="n">
        <f aca="false">IF(AND(G87&lt;$B$9,G86&gt;=$B$9),1,0)</f>
        <v>0</v>
      </c>
      <c r="O87" s="4" t="n">
        <f aca="false">IF(AND(G87&lt;$B$9,G88&gt;=$B$9),1,0)</f>
        <v>0</v>
      </c>
      <c r="P87" s="4" t="n">
        <f aca="false">IF(L87&gt;0,COUNTIF($L$70:L87,L87),0)</f>
        <v>0</v>
      </c>
      <c r="Q87" s="33" t="n">
        <f aca="false">$B$10</f>
        <v>6855965890.22435</v>
      </c>
    </row>
    <row r="88" customFormat="false" ht="25.5" hidden="false" customHeight="true" outlineLevel="0" collapsed="false">
      <c r="A88" s="39" t="n">
        <f aca="false">$B$6+18</f>
        <v>46222</v>
      </c>
      <c r="B88" s="32" t="n">
        <f aca="false">SUMIFS($E$220:$E$341,$D$220:$D$341,"IN",$N$220:$N$341,A88)</f>
        <v>560298165</v>
      </c>
      <c r="C88" s="32" t="n">
        <f aca="false">SUMIFS($E$220:$E$341,$D$220:$D$341,"OUT",$N$220:$N$341,A88)</f>
        <v>0</v>
      </c>
      <c r="D88" s="32" t="n">
        <f aca="false">SUM($F$70:F88)</f>
        <v>7956405508</v>
      </c>
      <c r="E88" s="32" t="n">
        <f aca="false">G87</f>
        <v>11798033316</v>
      </c>
      <c r="F88" s="32" t="n">
        <f aca="false">B88-C88</f>
        <v>560298165</v>
      </c>
      <c r="G88" s="32" t="n">
        <f aca="false">E88+F88</f>
        <v>12358331481</v>
      </c>
      <c r="H88" s="32" t="n">
        <f aca="false">IF(G88&lt;$B$9,$B$10-G88,0)</f>
        <v>0</v>
      </c>
      <c r="I88" s="32" t="n">
        <f aca="false">MAX(0,-G88)</f>
        <v>0</v>
      </c>
      <c r="J88" s="34" t="n">
        <f aca="false">H88/$B$10</f>
        <v>0</v>
      </c>
      <c r="K88" s="41" t="n">
        <f aca="false">IF(G88&lt;$B$9,3,0)</f>
        <v>0</v>
      </c>
      <c r="L88" s="3" t="n">
        <f aca="false">IF(G88&lt;$B$9,SUM($N$70:N88),0)</f>
        <v>0</v>
      </c>
      <c r="M88" s="3" t="n">
        <f aca="false">IF(G88&gt;$B$11,M87+1,0)</f>
        <v>9</v>
      </c>
      <c r="N88" s="3" t="n">
        <f aca="false">IF(AND(G88&lt;$B$9,G87&gt;=$B$9),1,0)</f>
        <v>0</v>
      </c>
      <c r="O88" s="3" t="n">
        <f aca="false">IF(AND(G88&lt;$B$9,G89&gt;=$B$9),1,0)</f>
        <v>0</v>
      </c>
      <c r="P88" s="3" t="n">
        <f aca="false">IF(L88&gt;0,COUNTIF($L$70:L88,L88),0)</f>
        <v>0</v>
      </c>
      <c r="Q88" s="32" t="n">
        <f aca="false">$B$10</f>
        <v>6855965890.22435</v>
      </c>
    </row>
    <row r="89" customFormat="false" ht="25.5" hidden="false" customHeight="true" outlineLevel="0" collapsed="false">
      <c r="A89" s="38" t="n">
        <f aca="false">$B$6+19</f>
        <v>46223</v>
      </c>
      <c r="B89" s="33" t="n">
        <f aca="false">SUMIFS($E$220:$E$341,$D$220:$D$341,"IN",$N$220:$N$341,A89)</f>
        <v>927740677</v>
      </c>
      <c r="C89" s="33" t="n">
        <f aca="false">SUMIFS($E$220:$E$341,$D$220:$D$341,"OUT",$N$220:$N$341,A89)</f>
        <v>409641786</v>
      </c>
      <c r="D89" s="33" t="n">
        <f aca="false">SUM($F$70:F89)</f>
        <v>8474504399</v>
      </c>
      <c r="E89" s="33" t="n">
        <f aca="false">G88</f>
        <v>12358331481</v>
      </c>
      <c r="F89" s="33" t="n">
        <f aca="false">B89-C89</f>
        <v>518098891</v>
      </c>
      <c r="G89" s="33" t="n">
        <f aca="false">E89+F89</f>
        <v>12876430372</v>
      </c>
      <c r="H89" s="33" t="n">
        <f aca="false">IF(G89&lt;$B$9,$B$10-G89,0)</f>
        <v>0</v>
      </c>
      <c r="I89" s="33" t="n">
        <f aca="false">MAX(0,-G89)</f>
        <v>0</v>
      </c>
      <c r="J89" s="36" t="n">
        <f aca="false">H89/$B$10</f>
        <v>0</v>
      </c>
      <c r="K89" s="45" t="n">
        <f aca="false">IF(G89&lt;$B$9,3,0)</f>
        <v>0</v>
      </c>
      <c r="L89" s="4" t="n">
        <f aca="false">IF(G89&lt;$B$9,SUM($N$70:N89),0)</f>
        <v>0</v>
      </c>
      <c r="M89" s="4" t="n">
        <f aca="false">IF(G89&gt;$B$11,M88+1,0)</f>
        <v>10</v>
      </c>
      <c r="N89" s="4" t="n">
        <f aca="false">IF(AND(G89&lt;$B$9,G88&gt;=$B$9),1,0)</f>
        <v>0</v>
      </c>
      <c r="O89" s="4" t="n">
        <f aca="false">IF(AND(G89&lt;$B$9,G90&gt;=$B$9),1,0)</f>
        <v>0</v>
      </c>
      <c r="P89" s="4" t="n">
        <f aca="false">IF(L89&gt;0,COUNTIF($L$70:L89,L89),0)</f>
        <v>0</v>
      </c>
      <c r="Q89" s="33" t="n">
        <f aca="false">$B$10</f>
        <v>6855965890.22435</v>
      </c>
    </row>
    <row r="90" customFormat="false" ht="25.5" hidden="false" customHeight="true" outlineLevel="0" collapsed="false">
      <c r="A90" s="39" t="n">
        <f aca="false">$B$6+20</f>
        <v>46224</v>
      </c>
      <c r="B90" s="32" t="n">
        <f aca="false">SUMIFS($E$220:$E$341,$D$220:$D$341,"IN",$N$220:$N$341,A90)</f>
        <v>0</v>
      </c>
      <c r="C90" s="32" t="n">
        <f aca="false">SUMIFS($E$220:$E$341,$D$220:$D$341,"OUT",$N$220:$N$341,A90)</f>
        <v>468512740</v>
      </c>
      <c r="D90" s="32" t="n">
        <f aca="false">SUM($F$70:F90)</f>
        <v>8005991659</v>
      </c>
      <c r="E90" s="32" t="n">
        <f aca="false">G89</f>
        <v>12876430372</v>
      </c>
      <c r="F90" s="32" t="n">
        <f aca="false">B90-C90</f>
        <v>-468512740</v>
      </c>
      <c r="G90" s="32" t="n">
        <f aca="false">E90+F90</f>
        <v>12407917632</v>
      </c>
      <c r="H90" s="32" t="n">
        <f aca="false">IF(G90&lt;$B$9,$B$10-G90,0)</f>
        <v>0</v>
      </c>
      <c r="I90" s="32" t="n">
        <f aca="false">MAX(0,-G90)</f>
        <v>0</v>
      </c>
      <c r="J90" s="34" t="n">
        <f aca="false">H90/$B$10</f>
        <v>0</v>
      </c>
      <c r="K90" s="41" t="n">
        <f aca="false">IF(G90&lt;$B$9,3,0)</f>
        <v>0</v>
      </c>
      <c r="L90" s="3" t="n">
        <f aca="false">IF(G90&lt;$B$9,SUM($N$70:N90),0)</f>
        <v>0</v>
      </c>
      <c r="M90" s="3" t="n">
        <f aca="false">IF(G90&gt;$B$11,M89+1,0)</f>
        <v>11</v>
      </c>
      <c r="N90" s="3" t="n">
        <f aca="false">IF(AND(G90&lt;$B$9,G89&gt;=$B$9),1,0)</f>
        <v>0</v>
      </c>
      <c r="O90" s="3" t="n">
        <f aca="false">IF(AND(G90&lt;$B$9,G91&gt;=$B$9),1,0)</f>
        <v>0</v>
      </c>
      <c r="P90" s="3" t="n">
        <f aca="false">IF(L90&gt;0,COUNTIF($L$70:L90,L90),0)</f>
        <v>0</v>
      </c>
      <c r="Q90" s="32" t="n">
        <f aca="false">$B$10</f>
        <v>6855965890.22435</v>
      </c>
    </row>
    <row r="91" customFormat="false" ht="25.5" hidden="false" customHeight="true" outlineLevel="0" collapsed="false">
      <c r="A91" s="38" t="n">
        <f aca="false">$B$6+21</f>
        <v>46225</v>
      </c>
      <c r="B91" s="33" t="n">
        <f aca="false">SUMIFS($E$220:$E$341,$D$220:$D$341,"IN",$N$220:$N$341,A91)</f>
        <v>0</v>
      </c>
      <c r="C91" s="33" t="n">
        <f aca="false">SUMIFS($E$220:$E$341,$D$220:$D$341,"OUT",$N$220:$N$341,A91)</f>
        <v>432157866</v>
      </c>
      <c r="D91" s="33" t="n">
        <f aca="false">SUM($F$70:F91)</f>
        <v>7573833793</v>
      </c>
      <c r="E91" s="33" t="n">
        <f aca="false">G90</f>
        <v>12407917632</v>
      </c>
      <c r="F91" s="33" t="n">
        <f aca="false">B91-C91</f>
        <v>-432157866</v>
      </c>
      <c r="G91" s="33" t="n">
        <f aca="false">E91+F91</f>
        <v>11975759766</v>
      </c>
      <c r="H91" s="33" t="n">
        <f aca="false">IF(G91&lt;$B$9,$B$10-G91,0)</f>
        <v>0</v>
      </c>
      <c r="I91" s="33" t="n">
        <f aca="false">MAX(0,-G91)</f>
        <v>0</v>
      </c>
      <c r="J91" s="36" t="n">
        <f aca="false">H91/$B$10</f>
        <v>0</v>
      </c>
      <c r="K91" s="45" t="n">
        <f aca="false">IF(G91&lt;$B$9,3,0)</f>
        <v>0</v>
      </c>
      <c r="L91" s="4" t="n">
        <f aca="false">IF(G91&lt;$B$9,SUM($N$70:N91),0)</f>
        <v>0</v>
      </c>
      <c r="M91" s="4" t="n">
        <f aca="false">IF(G91&gt;$B$11,M90+1,0)</f>
        <v>12</v>
      </c>
      <c r="N91" s="4" t="n">
        <f aca="false">IF(AND(G91&lt;$B$9,G90&gt;=$B$9),1,0)</f>
        <v>0</v>
      </c>
      <c r="O91" s="4" t="n">
        <f aca="false">IF(AND(G91&lt;$B$9,G92&gt;=$B$9),1,0)</f>
        <v>0</v>
      </c>
      <c r="P91" s="4" t="n">
        <f aca="false">IF(L91&gt;0,COUNTIF($L$70:L91,L91),0)</f>
        <v>0</v>
      </c>
      <c r="Q91" s="33" t="n">
        <f aca="false">$B$10</f>
        <v>6855965890.22435</v>
      </c>
    </row>
    <row r="92" customFormat="false" ht="25.5" hidden="false" customHeight="true" outlineLevel="0" collapsed="false">
      <c r="A92" s="39" t="n">
        <f aca="false">$B$6+22</f>
        <v>46226</v>
      </c>
      <c r="B92" s="32" t="n">
        <f aca="false">SUMIFS($E$220:$E$341,$D$220:$D$341,"IN",$N$220:$N$341,A92)</f>
        <v>274915745</v>
      </c>
      <c r="C92" s="32" t="n">
        <f aca="false">SUMIFS($E$220:$E$341,$D$220:$D$341,"OUT",$N$220:$N$341,A92)</f>
        <v>312945067</v>
      </c>
      <c r="D92" s="32" t="n">
        <f aca="false">SUM($F$70:F92)</f>
        <v>7535804471</v>
      </c>
      <c r="E92" s="32" t="n">
        <f aca="false">G91</f>
        <v>11975759766</v>
      </c>
      <c r="F92" s="32" t="n">
        <f aca="false">B92-C92</f>
        <v>-38029322</v>
      </c>
      <c r="G92" s="32" t="n">
        <f aca="false">E92+F92</f>
        <v>11937730444</v>
      </c>
      <c r="H92" s="32" t="n">
        <f aca="false">IF(G92&lt;$B$9,$B$10-G92,0)</f>
        <v>0</v>
      </c>
      <c r="I92" s="32" t="n">
        <f aca="false">MAX(0,-G92)</f>
        <v>0</v>
      </c>
      <c r="J92" s="34" t="n">
        <f aca="false">H92/$B$10</f>
        <v>0</v>
      </c>
      <c r="K92" s="41" t="n">
        <f aca="false">IF(G92&lt;$B$9,3,0)</f>
        <v>0</v>
      </c>
      <c r="L92" s="3" t="n">
        <f aca="false">IF(G92&lt;$B$9,SUM($N$70:N92),0)</f>
        <v>0</v>
      </c>
      <c r="M92" s="3" t="n">
        <f aca="false">IF(G92&gt;$B$11,M91+1,0)</f>
        <v>13</v>
      </c>
      <c r="N92" s="3" t="n">
        <f aca="false">IF(AND(G92&lt;$B$9,G91&gt;=$B$9),1,0)</f>
        <v>0</v>
      </c>
      <c r="O92" s="3" t="n">
        <f aca="false">IF(AND(G92&lt;$B$9,G93&gt;=$B$9),1,0)</f>
        <v>0</v>
      </c>
      <c r="P92" s="3" t="n">
        <f aca="false">IF(L92&gt;0,COUNTIF($L$70:L92,L92),0)</f>
        <v>0</v>
      </c>
      <c r="Q92" s="32" t="n">
        <f aca="false">$B$10</f>
        <v>6855965890.22435</v>
      </c>
    </row>
    <row r="93" customFormat="false" ht="25.5" hidden="false" customHeight="true" outlineLevel="0" collapsed="false">
      <c r="A93" s="38" t="n">
        <f aca="false">$B$6+23</f>
        <v>46227</v>
      </c>
      <c r="B93" s="33" t="n">
        <f aca="false">SUMIFS($E$220:$E$341,$D$220:$D$341,"IN",$N$220:$N$341,A93)</f>
        <v>0</v>
      </c>
      <c r="C93" s="33" t="n">
        <f aca="false">SUMIFS($E$220:$E$341,$D$220:$D$341,"OUT",$N$220:$N$341,A93)</f>
        <v>0</v>
      </c>
      <c r="D93" s="33" t="n">
        <f aca="false">SUM($F$70:F93)</f>
        <v>7535804471</v>
      </c>
      <c r="E93" s="33" t="n">
        <f aca="false">G92</f>
        <v>11937730444</v>
      </c>
      <c r="F93" s="33" t="n">
        <f aca="false">B93-C93</f>
        <v>0</v>
      </c>
      <c r="G93" s="33" t="n">
        <f aca="false">E93+F93</f>
        <v>11937730444</v>
      </c>
      <c r="H93" s="33" t="n">
        <f aca="false">IF(G93&lt;$B$9,$B$10-G93,0)</f>
        <v>0</v>
      </c>
      <c r="I93" s="33" t="n">
        <f aca="false">MAX(0,-G93)</f>
        <v>0</v>
      </c>
      <c r="J93" s="36" t="n">
        <f aca="false">H93/$B$10</f>
        <v>0</v>
      </c>
      <c r="K93" s="45" t="n">
        <f aca="false">IF(G93&lt;$B$9,3,0)</f>
        <v>0</v>
      </c>
      <c r="L93" s="4" t="n">
        <f aca="false">IF(G93&lt;$B$9,SUM($N$70:N93),0)</f>
        <v>0</v>
      </c>
      <c r="M93" s="4" t="n">
        <f aca="false">IF(G93&gt;$B$11,M92+1,0)</f>
        <v>14</v>
      </c>
      <c r="N93" s="4" t="n">
        <f aca="false">IF(AND(G93&lt;$B$9,G92&gt;=$B$9),1,0)</f>
        <v>0</v>
      </c>
      <c r="O93" s="4" t="n">
        <f aca="false">IF(AND(G93&lt;$B$9,G94&gt;=$B$9),1,0)</f>
        <v>0</v>
      </c>
      <c r="P93" s="4" t="n">
        <f aca="false">IF(L93&gt;0,COUNTIF($L$70:L93,L93),0)</f>
        <v>0</v>
      </c>
      <c r="Q93" s="33" t="n">
        <f aca="false">$B$10</f>
        <v>6855965890.22435</v>
      </c>
    </row>
    <row r="94" customFormat="false" ht="25.5" hidden="false" customHeight="true" outlineLevel="0" collapsed="false">
      <c r="A94" s="39" t="n">
        <f aca="false">$B$6+24</f>
        <v>46228</v>
      </c>
      <c r="B94" s="32" t="n">
        <f aca="false">SUMIFS($E$220:$E$341,$D$220:$D$341,"IN",$N$220:$N$341,A94)</f>
        <v>1541800145</v>
      </c>
      <c r="C94" s="32" t="n">
        <f aca="false">SUMIFS($E$220:$E$341,$D$220:$D$341,"OUT",$N$220:$N$341,A94)</f>
        <v>0</v>
      </c>
      <c r="D94" s="32" t="n">
        <f aca="false">SUM($F$70:F94)</f>
        <v>9077604616</v>
      </c>
      <c r="E94" s="32" t="n">
        <f aca="false">G93</f>
        <v>11937730444</v>
      </c>
      <c r="F94" s="32" t="n">
        <f aca="false">B94-C94</f>
        <v>1541800145</v>
      </c>
      <c r="G94" s="32" t="n">
        <f aca="false">E94+F94</f>
        <v>13479530589</v>
      </c>
      <c r="H94" s="32" t="n">
        <f aca="false">IF(G94&lt;$B$9,$B$10-G94,0)</f>
        <v>0</v>
      </c>
      <c r="I94" s="32" t="n">
        <f aca="false">MAX(0,-G94)</f>
        <v>0</v>
      </c>
      <c r="J94" s="34" t="n">
        <f aca="false">H94/$B$10</f>
        <v>0</v>
      </c>
      <c r="K94" s="41" t="n">
        <f aca="false">IF(G94&lt;$B$9,3,0)</f>
        <v>0</v>
      </c>
      <c r="L94" s="3" t="n">
        <f aca="false">IF(G94&lt;$B$9,SUM($N$70:N94),0)</f>
        <v>0</v>
      </c>
      <c r="M94" s="3" t="n">
        <f aca="false">IF(G94&gt;$B$11,M93+1,0)</f>
        <v>15</v>
      </c>
      <c r="N94" s="3" t="n">
        <f aca="false">IF(AND(G94&lt;$B$9,G93&gt;=$B$9),1,0)</f>
        <v>0</v>
      </c>
      <c r="O94" s="3" t="n">
        <f aca="false">IF(AND(G94&lt;$B$9,G95&gt;=$B$9),1,0)</f>
        <v>0</v>
      </c>
      <c r="P94" s="3" t="n">
        <f aca="false">IF(L94&gt;0,COUNTIF($L$70:L94,L94),0)</f>
        <v>0</v>
      </c>
      <c r="Q94" s="32" t="n">
        <f aca="false">$B$10</f>
        <v>6855965890.22435</v>
      </c>
    </row>
    <row r="95" customFormat="false" ht="25.5" hidden="false" customHeight="true" outlineLevel="0" collapsed="false">
      <c r="A95" s="38" t="n">
        <f aca="false">$B$6+25</f>
        <v>46229</v>
      </c>
      <c r="B95" s="33" t="n">
        <f aca="false">SUMIFS($E$220:$E$341,$D$220:$D$341,"IN",$N$220:$N$341,A95)</f>
        <v>0</v>
      </c>
      <c r="C95" s="33" t="n">
        <f aca="false">SUMIFS($E$220:$E$341,$D$220:$D$341,"OUT",$N$220:$N$341,A95)</f>
        <v>376724622</v>
      </c>
      <c r="D95" s="33" t="n">
        <f aca="false">SUM($F$70:F95)</f>
        <v>8700879994</v>
      </c>
      <c r="E95" s="33" t="n">
        <f aca="false">G94</f>
        <v>13479530589</v>
      </c>
      <c r="F95" s="33" t="n">
        <f aca="false">B95-C95</f>
        <v>-376724622</v>
      </c>
      <c r="G95" s="33" t="n">
        <f aca="false">E95+F95</f>
        <v>13102805967</v>
      </c>
      <c r="H95" s="33" t="n">
        <f aca="false">IF(G95&lt;$B$9,$B$10-G95,0)</f>
        <v>0</v>
      </c>
      <c r="I95" s="33" t="n">
        <f aca="false">MAX(0,-G95)</f>
        <v>0</v>
      </c>
      <c r="J95" s="36" t="n">
        <f aca="false">H95/$B$10</f>
        <v>0</v>
      </c>
      <c r="K95" s="45" t="n">
        <f aca="false">IF(G95&lt;$B$9,3,0)</f>
        <v>0</v>
      </c>
      <c r="L95" s="4" t="n">
        <f aca="false">IF(G95&lt;$B$9,SUM($N$70:N95),0)</f>
        <v>0</v>
      </c>
      <c r="M95" s="4" t="n">
        <f aca="false">IF(G95&gt;$B$11,M94+1,0)</f>
        <v>16</v>
      </c>
      <c r="N95" s="4" t="n">
        <f aca="false">IF(AND(G95&lt;$B$9,G94&gt;=$B$9),1,0)</f>
        <v>0</v>
      </c>
      <c r="O95" s="4" t="n">
        <f aca="false">IF(AND(G95&lt;$B$9,G96&gt;=$B$9),1,0)</f>
        <v>0</v>
      </c>
      <c r="P95" s="4" t="n">
        <f aca="false">IF(L95&gt;0,COUNTIF($L$70:L95,L95),0)</f>
        <v>0</v>
      </c>
      <c r="Q95" s="33" t="n">
        <f aca="false">$B$10</f>
        <v>6855965890.22435</v>
      </c>
    </row>
    <row r="96" customFormat="false" ht="25.5" hidden="false" customHeight="true" outlineLevel="0" collapsed="false">
      <c r="A96" s="39" t="n">
        <f aca="false">$B$6+26</f>
        <v>46230</v>
      </c>
      <c r="B96" s="32" t="n">
        <f aca="false">SUMIFS($E$220:$E$341,$D$220:$D$341,"IN",$N$220:$N$341,A96)</f>
        <v>833520428</v>
      </c>
      <c r="C96" s="32" t="n">
        <f aca="false">SUMIFS($E$220:$E$341,$D$220:$D$341,"OUT",$N$220:$N$341,A96)</f>
        <v>604118372</v>
      </c>
      <c r="D96" s="32" t="n">
        <f aca="false">SUM($F$70:F96)</f>
        <v>8930282050</v>
      </c>
      <c r="E96" s="32" t="n">
        <f aca="false">G95</f>
        <v>13102805967</v>
      </c>
      <c r="F96" s="32" t="n">
        <f aca="false">B96-C96</f>
        <v>229402056</v>
      </c>
      <c r="G96" s="32" t="n">
        <f aca="false">E96+F96</f>
        <v>13332208023</v>
      </c>
      <c r="H96" s="32" t="n">
        <f aca="false">IF(G96&lt;$B$9,$B$10-G96,0)</f>
        <v>0</v>
      </c>
      <c r="I96" s="32" t="n">
        <f aca="false">MAX(0,-G96)</f>
        <v>0</v>
      </c>
      <c r="J96" s="34" t="n">
        <f aca="false">H96/$B$10</f>
        <v>0</v>
      </c>
      <c r="K96" s="41" t="n">
        <f aca="false">IF(G96&lt;$B$9,3,0)</f>
        <v>0</v>
      </c>
      <c r="L96" s="3" t="n">
        <f aca="false">IF(G96&lt;$B$9,SUM($N$70:N96),0)</f>
        <v>0</v>
      </c>
      <c r="M96" s="3" t="n">
        <f aca="false">IF(G96&gt;$B$11,M95+1,0)</f>
        <v>17</v>
      </c>
      <c r="N96" s="3" t="n">
        <f aca="false">IF(AND(G96&lt;$B$9,G95&gt;=$B$9),1,0)</f>
        <v>0</v>
      </c>
      <c r="O96" s="3" t="n">
        <f aca="false">IF(AND(G96&lt;$B$9,G97&gt;=$B$9),1,0)</f>
        <v>0</v>
      </c>
      <c r="P96" s="3" t="n">
        <f aca="false">IF(L96&gt;0,COUNTIF($L$70:L96,L96),0)</f>
        <v>0</v>
      </c>
      <c r="Q96" s="32" t="n">
        <f aca="false">$B$10</f>
        <v>6855965890.22435</v>
      </c>
    </row>
    <row r="97" customFormat="false" ht="25.5" hidden="false" customHeight="true" outlineLevel="0" collapsed="false">
      <c r="A97" s="38" t="n">
        <f aca="false">$B$6+27</f>
        <v>46231</v>
      </c>
      <c r="B97" s="33" t="n">
        <f aca="false">SUMIFS($E$220:$E$341,$D$220:$D$341,"IN",$N$220:$N$341,A97)</f>
        <v>689203917</v>
      </c>
      <c r="C97" s="33" t="n">
        <f aca="false">SUMIFS($E$220:$E$341,$D$220:$D$341,"OUT",$N$220:$N$341,A97)</f>
        <v>1500000000</v>
      </c>
      <c r="D97" s="33" t="n">
        <f aca="false">SUM($F$70:F97)</f>
        <v>8119485967</v>
      </c>
      <c r="E97" s="33" t="n">
        <f aca="false">G96</f>
        <v>13332208023</v>
      </c>
      <c r="F97" s="33" t="n">
        <f aca="false">B97-C97</f>
        <v>-810796083</v>
      </c>
      <c r="G97" s="33" t="n">
        <f aca="false">E97+F97</f>
        <v>12521411940</v>
      </c>
      <c r="H97" s="33" t="n">
        <f aca="false">IF(G97&lt;$B$9,$B$10-G97,0)</f>
        <v>0</v>
      </c>
      <c r="I97" s="33" t="n">
        <f aca="false">MAX(0,-G97)</f>
        <v>0</v>
      </c>
      <c r="J97" s="36" t="n">
        <f aca="false">H97/$B$10</f>
        <v>0</v>
      </c>
      <c r="K97" s="45" t="n">
        <f aca="false">IF(G97&lt;$B$9,3,0)</f>
        <v>0</v>
      </c>
      <c r="L97" s="4" t="n">
        <f aca="false">IF(G97&lt;$B$9,SUM($N$70:N97),0)</f>
        <v>0</v>
      </c>
      <c r="M97" s="4" t="n">
        <f aca="false">IF(G97&gt;$B$11,M96+1,0)</f>
        <v>18</v>
      </c>
      <c r="N97" s="4" t="n">
        <f aca="false">IF(AND(G97&lt;$B$9,G96&gt;=$B$9),1,0)</f>
        <v>0</v>
      </c>
      <c r="O97" s="4" t="n">
        <f aca="false">IF(AND(G97&lt;$B$9,G98&gt;=$B$9),1,0)</f>
        <v>0</v>
      </c>
      <c r="P97" s="4" t="n">
        <f aca="false">IF(L97&gt;0,COUNTIF($L$70:L97,L97),0)</f>
        <v>0</v>
      </c>
      <c r="Q97" s="33" t="n">
        <f aca="false">$B$10</f>
        <v>6855965890.22435</v>
      </c>
    </row>
    <row r="98" customFormat="false" ht="25.5" hidden="false" customHeight="true" outlineLevel="0" collapsed="false">
      <c r="A98" s="39" t="n">
        <f aca="false">$B$6+28</f>
        <v>46232</v>
      </c>
      <c r="B98" s="32" t="n">
        <f aca="false">SUMIFS($E$220:$E$341,$D$220:$D$341,"IN",$N$220:$N$341,A98)</f>
        <v>0</v>
      </c>
      <c r="C98" s="32" t="n">
        <f aca="false">SUMIFS($E$220:$E$341,$D$220:$D$341,"OUT",$N$220:$N$341,A98)</f>
        <v>0</v>
      </c>
      <c r="D98" s="32" t="n">
        <f aca="false">SUM($F$70:F98)</f>
        <v>8119485967</v>
      </c>
      <c r="E98" s="32" t="n">
        <f aca="false">G97</f>
        <v>12521411940</v>
      </c>
      <c r="F98" s="32" t="n">
        <f aca="false">B98-C98</f>
        <v>0</v>
      </c>
      <c r="G98" s="32" t="n">
        <f aca="false">E98+F98</f>
        <v>12521411940</v>
      </c>
      <c r="H98" s="32" t="n">
        <f aca="false">IF(G98&lt;$B$9,$B$10-G98,0)</f>
        <v>0</v>
      </c>
      <c r="I98" s="32" t="n">
        <f aca="false">MAX(0,-G98)</f>
        <v>0</v>
      </c>
      <c r="J98" s="34" t="n">
        <f aca="false">H98/$B$10</f>
        <v>0</v>
      </c>
      <c r="K98" s="41" t="n">
        <f aca="false">IF(G98&lt;$B$9,3,0)</f>
        <v>0</v>
      </c>
      <c r="L98" s="3" t="n">
        <f aca="false">IF(G98&lt;$B$9,SUM($N$70:N98),0)</f>
        <v>0</v>
      </c>
      <c r="M98" s="3" t="n">
        <f aca="false">IF(G98&gt;$B$11,M97+1,0)</f>
        <v>19</v>
      </c>
      <c r="N98" s="3" t="n">
        <f aca="false">IF(AND(G98&lt;$B$9,G97&gt;=$B$9),1,0)</f>
        <v>0</v>
      </c>
      <c r="O98" s="3" t="n">
        <f aca="false">IF(AND(G98&lt;$B$9,G99&gt;=$B$9),1,0)</f>
        <v>0</v>
      </c>
      <c r="P98" s="3" t="n">
        <f aca="false">IF(L98&gt;0,COUNTIF($L$70:L98,L98),0)</f>
        <v>0</v>
      </c>
      <c r="Q98" s="32" t="n">
        <f aca="false">$B$10</f>
        <v>6855965890.22435</v>
      </c>
    </row>
    <row r="99" customFormat="false" ht="25.5" hidden="false" customHeight="true" outlineLevel="0" collapsed="false">
      <c r="A99" s="38" t="n">
        <f aca="false">$B$6+29</f>
        <v>46233</v>
      </c>
      <c r="B99" s="33" t="n">
        <f aca="false">SUMIFS($E$220:$E$341,$D$220:$D$341,"IN",$N$220:$N$341,A99)</f>
        <v>296418085</v>
      </c>
      <c r="C99" s="33" t="n">
        <f aca="false">SUMIFS($E$220:$E$341,$D$220:$D$341,"OUT",$N$220:$N$341,A99)</f>
        <v>176055378</v>
      </c>
      <c r="D99" s="33" t="n">
        <f aca="false">SUM($F$70:F99)</f>
        <v>8239848674</v>
      </c>
      <c r="E99" s="33" t="n">
        <f aca="false">G98</f>
        <v>12521411940</v>
      </c>
      <c r="F99" s="33" t="n">
        <f aca="false">B99-C99</f>
        <v>120362707</v>
      </c>
      <c r="G99" s="33" t="n">
        <f aca="false">E99+F99</f>
        <v>12641774647</v>
      </c>
      <c r="H99" s="33" t="n">
        <f aca="false">IF(G99&lt;$B$9,$B$10-G99,0)</f>
        <v>0</v>
      </c>
      <c r="I99" s="33" t="n">
        <f aca="false">MAX(0,-G99)</f>
        <v>0</v>
      </c>
      <c r="J99" s="36" t="n">
        <f aca="false">H99/$B$10</f>
        <v>0</v>
      </c>
      <c r="K99" s="45" t="n">
        <f aca="false">IF(G99&lt;$B$9,3,0)</f>
        <v>0</v>
      </c>
      <c r="L99" s="4" t="n">
        <f aca="false">IF(G99&lt;$B$9,SUM($N$70:N99),0)</f>
        <v>0</v>
      </c>
      <c r="M99" s="4" t="n">
        <f aca="false">IF(G99&gt;$B$11,M98+1,0)</f>
        <v>20</v>
      </c>
      <c r="N99" s="4" t="n">
        <f aca="false">IF(AND(G99&lt;$B$9,G98&gt;=$B$9),1,0)</f>
        <v>0</v>
      </c>
      <c r="O99" s="4" t="n">
        <f aca="false">IF(AND(G99&lt;$B$9,G100&gt;=$B$9),1,0)</f>
        <v>0</v>
      </c>
      <c r="P99" s="4" t="n">
        <f aca="false">IF(L99&gt;0,COUNTIF($L$70:L99,L99),0)</f>
        <v>0</v>
      </c>
      <c r="Q99" s="33" t="n">
        <f aca="false">$B$10</f>
        <v>6855965890.22435</v>
      </c>
    </row>
    <row r="100" customFormat="false" ht="25.5" hidden="false" customHeight="true" outlineLevel="0" collapsed="false">
      <c r="A100" s="39" t="n">
        <f aca="false">$B$6+30</f>
        <v>46234</v>
      </c>
      <c r="B100" s="32" t="n">
        <f aca="false">SUMIFS($E$220:$E$341,$D$220:$D$341,"IN",$N$220:$N$341,A100)</f>
        <v>0</v>
      </c>
      <c r="C100" s="32" t="n">
        <f aca="false">SUMIFS($E$220:$E$341,$D$220:$D$341,"OUT",$N$220:$N$341,A100)</f>
        <v>0</v>
      </c>
      <c r="D100" s="32" t="n">
        <f aca="false">SUM($F$70:F100)</f>
        <v>8239848674</v>
      </c>
      <c r="E100" s="32" t="n">
        <f aca="false">G99</f>
        <v>12641774647</v>
      </c>
      <c r="F100" s="32" t="n">
        <f aca="false">B100-C100</f>
        <v>0</v>
      </c>
      <c r="G100" s="32" t="n">
        <f aca="false">E100+F100</f>
        <v>12641774647</v>
      </c>
      <c r="H100" s="32" t="n">
        <f aca="false">IF(G100&lt;$B$9,$B$10-G100,0)</f>
        <v>0</v>
      </c>
      <c r="I100" s="32" t="n">
        <f aca="false">MAX(0,-G100)</f>
        <v>0</v>
      </c>
      <c r="J100" s="34" t="n">
        <f aca="false">H100/$B$10</f>
        <v>0</v>
      </c>
      <c r="K100" s="41" t="n">
        <f aca="false">IF(G100&lt;$B$9,3,0)</f>
        <v>0</v>
      </c>
      <c r="L100" s="3" t="n">
        <f aca="false">IF(G100&lt;$B$9,SUM($N$70:N100),0)</f>
        <v>0</v>
      </c>
      <c r="M100" s="3" t="n">
        <f aca="false">IF(G100&gt;$B$11,M99+1,0)</f>
        <v>21</v>
      </c>
      <c r="N100" s="3" t="n">
        <f aca="false">IF(AND(G100&lt;$B$9,G99&gt;=$B$9),1,0)</f>
        <v>0</v>
      </c>
      <c r="O100" s="3" t="n">
        <f aca="false">IF(AND(G100&lt;$B$9,G101&gt;=$B$9),1,0)</f>
        <v>0</v>
      </c>
      <c r="P100" s="3" t="n">
        <f aca="false">IF(L100&gt;0,COUNTIF($L$70:L100,L100),0)</f>
        <v>0</v>
      </c>
      <c r="Q100" s="32" t="n">
        <f aca="false">$B$10</f>
        <v>6855965890.22435</v>
      </c>
    </row>
    <row r="101" customFormat="false" ht="25.5" hidden="false" customHeight="true" outlineLevel="0" collapsed="false">
      <c r="A101" s="38" t="n">
        <f aca="false">$B$6+31</f>
        <v>46235</v>
      </c>
      <c r="B101" s="33" t="n">
        <f aca="false">SUMIFS($E$220:$E$341,$D$220:$D$341,"IN",$N$220:$N$341,A101)</f>
        <v>0</v>
      </c>
      <c r="C101" s="33" t="n">
        <f aca="false">SUMIFS($E$220:$E$341,$D$220:$D$341,"OUT",$N$220:$N$341,A101)</f>
        <v>180000000</v>
      </c>
      <c r="D101" s="33" t="n">
        <f aca="false">SUM($F$70:F101)</f>
        <v>8059848674</v>
      </c>
      <c r="E101" s="33" t="n">
        <f aca="false">G100</f>
        <v>12641774647</v>
      </c>
      <c r="F101" s="33" t="n">
        <f aca="false">B101-C101</f>
        <v>-180000000</v>
      </c>
      <c r="G101" s="33" t="n">
        <f aca="false">E101+F101</f>
        <v>12461774647</v>
      </c>
      <c r="H101" s="33" t="n">
        <f aca="false">IF(G101&lt;$B$9,$B$10-G101,0)</f>
        <v>0</v>
      </c>
      <c r="I101" s="33" t="n">
        <f aca="false">MAX(0,-G101)</f>
        <v>0</v>
      </c>
      <c r="J101" s="36" t="n">
        <f aca="false">H101/$B$10</f>
        <v>0</v>
      </c>
      <c r="K101" s="45" t="n">
        <f aca="false">IF(G101&lt;$B$9,3,0)</f>
        <v>0</v>
      </c>
      <c r="L101" s="4" t="n">
        <f aca="false">IF(G101&lt;$B$9,SUM($N$70:N101),0)</f>
        <v>0</v>
      </c>
      <c r="M101" s="4" t="n">
        <f aca="false">IF(G101&gt;$B$11,M100+1,0)</f>
        <v>22</v>
      </c>
      <c r="N101" s="4" t="n">
        <f aca="false">IF(AND(G101&lt;$B$9,G100&gt;=$B$9),1,0)</f>
        <v>0</v>
      </c>
      <c r="O101" s="4" t="n">
        <f aca="false">IF(AND(G101&lt;$B$9,G102&gt;=$B$9),1,0)</f>
        <v>0</v>
      </c>
      <c r="P101" s="4" t="n">
        <f aca="false">IF(L101&gt;0,COUNTIF($L$70:L101,L101),0)</f>
        <v>0</v>
      </c>
      <c r="Q101" s="33" t="n">
        <f aca="false">$B$10</f>
        <v>6855965890.22435</v>
      </c>
    </row>
    <row r="102" customFormat="false" ht="25.5" hidden="false" customHeight="true" outlineLevel="0" collapsed="false">
      <c r="A102" s="39" t="n">
        <f aca="false">$B$6+32</f>
        <v>46236</v>
      </c>
      <c r="B102" s="32" t="n">
        <f aca="false">SUMIFS($E$220:$E$341,$D$220:$D$341,"IN",$N$220:$N$341,A102)</f>
        <v>0</v>
      </c>
      <c r="C102" s="32" t="n">
        <f aca="false">SUMIFS($E$220:$E$341,$D$220:$D$341,"OUT",$N$220:$N$341,A102)</f>
        <v>0</v>
      </c>
      <c r="D102" s="32" t="n">
        <f aca="false">SUM($F$70:F102)</f>
        <v>8059848674</v>
      </c>
      <c r="E102" s="32" t="n">
        <f aca="false">G101</f>
        <v>12461774647</v>
      </c>
      <c r="F102" s="32" t="n">
        <f aca="false">B102-C102</f>
        <v>0</v>
      </c>
      <c r="G102" s="32" t="n">
        <f aca="false">E102+F102</f>
        <v>12461774647</v>
      </c>
      <c r="H102" s="32" t="n">
        <f aca="false">IF(G102&lt;$B$9,$B$10-G102,0)</f>
        <v>0</v>
      </c>
      <c r="I102" s="32" t="n">
        <f aca="false">MAX(0,-G102)</f>
        <v>0</v>
      </c>
      <c r="J102" s="34" t="n">
        <f aca="false">H102/$B$10</f>
        <v>0</v>
      </c>
      <c r="K102" s="41" t="n">
        <f aca="false">IF(G102&lt;$B$9,3,0)</f>
        <v>0</v>
      </c>
      <c r="L102" s="3" t="n">
        <f aca="false">IF(G102&lt;$B$9,SUM($N$70:N102),0)</f>
        <v>0</v>
      </c>
      <c r="M102" s="3" t="n">
        <f aca="false">IF(G102&gt;$B$11,M101+1,0)</f>
        <v>23</v>
      </c>
      <c r="N102" s="3" t="n">
        <f aca="false">IF(AND(G102&lt;$B$9,G101&gt;=$B$9),1,0)</f>
        <v>0</v>
      </c>
      <c r="O102" s="3" t="n">
        <f aca="false">IF(AND(G102&lt;$B$9,G103&gt;=$B$9),1,0)</f>
        <v>0</v>
      </c>
      <c r="P102" s="3" t="n">
        <f aca="false">IF(L102&gt;0,COUNTIF($L$70:L102,L102),0)</f>
        <v>0</v>
      </c>
      <c r="Q102" s="32" t="n">
        <f aca="false">$B$10</f>
        <v>6855965890.22435</v>
      </c>
    </row>
    <row r="103" customFormat="false" ht="25.5" hidden="false" customHeight="true" outlineLevel="0" collapsed="false">
      <c r="A103" s="38" t="n">
        <f aca="false">$B$6+33</f>
        <v>46237</v>
      </c>
      <c r="B103" s="33" t="n">
        <f aca="false">SUMIFS($E$220:$E$341,$D$220:$D$341,"IN",$N$220:$N$341,A103)</f>
        <v>0</v>
      </c>
      <c r="C103" s="33" t="n">
        <f aca="false">SUMIFS($E$220:$E$341,$D$220:$D$341,"OUT",$N$220:$N$341,A103)</f>
        <v>0</v>
      </c>
      <c r="D103" s="33" t="n">
        <f aca="false">SUM($F$70:F103)</f>
        <v>8059848674</v>
      </c>
      <c r="E103" s="33" t="n">
        <f aca="false">G102</f>
        <v>12461774647</v>
      </c>
      <c r="F103" s="33" t="n">
        <f aca="false">B103-C103</f>
        <v>0</v>
      </c>
      <c r="G103" s="33" t="n">
        <f aca="false">E103+F103</f>
        <v>12461774647</v>
      </c>
      <c r="H103" s="33" t="n">
        <f aca="false">IF(G103&lt;$B$9,$B$10-G103,0)</f>
        <v>0</v>
      </c>
      <c r="I103" s="33" t="n">
        <f aca="false">MAX(0,-G103)</f>
        <v>0</v>
      </c>
      <c r="J103" s="36" t="n">
        <f aca="false">H103/$B$10</f>
        <v>0</v>
      </c>
      <c r="K103" s="45" t="n">
        <f aca="false">IF(G103&lt;$B$9,3,0)</f>
        <v>0</v>
      </c>
      <c r="L103" s="4" t="n">
        <f aca="false">IF(G103&lt;$B$9,SUM($N$70:N103),0)</f>
        <v>0</v>
      </c>
      <c r="M103" s="4" t="n">
        <f aca="false">IF(G103&gt;$B$11,M102+1,0)</f>
        <v>24</v>
      </c>
      <c r="N103" s="4" t="n">
        <f aca="false">IF(AND(G103&lt;$B$9,G102&gt;=$B$9),1,0)</f>
        <v>0</v>
      </c>
      <c r="O103" s="4" t="n">
        <f aca="false">IF(AND(G103&lt;$B$9,G104&gt;=$B$9),1,0)</f>
        <v>0</v>
      </c>
      <c r="P103" s="4" t="n">
        <f aca="false">IF(L103&gt;0,COUNTIF($L$70:L103,L103),0)</f>
        <v>0</v>
      </c>
      <c r="Q103" s="33" t="n">
        <f aca="false">$B$10</f>
        <v>6855965890.22435</v>
      </c>
    </row>
    <row r="104" customFormat="false" ht="25.5" hidden="false" customHeight="true" outlineLevel="0" collapsed="false">
      <c r="A104" s="39" t="n">
        <f aca="false">$B$6+34</f>
        <v>46238</v>
      </c>
      <c r="B104" s="32" t="n">
        <f aca="false">SUMIFS($E$220:$E$341,$D$220:$D$341,"IN",$N$220:$N$341,A104)</f>
        <v>0</v>
      </c>
      <c r="C104" s="32" t="n">
        <f aca="false">SUMIFS($E$220:$E$341,$D$220:$D$341,"OUT",$N$220:$N$341,A104)</f>
        <v>0</v>
      </c>
      <c r="D104" s="32" t="n">
        <f aca="false">SUM($F$70:F104)</f>
        <v>8059848674</v>
      </c>
      <c r="E104" s="32" t="n">
        <f aca="false">G103</f>
        <v>12461774647</v>
      </c>
      <c r="F104" s="32" t="n">
        <f aca="false">B104-C104</f>
        <v>0</v>
      </c>
      <c r="G104" s="32" t="n">
        <f aca="false">E104+F104</f>
        <v>12461774647</v>
      </c>
      <c r="H104" s="32" t="n">
        <f aca="false">IF(G104&lt;$B$9,$B$10-G104,0)</f>
        <v>0</v>
      </c>
      <c r="I104" s="32" t="n">
        <f aca="false">MAX(0,-G104)</f>
        <v>0</v>
      </c>
      <c r="J104" s="34" t="n">
        <f aca="false">H104/$B$10</f>
        <v>0</v>
      </c>
      <c r="K104" s="41" t="n">
        <f aca="false">IF(G104&lt;$B$9,3,0)</f>
        <v>0</v>
      </c>
      <c r="L104" s="3" t="n">
        <f aca="false">IF(G104&lt;$B$9,SUM($N$70:N104),0)</f>
        <v>0</v>
      </c>
      <c r="M104" s="3" t="n">
        <f aca="false">IF(G104&gt;$B$11,M103+1,0)</f>
        <v>25</v>
      </c>
      <c r="N104" s="3" t="n">
        <f aca="false">IF(AND(G104&lt;$B$9,G103&gt;=$B$9),1,0)</f>
        <v>0</v>
      </c>
      <c r="O104" s="3" t="n">
        <f aca="false">IF(AND(G104&lt;$B$9,G105&gt;=$B$9),1,0)</f>
        <v>0</v>
      </c>
      <c r="P104" s="3" t="n">
        <f aca="false">IF(L104&gt;0,COUNTIF($L$70:L104,L104),0)</f>
        <v>0</v>
      </c>
      <c r="Q104" s="32" t="n">
        <f aca="false">$B$10</f>
        <v>6855965890.22435</v>
      </c>
    </row>
    <row r="105" customFormat="false" ht="25.5" hidden="false" customHeight="true" outlineLevel="0" collapsed="false">
      <c r="A105" s="38" t="n">
        <f aca="false">$B$6+35</f>
        <v>46239</v>
      </c>
      <c r="B105" s="33" t="n">
        <f aca="false">SUMIFS($E$220:$E$341,$D$220:$D$341,"IN",$N$220:$N$341,A105)</f>
        <v>0</v>
      </c>
      <c r="C105" s="33" t="n">
        <f aca="false">SUMIFS($E$220:$E$341,$D$220:$D$341,"OUT",$N$220:$N$341,A105)</f>
        <v>0</v>
      </c>
      <c r="D105" s="33" t="n">
        <f aca="false">SUM($F$70:F105)</f>
        <v>8059848674</v>
      </c>
      <c r="E105" s="33" t="n">
        <f aca="false">G104</f>
        <v>12461774647</v>
      </c>
      <c r="F105" s="33" t="n">
        <f aca="false">B105-C105</f>
        <v>0</v>
      </c>
      <c r="G105" s="33" t="n">
        <f aca="false">E105+F105</f>
        <v>12461774647</v>
      </c>
      <c r="H105" s="33" t="n">
        <f aca="false">IF(G105&lt;$B$9,$B$10-G105,0)</f>
        <v>0</v>
      </c>
      <c r="I105" s="33" t="n">
        <f aca="false">MAX(0,-G105)</f>
        <v>0</v>
      </c>
      <c r="J105" s="36" t="n">
        <f aca="false">H105/$B$10</f>
        <v>0</v>
      </c>
      <c r="K105" s="45" t="n">
        <f aca="false">IF(G105&lt;$B$9,3,0)</f>
        <v>0</v>
      </c>
      <c r="L105" s="4" t="n">
        <f aca="false">IF(G105&lt;$B$9,SUM($N$70:N105),0)</f>
        <v>0</v>
      </c>
      <c r="M105" s="4" t="n">
        <f aca="false">IF(G105&gt;$B$11,M104+1,0)</f>
        <v>26</v>
      </c>
      <c r="N105" s="4" t="n">
        <f aca="false">IF(AND(G105&lt;$B$9,G104&gt;=$B$9),1,0)</f>
        <v>0</v>
      </c>
      <c r="O105" s="4" t="n">
        <f aca="false">IF(AND(G105&lt;$B$9,G106&gt;=$B$9),1,0)</f>
        <v>0</v>
      </c>
      <c r="P105" s="4" t="n">
        <f aca="false">IF(L105&gt;0,COUNTIF($L$70:L105,L105),0)</f>
        <v>0</v>
      </c>
      <c r="Q105" s="33" t="n">
        <f aca="false">$B$10</f>
        <v>6855965890.22435</v>
      </c>
    </row>
    <row r="106" customFormat="false" ht="25.5" hidden="false" customHeight="true" outlineLevel="0" collapsed="false">
      <c r="A106" s="39" t="n">
        <f aca="false">$B$6+36</f>
        <v>46240</v>
      </c>
      <c r="B106" s="32" t="n">
        <f aca="false">SUMIFS($E$220:$E$341,$D$220:$D$341,"IN",$N$220:$N$341,A106)</f>
        <v>0</v>
      </c>
      <c r="C106" s="32" t="n">
        <f aca="false">SUMIFS($E$220:$E$341,$D$220:$D$341,"OUT",$N$220:$N$341,A106)</f>
        <v>0</v>
      </c>
      <c r="D106" s="32" t="n">
        <f aca="false">SUM($F$70:F106)</f>
        <v>8059848674</v>
      </c>
      <c r="E106" s="32" t="n">
        <f aca="false">G105</f>
        <v>12461774647</v>
      </c>
      <c r="F106" s="32" t="n">
        <f aca="false">B106-C106</f>
        <v>0</v>
      </c>
      <c r="G106" s="32" t="n">
        <f aca="false">E106+F106</f>
        <v>12461774647</v>
      </c>
      <c r="H106" s="32" t="n">
        <f aca="false">IF(G106&lt;$B$9,$B$10-G106,0)</f>
        <v>0</v>
      </c>
      <c r="I106" s="32" t="n">
        <f aca="false">MAX(0,-G106)</f>
        <v>0</v>
      </c>
      <c r="J106" s="34" t="n">
        <f aca="false">H106/$B$10</f>
        <v>0</v>
      </c>
      <c r="K106" s="41" t="n">
        <f aca="false">IF(G106&lt;$B$9,3,0)</f>
        <v>0</v>
      </c>
      <c r="L106" s="3" t="n">
        <f aca="false">IF(G106&lt;$B$9,SUM($N$70:N106),0)</f>
        <v>0</v>
      </c>
      <c r="M106" s="3" t="n">
        <f aca="false">IF(G106&gt;$B$11,M105+1,0)</f>
        <v>27</v>
      </c>
      <c r="N106" s="3" t="n">
        <f aca="false">IF(AND(G106&lt;$B$9,G105&gt;=$B$9),1,0)</f>
        <v>0</v>
      </c>
      <c r="O106" s="3" t="n">
        <f aca="false">IF(AND(G106&lt;$B$9,G107&gt;=$B$9),1,0)</f>
        <v>0</v>
      </c>
      <c r="P106" s="3" t="n">
        <f aca="false">IF(L106&gt;0,COUNTIF($L$70:L106,L106),0)</f>
        <v>0</v>
      </c>
      <c r="Q106" s="32" t="n">
        <f aca="false">$B$10</f>
        <v>6855965890.22435</v>
      </c>
    </row>
    <row r="107" customFormat="false" ht="25.5" hidden="false" customHeight="true" outlineLevel="0" collapsed="false">
      <c r="A107" s="38" t="n">
        <f aca="false">$B$6+37</f>
        <v>46241</v>
      </c>
      <c r="B107" s="33" t="n">
        <f aca="false">SUMIFS($E$220:$E$341,$D$220:$D$341,"IN",$N$220:$N$341,A107)</f>
        <v>0</v>
      </c>
      <c r="C107" s="33" t="n">
        <f aca="false">SUMIFS($E$220:$E$341,$D$220:$D$341,"OUT",$N$220:$N$341,A107)</f>
        <v>0</v>
      </c>
      <c r="D107" s="33" t="n">
        <f aca="false">SUM($F$70:F107)</f>
        <v>8059848674</v>
      </c>
      <c r="E107" s="33" t="n">
        <f aca="false">G106</f>
        <v>12461774647</v>
      </c>
      <c r="F107" s="33" t="n">
        <f aca="false">B107-C107</f>
        <v>0</v>
      </c>
      <c r="G107" s="33" t="n">
        <f aca="false">E107+F107</f>
        <v>12461774647</v>
      </c>
      <c r="H107" s="33" t="n">
        <f aca="false">IF(G107&lt;$B$9,$B$10-G107,0)</f>
        <v>0</v>
      </c>
      <c r="I107" s="33" t="n">
        <f aca="false">MAX(0,-G107)</f>
        <v>0</v>
      </c>
      <c r="J107" s="36" t="n">
        <f aca="false">H107/$B$10</f>
        <v>0</v>
      </c>
      <c r="K107" s="45" t="n">
        <f aca="false">IF(G107&lt;$B$9,3,0)</f>
        <v>0</v>
      </c>
      <c r="L107" s="4" t="n">
        <f aca="false">IF(G107&lt;$B$9,SUM($N$70:N107),0)</f>
        <v>0</v>
      </c>
      <c r="M107" s="4" t="n">
        <f aca="false">IF(G107&gt;$B$11,M106+1,0)</f>
        <v>28</v>
      </c>
      <c r="N107" s="4" t="n">
        <f aca="false">IF(AND(G107&lt;$B$9,G106&gt;=$B$9),1,0)</f>
        <v>0</v>
      </c>
      <c r="O107" s="4" t="n">
        <f aca="false">IF(AND(G107&lt;$B$9,G108&gt;=$B$9),1,0)</f>
        <v>0</v>
      </c>
      <c r="P107" s="4" t="n">
        <f aca="false">IF(L107&gt;0,COUNTIF($L$70:L107,L107),0)</f>
        <v>0</v>
      </c>
      <c r="Q107" s="33" t="n">
        <f aca="false">$B$10</f>
        <v>6855965890.22435</v>
      </c>
    </row>
    <row r="108" customFormat="false" ht="25.5" hidden="false" customHeight="true" outlineLevel="0" collapsed="false">
      <c r="A108" s="39" t="n">
        <f aca="false">$B$6+38</f>
        <v>46242</v>
      </c>
      <c r="B108" s="32" t="n">
        <f aca="false">SUMIFS($E$220:$E$341,$D$220:$D$341,"IN",$N$220:$N$341,A108)</f>
        <v>508774632</v>
      </c>
      <c r="C108" s="32" t="n">
        <f aca="false">SUMIFS($E$220:$E$341,$D$220:$D$341,"OUT",$N$220:$N$341,A108)</f>
        <v>0</v>
      </c>
      <c r="D108" s="32" t="n">
        <f aca="false">SUM($F$70:F108)</f>
        <v>8568623306</v>
      </c>
      <c r="E108" s="32" t="n">
        <f aca="false">G107</f>
        <v>12461774647</v>
      </c>
      <c r="F108" s="32" t="n">
        <f aca="false">B108-C108</f>
        <v>508774632</v>
      </c>
      <c r="G108" s="32" t="n">
        <f aca="false">E108+F108</f>
        <v>12970549279</v>
      </c>
      <c r="H108" s="32" t="n">
        <f aca="false">IF(G108&lt;$B$9,$B$10-G108,0)</f>
        <v>0</v>
      </c>
      <c r="I108" s="32" t="n">
        <f aca="false">MAX(0,-G108)</f>
        <v>0</v>
      </c>
      <c r="J108" s="34" t="n">
        <f aca="false">H108/$B$10</f>
        <v>0</v>
      </c>
      <c r="K108" s="41" t="n">
        <f aca="false">IF(G108&lt;$B$9,3,0)</f>
        <v>0</v>
      </c>
      <c r="L108" s="3" t="n">
        <f aca="false">IF(G108&lt;$B$9,SUM($N$70:N108),0)</f>
        <v>0</v>
      </c>
      <c r="M108" s="3" t="n">
        <f aca="false">IF(G108&gt;$B$11,M107+1,0)</f>
        <v>29</v>
      </c>
      <c r="N108" s="3" t="n">
        <f aca="false">IF(AND(G108&lt;$B$9,G107&gt;=$B$9),1,0)</f>
        <v>0</v>
      </c>
      <c r="O108" s="3" t="n">
        <f aca="false">IF(AND(G108&lt;$B$9,G109&gt;=$B$9),1,0)</f>
        <v>0</v>
      </c>
      <c r="P108" s="3" t="n">
        <f aca="false">IF(L108&gt;0,COUNTIF($L$70:L108,L108),0)</f>
        <v>0</v>
      </c>
      <c r="Q108" s="32" t="n">
        <f aca="false">$B$10</f>
        <v>6855965890.22435</v>
      </c>
    </row>
    <row r="109" customFormat="false" ht="25.5" hidden="false" customHeight="true" outlineLevel="0" collapsed="false">
      <c r="A109" s="38" t="n">
        <f aca="false">$B$6+39</f>
        <v>46243</v>
      </c>
      <c r="B109" s="33" t="n">
        <f aca="false">SUMIFS($E$220:$E$341,$D$220:$D$341,"IN",$N$220:$N$341,A109)</f>
        <v>2965863013</v>
      </c>
      <c r="C109" s="33" t="n">
        <f aca="false">SUMIFS($E$220:$E$341,$D$220:$D$341,"OUT",$N$220:$N$341,A109)</f>
        <v>0</v>
      </c>
      <c r="D109" s="33" t="n">
        <f aca="false">SUM($F$70:F109)</f>
        <v>11534486319</v>
      </c>
      <c r="E109" s="33" t="n">
        <f aca="false">G108</f>
        <v>12970549279</v>
      </c>
      <c r="F109" s="33" t="n">
        <f aca="false">B109-C109</f>
        <v>2965863013</v>
      </c>
      <c r="G109" s="33" t="n">
        <f aca="false">E109+F109</f>
        <v>15936412292</v>
      </c>
      <c r="H109" s="33" t="n">
        <f aca="false">IF(G109&lt;$B$9,$B$10-G109,0)</f>
        <v>0</v>
      </c>
      <c r="I109" s="33" t="n">
        <f aca="false">MAX(0,-G109)</f>
        <v>0</v>
      </c>
      <c r="J109" s="36" t="n">
        <f aca="false">H109/$B$10</f>
        <v>0</v>
      </c>
      <c r="K109" s="45" t="n">
        <f aca="false">IF(G109&lt;$B$9,3,0)</f>
        <v>0</v>
      </c>
      <c r="L109" s="4" t="n">
        <f aca="false">IF(G109&lt;$B$9,SUM($N$70:N109),0)</f>
        <v>0</v>
      </c>
      <c r="M109" s="4" t="n">
        <f aca="false">IF(G109&gt;$B$11,M108+1,0)</f>
        <v>30</v>
      </c>
      <c r="N109" s="4" t="n">
        <f aca="false">IF(AND(G109&lt;$B$9,G108&gt;=$B$9),1,0)</f>
        <v>0</v>
      </c>
      <c r="O109" s="4" t="n">
        <f aca="false">IF(AND(G109&lt;$B$9,G110&gt;=$B$9),1,0)</f>
        <v>0</v>
      </c>
      <c r="P109" s="4" t="n">
        <f aca="false">IF(L109&gt;0,COUNTIF($L$70:L109,L109),0)</f>
        <v>0</v>
      </c>
      <c r="Q109" s="33" t="n">
        <f aca="false">$B$10</f>
        <v>6855965890.22435</v>
      </c>
    </row>
    <row r="110" customFormat="false" ht="25.5" hidden="false" customHeight="true" outlineLevel="0" collapsed="false">
      <c r="A110" s="39" t="n">
        <f aca="false">$B$6+40</f>
        <v>46244</v>
      </c>
      <c r="B110" s="32" t="n">
        <f aca="false">SUMIFS($E$220:$E$341,$D$220:$D$341,"IN",$N$220:$N$341,A110)</f>
        <v>0</v>
      </c>
      <c r="C110" s="32" t="n">
        <f aca="false">SUMIFS($E$220:$E$341,$D$220:$D$341,"OUT",$N$220:$N$341,A110)</f>
        <v>0</v>
      </c>
      <c r="D110" s="32" t="n">
        <f aca="false">SUM($F$70:F110)</f>
        <v>11534486319</v>
      </c>
      <c r="E110" s="32" t="n">
        <f aca="false">G109</f>
        <v>15936412292</v>
      </c>
      <c r="F110" s="32" t="n">
        <f aca="false">B110-C110</f>
        <v>0</v>
      </c>
      <c r="G110" s="32" t="n">
        <f aca="false">E110+F110</f>
        <v>15936412292</v>
      </c>
      <c r="H110" s="32" t="n">
        <f aca="false">IF(G110&lt;$B$9,$B$10-G110,0)</f>
        <v>0</v>
      </c>
      <c r="I110" s="32" t="n">
        <f aca="false">MAX(0,-G110)</f>
        <v>0</v>
      </c>
      <c r="J110" s="34" t="n">
        <f aca="false">H110/$B$10</f>
        <v>0</v>
      </c>
      <c r="K110" s="41" t="n">
        <f aca="false">IF(G110&lt;$B$9,3,0)</f>
        <v>0</v>
      </c>
      <c r="L110" s="3" t="n">
        <f aca="false">IF(G110&lt;$B$9,SUM($N$70:N110),0)</f>
        <v>0</v>
      </c>
      <c r="M110" s="3" t="n">
        <f aca="false">IF(G110&gt;$B$11,M109+1,0)</f>
        <v>31</v>
      </c>
      <c r="N110" s="3" t="n">
        <f aca="false">IF(AND(G110&lt;$B$9,G109&gt;=$B$9),1,0)</f>
        <v>0</v>
      </c>
      <c r="O110" s="3" t="n">
        <f aca="false">IF(AND(G110&lt;$B$9,G111&gt;=$B$9),1,0)</f>
        <v>0</v>
      </c>
      <c r="P110" s="3" t="n">
        <f aca="false">IF(L110&gt;0,COUNTIF($L$70:L110,L110),0)</f>
        <v>0</v>
      </c>
      <c r="Q110" s="32" t="n">
        <f aca="false">$B$10</f>
        <v>6855965890.22435</v>
      </c>
    </row>
    <row r="111" customFormat="false" ht="25.5" hidden="false" customHeight="true" outlineLevel="0" collapsed="false">
      <c r="A111" s="38" t="n">
        <f aca="false">$B$6+41</f>
        <v>46245</v>
      </c>
      <c r="B111" s="33" t="n">
        <f aca="false">SUMIFS($E$220:$E$341,$D$220:$D$341,"IN",$N$220:$N$341,A111)</f>
        <v>0</v>
      </c>
      <c r="C111" s="33" t="n">
        <f aca="false">SUMIFS($E$220:$E$341,$D$220:$D$341,"OUT",$N$220:$N$341,A111)</f>
        <v>0</v>
      </c>
      <c r="D111" s="33" t="n">
        <f aca="false">SUM($F$70:F111)</f>
        <v>11534486319</v>
      </c>
      <c r="E111" s="33" t="n">
        <f aca="false">G110</f>
        <v>15936412292</v>
      </c>
      <c r="F111" s="33" t="n">
        <f aca="false">B111-C111</f>
        <v>0</v>
      </c>
      <c r="G111" s="33" t="n">
        <f aca="false">E111+F111</f>
        <v>15936412292</v>
      </c>
      <c r="H111" s="33" t="n">
        <f aca="false">IF(G111&lt;$B$9,$B$10-G111,0)</f>
        <v>0</v>
      </c>
      <c r="I111" s="33" t="n">
        <f aca="false">MAX(0,-G111)</f>
        <v>0</v>
      </c>
      <c r="J111" s="36" t="n">
        <f aca="false">H111/$B$10</f>
        <v>0</v>
      </c>
      <c r="K111" s="45" t="n">
        <f aca="false">IF(G111&lt;$B$9,3,0)</f>
        <v>0</v>
      </c>
      <c r="L111" s="4" t="n">
        <f aca="false">IF(G111&lt;$B$9,SUM($N$70:N111),0)</f>
        <v>0</v>
      </c>
      <c r="M111" s="4" t="n">
        <f aca="false">IF(G111&gt;$B$11,M110+1,0)</f>
        <v>32</v>
      </c>
      <c r="N111" s="4" t="n">
        <f aca="false">IF(AND(G111&lt;$B$9,G110&gt;=$B$9),1,0)</f>
        <v>0</v>
      </c>
      <c r="O111" s="4" t="n">
        <f aca="false">IF(AND(G111&lt;$B$9,G112&gt;=$B$9),1,0)</f>
        <v>0</v>
      </c>
      <c r="P111" s="4" t="n">
        <f aca="false">IF(L111&gt;0,COUNTIF($L$70:L111,L111),0)</f>
        <v>0</v>
      </c>
      <c r="Q111" s="33" t="n">
        <f aca="false">$B$10</f>
        <v>6855965890.22435</v>
      </c>
    </row>
    <row r="112" customFormat="false" ht="25.5" hidden="false" customHeight="true" outlineLevel="0" collapsed="false">
      <c r="A112" s="39" t="n">
        <f aca="false">$B$6+42</f>
        <v>46246</v>
      </c>
      <c r="B112" s="32" t="n">
        <f aca="false">SUMIFS($E$220:$E$341,$D$220:$D$341,"IN",$N$220:$N$341,A112)</f>
        <v>585623157</v>
      </c>
      <c r="C112" s="32" t="n">
        <f aca="false">SUMIFS($E$220:$E$341,$D$220:$D$341,"OUT",$N$220:$N$341,A112)</f>
        <v>0</v>
      </c>
      <c r="D112" s="32" t="n">
        <f aca="false">SUM($F$70:F112)</f>
        <v>12120109476</v>
      </c>
      <c r="E112" s="32" t="n">
        <f aca="false">G111</f>
        <v>15936412292</v>
      </c>
      <c r="F112" s="32" t="n">
        <f aca="false">B112-C112</f>
        <v>585623157</v>
      </c>
      <c r="G112" s="32" t="n">
        <f aca="false">E112+F112</f>
        <v>16522035449</v>
      </c>
      <c r="H112" s="32" t="n">
        <f aca="false">IF(G112&lt;$B$9,$B$10-G112,0)</f>
        <v>0</v>
      </c>
      <c r="I112" s="32" t="n">
        <f aca="false">MAX(0,-G112)</f>
        <v>0</v>
      </c>
      <c r="J112" s="34" t="n">
        <f aca="false">H112/$B$10</f>
        <v>0</v>
      </c>
      <c r="K112" s="41" t="n">
        <f aca="false">IF(G112&lt;$B$9,3,0)</f>
        <v>0</v>
      </c>
      <c r="L112" s="3" t="n">
        <f aca="false">IF(G112&lt;$B$9,SUM($N$70:N112),0)</f>
        <v>0</v>
      </c>
      <c r="M112" s="3" t="n">
        <f aca="false">IF(G112&gt;$B$11,M111+1,0)</f>
        <v>33</v>
      </c>
      <c r="N112" s="3" t="n">
        <f aca="false">IF(AND(G112&lt;$B$9,G111&gt;=$B$9),1,0)</f>
        <v>0</v>
      </c>
      <c r="O112" s="3" t="n">
        <f aca="false">IF(AND(G112&lt;$B$9,G113&gt;=$B$9),1,0)</f>
        <v>0</v>
      </c>
      <c r="P112" s="3" t="n">
        <f aca="false">IF(L112&gt;0,COUNTIF($L$70:L112,L112),0)</f>
        <v>0</v>
      </c>
      <c r="Q112" s="32" t="n">
        <f aca="false">$B$10</f>
        <v>6855965890.22435</v>
      </c>
    </row>
    <row r="113" customFormat="false" ht="25.5" hidden="false" customHeight="true" outlineLevel="0" collapsed="false">
      <c r="A113" s="38" t="n">
        <f aca="false">$B$6+43</f>
        <v>46247</v>
      </c>
      <c r="B113" s="33" t="n">
        <f aca="false">SUMIFS($E$220:$E$341,$D$220:$D$341,"IN",$N$220:$N$341,A113)</f>
        <v>0</v>
      </c>
      <c r="C113" s="33" t="n">
        <f aca="false">SUMIFS($E$220:$E$341,$D$220:$D$341,"OUT",$N$220:$N$341,A113)</f>
        <v>0</v>
      </c>
      <c r="D113" s="33" t="n">
        <f aca="false">SUM($F$70:F113)</f>
        <v>12120109476</v>
      </c>
      <c r="E113" s="33" t="n">
        <f aca="false">G112</f>
        <v>16522035449</v>
      </c>
      <c r="F113" s="33" t="n">
        <f aca="false">B113-C113</f>
        <v>0</v>
      </c>
      <c r="G113" s="33" t="n">
        <f aca="false">E113+F113</f>
        <v>16522035449</v>
      </c>
      <c r="H113" s="33" t="n">
        <f aca="false">IF(G113&lt;$B$9,$B$10-G113,0)</f>
        <v>0</v>
      </c>
      <c r="I113" s="33" t="n">
        <f aca="false">MAX(0,-G113)</f>
        <v>0</v>
      </c>
      <c r="J113" s="36" t="n">
        <f aca="false">H113/$B$10</f>
        <v>0</v>
      </c>
      <c r="K113" s="45" t="n">
        <f aca="false">IF(G113&lt;$B$9,3,0)</f>
        <v>0</v>
      </c>
      <c r="L113" s="4" t="n">
        <f aca="false">IF(G113&lt;$B$9,SUM($N$70:N113),0)</f>
        <v>0</v>
      </c>
      <c r="M113" s="4" t="n">
        <f aca="false">IF(G113&gt;$B$11,M112+1,0)</f>
        <v>34</v>
      </c>
      <c r="N113" s="4" t="n">
        <f aca="false">IF(AND(G113&lt;$B$9,G112&gt;=$B$9),1,0)</f>
        <v>0</v>
      </c>
      <c r="O113" s="4" t="n">
        <f aca="false">IF(AND(G113&lt;$B$9,G114&gt;=$B$9),1,0)</f>
        <v>0</v>
      </c>
      <c r="P113" s="4" t="n">
        <f aca="false">IF(L113&gt;0,COUNTIF($L$70:L113,L113),0)</f>
        <v>0</v>
      </c>
      <c r="Q113" s="33" t="n">
        <f aca="false">$B$10</f>
        <v>6855965890.22435</v>
      </c>
    </row>
    <row r="114" customFormat="false" ht="25.5" hidden="false" customHeight="true" outlineLevel="0" collapsed="false">
      <c r="A114" s="39" t="n">
        <f aca="false">$B$6+44</f>
        <v>46248</v>
      </c>
      <c r="B114" s="32" t="n">
        <f aca="false">SUMIFS($E$220:$E$341,$D$220:$D$341,"IN",$N$220:$N$341,A114)</f>
        <v>0</v>
      </c>
      <c r="C114" s="32" t="n">
        <f aca="false">SUMIFS($E$220:$E$341,$D$220:$D$341,"OUT",$N$220:$N$341,A114)</f>
        <v>0</v>
      </c>
      <c r="D114" s="32" t="n">
        <f aca="false">SUM($F$70:F114)</f>
        <v>12120109476</v>
      </c>
      <c r="E114" s="32" t="n">
        <f aca="false">G113</f>
        <v>16522035449</v>
      </c>
      <c r="F114" s="32" t="n">
        <f aca="false">B114-C114</f>
        <v>0</v>
      </c>
      <c r="G114" s="32" t="n">
        <f aca="false">E114+F114</f>
        <v>16522035449</v>
      </c>
      <c r="H114" s="32" t="n">
        <f aca="false">IF(G114&lt;$B$9,$B$10-G114,0)</f>
        <v>0</v>
      </c>
      <c r="I114" s="32" t="n">
        <f aca="false">MAX(0,-G114)</f>
        <v>0</v>
      </c>
      <c r="J114" s="34" t="n">
        <f aca="false">H114/$B$10</f>
        <v>0</v>
      </c>
      <c r="K114" s="41" t="n">
        <f aca="false">IF(G114&lt;$B$9,3,0)</f>
        <v>0</v>
      </c>
      <c r="L114" s="3" t="n">
        <f aca="false">IF(G114&lt;$B$9,SUM($N$70:N114),0)</f>
        <v>0</v>
      </c>
      <c r="M114" s="3" t="n">
        <f aca="false">IF(G114&gt;$B$11,M113+1,0)</f>
        <v>35</v>
      </c>
      <c r="N114" s="3" t="n">
        <f aca="false">IF(AND(G114&lt;$B$9,G113&gt;=$B$9),1,0)</f>
        <v>0</v>
      </c>
      <c r="O114" s="3" t="n">
        <f aca="false">IF(AND(G114&lt;$B$9,G115&gt;=$B$9),1,0)</f>
        <v>0</v>
      </c>
      <c r="P114" s="3" t="n">
        <f aca="false">IF(L114&gt;0,COUNTIF($L$70:L114,L114),0)</f>
        <v>0</v>
      </c>
      <c r="Q114" s="32" t="n">
        <f aca="false">$B$10</f>
        <v>6855965890.22435</v>
      </c>
    </row>
    <row r="115" customFormat="false" ht="25.5" hidden="false" customHeight="true" outlineLevel="0" collapsed="false">
      <c r="A115" s="38" t="n">
        <f aca="false">$B$6+45</f>
        <v>46249</v>
      </c>
      <c r="B115" s="33" t="n">
        <f aca="false">SUMIFS($E$220:$E$341,$D$220:$D$341,"IN",$N$220:$N$341,A115)</f>
        <v>0</v>
      </c>
      <c r="C115" s="33" t="n">
        <f aca="false">SUMIFS($E$220:$E$341,$D$220:$D$341,"OUT",$N$220:$N$341,A115)</f>
        <v>1008000000</v>
      </c>
      <c r="D115" s="33" t="n">
        <f aca="false">SUM($F$70:F115)</f>
        <v>11112109476</v>
      </c>
      <c r="E115" s="33" t="n">
        <f aca="false">G114</f>
        <v>16522035449</v>
      </c>
      <c r="F115" s="33" t="n">
        <f aca="false">B115-C115</f>
        <v>-1008000000</v>
      </c>
      <c r="G115" s="33" t="n">
        <f aca="false">E115+F115</f>
        <v>15514035449</v>
      </c>
      <c r="H115" s="33" t="n">
        <f aca="false">IF(G115&lt;$B$9,$B$10-G115,0)</f>
        <v>0</v>
      </c>
      <c r="I115" s="33" t="n">
        <f aca="false">MAX(0,-G115)</f>
        <v>0</v>
      </c>
      <c r="J115" s="36" t="n">
        <f aca="false">H115/$B$10</f>
        <v>0</v>
      </c>
      <c r="K115" s="45" t="n">
        <f aca="false">IF(G115&lt;$B$9,3,0)</f>
        <v>0</v>
      </c>
      <c r="L115" s="4" t="n">
        <f aca="false">IF(G115&lt;$B$9,SUM($N$70:N115),0)</f>
        <v>0</v>
      </c>
      <c r="M115" s="4" t="n">
        <f aca="false">IF(G115&gt;$B$11,M114+1,0)</f>
        <v>36</v>
      </c>
      <c r="N115" s="4" t="n">
        <f aca="false">IF(AND(G115&lt;$B$9,G114&gt;=$B$9),1,0)</f>
        <v>0</v>
      </c>
      <c r="O115" s="4" t="n">
        <f aca="false">IF(AND(G115&lt;$B$9,G116&gt;=$B$9),1,0)</f>
        <v>0</v>
      </c>
      <c r="P115" s="4" t="n">
        <f aca="false">IF(L115&gt;0,COUNTIF($L$70:L115,L115),0)</f>
        <v>0</v>
      </c>
      <c r="Q115" s="33" t="n">
        <f aca="false">$B$10</f>
        <v>6855965890.22435</v>
      </c>
    </row>
    <row r="116" customFormat="false" ht="25.5" hidden="false" customHeight="true" outlineLevel="0" collapsed="false">
      <c r="A116" s="39" t="n">
        <f aca="false">$B$6+46</f>
        <v>46250</v>
      </c>
      <c r="B116" s="32" t="n">
        <f aca="false">SUMIFS($E$220:$E$341,$D$220:$D$341,"IN",$N$220:$N$341,A116)</f>
        <v>0</v>
      </c>
      <c r="C116" s="32" t="n">
        <f aca="false">SUMIFS($E$220:$E$341,$D$220:$D$341,"OUT",$N$220:$N$341,A116)</f>
        <v>0</v>
      </c>
      <c r="D116" s="32" t="n">
        <f aca="false">SUM($F$70:F116)</f>
        <v>11112109476</v>
      </c>
      <c r="E116" s="32" t="n">
        <f aca="false">G115</f>
        <v>15514035449</v>
      </c>
      <c r="F116" s="32" t="n">
        <f aca="false">B116-C116</f>
        <v>0</v>
      </c>
      <c r="G116" s="32" t="n">
        <f aca="false">E116+F116</f>
        <v>15514035449</v>
      </c>
      <c r="H116" s="32" t="n">
        <f aca="false">IF(G116&lt;$B$9,$B$10-G116,0)</f>
        <v>0</v>
      </c>
      <c r="I116" s="32" t="n">
        <f aca="false">MAX(0,-G116)</f>
        <v>0</v>
      </c>
      <c r="J116" s="34" t="n">
        <f aca="false">H116/$B$10</f>
        <v>0</v>
      </c>
      <c r="K116" s="41" t="n">
        <f aca="false">IF(G116&lt;$B$9,3,0)</f>
        <v>0</v>
      </c>
      <c r="L116" s="3" t="n">
        <f aca="false">IF(G116&lt;$B$9,SUM($N$70:N116),0)</f>
        <v>0</v>
      </c>
      <c r="M116" s="3" t="n">
        <f aca="false">IF(G116&gt;$B$11,M115+1,0)</f>
        <v>37</v>
      </c>
      <c r="N116" s="3" t="n">
        <f aca="false">IF(AND(G116&lt;$B$9,G115&gt;=$B$9),1,0)</f>
        <v>0</v>
      </c>
      <c r="O116" s="3" t="n">
        <f aca="false">IF(AND(G116&lt;$B$9,G117&gt;=$B$9),1,0)</f>
        <v>0</v>
      </c>
      <c r="P116" s="3" t="n">
        <f aca="false">IF(L116&gt;0,COUNTIF($L$70:L116,L116),0)</f>
        <v>0</v>
      </c>
      <c r="Q116" s="32" t="n">
        <f aca="false">$B$10</f>
        <v>6855965890.22435</v>
      </c>
    </row>
    <row r="117" customFormat="false" ht="25.5" hidden="false" customHeight="true" outlineLevel="0" collapsed="false">
      <c r="A117" s="38" t="n">
        <f aca="false">$B$6+47</f>
        <v>46251</v>
      </c>
      <c r="B117" s="33" t="n">
        <f aca="false">SUMIFS($E$220:$E$341,$D$220:$D$341,"IN",$N$220:$N$341,A117)</f>
        <v>0</v>
      </c>
      <c r="C117" s="33" t="n">
        <f aca="false">SUMIFS($E$220:$E$341,$D$220:$D$341,"OUT",$N$220:$N$341,A117)</f>
        <v>0</v>
      </c>
      <c r="D117" s="33" t="n">
        <f aca="false">SUM($F$70:F117)</f>
        <v>11112109476</v>
      </c>
      <c r="E117" s="33" t="n">
        <f aca="false">G116</f>
        <v>15514035449</v>
      </c>
      <c r="F117" s="33" t="n">
        <f aca="false">B117-C117</f>
        <v>0</v>
      </c>
      <c r="G117" s="33" t="n">
        <f aca="false">E117+F117</f>
        <v>15514035449</v>
      </c>
      <c r="H117" s="33" t="n">
        <f aca="false">IF(G117&lt;$B$9,$B$10-G117,0)</f>
        <v>0</v>
      </c>
      <c r="I117" s="33" t="n">
        <f aca="false">MAX(0,-G117)</f>
        <v>0</v>
      </c>
      <c r="J117" s="36" t="n">
        <f aca="false">H117/$B$10</f>
        <v>0</v>
      </c>
      <c r="K117" s="45" t="n">
        <f aca="false">IF(G117&lt;$B$9,3,0)</f>
        <v>0</v>
      </c>
      <c r="L117" s="4" t="n">
        <f aca="false">IF(G117&lt;$B$9,SUM($N$70:N117),0)</f>
        <v>0</v>
      </c>
      <c r="M117" s="4" t="n">
        <f aca="false">IF(G117&gt;$B$11,M116+1,0)</f>
        <v>38</v>
      </c>
      <c r="N117" s="4" t="n">
        <f aca="false">IF(AND(G117&lt;$B$9,G116&gt;=$B$9),1,0)</f>
        <v>0</v>
      </c>
      <c r="O117" s="4" t="n">
        <f aca="false">IF(AND(G117&lt;$B$9,G118&gt;=$B$9),1,0)</f>
        <v>0</v>
      </c>
      <c r="P117" s="4" t="n">
        <f aca="false">IF(L117&gt;0,COUNTIF($L$70:L117,L117),0)</f>
        <v>0</v>
      </c>
      <c r="Q117" s="33" t="n">
        <f aca="false">$B$10</f>
        <v>6855965890.22435</v>
      </c>
    </row>
    <row r="118" customFormat="false" ht="25.5" hidden="false" customHeight="true" outlineLevel="0" collapsed="false">
      <c r="A118" s="39" t="n">
        <f aca="false">$B$6+48</f>
        <v>46252</v>
      </c>
      <c r="B118" s="32" t="n">
        <f aca="false">SUMIFS($E$220:$E$341,$D$220:$D$341,"IN",$N$220:$N$341,A118)</f>
        <v>952239078</v>
      </c>
      <c r="C118" s="32" t="n">
        <f aca="false">SUMIFS($E$220:$E$341,$D$220:$D$341,"OUT",$N$220:$N$341,A118)</f>
        <v>0</v>
      </c>
      <c r="D118" s="32" t="n">
        <f aca="false">SUM($F$70:F118)</f>
        <v>12064348554</v>
      </c>
      <c r="E118" s="32" t="n">
        <f aca="false">G117</f>
        <v>15514035449</v>
      </c>
      <c r="F118" s="32" t="n">
        <f aca="false">B118-C118</f>
        <v>952239078</v>
      </c>
      <c r="G118" s="32" t="n">
        <f aca="false">E118+F118</f>
        <v>16466274527</v>
      </c>
      <c r="H118" s="32" t="n">
        <f aca="false">IF(G118&lt;$B$9,$B$10-G118,0)</f>
        <v>0</v>
      </c>
      <c r="I118" s="32" t="n">
        <f aca="false">MAX(0,-G118)</f>
        <v>0</v>
      </c>
      <c r="J118" s="34" t="n">
        <f aca="false">H118/$B$10</f>
        <v>0</v>
      </c>
      <c r="K118" s="41" t="n">
        <f aca="false">IF(G118&lt;$B$9,3,0)</f>
        <v>0</v>
      </c>
      <c r="L118" s="3" t="n">
        <f aca="false">IF(G118&lt;$B$9,SUM($N$70:N118),0)</f>
        <v>0</v>
      </c>
      <c r="M118" s="3" t="n">
        <f aca="false">IF(G118&gt;$B$11,M117+1,0)</f>
        <v>39</v>
      </c>
      <c r="N118" s="3" t="n">
        <f aca="false">IF(AND(G118&lt;$B$9,G117&gt;=$B$9),1,0)</f>
        <v>0</v>
      </c>
      <c r="O118" s="3" t="n">
        <f aca="false">IF(AND(G118&lt;$B$9,G119&gt;=$B$9),1,0)</f>
        <v>0</v>
      </c>
      <c r="P118" s="3" t="n">
        <f aca="false">IF(L118&gt;0,COUNTIF($L$70:L118,L118),0)</f>
        <v>0</v>
      </c>
      <c r="Q118" s="32" t="n">
        <f aca="false">$B$10</f>
        <v>6855965890.22435</v>
      </c>
    </row>
    <row r="119" customFormat="false" ht="25.5" hidden="false" customHeight="true" outlineLevel="0" collapsed="false">
      <c r="A119" s="38" t="n">
        <f aca="false">$B$6+49</f>
        <v>46253</v>
      </c>
      <c r="B119" s="33" t="n">
        <f aca="false">SUMIFS($E$220:$E$341,$D$220:$D$341,"IN",$N$220:$N$341,A119)</f>
        <v>0</v>
      </c>
      <c r="C119" s="33" t="n">
        <f aca="false">SUMIFS($E$220:$E$341,$D$220:$D$341,"OUT",$N$220:$N$341,A119)</f>
        <v>0</v>
      </c>
      <c r="D119" s="33" t="n">
        <f aca="false">SUM($F$70:F119)</f>
        <v>12064348554</v>
      </c>
      <c r="E119" s="33" t="n">
        <f aca="false">G118</f>
        <v>16466274527</v>
      </c>
      <c r="F119" s="33" t="n">
        <f aca="false">B119-C119</f>
        <v>0</v>
      </c>
      <c r="G119" s="33" t="n">
        <f aca="false">E119+F119</f>
        <v>16466274527</v>
      </c>
      <c r="H119" s="33" t="n">
        <f aca="false">IF(G119&lt;$B$9,$B$10-G119,0)</f>
        <v>0</v>
      </c>
      <c r="I119" s="33" t="n">
        <f aca="false">MAX(0,-G119)</f>
        <v>0</v>
      </c>
      <c r="J119" s="36" t="n">
        <f aca="false">H119/$B$10</f>
        <v>0</v>
      </c>
      <c r="K119" s="45" t="n">
        <f aca="false">IF(G119&lt;$B$9,3,0)</f>
        <v>0</v>
      </c>
      <c r="L119" s="4" t="n">
        <f aca="false">IF(G119&lt;$B$9,SUM($N$70:N119),0)</f>
        <v>0</v>
      </c>
      <c r="M119" s="4" t="n">
        <f aca="false">IF(G119&gt;$B$11,M118+1,0)</f>
        <v>40</v>
      </c>
      <c r="N119" s="4" t="n">
        <f aca="false">IF(AND(G119&lt;$B$9,G118&gt;=$B$9),1,0)</f>
        <v>0</v>
      </c>
      <c r="O119" s="4" t="n">
        <f aca="false">IF(AND(G119&lt;$B$9,G120&gt;=$B$9),1,0)</f>
        <v>0</v>
      </c>
      <c r="P119" s="4" t="n">
        <f aca="false">IF(L119&gt;0,COUNTIF($L$70:L119,L119),0)</f>
        <v>0</v>
      </c>
      <c r="Q119" s="33" t="n">
        <f aca="false">$B$10</f>
        <v>6855965890.22435</v>
      </c>
    </row>
    <row r="120" customFormat="false" ht="25.5" hidden="false" customHeight="true" outlineLevel="0" collapsed="false">
      <c r="A120" s="39" t="n">
        <f aca="false">$B$6+50</f>
        <v>46254</v>
      </c>
      <c r="B120" s="32" t="n">
        <f aca="false">SUMIFS($E$220:$E$341,$D$220:$D$341,"IN",$N$220:$N$341,A120)</f>
        <v>0</v>
      </c>
      <c r="C120" s="32" t="n">
        <f aca="false">SUMIFS($E$220:$E$341,$D$220:$D$341,"OUT",$N$220:$N$341,A120)</f>
        <v>528199584</v>
      </c>
      <c r="D120" s="32" t="n">
        <f aca="false">SUM($F$70:F120)</f>
        <v>11536148970</v>
      </c>
      <c r="E120" s="32" t="n">
        <f aca="false">G119</f>
        <v>16466274527</v>
      </c>
      <c r="F120" s="32" t="n">
        <f aca="false">B120-C120</f>
        <v>-528199584</v>
      </c>
      <c r="G120" s="32" t="n">
        <f aca="false">E120+F120</f>
        <v>15938074943</v>
      </c>
      <c r="H120" s="32" t="n">
        <f aca="false">IF(G120&lt;$B$9,$B$10-G120,0)</f>
        <v>0</v>
      </c>
      <c r="I120" s="32" t="n">
        <f aca="false">MAX(0,-G120)</f>
        <v>0</v>
      </c>
      <c r="J120" s="34" t="n">
        <f aca="false">H120/$B$10</f>
        <v>0</v>
      </c>
      <c r="K120" s="41" t="n">
        <f aca="false">IF(G120&lt;$B$9,3,0)</f>
        <v>0</v>
      </c>
      <c r="L120" s="3" t="n">
        <f aca="false">IF(G120&lt;$B$9,SUM($N$70:N120),0)</f>
        <v>0</v>
      </c>
      <c r="M120" s="3" t="n">
        <f aca="false">IF(G120&gt;$B$11,M119+1,0)</f>
        <v>41</v>
      </c>
      <c r="N120" s="3" t="n">
        <f aca="false">IF(AND(G120&lt;$B$9,G119&gt;=$B$9),1,0)</f>
        <v>0</v>
      </c>
      <c r="O120" s="3" t="n">
        <f aca="false">IF(AND(G120&lt;$B$9,G121&gt;=$B$9),1,0)</f>
        <v>0</v>
      </c>
      <c r="P120" s="3" t="n">
        <f aca="false">IF(L120&gt;0,COUNTIF($L$70:L120,L120),0)</f>
        <v>0</v>
      </c>
      <c r="Q120" s="32" t="n">
        <f aca="false">$B$10</f>
        <v>6855965890.22435</v>
      </c>
    </row>
    <row r="121" customFormat="false" ht="25.5" hidden="false" customHeight="true" outlineLevel="0" collapsed="false">
      <c r="A121" s="38" t="n">
        <f aca="false">$B$6+51</f>
        <v>46255</v>
      </c>
      <c r="B121" s="33" t="n">
        <f aca="false">SUMIFS($E$220:$E$341,$D$220:$D$341,"IN",$N$220:$N$341,A121)</f>
        <v>0</v>
      </c>
      <c r="C121" s="33" t="n">
        <f aca="false">SUMIFS($E$220:$E$341,$D$220:$D$341,"OUT",$N$220:$N$341,A121)</f>
        <v>0</v>
      </c>
      <c r="D121" s="33" t="n">
        <f aca="false">SUM($F$70:F121)</f>
        <v>11536148970</v>
      </c>
      <c r="E121" s="33" t="n">
        <f aca="false">G120</f>
        <v>15938074943</v>
      </c>
      <c r="F121" s="33" t="n">
        <f aca="false">B121-C121</f>
        <v>0</v>
      </c>
      <c r="G121" s="33" t="n">
        <f aca="false">E121+F121</f>
        <v>15938074943</v>
      </c>
      <c r="H121" s="33" t="n">
        <f aca="false">IF(G121&lt;$B$9,$B$10-G121,0)</f>
        <v>0</v>
      </c>
      <c r="I121" s="33" t="n">
        <f aca="false">MAX(0,-G121)</f>
        <v>0</v>
      </c>
      <c r="J121" s="36" t="n">
        <f aca="false">H121/$B$10</f>
        <v>0</v>
      </c>
      <c r="K121" s="45" t="n">
        <f aca="false">IF(G121&lt;$B$9,3,0)</f>
        <v>0</v>
      </c>
      <c r="L121" s="4" t="n">
        <f aca="false">IF(G121&lt;$B$9,SUM($N$70:N121),0)</f>
        <v>0</v>
      </c>
      <c r="M121" s="4" t="n">
        <f aca="false">IF(G121&gt;$B$11,M120+1,0)</f>
        <v>42</v>
      </c>
      <c r="N121" s="4" t="n">
        <f aca="false">IF(AND(G121&lt;$B$9,G120&gt;=$B$9),1,0)</f>
        <v>0</v>
      </c>
      <c r="O121" s="4" t="n">
        <f aca="false">IF(AND(G121&lt;$B$9,G122&gt;=$B$9),1,0)</f>
        <v>0</v>
      </c>
      <c r="P121" s="4" t="n">
        <f aca="false">IF(L121&gt;0,COUNTIF($L$70:L121,L121),0)</f>
        <v>0</v>
      </c>
      <c r="Q121" s="33" t="n">
        <f aca="false">$B$10</f>
        <v>6855965890.22435</v>
      </c>
    </row>
    <row r="122" customFormat="false" ht="25.5" hidden="false" customHeight="true" outlineLevel="0" collapsed="false">
      <c r="A122" s="39" t="n">
        <f aca="false">$B$6+52</f>
        <v>46256</v>
      </c>
      <c r="B122" s="32" t="n">
        <f aca="false">SUMIFS($E$220:$E$341,$D$220:$D$341,"IN",$N$220:$N$341,A122)</f>
        <v>742318455</v>
      </c>
      <c r="C122" s="32" t="n">
        <f aca="false">SUMIFS($E$220:$E$341,$D$220:$D$341,"OUT",$N$220:$N$341,A122)</f>
        <v>0</v>
      </c>
      <c r="D122" s="32" t="n">
        <f aca="false">SUM($F$70:F122)</f>
        <v>12278467425</v>
      </c>
      <c r="E122" s="32" t="n">
        <f aca="false">G121</f>
        <v>15938074943</v>
      </c>
      <c r="F122" s="32" t="n">
        <f aca="false">B122-C122</f>
        <v>742318455</v>
      </c>
      <c r="G122" s="32" t="n">
        <f aca="false">E122+F122</f>
        <v>16680393398</v>
      </c>
      <c r="H122" s="32" t="n">
        <f aca="false">IF(G122&lt;$B$9,$B$10-G122,0)</f>
        <v>0</v>
      </c>
      <c r="I122" s="32" t="n">
        <f aca="false">MAX(0,-G122)</f>
        <v>0</v>
      </c>
      <c r="J122" s="34" t="n">
        <f aca="false">H122/$B$10</f>
        <v>0</v>
      </c>
      <c r="K122" s="41" t="n">
        <f aca="false">IF(G122&lt;$B$9,3,0)</f>
        <v>0</v>
      </c>
      <c r="L122" s="3" t="n">
        <f aca="false">IF(G122&lt;$B$9,SUM($N$70:N122),0)</f>
        <v>0</v>
      </c>
      <c r="M122" s="3" t="n">
        <f aca="false">IF(G122&gt;$B$11,M121+1,0)</f>
        <v>43</v>
      </c>
      <c r="N122" s="3" t="n">
        <f aca="false">IF(AND(G122&lt;$B$9,G121&gt;=$B$9),1,0)</f>
        <v>0</v>
      </c>
      <c r="O122" s="3" t="n">
        <f aca="false">IF(AND(G122&lt;$B$9,G123&gt;=$B$9),1,0)</f>
        <v>0</v>
      </c>
      <c r="P122" s="3" t="n">
        <f aca="false">IF(L122&gt;0,COUNTIF($L$70:L122,L122),0)</f>
        <v>0</v>
      </c>
      <c r="Q122" s="32" t="n">
        <f aca="false">$B$10</f>
        <v>6855965890.22435</v>
      </c>
    </row>
    <row r="123" customFormat="false" ht="25.5" hidden="false" customHeight="true" outlineLevel="0" collapsed="false">
      <c r="A123" s="38" t="n">
        <f aca="false">$B$6+53</f>
        <v>46257</v>
      </c>
      <c r="B123" s="33" t="n">
        <f aca="false">SUMIFS($E$220:$E$341,$D$220:$D$341,"IN",$N$220:$N$341,A123)</f>
        <v>0</v>
      </c>
      <c r="C123" s="33" t="n">
        <f aca="false">SUMIFS($E$220:$E$341,$D$220:$D$341,"OUT",$N$220:$N$341,A123)</f>
        <v>0</v>
      </c>
      <c r="D123" s="33" t="n">
        <f aca="false">SUM($F$70:F123)</f>
        <v>12278467425</v>
      </c>
      <c r="E123" s="33" t="n">
        <f aca="false">G122</f>
        <v>16680393398</v>
      </c>
      <c r="F123" s="33" t="n">
        <f aca="false">B123-C123</f>
        <v>0</v>
      </c>
      <c r="G123" s="33" t="n">
        <f aca="false">E123+F123</f>
        <v>16680393398</v>
      </c>
      <c r="H123" s="33" t="n">
        <f aca="false">IF(G123&lt;$B$9,$B$10-G123,0)</f>
        <v>0</v>
      </c>
      <c r="I123" s="33" t="n">
        <f aca="false">MAX(0,-G123)</f>
        <v>0</v>
      </c>
      <c r="J123" s="36" t="n">
        <f aca="false">H123/$B$10</f>
        <v>0</v>
      </c>
      <c r="K123" s="45" t="n">
        <f aca="false">IF(G123&lt;$B$9,3,0)</f>
        <v>0</v>
      </c>
      <c r="L123" s="4" t="n">
        <f aca="false">IF(G123&lt;$B$9,SUM($N$70:N123),0)</f>
        <v>0</v>
      </c>
      <c r="M123" s="4" t="n">
        <f aca="false">IF(G123&gt;$B$11,M122+1,0)</f>
        <v>44</v>
      </c>
      <c r="N123" s="4" t="n">
        <f aca="false">IF(AND(G123&lt;$B$9,G122&gt;=$B$9),1,0)</f>
        <v>0</v>
      </c>
      <c r="O123" s="4" t="n">
        <f aca="false">IF(AND(G123&lt;$B$9,G124&gt;=$B$9),1,0)</f>
        <v>0</v>
      </c>
      <c r="P123" s="4" t="n">
        <f aca="false">IF(L123&gt;0,COUNTIF($L$70:L123,L123),0)</f>
        <v>0</v>
      </c>
      <c r="Q123" s="33" t="n">
        <f aca="false">$B$10</f>
        <v>6855965890.22435</v>
      </c>
    </row>
    <row r="124" customFormat="false" ht="25.5" hidden="false" customHeight="true" outlineLevel="0" collapsed="false">
      <c r="A124" s="39" t="n">
        <f aca="false">$B$6+54</f>
        <v>46258</v>
      </c>
      <c r="B124" s="32" t="n">
        <f aca="false">SUMIFS($E$220:$E$341,$D$220:$D$341,"IN",$N$220:$N$341,A124)</f>
        <v>0</v>
      </c>
      <c r="C124" s="32" t="n">
        <f aca="false">SUMIFS($E$220:$E$341,$D$220:$D$341,"OUT",$N$220:$N$341,A124)</f>
        <v>0</v>
      </c>
      <c r="D124" s="32" t="n">
        <f aca="false">SUM($F$70:F124)</f>
        <v>12278467425</v>
      </c>
      <c r="E124" s="32" t="n">
        <f aca="false">G123</f>
        <v>16680393398</v>
      </c>
      <c r="F124" s="32" t="n">
        <f aca="false">B124-C124</f>
        <v>0</v>
      </c>
      <c r="G124" s="32" t="n">
        <f aca="false">E124+F124</f>
        <v>16680393398</v>
      </c>
      <c r="H124" s="32" t="n">
        <f aca="false">IF(G124&lt;$B$9,$B$10-G124,0)</f>
        <v>0</v>
      </c>
      <c r="I124" s="32" t="n">
        <f aca="false">MAX(0,-G124)</f>
        <v>0</v>
      </c>
      <c r="J124" s="34" t="n">
        <f aca="false">H124/$B$10</f>
        <v>0</v>
      </c>
      <c r="K124" s="41" t="n">
        <f aca="false">IF(G124&lt;$B$9,3,0)</f>
        <v>0</v>
      </c>
      <c r="L124" s="3" t="n">
        <f aca="false">IF(G124&lt;$B$9,SUM($N$70:N124),0)</f>
        <v>0</v>
      </c>
      <c r="M124" s="3" t="n">
        <f aca="false">IF(G124&gt;$B$11,M123+1,0)</f>
        <v>45</v>
      </c>
      <c r="N124" s="3" t="n">
        <f aca="false">IF(AND(G124&lt;$B$9,G123&gt;=$B$9),1,0)</f>
        <v>0</v>
      </c>
      <c r="O124" s="3" t="n">
        <f aca="false">IF(AND(G124&lt;$B$9,G125&gt;=$B$9),1,0)</f>
        <v>0</v>
      </c>
      <c r="P124" s="3" t="n">
        <f aca="false">IF(L124&gt;0,COUNTIF($L$70:L124,L124),0)</f>
        <v>0</v>
      </c>
      <c r="Q124" s="32" t="n">
        <f aca="false">$B$10</f>
        <v>6855965890.22435</v>
      </c>
    </row>
    <row r="125" customFormat="false" ht="25.5" hidden="false" customHeight="true" outlineLevel="0" collapsed="false">
      <c r="A125" s="38" t="n">
        <f aca="false">$B$6+55</f>
        <v>46259</v>
      </c>
      <c r="B125" s="33" t="n">
        <f aca="false">SUMIFS($E$220:$E$341,$D$220:$D$341,"IN",$N$220:$N$341,A125)</f>
        <v>0</v>
      </c>
      <c r="C125" s="33" t="n">
        <f aca="false">SUMIFS($E$220:$E$341,$D$220:$D$341,"OUT",$N$220:$N$341,A125)</f>
        <v>0</v>
      </c>
      <c r="D125" s="33" t="n">
        <f aca="false">SUM($F$70:F125)</f>
        <v>12278467425</v>
      </c>
      <c r="E125" s="33" t="n">
        <f aca="false">G124</f>
        <v>16680393398</v>
      </c>
      <c r="F125" s="33" t="n">
        <f aca="false">B125-C125</f>
        <v>0</v>
      </c>
      <c r="G125" s="33" t="n">
        <f aca="false">E125+F125</f>
        <v>16680393398</v>
      </c>
      <c r="H125" s="33" t="n">
        <f aca="false">IF(G125&lt;$B$9,$B$10-G125,0)</f>
        <v>0</v>
      </c>
      <c r="I125" s="33" t="n">
        <f aca="false">MAX(0,-G125)</f>
        <v>0</v>
      </c>
      <c r="J125" s="36" t="n">
        <f aca="false">H125/$B$10</f>
        <v>0</v>
      </c>
      <c r="K125" s="45" t="n">
        <f aca="false">IF(G125&lt;$B$9,3,0)</f>
        <v>0</v>
      </c>
      <c r="L125" s="4" t="n">
        <f aca="false">IF(G125&lt;$B$9,SUM($N$70:N125),0)</f>
        <v>0</v>
      </c>
      <c r="M125" s="4" t="n">
        <f aca="false">IF(G125&gt;$B$11,M124+1,0)</f>
        <v>46</v>
      </c>
      <c r="N125" s="4" t="n">
        <f aca="false">IF(AND(G125&lt;$B$9,G124&gt;=$B$9),1,0)</f>
        <v>0</v>
      </c>
      <c r="O125" s="4" t="n">
        <f aca="false">IF(AND(G125&lt;$B$9,G126&gt;=$B$9),1,0)</f>
        <v>0</v>
      </c>
      <c r="P125" s="4" t="n">
        <f aca="false">IF(L125&gt;0,COUNTIF($L$70:L125,L125),0)</f>
        <v>0</v>
      </c>
      <c r="Q125" s="33" t="n">
        <f aca="false">$B$10</f>
        <v>6855965890.22435</v>
      </c>
    </row>
    <row r="126" customFormat="false" ht="25.5" hidden="false" customHeight="true" outlineLevel="0" collapsed="false">
      <c r="A126" s="39" t="n">
        <f aca="false">$B$6+56</f>
        <v>46260</v>
      </c>
      <c r="B126" s="32" t="n">
        <f aca="false">SUMIFS($E$220:$E$341,$D$220:$D$341,"IN",$N$220:$N$341,A126)</f>
        <v>0</v>
      </c>
      <c r="C126" s="32" t="n">
        <f aca="false">SUMIFS($E$220:$E$341,$D$220:$D$341,"OUT",$N$220:$N$341,A126)</f>
        <v>351774590</v>
      </c>
      <c r="D126" s="32" t="n">
        <f aca="false">SUM($F$70:F126)</f>
        <v>11926692835</v>
      </c>
      <c r="E126" s="32" t="n">
        <f aca="false">G125</f>
        <v>16680393398</v>
      </c>
      <c r="F126" s="32" t="n">
        <f aca="false">B126-C126</f>
        <v>-351774590</v>
      </c>
      <c r="G126" s="32" t="n">
        <f aca="false">E126+F126</f>
        <v>16328618808</v>
      </c>
      <c r="H126" s="32" t="n">
        <f aca="false">IF(G126&lt;$B$9,$B$10-G126,0)</f>
        <v>0</v>
      </c>
      <c r="I126" s="32" t="n">
        <f aca="false">MAX(0,-G126)</f>
        <v>0</v>
      </c>
      <c r="J126" s="34" t="n">
        <f aca="false">H126/$B$10</f>
        <v>0</v>
      </c>
      <c r="K126" s="41" t="n">
        <f aca="false">IF(G126&lt;$B$9,3,0)</f>
        <v>0</v>
      </c>
      <c r="L126" s="3" t="n">
        <f aca="false">IF(G126&lt;$B$9,SUM($N$70:N126),0)</f>
        <v>0</v>
      </c>
      <c r="M126" s="3" t="n">
        <f aca="false">IF(G126&gt;$B$11,M125+1,0)</f>
        <v>47</v>
      </c>
      <c r="N126" s="3" t="n">
        <f aca="false">IF(AND(G126&lt;$B$9,G125&gt;=$B$9),1,0)</f>
        <v>0</v>
      </c>
      <c r="O126" s="3" t="n">
        <f aca="false">IF(AND(G126&lt;$B$9,G127&gt;=$B$9),1,0)</f>
        <v>0</v>
      </c>
      <c r="P126" s="3" t="n">
        <f aca="false">IF(L126&gt;0,COUNTIF($L$70:L126,L126),0)</f>
        <v>0</v>
      </c>
      <c r="Q126" s="32" t="n">
        <f aca="false">$B$10</f>
        <v>6855965890.22435</v>
      </c>
    </row>
    <row r="127" customFormat="false" ht="25.5" hidden="false" customHeight="true" outlineLevel="0" collapsed="false">
      <c r="A127" s="38" t="n">
        <f aca="false">$B$6+57</f>
        <v>46261</v>
      </c>
      <c r="B127" s="33" t="n">
        <f aca="false">SUMIFS($E$220:$E$341,$D$220:$D$341,"IN",$N$220:$N$341,A127)</f>
        <v>0</v>
      </c>
      <c r="C127" s="33" t="n">
        <f aca="false">SUMIFS($E$220:$E$341,$D$220:$D$341,"OUT",$N$220:$N$341,A127)</f>
        <v>0</v>
      </c>
      <c r="D127" s="33" t="n">
        <f aca="false">SUM($F$70:F127)</f>
        <v>11926692835</v>
      </c>
      <c r="E127" s="33" t="n">
        <f aca="false">G126</f>
        <v>16328618808</v>
      </c>
      <c r="F127" s="33" t="n">
        <f aca="false">B127-C127</f>
        <v>0</v>
      </c>
      <c r="G127" s="33" t="n">
        <f aca="false">E127+F127</f>
        <v>16328618808</v>
      </c>
      <c r="H127" s="33" t="n">
        <f aca="false">IF(G127&lt;$B$9,$B$10-G127,0)</f>
        <v>0</v>
      </c>
      <c r="I127" s="33" t="n">
        <f aca="false">MAX(0,-G127)</f>
        <v>0</v>
      </c>
      <c r="J127" s="36" t="n">
        <f aca="false">H127/$B$10</f>
        <v>0</v>
      </c>
      <c r="K127" s="45" t="n">
        <f aca="false">IF(G127&lt;$B$9,3,0)</f>
        <v>0</v>
      </c>
      <c r="L127" s="4" t="n">
        <f aca="false">IF(G127&lt;$B$9,SUM($N$70:N127),0)</f>
        <v>0</v>
      </c>
      <c r="M127" s="4" t="n">
        <f aca="false">IF(G127&gt;$B$11,M126+1,0)</f>
        <v>48</v>
      </c>
      <c r="N127" s="4" t="n">
        <f aca="false">IF(AND(G127&lt;$B$9,G126&gt;=$B$9),1,0)</f>
        <v>0</v>
      </c>
      <c r="O127" s="4" t="n">
        <f aca="false">IF(AND(G127&lt;$B$9,G128&gt;=$B$9),1,0)</f>
        <v>0</v>
      </c>
      <c r="P127" s="4" t="n">
        <f aca="false">IF(L127&gt;0,COUNTIF($L$70:L127,L127),0)</f>
        <v>0</v>
      </c>
      <c r="Q127" s="33" t="n">
        <f aca="false">$B$10</f>
        <v>6855965890.22435</v>
      </c>
    </row>
    <row r="128" customFormat="false" ht="25.5" hidden="false" customHeight="true" outlineLevel="0" collapsed="false">
      <c r="A128" s="39" t="n">
        <f aca="false">$B$6+58</f>
        <v>46262</v>
      </c>
      <c r="B128" s="32" t="n">
        <f aca="false">SUMIFS($E$220:$E$341,$D$220:$D$341,"IN",$N$220:$N$341,A128)</f>
        <v>0</v>
      </c>
      <c r="C128" s="32" t="n">
        <f aca="false">SUMIFS($E$220:$E$341,$D$220:$D$341,"OUT",$N$220:$N$341,A128)</f>
        <v>1500000000</v>
      </c>
      <c r="D128" s="32" t="n">
        <f aca="false">SUM($F$70:F128)</f>
        <v>10426692835</v>
      </c>
      <c r="E128" s="32" t="n">
        <f aca="false">G127</f>
        <v>16328618808</v>
      </c>
      <c r="F128" s="32" t="n">
        <f aca="false">B128-C128</f>
        <v>-1500000000</v>
      </c>
      <c r="G128" s="32" t="n">
        <f aca="false">E128+F128</f>
        <v>14828618808</v>
      </c>
      <c r="H128" s="32" t="n">
        <f aca="false">IF(G128&lt;$B$9,$B$10-G128,0)</f>
        <v>0</v>
      </c>
      <c r="I128" s="32" t="n">
        <f aca="false">MAX(0,-G128)</f>
        <v>0</v>
      </c>
      <c r="J128" s="34" t="n">
        <f aca="false">H128/$B$10</f>
        <v>0</v>
      </c>
      <c r="K128" s="41" t="n">
        <f aca="false">IF(G128&lt;$B$9,3,0)</f>
        <v>0</v>
      </c>
      <c r="L128" s="3" t="n">
        <f aca="false">IF(G128&lt;$B$9,SUM($N$70:N128),0)</f>
        <v>0</v>
      </c>
      <c r="M128" s="3" t="n">
        <f aca="false">IF(G128&gt;$B$11,M127+1,0)</f>
        <v>49</v>
      </c>
      <c r="N128" s="3" t="n">
        <f aca="false">IF(AND(G128&lt;$B$9,G127&gt;=$B$9),1,0)</f>
        <v>0</v>
      </c>
      <c r="O128" s="3" t="n">
        <f aca="false">IF(AND(G128&lt;$B$9,G129&gt;=$B$9),1,0)</f>
        <v>0</v>
      </c>
      <c r="P128" s="3" t="n">
        <f aca="false">IF(L128&gt;0,COUNTIF($L$70:L128,L128),0)</f>
        <v>0</v>
      </c>
      <c r="Q128" s="32" t="n">
        <f aca="false">$B$10</f>
        <v>6855965890.22435</v>
      </c>
    </row>
    <row r="129" customFormat="false" ht="25.5" hidden="false" customHeight="true" outlineLevel="0" collapsed="false">
      <c r="A129" s="38" t="n">
        <f aca="false">$B$6+59</f>
        <v>46263</v>
      </c>
      <c r="B129" s="33" t="n">
        <f aca="false">SUMIFS($E$220:$E$341,$D$220:$D$341,"IN",$N$220:$N$341,A129)</f>
        <v>0</v>
      </c>
      <c r="C129" s="33" t="n">
        <f aca="false">SUMIFS($E$220:$E$341,$D$220:$D$341,"OUT",$N$220:$N$341,A129)</f>
        <v>0</v>
      </c>
      <c r="D129" s="33" t="n">
        <f aca="false">SUM($F$70:F129)</f>
        <v>10426692835</v>
      </c>
      <c r="E129" s="33" t="n">
        <f aca="false">G128</f>
        <v>14828618808</v>
      </c>
      <c r="F129" s="33" t="n">
        <f aca="false">B129-C129</f>
        <v>0</v>
      </c>
      <c r="G129" s="33" t="n">
        <f aca="false">E129+F129</f>
        <v>14828618808</v>
      </c>
      <c r="H129" s="33" t="n">
        <f aca="false">IF(G129&lt;$B$9,$B$10-G129,0)</f>
        <v>0</v>
      </c>
      <c r="I129" s="33" t="n">
        <f aca="false">MAX(0,-G129)</f>
        <v>0</v>
      </c>
      <c r="J129" s="36" t="n">
        <f aca="false">H129/$B$10</f>
        <v>0</v>
      </c>
      <c r="K129" s="45" t="n">
        <f aca="false">IF(G129&lt;$B$9,3,0)</f>
        <v>0</v>
      </c>
      <c r="L129" s="4" t="n">
        <f aca="false">IF(G129&lt;$B$9,SUM($N$70:N129),0)</f>
        <v>0</v>
      </c>
      <c r="M129" s="4" t="n">
        <f aca="false">IF(G129&gt;$B$11,M128+1,0)</f>
        <v>50</v>
      </c>
      <c r="N129" s="4" t="n">
        <f aca="false">IF(AND(G129&lt;$B$9,G128&gt;=$B$9),1,0)</f>
        <v>0</v>
      </c>
      <c r="O129" s="4" t="n">
        <f aca="false">IF(AND(G129&lt;$B$9,G130&gt;=$B$9),1,0)</f>
        <v>0</v>
      </c>
      <c r="P129" s="4" t="n">
        <f aca="false">IF(L129&gt;0,COUNTIF($L$70:L129,L129),0)</f>
        <v>0</v>
      </c>
      <c r="Q129" s="33" t="n">
        <f aca="false">$B$10</f>
        <v>6855965890.22435</v>
      </c>
    </row>
    <row r="130" customFormat="false" ht="25.5" hidden="false" customHeight="true" outlineLevel="0" collapsed="false">
      <c r="A130" s="39" t="n">
        <f aca="false">$B$6+60</f>
        <v>46264</v>
      </c>
      <c r="B130" s="32" t="n">
        <f aca="false">SUMIFS($E$220:$E$341,$D$220:$D$341,"IN",$N$220:$N$341,A130)</f>
        <v>1247860339</v>
      </c>
      <c r="C130" s="32" t="n">
        <f aca="false">SUMIFS($E$220:$E$341,$D$220:$D$341,"OUT",$N$220:$N$341,A130)</f>
        <v>0</v>
      </c>
      <c r="D130" s="32" t="n">
        <f aca="false">SUM($F$70:F130)</f>
        <v>11674553174</v>
      </c>
      <c r="E130" s="32" t="n">
        <f aca="false">G129</f>
        <v>14828618808</v>
      </c>
      <c r="F130" s="32" t="n">
        <f aca="false">B130-C130</f>
        <v>1247860339</v>
      </c>
      <c r="G130" s="32" t="n">
        <f aca="false">E130+F130</f>
        <v>16076479147</v>
      </c>
      <c r="H130" s="32" t="n">
        <f aca="false">IF(G130&lt;$B$9,$B$10-G130,0)</f>
        <v>0</v>
      </c>
      <c r="I130" s="32" t="n">
        <f aca="false">MAX(0,-G130)</f>
        <v>0</v>
      </c>
      <c r="J130" s="34" t="n">
        <f aca="false">H130/$B$10</f>
        <v>0</v>
      </c>
      <c r="K130" s="41" t="n">
        <f aca="false">IF(G130&lt;$B$9,3,0)</f>
        <v>0</v>
      </c>
      <c r="L130" s="3" t="n">
        <f aca="false">IF(G130&lt;$B$9,SUM($N$70:N130),0)</f>
        <v>0</v>
      </c>
      <c r="M130" s="3" t="n">
        <f aca="false">IF(G130&gt;$B$11,M129+1,0)</f>
        <v>51</v>
      </c>
      <c r="N130" s="3" t="n">
        <f aca="false">IF(AND(G130&lt;$B$9,G129&gt;=$B$9),1,0)</f>
        <v>0</v>
      </c>
      <c r="O130" s="3" t="n">
        <f aca="false">IF(AND(G130&lt;$B$9,G131&gt;=$B$9),1,0)</f>
        <v>0</v>
      </c>
      <c r="P130" s="3" t="n">
        <f aca="false">IF(L130&gt;0,COUNTIF($L$70:L130,L130),0)</f>
        <v>0</v>
      </c>
      <c r="Q130" s="32" t="n">
        <f aca="false">$B$10</f>
        <v>6855965890.22435</v>
      </c>
    </row>
    <row r="131" customFormat="false" ht="25.5" hidden="false" customHeight="true" outlineLevel="0" collapsed="false">
      <c r="A131" s="38" t="n">
        <f aca="false">$B$6+61</f>
        <v>46265</v>
      </c>
      <c r="B131" s="33" t="n">
        <f aca="false">SUMIFS($E$220:$E$341,$D$220:$D$341,"IN",$N$220:$N$341,A131)</f>
        <v>0</v>
      </c>
      <c r="C131" s="33" t="n">
        <f aca="false">SUMIFS($E$220:$E$341,$D$220:$D$341,"OUT",$N$220:$N$341,A131)</f>
        <v>0</v>
      </c>
      <c r="D131" s="33" t="n">
        <f aca="false">SUM($F$70:F131)</f>
        <v>11674553174</v>
      </c>
      <c r="E131" s="33" t="n">
        <f aca="false">G130</f>
        <v>16076479147</v>
      </c>
      <c r="F131" s="33" t="n">
        <f aca="false">B131-C131</f>
        <v>0</v>
      </c>
      <c r="G131" s="33" t="n">
        <f aca="false">E131+F131</f>
        <v>16076479147</v>
      </c>
      <c r="H131" s="33" t="n">
        <f aca="false">IF(G131&lt;$B$9,$B$10-G131,0)</f>
        <v>0</v>
      </c>
      <c r="I131" s="33" t="n">
        <f aca="false">MAX(0,-G131)</f>
        <v>0</v>
      </c>
      <c r="J131" s="36" t="n">
        <f aca="false">H131/$B$10</f>
        <v>0</v>
      </c>
      <c r="K131" s="45" t="n">
        <f aca="false">IF(G131&lt;$B$9,3,0)</f>
        <v>0</v>
      </c>
      <c r="L131" s="4" t="n">
        <f aca="false">IF(G131&lt;$B$9,SUM($N$70:N131),0)</f>
        <v>0</v>
      </c>
      <c r="M131" s="4" t="n">
        <f aca="false">IF(G131&gt;$B$11,M130+1,0)</f>
        <v>52</v>
      </c>
      <c r="N131" s="4" t="n">
        <f aca="false">IF(AND(G131&lt;$B$9,G130&gt;=$B$9),1,0)</f>
        <v>0</v>
      </c>
      <c r="O131" s="4" t="n">
        <f aca="false">IF(AND(G131&lt;$B$9,G132&gt;=$B$9),1,0)</f>
        <v>0</v>
      </c>
      <c r="P131" s="4" t="n">
        <f aca="false">IF(L131&gt;0,COUNTIF($L$70:L131,L131),0)</f>
        <v>0</v>
      </c>
      <c r="Q131" s="33" t="n">
        <f aca="false">$B$10</f>
        <v>6855965890.22435</v>
      </c>
    </row>
    <row r="132" customFormat="false" ht="25.5" hidden="false" customHeight="true" outlineLevel="0" collapsed="false">
      <c r="A132" s="39" t="n">
        <f aca="false">$B$6+62</f>
        <v>46266</v>
      </c>
      <c r="B132" s="32" t="n">
        <f aca="false">SUMIFS($E$220:$E$341,$D$220:$D$341,"IN",$N$220:$N$341,A132)</f>
        <v>0</v>
      </c>
      <c r="C132" s="32" t="n">
        <f aca="false">SUMIFS($E$220:$E$341,$D$220:$D$341,"OUT",$N$220:$N$341,A132)</f>
        <v>180000000</v>
      </c>
      <c r="D132" s="32" t="n">
        <f aca="false">SUM($F$70:F132)</f>
        <v>11494553174</v>
      </c>
      <c r="E132" s="32" t="n">
        <f aca="false">G131</f>
        <v>16076479147</v>
      </c>
      <c r="F132" s="32" t="n">
        <f aca="false">B132-C132</f>
        <v>-180000000</v>
      </c>
      <c r="G132" s="32" t="n">
        <f aca="false">E132+F132</f>
        <v>15896479147</v>
      </c>
      <c r="H132" s="32" t="n">
        <f aca="false">IF(G132&lt;$B$9,$B$10-G132,0)</f>
        <v>0</v>
      </c>
      <c r="I132" s="32" t="n">
        <f aca="false">MAX(0,-G132)</f>
        <v>0</v>
      </c>
      <c r="J132" s="34" t="n">
        <f aca="false">H132/$B$10</f>
        <v>0</v>
      </c>
      <c r="K132" s="41" t="n">
        <f aca="false">IF(G132&lt;$B$9,3,0)</f>
        <v>0</v>
      </c>
      <c r="L132" s="3" t="n">
        <f aca="false">IF(G132&lt;$B$9,SUM($N$70:N132),0)</f>
        <v>0</v>
      </c>
      <c r="M132" s="3" t="n">
        <f aca="false">IF(G132&gt;$B$11,M131+1,0)</f>
        <v>53</v>
      </c>
      <c r="N132" s="3" t="n">
        <f aca="false">IF(AND(G132&lt;$B$9,G131&gt;=$B$9),1,0)</f>
        <v>0</v>
      </c>
      <c r="O132" s="3" t="n">
        <f aca="false">IF(AND(G132&lt;$B$9,G133&gt;=$B$9),1,0)</f>
        <v>0</v>
      </c>
      <c r="P132" s="3" t="n">
        <f aca="false">IF(L132&gt;0,COUNTIF($L$70:L132,L132),0)</f>
        <v>0</v>
      </c>
      <c r="Q132" s="32" t="n">
        <f aca="false">$B$10</f>
        <v>6855965890.22435</v>
      </c>
    </row>
    <row r="133" customFormat="false" ht="25.5" hidden="false" customHeight="true" outlineLevel="0" collapsed="false">
      <c r="A133" s="38" t="n">
        <f aca="false">$B$6+63</f>
        <v>46267</v>
      </c>
      <c r="B133" s="33" t="n">
        <f aca="false">SUMIFS($E$220:$E$341,$D$220:$D$341,"IN",$N$220:$N$341,A133)</f>
        <v>0</v>
      </c>
      <c r="C133" s="33" t="n">
        <f aca="false">SUMIFS($E$220:$E$341,$D$220:$D$341,"OUT",$N$220:$N$341,A133)</f>
        <v>0</v>
      </c>
      <c r="D133" s="33" t="n">
        <f aca="false">SUM($F$70:F133)</f>
        <v>11494553174</v>
      </c>
      <c r="E133" s="33" t="n">
        <f aca="false">G132</f>
        <v>15896479147</v>
      </c>
      <c r="F133" s="33" t="n">
        <f aca="false">B133-C133</f>
        <v>0</v>
      </c>
      <c r="G133" s="33" t="n">
        <f aca="false">E133+F133</f>
        <v>15896479147</v>
      </c>
      <c r="H133" s="33" t="n">
        <f aca="false">IF(G133&lt;$B$9,$B$10-G133,0)</f>
        <v>0</v>
      </c>
      <c r="I133" s="33" t="n">
        <f aca="false">MAX(0,-G133)</f>
        <v>0</v>
      </c>
      <c r="J133" s="36" t="n">
        <f aca="false">H133/$B$10</f>
        <v>0</v>
      </c>
      <c r="K133" s="45" t="n">
        <f aca="false">IF(G133&lt;$B$9,3,0)</f>
        <v>0</v>
      </c>
      <c r="L133" s="4" t="n">
        <f aca="false">IF(G133&lt;$B$9,SUM($N$70:N133),0)</f>
        <v>0</v>
      </c>
      <c r="M133" s="4" t="n">
        <f aca="false">IF(G133&gt;$B$11,M132+1,0)</f>
        <v>54</v>
      </c>
      <c r="N133" s="4" t="n">
        <f aca="false">IF(AND(G133&lt;$B$9,G132&gt;=$B$9),1,0)</f>
        <v>0</v>
      </c>
      <c r="O133" s="4" t="n">
        <f aca="false">IF(AND(G133&lt;$B$9,G134&gt;=$B$9),1,0)</f>
        <v>0</v>
      </c>
      <c r="P133" s="4" t="n">
        <f aca="false">IF(L133&gt;0,COUNTIF($L$70:L133,L133),0)</f>
        <v>0</v>
      </c>
      <c r="Q133" s="33" t="n">
        <f aca="false">$B$10</f>
        <v>6855965890.22435</v>
      </c>
    </row>
    <row r="134" customFormat="false" ht="25.5" hidden="false" customHeight="true" outlineLevel="0" collapsed="false">
      <c r="A134" s="39" t="n">
        <f aca="false">$B$6+64</f>
        <v>46268</v>
      </c>
      <c r="B134" s="32" t="n">
        <f aca="false">SUMIFS($E$220:$E$341,$D$220:$D$341,"IN",$N$220:$N$341,A134)</f>
        <v>0</v>
      </c>
      <c r="C134" s="32" t="n">
        <f aca="false">SUMIFS($E$220:$E$341,$D$220:$D$341,"OUT",$N$220:$N$341,A134)</f>
        <v>0</v>
      </c>
      <c r="D134" s="32" t="n">
        <f aca="false">SUM($F$70:F134)</f>
        <v>11494553174</v>
      </c>
      <c r="E134" s="32" t="n">
        <f aca="false">G133</f>
        <v>15896479147</v>
      </c>
      <c r="F134" s="32" t="n">
        <f aca="false">B134-C134</f>
        <v>0</v>
      </c>
      <c r="G134" s="32" t="n">
        <f aca="false">E134+F134</f>
        <v>15896479147</v>
      </c>
      <c r="H134" s="32" t="n">
        <f aca="false">IF(G134&lt;$B$9,$B$10-G134,0)</f>
        <v>0</v>
      </c>
      <c r="I134" s="32" t="n">
        <f aca="false">MAX(0,-G134)</f>
        <v>0</v>
      </c>
      <c r="J134" s="34" t="n">
        <f aca="false">H134/$B$10</f>
        <v>0</v>
      </c>
      <c r="K134" s="41" t="n">
        <f aca="false">IF(G134&lt;$B$9,3,0)</f>
        <v>0</v>
      </c>
      <c r="L134" s="3" t="n">
        <f aca="false">IF(G134&lt;$B$9,SUM($N$70:N134),0)</f>
        <v>0</v>
      </c>
      <c r="M134" s="3" t="n">
        <f aca="false">IF(G134&gt;$B$11,M133+1,0)</f>
        <v>55</v>
      </c>
      <c r="N134" s="3" t="n">
        <f aca="false">IF(AND(G134&lt;$B$9,G133&gt;=$B$9),1,0)</f>
        <v>0</v>
      </c>
      <c r="O134" s="3" t="n">
        <f aca="false">IF(AND(G134&lt;$B$9,G135&gt;=$B$9),1,0)</f>
        <v>0</v>
      </c>
      <c r="P134" s="3" t="n">
        <f aca="false">IF(L134&gt;0,COUNTIF($L$70:L134,L134),0)</f>
        <v>0</v>
      </c>
      <c r="Q134" s="32" t="n">
        <f aca="false">$B$10</f>
        <v>6855965890.22435</v>
      </c>
    </row>
    <row r="135" customFormat="false" ht="25.5" hidden="false" customHeight="true" outlineLevel="0" collapsed="false">
      <c r="A135" s="38" t="n">
        <f aca="false">$B$6+65</f>
        <v>46269</v>
      </c>
      <c r="B135" s="33" t="n">
        <f aca="false">SUMIFS($E$220:$E$341,$D$220:$D$341,"IN",$N$220:$N$341,A135)</f>
        <v>0</v>
      </c>
      <c r="C135" s="33" t="n">
        <f aca="false">SUMIFS($E$220:$E$341,$D$220:$D$341,"OUT",$N$220:$N$341,A135)</f>
        <v>0</v>
      </c>
      <c r="D135" s="33" t="n">
        <f aca="false">SUM($F$70:F135)</f>
        <v>11494553174</v>
      </c>
      <c r="E135" s="33" t="n">
        <f aca="false">G134</f>
        <v>15896479147</v>
      </c>
      <c r="F135" s="33" t="n">
        <f aca="false">B135-C135</f>
        <v>0</v>
      </c>
      <c r="G135" s="33" t="n">
        <f aca="false">E135+F135</f>
        <v>15896479147</v>
      </c>
      <c r="H135" s="33" t="n">
        <f aca="false">IF(G135&lt;$B$9,$B$10-G135,0)</f>
        <v>0</v>
      </c>
      <c r="I135" s="33" t="n">
        <f aca="false">MAX(0,-G135)</f>
        <v>0</v>
      </c>
      <c r="J135" s="36" t="n">
        <f aca="false">H135/$B$10</f>
        <v>0</v>
      </c>
      <c r="K135" s="45" t="n">
        <f aca="false">IF(G135&lt;$B$9,3,0)</f>
        <v>0</v>
      </c>
      <c r="L135" s="4" t="n">
        <f aca="false">IF(G135&lt;$B$9,SUM($N$70:N135),0)</f>
        <v>0</v>
      </c>
      <c r="M135" s="4" t="n">
        <f aca="false">IF(G135&gt;$B$11,M134+1,0)</f>
        <v>56</v>
      </c>
      <c r="N135" s="4" t="n">
        <f aca="false">IF(AND(G135&lt;$B$9,G134&gt;=$B$9),1,0)</f>
        <v>0</v>
      </c>
      <c r="O135" s="4" t="n">
        <f aca="false">IF(AND(G135&lt;$B$9,G136&gt;=$B$9),1,0)</f>
        <v>0</v>
      </c>
      <c r="P135" s="4" t="n">
        <f aca="false">IF(L135&gt;0,COUNTIF($L$70:L135,L135),0)</f>
        <v>0</v>
      </c>
      <c r="Q135" s="33" t="n">
        <f aca="false">$B$10</f>
        <v>6855965890.22435</v>
      </c>
    </row>
    <row r="136" customFormat="false" ht="25.5" hidden="false" customHeight="true" outlineLevel="0" collapsed="false">
      <c r="A136" s="39" t="n">
        <f aca="false">$B$6+66</f>
        <v>46270</v>
      </c>
      <c r="B136" s="32" t="n">
        <f aca="false">SUMIFS($E$220:$E$341,$D$220:$D$341,"IN",$N$220:$N$341,A136)</f>
        <v>0</v>
      </c>
      <c r="C136" s="32" t="n">
        <f aca="false">SUMIFS($E$220:$E$341,$D$220:$D$341,"OUT",$N$220:$N$341,A136)</f>
        <v>0</v>
      </c>
      <c r="D136" s="32" t="n">
        <f aca="false">SUM($F$70:F136)</f>
        <v>11494553174</v>
      </c>
      <c r="E136" s="32" t="n">
        <f aca="false">G135</f>
        <v>15896479147</v>
      </c>
      <c r="F136" s="32" t="n">
        <f aca="false">B136-C136</f>
        <v>0</v>
      </c>
      <c r="G136" s="32" t="n">
        <f aca="false">E136+F136</f>
        <v>15896479147</v>
      </c>
      <c r="H136" s="32" t="n">
        <f aca="false">IF(G136&lt;$B$9,$B$10-G136,0)</f>
        <v>0</v>
      </c>
      <c r="I136" s="32" t="n">
        <f aca="false">MAX(0,-G136)</f>
        <v>0</v>
      </c>
      <c r="J136" s="34" t="n">
        <f aca="false">H136/$B$10</f>
        <v>0</v>
      </c>
      <c r="K136" s="41" t="n">
        <f aca="false">IF(G136&lt;$B$9,3,0)</f>
        <v>0</v>
      </c>
      <c r="L136" s="3" t="n">
        <f aca="false">IF(G136&lt;$B$9,SUM($N$70:N136),0)</f>
        <v>0</v>
      </c>
      <c r="M136" s="3" t="n">
        <f aca="false">IF(G136&gt;$B$11,M135+1,0)</f>
        <v>57</v>
      </c>
      <c r="N136" s="3" t="n">
        <f aca="false">IF(AND(G136&lt;$B$9,G135&gt;=$B$9),1,0)</f>
        <v>0</v>
      </c>
      <c r="O136" s="3" t="n">
        <f aca="false">IF(AND(G136&lt;$B$9,G137&gt;=$B$9),1,0)</f>
        <v>0</v>
      </c>
      <c r="P136" s="3" t="n">
        <f aca="false">IF(L136&gt;0,COUNTIF($L$70:L136,L136),0)</f>
        <v>0</v>
      </c>
      <c r="Q136" s="32" t="n">
        <f aca="false">$B$10</f>
        <v>6855965890.22435</v>
      </c>
    </row>
    <row r="137" customFormat="false" ht="25.5" hidden="false" customHeight="true" outlineLevel="0" collapsed="false">
      <c r="A137" s="38" t="n">
        <f aca="false">$B$6+67</f>
        <v>46271</v>
      </c>
      <c r="B137" s="33" t="n">
        <f aca="false">SUMIFS($E$220:$E$341,$D$220:$D$341,"IN",$N$220:$N$341,A137)</f>
        <v>0</v>
      </c>
      <c r="C137" s="33" t="n">
        <f aca="false">SUMIFS($E$220:$E$341,$D$220:$D$341,"OUT",$N$220:$N$341,A137)</f>
        <v>0</v>
      </c>
      <c r="D137" s="33" t="n">
        <f aca="false">SUM($F$70:F137)</f>
        <v>11494553174</v>
      </c>
      <c r="E137" s="33" t="n">
        <f aca="false">G136</f>
        <v>15896479147</v>
      </c>
      <c r="F137" s="33" t="n">
        <f aca="false">B137-C137</f>
        <v>0</v>
      </c>
      <c r="G137" s="33" t="n">
        <f aca="false">E137+F137</f>
        <v>15896479147</v>
      </c>
      <c r="H137" s="33" t="n">
        <f aca="false">IF(G137&lt;$B$9,$B$10-G137,0)</f>
        <v>0</v>
      </c>
      <c r="I137" s="33" t="n">
        <f aca="false">MAX(0,-G137)</f>
        <v>0</v>
      </c>
      <c r="J137" s="36" t="n">
        <f aca="false">H137/$B$10</f>
        <v>0</v>
      </c>
      <c r="K137" s="45" t="n">
        <f aca="false">IF(G137&lt;$B$9,3,0)</f>
        <v>0</v>
      </c>
      <c r="L137" s="4" t="n">
        <f aca="false">IF(G137&lt;$B$9,SUM($N$70:N137),0)</f>
        <v>0</v>
      </c>
      <c r="M137" s="4" t="n">
        <f aca="false">IF(G137&gt;$B$11,M136+1,0)</f>
        <v>58</v>
      </c>
      <c r="N137" s="4" t="n">
        <f aca="false">IF(AND(G137&lt;$B$9,G136&gt;=$B$9),1,0)</f>
        <v>0</v>
      </c>
      <c r="O137" s="4" t="n">
        <f aca="false">IF(AND(G137&lt;$B$9,G138&gt;=$B$9),1,0)</f>
        <v>0</v>
      </c>
      <c r="P137" s="4" t="n">
        <f aca="false">IF(L137&gt;0,COUNTIF($L$70:L137,L137),0)</f>
        <v>0</v>
      </c>
      <c r="Q137" s="33" t="n">
        <f aca="false">$B$10</f>
        <v>6855965890.22435</v>
      </c>
    </row>
    <row r="138" customFormat="false" ht="25.5" hidden="false" customHeight="true" outlineLevel="0" collapsed="false">
      <c r="A138" s="39" t="n">
        <f aca="false">$B$6+68</f>
        <v>46272</v>
      </c>
      <c r="B138" s="32" t="n">
        <f aca="false">SUMIFS($E$220:$E$341,$D$220:$D$341,"IN",$N$220:$N$341,A138)</f>
        <v>0</v>
      </c>
      <c r="C138" s="32" t="n">
        <f aca="false">SUMIFS($E$220:$E$341,$D$220:$D$341,"OUT",$N$220:$N$341,A138)</f>
        <v>0</v>
      </c>
      <c r="D138" s="32" t="n">
        <f aca="false">SUM($F$70:F138)</f>
        <v>11494553174</v>
      </c>
      <c r="E138" s="32" t="n">
        <f aca="false">G137</f>
        <v>15896479147</v>
      </c>
      <c r="F138" s="32" t="n">
        <f aca="false">B138-C138</f>
        <v>0</v>
      </c>
      <c r="G138" s="32" t="n">
        <f aca="false">E138+F138</f>
        <v>15896479147</v>
      </c>
      <c r="H138" s="32" t="n">
        <f aca="false">IF(G138&lt;$B$9,$B$10-G138,0)</f>
        <v>0</v>
      </c>
      <c r="I138" s="32" t="n">
        <f aca="false">MAX(0,-G138)</f>
        <v>0</v>
      </c>
      <c r="J138" s="34" t="n">
        <f aca="false">H138/$B$10</f>
        <v>0</v>
      </c>
      <c r="K138" s="41" t="n">
        <f aca="false">IF(G138&lt;$B$9,3,0)</f>
        <v>0</v>
      </c>
      <c r="L138" s="3" t="n">
        <f aca="false">IF(G138&lt;$B$9,SUM($N$70:N138),0)</f>
        <v>0</v>
      </c>
      <c r="M138" s="3" t="n">
        <f aca="false">IF(G138&gt;$B$11,M137+1,0)</f>
        <v>59</v>
      </c>
      <c r="N138" s="3" t="n">
        <f aca="false">IF(AND(G138&lt;$B$9,G137&gt;=$B$9),1,0)</f>
        <v>0</v>
      </c>
      <c r="O138" s="3" t="n">
        <f aca="false">IF(AND(G138&lt;$B$9,G139&gt;=$B$9),1,0)</f>
        <v>0</v>
      </c>
      <c r="P138" s="3" t="n">
        <f aca="false">IF(L138&gt;0,COUNTIF($L$70:L138,L138),0)</f>
        <v>0</v>
      </c>
      <c r="Q138" s="32" t="n">
        <f aca="false">$B$10</f>
        <v>6855965890.22435</v>
      </c>
    </row>
    <row r="139" customFormat="false" ht="25.5" hidden="false" customHeight="true" outlineLevel="0" collapsed="false">
      <c r="A139" s="38" t="n">
        <f aca="false">$B$6+69</f>
        <v>46273</v>
      </c>
      <c r="B139" s="33" t="n">
        <f aca="false">SUMIFS($E$220:$E$341,$D$220:$D$341,"IN",$N$220:$N$341,A139)</f>
        <v>0</v>
      </c>
      <c r="C139" s="33" t="n">
        <f aca="false">SUMIFS($E$220:$E$341,$D$220:$D$341,"OUT",$N$220:$N$341,A139)</f>
        <v>0</v>
      </c>
      <c r="D139" s="33" t="n">
        <f aca="false">SUM($F$70:F139)</f>
        <v>11494553174</v>
      </c>
      <c r="E139" s="33" t="n">
        <f aca="false">G138</f>
        <v>15896479147</v>
      </c>
      <c r="F139" s="33" t="n">
        <f aca="false">B139-C139</f>
        <v>0</v>
      </c>
      <c r="G139" s="33" t="n">
        <f aca="false">E139+F139</f>
        <v>15896479147</v>
      </c>
      <c r="H139" s="33" t="n">
        <f aca="false">IF(G139&lt;$B$9,$B$10-G139,0)</f>
        <v>0</v>
      </c>
      <c r="I139" s="33" t="n">
        <f aca="false">MAX(0,-G139)</f>
        <v>0</v>
      </c>
      <c r="J139" s="36" t="n">
        <f aca="false">H139/$B$10</f>
        <v>0</v>
      </c>
      <c r="K139" s="45" t="n">
        <f aca="false">IF(G139&lt;$B$9,3,0)</f>
        <v>0</v>
      </c>
      <c r="L139" s="4" t="n">
        <f aca="false">IF(G139&lt;$B$9,SUM($N$70:N139),0)</f>
        <v>0</v>
      </c>
      <c r="M139" s="4" t="n">
        <f aca="false">IF(G139&gt;$B$11,M138+1,0)</f>
        <v>60</v>
      </c>
      <c r="N139" s="4" t="n">
        <f aca="false">IF(AND(G139&lt;$B$9,G138&gt;=$B$9),1,0)</f>
        <v>0</v>
      </c>
      <c r="O139" s="4" t="n">
        <f aca="false">IF(AND(G139&lt;$B$9,G140&gt;=$B$9),1,0)</f>
        <v>0</v>
      </c>
      <c r="P139" s="4" t="n">
        <f aca="false">IF(L139&gt;0,COUNTIF($L$70:L139,L139),0)</f>
        <v>0</v>
      </c>
      <c r="Q139" s="33" t="n">
        <f aca="false">$B$10</f>
        <v>6855965890.22435</v>
      </c>
    </row>
    <row r="140" customFormat="false" ht="25.5" hidden="false" customHeight="true" outlineLevel="0" collapsed="false">
      <c r="A140" s="39" t="n">
        <f aca="false">$B$6+70</f>
        <v>46274</v>
      </c>
      <c r="B140" s="32" t="n">
        <f aca="false">SUMIFS($E$220:$E$341,$D$220:$D$341,"IN",$N$220:$N$341,A140)</f>
        <v>0</v>
      </c>
      <c r="C140" s="32" t="n">
        <f aca="false">SUMIFS($E$220:$E$341,$D$220:$D$341,"OUT",$N$220:$N$341,A140)</f>
        <v>0</v>
      </c>
      <c r="D140" s="32" t="n">
        <f aca="false">SUM($F$70:F140)</f>
        <v>11494553174</v>
      </c>
      <c r="E140" s="32" t="n">
        <f aca="false">G139</f>
        <v>15896479147</v>
      </c>
      <c r="F140" s="32" t="n">
        <f aca="false">B140-C140</f>
        <v>0</v>
      </c>
      <c r="G140" s="32" t="n">
        <f aca="false">E140+F140</f>
        <v>15896479147</v>
      </c>
      <c r="H140" s="32" t="n">
        <f aca="false">IF(G140&lt;$B$9,$B$10-G140,0)</f>
        <v>0</v>
      </c>
      <c r="I140" s="32" t="n">
        <f aca="false">MAX(0,-G140)</f>
        <v>0</v>
      </c>
      <c r="J140" s="34" t="n">
        <f aca="false">H140/$B$10</f>
        <v>0</v>
      </c>
      <c r="K140" s="41" t="n">
        <f aca="false">IF(G140&lt;$B$9,3,0)</f>
        <v>0</v>
      </c>
      <c r="L140" s="3" t="n">
        <f aca="false">IF(G140&lt;$B$9,SUM($N$70:N140),0)</f>
        <v>0</v>
      </c>
      <c r="M140" s="3" t="n">
        <f aca="false">IF(G140&gt;$B$11,M139+1,0)</f>
        <v>61</v>
      </c>
      <c r="N140" s="3" t="n">
        <f aca="false">IF(AND(G140&lt;$B$9,G139&gt;=$B$9),1,0)</f>
        <v>0</v>
      </c>
      <c r="O140" s="3" t="n">
        <f aca="false">IF(AND(G140&lt;$B$9,G141&gt;=$B$9),1,0)</f>
        <v>0</v>
      </c>
      <c r="P140" s="3" t="n">
        <f aca="false">IF(L140&gt;0,COUNTIF($L$70:L140,L140),0)</f>
        <v>0</v>
      </c>
      <c r="Q140" s="32" t="n">
        <f aca="false">$B$10</f>
        <v>6855965890.22435</v>
      </c>
    </row>
    <row r="141" customFormat="false" ht="25.5" hidden="false" customHeight="true" outlineLevel="0" collapsed="false">
      <c r="A141" s="38" t="n">
        <f aca="false">$B$6+71</f>
        <v>46275</v>
      </c>
      <c r="B141" s="33" t="n">
        <f aca="false">SUMIFS($E$220:$E$341,$D$220:$D$341,"IN",$N$220:$N$341,A141)</f>
        <v>0</v>
      </c>
      <c r="C141" s="33" t="n">
        <f aca="false">SUMIFS($E$220:$E$341,$D$220:$D$341,"OUT",$N$220:$N$341,A141)</f>
        <v>0</v>
      </c>
      <c r="D141" s="33" t="n">
        <f aca="false">SUM($F$70:F141)</f>
        <v>11494553174</v>
      </c>
      <c r="E141" s="33" t="n">
        <f aca="false">G140</f>
        <v>15896479147</v>
      </c>
      <c r="F141" s="33" t="n">
        <f aca="false">B141-C141</f>
        <v>0</v>
      </c>
      <c r="G141" s="33" t="n">
        <f aca="false">E141+F141</f>
        <v>15896479147</v>
      </c>
      <c r="H141" s="33" t="n">
        <f aca="false">IF(G141&lt;$B$9,$B$10-G141,0)</f>
        <v>0</v>
      </c>
      <c r="I141" s="33" t="n">
        <f aca="false">MAX(0,-G141)</f>
        <v>0</v>
      </c>
      <c r="J141" s="36" t="n">
        <f aca="false">H141/$B$10</f>
        <v>0</v>
      </c>
      <c r="K141" s="45" t="n">
        <f aca="false">IF(G141&lt;$B$9,3,0)</f>
        <v>0</v>
      </c>
      <c r="L141" s="4" t="n">
        <f aca="false">IF(G141&lt;$B$9,SUM($N$70:N141),0)</f>
        <v>0</v>
      </c>
      <c r="M141" s="4" t="n">
        <f aca="false">IF(G141&gt;$B$11,M140+1,0)</f>
        <v>62</v>
      </c>
      <c r="N141" s="4" t="n">
        <f aca="false">IF(AND(G141&lt;$B$9,G140&gt;=$B$9),1,0)</f>
        <v>0</v>
      </c>
      <c r="O141" s="4" t="n">
        <f aca="false">IF(AND(G141&lt;$B$9,G142&gt;=$B$9),1,0)</f>
        <v>0</v>
      </c>
      <c r="P141" s="4" t="n">
        <f aca="false">IF(L141&gt;0,COUNTIF($L$70:L141,L141),0)</f>
        <v>0</v>
      </c>
      <c r="Q141" s="33" t="n">
        <f aca="false">$B$10</f>
        <v>6855965890.22435</v>
      </c>
    </row>
    <row r="142" customFormat="false" ht="25.5" hidden="false" customHeight="true" outlineLevel="0" collapsed="false">
      <c r="A142" s="39" t="n">
        <f aca="false">$B$6+72</f>
        <v>46276</v>
      </c>
      <c r="B142" s="32" t="n">
        <f aca="false">SUMIFS($E$220:$E$341,$D$220:$D$341,"IN",$N$220:$N$341,A142)</f>
        <v>0</v>
      </c>
      <c r="C142" s="32" t="n">
        <f aca="false">SUMIFS($E$220:$E$341,$D$220:$D$341,"OUT",$N$220:$N$341,A142)</f>
        <v>0</v>
      </c>
      <c r="D142" s="32" t="n">
        <f aca="false">SUM($F$70:F142)</f>
        <v>11494553174</v>
      </c>
      <c r="E142" s="32" t="n">
        <f aca="false">G141</f>
        <v>15896479147</v>
      </c>
      <c r="F142" s="32" t="n">
        <f aca="false">B142-C142</f>
        <v>0</v>
      </c>
      <c r="G142" s="32" t="n">
        <f aca="false">E142+F142</f>
        <v>15896479147</v>
      </c>
      <c r="H142" s="32" t="n">
        <f aca="false">IF(G142&lt;$B$9,$B$10-G142,0)</f>
        <v>0</v>
      </c>
      <c r="I142" s="32" t="n">
        <f aca="false">MAX(0,-G142)</f>
        <v>0</v>
      </c>
      <c r="J142" s="34" t="n">
        <f aca="false">H142/$B$10</f>
        <v>0</v>
      </c>
      <c r="K142" s="41" t="n">
        <f aca="false">IF(G142&lt;$B$9,3,0)</f>
        <v>0</v>
      </c>
      <c r="L142" s="3" t="n">
        <f aca="false">IF(G142&lt;$B$9,SUM($N$70:N142),0)</f>
        <v>0</v>
      </c>
      <c r="M142" s="3" t="n">
        <f aca="false">IF(G142&gt;$B$11,M141+1,0)</f>
        <v>63</v>
      </c>
      <c r="N142" s="3" t="n">
        <f aca="false">IF(AND(G142&lt;$B$9,G141&gt;=$B$9),1,0)</f>
        <v>0</v>
      </c>
      <c r="O142" s="3" t="n">
        <f aca="false">IF(AND(G142&lt;$B$9,G143&gt;=$B$9),1,0)</f>
        <v>0</v>
      </c>
      <c r="P142" s="3" t="n">
        <f aca="false">IF(L142&gt;0,COUNTIF($L$70:L142,L142),0)</f>
        <v>0</v>
      </c>
      <c r="Q142" s="32" t="n">
        <f aca="false">$B$10</f>
        <v>6855965890.22435</v>
      </c>
    </row>
    <row r="143" customFormat="false" ht="25.5" hidden="false" customHeight="true" outlineLevel="0" collapsed="false">
      <c r="A143" s="38" t="n">
        <f aca="false">$B$6+73</f>
        <v>46277</v>
      </c>
      <c r="B143" s="33" t="n">
        <f aca="false">SUMIFS($E$220:$E$341,$D$220:$D$341,"IN",$N$220:$N$341,A143)</f>
        <v>0</v>
      </c>
      <c r="C143" s="33" t="n">
        <f aca="false">SUMIFS($E$220:$E$341,$D$220:$D$341,"OUT",$N$220:$N$341,A143)</f>
        <v>0</v>
      </c>
      <c r="D143" s="33" t="n">
        <f aca="false">SUM($F$70:F143)</f>
        <v>11494553174</v>
      </c>
      <c r="E143" s="33" t="n">
        <f aca="false">G142</f>
        <v>15896479147</v>
      </c>
      <c r="F143" s="33" t="n">
        <f aca="false">B143-C143</f>
        <v>0</v>
      </c>
      <c r="G143" s="33" t="n">
        <f aca="false">E143+F143</f>
        <v>15896479147</v>
      </c>
      <c r="H143" s="33" t="n">
        <f aca="false">IF(G143&lt;$B$9,$B$10-G143,0)</f>
        <v>0</v>
      </c>
      <c r="I143" s="33" t="n">
        <f aca="false">MAX(0,-G143)</f>
        <v>0</v>
      </c>
      <c r="J143" s="36" t="n">
        <f aca="false">H143/$B$10</f>
        <v>0</v>
      </c>
      <c r="K143" s="45" t="n">
        <f aca="false">IF(G143&lt;$B$9,3,0)</f>
        <v>0</v>
      </c>
      <c r="L143" s="4" t="n">
        <f aca="false">IF(G143&lt;$B$9,SUM($N$70:N143),0)</f>
        <v>0</v>
      </c>
      <c r="M143" s="4" t="n">
        <f aca="false">IF(G143&gt;$B$11,M142+1,0)</f>
        <v>64</v>
      </c>
      <c r="N143" s="4" t="n">
        <f aca="false">IF(AND(G143&lt;$B$9,G142&gt;=$B$9),1,0)</f>
        <v>0</v>
      </c>
      <c r="O143" s="4" t="n">
        <f aca="false">IF(AND(G143&lt;$B$9,G144&gt;=$B$9),1,0)</f>
        <v>0</v>
      </c>
      <c r="P143" s="4" t="n">
        <f aca="false">IF(L143&gt;0,COUNTIF($L$70:L143,L143),0)</f>
        <v>0</v>
      </c>
      <c r="Q143" s="33" t="n">
        <f aca="false">$B$10</f>
        <v>6855965890.22435</v>
      </c>
    </row>
    <row r="144" customFormat="false" ht="25.5" hidden="false" customHeight="true" outlineLevel="0" collapsed="false">
      <c r="A144" s="39" t="n">
        <f aca="false">$B$6+74</f>
        <v>46278</v>
      </c>
      <c r="B144" s="32" t="n">
        <f aca="false">SUMIFS($E$220:$E$341,$D$220:$D$341,"IN",$N$220:$N$341,A144)</f>
        <v>0</v>
      </c>
      <c r="C144" s="32" t="n">
        <f aca="false">SUMIFS($E$220:$E$341,$D$220:$D$341,"OUT",$N$220:$N$341,A144)</f>
        <v>0</v>
      </c>
      <c r="D144" s="32" t="n">
        <f aca="false">SUM($F$70:F144)</f>
        <v>11494553174</v>
      </c>
      <c r="E144" s="32" t="n">
        <f aca="false">G143</f>
        <v>15896479147</v>
      </c>
      <c r="F144" s="32" t="n">
        <f aca="false">B144-C144</f>
        <v>0</v>
      </c>
      <c r="G144" s="32" t="n">
        <f aca="false">E144+F144</f>
        <v>15896479147</v>
      </c>
      <c r="H144" s="32" t="n">
        <f aca="false">IF(G144&lt;$B$9,$B$10-G144,0)</f>
        <v>0</v>
      </c>
      <c r="I144" s="32" t="n">
        <f aca="false">MAX(0,-G144)</f>
        <v>0</v>
      </c>
      <c r="J144" s="34" t="n">
        <f aca="false">H144/$B$10</f>
        <v>0</v>
      </c>
      <c r="K144" s="41" t="n">
        <f aca="false">IF(G144&lt;$B$9,3,0)</f>
        <v>0</v>
      </c>
      <c r="L144" s="3" t="n">
        <f aca="false">IF(G144&lt;$B$9,SUM($N$70:N144),0)</f>
        <v>0</v>
      </c>
      <c r="M144" s="3" t="n">
        <f aca="false">IF(G144&gt;$B$11,M143+1,0)</f>
        <v>65</v>
      </c>
      <c r="N144" s="3" t="n">
        <f aca="false">IF(AND(G144&lt;$B$9,G143&gt;=$B$9),1,0)</f>
        <v>0</v>
      </c>
      <c r="O144" s="3" t="n">
        <f aca="false">IF(AND(G144&lt;$B$9,G145&gt;=$B$9),1,0)</f>
        <v>0</v>
      </c>
      <c r="P144" s="3" t="n">
        <f aca="false">IF(L144&gt;0,COUNTIF($L$70:L144,L144),0)</f>
        <v>0</v>
      </c>
      <c r="Q144" s="32" t="n">
        <f aca="false">$B$10</f>
        <v>6855965890.22435</v>
      </c>
    </row>
    <row r="145" customFormat="false" ht="25.5" hidden="false" customHeight="true" outlineLevel="0" collapsed="false">
      <c r="A145" s="38" t="n">
        <f aca="false">$B$6+75</f>
        <v>46279</v>
      </c>
      <c r="B145" s="33" t="n">
        <f aca="false">SUMIFS($E$220:$E$341,$D$220:$D$341,"IN",$N$220:$N$341,A145)</f>
        <v>0</v>
      </c>
      <c r="C145" s="33" t="n">
        <f aca="false">SUMIFS($E$220:$E$341,$D$220:$D$341,"OUT",$N$220:$N$341,A145)</f>
        <v>0</v>
      </c>
      <c r="D145" s="33" t="n">
        <f aca="false">SUM($F$70:F145)</f>
        <v>11494553174</v>
      </c>
      <c r="E145" s="33" t="n">
        <f aca="false">G144</f>
        <v>15896479147</v>
      </c>
      <c r="F145" s="33" t="n">
        <f aca="false">B145-C145</f>
        <v>0</v>
      </c>
      <c r="G145" s="33" t="n">
        <f aca="false">E145+F145</f>
        <v>15896479147</v>
      </c>
      <c r="H145" s="33" t="n">
        <f aca="false">IF(G145&lt;$B$9,$B$10-G145,0)</f>
        <v>0</v>
      </c>
      <c r="I145" s="33" t="n">
        <f aca="false">MAX(0,-G145)</f>
        <v>0</v>
      </c>
      <c r="J145" s="36" t="n">
        <f aca="false">H145/$B$10</f>
        <v>0</v>
      </c>
      <c r="K145" s="45" t="n">
        <f aca="false">IF(G145&lt;$B$9,3,0)</f>
        <v>0</v>
      </c>
      <c r="L145" s="4" t="n">
        <f aca="false">IF(G145&lt;$B$9,SUM($N$70:N145),0)</f>
        <v>0</v>
      </c>
      <c r="M145" s="4" t="n">
        <f aca="false">IF(G145&gt;$B$11,M144+1,0)</f>
        <v>66</v>
      </c>
      <c r="N145" s="4" t="n">
        <f aca="false">IF(AND(G145&lt;$B$9,G144&gt;=$B$9),1,0)</f>
        <v>0</v>
      </c>
      <c r="O145" s="4" t="n">
        <f aca="false">IF(AND(G145&lt;$B$9,G146&gt;=$B$9),1,0)</f>
        <v>0</v>
      </c>
      <c r="P145" s="4" t="n">
        <f aca="false">IF(L145&gt;0,COUNTIF($L$70:L145,L145),0)</f>
        <v>0</v>
      </c>
      <c r="Q145" s="33" t="n">
        <f aca="false">$B$10</f>
        <v>6855965890.22435</v>
      </c>
    </row>
    <row r="146" customFormat="false" ht="25.5" hidden="false" customHeight="true" outlineLevel="0" collapsed="false">
      <c r="A146" s="39" t="n">
        <f aca="false">$B$6+76</f>
        <v>46280</v>
      </c>
      <c r="B146" s="32" t="n">
        <f aca="false">SUMIFS($E$220:$E$341,$D$220:$D$341,"IN",$N$220:$N$341,A146)</f>
        <v>0</v>
      </c>
      <c r="C146" s="32" t="n">
        <f aca="false">SUMIFS($E$220:$E$341,$D$220:$D$341,"OUT",$N$220:$N$341,A146)</f>
        <v>0</v>
      </c>
      <c r="D146" s="32" t="n">
        <f aca="false">SUM($F$70:F146)</f>
        <v>11494553174</v>
      </c>
      <c r="E146" s="32" t="n">
        <f aca="false">G145</f>
        <v>15896479147</v>
      </c>
      <c r="F146" s="32" t="n">
        <f aca="false">B146-C146</f>
        <v>0</v>
      </c>
      <c r="G146" s="32" t="n">
        <f aca="false">E146+F146</f>
        <v>15896479147</v>
      </c>
      <c r="H146" s="32" t="n">
        <f aca="false">IF(G146&lt;$B$9,$B$10-G146,0)</f>
        <v>0</v>
      </c>
      <c r="I146" s="32" t="n">
        <f aca="false">MAX(0,-G146)</f>
        <v>0</v>
      </c>
      <c r="J146" s="34" t="n">
        <f aca="false">H146/$B$10</f>
        <v>0</v>
      </c>
      <c r="K146" s="41" t="n">
        <f aca="false">IF(G146&lt;$B$9,3,0)</f>
        <v>0</v>
      </c>
      <c r="L146" s="3" t="n">
        <f aca="false">IF(G146&lt;$B$9,SUM($N$70:N146),0)</f>
        <v>0</v>
      </c>
      <c r="M146" s="3" t="n">
        <f aca="false">IF(G146&gt;$B$11,M145+1,0)</f>
        <v>67</v>
      </c>
      <c r="N146" s="3" t="n">
        <f aca="false">IF(AND(G146&lt;$B$9,G145&gt;=$B$9),1,0)</f>
        <v>0</v>
      </c>
      <c r="O146" s="3" t="n">
        <f aca="false">IF(AND(G146&lt;$B$9,G147&gt;=$B$9),1,0)</f>
        <v>0</v>
      </c>
      <c r="P146" s="3" t="n">
        <f aca="false">IF(L146&gt;0,COUNTIF($L$70:L146,L146),0)</f>
        <v>0</v>
      </c>
      <c r="Q146" s="32" t="n">
        <f aca="false">$B$10</f>
        <v>6855965890.22435</v>
      </c>
    </row>
    <row r="147" customFormat="false" ht="25.5" hidden="false" customHeight="true" outlineLevel="0" collapsed="false">
      <c r="A147" s="38" t="n">
        <f aca="false">$B$6+77</f>
        <v>46281</v>
      </c>
      <c r="B147" s="33" t="n">
        <f aca="false">SUMIFS($E$220:$E$341,$D$220:$D$341,"IN",$N$220:$N$341,A147)</f>
        <v>0</v>
      </c>
      <c r="C147" s="33" t="n">
        <f aca="false">SUMIFS($E$220:$E$341,$D$220:$D$341,"OUT",$N$220:$N$341,A147)</f>
        <v>0</v>
      </c>
      <c r="D147" s="33" t="n">
        <f aca="false">SUM($F$70:F147)</f>
        <v>11494553174</v>
      </c>
      <c r="E147" s="33" t="n">
        <f aca="false">G146</f>
        <v>15896479147</v>
      </c>
      <c r="F147" s="33" t="n">
        <f aca="false">B147-C147</f>
        <v>0</v>
      </c>
      <c r="G147" s="33" t="n">
        <f aca="false">E147+F147</f>
        <v>15896479147</v>
      </c>
      <c r="H147" s="33" t="n">
        <f aca="false">IF(G147&lt;$B$9,$B$10-G147,0)</f>
        <v>0</v>
      </c>
      <c r="I147" s="33" t="n">
        <f aca="false">MAX(0,-G147)</f>
        <v>0</v>
      </c>
      <c r="J147" s="36" t="n">
        <f aca="false">H147/$B$10</f>
        <v>0</v>
      </c>
      <c r="K147" s="45" t="n">
        <f aca="false">IF(G147&lt;$B$9,3,0)</f>
        <v>0</v>
      </c>
      <c r="L147" s="4" t="n">
        <f aca="false">IF(G147&lt;$B$9,SUM($N$70:N147),0)</f>
        <v>0</v>
      </c>
      <c r="M147" s="4" t="n">
        <f aca="false">IF(G147&gt;$B$11,M146+1,0)</f>
        <v>68</v>
      </c>
      <c r="N147" s="4" t="n">
        <f aca="false">IF(AND(G147&lt;$B$9,G146&gt;=$B$9),1,0)</f>
        <v>0</v>
      </c>
      <c r="O147" s="4" t="n">
        <f aca="false">IF(AND(G147&lt;$B$9,G148&gt;=$B$9),1,0)</f>
        <v>0</v>
      </c>
      <c r="P147" s="4" t="n">
        <f aca="false">IF(L147&gt;0,COUNTIF($L$70:L147,L147),0)</f>
        <v>0</v>
      </c>
      <c r="Q147" s="33" t="n">
        <f aca="false">$B$10</f>
        <v>6855965890.22435</v>
      </c>
    </row>
    <row r="148" customFormat="false" ht="25.5" hidden="false" customHeight="true" outlineLevel="0" collapsed="false">
      <c r="A148" s="39" t="n">
        <f aca="false">$B$6+78</f>
        <v>46282</v>
      </c>
      <c r="B148" s="32" t="n">
        <f aca="false">SUMIFS($E$220:$E$341,$D$220:$D$341,"IN",$N$220:$N$341,A148)</f>
        <v>0</v>
      </c>
      <c r="C148" s="32" t="n">
        <f aca="false">SUMIFS($E$220:$E$341,$D$220:$D$341,"OUT",$N$220:$N$341,A148)</f>
        <v>0</v>
      </c>
      <c r="D148" s="32" t="n">
        <f aca="false">SUM($F$70:F148)</f>
        <v>11494553174</v>
      </c>
      <c r="E148" s="32" t="n">
        <f aca="false">G147</f>
        <v>15896479147</v>
      </c>
      <c r="F148" s="32" t="n">
        <f aca="false">B148-C148</f>
        <v>0</v>
      </c>
      <c r="G148" s="32" t="n">
        <f aca="false">E148+F148</f>
        <v>15896479147</v>
      </c>
      <c r="H148" s="32" t="n">
        <f aca="false">IF(G148&lt;$B$9,$B$10-G148,0)</f>
        <v>0</v>
      </c>
      <c r="I148" s="32" t="n">
        <f aca="false">MAX(0,-G148)</f>
        <v>0</v>
      </c>
      <c r="J148" s="34" t="n">
        <f aca="false">H148/$B$10</f>
        <v>0</v>
      </c>
      <c r="K148" s="41" t="n">
        <f aca="false">IF(G148&lt;$B$9,3,0)</f>
        <v>0</v>
      </c>
      <c r="L148" s="3" t="n">
        <f aca="false">IF(G148&lt;$B$9,SUM($N$70:N148),0)</f>
        <v>0</v>
      </c>
      <c r="M148" s="3" t="n">
        <f aca="false">IF(G148&gt;$B$11,M147+1,0)</f>
        <v>69</v>
      </c>
      <c r="N148" s="3" t="n">
        <f aca="false">IF(AND(G148&lt;$B$9,G147&gt;=$B$9),1,0)</f>
        <v>0</v>
      </c>
      <c r="O148" s="3" t="n">
        <f aca="false">IF(AND(G148&lt;$B$9,G149&gt;=$B$9),1,0)</f>
        <v>0</v>
      </c>
      <c r="P148" s="3" t="n">
        <f aca="false">IF(L148&gt;0,COUNTIF($L$70:L148,L148),0)</f>
        <v>0</v>
      </c>
      <c r="Q148" s="32" t="n">
        <f aca="false">$B$10</f>
        <v>6855965890.22435</v>
      </c>
    </row>
    <row r="149" customFormat="false" ht="25.5" hidden="false" customHeight="true" outlineLevel="0" collapsed="false">
      <c r="A149" s="38" t="n">
        <f aca="false">$B$6+79</f>
        <v>46283</v>
      </c>
      <c r="B149" s="33" t="n">
        <f aca="false">SUMIFS($E$220:$E$341,$D$220:$D$341,"IN",$N$220:$N$341,A149)</f>
        <v>0</v>
      </c>
      <c r="C149" s="33" t="n">
        <f aca="false">SUMIFS($E$220:$E$341,$D$220:$D$341,"OUT",$N$220:$N$341,A149)</f>
        <v>240000000</v>
      </c>
      <c r="D149" s="33" t="n">
        <f aca="false">SUM($F$70:F149)</f>
        <v>11254553174</v>
      </c>
      <c r="E149" s="33" t="n">
        <f aca="false">G148</f>
        <v>15896479147</v>
      </c>
      <c r="F149" s="33" t="n">
        <f aca="false">B149-C149</f>
        <v>-240000000</v>
      </c>
      <c r="G149" s="33" t="n">
        <f aca="false">E149+F149</f>
        <v>15656479147</v>
      </c>
      <c r="H149" s="33" t="n">
        <f aca="false">IF(G149&lt;$B$9,$B$10-G149,0)</f>
        <v>0</v>
      </c>
      <c r="I149" s="33" t="n">
        <f aca="false">MAX(0,-G149)</f>
        <v>0</v>
      </c>
      <c r="J149" s="36" t="n">
        <f aca="false">H149/$B$10</f>
        <v>0</v>
      </c>
      <c r="K149" s="45" t="n">
        <f aca="false">IF(G149&lt;$B$9,3,0)</f>
        <v>0</v>
      </c>
      <c r="L149" s="4" t="n">
        <f aca="false">IF(G149&lt;$B$9,SUM($N$70:N149),0)</f>
        <v>0</v>
      </c>
      <c r="M149" s="4" t="n">
        <f aca="false">IF(G149&gt;$B$11,M148+1,0)</f>
        <v>70</v>
      </c>
      <c r="N149" s="4" t="n">
        <f aca="false">IF(AND(G149&lt;$B$9,G148&gt;=$B$9),1,0)</f>
        <v>0</v>
      </c>
      <c r="O149" s="4" t="n">
        <f aca="false">IF(AND(G149&lt;$B$9,G150&gt;=$B$9),1,0)</f>
        <v>0</v>
      </c>
      <c r="P149" s="4" t="n">
        <f aca="false">IF(L149&gt;0,COUNTIF($L$70:L149,L149),0)</f>
        <v>0</v>
      </c>
      <c r="Q149" s="33" t="n">
        <f aca="false">$B$10</f>
        <v>6855965890.22435</v>
      </c>
    </row>
    <row r="150" customFormat="false" ht="25.5" hidden="false" customHeight="true" outlineLevel="0" collapsed="false">
      <c r="A150" s="39" t="n">
        <f aca="false">$B$6+80</f>
        <v>46284</v>
      </c>
      <c r="B150" s="32" t="n">
        <f aca="false">SUMIFS($E$220:$E$341,$D$220:$D$341,"IN",$N$220:$N$341,A150)</f>
        <v>0</v>
      </c>
      <c r="C150" s="32" t="n">
        <f aca="false">SUMIFS($E$220:$E$341,$D$220:$D$341,"OUT",$N$220:$N$341,A150)</f>
        <v>0</v>
      </c>
      <c r="D150" s="32" t="n">
        <f aca="false">SUM($F$70:F150)</f>
        <v>11254553174</v>
      </c>
      <c r="E150" s="32" t="n">
        <f aca="false">G149</f>
        <v>15656479147</v>
      </c>
      <c r="F150" s="32" t="n">
        <f aca="false">B150-C150</f>
        <v>0</v>
      </c>
      <c r="G150" s="32" t="n">
        <f aca="false">E150+F150</f>
        <v>15656479147</v>
      </c>
      <c r="H150" s="32" t="n">
        <f aca="false">IF(G150&lt;$B$9,$B$10-G150,0)</f>
        <v>0</v>
      </c>
      <c r="I150" s="32" t="n">
        <f aca="false">MAX(0,-G150)</f>
        <v>0</v>
      </c>
      <c r="J150" s="34" t="n">
        <f aca="false">H150/$B$10</f>
        <v>0</v>
      </c>
      <c r="K150" s="41" t="n">
        <f aca="false">IF(G150&lt;$B$9,3,0)</f>
        <v>0</v>
      </c>
      <c r="L150" s="3" t="n">
        <f aca="false">IF(G150&lt;$B$9,SUM($N$70:N150),0)</f>
        <v>0</v>
      </c>
      <c r="M150" s="3" t="n">
        <f aca="false">IF(G150&gt;$B$11,M149+1,0)</f>
        <v>71</v>
      </c>
      <c r="N150" s="3" t="n">
        <f aca="false">IF(AND(G150&lt;$B$9,G149&gt;=$B$9),1,0)</f>
        <v>0</v>
      </c>
      <c r="O150" s="3" t="n">
        <f aca="false">IF(AND(G150&lt;$B$9,G151&gt;=$B$9),1,0)</f>
        <v>0</v>
      </c>
      <c r="P150" s="3" t="n">
        <f aca="false">IF(L150&gt;0,COUNTIF($L$70:L150,L150),0)</f>
        <v>0</v>
      </c>
      <c r="Q150" s="32" t="n">
        <f aca="false">$B$10</f>
        <v>6855965890.22435</v>
      </c>
    </row>
    <row r="151" customFormat="false" ht="25.5" hidden="false" customHeight="true" outlineLevel="0" collapsed="false">
      <c r="A151" s="38" t="n">
        <f aca="false">$B$6+81</f>
        <v>46285</v>
      </c>
      <c r="B151" s="33" t="n">
        <f aca="false">SUMIFS($E$220:$E$341,$D$220:$D$341,"IN",$N$220:$N$341,A151)</f>
        <v>0</v>
      </c>
      <c r="C151" s="33" t="n">
        <f aca="false">SUMIFS($E$220:$E$341,$D$220:$D$341,"OUT",$N$220:$N$341,A151)</f>
        <v>0</v>
      </c>
      <c r="D151" s="33" t="n">
        <f aca="false">SUM($F$70:F151)</f>
        <v>11254553174</v>
      </c>
      <c r="E151" s="33" t="n">
        <f aca="false">G150</f>
        <v>15656479147</v>
      </c>
      <c r="F151" s="33" t="n">
        <f aca="false">B151-C151</f>
        <v>0</v>
      </c>
      <c r="G151" s="33" t="n">
        <f aca="false">E151+F151</f>
        <v>15656479147</v>
      </c>
      <c r="H151" s="33" t="n">
        <f aca="false">IF(G151&lt;$B$9,$B$10-G151,0)</f>
        <v>0</v>
      </c>
      <c r="I151" s="33" t="n">
        <f aca="false">MAX(0,-G151)</f>
        <v>0</v>
      </c>
      <c r="J151" s="36" t="n">
        <f aca="false">H151/$B$10</f>
        <v>0</v>
      </c>
      <c r="K151" s="45" t="n">
        <f aca="false">IF(G151&lt;$B$9,3,0)</f>
        <v>0</v>
      </c>
      <c r="L151" s="4" t="n">
        <f aca="false">IF(G151&lt;$B$9,SUM($N$70:N151),0)</f>
        <v>0</v>
      </c>
      <c r="M151" s="4" t="n">
        <f aca="false">IF(G151&gt;$B$11,M150+1,0)</f>
        <v>72</v>
      </c>
      <c r="N151" s="4" t="n">
        <f aca="false">IF(AND(G151&lt;$B$9,G150&gt;=$B$9),1,0)</f>
        <v>0</v>
      </c>
      <c r="O151" s="4" t="n">
        <f aca="false">IF(AND(G151&lt;$B$9,G152&gt;=$B$9),1,0)</f>
        <v>0</v>
      </c>
      <c r="P151" s="4" t="n">
        <f aca="false">IF(L151&gt;0,COUNTIF($L$70:L151,L151),0)</f>
        <v>0</v>
      </c>
      <c r="Q151" s="33" t="n">
        <f aca="false">$B$10</f>
        <v>6855965890.22435</v>
      </c>
    </row>
    <row r="152" customFormat="false" ht="25.5" hidden="false" customHeight="true" outlineLevel="0" collapsed="false">
      <c r="A152" s="39" t="n">
        <f aca="false">$B$6+82</f>
        <v>46286</v>
      </c>
      <c r="B152" s="32" t="n">
        <f aca="false">SUMIFS($E$220:$E$341,$D$220:$D$341,"IN",$N$220:$N$341,A152)</f>
        <v>0</v>
      </c>
      <c r="C152" s="32" t="n">
        <f aca="false">SUMIFS($E$220:$E$341,$D$220:$D$341,"OUT",$N$220:$N$341,A152)</f>
        <v>0</v>
      </c>
      <c r="D152" s="32" t="n">
        <f aca="false">SUM($F$70:F152)</f>
        <v>11254553174</v>
      </c>
      <c r="E152" s="32" t="n">
        <f aca="false">G151</f>
        <v>15656479147</v>
      </c>
      <c r="F152" s="32" t="n">
        <f aca="false">B152-C152</f>
        <v>0</v>
      </c>
      <c r="G152" s="32" t="n">
        <f aca="false">E152+F152</f>
        <v>15656479147</v>
      </c>
      <c r="H152" s="32" t="n">
        <f aca="false">IF(G152&lt;$B$9,$B$10-G152,0)</f>
        <v>0</v>
      </c>
      <c r="I152" s="32" t="n">
        <f aca="false">MAX(0,-G152)</f>
        <v>0</v>
      </c>
      <c r="J152" s="34" t="n">
        <f aca="false">H152/$B$10</f>
        <v>0</v>
      </c>
      <c r="K152" s="41" t="n">
        <f aca="false">IF(G152&lt;$B$9,3,0)</f>
        <v>0</v>
      </c>
      <c r="L152" s="3" t="n">
        <f aca="false">IF(G152&lt;$B$9,SUM($N$70:N152),0)</f>
        <v>0</v>
      </c>
      <c r="M152" s="3" t="n">
        <f aca="false">IF(G152&gt;$B$11,M151+1,0)</f>
        <v>73</v>
      </c>
      <c r="N152" s="3" t="n">
        <f aca="false">IF(AND(G152&lt;$B$9,G151&gt;=$B$9),1,0)</f>
        <v>0</v>
      </c>
      <c r="O152" s="3" t="n">
        <f aca="false">IF(AND(G152&lt;$B$9,G153&gt;=$B$9),1,0)</f>
        <v>0</v>
      </c>
      <c r="P152" s="3" t="n">
        <f aca="false">IF(L152&gt;0,COUNTIF($L$70:L152,L152),0)</f>
        <v>0</v>
      </c>
      <c r="Q152" s="32" t="n">
        <f aca="false">$B$10</f>
        <v>6855965890.22435</v>
      </c>
    </row>
    <row r="153" customFormat="false" ht="25.5" hidden="false" customHeight="true" outlineLevel="0" collapsed="false">
      <c r="A153" s="38" t="n">
        <f aca="false">$B$6+83</f>
        <v>46287</v>
      </c>
      <c r="B153" s="33" t="n">
        <f aca="false">SUMIFS($E$220:$E$341,$D$220:$D$341,"IN",$N$220:$N$341,A153)</f>
        <v>0</v>
      </c>
      <c r="C153" s="33" t="n">
        <f aca="false">SUMIFS($E$220:$E$341,$D$220:$D$341,"OUT",$N$220:$N$341,A153)</f>
        <v>0</v>
      </c>
      <c r="D153" s="33" t="n">
        <f aca="false">SUM($F$70:F153)</f>
        <v>11254553174</v>
      </c>
      <c r="E153" s="33" t="n">
        <f aca="false">G152</f>
        <v>15656479147</v>
      </c>
      <c r="F153" s="33" t="n">
        <f aca="false">B153-C153</f>
        <v>0</v>
      </c>
      <c r="G153" s="33" t="n">
        <f aca="false">E153+F153</f>
        <v>15656479147</v>
      </c>
      <c r="H153" s="33" t="n">
        <f aca="false">IF(G153&lt;$B$9,$B$10-G153,0)</f>
        <v>0</v>
      </c>
      <c r="I153" s="33" t="n">
        <f aca="false">MAX(0,-G153)</f>
        <v>0</v>
      </c>
      <c r="J153" s="36" t="n">
        <f aca="false">H153/$B$10</f>
        <v>0</v>
      </c>
      <c r="K153" s="45" t="n">
        <f aca="false">IF(G153&lt;$B$9,3,0)</f>
        <v>0</v>
      </c>
      <c r="L153" s="4" t="n">
        <f aca="false">IF(G153&lt;$B$9,SUM($N$70:N153),0)</f>
        <v>0</v>
      </c>
      <c r="M153" s="4" t="n">
        <f aca="false">IF(G153&gt;$B$11,M152+1,0)</f>
        <v>74</v>
      </c>
      <c r="N153" s="4" t="n">
        <f aca="false">IF(AND(G153&lt;$B$9,G152&gt;=$B$9),1,0)</f>
        <v>0</v>
      </c>
      <c r="O153" s="4" t="n">
        <f aca="false">IF(AND(G153&lt;$B$9,G154&gt;=$B$9),1,0)</f>
        <v>0</v>
      </c>
      <c r="P153" s="4" t="n">
        <f aca="false">IF(L153&gt;0,COUNTIF($L$70:L153,L153),0)</f>
        <v>0</v>
      </c>
      <c r="Q153" s="33" t="n">
        <f aca="false">$B$10</f>
        <v>6855965890.22435</v>
      </c>
    </row>
    <row r="154" customFormat="false" ht="25.5" hidden="false" customHeight="true" outlineLevel="0" collapsed="false">
      <c r="A154" s="39" t="n">
        <f aca="false">$B$6+84</f>
        <v>46288</v>
      </c>
      <c r="B154" s="32" t="n">
        <f aca="false">SUMIFS($E$220:$E$341,$D$220:$D$341,"IN",$N$220:$N$341,A154)</f>
        <v>0</v>
      </c>
      <c r="C154" s="32" t="n">
        <f aca="false">SUMIFS($E$220:$E$341,$D$220:$D$341,"OUT",$N$220:$N$341,A154)</f>
        <v>0</v>
      </c>
      <c r="D154" s="32" t="n">
        <f aca="false">SUM($F$70:F154)</f>
        <v>11254553174</v>
      </c>
      <c r="E154" s="32" t="n">
        <f aca="false">G153</f>
        <v>15656479147</v>
      </c>
      <c r="F154" s="32" t="n">
        <f aca="false">B154-C154</f>
        <v>0</v>
      </c>
      <c r="G154" s="32" t="n">
        <f aca="false">E154+F154</f>
        <v>15656479147</v>
      </c>
      <c r="H154" s="32" t="n">
        <f aca="false">IF(G154&lt;$B$9,$B$10-G154,0)</f>
        <v>0</v>
      </c>
      <c r="I154" s="32" t="n">
        <f aca="false">MAX(0,-G154)</f>
        <v>0</v>
      </c>
      <c r="J154" s="34" t="n">
        <f aca="false">H154/$B$10</f>
        <v>0</v>
      </c>
      <c r="K154" s="41" t="n">
        <f aca="false">IF(G154&lt;$B$9,3,0)</f>
        <v>0</v>
      </c>
      <c r="L154" s="3" t="n">
        <f aca="false">IF(G154&lt;$B$9,SUM($N$70:N154),0)</f>
        <v>0</v>
      </c>
      <c r="M154" s="3" t="n">
        <f aca="false">IF(G154&gt;$B$11,M153+1,0)</f>
        <v>75</v>
      </c>
      <c r="N154" s="3" t="n">
        <f aca="false">IF(AND(G154&lt;$B$9,G153&gt;=$B$9),1,0)</f>
        <v>0</v>
      </c>
      <c r="O154" s="3" t="n">
        <f aca="false">IF(AND(G154&lt;$B$9,G155&gt;=$B$9),1,0)</f>
        <v>0</v>
      </c>
      <c r="P154" s="3" t="n">
        <f aca="false">IF(L154&gt;0,COUNTIF($L$70:L154,L154),0)</f>
        <v>0</v>
      </c>
      <c r="Q154" s="32" t="n">
        <f aca="false">$B$10</f>
        <v>6855965890.22435</v>
      </c>
    </row>
    <row r="155" customFormat="false" ht="25.5" hidden="false" customHeight="true" outlineLevel="0" collapsed="false">
      <c r="A155" s="38" t="n">
        <f aca="false">$B$6+85</f>
        <v>46289</v>
      </c>
      <c r="B155" s="33" t="n">
        <f aca="false">SUMIFS($E$220:$E$341,$D$220:$D$341,"IN",$N$220:$N$341,A155)</f>
        <v>0</v>
      </c>
      <c r="C155" s="33" t="n">
        <f aca="false">SUMIFS($E$220:$E$341,$D$220:$D$341,"OUT",$N$220:$N$341,A155)</f>
        <v>0</v>
      </c>
      <c r="D155" s="33" t="n">
        <f aca="false">SUM($F$70:F155)</f>
        <v>11254553174</v>
      </c>
      <c r="E155" s="33" t="n">
        <f aca="false">G154</f>
        <v>15656479147</v>
      </c>
      <c r="F155" s="33" t="n">
        <f aca="false">B155-C155</f>
        <v>0</v>
      </c>
      <c r="G155" s="33" t="n">
        <f aca="false">E155+F155</f>
        <v>15656479147</v>
      </c>
      <c r="H155" s="33" t="n">
        <f aca="false">IF(G155&lt;$B$9,$B$10-G155,0)</f>
        <v>0</v>
      </c>
      <c r="I155" s="33" t="n">
        <f aca="false">MAX(0,-G155)</f>
        <v>0</v>
      </c>
      <c r="J155" s="36" t="n">
        <f aca="false">H155/$B$10</f>
        <v>0</v>
      </c>
      <c r="K155" s="45" t="n">
        <f aca="false">IF(G155&lt;$B$9,3,0)</f>
        <v>0</v>
      </c>
      <c r="L155" s="4" t="n">
        <f aca="false">IF(G155&lt;$B$9,SUM($N$70:N155),0)</f>
        <v>0</v>
      </c>
      <c r="M155" s="4" t="n">
        <f aca="false">IF(G155&gt;$B$11,M154+1,0)</f>
        <v>76</v>
      </c>
      <c r="N155" s="4" t="n">
        <f aca="false">IF(AND(G155&lt;$B$9,G154&gt;=$B$9),1,0)</f>
        <v>0</v>
      </c>
      <c r="O155" s="4" t="n">
        <f aca="false">IF(AND(G155&lt;$B$9,G156&gt;=$B$9),1,0)</f>
        <v>0</v>
      </c>
      <c r="P155" s="4" t="n">
        <f aca="false">IF(L155&gt;0,COUNTIF($L$70:L155,L155),0)</f>
        <v>0</v>
      </c>
      <c r="Q155" s="33" t="n">
        <f aca="false">$B$10</f>
        <v>6855965890.22435</v>
      </c>
    </row>
    <row r="156" customFormat="false" ht="25.5" hidden="false" customHeight="true" outlineLevel="0" collapsed="false">
      <c r="A156" s="39" t="n">
        <f aca="false">$B$6+86</f>
        <v>46290</v>
      </c>
      <c r="B156" s="32" t="n">
        <f aca="false">SUMIFS($E$220:$E$341,$D$220:$D$341,"IN",$N$220:$N$341,A156)</f>
        <v>0</v>
      </c>
      <c r="C156" s="32" t="n">
        <f aca="false">SUMIFS($E$220:$E$341,$D$220:$D$341,"OUT",$N$220:$N$341,A156)</f>
        <v>0</v>
      </c>
      <c r="D156" s="32" t="n">
        <f aca="false">SUM($F$70:F156)</f>
        <v>11254553174</v>
      </c>
      <c r="E156" s="32" t="n">
        <f aca="false">G155</f>
        <v>15656479147</v>
      </c>
      <c r="F156" s="32" t="n">
        <f aca="false">B156-C156</f>
        <v>0</v>
      </c>
      <c r="G156" s="32" t="n">
        <f aca="false">E156+F156</f>
        <v>15656479147</v>
      </c>
      <c r="H156" s="32" t="n">
        <f aca="false">IF(G156&lt;$B$9,$B$10-G156,0)</f>
        <v>0</v>
      </c>
      <c r="I156" s="32" t="n">
        <f aca="false">MAX(0,-G156)</f>
        <v>0</v>
      </c>
      <c r="J156" s="34" t="n">
        <f aca="false">H156/$B$10</f>
        <v>0</v>
      </c>
      <c r="K156" s="41" t="n">
        <f aca="false">IF(G156&lt;$B$9,3,0)</f>
        <v>0</v>
      </c>
      <c r="L156" s="3" t="n">
        <f aca="false">IF(G156&lt;$B$9,SUM($N$70:N156),0)</f>
        <v>0</v>
      </c>
      <c r="M156" s="3" t="n">
        <f aca="false">IF(G156&gt;$B$11,M155+1,0)</f>
        <v>77</v>
      </c>
      <c r="N156" s="3" t="n">
        <f aca="false">IF(AND(G156&lt;$B$9,G155&gt;=$B$9),1,0)</f>
        <v>0</v>
      </c>
      <c r="O156" s="3" t="n">
        <f aca="false">IF(AND(G156&lt;$B$9,G157&gt;=$B$9),1,0)</f>
        <v>0</v>
      </c>
      <c r="P156" s="3" t="n">
        <f aca="false">IF(L156&gt;0,COUNTIF($L$70:L156,L156),0)</f>
        <v>0</v>
      </c>
      <c r="Q156" s="32" t="n">
        <f aca="false">$B$10</f>
        <v>6855965890.22435</v>
      </c>
    </row>
    <row r="157" customFormat="false" ht="25.5" hidden="false" customHeight="true" outlineLevel="0" collapsed="false">
      <c r="A157" s="38" t="n">
        <f aca="false">$B$6+87</f>
        <v>46291</v>
      </c>
      <c r="B157" s="33" t="n">
        <f aca="false">SUMIFS($E$220:$E$341,$D$220:$D$341,"IN",$N$220:$N$341,A157)</f>
        <v>0</v>
      </c>
      <c r="C157" s="33" t="n">
        <f aca="false">SUMIFS($E$220:$E$341,$D$220:$D$341,"OUT",$N$220:$N$341,A157)</f>
        <v>0</v>
      </c>
      <c r="D157" s="33" t="n">
        <f aca="false">SUM($F$70:F157)</f>
        <v>11254553174</v>
      </c>
      <c r="E157" s="33" t="n">
        <f aca="false">G156</f>
        <v>15656479147</v>
      </c>
      <c r="F157" s="33" t="n">
        <f aca="false">B157-C157</f>
        <v>0</v>
      </c>
      <c r="G157" s="33" t="n">
        <f aca="false">E157+F157</f>
        <v>15656479147</v>
      </c>
      <c r="H157" s="33" t="n">
        <f aca="false">IF(G157&lt;$B$9,$B$10-G157,0)</f>
        <v>0</v>
      </c>
      <c r="I157" s="33" t="n">
        <f aca="false">MAX(0,-G157)</f>
        <v>0</v>
      </c>
      <c r="J157" s="36" t="n">
        <f aca="false">H157/$B$10</f>
        <v>0</v>
      </c>
      <c r="K157" s="45" t="n">
        <f aca="false">IF(G157&lt;$B$9,3,0)</f>
        <v>0</v>
      </c>
      <c r="L157" s="4" t="n">
        <f aca="false">IF(G157&lt;$B$9,SUM($N$70:N157),0)</f>
        <v>0</v>
      </c>
      <c r="M157" s="4" t="n">
        <f aca="false">IF(G157&gt;$B$11,M156+1,0)</f>
        <v>78</v>
      </c>
      <c r="N157" s="4" t="n">
        <f aca="false">IF(AND(G157&lt;$B$9,G156&gt;=$B$9),1,0)</f>
        <v>0</v>
      </c>
      <c r="O157" s="4" t="n">
        <f aca="false">IF(AND(G157&lt;$B$9,G158&gt;=$B$9),1,0)</f>
        <v>0</v>
      </c>
      <c r="P157" s="4" t="n">
        <f aca="false">IF(L157&gt;0,COUNTIF($L$70:L157,L157),0)</f>
        <v>0</v>
      </c>
      <c r="Q157" s="33" t="n">
        <f aca="false">$B$10</f>
        <v>6855965890.22435</v>
      </c>
    </row>
    <row r="158" customFormat="false" ht="25.5" hidden="false" customHeight="true" outlineLevel="0" collapsed="false">
      <c r="A158" s="39" t="n">
        <f aca="false">$B$6+88</f>
        <v>46292</v>
      </c>
      <c r="B158" s="32" t="n">
        <f aca="false">SUMIFS($E$220:$E$341,$D$220:$D$341,"IN",$N$220:$N$341,A158)</f>
        <v>0</v>
      </c>
      <c r="C158" s="32" t="n">
        <f aca="false">SUMIFS($E$220:$E$341,$D$220:$D$341,"OUT",$N$220:$N$341,A158)</f>
        <v>0</v>
      </c>
      <c r="D158" s="32" t="n">
        <f aca="false">SUM($F$70:F158)</f>
        <v>11254553174</v>
      </c>
      <c r="E158" s="32" t="n">
        <f aca="false">G157</f>
        <v>15656479147</v>
      </c>
      <c r="F158" s="32" t="n">
        <f aca="false">B158-C158</f>
        <v>0</v>
      </c>
      <c r="G158" s="32" t="n">
        <f aca="false">E158+F158</f>
        <v>15656479147</v>
      </c>
      <c r="H158" s="32" t="n">
        <f aca="false">IF(G158&lt;$B$9,$B$10-G158,0)</f>
        <v>0</v>
      </c>
      <c r="I158" s="32" t="n">
        <f aca="false">MAX(0,-G158)</f>
        <v>0</v>
      </c>
      <c r="J158" s="34" t="n">
        <f aca="false">H158/$B$10</f>
        <v>0</v>
      </c>
      <c r="K158" s="41" t="n">
        <f aca="false">IF(G158&lt;$B$9,3,0)</f>
        <v>0</v>
      </c>
      <c r="L158" s="3" t="n">
        <f aca="false">IF(G158&lt;$B$9,SUM($N$70:N158),0)</f>
        <v>0</v>
      </c>
      <c r="M158" s="3" t="n">
        <f aca="false">IF(G158&gt;$B$11,M157+1,0)</f>
        <v>79</v>
      </c>
      <c r="N158" s="3" t="n">
        <f aca="false">IF(AND(G158&lt;$B$9,G157&gt;=$B$9),1,0)</f>
        <v>0</v>
      </c>
      <c r="O158" s="3" t="n">
        <f aca="false">IF(AND(G158&lt;$B$9,G159&gt;=$B$9),1,0)</f>
        <v>0</v>
      </c>
      <c r="P158" s="3" t="n">
        <f aca="false">IF(L158&gt;0,COUNTIF($L$70:L158,L158),0)</f>
        <v>0</v>
      </c>
      <c r="Q158" s="32" t="n">
        <f aca="false">$B$10</f>
        <v>6855965890.22435</v>
      </c>
    </row>
    <row r="159" customFormat="false" ht="25.5" hidden="false" customHeight="true" outlineLevel="0" collapsed="false">
      <c r="A159" s="38" t="n">
        <f aca="false">$B$6+89</f>
        <v>46293</v>
      </c>
      <c r="B159" s="33" t="n">
        <f aca="false">SUMIFS($E$220:$E$341,$D$220:$D$341,"IN",$N$220:$N$341,A159)</f>
        <v>0</v>
      </c>
      <c r="C159" s="33" t="n">
        <f aca="false">SUMIFS($E$220:$E$341,$D$220:$D$341,"OUT",$N$220:$N$341,A159)</f>
        <v>1500000000</v>
      </c>
      <c r="D159" s="33" t="n">
        <f aca="false">SUM($F$70:F159)</f>
        <v>9754553174</v>
      </c>
      <c r="E159" s="33" t="n">
        <f aca="false">G158</f>
        <v>15656479147</v>
      </c>
      <c r="F159" s="33" t="n">
        <f aca="false">B159-C159</f>
        <v>-1500000000</v>
      </c>
      <c r="G159" s="33" t="n">
        <f aca="false">E159+F159</f>
        <v>14156479147</v>
      </c>
      <c r="H159" s="33" t="n">
        <f aca="false">IF(G159&lt;$B$9,$B$10-G159,0)</f>
        <v>0</v>
      </c>
      <c r="I159" s="33" t="n">
        <f aca="false">MAX(0,-G159)</f>
        <v>0</v>
      </c>
      <c r="J159" s="36" t="n">
        <f aca="false">H159/$B$10</f>
        <v>0</v>
      </c>
      <c r="K159" s="45" t="n">
        <f aca="false">IF(G159&lt;$B$9,3,0)</f>
        <v>0</v>
      </c>
      <c r="L159" s="4" t="n">
        <f aca="false">IF(G159&lt;$B$9,SUM($N$70:N159),0)</f>
        <v>0</v>
      </c>
      <c r="M159" s="4" t="n">
        <f aca="false">IF(G159&gt;$B$11,M158+1,0)</f>
        <v>80</v>
      </c>
      <c r="N159" s="4" t="n">
        <f aca="false">IF(AND(G159&lt;$B$9,G158&gt;=$B$9),1,0)</f>
        <v>0</v>
      </c>
      <c r="O159" s="4" t="n">
        <f aca="false">IF(AND(G159&lt;$B$9,G160&gt;=$B$9),1,0)</f>
        <v>0</v>
      </c>
      <c r="P159" s="4" t="n">
        <f aca="false">IF(L159&gt;0,COUNTIF($L$70:L159,L159),0)</f>
        <v>0</v>
      </c>
      <c r="Q159" s="33" t="n">
        <f aca="false">$B$10</f>
        <v>6855965890.22435</v>
      </c>
    </row>
    <row r="160" customFormat="false" ht="25.5" hidden="false" customHeight="true" outlineLevel="0" collapsed="false">
      <c r="A160" s="39" t="n">
        <f aca="false">$B$6+90</f>
        <v>46294</v>
      </c>
      <c r="B160" s="32" t="n">
        <f aca="false">SUMIFS($E$220:$E$341,$D$220:$D$341,"IN",$N$220:$N$341,A160)</f>
        <v>0</v>
      </c>
      <c r="C160" s="32" t="n">
        <f aca="false">SUMIFS($E$220:$E$341,$D$220:$D$341,"OUT",$N$220:$N$341,A160)</f>
        <v>0</v>
      </c>
      <c r="D160" s="32" t="n">
        <f aca="false">SUM($F$70:F160)</f>
        <v>9754553174</v>
      </c>
      <c r="E160" s="32" t="n">
        <f aca="false">G159</f>
        <v>14156479147</v>
      </c>
      <c r="F160" s="32" t="n">
        <f aca="false">B160-C160</f>
        <v>0</v>
      </c>
      <c r="G160" s="32" t="n">
        <f aca="false">E160+F160</f>
        <v>14156479147</v>
      </c>
      <c r="H160" s="32" t="n">
        <f aca="false">IF(G160&lt;$B$9,$B$10-G160,0)</f>
        <v>0</v>
      </c>
      <c r="I160" s="32" t="n">
        <f aca="false">MAX(0,-G160)</f>
        <v>0</v>
      </c>
      <c r="J160" s="34" t="n">
        <f aca="false">H160/$B$10</f>
        <v>0</v>
      </c>
      <c r="K160" s="41" t="n">
        <f aca="false">IF(G160&lt;$B$9,3,0)</f>
        <v>0</v>
      </c>
      <c r="L160" s="3" t="n">
        <f aca="false">IF(G160&lt;$B$9,SUM($N$70:N160),0)</f>
        <v>0</v>
      </c>
      <c r="M160" s="3" t="n">
        <f aca="false">IF(G160&gt;$B$11,M159+1,0)</f>
        <v>81</v>
      </c>
      <c r="N160" s="3" t="n">
        <f aca="false">IF(AND(G160&lt;$B$9,G159&gt;=$B$9),1,0)</f>
        <v>0</v>
      </c>
      <c r="O160" s="3" t="n">
        <f aca="false">IF(AND(G160&lt;$B$9,TRUE()),1,0)</f>
        <v>0</v>
      </c>
      <c r="P160" s="3" t="n">
        <f aca="false">IF(L160&gt;0,COUNTIF($L$70:L160,L160),0)</f>
        <v>0</v>
      </c>
      <c r="Q160" s="32" t="n">
        <f aca="false">$B$10</f>
        <v>6855965890.22435</v>
      </c>
    </row>
    <row r="165" customFormat="false" ht="33.75" hidden="false" customHeight="true" outlineLevel="0" collapsed="false">
      <c r="A165" s="2" t="s">
        <v>2100</v>
      </c>
      <c r="B165" s="2" t="s">
        <v>2015</v>
      </c>
      <c r="C165" s="2" t="s">
        <v>2101</v>
      </c>
      <c r="D165" s="2" t="s">
        <v>1257</v>
      </c>
      <c r="E165" s="2" t="s">
        <v>2102</v>
      </c>
      <c r="F165" s="2" t="s">
        <v>2062</v>
      </c>
      <c r="G165" s="2" t="s">
        <v>2103</v>
      </c>
      <c r="H165" s="2" t="s">
        <v>2104</v>
      </c>
      <c r="I165" s="2" t="s">
        <v>2105</v>
      </c>
    </row>
    <row r="166" customFormat="false" ht="25.5" hidden="false" customHeight="true" outlineLevel="0" collapsed="false">
      <c r="A166" s="3" t="n">
        <f aca="false">IF(MAX($L$70:$L$160)&gt;=1,1,"")</f>
        <v>1</v>
      </c>
      <c r="B166" s="39" t="n">
        <f aca="false">IF(ISNUMBER(A166),_xlfn.MINIFS($A$70:$A$160,$L$70:$L$160,A166),"")</f>
        <v>46204</v>
      </c>
      <c r="C166" s="39" t="n">
        <f aca="false">IF(ISNUMBER(A166),_xlfn.MAXIFS($A$70:$A$160,$L$70:$L$160,A166),"")</f>
        <v>46206</v>
      </c>
      <c r="D166" s="3" t="n">
        <f aca="false">IF(ISNUMBER(A166),COUNTIF($L$70:$L$160,A166),"")</f>
        <v>3</v>
      </c>
      <c r="E166" s="32" t="n">
        <f aca="false">IF(ISNUMBER(A166),_xlfn.MINIFS($G$70:$G$160,$L$70:$L$160,A166),"")</f>
        <v>4140480437</v>
      </c>
      <c r="F166" s="39" t="n">
        <f aca="false">IF(ISNUMBER(A166),_xlfn.MINIFS($A$70:$A$160,$L$70:$L$160,A166,$G$70:$G$160,E166),"")</f>
        <v>46205</v>
      </c>
      <c r="G166" s="32" t="n">
        <f aca="false">IF(ISNUMBER(A166),_xlfn.MAXIFS($H$70:$H$160,$L$70:$L$160,A166),"")</f>
        <v>2715485453.22435</v>
      </c>
      <c r="H166" s="39" t="n">
        <f aca="false">IF(ISNUMBER(A166),IF(C166=$B$7,"n.a.",C166+1),"")</f>
        <v>46207</v>
      </c>
      <c r="I166" s="49" t="b">
        <f aca="false">IF(ISNUMBER(A166),IF(C166=$B$7,TRUE(),FALSE()),"")</f>
        <v>0</v>
      </c>
    </row>
    <row r="167" customFormat="false" ht="25.5" hidden="false" customHeight="true" outlineLevel="0" collapsed="false">
      <c r="A167" s="4" t="n">
        <f aca="false">IF(MAX($L$70:$L$160)&gt;=2,2,"")</f>
        <v>2</v>
      </c>
      <c r="B167" s="38" t="n">
        <f aca="false">IF(ISNUMBER(A167),_xlfn.MINIFS($A$70:$A$160,$L$70:$L$160,A167),"")</f>
        <v>46208</v>
      </c>
      <c r="C167" s="38" t="n">
        <f aca="false">IF(ISNUMBER(A167),_xlfn.MAXIFS($A$70:$A$160,$L$70:$L$160,A167),"")</f>
        <v>46211</v>
      </c>
      <c r="D167" s="4" t="n">
        <f aca="false">IF(ISNUMBER(A167),COUNTIF($L$70:$L$160,A167),"")</f>
        <v>4</v>
      </c>
      <c r="E167" s="33" t="n">
        <f aca="false">IF(ISNUMBER(A167),_xlfn.MINIFS($G$70:$G$160,$L$70:$L$160,A167),"")</f>
        <v>4515574756</v>
      </c>
      <c r="F167" s="38" t="n">
        <f aca="false">IF(ISNUMBER(A167),_xlfn.MINIFS($A$70:$A$160,$L$70:$L$160,A167,$G$70:$G$160,E167),"")</f>
        <v>46210</v>
      </c>
      <c r="G167" s="33" t="n">
        <f aca="false">IF(ISNUMBER(A167),_xlfn.MAXIFS($H$70:$H$160,$L$70:$L$160,A167),"")</f>
        <v>2340391134.22435</v>
      </c>
      <c r="H167" s="38" t="n">
        <f aca="false">IF(ISNUMBER(A167),IF(C167=$B$7,"n.a.",C167+1),"")</f>
        <v>46212</v>
      </c>
      <c r="I167" s="50" t="b">
        <f aca="false">IF(ISNUMBER(A167),IF(C167=$B$7,TRUE(),FALSE()),"")</f>
        <v>0</v>
      </c>
    </row>
    <row r="168" customFormat="false" ht="25.5" hidden="false" customHeight="true" outlineLevel="0" collapsed="false">
      <c r="A168" s="3" t="str">
        <f aca="false">IF(MAX($L$70:$L$160)&gt;=3,3,"")</f>
        <v/>
      </c>
      <c r="B168" s="39" t="str">
        <f aca="false">IF(ISNUMBER(A168),_xlfn.MINIFS($A$70:$A$160,$L$70:$L$160,A168),"")</f>
        <v/>
      </c>
      <c r="C168" s="39" t="str">
        <f aca="false">IF(ISNUMBER(A168),_xlfn.MAXIFS($A$70:$A$160,$L$70:$L$160,A168),"")</f>
        <v/>
      </c>
      <c r="D168" s="3" t="str">
        <f aca="false">IF(ISNUMBER(A168),COUNTIF($L$70:$L$160,A168),"")</f>
        <v/>
      </c>
      <c r="E168" s="32" t="str">
        <f aca="false">IF(ISNUMBER(A168),_xlfn.MINIFS($G$70:$G$160,$L$70:$L$160,A168),"")</f>
        <v/>
      </c>
      <c r="F168" s="39" t="str">
        <f aca="false">IF(ISNUMBER(A168),_xlfn.MINIFS($A$70:$A$160,$L$70:$L$160,A168,$G$70:$G$160,E168),"")</f>
        <v/>
      </c>
      <c r="G168" s="32" t="str">
        <f aca="false">IF(ISNUMBER(A168),_xlfn.MAXIFS($H$70:$H$160,$L$70:$L$160,A168),"")</f>
        <v/>
      </c>
      <c r="H168" s="39" t="str">
        <f aca="false">IF(ISNUMBER(A168),IF(C168=$B$7,"n.a.",C168+1),"")</f>
        <v/>
      </c>
      <c r="I168" s="3" t="str">
        <f aca="false">IF(ISNUMBER(A168),IF(C168=$B$7,TRUE(),FALSE()),"")</f>
        <v/>
      </c>
    </row>
    <row r="169" customFormat="false" ht="25.5" hidden="false" customHeight="true" outlineLevel="0" collapsed="false">
      <c r="A169" s="4" t="str">
        <f aca="false">IF(MAX($L$70:$L$160)&gt;=4,4,"")</f>
        <v/>
      </c>
      <c r="B169" s="38" t="str">
        <f aca="false">IF(ISNUMBER(A169),_xlfn.MINIFS($A$70:$A$160,$L$70:$L$160,A169),"")</f>
        <v/>
      </c>
      <c r="C169" s="38" t="str">
        <f aca="false">IF(ISNUMBER(A169),_xlfn.MAXIFS($A$70:$A$160,$L$70:$L$160,A169),"")</f>
        <v/>
      </c>
      <c r="D169" s="4" t="str">
        <f aca="false">IF(ISNUMBER(A169),COUNTIF($L$70:$L$160,A169),"")</f>
        <v/>
      </c>
      <c r="E169" s="33" t="str">
        <f aca="false">IF(ISNUMBER(A169),_xlfn.MINIFS($G$70:$G$160,$L$70:$L$160,A169),"")</f>
        <v/>
      </c>
      <c r="F169" s="38" t="str">
        <f aca="false">IF(ISNUMBER(A169),_xlfn.MINIFS($A$70:$A$160,$L$70:$L$160,A169,$G$70:$G$160,E169),"")</f>
        <v/>
      </c>
      <c r="G169" s="33" t="str">
        <f aca="false">IF(ISNUMBER(A169),_xlfn.MAXIFS($H$70:$H$160,$L$70:$L$160,A169),"")</f>
        <v/>
      </c>
      <c r="H169" s="38" t="str">
        <f aca="false">IF(ISNUMBER(A169),IF(C169=$B$7,"n.a.",C169+1),"")</f>
        <v/>
      </c>
      <c r="I169" s="4" t="str">
        <f aca="false">IF(ISNUMBER(A169),IF(C169=$B$7,TRUE(),FALSE()),"")</f>
        <v/>
      </c>
    </row>
    <row r="170" customFormat="false" ht="25.5" hidden="false" customHeight="true" outlineLevel="0" collapsed="false">
      <c r="A170" s="3" t="str">
        <f aca="false">IF(MAX($L$70:$L$160)&gt;=5,5,"")</f>
        <v/>
      </c>
      <c r="B170" s="39" t="str">
        <f aca="false">IF(ISNUMBER(A170),_xlfn.MINIFS($A$70:$A$160,$L$70:$L$160,A170),"")</f>
        <v/>
      </c>
      <c r="C170" s="39" t="str">
        <f aca="false">IF(ISNUMBER(A170),_xlfn.MAXIFS($A$70:$A$160,$L$70:$L$160,A170),"")</f>
        <v/>
      </c>
      <c r="D170" s="3" t="str">
        <f aca="false">IF(ISNUMBER(A170),COUNTIF($L$70:$L$160,A170),"")</f>
        <v/>
      </c>
      <c r="E170" s="32" t="str">
        <f aca="false">IF(ISNUMBER(A170),_xlfn.MINIFS($G$70:$G$160,$L$70:$L$160,A170),"")</f>
        <v/>
      </c>
      <c r="F170" s="39" t="str">
        <f aca="false">IF(ISNUMBER(A170),_xlfn.MINIFS($A$70:$A$160,$L$70:$L$160,A170,$G$70:$G$160,E170),"")</f>
        <v/>
      </c>
      <c r="G170" s="32" t="str">
        <f aca="false">IF(ISNUMBER(A170),_xlfn.MAXIFS($H$70:$H$160,$L$70:$L$160,A170),"")</f>
        <v/>
      </c>
      <c r="H170" s="39" t="str">
        <f aca="false">IF(ISNUMBER(A170),IF(C170=$B$7,"n.a.",C170+1),"")</f>
        <v/>
      </c>
      <c r="I170" s="3" t="str">
        <f aca="false">IF(ISNUMBER(A170),IF(C170=$B$7,TRUE(),FALSE()),"")</f>
        <v/>
      </c>
    </row>
    <row r="171" customFormat="false" ht="25.5" hidden="false" customHeight="true" outlineLevel="0" collapsed="false">
      <c r="A171" s="4" t="str">
        <f aca="false">IF(MAX($L$70:$L$160)&gt;=6,6,"")</f>
        <v/>
      </c>
      <c r="B171" s="38" t="str">
        <f aca="false">IF(ISNUMBER(A171),_xlfn.MINIFS($A$70:$A$160,$L$70:$L$160,A171),"")</f>
        <v/>
      </c>
      <c r="C171" s="38" t="str">
        <f aca="false">IF(ISNUMBER(A171),_xlfn.MAXIFS($A$70:$A$160,$L$70:$L$160,A171),"")</f>
        <v/>
      </c>
      <c r="D171" s="4" t="str">
        <f aca="false">IF(ISNUMBER(A171),COUNTIF($L$70:$L$160,A171),"")</f>
        <v/>
      </c>
      <c r="E171" s="33" t="str">
        <f aca="false">IF(ISNUMBER(A171),_xlfn.MINIFS($G$70:$G$160,$L$70:$L$160,A171),"")</f>
        <v/>
      </c>
      <c r="F171" s="38" t="str">
        <f aca="false">IF(ISNUMBER(A171),_xlfn.MINIFS($A$70:$A$160,$L$70:$L$160,A171,$G$70:$G$160,E171),"")</f>
        <v/>
      </c>
      <c r="G171" s="33" t="str">
        <f aca="false">IF(ISNUMBER(A171),_xlfn.MAXIFS($H$70:$H$160,$L$70:$L$160,A171),"")</f>
        <v/>
      </c>
      <c r="H171" s="38" t="str">
        <f aca="false">IF(ISNUMBER(A171),IF(C171=$B$7,"n.a.",C171+1),"")</f>
        <v/>
      </c>
      <c r="I171" s="4" t="str">
        <f aca="false">IF(ISNUMBER(A171),IF(C171=$B$7,TRUE(),FALSE()),"")</f>
        <v/>
      </c>
    </row>
    <row r="172" customFormat="false" ht="25.5" hidden="false" customHeight="true" outlineLevel="0" collapsed="false">
      <c r="A172" s="3" t="str">
        <f aca="false">IF(MAX($L$70:$L$160)&gt;=7,7,"")</f>
        <v/>
      </c>
      <c r="B172" s="39" t="str">
        <f aca="false">IF(ISNUMBER(A172),_xlfn.MINIFS($A$70:$A$160,$L$70:$L$160,A172),"")</f>
        <v/>
      </c>
      <c r="C172" s="39" t="str">
        <f aca="false">IF(ISNUMBER(A172),_xlfn.MAXIFS($A$70:$A$160,$L$70:$L$160,A172),"")</f>
        <v/>
      </c>
      <c r="D172" s="3" t="str">
        <f aca="false">IF(ISNUMBER(A172),COUNTIF($L$70:$L$160,A172),"")</f>
        <v/>
      </c>
      <c r="E172" s="32" t="str">
        <f aca="false">IF(ISNUMBER(A172),_xlfn.MINIFS($G$70:$G$160,$L$70:$L$160,A172),"")</f>
        <v/>
      </c>
      <c r="F172" s="39" t="str">
        <f aca="false">IF(ISNUMBER(A172),_xlfn.MINIFS($A$70:$A$160,$L$70:$L$160,A172,$G$70:$G$160,E172),"")</f>
        <v/>
      </c>
      <c r="G172" s="32" t="str">
        <f aca="false">IF(ISNUMBER(A172),_xlfn.MAXIFS($H$70:$H$160,$L$70:$L$160,A172),"")</f>
        <v/>
      </c>
      <c r="H172" s="39" t="str">
        <f aca="false">IF(ISNUMBER(A172),IF(C172=$B$7,"n.a.",C172+1),"")</f>
        <v/>
      </c>
      <c r="I172" s="3" t="str">
        <f aca="false">IF(ISNUMBER(A172),IF(C172=$B$7,TRUE(),FALSE()),"")</f>
        <v/>
      </c>
    </row>
    <row r="173" customFormat="false" ht="25.5" hidden="false" customHeight="true" outlineLevel="0" collapsed="false">
      <c r="A173" s="4" t="str">
        <f aca="false">IF(MAX($L$70:$L$160)&gt;=8,8,"")</f>
        <v/>
      </c>
      <c r="B173" s="38" t="str">
        <f aca="false">IF(ISNUMBER(A173),_xlfn.MINIFS($A$70:$A$160,$L$70:$L$160,A173),"")</f>
        <v/>
      </c>
      <c r="C173" s="38" t="str">
        <f aca="false">IF(ISNUMBER(A173),_xlfn.MAXIFS($A$70:$A$160,$L$70:$L$160,A173),"")</f>
        <v/>
      </c>
      <c r="D173" s="4" t="str">
        <f aca="false">IF(ISNUMBER(A173),COUNTIF($L$70:$L$160,A173),"")</f>
        <v/>
      </c>
      <c r="E173" s="33" t="str">
        <f aca="false">IF(ISNUMBER(A173),_xlfn.MINIFS($G$70:$G$160,$L$70:$L$160,A173),"")</f>
        <v/>
      </c>
      <c r="F173" s="38" t="str">
        <f aca="false">IF(ISNUMBER(A173),_xlfn.MINIFS($A$70:$A$160,$L$70:$L$160,A173,$G$70:$G$160,E173),"")</f>
        <v/>
      </c>
      <c r="G173" s="33" t="str">
        <f aca="false">IF(ISNUMBER(A173),_xlfn.MAXIFS($H$70:$H$160,$L$70:$L$160,A173),"")</f>
        <v/>
      </c>
      <c r="H173" s="38" t="str">
        <f aca="false">IF(ISNUMBER(A173),IF(C173=$B$7,"n.a.",C173+1),"")</f>
        <v/>
      </c>
      <c r="I173" s="4" t="str">
        <f aca="false">IF(ISNUMBER(A173),IF(C173=$B$7,TRUE(),FALSE()),"")</f>
        <v/>
      </c>
    </row>
    <row r="174" customFormat="false" ht="25.5" hidden="false" customHeight="true" outlineLevel="0" collapsed="false">
      <c r="A174" s="3" t="str">
        <f aca="false">IF(MAX($L$70:$L$160)&gt;=9,9,"")</f>
        <v/>
      </c>
      <c r="B174" s="39" t="str">
        <f aca="false">IF(ISNUMBER(A174),_xlfn.MINIFS($A$70:$A$160,$L$70:$L$160,A174),"")</f>
        <v/>
      </c>
      <c r="C174" s="39" t="str">
        <f aca="false">IF(ISNUMBER(A174),_xlfn.MAXIFS($A$70:$A$160,$L$70:$L$160,A174),"")</f>
        <v/>
      </c>
      <c r="D174" s="3" t="str">
        <f aca="false">IF(ISNUMBER(A174),COUNTIF($L$70:$L$160,A174),"")</f>
        <v/>
      </c>
      <c r="E174" s="32" t="str">
        <f aca="false">IF(ISNUMBER(A174),_xlfn.MINIFS($G$70:$G$160,$L$70:$L$160,A174),"")</f>
        <v/>
      </c>
      <c r="F174" s="39" t="str">
        <f aca="false">IF(ISNUMBER(A174),_xlfn.MINIFS($A$70:$A$160,$L$70:$L$160,A174,$G$70:$G$160,E174),"")</f>
        <v/>
      </c>
      <c r="G174" s="32" t="str">
        <f aca="false">IF(ISNUMBER(A174),_xlfn.MAXIFS($H$70:$H$160,$L$70:$L$160,A174),"")</f>
        <v/>
      </c>
      <c r="H174" s="39" t="str">
        <f aca="false">IF(ISNUMBER(A174),IF(C174=$B$7,"n.a.",C174+1),"")</f>
        <v/>
      </c>
      <c r="I174" s="3" t="str">
        <f aca="false">IF(ISNUMBER(A174),IF(C174=$B$7,TRUE(),FALSE()),"")</f>
        <v/>
      </c>
    </row>
    <row r="175" customFormat="false" ht="25.5" hidden="false" customHeight="true" outlineLevel="0" collapsed="false">
      <c r="A175" s="4" t="str">
        <f aca="false">IF(MAX($L$70:$L$160)&gt;=10,10,"")</f>
        <v/>
      </c>
      <c r="B175" s="38" t="str">
        <f aca="false">IF(ISNUMBER(A175),_xlfn.MINIFS($A$70:$A$160,$L$70:$L$160,A175),"")</f>
        <v/>
      </c>
      <c r="C175" s="38" t="str">
        <f aca="false">IF(ISNUMBER(A175),_xlfn.MAXIFS($A$70:$A$160,$L$70:$L$160,A175),"")</f>
        <v/>
      </c>
      <c r="D175" s="4" t="str">
        <f aca="false">IF(ISNUMBER(A175),COUNTIF($L$70:$L$160,A175),"")</f>
        <v/>
      </c>
      <c r="E175" s="33" t="str">
        <f aca="false">IF(ISNUMBER(A175),_xlfn.MINIFS($G$70:$G$160,$L$70:$L$160,A175),"")</f>
        <v/>
      </c>
      <c r="F175" s="38" t="str">
        <f aca="false">IF(ISNUMBER(A175),_xlfn.MINIFS($A$70:$A$160,$L$70:$L$160,A175,$G$70:$G$160,E175),"")</f>
        <v/>
      </c>
      <c r="G175" s="33" t="str">
        <f aca="false">IF(ISNUMBER(A175),_xlfn.MAXIFS($H$70:$H$160,$L$70:$L$160,A175),"")</f>
        <v/>
      </c>
      <c r="H175" s="38" t="str">
        <f aca="false">IF(ISNUMBER(A175),IF(C175=$B$7,"n.a.",C175+1),"")</f>
        <v/>
      </c>
      <c r="I175" s="4" t="str">
        <f aca="false">IF(ISNUMBER(A175),IF(C175=$B$7,TRUE(),FALSE()),"")</f>
        <v/>
      </c>
    </row>
    <row r="176" customFormat="false" ht="25.5" hidden="false" customHeight="true" outlineLevel="0" collapsed="false">
      <c r="A176" s="3" t="str">
        <f aca="false">IF(MAX($L$70:$L$160)&gt;=11,11,"")</f>
        <v/>
      </c>
      <c r="B176" s="39" t="str">
        <f aca="false">IF(ISNUMBER(A176),_xlfn.MINIFS($A$70:$A$160,$L$70:$L$160,A176),"")</f>
        <v/>
      </c>
      <c r="C176" s="39" t="str">
        <f aca="false">IF(ISNUMBER(A176),_xlfn.MAXIFS($A$70:$A$160,$L$70:$L$160,A176),"")</f>
        <v/>
      </c>
      <c r="D176" s="3" t="str">
        <f aca="false">IF(ISNUMBER(A176),COUNTIF($L$70:$L$160,A176),"")</f>
        <v/>
      </c>
      <c r="E176" s="32" t="str">
        <f aca="false">IF(ISNUMBER(A176),_xlfn.MINIFS($G$70:$G$160,$L$70:$L$160,A176),"")</f>
        <v/>
      </c>
      <c r="F176" s="39" t="str">
        <f aca="false">IF(ISNUMBER(A176),_xlfn.MINIFS($A$70:$A$160,$L$70:$L$160,A176,$G$70:$G$160,E176),"")</f>
        <v/>
      </c>
      <c r="G176" s="32" t="str">
        <f aca="false">IF(ISNUMBER(A176),_xlfn.MAXIFS($H$70:$H$160,$L$70:$L$160,A176),"")</f>
        <v/>
      </c>
      <c r="H176" s="39" t="str">
        <f aca="false">IF(ISNUMBER(A176),IF(C176=$B$7,"n.a.",C176+1),"")</f>
        <v/>
      </c>
      <c r="I176" s="3" t="str">
        <f aca="false">IF(ISNUMBER(A176),IF(C176=$B$7,TRUE(),FALSE()),"")</f>
        <v/>
      </c>
    </row>
    <row r="177" customFormat="false" ht="25.5" hidden="false" customHeight="true" outlineLevel="0" collapsed="false">
      <c r="A177" s="4" t="str">
        <f aca="false">IF(MAX($L$70:$L$160)&gt;=12,12,"")</f>
        <v/>
      </c>
      <c r="B177" s="38" t="str">
        <f aca="false">IF(ISNUMBER(A177),_xlfn.MINIFS($A$70:$A$160,$L$70:$L$160,A177),"")</f>
        <v/>
      </c>
      <c r="C177" s="38" t="str">
        <f aca="false">IF(ISNUMBER(A177),_xlfn.MAXIFS($A$70:$A$160,$L$70:$L$160,A177),"")</f>
        <v/>
      </c>
      <c r="D177" s="4" t="str">
        <f aca="false">IF(ISNUMBER(A177),COUNTIF($L$70:$L$160,A177),"")</f>
        <v/>
      </c>
      <c r="E177" s="33" t="str">
        <f aca="false">IF(ISNUMBER(A177),_xlfn.MINIFS($G$70:$G$160,$L$70:$L$160,A177),"")</f>
        <v/>
      </c>
      <c r="F177" s="38" t="str">
        <f aca="false">IF(ISNUMBER(A177),_xlfn.MINIFS($A$70:$A$160,$L$70:$L$160,A177,$G$70:$G$160,E177),"")</f>
        <v/>
      </c>
      <c r="G177" s="33" t="str">
        <f aca="false">IF(ISNUMBER(A177),_xlfn.MAXIFS($H$70:$H$160,$L$70:$L$160,A177),"")</f>
        <v/>
      </c>
      <c r="H177" s="38" t="str">
        <f aca="false">IF(ISNUMBER(A177),IF(C177=$B$7,"n.a.",C177+1),"")</f>
        <v/>
      </c>
      <c r="I177" s="4" t="str">
        <f aca="false">IF(ISNUMBER(A177),IF(C177=$B$7,TRUE(),FALSE()),"")</f>
        <v/>
      </c>
    </row>
    <row r="178" customFormat="false" ht="25.5" hidden="false" customHeight="true" outlineLevel="0" collapsed="false">
      <c r="A178" s="3" t="str">
        <f aca="false">IF(MAX($L$70:$L$160)&gt;=13,13,"")</f>
        <v/>
      </c>
      <c r="B178" s="39" t="str">
        <f aca="false">IF(ISNUMBER(A178),_xlfn.MINIFS($A$70:$A$160,$L$70:$L$160,A178),"")</f>
        <v/>
      </c>
      <c r="C178" s="39" t="str">
        <f aca="false">IF(ISNUMBER(A178),_xlfn.MAXIFS($A$70:$A$160,$L$70:$L$160,A178),"")</f>
        <v/>
      </c>
      <c r="D178" s="3" t="str">
        <f aca="false">IF(ISNUMBER(A178),COUNTIF($L$70:$L$160,A178),"")</f>
        <v/>
      </c>
      <c r="E178" s="32" t="str">
        <f aca="false">IF(ISNUMBER(A178),_xlfn.MINIFS($G$70:$G$160,$L$70:$L$160,A178),"")</f>
        <v/>
      </c>
      <c r="F178" s="39" t="str">
        <f aca="false">IF(ISNUMBER(A178),_xlfn.MINIFS($A$70:$A$160,$L$70:$L$160,A178,$G$70:$G$160,E178),"")</f>
        <v/>
      </c>
      <c r="G178" s="32" t="str">
        <f aca="false">IF(ISNUMBER(A178),_xlfn.MAXIFS($H$70:$H$160,$L$70:$L$160,A178),"")</f>
        <v/>
      </c>
      <c r="H178" s="39" t="str">
        <f aca="false">IF(ISNUMBER(A178),IF(C178=$B$7,"n.a.",C178+1),"")</f>
        <v/>
      </c>
      <c r="I178" s="3" t="str">
        <f aca="false">IF(ISNUMBER(A178),IF(C178=$B$7,TRUE(),FALSE()),"")</f>
        <v/>
      </c>
    </row>
    <row r="179" customFormat="false" ht="25.5" hidden="false" customHeight="true" outlineLevel="0" collapsed="false">
      <c r="A179" s="4" t="str">
        <f aca="false">IF(MAX($L$70:$L$160)&gt;=14,14,"")</f>
        <v/>
      </c>
      <c r="B179" s="38" t="str">
        <f aca="false">IF(ISNUMBER(A179),_xlfn.MINIFS($A$70:$A$160,$L$70:$L$160,A179),"")</f>
        <v/>
      </c>
      <c r="C179" s="38" t="str">
        <f aca="false">IF(ISNUMBER(A179),_xlfn.MAXIFS($A$70:$A$160,$L$70:$L$160,A179),"")</f>
        <v/>
      </c>
      <c r="D179" s="4" t="str">
        <f aca="false">IF(ISNUMBER(A179),COUNTIF($L$70:$L$160,A179),"")</f>
        <v/>
      </c>
      <c r="E179" s="33" t="str">
        <f aca="false">IF(ISNUMBER(A179),_xlfn.MINIFS($G$70:$G$160,$L$70:$L$160,A179),"")</f>
        <v/>
      </c>
      <c r="F179" s="38" t="str">
        <f aca="false">IF(ISNUMBER(A179),_xlfn.MINIFS($A$70:$A$160,$L$70:$L$160,A179,$G$70:$G$160,E179),"")</f>
        <v/>
      </c>
      <c r="G179" s="33" t="str">
        <f aca="false">IF(ISNUMBER(A179),_xlfn.MAXIFS($H$70:$H$160,$L$70:$L$160,A179),"")</f>
        <v/>
      </c>
      <c r="H179" s="38" t="str">
        <f aca="false">IF(ISNUMBER(A179),IF(C179=$B$7,"n.a.",C179+1),"")</f>
        <v/>
      </c>
      <c r="I179" s="4" t="str">
        <f aca="false">IF(ISNUMBER(A179),IF(C179=$B$7,TRUE(),FALSE()),"")</f>
        <v/>
      </c>
    </row>
    <row r="180" customFormat="false" ht="25.5" hidden="false" customHeight="true" outlineLevel="0" collapsed="false">
      <c r="A180" s="3" t="str">
        <f aca="false">IF(MAX($L$70:$L$160)&gt;=15,15,"")</f>
        <v/>
      </c>
      <c r="B180" s="39" t="str">
        <f aca="false">IF(ISNUMBER(A180),_xlfn.MINIFS($A$70:$A$160,$L$70:$L$160,A180),"")</f>
        <v/>
      </c>
      <c r="C180" s="39" t="str">
        <f aca="false">IF(ISNUMBER(A180),_xlfn.MAXIFS($A$70:$A$160,$L$70:$L$160,A180),"")</f>
        <v/>
      </c>
      <c r="D180" s="3" t="str">
        <f aca="false">IF(ISNUMBER(A180),COUNTIF($L$70:$L$160,A180),"")</f>
        <v/>
      </c>
      <c r="E180" s="32" t="str">
        <f aca="false">IF(ISNUMBER(A180),_xlfn.MINIFS($G$70:$G$160,$L$70:$L$160,A180),"")</f>
        <v/>
      </c>
      <c r="F180" s="39" t="str">
        <f aca="false">IF(ISNUMBER(A180),_xlfn.MINIFS($A$70:$A$160,$L$70:$L$160,A180,$G$70:$G$160,E180),"")</f>
        <v/>
      </c>
      <c r="G180" s="32" t="str">
        <f aca="false">IF(ISNUMBER(A180),_xlfn.MAXIFS($H$70:$H$160,$L$70:$L$160,A180),"")</f>
        <v/>
      </c>
      <c r="H180" s="39" t="str">
        <f aca="false">IF(ISNUMBER(A180),IF(C180=$B$7,"n.a.",C180+1),"")</f>
        <v/>
      </c>
      <c r="I180" s="3" t="str">
        <f aca="false">IF(ISNUMBER(A180),IF(C180=$B$7,TRUE(),FALSE()),"")</f>
        <v/>
      </c>
    </row>
    <row r="181" customFormat="false" ht="25.5" hidden="false" customHeight="true" outlineLevel="0" collapsed="false">
      <c r="A181" s="4" t="str">
        <f aca="false">IF(MAX($L$70:$L$160)&gt;=16,16,"")</f>
        <v/>
      </c>
      <c r="B181" s="38" t="str">
        <f aca="false">IF(ISNUMBER(A181),_xlfn.MINIFS($A$70:$A$160,$L$70:$L$160,A181),"")</f>
        <v/>
      </c>
      <c r="C181" s="38" t="str">
        <f aca="false">IF(ISNUMBER(A181),_xlfn.MAXIFS($A$70:$A$160,$L$70:$L$160,A181),"")</f>
        <v/>
      </c>
      <c r="D181" s="4" t="str">
        <f aca="false">IF(ISNUMBER(A181),COUNTIF($L$70:$L$160,A181),"")</f>
        <v/>
      </c>
      <c r="E181" s="33" t="str">
        <f aca="false">IF(ISNUMBER(A181),_xlfn.MINIFS($G$70:$G$160,$L$70:$L$160,A181),"")</f>
        <v/>
      </c>
      <c r="F181" s="38" t="str">
        <f aca="false">IF(ISNUMBER(A181),_xlfn.MINIFS($A$70:$A$160,$L$70:$L$160,A181,$G$70:$G$160,E181),"")</f>
        <v/>
      </c>
      <c r="G181" s="33" t="str">
        <f aca="false">IF(ISNUMBER(A181),_xlfn.MAXIFS($H$70:$H$160,$L$70:$L$160,A181),"")</f>
        <v/>
      </c>
      <c r="H181" s="38" t="str">
        <f aca="false">IF(ISNUMBER(A181),IF(C181=$B$7,"n.a.",C181+1),"")</f>
        <v/>
      </c>
      <c r="I181" s="4" t="str">
        <f aca="false">IF(ISNUMBER(A181),IF(C181=$B$7,TRUE(),FALSE()),"")</f>
        <v/>
      </c>
    </row>
    <row r="182" customFormat="false" ht="25.5" hidden="false" customHeight="true" outlineLevel="0" collapsed="false">
      <c r="A182" s="3" t="str">
        <f aca="false">IF(MAX($L$70:$L$160)&gt;=17,17,"")</f>
        <v/>
      </c>
      <c r="B182" s="39" t="str">
        <f aca="false">IF(ISNUMBER(A182),_xlfn.MINIFS($A$70:$A$160,$L$70:$L$160,A182),"")</f>
        <v/>
      </c>
      <c r="C182" s="39" t="str">
        <f aca="false">IF(ISNUMBER(A182),_xlfn.MAXIFS($A$70:$A$160,$L$70:$L$160,A182),"")</f>
        <v/>
      </c>
      <c r="D182" s="3" t="str">
        <f aca="false">IF(ISNUMBER(A182),COUNTIF($L$70:$L$160,A182),"")</f>
        <v/>
      </c>
      <c r="E182" s="32" t="str">
        <f aca="false">IF(ISNUMBER(A182),_xlfn.MINIFS($G$70:$G$160,$L$70:$L$160,A182),"")</f>
        <v/>
      </c>
      <c r="F182" s="39" t="str">
        <f aca="false">IF(ISNUMBER(A182),_xlfn.MINIFS($A$70:$A$160,$L$70:$L$160,A182,$G$70:$G$160,E182),"")</f>
        <v/>
      </c>
      <c r="G182" s="32" t="str">
        <f aca="false">IF(ISNUMBER(A182),_xlfn.MAXIFS($H$70:$H$160,$L$70:$L$160,A182),"")</f>
        <v/>
      </c>
      <c r="H182" s="39" t="str">
        <f aca="false">IF(ISNUMBER(A182),IF(C182=$B$7,"n.a.",C182+1),"")</f>
        <v/>
      </c>
      <c r="I182" s="3" t="str">
        <f aca="false">IF(ISNUMBER(A182),IF(C182=$B$7,TRUE(),FALSE()),"")</f>
        <v/>
      </c>
    </row>
    <row r="183" customFormat="false" ht="25.5" hidden="false" customHeight="true" outlineLevel="0" collapsed="false">
      <c r="A183" s="4" t="str">
        <f aca="false">IF(MAX($L$70:$L$160)&gt;=18,18,"")</f>
        <v/>
      </c>
      <c r="B183" s="38" t="str">
        <f aca="false">IF(ISNUMBER(A183),_xlfn.MINIFS($A$70:$A$160,$L$70:$L$160,A183),"")</f>
        <v/>
      </c>
      <c r="C183" s="38" t="str">
        <f aca="false">IF(ISNUMBER(A183),_xlfn.MAXIFS($A$70:$A$160,$L$70:$L$160,A183),"")</f>
        <v/>
      </c>
      <c r="D183" s="4" t="str">
        <f aca="false">IF(ISNUMBER(A183),COUNTIF($L$70:$L$160,A183),"")</f>
        <v/>
      </c>
      <c r="E183" s="33" t="str">
        <f aca="false">IF(ISNUMBER(A183),_xlfn.MINIFS($G$70:$G$160,$L$70:$L$160,A183),"")</f>
        <v/>
      </c>
      <c r="F183" s="38" t="str">
        <f aca="false">IF(ISNUMBER(A183),_xlfn.MINIFS($A$70:$A$160,$L$70:$L$160,A183,$G$70:$G$160,E183),"")</f>
        <v/>
      </c>
      <c r="G183" s="33" t="str">
        <f aca="false">IF(ISNUMBER(A183),_xlfn.MAXIFS($H$70:$H$160,$L$70:$L$160,A183),"")</f>
        <v/>
      </c>
      <c r="H183" s="38" t="str">
        <f aca="false">IF(ISNUMBER(A183),IF(C183=$B$7,"n.a.",C183+1),"")</f>
        <v/>
      </c>
      <c r="I183" s="4" t="str">
        <f aca="false">IF(ISNUMBER(A183),IF(C183=$B$7,TRUE(),FALSE()),"")</f>
        <v/>
      </c>
    </row>
    <row r="184" customFormat="false" ht="25.5" hidden="false" customHeight="true" outlineLevel="0" collapsed="false">
      <c r="A184" s="3" t="str">
        <f aca="false">IF(MAX($L$70:$L$160)&gt;=19,19,"")</f>
        <v/>
      </c>
      <c r="B184" s="39" t="str">
        <f aca="false">IF(ISNUMBER(A184),_xlfn.MINIFS($A$70:$A$160,$L$70:$L$160,A184),"")</f>
        <v/>
      </c>
      <c r="C184" s="39" t="str">
        <f aca="false">IF(ISNUMBER(A184),_xlfn.MAXIFS($A$70:$A$160,$L$70:$L$160,A184),"")</f>
        <v/>
      </c>
      <c r="D184" s="3" t="str">
        <f aca="false">IF(ISNUMBER(A184),COUNTIF($L$70:$L$160,A184),"")</f>
        <v/>
      </c>
      <c r="E184" s="32" t="str">
        <f aca="false">IF(ISNUMBER(A184),_xlfn.MINIFS($G$70:$G$160,$L$70:$L$160,A184),"")</f>
        <v/>
      </c>
      <c r="F184" s="39" t="str">
        <f aca="false">IF(ISNUMBER(A184),_xlfn.MINIFS($A$70:$A$160,$L$70:$L$160,A184,$G$70:$G$160,E184),"")</f>
        <v/>
      </c>
      <c r="G184" s="32" t="str">
        <f aca="false">IF(ISNUMBER(A184),_xlfn.MAXIFS($H$70:$H$160,$L$70:$L$160,A184),"")</f>
        <v/>
      </c>
      <c r="H184" s="39" t="str">
        <f aca="false">IF(ISNUMBER(A184),IF(C184=$B$7,"n.a.",C184+1),"")</f>
        <v/>
      </c>
      <c r="I184" s="3" t="str">
        <f aca="false">IF(ISNUMBER(A184),IF(C184=$B$7,TRUE(),FALSE()),"")</f>
        <v/>
      </c>
    </row>
    <row r="185" customFormat="false" ht="25.5" hidden="false" customHeight="true" outlineLevel="0" collapsed="false">
      <c r="A185" s="4" t="str">
        <f aca="false">IF(MAX($L$70:$L$160)&gt;=20,20,"")</f>
        <v/>
      </c>
      <c r="B185" s="38" t="str">
        <f aca="false">IF(ISNUMBER(A185),_xlfn.MINIFS($A$70:$A$160,$L$70:$L$160,A185),"")</f>
        <v/>
      </c>
      <c r="C185" s="38" t="str">
        <f aca="false">IF(ISNUMBER(A185),_xlfn.MAXIFS($A$70:$A$160,$L$70:$L$160,A185),"")</f>
        <v/>
      </c>
      <c r="D185" s="4" t="str">
        <f aca="false">IF(ISNUMBER(A185),COUNTIF($L$70:$L$160,A185),"")</f>
        <v/>
      </c>
      <c r="E185" s="33" t="str">
        <f aca="false">IF(ISNUMBER(A185),_xlfn.MINIFS($G$70:$G$160,$L$70:$L$160,A185),"")</f>
        <v/>
      </c>
      <c r="F185" s="38" t="str">
        <f aca="false">IF(ISNUMBER(A185),_xlfn.MINIFS($A$70:$A$160,$L$70:$L$160,A185,$G$70:$G$160,E185),"")</f>
        <v/>
      </c>
      <c r="G185" s="33" t="str">
        <f aca="false">IF(ISNUMBER(A185),_xlfn.MAXIFS($H$70:$H$160,$L$70:$L$160,A185),"")</f>
        <v/>
      </c>
      <c r="H185" s="38" t="str">
        <f aca="false">IF(ISNUMBER(A185),IF(C185=$B$7,"n.a.",C185+1),"")</f>
        <v/>
      </c>
      <c r="I185" s="4" t="str">
        <f aca="false">IF(ISNUMBER(A185),IF(C185=$B$7,TRUE(),FALSE()),"")</f>
        <v/>
      </c>
    </row>
    <row r="186" customFormat="false" ht="25.5" hidden="false" customHeight="true" outlineLevel="0" collapsed="false">
      <c r="A186" s="3" t="str">
        <f aca="false">IF(MAX($L$70:$L$160)&gt;=21,21,"")</f>
        <v/>
      </c>
      <c r="B186" s="39" t="str">
        <f aca="false">IF(ISNUMBER(A186),_xlfn.MINIFS($A$70:$A$160,$L$70:$L$160,A186),"")</f>
        <v/>
      </c>
      <c r="C186" s="39" t="str">
        <f aca="false">IF(ISNUMBER(A186),_xlfn.MAXIFS($A$70:$A$160,$L$70:$L$160,A186),"")</f>
        <v/>
      </c>
      <c r="D186" s="3" t="str">
        <f aca="false">IF(ISNUMBER(A186),COUNTIF($L$70:$L$160,A186),"")</f>
        <v/>
      </c>
      <c r="E186" s="32" t="str">
        <f aca="false">IF(ISNUMBER(A186),_xlfn.MINIFS($G$70:$G$160,$L$70:$L$160,A186),"")</f>
        <v/>
      </c>
      <c r="F186" s="39" t="str">
        <f aca="false">IF(ISNUMBER(A186),_xlfn.MINIFS($A$70:$A$160,$L$70:$L$160,A186,$G$70:$G$160,E186),"")</f>
        <v/>
      </c>
      <c r="G186" s="32" t="str">
        <f aca="false">IF(ISNUMBER(A186),_xlfn.MAXIFS($H$70:$H$160,$L$70:$L$160,A186),"")</f>
        <v/>
      </c>
      <c r="H186" s="39" t="str">
        <f aca="false">IF(ISNUMBER(A186),IF(C186=$B$7,"n.a.",C186+1),"")</f>
        <v/>
      </c>
      <c r="I186" s="3" t="str">
        <f aca="false">IF(ISNUMBER(A186),IF(C186=$B$7,TRUE(),FALSE()),"")</f>
        <v/>
      </c>
    </row>
    <row r="187" customFormat="false" ht="25.5" hidden="false" customHeight="true" outlineLevel="0" collapsed="false">
      <c r="A187" s="4" t="str">
        <f aca="false">IF(MAX($L$70:$L$160)&gt;=22,22,"")</f>
        <v/>
      </c>
      <c r="B187" s="38" t="str">
        <f aca="false">IF(ISNUMBER(A187),_xlfn.MINIFS($A$70:$A$160,$L$70:$L$160,A187),"")</f>
        <v/>
      </c>
      <c r="C187" s="38" t="str">
        <f aca="false">IF(ISNUMBER(A187),_xlfn.MAXIFS($A$70:$A$160,$L$70:$L$160,A187),"")</f>
        <v/>
      </c>
      <c r="D187" s="4" t="str">
        <f aca="false">IF(ISNUMBER(A187),COUNTIF($L$70:$L$160,A187),"")</f>
        <v/>
      </c>
      <c r="E187" s="33" t="str">
        <f aca="false">IF(ISNUMBER(A187),_xlfn.MINIFS($G$70:$G$160,$L$70:$L$160,A187),"")</f>
        <v/>
      </c>
      <c r="F187" s="38" t="str">
        <f aca="false">IF(ISNUMBER(A187),_xlfn.MINIFS($A$70:$A$160,$L$70:$L$160,A187,$G$70:$G$160,E187),"")</f>
        <v/>
      </c>
      <c r="G187" s="33" t="str">
        <f aca="false">IF(ISNUMBER(A187),_xlfn.MAXIFS($H$70:$H$160,$L$70:$L$160,A187),"")</f>
        <v/>
      </c>
      <c r="H187" s="38" t="str">
        <f aca="false">IF(ISNUMBER(A187),IF(C187=$B$7,"n.a.",C187+1),"")</f>
        <v/>
      </c>
      <c r="I187" s="4" t="str">
        <f aca="false">IF(ISNUMBER(A187),IF(C187=$B$7,TRUE(),FALSE()),"")</f>
        <v/>
      </c>
    </row>
    <row r="188" customFormat="false" ht="25.5" hidden="false" customHeight="true" outlineLevel="0" collapsed="false">
      <c r="A188" s="3" t="str">
        <f aca="false">IF(MAX($L$70:$L$160)&gt;=23,23,"")</f>
        <v/>
      </c>
      <c r="B188" s="39" t="str">
        <f aca="false">IF(ISNUMBER(A188),_xlfn.MINIFS($A$70:$A$160,$L$70:$L$160,A188),"")</f>
        <v/>
      </c>
      <c r="C188" s="39" t="str">
        <f aca="false">IF(ISNUMBER(A188),_xlfn.MAXIFS($A$70:$A$160,$L$70:$L$160,A188),"")</f>
        <v/>
      </c>
      <c r="D188" s="3" t="str">
        <f aca="false">IF(ISNUMBER(A188),COUNTIF($L$70:$L$160,A188),"")</f>
        <v/>
      </c>
      <c r="E188" s="32" t="str">
        <f aca="false">IF(ISNUMBER(A188),_xlfn.MINIFS($G$70:$G$160,$L$70:$L$160,A188),"")</f>
        <v/>
      </c>
      <c r="F188" s="39" t="str">
        <f aca="false">IF(ISNUMBER(A188),_xlfn.MINIFS($A$70:$A$160,$L$70:$L$160,A188,$G$70:$G$160,E188),"")</f>
        <v/>
      </c>
      <c r="G188" s="32" t="str">
        <f aca="false">IF(ISNUMBER(A188),_xlfn.MAXIFS($H$70:$H$160,$L$70:$L$160,A188),"")</f>
        <v/>
      </c>
      <c r="H188" s="39" t="str">
        <f aca="false">IF(ISNUMBER(A188),IF(C188=$B$7,"n.a.",C188+1),"")</f>
        <v/>
      </c>
      <c r="I188" s="3" t="str">
        <f aca="false">IF(ISNUMBER(A188),IF(C188=$B$7,TRUE(),FALSE()),"")</f>
        <v/>
      </c>
    </row>
    <row r="189" customFormat="false" ht="25.5" hidden="false" customHeight="true" outlineLevel="0" collapsed="false">
      <c r="A189" s="4" t="str">
        <f aca="false">IF(MAX($L$70:$L$160)&gt;=24,24,"")</f>
        <v/>
      </c>
      <c r="B189" s="38" t="str">
        <f aca="false">IF(ISNUMBER(A189),_xlfn.MINIFS($A$70:$A$160,$L$70:$L$160,A189),"")</f>
        <v/>
      </c>
      <c r="C189" s="38" t="str">
        <f aca="false">IF(ISNUMBER(A189),_xlfn.MAXIFS($A$70:$A$160,$L$70:$L$160,A189),"")</f>
        <v/>
      </c>
      <c r="D189" s="4" t="str">
        <f aca="false">IF(ISNUMBER(A189),COUNTIF($L$70:$L$160,A189),"")</f>
        <v/>
      </c>
      <c r="E189" s="33" t="str">
        <f aca="false">IF(ISNUMBER(A189),_xlfn.MINIFS($G$70:$G$160,$L$70:$L$160,A189),"")</f>
        <v/>
      </c>
      <c r="F189" s="38" t="str">
        <f aca="false">IF(ISNUMBER(A189),_xlfn.MINIFS($A$70:$A$160,$L$70:$L$160,A189,$G$70:$G$160,E189),"")</f>
        <v/>
      </c>
      <c r="G189" s="33" t="str">
        <f aca="false">IF(ISNUMBER(A189),_xlfn.MAXIFS($H$70:$H$160,$L$70:$L$160,A189),"")</f>
        <v/>
      </c>
      <c r="H189" s="38" t="str">
        <f aca="false">IF(ISNUMBER(A189),IF(C189=$B$7,"n.a.",C189+1),"")</f>
        <v/>
      </c>
      <c r="I189" s="4" t="str">
        <f aca="false">IF(ISNUMBER(A189),IF(C189=$B$7,TRUE(),FALSE()),"")</f>
        <v/>
      </c>
    </row>
    <row r="190" customFormat="false" ht="25.5" hidden="false" customHeight="true" outlineLevel="0" collapsed="false">
      <c r="A190" s="3" t="str">
        <f aca="false">IF(MAX($L$70:$L$160)&gt;=25,25,"")</f>
        <v/>
      </c>
      <c r="B190" s="39" t="str">
        <f aca="false">IF(ISNUMBER(A190),_xlfn.MINIFS($A$70:$A$160,$L$70:$L$160,A190),"")</f>
        <v/>
      </c>
      <c r="C190" s="39" t="str">
        <f aca="false">IF(ISNUMBER(A190),_xlfn.MAXIFS($A$70:$A$160,$L$70:$L$160,A190),"")</f>
        <v/>
      </c>
      <c r="D190" s="3" t="str">
        <f aca="false">IF(ISNUMBER(A190),COUNTIF($L$70:$L$160,A190),"")</f>
        <v/>
      </c>
      <c r="E190" s="32" t="str">
        <f aca="false">IF(ISNUMBER(A190),_xlfn.MINIFS($G$70:$G$160,$L$70:$L$160,A190),"")</f>
        <v/>
      </c>
      <c r="F190" s="39" t="str">
        <f aca="false">IF(ISNUMBER(A190),_xlfn.MINIFS($A$70:$A$160,$L$70:$L$160,A190,$G$70:$G$160,E190),"")</f>
        <v/>
      </c>
      <c r="G190" s="32" t="str">
        <f aca="false">IF(ISNUMBER(A190),_xlfn.MAXIFS($H$70:$H$160,$L$70:$L$160,A190),"")</f>
        <v/>
      </c>
      <c r="H190" s="39" t="str">
        <f aca="false">IF(ISNUMBER(A190),IF(C190=$B$7,"n.a.",C190+1),"")</f>
        <v/>
      </c>
      <c r="I190" s="3" t="str">
        <f aca="false">IF(ISNUMBER(A190),IF(C190=$B$7,TRUE(),FALSE()),"")</f>
        <v/>
      </c>
    </row>
    <row r="191" customFormat="false" ht="25.5" hidden="false" customHeight="true" outlineLevel="0" collapsed="false">
      <c r="A191" s="4" t="str">
        <f aca="false">IF(MAX($L$70:$L$160)&gt;=26,26,"")</f>
        <v/>
      </c>
      <c r="B191" s="38" t="str">
        <f aca="false">IF(ISNUMBER(A191),_xlfn.MINIFS($A$70:$A$160,$L$70:$L$160,A191),"")</f>
        <v/>
      </c>
      <c r="C191" s="38" t="str">
        <f aca="false">IF(ISNUMBER(A191),_xlfn.MAXIFS($A$70:$A$160,$L$70:$L$160,A191),"")</f>
        <v/>
      </c>
      <c r="D191" s="4" t="str">
        <f aca="false">IF(ISNUMBER(A191),COUNTIF($L$70:$L$160,A191),"")</f>
        <v/>
      </c>
      <c r="E191" s="33" t="str">
        <f aca="false">IF(ISNUMBER(A191),_xlfn.MINIFS($G$70:$G$160,$L$70:$L$160,A191),"")</f>
        <v/>
      </c>
      <c r="F191" s="38" t="str">
        <f aca="false">IF(ISNUMBER(A191),_xlfn.MINIFS($A$70:$A$160,$L$70:$L$160,A191,$G$70:$G$160,E191),"")</f>
        <v/>
      </c>
      <c r="G191" s="33" t="str">
        <f aca="false">IF(ISNUMBER(A191),_xlfn.MAXIFS($H$70:$H$160,$L$70:$L$160,A191),"")</f>
        <v/>
      </c>
      <c r="H191" s="38" t="str">
        <f aca="false">IF(ISNUMBER(A191),IF(C191=$B$7,"n.a.",C191+1),"")</f>
        <v/>
      </c>
      <c r="I191" s="4" t="str">
        <f aca="false">IF(ISNUMBER(A191),IF(C191=$B$7,TRUE(),FALSE()),"")</f>
        <v/>
      </c>
    </row>
    <row r="192" customFormat="false" ht="25.5" hidden="false" customHeight="true" outlineLevel="0" collapsed="false">
      <c r="A192" s="3" t="str">
        <f aca="false">IF(MAX($L$70:$L$160)&gt;=27,27,"")</f>
        <v/>
      </c>
      <c r="B192" s="39" t="str">
        <f aca="false">IF(ISNUMBER(A192),_xlfn.MINIFS($A$70:$A$160,$L$70:$L$160,A192),"")</f>
        <v/>
      </c>
      <c r="C192" s="39" t="str">
        <f aca="false">IF(ISNUMBER(A192),_xlfn.MAXIFS($A$70:$A$160,$L$70:$L$160,A192),"")</f>
        <v/>
      </c>
      <c r="D192" s="3" t="str">
        <f aca="false">IF(ISNUMBER(A192),COUNTIF($L$70:$L$160,A192),"")</f>
        <v/>
      </c>
      <c r="E192" s="32" t="str">
        <f aca="false">IF(ISNUMBER(A192),_xlfn.MINIFS($G$70:$G$160,$L$70:$L$160,A192),"")</f>
        <v/>
      </c>
      <c r="F192" s="39" t="str">
        <f aca="false">IF(ISNUMBER(A192),_xlfn.MINIFS($A$70:$A$160,$L$70:$L$160,A192,$G$70:$G$160,E192),"")</f>
        <v/>
      </c>
      <c r="G192" s="32" t="str">
        <f aca="false">IF(ISNUMBER(A192),_xlfn.MAXIFS($H$70:$H$160,$L$70:$L$160,A192),"")</f>
        <v/>
      </c>
      <c r="H192" s="39" t="str">
        <f aca="false">IF(ISNUMBER(A192),IF(C192=$B$7,"n.a.",C192+1),"")</f>
        <v/>
      </c>
      <c r="I192" s="3" t="str">
        <f aca="false">IF(ISNUMBER(A192),IF(C192=$B$7,TRUE(),FALSE()),"")</f>
        <v/>
      </c>
    </row>
    <row r="193" customFormat="false" ht="25.5" hidden="false" customHeight="true" outlineLevel="0" collapsed="false">
      <c r="A193" s="4" t="str">
        <f aca="false">IF(MAX($L$70:$L$160)&gt;=28,28,"")</f>
        <v/>
      </c>
      <c r="B193" s="38" t="str">
        <f aca="false">IF(ISNUMBER(A193),_xlfn.MINIFS($A$70:$A$160,$L$70:$L$160,A193),"")</f>
        <v/>
      </c>
      <c r="C193" s="38" t="str">
        <f aca="false">IF(ISNUMBER(A193),_xlfn.MAXIFS($A$70:$A$160,$L$70:$L$160,A193),"")</f>
        <v/>
      </c>
      <c r="D193" s="4" t="str">
        <f aca="false">IF(ISNUMBER(A193),COUNTIF($L$70:$L$160,A193),"")</f>
        <v/>
      </c>
      <c r="E193" s="33" t="str">
        <f aca="false">IF(ISNUMBER(A193),_xlfn.MINIFS($G$70:$G$160,$L$70:$L$160,A193),"")</f>
        <v/>
      </c>
      <c r="F193" s="38" t="str">
        <f aca="false">IF(ISNUMBER(A193),_xlfn.MINIFS($A$70:$A$160,$L$70:$L$160,A193,$G$70:$G$160,E193),"")</f>
        <v/>
      </c>
      <c r="G193" s="33" t="str">
        <f aca="false">IF(ISNUMBER(A193),_xlfn.MAXIFS($H$70:$H$160,$L$70:$L$160,A193),"")</f>
        <v/>
      </c>
      <c r="H193" s="38" t="str">
        <f aca="false">IF(ISNUMBER(A193),IF(C193=$B$7,"n.a.",C193+1),"")</f>
        <v/>
      </c>
      <c r="I193" s="4" t="str">
        <f aca="false">IF(ISNUMBER(A193),IF(C193=$B$7,TRUE(),FALSE()),"")</f>
        <v/>
      </c>
    </row>
    <row r="194" customFormat="false" ht="25.5" hidden="false" customHeight="true" outlineLevel="0" collapsed="false">
      <c r="A194" s="3" t="str">
        <f aca="false">IF(MAX($L$70:$L$160)&gt;=29,29,"")</f>
        <v/>
      </c>
      <c r="B194" s="39" t="str">
        <f aca="false">IF(ISNUMBER(A194),_xlfn.MINIFS($A$70:$A$160,$L$70:$L$160,A194),"")</f>
        <v/>
      </c>
      <c r="C194" s="39" t="str">
        <f aca="false">IF(ISNUMBER(A194),_xlfn.MAXIFS($A$70:$A$160,$L$70:$L$160,A194),"")</f>
        <v/>
      </c>
      <c r="D194" s="3" t="str">
        <f aca="false">IF(ISNUMBER(A194),COUNTIF($L$70:$L$160,A194),"")</f>
        <v/>
      </c>
      <c r="E194" s="32" t="str">
        <f aca="false">IF(ISNUMBER(A194),_xlfn.MINIFS($G$70:$G$160,$L$70:$L$160,A194),"")</f>
        <v/>
      </c>
      <c r="F194" s="39" t="str">
        <f aca="false">IF(ISNUMBER(A194),_xlfn.MINIFS($A$70:$A$160,$L$70:$L$160,A194,$G$70:$G$160,E194),"")</f>
        <v/>
      </c>
      <c r="G194" s="32" t="str">
        <f aca="false">IF(ISNUMBER(A194),_xlfn.MAXIFS($H$70:$H$160,$L$70:$L$160,A194),"")</f>
        <v/>
      </c>
      <c r="H194" s="39" t="str">
        <f aca="false">IF(ISNUMBER(A194),IF(C194=$B$7,"n.a.",C194+1),"")</f>
        <v/>
      </c>
      <c r="I194" s="3" t="str">
        <f aca="false">IF(ISNUMBER(A194),IF(C194=$B$7,TRUE(),FALSE()),"")</f>
        <v/>
      </c>
    </row>
    <row r="195" customFormat="false" ht="25.5" hidden="false" customHeight="true" outlineLevel="0" collapsed="false">
      <c r="A195" s="4" t="str">
        <f aca="false">IF(MAX($L$70:$L$160)&gt;=30,30,"")</f>
        <v/>
      </c>
      <c r="B195" s="38" t="str">
        <f aca="false">IF(ISNUMBER(A195),_xlfn.MINIFS($A$70:$A$160,$L$70:$L$160,A195),"")</f>
        <v/>
      </c>
      <c r="C195" s="38" t="str">
        <f aca="false">IF(ISNUMBER(A195),_xlfn.MAXIFS($A$70:$A$160,$L$70:$L$160,A195),"")</f>
        <v/>
      </c>
      <c r="D195" s="4" t="str">
        <f aca="false">IF(ISNUMBER(A195),COUNTIF($L$70:$L$160,A195),"")</f>
        <v/>
      </c>
      <c r="E195" s="33" t="str">
        <f aca="false">IF(ISNUMBER(A195),_xlfn.MINIFS($G$70:$G$160,$L$70:$L$160,A195),"")</f>
        <v/>
      </c>
      <c r="F195" s="38" t="str">
        <f aca="false">IF(ISNUMBER(A195),_xlfn.MINIFS($A$70:$A$160,$L$70:$L$160,A195,$G$70:$G$160,E195),"")</f>
        <v/>
      </c>
      <c r="G195" s="33" t="str">
        <f aca="false">IF(ISNUMBER(A195),_xlfn.MAXIFS($H$70:$H$160,$L$70:$L$160,A195),"")</f>
        <v/>
      </c>
      <c r="H195" s="38" t="str">
        <f aca="false">IF(ISNUMBER(A195),IF(C195=$B$7,"n.a.",C195+1),"")</f>
        <v/>
      </c>
      <c r="I195" s="4" t="str">
        <f aca="false">IF(ISNUMBER(A195),IF(C195=$B$7,TRUE(),FALSE()),"")</f>
        <v/>
      </c>
    </row>
    <row r="196" customFormat="false" ht="25.5" hidden="false" customHeight="true" outlineLevel="0" collapsed="false">
      <c r="A196" s="3" t="str">
        <f aca="false">IF(MAX($L$70:$L$160)&gt;=31,31,"")</f>
        <v/>
      </c>
      <c r="B196" s="39" t="str">
        <f aca="false">IF(ISNUMBER(A196),_xlfn.MINIFS($A$70:$A$160,$L$70:$L$160,A196),"")</f>
        <v/>
      </c>
      <c r="C196" s="39" t="str">
        <f aca="false">IF(ISNUMBER(A196),_xlfn.MAXIFS($A$70:$A$160,$L$70:$L$160,A196),"")</f>
        <v/>
      </c>
      <c r="D196" s="3" t="str">
        <f aca="false">IF(ISNUMBER(A196),COUNTIF($L$70:$L$160,A196),"")</f>
        <v/>
      </c>
      <c r="E196" s="32" t="str">
        <f aca="false">IF(ISNUMBER(A196),_xlfn.MINIFS($G$70:$G$160,$L$70:$L$160,A196),"")</f>
        <v/>
      </c>
      <c r="F196" s="39" t="str">
        <f aca="false">IF(ISNUMBER(A196),_xlfn.MINIFS($A$70:$A$160,$L$70:$L$160,A196,$G$70:$G$160,E196),"")</f>
        <v/>
      </c>
      <c r="G196" s="32" t="str">
        <f aca="false">IF(ISNUMBER(A196),_xlfn.MAXIFS($H$70:$H$160,$L$70:$L$160,A196),"")</f>
        <v/>
      </c>
      <c r="H196" s="39" t="str">
        <f aca="false">IF(ISNUMBER(A196),IF(C196=$B$7,"n.a.",C196+1),"")</f>
        <v/>
      </c>
      <c r="I196" s="3" t="str">
        <f aca="false">IF(ISNUMBER(A196),IF(C196=$B$7,TRUE(),FALSE()),"")</f>
        <v/>
      </c>
    </row>
    <row r="197" customFormat="false" ht="25.5" hidden="false" customHeight="true" outlineLevel="0" collapsed="false">
      <c r="A197" s="4" t="str">
        <f aca="false">IF(MAX($L$70:$L$160)&gt;=32,32,"")</f>
        <v/>
      </c>
      <c r="B197" s="38" t="str">
        <f aca="false">IF(ISNUMBER(A197),_xlfn.MINIFS($A$70:$A$160,$L$70:$L$160,A197),"")</f>
        <v/>
      </c>
      <c r="C197" s="38" t="str">
        <f aca="false">IF(ISNUMBER(A197),_xlfn.MAXIFS($A$70:$A$160,$L$70:$L$160,A197),"")</f>
        <v/>
      </c>
      <c r="D197" s="4" t="str">
        <f aca="false">IF(ISNUMBER(A197),COUNTIF($L$70:$L$160,A197),"")</f>
        <v/>
      </c>
      <c r="E197" s="33" t="str">
        <f aca="false">IF(ISNUMBER(A197),_xlfn.MINIFS($G$70:$G$160,$L$70:$L$160,A197),"")</f>
        <v/>
      </c>
      <c r="F197" s="38" t="str">
        <f aca="false">IF(ISNUMBER(A197),_xlfn.MINIFS($A$70:$A$160,$L$70:$L$160,A197,$G$70:$G$160,E197),"")</f>
        <v/>
      </c>
      <c r="G197" s="33" t="str">
        <f aca="false">IF(ISNUMBER(A197),_xlfn.MAXIFS($H$70:$H$160,$L$70:$L$160,A197),"")</f>
        <v/>
      </c>
      <c r="H197" s="38" t="str">
        <f aca="false">IF(ISNUMBER(A197),IF(C197=$B$7,"n.a.",C197+1),"")</f>
        <v/>
      </c>
      <c r="I197" s="4" t="str">
        <f aca="false">IF(ISNUMBER(A197),IF(C197=$B$7,TRUE(),FALSE()),"")</f>
        <v/>
      </c>
    </row>
    <row r="198" customFormat="false" ht="25.5" hidden="false" customHeight="true" outlineLevel="0" collapsed="false">
      <c r="A198" s="3" t="str">
        <f aca="false">IF(MAX($L$70:$L$160)&gt;=33,33,"")</f>
        <v/>
      </c>
      <c r="B198" s="39" t="str">
        <f aca="false">IF(ISNUMBER(A198),_xlfn.MINIFS($A$70:$A$160,$L$70:$L$160,A198),"")</f>
        <v/>
      </c>
      <c r="C198" s="39" t="str">
        <f aca="false">IF(ISNUMBER(A198),_xlfn.MAXIFS($A$70:$A$160,$L$70:$L$160,A198),"")</f>
        <v/>
      </c>
      <c r="D198" s="3" t="str">
        <f aca="false">IF(ISNUMBER(A198),COUNTIF($L$70:$L$160,A198),"")</f>
        <v/>
      </c>
      <c r="E198" s="32" t="str">
        <f aca="false">IF(ISNUMBER(A198),_xlfn.MINIFS($G$70:$G$160,$L$70:$L$160,A198),"")</f>
        <v/>
      </c>
      <c r="F198" s="39" t="str">
        <f aca="false">IF(ISNUMBER(A198),_xlfn.MINIFS($A$70:$A$160,$L$70:$L$160,A198,$G$70:$G$160,E198),"")</f>
        <v/>
      </c>
      <c r="G198" s="32" t="str">
        <f aca="false">IF(ISNUMBER(A198),_xlfn.MAXIFS($H$70:$H$160,$L$70:$L$160,A198),"")</f>
        <v/>
      </c>
      <c r="H198" s="39" t="str">
        <f aca="false">IF(ISNUMBER(A198),IF(C198=$B$7,"n.a.",C198+1),"")</f>
        <v/>
      </c>
      <c r="I198" s="3" t="str">
        <f aca="false">IF(ISNUMBER(A198),IF(C198=$B$7,TRUE(),FALSE()),"")</f>
        <v/>
      </c>
    </row>
    <row r="199" customFormat="false" ht="25.5" hidden="false" customHeight="true" outlineLevel="0" collapsed="false">
      <c r="A199" s="4" t="str">
        <f aca="false">IF(MAX($L$70:$L$160)&gt;=34,34,"")</f>
        <v/>
      </c>
      <c r="B199" s="38" t="str">
        <f aca="false">IF(ISNUMBER(A199),_xlfn.MINIFS($A$70:$A$160,$L$70:$L$160,A199),"")</f>
        <v/>
      </c>
      <c r="C199" s="38" t="str">
        <f aca="false">IF(ISNUMBER(A199),_xlfn.MAXIFS($A$70:$A$160,$L$70:$L$160,A199),"")</f>
        <v/>
      </c>
      <c r="D199" s="4" t="str">
        <f aca="false">IF(ISNUMBER(A199),COUNTIF($L$70:$L$160,A199),"")</f>
        <v/>
      </c>
      <c r="E199" s="33" t="str">
        <f aca="false">IF(ISNUMBER(A199),_xlfn.MINIFS($G$70:$G$160,$L$70:$L$160,A199),"")</f>
        <v/>
      </c>
      <c r="F199" s="38" t="str">
        <f aca="false">IF(ISNUMBER(A199),_xlfn.MINIFS($A$70:$A$160,$L$70:$L$160,A199,$G$70:$G$160,E199),"")</f>
        <v/>
      </c>
      <c r="G199" s="33" t="str">
        <f aca="false">IF(ISNUMBER(A199),_xlfn.MAXIFS($H$70:$H$160,$L$70:$L$160,A199),"")</f>
        <v/>
      </c>
      <c r="H199" s="38" t="str">
        <f aca="false">IF(ISNUMBER(A199),IF(C199=$B$7,"n.a.",C199+1),"")</f>
        <v/>
      </c>
      <c r="I199" s="4" t="str">
        <f aca="false">IF(ISNUMBER(A199),IF(C199=$B$7,TRUE(),FALSE()),"")</f>
        <v/>
      </c>
    </row>
    <row r="200" customFormat="false" ht="25.5" hidden="false" customHeight="true" outlineLevel="0" collapsed="false">
      <c r="A200" s="3" t="str">
        <f aca="false">IF(MAX($L$70:$L$160)&gt;=35,35,"")</f>
        <v/>
      </c>
      <c r="B200" s="39" t="str">
        <f aca="false">IF(ISNUMBER(A200),_xlfn.MINIFS($A$70:$A$160,$L$70:$L$160,A200),"")</f>
        <v/>
      </c>
      <c r="C200" s="39" t="str">
        <f aca="false">IF(ISNUMBER(A200),_xlfn.MAXIFS($A$70:$A$160,$L$70:$L$160,A200),"")</f>
        <v/>
      </c>
      <c r="D200" s="3" t="str">
        <f aca="false">IF(ISNUMBER(A200),COUNTIF($L$70:$L$160,A200),"")</f>
        <v/>
      </c>
      <c r="E200" s="32" t="str">
        <f aca="false">IF(ISNUMBER(A200),_xlfn.MINIFS($G$70:$G$160,$L$70:$L$160,A200),"")</f>
        <v/>
      </c>
      <c r="F200" s="39" t="str">
        <f aca="false">IF(ISNUMBER(A200),_xlfn.MINIFS($A$70:$A$160,$L$70:$L$160,A200,$G$70:$G$160,E200),"")</f>
        <v/>
      </c>
      <c r="G200" s="32" t="str">
        <f aca="false">IF(ISNUMBER(A200),_xlfn.MAXIFS($H$70:$H$160,$L$70:$L$160,A200),"")</f>
        <v/>
      </c>
      <c r="H200" s="39" t="str">
        <f aca="false">IF(ISNUMBER(A200),IF(C200=$B$7,"n.a.",C200+1),"")</f>
        <v/>
      </c>
      <c r="I200" s="3" t="str">
        <f aca="false">IF(ISNUMBER(A200),IF(C200=$B$7,TRUE(),FALSE()),"")</f>
        <v/>
      </c>
    </row>
    <row r="201" customFormat="false" ht="25.5" hidden="false" customHeight="true" outlineLevel="0" collapsed="false">
      <c r="A201" s="4" t="str">
        <f aca="false">IF(MAX($L$70:$L$160)&gt;=36,36,"")</f>
        <v/>
      </c>
      <c r="B201" s="38" t="str">
        <f aca="false">IF(ISNUMBER(A201),_xlfn.MINIFS($A$70:$A$160,$L$70:$L$160,A201),"")</f>
        <v/>
      </c>
      <c r="C201" s="38" t="str">
        <f aca="false">IF(ISNUMBER(A201),_xlfn.MAXIFS($A$70:$A$160,$L$70:$L$160,A201),"")</f>
        <v/>
      </c>
      <c r="D201" s="4" t="str">
        <f aca="false">IF(ISNUMBER(A201),COUNTIF($L$70:$L$160,A201),"")</f>
        <v/>
      </c>
      <c r="E201" s="33" t="str">
        <f aca="false">IF(ISNUMBER(A201),_xlfn.MINIFS($G$70:$G$160,$L$70:$L$160,A201),"")</f>
        <v/>
      </c>
      <c r="F201" s="38" t="str">
        <f aca="false">IF(ISNUMBER(A201),_xlfn.MINIFS($A$70:$A$160,$L$70:$L$160,A201,$G$70:$G$160,E201),"")</f>
        <v/>
      </c>
      <c r="G201" s="33" t="str">
        <f aca="false">IF(ISNUMBER(A201),_xlfn.MAXIFS($H$70:$H$160,$L$70:$L$160,A201),"")</f>
        <v/>
      </c>
      <c r="H201" s="38" t="str">
        <f aca="false">IF(ISNUMBER(A201),IF(C201=$B$7,"n.a.",C201+1),"")</f>
        <v/>
      </c>
      <c r="I201" s="4" t="str">
        <f aca="false">IF(ISNUMBER(A201),IF(C201=$B$7,TRUE(),FALSE()),"")</f>
        <v/>
      </c>
    </row>
    <row r="202" customFormat="false" ht="25.5" hidden="false" customHeight="true" outlineLevel="0" collapsed="false">
      <c r="A202" s="3" t="str">
        <f aca="false">IF(MAX($L$70:$L$160)&gt;=37,37,"")</f>
        <v/>
      </c>
      <c r="B202" s="39" t="str">
        <f aca="false">IF(ISNUMBER(A202),_xlfn.MINIFS($A$70:$A$160,$L$70:$L$160,A202),"")</f>
        <v/>
      </c>
      <c r="C202" s="39" t="str">
        <f aca="false">IF(ISNUMBER(A202),_xlfn.MAXIFS($A$70:$A$160,$L$70:$L$160,A202),"")</f>
        <v/>
      </c>
      <c r="D202" s="3" t="str">
        <f aca="false">IF(ISNUMBER(A202),COUNTIF($L$70:$L$160,A202),"")</f>
        <v/>
      </c>
      <c r="E202" s="32" t="str">
        <f aca="false">IF(ISNUMBER(A202),_xlfn.MINIFS($G$70:$G$160,$L$70:$L$160,A202),"")</f>
        <v/>
      </c>
      <c r="F202" s="39" t="str">
        <f aca="false">IF(ISNUMBER(A202),_xlfn.MINIFS($A$70:$A$160,$L$70:$L$160,A202,$G$70:$G$160,E202),"")</f>
        <v/>
      </c>
      <c r="G202" s="32" t="str">
        <f aca="false">IF(ISNUMBER(A202),_xlfn.MAXIFS($H$70:$H$160,$L$70:$L$160,A202),"")</f>
        <v/>
      </c>
      <c r="H202" s="39" t="str">
        <f aca="false">IF(ISNUMBER(A202),IF(C202=$B$7,"n.a.",C202+1),"")</f>
        <v/>
      </c>
      <c r="I202" s="3" t="str">
        <f aca="false">IF(ISNUMBER(A202),IF(C202=$B$7,TRUE(),FALSE()),"")</f>
        <v/>
      </c>
    </row>
    <row r="203" customFormat="false" ht="25.5" hidden="false" customHeight="true" outlineLevel="0" collapsed="false">
      <c r="A203" s="4" t="str">
        <f aca="false">IF(MAX($L$70:$L$160)&gt;=38,38,"")</f>
        <v/>
      </c>
      <c r="B203" s="38" t="str">
        <f aca="false">IF(ISNUMBER(A203),_xlfn.MINIFS($A$70:$A$160,$L$70:$L$160,A203),"")</f>
        <v/>
      </c>
      <c r="C203" s="38" t="str">
        <f aca="false">IF(ISNUMBER(A203),_xlfn.MAXIFS($A$70:$A$160,$L$70:$L$160,A203),"")</f>
        <v/>
      </c>
      <c r="D203" s="4" t="str">
        <f aca="false">IF(ISNUMBER(A203),COUNTIF($L$70:$L$160,A203),"")</f>
        <v/>
      </c>
      <c r="E203" s="33" t="str">
        <f aca="false">IF(ISNUMBER(A203),_xlfn.MINIFS($G$70:$G$160,$L$70:$L$160,A203),"")</f>
        <v/>
      </c>
      <c r="F203" s="38" t="str">
        <f aca="false">IF(ISNUMBER(A203),_xlfn.MINIFS($A$70:$A$160,$L$70:$L$160,A203,$G$70:$G$160,E203),"")</f>
        <v/>
      </c>
      <c r="G203" s="33" t="str">
        <f aca="false">IF(ISNUMBER(A203),_xlfn.MAXIFS($H$70:$H$160,$L$70:$L$160,A203),"")</f>
        <v/>
      </c>
      <c r="H203" s="38" t="str">
        <f aca="false">IF(ISNUMBER(A203),IF(C203=$B$7,"n.a.",C203+1),"")</f>
        <v/>
      </c>
      <c r="I203" s="4" t="str">
        <f aca="false">IF(ISNUMBER(A203),IF(C203=$B$7,TRUE(),FALSE()),"")</f>
        <v/>
      </c>
    </row>
    <row r="204" customFormat="false" ht="25.5" hidden="false" customHeight="true" outlineLevel="0" collapsed="false">
      <c r="A204" s="3" t="str">
        <f aca="false">IF(MAX($L$70:$L$160)&gt;=39,39,"")</f>
        <v/>
      </c>
      <c r="B204" s="39" t="str">
        <f aca="false">IF(ISNUMBER(A204),_xlfn.MINIFS($A$70:$A$160,$L$70:$L$160,A204),"")</f>
        <v/>
      </c>
      <c r="C204" s="39" t="str">
        <f aca="false">IF(ISNUMBER(A204),_xlfn.MAXIFS($A$70:$A$160,$L$70:$L$160,A204),"")</f>
        <v/>
      </c>
      <c r="D204" s="3" t="str">
        <f aca="false">IF(ISNUMBER(A204),COUNTIF($L$70:$L$160,A204),"")</f>
        <v/>
      </c>
      <c r="E204" s="32" t="str">
        <f aca="false">IF(ISNUMBER(A204),_xlfn.MINIFS($G$70:$G$160,$L$70:$L$160,A204),"")</f>
        <v/>
      </c>
      <c r="F204" s="39" t="str">
        <f aca="false">IF(ISNUMBER(A204),_xlfn.MINIFS($A$70:$A$160,$L$70:$L$160,A204,$G$70:$G$160,E204),"")</f>
        <v/>
      </c>
      <c r="G204" s="32" t="str">
        <f aca="false">IF(ISNUMBER(A204),_xlfn.MAXIFS($H$70:$H$160,$L$70:$L$160,A204),"")</f>
        <v/>
      </c>
      <c r="H204" s="39" t="str">
        <f aca="false">IF(ISNUMBER(A204),IF(C204=$B$7,"n.a.",C204+1),"")</f>
        <v/>
      </c>
      <c r="I204" s="3" t="str">
        <f aca="false">IF(ISNUMBER(A204),IF(C204=$B$7,TRUE(),FALSE()),"")</f>
        <v/>
      </c>
    </row>
    <row r="205" customFormat="false" ht="25.5" hidden="false" customHeight="true" outlineLevel="0" collapsed="false">
      <c r="A205" s="4" t="str">
        <f aca="false">IF(MAX($L$70:$L$160)&gt;=40,40,"")</f>
        <v/>
      </c>
      <c r="B205" s="38" t="str">
        <f aca="false">IF(ISNUMBER(A205),_xlfn.MINIFS($A$70:$A$160,$L$70:$L$160,A205),"")</f>
        <v/>
      </c>
      <c r="C205" s="38" t="str">
        <f aca="false">IF(ISNUMBER(A205),_xlfn.MAXIFS($A$70:$A$160,$L$70:$L$160,A205),"")</f>
        <v/>
      </c>
      <c r="D205" s="4" t="str">
        <f aca="false">IF(ISNUMBER(A205),COUNTIF($L$70:$L$160,A205),"")</f>
        <v/>
      </c>
      <c r="E205" s="33" t="str">
        <f aca="false">IF(ISNUMBER(A205),_xlfn.MINIFS($G$70:$G$160,$L$70:$L$160,A205),"")</f>
        <v/>
      </c>
      <c r="F205" s="38" t="str">
        <f aca="false">IF(ISNUMBER(A205),_xlfn.MINIFS($A$70:$A$160,$L$70:$L$160,A205,$G$70:$G$160,E205),"")</f>
        <v/>
      </c>
      <c r="G205" s="33" t="str">
        <f aca="false">IF(ISNUMBER(A205),_xlfn.MAXIFS($H$70:$H$160,$L$70:$L$160,A205),"")</f>
        <v/>
      </c>
      <c r="H205" s="38" t="str">
        <f aca="false">IF(ISNUMBER(A205),IF(C205=$B$7,"n.a.",C205+1),"")</f>
        <v/>
      </c>
      <c r="I205" s="4" t="str">
        <f aca="false">IF(ISNUMBER(A205),IF(C205=$B$7,TRUE(),FALSE()),"")</f>
        <v/>
      </c>
    </row>
    <row r="206" customFormat="false" ht="25.5" hidden="false" customHeight="true" outlineLevel="0" collapsed="false">
      <c r="A206" s="3" t="str">
        <f aca="false">IF(MAX($L$70:$L$160)&gt;=41,41,"")</f>
        <v/>
      </c>
      <c r="B206" s="39" t="str">
        <f aca="false">IF(ISNUMBER(A206),_xlfn.MINIFS($A$70:$A$160,$L$70:$L$160,A206),"")</f>
        <v/>
      </c>
      <c r="C206" s="39" t="str">
        <f aca="false">IF(ISNUMBER(A206),_xlfn.MAXIFS($A$70:$A$160,$L$70:$L$160,A206),"")</f>
        <v/>
      </c>
      <c r="D206" s="3" t="str">
        <f aca="false">IF(ISNUMBER(A206),COUNTIF($L$70:$L$160,A206),"")</f>
        <v/>
      </c>
      <c r="E206" s="32" t="str">
        <f aca="false">IF(ISNUMBER(A206),_xlfn.MINIFS($G$70:$G$160,$L$70:$L$160,A206),"")</f>
        <v/>
      </c>
      <c r="F206" s="39" t="str">
        <f aca="false">IF(ISNUMBER(A206),_xlfn.MINIFS($A$70:$A$160,$L$70:$L$160,A206,$G$70:$G$160,E206),"")</f>
        <v/>
      </c>
      <c r="G206" s="32" t="str">
        <f aca="false">IF(ISNUMBER(A206),_xlfn.MAXIFS($H$70:$H$160,$L$70:$L$160,A206),"")</f>
        <v/>
      </c>
      <c r="H206" s="39" t="str">
        <f aca="false">IF(ISNUMBER(A206),IF(C206=$B$7,"n.a.",C206+1),"")</f>
        <v/>
      </c>
      <c r="I206" s="3" t="str">
        <f aca="false">IF(ISNUMBER(A206),IF(C206=$B$7,TRUE(),FALSE()),"")</f>
        <v/>
      </c>
    </row>
    <row r="207" customFormat="false" ht="25.5" hidden="false" customHeight="true" outlineLevel="0" collapsed="false">
      <c r="A207" s="4" t="str">
        <f aca="false">IF(MAX($L$70:$L$160)&gt;=42,42,"")</f>
        <v/>
      </c>
      <c r="B207" s="38" t="str">
        <f aca="false">IF(ISNUMBER(A207),_xlfn.MINIFS($A$70:$A$160,$L$70:$L$160,A207),"")</f>
        <v/>
      </c>
      <c r="C207" s="38" t="str">
        <f aca="false">IF(ISNUMBER(A207),_xlfn.MAXIFS($A$70:$A$160,$L$70:$L$160,A207),"")</f>
        <v/>
      </c>
      <c r="D207" s="4" t="str">
        <f aca="false">IF(ISNUMBER(A207),COUNTIF($L$70:$L$160,A207),"")</f>
        <v/>
      </c>
      <c r="E207" s="33" t="str">
        <f aca="false">IF(ISNUMBER(A207),_xlfn.MINIFS($G$70:$G$160,$L$70:$L$160,A207),"")</f>
        <v/>
      </c>
      <c r="F207" s="38" t="str">
        <f aca="false">IF(ISNUMBER(A207),_xlfn.MINIFS($A$70:$A$160,$L$70:$L$160,A207,$G$70:$G$160,E207),"")</f>
        <v/>
      </c>
      <c r="G207" s="33" t="str">
        <f aca="false">IF(ISNUMBER(A207),_xlfn.MAXIFS($H$70:$H$160,$L$70:$L$160,A207),"")</f>
        <v/>
      </c>
      <c r="H207" s="38" t="str">
        <f aca="false">IF(ISNUMBER(A207),IF(C207=$B$7,"n.a.",C207+1),"")</f>
        <v/>
      </c>
      <c r="I207" s="4" t="str">
        <f aca="false">IF(ISNUMBER(A207),IF(C207=$B$7,TRUE(),FALSE()),"")</f>
        <v/>
      </c>
    </row>
    <row r="208" customFormat="false" ht="25.5" hidden="false" customHeight="true" outlineLevel="0" collapsed="false">
      <c r="A208" s="3" t="str">
        <f aca="false">IF(MAX($L$70:$L$160)&gt;=43,43,"")</f>
        <v/>
      </c>
      <c r="B208" s="39" t="str">
        <f aca="false">IF(ISNUMBER(A208),_xlfn.MINIFS($A$70:$A$160,$L$70:$L$160,A208),"")</f>
        <v/>
      </c>
      <c r="C208" s="39" t="str">
        <f aca="false">IF(ISNUMBER(A208),_xlfn.MAXIFS($A$70:$A$160,$L$70:$L$160,A208),"")</f>
        <v/>
      </c>
      <c r="D208" s="3" t="str">
        <f aca="false">IF(ISNUMBER(A208),COUNTIF($L$70:$L$160,A208),"")</f>
        <v/>
      </c>
      <c r="E208" s="32" t="str">
        <f aca="false">IF(ISNUMBER(A208),_xlfn.MINIFS($G$70:$G$160,$L$70:$L$160,A208),"")</f>
        <v/>
      </c>
      <c r="F208" s="39" t="str">
        <f aca="false">IF(ISNUMBER(A208),_xlfn.MINIFS($A$70:$A$160,$L$70:$L$160,A208,$G$70:$G$160,E208),"")</f>
        <v/>
      </c>
      <c r="G208" s="32" t="str">
        <f aca="false">IF(ISNUMBER(A208),_xlfn.MAXIFS($H$70:$H$160,$L$70:$L$160,A208),"")</f>
        <v/>
      </c>
      <c r="H208" s="39" t="str">
        <f aca="false">IF(ISNUMBER(A208),IF(C208=$B$7,"n.a.",C208+1),"")</f>
        <v/>
      </c>
      <c r="I208" s="3" t="str">
        <f aca="false">IF(ISNUMBER(A208),IF(C208=$B$7,TRUE(),FALSE()),"")</f>
        <v/>
      </c>
    </row>
    <row r="209" customFormat="false" ht="25.5" hidden="false" customHeight="true" outlineLevel="0" collapsed="false">
      <c r="A209" s="4" t="str">
        <f aca="false">IF(MAX($L$70:$L$160)&gt;=44,44,"")</f>
        <v/>
      </c>
      <c r="B209" s="38" t="str">
        <f aca="false">IF(ISNUMBER(A209),_xlfn.MINIFS($A$70:$A$160,$L$70:$L$160,A209),"")</f>
        <v/>
      </c>
      <c r="C209" s="38" t="str">
        <f aca="false">IF(ISNUMBER(A209),_xlfn.MAXIFS($A$70:$A$160,$L$70:$L$160,A209),"")</f>
        <v/>
      </c>
      <c r="D209" s="4" t="str">
        <f aca="false">IF(ISNUMBER(A209),COUNTIF($L$70:$L$160,A209),"")</f>
        <v/>
      </c>
      <c r="E209" s="33" t="str">
        <f aca="false">IF(ISNUMBER(A209),_xlfn.MINIFS($G$70:$G$160,$L$70:$L$160,A209),"")</f>
        <v/>
      </c>
      <c r="F209" s="38" t="str">
        <f aca="false">IF(ISNUMBER(A209),_xlfn.MINIFS($A$70:$A$160,$L$70:$L$160,A209,$G$70:$G$160,E209),"")</f>
        <v/>
      </c>
      <c r="G209" s="33" t="str">
        <f aca="false">IF(ISNUMBER(A209),_xlfn.MAXIFS($H$70:$H$160,$L$70:$L$160,A209),"")</f>
        <v/>
      </c>
      <c r="H209" s="38" t="str">
        <f aca="false">IF(ISNUMBER(A209),IF(C209=$B$7,"n.a.",C209+1),"")</f>
        <v/>
      </c>
      <c r="I209" s="4" t="str">
        <f aca="false">IF(ISNUMBER(A209),IF(C209=$B$7,TRUE(),FALSE()),"")</f>
        <v/>
      </c>
    </row>
    <row r="210" customFormat="false" ht="25.5" hidden="false" customHeight="true" outlineLevel="0" collapsed="false">
      <c r="A210" s="3" t="str">
        <f aca="false">IF(MAX($L$70:$L$160)&gt;=45,45,"")</f>
        <v/>
      </c>
      <c r="B210" s="39" t="str">
        <f aca="false">IF(ISNUMBER(A210),_xlfn.MINIFS($A$70:$A$160,$L$70:$L$160,A210),"")</f>
        <v/>
      </c>
      <c r="C210" s="39" t="str">
        <f aca="false">IF(ISNUMBER(A210),_xlfn.MAXIFS($A$70:$A$160,$L$70:$L$160,A210),"")</f>
        <v/>
      </c>
      <c r="D210" s="3" t="str">
        <f aca="false">IF(ISNUMBER(A210),COUNTIF($L$70:$L$160,A210),"")</f>
        <v/>
      </c>
      <c r="E210" s="32" t="str">
        <f aca="false">IF(ISNUMBER(A210),_xlfn.MINIFS($G$70:$G$160,$L$70:$L$160,A210),"")</f>
        <v/>
      </c>
      <c r="F210" s="39" t="str">
        <f aca="false">IF(ISNUMBER(A210),_xlfn.MINIFS($A$70:$A$160,$L$70:$L$160,A210,$G$70:$G$160,E210),"")</f>
        <v/>
      </c>
      <c r="G210" s="32" t="str">
        <f aca="false">IF(ISNUMBER(A210),_xlfn.MAXIFS($H$70:$H$160,$L$70:$L$160,A210),"")</f>
        <v/>
      </c>
      <c r="H210" s="39" t="str">
        <f aca="false">IF(ISNUMBER(A210),IF(C210=$B$7,"n.a.",C210+1),"")</f>
        <v/>
      </c>
      <c r="I210" s="3" t="str">
        <f aca="false">IF(ISNUMBER(A210),IF(C210=$B$7,TRUE(),FALSE()),"")</f>
        <v/>
      </c>
    </row>
    <row r="211" customFormat="false" ht="25.5" hidden="false" customHeight="true" outlineLevel="0" collapsed="false">
      <c r="A211" s="4" t="str">
        <f aca="false">IF(MAX($L$70:$L$160)&gt;=46,46,"")</f>
        <v/>
      </c>
      <c r="B211" s="38" t="str">
        <f aca="false">IF(ISNUMBER(A211),_xlfn.MINIFS($A$70:$A$160,$L$70:$L$160,A211),"")</f>
        <v/>
      </c>
      <c r="C211" s="38" t="str">
        <f aca="false">IF(ISNUMBER(A211),_xlfn.MAXIFS($A$70:$A$160,$L$70:$L$160,A211),"")</f>
        <v/>
      </c>
      <c r="D211" s="4" t="str">
        <f aca="false">IF(ISNUMBER(A211),COUNTIF($L$70:$L$160,A211),"")</f>
        <v/>
      </c>
      <c r="E211" s="33" t="str">
        <f aca="false">IF(ISNUMBER(A211),_xlfn.MINIFS($G$70:$G$160,$L$70:$L$160,A211),"")</f>
        <v/>
      </c>
      <c r="F211" s="38" t="str">
        <f aca="false">IF(ISNUMBER(A211),_xlfn.MINIFS($A$70:$A$160,$L$70:$L$160,A211,$G$70:$G$160,E211),"")</f>
        <v/>
      </c>
      <c r="G211" s="33" t="str">
        <f aca="false">IF(ISNUMBER(A211),_xlfn.MAXIFS($H$70:$H$160,$L$70:$L$160,A211),"")</f>
        <v/>
      </c>
      <c r="H211" s="38" t="str">
        <f aca="false">IF(ISNUMBER(A211),IF(C211=$B$7,"n.a.",C211+1),"")</f>
        <v/>
      </c>
      <c r="I211" s="4" t="str">
        <f aca="false">IF(ISNUMBER(A211),IF(C211=$B$7,TRUE(),FALSE()),"")</f>
        <v/>
      </c>
    </row>
    <row r="219" customFormat="false" ht="33.75" hidden="false" customHeight="true" outlineLevel="0" collapsed="false">
      <c r="A219" s="2" t="s">
        <v>2106</v>
      </c>
      <c r="B219" s="2" t="s">
        <v>2107</v>
      </c>
      <c r="C219" s="2" t="s">
        <v>2108</v>
      </c>
      <c r="D219" s="2" t="s">
        <v>2109</v>
      </c>
      <c r="E219" s="2" t="s">
        <v>2110</v>
      </c>
      <c r="F219" s="2" t="s">
        <v>2111</v>
      </c>
      <c r="G219" s="2" t="s">
        <v>2112</v>
      </c>
      <c r="H219" s="2" t="s">
        <v>2113</v>
      </c>
      <c r="I219" s="2" t="s">
        <v>2114</v>
      </c>
      <c r="J219" s="2" t="s">
        <v>2115</v>
      </c>
      <c r="K219" s="2" t="s">
        <v>2116</v>
      </c>
      <c r="L219" s="2" t="s">
        <v>2117</v>
      </c>
      <c r="M219" s="2" t="s">
        <v>2118</v>
      </c>
      <c r="N219" s="2" t="s">
        <v>2119</v>
      </c>
      <c r="O219" s="2" t="s">
        <v>2120</v>
      </c>
      <c r="P219" s="2" t="s">
        <v>2121</v>
      </c>
      <c r="Q219" s="2" t="s">
        <v>2122</v>
      </c>
      <c r="R219" s="2" t="s">
        <v>2123</v>
      </c>
      <c r="S219" s="2" t="s">
        <v>2124</v>
      </c>
      <c r="T219" s="2" t="s">
        <v>2125</v>
      </c>
      <c r="U219" s="2" t="s">
        <v>2126</v>
      </c>
      <c r="V219" s="2" t="s">
        <v>2127</v>
      </c>
      <c r="W219" s="2" t="s">
        <v>2128</v>
      </c>
      <c r="X219" s="2" t="s">
        <v>2129</v>
      </c>
      <c r="Y219" s="2" t="s">
        <v>2130</v>
      </c>
    </row>
    <row r="220" customFormat="false" ht="25.5" hidden="false" customHeight="true" outlineLevel="0" collapsed="false">
      <c r="A220" s="3" t="s">
        <v>2131</v>
      </c>
      <c r="B220" s="3" t="s">
        <v>2132</v>
      </c>
      <c r="C220" s="3" t="s">
        <v>1984</v>
      </c>
      <c r="D220" s="3" t="s">
        <v>2133</v>
      </c>
      <c r="E220" s="32" t="n">
        <f aca="false">D_sales!N42</f>
        <v>82708587</v>
      </c>
      <c r="F220" s="39" t="n">
        <f aca="false">D_sales!H42</f>
        <v>46111</v>
      </c>
      <c r="G220" s="3" t="n">
        <f aca="false">D_sales!O42</f>
        <v>92</v>
      </c>
      <c r="H220" s="3" t="str">
        <f aca="false">C53</f>
        <v>firm</v>
      </c>
      <c r="I220" s="3" t="n">
        <f aca="false">IF(H220="default",0,IF(H220="customer",COUNTIFS(D_sales!$C$5:$C$121,C220,D_sales!$W$5:$W$121,1,D_sales!$U$5:$U$121,"&gt;="&amp;G220),COUNTIFS(D_sales!$W$5:$W$121,1,D_sales!$U$5:$U$121,"&gt;="&amp;G220)))</f>
        <v>1</v>
      </c>
      <c r="J220" s="39" t="n">
        <f aca="false">IF(ISNUMBER(M220),M220,MAX($B$6,F220+ROUNDUP(W220,0)))</f>
        <v>46206</v>
      </c>
      <c r="K220" s="39" t="n">
        <f aca="false">IF(ISNUMBER(M220),M220,MAX($B$6,F220+ROUNDUP(X220,0)))</f>
        <v>46213</v>
      </c>
      <c r="L220" s="39" t="n">
        <f aca="false">IF(ISNUMBER(M220),M220,MAX($B$6,F220+ROUNDUP(Y220,0)))</f>
        <v>46224</v>
      </c>
      <c r="M220" s="39"/>
      <c r="N220" s="39" t="n">
        <f aca="false">CHOOSE(D_F01!$B$19,K220,J220,L220,IF(ISNUMBER(M220),M220,K220+7),K220)</f>
        <v>46213</v>
      </c>
      <c r="O220" s="3" t="str">
        <f aca="false">IF(ISNUMBER(M220),"confirmed",IF(G220&gt;0,"conditional_or_residual_assumption","history_or_fallback"))</f>
        <v>conditional_or_residual_assumption</v>
      </c>
      <c r="P220" s="3" t="s">
        <v>2134</v>
      </c>
      <c r="Q220" s="3" t="n">
        <v>0</v>
      </c>
      <c r="R220" s="39" t="n">
        <v>46203</v>
      </c>
      <c r="S220" s="3" t="str">
        <f aca="false">IF(N220&gt;$B$7,"beyond_horizon",IF(N220&lt;$B$6,"invalid_past","in_horizon"))</f>
        <v>in_horizon</v>
      </c>
      <c r="T220" s="3" t="n">
        <f aca="false">IF(I220&gt;=D_F01!$B$27,IF(H220="customer",SUMIFS(D_sales!$X$5:$X$121,D_sales!$C$5:$C$121,C220,D_sales!$W$5:$W$121,1,D_sales!$U$5:$U$121,"&gt;="&amp;G220),SUMIFS(D_sales!$X$5:$X$121,D_sales!$W$5:$W$121,1,D_sales!$U$5:$U$121,"&gt;="&amp;G220))/IF(H220="customer",SUMIFS(D_sales!$V$5:$V$121,D_sales!$C$5:$C$121,C220,D_sales!$W$5:$W$121,1,D_sales!$U$5:$U$121,"&gt;="&amp;G220),SUMIFS(D_sales!$V$5:$V$121,D_sales!$W$5:$W$121,1,D_sales!$U$5:$U$121,"&gt;="&amp;G220)),0)</f>
        <v>0</v>
      </c>
      <c r="U220" s="3" t="n">
        <f aca="false" t="array" ref="U220:U220">IF(I220&gt;=D_F01!$B$27,IF(H220="customer",PERCENTILE(IF((D_sales!$W$5:$W$121=1)*(D_sales!$U$5:$U$121&gt;=G220)*(D_sales!$C$5:$C$121=C220),D_sales!$U$5:$U$121),0.25),PERCENTILE(IF((D_sales!$W$5:$W$121=1)*(D_sales!$U$5:$U$121&gt;=G220),D_sales!$U$5:$U$121),0.25)),0)</f>
        <v>0</v>
      </c>
      <c r="V220" s="3" t="n">
        <f aca="false" t="array" ref="V220:V220">IF(I220&gt;=D_F01!$B$27,IF(H220="customer",PERCENTILE(IF((D_sales!$W$5:$W$121=1)*(D_sales!$U$5:$U$121&gt;=G220)*(D_sales!$C$5:$C$121=C220),D_sales!$U$5:$U$121),0.75),PERCENTILE(IF((D_sales!$W$5:$W$121=1)*(D_sales!$U$5:$U$121&gt;=G220),D_sales!$U$5:$U$121),0.75)),0)</f>
        <v>0</v>
      </c>
      <c r="W220" s="3" t="n">
        <f aca="false">IF(G220&gt;0,IF(I220&gt;=D_F01!$B$27,MIN(T220,U220),G220+3),H53)</f>
        <v>95</v>
      </c>
      <c r="X220" s="3" t="n">
        <f aca="false">IF(G220&gt;0,IF(I220&gt;=D_F01!$B$27,T220,G220+10),E53)</f>
        <v>102</v>
      </c>
      <c r="Y220" s="3" t="n">
        <f aca="false">IF(G220&gt;0,IF(I220&gt;=D_F01!$B$27,MAX(T220,V220),G220+21),I53)</f>
        <v>113</v>
      </c>
    </row>
    <row r="221" customFormat="false" ht="25.5" hidden="false" customHeight="true" outlineLevel="0" collapsed="false">
      <c r="A221" s="4" t="s">
        <v>2135</v>
      </c>
      <c r="B221" s="4" t="s">
        <v>2136</v>
      </c>
      <c r="C221" s="4" t="s">
        <v>1979</v>
      </c>
      <c r="D221" s="4" t="s">
        <v>2133</v>
      </c>
      <c r="E221" s="33" t="n">
        <f aca="false">D_sales!N55</f>
        <v>730432904</v>
      </c>
      <c r="F221" s="38" t="n">
        <f aca="false">D_sales!H55</f>
        <v>46126</v>
      </c>
      <c r="G221" s="4" t="n">
        <f aca="false">D_sales!O55</f>
        <v>77</v>
      </c>
      <c r="H221" s="4" t="str">
        <f aca="false">C48</f>
        <v>customer</v>
      </c>
      <c r="I221" s="4" t="n">
        <f aca="false">IF(H221="default",0,IF(H221="customer",COUNTIFS(D_sales!$C$5:$C$121,C221,D_sales!$W$5:$W$121,1,D_sales!$U$5:$U$121,"&gt;="&amp;G221),COUNTIFS(D_sales!$W$5:$W$121,1,D_sales!$U$5:$U$121,"&gt;="&amp;G221)))</f>
        <v>1</v>
      </c>
      <c r="J221" s="38" t="n">
        <f aca="false">IF(ISNUMBER(M221),M221,MAX($B$6,F221+ROUNDUP(W221,0)))</f>
        <v>46206</v>
      </c>
      <c r="K221" s="38" t="n">
        <f aca="false">IF(ISNUMBER(M221),M221,MAX($B$6,F221+ROUNDUP(X221,0)))</f>
        <v>46213</v>
      </c>
      <c r="L221" s="38" t="n">
        <f aca="false">IF(ISNUMBER(M221),M221,MAX($B$6,F221+ROUNDUP(Y221,0)))</f>
        <v>46224</v>
      </c>
      <c r="M221" s="38"/>
      <c r="N221" s="38" t="n">
        <f aca="false">CHOOSE(D_F01!$B$19,K221,J221,L221,IF(ISNUMBER(M221),M221,K221+7),K221)</f>
        <v>46213</v>
      </c>
      <c r="O221" s="4" t="str">
        <f aca="false">IF(ISNUMBER(M221),"confirmed",IF(G221&gt;0,"conditional_or_residual_assumption","history_or_fallback"))</f>
        <v>conditional_or_residual_assumption</v>
      </c>
      <c r="P221" s="4" t="s">
        <v>2134</v>
      </c>
      <c r="Q221" s="4" t="n">
        <v>0</v>
      </c>
      <c r="R221" s="38" t="n">
        <v>46203</v>
      </c>
      <c r="S221" s="4" t="str">
        <f aca="false">IF(N221&gt;$B$7,"beyond_horizon",IF(N221&lt;$B$6,"invalid_past","in_horizon"))</f>
        <v>in_horizon</v>
      </c>
      <c r="T221" s="4" t="n">
        <f aca="false">IF(I221&gt;=D_F01!$B$27,IF(H221="customer",SUMIFS(D_sales!$X$5:$X$121,D_sales!$C$5:$C$121,C221,D_sales!$W$5:$W$121,1,D_sales!$U$5:$U$121,"&gt;="&amp;G221),SUMIFS(D_sales!$X$5:$X$121,D_sales!$W$5:$W$121,1,D_sales!$U$5:$U$121,"&gt;="&amp;G221))/IF(H221="customer",SUMIFS(D_sales!$V$5:$V$121,D_sales!$C$5:$C$121,C221,D_sales!$W$5:$W$121,1,D_sales!$U$5:$U$121,"&gt;="&amp;G221),SUMIFS(D_sales!$V$5:$V$121,D_sales!$W$5:$W$121,1,D_sales!$U$5:$U$121,"&gt;="&amp;G221)),0)</f>
        <v>0</v>
      </c>
      <c r="U221" s="4" t="n">
        <f aca="false" t="array" ref="U221:U221">IF(I221&gt;=D_F01!$B$27,IF(H221="customer",PERCENTILE(IF((D_sales!$W$5:$W$121=1)*(D_sales!$U$5:$U$121&gt;=G221)*(D_sales!$C$5:$C$121=C221),D_sales!$U$5:$U$121),0.25),PERCENTILE(IF((D_sales!$W$5:$W$121=1)*(D_sales!$U$5:$U$121&gt;=G221),D_sales!$U$5:$U$121),0.25)),0)</f>
        <v>0</v>
      </c>
      <c r="V221" s="4" t="n">
        <f aca="false" t="array" ref="V221:V221">IF(I221&gt;=D_F01!$B$27,IF(H221="customer",PERCENTILE(IF((D_sales!$W$5:$W$121=1)*(D_sales!$U$5:$U$121&gt;=G221)*(D_sales!$C$5:$C$121=C221),D_sales!$U$5:$U$121),0.75),PERCENTILE(IF((D_sales!$W$5:$W$121=1)*(D_sales!$U$5:$U$121&gt;=G221),D_sales!$U$5:$U$121),0.75)),0)</f>
        <v>0</v>
      </c>
      <c r="W221" s="4" t="n">
        <f aca="false">IF(G221&gt;0,IF(I221&gt;=D_F01!$B$27,MIN(T221,U221),G221+3),H48)</f>
        <v>80</v>
      </c>
      <c r="X221" s="4" t="n">
        <f aca="false">IF(G221&gt;0,IF(I221&gt;=D_F01!$B$27,T221,G221+10),E48)</f>
        <v>87</v>
      </c>
      <c r="Y221" s="4" t="n">
        <f aca="false">IF(G221&gt;0,IF(I221&gt;=D_F01!$B$27,MAX(T221,V221),G221+21),I48)</f>
        <v>98</v>
      </c>
    </row>
    <row r="222" customFormat="false" ht="25.5" hidden="false" customHeight="true" outlineLevel="0" collapsed="false">
      <c r="A222" s="3" t="s">
        <v>2137</v>
      </c>
      <c r="B222" s="3" t="s">
        <v>2138</v>
      </c>
      <c r="C222" s="3" t="s">
        <v>1979</v>
      </c>
      <c r="D222" s="3" t="s">
        <v>2133</v>
      </c>
      <c r="E222" s="32" t="n">
        <f aca="false">D_sales!N60</f>
        <v>593475685</v>
      </c>
      <c r="F222" s="39" t="n">
        <f aca="false">D_sales!H60</f>
        <v>46137</v>
      </c>
      <c r="G222" s="3" t="n">
        <f aca="false">D_sales!O60</f>
        <v>66</v>
      </c>
      <c r="H222" s="3" t="str">
        <f aca="false">C48</f>
        <v>customer</v>
      </c>
      <c r="I222" s="3" t="n">
        <f aca="false">IF(H222="default",0,IF(H222="customer",COUNTIFS(D_sales!$C$5:$C$121,C222,D_sales!$W$5:$W$121,1,D_sales!$U$5:$U$121,"&gt;="&amp;G222),COUNTIFS(D_sales!$W$5:$W$121,1,D_sales!$U$5:$U$121,"&gt;="&amp;G222)))</f>
        <v>2</v>
      </c>
      <c r="J222" s="39" t="n">
        <f aca="false">IF(ISNUMBER(M222),M222,MAX($B$6,F222+ROUNDUP(W222,0)))</f>
        <v>46206</v>
      </c>
      <c r="K222" s="39" t="n">
        <f aca="false">IF(ISNUMBER(M222),M222,MAX($B$6,F222+ROUNDUP(X222,0)))</f>
        <v>46213</v>
      </c>
      <c r="L222" s="39" t="n">
        <f aca="false">IF(ISNUMBER(M222),M222,MAX($B$6,F222+ROUNDUP(Y222,0)))</f>
        <v>46224</v>
      </c>
      <c r="M222" s="39"/>
      <c r="N222" s="39" t="n">
        <f aca="false">CHOOSE(D_F01!$B$19,K222,J222,L222,IF(ISNUMBER(M222),M222,K222+7),K222)</f>
        <v>46213</v>
      </c>
      <c r="O222" s="3" t="str">
        <f aca="false">IF(ISNUMBER(M222),"confirmed",IF(G222&gt;0,"conditional_or_residual_assumption","history_or_fallback"))</f>
        <v>conditional_or_residual_assumption</v>
      </c>
      <c r="P222" s="3" t="s">
        <v>2134</v>
      </c>
      <c r="Q222" s="3" t="n">
        <v>0</v>
      </c>
      <c r="R222" s="39" t="n">
        <v>46203</v>
      </c>
      <c r="S222" s="3" t="str">
        <f aca="false">IF(N222&gt;$B$7,"beyond_horizon",IF(N222&lt;$B$6,"invalid_past","in_horizon"))</f>
        <v>in_horizon</v>
      </c>
      <c r="T222" s="3" t="n">
        <f aca="false">IF(I222&gt;=D_F01!$B$27,IF(H222="customer",SUMIFS(D_sales!$X$5:$X$121,D_sales!$C$5:$C$121,C222,D_sales!$W$5:$W$121,1,D_sales!$U$5:$U$121,"&gt;="&amp;G222),SUMIFS(D_sales!$X$5:$X$121,D_sales!$W$5:$W$121,1,D_sales!$U$5:$U$121,"&gt;="&amp;G222))/IF(H222="customer",SUMIFS(D_sales!$V$5:$V$121,D_sales!$C$5:$C$121,C222,D_sales!$W$5:$W$121,1,D_sales!$U$5:$U$121,"&gt;="&amp;G222),SUMIFS(D_sales!$V$5:$V$121,D_sales!$W$5:$W$121,1,D_sales!$U$5:$U$121,"&gt;="&amp;G222)),0)</f>
        <v>0</v>
      </c>
      <c r="U222" s="3" t="n">
        <f aca="false" t="array" ref="U222:U222">IF(I222&gt;=D_F01!$B$27,IF(H222="customer",PERCENTILE(IF((D_sales!$W$5:$W$121=1)*(D_sales!$U$5:$U$121&gt;=G222)*(D_sales!$C$5:$C$121=C222),D_sales!$U$5:$U$121),0.25),PERCENTILE(IF((D_sales!$W$5:$W$121=1)*(D_sales!$U$5:$U$121&gt;=G222),D_sales!$U$5:$U$121),0.25)),0)</f>
        <v>0</v>
      </c>
      <c r="V222" s="3" t="n">
        <f aca="false" t="array" ref="V222:V222">IF(I222&gt;=D_F01!$B$27,IF(H222="customer",PERCENTILE(IF((D_sales!$W$5:$W$121=1)*(D_sales!$U$5:$U$121&gt;=G222)*(D_sales!$C$5:$C$121=C222),D_sales!$U$5:$U$121),0.75),PERCENTILE(IF((D_sales!$W$5:$W$121=1)*(D_sales!$U$5:$U$121&gt;=G222),D_sales!$U$5:$U$121),0.75)),0)</f>
        <v>0</v>
      </c>
      <c r="W222" s="3" t="n">
        <f aca="false">IF(G222&gt;0,IF(I222&gt;=D_F01!$B$27,MIN(T222,U222),G222+3),H48)</f>
        <v>69</v>
      </c>
      <c r="X222" s="3" t="n">
        <f aca="false">IF(G222&gt;0,IF(I222&gt;=D_F01!$B$27,T222,G222+10),E48)</f>
        <v>76</v>
      </c>
      <c r="Y222" s="3" t="n">
        <f aca="false">IF(G222&gt;0,IF(I222&gt;=D_F01!$B$27,MAX(T222,V222),G222+21),I48)</f>
        <v>87</v>
      </c>
    </row>
    <row r="223" customFormat="false" ht="25.5" hidden="false" customHeight="true" outlineLevel="0" collapsed="false">
      <c r="A223" s="4" t="s">
        <v>2139</v>
      </c>
      <c r="B223" s="4" t="s">
        <v>2140</v>
      </c>
      <c r="C223" s="4" t="s">
        <v>1977</v>
      </c>
      <c r="D223" s="4" t="s">
        <v>2133</v>
      </c>
      <c r="E223" s="33" t="n">
        <f aca="false">D_sales!N79</f>
        <v>659212461</v>
      </c>
      <c r="F223" s="38" t="n">
        <f aca="false">D_sales!H79</f>
        <v>46182</v>
      </c>
      <c r="G223" s="4" t="n">
        <f aca="false">D_sales!O79</f>
        <v>21</v>
      </c>
      <c r="H223" s="4" t="str">
        <f aca="false">C46</f>
        <v>customer</v>
      </c>
      <c r="I223" s="4" t="n">
        <f aca="false">IF(H223="default",0,IF(H223="customer",COUNTIFS(D_sales!$C$5:$C$121,C223,D_sales!$W$5:$W$121,1,D_sales!$U$5:$U$121,"&gt;="&amp;G223),COUNTIFS(D_sales!$W$5:$W$121,1,D_sales!$U$5:$U$121,"&gt;="&amp;G223)))</f>
        <v>9</v>
      </c>
      <c r="J223" s="38" t="n">
        <f aca="false">IF(ISNUMBER(M223),M223,MAX($B$6,F223+ROUNDUP(W223,0)))</f>
        <v>46204</v>
      </c>
      <c r="K223" s="38" t="n">
        <f aca="false">IF(ISNUMBER(M223),M223,MAX($B$6,F223+ROUNDUP(X223,0)))</f>
        <v>46207</v>
      </c>
      <c r="L223" s="38" t="n">
        <f aca="false">IF(ISNUMBER(M223),M223,MAX($B$6,F223+ROUNDUP(Y223,0)))</f>
        <v>46208</v>
      </c>
      <c r="M223" s="38"/>
      <c r="N223" s="38" t="n">
        <f aca="false">CHOOSE(D_F01!$B$19,K223,J223,L223,IF(ISNUMBER(M223),M223,K223+7),K223)</f>
        <v>46207</v>
      </c>
      <c r="O223" s="4" t="str">
        <f aca="false">IF(ISNUMBER(M223),"confirmed",IF(G223&gt;0,"conditional_or_residual_assumption","history_or_fallback"))</f>
        <v>conditional_or_residual_assumption</v>
      </c>
      <c r="P223" s="4" t="s">
        <v>2134</v>
      </c>
      <c r="Q223" s="4" t="n">
        <v>0</v>
      </c>
      <c r="R223" s="38" t="n">
        <v>46203</v>
      </c>
      <c r="S223" s="4" t="str">
        <f aca="false">IF(N223&gt;$B$7,"beyond_horizon",IF(N223&lt;$B$6,"invalid_past","in_horizon"))</f>
        <v>in_horizon</v>
      </c>
      <c r="T223" s="4" t="n">
        <f aca="false">IF(I223&gt;=D_F01!$B$27,IF(H223="customer",SUMIFS(D_sales!$X$5:$X$121,D_sales!$C$5:$C$121,C223,D_sales!$W$5:$W$121,1,D_sales!$U$5:$U$121,"&gt;="&amp;G223),SUMIFS(D_sales!$X$5:$X$121,D_sales!$W$5:$W$121,1,D_sales!$U$5:$U$121,"&gt;="&amp;G223))/IF(H223="customer",SUMIFS(D_sales!$V$5:$V$121,D_sales!$C$5:$C$121,C223,D_sales!$W$5:$W$121,1,D_sales!$U$5:$U$121,"&gt;="&amp;G223),SUMIFS(D_sales!$V$5:$V$121,D_sales!$W$5:$W$121,1,D_sales!$U$5:$U$121,"&gt;="&amp;G223)),0)</f>
        <v>24.5146181915405</v>
      </c>
      <c r="U223" s="4" t="n">
        <f aca="false" t="array" ref="U223:U223">IF(I223&gt;=D_F01!$B$27,IF(H223="customer",PERCENTILE(IF((D_sales!$W$5:$W$121=1)*(D_sales!$U$5:$U$121&gt;=G223)*(D_sales!$C$5:$C$121=C223),D_sales!$U$5:$U$121),0.25),PERCENTILE(IF((D_sales!$W$5:$W$121=1)*(D_sales!$U$5:$U$121&gt;=G223),D_sales!$U$5:$U$121),0.25)),0)</f>
        <v>22</v>
      </c>
      <c r="V223" s="4" t="n">
        <f aca="false" t="array" ref="V223:V223">IF(I223&gt;=D_F01!$B$27,IF(H223="customer",PERCENTILE(IF((D_sales!$W$5:$W$121=1)*(D_sales!$U$5:$U$121&gt;=G223)*(D_sales!$C$5:$C$121=C223),D_sales!$U$5:$U$121),0.75),PERCENTILE(IF((D_sales!$W$5:$W$121=1)*(D_sales!$U$5:$U$121&gt;=G223),D_sales!$U$5:$U$121),0.75)),0)</f>
        <v>26</v>
      </c>
      <c r="W223" s="4" t="n">
        <f aca="false">IF(G223&gt;0,IF(I223&gt;=D_F01!$B$27,MIN(T223,U223),G223+3),H46)</f>
        <v>22</v>
      </c>
      <c r="X223" s="4" t="n">
        <f aca="false">IF(G223&gt;0,IF(I223&gt;=D_F01!$B$27,T223,G223+10),E46)</f>
        <v>24.5146181915405</v>
      </c>
      <c r="Y223" s="4" t="n">
        <f aca="false">IF(G223&gt;0,IF(I223&gt;=D_F01!$B$27,MAX(T223,V223),G223+21),I46)</f>
        <v>26</v>
      </c>
    </row>
    <row r="224" customFormat="false" ht="25.5" hidden="false" customHeight="true" outlineLevel="0" collapsed="false">
      <c r="A224" s="3" t="s">
        <v>2141</v>
      </c>
      <c r="B224" s="3" t="s">
        <v>2142</v>
      </c>
      <c r="C224" s="3" t="s">
        <v>1977</v>
      </c>
      <c r="D224" s="3" t="s">
        <v>2133</v>
      </c>
      <c r="E224" s="32" t="n">
        <f aca="false">D_sales!N80</f>
        <v>272993776</v>
      </c>
      <c r="F224" s="39" t="n">
        <f aca="false">D_sales!H80</f>
        <v>46183</v>
      </c>
      <c r="G224" s="3" t="n">
        <f aca="false">D_sales!O80</f>
        <v>20</v>
      </c>
      <c r="H224" s="3" t="str">
        <f aca="false">C46</f>
        <v>customer</v>
      </c>
      <c r="I224" s="3" t="n">
        <f aca="false">IF(H224="default",0,IF(H224="customer",COUNTIFS(D_sales!$C$5:$C$121,C224,D_sales!$W$5:$W$121,1,D_sales!$U$5:$U$121,"&gt;="&amp;G224),COUNTIFS(D_sales!$W$5:$W$121,1,D_sales!$U$5:$U$121,"&gt;="&amp;G224)))</f>
        <v>11</v>
      </c>
      <c r="J224" s="39" t="n">
        <f aca="false">IF(ISNUMBER(M224),M224,MAX($B$6,F224+ROUNDUP(W224,0)))</f>
        <v>46204</v>
      </c>
      <c r="K224" s="39" t="n">
        <f aca="false">IF(ISNUMBER(M224),M224,MAX($B$6,F224+ROUNDUP(X224,0)))</f>
        <v>46207</v>
      </c>
      <c r="L224" s="39" t="n">
        <f aca="false">IF(ISNUMBER(M224),M224,MAX($B$6,F224+ROUNDUP(Y224,0)))</f>
        <v>46208</v>
      </c>
      <c r="M224" s="39"/>
      <c r="N224" s="39" t="n">
        <f aca="false">CHOOSE(D_F01!$B$19,K224,J224,L224,IF(ISNUMBER(M224),M224,K224+7),K224)</f>
        <v>46207</v>
      </c>
      <c r="O224" s="3" t="str">
        <f aca="false">IF(ISNUMBER(M224),"confirmed",IF(G224&gt;0,"conditional_or_residual_assumption","history_or_fallback"))</f>
        <v>conditional_or_residual_assumption</v>
      </c>
      <c r="P224" s="3" t="s">
        <v>2134</v>
      </c>
      <c r="Q224" s="3" t="n">
        <v>0</v>
      </c>
      <c r="R224" s="39" t="n">
        <v>46203</v>
      </c>
      <c r="S224" s="3" t="str">
        <f aca="false">IF(N224&gt;$B$7,"beyond_horizon",IF(N224&lt;$B$6,"invalid_past","in_horizon"))</f>
        <v>in_horizon</v>
      </c>
      <c r="T224" s="3" t="n">
        <f aca="false">IF(I224&gt;=D_F01!$B$27,IF(H224="customer",SUMIFS(D_sales!$X$5:$X$121,D_sales!$C$5:$C$121,C224,D_sales!$W$5:$W$121,1,D_sales!$U$5:$U$121,"&gt;="&amp;G224),SUMIFS(D_sales!$X$5:$X$121,D_sales!$W$5:$W$121,1,D_sales!$U$5:$U$121,"&gt;="&amp;G224))/IF(H224="customer",SUMIFS(D_sales!$V$5:$V$121,D_sales!$C$5:$C$121,C224,D_sales!$W$5:$W$121,1,D_sales!$U$5:$U$121,"&gt;="&amp;G224),SUMIFS(D_sales!$V$5:$V$121,D_sales!$W$5:$W$121,1,D_sales!$U$5:$U$121,"&gt;="&amp;G224)),0)</f>
        <v>23.8737950067097</v>
      </c>
      <c r="U224" s="3" t="n">
        <f aca="false" t="array" ref="U224:U224">IF(I224&gt;=D_F01!$B$27,IF(H224="customer",PERCENTILE(IF((D_sales!$W$5:$W$121=1)*(D_sales!$U$5:$U$121&gt;=G224)*(D_sales!$C$5:$C$121=C224),D_sales!$U$5:$U$121),0.25),PERCENTILE(IF((D_sales!$W$5:$W$121=1)*(D_sales!$U$5:$U$121&gt;=G224),D_sales!$U$5:$U$121),0.25)),0)</f>
        <v>21</v>
      </c>
      <c r="V224" s="3" t="n">
        <f aca="false" t="array" ref="V224:V224">IF(I224&gt;=D_F01!$B$27,IF(H224="customer",PERCENTILE(IF((D_sales!$W$5:$W$121=1)*(D_sales!$U$5:$U$121&gt;=G224)*(D_sales!$C$5:$C$121=C224),D_sales!$U$5:$U$121),0.75),PERCENTILE(IF((D_sales!$W$5:$W$121=1)*(D_sales!$U$5:$U$121&gt;=G224),D_sales!$U$5:$U$121),0.75)),0)</f>
        <v>24.5</v>
      </c>
      <c r="W224" s="3" t="n">
        <f aca="false">IF(G224&gt;0,IF(I224&gt;=D_F01!$B$27,MIN(T224,U224),G224+3),H46)</f>
        <v>21</v>
      </c>
      <c r="X224" s="3" t="n">
        <f aca="false">IF(G224&gt;0,IF(I224&gt;=D_F01!$B$27,T224,G224+10),E46)</f>
        <v>23.8737950067097</v>
      </c>
      <c r="Y224" s="3" t="n">
        <f aca="false">IF(G224&gt;0,IF(I224&gt;=D_F01!$B$27,MAX(T224,V224),G224+21),I46)</f>
        <v>24.5</v>
      </c>
    </row>
    <row r="225" customFormat="false" ht="25.5" hidden="false" customHeight="true" outlineLevel="0" collapsed="false">
      <c r="A225" s="4" t="s">
        <v>2143</v>
      </c>
      <c r="B225" s="4" t="s">
        <v>2144</v>
      </c>
      <c r="C225" s="4" t="s">
        <v>1983</v>
      </c>
      <c r="D225" s="4" t="s">
        <v>2133</v>
      </c>
      <c r="E225" s="33" t="n">
        <f aca="false">D_sales!N83</f>
        <v>274915745</v>
      </c>
      <c r="F225" s="38" t="n">
        <f aca="false">D_sales!H83</f>
        <v>46174</v>
      </c>
      <c r="G225" s="4" t="n">
        <f aca="false">D_sales!O83</f>
        <v>29</v>
      </c>
      <c r="H225" s="4" t="str">
        <f aca="false">C52</f>
        <v>firm</v>
      </c>
      <c r="I225" s="4" t="n">
        <f aca="false">IF(H225="default",0,IF(H225="customer",COUNTIFS(D_sales!$C$5:$C$121,C225,D_sales!$W$5:$W$121,1,D_sales!$U$5:$U$121,"&gt;="&amp;G225),COUNTIFS(D_sales!$W$5:$W$121,1,D_sales!$U$5:$U$121,"&gt;="&amp;G225)))</f>
        <v>6</v>
      </c>
      <c r="J225" s="38" t="n">
        <f aca="false">IF(ISNUMBER(M225),M225,MAX($B$6,F225+ROUNDUP(W225,0)))</f>
        <v>46204</v>
      </c>
      <c r="K225" s="38" t="n">
        <f aca="false">IF(ISNUMBER(M225),M225,MAX($B$6,F225+ROUNDUP(X225,0)))</f>
        <v>46226</v>
      </c>
      <c r="L225" s="38" t="n">
        <f aca="false">IF(ISNUMBER(M225),M225,MAX($B$6,F225+ROUNDUP(Y225,0)))</f>
        <v>46249</v>
      </c>
      <c r="M225" s="38"/>
      <c r="N225" s="38" t="n">
        <f aca="false">CHOOSE(D_F01!$B$19,K225,J225,L225,IF(ISNUMBER(M225),M225,K225+7),K225)</f>
        <v>46226</v>
      </c>
      <c r="O225" s="4" t="str">
        <f aca="false">IF(ISNUMBER(M225),"confirmed",IF(G225&gt;0,"conditional_or_residual_assumption","history_or_fallback"))</f>
        <v>conditional_or_residual_assumption</v>
      </c>
      <c r="P225" s="4" t="s">
        <v>2134</v>
      </c>
      <c r="Q225" s="4" t="n">
        <v>0</v>
      </c>
      <c r="R225" s="38" t="n">
        <v>46203</v>
      </c>
      <c r="S225" s="4" t="str">
        <f aca="false">IF(N225&gt;$B$7,"beyond_horizon",IF(N225&lt;$B$6,"invalid_past","in_horizon"))</f>
        <v>in_horizon</v>
      </c>
      <c r="T225" s="4" t="n">
        <f aca="false">IF(I225&gt;=D_F01!$B$27,IF(H225="customer",SUMIFS(D_sales!$X$5:$X$121,D_sales!$C$5:$C$121,C225,D_sales!$W$5:$W$121,1,D_sales!$U$5:$U$121,"&gt;="&amp;G225),SUMIFS(D_sales!$X$5:$X$121,D_sales!$W$5:$W$121,1,D_sales!$U$5:$U$121,"&gt;="&amp;G225))/IF(H225="customer",SUMIFS(D_sales!$V$5:$V$121,D_sales!$C$5:$C$121,C225,D_sales!$W$5:$W$121,1,D_sales!$U$5:$U$121,"&gt;="&amp;G225),SUMIFS(D_sales!$V$5:$V$121,D_sales!$W$5:$W$121,1,D_sales!$U$5:$U$121,"&gt;="&amp;G225)),0)</f>
        <v>51.2898274952166</v>
      </c>
      <c r="U225" s="4" t="n">
        <f aca="false" t="array" ref="U225:U225">IF(I225&gt;=D_F01!$B$27,IF(H225="customer",PERCENTILE(IF((D_sales!$W$5:$W$121=1)*(D_sales!$U$5:$U$121&gt;=G225)*(D_sales!$C$5:$C$121=C225),D_sales!$U$5:$U$121),0.25),PERCENTILE(IF((D_sales!$W$5:$W$121=1)*(D_sales!$U$5:$U$121&gt;=G225),D_sales!$U$5:$U$121),0.25)),0)</f>
        <v>29.25</v>
      </c>
      <c r="V225" s="4" t="n">
        <f aca="false" t="array" ref="V225:V225">IF(I225&gt;=D_F01!$B$27,IF(H225="customer",PERCENTILE(IF((D_sales!$W$5:$W$121=1)*(D_sales!$U$5:$U$121&gt;=G225)*(D_sales!$C$5:$C$121=C225),D_sales!$U$5:$U$121),0.75),PERCENTILE(IF((D_sales!$W$5:$W$121=1)*(D_sales!$U$5:$U$121&gt;=G225),D_sales!$U$5:$U$121),0.75)),0)</f>
        <v>74.25</v>
      </c>
      <c r="W225" s="4" t="n">
        <f aca="false">IF(G225&gt;0,IF(I225&gt;=D_F01!$B$27,MIN(T225,U225),G225+3),H52)</f>
        <v>29.25</v>
      </c>
      <c r="X225" s="4" t="n">
        <f aca="false">IF(G225&gt;0,IF(I225&gt;=D_F01!$B$27,T225,G225+10),E52)</f>
        <v>51.2898274952166</v>
      </c>
      <c r="Y225" s="4" t="n">
        <f aca="false">IF(G225&gt;0,IF(I225&gt;=D_F01!$B$27,MAX(T225,V225),G225+21),I52)</f>
        <v>74.25</v>
      </c>
    </row>
    <row r="226" customFormat="false" ht="25.5" hidden="false" customHeight="true" outlineLevel="0" collapsed="false">
      <c r="A226" s="3" t="s">
        <v>2145</v>
      </c>
      <c r="B226" s="3" t="s">
        <v>2146</v>
      </c>
      <c r="C226" s="3" t="s">
        <v>1977</v>
      </c>
      <c r="D226" s="3" t="s">
        <v>2133</v>
      </c>
      <c r="E226" s="32" t="n">
        <f aca="false">D_sales!N87</f>
        <v>574833910</v>
      </c>
      <c r="F226" s="39" t="n">
        <f aca="false">D_sales!H87</f>
        <v>46191</v>
      </c>
      <c r="G226" s="3" t="n">
        <f aca="false">D_sales!O87</f>
        <v>12</v>
      </c>
      <c r="H226" s="3" t="str">
        <f aca="false">C46</f>
        <v>customer</v>
      </c>
      <c r="I226" s="3" t="n">
        <f aca="false">IF(H226="default",0,IF(H226="customer",COUNTIFS(D_sales!$C$5:$C$121,C226,D_sales!$W$5:$W$121,1,D_sales!$U$5:$U$121,"&gt;="&amp;G226),COUNTIFS(D_sales!$W$5:$W$121,1,D_sales!$U$5:$U$121,"&gt;="&amp;G226)))</f>
        <v>17</v>
      </c>
      <c r="J226" s="39" t="n">
        <f aca="false">IF(ISNUMBER(M226),M226,MAX($B$6,F226+ROUNDUP(W226,0)))</f>
        <v>46208</v>
      </c>
      <c r="K226" s="39" t="n">
        <f aca="false">IF(ISNUMBER(M226),M226,MAX($B$6,F226+ROUNDUP(X226,0)))</f>
        <v>46212</v>
      </c>
      <c r="L226" s="39" t="n">
        <f aca="false">IF(ISNUMBER(M226),M226,MAX($B$6,F226+ROUNDUP(Y226,0)))</f>
        <v>46214</v>
      </c>
      <c r="M226" s="39"/>
      <c r="N226" s="39" t="n">
        <f aca="false">CHOOSE(D_F01!$B$19,K226,J226,L226,IF(ISNUMBER(M226),M226,K226+7),K226)</f>
        <v>46212</v>
      </c>
      <c r="O226" s="3" t="str">
        <f aca="false">IF(ISNUMBER(M226),"confirmed",IF(G226&gt;0,"conditional_or_residual_assumption","history_or_fallback"))</f>
        <v>conditional_or_residual_assumption</v>
      </c>
      <c r="P226" s="3" t="s">
        <v>2134</v>
      </c>
      <c r="Q226" s="3" t="n">
        <v>0</v>
      </c>
      <c r="R226" s="39" t="n">
        <v>46203</v>
      </c>
      <c r="S226" s="3" t="str">
        <f aca="false">IF(N226&gt;$B$7,"beyond_horizon",IF(N226&lt;$B$6,"invalid_past","in_horizon"))</f>
        <v>in_horizon</v>
      </c>
      <c r="T226" s="3" t="n">
        <f aca="false">IF(I226&gt;=D_F01!$B$27,IF(H226="customer",SUMIFS(D_sales!$X$5:$X$121,D_sales!$C$5:$C$121,C226,D_sales!$W$5:$W$121,1,D_sales!$U$5:$U$121,"&gt;="&amp;G226),SUMIFS(D_sales!$X$5:$X$121,D_sales!$W$5:$W$121,1,D_sales!$U$5:$U$121,"&gt;="&amp;G226))/IF(H226="customer",SUMIFS(D_sales!$V$5:$V$121,D_sales!$C$5:$C$121,C226,D_sales!$W$5:$W$121,1,D_sales!$U$5:$U$121,"&gt;="&amp;G226),SUMIFS(D_sales!$V$5:$V$121,D_sales!$W$5:$W$121,1,D_sales!$U$5:$U$121,"&gt;="&amp;G226)),0)</f>
        <v>20.9615364023458</v>
      </c>
      <c r="U226" s="3" t="n">
        <f aca="false" t="array" ref="U226:U226">IF(I226&gt;=D_F01!$B$27,IF(H226="customer",PERCENTILE(IF((D_sales!$W$5:$W$121=1)*(D_sales!$U$5:$U$121&gt;=G226)*(D_sales!$C$5:$C$121=C226),D_sales!$U$5:$U$121),0.25),PERCENTILE(IF((D_sales!$W$5:$W$121=1)*(D_sales!$U$5:$U$121&gt;=G226),D_sales!$U$5:$U$121),0.25)),0)</f>
        <v>17</v>
      </c>
      <c r="V226" s="3" t="n">
        <f aca="false" t="array" ref="V226:V226">IF(I226&gt;=D_F01!$B$27,IF(H226="customer",PERCENTILE(IF((D_sales!$W$5:$W$121=1)*(D_sales!$U$5:$U$121&gt;=G226)*(D_sales!$C$5:$C$121=C226),D_sales!$U$5:$U$121),0.75),PERCENTILE(IF((D_sales!$W$5:$W$121=1)*(D_sales!$U$5:$U$121&gt;=G226),D_sales!$U$5:$U$121),0.75)),0)</f>
        <v>23</v>
      </c>
      <c r="W226" s="3" t="n">
        <f aca="false">IF(G226&gt;0,IF(I226&gt;=D_F01!$B$27,MIN(T226,U226),G226+3),H46)</f>
        <v>17</v>
      </c>
      <c r="X226" s="3" t="n">
        <f aca="false">IF(G226&gt;0,IF(I226&gt;=D_F01!$B$27,T226,G226+10),E46)</f>
        <v>20.9615364023458</v>
      </c>
      <c r="Y226" s="3" t="n">
        <f aca="false">IF(G226&gt;0,IF(I226&gt;=D_F01!$B$27,MAX(T226,V226),G226+21),I46)</f>
        <v>23</v>
      </c>
    </row>
    <row r="227" customFormat="false" ht="25.5" hidden="false" customHeight="true" outlineLevel="0" collapsed="false">
      <c r="A227" s="4" t="s">
        <v>2147</v>
      </c>
      <c r="B227" s="4" t="s">
        <v>2148</v>
      </c>
      <c r="C227" s="4" t="s">
        <v>1977</v>
      </c>
      <c r="D227" s="4" t="s">
        <v>2133</v>
      </c>
      <c r="E227" s="33" t="n">
        <f aca="false">D_sales!N89</f>
        <v>967551008</v>
      </c>
      <c r="F227" s="38" t="n">
        <f aca="false">D_sales!H89</f>
        <v>46194</v>
      </c>
      <c r="G227" s="4" t="n">
        <f aca="false">D_sales!O89</f>
        <v>9</v>
      </c>
      <c r="H227" s="4" t="str">
        <f aca="false">C46</f>
        <v>customer</v>
      </c>
      <c r="I227" s="4" t="n">
        <f aca="false">IF(H227="default",0,IF(H227="customer",COUNTIFS(D_sales!$C$5:$C$121,C227,D_sales!$W$5:$W$121,1,D_sales!$U$5:$U$121,"&gt;="&amp;G227),COUNTIFS(D_sales!$W$5:$W$121,1,D_sales!$U$5:$U$121,"&gt;="&amp;G227)))</f>
        <v>18</v>
      </c>
      <c r="J227" s="38" t="n">
        <f aca="false">IF(ISNUMBER(M227),M227,MAX($B$6,F227+ROUNDUP(W227,0)))</f>
        <v>46211</v>
      </c>
      <c r="K227" s="38" t="n">
        <f aca="false">IF(ISNUMBER(M227),M227,MAX($B$6,F227+ROUNDUP(X227,0)))</f>
        <v>46214</v>
      </c>
      <c r="L227" s="38" t="n">
        <f aca="false">IF(ISNUMBER(M227),M227,MAX($B$6,F227+ROUNDUP(Y227,0)))</f>
        <v>46217</v>
      </c>
      <c r="M227" s="38"/>
      <c r="N227" s="38" t="n">
        <f aca="false">CHOOSE(D_F01!$B$19,K227,J227,L227,IF(ISNUMBER(M227),M227,K227+7),K227)</f>
        <v>46214</v>
      </c>
      <c r="O227" s="4" t="str">
        <f aca="false">IF(ISNUMBER(M227),"confirmed",IF(G227&gt;0,"conditional_or_residual_assumption","history_or_fallback"))</f>
        <v>conditional_or_residual_assumption</v>
      </c>
      <c r="P227" s="4" t="s">
        <v>2134</v>
      </c>
      <c r="Q227" s="4" t="n">
        <v>0</v>
      </c>
      <c r="R227" s="38" t="n">
        <v>46203</v>
      </c>
      <c r="S227" s="4" t="str">
        <f aca="false">IF(N227&gt;$B$7,"beyond_horizon",IF(N227&lt;$B$6,"invalid_past","in_horizon"))</f>
        <v>in_horizon</v>
      </c>
      <c r="T227" s="4" t="n">
        <f aca="false">IF(I227&gt;=D_F01!$B$27,IF(H227="customer",SUMIFS(D_sales!$X$5:$X$121,D_sales!$C$5:$C$121,C227,D_sales!$W$5:$W$121,1,D_sales!$U$5:$U$121,"&gt;="&amp;G227),SUMIFS(D_sales!$X$5:$X$121,D_sales!$W$5:$W$121,1,D_sales!$U$5:$U$121,"&gt;="&amp;G227))/IF(H227="customer",SUMIFS(D_sales!$V$5:$V$121,D_sales!$C$5:$C$121,C227,D_sales!$W$5:$W$121,1,D_sales!$U$5:$U$121,"&gt;="&amp;G227),SUMIFS(D_sales!$V$5:$V$121,D_sales!$W$5:$W$121,1,D_sales!$U$5:$U$121,"&gt;="&amp;G227)),0)</f>
        <v>19.7475473405988</v>
      </c>
      <c r="U227" s="4" t="n">
        <f aca="false" t="array" ref="U227:U227">IF(I227&gt;=D_F01!$B$27,IF(H227="customer",PERCENTILE(IF((D_sales!$W$5:$W$121=1)*(D_sales!$U$5:$U$121&gt;=G227)*(D_sales!$C$5:$C$121=C227),D_sales!$U$5:$U$121),0.25),PERCENTILE(IF((D_sales!$W$5:$W$121=1)*(D_sales!$U$5:$U$121&gt;=G227),D_sales!$U$5:$U$121),0.25)),0)</f>
        <v>17</v>
      </c>
      <c r="V227" s="4" t="n">
        <f aca="false" t="array" ref="V227:V227">IF(I227&gt;=D_F01!$B$27,IF(H227="customer",PERCENTILE(IF((D_sales!$W$5:$W$121=1)*(D_sales!$U$5:$U$121&gt;=G227)*(D_sales!$C$5:$C$121=C227),D_sales!$U$5:$U$121),0.75),PERCENTILE(IF((D_sales!$W$5:$W$121=1)*(D_sales!$U$5:$U$121&gt;=G227),D_sales!$U$5:$U$121),0.75)),0)</f>
        <v>23</v>
      </c>
      <c r="W227" s="4" t="n">
        <f aca="false">IF(G227&gt;0,IF(I227&gt;=D_F01!$B$27,MIN(T227,U227),G227+3),H46)</f>
        <v>17</v>
      </c>
      <c r="X227" s="4" t="n">
        <f aca="false">IF(G227&gt;0,IF(I227&gt;=D_F01!$B$27,T227,G227+10),E46)</f>
        <v>19.7475473405988</v>
      </c>
      <c r="Y227" s="4" t="n">
        <f aca="false">IF(G227&gt;0,IF(I227&gt;=D_F01!$B$27,MAX(T227,V227),G227+21),I46)</f>
        <v>23</v>
      </c>
    </row>
    <row r="228" customFormat="false" ht="25.5" hidden="false" customHeight="true" outlineLevel="0" collapsed="false">
      <c r="A228" s="3" t="s">
        <v>2149</v>
      </c>
      <c r="B228" s="3" t="s">
        <v>2150</v>
      </c>
      <c r="C228" s="3" t="s">
        <v>1977</v>
      </c>
      <c r="D228" s="3" t="s">
        <v>2133</v>
      </c>
      <c r="E228" s="32" t="n">
        <f aca="false">D_sales!N90</f>
        <v>461323390</v>
      </c>
      <c r="F228" s="39" t="n">
        <f aca="false">D_sales!H90</f>
        <v>46195</v>
      </c>
      <c r="G228" s="3" t="n">
        <f aca="false">D_sales!O90</f>
        <v>8</v>
      </c>
      <c r="H228" s="3" t="str">
        <f aca="false">C46</f>
        <v>customer</v>
      </c>
      <c r="I228" s="3" t="n">
        <f aca="false">IF(H228="default",0,IF(H228="customer",COUNTIFS(D_sales!$C$5:$C$121,C228,D_sales!$W$5:$W$121,1,D_sales!$U$5:$U$121,"&gt;="&amp;G228),COUNTIFS(D_sales!$W$5:$W$121,1,D_sales!$U$5:$U$121,"&gt;="&amp;G228)))</f>
        <v>19</v>
      </c>
      <c r="J228" s="39" t="n">
        <f aca="false">IF(ISNUMBER(M228),M228,MAX($B$6,F228+ROUNDUP(W228,0)))</f>
        <v>46212</v>
      </c>
      <c r="K228" s="39" t="n">
        <f aca="false">IF(ISNUMBER(M228),M228,MAX($B$6,F228+ROUNDUP(X228,0)))</f>
        <v>46215</v>
      </c>
      <c r="L228" s="39" t="n">
        <f aca="false">IF(ISNUMBER(M228),M228,MAX($B$6,F228+ROUNDUP(Y228,0)))</f>
        <v>46218</v>
      </c>
      <c r="M228" s="39"/>
      <c r="N228" s="39" t="n">
        <f aca="false">CHOOSE(D_F01!$B$19,K228,J228,L228,IF(ISNUMBER(M228),M228,K228+7),K228)</f>
        <v>46215</v>
      </c>
      <c r="O228" s="3" t="str">
        <f aca="false">IF(ISNUMBER(M228),"confirmed",IF(G228&gt;0,"conditional_or_residual_assumption","history_or_fallback"))</f>
        <v>conditional_or_residual_assumption</v>
      </c>
      <c r="P228" s="3" t="s">
        <v>2134</v>
      </c>
      <c r="Q228" s="3" t="n">
        <v>0</v>
      </c>
      <c r="R228" s="39" t="n">
        <v>46203</v>
      </c>
      <c r="S228" s="3" t="str">
        <f aca="false">IF(N228&gt;$B$7,"beyond_horizon",IF(N228&lt;$B$6,"invalid_past","in_horizon"))</f>
        <v>in_horizon</v>
      </c>
      <c r="T228" s="3" t="n">
        <f aca="false">IF(I228&gt;=D_F01!$B$27,IF(H228="customer",SUMIFS(D_sales!$X$5:$X$121,D_sales!$C$5:$C$121,C228,D_sales!$W$5:$W$121,1,D_sales!$U$5:$U$121,"&gt;="&amp;G228),SUMIFS(D_sales!$X$5:$X$121,D_sales!$W$5:$W$121,1,D_sales!$U$5:$U$121,"&gt;="&amp;G228))/IF(H228="customer",SUMIFS(D_sales!$V$5:$V$121,D_sales!$C$5:$C$121,C228,D_sales!$W$5:$W$121,1,D_sales!$U$5:$U$121,"&gt;="&amp;G228),SUMIFS(D_sales!$V$5:$V$121,D_sales!$W$5:$W$121,1,D_sales!$U$5:$U$121,"&gt;="&amp;G228)),0)</f>
        <v>19.2053173039565</v>
      </c>
      <c r="U228" s="3" t="n">
        <f aca="false" t="array" ref="U228:U228">IF(I228&gt;=D_F01!$B$27,IF(H228="customer",PERCENTILE(IF((D_sales!$W$5:$W$121=1)*(D_sales!$U$5:$U$121&gt;=G228)*(D_sales!$C$5:$C$121=C228),D_sales!$U$5:$U$121),0.25),PERCENTILE(IF((D_sales!$W$5:$W$121=1)*(D_sales!$U$5:$U$121&gt;=G228),D_sales!$U$5:$U$121),0.25)),0)</f>
        <v>16.5</v>
      </c>
      <c r="V228" s="3" t="n">
        <f aca="false" t="array" ref="V228:V228">IF(I228&gt;=D_F01!$B$27,IF(H228="customer",PERCENTILE(IF((D_sales!$W$5:$W$121=1)*(D_sales!$U$5:$U$121&gt;=G228)*(D_sales!$C$5:$C$121=C228),D_sales!$U$5:$U$121),0.75),PERCENTILE(IF((D_sales!$W$5:$W$121=1)*(D_sales!$U$5:$U$121&gt;=G228),D_sales!$U$5:$U$121),0.75)),0)</f>
        <v>23</v>
      </c>
      <c r="W228" s="3" t="n">
        <f aca="false">IF(G228&gt;0,IF(I228&gt;=D_F01!$B$27,MIN(T228,U228),G228+3),H46)</f>
        <v>16.5</v>
      </c>
      <c r="X228" s="3" t="n">
        <f aca="false">IF(G228&gt;0,IF(I228&gt;=D_F01!$B$27,T228,G228+10),E46)</f>
        <v>19.2053173039565</v>
      </c>
      <c r="Y228" s="3" t="n">
        <f aca="false">IF(G228&gt;0,IF(I228&gt;=D_F01!$B$27,MAX(T228,V228),G228+21),I46)</f>
        <v>23</v>
      </c>
    </row>
    <row r="229" customFormat="false" ht="25.5" hidden="false" customHeight="true" outlineLevel="0" collapsed="false">
      <c r="A229" s="4" t="s">
        <v>2151</v>
      </c>
      <c r="B229" s="4" t="s">
        <v>2152</v>
      </c>
      <c r="C229" s="4" t="s">
        <v>1977</v>
      </c>
      <c r="D229" s="4" t="s">
        <v>2133</v>
      </c>
      <c r="E229" s="33" t="n">
        <f aca="false">D_sales!N93</f>
        <v>658439641</v>
      </c>
      <c r="F229" s="38" t="n">
        <f aca="false">D_sales!H93</f>
        <v>46198</v>
      </c>
      <c r="G229" s="4" t="n">
        <f aca="false">D_sales!O93</f>
        <v>5</v>
      </c>
      <c r="H229" s="4" t="str">
        <f aca="false">C46</f>
        <v>customer</v>
      </c>
      <c r="I229" s="4" t="n">
        <f aca="false">IF(H229="default",0,IF(H229="customer",COUNTIFS(D_sales!$C$5:$C$121,C229,D_sales!$W$5:$W$121,1,D_sales!$U$5:$U$121,"&gt;="&amp;G229),COUNTIFS(D_sales!$W$5:$W$121,1,D_sales!$U$5:$U$121,"&gt;="&amp;G229)))</f>
        <v>20</v>
      </c>
      <c r="J229" s="38" t="n">
        <f aca="false">IF(ISNUMBER(M229),M229,MAX($B$6,F229+ROUNDUP(W229,0)))</f>
        <v>46214</v>
      </c>
      <c r="K229" s="38" t="n">
        <f aca="false">IF(ISNUMBER(M229),M229,MAX($B$6,F229+ROUNDUP(X229,0)))</f>
        <v>46217</v>
      </c>
      <c r="L229" s="38" t="n">
        <f aca="false">IF(ISNUMBER(M229),M229,MAX($B$6,F229+ROUNDUP(Y229,0)))</f>
        <v>46221</v>
      </c>
      <c r="M229" s="38"/>
      <c r="N229" s="38" t="n">
        <f aca="false">CHOOSE(D_F01!$B$19,K229,J229,L229,IF(ISNUMBER(M229),M229,K229+7),K229)</f>
        <v>46217</v>
      </c>
      <c r="O229" s="4" t="str">
        <f aca="false">IF(ISNUMBER(M229),"confirmed",IF(G229&gt;0,"conditional_or_residual_assumption","history_or_fallback"))</f>
        <v>conditional_or_residual_assumption</v>
      </c>
      <c r="P229" s="4" t="s">
        <v>2134</v>
      </c>
      <c r="Q229" s="4" t="n">
        <v>0</v>
      </c>
      <c r="R229" s="38" t="n">
        <v>46203</v>
      </c>
      <c r="S229" s="4" t="str">
        <f aca="false">IF(N229&gt;$B$7,"beyond_horizon",IF(N229&lt;$B$6,"invalid_past","in_horizon"))</f>
        <v>in_horizon</v>
      </c>
      <c r="T229" s="4" t="n">
        <f aca="false">IF(I229&gt;=D_F01!$B$27,IF(H229="customer",SUMIFS(D_sales!$X$5:$X$121,D_sales!$C$5:$C$121,C229,D_sales!$W$5:$W$121,1,D_sales!$U$5:$U$121,"&gt;="&amp;G229),SUMIFS(D_sales!$X$5:$X$121,D_sales!$W$5:$W$121,1,D_sales!$U$5:$U$121,"&gt;="&amp;G229))/IF(H229="customer",SUMIFS(D_sales!$V$5:$V$121,D_sales!$C$5:$C$121,C229,D_sales!$W$5:$W$121,1,D_sales!$U$5:$U$121,"&gt;="&amp;G229),SUMIFS(D_sales!$V$5:$V$121,D_sales!$W$5:$W$121,1,D_sales!$U$5:$U$121,"&gt;="&amp;G229)),0)</f>
        <v>18.3273266277221</v>
      </c>
      <c r="U229" s="4" t="n">
        <f aca="false" t="array" ref="U229:U229">IF(I229&gt;=D_F01!$B$27,IF(H229="customer",PERCENTILE(IF((D_sales!$W$5:$W$121=1)*(D_sales!$U$5:$U$121&gt;=G229)*(D_sales!$C$5:$C$121=C229),D_sales!$U$5:$U$121),0.25),PERCENTILE(IF((D_sales!$W$5:$W$121=1)*(D_sales!$U$5:$U$121&gt;=G229),D_sales!$U$5:$U$121),0.25)),0)</f>
        <v>15.25</v>
      </c>
      <c r="V229" s="4" t="n">
        <f aca="false" t="array" ref="V229:V229">IF(I229&gt;=D_F01!$B$27,IF(H229="customer",PERCENTILE(IF((D_sales!$W$5:$W$121=1)*(D_sales!$U$5:$U$121&gt;=G229)*(D_sales!$C$5:$C$121=C229),D_sales!$U$5:$U$121),0.75),PERCENTILE(IF((D_sales!$W$5:$W$121=1)*(D_sales!$U$5:$U$121&gt;=G229),D_sales!$U$5:$U$121),0.75)),0)</f>
        <v>23</v>
      </c>
      <c r="W229" s="4" t="n">
        <f aca="false">IF(G229&gt;0,IF(I229&gt;=D_F01!$B$27,MIN(T229,U229),G229+3),H46)</f>
        <v>15.25</v>
      </c>
      <c r="X229" s="4" t="n">
        <f aca="false">IF(G229&gt;0,IF(I229&gt;=D_F01!$B$27,T229,G229+10),E46)</f>
        <v>18.3273266277221</v>
      </c>
      <c r="Y229" s="4" t="n">
        <f aca="false">IF(G229&gt;0,IF(I229&gt;=D_F01!$B$27,MAX(T229,V229),G229+21),I46)</f>
        <v>23</v>
      </c>
    </row>
    <row r="230" customFormat="false" ht="25.5" hidden="false" customHeight="true" outlineLevel="0" collapsed="false">
      <c r="A230" s="3" t="s">
        <v>2153</v>
      </c>
      <c r="B230" s="3" t="s">
        <v>2154</v>
      </c>
      <c r="C230" s="3" t="s">
        <v>1977</v>
      </c>
      <c r="D230" s="3" t="s">
        <v>2133</v>
      </c>
      <c r="E230" s="32" t="n">
        <f aca="false">D_sales!N94</f>
        <v>593405121</v>
      </c>
      <c r="F230" s="39" t="n">
        <f aca="false">D_sales!H94</f>
        <v>46200</v>
      </c>
      <c r="G230" s="3" t="n">
        <f aca="false">D_sales!O94</f>
        <v>3</v>
      </c>
      <c r="H230" s="3" t="str">
        <f aca="false">C46</f>
        <v>customer</v>
      </c>
      <c r="I230" s="3" t="n">
        <f aca="false">IF(H230="default",0,IF(H230="customer",COUNTIFS(D_sales!$C$5:$C$121,C230,D_sales!$W$5:$W$121,1,D_sales!$U$5:$U$121,"&gt;="&amp;G230),COUNTIFS(D_sales!$W$5:$W$121,1,D_sales!$U$5:$U$121,"&gt;="&amp;G230)))</f>
        <v>23</v>
      </c>
      <c r="J230" s="39" t="n">
        <f aca="false">IF(ISNUMBER(M230),M230,MAX($B$6,F230+ROUNDUP(W230,0)))</f>
        <v>46211</v>
      </c>
      <c r="K230" s="39" t="n">
        <f aca="false">IF(ISNUMBER(M230),M230,MAX($B$6,F230+ROUNDUP(X230,0)))</f>
        <v>46217</v>
      </c>
      <c r="L230" s="39" t="n">
        <f aca="false">IF(ISNUMBER(M230),M230,MAX($B$6,F230+ROUNDUP(Y230,0)))</f>
        <v>46223</v>
      </c>
      <c r="M230" s="39"/>
      <c r="N230" s="39" t="n">
        <f aca="false">CHOOSE(D_F01!$B$19,K230,J230,L230,IF(ISNUMBER(M230),M230,K230+7),K230)</f>
        <v>46217</v>
      </c>
      <c r="O230" s="3" t="str">
        <f aca="false">IF(ISNUMBER(M230),"confirmed",IF(G230&gt;0,"conditional_or_residual_assumption","history_or_fallback"))</f>
        <v>conditional_or_residual_assumption</v>
      </c>
      <c r="P230" s="3" t="s">
        <v>2134</v>
      </c>
      <c r="Q230" s="3" t="n">
        <v>0</v>
      </c>
      <c r="R230" s="39" t="n">
        <v>46203</v>
      </c>
      <c r="S230" s="3" t="str">
        <f aca="false">IF(N230&gt;$B$7,"beyond_horizon",IF(N230&lt;$B$6,"invalid_past","in_horizon"))</f>
        <v>in_horizon</v>
      </c>
      <c r="T230" s="3" t="n">
        <f aca="false">IF(I230&gt;=D_F01!$B$27,IF(H230="customer",SUMIFS(D_sales!$X$5:$X$121,D_sales!$C$5:$C$121,C230,D_sales!$W$5:$W$121,1,D_sales!$U$5:$U$121,"&gt;="&amp;G230),SUMIFS(D_sales!$X$5:$X$121,D_sales!$W$5:$W$121,1,D_sales!$U$5:$U$121,"&gt;="&amp;G230))/IF(H230="customer",SUMIFS(D_sales!$V$5:$V$121,D_sales!$C$5:$C$121,C230,D_sales!$W$5:$W$121,1,D_sales!$U$5:$U$121,"&gt;="&amp;G230),SUMIFS(D_sales!$V$5:$V$121,D_sales!$W$5:$W$121,1,D_sales!$U$5:$U$121,"&gt;="&amp;G230)),0)</f>
        <v>16.2114491908565</v>
      </c>
      <c r="U230" s="3" t="n">
        <f aca="false" t="array" ref="U230:U230">IF(I230&gt;=D_F01!$B$27,IF(H230="customer",PERCENTILE(IF((D_sales!$W$5:$W$121=1)*(D_sales!$U$5:$U$121&gt;=G230)*(D_sales!$C$5:$C$121=C230),D_sales!$U$5:$U$121),0.25),PERCENTILE(IF((D_sales!$W$5:$W$121=1)*(D_sales!$U$5:$U$121&gt;=G230),D_sales!$U$5:$U$121),0.25)),0)</f>
        <v>10.5</v>
      </c>
      <c r="V230" s="3" t="n">
        <f aca="false" t="array" ref="V230:V230">IF(I230&gt;=D_F01!$B$27,IF(H230="customer",PERCENTILE(IF((D_sales!$W$5:$W$121=1)*(D_sales!$U$5:$U$121&gt;=G230)*(D_sales!$C$5:$C$121=C230),D_sales!$U$5:$U$121),0.75),PERCENTILE(IF((D_sales!$W$5:$W$121=1)*(D_sales!$U$5:$U$121&gt;=G230),D_sales!$U$5:$U$121),0.75)),0)</f>
        <v>22.5</v>
      </c>
      <c r="W230" s="3" t="n">
        <f aca="false">IF(G230&gt;0,IF(I230&gt;=D_F01!$B$27,MIN(T230,U230),G230+3),H46)</f>
        <v>10.5</v>
      </c>
      <c r="X230" s="3" t="n">
        <f aca="false">IF(G230&gt;0,IF(I230&gt;=D_F01!$B$27,T230,G230+10),E46)</f>
        <v>16.2114491908565</v>
      </c>
      <c r="Y230" s="3" t="n">
        <f aca="false">IF(G230&gt;0,IF(I230&gt;=D_F01!$B$27,MAX(T230,V230),G230+21),I46)</f>
        <v>22.5</v>
      </c>
    </row>
    <row r="231" customFormat="false" ht="25.5" hidden="false" customHeight="true" outlineLevel="0" collapsed="false">
      <c r="A231" s="4" t="s">
        <v>2155</v>
      </c>
      <c r="B231" s="4" t="s">
        <v>2156</v>
      </c>
      <c r="C231" s="4" t="s">
        <v>1977</v>
      </c>
      <c r="D231" s="4" t="s">
        <v>2133</v>
      </c>
      <c r="E231" s="33" t="n">
        <f aca="false">D_sales!N96</f>
        <v>889855674</v>
      </c>
      <c r="F231" s="38" t="n">
        <f aca="false">D_sales!H96</f>
        <v>46204</v>
      </c>
      <c r="G231" s="4" t="n">
        <f aca="false">D_sales!O96</f>
        <v>0</v>
      </c>
      <c r="H231" s="4" t="str">
        <f aca="false">C46</f>
        <v>customer</v>
      </c>
      <c r="I231" s="4" t="n">
        <f aca="false">IF(H231="default",0,IF(H231="customer",COUNTIFS(D_sales!$C$5:$C$121,C231,D_sales!$W$5:$W$121,1,D_sales!$U$5:$U$121,"&gt;="&amp;G231),COUNTIFS(D_sales!$W$5:$W$121,1,D_sales!$U$5:$U$121,"&gt;="&amp;G231)))</f>
        <v>23</v>
      </c>
      <c r="J231" s="38" t="n">
        <f aca="false">IF(ISNUMBER(M231),M231,MAX($B$6,F231+ROUNDUP(W231,0)))</f>
        <v>46215</v>
      </c>
      <c r="K231" s="38" t="n">
        <f aca="false">IF(ISNUMBER(M231),M231,MAX($B$6,F231+ROUNDUP(X231,0)))</f>
        <v>46221</v>
      </c>
      <c r="L231" s="38" t="n">
        <f aca="false">IF(ISNUMBER(M231),M231,MAX($B$6,F231+ROUNDUP(Y231,0)))</f>
        <v>46227</v>
      </c>
      <c r="M231" s="38"/>
      <c r="N231" s="38" t="n">
        <f aca="false">CHOOSE(D_F01!$B$19,K231,J231,L231,IF(ISNUMBER(M231),M231,K231+7),K231)</f>
        <v>46221</v>
      </c>
      <c r="O231" s="4" t="str">
        <f aca="false">IF(ISNUMBER(M231),"confirmed",IF(G231&gt;0,"conditional_or_residual_assumption","history_or_fallback"))</f>
        <v>history_or_fallback</v>
      </c>
      <c r="P231" s="4" t="s">
        <v>2134</v>
      </c>
      <c r="Q231" s="4" t="n">
        <v>0</v>
      </c>
      <c r="R231" s="38" t="n">
        <v>46203</v>
      </c>
      <c r="S231" s="4" t="str">
        <f aca="false">IF(N231&gt;$B$7,"beyond_horizon",IF(N231&lt;$B$6,"invalid_past","in_horizon"))</f>
        <v>in_horizon</v>
      </c>
      <c r="T231" s="4" t="n">
        <f aca="false">IF(I231&gt;=D_F01!$B$27,IF(H231="customer",SUMIFS(D_sales!$X$5:$X$121,D_sales!$C$5:$C$121,C231,D_sales!$W$5:$W$121,1,D_sales!$U$5:$U$121,"&gt;="&amp;G231),SUMIFS(D_sales!$X$5:$X$121,D_sales!$W$5:$W$121,1,D_sales!$U$5:$U$121,"&gt;="&amp;G231))/IF(H231="customer",SUMIFS(D_sales!$V$5:$V$121,D_sales!$C$5:$C$121,C231,D_sales!$W$5:$W$121,1,D_sales!$U$5:$U$121,"&gt;="&amp;G231),SUMIFS(D_sales!$V$5:$V$121,D_sales!$W$5:$W$121,1,D_sales!$U$5:$U$121,"&gt;="&amp;G231)),0)</f>
        <v>16.2114491908565</v>
      </c>
      <c r="U231" s="4" t="n">
        <f aca="false" t="array" ref="U231:U231">IF(I231&gt;=D_F01!$B$27,IF(H231="customer",PERCENTILE(IF((D_sales!$W$5:$W$121=1)*(D_sales!$U$5:$U$121&gt;=G231)*(D_sales!$C$5:$C$121=C231),D_sales!$U$5:$U$121),0.25),PERCENTILE(IF((D_sales!$W$5:$W$121=1)*(D_sales!$U$5:$U$121&gt;=G231),D_sales!$U$5:$U$121),0.25)),0)</f>
        <v>10.5</v>
      </c>
      <c r="V231" s="4" t="n">
        <f aca="false" t="array" ref="V231:V231">IF(I231&gt;=D_F01!$B$27,IF(H231="customer",PERCENTILE(IF((D_sales!$W$5:$W$121=1)*(D_sales!$U$5:$U$121&gt;=G231)*(D_sales!$C$5:$C$121=C231),D_sales!$U$5:$U$121),0.75),PERCENTILE(IF((D_sales!$W$5:$W$121=1)*(D_sales!$U$5:$U$121&gt;=G231),D_sales!$U$5:$U$121),0.75)),0)</f>
        <v>22.5</v>
      </c>
      <c r="W231" s="4" t="n">
        <f aca="false">IF(G231&gt;0,IF(I231&gt;=D_F01!$B$27,MIN(T231,U231),G231+3),H46)</f>
        <v>10.5</v>
      </c>
      <c r="X231" s="4" t="n">
        <f aca="false">IF(G231&gt;0,IF(I231&gt;=D_F01!$B$27,T231,G231+10),E46)</f>
        <v>16.2114491908565</v>
      </c>
      <c r="Y231" s="4" t="n">
        <f aca="false">IF(G231&gt;0,IF(I231&gt;=D_F01!$B$27,MAX(T231,V231),G231+21),I46)</f>
        <v>22.5</v>
      </c>
    </row>
    <row r="232" customFormat="false" ht="25.5" hidden="false" customHeight="true" outlineLevel="0" collapsed="false">
      <c r="A232" s="3" t="s">
        <v>2157</v>
      </c>
      <c r="B232" s="3" t="s">
        <v>2158</v>
      </c>
      <c r="C232" s="3" t="s">
        <v>1977</v>
      </c>
      <c r="D232" s="3" t="s">
        <v>2133</v>
      </c>
      <c r="E232" s="32" t="n">
        <f aca="false">D_sales!N97</f>
        <v>560298165</v>
      </c>
      <c r="F232" s="39" t="n">
        <f aca="false">D_sales!H97</f>
        <v>46205</v>
      </c>
      <c r="G232" s="3" t="n">
        <f aca="false">D_sales!O97</f>
        <v>0</v>
      </c>
      <c r="H232" s="3" t="str">
        <f aca="false">C46</f>
        <v>customer</v>
      </c>
      <c r="I232" s="3" t="n">
        <f aca="false">IF(H232="default",0,IF(H232="customer",COUNTIFS(D_sales!$C$5:$C$121,C232,D_sales!$W$5:$W$121,1,D_sales!$U$5:$U$121,"&gt;="&amp;G232),COUNTIFS(D_sales!$W$5:$W$121,1,D_sales!$U$5:$U$121,"&gt;="&amp;G232)))</f>
        <v>23</v>
      </c>
      <c r="J232" s="39" t="n">
        <f aca="false">IF(ISNUMBER(M232),M232,MAX($B$6,F232+ROUNDUP(W232,0)))</f>
        <v>46216</v>
      </c>
      <c r="K232" s="39" t="n">
        <f aca="false">IF(ISNUMBER(M232),M232,MAX($B$6,F232+ROUNDUP(X232,0)))</f>
        <v>46222</v>
      </c>
      <c r="L232" s="39" t="n">
        <f aca="false">IF(ISNUMBER(M232),M232,MAX($B$6,F232+ROUNDUP(Y232,0)))</f>
        <v>46228</v>
      </c>
      <c r="M232" s="39"/>
      <c r="N232" s="39" t="n">
        <f aca="false">CHOOSE(D_F01!$B$19,K232,J232,L232,IF(ISNUMBER(M232),M232,K232+7),K232)</f>
        <v>46222</v>
      </c>
      <c r="O232" s="3" t="str">
        <f aca="false">IF(ISNUMBER(M232),"confirmed",IF(G232&gt;0,"conditional_or_residual_assumption","history_or_fallback"))</f>
        <v>history_or_fallback</v>
      </c>
      <c r="P232" s="3" t="s">
        <v>2134</v>
      </c>
      <c r="Q232" s="3" t="n">
        <v>0</v>
      </c>
      <c r="R232" s="39" t="n">
        <v>46203</v>
      </c>
      <c r="S232" s="3" t="str">
        <f aca="false">IF(N232&gt;$B$7,"beyond_horizon",IF(N232&lt;$B$6,"invalid_past","in_horizon"))</f>
        <v>in_horizon</v>
      </c>
      <c r="T232" s="3" t="n">
        <f aca="false">IF(I232&gt;=D_F01!$B$27,IF(H232="customer",SUMIFS(D_sales!$X$5:$X$121,D_sales!$C$5:$C$121,C232,D_sales!$W$5:$W$121,1,D_sales!$U$5:$U$121,"&gt;="&amp;G232),SUMIFS(D_sales!$X$5:$X$121,D_sales!$W$5:$W$121,1,D_sales!$U$5:$U$121,"&gt;="&amp;G232))/IF(H232="customer",SUMIFS(D_sales!$V$5:$V$121,D_sales!$C$5:$C$121,C232,D_sales!$W$5:$W$121,1,D_sales!$U$5:$U$121,"&gt;="&amp;G232),SUMIFS(D_sales!$V$5:$V$121,D_sales!$W$5:$W$121,1,D_sales!$U$5:$U$121,"&gt;="&amp;G232)),0)</f>
        <v>16.2114491908565</v>
      </c>
      <c r="U232" s="3" t="n">
        <f aca="false" t="array" ref="U232:U232">IF(I232&gt;=D_F01!$B$27,IF(H232="customer",PERCENTILE(IF((D_sales!$W$5:$W$121=1)*(D_sales!$U$5:$U$121&gt;=G232)*(D_sales!$C$5:$C$121=C232),D_sales!$U$5:$U$121),0.25),PERCENTILE(IF((D_sales!$W$5:$W$121=1)*(D_sales!$U$5:$U$121&gt;=G232),D_sales!$U$5:$U$121),0.25)),0)</f>
        <v>10.5</v>
      </c>
      <c r="V232" s="3" t="n">
        <f aca="false" t="array" ref="V232:V232">IF(I232&gt;=D_F01!$B$27,IF(H232="customer",PERCENTILE(IF((D_sales!$W$5:$W$121=1)*(D_sales!$U$5:$U$121&gt;=G232)*(D_sales!$C$5:$C$121=C232),D_sales!$U$5:$U$121),0.75),PERCENTILE(IF((D_sales!$W$5:$W$121=1)*(D_sales!$U$5:$U$121&gt;=G232),D_sales!$U$5:$U$121),0.75)),0)</f>
        <v>22.5</v>
      </c>
      <c r="W232" s="3" t="n">
        <f aca="false">IF(G232&gt;0,IF(I232&gt;=D_F01!$B$27,MIN(T232,U232),G232+3),H46)</f>
        <v>10.5</v>
      </c>
      <c r="X232" s="3" t="n">
        <f aca="false">IF(G232&gt;0,IF(I232&gt;=D_F01!$B$27,T232,G232+10),E46)</f>
        <v>16.2114491908565</v>
      </c>
      <c r="Y232" s="3" t="n">
        <f aca="false">IF(G232&gt;0,IF(I232&gt;=D_F01!$B$27,MAX(T232,V232),G232+21),I46)</f>
        <v>22.5</v>
      </c>
    </row>
    <row r="233" customFormat="false" ht="25.5" hidden="false" customHeight="true" outlineLevel="0" collapsed="false">
      <c r="A233" s="4" t="s">
        <v>2159</v>
      </c>
      <c r="B233" s="4" t="s">
        <v>2160</v>
      </c>
      <c r="C233" s="4" t="s">
        <v>1977</v>
      </c>
      <c r="D233" s="4" t="s">
        <v>2133</v>
      </c>
      <c r="E233" s="33" t="n">
        <f aca="false">D_sales!N98</f>
        <v>927740677</v>
      </c>
      <c r="F233" s="38" t="n">
        <f aca="false">D_sales!H98</f>
        <v>46206</v>
      </c>
      <c r="G233" s="4" t="n">
        <f aca="false">D_sales!O98</f>
        <v>0</v>
      </c>
      <c r="H233" s="4" t="str">
        <f aca="false">C46</f>
        <v>customer</v>
      </c>
      <c r="I233" s="4" t="n">
        <f aca="false">IF(H233="default",0,IF(H233="customer",COUNTIFS(D_sales!$C$5:$C$121,C233,D_sales!$W$5:$W$121,1,D_sales!$U$5:$U$121,"&gt;="&amp;G233),COUNTIFS(D_sales!$W$5:$W$121,1,D_sales!$U$5:$U$121,"&gt;="&amp;G233)))</f>
        <v>23</v>
      </c>
      <c r="J233" s="38" t="n">
        <f aca="false">IF(ISNUMBER(M233),M233,MAX($B$6,F233+ROUNDUP(W233,0)))</f>
        <v>46217</v>
      </c>
      <c r="K233" s="38" t="n">
        <f aca="false">IF(ISNUMBER(M233),M233,MAX($B$6,F233+ROUNDUP(X233,0)))</f>
        <v>46223</v>
      </c>
      <c r="L233" s="38" t="n">
        <f aca="false">IF(ISNUMBER(M233),M233,MAX($B$6,F233+ROUNDUP(Y233,0)))</f>
        <v>46229</v>
      </c>
      <c r="M233" s="38"/>
      <c r="N233" s="38" t="n">
        <f aca="false">CHOOSE(D_F01!$B$19,K233,J233,L233,IF(ISNUMBER(M233),M233,K233+7),K233)</f>
        <v>46223</v>
      </c>
      <c r="O233" s="4" t="str">
        <f aca="false">IF(ISNUMBER(M233),"confirmed",IF(G233&gt;0,"conditional_or_residual_assumption","history_or_fallback"))</f>
        <v>history_or_fallback</v>
      </c>
      <c r="P233" s="4" t="s">
        <v>2134</v>
      </c>
      <c r="Q233" s="4" t="n">
        <v>0</v>
      </c>
      <c r="R233" s="38" t="n">
        <v>46203</v>
      </c>
      <c r="S233" s="4" t="str">
        <f aca="false">IF(N233&gt;$B$7,"beyond_horizon",IF(N233&lt;$B$6,"invalid_past","in_horizon"))</f>
        <v>in_horizon</v>
      </c>
      <c r="T233" s="4" t="n">
        <f aca="false">IF(I233&gt;=D_F01!$B$27,IF(H233="customer",SUMIFS(D_sales!$X$5:$X$121,D_sales!$C$5:$C$121,C233,D_sales!$W$5:$W$121,1,D_sales!$U$5:$U$121,"&gt;="&amp;G233),SUMIFS(D_sales!$X$5:$X$121,D_sales!$W$5:$W$121,1,D_sales!$U$5:$U$121,"&gt;="&amp;G233))/IF(H233="customer",SUMIFS(D_sales!$V$5:$V$121,D_sales!$C$5:$C$121,C233,D_sales!$W$5:$W$121,1,D_sales!$U$5:$U$121,"&gt;="&amp;G233),SUMIFS(D_sales!$V$5:$V$121,D_sales!$W$5:$W$121,1,D_sales!$U$5:$U$121,"&gt;="&amp;G233)),0)</f>
        <v>16.2114491908565</v>
      </c>
      <c r="U233" s="4" t="n">
        <f aca="false" t="array" ref="U233:U233">IF(I233&gt;=D_F01!$B$27,IF(H233="customer",PERCENTILE(IF((D_sales!$W$5:$W$121=1)*(D_sales!$U$5:$U$121&gt;=G233)*(D_sales!$C$5:$C$121=C233),D_sales!$U$5:$U$121),0.25),PERCENTILE(IF((D_sales!$W$5:$W$121=1)*(D_sales!$U$5:$U$121&gt;=G233),D_sales!$U$5:$U$121),0.25)),0)</f>
        <v>10.5</v>
      </c>
      <c r="V233" s="4" t="n">
        <f aca="false" t="array" ref="V233:V233">IF(I233&gt;=D_F01!$B$27,IF(H233="customer",PERCENTILE(IF((D_sales!$W$5:$W$121=1)*(D_sales!$U$5:$U$121&gt;=G233)*(D_sales!$C$5:$C$121=C233),D_sales!$U$5:$U$121),0.75),PERCENTILE(IF((D_sales!$W$5:$W$121=1)*(D_sales!$U$5:$U$121&gt;=G233),D_sales!$U$5:$U$121),0.75)),0)</f>
        <v>22.5</v>
      </c>
      <c r="W233" s="4" t="n">
        <f aca="false">IF(G233&gt;0,IF(I233&gt;=D_F01!$B$27,MIN(T233,U233),G233+3),H46)</f>
        <v>10.5</v>
      </c>
      <c r="X233" s="4" t="n">
        <f aca="false">IF(G233&gt;0,IF(I233&gt;=D_F01!$B$27,T233,G233+10),E46)</f>
        <v>16.2114491908565</v>
      </c>
      <c r="Y233" s="4" t="n">
        <f aca="false">IF(G233&gt;0,IF(I233&gt;=D_F01!$B$27,MAX(T233,V233),G233+21),I46)</f>
        <v>22.5</v>
      </c>
    </row>
    <row r="234" customFormat="false" ht="25.5" hidden="false" customHeight="true" outlineLevel="0" collapsed="false">
      <c r="A234" s="3" t="s">
        <v>2161</v>
      </c>
      <c r="B234" s="3" t="s">
        <v>2162</v>
      </c>
      <c r="C234" s="3" t="s">
        <v>1978</v>
      </c>
      <c r="D234" s="3" t="s">
        <v>2133</v>
      </c>
      <c r="E234" s="32" t="n">
        <f aca="false">D_sales!N100</f>
        <v>983608872</v>
      </c>
      <c r="F234" s="39" t="n">
        <f aca="false">D_sales!H100</f>
        <v>46196</v>
      </c>
      <c r="G234" s="3" t="n">
        <f aca="false">D_sales!O100</f>
        <v>7</v>
      </c>
      <c r="H234" s="3" t="str">
        <f aca="false">C47</f>
        <v>customer</v>
      </c>
      <c r="I234" s="3" t="n">
        <f aca="false">IF(H234="default",0,IF(H234="customer",COUNTIFS(D_sales!$C$5:$C$121,C234,D_sales!$W$5:$W$121,1,D_sales!$U$5:$U$121,"&gt;="&amp;G234),COUNTIFS(D_sales!$W$5:$W$121,1,D_sales!$U$5:$U$121,"&gt;="&amp;G234)))</f>
        <v>1</v>
      </c>
      <c r="J234" s="39" t="n">
        <f aca="false">IF(ISNUMBER(M234),M234,MAX($B$6,F234+ROUNDUP(W234,0)))</f>
        <v>46207</v>
      </c>
      <c r="K234" s="39" t="n">
        <f aca="false">IF(ISNUMBER(M234),M234,MAX($B$6,F234+ROUNDUP(X234,0)))</f>
        <v>46207</v>
      </c>
      <c r="L234" s="39" t="n">
        <f aca="false">IF(ISNUMBER(M234),M234,MAX($B$6,F234+ROUNDUP(Y234,0)))</f>
        <v>46207</v>
      </c>
      <c r="M234" s="39" t="n">
        <f aca="false">D_flows!B52</f>
        <v>46207</v>
      </c>
      <c r="N234" s="39" t="n">
        <f aca="false">CHOOSE(D_F01!$B$19,K234,J234,L234,IF(ISNUMBER(M234),M234,K234+7),K234)</f>
        <v>46207</v>
      </c>
      <c r="O234" s="3" t="str">
        <f aca="false">IF(ISNUMBER(M234),"confirmed",IF(G234&gt;0,"conditional_or_residual_assumption","history_or_fallback"))</f>
        <v>confirmed</v>
      </c>
      <c r="P234" s="3" t="s">
        <v>2134</v>
      </c>
      <c r="Q234" s="3" t="n">
        <v>0</v>
      </c>
      <c r="R234" s="39" t="n">
        <v>46203</v>
      </c>
      <c r="S234" s="3" t="str">
        <f aca="false">IF(N234&gt;$B$7,"beyond_horizon",IF(N234&lt;$B$6,"invalid_past","in_horizon"))</f>
        <v>in_horizon</v>
      </c>
      <c r="T234" s="3" t="n">
        <f aca="false">IF(I234&gt;=D_F01!$B$27,IF(H234="customer",SUMIFS(D_sales!$X$5:$X$121,D_sales!$C$5:$C$121,C234,D_sales!$W$5:$W$121,1,D_sales!$U$5:$U$121,"&gt;="&amp;G234),SUMIFS(D_sales!$X$5:$X$121,D_sales!$W$5:$W$121,1,D_sales!$U$5:$U$121,"&gt;="&amp;G234))/IF(H234="customer",SUMIFS(D_sales!$V$5:$V$121,D_sales!$C$5:$C$121,C234,D_sales!$W$5:$W$121,1,D_sales!$U$5:$U$121,"&gt;="&amp;G234),SUMIFS(D_sales!$V$5:$V$121,D_sales!$W$5:$W$121,1,D_sales!$U$5:$U$121,"&gt;="&amp;G234)),0)</f>
        <v>0</v>
      </c>
      <c r="U234" s="3" t="n">
        <f aca="false" t="array" ref="U234:U234">IF(I234&gt;=D_F01!$B$27,IF(H234="customer",PERCENTILE(IF((D_sales!$W$5:$W$121=1)*(D_sales!$U$5:$U$121&gt;=G234)*(D_sales!$C$5:$C$121=C234),D_sales!$U$5:$U$121),0.25),PERCENTILE(IF((D_sales!$W$5:$W$121=1)*(D_sales!$U$5:$U$121&gt;=G234),D_sales!$U$5:$U$121),0.25)),0)</f>
        <v>0</v>
      </c>
      <c r="V234" s="3" t="n">
        <f aca="false" t="array" ref="V234:V234">IF(I234&gt;=D_F01!$B$27,IF(H234="customer",PERCENTILE(IF((D_sales!$W$5:$W$121=1)*(D_sales!$U$5:$U$121&gt;=G234)*(D_sales!$C$5:$C$121=C234),D_sales!$U$5:$U$121),0.75),PERCENTILE(IF((D_sales!$W$5:$W$121=1)*(D_sales!$U$5:$U$121&gt;=G234),D_sales!$U$5:$U$121),0.75)),0)</f>
        <v>0</v>
      </c>
      <c r="W234" s="3" t="n">
        <f aca="false">IF(G234&gt;0,IF(I234&gt;=D_F01!$B$27,MIN(T234,U234),G234+3),H47)</f>
        <v>10</v>
      </c>
      <c r="X234" s="3" t="n">
        <f aca="false">IF(G234&gt;0,IF(I234&gt;=D_F01!$B$27,T234,G234+10),E47)</f>
        <v>17</v>
      </c>
      <c r="Y234" s="3" t="n">
        <f aca="false">IF(G234&gt;0,IF(I234&gt;=D_F01!$B$27,MAX(T234,V234),G234+21),I47)</f>
        <v>28</v>
      </c>
    </row>
    <row r="235" customFormat="false" ht="25.5" hidden="false" customHeight="true" outlineLevel="0" collapsed="false">
      <c r="A235" s="4" t="s">
        <v>2163</v>
      </c>
      <c r="B235" s="4" t="s">
        <v>2164</v>
      </c>
      <c r="C235" s="4" t="s">
        <v>1977</v>
      </c>
      <c r="D235" s="4" t="s">
        <v>2133</v>
      </c>
      <c r="E235" s="33" t="n">
        <f aca="false">D_sales!N103</f>
        <v>833520428</v>
      </c>
      <c r="F235" s="38" t="n">
        <f aca="false">D_sales!H103</f>
        <v>46213</v>
      </c>
      <c r="G235" s="4" t="n">
        <f aca="false">D_sales!O103</f>
        <v>0</v>
      </c>
      <c r="H235" s="4" t="str">
        <f aca="false">C46</f>
        <v>customer</v>
      </c>
      <c r="I235" s="4" t="n">
        <f aca="false">IF(H235="default",0,IF(H235="customer",COUNTIFS(D_sales!$C$5:$C$121,C235,D_sales!$W$5:$W$121,1,D_sales!$U$5:$U$121,"&gt;="&amp;G235),COUNTIFS(D_sales!$W$5:$W$121,1,D_sales!$U$5:$U$121,"&gt;="&amp;G235)))</f>
        <v>23</v>
      </c>
      <c r="J235" s="38" t="n">
        <f aca="false">IF(ISNUMBER(M235),M235,MAX($B$6,F235+ROUNDUP(W235,0)))</f>
        <v>46224</v>
      </c>
      <c r="K235" s="38" t="n">
        <f aca="false">IF(ISNUMBER(M235),M235,MAX($B$6,F235+ROUNDUP(X235,0)))</f>
        <v>46230</v>
      </c>
      <c r="L235" s="38" t="n">
        <f aca="false">IF(ISNUMBER(M235),M235,MAX($B$6,F235+ROUNDUP(Y235,0)))</f>
        <v>46236</v>
      </c>
      <c r="M235" s="38"/>
      <c r="N235" s="38" t="n">
        <f aca="false">CHOOSE(D_F01!$B$19,K235,J235,L235,IF(ISNUMBER(M235),M235,K235+7),K235)</f>
        <v>46230</v>
      </c>
      <c r="O235" s="4" t="str">
        <f aca="false">IF(ISNUMBER(M235),"confirmed",IF(G235&gt;0,"conditional_or_residual_assumption","history_or_fallback"))</f>
        <v>history_or_fallback</v>
      </c>
      <c r="P235" s="4" t="s">
        <v>2134</v>
      </c>
      <c r="Q235" s="4" t="n">
        <v>0</v>
      </c>
      <c r="R235" s="38" t="n">
        <v>46203</v>
      </c>
      <c r="S235" s="4" t="str">
        <f aca="false">IF(N235&gt;$B$7,"beyond_horizon",IF(N235&lt;$B$6,"invalid_past","in_horizon"))</f>
        <v>in_horizon</v>
      </c>
      <c r="T235" s="4" t="n">
        <f aca="false">IF(I235&gt;=D_F01!$B$27,IF(H235="customer",SUMIFS(D_sales!$X$5:$X$121,D_sales!$C$5:$C$121,C235,D_sales!$W$5:$W$121,1,D_sales!$U$5:$U$121,"&gt;="&amp;G235),SUMIFS(D_sales!$X$5:$X$121,D_sales!$W$5:$W$121,1,D_sales!$U$5:$U$121,"&gt;="&amp;G235))/IF(H235="customer",SUMIFS(D_sales!$V$5:$V$121,D_sales!$C$5:$C$121,C235,D_sales!$W$5:$W$121,1,D_sales!$U$5:$U$121,"&gt;="&amp;G235),SUMIFS(D_sales!$V$5:$V$121,D_sales!$W$5:$W$121,1,D_sales!$U$5:$U$121,"&gt;="&amp;G235)),0)</f>
        <v>16.2114491908565</v>
      </c>
      <c r="U235" s="4" t="n">
        <f aca="false" t="array" ref="U235:U235">IF(I235&gt;=D_F01!$B$27,IF(H235="customer",PERCENTILE(IF((D_sales!$W$5:$W$121=1)*(D_sales!$U$5:$U$121&gt;=G235)*(D_sales!$C$5:$C$121=C235),D_sales!$U$5:$U$121),0.25),PERCENTILE(IF((D_sales!$W$5:$W$121=1)*(D_sales!$U$5:$U$121&gt;=G235),D_sales!$U$5:$U$121),0.25)),0)</f>
        <v>10.5</v>
      </c>
      <c r="V235" s="4" t="n">
        <f aca="false" t="array" ref="V235:V235">IF(I235&gt;=D_F01!$B$27,IF(H235="customer",PERCENTILE(IF((D_sales!$W$5:$W$121=1)*(D_sales!$U$5:$U$121&gt;=G235)*(D_sales!$C$5:$C$121=C235),D_sales!$U$5:$U$121),0.75),PERCENTILE(IF((D_sales!$W$5:$W$121=1)*(D_sales!$U$5:$U$121&gt;=G235),D_sales!$U$5:$U$121),0.75)),0)</f>
        <v>22.5</v>
      </c>
      <c r="W235" s="4" t="n">
        <f aca="false">IF(G235&gt;0,IF(I235&gt;=D_F01!$B$27,MIN(T235,U235),G235+3),H46)</f>
        <v>10.5</v>
      </c>
      <c r="X235" s="4" t="n">
        <f aca="false">IF(G235&gt;0,IF(I235&gt;=D_F01!$B$27,T235,G235+10),E46)</f>
        <v>16.2114491908565</v>
      </c>
      <c r="Y235" s="4" t="n">
        <f aca="false">IF(G235&gt;0,IF(I235&gt;=D_F01!$B$27,MAX(T235,V235),G235+21),I46)</f>
        <v>22.5</v>
      </c>
    </row>
    <row r="236" customFormat="false" ht="25.5" hidden="false" customHeight="true" outlineLevel="0" collapsed="false">
      <c r="A236" s="3" t="s">
        <v>2165</v>
      </c>
      <c r="B236" s="3" t="s">
        <v>2166</v>
      </c>
      <c r="C236" s="3" t="s">
        <v>1980</v>
      </c>
      <c r="D236" s="3" t="s">
        <v>2133</v>
      </c>
      <c r="E236" s="32" t="n">
        <f aca="false">D_sales!N104</f>
        <v>1909998793</v>
      </c>
      <c r="F236" s="39" t="n">
        <f aca="false">D_sales!H104</f>
        <v>46200</v>
      </c>
      <c r="G236" s="3" t="n">
        <f aca="false">D_sales!O104</f>
        <v>3</v>
      </c>
      <c r="H236" s="3" t="str">
        <f aca="false">C49</f>
        <v>customer</v>
      </c>
      <c r="I236" s="3" t="n">
        <f aca="false">IF(H236="default",0,IF(H236="customer",COUNTIFS(D_sales!$C$5:$C$121,C236,D_sales!$W$5:$W$121,1,D_sales!$U$5:$U$121,"&gt;="&amp;G236),COUNTIFS(D_sales!$W$5:$W$121,1,D_sales!$U$5:$U$121,"&gt;="&amp;G236)))</f>
        <v>2</v>
      </c>
      <c r="J236" s="39" t="n">
        <f aca="false">IF(ISNUMBER(M236),M236,MAX($B$6,F236+ROUNDUP(W236,0)))</f>
        <v>46206</v>
      </c>
      <c r="K236" s="39" t="n">
        <f aca="false">IF(ISNUMBER(M236),M236,MAX($B$6,F236+ROUNDUP(X236,0)))</f>
        <v>46213</v>
      </c>
      <c r="L236" s="39" t="n">
        <f aca="false">IF(ISNUMBER(M236),M236,MAX($B$6,F236+ROUNDUP(Y236,0)))</f>
        <v>46224</v>
      </c>
      <c r="M236" s="39"/>
      <c r="N236" s="39" t="n">
        <f aca="false">CHOOSE(D_F01!$B$19,K236,J236,L236,IF(ISNUMBER(M236),M236,K236+7),K236)</f>
        <v>46213</v>
      </c>
      <c r="O236" s="3" t="str">
        <f aca="false">IF(ISNUMBER(M236),"confirmed",IF(G236&gt;0,"conditional_or_residual_assumption","history_or_fallback"))</f>
        <v>conditional_or_residual_assumption</v>
      </c>
      <c r="P236" s="3" t="s">
        <v>2134</v>
      </c>
      <c r="Q236" s="3" t="n">
        <v>0</v>
      </c>
      <c r="R236" s="39" t="n">
        <v>46203</v>
      </c>
      <c r="S236" s="3" t="str">
        <f aca="false">IF(N236&gt;$B$7,"beyond_horizon",IF(N236&lt;$B$6,"invalid_past","in_horizon"))</f>
        <v>in_horizon</v>
      </c>
      <c r="T236" s="3" t="n">
        <f aca="false">IF(I236&gt;=D_F01!$B$27,IF(H236="customer",SUMIFS(D_sales!$X$5:$X$121,D_sales!$C$5:$C$121,C236,D_sales!$W$5:$W$121,1,D_sales!$U$5:$U$121,"&gt;="&amp;G236),SUMIFS(D_sales!$X$5:$X$121,D_sales!$W$5:$W$121,1,D_sales!$U$5:$U$121,"&gt;="&amp;G236))/IF(H236="customer",SUMIFS(D_sales!$V$5:$V$121,D_sales!$C$5:$C$121,C236,D_sales!$W$5:$W$121,1,D_sales!$U$5:$U$121,"&gt;="&amp;G236),SUMIFS(D_sales!$V$5:$V$121,D_sales!$W$5:$W$121,1,D_sales!$U$5:$U$121,"&gt;="&amp;G236)),0)</f>
        <v>0</v>
      </c>
      <c r="U236" s="3" t="n">
        <f aca="false" t="array" ref="U236:U236">IF(I236&gt;=D_F01!$B$27,IF(H236="customer",PERCENTILE(IF((D_sales!$W$5:$W$121=1)*(D_sales!$U$5:$U$121&gt;=G236)*(D_sales!$C$5:$C$121=C236),D_sales!$U$5:$U$121),0.25),PERCENTILE(IF((D_sales!$W$5:$W$121=1)*(D_sales!$U$5:$U$121&gt;=G236),D_sales!$U$5:$U$121),0.25)),0)</f>
        <v>0</v>
      </c>
      <c r="V236" s="3" t="n">
        <f aca="false" t="array" ref="V236:V236">IF(I236&gt;=D_F01!$B$27,IF(H236="customer",PERCENTILE(IF((D_sales!$W$5:$W$121=1)*(D_sales!$U$5:$U$121&gt;=G236)*(D_sales!$C$5:$C$121=C236),D_sales!$U$5:$U$121),0.75),PERCENTILE(IF((D_sales!$W$5:$W$121=1)*(D_sales!$U$5:$U$121&gt;=G236),D_sales!$U$5:$U$121),0.75)),0)</f>
        <v>0</v>
      </c>
      <c r="W236" s="3" t="n">
        <f aca="false">IF(G236&gt;0,IF(I236&gt;=D_F01!$B$27,MIN(T236,U236),G236+3),H49)</f>
        <v>6</v>
      </c>
      <c r="X236" s="3" t="n">
        <f aca="false">IF(G236&gt;0,IF(I236&gt;=D_F01!$B$27,T236,G236+10),E49)</f>
        <v>13</v>
      </c>
      <c r="Y236" s="3" t="n">
        <f aca="false">IF(G236&gt;0,IF(I236&gt;=D_F01!$B$27,MAX(T236,V236),G236+21),I49)</f>
        <v>24</v>
      </c>
    </row>
    <row r="237" customFormat="false" ht="25.5" hidden="false" customHeight="true" outlineLevel="0" collapsed="false">
      <c r="A237" s="4" t="s">
        <v>2167</v>
      </c>
      <c r="B237" s="4" t="s">
        <v>2168</v>
      </c>
      <c r="C237" s="4" t="s">
        <v>1978</v>
      </c>
      <c r="D237" s="4" t="s">
        <v>2133</v>
      </c>
      <c r="E237" s="33" t="n">
        <f aca="false">D_sales!N106</f>
        <v>1015281069</v>
      </c>
      <c r="F237" s="38" t="n">
        <f aca="false">D_sales!H106</f>
        <v>46202</v>
      </c>
      <c r="G237" s="4" t="n">
        <f aca="false">D_sales!O106</f>
        <v>1</v>
      </c>
      <c r="H237" s="4" t="str">
        <f aca="false">C47</f>
        <v>customer</v>
      </c>
      <c r="I237" s="4" t="n">
        <f aca="false">IF(H237="default",0,IF(H237="customer",COUNTIFS(D_sales!$C$5:$C$121,C237,D_sales!$W$5:$W$121,1,D_sales!$U$5:$U$121,"&gt;="&amp;G237),COUNTIFS(D_sales!$W$5:$W$121,1,D_sales!$U$5:$U$121,"&gt;="&amp;G237)))</f>
        <v>11</v>
      </c>
      <c r="J237" s="38" t="n">
        <f aca="false">IF(ISNUMBER(M237),M237,MAX($B$6,F237+ROUNDUP(W237,0)))</f>
        <v>46205</v>
      </c>
      <c r="K237" s="38" t="n">
        <f aca="false">IF(ISNUMBER(M237),M237,MAX($B$6,F237+ROUNDUP(X237,0)))</f>
        <v>46206</v>
      </c>
      <c r="L237" s="38" t="n">
        <f aca="false">IF(ISNUMBER(M237),M237,MAX($B$6,F237+ROUNDUP(Y237,0)))</f>
        <v>46207</v>
      </c>
      <c r="M237" s="38"/>
      <c r="N237" s="38" t="n">
        <f aca="false">CHOOSE(D_F01!$B$19,K237,J237,L237,IF(ISNUMBER(M237),M237,K237+7),K237)</f>
        <v>46206</v>
      </c>
      <c r="O237" s="4" t="str">
        <f aca="false">IF(ISNUMBER(M237),"confirmed",IF(G237&gt;0,"conditional_or_residual_assumption","history_or_fallback"))</f>
        <v>conditional_or_residual_assumption</v>
      </c>
      <c r="P237" s="4" t="s">
        <v>2134</v>
      </c>
      <c r="Q237" s="4" t="n">
        <v>0</v>
      </c>
      <c r="R237" s="38" t="n">
        <v>46203</v>
      </c>
      <c r="S237" s="4" t="str">
        <f aca="false">IF(N237&gt;$B$7,"beyond_horizon",IF(N237&lt;$B$6,"invalid_past","in_horizon"))</f>
        <v>in_horizon</v>
      </c>
      <c r="T237" s="4" t="n">
        <f aca="false">IF(I237&gt;=D_F01!$B$27,IF(H237="customer",SUMIFS(D_sales!$X$5:$X$121,D_sales!$C$5:$C$121,C237,D_sales!$W$5:$W$121,1,D_sales!$U$5:$U$121,"&gt;="&amp;G237),SUMIFS(D_sales!$X$5:$X$121,D_sales!$W$5:$W$121,1,D_sales!$U$5:$U$121,"&gt;="&amp;G237))/IF(H237="customer",SUMIFS(D_sales!$V$5:$V$121,D_sales!$C$5:$C$121,C237,D_sales!$W$5:$W$121,1,D_sales!$U$5:$U$121,"&gt;="&amp;G237),SUMIFS(D_sales!$V$5:$V$121,D_sales!$W$5:$W$121,1,D_sales!$U$5:$U$121,"&gt;="&amp;G237)),0)</f>
        <v>3.72464618725162</v>
      </c>
      <c r="U237" s="4" t="n">
        <f aca="false" t="array" ref="U237:U237">IF(I237&gt;=D_F01!$B$27,IF(H237="customer",PERCENTILE(IF((D_sales!$W$5:$W$121=1)*(D_sales!$U$5:$U$121&gt;=G237)*(D_sales!$C$5:$C$121=C237),D_sales!$U$5:$U$121),0.25),PERCENTILE(IF((D_sales!$W$5:$W$121=1)*(D_sales!$U$5:$U$121&gt;=G237),D_sales!$U$5:$U$121),0.25)),0)</f>
        <v>2.5</v>
      </c>
      <c r="V237" s="4" t="n">
        <f aca="false" t="array" ref="V237:V237">IF(I237&gt;=D_F01!$B$27,IF(H237="customer",PERCENTILE(IF((D_sales!$W$5:$W$121=1)*(D_sales!$U$5:$U$121&gt;=G237)*(D_sales!$C$5:$C$121=C237),D_sales!$U$5:$U$121),0.75),PERCENTILE(IF((D_sales!$W$5:$W$121=1)*(D_sales!$U$5:$U$121&gt;=G237),D_sales!$U$5:$U$121),0.75)),0)</f>
        <v>4.5</v>
      </c>
      <c r="W237" s="4" t="n">
        <f aca="false">IF(G237&gt;0,IF(I237&gt;=D_F01!$B$27,MIN(T237,U237),G237+3),H47)</f>
        <v>2.5</v>
      </c>
      <c r="X237" s="4" t="n">
        <f aca="false">IF(G237&gt;0,IF(I237&gt;=D_F01!$B$27,T237,G237+10),E47)</f>
        <v>3.72464618725162</v>
      </c>
      <c r="Y237" s="4" t="n">
        <f aca="false">IF(G237&gt;0,IF(I237&gt;=D_F01!$B$27,MAX(T237,V237),G237+21),I47)</f>
        <v>4.5</v>
      </c>
    </row>
    <row r="238" customFormat="false" ht="25.5" hidden="false" customHeight="true" outlineLevel="0" collapsed="false">
      <c r="A238" s="3" t="s">
        <v>2169</v>
      </c>
      <c r="B238" s="3" t="s">
        <v>2170</v>
      </c>
      <c r="C238" s="3" t="s">
        <v>1981</v>
      </c>
      <c r="D238" s="3" t="s">
        <v>2133</v>
      </c>
      <c r="E238" s="32" t="n">
        <f aca="false">D_sales!N107</f>
        <v>320784319</v>
      </c>
      <c r="F238" s="39" t="n">
        <f aca="false">D_sales!H107</f>
        <v>46207</v>
      </c>
      <c r="G238" s="3" t="n">
        <f aca="false">D_sales!O107</f>
        <v>0</v>
      </c>
      <c r="H238" s="3" t="str">
        <f aca="false">C50</f>
        <v>customer</v>
      </c>
      <c r="I238" s="3" t="n">
        <f aca="false">IF(H238="default",0,IF(H238="customer",COUNTIFS(D_sales!$C$5:$C$121,C238,D_sales!$W$5:$W$121,1,D_sales!$U$5:$U$121,"&gt;="&amp;G238),COUNTIFS(D_sales!$W$5:$W$121,1,D_sales!$U$5:$U$121,"&gt;="&amp;G238)))</f>
        <v>13</v>
      </c>
      <c r="J238" s="39" t="n">
        <f aca="false">IF(ISNUMBER(M238),M238,MAX($B$6,F238+ROUNDUP(W238,0)))</f>
        <v>46207</v>
      </c>
      <c r="K238" s="39" t="n">
        <f aca="false">IF(ISNUMBER(M238),M238,MAX($B$6,F238+ROUNDUP(X238,0)))</f>
        <v>46210</v>
      </c>
      <c r="L238" s="39" t="n">
        <f aca="false">IF(ISNUMBER(M238),M238,MAX($B$6,F238+ROUNDUP(Y238,0)))</f>
        <v>46211</v>
      </c>
      <c r="M238" s="39"/>
      <c r="N238" s="39" t="n">
        <f aca="false">CHOOSE(D_F01!$B$19,K238,J238,L238,IF(ISNUMBER(M238),M238,K238+7),K238)</f>
        <v>46210</v>
      </c>
      <c r="O238" s="3" t="str">
        <f aca="false">IF(ISNUMBER(M238),"confirmed",IF(G238&gt;0,"conditional_or_residual_assumption","history_or_fallback"))</f>
        <v>history_or_fallback</v>
      </c>
      <c r="P238" s="3" t="s">
        <v>2134</v>
      </c>
      <c r="Q238" s="3" t="n">
        <v>0</v>
      </c>
      <c r="R238" s="39" t="n">
        <v>46203</v>
      </c>
      <c r="S238" s="3" t="str">
        <f aca="false">IF(N238&gt;$B$7,"beyond_horizon",IF(N238&lt;$B$6,"invalid_past","in_horizon"))</f>
        <v>in_horizon</v>
      </c>
      <c r="T238" s="3" t="n">
        <f aca="false">IF(I238&gt;=D_F01!$B$27,IF(H238="customer",SUMIFS(D_sales!$X$5:$X$121,D_sales!$C$5:$C$121,C238,D_sales!$W$5:$W$121,1,D_sales!$U$5:$U$121,"&gt;="&amp;G238),SUMIFS(D_sales!$X$5:$X$121,D_sales!$W$5:$W$121,1,D_sales!$U$5:$U$121,"&gt;="&amp;G238))/IF(H238="customer",SUMIFS(D_sales!$V$5:$V$121,D_sales!$C$5:$C$121,C238,D_sales!$W$5:$W$121,1,D_sales!$U$5:$U$121,"&gt;="&amp;G238),SUMIFS(D_sales!$V$5:$V$121,D_sales!$W$5:$W$121,1,D_sales!$U$5:$U$121,"&gt;="&amp;G238)),0)</f>
        <v>2.02020392543456</v>
      </c>
      <c r="U238" s="3" t="n">
        <f aca="false" t="array" ref="U238:U238">IF(I238&gt;=D_F01!$B$27,IF(H238="customer",PERCENTILE(IF((D_sales!$W$5:$W$121=1)*(D_sales!$U$5:$U$121&gt;=G238)*(D_sales!$C$5:$C$121=C238),D_sales!$U$5:$U$121),0.25),PERCENTILE(IF((D_sales!$W$5:$W$121=1)*(D_sales!$U$5:$U$121&gt;=G238),D_sales!$U$5:$U$121),0.25)),0)</f>
        <v>0</v>
      </c>
      <c r="V238" s="3" t="n">
        <f aca="false" t="array" ref="V238:V238">IF(I238&gt;=D_F01!$B$27,IF(H238="customer",PERCENTILE(IF((D_sales!$W$5:$W$121=1)*(D_sales!$U$5:$U$121&gt;=G238)*(D_sales!$C$5:$C$121=C238),D_sales!$U$5:$U$121),0.75),PERCENTILE(IF((D_sales!$W$5:$W$121=1)*(D_sales!$U$5:$U$121&gt;=G238),D_sales!$U$5:$U$121),0.75)),0)</f>
        <v>4</v>
      </c>
      <c r="W238" s="3" t="n">
        <f aca="false">IF(G238&gt;0,IF(I238&gt;=D_F01!$B$27,MIN(T238,U238),G238+3),H50)</f>
        <v>0</v>
      </c>
      <c r="X238" s="3" t="n">
        <f aca="false">IF(G238&gt;0,IF(I238&gt;=D_F01!$B$27,T238,G238+10),E50)</f>
        <v>2.02020392543456</v>
      </c>
      <c r="Y238" s="3" t="n">
        <f aca="false">IF(G238&gt;0,IF(I238&gt;=D_F01!$B$27,MAX(T238,V238),G238+21),I50)</f>
        <v>4</v>
      </c>
    </row>
    <row r="239" customFormat="false" ht="25.5" hidden="false" customHeight="true" outlineLevel="0" collapsed="false">
      <c r="A239" s="4" t="s">
        <v>2171</v>
      </c>
      <c r="B239" s="4" t="s">
        <v>2172</v>
      </c>
      <c r="C239" s="4" t="s">
        <v>1978</v>
      </c>
      <c r="D239" s="4" t="s">
        <v>2133</v>
      </c>
      <c r="E239" s="33" t="n">
        <f aca="false">D_sales!N108</f>
        <v>799012315</v>
      </c>
      <c r="F239" s="38" t="n">
        <f aca="false">D_sales!H108</f>
        <v>46209</v>
      </c>
      <c r="G239" s="4" t="n">
        <f aca="false">D_sales!O108</f>
        <v>0</v>
      </c>
      <c r="H239" s="4" t="str">
        <f aca="false">C47</f>
        <v>customer</v>
      </c>
      <c r="I239" s="4" t="n">
        <f aca="false">IF(H239="default",0,IF(H239="customer",COUNTIFS(D_sales!$C$5:$C$121,C239,D_sales!$W$5:$W$121,1,D_sales!$U$5:$U$121,"&gt;="&amp;G239),COUNTIFS(D_sales!$W$5:$W$121,1,D_sales!$U$5:$U$121,"&gt;="&amp;G239)))</f>
        <v>26</v>
      </c>
      <c r="J239" s="38" t="n">
        <f aca="false">IF(ISNUMBER(M239),M239,MAX($B$6,F239+ROUNDUP(W239,0)))</f>
        <v>46209</v>
      </c>
      <c r="K239" s="38" t="n">
        <f aca="false">IF(ISNUMBER(M239),M239,MAX($B$6,F239+ROUNDUP(X239,0)))</f>
        <v>46211</v>
      </c>
      <c r="L239" s="38" t="n">
        <f aca="false">IF(ISNUMBER(M239),M239,MAX($B$6,F239+ROUNDUP(Y239,0)))</f>
        <v>46212</v>
      </c>
      <c r="M239" s="38"/>
      <c r="N239" s="38" t="n">
        <f aca="false">CHOOSE(D_F01!$B$19,K239,J239,L239,IF(ISNUMBER(M239),M239,K239+7),K239)</f>
        <v>46211</v>
      </c>
      <c r="O239" s="4" t="str">
        <f aca="false">IF(ISNUMBER(M239),"confirmed",IF(G239&gt;0,"conditional_or_residual_assumption","history_or_fallback"))</f>
        <v>history_or_fallback</v>
      </c>
      <c r="P239" s="4" t="s">
        <v>2134</v>
      </c>
      <c r="Q239" s="4" t="n">
        <v>0</v>
      </c>
      <c r="R239" s="38" t="n">
        <v>46203</v>
      </c>
      <c r="S239" s="4" t="str">
        <f aca="false">IF(N239&gt;$B$7,"beyond_horizon",IF(N239&lt;$B$6,"invalid_past","in_horizon"))</f>
        <v>in_horizon</v>
      </c>
      <c r="T239" s="4" t="n">
        <f aca="false">IF(I239&gt;=D_F01!$B$27,IF(H239="customer",SUMIFS(D_sales!$X$5:$X$121,D_sales!$C$5:$C$121,C239,D_sales!$W$5:$W$121,1,D_sales!$U$5:$U$121,"&gt;="&amp;G239),SUMIFS(D_sales!$X$5:$X$121,D_sales!$W$5:$W$121,1,D_sales!$U$5:$U$121,"&gt;="&amp;G239))/IF(H239="customer",SUMIFS(D_sales!$V$5:$V$121,D_sales!$C$5:$C$121,C239,D_sales!$W$5:$W$121,1,D_sales!$U$5:$U$121,"&gt;="&amp;G239),SUMIFS(D_sales!$V$5:$V$121,D_sales!$W$5:$W$121,1,D_sales!$U$5:$U$121,"&gt;="&amp;G239)),0)</f>
        <v>1.43170046737709</v>
      </c>
      <c r="U239" s="4" t="n">
        <f aca="false" t="array" ref="U239:U239">IF(I239&gt;=D_F01!$B$27,IF(H239="customer",PERCENTILE(IF((D_sales!$W$5:$W$121=1)*(D_sales!$U$5:$U$121&gt;=G239)*(D_sales!$C$5:$C$121=C239),D_sales!$U$5:$U$121),0.25),PERCENTILE(IF((D_sales!$W$5:$W$121=1)*(D_sales!$U$5:$U$121&gt;=G239),D_sales!$U$5:$U$121),0.25)),0)</f>
        <v>0</v>
      </c>
      <c r="V239" s="4" t="n">
        <f aca="false" t="array" ref="V239:V239">IF(I239&gt;=D_F01!$B$27,IF(H239="customer",PERCENTILE(IF((D_sales!$W$5:$W$121=1)*(D_sales!$U$5:$U$121&gt;=G239)*(D_sales!$C$5:$C$121=C239),D_sales!$U$5:$U$121),0.75),PERCENTILE(IF((D_sales!$W$5:$W$121=1)*(D_sales!$U$5:$U$121&gt;=G239),D_sales!$U$5:$U$121),0.75)),0)</f>
        <v>3</v>
      </c>
      <c r="W239" s="4" t="n">
        <f aca="false">IF(G239&gt;0,IF(I239&gt;=D_F01!$B$27,MIN(T239,U239),G239+3),H47)</f>
        <v>0</v>
      </c>
      <c r="X239" s="4" t="n">
        <f aca="false">IF(G239&gt;0,IF(I239&gt;=D_F01!$B$27,T239,G239+10),E47)</f>
        <v>1.43170046737709</v>
      </c>
      <c r="Y239" s="4" t="n">
        <f aca="false">IF(G239&gt;0,IF(I239&gt;=D_F01!$B$27,MAX(T239,V239),G239+21),I47)</f>
        <v>3</v>
      </c>
    </row>
    <row r="240" customFormat="false" ht="25.5" hidden="false" customHeight="true" outlineLevel="0" collapsed="false">
      <c r="A240" s="3" t="s">
        <v>2173</v>
      </c>
      <c r="B240" s="3" t="s">
        <v>2174</v>
      </c>
      <c r="C240" s="3" t="s">
        <v>1977</v>
      </c>
      <c r="D240" s="3" t="s">
        <v>2133</v>
      </c>
      <c r="E240" s="32" t="n">
        <f aca="false">D_sales!N109</f>
        <v>1131567022</v>
      </c>
      <c r="F240" s="39" t="n">
        <f aca="false">D_sales!H109</f>
        <v>46226</v>
      </c>
      <c r="G240" s="3" t="n">
        <f aca="false">D_sales!O109</f>
        <v>0</v>
      </c>
      <c r="H240" s="3" t="str">
        <f aca="false">C46</f>
        <v>customer</v>
      </c>
      <c r="I240" s="3" t="n">
        <f aca="false">IF(H240="default",0,IF(H240="customer",COUNTIFS(D_sales!$C$5:$C$121,C240,D_sales!$W$5:$W$121,1,D_sales!$U$5:$U$121,"&gt;="&amp;G240),COUNTIFS(D_sales!$W$5:$W$121,1,D_sales!$U$5:$U$121,"&gt;="&amp;G240)))</f>
        <v>23</v>
      </c>
      <c r="J240" s="39" t="n">
        <f aca="false">IF(ISNUMBER(M240),M240,MAX($B$6,F240+ROUNDUP(W240,0)))</f>
        <v>46237</v>
      </c>
      <c r="K240" s="39" t="n">
        <f aca="false">IF(ISNUMBER(M240),M240,MAX($B$6,F240+ROUNDUP(X240,0)))</f>
        <v>46243</v>
      </c>
      <c r="L240" s="39" t="n">
        <f aca="false">IF(ISNUMBER(M240),M240,MAX($B$6,F240+ROUNDUP(Y240,0)))</f>
        <v>46249</v>
      </c>
      <c r="M240" s="39"/>
      <c r="N240" s="39" t="n">
        <f aca="false">CHOOSE(D_F01!$B$19,K240,J240,L240,IF(ISNUMBER(M240),M240,K240+7),K240)</f>
        <v>46243</v>
      </c>
      <c r="O240" s="3" t="str">
        <f aca="false">IF(ISNUMBER(M240),"confirmed",IF(G240&gt;0,"conditional_or_residual_assumption","history_or_fallback"))</f>
        <v>history_or_fallback</v>
      </c>
      <c r="P240" s="3" t="s">
        <v>2134</v>
      </c>
      <c r="Q240" s="3" t="n">
        <v>0</v>
      </c>
      <c r="R240" s="39" t="n">
        <v>46203</v>
      </c>
      <c r="S240" s="3" t="str">
        <f aca="false">IF(N240&gt;$B$7,"beyond_horizon",IF(N240&lt;$B$6,"invalid_past","in_horizon"))</f>
        <v>in_horizon</v>
      </c>
      <c r="T240" s="3" t="n">
        <f aca="false">IF(I240&gt;=D_F01!$B$27,IF(H240="customer",SUMIFS(D_sales!$X$5:$X$121,D_sales!$C$5:$C$121,C240,D_sales!$W$5:$W$121,1,D_sales!$U$5:$U$121,"&gt;="&amp;G240),SUMIFS(D_sales!$X$5:$X$121,D_sales!$W$5:$W$121,1,D_sales!$U$5:$U$121,"&gt;="&amp;G240))/IF(H240="customer",SUMIFS(D_sales!$V$5:$V$121,D_sales!$C$5:$C$121,C240,D_sales!$W$5:$W$121,1,D_sales!$U$5:$U$121,"&gt;="&amp;G240),SUMIFS(D_sales!$V$5:$V$121,D_sales!$W$5:$W$121,1,D_sales!$U$5:$U$121,"&gt;="&amp;G240)),0)</f>
        <v>16.2114491908565</v>
      </c>
      <c r="U240" s="3" t="n">
        <f aca="false" t="array" ref="U240:U240">IF(I240&gt;=D_F01!$B$27,IF(H240="customer",PERCENTILE(IF((D_sales!$W$5:$W$121=1)*(D_sales!$U$5:$U$121&gt;=G240)*(D_sales!$C$5:$C$121=C240),D_sales!$U$5:$U$121),0.25),PERCENTILE(IF((D_sales!$W$5:$W$121=1)*(D_sales!$U$5:$U$121&gt;=G240),D_sales!$U$5:$U$121),0.25)),0)</f>
        <v>10.5</v>
      </c>
      <c r="V240" s="3" t="n">
        <f aca="false" t="array" ref="V240:V240">IF(I240&gt;=D_F01!$B$27,IF(H240="customer",PERCENTILE(IF((D_sales!$W$5:$W$121=1)*(D_sales!$U$5:$U$121&gt;=G240)*(D_sales!$C$5:$C$121=C240),D_sales!$U$5:$U$121),0.75),PERCENTILE(IF((D_sales!$W$5:$W$121=1)*(D_sales!$U$5:$U$121&gt;=G240),D_sales!$U$5:$U$121),0.75)),0)</f>
        <v>22.5</v>
      </c>
      <c r="W240" s="3" t="n">
        <f aca="false">IF(G240&gt;0,IF(I240&gt;=D_F01!$B$27,MIN(T240,U240),G240+3),H46)</f>
        <v>10.5</v>
      </c>
      <c r="X240" s="3" t="n">
        <f aca="false">IF(G240&gt;0,IF(I240&gt;=D_F01!$B$27,T240,G240+10),E46)</f>
        <v>16.2114491908565</v>
      </c>
      <c r="Y240" s="3" t="n">
        <f aca="false">IF(G240&gt;0,IF(I240&gt;=D_F01!$B$27,MAX(T240,V240),G240+21),I46)</f>
        <v>22.5</v>
      </c>
    </row>
    <row r="241" customFormat="false" ht="25.5" hidden="false" customHeight="true" outlineLevel="0" collapsed="false">
      <c r="A241" s="4" t="s">
        <v>2175</v>
      </c>
      <c r="B241" s="4" t="s">
        <v>2176</v>
      </c>
      <c r="C241" s="4" t="s">
        <v>1977</v>
      </c>
      <c r="D241" s="4" t="s">
        <v>2133</v>
      </c>
      <c r="E241" s="33" t="n">
        <f aca="false">D_sales!N110</f>
        <v>1834295991</v>
      </c>
      <c r="F241" s="38" t="n">
        <f aca="false">D_sales!H110</f>
        <v>46226</v>
      </c>
      <c r="G241" s="4" t="n">
        <f aca="false">D_sales!O110</f>
        <v>0</v>
      </c>
      <c r="H241" s="4" t="str">
        <f aca="false">C46</f>
        <v>customer</v>
      </c>
      <c r="I241" s="4" t="n">
        <f aca="false">IF(H241="default",0,IF(H241="customer",COUNTIFS(D_sales!$C$5:$C$121,C241,D_sales!$W$5:$W$121,1,D_sales!$U$5:$U$121,"&gt;="&amp;G241),COUNTIFS(D_sales!$W$5:$W$121,1,D_sales!$U$5:$U$121,"&gt;="&amp;G241)))</f>
        <v>23</v>
      </c>
      <c r="J241" s="38" t="n">
        <f aca="false">IF(ISNUMBER(M241),M241,MAX($B$6,F241+ROUNDUP(W241,0)))</f>
        <v>46237</v>
      </c>
      <c r="K241" s="38" t="n">
        <f aca="false">IF(ISNUMBER(M241),M241,MAX($B$6,F241+ROUNDUP(X241,0)))</f>
        <v>46243</v>
      </c>
      <c r="L241" s="38" t="n">
        <f aca="false">IF(ISNUMBER(M241),M241,MAX($B$6,F241+ROUNDUP(Y241,0)))</f>
        <v>46249</v>
      </c>
      <c r="M241" s="38"/>
      <c r="N241" s="38" t="n">
        <f aca="false">CHOOSE(D_F01!$B$19,K241,J241,L241,IF(ISNUMBER(M241),M241,K241+7),K241)</f>
        <v>46243</v>
      </c>
      <c r="O241" s="4" t="str">
        <f aca="false">IF(ISNUMBER(M241),"confirmed",IF(G241&gt;0,"conditional_or_residual_assumption","history_or_fallback"))</f>
        <v>history_or_fallback</v>
      </c>
      <c r="P241" s="4" t="s">
        <v>2134</v>
      </c>
      <c r="Q241" s="4" t="n">
        <v>0</v>
      </c>
      <c r="R241" s="38" t="n">
        <v>46203</v>
      </c>
      <c r="S241" s="4" t="str">
        <f aca="false">IF(N241&gt;$B$7,"beyond_horizon",IF(N241&lt;$B$6,"invalid_past","in_horizon"))</f>
        <v>in_horizon</v>
      </c>
      <c r="T241" s="4" t="n">
        <f aca="false">IF(I241&gt;=D_F01!$B$27,IF(H241="customer",SUMIFS(D_sales!$X$5:$X$121,D_sales!$C$5:$C$121,C241,D_sales!$W$5:$W$121,1,D_sales!$U$5:$U$121,"&gt;="&amp;G241),SUMIFS(D_sales!$X$5:$X$121,D_sales!$W$5:$W$121,1,D_sales!$U$5:$U$121,"&gt;="&amp;G241))/IF(H241="customer",SUMIFS(D_sales!$V$5:$V$121,D_sales!$C$5:$C$121,C241,D_sales!$W$5:$W$121,1,D_sales!$U$5:$U$121,"&gt;="&amp;G241),SUMIFS(D_sales!$V$5:$V$121,D_sales!$W$5:$W$121,1,D_sales!$U$5:$U$121,"&gt;="&amp;G241)),0)</f>
        <v>16.2114491908565</v>
      </c>
      <c r="U241" s="4" t="n">
        <f aca="false" t="array" ref="U241:U241">IF(I241&gt;=D_F01!$B$27,IF(H241="customer",PERCENTILE(IF((D_sales!$W$5:$W$121=1)*(D_sales!$U$5:$U$121&gt;=G241)*(D_sales!$C$5:$C$121=C241),D_sales!$U$5:$U$121),0.25),PERCENTILE(IF((D_sales!$W$5:$W$121=1)*(D_sales!$U$5:$U$121&gt;=G241),D_sales!$U$5:$U$121),0.25)),0)</f>
        <v>10.5</v>
      </c>
      <c r="V241" s="4" t="n">
        <f aca="false" t="array" ref="V241:V241">IF(I241&gt;=D_F01!$B$27,IF(H241="customer",PERCENTILE(IF((D_sales!$W$5:$W$121=1)*(D_sales!$U$5:$U$121&gt;=G241)*(D_sales!$C$5:$C$121=C241),D_sales!$U$5:$U$121),0.75),PERCENTILE(IF((D_sales!$W$5:$W$121=1)*(D_sales!$U$5:$U$121&gt;=G241),D_sales!$U$5:$U$121),0.75)),0)</f>
        <v>22.5</v>
      </c>
      <c r="W241" s="4" t="n">
        <f aca="false">IF(G241&gt;0,IF(I241&gt;=D_F01!$B$27,MIN(T241,U241),G241+3),H46)</f>
        <v>10.5</v>
      </c>
      <c r="X241" s="4" t="n">
        <f aca="false">IF(G241&gt;0,IF(I241&gt;=D_F01!$B$27,T241,G241+10),E46)</f>
        <v>16.2114491908565</v>
      </c>
      <c r="Y241" s="4" t="n">
        <f aca="false">IF(G241&gt;0,IF(I241&gt;=D_F01!$B$27,MAX(T241,V241),G241+21),I46)</f>
        <v>22.5</v>
      </c>
    </row>
    <row r="242" customFormat="false" ht="25.5" hidden="false" customHeight="true" outlineLevel="0" collapsed="false">
      <c r="A242" s="3" t="s">
        <v>2177</v>
      </c>
      <c r="B242" s="3" t="s">
        <v>2178</v>
      </c>
      <c r="C242" s="3" t="s">
        <v>1983</v>
      </c>
      <c r="D242" s="3" t="s">
        <v>2133</v>
      </c>
      <c r="E242" s="32" t="n">
        <f aca="false">D_sales!N111</f>
        <v>329900239</v>
      </c>
      <c r="F242" s="39" t="n">
        <f aca="false">D_sales!H111</f>
        <v>46213</v>
      </c>
      <c r="G242" s="3" t="n">
        <f aca="false">D_sales!O111</f>
        <v>0</v>
      </c>
      <c r="H242" s="3" t="str">
        <f aca="false">C52</f>
        <v>firm</v>
      </c>
      <c r="I242" s="3" t="n">
        <f aca="false">IF(H242="default",0,IF(H242="customer",COUNTIFS(D_sales!$C$5:$C$121,C242,D_sales!$W$5:$W$121,1,D_sales!$U$5:$U$121,"&gt;="&amp;G242),COUNTIFS(D_sales!$W$5:$W$121,1,D_sales!$U$5:$U$121,"&gt;="&amp;G242)))</f>
        <v>98</v>
      </c>
      <c r="J242" s="39" t="n">
        <f aca="false">IF(ISNUMBER(M242),M242,MAX($B$6,F242+ROUNDUP(W242,0)))</f>
        <v>46213</v>
      </c>
      <c r="K242" s="39" t="n">
        <f aca="false">IF(ISNUMBER(M242),M242,MAX($B$6,F242+ROUNDUP(X242,0)))</f>
        <v>46221</v>
      </c>
      <c r="L242" s="39" t="n">
        <f aca="false">IF(ISNUMBER(M242),M242,MAX($B$6,F242+ROUNDUP(Y242,0)))</f>
        <v>46222</v>
      </c>
      <c r="M242" s="39"/>
      <c r="N242" s="39" t="n">
        <f aca="false">CHOOSE(D_F01!$B$19,K242,J242,L242,IF(ISNUMBER(M242),M242,K242+7),K242)</f>
        <v>46221</v>
      </c>
      <c r="O242" s="3" t="str">
        <f aca="false">IF(ISNUMBER(M242),"confirmed",IF(G242&gt;0,"conditional_or_residual_assumption","history_or_fallback"))</f>
        <v>history_or_fallback</v>
      </c>
      <c r="P242" s="3" t="s">
        <v>2134</v>
      </c>
      <c r="Q242" s="3" t="n">
        <v>0</v>
      </c>
      <c r="R242" s="39" t="n">
        <v>46203</v>
      </c>
      <c r="S242" s="3" t="str">
        <f aca="false">IF(N242&gt;$B$7,"beyond_horizon",IF(N242&lt;$B$6,"invalid_past","in_horizon"))</f>
        <v>in_horizon</v>
      </c>
      <c r="T242" s="3" t="n">
        <f aca="false">IF(I242&gt;=D_F01!$B$27,IF(H242="customer",SUMIFS(D_sales!$X$5:$X$121,D_sales!$C$5:$C$121,C242,D_sales!$W$5:$W$121,1,D_sales!$U$5:$U$121,"&gt;="&amp;G242),SUMIFS(D_sales!$X$5:$X$121,D_sales!$W$5:$W$121,1,D_sales!$U$5:$U$121,"&gt;="&amp;G242))/IF(H242="customer",SUMIFS(D_sales!$V$5:$V$121,D_sales!$C$5:$C$121,C242,D_sales!$W$5:$W$121,1,D_sales!$U$5:$U$121,"&gt;="&amp;G242),SUMIFS(D_sales!$V$5:$V$121,D_sales!$W$5:$W$121,1,D_sales!$U$5:$U$121,"&gt;="&amp;G242)),0)</f>
        <v>7.46815482657925</v>
      </c>
      <c r="U242" s="3" t="n">
        <f aca="false" t="array" ref="U242:U242">IF(I242&gt;=D_F01!$B$27,IF(H242="customer",PERCENTILE(IF((D_sales!$W$5:$W$121=1)*(D_sales!$U$5:$U$121&gt;=G242)*(D_sales!$C$5:$C$121=C242),D_sales!$U$5:$U$121),0.25),PERCENTILE(IF((D_sales!$W$5:$W$121=1)*(D_sales!$U$5:$U$121&gt;=G242),D_sales!$U$5:$U$121),0.25)),0)</f>
        <v>0</v>
      </c>
      <c r="V242" s="3" t="n">
        <f aca="false" t="array" ref="V242:V242">IF(I242&gt;=D_F01!$B$27,IF(H242="customer",PERCENTILE(IF((D_sales!$W$5:$W$121=1)*(D_sales!$U$5:$U$121&gt;=G242)*(D_sales!$C$5:$C$121=C242),D_sales!$U$5:$U$121),0.75),PERCENTILE(IF((D_sales!$W$5:$W$121=1)*(D_sales!$U$5:$U$121&gt;=G242),D_sales!$U$5:$U$121),0.75)),0)</f>
        <v>9</v>
      </c>
      <c r="W242" s="3" t="n">
        <f aca="false">IF(G242&gt;0,IF(I242&gt;=D_F01!$B$27,MIN(T242,U242),G242+3),H52)</f>
        <v>0</v>
      </c>
      <c r="X242" s="3" t="n">
        <f aca="false">IF(G242&gt;0,IF(I242&gt;=D_F01!$B$27,T242,G242+10),E52)</f>
        <v>7.46815482657925</v>
      </c>
      <c r="Y242" s="3" t="n">
        <f aca="false">IF(G242&gt;0,IF(I242&gt;=D_F01!$B$27,MAX(T242,V242),G242+21),I52)</f>
        <v>9</v>
      </c>
    </row>
    <row r="243" customFormat="false" ht="25.5" hidden="false" customHeight="true" outlineLevel="0" collapsed="false">
      <c r="A243" s="4" t="s">
        <v>2179</v>
      </c>
      <c r="B243" s="4" t="s">
        <v>2180</v>
      </c>
      <c r="C243" s="4" t="s">
        <v>1979</v>
      </c>
      <c r="D243" s="4" t="s">
        <v>2133</v>
      </c>
      <c r="E243" s="33" t="n">
        <f aca="false">D_sales!N112</f>
        <v>415259935</v>
      </c>
      <c r="F243" s="38" t="n">
        <f aca="false">D_sales!H112</f>
        <v>46213</v>
      </c>
      <c r="G243" s="4" t="n">
        <f aca="false">D_sales!O112</f>
        <v>0</v>
      </c>
      <c r="H243" s="4" t="str">
        <f aca="false">C48</f>
        <v>customer</v>
      </c>
      <c r="I243" s="4" t="n">
        <f aca="false">IF(H243="default",0,IF(H243="customer",COUNTIFS(D_sales!$C$5:$C$121,C243,D_sales!$W$5:$W$121,1,D_sales!$U$5:$U$121,"&gt;="&amp;G243),COUNTIFS(D_sales!$W$5:$W$121,1,D_sales!$U$5:$U$121,"&gt;="&amp;G243)))</f>
        <v>17</v>
      </c>
      <c r="J243" s="38" t="n">
        <f aca="false">IF(ISNUMBER(M243),M243,MAX($B$6,F243+ROUNDUP(W243,0)))</f>
        <v>46217</v>
      </c>
      <c r="K243" s="38" t="n">
        <f aca="false">IF(ISNUMBER(M243),M243,MAX($B$6,F243+ROUNDUP(X243,0)))</f>
        <v>46228</v>
      </c>
      <c r="L243" s="38" t="n">
        <f aca="false">IF(ISNUMBER(M243),M243,MAX($B$6,F243+ROUNDUP(Y243,0)))</f>
        <v>46228</v>
      </c>
      <c r="M243" s="38"/>
      <c r="N243" s="38" t="n">
        <f aca="false">CHOOSE(D_F01!$B$19,K243,J243,L243,IF(ISNUMBER(M243),M243,K243+7),K243)</f>
        <v>46228</v>
      </c>
      <c r="O243" s="4" t="str">
        <f aca="false">IF(ISNUMBER(M243),"confirmed",IF(G243&gt;0,"conditional_or_residual_assumption","history_or_fallback"))</f>
        <v>history_or_fallback</v>
      </c>
      <c r="P243" s="4" t="s">
        <v>2134</v>
      </c>
      <c r="Q243" s="4" t="n">
        <v>0</v>
      </c>
      <c r="R243" s="38" t="n">
        <v>46203</v>
      </c>
      <c r="S243" s="4" t="str">
        <f aca="false">IF(N243&gt;$B$7,"beyond_horizon",IF(N243&lt;$B$6,"invalid_past","in_horizon"))</f>
        <v>in_horizon</v>
      </c>
      <c r="T243" s="4" t="n">
        <f aca="false">IF(I243&gt;=D_F01!$B$27,IF(H243="customer",SUMIFS(D_sales!$X$5:$X$121,D_sales!$C$5:$C$121,C243,D_sales!$W$5:$W$121,1,D_sales!$U$5:$U$121,"&gt;="&amp;G243),SUMIFS(D_sales!$X$5:$X$121,D_sales!$W$5:$W$121,1,D_sales!$U$5:$U$121,"&gt;="&amp;G243))/IF(H243="customer",SUMIFS(D_sales!$V$5:$V$121,D_sales!$C$5:$C$121,C243,D_sales!$W$5:$W$121,1,D_sales!$U$5:$U$121,"&gt;="&amp;G243),SUMIFS(D_sales!$V$5:$V$121,D_sales!$W$5:$W$121,1,D_sales!$U$5:$U$121,"&gt;="&amp;G243)),0)</f>
        <v>14.5562853738424</v>
      </c>
      <c r="U243" s="4" t="n">
        <f aca="false" t="array" ref="U243:U243">IF(I243&gt;=D_F01!$B$27,IF(H243="customer",PERCENTILE(IF((D_sales!$W$5:$W$121=1)*(D_sales!$U$5:$U$121&gt;=G243)*(D_sales!$C$5:$C$121=C243),D_sales!$U$5:$U$121),0.25),PERCENTILE(IF((D_sales!$W$5:$W$121=1)*(D_sales!$U$5:$U$121&gt;=G243),D_sales!$U$5:$U$121),0.25)),0)</f>
        <v>4</v>
      </c>
      <c r="V243" s="4" t="n">
        <f aca="false" t="array" ref="V243:V243">IF(I243&gt;=D_F01!$B$27,IF(H243="customer",PERCENTILE(IF((D_sales!$W$5:$W$121=1)*(D_sales!$U$5:$U$121&gt;=G243)*(D_sales!$C$5:$C$121=C243),D_sales!$U$5:$U$121),0.75),PERCENTILE(IF((D_sales!$W$5:$W$121=1)*(D_sales!$U$5:$U$121&gt;=G243),D_sales!$U$5:$U$121),0.75)),0)</f>
        <v>10</v>
      </c>
      <c r="W243" s="4" t="n">
        <f aca="false">IF(G243&gt;0,IF(I243&gt;=D_F01!$B$27,MIN(T243,U243),G243+3),H48)</f>
        <v>4</v>
      </c>
      <c r="X243" s="4" t="n">
        <f aca="false">IF(G243&gt;0,IF(I243&gt;=D_F01!$B$27,T243,G243+10),E48)</f>
        <v>14.5562853738424</v>
      </c>
      <c r="Y243" s="4" t="n">
        <f aca="false">IF(G243&gt;0,IF(I243&gt;=D_F01!$B$27,MAX(T243,V243),G243+21),I48)</f>
        <v>14.5562853738424</v>
      </c>
    </row>
    <row r="244" customFormat="false" ht="25.5" hidden="false" customHeight="true" outlineLevel="0" collapsed="false">
      <c r="A244" s="3" t="s">
        <v>2181</v>
      </c>
      <c r="B244" s="3" t="s">
        <v>2182</v>
      </c>
      <c r="C244" s="3" t="s">
        <v>1977</v>
      </c>
      <c r="D244" s="3" t="s">
        <v>2133</v>
      </c>
      <c r="E244" s="32" t="n">
        <f aca="false">D_sales!N113</f>
        <v>585623157</v>
      </c>
      <c r="F244" s="39" t="n">
        <f aca="false">D_sales!H113</f>
        <v>46229</v>
      </c>
      <c r="G244" s="3" t="n">
        <f aca="false">D_sales!O113</f>
        <v>0</v>
      </c>
      <c r="H244" s="3" t="str">
        <f aca="false">C46</f>
        <v>customer</v>
      </c>
      <c r="I244" s="3" t="n">
        <f aca="false">IF(H244="default",0,IF(H244="customer",COUNTIFS(D_sales!$C$5:$C$121,C244,D_sales!$W$5:$W$121,1,D_sales!$U$5:$U$121,"&gt;="&amp;G244),COUNTIFS(D_sales!$W$5:$W$121,1,D_sales!$U$5:$U$121,"&gt;="&amp;G244)))</f>
        <v>23</v>
      </c>
      <c r="J244" s="39" t="n">
        <f aca="false">IF(ISNUMBER(M244),M244,MAX($B$6,F244+ROUNDUP(W244,0)))</f>
        <v>46240</v>
      </c>
      <c r="K244" s="39" t="n">
        <f aca="false">IF(ISNUMBER(M244),M244,MAX($B$6,F244+ROUNDUP(X244,0)))</f>
        <v>46246</v>
      </c>
      <c r="L244" s="39" t="n">
        <f aca="false">IF(ISNUMBER(M244),M244,MAX($B$6,F244+ROUNDUP(Y244,0)))</f>
        <v>46252</v>
      </c>
      <c r="M244" s="39"/>
      <c r="N244" s="39" t="n">
        <f aca="false">CHOOSE(D_F01!$B$19,K244,J244,L244,IF(ISNUMBER(M244),M244,K244+7),K244)</f>
        <v>46246</v>
      </c>
      <c r="O244" s="3" t="str">
        <f aca="false">IF(ISNUMBER(M244),"confirmed",IF(G244&gt;0,"conditional_or_residual_assumption","history_or_fallback"))</f>
        <v>history_or_fallback</v>
      </c>
      <c r="P244" s="3" t="s">
        <v>2134</v>
      </c>
      <c r="Q244" s="3" t="n">
        <v>0</v>
      </c>
      <c r="R244" s="39" t="n">
        <v>46203</v>
      </c>
      <c r="S244" s="3" t="str">
        <f aca="false">IF(N244&gt;$B$7,"beyond_horizon",IF(N244&lt;$B$6,"invalid_past","in_horizon"))</f>
        <v>in_horizon</v>
      </c>
      <c r="T244" s="3" t="n">
        <f aca="false">IF(I244&gt;=D_F01!$B$27,IF(H244="customer",SUMIFS(D_sales!$X$5:$X$121,D_sales!$C$5:$C$121,C244,D_sales!$W$5:$W$121,1,D_sales!$U$5:$U$121,"&gt;="&amp;G244),SUMIFS(D_sales!$X$5:$X$121,D_sales!$W$5:$W$121,1,D_sales!$U$5:$U$121,"&gt;="&amp;G244))/IF(H244="customer",SUMIFS(D_sales!$V$5:$V$121,D_sales!$C$5:$C$121,C244,D_sales!$W$5:$W$121,1,D_sales!$U$5:$U$121,"&gt;="&amp;G244),SUMIFS(D_sales!$V$5:$V$121,D_sales!$W$5:$W$121,1,D_sales!$U$5:$U$121,"&gt;="&amp;G244)),0)</f>
        <v>16.2114491908565</v>
      </c>
      <c r="U244" s="3" t="n">
        <f aca="false" t="array" ref="U244:U244">IF(I244&gt;=D_F01!$B$27,IF(H244="customer",PERCENTILE(IF((D_sales!$W$5:$W$121=1)*(D_sales!$U$5:$U$121&gt;=G244)*(D_sales!$C$5:$C$121=C244),D_sales!$U$5:$U$121),0.25),PERCENTILE(IF((D_sales!$W$5:$W$121=1)*(D_sales!$U$5:$U$121&gt;=G244),D_sales!$U$5:$U$121),0.25)),0)</f>
        <v>10.5</v>
      </c>
      <c r="V244" s="3" t="n">
        <f aca="false" t="array" ref="V244:V244">IF(I244&gt;=D_F01!$B$27,IF(H244="customer",PERCENTILE(IF((D_sales!$W$5:$W$121=1)*(D_sales!$U$5:$U$121&gt;=G244)*(D_sales!$C$5:$C$121=C244),D_sales!$U$5:$U$121),0.75),PERCENTILE(IF((D_sales!$W$5:$W$121=1)*(D_sales!$U$5:$U$121&gt;=G244),D_sales!$U$5:$U$121),0.75)),0)</f>
        <v>22.5</v>
      </c>
      <c r="W244" s="3" t="n">
        <f aca="false">IF(G244&gt;0,IF(I244&gt;=D_F01!$B$27,MIN(T244,U244),G244+3),H46)</f>
        <v>10.5</v>
      </c>
      <c r="X244" s="3" t="n">
        <f aca="false">IF(G244&gt;0,IF(I244&gt;=D_F01!$B$27,T244,G244+10),E46)</f>
        <v>16.2114491908565</v>
      </c>
      <c r="Y244" s="3" t="n">
        <f aca="false">IF(G244&gt;0,IF(I244&gt;=D_F01!$B$27,MAX(T244,V244),G244+21),I46)</f>
        <v>22.5</v>
      </c>
    </row>
    <row r="245" customFormat="false" ht="25.5" hidden="false" customHeight="true" outlineLevel="0" collapsed="false">
      <c r="A245" s="4" t="s">
        <v>2183</v>
      </c>
      <c r="B245" s="4" t="s">
        <v>2184</v>
      </c>
      <c r="C245" s="4" t="s">
        <v>1978</v>
      </c>
      <c r="D245" s="4" t="s">
        <v>2133</v>
      </c>
      <c r="E245" s="33" t="n">
        <f aca="false">D_sales!N114</f>
        <v>946197645</v>
      </c>
      <c r="F245" s="38" t="n">
        <f aca="false">D_sales!H114</f>
        <v>46216</v>
      </c>
      <c r="G245" s="4" t="n">
        <f aca="false">D_sales!O114</f>
        <v>0</v>
      </c>
      <c r="H245" s="4" t="str">
        <f aca="false">C47</f>
        <v>customer</v>
      </c>
      <c r="I245" s="4" t="n">
        <f aca="false">IF(H245="default",0,IF(H245="customer",COUNTIFS(D_sales!$C$5:$C$121,C245,D_sales!$W$5:$W$121,1,D_sales!$U$5:$U$121,"&gt;="&amp;G245),COUNTIFS(D_sales!$W$5:$W$121,1,D_sales!$U$5:$U$121,"&gt;="&amp;G245)))</f>
        <v>26</v>
      </c>
      <c r="J245" s="38" t="n">
        <f aca="false">IF(ISNUMBER(M245),M245,MAX($B$6,F245+ROUNDUP(W245,0)))</f>
        <v>46216</v>
      </c>
      <c r="K245" s="38" t="n">
        <f aca="false">IF(ISNUMBER(M245),M245,MAX($B$6,F245+ROUNDUP(X245,0)))</f>
        <v>46218</v>
      </c>
      <c r="L245" s="38" t="n">
        <f aca="false">IF(ISNUMBER(M245),M245,MAX($B$6,F245+ROUNDUP(Y245,0)))</f>
        <v>46219</v>
      </c>
      <c r="M245" s="38"/>
      <c r="N245" s="38" t="n">
        <f aca="false">CHOOSE(D_F01!$B$19,K245,J245,L245,IF(ISNUMBER(M245),M245,K245+7),K245)</f>
        <v>46218</v>
      </c>
      <c r="O245" s="4" t="str">
        <f aca="false">IF(ISNUMBER(M245),"confirmed",IF(G245&gt;0,"conditional_or_residual_assumption","history_or_fallback"))</f>
        <v>history_or_fallback</v>
      </c>
      <c r="P245" s="4" t="s">
        <v>2134</v>
      </c>
      <c r="Q245" s="4" t="n">
        <v>0</v>
      </c>
      <c r="R245" s="38" t="n">
        <v>46203</v>
      </c>
      <c r="S245" s="4" t="str">
        <f aca="false">IF(N245&gt;$B$7,"beyond_horizon",IF(N245&lt;$B$6,"invalid_past","in_horizon"))</f>
        <v>in_horizon</v>
      </c>
      <c r="T245" s="4" t="n">
        <f aca="false">IF(I245&gt;=D_F01!$B$27,IF(H245="customer",SUMIFS(D_sales!$X$5:$X$121,D_sales!$C$5:$C$121,C245,D_sales!$W$5:$W$121,1,D_sales!$U$5:$U$121,"&gt;="&amp;G245),SUMIFS(D_sales!$X$5:$X$121,D_sales!$W$5:$W$121,1,D_sales!$U$5:$U$121,"&gt;="&amp;G245))/IF(H245="customer",SUMIFS(D_sales!$V$5:$V$121,D_sales!$C$5:$C$121,C245,D_sales!$W$5:$W$121,1,D_sales!$U$5:$U$121,"&gt;="&amp;G245),SUMIFS(D_sales!$V$5:$V$121,D_sales!$W$5:$W$121,1,D_sales!$U$5:$U$121,"&gt;="&amp;G245)),0)</f>
        <v>1.43170046737709</v>
      </c>
      <c r="U245" s="4" t="n">
        <f aca="false" t="array" ref="U245:U245">IF(I245&gt;=D_F01!$B$27,IF(H245="customer",PERCENTILE(IF((D_sales!$W$5:$W$121=1)*(D_sales!$U$5:$U$121&gt;=G245)*(D_sales!$C$5:$C$121=C245),D_sales!$U$5:$U$121),0.25),PERCENTILE(IF((D_sales!$W$5:$W$121=1)*(D_sales!$U$5:$U$121&gt;=G245),D_sales!$U$5:$U$121),0.25)),0)</f>
        <v>0</v>
      </c>
      <c r="V245" s="4" t="n">
        <f aca="false" t="array" ref="V245:V245">IF(I245&gt;=D_F01!$B$27,IF(H245="customer",PERCENTILE(IF((D_sales!$W$5:$W$121=1)*(D_sales!$U$5:$U$121&gt;=G245)*(D_sales!$C$5:$C$121=C245),D_sales!$U$5:$U$121),0.75),PERCENTILE(IF((D_sales!$W$5:$W$121=1)*(D_sales!$U$5:$U$121&gt;=G245),D_sales!$U$5:$U$121),0.75)),0)</f>
        <v>3</v>
      </c>
      <c r="W245" s="4" t="n">
        <f aca="false">IF(G245&gt;0,IF(I245&gt;=D_F01!$B$27,MIN(T245,U245),G245+3),H47)</f>
        <v>0</v>
      </c>
      <c r="X245" s="4" t="n">
        <f aca="false">IF(G245&gt;0,IF(I245&gt;=D_F01!$B$27,T245,G245+10),E47)</f>
        <v>1.43170046737709</v>
      </c>
      <c r="Y245" s="4" t="n">
        <f aca="false">IF(G245&gt;0,IF(I245&gt;=D_F01!$B$27,MAX(T245,V245),G245+21),I47)</f>
        <v>3</v>
      </c>
    </row>
    <row r="246" customFormat="false" ht="25.5" hidden="false" customHeight="true" outlineLevel="0" collapsed="false">
      <c r="A246" s="3" t="s">
        <v>2185</v>
      </c>
      <c r="B246" s="3" t="s">
        <v>2186</v>
      </c>
      <c r="C246" s="3" t="s">
        <v>1977</v>
      </c>
      <c r="D246" s="3" t="s">
        <v>2133</v>
      </c>
      <c r="E246" s="32" t="n">
        <f aca="false">D_sales!N115</f>
        <v>952239078</v>
      </c>
      <c r="F246" s="39" t="n">
        <f aca="false">D_sales!H115</f>
        <v>46235</v>
      </c>
      <c r="G246" s="3" t="n">
        <f aca="false">D_sales!O115</f>
        <v>0</v>
      </c>
      <c r="H246" s="3" t="str">
        <f aca="false">C46</f>
        <v>customer</v>
      </c>
      <c r="I246" s="3" t="n">
        <f aca="false">IF(H246="default",0,IF(H246="customer",COUNTIFS(D_sales!$C$5:$C$121,C246,D_sales!$W$5:$W$121,1,D_sales!$U$5:$U$121,"&gt;="&amp;G246),COUNTIFS(D_sales!$W$5:$W$121,1,D_sales!$U$5:$U$121,"&gt;="&amp;G246)))</f>
        <v>23</v>
      </c>
      <c r="J246" s="39" t="n">
        <f aca="false">IF(ISNUMBER(M246),M246,MAX($B$6,F246+ROUNDUP(W246,0)))</f>
        <v>46246</v>
      </c>
      <c r="K246" s="39" t="n">
        <f aca="false">IF(ISNUMBER(M246),M246,MAX($B$6,F246+ROUNDUP(X246,0)))</f>
        <v>46252</v>
      </c>
      <c r="L246" s="39" t="n">
        <f aca="false">IF(ISNUMBER(M246),M246,MAX($B$6,F246+ROUNDUP(Y246,0)))</f>
        <v>46258</v>
      </c>
      <c r="M246" s="39"/>
      <c r="N246" s="39" t="n">
        <f aca="false">CHOOSE(D_F01!$B$19,K246,J246,L246,IF(ISNUMBER(M246),M246,K246+7),K246)</f>
        <v>46252</v>
      </c>
      <c r="O246" s="3" t="str">
        <f aca="false">IF(ISNUMBER(M246),"confirmed",IF(G246&gt;0,"conditional_or_residual_assumption","history_or_fallback"))</f>
        <v>history_or_fallback</v>
      </c>
      <c r="P246" s="3" t="s">
        <v>2134</v>
      </c>
      <c r="Q246" s="3" t="n">
        <v>0</v>
      </c>
      <c r="R246" s="39" t="n">
        <v>46203</v>
      </c>
      <c r="S246" s="3" t="str">
        <f aca="false">IF(N246&gt;$B$7,"beyond_horizon",IF(N246&lt;$B$6,"invalid_past","in_horizon"))</f>
        <v>in_horizon</v>
      </c>
      <c r="T246" s="3" t="n">
        <f aca="false">IF(I246&gt;=D_F01!$B$27,IF(H246="customer",SUMIFS(D_sales!$X$5:$X$121,D_sales!$C$5:$C$121,C246,D_sales!$W$5:$W$121,1,D_sales!$U$5:$U$121,"&gt;="&amp;G246),SUMIFS(D_sales!$X$5:$X$121,D_sales!$W$5:$W$121,1,D_sales!$U$5:$U$121,"&gt;="&amp;G246))/IF(H246="customer",SUMIFS(D_sales!$V$5:$V$121,D_sales!$C$5:$C$121,C246,D_sales!$W$5:$W$121,1,D_sales!$U$5:$U$121,"&gt;="&amp;G246),SUMIFS(D_sales!$V$5:$V$121,D_sales!$W$5:$W$121,1,D_sales!$U$5:$U$121,"&gt;="&amp;G246)),0)</f>
        <v>16.2114491908565</v>
      </c>
      <c r="U246" s="3" t="n">
        <f aca="false" t="array" ref="U246:U246">IF(I246&gt;=D_F01!$B$27,IF(H246="customer",PERCENTILE(IF((D_sales!$W$5:$W$121=1)*(D_sales!$U$5:$U$121&gt;=G246)*(D_sales!$C$5:$C$121=C246),D_sales!$U$5:$U$121),0.25),PERCENTILE(IF((D_sales!$W$5:$W$121=1)*(D_sales!$U$5:$U$121&gt;=G246),D_sales!$U$5:$U$121),0.25)),0)</f>
        <v>10.5</v>
      </c>
      <c r="V246" s="3" t="n">
        <f aca="false" t="array" ref="V246:V246">IF(I246&gt;=D_F01!$B$27,IF(H246="customer",PERCENTILE(IF((D_sales!$W$5:$W$121=1)*(D_sales!$U$5:$U$121&gt;=G246)*(D_sales!$C$5:$C$121=C246),D_sales!$U$5:$U$121),0.75),PERCENTILE(IF((D_sales!$W$5:$W$121=1)*(D_sales!$U$5:$U$121&gt;=G246),D_sales!$U$5:$U$121),0.75)),0)</f>
        <v>22.5</v>
      </c>
      <c r="W246" s="3" t="n">
        <f aca="false">IF(G246&gt;0,IF(I246&gt;=D_F01!$B$27,MIN(T246,U246),G246+3),H46)</f>
        <v>10.5</v>
      </c>
      <c r="X246" s="3" t="n">
        <f aca="false">IF(G246&gt;0,IF(I246&gt;=D_F01!$B$27,T246,G246+10),E46)</f>
        <v>16.2114491908565</v>
      </c>
      <c r="Y246" s="3" t="n">
        <f aca="false">IF(G246&gt;0,IF(I246&gt;=D_F01!$B$27,MAX(T246,V246),G246+21),I46)</f>
        <v>22.5</v>
      </c>
    </row>
    <row r="247" customFormat="false" ht="25.5" hidden="false" customHeight="true" outlineLevel="0" collapsed="false">
      <c r="A247" s="4" t="s">
        <v>2187</v>
      </c>
      <c r="B247" s="4" t="s">
        <v>2188</v>
      </c>
      <c r="C247" s="4" t="s">
        <v>1977</v>
      </c>
      <c r="D247" s="4" t="s">
        <v>2133</v>
      </c>
      <c r="E247" s="33" t="n">
        <f aca="false">D_sales!N116</f>
        <v>742318455</v>
      </c>
      <c r="F247" s="38" t="n">
        <f aca="false">D_sales!H116</f>
        <v>46239</v>
      </c>
      <c r="G247" s="4" t="n">
        <f aca="false">D_sales!O116</f>
        <v>0</v>
      </c>
      <c r="H247" s="4" t="str">
        <f aca="false">C46</f>
        <v>customer</v>
      </c>
      <c r="I247" s="4" t="n">
        <f aca="false">IF(H247="default",0,IF(H247="customer",COUNTIFS(D_sales!$C$5:$C$121,C247,D_sales!$W$5:$W$121,1,D_sales!$U$5:$U$121,"&gt;="&amp;G247),COUNTIFS(D_sales!$W$5:$W$121,1,D_sales!$U$5:$U$121,"&gt;="&amp;G247)))</f>
        <v>23</v>
      </c>
      <c r="J247" s="38" t="n">
        <f aca="false">IF(ISNUMBER(M247),M247,MAX($B$6,F247+ROUNDUP(W247,0)))</f>
        <v>46250</v>
      </c>
      <c r="K247" s="38" t="n">
        <f aca="false">IF(ISNUMBER(M247),M247,MAX($B$6,F247+ROUNDUP(X247,0)))</f>
        <v>46256</v>
      </c>
      <c r="L247" s="38" t="n">
        <f aca="false">IF(ISNUMBER(M247),M247,MAX($B$6,F247+ROUNDUP(Y247,0)))</f>
        <v>46262</v>
      </c>
      <c r="M247" s="38"/>
      <c r="N247" s="38" t="n">
        <f aca="false">CHOOSE(D_F01!$B$19,K247,J247,L247,IF(ISNUMBER(M247),M247,K247+7),K247)</f>
        <v>46256</v>
      </c>
      <c r="O247" s="4" t="str">
        <f aca="false">IF(ISNUMBER(M247),"confirmed",IF(G247&gt;0,"conditional_or_residual_assumption","history_or_fallback"))</f>
        <v>history_or_fallback</v>
      </c>
      <c r="P247" s="4" t="s">
        <v>2134</v>
      </c>
      <c r="Q247" s="4" t="n">
        <v>0</v>
      </c>
      <c r="R247" s="38" t="n">
        <v>46203</v>
      </c>
      <c r="S247" s="4" t="str">
        <f aca="false">IF(N247&gt;$B$7,"beyond_horizon",IF(N247&lt;$B$6,"invalid_past","in_horizon"))</f>
        <v>in_horizon</v>
      </c>
      <c r="T247" s="4" t="n">
        <f aca="false">IF(I247&gt;=D_F01!$B$27,IF(H247="customer",SUMIFS(D_sales!$X$5:$X$121,D_sales!$C$5:$C$121,C247,D_sales!$W$5:$W$121,1,D_sales!$U$5:$U$121,"&gt;="&amp;G247),SUMIFS(D_sales!$X$5:$X$121,D_sales!$W$5:$W$121,1,D_sales!$U$5:$U$121,"&gt;="&amp;G247))/IF(H247="customer",SUMIFS(D_sales!$V$5:$V$121,D_sales!$C$5:$C$121,C247,D_sales!$W$5:$W$121,1,D_sales!$U$5:$U$121,"&gt;="&amp;G247),SUMIFS(D_sales!$V$5:$V$121,D_sales!$W$5:$W$121,1,D_sales!$U$5:$U$121,"&gt;="&amp;G247)),0)</f>
        <v>16.2114491908565</v>
      </c>
      <c r="U247" s="4" t="n">
        <f aca="false" t="array" ref="U247:U247">IF(I247&gt;=D_F01!$B$27,IF(H247="customer",PERCENTILE(IF((D_sales!$W$5:$W$121=1)*(D_sales!$U$5:$U$121&gt;=G247)*(D_sales!$C$5:$C$121=C247),D_sales!$U$5:$U$121),0.25),PERCENTILE(IF((D_sales!$W$5:$W$121=1)*(D_sales!$U$5:$U$121&gt;=G247),D_sales!$U$5:$U$121),0.25)),0)</f>
        <v>10.5</v>
      </c>
      <c r="V247" s="4" t="n">
        <f aca="false" t="array" ref="V247:V247">IF(I247&gt;=D_F01!$B$27,IF(H247="customer",PERCENTILE(IF((D_sales!$W$5:$W$121=1)*(D_sales!$U$5:$U$121&gt;=G247)*(D_sales!$C$5:$C$121=C247),D_sales!$U$5:$U$121),0.75),PERCENTILE(IF((D_sales!$W$5:$W$121=1)*(D_sales!$U$5:$U$121&gt;=G247),D_sales!$U$5:$U$121),0.75)),0)</f>
        <v>22.5</v>
      </c>
      <c r="W247" s="4" t="n">
        <f aca="false">IF(G247&gt;0,IF(I247&gt;=D_F01!$B$27,MIN(T247,U247),G247+3),H46)</f>
        <v>10.5</v>
      </c>
      <c r="X247" s="4" t="n">
        <f aca="false">IF(G247&gt;0,IF(I247&gt;=D_F01!$B$27,T247,G247+10),E46)</f>
        <v>16.2114491908565</v>
      </c>
      <c r="Y247" s="4" t="n">
        <f aca="false">IF(G247&gt;0,IF(I247&gt;=D_F01!$B$27,MAX(T247,V247),G247+21),I46)</f>
        <v>22.5</v>
      </c>
    </row>
    <row r="248" customFormat="false" ht="25.5" hidden="false" customHeight="true" outlineLevel="0" collapsed="false">
      <c r="A248" s="3" t="s">
        <v>2189</v>
      </c>
      <c r="B248" s="3" t="s">
        <v>2190</v>
      </c>
      <c r="C248" s="3" t="s">
        <v>1978</v>
      </c>
      <c r="D248" s="3" t="s">
        <v>2133</v>
      </c>
      <c r="E248" s="32" t="n">
        <f aca="false">D_sales!N117</f>
        <v>1126540210</v>
      </c>
      <c r="F248" s="39" t="n">
        <f aca="false">D_sales!H117</f>
        <v>46226</v>
      </c>
      <c r="G248" s="3" t="n">
        <f aca="false">D_sales!O117</f>
        <v>0</v>
      </c>
      <c r="H248" s="3" t="str">
        <f aca="false">C47</f>
        <v>customer</v>
      </c>
      <c r="I248" s="3" t="n">
        <f aca="false">IF(H248="default",0,IF(H248="customer",COUNTIFS(D_sales!$C$5:$C$121,C248,D_sales!$W$5:$W$121,1,D_sales!$U$5:$U$121,"&gt;="&amp;G248),COUNTIFS(D_sales!$W$5:$W$121,1,D_sales!$U$5:$U$121,"&gt;="&amp;G248)))</f>
        <v>26</v>
      </c>
      <c r="J248" s="39" t="n">
        <f aca="false">IF(ISNUMBER(M248),M248,MAX($B$6,F248+ROUNDUP(W248,0)))</f>
        <v>46226</v>
      </c>
      <c r="K248" s="39" t="n">
        <f aca="false">IF(ISNUMBER(M248),M248,MAX($B$6,F248+ROUNDUP(X248,0)))</f>
        <v>46228</v>
      </c>
      <c r="L248" s="39" t="n">
        <f aca="false">IF(ISNUMBER(M248),M248,MAX($B$6,F248+ROUNDUP(Y248,0)))</f>
        <v>46229</v>
      </c>
      <c r="M248" s="39"/>
      <c r="N248" s="39" t="n">
        <f aca="false">CHOOSE(D_F01!$B$19,K248,J248,L248,IF(ISNUMBER(M248),M248,K248+7),K248)</f>
        <v>46228</v>
      </c>
      <c r="O248" s="3" t="str">
        <f aca="false">IF(ISNUMBER(M248),"confirmed",IF(G248&gt;0,"conditional_or_residual_assumption","history_or_fallback"))</f>
        <v>history_or_fallback</v>
      </c>
      <c r="P248" s="3" t="s">
        <v>2134</v>
      </c>
      <c r="Q248" s="3" t="n">
        <v>0</v>
      </c>
      <c r="R248" s="39" t="n">
        <v>46203</v>
      </c>
      <c r="S248" s="3" t="str">
        <f aca="false">IF(N248&gt;$B$7,"beyond_horizon",IF(N248&lt;$B$6,"invalid_past","in_horizon"))</f>
        <v>in_horizon</v>
      </c>
      <c r="T248" s="3" t="n">
        <f aca="false">IF(I248&gt;=D_F01!$B$27,IF(H248="customer",SUMIFS(D_sales!$X$5:$X$121,D_sales!$C$5:$C$121,C248,D_sales!$W$5:$W$121,1,D_sales!$U$5:$U$121,"&gt;="&amp;G248),SUMIFS(D_sales!$X$5:$X$121,D_sales!$W$5:$W$121,1,D_sales!$U$5:$U$121,"&gt;="&amp;G248))/IF(H248="customer",SUMIFS(D_sales!$V$5:$V$121,D_sales!$C$5:$C$121,C248,D_sales!$W$5:$W$121,1,D_sales!$U$5:$U$121,"&gt;="&amp;G248),SUMIFS(D_sales!$V$5:$V$121,D_sales!$W$5:$W$121,1,D_sales!$U$5:$U$121,"&gt;="&amp;G248)),0)</f>
        <v>1.43170046737709</v>
      </c>
      <c r="U248" s="3" t="n">
        <f aca="false" t="array" ref="U248:U248">IF(I248&gt;=D_F01!$B$27,IF(H248="customer",PERCENTILE(IF((D_sales!$W$5:$W$121=1)*(D_sales!$U$5:$U$121&gt;=G248)*(D_sales!$C$5:$C$121=C248),D_sales!$U$5:$U$121),0.25),PERCENTILE(IF((D_sales!$W$5:$W$121=1)*(D_sales!$U$5:$U$121&gt;=G248),D_sales!$U$5:$U$121),0.25)),0)</f>
        <v>0</v>
      </c>
      <c r="V248" s="3" t="n">
        <f aca="false" t="array" ref="V248:V248">IF(I248&gt;=D_F01!$B$27,IF(H248="customer",PERCENTILE(IF((D_sales!$W$5:$W$121=1)*(D_sales!$U$5:$U$121&gt;=G248)*(D_sales!$C$5:$C$121=C248),D_sales!$U$5:$U$121),0.75),PERCENTILE(IF((D_sales!$W$5:$W$121=1)*(D_sales!$U$5:$U$121&gt;=G248),D_sales!$U$5:$U$121),0.75)),0)</f>
        <v>3</v>
      </c>
      <c r="W248" s="3" t="n">
        <f aca="false">IF(G248&gt;0,IF(I248&gt;=D_F01!$B$27,MIN(T248,U248),G248+3),H47)</f>
        <v>0</v>
      </c>
      <c r="X248" s="3" t="n">
        <f aca="false">IF(G248&gt;0,IF(I248&gt;=D_F01!$B$27,T248,G248+10),E47)</f>
        <v>1.43170046737709</v>
      </c>
      <c r="Y248" s="3" t="n">
        <f aca="false">IF(G248&gt;0,IF(I248&gt;=D_F01!$B$27,MAX(T248,V248),G248+21),I47)</f>
        <v>3</v>
      </c>
    </row>
    <row r="249" customFormat="false" ht="25.5" hidden="false" customHeight="true" outlineLevel="0" collapsed="false">
      <c r="A249" s="4" t="s">
        <v>2191</v>
      </c>
      <c r="B249" s="4" t="s">
        <v>2192</v>
      </c>
      <c r="C249" s="4" t="s">
        <v>1979</v>
      </c>
      <c r="D249" s="4" t="s">
        <v>2133</v>
      </c>
      <c r="E249" s="33" t="n">
        <f aca="false">D_sales!N118</f>
        <v>508774632</v>
      </c>
      <c r="F249" s="38" t="n">
        <f aca="false">D_sales!H118</f>
        <v>46227</v>
      </c>
      <c r="G249" s="4" t="n">
        <f aca="false">D_sales!O118</f>
        <v>0</v>
      </c>
      <c r="H249" s="4" t="str">
        <f aca="false">C48</f>
        <v>customer</v>
      </c>
      <c r="I249" s="4" t="n">
        <f aca="false">IF(H249="default",0,IF(H249="customer",COUNTIFS(D_sales!$C$5:$C$121,C249,D_sales!$W$5:$W$121,1,D_sales!$U$5:$U$121,"&gt;="&amp;G249),COUNTIFS(D_sales!$W$5:$W$121,1,D_sales!$U$5:$U$121,"&gt;="&amp;G249)))</f>
        <v>17</v>
      </c>
      <c r="J249" s="38" t="n">
        <f aca="false">IF(ISNUMBER(M249),M249,MAX($B$6,F249+ROUNDUP(W249,0)))</f>
        <v>46231</v>
      </c>
      <c r="K249" s="38" t="n">
        <f aca="false">IF(ISNUMBER(M249),M249,MAX($B$6,F249+ROUNDUP(X249,0)))</f>
        <v>46242</v>
      </c>
      <c r="L249" s="38" t="n">
        <f aca="false">IF(ISNUMBER(M249),M249,MAX($B$6,F249+ROUNDUP(Y249,0)))</f>
        <v>46242</v>
      </c>
      <c r="M249" s="38"/>
      <c r="N249" s="38" t="n">
        <f aca="false">CHOOSE(D_F01!$B$19,K249,J249,L249,IF(ISNUMBER(M249),M249,K249+7),K249)</f>
        <v>46242</v>
      </c>
      <c r="O249" s="4" t="str">
        <f aca="false">IF(ISNUMBER(M249),"confirmed",IF(G249&gt;0,"conditional_or_residual_assumption","history_or_fallback"))</f>
        <v>history_or_fallback</v>
      </c>
      <c r="P249" s="4" t="s">
        <v>2134</v>
      </c>
      <c r="Q249" s="4" t="n">
        <v>0</v>
      </c>
      <c r="R249" s="38" t="n">
        <v>46203</v>
      </c>
      <c r="S249" s="4" t="str">
        <f aca="false">IF(N249&gt;$B$7,"beyond_horizon",IF(N249&lt;$B$6,"invalid_past","in_horizon"))</f>
        <v>in_horizon</v>
      </c>
      <c r="T249" s="4" t="n">
        <f aca="false">IF(I249&gt;=D_F01!$B$27,IF(H249="customer",SUMIFS(D_sales!$X$5:$X$121,D_sales!$C$5:$C$121,C249,D_sales!$W$5:$W$121,1,D_sales!$U$5:$U$121,"&gt;="&amp;G249),SUMIFS(D_sales!$X$5:$X$121,D_sales!$W$5:$W$121,1,D_sales!$U$5:$U$121,"&gt;="&amp;G249))/IF(H249="customer",SUMIFS(D_sales!$V$5:$V$121,D_sales!$C$5:$C$121,C249,D_sales!$W$5:$W$121,1,D_sales!$U$5:$U$121,"&gt;="&amp;G249),SUMIFS(D_sales!$V$5:$V$121,D_sales!$W$5:$W$121,1,D_sales!$U$5:$U$121,"&gt;="&amp;G249)),0)</f>
        <v>14.5562853738424</v>
      </c>
      <c r="U249" s="4" t="n">
        <f aca="false" t="array" ref="U249:U249">IF(I249&gt;=D_F01!$B$27,IF(H249="customer",PERCENTILE(IF((D_sales!$W$5:$W$121=1)*(D_sales!$U$5:$U$121&gt;=G249)*(D_sales!$C$5:$C$121=C249),D_sales!$U$5:$U$121),0.25),PERCENTILE(IF((D_sales!$W$5:$W$121=1)*(D_sales!$U$5:$U$121&gt;=G249),D_sales!$U$5:$U$121),0.25)),0)</f>
        <v>4</v>
      </c>
      <c r="V249" s="4" t="n">
        <f aca="false" t="array" ref="V249:V249">IF(I249&gt;=D_F01!$B$27,IF(H249="customer",PERCENTILE(IF((D_sales!$W$5:$W$121=1)*(D_sales!$U$5:$U$121&gt;=G249)*(D_sales!$C$5:$C$121=C249),D_sales!$U$5:$U$121),0.75),PERCENTILE(IF((D_sales!$W$5:$W$121=1)*(D_sales!$U$5:$U$121&gt;=G249),D_sales!$U$5:$U$121),0.75)),0)</f>
        <v>10</v>
      </c>
      <c r="W249" s="4" t="n">
        <f aca="false">IF(G249&gt;0,IF(I249&gt;=D_F01!$B$27,MIN(T249,U249),G249+3),H48)</f>
        <v>4</v>
      </c>
      <c r="X249" s="4" t="n">
        <f aca="false">IF(G249&gt;0,IF(I249&gt;=D_F01!$B$27,T249,G249+10),E48)</f>
        <v>14.5562853738424</v>
      </c>
      <c r="Y249" s="4" t="n">
        <f aca="false">IF(G249&gt;0,IF(I249&gt;=D_F01!$B$27,MAX(T249,V249),G249+21),I48)</f>
        <v>14.5562853738424</v>
      </c>
    </row>
    <row r="250" customFormat="false" ht="25.5" hidden="false" customHeight="true" outlineLevel="0" collapsed="false">
      <c r="A250" s="3" t="s">
        <v>2193</v>
      </c>
      <c r="B250" s="3" t="s">
        <v>2194</v>
      </c>
      <c r="C250" s="3" t="s">
        <v>1980</v>
      </c>
      <c r="D250" s="3" t="s">
        <v>2133</v>
      </c>
      <c r="E250" s="32" t="n">
        <f aca="false">D_sales!N119</f>
        <v>689203917</v>
      </c>
      <c r="F250" s="39" t="n">
        <f aca="false">D_sales!H119</f>
        <v>46229</v>
      </c>
      <c r="G250" s="3" t="n">
        <f aca="false">D_sales!O119</f>
        <v>0</v>
      </c>
      <c r="H250" s="3" t="str">
        <f aca="false">C49</f>
        <v>customer</v>
      </c>
      <c r="I250" s="3" t="n">
        <f aca="false">IF(H250="default",0,IF(H250="customer",COUNTIFS(D_sales!$C$5:$C$121,C250,D_sales!$W$5:$W$121,1,D_sales!$U$5:$U$121,"&gt;="&amp;G250),COUNTIFS(D_sales!$W$5:$W$121,1,D_sales!$U$5:$U$121,"&gt;="&amp;G250)))</f>
        <v>9</v>
      </c>
      <c r="J250" s="39" t="n">
        <f aca="false">IF(ISNUMBER(M250),M250,MAX($B$6,F250+ROUNDUP(W250,0)))</f>
        <v>46229</v>
      </c>
      <c r="K250" s="39" t="n">
        <f aca="false">IF(ISNUMBER(M250),M250,MAX($B$6,F250+ROUNDUP(X250,0)))</f>
        <v>46231</v>
      </c>
      <c r="L250" s="39" t="n">
        <f aca="false">IF(ISNUMBER(M250),M250,MAX($B$6,F250+ROUNDUP(Y250,0)))</f>
        <v>46231</v>
      </c>
      <c r="M250" s="39"/>
      <c r="N250" s="39" t="n">
        <f aca="false">CHOOSE(D_F01!$B$19,K250,J250,L250,IF(ISNUMBER(M250),M250,K250+7),K250)</f>
        <v>46231</v>
      </c>
      <c r="O250" s="3" t="str">
        <f aca="false">IF(ISNUMBER(M250),"confirmed",IF(G250&gt;0,"conditional_or_residual_assumption","history_or_fallback"))</f>
        <v>history_or_fallback</v>
      </c>
      <c r="P250" s="3" t="s">
        <v>2134</v>
      </c>
      <c r="Q250" s="3" t="n">
        <v>0</v>
      </c>
      <c r="R250" s="39" t="n">
        <v>46203</v>
      </c>
      <c r="S250" s="3" t="str">
        <f aca="false">IF(N250&gt;$B$7,"beyond_horizon",IF(N250&lt;$B$6,"invalid_past","in_horizon"))</f>
        <v>in_horizon</v>
      </c>
      <c r="T250" s="3" t="n">
        <f aca="false">IF(I250&gt;=D_F01!$B$27,IF(H250="customer",SUMIFS(D_sales!$X$5:$X$121,D_sales!$C$5:$C$121,C250,D_sales!$W$5:$W$121,1,D_sales!$U$5:$U$121,"&gt;="&amp;G250),SUMIFS(D_sales!$X$5:$X$121,D_sales!$W$5:$W$121,1,D_sales!$U$5:$U$121,"&gt;="&amp;G250))/IF(H250="customer",SUMIFS(D_sales!$V$5:$V$121,D_sales!$C$5:$C$121,C250,D_sales!$W$5:$W$121,1,D_sales!$U$5:$U$121,"&gt;="&amp;G250),SUMIFS(D_sales!$V$5:$V$121,D_sales!$W$5:$W$121,1,D_sales!$U$5:$U$121,"&gt;="&amp;G250)),0)</f>
        <v>1.79284907670481</v>
      </c>
      <c r="U250" s="3" t="n">
        <f aca="false" t="array" ref="U250:U250">IF(I250&gt;=D_F01!$B$27,IF(H250="customer",PERCENTILE(IF((D_sales!$W$5:$W$121=1)*(D_sales!$U$5:$U$121&gt;=G250)*(D_sales!$C$5:$C$121=C250),D_sales!$U$5:$U$121),0.25),PERCENTILE(IF((D_sales!$W$5:$W$121=1)*(D_sales!$U$5:$U$121&gt;=G250),D_sales!$U$5:$U$121),0.25)),0)</f>
        <v>0</v>
      </c>
      <c r="V250" s="3" t="n">
        <f aca="false" t="array" ref="V250:V250">IF(I250&gt;=D_F01!$B$27,IF(H250="customer",PERCENTILE(IF((D_sales!$W$5:$W$121=1)*(D_sales!$U$5:$U$121&gt;=G250)*(D_sales!$C$5:$C$121=C250),D_sales!$U$5:$U$121),0.75),PERCENTILE(IF((D_sales!$W$5:$W$121=1)*(D_sales!$U$5:$U$121&gt;=G250),D_sales!$U$5:$U$121),0.75)),0)</f>
        <v>2</v>
      </c>
      <c r="W250" s="3" t="n">
        <f aca="false">IF(G250&gt;0,IF(I250&gt;=D_F01!$B$27,MIN(T250,U250),G250+3),H49)</f>
        <v>0</v>
      </c>
      <c r="X250" s="3" t="n">
        <f aca="false">IF(G250&gt;0,IF(I250&gt;=D_F01!$B$27,T250,G250+10),E49)</f>
        <v>1.79284907670481</v>
      </c>
      <c r="Y250" s="3" t="n">
        <f aca="false">IF(G250&gt;0,IF(I250&gt;=D_F01!$B$27,MAX(T250,V250),G250+21),I49)</f>
        <v>2</v>
      </c>
    </row>
    <row r="251" customFormat="false" ht="25.5" hidden="false" customHeight="true" outlineLevel="0" collapsed="false">
      <c r="A251" s="4" t="s">
        <v>2195</v>
      </c>
      <c r="B251" s="4" t="s">
        <v>2196</v>
      </c>
      <c r="C251" s="4" t="s">
        <v>1981</v>
      </c>
      <c r="D251" s="4" t="s">
        <v>2133</v>
      </c>
      <c r="E251" s="33" t="n">
        <f aca="false">D_sales!N120</f>
        <v>296418085</v>
      </c>
      <c r="F251" s="38" t="n">
        <f aca="false">D_sales!H120</f>
        <v>46230</v>
      </c>
      <c r="G251" s="4" t="n">
        <f aca="false">D_sales!O120</f>
        <v>0</v>
      </c>
      <c r="H251" s="4" t="str">
        <f aca="false">C50</f>
        <v>customer</v>
      </c>
      <c r="I251" s="4" t="n">
        <f aca="false">IF(H251="default",0,IF(H251="customer",COUNTIFS(D_sales!$C$5:$C$121,C251,D_sales!$W$5:$W$121,1,D_sales!$U$5:$U$121,"&gt;="&amp;G251),COUNTIFS(D_sales!$W$5:$W$121,1,D_sales!$U$5:$U$121,"&gt;="&amp;G251)))</f>
        <v>13</v>
      </c>
      <c r="J251" s="38" t="n">
        <f aca="false">IF(ISNUMBER(M251),M251,MAX($B$6,F251+ROUNDUP(W251,0)))</f>
        <v>46230</v>
      </c>
      <c r="K251" s="38" t="n">
        <f aca="false">IF(ISNUMBER(M251),M251,MAX($B$6,F251+ROUNDUP(X251,0)))</f>
        <v>46233</v>
      </c>
      <c r="L251" s="38" t="n">
        <f aca="false">IF(ISNUMBER(M251),M251,MAX($B$6,F251+ROUNDUP(Y251,0)))</f>
        <v>46234</v>
      </c>
      <c r="M251" s="38"/>
      <c r="N251" s="38" t="n">
        <f aca="false">CHOOSE(D_F01!$B$19,K251,J251,L251,IF(ISNUMBER(M251),M251,K251+7),K251)</f>
        <v>46233</v>
      </c>
      <c r="O251" s="4" t="str">
        <f aca="false">IF(ISNUMBER(M251),"confirmed",IF(G251&gt;0,"conditional_or_residual_assumption","history_or_fallback"))</f>
        <v>history_or_fallback</v>
      </c>
      <c r="P251" s="4" t="s">
        <v>2134</v>
      </c>
      <c r="Q251" s="4" t="n">
        <v>0</v>
      </c>
      <c r="R251" s="38" t="n">
        <v>46203</v>
      </c>
      <c r="S251" s="4" t="str">
        <f aca="false">IF(N251&gt;$B$7,"beyond_horizon",IF(N251&lt;$B$6,"invalid_past","in_horizon"))</f>
        <v>in_horizon</v>
      </c>
      <c r="T251" s="4" t="n">
        <f aca="false">IF(I251&gt;=D_F01!$B$27,IF(H251="customer",SUMIFS(D_sales!$X$5:$X$121,D_sales!$C$5:$C$121,C251,D_sales!$W$5:$W$121,1,D_sales!$U$5:$U$121,"&gt;="&amp;G251),SUMIFS(D_sales!$X$5:$X$121,D_sales!$W$5:$W$121,1,D_sales!$U$5:$U$121,"&gt;="&amp;G251))/IF(H251="customer",SUMIFS(D_sales!$V$5:$V$121,D_sales!$C$5:$C$121,C251,D_sales!$W$5:$W$121,1,D_sales!$U$5:$U$121,"&gt;="&amp;G251),SUMIFS(D_sales!$V$5:$V$121,D_sales!$W$5:$W$121,1,D_sales!$U$5:$U$121,"&gt;="&amp;G251)),0)</f>
        <v>2.02020392543456</v>
      </c>
      <c r="U251" s="4" t="n">
        <f aca="false" t="array" ref="U251:U251">IF(I251&gt;=D_F01!$B$27,IF(H251="customer",PERCENTILE(IF((D_sales!$W$5:$W$121=1)*(D_sales!$U$5:$U$121&gt;=G251)*(D_sales!$C$5:$C$121=C251),D_sales!$U$5:$U$121),0.25),PERCENTILE(IF((D_sales!$W$5:$W$121=1)*(D_sales!$U$5:$U$121&gt;=G251),D_sales!$U$5:$U$121),0.25)),0)</f>
        <v>0</v>
      </c>
      <c r="V251" s="4" t="n">
        <f aca="false" t="array" ref="V251:V251">IF(I251&gt;=D_F01!$B$27,IF(H251="customer",PERCENTILE(IF((D_sales!$W$5:$W$121=1)*(D_sales!$U$5:$U$121&gt;=G251)*(D_sales!$C$5:$C$121=C251),D_sales!$U$5:$U$121),0.75),PERCENTILE(IF((D_sales!$W$5:$W$121=1)*(D_sales!$U$5:$U$121&gt;=G251),D_sales!$U$5:$U$121),0.75)),0)</f>
        <v>4</v>
      </c>
      <c r="W251" s="4" t="n">
        <f aca="false">IF(G251&gt;0,IF(I251&gt;=D_F01!$B$27,MIN(T251,U251),G251+3),H50)</f>
        <v>0</v>
      </c>
      <c r="X251" s="4" t="n">
        <f aca="false">IF(G251&gt;0,IF(I251&gt;=D_F01!$B$27,T251,G251+10),E50)</f>
        <v>2.02020392543456</v>
      </c>
      <c r="Y251" s="4" t="n">
        <f aca="false">IF(G251&gt;0,IF(I251&gt;=D_F01!$B$27,MAX(T251,V251),G251+21),I50)</f>
        <v>4</v>
      </c>
    </row>
    <row r="252" customFormat="false" ht="25.5" hidden="false" customHeight="true" outlineLevel="0" collapsed="false">
      <c r="A252" s="3" t="s">
        <v>2197</v>
      </c>
      <c r="B252" s="3" t="s">
        <v>2198</v>
      </c>
      <c r="C252" s="3" t="s">
        <v>1977</v>
      </c>
      <c r="D252" s="3" t="s">
        <v>2133</v>
      </c>
      <c r="E252" s="32" t="n">
        <f aca="false">D_sales!N121</f>
        <v>1247860339</v>
      </c>
      <c r="F252" s="39" t="n">
        <f aca="false">D_sales!H121</f>
        <v>46247</v>
      </c>
      <c r="G252" s="3" t="n">
        <f aca="false">D_sales!O121</f>
        <v>0</v>
      </c>
      <c r="H252" s="3" t="str">
        <f aca="false">C46</f>
        <v>customer</v>
      </c>
      <c r="I252" s="3" t="n">
        <f aca="false">IF(H252="default",0,IF(H252="customer",COUNTIFS(D_sales!$C$5:$C$121,C252,D_sales!$W$5:$W$121,1,D_sales!$U$5:$U$121,"&gt;="&amp;G252),COUNTIFS(D_sales!$W$5:$W$121,1,D_sales!$U$5:$U$121,"&gt;="&amp;G252)))</f>
        <v>23</v>
      </c>
      <c r="J252" s="39" t="n">
        <f aca="false">IF(ISNUMBER(M252),M252,MAX($B$6,F252+ROUNDUP(W252,0)))</f>
        <v>46258</v>
      </c>
      <c r="K252" s="39" t="n">
        <f aca="false">IF(ISNUMBER(M252),M252,MAX($B$6,F252+ROUNDUP(X252,0)))</f>
        <v>46264</v>
      </c>
      <c r="L252" s="39" t="n">
        <f aca="false">IF(ISNUMBER(M252),M252,MAX($B$6,F252+ROUNDUP(Y252,0)))</f>
        <v>46270</v>
      </c>
      <c r="M252" s="39"/>
      <c r="N252" s="39" t="n">
        <f aca="false">CHOOSE(D_F01!$B$19,K252,J252,L252,IF(ISNUMBER(M252),M252,K252+7),K252)</f>
        <v>46264</v>
      </c>
      <c r="O252" s="3" t="str">
        <f aca="false">IF(ISNUMBER(M252),"confirmed",IF(G252&gt;0,"conditional_or_residual_assumption","history_or_fallback"))</f>
        <v>history_or_fallback</v>
      </c>
      <c r="P252" s="3" t="s">
        <v>2134</v>
      </c>
      <c r="Q252" s="3" t="n">
        <v>0</v>
      </c>
      <c r="R252" s="39" t="n">
        <v>46203</v>
      </c>
      <c r="S252" s="3" t="str">
        <f aca="false">IF(N252&gt;$B$7,"beyond_horizon",IF(N252&lt;$B$6,"invalid_past","in_horizon"))</f>
        <v>in_horizon</v>
      </c>
      <c r="T252" s="3" t="n">
        <f aca="false">IF(I252&gt;=D_F01!$B$27,IF(H252="customer",SUMIFS(D_sales!$X$5:$X$121,D_sales!$C$5:$C$121,C252,D_sales!$W$5:$W$121,1,D_sales!$U$5:$U$121,"&gt;="&amp;G252),SUMIFS(D_sales!$X$5:$X$121,D_sales!$W$5:$W$121,1,D_sales!$U$5:$U$121,"&gt;="&amp;G252))/IF(H252="customer",SUMIFS(D_sales!$V$5:$V$121,D_sales!$C$5:$C$121,C252,D_sales!$W$5:$W$121,1,D_sales!$U$5:$U$121,"&gt;="&amp;G252),SUMIFS(D_sales!$V$5:$V$121,D_sales!$W$5:$W$121,1,D_sales!$U$5:$U$121,"&gt;="&amp;G252)),0)</f>
        <v>16.2114491908565</v>
      </c>
      <c r="U252" s="3" t="n">
        <f aca="false" t="array" ref="U252:U252">IF(I252&gt;=D_F01!$B$27,IF(H252="customer",PERCENTILE(IF((D_sales!$W$5:$W$121=1)*(D_sales!$U$5:$U$121&gt;=G252)*(D_sales!$C$5:$C$121=C252),D_sales!$U$5:$U$121),0.25),PERCENTILE(IF((D_sales!$W$5:$W$121=1)*(D_sales!$U$5:$U$121&gt;=G252),D_sales!$U$5:$U$121),0.25)),0)</f>
        <v>10.5</v>
      </c>
      <c r="V252" s="3" t="n">
        <f aca="false" t="array" ref="V252:V252">IF(I252&gt;=D_F01!$B$27,IF(H252="customer",PERCENTILE(IF((D_sales!$W$5:$W$121=1)*(D_sales!$U$5:$U$121&gt;=G252)*(D_sales!$C$5:$C$121=C252),D_sales!$U$5:$U$121),0.75),PERCENTILE(IF((D_sales!$W$5:$W$121=1)*(D_sales!$U$5:$U$121&gt;=G252),D_sales!$U$5:$U$121),0.75)),0)</f>
        <v>22.5</v>
      </c>
      <c r="W252" s="3" t="n">
        <f aca="false">IF(G252&gt;0,IF(I252&gt;=D_F01!$B$27,MIN(T252,U252),G252+3),H46)</f>
        <v>10.5</v>
      </c>
      <c r="X252" s="3" t="n">
        <f aca="false">IF(G252&gt;0,IF(I252&gt;=D_F01!$B$27,T252,G252+10),E46)</f>
        <v>16.2114491908565</v>
      </c>
      <c r="Y252" s="3" t="n">
        <f aca="false">IF(G252&gt;0,IF(I252&gt;=D_F01!$B$27,MAX(T252,V252),G252+21),I46)</f>
        <v>22.5</v>
      </c>
    </row>
    <row r="253" customFormat="false" ht="25.5" hidden="false" customHeight="true" outlineLevel="0" collapsed="false">
      <c r="A253" s="4" t="s">
        <v>2199</v>
      </c>
      <c r="B253" s="4" t="s">
        <v>2200</v>
      </c>
      <c r="C253" s="4" t="s">
        <v>1993</v>
      </c>
      <c r="D253" s="4" t="s">
        <v>2201</v>
      </c>
      <c r="E253" s="33" t="n">
        <f aca="false">D_purchases!O109</f>
        <v>432157866</v>
      </c>
      <c r="F253" s="38" t="n">
        <f aca="false">D_purchases!I109</f>
        <v>46208</v>
      </c>
      <c r="G253" s="4" t="n">
        <f aca="false">D_purchases!P109</f>
        <v>0</v>
      </c>
      <c r="H253" s="4" t="s">
        <v>2202</v>
      </c>
      <c r="I253" s="4" t="n">
        <v>0</v>
      </c>
      <c r="J253" s="38" t="n">
        <f aca="false">IF(G253&gt;0,D_F01!$B$7+10+MOD(1,5),MAX($B$6,F253+IF(Q253=1,0,ROUNDUP(IFERROR(SUMIFS(D_purchases!$S$5:$S$139,D_purchases!$C$5:$C$139,C253)/SUMIFS(D_purchases!$T$5:$T$139,D_purchases!$C$5:$C$139,C253),0),0))))</f>
        <v>46225</v>
      </c>
      <c r="K253" s="38" t="n">
        <f aca="false">IF(G253&gt;0,D_F01!$B$7+5+MOD(1,5),MAX($B$6,F253+IF(Q253=1,0,ROUNDUP(IFERROR(SUMIFS(D_purchases!$S$5:$S$139,D_purchases!$C$5:$C$139,C253)/SUMIFS(D_purchases!$T$5:$T$139,D_purchases!$C$5:$C$139,C253),0),0))))</f>
        <v>46225</v>
      </c>
      <c r="L253" s="38" t="n">
        <f aca="false">IF(G253&gt;0,D_F01!$B$7+1+MOD(1,5),MAX($B$6,F253))</f>
        <v>46208</v>
      </c>
      <c r="M253" s="38"/>
      <c r="N253" s="38" t="n">
        <f aca="false">CHOOSE(D_F01!$B$19,K253,J253,L253,K253,K253)</f>
        <v>46225</v>
      </c>
      <c r="O253" s="4" t="str">
        <f aca="false">IF(G253&gt;0,"assumed_overdue_spread_not_approved",IF(Q253=1,"essential_due","historical_policy"))</f>
        <v>historical_policy</v>
      </c>
      <c r="P253" s="4" t="s">
        <v>2203</v>
      </c>
      <c r="Q253" s="4" t="n">
        <f aca="false">D_purchases!U109</f>
        <v>0</v>
      </c>
      <c r="R253" s="38" t="n">
        <v>46203</v>
      </c>
      <c r="S253" s="4" t="str">
        <f aca="false">IF(N253&gt;$B$7,"beyond_horizon","in_horizon")</f>
        <v>in_horizon</v>
      </c>
      <c r="T253" s="4" t="n">
        <v>0</v>
      </c>
      <c r="U253" s="4" t="n">
        <v>0</v>
      </c>
      <c r="V253" s="4" t="n">
        <v>0</v>
      </c>
      <c r="W253" s="4" t="n">
        <v>0</v>
      </c>
      <c r="X253" s="4" t="n">
        <v>0</v>
      </c>
      <c r="Y253" s="4" t="n">
        <v>0</v>
      </c>
    </row>
    <row r="254" customFormat="false" ht="25.5" hidden="false" customHeight="true" outlineLevel="0" collapsed="false">
      <c r="A254" s="3" t="s">
        <v>2204</v>
      </c>
      <c r="B254" s="3" t="s">
        <v>2205</v>
      </c>
      <c r="C254" s="3" t="s">
        <v>1993</v>
      </c>
      <c r="D254" s="3" t="s">
        <v>2201</v>
      </c>
      <c r="E254" s="32" t="n">
        <f aca="false">D_purchases!O110</f>
        <v>376724622</v>
      </c>
      <c r="F254" s="39" t="n">
        <f aca="false">D_purchases!I110</f>
        <v>46212</v>
      </c>
      <c r="G254" s="3" t="n">
        <f aca="false">D_purchases!P110</f>
        <v>0</v>
      </c>
      <c r="H254" s="3" t="s">
        <v>2202</v>
      </c>
      <c r="I254" s="3" t="n">
        <v>0</v>
      </c>
      <c r="J254" s="39" t="n">
        <f aca="false">IF(G254&gt;0,D_F01!$B$7+10+MOD(2,5),MAX($B$6,F254+IF(Q254=1,0,ROUNDUP(IFERROR(SUMIFS(D_purchases!$S$5:$S$139,D_purchases!$C$5:$C$139,C254)/SUMIFS(D_purchases!$T$5:$T$139,D_purchases!$C$5:$C$139,C254),0),0))))</f>
        <v>46229</v>
      </c>
      <c r="K254" s="39" t="n">
        <f aca="false">IF(G254&gt;0,D_F01!$B$7+5+MOD(2,5),MAX($B$6,F254+IF(Q254=1,0,ROUNDUP(IFERROR(SUMIFS(D_purchases!$S$5:$S$139,D_purchases!$C$5:$C$139,C254)/SUMIFS(D_purchases!$T$5:$T$139,D_purchases!$C$5:$C$139,C254),0),0))))</f>
        <v>46229</v>
      </c>
      <c r="L254" s="39" t="n">
        <f aca="false">IF(G254&gt;0,D_F01!$B$7+1+MOD(2,5),MAX($B$6,F254))</f>
        <v>46212</v>
      </c>
      <c r="M254" s="39"/>
      <c r="N254" s="39" t="n">
        <f aca="false">CHOOSE(D_F01!$B$19,K254,J254,L254,K254,K254)</f>
        <v>46229</v>
      </c>
      <c r="O254" s="3" t="str">
        <f aca="false">IF(G254&gt;0,"assumed_overdue_spread_not_approved",IF(Q254=1,"essential_due","historical_policy"))</f>
        <v>historical_policy</v>
      </c>
      <c r="P254" s="3" t="s">
        <v>2203</v>
      </c>
      <c r="Q254" s="3" t="n">
        <f aca="false">D_purchases!U110</f>
        <v>0</v>
      </c>
      <c r="R254" s="39" t="n">
        <v>46203</v>
      </c>
      <c r="S254" s="3" t="str">
        <f aca="false">IF(N254&gt;$B$7,"beyond_horizon","in_horizon")</f>
        <v>in_horizon</v>
      </c>
      <c r="T254" s="3" t="n">
        <v>0</v>
      </c>
      <c r="U254" s="3" t="n">
        <v>0</v>
      </c>
      <c r="V254" s="3" t="n">
        <v>0</v>
      </c>
      <c r="W254" s="3" t="n">
        <v>0</v>
      </c>
      <c r="X254" s="3" t="n">
        <v>0</v>
      </c>
      <c r="Y254" s="3" t="n">
        <v>0</v>
      </c>
    </row>
    <row r="255" customFormat="false" ht="25.5" hidden="false" customHeight="true" outlineLevel="0" collapsed="false">
      <c r="A255" s="4" t="s">
        <v>2206</v>
      </c>
      <c r="B255" s="4" t="s">
        <v>2207</v>
      </c>
      <c r="C255" s="4" t="s">
        <v>1993</v>
      </c>
      <c r="D255" s="4" t="s">
        <v>2201</v>
      </c>
      <c r="E255" s="33" t="n">
        <f aca="false">D_purchases!O113</f>
        <v>176055378</v>
      </c>
      <c r="F255" s="38" t="n">
        <f aca="false">D_purchases!I113</f>
        <v>46216</v>
      </c>
      <c r="G255" s="4" t="n">
        <f aca="false">D_purchases!P113</f>
        <v>0</v>
      </c>
      <c r="H255" s="4" t="s">
        <v>2202</v>
      </c>
      <c r="I255" s="4" t="n">
        <v>0</v>
      </c>
      <c r="J255" s="38" t="n">
        <f aca="false">IF(G255&gt;0,D_F01!$B$7+10+MOD(3,5),MAX($B$6,F255+IF(Q255=1,0,ROUNDUP(IFERROR(SUMIFS(D_purchases!$S$5:$S$139,D_purchases!$C$5:$C$139,C255)/SUMIFS(D_purchases!$T$5:$T$139,D_purchases!$C$5:$C$139,C255),0),0))))</f>
        <v>46233</v>
      </c>
      <c r="K255" s="38" t="n">
        <f aca="false">IF(G255&gt;0,D_F01!$B$7+5+MOD(3,5),MAX($B$6,F255+IF(Q255=1,0,ROUNDUP(IFERROR(SUMIFS(D_purchases!$S$5:$S$139,D_purchases!$C$5:$C$139,C255)/SUMIFS(D_purchases!$T$5:$T$139,D_purchases!$C$5:$C$139,C255),0),0))))</f>
        <v>46233</v>
      </c>
      <c r="L255" s="38" t="n">
        <f aca="false">IF(G255&gt;0,D_F01!$B$7+1+MOD(3,5),MAX($B$6,F255))</f>
        <v>46216</v>
      </c>
      <c r="M255" s="38"/>
      <c r="N255" s="38" t="n">
        <f aca="false">CHOOSE(D_F01!$B$19,K255,J255,L255,K255,K255)</f>
        <v>46233</v>
      </c>
      <c r="O255" s="4" t="str">
        <f aca="false">IF(G255&gt;0,"assumed_overdue_spread_not_approved",IF(Q255=1,"essential_due","historical_policy"))</f>
        <v>historical_policy</v>
      </c>
      <c r="P255" s="4" t="s">
        <v>2203</v>
      </c>
      <c r="Q255" s="4" t="n">
        <f aca="false">D_purchases!U113</f>
        <v>0</v>
      </c>
      <c r="R255" s="38" t="n">
        <v>46203</v>
      </c>
      <c r="S255" s="4" t="str">
        <f aca="false">IF(N255&gt;$B$7,"beyond_horizon","in_horizon")</f>
        <v>in_horizon</v>
      </c>
      <c r="T255" s="4" t="n">
        <v>0</v>
      </c>
      <c r="U255" s="4" t="n">
        <v>0</v>
      </c>
      <c r="V255" s="4" t="n">
        <v>0</v>
      </c>
      <c r="W255" s="4" t="n">
        <v>0</v>
      </c>
      <c r="X255" s="4" t="n">
        <v>0</v>
      </c>
      <c r="Y255" s="4" t="n">
        <v>0</v>
      </c>
    </row>
    <row r="256" customFormat="false" ht="25.5" hidden="false" customHeight="true" outlineLevel="0" collapsed="false">
      <c r="A256" s="3" t="s">
        <v>2208</v>
      </c>
      <c r="B256" s="3" t="s">
        <v>2209</v>
      </c>
      <c r="C256" s="3" t="s">
        <v>1992</v>
      </c>
      <c r="D256" s="3" t="s">
        <v>2201</v>
      </c>
      <c r="E256" s="32" t="n">
        <f aca="false">D_purchases!O118</f>
        <v>371409792</v>
      </c>
      <c r="F256" s="39" t="n">
        <f aca="false">D_purchases!I118</f>
        <v>46206</v>
      </c>
      <c r="G256" s="3" t="n">
        <f aca="false">D_purchases!P118</f>
        <v>0</v>
      </c>
      <c r="H256" s="3" t="s">
        <v>2202</v>
      </c>
      <c r="I256" s="3" t="n">
        <v>0</v>
      </c>
      <c r="J256" s="39" t="n">
        <f aca="false">IF(G256&gt;0,D_F01!$B$7+10+MOD(4,5),MAX($B$6,F256+IF(Q256=1,0,ROUNDUP(IFERROR(SUMIFS(D_purchases!$S$5:$S$139,D_purchases!$C$5:$C$139,C256)/SUMIFS(D_purchases!$T$5:$T$139,D_purchases!$C$5:$C$139,C256),0),0))))</f>
        <v>46206</v>
      </c>
      <c r="K256" s="39" t="n">
        <f aca="false">IF(G256&gt;0,D_F01!$B$7+5+MOD(4,5),MAX($B$6,F256+IF(Q256=1,0,ROUNDUP(IFERROR(SUMIFS(D_purchases!$S$5:$S$139,D_purchases!$C$5:$C$139,C256)/SUMIFS(D_purchases!$T$5:$T$139,D_purchases!$C$5:$C$139,C256),0),0))))</f>
        <v>46206</v>
      </c>
      <c r="L256" s="39" t="n">
        <f aca="false">IF(G256&gt;0,D_F01!$B$7+1+MOD(4,5),MAX($B$6,F256))</f>
        <v>46206</v>
      </c>
      <c r="M256" s="39"/>
      <c r="N256" s="39" t="n">
        <f aca="false">CHOOSE(D_F01!$B$19,K256,J256,L256,K256,K256)</f>
        <v>46206</v>
      </c>
      <c r="O256" s="3" t="str">
        <f aca="false">IF(G256&gt;0,"assumed_overdue_spread_not_approved",IF(Q256=1,"essential_due","historical_policy"))</f>
        <v>essential_due</v>
      </c>
      <c r="P256" s="3" t="s">
        <v>2203</v>
      </c>
      <c r="Q256" s="3" t="n">
        <f aca="false">D_purchases!U118</f>
        <v>1</v>
      </c>
      <c r="R256" s="39" t="n">
        <v>46203</v>
      </c>
      <c r="S256" s="3" t="str">
        <f aca="false">IF(N256&gt;$B$7,"beyond_horizon","in_horizon")</f>
        <v>in_horizon</v>
      </c>
      <c r="T256" s="3" t="n">
        <v>0</v>
      </c>
      <c r="U256" s="3" t="n">
        <v>0</v>
      </c>
      <c r="V256" s="3" t="n">
        <v>0</v>
      </c>
      <c r="W256" s="3" t="n">
        <v>0</v>
      </c>
      <c r="X256" s="3" t="n">
        <v>0</v>
      </c>
      <c r="Y256" s="3" t="n">
        <v>0</v>
      </c>
    </row>
    <row r="257" customFormat="false" ht="25.5" hidden="false" customHeight="true" outlineLevel="0" collapsed="false">
      <c r="A257" s="4" t="s">
        <v>2210</v>
      </c>
      <c r="B257" s="4" t="s">
        <v>2211</v>
      </c>
      <c r="C257" s="4" t="s">
        <v>1998</v>
      </c>
      <c r="D257" s="4" t="s">
        <v>2201</v>
      </c>
      <c r="E257" s="33" t="n">
        <f aca="false">D_purchases!O119</f>
        <v>979364994</v>
      </c>
      <c r="F257" s="38" t="n">
        <f aca="false">D_purchases!I119</f>
        <v>46118</v>
      </c>
      <c r="G257" s="4" t="n">
        <f aca="false">D_purchases!P119</f>
        <v>85</v>
      </c>
      <c r="H257" s="4" t="s">
        <v>2202</v>
      </c>
      <c r="I257" s="4" t="n">
        <v>0</v>
      </c>
      <c r="J257" s="38" t="n">
        <f aca="false">IF(G257&gt;0,D_F01!$B$7+10+MOD(5,5),MAX($B$6,F257+IF(Q257=1,0,ROUNDUP(IFERROR(SUMIFS(D_purchases!$S$5:$S$139,D_purchases!$C$5:$C$139,C257)/SUMIFS(D_purchases!$T$5:$T$139,D_purchases!$C$5:$C$139,C257),0),0))))</f>
        <v>46213</v>
      </c>
      <c r="K257" s="38" t="n">
        <f aca="false">IF(G257&gt;0,D_F01!$B$7+5+MOD(5,5),MAX($B$6,F257+IF(Q257=1,0,ROUNDUP(IFERROR(SUMIFS(D_purchases!$S$5:$S$139,D_purchases!$C$5:$C$139,C257)/SUMIFS(D_purchases!$T$5:$T$139,D_purchases!$C$5:$C$139,C257),0),0))))</f>
        <v>46208</v>
      </c>
      <c r="L257" s="38" t="n">
        <f aca="false">IF(G257&gt;0,D_F01!$B$7+1+MOD(5,5),MAX($B$6,F257))</f>
        <v>46204</v>
      </c>
      <c r="M257" s="38"/>
      <c r="N257" s="38" t="n">
        <f aca="false">CHOOSE(D_F01!$B$19,K257,J257,L257,K257,K257)</f>
        <v>46208</v>
      </c>
      <c r="O257" s="4" t="str">
        <f aca="false">IF(G257&gt;0,"assumed_overdue_spread_not_approved",IF(Q257=1,"essential_due","historical_policy"))</f>
        <v>assumed_overdue_spread_not_approved</v>
      </c>
      <c r="P257" s="4" t="s">
        <v>2203</v>
      </c>
      <c r="Q257" s="4" t="n">
        <f aca="false">D_purchases!U119</f>
        <v>0</v>
      </c>
      <c r="R257" s="38" t="n">
        <v>46203</v>
      </c>
      <c r="S257" s="4" t="str">
        <f aca="false">IF(N257&gt;$B$7,"beyond_horizon","in_horizon")</f>
        <v>in_horizon</v>
      </c>
      <c r="T257" s="4" t="n">
        <v>0</v>
      </c>
      <c r="U257" s="4" t="n">
        <v>0</v>
      </c>
      <c r="V257" s="4" t="n">
        <v>0</v>
      </c>
      <c r="W257" s="4" t="n">
        <v>0</v>
      </c>
      <c r="X257" s="4" t="n">
        <v>0</v>
      </c>
      <c r="Y257" s="4" t="n">
        <v>0</v>
      </c>
    </row>
    <row r="258" customFormat="false" ht="25.5" hidden="false" customHeight="true" outlineLevel="0" collapsed="false">
      <c r="A258" s="3" t="s">
        <v>2212</v>
      </c>
      <c r="B258" s="3" t="s">
        <v>2213</v>
      </c>
      <c r="C258" s="3" t="s">
        <v>1996</v>
      </c>
      <c r="D258" s="3" t="s">
        <v>2201</v>
      </c>
      <c r="E258" s="32" t="n">
        <f aca="false">D_purchases!O121</f>
        <v>925742208</v>
      </c>
      <c r="F258" s="39" t="n">
        <f aca="false">D_purchases!I121</f>
        <v>46209</v>
      </c>
      <c r="G258" s="3" t="n">
        <f aca="false">D_purchases!P121</f>
        <v>0</v>
      </c>
      <c r="H258" s="3" t="s">
        <v>2202</v>
      </c>
      <c r="I258" s="3" t="n">
        <v>0</v>
      </c>
      <c r="J258" s="39" t="n">
        <f aca="false">IF(G258&gt;0,D_F01!$B$7+10+MOD(6,5),MAX($B$6,F258+IF(Q258=1,0,ROUNDUP(IFERROR(SUMIFS(D_purchases!$S$5:$S$139,D_purchases!$C$5:$C$139,C258)/SUMIFS(D_purchases!$T$5:$T$139,D_purchases!$C$5:$C$139,C258),0),0))))</f>
        <v>46210</v>
      </c>
      <c r="K258" s="39" t="n">
        <f aca="false">IF(G258&gt;0,D_F01!$B$7+5+MOD(6,5),MAX($B$6,F258+IF(Q258=1,0,ROUNDUP(IFERROR(SUMIFS(D_purchases!$S$5:$S$139,D_purchases!$C$5:$C$139,C258)/SUMIFS(D_purchases!$T$5:$T$139,D_purchases!$C$5:$C$139,C258),0),0))))</f>
        <v>46210</v>
      </c>
      <c r="L258" s="39" t="n">
        <f aca="false">IF(G258&gt;0,D_F01!$B$7+1+MOD(6,5),MAX($B$6,F258))</f>
        <v>46209</v>
      </c>
      <c r="M258" s="39"/>
      <c r="N258" s="39" t="n">
        <f aca="false">CHOOSE(D_F01!$B$19,K258,J258,L258,K258,K258)</f>
        <v>46210</v>
      </c>
      <c r="O258" s="3" t="str">
        <f aca="false">IF(G258&gt;0,"assumed_overdue_spread_not_approved",IF(Q258=1,"essential_due","historical_policy"))</f>
        <v>historical_policy</v>
      </c>
      <c r="P258" s="3" t="s">
        <v>2203</v>
      </c>
      <c r="Q258" s="3" t="n">
        <f aca="false">D_purchases!U121</f>
        <v>0</v>
      </c>
      <c r="R258" s="39" t="n">
        <v>46203</v>
      </c>
      <c r="S258" s="3" t="str">
        <f aca="false">IF(N258&gt;$B$7,"beyond_horizon","in_horizon")</f>
        <v>in_horizon</v>
      </c>
      <c r="T258" s="3" t="n">
        <v>0</v>
      </c>
      <c r="U258" s="3" t="n">
        <v>0</v>
      </c>
      <c r="V258" s="3" t="n">
        <v>0</v>
      </c>
      <c r="W258" s="3" t="n">
        <v>0</v>
      </c>
      <c r="X258" s="3" t="n">
        <v>0</v>
      </c>
      <c r="Y258" s="3" t="n">
        <v>0</v>
      </c>
    </row>
    <row r="259" customFormat="false" ht="25.5" hidden="false" customHeight="true" outlineLevel="0" collapsed="false">
      <c r="A259" s="4" t="s">
        <v>2214</v>
      </c>
      <c r="B259" s="4" t="s">
        <v>2215</v>
      </c>
      <c r="C259" s="4" t="s">
        <v>2000</v>
      </c>
      <c r="D259" s="4" t="s">
        <v>2201</v>
      </c>
      <c r="E259" s="33" t="n">
        <f aca="false">D_purchases!O124</f>
        <v>346608630</v>
      </c>
      <c r="F259" s="38" t="n">
        <f aca="false">D_purchases!I124</f>
        <v>46217</v>
      </c>
      <c r="G259" s="4" t="n">
        <f aca="false">D_purchases!P124</f>
        <v>0</v>
      </c>
      <c r="H259" s="4" t="s">
        <v>2202</v>
      </c>
      <c r="I259" s="4" t="n">
        <v>0</v>
      </c>
      <c r="J259" s="38" t="n">
        <f aca="false">IF(G259&gt;0,D_F01!$B$7+10+MOD(7,5),MAX($B$6,F259+IF(Q259=1,0,ROUNDUP(IFERROR(SUMIFS(D_purchases!$S$5:$S$139,D_purchases!$C$5:$C$139,C259)/SUMIFS(D_purchases!$T$5:$T$139,D_purchases!$C$5:$C$139,C259),0),0))))</f>
        <v>46217</v>
      </c>
      <c r="K259" s="38" t="n">
        <f aca="false">IF(G259&gt;0,D_F01!$B$7+5+MOD(7,5),MAX($B$6,F259+IF(Q259=1,0,ROUNDUP(IFERROR(SUMIFS(D_purchases!$S$5:$S$139,D_purchases!$C$5:$C$139,C259)/SUMIFS(D_purchases!$T$5:$T$139,D_purchases!$C$5:$C$139,C259),0),0))))</f>
        <v>46217</v>
      </c>
      <c r="L259" s="38" t="n">
        <f aca="false">IF(G259&gt;0,D_F01!$B$7+1+MOD(7,5),MAX($B$6,F259))</f>
        <v>46217</v>
      </c>
      <c r="M259" s="38"/>
      <c r="N259" s="38" t="n">
        <f aca="false">CHOOSE(D_F01!$B$19,K259,J259,L259,K259,K259)</f>
        <v>46217</v>
      </c>
      <c r="O259" s="4" t="str">
        <f aca="false">IF(G259&gt;0,"assumed_overdue_spread_not_approved",IF(Q259=1,"essential_due","historical_policy"))</f>
        <v>essential_due</v>
      </c>
      <c r="P259" s="4" t="s">
        <v>2203</v>
      </c>
      <c r="Q259" s="4" t="n">
        <f aca="false">D_purchases!U124</f>
        <v>1</v>
      </c>
      <c r="R259" s="38" t="n">
        <v>46203</v>
      </c>
      <c r="S259" s="4" t="str">
        <f aca="false">IF(N259&gt;$B$7,"beyond_horizon","in_horizon")</f>
        <v>in_horizon</v>
      </c>
      <c r="T259" s="4" t="n">
        <v>0</v>
      </c>
      <c r="U259" s="4" t="n">
        <v>0</v>
      </c>
      <c r="V259" s="4" t="n">
        <v>0</v>
      </c>
      <c r="W259" s="4" t="n">
        <v>0</v>
      </c>
      <c r="X259" s="4" t="n">
        <v>0</v>
      </c>
      <c r="Y259" s="4" t="n">
        <v>0</v>
      </c>
    </row>
    <row r="260" customFormat="false" ht="25.5" hidden="false" customHeight="true" outlineLevel="0" collapsed="false">
      <c r="A260" s="3" t="s">
        <v>2216</v>
      </c>
      <c r="B260" s="3" t="s">
        <v>2217</v>
      </c>
      <c r="C260" s="3" t="s">
        <v>1992</v>
      </c>
      <c r="D260" s="3" t="s">
        <v>2201</v>
      </c>
      <c r="E260" s="32" t="n">
        <f aca="false">D_purchases!O125</f>
        <v>733629960</v>
      </c>
      <c r="F260" s="39" t="n">
        <f aca="false">D_purchases!I125</f>
        <v>46218</v>
      </c>
      <c r="G260" s="3" t="n">
        <f aca="false">D_purchases!P125</f>
        <v>0</v>
      </c>
      <c r="H260" s="3" t="s">
        <v>2202</v>
      </c>
      <c r="I260" s="3" t="n">
        <v>0</v>
      </c>
      <c r="J260" s="39" t="n">
        <f aca="false">IF(G260&gt;0,D_F01!$B$7+10+MOD(8,5),MAX($B$6,F260+IF(Q260=1,0,ROUNDUP(IFERROR(SUMIFS(D_purchases!$S$5:$S$139,D_purchases!$C$5:$C$139,C260)/SUMIFS(D_purchases!$T$5:$T$139,D_purchases!$C$5:$C$139,C260),0),0))))</f>
        <v>46218</v>
      </c>
      <c r="K260" s="39" t="n">
        <f aca="false">IF(G260&gt;0,D_F01!$B$7+5+MOD(8,5),MAX($B$6,F260+IF(Q260=1,0,ROUNDUP(IFERROR(SUMIFS(D_purchases!$S$5:$S$139,D_purchases!$C$5:$C$139,C260)/SUMIFS(D_purchases!$T$5:$T$139,D_purchases!$C$5:$C$139,C260),0),0))))</f>
        <v>46218</v>
      </c>
      <c r="L260" s="39" t="n">
        <f aca="false">IF(G260&gt;0,D_F01!$B$7+1+MOD(8,5),MAX($B$6,F260))</f>
        <v>46218</v>
      </c>
      <c r="M260" s="39"/>
      <c r="N260" s="39" t="n">
        <f aca="false">CHOOSE(D_F01!$B$19,K260,J260,L260,K260,K260)</f>
        <v>46218</v>
      </c>
      <c r="O260" s="3" t="str">
        <f aca="false">IF(G260&gt;0,"assumed_overdue_spread_not_approved",IF(Q260=1,"essential_due","historical_policy"))</f>
        <v>essential_due</v>
      </c>
      <c r="P260" s="3" t="s">
        <v>2203</v>
      </c>
      <c r="Q260" s="3" t="n">
        <f aca="false">D_purchases!U125</f>
        <v>1</v>
      </c>
      <c r="R260" s="39" t="n">
        <v>46203</v>
      </c>
      <c r="S260" s="3" t="str">
        <f aca="false">IF(N260&gt;$B$7,"beyond_horizon","in_horizon")</f>
        <v>in_horizon</v>
      </c>
      <c r="T260" s="3" t="n">
        <v>0</v>
      </c>
      <c r="U260" s="3" t="n">
        <v>0</v>
      </c>
      <c r="V260" s="3" t="n">
        <v>0</v>
      </c>
      <c r="W260" s="3" t="n">
        <v>0</v>
      </c>
      <c r="X260" s="3" t="n">
        <v>0</v>
      </c>
      <c r="Y260" s="3" t="n">
        <v>0</v>
      </c>
    </row>
    <row r="261" customFormat="false" ht="25.5" hidden="false" customHeight="true" outlineLevel="0" collapsed="false">
      <c r="A261" s="4" t="s">
        <v>2218</v>
      </c>
      <c r="B261" s="4" t="s">
        <v>2219</v>
      </c>
      <c r="C261" s="4" t="s">
        <v>1995</v>
      </c>
      <c r="D261" s="4" t="s">
        <v>2201</v>
      </c>
      <c r="E261" s="33" t="n">
        <f aca="false">D_purchases!O126</f>
        <v>81445536</v>
      </c>
      <c r="F261" s="38" t="n">
        <f aca="false">D_purchases!I126</f>
        <v>46204</v>
      </c>
      <c r="G261" s="4" t="n">
        <f aca="false">D_purchases!P126</f>
        <v>0</v>
      </c>
      <c r="H261" s="4" t="s">
        <v>2202</v>
      </c>
      <c r="I261" s="4" t="n">
        <v>0</v>
      </c>
      <c r="J261" s="38" t="n">
        <f aca="false">IF(G261&gt;0,D_F01!$B$7+10+MOD(9,5),MAX($B$6,F261+IF(Q261=1,0,ROUNDUP(IFERROR(SUMIFS(D_purchases!$S$5:$S$139,D_purchases!$C$5:$C$139,C261)/SUMIFS(D_purchases!$T$5:$T$139,D_purchases!$C$5:$C$139,C261),0),0))))</f>
        <v>46205</v>
      </c>
      <c r="K261" s="38" t="n">
        <f aca="false">IF(G261&gt;0,D_F01!$B$7+5+MOD(9,5),MAX($B$6,F261+IF(Q261=1,0,ROUNDUP(IFERROR(SUMIFS(D_purchases!$S$5:$S$139,D_purchases!$C$5:$C$139,C261)/SUMIFS(D_purchases!$T$5:$T$139,D_purchases!$C$5:$C$139,C261),0),0))))</f>
        <v>46205</v>
      </c>
      <c r="L261" s="38" t="n">
        <f aca="false">IF(G261&gt;0,D_F01!$B$7+1+MOD(9,5),MAX($B$6,F261))</f>
        <v>46204</v>
      </c>
      <c r="M261" s="38"/>
      <c r="N261" s="38" t="n">
        <f aca="false">CHOOSE(D_F01!$B$19,K261,J261,L261,K261,K261)</f>
        <v>46205</v>
      </c>
      <c r="O261" s="4" t="str">
        <f aca="false">IF(G261&gt;0,"assumed_overdue_spread_not_approved",IF(Q261=1,"essential_due","historical_policy"))</f>
        <v>historical_policy</v>
      </c>
      <c r="P261" s="4" t="s">
        <v>2203</v>
      </c>
      <c r="Q261" s="4" t="n">
        <f aca="false">D_purchases!U126</f>
        <v>0</v>
      </c>
      <c r="R261" s="38" t="n">
        <v>46203</v>
      </c>
      <c r="S261" s="4" t="str">
        <f aca="false">IF(N261&gt;$B$7,"beyond_horizon","in_horizon")</f>
        <v>in_horizon</v>
      </c>
      <c r="T261" s="4" t="n">
        <v>0</v>
      </c>
      <c r="U261" s="4" t="n">
        <v>0</v>
      </c>
      <c r="V261" s="4" t="n">
        <v>0</v>
      </c>
      <c r="W261" s="4" t="n">
        <v>0</v>
      </c>
      <c r="X261" s="4" t="n">
        <v>0</v>
      </c>
      <c r="Y261" s="4" t="n">
        <v>0</v>
      </c>
    </row>
    <row r="262" customFormat="false" ht="25.5" hidden="false" customHeight="true" outlineLevel="0" collapsed="false">
      <c r="A262" s="3" t="s">
        <v>2220</v>
      </c>
      <c r="B262" s="3" t="s">
        <v>2221</v>
      </c>
      <c r="C262" s="3" t="s">
        <v>1992</v>
      </c>
      <c r="D262" s="3" t="s">
        <v>2201</v>
      </c>
      <c r="E262" s="32" t="n">
        <f aca="false">D_purchases!O127</f>
        <v>572395350</v>
      </c>
      <c r="F262" s="39" t="n">
        <f aca="false">D_purchases!I127</f>
        <v>46221</v>
      </c>
      <c r="G262" s="3" t="n">
        <f aca="false">D_purchases!P127</f>
        <v>0</v>
      </c>
      <c r="H262" s="3" t="s">
        <v>2202</v>
      </c>
      <c r="I262" s="3" t="n">
        <v>0</v>
      </c>
      <c r="J262" s="39" t="n">
        <f aca="false">IF(G262&gt;0,D_F01!$B$7+10+MOD(10,5),MAX($B$6,F262+IF(Q262=1,0,ROUNDUP(IFERROR(SUMIFS(D_purchases!$S$5:$S$139,D_purchases!$C$5:$C$139,C262)/SUMIFS(D_purchases!$T$5:$T$139,D_purchases!$C$5:$C$139,C262),0),0))))</f>
        <v>46221</v>
      </c>
      <c r="K262" s="39" t="n">
        <f aca="false">IF(G262&gt;0,D_F01!$B$7+5+MOD(10,5),MAX($B$6,F262+IF(Q262=1,0,ROUNDUP(IFERROR(SUMIFS(D_purchases!$S$5:$S$139,D_purchases!$C$5:$C$139,C262)/SUMIFS(D_purchases!$T$5:$T$139,D_purchases!$C$5:$C$139,C262),0),0))))</f>
        <v>46221</v>
      </c>
      <c r="L262" s="39" t="n">
        <f aca="false">IF(G262&gt;0,D_F01!$B$7+1+MOD(10,5),MAX($B$6,F262))</f>
        <v>46221</v>
      </c>
      <c r="M262" s="39"/>
      <c r="N262" s="39" t="n">
        <f aca="false">CHOOSE(D_F01!$B$19,K262,J262,L262,K262,K262)</f>
        <v>46221</v>
      </c>
      <c r="O262" s="3" t="str">
        <f aca="false">IF(G262&gt;0,"assumed_overdue_spread_not_approved",IF(Q262=1,"essential_due","historical_policy"))</f>
        <v>essential_due</v>
      </c>
      <c r="P262" s="3" t="s">
        <v>2203</v>
      </c>
      <c r="Q262" s="3" t="n">
        <f aca="false">D_purchases!U127</f>
        <v>1</v>
      </c>
      <c r="R262" s="39" t="n">
        <v>46203</v>
      </c>
      <c r="S262" s="3" t="str">
        <f aca="false">IF(N262&gt;$B$7,"beyond_horizon","in_horizon")</f>
        <v>in_horizon</v>
      </c>
      <c r="T262" s="3" t="n">
        <v>0</v>
      </c>
      <c r="U262" s="3" t="n">
        <v>0</v>
      </c>
      <c r="V262" s="3" t="n">
        <v>0</v>
      </c>
      <c r="W262" s="3" t="n">
        <v>0</v>
      </c>
      <c r="X262" s="3" t="n">
        <v>0</v>
      </c>
      <c r="Y262" s="3" t="n">
        <v>0</v>
      </c>
    </row>
    <row r="263" customFormat="false" ht="25.5" hidden="false" customHeight="true" outlineLevel="0" collapsed="false">
      <c r="A263" s="4" t="s">
        <v>2222</v>
      </c>
      <c r="B263" s="4" t="s">
        <v>2223</v>
      </c>
      <c r="C263" s="4" t="s">
        <v>1995</v>
      </c>
      <c r="D263" s="4" t="s">
        <v>2201</v>
      </c>
      <c r="E263" s="33" t="n">
        <f aca="false">D_purchases!O128</f>
        <v>138127368</v>
      </c>
      <c r="F263" s="38" t="n">
        <f aca="false">D_purchases!I128</f>
        <v>46206</v>
      </c>
      <c r="G263" s="4" t="n">
        <f aca="false">D_purchases!P128</f>
        <v>0</v>
      </c>
      <c r="H263" s="4" t="s">
        <v>2202</v>
      </c>
      <c r="I263" s="4" t="n">
        <v>0</v>
      </c>
      <c r="J263" s="38" t="n">
        <f aca="false">IF(G263&gt;0,D_F01!$B$7+10+MOD(11,5),MAX($B$6,F263+IF(Q263=1,0,ROUNDUP(IFERROR(SUMIFS(D_purchases!$S$5:$S$139,D_purchases!$C$5:$C$139,C263)/SUMIFS(D_purchases!$T$5:$T$139,D_purchases!$C$5:$C$139,C263),0),0))))</f>
        <v>46207</v>
      </c>
      <c r="K263" s="38" t="n">
        <f aca="false">IF(G263&gt;0,D_F01!$B$7+5+MOD(11,5),MAX($B$6,F263+IF(Q263=1,0,ROUNDUP(IFERROR(SUMIFS(D_purchases!$S$5:$S$139,D_purchases!$C$5:$C$139,C263)/SUMIFS(D_purchases!$T$5:$T$139,D_purchases!$C$5:$C$139,C263),0),0))))</f>
        <v>46207</v>
      </c>
      <c r="L263" s="38" t="n">
        <f aca="false">IF(G263&gt;0,D_F01!$B$7+1+MOD(11,5),MAX($B$6,F263))</f>
        <v>46206</v>
      </c>
      <c r="M263" s="38"/>
      <c r="N263" s="38" t="n">
        <f aca="false">CHOOSE(D_F01!$B$19,K263,J263,L263,K263,K263)</f>
        <v>46207</v>
      </c>
      <c r="O263" s="4" t="str">
        <f aca="false">IF(G263&gt;0,"assumed_overdue_spread_not_approved",IF(Q263=1,"essential_due","historical_policy"))</f>
        <v>historical_policy</v>
      </c>
      <c r="P263" s="4" t="s">
        <v>2203</v>
      </c>
      <c r="Q263" s="4" t="n">
        <f aca="false">D_purchases!U128</f>
        <v>0</v>
      </c>
      <c r="R263" s="38" t="n">
        <v>46203</v>
      </c>
      <c r="S263" s="4" t="str">
        <f aca="false">IF(N263&gt;$B$7,"beyond_horizon","in_horizon")</f>
        <v>in_horizon</v>
      </c>
      <c r="T263" s="4" t="n">
        <v>0</v>
      </c>
      <c r="U263" s="4" t="n">
        <v>0</v>
      </c>
      <c r="V263" s="4" t="n">
        <v>0</v>
      </c>
      <c r="W263" s="4" t="n">
        <v>0</v>
      </c>
      <c r="X263" s="4" t="n">
        <v>0</v>
      </c>
      <c r="Y263" s="4" t="n">
        <v>0</v>
      </c>
    </row>
    <row r="264" customFormat="false" ht="25.5" hidden="false" customHeight="true" outlineLevel="0" collapsed="false">
      <c r="A264" s="3" t="s">
        <v>2224</v>
      </c>
      <c r="B264" s="3" t="s">
        <v>2225</v>
      </c>
      <c r="C264" s="3" t="s">
        <v>1993</v>
      </c>
      <c r="D264" s="3" t="s">
        <v>2201</v>
      </c>
      <c r="E264" s="32" t="n">
        <f aca="false">D_purchases!O129</f>
        <v>288199584</v>
      </c>
      <c r="F264" s="39" t="n">
        <f aca="false">D_purchases!I129</f>
        <v>46237</v>
      </c>
      <c r="G264" s="3" t="n">
        <f aca="false">D_purchases!P129</f>
        <v>0</v>
      </c>
      <c r="H264" s="3" t="s">
        <v>2202</v>
      </c>
      <c r="I264" s="3" t="n">
        <v>0</v>
      </c>
      <c r="J264" s="39" t="n">
        <f aca="false">IF(G264&gt;0,D_F01!$B$7+10+MOD(12,5),MAX($B$6,F264+IF(Q264=1,0,ROUNDUP(IFERROR(SUMIFS(D_purchases!$S$5:$S$139,D_purchases!$C$5:$C$139,C264)/SUMIFS(D_purchases!$T$5:$T$139,D_purchases!$C$5:$C$139,C264),0),0))))</f>
        <v>46254</v>
      </c>
      <c r="K264" s="39" t="n">
        <f aca="false">IF(G264&gt;0,D_F01!$B$7+5+MOD(12,5),MAX($B$6,F264+IF(Q264=1,0,ROUNDUP(IFERROR(SUMIFS(D_purchases!$S$5:$S$139,D_purchases!$C$5:$C$139,C264)/SUMIFS(D_purchases!$T$5:$T$139,D_purchases!$C$5:$C$139,C264),0),0))))</f>
        <v>46254</v>
      </c>
      <c r="L264" s="39" t="n">
        <f aca="false">IF(G264&gt;0,D_F01!$B$7+1+MOD(12,5),MAX($B$6,F264))</f>
        <v>46237</v>
      </c>
      <c r="M264" s="39"/>
      <c r="N264" s="39" t="n">
        <f aca="false">CHOOSE(D_F01!$B$19,K264,J264,L264,K264,K264)</f>
        <v>46254</v>
      </c>
      <c r="O264" s="3" t="str">
        <f aca="false">IF(G264&gt;0,"assumed_overdue_spread_not_approved",IF(Q264=1,"essential_due","historical_policy"))</f>
        <v>historical_policy</v>
      </c>
      <c r="P264" s="3" t="s">
        <v>2203</v>
      </c>
      <c r="Q264" s="3" t="n">
        <f aca="false">D_purchases!U129</f>
        <v>0</v>
      </c>
      <c r="R264" s="39" t="n">
        <v>46203</v>
      </c>
      <c r="S264" s="3" t="str">
        <f aca="false">IF(N264&gt;$B$7,"beyond_horizon","in_horizon")</f>
        <v>in_horizon</v>
      </c>
      <c r="T264" s="3" t="n">
        <v>0</v>
      </c>
      <c r="U264" s="3" t="n">
        <v>0</v>
      </c>
      <c r="V264" s="3" t="n">
        <v>0</v>
      </c>
      <c r="W264" s="3" t="n">
        <v>0</v>
      </c>
      <c r="X264" s="3" t="n">
        <v>0</v>
      </c>
      <c r="Y264" s="3" t="n">
        <v>0</v>
      </c>
    </row>
    <row r="265" customFormat="false" ht="25.5" hidden="false" customHeight="true" outlineLevel="0" collapsed="false">
      <c r="A265" s="4" t="s">
        <v>2226</v>
      </c>
      <c r="B265" s="4" t="s">
        <v>2227</v>
      </c>
      <c r="C265" s="4" t="s">
        <v>1994</v>
      </c>
      <c r="D265" s="4" t="s">
        <v>2201</v>
      </c>
      <c r="E265" s="33" t="n">
        <f aca="false">D_purchases!O130</f>
        <v>318914898</v>
      </c>
      <c r="F265" s="38" t="n">
        <f aca="false">D_purchases!I130</f>
        <v>46208</v>
      </c>
      <c r="G265" s="4" t="n">
        <f aca="false">D_purchases!P130</f>
        <v>0</v>
      </c>
      <c r="H265" s="4" t="s">
        <v>2202</v>
      </c>
      <c r="I265" s="4" t="n">
        <v>0</v>
      </c>
      <c r="J265" s="38" t="n">
        <f aca="false">IF(G265&gt;0,D_F01!$B$7+10+MOD(13,5),MAX($B$6,F265+IF(Q265=1,0,ROUNDUP(IFERROR(SUMIFS(D_purchases!$S$5:$S$139,D_purchases!$C$5:$C$139,C265)/SUMIFS(D_purchases!$T$5:$T$139,D_purchases!$C$5:$C$139,C265),0),0))))</f>
        <v>46208</v>
      </c>
      <c r="K265" s="38" t="n">
        <f aca="false">IF(G265&gt;0,D_F01!$B$7+5+MOD(13,5),MAX($B$6,F265+IF(Q265=1,0,ROUNDUP(IFERROR(SUMIFS(D_purchases!$S$5:$S$139,D_purchases!$C$5:$C$139,C265)/SUMIFS(D_purchases!$T$5:$T$139,D_purchases!$C$5:$C$139,C265),0),0))))</f>
        <v>46208</v>
      </c>
      <c r="L265" s="38" t="n">
        <f aca="false">IF(G265&gt;0,D_F01!$B$7+1+MOD(13,5),MAX($B$6,F265))</f>
        <v>46208</v>
      </c>
      <c r="M265" s="38"/>
      <c r="N265" s="38" t="n">
        <f aca="false">CHOOSE(D_F01!$B$19,K265,J265,L265,K265,K265)</f>
        <v>46208</v>
      </c>
      <c r="O265" s="4" t="str">
        <f aca="false">IF(G265&gt;0,"assumed_overdue_spread_not_approved",IF(Q265=1,"essential_due","historical_policy"))</f>
        <v>essential_due</v>
      </c>
      <c r="P265" s="4" t="s">
        <v>2203</v>
      </c>
      <c r="Q265" s="4" t="n">
        <f aca="false">D_purchases!U130</f>
        <v>1</v>
      </c>
      <c r="R265" s="38" t="n">
        <v>46203</v>
      </c>
      <c r="S265" s="4" t="str">
        <f aca="false">IF(N265&gt;$B$7,"beyond_horizon","in_horizon")</f>
        <v>in_horizon</v>
      </c>
      <c r="T265" s="4" t="n">
        <v>0</v>
      </c>
      <c r="U265" s="4" t="n">
        <v>0</v>
      </c>
      <c r="V265" s="4" t="n">
        <v>0</v>
      </c>
      <c r="W265" s="4" t="n">
        <v>0</v>
      </c>
      <c r="X265" s="4" t="n">
        <v>0</v>
      </c>
      <c r="Y265" s="4" t="n">
        <v>0</v>
      </c>
    </row>
    <row r="266" customFormat="false" ht="25.5" hidden="false" customHeight="true" outlineLevel="0" collapsed="false">
      <c r="A266" s="3" t="s">
        <v>2228</v>
      </c>
      <c r="B266" s="3" t="s">
        <v>2229</v>
      </c>
      <c r="C266" s="3" t="s">
        <v>2000</v>
      </c>
      <c r="D266" s="3" t="s">
        <v>2201</v>
      </c>
      <c r="E266" s="32" t="n">
        <f aca="false">D_purchases!O131</f>
        <v>169641786</v>
      </c>
      <c r="F266" s="39" t="n">
        <f aca="false">D_purchases!I131</f>
        <v>46223</v>
      </c>
      <c r="G266" s="3" t="n">
        <f aca="false">D_purchases!P131</f>
        <v>0</v>
      </c>
      <c r="H266" s="3" t="s">
        <v>2202</v>
      </c>
      <c r="I266" s="3" t="n">
        <v>0</v>
      </c>
      <c r="J266" s="39" t="n">
        <f aca="false">IF(G266&gt;0,D_F01!$B$7+10+MOD(14,5),MAX($B$6,F266+IF(Q266=1,0,ROUNDUP(IFERROR(SUMIFS(D_purchases!$S$5:$S$139,D_purchases!$C$5:$C$139,C266)/SUMIFS(D_purchases!$T$5:$T$139,D_purchases!$C$5:$C$139,C266),0),0))))</f>
        <v>46223</v>
      </c>
      <c r="K266" s="39" t="n">
        <f aca="false">IF(G266&gt;0,D_F01!$B$7+5+MOD(14,5),MAX($B$6,F266+IF(Q266=1,0,ROUNDUP(IFERROR(SUMIFS(D_purchases!$S$5:$S$139,D_purchases!$C$5:$C$139,C266)/SUMIFS(D_purchases!$T$5:$T$139,D_purchases!$C$5:$C$139,C266),0),0))))</f>
        <v>46223</v>
      </c>
      <c r="L266" s="39" t="n">
        <f aca="false">IF(G266&gt;0,D_F01!$B$7+1+MOD(14,5),MAX($B$6,F266))</f>
        <v>46223</v>
      </c>
      <c r="M266" s="39"/>
      <c r="N266" s="39" t="n">
        <f aca="false">CHOOSE(D_F01!$B$19,K266,J266,L266,K266,K266)</f>
        <v>46223</v>
      </c>
      <c r="O266" s="3" t="str">
        <f aca="false">IF(G266&gt;0,"assumed_overdue_spread_not_approved",IF(Q266=1,"essential_due","historical_policy"))</f>
        <v>essential_due</v>
      </c>
      <c r="P266" s="3" t="s">
        <v>2203</v>
      </c>
      <c r="Q266" s="3" t="n">
        <f aca="false">D_purchases!U131</f>
        <v>1</v>
      </c>
      <c r="R266" s="39" t="n">
        <v>46203</v>
      </c>
      <c r="S266" s="3" t="str">
        <f aca="false">IF(N266&gt;$B$7,"beyond_horizon","in_horizon")</f>
        <v>in_horizon</v>
      </c>
      <c r="T266" s="3" t="n">
        <v>0</v>
      </c>
      <c r="U266" s="3" t="n">
        <v>0</v>
      </c>
      <c r="V266" s="3" t="n">
        <v>0</v>
      </c>
      <c r="W266" s="3" t="n">
        <v>0</v>
      </c>
      <c r="X266" s="3" t="n">
        <v>0</v>
      </c>
      <c r="Y266" s="3" t="n">
        <v>0</v>
      </c>
    </row>
    <row r="267" customFormat="false" ht="25.5" hidden="false" customHeight="true" outlineLevel="0" collapsed="false">
      <c r="A267" s="4" t="s">
        <v>2230</v>
      </c>
      <c r="B267" s="4" t="s">
        <v>2231</v>
      </c>
      <c r="C267" s="4" t="s">
        <v>1992</v>
      </c>
      <c r="D267" s="4" t="s">
        <v>2201</v>
      </c>
      <c r="E267" s="33" t="n">
        <f aca="false">D_purchases!O132</f>
        <v>468512740</v>
      </c>
      <c r="F267" s="38" t="n">
        <f aca="false">D_purchases!I132</f>
        <v>46224</v>
      </c>
      <c r="G267" s="4" t="n">
        <f aca="false">D_purchases!P132</f>
        <v>0</v>
      </c>
      <c r="H267" s="4" t="s">
        <v>2202</v>
      </c>
      <c r="I267" s="4" t="n">
        <v>0</v>
      </c>
      <c r="J267" s="38" t="n">
        <f aca="false">IF(G267&gt;0,D_F01!$B$7+10+MOD(15,5),MAX($B$6,F267+IF(Q267=1,0,ROUNDUP(IFERROR(SUMIFS(D_purchases!$S$5:$S$139,D_purchases!$C$5:$C$139,C267)/SUMIFS(D_purchases!$T$5:$T$139,D_purchases!$C$5:$C$139,C267),0),0))))</f>
        <v>46224</v>
      </c>
      <c r="K267" s="38" t="n">
        <f aca="false">IF(G267&gt;0,D_F01!$B$7+5+MOD(15,5),MAX($B$6,F267+IF(Q267=1,0,ROUNDUP(IFERROR(SUMIFS(D_purchases!$S$5:$S$139,D_purchases!$C$5:$C$139,C267)/SUMIFS(D_purchases!$T$5:$T$139,D_purchases!$C$5:$C$139,C267),0),0))))</f>
        <v>46224</v>
      </c>
      <c r="L267" s="38" t="n">
        <f aca="false">IF(G267&gt;0,D_F01!$B$7+1+MOD(15,5),MAX($B$6,F267))</f>
        <v>46224</v>
      </c>
      <c r="M267" s="38"/>
      <c r="N267" s="38" t="n">
        <f aca="false">CHOOSE(D_F01!$B$19,K267,J267,L267,K267,K267)</f>
        <v>46224</v>
      </c>
      <c r="O267" s="4" t="str">
        <f aca="false">IF(G267&gt;0,"assumed_overdue_spread_not_approved",IF(Q267=1,"essential_due","historical_policy"))</f>
        <v>essential_due</v>
      </c>
      <c r="P267" s="4" t="s">
        <v>2203</v>
      </c>
      <c r="Q267" s="4" t="n">
        <f aca="false">D_purchases!U132</f>
        <v>1</v>
      </c>
      <c r="R267" s="38" t="n">
        <v>46203</v>
      </c>
      <c r="S267" s="4" t="str">
        <f aca="false">IF(N267&gt;$B$7,"beyond_horizon","in_horizon")</f>
        <v>in_horizon</v>
      </c>
      <c r="T267" s="4" t="n">
        <v>0</v>
      </c>
      <c r="U267" s="4" t="n">
        <v>0</v>
      </c>
      <c r="V267" s="4" t="n">
        <v>0</v>
      </c>
      <c r="W267" s="4" t="n">
        <v>0</v>
      </c>
      <c r="X267" s="4" t="n">
        <v>0</v>
      </c>
      <c r="Y267" s="4" t="n">
        <v>0</v>
      </c>
    </row>
    <row r="268" customFormat="false" ht="25.5" hidden="false" customHeight="true" outlineLevel="0" collapsed="false">
      <c r="A268" s="3" t="s">
        <v>2232</v>
      </c>
      <c r="B268" s="3" t="s">
        <v>2233</v>
      </c>
      <c r="C268" s="3" t="s">
        <v>1994</v>
      </c>
      <c r="D268" s="3" t="s">
        <v>2201</v>
      </c>
      <c r="E268" s="32" t="n">
        <f aca="false">D_purchases!O133</f>
        <v>143226918</v>
      </c>
      <c r="F268" s="39" t="n">
        <f aca="false">D_purchases!I133</f>
        <v>46210</v>
      </c>
      <c r="G268" s="3" t="n">
        <f aca="false">D_purchases!P133</f>
        <v>0</v>
      </c>
      <c r="H268" s="3" t="s">
        <v>2202</v>
      </c>
      <c r="I268" s="3" t="n">
        <v>0</v>
      </c>
      <c r="J268" s="39" t="n">
        <f aca="false">IF(G268&gt;0,D_F01!$B$7+10+MOD(16,5),MAX($B$6,F268+IF(Q268=1,0,ROUNDUP(IFERROR(SUMIFS(D_purchases!$S$5:$S$139,D_purchases!$C$5:$C$139,C268)/SUMIFS(D_purchases!$T$5:$T$139,D_purchases!$C$5:$C$139,C268),0),0))))</f>
        <v>46210</v>
      </c>
      <c r="K268" s="39" t="n">
        <f aca="false">IF(G268&gt;0,D_F01!$B$7+5+MOD(16,5),MAX($B$6,F268+IF(Q268=1,0,ROUNDUP(IFERROR(SUMIFS(D_purchases!$S$5:$S$139,D_purchases!$C$5:$C$139,C268)/SUMIFS(D_purchases!$T$5:$T$139,D_purchases!$C$5:$C$139,C268),0),0))))</f>
        <v>46210</v>
      </c>
      <c r="L268" s="39" t="n">
        <f aca="false">IF(G268&gt;0,D_F01!$B$7+1+MOD(16,5),MAX($B$6,F268))</f>
        <v>46210</v>
      </c>
      <c r="M268" s="39"/>
      <c r="N268" s="39" t="n">
        <f aca="false">CHOOSE(D_F01!$B$19,K268,J268,L268,K268,K268)</f>
        <v>46210</v>
      </c>
      <c r="O268" s="3" t="str">
        <f aca="false">IF(G268&gt;0,"assumed_overdue_spread_not_approved",IF(Q268=1,"essential_due","historical_policy"))</f>
        <v>essential_due</v>
      </c>
      <c r="P268" s="3" t="s">
        <v>2203</v>
      </c>
      <c r="Q268" s="3" t="n">
        <f aca="false">D_purchases!U133</f>
        <v>1</v>
      </c>
      <c r="R268" s="39" t="n">
        <v>46203</v>
      </c>
      <c r="S268" s="3" t="str">
        <f aca="false">IF(N268&gt;$B$7,"beyond_horizon","in_horizon")</f>
        <v>in_horizon</v>
      </c>
      <c r="T268" s="3" t="n">
        <v>0</v>
      </c>
      <c r="U268" s="3" t="n">
        <v>0</v>
      </c>
      <c r="V268" s="3" t="n">
        <v>0</v>
      </c>
      <c r="W268" s="3" t="n">
        <v>0</v>
      </c>
      <c r="X268" s="3" t="n">
        <v>0</v>
      </c>
      <c r="Y268" s="3" t="n">
        <v>0</v>
      </c>
    </row>
    <row r="269" customFormat="false" ht="25.5" hidden="false" customHeight="true" outlineLevel="0" collapsed="false">
      <c r="A269" s="4" t="s">
        <v>2234</v>
      </c>
      <c r="B269" s="4" t="s">
        <v>2235</v>
      </c>
      <c r="C269" s="4" t="s">
        <v>2000</v>
      </c>
      <c r="D269" s="4" t="s">
        <v>2201</v>
      </c>
      <c r="E269" s="33" t="n">
        <f aca="false">D_purchases!O134</f>
        <v>312945067</v>
      </c>
      <c r="F269" s="38" t="n">
        <f aca="false">D_purchases!I134</f>
        <v>46226</v>
      </c>
      <c r="G269" s="4" t="n">
        <f aca="false">D_purchases!P134</f>
        <v>0</v>
      </c>
      <c r="H269" s="4" t="s">
        <v>2202</v>
      </c>
      <c r="I269" s="4" t="n">
        <v>0</v>
      </c>
      <c r="J269" s="38" t="n">
        <f aca="false">IF(G269&gt;0,D_F01!$B$7+10+MOD(17,5),MAX($B$6,F269+IF(Q269=1,0,ROUNDUP(IFERROR(SUMIFS(D_purchases!$S$5:$S$139,D_purchases!$C$5:$C$139,C269)/SUMIFS(D_purchases!$T$5:$T$139,D_purchases!$C$5:$C$139,C269),0),0))))</f>
        <v>46226</v>
      </c>
      <c r="K269" s="38" t="n">
        <f aca="false">IF(G269&gt;0,D_F01!$B$7+5+MOD(17,5),MAX($B$6,F269+IF(Q269=1,0,ROUNDUP(IFERROR(SUMIFS(D_purchases!$S$5:$S$139,D_purchases!$C$5:$C$139,C269)/SUMIFS(D_purchases!$T$5:$T$139,D_purchases!$C$5:$C$139,C269),0),0))))</f>
        <v>46226</v>
      </c>
      <c r="L269" s="38" t="n">
        <f aca="false">IF(G269&gt;0,D_F01!$B$7+1+MOD(17,5),MAX($B$6,F269))</f>
        <v>46226</v>
      </c>
      <c r="M269" s="38"/>
      <c r="N269" s="38" t="n">
        <f aca="false">CHOOSE(D_F01!$B$19,K269,J269,L269,K269,K269)</f>
        <v>46226</v>
      </c>
      <c r="O269" s="4" t="str">
        <f aca="false">IF(G269&gt;0,"assumed_overdue_spread_not_approved",IF(Q269=1,"essential_due","historical_policy"))</f>
        <v>essential_due</v>
      </c>
      <c r="P269" s="4" t="s">
        <v>2203</v>
      </c>
      <c r="Q269" s="4" t="n">
        <f aca="false">D_purchases!U134</f>
        <v>1</v>
      </c>
      <c r="R269" s="38" t="n">
        <v>46203</v>
      </c>
      <c r="S269" s="4" t="str">
        <f aca="false">IF(N269&gt;$B$7,"beyond_horizon","in_horizon")</f>
        <v>in_horizon</v>
      </c>
      <c r="T269" s="4" t="n">
        <v>0</v>
      </c>
      <c r="U269" s="4" t="n">
        <v>0</v>
      </c>
      <c r="V269" s="4" t="n">
        <v>0</v>
      </c>
      <c r="W269" s="4" t="n">
        <v>0</v>
      </c>
      <c r="X269" s="4" t="n">
        <v>0</v>
      </c>
      <c r="Y269" s="4" t="n">
        <v>0</v>
      </c>
    </row>
    <row r="270" customFormat="false" ht="25.5" hidden="false" customHeight="true" outlineLevel="0" collapsed="false">
      <c r="A270" s="3" t="s">
        <v>2236</v>
      </c>
      <c r="B270" s="3" t="s">
        <v>2237</v>
      </c>
      <c r="C270" s="3" t="s">
        <v>1995</v>
      </c>
      <c r="D270" s="3" t="s">
        <v>2201</v>
      </c>
      <c r="E270" s="32" t="n">
        <f aca="false">D_purchases!O135</f>
        <v>94380226</v>
      </c>
      <c r="F270" s="39" t="n">
        <f aca="false">D_purchases!I135</f>
        <v>46212</v>
      </c>
      <c r="G270" s="3" t="n">
        <f aca="false">D_purchases!P135</f>
        <v>0</v>
      </c>
      <c r="H270" s="3" t="s">
        <v>2202</v>
      </c>
      <c r="I270" s="3" t="n">
        <v>0</v>
      </c>
      <c r="J270" s="39" t="n">
        <f aca="false">IF(G270&gt;0,D_F01!$B$7+10+MOD(18,5),MAX($B$6,F270+IF(Q270=1,0,ROUNDUP(IFERROR(SUMIFS(D_purchases!$S$5:$S$139,D_purchases!$C$5:$C$139,C270)/SUMIFS(D_purchases!$T$5:$T$139,D_purchases!$C$5:$C$139,C270),0),0))))</f>
        <v>46213</v>
      </c>
      <c r="K270" s="39" t="n">
        <f aca="false">IF(G270&gt;0,D_F01!$B$7+5+MOD(18,5),MAX($B$6,F270+IF(Q270=1,0,ROUNDUP(IFERROR(SUMIFS(D_purchases!$S$5:$S$139,D_purchases!$C$5:$C$139,C270)/SUMIFS(D_purchases!$T$5:$T$139,D_purchases!$C$5:$C$139,C270),0),0))))</f>
        <v>46213</v>
      </c>
      <c r="L270" s="39" t="n">
        <f aca="false">IF(G270&gt;0,D_F01!$B$7+1+MOD(18,5),MAX($B$6,F270))</f>
        <v>46212</v>
      </c>
      <c r="M270" s="39"/>
      <c r="N270" s="39" t="n">
        <f aca="false">CHOOSE(D_F01!$B$19,K270,J270,L270,K270,K270)</f>
        <v>46213</v>
      </c>
      <c r="O270" s="3" t="str">
        <f aca="false">IF(G270&gt;0,"assumed_overdue_spread_not_approved",IF(Q270=1,"essential_due","historical_policy"))</f>
        <v>historical_policy</v>
      </c>
      <c r="P270" s="3" t="s">
        <v>2203</v>
      </c>
      <c r="Q270" s="3" t="n">
        <f aca="false">D_purchases!U135</f>
        <v>0</v>
      </c>
      <c r="R270" s="39" t="n">
        <v>46203</v>
      </c>
      <c r="S270" s="3" t="str">
        <f aca="false">IF(N270&gt;$B$7,"beyond_horizon","in_horizon")</f>
        <v>in_horizon</v>
      </c>
      <c r="T270" s="3" t="n">
        <v>0</v>
      </c>
      <c r="U270" s="3" t="n">
        <v>0</v>
      </c>
      <c r="V270" s="3" t="n">
        <v>0</v>
      </c>
      <c r="W270" s="3" t="n">
        <v>0</v>
      </c>
      <c r="X270" s="3" t="n">
        <v>0</v>
      </c>
      <c r="Y270" s="3" t="n">
        <v>0</v>
      </c>
    </row>
    <row r="271" customFormat="false" ht="25.5" hidden="false" customHeight="true" outlineLevel="0" collapsed="false">
      <c r="A271" s="4" t="s">
        <v>2238</v>
      </c>
      <c r="B271" s="4" t="s">
        <v>2239</v>
      </c>
      <c r="C271" s="4" t="s">
        <v>1993</v>
      </c>
      <c r="D271" s="4" t="s">
        <v>2201</v>
      </c>
      <c r="E271" s="33" t="n">
        <f aca="false">D_purchases!O136</f>
        <v>351774590</v>
      </c>
      <c r="F271" s="38" t="n">
        <f aca="false">D_purchases!I136</f>
        <v>46243</v>
      </c>
      <c r="G271" s="4" t="n">
        <f aca="false">D_purchases!P136</f>
        <v>0</v>
      </c>
      <c r="H271" s="4" t="s">
        <v>2202</v>
      </c>
      <c r="I271" s="4" t="n">
        <v>0</v>
      </c>
      <c r="J271" s="38" t="n">
        <f aca="false">IF(G271&gt;0,D_F01!$B$7+10+MOD(19,5),MAX($B$6,F271+IF(Q271=1,0,ROUNDUP(IFERROR(SUMIFS(D_purchases!$S$5:$S$139,D_purchases!$C$5:$C$139,C271)/SUMIFS(D_purchases!$T$5:$T$139,D_purchases!$C$5:$C$139,C271),0),0))))</f>
        <v>46260</v>
      </c>
      <c r="K271" s="38" t="n">
        <f aca="false">IF(G271&gt;0,D_F01!$B$7+5+MOD(19,5),MAX($B$6,F271+IF(Q271=1,0,ROUNDUP(IFERROR(SUMIFS(D_purchases!$S$5:$S$139,D_purchases!$C$5:$C$139,C271)/SUMIFS(D_purchases!$T$5:$T$139,D_purchases!$C$5:$C$139,C271),0),0))))</f>
        <v>46260</v>
      </c>
      <c r="L271" s="38" t="n">
        <f aca="false">IF(G271&gt;0,D_F01!$B$7+1+MOD(19,5),MAX($B$6,F271))</f>
        <v>46243</v>
      </c>
      <c r="M271" s="38"/>
      <c r="N271" s="38" t="n">
        <f aca="false">CHOOSE(D_F01!$B$19,K271,J271,L271,K271,K271)</f>
        <v>46260</v>
      </c>
      <c r="O271" s="4" t="str">
        <f aca="false">IF(G271&gt;0,"assumed_overdue_spread_not_approved",IF(Q271=1,"essential_due","historical_policy"))</f>
        <v>historical_policy</v>
      </c>
      <c r="P271" s="4" t="s">
        <v>2203</v>
      </c>
      <c r="Q271" s="4" t="n">
        <f aca="false">D_purchases!U136</f>
        <v>0</v>
      </c>
      <c r="R271" s="38" t="n">
        <v>46203</v>
      </c>
      <c r="S271" s="4" t="str">
        <f aca="false">IF(N271&gt;$B$7,"beyond_horizon","in_horizon")</f>
        <v>in_horizon</v>
      </c>
      <c r="T271" s="4" t="n">
        <v>0</v>
      </c>
      <c r="U271" s="4" t="n">
        <v>0</v>
      </c>
      <c r="V271" s="4" t="n">
        <v>0</v>
      </c>
      <c r="W271" s="4" t="n">
        <v>0</v>
      </c>
      <c r="X271" s="4" t="n">
        <v>0</v>
      </c>
      <c r="Y271" s="4" t="n">
        <v>0</v>
      </c>
    </row>
    <row r="272" customFormat="false" ht="25.5" hidden="false" customHeight="true" outlineLevel="0" collapsed="false">
      <c r="A272" s="3" t="s">
        <v>2240</v>
      </c>
      <c r="B272" s="3" t="s">
        <v>2241</v>
      </c>
      <c r="C272" s="3" t="s">
        <v>1997</v>
      </c>
      <c r="D272" s="3" t="s">
        <v>2201</v>
      </c>
      <c r="E272" s="32" t="n">
        <f aca="false">D_purchases!O137</f>
        <v>389201455</v>
      </c>
      <c r="F272" s="39" t="n">
        <f aca="false">D_purchases!I137</f>
        <v>46214</v>
      </c>
      <c r="G272" s="3" t="n">
        <f aca="false">D_purchases!P137</f>
        <v>0</v>
      </c>
      <c r="H272" s="3" t="s">
        <v>2202</v>
      </c>
      <c r="I272" s="3" t="n">
        <v>0</v>
      </c>
      <c r="J272" s="39" t="n">
        <f aca="false">IF(G272&gt;0,D_F01!$B$7+10+MOD(20,5),MAX($B$6,F272+IF(Q272=1,0,ROUNDUP(IFERROR(SUMIFS(D_purchases!$S$5:$S$139,D_purchases!$C$5:$C$139,C272)/SUMIFS(D_purchases!$T$5:$T$139,D_purchases!$C$5:$C$139,C272),0),0))))</f>
        <v>46214</v>
      </c>
      <c r="K272" s="39" t="n">
        <f aca="false">IF(G272&gt;0,D_F01!$B$7+5+MOD(20,5),MAX($B$6,F272+IF(Q272=1,0,ROUNDUP(IFERROR(SUMIFS(D_purchases!$S$5:$S$139,D_purchases!$C$5:$C$139,C272)/SUMIFS(D_purchases!$T$5:$T$139,D_purchases!$C$5:$C$139,C272),0),0))))</f>
        <v>46214</v>
      </c>
      <c r="L272" s="39" t="n">
        <f aca="false">IF(G272&gt;0,D_F01!$B$7+1+MOD(20,5),MAX($B$6,F272))</f>
        <v>46214</v>
      </c>
      <c r="M272" s="39"/>
      <c r="N272" s="39" t="n">
        <f aca="false">CHOOSE(D_F01!$B$19,K272,J272,L272,K272,K272)</f>
        <v>46214</v>
      </c>
      <c r="O272" s="3" t="str">
        <f aca="false">IF(G272&gt;0,"assumed_overdue_spread_not_approved",IF(Q272=1,"essential_due","historical_policy"))</f>
        <v>essential_due</v>
      </c>
      <c r="P272" s="3" t="s">
        <v>2203</v>
      </c>
      <c r="Q272" s="3" t="n">
        <f aca="false">D_purchases!U137</f>
        <v>1</v>
      </c>
      <c r="R272" s="39" t="n">
        <v>46203</v>
      </c>
      <c r="S272" s="3" t="str">
        <f aca="false">IF(N272&gt;$B$7,"beyond_horizon","in_horizon")</f>
        <v>in_horizon</v>
      </c>
      <c r="T272" s="3" t="n">
        <v>0</v>
      </c>
      <c r="U272" s="3" t="n">
        <v>0</v>
      </c>
      <c r="V272" s="3" t="n">
        <v>0</v>
      </c>
      <c r="W272" s="3" t="n">
        <v>0</v>
      </c>
      <c r="X272" s="3" t="n">
        <v>0</v>
      </c>
      <c r="Y272" s="3" t="n">
        <v>0</v>
      </c>
    </row>
    <row r="273" customFormat="false" ht="25.5" hidden="false" customHeight="true" outlineLevel="0" collapsed="false">
      <c r="A273" s="4" t="s">
        <v>2242</v>
      </c>
      <c r="B273" s="4" t="s">
        <v>2243</v>
      </c>
      <c r="C273" s="4" t="s">
        <v>1992</v>
      </c>
      <c r="D273" s="4" t="s">
        <v>2201</v>
      </c>
      <c r="E273" s="33" t="n">
        <f aca="false">D_purchases!O138</f>
        <v>604118372</v>
      </c>
      <c r="F273" s="38" t="n">
        <f aca="false">D_purchases!I138</f>
        <v>46230</v>
      </c>
      <c r="G273" s="4" t="n">
        <f aca="false">D_purchases!P138</f>
        <v>0</v>
      </c>
      <c r="H273" s="4" t="s">
        <v>2202</v>
      </c>
      <c r="I273" s="4" t="n">
        <v>0</v>
      </c>
      <c r="J273" s="38" t="n">
        <f aca="false">IF(G273&gt;0,D_F01!$B$7+10+MOD(21,5),MAX($B$6,F273+IF(Q273=1,0,ROUNDUP(IFERROR(SUMIFS(D_purchases!$S$5:$S$139,D_purchases!$C$5:$C$139,C273)/SUMIFS(D_purchases!$T$5:$T$139,D_purchases!$C$5:$C$139,C273),0),0))))</f>
        <v>46230</v>
      </c>
      <c r="K273" s="38" t="n">
        <f aca="false">IF(G273&gt;0,D_F01!$B$7+5+MOD(21,5),MAX($B$6,F273+IF(Q273=1,0,ROUNDUP(IFERROR(SUMIFS(D_purchases!$S$5:$S$139,D_purchases!$C$5:$C$139,C273)/SUMIFS(D_purchases!$T$5:$T$139,D_purchases!$C$5:$C$139,C273),0),0))))</f>
        <v>46230</v>
      </c>
      <c r="L273" s="38" t="n">
        <f aca="false">IF(G273&gt;0,D_F01!$B$7+1+MOD(21,5),MAX($B$6,F273))</f>
        <v>46230</v>
      </c>
      <c r="M273" s="38"/>
      <c r="N273" s="38" t="n">
        <f aca="false">CHOOSE(D_F01!$B$19,K273,J273,L273,K273,K273)</f>
        <v>46230</v>
      </c>
      <c r="O273" s="4" t="str">
        <f aca="false">IF(G273&gt;0,"assumed_overdue_spread_not_approved",IF(Q273=1,"essential_due","historical_policy"))</f>
        <v>essential_due</v>
      </c>
      <c r="P273" s="4" t="s">
        <v>2203</v>
      </c>
      <c r="Q273" s="4" t="n">
        <f aca="false">D_purchases!U138</f>
        <v>1</v>
      </c>
      <c r="R273" s="38" t="n">
        <v>46203</v>
      </c>
      <c r="S273" s="4" t="str">
        <f aca="false">IF(N273&gt;$B$7,"beyond_horizon","in_horizon")</f>
        <v>in_horizon</v>
      </c>
      <c r="T273" s="4" t="n">
        <v>0</v>
      </c>
      <c r="U273" s="4" t="n">
        <v>0</v>
      </c>
      <c r="V273" s="4" t="n">
        <v>0</v>
      </c>
      <c r="W273" s="4" t="n">
        <v>0</v>
      </c>
      <c r="X273" s="4" t="n">
        <v>0</v>
      </c>
      <c r="Y273" s="4" t="n">
        <v>0</v>
      </c>
    </row>
    <row r="274" customFormat="false" ht="25.5" hidden="false" customHeight="true" outlineLevel="0" collapsed="false">
      <c r="A274" s="3" t="s">
        <v>2244</v>
      </c>
      <c r="B274" s="3" t="s">
        <v>2245</v>
      </c>
      <c r="C274" s="3" t="s">
        <v>1995</v>
      </c>
      <c r="D274" s="3" t="s">
        <v>2201</v>
      </c>
      <c r="E274" s="32" t="n">
        <f aca="false">D_purchases!O139</f>
        <v>118460731</v>
      </c>
      <c r="F274" s="39" t="n">
        <f aca="false">D_purchases!I139</f>
        <v>46217</v>
      </c>
      <c r="G274" s="3" t="n">
        <f aca="false">D_purchases!P139</f>
        <v>0</v>
      </c>
      <c r="H274" s="3" t="s">
        <v>2202</v>
      </c>
      <c r="I274" s="3" t="n">
        <v>0</v>
      </c>
      <c r="J274" s="39" t="n">
        <f aca="false">IF(G274&gt;0,D_F01!$B$7+10+MOD(22,5),MAX($B$6,F274+IF(Q274=1,0,ROUNDUP(IFERROR(SUMIFS(D_purchases!$S$5:$S$139,D_purchases!$C$5:$C$139,C274)/SUMIFS(D_purchases!$T$5:$T$139,D_purchases!$C$5:$C$139,C274),0),0))))</f>
        <v>46218</v>
      </c>
      <c r="K274" s="39" t="n">
        <f aca="false">IF(G274&gt;0,D_F01!$B$7+5+MOD(22,5),MAX($B$6,F274+IF(Q274=1,0,ROUNDUP(IFERROR(SUMIFS(D_purchases!$S$5:$S$139,D_purchases!$C$5:$C$139,C274)/SUMIFS(D_purchases!$T$5:$T$139,D_purchases!$C$5:$C$139,C274),0),0))))</f>
        <v>46218</v>
      </c>
      <c r="L274" s="39" t="n">
        <f aca="false">IF(G274&gt;0,D_F01!$B$7+1+MOD(22,5),MAX($B$6,F274))</f>
        <v>46217</v>
      </c>
      <c r="M274" s="39"/>
      <c r="N274" s="39" t="n">
        <f aca="false">CHOOSE(D_F01!$B$19,K274,J274,L274,K274,K274)</f>
        <v>46218</v>
      </c>
      <c r="O274" s="3" t="str">
        <f aca="false">IF(G274&gt;0,"assumed_overdue_spread_not_approved",IF(Q274=1,"essential_due","historical_policy"))</f>
        <v>historical_policy</v>
      </c>
      <c r="P274" s="3" t="s">
        <v>2203</v>
      </c>
      <c r="Q274" s="3" t="n">
        <f aca="false">D_purchases!U139</f>
        <v>0</v>
      </c>
      <c r="R274" s="39" t="n">
        <v>46203</v>
      </c>
      <c r="S274" s="3" t="str">
        <f aca="false">IF(N274&gt;$B$7,"beyond_horizon","in_horizon")</f>
        <v>in_horizon</v>
      </c>
      <c r="T274" s="3" t="n">
        <v>0</v>
      </c>
      <c r="U274" s="3" t="n">
        <v>0</v>
      </c>
      <c r="V274" s="3" t="n">
        <v>0</v>
      </c>
      <c r="W274" s="3" t="n">
        <v>0</v>
      </c>
      <c r="X274" s="3" t="n">
        <v>0</v>
      </c>
      <c r="Y274" s="3" t="n">
        <v>0</v>
      </c>
    </row>
    <row r="275" customFormat="false" ht="39.75" hidden="false" customHeight="true" outlineLevel="0" collapsed="false">
      <c r="A275" s="4" t="s">
        <v>2246</v>
      </c>
      <c r="B275" s="4" t="s">
        <v>2246</v>
      </c>
      <c r="C275" s="4" t="s">
        <v>2247</v>
      </c>
      <c r="D275" s="4" t="s">
        <v>2201</v>
      </c>
      <c r="E275" s="33" t="n">
        <f aca="false">D_flows!F5</f>
        <v>1500000000</v>
      </c>
      <c r="F275" s="38" t="n">
        <f aca="false">D_flows!E5</f>
        <v>46231</v>
      </c>
      <c r="G275" s="4" t="n">
        <v>0</v>
      </c>
      <c r="H275" s="4" t="s">
        <v>2248</v>
      </c>
      <c r="I275" s="4" t="n">
        <v>0</v>
      </c>
      <c r="J275" s="38" t="n">
        <f aca="false">F275</f>
        <v>46231</v>
      </c>
      <c r="K275" s="38" t="n">
        <f aca="false">F275</f>
        <v>46231</v>
      </c>
      <c r="L275" s="38" t="n">
        <f aca="false">F275</f>
        <v>46231</v>
      </c>
      <c r="M275" s="38" t="n">
        <f aca="false">D_flows!E5</f>
        <v>46231</v>
      </c>
      <c r="N275" s="38" t="n">
        <f aca="false">F275</f>
        <v>46231</v>
      </c>
      <c r="O275" s="4" t="s">
        <v>2249</v>
      </c>
      <c r="P275" s="4" t="s">
        <v>2250</v>
      </c>
      <c r="Q275" s="4" t="n">
        <v>1</v>
      </c>
      <c r="R275" s="38" t="n">
        <v>46203</v>
      </c>
      <c r="S275" s="4" t="str">
        <f aca="false">IF(N275&gt;$B$7,"beyond_horizon","in_horizon")</f>
        <v>in_horizon</v>
      </c>
      <c r="T275" s="4" t="n">
        <v>0</v>
      </c>
      <c r="U275" s="4" t="n">
        <v>0</v>
      </c>
      <c r="V275" s="4" t="n">
        <v>0</v>
      </c>
      <c r="W275" s="4" t="n">
        <v>0</v>
      </c>
      <c r="X275" s="4" t="n">
        <v>0</v>
      </c>
      <c r="Y275" s="4" t="n">
        <v>0</v>
      </c>
    </row>
    <row r="276" customFormat="false" ht="39.75" hidden="false" customHeight="true" outlineLevel="0" collapsed="false">
      <c r="A276" s="3" t="s">
        <v>2251</v>
      </c>
      <c r="B276" s="3" t="s">
        <v>2251</v>
      </c>
      <c r="C276" s="3" t="s">
        <v>2247</v>
      </c>
      <c r="D276" s="3" t="s">
        <v>2201</v>
      </c>
      <c r="E276" s="32" t="n">
        <f aca="false">D_flows!F6</f>
        <v>1500000000</v>
      </c>
      <c r="F276" s="39" t="n">
        <f aca="false">D_flows!E6</f>
        <v>46262</v>
      </c>
      <c r="G276" s="3" t="n">
        <v>0</v>
      </c>
      <c r="H276" s="3" t="s">
        <v>2248</v>
      </c>
      <c r="I276" s="3" t="n">
        <v>0</v>
      </c>
      <c r="J276" s="39" t="n">
        <f aca="false">F276</f>
        <v>46262</v>
      </c>
      <c r="K276" s="39" t="n">
        <f aca="false">F276</f>
        <v>46262</v>
      </c>
      <c r="L276" s="39" t="n">
        <f aca="false">F276</f>
        <v>46262</v>
      </c>
      <c r="M276" s="39" t="n">
        <f aca="false">D_flows!E6</f>
        <v>46262</v>
      </c>
      <c r="N276" s="39" t="n">
        <f aca="false">F276</f>
        <v>46262</v>
      </c>
      <c r="O276" s="3" t="s">
        <v>2249</v>
      </c>
      <c r="P276" s="3" t="s">
        <v>2250</v>
      </c>
      <c r="Q276" s="3" t="n">
        <v>1</v>
      </c>
      <c r="R276" s="39" t="n">
        <v>46203</v>
      </c>
      <c r="S276" s="3" t="str">
        <f aca="false">IF(N276&gt;$B$7,"beyond_horizon","in_horizon")</f>
        <v>in_horizon</v>
      </c>
      <c r="T276" s="3" t="n">
        <v>0</v>
      </c>
      <c r="U276" s="3" t="n">
        <v>0</v>
      </c>
      <c r="V276" s="3" t="n">
        <v>0</v>
      </c>
      <c r="W276" s="3" t="n">
        <v>0</v>
      </c>
      <c r="X276" s="3" t="n">
        <v>0</v>
      </c>
      <c r="Y276" s="3" t="n">
        <v>0</v>
      </c>
    </row>
    <row r="277" customFormat="false" ht="39.75" hidden="false" customHeight="true" outlineLevel="0" collapsed="false">
      <c r="A277" s="4" t="s">
        <v>2252</v>
      </c>
      <c r="B277" s="4" t="s">
        <v>2252</v>
      </c>
      <c r="C277" s="4" t="s">
        <v>2247</v>
      </c>
      <c r="D277" s="4" t="s">
        <v>2201</v>
      </c>
      <c r="E277" s="33" t="n">
        <f aca="false">D_flows!F7</f>
        <v>1500000000</v>
      </c>
      <c r="F277" s="38" t="n">
        <f aca="false">D_flows!E7</f>
        <v>46293</v>
      </c>
      <c r="G277" s="4" t="n">
        <v>0</v>
      </c>
      <c r="H277" s="4" t="s">
        <v>2248</v>
      </c>
      <c r="I277" s="4" t="n">
        <v>0</v>
      </c>
      <c r="J277" s="38" t="n">
        <f aca="false">F277</f>
        <v>46293</v>
      </c>
      <c r="K277" s="38" t="n">
        <f aca="false">F277</f>
        <v>46293</v>
      </c>
      <c r="L277" s="38" t="n">
        <f aca="false">F277</f>
        <v>46293</v>
      </c>
      <c r="M277" s="38" t="n">
        <f aca="false">D_flows!E7</f>
        <v>46293</v>
      </c>
      <c r="N277" s="38" t="n">
        <f aca="false">F277</f>
        <v>46293</v>
      </c>
      <c r="O277" s="4" t="s">
        <v>2249</v>
      </c>
      <c r="P277" s="4" t="s">
        <v>2250</v>
      </c>
      <c r="Q277" s="4" t="n">
        <v>1</v>
      </c>
      <c r="R277" s="38" t="n">
        <v>46203</v>
      </c>
      <c r="S277" s="4" t="str">
        <f aca="false">IF(N277&gt;$B$7,"beyond_horizon","in_horizon")</f>
        <v>in_horizon</v>
      </c>
      <c r="T277" s="4" t="n">
        <v>0</v>
      </c>
      <c r="U277" s="4" t="n">
        <v>0</v>
      </c>
      <c r="V277" s="4" t="n">
        <v>0</v>
      </c>
      <c r="W277" s="4" t="n">
        <v>0</v>
      </c>
      <c r="X277" s="4" t="n">
        <v>0</v>
      </c>
      <c r="Y277" s="4" t="n">
        <v>0</v>
      </c>
    </row>
    <row r="278" customFormat="false" ht="39.75" hidden="false" customHeight="true" outlineLevel="0" collapsed="false">
      <c r="A278" s="3" t="s">
        <v>2253</v>
      </c>
      <c r="B278" s="3" t="s">
        <v>2253</v>
      </c>
      <c r="C278" s="3" t="s">
        <v>2254</v>
      </c>
      <c r="D278" s="3" t="s">
        <v>2201</v>
      </c>
      <c r="E278" s="32" t="n">
        <f aca="false">D_flows!F8</f>
        <v>240000000</v>
      </c>
      <c r="F278" s="39" t="n">
        <f aca="false">D_flows!E8</f>
        <v>46223</v>
      </c>
      <c r="G278" s="3" t="n">
        <v>0</v>
      </c>
      <c r="H278" s="3" t="s">
        <v>2248</v>
      </c>
      <c r="I278" s="3" t="n">
        <v>0</v>
      </c>
      <c r="J278" s="39" t="n">
        <f aca="false">F278</f>
        <v>46223</v>
      </c>
      <c r="K278" s="39" t="n">
        <f aca="false">F278</f>
        <v>46223</v>
      </c>
      <c r="L278" s="39" t="n">
        <f aca="false">F278</f>
        <v>46223</v>
      </c>
      <c r="M278" s="38" t="n">
        <f aca="false">D_flows!E8</f>
        <v>46223</v>
      </c>
      <c r="N278" s="39" t="n">
        <f aca="false">F278</f>
        <v>46223</v>
      </c>
      <c r="O278" s="3" t="s">
        <v>2249</v>
      </c>
      <c r="P278" s="3" t="s">
        <v>2255</v>
      </c>
      <c r="Q278" s="3" t="n">
        <v>1</v>
      </c>
      <c r="R278" s="39" t="n">
        <v>46203</v>
      </c>
      <c r="S278" s="3" t="str">
        <f aca="false">IF(N278&gt;$B$7,"beyond_horizon","in_horizon")</f>
        <v>in_horizon</v>
      </c>
      <c r="T278" s="3" t="n">
        <v>0</v>
      </c>
      <c r="U278" s="3" t="n">
        <v>0</v>
      </c>
      <c r="V278" s="3" t="n">
        <v>0</v>
      </c>
      <c r="W278" s="3" t="n">
        <v>0</v>
      </c>
      <c r="X278" s="3" t="n">
        <v>0</v>
      </c>
      <c r="Y278" s="3" t="n">
        <v>0</v>
      </c>
    </row>
    <row r="279" customFormat="false" ht="39.75" hidden="false" customHeight="true" outlineLevel="0" collapsed="false">
      <c r="A279" s="4" t="s">
        <v>2256</v>
      </c>
      <c r="B279" s="4" t="s">
        <v>2256</v>
      </c>
      <c r="C279" s="4" t="s">
        <v>2254</v>
      </c>
      <c r="D279" s="4" t="s">
        <v>2201</v>
      </c>
      <c r="E279" s="33" t="n">
        <f aca="false">D_flows!F9</f>
        <v>240000000</v>
      </c>
      <c r="F279" s="38" t="n">
        <f aca="false">D_flows!E9</f>
        <v>46254</v>
      </c>
      <c r="G279" s="4" t="n">
        <v>0</v>
      </c>
      <c r="H279" s="4" t="s">
        <v>2248</v>
      </c>
      <c r="I279" s="4" t="n">
        <v>0</v>
      </c>
      <c r="J279" s="38" t="n">
        <f aca="false">F279</f>
        <v>46254</v>
      </c>
      <c r="K279" s="38" t="n">
        <f aca="false">F279</f>
        <v>46254</v>
      </c>
      <c r="L279" s="38" t="n">
        <f aca="false">F279</f>
        <v>46254</v>
      </c>
      <c r="M279" s="39" t="n">
        <f aca="false">D_flows!E9</f>
        <v>46254</v>
      </c>
      <c r="N279" s="38" t="n">
        <f aca="false">F279</f>
        <v>46254</v>
      </c>
      <c r="O279" s="4" t="s">
        <v>2249</v>
      </c>
      <c r="P279" s="4" t="s">
        <v>2255</v>
      </c>
      <c r="Q279" s="4" t="n">
        <v>1</v>
      </c>
      <c r="R279" s="38" t="n">
        <v>46203</v>
      </c>
      <c r="S279" s="4" t="str">
        <f aca="false">IF(N279&gt;$B$7,"beyond_horizon","in_horizon")</f>
        <v>in_horizon</v>
      </c>
      <c r="T279" s="4" t="n">
        <v>0</v>
      </c>
      <c r="U279" s="4" t="n">
        <v>0</v>
      </c>
      <c r="V279" s="4" t="n">
        <v>0</v>
      </c>
      <c r="W279" s="4" t="n">
        <v>0</v>
      </c>
      <c r="X279" s="4" t="n">
        <v>0</v>
      </c>
      <c r="Y279" s="4" t="n">
        <v>0</v>
      </c>
    </row>
    <row r="280" customFormat="false" ht="39.75" hidden="false" customHeight="true" outlineLevel="0" collapsed="false">
      <c r="A280" s="3" t="s">
        <v>2257</v>
      </c>
      <c r="B280" s="3" t="s">
        <v>2257</v>
      </c>
      <c r="C280" s="3" t="s">
        <v>2254</v>
      </c>
      <c r="D280" s="3" t="s">
        <v>2201</v>
      </c>
      <c r="E280" s="32" t="n">
        <f aca="false">D_flows!F10</f>
        <v>240000000</v>
      </c>
      <c r="F280" s="39" t="n">
        <f aca="false">D_flows!E10</f>
        <v>46283</v>
      </c>
      <c r="G280" s="3" t="n">
        <v>0</v>
      </c>
      <c r="H280" s="3" t="s">
        <v>2248</v>
      </c>
      <c r="I280" s="3" t="n">
        <v>0</v>
      </c>
      <c r="J280" s="39" t="n">
        <f aca="false">F280</f>
        <v>46283</v>
      </c>
      <c r="K280" s="39" t="n">
        <f aca="false">F280</f>
        <v>46283</v>
      </c>
      <c r="L280" s="39" t="n">
        <f aca="false">F280</f>
        <v>46283</v>
      </c>
      <c r="M280" s="38" t="n">
        <f aca="false">D_flows!E10</f>
        <v>46283</v>
      </c>
      <c r="N280" s="39" t="n">
        <f aca="false">F280</f>
        <v>46283</v>
      </c>
      <c r="O280" s="3" t="s">
        <v>2249</v>
      </c>
      <c r="P280" s="3" t="s">
        <v>2255</v>
      </c>
      <c r="Q280" s="3" t="n">
        <v>1</v>
      </c>
      <c r="R280" s="39" t="n">
        <v>46203</v>
      </c>
      <c r="S280" s="3" t="str">
        <f aca="false">IF(N280&gt;$B$7,"beyond_horizon","in_horizon")</f>
        <v>in_horizon</v>
      </c>
      <c r="T280" s="3" t="n">
        <v>0</v>
      </c>
      <c r="U280" s="3" t="n">
        <v>0</v>
      </c>
      <c r="V280" s="3" t="n">
        <v>0</v>
      </c>
      <c r="W280" s="3" t="n">
        <v>0</v>
      </c>
      <c r="X280" s="3" t="n">
        <v>0</v>
      </c>
      <c r="Y280" s="3" t="n">
        <v>0</v>
      </c>
    </row>
    <row r="281" customFormat="false" ht="39.75" hidden="false" customHeight="true" outlineLevel="0" collapsed="false">
      <c r="A281" s="4" t="s">
        <v>2258</v>
      </c>
      <c r="B281" s="4" t="s">
        <v>2258</v>
      </c>
      <c r="C281" s="4" t="s">
        <v>2259</v>
      </c>
      <c r="D281" s="4" t="s">
        <v>2201</v>
      </c>
      <c r="E281" s="33" t="n">
        <f aca="false">D_flows!F11</f>
        <v>180000000</v>
      </c>
      <c r="F281" s="38" t="n">
        <f aca="false">D_flows!E11</f>
        <v>46204</v>
      </c>
      <c r="G281" s="4" t="n">
        <v>0</v>
      </c>
      <c r="H281" s="4" t="s">
        <v>2248</v>
      </c>
      <c r="I281" s="4" t="n">
        <v>0</v>
      </c>
      <c r="J281" s="38" t="n">
        <f aca="false">F281</f>
        <v>46204</v>
      </c>
      <c r="K281" s="38" t="n">
        <f aca="false">F281</f>
        <v>46204</v>
      </c>
      <c r="L281" s="38" t="n">
        <f aca="false">F281</f>
        <v>46204</v>
      </c>
      <c r="M281" s="38" t="n">
        <f aca="false">D_flows!E11</f>
        <v>46204</v>
      </c>
      <c r="N281" s="38" t="n">
        <f aca="false">F281</f>
        <v>46204</v>
      </c>
      <c r="O281" s="4" t="s">
        <v>2249</v>
      </c>
      <c r="P281" s="4" t="s">
        <v>2260</v>
      </c>
      <c r="Q281" s="4" t="n">
        <v>1</v>
      </c>
      <c r="R281" s="38" t="n">
        <v>46203</v>
      </c>
      <c r="S281" s="4" t="str">
        <f aca="false">IF(N281&gt;$B$7,"beyond_horizon","in_horizon")</f>
        <v>in_horizon</v>
      </c>
      <c r="T281" s="4" t="n">
        <v>0</v>
      </c>
      <c r="U281" s="4" t="n">
        <v>0</v>
      </c>
      <c r="V281" s="4" t="n">
        <v>0</v>
      </c>
      <c r="W281" s="4" t="n">
        <v>0</v>
      </c>
      <c r="X281" s="4" t="n">
        <v>0</v>
      </c>
      <c r="Y281" s="4" t="n">
        <v>0</v>
      </c>
    </row>
    <row r="282" customFormat="false" ht="39.75" hidden="false" customHeight="true" outlineLevel="0" collapsed="false">
      <c r="A282" s="3" t="s">
        <v>2261</v>
      </c>
      <c r="B282" s="3" t="s">
        <v>2261</v>
      </c>
      <c r="C282" s="3" t="s">
        <v>2259</v>
      </c>
      <c r="D282" s="3" t="s">
        <v>2201</v>
      </c>
      <c r="E282" s="32" t="n">
        <f aca="false">D_flows!F12</f>
        <v>180000000</v>
      </c>
      <c r="F282" s="39" t="n">
        <f aca="false">D_flows!E12</f>
        <v>46235</v>
      </c>
      <c r="G282" s="3" t="n">
        <v>0</v>
      </c>
      <c r="H282" s="3" t="s">
        <v>2248</v>
      </c>
      <c r="I282" s="3" t="n">
        <v>0</v>
      </c>
      <c r="J282" s="39" t="n">
        <f aca="false">F282</f>
        <v>46235</v>
      </c>
      <c r="K282" s="39" t="n">
        <f aca="false">F282</f>
        <v>46235</v>
      </c>
      <c r="L282" s="39" t="n">
        <f aca="false">F282</f>
        <v>46235</v>
      </c>
      <c r="M282" s="39" t="n">
        <f aca="false">D_flows!E12</f>
        <v>46235</v>
      </c>
      <c r="N282" s="39" t="n">
        <f aca="false">F282</f>
        <v>46235</v>
      </c>
      <c r="O282" s="3" t="s">
        <v>2249</v>
      </c>
      <c r="P282" s="3" t="s">
        <v>2260</v>
      </c>
      <c r="Q282" s="3" t="n">
        <v>1</v>
      </c>
      <c r="R282" s="39" t="n">
        <v>46203</v>
      </c>
      <c r="S282" s="3" t="str">
        <f aca="false">IF(N282&gt;$B$7,"beyond_horizon","in_horizon")</f>
        <v>in_horizon</v>
      </c>
      <c r="T282" s="3" t="n">
        <v>0</v>
      </c>
      <c r="U282" s="3" t="n">
        <v>0</v>
      </c>
      <c r="V282" s="3" t="n">
        <v>0</v>
      </c>
      <c r="W282" s="3" t="n">
        <v>0</v>
      </c>
      <c r="X282" s="3" t="n">
        <v>0</v>
      </c>
      <c r="Y282" s="3" t="n">
        <v>0</v>
      </c>
    </row>
    <row r="283" customFormat="false" ht="39.75" hidden="false" customHeight="true" outlineLevel="0" collapsed="false">
      <c r="A283" s="4" t="s">
        <v>2262</v>
      </c>
      <c r="B283" s="4" t="s">
        <v>2262</v>
      </c>
      <c r="C283" s="4" t="s">
        <v>2259</v>
      </c>
      <c r="D283" s="4" t="s">
        <v>2201</v>
      </c>
      <c r="E283" s="33" t="n">
        <f aca="false">D_flows!F13</f>
        <v>180000000</v>
      </c>
      <c r="F283" s="38" t="n">
        <f aca="false">D_flows!E13</f>
        <v>46266</v>
      </c>
      <c r="G283" s="4" t="n">
        <v>0</v>
      </c>
      <c r="H283" s="4" t="s">
        <v>2248</v>
      </c>
      <c r="I283" s="4" t="n">
        <v>0</v>
      </c>
      <c r="J283" s="38" t="n">
        <f aca="false">F283</f>
        <v>46266</v>
      </c>
      <c r="K283" s="38" t="n">
        <f aca="false">F283</f>
        <v>46266</v>
      </c>
      <c r="L283" s="38" t="n">
        <f aca="false">F283</f>
        <v>46266</v>
      </c>
      <c r="M283" s="38" t="n">
        <f aca="false">D_flows!E13</f>
        <v>46266</v>
      </c>
      <c r="N283" s="38" t="n">
        <f aca="false">F283</f>
        <v>46266</v>
      </c>
      <c r="O283" s="4" t="s">
        <v>2249</v>
      </c>
      <c r="P283" s="4" t="s">
        <v>2260</v>
      </c>
      <c r="Q283" s="4" t="n">
        <v>1</v>
      </c>
      <c r="R283" s="38" t="n">
        <v>46203</v>
      </c>
      <c r="S283" s="4" t="str">
        <f aca="false">IF(N283&gt;$B$7,"beyond_horizon","in_horizon")</f>
        <v>in_horizon</v>
      </c>
      <c r="T283" s="4" t="n">
        <v>0</v>
      </c>
      <c r="U283" s="4" t="n">
        <v>0</v>
      </c>
      <c r="V283" s="4" t="n">
        <v>0</v>
      </c>
      <c r="W283" s="4" t="n">
        <v>0</v>
      </c>
      <c r="X283" s="4" t="n">
        <v>0</v>
      </c>
      <c r="Y283" s="4" t="n">
        <v>0</v>
      </c>
    </row>
    <row r="284" customFormat="false" ht="39.75" hidden="false" customHeight="true" outlineLevel="0" collapsed="false">
      <c r="A284" s="3" t="s">
        <v>2263</v>
      </c>
      <c r="B284" s="3" t="s">
        <v>2263</v>
      </c>
      <c r="C284" s="3" t="s">
        <v>2264</v>
      </c>
      <c r="D284" s="3" t="s">
        <v>2201</v>
      </c>
      <c r="E284" s="32" t="n">
        <f aca="false">D_flows!F14</f>
        <v>1000000000</v>
      </c>
      <c r="F284" s="39" t="n">
        <f aca="false">D_flows!E14</f>
        <v>46249</v>
      </c>
      <c r="G284" s="3" t="n">
        <v>0</v>
      </c>
      <c r="H284" s="3" t="s">
        <v>2248</v>
      </c>
      <c r="I284" s="3" t="n">
        <v>0</v>
      </c>
      <c r="J284" s="39" t="n">
        <f aca="false">F284</f>
        <v>46249</v>
      </c>
      <c r="K284" s="39" t="n">
        <f aca="false">F284</f>
        <v>46249</v>
      </c>
      <c r="L284" s="39" t="n">
        <f aca="false">F284</f>
        <v>46249</v>
      </c>
      <c r="M284" s="38" t="n">
        <f aca="false">D_flows!E14</f>
        <v>46249</v>
      </c>
      <c r="N284" s="39" t="n">
        <f aca="false">F284</f>
        <v>46249</v>
      </c>
      <c r="O284" s="3" t="s">
        <v>2249</v>
      </c>
      <c r="P284" s="3" t="s">
        <v>2265</v>
      </c>
      <c r="Q284" s="3" t="n">
        <v>1</v>
      </c>
      <c r="R284" s="39" t="n">
        <v>46203</v>
      </c>
      <c r="S284" s="3" t="str">
        <f aca="false">IF(N284&gt;$B$7,"beyond_horizon","in_horizon")</f>
        <v>in_horizon</v>
      </c>
      <c r="T284" s="3" t="n">
        <v>0</v>
      </c>
      <c r="U284" s="3" t="n">
        <v>0</v>
      </c>
      <c r="V284" s="3" t="n">
        <v>0</v>
      </c>
      <c r="W284" s="3" t="n">
        <v>0</v>
      </c>
      <c r="X284" s="3" t="n">
        <v>0</v>
      </c>
      <c r="Y284" s="3" t="n">
        <v>0</v>
      </c>
    </row>
    <row r="285" customFormat="false" ht="39.75" hidden="false" customHeight="true" outlineLevel="0" collapsed="false">
      <c r="A285" s="4" t="s">
        <v>2266</v>
      </c>
      <c r="B285" s="4" t="s">
        <v>2266</v>
      </c>
      <c r="C285" s="4" t="s">
        <v>2264</v>
      </c>
      <c r="D285" s="4" t="s">
        <v>2201</v>
      </c>
      <c r="E285" s="33" t="n">
        <f aca="false">D_flows!F15</f>
        <v>8000000</v>
      </c>
      <c r="F285" s="38" t="n">
        <f aca="false">D_flows!E15</f>
        <v>46249</v>
      </c>
      <c r="G285" s="4" t="n">
        <v>0</v>
      </c>
      <c r="H285" s="4" t="s">
        <v>2248</v>
      </c>
      <c r="I285" s="4" t="n">
        <v>0</v>
      </c>
      <c r="J285" s="38" t="n">
        <f aca="false">F285</f>
        <v>46249</v>
      </c>
      <c r="K285" s="38" t="n">
        <f aca="false">F285</f>
        <v>46249</v>
      </c>
      <c r="L285" s="38" t="n">
        <f aca="false">F285</f>
        <v>46249</v>
      </c>
      <c r="M285" s="39" t="n">
        <f aca="false">D_flows!E15</f>
        <v>46249</v>
      </c>
      <c r="N285" s="38" t="n">
        <f aca="false">F285</f>
        <v>46249</v>
      </c>
      <c r="O285" s="4" t="s">
        <v>2249</v>
      </c>
      <c r="P285" s="4" t="s">
        <v>2267</v>
      </c>
      <c r="Q285" s="4" t="n">
        <v>1</v>
      </c>
      <c r="R285" s="38" t="n">
        <v>46203</v>
      </c>
      <c r="S285" s="4" t="str">
        <f aca="false">IF(N285&gt;$B$7,"beyond_horizon","in_horizon")</f>
        <v>in_horizon</v>
      </c>
      <c r="T285" s="4" t="n">
        <v>0</v>
      </c>
      <c r="U285" s="4" t="n">
        <v>0</v>
      </c>
      <c r="V285" s="4" t="n">
        <v>0</v>
      </c>
      <c r="W285" s="4" t="n">
        <v>0</v>
      </c>
      <c r="X285" s="4" t="n">
        <v>0</v>
      </c>
      <c r="Y285" s="4" t="n">
        <v>0</v>
      </c>
    </row>
    <row r="286" customFormat="false" ht="39.75" hidden="false" customHeight="true" outlineLevel="0" collapsed="false">
      <c r="A286" s="3" t="s">
        <v>2268</v>
      </c>
      <c r="B286" s="3" t="s">
        <v>2269</v>
      </c>
      <c r="C286" s="3" t="s">
        <v>2270</v>
      </c>
      <c r="D286" s="3" t="s">
        <v>2133</v>
      </c>
      <c r="E286" s="32" t="n">
        <f aca="false">IF(D_F01!$B$19=5,D_F01!$B$9/D_F01!$B$8*7,0)</f>
        <v>0</v>
      </c>
      <c r="F286" s="39" t="n">
        <f aca="false">$B$6+0</f>
        <v>46204</v>
      </c>
      <c r="G286" s="3" t="n">
        <v>0</v>
      </c>
      <c r="H286" s="3" t="s">
        <v>2271</v>
      </c>
      <c r="I286" s="3" t="n">
        <v>0</v>
      </c>
      <c r="J286" s="39" t="n">
        <f aca="false">F286+D_F01!$B$31+ROUNDUP(SUM(D_sales!$X$5:$X$121)/SUM(D_sales!$V$5:$V$121),0)</f>
        <v>46272</v>
      </c>
      <c r="K286" s="39" t="n">
        <f aca="false">J286</f>
        <v>46272</v>
      </c>
      <c r="L286" s="39" t="n">
        <f aca="false">J286</f>
        <v>46272</v>
      </c>
      <c r="M286" s="39"/>
      <c r="N286" s="39" t="n">
        <f aca="false">J286</f>
        <v>46272</v>
      </c>
      <c r="O286" s="3" t="s">
        <v>2272</v>
      </c>
      <c r="P286" s="3" t="s">
        <v>2273</v>
      </c>
      <c r="Q286" s="3" t="n">
        <v>0</v>
      </c>
      <c r="R286" s="39" t="n">
        <v>46203</v>
      </c>
      <c r="S286" s="3" t="str">
        <f aca="false">IF(N286&gt;$B$7,"beyond_horizon","in_horizon")</f>
        <v>in_horizon</v>
      </c>
      <c r="T286" s="3" t="n">
        <v>0</v>
      </c>
      <c r="U286" s="3" t="n">
        <v>0</v>
      </c>
      <c r="V286" s="3" t="n">
        <v>0</v>
      </c>
      <c r="W286" s="3" t="n">
        <v>0</v>
      </c>
      <c r="X286" s="3" t="n">
        <v>0</v>
      </c>
      <c r="Y286" s="3" t="n">
        <v>0</v>
      </c>
    </row>
    <row r="287" customFormat="false" ht="39.75" hidden="false" customHeight="true" outlineLevel="0" collapsed="false">
      <c r="A287" s="4" t="s">
        <v>2274</v>
      </c>
      <c r="B287" s="4" t="s">
        <v>2269</v>
      </c>
      <c r="C287" s="4" t="s">
        <v>2275</v>
      </c>
      <c r="D287" s="4" t="s">
        <v>2201</v>
      </c>
      <c r="E287" s="33" t="n">
        <f aca="false">IF(D_F01!$B$19=5,D_F01!$B$9/D_F01!$B$8*7*D_F01!$B$29,0)</f>
        <v>0</v>
      </c>
      <c r="F287" s="38" t="n">
        <f aca="false">$B$6+0</f>
        <v>46204</v>
      </c>
      <c r="G287" s="4" t="n">
        <v>0</v>
      </c>
      <c r="H287" s="4" t="s">
        <v>2271</v>
      </c>
      <c r="I287" s="4" t="n">
        <v>0</v>
      </c>
      <c r="J287" s="38" t="n">
        <f aca="false">F287+D_F01!$B$30</f>
        <v>46211</v>
      </c>
      <c r="K287" s="38" t="n">
        <f aca="false">J287</f>
        <v>46211</v>
      </c>
      <c r="L287" s="38" t="n">
        <f aca="false">J287</f>
        <v>46211</v>
      </c>
      <c r="M287" s="38"/>
      <c r="N287" s="38" t="n">
        <f aca="false">J287</f>
        <v>46211</v>
      </c>
      <c r="O287" s="4" t="s">
        <v>2272</v>
      </c>
      <c r="P287" s="4" t="s">
        <v>2273</v>
      </c>
      <c r="Q287" s="4" t="n">
        <v>0</v>
      </c>
      <c r="R287" s="38" t="n">
        <v>46203</v>
      </c>
      <c r="S287" s="4" t="str">
        <f aca="false">IF(N287&gt;$B$7,"beyond_horizon","in_horizon")</f>
        <v>in_horizon</v>
      </c>
      <c r="T287" s="4" t="n">
        <v>0</v>
      </c>
      <c r="U287" s="4" t="n">
        <v>0</v>
      </c>
      <c r="V287" s="4" t="n">
        <v>0</v>
      </c>
      <c r="W287" s="4" t="n">
        <v>0</v>
      </c>
      <c r="X287" s="4" t="n">
        <v>0</v>
      </c>
      <c r="Y287" s="4" t="n">
        <v>0</v>
      </c>
    </row>
    <row r="288" customFormat="false" ht="39.75" hidden="false" customHeight="true" outlineLevel="0" collapsed="false">
      <c r="A288" s="3" t="s">
        <v>2276</v>
      </c>
      <c r="B288" s="3" t="s">
        <v>2277</v>
      </c>
      <c r="C288" s="3" t="s">
        <v>2270</v>
      </c>
      <c r="D288" s="3" t="s">
        <v>2133</v>
      </c>
      <c r="E288" s="32" t="n">
        <f aca="false">IF(D_F01!$B$19=5,D_F01!$B$9/D_F01!$B$8*7,0)</f>
        <v>0</v>
      </c>
      <c r="F288" s="39" t="n">
        <f aca="false">$B$6+7</f>
        <v>46211</v>
      </c>
      <c r="G288" s="3" t="n">
        <v>0</v>
      </c>
      <c r="H288" s="3" t="s">
        <v>2271</v>
      </c>
      <c r="I288" s="3" t="n">
        <v>0</v>
      </c>
      <c r="J288" s="39" t="n">
        <f aca="false">F288+D_F01!$B$31+ROUNDUP(SUM(D_sales!$X$5:$X$121)/SUM(D_sales!$V$5:$V$121),0)</f>
        <v>46279</v>
      </c>
      <c r="K288" s="39" t="n">
        <f aca="false">J288</f>
        <v>46279</v>
      </c>
      <c r="L288" s="39" t="n">
        <f aca="false">J288</f>
        <v>46279</v>
      </c>
      <c r="M288" s="39"/>
      <c r="N288" s="39" t="n">
        <f aca="false">J288</f>
        <v>46279</v>
      </c>
      <c r="O288" s="3" t="s">
        <v>2272</v>
      </c>
      <c r="P288" s="3" t="s">
        <v>2273</v>
      </c>
      <c r="Q288" s="3" t="n">
        <v>0</v>
      </c>
      <c r="R288" s="39" t="n">
        <v>46203</v>
      </c>
      <c r="S288" s="3" t="str">
        <f aca="false">IF(N288&gt;$B$7,"beyond_horizon","in_horizon")</f>
        <v>in_horizon</v>
      </c>
      <c r="T288" s="3" t="n">
        <v>0</v>
      </c>
      <c r="U288" s="3" t="n">
        <v>0</v>
      </c>
      <c r="V288" s="3" t="n">
        <v>0</v>
      </c>
      <c r="W288" s="3" t="n">
        <v>0</v>
      </c>
      <c r="X288" s="3" t="n">
        <v>0</v>
      </c>
      <c r="Y288" s="3" t="n">
        <v>0</v>
      </c>
    </row>
    <row r="289" customFormat="false" ht="39.75" hidden="false" customHeight="true" outlineLevel="0" collapsed="false">
      <c r="A289" s="4" t="s">
        <v>2278</v>
      </c>
      <c r="B289" s="4" t="s">
        <v>2277</v>
      </c>
      <c r="C289" s="4" t="s">
        <v>2275</v>
      </c>
      <c r="D289" s="4" t="s">
        <v>2201</v>
      </c>
      <c r="E289" s="33" t="n">
        <f aca="false">IF(D_F01!$B$19=5,D_F01!$B$9/D_F01!$B$8*7*D_F01!$B$29,0)</f>
        <v>0</v>
      </c>
      <c r="F289" s="38" t="n">
        <f aca="false">$B$6+7</f>
        <v>46211</v>
      </c>
      <c r="G289" s="4" t="n">
        <v>0</v>
      </c>
      <c r="H289" s="4" t="s">
        <v>2271</v>
      </c>
      <c r="I289" s="4" t="n">
        <v>0</v>
      </c>
      <c r="J289" s="38" t="n">
        <f aca="false">F289+D_F01!$B$30</f>
        <v>46218</v>
      </c>
      <c r="K289" s="38" t="n">
        <f aca="false">J289</f>
        <v>46218</v>
      </c>
      <c r="L289" s="38" t="n">
        <f aca="false">J289</f>
        <v>46218</v>
      </c>
      <c r="M289" s="38"/>
      <c r="N289" s="38" t="n">
        <f aca="false">J289</f>
        <v>46218</v>
      </c>
      <c r="O289" s="4" t="s">
        <v>2272</v>
      </c>
      <c r="P289" s="4" t="s">
        <v>2273</v>
      </c>
      <c r="Q289" s="4" t="n">
        <v>0</v>
      </c>
      <c r="R289" s="38" t="n">
        <v>46203</v>
      </c>
      <c r="S289" s="4" t="str">
        <f aca="false">IF(N289&gt;$B$7,"beyond_horizon","in_horizon")</f>
        <v>in_horizon</v>
      </c>
      <c r="T289" s="4" t="n">
        <v>0</v>
      </c>
      <c r="U289" s="4" t="n">
        <v>0</v>
      </c>
      <c r="V289" s="4" t="n">
        <v>0</v>
      </c>
      <c r="W289" s="4" t="n">
        <v>0</v>
      </c>
      <c r="X289" s="4" t="n">
        <v>0</v>
      </c>
      <c r="Y289" s="4" t="n">
        <v>0</v>
      </c>
    </row>
    <row r="290" customFormat="false" ht="39.75" hidden="false" customHeight="true" outlineLevel="0" collapsed="false">
      <c r="A290" s="3" t="s">
        <v>2279</v>
      </c>
      <c r="B290" s="3" t="s">
        <v>2280</v>
      </c>
      <c r="C290" s="3" t="s">
        <v>2270</v>
      </c>
      <c r="D290" s="3" t="s">
        <v>2133</v>
      </c>
      <c r="E290" s="32" t="n">
        <f aca="false">IF(D_F01!$B$19=5,D_F01!$B$9/D_F01!$B$8*7,0)</f>
        <v>0</v>
      </c>
      <c r="F290" s="39" t="n">
        <f aca="false">$B$6+14</f>
        <v>46218</v>
      </c>
      <c r="G290" s="3" t="n">
        <v>0</v>
      </c>
      <c r="H290" s="3" t="s">
        <v>2271</v>
      </c>
      <c r="I290" s="3" t="n">
        <v>0</v>
      </c>
      <c r="J290" s="39" t="n">
        <f aca="false">F290+D_F01!$B$31+ROUNDUP(SUM(D_sales!$X$5:$X$121)/SUM(D_sales!$V$5:$V$121),0)</f>
        <v>46286</v>
      </c>
      <c r="K290" s="39" t="n">
        <f aca="false">J290</f>
        <v>46286</v>
      </c>
      <c r="L290" s="39" t="n">
        <f aca="false">J290</f>
        <v>46286</v>
      </c>
      <c r="M290" s="39"/>
      <c r="N290" s="39" t="n">
        <f aca="false">J290</f>
        <v>46286</v>
      </c>
      <c r="O290" s="3" t="s">
        <v>2272</v>
      </c>
      <c r="P290" s="3" t="s">
        <v>2273</v>
      </c>
      <c r="Q290" s="3" t="n">
        <v>0</v>
      </c>
      <c r="R290" s="39" t="n">
        <v>46203</v>
      </c>
      <c r="S290" s="3" t="str">
        <f aca="false">IF(N290&gt;$B$7,"beyond_horizon","in_horizon")</f>
        <v>in_horizon</v>
      </c>
      <c r="T290" s="3" t="n">
        <v>0</v>
      </c>
      <c r="U290" s="3" t="n">
        <v>0</v>
      </c>
      <c r="V290" s="3" t="n">
        <v>0</v>
      </c>
      <c r="W290" s="3" t="n">
        <v>0</v>
      </c>
      <c r="X290" s="3" t="n">
        <v>0</v>
      </c>
      <c r="Y290" s="3" t="n">
        <v>0</v>
      </c>
    </row>
    <row r="291" customFormat="false" ht="39.75" hidden="false" customHeight="true" outlineLevel="0" collapsed="false">
      <c r="A291" s="4" t="s">
        <v>2281</v>
      </c>
      <c r="B291" s="4" t="s">
        <v>2280</v>
      </c>
      <c r="C291" s="4" t="s">
        <v>2275</v>
      </c>
      <c r="D291" s="4" t="s">
        <v>2201</v>
      </c>
      <c r="E291" s="33" t="n">
        <f aca="false">IF(D_F01!$B$19=5,D_F01!$B$9/D_F01!$B$8*7*D_F01!$B$29,0)</f>
        <v>0</v>
      </c>
      <c r="F291" s="38" t="n">
        <f aca="false">$B$6+14</f>
        <v>46218</v>
      </c>
      <c r="G291" s="4" t="n">
        <v>0</v>
      </c>
      <c r="H291" s="4" t="s">
        <v>2271</v>
      </c>
      <c r="I291" s="4" t="n">
        <v>0</v>
      </c>
      <c r="J291" s="38" t="n">
        <f aca="false">F291+D_F01!$B$30</f>
        <v>46225</v>
      </c>
      <c r="K291" s="38" t="n">
        <f aca="false">J291</f>
        <v>46225</v>
      </c>
      <c r="L291" s="38" t="n">
        <f aca="false">J291</f>
        <v>46225</v>
      </c>
      <c r="M291" s="38"/>
      <c r="N291" s="38" t="n">
        <f aca="false">J291</f>
        <v>46225</v>
      </c>
      <c r="O291" s="4" t="s">
        <v>2272</v>
      </c>
      <c r="P291" s="4" t="s">
        <v>2273</v>
      </c>
      <c r="Q291" s="4" t="n">
        <v>0</v>
      </c>
      <c r="R291" s="38" t="n">
        <v>46203</v>
      </c>
      <c r="S291" s="4" t="str">
        <f aca="false">IF(N291&gt;$B$7,"beyond_horizon","in_horizon")</f>
        <v>in_horizon</v>
      </c>
      <c r="T291" s="4" t="n">
        <v>0</v>
      </c>
      <c r="U291" s="4" t="n">
        <v>0</v>
      </c>
      <c r="V291" s="4" t="n">
        <v>0</v>
      </c>
      <c r="W291" s="4" t="n">
        <v>0</v>
      </c>
      <c r="X291" s="4" t="n">
        <v>0</v>
      </c>
      <c r="Y291" s="4" t="n">
        <v>0</v>
      </c>
    </row>
    <row r="292" customFormat="false" ht="39.75" hidden="false" customHeight="true" outlineLevel="0" collapsed="false">
      <c r="A292" s="3" t="s">
        <v>2282</v>
      </c>
      <c r="B292" s="3" t="s">
        <v>2283</v>
      </c>
      <c r="C292" s="3" t="s">
        <v>2270</v>
      </c>
      <c r="D292" s="3" t="s">
        <v>2133</v>
      </c>
      <c r="E292" s="32" t="n">
        <f aca="false">IF(D_F01!$B$19=5,D_F01!$B$9/D_F01!$B$8*7,0)</f>
        <v>0</v>
      </c>
      <c r="F292" s="39" t="n">
        <f aca="false">$B$6+21</f>
        <v>46225</v>
      </c>
      <c r="G292" s="3" t="n">
        <v>0</v>
      </c>
      <c r="H292" s="3" t="s">
        <v>2271</v>
      </c>
      <c r="I292" s="3" t="n">
        <v>0</v>
      </c>
      <c r="J292" s="39" t="n">
        <f aca="false">F292+D_F01!$B$31+ROUNDUP(SUM(D_sales!$X$5:$X$121)/SUM(D_sales!$V$5:$V$121),0)</f>
        <v>46293</v>
      </c>
      <c r="K292" s="39" t="n">
        <f aca="false">J292</f>
        <v>46293</v>
      </c>
      <c r="L292" s="39" t="n">
        <f aca="false">J292</f>
        <v>46293</v>
      </c>
      <c r="M292" s="39"/>
      <c r="N292" s="39" t="n">
        <f aca="false">J292</f>
        <v>46293</v>
      </c>
      <c r="O292" s="3" t="s">
        <v>2272</v>
      </c>
      <c r="P292" s="3" t="s">
        <v>2273</v>
      </c>
      <c r="Q292" s="3" t="n">
        <v>0</v>
      </c>
      <c r="R292" s="39" t="n">
        <v>46203</v>
      </c>
      <c r="S292" s="3" t="str">
        <f aca="false">IF(N292&gt;$B$7,"beyond_horizon","in_horizon")</f>
        <v>in_horizon</v>
      </c>
      <c r="T292" s="3" t="n">
        <v>0</v>
      </c>
      <c r="U292" s="3" t="n">
        <v>0</v>
      </c>
      <c r="V292" s="3" t="n">
        <v>0</v>
      </c>
      <c r="W292" s="3" t="n">
        <v>0</v>
      </c>
      <c r="X292" s="3" t="n">
        <v>0</v>
      </c>
      <c r="Y292" s="3" t="n">
        <v>0</v>
      </c>
    </row>
    <row r="293" customFormat="false" ht="39.75" hidden="false" customHeight="true" outlineLevel="0" collapsed="false">
      <c r="A293" s="4" t="s">
        <v>2284</v>
      </c>
      <c r="B293" s="4" t="s">
        <v>2283</v>
      </c>
      <c r="C293" s="4" t="s">
        <v>2275</v>
      </c>
      <c r="D293" s="4" t="s">
        <v>2201</v>
      </c>
      <c r="E293" s="33" t="n">
        <f aca="false">IF(D_F01!$B$19=5,D_F01!$B$9/D_F01!$B$8*7*D_F01!$B$29,0)</f>
        <v>0</v>
      </c>
      <c r="F293" s="38" t="n">
        <f aca="false">$B$6+21</f>
        <v>46225</v>
      </c>
      <c r="G293" s="4" t="n">
        <v>0</v>
      </c>
      <c r="H293" s="4" t="s">
        <v>2271</v>
      </c>
      <c r="I293" s="4" t="n">
        <v>0</v>
      </c>
      <c r="J293" s="38" t="n">
        <f aca="false">F293+D_F01!$B$30</f>
        <v>46232</v>
      </c>
      <c r="K293" s="38" t="n">
        <f aca="false">J293</f>
        <v>46232</v>
      </c>
      <c r="L293" s="38" t="n">
        <f aca="false">J293</f>
        <v>46232</v>
      </c>
      <c r="M293" s="38"/>
      <c r="N293" s="38" t="n">
        <f aca="false">J293</f>
        <v>46232</v>
      </c>
      <c r="O293" s="4" t="s">
        <v>2272</v>
      </c>
      <c r="P293" s="4" t="s">
        <v>2273</v>
      </c>
      <c r="Q293" s="4" t="n">
        <v>0</v>
      </c>
      <c r="R293" s="38" t="n">
        <v>46203</v>
      </c>
      <c r="S293" s="4" t="str">
        <f aca="false">IF(N293&gt;$B$7,"beyond_horizon","in_horizon")</f>
        <v>in_horizon</v>
      </c>
      <c r="T293" s="4" t="n">
        <v>0</v>
      </c>
      <c r="U293" s="4" t="n">
        <v>0</v>
      </c>
      <c r="V293" s="4" t="n">
        <v>0</v>
      </c>
      <c r="W293" s="4" t="n">
        <v>0</v>
      </c>
      <c r="X293" s="4" t="n">
        <v>0</v>
      </c>
      <c r="Y293" s="4" t="n">
        <v>0</v>
      </c>
    </row>
    <row r="294" customFormat="false" ht="39.75" hidden="false" customHeight="true" outlineLevel="0" collapsed="false">
      <c r="A294" s="3" t="s">
        <v>2285</v>
      </c>
      <c r="B294" s="3" t="s">
        <v>2286</v>
      </c>
      <c r="C294" s="3" t="s">
        <v>2270</v>
      </c>
      <c r="D294" s="3" t="s">
        <v>2133</v>
      </c>
      <c r="E294" s="32" t="n">
        <f aca="false">IF(D_F01!$B$19=5,D_F01!$B$9/D_F01!$B$8*7,0)</f>
        <v>0</v>
      </c>
      <c r="F294" s="39" t="n">
        <f aca="false">$B$6+28</f>
        <v>46232</v>
      </c>
      <c r="G294" s="3" t="n">
        <v>0</v>
      </c>
      <c r="H294" s="3" t="s">
        <v>2271</v>
      </c>
      <c r="I294" s="3" t="n">
        <v>0</v>
      </c>
      <c r="J294" s="39" t="n">
        <f aca="false">F294+D_F01!$B$31+ROUNDUP(SUM(D_sales!$X$5:$X$121)/SUM(D_sales!$V$5:$V$121),0)</f>
        <v>46300</v>
      </c>
      <c r="K294" s="39" t="n">
        <f aca="false">J294</f>
        <v>46300</v>
      </c>
      <c r="L294" s="39" t="n">
        <f aca="false">J294</f>
        <v>46300</v>
      </c>
      <c r="M294" s="39"/>
      <c r="N294" s="39" t="n">
        <f aca="false">J294</f>
        <v>46300</v>
      </c>
      <c r="O294" s="3" t="s">
        <v>2272</v>
      </c>
      <c r="P294" s="3" t="s">
        <v>2273</v>
      </c>
      <c r="Q294" s="3" t="n">
        <v>0</v>
      </c>
      <c r="R294" s="39" t="n">
        <v>46203</v>
      </c>
      <c r="S294" s="3" t="str">
        <f aca="false">IF(N294&gt;$B$7,"beyond_horizon","in_horizon")</f>
        <v>beyond_horizon</v>
      </c>
      <c r="T294" s="3" t="n">
        <v>0</v>
      </c>
      <c r="U294" s="3" t="n">
        <v>0</v>
      </c>
      <c r="V294" s="3" t="n">
        <v>0</v>
      </c>
      <c r="W294" s="3" t="n">
        <v>0</v>
      </c>
      <c r="X294" s="3" t="n">
        <v>0</v>
      </c>
      <c r="Y294" s="3" t="n">
        <v>0</v>
      </c>
    </row>
    <row r="295" customFormat="false" ht="39.75" hidden="false" customHeight="true" outlineLevel="0" collapsed="false">
      <c r="A295" s="4" t="s">
        <v>2287</v>
      </c>
      <c r="B295" s="4" t="s">
        <v>2286</v>
      </c>
      <c r="C295" s="4" t="s">
        <v>2275</v>
      </c>
      <c r="D295" s="4" t="s">
        <v>2201</v>
      </c>
      <c r="E295" s="33" t="n">
        <f aca="false">IF(D_F01!$B$19=5,D_F01!$B$9/D_F01!$B$8*7*D_F01!$B$29,0)</f>
        <v>0</v>
      </c>
      <c r="F295" s="38" t="n">
        <f aca="false">$B$6+28</f>
        <v>46232</v>
      </c>
      <c r="G295" s="4" t="n">
        <v>0</v>
      </c>
      <c r="H295" s="4" t="s">
        <v>2271</v>
      </c>
      <c r="I295" s="4" t="n">
        <v>0</v>
      </c>
      <c r="J295" s="38" t="n">
        <f aca="false">F295+D_F01!$B$30</f>
        <v>46239</v>
      </c>
      <c r="K295" s="38" t="n">
        <f aca="false">J295</f>
        <v>46239</v>
      </c>
      <c r="L295" s="38" t="n">
        <f aca="false">J295</f>
        <v>46239</v>
      </c>
      <c r="M295" s="38"/>
      <c r="N295" s="38" t="n">
        <f aca="false">J295</f>
        <v>46239</v>
      </c>
      <c r="O295" s="4" t="s">
        <v>2272</v>
      </c>
      <c r="P295" s="4" t="s">
        <v>2273</v>
      </c>
      <c r="Q295" s="4" t="n">
        <v>0</v>
      </c>
      <c r="R295" s="38" t="n">
        <v>46203</v>
      </c>
      <c r="S295" s="4" t="str">
        <f aca="false">IF(N295&gt;$B$7,"beyond_horizon","in_horizon")</f>
        <v>in_horizon</v>
      </c>
      <c r="T295" s="4" t="n">
        <v>0</v>
      </c>
      <c r="U295" s="4" t="n">
        <v>0</v>
      </c>
      <c r="V295" s="4" t="n">
        <v>0</v>
      </c>
      <c r="W295" s="4" t="n">
        <v>0</v>
      </c>
      <c r="X295" s="4" t="n">
        <v>0</v>
      </c>
      <c r="Y295" s="4" t="n">
        <v>0</v>
      </c>
    </row>
    <row r="296" customFormat="false" ht="39.75" hidden="false" customHeight="true" outlineLevel="0" collapsed="false">
      <c r="A296" s="3" t="s">
        <v>2288</v>
      </c>
      <c r="B296" s="3" t="s">
        <v>2289</v>
      </c>
      <c r="C296" s="3" t="s">
        <v>2270</v>
      </c>
      <c r="D296" s="3" t="s">
        <v>2133</v>
      </c>
      <c r="E296" s="32" t="n">
        <f aca="false">IF(D_F01!$B$19=5,D_F01!$B$9/D_F01!$B$8*7,0)</f>
        <v>0</v>
      </c>
      <c r="F296" s="39" t="n">
        <f aca="false">$B$6+35</f>
        <v>46239</v>
      </c>
      <c r="G296" s="3" t="n">
        <v>0</v>
      </c>
      <c r="H296" s="3" t="s">
        <v>2271</v>
      </c>
      <c r="I296" s="3" t="n">
        <v>0</v>
      </c>
      <c r="J296" s="39" t="n">
        <f aca="false">F296+D_F01!$B$31+ROUNDUP(SUM(D_sales!$X$5:$X$121)/SUM(D_sales!$V$5:$V$121),0)</f>
        <v>46307</v>
      </c>
      <c r="K296" s="39" t="n">
        <f aca="false">J296</f>
        <v>46307</v>
      </c>
      <c r="L296" s="39" t="n">
        <f aca="false">J296</f>
        <v>46307</v>
      </c>
      <c r="M296" s="39"/>
      <c r="N296" s="39" t="n">
        <f aca="false">J296</f>
        <v>46307</v>
      </c>
      <c r="O296" s="3" t="s">
        <v>2272</v>
      </c>
      <c r="P296" s="3" t="s">
        <v>2273</v>
      </c>
      <c r="Q296" s="3" t="n">
        <v>0</v>
      </c>
      <c r="R296" s="39" t="n">
        <v>46203</v>
      </c>
      <c r="S296" s="3" t="str">
        <f aca="false">IF(N296&gt;$B$7,"beyond_horizon","in_horizon")</f>
        <v>beyond_horizon</v>
      </c>
      <c r="T296" s="3" t="n">
        <v>0</v>
      </c>
      <c r="U296" s="3" t="n">
        <v>0</v>
      </c>
      <c r="V296" s="3" t="n">
        <v>0</v>
      </c>
      <c r="W296" s="3" t="n">
        <v>0</v>
      </c>
      <c r="X296" s="3" t="n">
        <v>0</v>
      </c>
      <c r="Y296" s="3" t="n">
        <v>0</v>
      </c>
    </row>
    <row r="297" customFormat="false" ht="39.75" hidden="false" customHeight="true" outlineLevel="0" collapsed="false">
      <c r="A297" s="4" t="s">
        <v>2290</v>
      </c>
      <c r="B297" s="4" t="s">
        <v>2289</v>
      </c>
      <c r="C297" s="4" t="s">
        <v>2275</v>
      </c>
      <c r="D297" s="4" t="s">
        <v>2201</v>
      </c>
      <c r="E297" s="33" t="n">
        <f aca="false">IF(D_F01!$B$19=5,D_F01!$B$9/D_F01!$B$8*7*D_F01!$B$29,0)</f>
        <v>0</v>
      </c>
      <c r="F297" s="38" t="n">
        <f aca="false">$B$6+35</f>
        <v>46239</v>
      </c>
      <c r="G297" s="4" t="n">
        <v>0</v>
      </c>
      <c r="H297" s="4" t="s">
        <v>2271</v>
      </c>
      <c r="I297" s="4" t="n">
        <v>0</v>
      </c>
      <c r="J297" s="38" t="n">
        <f aca="false">F297+D_F01!$B$30</f>
        <v>46246</v>
      </c>
      <c r="K297" s="38" t="n">
        <f aca="false">J297</f>
        <v>46246</v>
      </c>
      <c r="L297" s="38" t="n">
        <f aca="false">J297</f>
        <v>46246</v>
      </c>
      <c r="M297" s="38"/>
      <c r="N297" s="38" t="n">
        <f aca="false">J297</f>
        <v>46246</v>
      </c>
      <c r="O297" s="4" t="s">
        <v>2272</v>
      </c>
      <c r="P297" s="4" t="s">
        <v>2273</v>
      </c>
      <c r="Q297" s="4" t="n">
        <v>0</v>
      </c>
      <c r="R297" s="38" t="n">
        <v>46203</v>
      </c>
      <c r="S297" s="4" t="str">
        <f aca="false">IF(N297&gt;$B$7,"beyond_horizon","in_horizon")</f>
        <v>in_horizon</v>
      </c>
      <c r="T297" s="4" t="n">
        <v>0</v>
      </c>
      <c r="U297" s="4" t="n">
        <v>0</v>
      </c>
      <c r="V297" s="4" t="n">
        <v>0</v>
      </c>
      <c r="W297" s="4" t="n">
        <v>0</v>
      </c>
      <c r="X297" s="4" t="n">
        <v>0</v>
      </c>
      <c r="Y297" s="4" t="n">
        <v>0</v>
      </c>
    </row>
    <row r="298" customFormat="false" ht="39.75" hidden="false" customHeight="true" outlineLevel="0" collapsed="false">
      <c r="A298" s="3" t="s">
        <v>2291</v>
      </c>
      <c r="B298" s="3" t="s">
        <v>2292</v>
      </c>
      <c r="C298" s="3" t="s">
        <v>2270</v>
      </c>
      <c r="D298" s="3" t="s">
        <v>2133</v>
      </c>
      <c r="E298" s="32" t="n">
        <f aca="false">IF(D_F01!$B$19=5,D_F01!$B$9/D_F01!$B$8*7,0)</f>
        <v>0</v>
      </c>
      <c r="F298" s="39" t="n">
        <f aca="false">$B$6+42</f>
        <v>46246</v>
      </c>
      <c r="G298" s="3" t="n">
        <v>0</v>
      </c>
      <c r="H298" s="3" t="s">
        <v>2271</v>
      </c>
      <c r="I298" s="3" t="n">
        <v>0</v>
      </c>
      <c r="J298" s="39" t="n">
        <f aca="false">F298+D_F01!$B$31+ROUNDUP(SUM(D_sales!$X$5:$X$121)/SUM(D_sales!$V$5:$V$121),0)</f>
        <v>46314</v>
      </c>
      <c r="K298" s="39" t="n">
        <f aca="false">J298</f>
        <v>46314</v>
      </c>
      <c r="L298" s="39" t="n">
        <f aca="false">J298</f>
        <v>46314</v>
      </c>
      <c r="M298" s="39"/>
      <c r="N298" s="39" t="n">
        <f aca="false">J298</f>
        <v>46314</v>
      </c>
      <c r="O298" s="3" t="s">
        <v>2272</v>
      </c>
      <c r="P298" s="3" t="s">
        <v>2273</v>
      </c>
      <c r="Q298" s="3" t="n">
        <v>0</v>
      </c>
      <c r="R298" s="39" t="n">
        <v>46203</v>
      </c>
      <c r="S298" s="3" t="str">
        <f aca="false">IF(N298&gt;$B$7,"beyond_horizon","in_horizon")</f>
        <v>beyond_horizon</v>
      </c>
      <c r="T298" s="3" t="n">
        <v>0</v>
      </c>
      <c r="U298" s="3" t="n">
        <v>0</v>
      </c>
      <c r="V298" s="3" t="n">
        <v>0</v>
      </c>
      <c r="W298" s="3" t="n">
        <v>0</v>
      </c>
      <c r="X298" s="3" t="n">
        <v>0</v>
      </c>
      <c r="Y298" s="3" t="n">
        <v>0</v>
      </c>
    </row>
    <row r="299" customFormat="false" ht="39.75" hidden="false" customHeight="true" outlineLevel="0" collapsed="false">
      <c r="A299" s="4" t="s">
        <v>2293</v>
      </c>
      <c r="B299" s="4" t="s">
        <v>2292</v>
      </c>
      <c r="C299" s="4" t="s">
        <v>2275</v>
      </c>
      <c r="D299" s="4" t="s">
        <v>2201</v>
      </c>
      <c r="E299" s="33" t="n">
        <f aca="false">IF(D_F01!$B$19=5,D_F01!$B$9/D_F01!$B$8*7*D_F01!$B$29,0)</f>
        <v>0</v>
      </c>
      <c r="F299" s="38" t="n">
        <f aca="false">$B$6+42</f>
        <v>46246</v>
      </c>
      <c r="G299" s="4" t="n">
        <v>0</v>
      </c>
      <c r="H299" s="4" t="s">
        <v>2271</v>
      </c>
      <c r="I299" s="4" t="n">
        <v>0</v>
      </c>
      <c r="J299" s="38" t="n">
        <f aca="false">F299+D_F01!$B$30</f>
        <v>46253</v>
      </c>
      <c r="K299" s="38" t="n">
        <f aca="false">J299</f>
        <v>46253</v>
      </c>
      <c r="L299" s="38" t="n">
        <f aca="false">J299</f>
        <v>46253</v>
      </c>
      <c r="M299" s="38"/>
      <c r="N299" s="38" t="n">
        <f aca="false">J299</f>
        <v>46253</v>
      </c>
      <c r="O299" s="4" t="s">
        <v>2272</v>
      </c>
      <c r="P299" s="4" t="s">
        <v>2273</v>
      </c>
      <c r="Q299" s="4" t="n">
        <v>0</v>
      </c>
      <c r="R299" s="38" t="n">
        <v>46203</v>
      </c>
      <c r="S299" s="4" t="str">
        <f aca="false">IF(N299&gt;$B$7,"beyond_horizon","in_horizon")</f>
        <v>in_horizon</v>
      </c>
      <c r="T299" s="4" t="n">
        <v>0</v>
      </c>
      <c r="U299" s="4" t="n">
        <v>0</v>
      </c>
      <c r="V299" s="4" t="n">
        <v>0</v>
      </c>
      <c r="W299" s="4" t="n">
        <v>0</v>
      </c>
      <c r="X299" s="4" t="n">
        <v>0</v>
      </c>
      <c r="Y299" s="4" t="n">
        <v>0</v>
      </c>
    </row>
    <row r="300" customFormat="false" ht="39.75" hidden="false" customHeight="true" outlineLevel="0" collapsed="false">
      <c r="A300" s="3" t="s">
        <v>2294</v>
      </c>
      <c r="B300" s="3" t="s">
        <v>2295</v>
      </c>
      <c r="C300" s="3" t="s">
        <v>2270</v>
      </c>
      <c r="D300" s="3" t="s">
        <v>2133</v>
      </c>
      <c r="E300" s="32" t="n">
        <f aca="false">IF(D_F01!$B$19=5,D_F01!$B$9/D_F01!$B$8*7,0)</f>
        <v>0</v>
      </c>
      <c r="F300" s="39" t="n">
        <f aca="false">$B$6+49</f>
        <v>46253</v>
      </c>
      <c r="G300" s="3" t="n">
        <v>0</v>
      </c>
      <c r="H300" s="3" t="s">
        <v>2271</v>
      </c>
      <c r="I300" s="3" t="n">
        <v>0</v>
      </c>
      <c r="J300" s="39" t="n">
        <f aca="false">F300+D_F01!$B$31+ROUNDUP(SUM(D_sales!$X$5:$X$121)/SUM(D_sales!$V$5:$V$121),0)</f>
        <v>46321</v>
      </c>
      <c r="K300" s="39" t="n">
        <f aca="false">J300</f>
        <v>46321</v>
      </c>
      <c r="L300" s="39" t="n">
        <f aca="false">J300</f>
        <v>46321</v>
      </c>
      <c r="M300" s="39"/>
      <c r="N300" s="39" t="n">
        <f aca="false">J300</f>
        <v>46321</v>
      </c>
      <c r="O300" s="3" t="s">
        <v>2272</v>
      </c>
      <c r="P300" s="3" t="s">
        <v>2273</v>
      </c>
      <c r="Q300" s="3" t="n">
        <v>0</v>
      </c>
      <c r="R300" s="39" t="n">
        <v>46203</v>
      </c>
      <c r="S300" s="3" t="str">
        <f aca="false">IF(N300&gt;$B$7,"beyond_horizon","in_horizon")</f>
        <v>beyond_horizon</v>
      </c>
      <c r="T300" s="3" t="n">
        <v>0</v>
      </c>
      <c r="U300" s="3" t="n">
        <v>0</v>
      </c>
      <c r="V300" s="3" t="n">
        <v>0</v>
      </c>
      <c r="W300" s="3" t="n">
        <v>0</v>
      </c>
      <c r="X300" s="3" t="n">
        <v>0</v>
      </c>
      <c r="Y300" s="3" t="n">
        <v>0</v>
      </c>
    </row>
    <row r="301" customFormat="false" ht="39.75" hidden="false" customHeight="true" outlineLevel="0" collapsed="false">
      <c r="A301" s="4" t="s">
        <v>2296</v>
      </c>
      <c r="B301" s="4" t="s">
        <v>2295</v>
      </c>
      <c r="C301" s="4" t="s">
        <v>2275</v>
      </c>
      <c r="D301" s="4" t="s">
        <v>2201</v>
      </c>
      <c r="E301" s="33" t="n">
        <f aca="false">IF(D_F01!$B$19=5,D_F01!$B$9/D_F01!$B$8*7*D_F01!$B$29,0)</f>
        <v>0</v>
      </c>
      <c r="F301" s="38" t="n">
        <f aca="false">$B$6+49</f>
        <v>46253</v>
      </c>
      <c r="G301" s="4" t="n">
        <v>0</v>
      </c>
      <c r="H301" s="4" t="s">
        <v>2271</v>
      </c>
      <c r="I301" s="4" t="n">
        <v>0</v>
      </c>
      <c r="J301" s="38" t="n">
        <f aca="false">F301+D_F01!$B$30</f>
        <v>46260</v>
      </c>
      <c r="K301" s="38" t="n">
        <f aca="false">J301</f>
        <v>46260</v>
      </c>
      <c r="L301" s="38" t="n">
        <f aca="false">J301</f>
        <v>46260</v>
      </c>
      <c r="M301" s="38"/>
      <c r="N301" s="38" t="n">
        <f aca="false">J301</f>
        <v>46260</v>
      </c>
      <c r="O301" s="4" t="s">
        <v>2272</v>
      </c>
      <c r="P301" s="4" t="s">
        <v>2273</v>
      </c>
      <c r="Q301" s="4" t="n">
        <v>0</v>
      </c>
      <c r="R301" s="38" t="n">
        <v>46203</v>
      </c>
      <c r="S301" s="4" t="str">
        <f aca="false">IF(N301&gt;$B$7,"beyond_horizon","in_horizon")</f>
        <v>in_horizon</v>
      </c>
      <c r="T301" s="4" t="n">
        <v>0</v>
      </c>
      <c r="U301" s="4" t="n">
        <v>0</v>
      </c>
      <c r="V301" s="4" t="n">
        <v>0</v>
      </c>
      <c r="W301" s="4" t="n">
        <v>0</v>
      </c>
      <c r="X301" s="4" t="n">
        <v>0</v>
      </c>
      <c r="Y301" s="4" t="n">
        <v>0</v>
      </c>
    </row>
    <row r="302" customFormat="false" ht="39.75" hidden="false" customHeight="true" outlineLevel="0" collapsed="false">
      <c r="A302" s="3" t="s">
        <v>2297</v>
      </c>
      <c r="B302" s="3" t="s">
        <v>2298</v>
      </c>
      <c r="C302" s="3" t="s">
        <v>2270</v>
      </c>
      <c r="D302" s="3" t="s">
        <v>2133</v>
      </c>
      <c r="E302" s="32" t="n">
        <f aca="false">IF(D_F01!$B$19=5,D_F01!$B$9/D_F01!$B$8*7,0)</f>
        <v>0</v>
      </c>
      <c r="F302" s="39" t="n">
        <f aca="false">$B$6+56</f>
        <v>46260</v>
      </c>
      <c r="G302" s="3" t="n">
        <v>0</v>
      </c>
      <c r="H302" s="3" t="s">
        <v>2271</v>
      </c>
      <c r="I302" s="3" t="n">
        <v>0</v>
      </c>
      <c r="J302" s="39" t="n">
        <f aca="false">F302+D_F01!$B$31+ROUNDUP(SUM(D_sales!$X$5:$X$121)/SUM(D_sales!$V$5:$V$121),0)</f>
        <v>46328</v>
      </c>
      <c r="K302" s="39" t="n">
        <f aca="false">J302</f>
        <v>46328</v>
      </c>
      <c r="L302" s="39" t="n">
        <f aca="false">J302</f>
        <v>46328</v>
      </c>
      <c r="M302" s="39"/>
      <c r="N302" s="39" t="n">
        <f aca="false">J302</f>
        <v>46328</v>
      </c>
      <c r="O302" s="3" t="s">
        <v>2272</v>
      </c>
      <c r="P302" s="3" t="s">
        <v>2273</v>
      </c>
      <c r="Q302" s="3" t="n">
        <v>0</v>
      </c>
      <c r="R302" s="39" t="n">
        <v>46203</v>
      </c>
      <c r="S302" s="3" t="str">
        <f aca="false">IF(N302&gt;$B$7,"beyond_horizon","in_horizon")</f>
        <v>beyond_horizon</v>
      </c>
      <c r="T302" s="3" t="n">
        <v>0</v>
      </c>
      <c r="U302" s="3" t="n">
        <v>0</v>
      </c>
      <c r="V302" s="3" t="n">
        <v>0</v>
      </c>
      <c r="W302" s="3" t="n">
        <v>0</v>
      </c>
      <c r="X302" s="3" t="n">
        <v>0</v>
      </c>
      <c r="Y302" s="3" t="n">
        <v>0</v>
      </c>
    </row>
    <row r="303" customFormat="false" ht="39.75" hidden="false" customHeight="true" outlineLevel="0" collapsed="false">
      <c r="A303" s="4" t="s">
        <v>2299</v>
      </c>
      <c r="B303" s="4" t="s">
        <v>2298</v>
      </c>
      <c r="C303" s="4" t="s">
        <v>2275</v>
      </c>
      <c r="D303" s="4" t="s">
        <v>2201</v>
      </c>
      <c r="E303" s="33" t="n">
        <f aca="false">IF(D_F01!$B$19=5,D_F01!$B$9/D_F01!$B$8*7*D_F01!$B$29,0)</f>
        <v>0</v>
      </c>
      <c r="F303" s="38" t="n">
        <f aca="false">$B$6+56</f>
        <v>46260</v>
      </c>
      <c r="G303" s="4" t="n">
        <v>0</v>
      </c>
      <c r="H303" s="4" t="s">
        <v>2271</v>
      </c>
      <c r="I303" s="4" t="n">
        <v>0</v>
      </c>
      <c r="J303" s="38" t="n">
        <f aca="false">F303+D_F01!$B$30</f>
        <v>46267</v>
      </c>
      <c r="K303" s="38" t="n">
        <f aca="false">J303</f>
        <v>46267</v>
      </c>
      <c r="L303" s="38" t="n">
        <f aca="false">J303</f>
        <v>46267</v>
      </c>
      <c r="M303" s="38"/>
      <c r="N303" s="38" t="n">
        <f aca="false">J303</f>
        <v>46267</v>
      </c>
      <c r="O303" s="4" t="s">
        <v>2272</v>
      </c>
      <c r="P303" s="4" t="s">
        <v>2273</v>
      </c>
      <c r="Q303" s="4" t="n">
        <v>0</v>
      </c>
      <c r="R303" s="38" t="n">
        <v>46203</v>
      </c>
      <c r="S303" s="4" t="str">
        <f aca="false">IF(N303&gt;$B$7,"beyond_horizon","in_horizon")</f>
        <v>in_horizon</v>
      </c>
      <c r="T303" s="4" t="n">
        <v>0</v>
      </c>
      <c r="U303" s="4" t="n">
        <v>0</v>
      </c>
      <c r="V303" s="4" t="n">
        <v>0</v>
      </c>
      <c r="W303" s="4" t="n">
        <v>0</v>
      </c>
      <c r="X303" s="4" t="n">
        <v>0</v>
      </c>
      <c r="Y303" s="4" t="n">
        <v>0</v>
      </c>
    </row>
    <row r="304" customFormat="false" ht="39.75" hidden="false" customHeight="true" outlineLevel="0" collapsed="false">
      <c r="A304" s="3" t="s">
        <v>2300</v>
      </c>
      <c r="B304" s="3" t="s">
        <v>2301</v>
      </c>
      <c r="C304" s="3" t="s">
        <v>2270</v>
      </c>
      <c r="D304" s="3" t="s">
        <v>2133</v>
      </c>
      <c r="E304" s="32" t="n">
        <f aca="false">IF(D_F01!$B$19=5,D_F01!$B$9/D_F01!$B$8*7,0)</f>
        <v>0</v>
      </c>
      <c r="F304" s="39" t="n">
        <f aca="false">$B$6+63</f>
        <v>46267</v>
      </c>
      <c r="G304" s="3" t="n">
        <v>0</v>
      </c>
      <c r="H304" s="3" t="s">
        <v>2271</v>
      </c>
      <c r="I304" s="3" t="n">
        <v>0</v>
      </c>
      <c r="J304" s="39" t="n">
        <f aca="false">F304+D_F01!$B$31+ROUNDUP(SUM(D_sales!$X$5:$X$121)/SUM(D_sales!$V$5:$V$121),0)</f>
        <v>46335</v>
      </c>
      <c r="K304" s="39" t="n">
        <f aca="false">J304</f>
        <v>46335</v>
      </c>
      <c r="L304" s="39" t="n">
        <f aca="false">J304</f>
        <v>46335</v>
      </c>
      <c r="M304" s="39"/>
      <c r="N304" s="39" t="n">
        <f aca="false">J304</f>
        <v>46335</v>
      </c>
      <c r="O304" s="3" t="s">
        <v>2272</v>
      </c>
      <c r="P304" s="3" t="s">
        <v>2273</v>
      </c>
      <c r="Q304" s="3" t="n">
        <v>0</v>
      </c>
      <c r="R304" s="39" t="n">
        <v>46203</v>
      </c>
      <c r="S304" s="3" t="str">
        <f aca="false">IF(N304&gt;$B$7,"beyond_horizon","in_horizon")</f>
        <v>beyond_horizon</v>
      </c>
      <c r="T304" s="3" t="n">
        <v>0</v>
      </c>
      <c r="U304" s="3" t="n">
        <v>0</v>
      </c>
      <c r="V304" s="3" t="n">
        <v>0</v>
      </c>
      <c r="W304" s="3" t="n">
        <v>0</v>
      </c>
      <c r="X304" s="3" t="n">
        <v>0</v>
      </c>
      <c r="Y304" s="3" t="n">
        <v>0</v>
      </c>
    </row>
    <row r="305" customFormat="false" ht="39.75" hidden="false" customHeight="true" outlineLevel="0" collapsed="false">
      <c r="A305" s="4" t="s">
        <v>2302</v>
      </c>
      <c r="B305" s="4" t="s">
        <v>2301</v>
      </c>
      <c r="C305" s="4" t="s">
        <v>2275</v>
      </c>
      <c r="D305" s="4" t="s">
        <v>2201</v>
      </c>
      <c r="E305" s="33" t="n">
        <f aca="false">IF(D_F01!$B$19=5,D_F01!$B$9/D_F01!$B$8*7*D_F01!$B$29,0)</f>
        <v>0</v>
      </c>
      <c r="F305" s="38" t="n">
        <f aca="false">$B$6+63</f>
        <v>46267</v>
      </c>
      <c r="G305" s="4" t="n">
        <v>0</v>
      </c>
      <c r="H305" s="4" t="s">
        <v>2271</v>
      </c>
      <c r="I305" s="4" t="n">
        <v>0</v>
      </c>
      <c r="J305" s="38" t="n">
        <f aca="false">F305+D_F01!$B$30</f>
        <v>46274</v>
      </c>
      <c r="K305" s="38" t="n">
        <f aca="false">J305</f>
        <v>46274</v>
      </c>
      <c r="L305" s="38" t="n">
        <f aca="false">J305</f>
        <v>46274</v>
      </c>
      <c r="M305" s="38"/>
      <c r="N305" s="38" t="n">
        <f aca="false">J305</f>
        <v>46274</v>
      </c>
      <c r="O305" s="4" t="s">
        <v>2272</v>
      </c>
      <c r="P305" s="4" t="s">
        <v>2273</v>
      </c>
      <c r="Q305" s="4" t="n">
        <v>0</v>
      </c>
      <c r="R305" s="38" t="n">
        <v>46203</v>
      </c>
      <c r="S305" s="4" t="str">
        <f aca="false">IF(N305&gt;$B$7,"beyond_horizon","in_horizon")</f>
        <v>in_horizon</v>
      </c>
      <c r="T305" s="4" t="n">
        <v>0</v>
      </c>
      <c r="U305" s="4" t="n">
        <v>0</v>
      </c>
      <c r="V305" s="4" t="n">
        <v>0</v>
      </c>
      <c r="W305" s="4" t="n">
        <v>0</v>
      </c>
      <c r="X305" s="4" t="n">
        <v>0</v>
      </c>
      <c r="Y305" s="4" t="n">
        <v>0</v>
      </c>
    </row>
    <row r="306" customFormat="false" ht="39.75" hidden="false" customHeight="true" outlineLevel="0" collapsed="false">
      <c r="A306" s="3" t="s">
        <v>2303</v>
      </c>
      <c r="B306" s="3" t="s">
        <v>2304</v>
      </c>
      <c r="C306" s="3" t="s">
        <v>2270</v>
      </c>
      <c r="D306" s="3" t="s">
        <v>2133</v>
      </c>
      <c r="E306" s="32" t="n">
        <f aca="false">IF(D_F01!$B$19=5,D_F01!$B$9/D_F01!$B$8*7,0)</f>
        <v>0</v>
      </c>
      <c r="F306" s="39" t="n">
        <f aca="false">$B$6+70</f>
        <v>46274</v>
      </c>
      <c r="G306" s="3" t="n">
        <v>0</v>
      </c>
      <c r="H306" s="3" t="s">
        <v>2271</v>
      </c>
      <c r="I306" s="3" t="n">
        <v>0</v>
      </c>
      <c r="J306" s="39" t="n">
        <f aca="false">F306+D_F01!$B$31+ROUNDUP(SUM(D_sales!$X$5:$X$121)/SUM(D_sales!$V$5:$V$121),0)</f>
        <v>46342</v>
      </c>
      <c r="K306" s="39" t="n">
        <f aca="false">J306</f>
        <v>46342</v>
      </c>
      <c r="L306" s="39" t="n">
        <f aca="false">J306</f>
        <v>46342</v>
      </c>
      <c r="M306" s="39"/>
      <c r="N306" s="39" t="n">
        <f aca="false">J306</f>
        <v>46342</v>
      </c>
      <c r="O306" s="3" t="s">
        <v>2272</v>
      </c>
      <c r="P306" s="3" t="s">
        <v>2273</v>
      </c>
      <c r="Q306" s="3" t="n">
        <v>0</v>
      </c>
      <c r="R306" s="39" t="n">
        <v>46203</v>
      </c>
      <c r="S306" s="3" t="str">
        <f aca="false">IF(N306&gt;$B$7,"beyond_horizon","in_horizon")</f>
        <v>beyond_horizon</v>
      </c>
      <c r="T306" s="3" t="n">
        <v>0</v>
      </c>
      <c r="U306" s="3" t="n">
        <v>0</v>
      </c>
      <c r="V306" s="3" t="n">
        <v>0</v>
      </c>
      <c r="W306" s="3" t="n">
        <v>0</v>
      </c>
      <c r="X306" s="3" t="n">
        <v>0</v>
      </c>
      <c r="Y306" s="3" t="n">
        <v>0</v>
      </c>
    </row>
    <row r="307" customFormat="false" ht="39.75" hidden="false" customHeight="true" outlineLevel="0" collapsed="false">
      <c r="A307" s="4" t="s">
        <v>2305</v>
      </c>
      <c r="B307" s="4" t="s">
        <v>2304</v>
      </c>
      <c r="C307" s="4" t="s">
        <v>2275</v>
      </c>
      <c r="D307" s="4" t="s">
        <v>2201</v>
      </c>
      <c r="E307" s="33" t="n">
        <f aca="false">IF(D_F01!$B$19=5,D_F01!$B$9/D_F01!$B$8*7*D_F01!$B$29,0)</f>
        <v>0</v>
      </c>
      <c r="F307" s="38" t="n">
        <f aca="false">$B$6+70</f>
        <v>46274</v>
      </c>
      <c r="G307" s="4" t="n">
        <v>0</v>
      </c>
      <c r="H307" s="4" t="s">
        <v>2271</v>
      </c>
      <c r="I307" s="4" t="n">
        <v>0</v>
      </c>
      <c r="J307" s="38" t="n">
        <f aca="false">F307+D_F01!$B$30</f>
        <v>46281</v>
      </c>
      <c r="K307" s="38" t="n">
        <f aca="false">J307</f>
        <v>46281</v>
      </c>
      <c r="L307" s="38" t="n">
        <f aca="false">J307</f>
        <v>46281</v>
      </c>
      <c r="M307" s="38"/>
      <c r="N307" s="38" t="n">
        <f aca="false">J307</f>
        <v>46281</v>
      </c>
      <c r="O307" s="4" t="s">
        <v>2272</v>
      </c>
      <c r="P307" s="4" t="s">
        <v>2273</v>
      </c>
      <c r="Q307" s="4" t="n">
        <v>0</v>
      </c>
      <c r="R307" s="38" t="n">
        <v>46203</v>
      </c>
      <c r="S307" s="4" t="str">
        <f aca="false">IF(N307&gt;$B$7,"beyond_horizon","in_horizon")</f>
        <v>in_horizon</v>
      </c>
      <c r="T307" s="4" t="n">
        <v>0</v>
      </c>
      <c r="U307" s="4" t="n">
        <v>0</v>
      </c>
      <c r="V307" s="4" t="n">
        <v>0</v>
      </c>
      <c r="W307" s="4" t="n">
        <v>0</v>
      </c>
      <c r="X307" s="4" t="n">
        <v>0</v>
      </c>
      <c r="Y307" s="4" t="n">
        <v>0</v>
      </c>
    </row>
    <row r="308" customFormat="false" ht="39.75" hidden="false" customHeight="true" outlineLevel="0" collapsed="false">
      <c r="A308" s="3" t="s">
        <v>2306</v>
      </c>
      <c r="B308" s="3" t="s">
        <v>2307</v>
      </c>
      <c r="C308" s="3" t="s">
        <v>2270</v>
      </c>
      <c r="D308" s="3" t="s">
        <v>2133</v>
      </c>
      <c r="E308" s="32" t="n">
        <f aca="false">IF(D_F01!$B$19=5,D_F01!$B$9/D_F01!$B$8*7,0)</f>
        <v>0</v>
      </c>
      <c r="F308" s="39" t="n">
        <f aca="false">$B$6+77</f>
        <v>46281</v>
      </c>
      <c r="G308" s="3" t="n">
        <v>0</v>
      </c>
      <c r="H308" s="3" t="s">
        <v>2271</v>
      </c>
      <c r="I308" s="3" t="n">
        <v>0</v>
      </c>
      <c r="J308" s="39" t="n">
        <f aca="false">F308+D_F01!$B$31+ROUNDUP(SUM(D_sales!$X$5:$X$121)/SUM(D_sales!$V$5:$V$121),0)</f>
        <v>46349</v>
      </c>
      <c r="K308" s="39" t="n">
        <f aca="false">J308</f>
        <v>46349</v>
      </c>
      <c r="L308" s="39" t="n">
        <f aca="false">J308</f>
        <v>46349</v>
      </c>
      <c r="M308" s="39"/>
      <c r="N308" s="39" t="n">
        <f aca="false">J308</f>
        <v>46349</v>
      </c>
      <c r="O308" s="3" t="s">
        <v>2272</v>
      </c>
      <c r="P308" s="3" t="s">
        <v>2273</v>
      </c>
      <c r="Q308" s="3" t="n">
        <v>0</v>
      </c>
      <c r="R308" s="39" t="n">
        <v>46203</v>
      </c>
      <c r="S308" s="3" t="str">
        <f aca="false">IF(N308&gt;$B$7,"beyond_horizon","in_horizon")</f>
        <v>beyond_horizon</v>
      </c>
      <c r="T308" s="3" t="n">
        <v>0</v>
      </c>
      <c r="U308" s="3" t="n">
        <v>0</v>
      </c>
      <c r="V308" s="3" t="n">
        <v>0</v>
      </c>
      <c r="W308" s="3" t="n">
        <v>0</v>
      </c>
      <c r="X308" s="3" t="n">
        <v>0</v>
      </c>
      <c r="Y308" s="3" t="n">
        <v>0</v>
      </c>
    </row>
    <row r="309" customFormat="false" ht="39.75" hidden="false" customHeight="true" outlineLevel="0" collapsed="false">
      <c r="A309" s="4" t="s">
        <v>2308</v>
      </c>
      <c r="B309" s="4" t="s">
        <v>2307</v>
      </c>
      <c r="C309" s="4" t="s">
        <v>2275</v>
      </c>
      <c r="D309" s="4" t="s">
        <v>2201</v>
      </c>
      <c r="E309" s="33" t="n">
        <f aca="false">IF(D_F01!$B$19=5,D_F01!$B$9/D_F01!$B$8*7*D_F01!$B$29,0)</f>
        <v>0</v>
      </c>
      <c r="F309" s="38" t="n">
        <f aca="false">$B$6+77</f>
        <v>46281</v>
      </c>
      <c r="G309" s="4" t="n">
        <v>0</v>
      </c>
      <c r="H309" s="4" t="s">
        <v>2271</v>
      </c>
      <c r="I309" s="4" t="n">
        <v>0</v>
      </c>
      <c r="J309" s="38" t="n">
        <f aca="false">F309+D_F01!$B$30</f>
        <v>46288</v>
      </c>
      <c r="K309" s="38" t="n">
        <f aca="false">J309</f>
        <v>46288</v>
      </c>
      <c r="L309" s="38" t="n">
        <f aca="false">J309</f>
        <v>46288</v>
      </c>
      <c r="M309" s="38"/>
      <c r="N309" s="38" t="n">
        <f aca="false">J309</f>
        <v>46288</v>
      </c>
      <c r="O309" s="4" t="s">
        <v>2272</v>
      </c>
      <c r="P309" s="4" t="s">
        <v>2273</v>
      </c>
      <c r="Q309" s="4" t="n">
        <v>0</v>
      </c>
      <c r="R309" s="38" t="n">
        <v>46203</v>
      </c>
      <c r="S309" s="4" t="str">
        <f aca="false">IF(N309&gt;$B$7,"beyond_horizon","in_horizon")</f>
        <v>in_horizon</v>
      </c>
      <c r="T309" s="4" t="n">
        <v>0</v>
      </c>
      <c r="U309" s="4" t="n">
        <v>0</v>
      </c>
      <c r="V309" s="4" t="n">
        <v>0</v>
      </c>
      <c r="W309" s="4" t="n">
        <v>0</v>
      </c>
      <c r="X309" s="4" t="n">
        <v>0</v>
      </c>
      <c r="Y309" s="4" t="n">
        <v>0</v>
      </c>
    </row>
    <row r="310" customFormat="false" ht="39.75" hidden="false" customHeight="true" outlineLevel="0" collapsed="false">
      <c r="A310" s="3" t="s">
        <v>2309</v>
      </c>
      <c r="B310" s="3" t="s">
        <v>2310</v>
      </c>
      <c r="C310" s="3" t="s">
        <v>2270</v>
      </c>
      <c r="D310" s="3" t="s">
        <v>2133</v>
      </c>
      <c r="E310" s="32" t="n">
        <f aca="false">IF(D_F01!$B$19=5,D_F01!$B$9/D_F01!$B$8*7,0)</f>
        <v>0</v>
      </c>
      <c r="F310" s="39" t="n">
        <f aca="false">$B$6+84</f>
        <v>46288</v>
      </c>
      <c r="G310" s="3" t="n">
        <v>0</v>
      </c>
      <c r="H310" s="3" t="s">
        <v>2271</v>
      </c>
      <c r="I310" s="3" t="n">
        <v>0</v>
      </c>
      <c r="J310" s="39" t="n">
        <f aca="false">F310+D_F01!$B$31+ROUNDUP(SUM(D_sales!$X$5:$X$121)/SUM(D_sales!$V$5:$V$121),0)</f>
        <v>46356</v>
      </c>
      <c r="K310" s="39" t="n">
        <f aca="false">J310</f>
        <v>46356</v>
      </c>
      <c r="L310" s="39" t="n">
        <f aca="false">J310</f>
        <v>46356</v>
      </c>
      <c r="M310" s="39"/>
      <c r="N310" s="39" t="n">
        <f aca="false">J310</f>
        <v>46356</v>
      </c>
      <c r="O310" s="3" t="s">
        <v>2272</v>
      </c>
      <c r="P310" s="3" t="s">
        <v>2273</v>
      </c>
      <c r="Q310" s="3" t="n">
        <v>0</v>
      </c>
      <c r="R310" s="39" t="n">
        <v>46203</v>
      </c>
      <c r="S310" s="3" t="str">
        <f aca="false">IF(N310&gt;$B$7,"beyond_horizon","in_horizon")</f>
        <v>beyond_horizon</v>
      </c>
      <c r="T310" s="3" t="n">
        <v>0</v>
      </c>
      <c r="U310" s="3" t="n">
        <v>0</v>
      </c>
      <c r="V310" s="3" t="n">
        <v>0</v>
      </c>
      <c r="W310" s="3" t="n">
        <v>0</v>
      </c>
      <c r="X310" s="3" t="n">
        <v>0</v>
      </c>
      <c r="Y310" s="3" t="n">
        <v>0</v>
      </c>
    </row>
    <row r="311" customFormat="false" ht="39.75" hidden="false" customHeight="true" outlineLevel="0" collapsed="false">
      <c r="A311" s="4" t="s">
        <v>2311</v>
      </c>
      <c r="B311" s="4" t="s">
        <v>2310</v>
      </c>
      <c r="C311" s="4" t="s">
        <v>2275</v>
      </c>
      <c r="D311" s="4" t="s">
        <v>2201</v>
      </c>
      <c r="E311" s="33" t="n">
        <f aca="false">IF(D_F01!$B$19=5,D_F01!$B$9/D_F01!$B$8*7*D_F01!$B$29,0)</f>
        <v>0</v>
      </c>
      <c r="F311" s="38" t="n">
        <f aca="false">$B$6+84</f>
        <v>46288</v>
      </c>
      <c r="G311" s="4" t="n">
        <v>0</v>
      </c>
      <c r="H311" s="4" t="s">
        <v>2271</v>
      </c>
      <c r="I311" s="4" t="n">
        <v>0</v>
      </c>
      <c r="J311" s="38" t="n">
        <f aca="false">F311+D_F01!$B$30</f>
        <v>46295</v>
      </c>
      <c r="K311" s="38" t="n">
        <f aca="false">J311</f>
        <v>46295</v>
      </c>
      <c r="L311" s="38" t="n">
        <f aca="false">J311</f>
        <v>46295</v>
      </c>
      <c r="M311" s="38"/>
      <c r="N311" s="38" t="n">
        <f aca="false">J311</f>
        <v>46295</v>
      </c>
      <c r="O311" s="4" t="s">
        <v>2272</v>
      </c>
      <c r="P311" s="4" t="s">
        <v>2273</v>
      </c>
      <c r="Q311" s="4" t="n">
        <v>0</v>
      </c>
      <c r="R311" s="38" t="n">
        <v>46203</v>
      </c>
      <c r="S311" s="4" t="str">
        <f aca="false">IF(N311&gt;$B$7,"beyond_horizon","in_horizon")</f>
        <v>beyond_horizon</v>
      </c>
      <c r="T311" s="4" t="n">
        <v>0</v>
      </c>
      <c r="U311" s="4" t="n">
        <v>0</v>
      </c>
      <c r="V311" s="4" t="n">
        <v>0</v>
      </c>
      <c r="W311" s="4" t="n">
        <v>0</v>
      </c>
      <c r="X311" s="4" t="n">
        <v>0</v>
      </c>
      <c r="Y311" s="4" t="n">
        <v>0</v>
      </c>
    </row>
    <row r="312" customFormat="false" ht="39.75" hidden="false" customHeight="true" outlineLevel="0" collapsed="false">
      <c r="A312" s="51" t="str">
        <f aca="false">D_flows!A16</f>
        <v>TRANS-F01-0013</v>
      </c>
      <c r="B312" s="51" t="str">
        <f aca="false">D_flows!H16</f>
        <v>BILL-F01-0013</v>
      </c>
      <c r="C312" s="51" t="str">
        <f aca="false">D_flows!I16</f>
        <v>Vận tải nội địa NCC5</v>
      </c>
      <c r="D312" s="51" t="str">
        <f aca="false">D_flows!C16</f>
        <v>OUT</v>
      </c>
      <c r="E312" s="33" t="n">
        <f aca="false">IF(AND(F312&gt;=$B$6,COUNTIF($B$253:$B$274,B312)=0),D_flows!F16,0)</f>
        <v>0</v>
      </c>
      <c r="F312" s="52" t="n">
        <f aca="false">D_flows!E16</f>
        <v>46052</v>
      </c>
      <c r="G312" s="4" t="n">
        <v>0</v>
      </c>
      <c r="H312" s="4" t="s">
        <v>2248</v>
      </c>
      <c r="I312" s="4" t="n">
        <v>0</v>
      </c>
      <c r="J312" s="38" t="n">
        <f aca="false">F312</f>
        <v>46052</v>
      </c>
      <c r="K312" s="38" t="n">
        <f aca="false">F312</f>
        <v>46052</v>
      </c>
      <c r="L312" s="38" t="n">
        <f aca="false">F312</f>
        <v>46052</v>
      </c>
      <c r="M312" s="38"/>
      <c r="N312" s="38" t="n">
        <f aca="false">F312</f>
        <v>46052</v>
      </c>
      <c r="O312" s="4" t="str">
        <f aca="false">IF(F312&lt;$B$6,"excluded_settled_before_as_of",IF(COUNTIF($B$253:$B$274,B312)&gt;0,"excluded_already_in_PAY_BILL","included_from_D_flows"))</f>
        <v>excluded_settled_before_as_of</v>
      </c>
      <c r="P312" s="51" t="str">
        <f aca="false">D_flows!D16</f>
        <v>Vận tải</v>
      </c>
      <c r="Q312" s="51" t="n">
        <f aca="false">D_flows!J16</f>
        <v>0</v>
      </c>
      <c r="R312" s="52" t="n">
        <f aca="false">D_flows!L16</f>
        <v>46203</v>
      </c>
      <c r="S312" s="4" t="str">
        <f aca="false">IF(N312&gt;$B$7,"beyond_horizon",IF(N312&lt;$B$6,"invalid_past","in_horizon"))</f>
        <v>invalid_past</v>
      </c>
      <c r="T312" s="4" t="n">
        <v>0</v>
      </c>
      <c r="U312" s="4" t="n">
        <v>0</v>
      </c>
      <c r="V312" s="4" t="n">
        <v>0</v>
      </c>
      <c r="W312" s="4" t="n">
        <v>0</v>
      </c>
      <c r="X312" s="4" t="n">
        <v>0</v>
      </c>
      <c r="Y312" s="4" t="n">
        <v>0</v>
      </c>
    </row>
    <row r="313" customFormat="false" ht="39.75" hidden="false" customHeight="true" outlineLevel="0" collapsed="false">
      <c r="A313" s="51" t="str">
        <f aca="false">D_flows!A17</f>
        <v>TRANS-F01-0015</v>
      </c>
      <c r="B313" s="51" t="str">
        <f aca="false">D_flows!H17</f>
        <v>BILL-F01-0015</v>
      </c>
      <c r="C313" s="51" t="str">
        <f aca="false">D_flows!I17</f>
        <v>Vận tải nội địa NCC5</v>
      </c>
      <c r="D313" s="51" t="str">
        <f aca="false">D_flows!C17</f>
        <v>OUT</v>
      </c>
      <c r="E313" s="33" t="n">
        <f aca="false">IF(AND(F313&gt;=$B$6,COUNTIF($B$253:$B$274,B313)=0),D_flows!F17,0)</f>
        <v>0</v>
      </c>
      <c r="F313" s="52" t="n">
        <f aca="false">D_flows!E17</f>
        <v>46059</v>
      </c>
      <c r="G313" s="4" t="n">
        <v>0</v>
      </c>
      <c r="H313" s="4" t="s">
        <v>2248</v>
      </c>
      <c r="I313" s="4" t="n">
        <v>0</v>
      </c>
      <c r="J313" s="38" t="n">
        <f aca="false">F313</f>
        <v>46059</v>
      </c>
      <c r="K313" s="38" t="n">
        <f aca="false">F313</f>
        <v>46059</v>
      </c>
      <c r="L313" s="38" t="n">
        <f aca="false">F313</f>
        <v>46059</v>
      </c>
      <c r="M313" s="38"/>
      <c r="N313" s="38" t="n">
        <f aca="false">F313</f>
        <v>46059</v>
      </c>
      <c r="O313" s="4" t="str">
        <f aca="false">IF(F313&lt;$B$6,"excluded_settled_before_as_of",IF(COUNTIF($B$253:$B$274,B313)&gt;0,"excluded_already_in_PAY_BILL","included_from_D_flows"))</f>
        <v>excluded_settled_before_as_of</v>
      </c>
      <c r="P313" s="51" t="str">
        <f aca="false">D_flows!D17</f>
        <v>Vận tải</v>
      </c>
      <c r="Q313" s="51" t="n">
        <f aca="false">D_flows!J17</f>
        <v>0</v>
      </c>
      <c r="R313" s="52" t="n">
        <f aca="false">D_flows!L17</f>
        <v>46203</v>
      </c>
      <c r="S313" s="4" t="str">
        <f aca="false">IF(N313&gt;$B$7,"beyond_horizon",IF(N313&lt;$B$6,"invalid_past","in_horizon"))</f>
        <v>invalid_past</v>
      </c>
      <c r="T313" s="4" t="n">
        <v>0</v>
      </c>
      <c r="U313" s="4" t="n">
        <v>0</v>
      </c>
      <c r="V313" s="4" t="n">
        <v>0</v>
      </c>
      <c r="W313" s="4" t="n">
        <v>0</v>
      </c>
      <c r="X313" s="4" t="n">
        <v>0</v>
      </c>
      <c r="Y313" s="4" t="n">
        <v>0</v>
      </c>
    </row>
    <row r="314" customFormat="false" ht="39.75" hidden="false" customHeight="true" outlineLevel="0" collapsed="false">
      <c r="A314" s="51" t="str">
        <f aca="false">D_flows!A18</f>
        <v>ELEC-F01-0018</v>
      </c>
      <c r="B314" s="51" t="str">
        <f aca="false">D_flows!H18</f>
        <v>BILL-F01-0018</v>
      </c>
      <c r="C314" s="51" t="str">
        <f aca="false">D_flows!I18</f>
        <v>Điện lực khu công nghiệp</v>
      </c>
      <c r="D314" s="51" t="str">
        <f aca="false">D_flows!C18</f>
        <v>OUT</v>
      </c>
      <c r="E314" s="33" t="n">
        <f aca="false">IF(AND(F314&gt;=$B$6,COUNTIF($B$253:$B$274,B314)=0),D_flows!F18,0)</f>
        <v>0</v>
      </c>
      <c r="F314" s="52" t="n">
        <f aca="false">D_flows!E18</f>
        <v>46061</v>
      </c>
      <c r="G314" s="4" t="n">
        <v>0</v>
      </c>
      <c r="H314" s="4" t="s">
        <v>2248</v>
      </c>
      <c r="I314" s="4" t="n">
        <v>0</v>
      </c>
      <c r="J314" s="38" t="n">
        <f aca="false">F314</f>
        <v>46061</v>
      </c>
      <c r="K314" s="38" t="n">
        <f aca="false">F314</f>
        <v>46061</v>
      </c>
      <c r="L314" s="38" t="n">
        <f aca="false">F314</f>
        <v>46061</v>
      </c>
      <c r="M314" s="38"/>
      <c r="N314" s="38" t="n">
        <f aca="false">F314</f>
        <v>46061</v>
      </c>
      <c r="O314" s="4" t="str">
        <f aca="false">IF(F314&lt;$B$6,"excluded_settled_before_as_of",IF(COUNTIF($B$253:$B$274,B314)&gt;0,"excluded_already_in_PAY_BILL","included_from_D_flows"))</f>
        <v>excluded_settled_before_as_of</v>
      </c>
      <c r="P314" s="51" t="str">
        <f aca="false">D_flows!D18</f>
        <v>Tiện ích (điện)</v>
      </c>
      <c r="Q314" s="51" t="n">
        <f aca="false">D_flows!J18</f>
        <v>1</v>
      </c>
      <c r="R314" s="52" t="n">
        <f aca="false">D_flows!L18</f>
        <v>46203</v>
      </c>
      <c r="S314" s="4" t="str">
        <f aca="false">IF(N314&gt;$B$7,"beyond_horizon",IF(N314&lt;$B$6,"invalid_past","in_horizon"))</f>
        <v>invalid_past</v>
      </c>
      <c r="T314" s="4" t="n">
        <v>0</v>
      </c>
      <c r="U314" s="4" t="n">
        <v>0</v>
      </c>
      <c r="V314" s="4" t="n">
        <v>0</v>
      </c>
      <c r="W314" s="4" t="n">
        <v>0</v>
      </c>
      <c r="X314" s="4" t="n">
        <v>0</v>
      </c>
      <c r="Y314" s="4" t="n">
        <v>0</v>
      </c>
    </row>
    <row r="315" customFormat="false" ht="39.75" hidden="false" customHeight="true" outlineLevel="0" collapsed="false">
      <c r="A315" s="51" t="str">
        <f aca="false">D_flows!A19</f>
        <v>TRANS-F01-0020</v>
      </c>
      <c r="B315" s="51" t="str">
        <f aca="false">D_flows!H19</f>
        <v>BILL-F01-0020</v>
      </c>
      <c r="C315" s="51" t="str">
        <f aca="false">D_flows!I19</f>
        <v>Vận tải nội địa NCC5</v>
      </c>
      <c r="D315" s="51" t="str">
        <f aca="false">D_flows!C19</f>
        <v>OUT</v>
      </c>
      <c r="E315" s="33" t="n">
        <f aca="false">IF(AND(F315&gt;=$B$6,COUNTIF($B$253:$B$274,B315)=0),D_flows!F19,0)</f>
        <v>0</v>
      </c>
      <c r="F315" s="52" t="n">
        <f aca="false">D_flows!E19</f>
        <v>46059</v>
      </c>
      <c r="G315" s="4" t="n">
        <v>0</v>
      </c>
      <c r="H315" s="4" t="s">
        <v>2248</v>
      </c>
      <c r="I315" s="4" t="n">
        <v>0</v>
      </c>
      <c r="J315" s="38" t="n">
        <f aca="false">F315</f>
        <v>46059</v>
      </c>
      <c r="K315" s="38" t="n">
        <f aca="false">F315</f>
        <v>46059</v>
      </c>
      <c r="L315" s="38" t="n">
        <f aca="false">F315</f>
        <v>46059</v>
      </c>
      <c r="M315" s="38"/>
      <c r="N315" s="38" t="n">
        <f aca="false">F315</f>
        <v>46059</v>
      </c>
      <c r="O315" s="4" t="str">
        <f aca="false">IF(F315&lt;$B$6,"excluded_settled_before_as_of",IF(COUNTIF($B$253:$B$274,B315)&gt;0,"excluded_already_in_PAY_BILL","included_from_D_flows"))</f>
        <v>excluded_settled_before_as_of</v>
      </c>
      <c r="P315" s="51" t="str">
        <f aca="false">D_flows!D19</f>
        <v>Vận tải</v>
      </c>
      <c r="Q315" s="51" t="n">
        <f aca="false">D_flows!J19</f>
        <v>0</v>
      </c>
      <c r="R315" s="52" t="n">
        <f aca="false">D_flows!L19</f>
        <v>46203</v>
      </c>
      <c r="S315" s="4" t="str">
        <f aca="false">IF(N315&gt;$B$7,"beyond_horizon",IF(N315&lt;$B$6,"invalid_past","in_horizon"))</f>
        <v>invalid_past</v>
      </c>
      <c r="T315" s="4" t="n">
        <v>0</v>
      </c>
      <c r="U315" s="4" t="n">
        <v>0</v>
      </c>
      <c r="V315" s="4" t="n">
        <v>0</v>
      </c>
      <c r="W315" s="4" t="n">
        <v>0</v>
      </c>
      <c r="X315" s="4" t="n">
        <v>0</v>
      </c>
      <c r="Y315" s="4" t="n">
        <v>0</v>
      </c>
    </row>
    <row r="316" customFormat="false" ht="39.75" hidden="false" customHeight="true" outlineLevel="0" collapsed="false">
      <c r="A316" s="51" t="str">
        <f aca="false">D_flows!A20</f>
        <v>TRANS-F01-0030</v>
      </c>
      <c r="B316" s="51" t="str">
        <f aca="false">D_flows!H20</f>
        <v>BILL-F01-0030</v>
      </c>
      <c r="C316" s="51" t="str">
        <f aca="false">D_flows!I20</f>
        <v>Vận tải nội địa NCC5</v>
      </c>
      <c r="D316" s="51" t="str">
        <f aca="false">D_flows!C20</f>
        <v>OUT</v>
      </c>
      <c r="E316" s="33" t="n">
        <f aca="false">IF(AND(F316&gt;=$B$6,COUNTIF($B$253:$B$274,B316)=0),D_flows!F20,0)</f>
        <v>0</v>
      </c>
      <c r="F316" s="52" t="n">
        <f aca="false">D_flows!E20</f>
        <v>46079</v>
      </c>
      <c r="G316" s="4" t="n">
        <v>0</v>
      </c>
      <c r="H316" s="4" t="s">
        <v>2248</v>
      </c>
      <c r="I316" s="4" t="n">
        <v>0</v>
      </c>
      <c r="J316" s="38" t="n">
        <f aca="false">F316</f>
        <v>46079</v>
      </c>
      <c r="K316" s="38" t="n">
        <f aca="false">F316</f>
        <v>46079</v>
      </c>
      <c r="L316" s="38" t="n">
        <f aca="false">F316</f>
        <v>46079</v>
      </c>
      <c r="M316" s="38"/>
      <c r="N316" s="38" t="n">
        <f aca="false">F316</f>
        <v>46079</v>
      </c>
      <c r="O316" s="4" t="str">
        <f aca="false">IF(F316&lt;$B$6,"excluded_settled_before_as_of",IF(COUNTIF($B$253:$B$274,B316)&gt;0,"excluded_already_in_PAY_BILL","included_from_D_flows"))</f>
        <v>excluded_settled_before_as_of</v>
      </c>
      <c r="P316" s="51" t="str">
        <f aca="false">D_flows!D20</f>
        <v>Vận tải</v>
      </c>
      <c r="Q316" s="51" t="n">
        <f aca="false">D_flows!J20</f>
        <v>0</v>
      </c>
      <c r="R316" s="52" t="n">
        <f aca="false">D_flows!L20</f>
        <v>46203</v>
      </c>
      <c r="S316" s="4" t="str">
        <f aca="false">IF(N316&gt;$B$7,"beyond_horizon",IF(N316&lt;$B$6,"invalid_past","in_horizon"))</f>
        <v>invalid_past</v>
      </c>
      <c r="T316" s="4" t="n">
        <v>0</v>
      </c>
      <c r="U316" s="4" t="n">
        <v>0</v>
      </c>
      <c r="V316" s="4" t="n">
        <v>0</v>
      </c>
      <c r="W316" s="4" t="n">
        <v>0</v>
      </c>
      <c r="X316" s="4" t="n">
        <v>0</v>
      </c>
      <c r="Y316" s="4" t="n">
        <v>0</v>
      </c>
    </row>
    <row r="317" customFormat="false" ht="39.75" hidden="false" customHeight="true" outlineLevel="0" collapsed="false">
      <c r="A317" s="51" t="str">
        <f aca="false">D_flows!A21</f>
        <v>TRANS-F01-0035</v>
      </c>
      <c r="B317" s="51" t="str">
        <f aca="false">D_flows!H21</f>
        <v>BILL-F01-0035</v>
      </c>
      <c r="C317" s="51" t="str">
        <f aca="false">D_flows!I21</f>
        <v>Vận tải nội địa NCC5</v>
      </c>
      <c r="D317" s="51" t="str">
        <f aca="false">D_flows!C21</f>
        <v>OUT</v>
      </c>
      <c r="E317" s="33" t="n">
        <f aca="false">IF(AND(F317&gt;=$B$6,COUNTIF($B$253:$B$274,B317)=0),D_flows!F21,0)</f>
        <v>0</v>
      </c>
      <c r="F317" s="52" t="n">
        <f aca="false">D_flows!E21</f>
        <v>46091</v>
      </c>
      <c r="G317" s="4" t="n">
        <v>0</v>
      </c>
      <c r="H317" s="4" t="s">
        <v>2248</v>
      </c>
      <c r="I317" s="4" t="n">
        <v>0</v>
      </c>
      <c r="J317" s="38" t="n">
        <f aca="false">F317</f>
        <v>46091</v>
      </c>
      <c r="K317" s="38" t="n">
        <f aca="false">F317</f>
        <v>46091</v>
      </c>
      <c r="L317" s="38" t="n">
        <f aca="false">F317</f>
        <v>46091</v>
      </c>
      <c r="M317" s="38"/>
      <c r="N317" s="38" t="n">
        <f aca="false">F317</f>
        <v>46091</v>
      </c>
      <c r="O317" s="4" t="str">
        <f aca="false">IF(F317&lt;$B$6,"excluded_settled_before_as_of",IF(COUNTIF($B$253:$B$274,B317)&gt;0,"excluded_already_in_PAY_BILL","included_from_D_flows"))</f>
        <v>excluded_settled_before_as_of</v>
      </c>
      <c r="P317" s="51" t="str">
        <f aca="false">D_flows!D21</f>
        <v>Vận tải</v>
      </c>
      <c r="Q317" s="51" t="n">
        <f aca="false">D_flows!J21</f>
        <v>0</v>
      </c>
      <c r="R317" s="52" t="n">
        <f aca="false">D_flows!L21</f>
        <v>46203</v>
      </c>
      <c r="S317" s="4" t="str">
        <f aca="false">IF(N317&gt;$B$7,"beyond_horizon",IF(N317&lt;$B$6,"invalid_past","in_horizon"))</f>
        <v>invalid_past</v>
      </c>
      <c r="T317" s="4" t="n">
        <v>0</v>
      </c>
      <c r="U317" s="4" t="n">
        <v>0</v>
      </c>
      <c r="V317" s="4" t="n">
        <v>0</v>
      </c>
      <c r="W317" s="4" t="n">
        <v>0</v>
      </c>
      <c r="X317" s="4" t="n">
        <v>0</v>
      </c>
      <c r="Y317" s="4" t="n">
        <v>0</v>
      </c>
    </row>
    <row r="318" customFormat="false" ht="39.75" hidden="false" customHeight="true" outlineLevel="0" collapsed="false">
      <c r="A318" s="51" t="str">
        <f aca="false">D_flows!A22</f>
        <v>ELEC-F01-0036</v>
      </c>
      <c r="B318" s="51" t="str">
        <f aca="false">D_flows!H22</f>
        <v>BILL-F01-0036</v>
      </c>
      <c r="C318" s="51" t="str">
        <f aca="false">D_flows!I22</f>
        <v>Điện lực khu công nghiệp</v>
      </c>
      <c r="D318" s="51" t="str">
        <f aca="false">D_flows!C22</f>
        <v>OUT</v>
      </c>
      <c r="E318" s="33" t="n">
        <f aca="false">IF(AND(F318&gt;=$B$6,COUNTIF($B$253:$B$274,B318)=0),D_flows!F22,0)</f>
        <v>0</v>
      </c>
      <c r="F318" s="52" t="n">
        <f aca="false">D_flows!E22</f>
        <v>46091</v>
      </c>
      <c r="G318" s="4" t="n">
        <v>0</v>
      </c>
      <c r="H318" s="4" t="s">
        <v>2248</v>
      </c>
      <c r="I318" s="4" t="n">
        <v>0</v>
      </c>
      <c r="J318" s="38" t="n">
        <f aca="false">F318</f>
        <v>46091</v>
      </c>
      <c r="K318" s="38" t="n">
        <f aca="false">F318</f>
        <v>46091</v>
      </c>
      <c r="L318" s="38" t="n">
        <f aca="false">F318</f>
        <v>46091</v>
      </c>
      <c r="M318" s="38"/>
      <c r="N318" s="38" t="n">
        <f aca="false">F318</f>
        <v>46091</v>
      </c>
      <c r="O318" s="4" t="str">
        <f aca="false">IF(F318&lt;$B$6,"excluded_settled_before_as_of",IF(COUNTIF($B$253:$B$274,B318)&gt;0,"excluded_already_in_PAY_BILL","included_from_D_flows"))</f>
        <v>excluded_settled_before_as_of</v>
      </c>
      <c r="P318" s="51" t="str">
        <f aca="false">D_flows!D22</f>
        <v>Tiện ích (điện)</v>
      </c>
      <c r="Q318" s="51" t="n">
        <f aca="false">D_flows!J22</f>
        <v>1</v>
      </c>
      <c r="R318" s="52" t="n">
        <f aca="false">D_flows!L22</f>
        <v>46203</v>
      </c>
      <c r="S318" s="4" t="str">
        <f aca="false">IF(N318&gt;$B$7,"beyond_horizon",IF(N318&lt;$B$6,"invalid_past","in_horizon"))</f>
        <v>invalid_past</v>
      </c>
      <c r="T318" s="4" t="n">
        <v>0</v>
      </c>
      <c r="U318" s="4" t="n">
        <v>0</v>
      </c>
      <c r="V318" s="4" t="n">
        <v>0</v>
      </c>
      <c r="W318" s="4" t="n">
        <v>0</v>
      </c>
      <c r="X318" s="4" t="n">
        <v>0</v>
      </c>
      <c r="Y318" s="4" t="n">
        <v>0</v>
      </c>
    </row>
    <row r="319" customFormat="false" ht="39.75" hidden="false" customHeight="true" outlineLevel="0" collapsed="false">
      <c r="A319" s="51" t="str">
        <f aca="false">D_flows!A23</f>
        <v>TRANS-F01-0037</v>
      </c>
      <c r="B319" s="51" t="str">
        <f aca="false">D_flows!H23</f>
        <v>BILL-F01-0037</v>
      </c>
      <c r="C319" s="51" t="str">
        <f aca="false">D_flows!I23</f>
        <v>Vận tải nội địa NCC5</v>
      </c>
      <c r="D319" s="51" t="str">
        <f aca="false">D_flows!C23</f>
        <v>OUT</v>
      </c>
      <c r="E319" s="33" t="n">
        <f aca="false">IF(AND(F319&gt;=$B$6,COUNTIF($B$253:$B$274,B319)=0),D_flows!F23,0)</f>
        <v>0</v>
      </c>
      <c r="F319" s="52" t="n">
        <f aca="false">D_flows!E23</f>
        <v>46094</v>
      </c>
      <c r="G319" s="4" t="n">
        <v>0</v>
      </c>
      <c r="H319" s="4" t="s">
        <v>2248</v>
      </c>
      <c r="I319" s="4" t="n">
        <v>0</v>
      </c>
      <c r="J319" s="38" t="n">
        <f aca="false">F319</f>
        <v>46094</v>
      </c>
      <c r="K319" s="38" t="n">
        <f aca="false">F319</f>
        <v>46094</v>
      </c>
      <c r="L319" s="38" t="n">
        <f aca="false">F319</f>
        <v>46094</v>
      </c>
      <c r="M319" s="38"/>
      <c r="N319" s="38" t="n">
        <f aca="false">F319</f>
        <v>46094</v>
      </c>
      <c r="O319" s="4" t="str">
        <f aca="false">IF(F319&lt;$B$6,"excluded_settled_before_as_of",IF(COUNTIF($B$253:$B$274,B319)&gt;0,"excluded_already_in_PAY_BILL","included_from_D_flows"))</f>
        <v>excluded_settled_before_as_of</v>
      </c>
      <c r="P319" s="51" t="str">
        <f aca="false">D_flows!D23</f>
        <v>Vận tải</v>
      </c>
      <c r="Q319" s="51" t="n">
        <f aca="false">D_flows!J23</f>
        <v>0</v>
      </c>
      <c r="R319" s="52" t="n">
        <f aca="false">D_flows!L23</f>
        <v>46203</v>
      </c>
      <c r="S319" s="4" t="str">
        <f aca="false">IF(N319&gt;$B$7,"beyond_horizon",IF(N319&lt;$B$6,"invalid_past","in_horizon"))</f>
        <v>invalid_past</v>
      </c>
      <c r="T319" s="4" t="n">
        <v>0</v>
      </c>
      <c r="U319" s="4" t="n">
        <v>0</v>
      </c>
      <c r="V319" s="4" t="n">
        <v>0</v>
      </c>
      <c r="W319" s="4" t="n">
        <v>0</v>
      </c>
      <c r="X319" s="4" t="n">
        <v>0</v>
      </c>
      <c r="Y319" s="4" t="n">
        <v>0</v>
      </c>
    </row>
    <row r="320" customFormat="false" ht="39.75" hidden="false" customHeight="true" outlineLevel="0" collapsed="false">
      <c r="A320" s="51" t="str">
        <f aca="false">D_flows!A24</f>
        <v>TRANS-F01-0039</v>
      </c>
      <c r="B320" s="51" t="str">
        <f aca="false">D_flows!H24</f>
        <v>BILL-F01-0039</v>
      </c>
      <c r="C320" s="51" t="str">
        <f aca="false">D_flows!I24</f>
        <v>Vận tải nội địa NCC5</v>
      </c>
      <c r="D320" s="51" t="str">
        <f aca="false">D_flows!C24</f>
        <v>OUT</v>
      </c>
      <c r="E320" s="33" t="n">
        <f aca="false">IF(AND(F320&gt;=$B$6,COUNTIF($B$253:$B$274,B320)=0),D_flows!F24,0)</f>
        <v>0</v>
      </c>
      <c r="F320" s="52" t="n">
        <f aca="false">D_flows!E24</f>
        <v>46098</v>
      </c>
      <c r="G320" s="4" t="n">
        <v>0</v>
      </c>
      <c r="H320" s="4" t="s">
        <v>2248</v>
      </c>
      <c r="I320" s="4" t="n">
        <v>0</v>
      </c>
      <c r="J320" s="38" t="n">
        <f aca="false">F320</f>
        <v>46098</v>
      </c>
      <c r="K320" s="38" t="n">
        <f aca="false">F320</f>
        <v>46098</v>
      </c>
      <c r="L320" s="38" t="n">
        <f aca="false">F320</f>
        <v>46098</v>
      </c>
      <c r="M320" s="38"/>
      <c r="N320" s="38" t="n">
        <f aca="false">F320</f>
        <v>46098</v>
      </c>
      <c r="O320" s="4" t="str">
        <f aca="false">IF(F320&lt;$B$6,"excluded_settled_before_as_of",IF(COUNTIF($B$253:$B$274,B320)&gt;0,"excluded_already_in_PAY_BILL","included_from_D_flows"))</f>
        <v>excluded_settled_before_as_of</v>
      </c>
      <c r="P320" s="51" t="str">
        <f aca="false">D_flows!D24</f>
        <v>Vận tải</v>
      </c>
      <c r="Q320" s="51" t="n">
        <f aca="false">D_flows!J24</f>
        <v>0</v>
      </c>
      <c r="R320" s="52" t="n">
        <f aca="false">D_flows!L24</f>
        <v>46203</v>
      </c>
      <c r="S320" s="4" t="str">
        <f aca="false">IF(N320&gt;$B$7,"beyond_horizon",IF(N320&lt;$B$6,"invalid_past","in_horizon"))</f>
        <v>invalid_past</v>
      </c>
      <c r="T320" s="4" t="n">
        <v>0</v>
      </c>
      <c r="U320" s="4" t="n">
        <v>0</v>
      </c>
      <c r="V320" s="4" t="n">
        <v>0</v>
      </c>
      <c r="W320" s="4" t="n">
        <v>0</v>
      </c>
      <c r="X320" s="4" t="n">
        <v>0</v>
      </c>
      <c r="Y320" s="4" t="n">
        <v>0</v>
      </c>
    </row>
    <row r="321" customFormat="false" ht="39.75" hidden="false" customHeight="true" outlineLevel="0" collapsed="false">
      <c r="A321" s="51" t="str">
        <f aca="false">D_flows!A25</f>
        <v>TRANS-F01-0042</v>
      </c>
      <c r="B321" s="51" t="str">
        <f aca="false">D_flows!H25</f>
        <v>BILL-F01-0042</v>
      </c>
      <c r="C321" s="51" t="str">
        <f aca="false">D_flows!I25</f>
        <v>Vận tải nội địa NCC5</v>
      </c>
      <c r="D321" s="51" t="str">
        <f aca="false">D_flows!C25</f>
        <v>OUT</v>
      </c>
      <c r="E321" s="33" t="n">
        <f aca="false">IF(AND(F321&gt;=$B$6,COUNTIF($B$253:$B$274,B321)=0),D_flows!F25,0)</f>
        <v>0</v>
      </c>
      <c r="F321" s="52" t="n">
        <f aca="false">D_flows!E25</f>
        <v>46099</v>
      </c>
      <c r="G321" s="4" t="n">
        <v>0</v>
      </c>
      <c r="H321" s="4" t="s">
        <v>2248</v>
      </c>
      <c r="I321" s="4" t="n">
        <v>0</v>
      </c>
      <c r="J321" s="38" t="n">
        <f aca="false">F321</f>
        <v>46099</v>
      </c>
      <c r="K321" s="38" t="n">
        <f aca="false">F321</f>
        <v>46099</v>
      </c>
      <c r="L321" s="38" t="n">
        <f aca="false">F321</f>
        <v>46099</v>
      </c>
      <c r="M321" s="38"/>
      <c r="N321" s="38" t="n">
        <f aca="false">F321</f>
        <v>46099</v>
      </c>
      <c r="O321" s="4" t="str">
        <f aca="false">IF(F321&lt;$B$6,"excluded_settled_before_as_of",IF(COUNTIF($B$253:$B$274,B321)&gt;0,"excluded_already_in_PAY_BILL","included_from_D_flows"))</f>
        <v>excluded_settled_before_as_of</v>
      </c>
      <c r="P321" s="51" t="str">
        <f aca="false">D_flows!D25</f>
        <v>Vận tải</v>
      </c>
      <c r="Q321" s="51" t="n">
        <f aca="false">D_flows!J25</f>
        <v>0</v>
      </c>
      <c r="R321" s="52" t="n">
        <f aca="false">D_flows!L25</f>
        <v>46203</v>
      </c>
      <c r="S321" s="4" t="str">
        <f aca="false">IF(N321&gt;$B$7,"beyond_horizon",IF(N321&lt;$B$6,"invalid_past","in_horizon"))</f>
        <v>invalid_past</v>
      </c>
      <c r="T321" s="4" t="n">
        <v>0</v>
      </c>
      <c r="U321" s="4" t="n">
        <v>0</v>
      </c>
      <c r="V321" s="4" t="n">
        <v>0</v>
      </c>
      <c r="W321" s="4" t="n">
        <v>0</v>
      </c>
      <c r="X321" s="4" t="n">
        <v>0</v>
      </c>
      <c r="Y321" s="4" t="n">
        <v>0</v>
      </c>
    </row>
    <row r="322" customFormat="false" ht="39.75" hidden="false" customHeight="true" outlineLevel="0" collapsed="false">
      <c r="A322" s="51" t="str">
        <f aca="false">D_flows!A26</f>
        <v>TRANS-F01-0043</v>
      </c>
      <c r="B322" s="51" t="str">
        <f aca="false">D_flows!H26</f>
        <v>BILL-F01-0043</v>
      </c>
      <c r="C322" s="51" t="str">
        <f aca="false">D_flows!I26</f>
        <v>Vận tải nội địa NCC5</v>
      </c>
      <c r="D322" s="51" t="str">
        <f aca="false">D_flows!C26</f>
        <v>OUT</v>
      </c>
      <c r="E322" s="33" t="n">
        <f aca="false">IF(AND(F322&gt;=$B$6,COUNTIF($B$253:$B$274,B322)=0),D_flows!F26,0)</f>
        <v>0</v>
      </c>
      <c r="F322" s="52" t="n">
        <f aca="false">D_flows!E26</f>
        <v>46101</v>
      </c>
      <c r="G322" s="4" t="n">
        <v>0</v>
      </c>
      <c r="H322" s="4" t="s">
        <v>2248</v>
      </c>
      <c r="I322" s="4" t="n">
        <v>0</v>
      </c>
      <c r="J322" s="38" t="n">
        <f aca="false">F322</f>
        <v>46101</v>
      </c>
      <c r="K322" s="38" t="n">
        <f aca="false">F322</f>
        <v>46101</v>
      </c>
      <c r="L322" s="38" t="n">
        <f aca="false">F322</f>
        <v>46101</v>
      </c>
      <c r="M322" s="38"/>
      <c r="N322" s="38" t="n">
        <f aca="false">F322</f>
        <v>46101</v>
      </c>
      <c r="O322" s="4" t="str">
        <f aca="false">IF(F322&lt;$B$6,"excluded_settled_before_as_of",IF(COUNTIF($B$253:$B$274,B322)&gt;0,"excluded_already_in_PAY_BILL","included_from_D_flows"))</f>
        <v>excluded_settled_before_as_of</v>
      </c>
      <c r="P322" s="51" t="str">
        <f aca="false">D_flows!D26</f>
        <v>Vận tải</v>
      </c>
      <c r="Q322" s="51" t="n">
        <f aca="false">D_flows!J26</f>
        <v>0</v>
      </c>
      <c r="R322" s="52" t="n">
        <f aca="false">D_flows!L26</f>
        <v>46203</v>
      </c>
      <c r="S322" s="4" t="str">
        <f aca="false">IF(N322&gt;$B$7,"beyond_horizon",IF(N322&lt;$B$6,"invalid_past","in_horizon"))</f>
        <v>invalid_past</v>
      </c>
      <c r="T322" s="4" t="n">
        <v>0</v>
      </c>
      <c r="U322" s="4" t="n">
        <v>0</v>
      </c>
      <c r="V322" s="4" t="n">
        <v>0</v>
      </c>
      <c r="W322" s="4" t="n">
        <v>0</v>
      </c>
      <c r="X322" s="4" t="n">
        <v>0</v>
      </c>
      <c r="Y322" s="4" t="n">
        <v>0</v>
      </c>
    </row>
    <row r="323" customFormat="false" ht="39.75" hidden="false" customHeight="true" outlineLevel="0" collapsed="false">
      <c r="A323" s="51" t="str">
        <f aca="false">D_flows!A27</f>
        <v>TRANS-F01-0047</v>
      </c>
      <c r="B323" s="51" t="str">
        <f aca="false">D_flows!H27</f>
        <v>BILL-F01-0047</v>
      </c>
      <c r="C323" s="51" t="str">
        <f aca="false">D_flows!I27</f>
        <v>Vận tải nội địa NCC5</v>
      </c>
      <c r="D323" s="51" t="str">
        <f aca="false">D_flows!C27</f>
        <v>OUT</v>
      </c>
      <c r="E323" s="33" t="n">
        <f aca="false">IF(AND(F323&gt;=$B$6,COUNTIF($B$253:$B$274,B323)=0),D_flows!F27,0)</f>
        <v>0</v>
      </c>
      <c r="F323" s="52" t="n">
        <f aca="false">D_flows!E27</f>
        <v>46106</v>
      </c>
      <c r="G323" s="4" t="n">
        <v>0</v>
      </c>
      <c r="H323" s="4" t="s">
        <v>2248</v>
      </c>
      <c r="I323" s="4" t="n">
        <v>0</v>
      </c>
      <c r="J323" s="38" t="n">
        <f aca="false">F323</f>
        <v>46106</v>
      </c>
      <c r="K323" s="38" t="n">
        <f aca="false">F323</f>
        <v>46106</v>
      </c>
      <c r="L323" s="38" t="n">
        <f aca="false">F323</f>
        <v>46106</v>
      </c>
      <c r="M323" s="38"/>
      <c r="N323" s="38" t="n">
        <f aca="false">F323</f>
        <v>46106</v>
      </c>
      <c r="O323" s="4" t="str">
        <f aca="false">IF(F323&lt;$B$6,"excluded_settled_before_as_of",IF(COUNTIF($B$253:$B$274,B323)&gt;0,"excluded_already_in_PAY_BILL","included_from_D_flows"))</f>
        <v>excluded_settled_before_as_of</v>
      </c>
      <c r="P323" s="51" t="str">
        <f aca="false">D_flows!D27</f>
        <v>Vận tải</v>
      </c>
      <c r="Q323" s="51" t="n">
        <f aca="false">D_flows!J27</f>
        <v>0</v>
      </c>
      <c r="R323" s="52" t="n">
        <f aca="false">D_flows!L27</f>
        <v>46203</v>
      </c>
      <c r="S323" s="4" t="str">
        <f aca="false">IF(N323&gt;$B$7,"beyond_horizon",IF(N323&lt;$B$6,"invalid_past","in_horizon"))</f>
        <v>invalid_past</v>
      </c>
      <c r="T323" s="4" t="n">
        <v>0</v>
      </c>
      <c r="U323" s="4" t="n">
        <v>0</v>
      </c>
      <c r="V323" s="4" t="n">
        <v>0</v>
      </c>
      <c r="W323" s="4" t="n">
        <v>0</v>
      </c>
      <c r="X323" s="4" t="n">
        <v>0</v>
      </c>
      <c r="Y323" s="4" t="n">
        <v>0</v>
      </c>
    </row>
    <row r="324" customFormat="false" ht="39.75" hidden="false" customHeight="true" outlineLevel="0" collapsed="false">
      <c r="A324" s="51" t="str">
        <f aca="false">D_flows!A28</f>
        <v>TRANS-F01-0051</v>
      </c>
      <c r="B324" s="51" t="str">
        <f aca="false">D_flows!H28</f>
        <v>BILL-F01-0051</v>
      </c>
      <c r="C324" s="51" t="str">
        <f aca="false">D_flows!I28</f>
        <v>Vận tải nội địa NCC5</v>
      </c>
      <c r="D324" s="51" t="str">
        <f aca="false">D_flows!C28</f>
        <v>OUT</v>
      </c>
      <c r="E324" s="33" t="n">
        <f aca="false">IF(AND(F324&gt;=$B$6,COUNTIF($B$253:$B$274,B324)=0),D_flows!F28,0)</f>
        <v>0</v>
      </c>
      <c r="F324" s="52" t="n">
        <f aca="false">D_flows!E28</f>
        <v>46112</v>
      </c>
      <c r="G324" s="4" t="n">
        <v>0</v>
      </c>
      <c r="H324" s="4" t="s">
        <v>2248</v>
      </c>
      <c r="I324" s="4" t="n">
        <v>0</v>
      </c>
      <c r="J324" s="38" t="n">
        <f aca="false">F324</f>
        <v>46112</v>
      </c>
      <c r="K324" s="38" t="n">
        <f aca="false">F324</f>
        <v>46112</v>
      </c>
      <c r="L324" s="38" t="n">
        <f aca="false">F324</f>
        <v>46112</v>
      </c>
      <c r="M324" s="38"/>
      <c r="N324" s="38" t="n">
        <f aca="false">F324</f>
        <v>46112</v>
      </c>
      <c r="O324" s="4" t="str">
        <f aca="false">IF(F324&lt;$B$6,"excluded_settled_before_as_of",IF(COUNTIF($B$253:$B$274,B324)&gt;0,"excluded_already_in_PAY_BILL","included_from_D_flows"))</f>
        <v>excluded_settled_before_as_of</v>
      </c>
      <c r="P324" s="51" t="str">
        <f aca="false">D_flows!D28</f>
        <v>Vận tải</v>
      </c>
      <c r="Q324" s="51" t="n">
        <f aca="false">D_flows!J28</f>
        <v>0</v>
      </c>
      <c r="R324" s="52" t="n">
        <f aca="false">D_flows!L28</f>
        <v>46203</v>
      </c>
      <c r="S324" s="4" t="str">
        <f aca="false">IF(N324&gt;$B$7,"beyond_horizon",IF(N324&lt;$B$6,"invalid_past","in_horizon"))</f>
        <v>invalid_past</v>
      </c>
      <c r="T324" s="4" t="n">
        <v>0</v>
      </c>
      <c r="U324" s="4" t="n">
        <v>0</v>
      </c>
      <c r="V324" s="4" t="n">
        <v>0</v>
      </c>
      <c r="W324" s="4" t="n">
        <v>0</v>
      </c>
      <c r="X324" s="4" t="n">
        <v>0</v>
      </c>
      <c r="Y324" s="4" t="n">
        <v>0</v>
      </c>
    </row>
    <row r="325" customFormat="false" ht="39.75" hidden="false" customHeight="true" outlineLevel="0" collapsed="false">
      <c r="A325" s="51" t="str">
        <f aca="false">D_flows!A29</f>
        <v>TRANS-F01-0054</v>
      </c>
      <c r="B325" s="51" t="str">
        <f aca="false">D_flows!H29</f>
        <v>BILL-F01-0054</v>
      </c>
      <c r="C325" s="51" t="str">
        <f aca="false">D_flows!I29</f>
        <v>Vận tải nội địa NCC5</v>
      </c>
      <c r="D325" s="51" t="str">
        <f aca="false">D_flows!C29</f>
        <v>OUT</v>
      </c>
      <c r="E325" s="33" t="n">
        <f aca="false">IF(AND(F325&gt;=$B$6,COUNTIF($B$253:$B$274,B325)=0),D_flows!F29,0)</f>
        <v>0</v>
      </c>
      <c r="F325" s="52" t="n">
        <f aca="false">D_flows!E29</f>
        <v>46113</v>
      </c>
      <c r="G325" s="4" t="n">
        <v>0</v>
      </c>
      <c r="H325" s="4" t="s">
        <v>2248</v>
      </c>
      <c r="I325" s="4" t="n">
        <v>0</v>
      </c>
      <c r="J325" s="38" t="n">
        <f aca="false">F325</f>
        <v>46113</v>
      </c>
      <c r="K325" s="38" t="n">
        <f aca="false">F325</f>
        <v>46113</v>
      </c>
      <c r="L325" s="38" t="n">
        <f aca="false">F325</f>
        <v>46113</v>
      </c>
      <c r="M325" s="38"/>
      <c r="N325" s="38" t="n">
        <f aca="false">F325</f>
        <v>46113</v>
      </c>
      <c r="O325" s="4" t="str">
        <f aca="false">IF(F325&lt;$B$6,"excluded_settled_before_as_of",IF(COUNTIF($B$253:$B$274,B325)&gt;0,"excluded_already_in_PAY_BILL","included_from_D_flows"))</f>
        <v>excluded_settled_before_as_of</v>
      </c>
      <c r="P325" s="51" t="str">
        <f aca="false">D_flows!D29</f>
        <v>Vận tải</v>
      </c>
      <c r="Q325" s="51" t="n">
        <f aca="false">D_flows!J29</f>
        <v>0</v>
      </c>
      <c r="R325" s="52" t="n">
        <f aca="false">D_flows!L29</f>
        <v>46203</v>
      </c>
      <c r="S325" s="4" t="str">
        <f aca="false">IF(N325&gt;$B$7,"beyond_horizon",IF(N325&lt;$B$6,"invalid_past","in_horizon"))</f>
        <v>invalid_past</v>
      </c>
      <c r="T325" s="4" t="n">
        <v>0</v>
      </c>
      <c r="U325" s="4" t="n">
        <v>0</v>
      </c>
      <c r="V325" s="4" t="n">
        <v>0</v>
      </c>
      <c r="W325" s="4" t="n">
        <v>0</v>
      </c>
      <c r="X325" s="4" t="n">
        <v>0</v>
      </c>
      <c r="Y325" s="4" t="n">
        <v>0</v>
      </c>
    </row>
    <row r="326" customFormat="false" ht="39.75" hidden="false" customHeight="true" outlineLevel="0" collapsed="false">
      <c r="A326" s="51" t="str">
        <f aca="false">D_flows!A30</f>
        <v>ELEC-F01-0060</v>
      </c>
      <c r="B326" s="51" t="str">
        <f aca="false">D_flows!H30</f>
        <v>BILL-F01-0060</v>
      </c>
      <c r="C326" s="51" t="str">
        <f aca="false">D_flows!I30</f>
        <v>Điện lực khu công nghiệp</v>
      </c>
      <c r="D326" s="51" t="str">
        <f aca="false">D_flows!C30</f>
        <v>OUT</v>
      </c>
      <c r="E326" s="33" t="n">
        <f aca="false">IF(AND(F326&gt;=$B$6,COUNTIF($B$253:$B$274,B326)=0),D_flows!F30,0)</f>
        <v>0</v>
      </c>
      <c r="F326" s="52" t="n">
        <f aca="false">D_flows!E30</f>
        <v>46125</v>
      </c>
      <c r="G326" s="4" t="n">
        <v>0</v>
      </c>
      <c r="H326" s="4" t="s">
        <v>2248</v>
      </c>
      <c r="I326" s="4" t="n">
        <v>0</v>
      </c>
      <c r="J326" s="38" t="n">
        <f aca="false">F326</f>
        <v>46125</v>
      </c>
      <c r="K326" s="38" t="n">
        <f aca="false">F326</f>
        <v>46125</v>
      </c>
      <c r="L326" s="38" t="n">
        <f aca="false">F326</f>
        <v>46125</v>
      </c>
      <c r="M326" s="38"/>
      <c r="N326" s="38" t="n">
        <f aca="false">F326</f>
        <v>46125</v>
      </c>
      <c r="O326" s="4" t="str">
        <f aca="false">IF(F326&lt;$B$6,"excluded_settled_before_as_of",IF(COUNTIF($B$253:$B$274,B326)&gt;0,"excluded_already_in_PAY_BILL","included_from_D_flows"))</f>
        <v>excluded_settled_before_as_of</v>
      </c>
      <c r="P326" s="51" t="str">
        <f aca="false">D_flows!D30</f>
        <v>Tiện ích (điện)</v>
      </c>
      <c r="Q326" s="51" t="n">
        <f aca="false">D_flows!J30</f>
        <v>1</v>
      </c>
      <c r="R326" s="52" t="n">
        <f aca="false">D_flows!L30</f>
        <v>46203</v>
      </c>
      <c r="S326" s="4" t="str">
        <f aca="false">IF(N326&gt;$B$7,"beyond_horizon",IF(N326&lt;$B$6,"invalid_past","in_horizon"))</f>
        <v>invalid_past</v>
      </c>
      <c r="T326" s="4" t="n">
        <v>0</v>
      </c>
      <c r="U326" s="4" t="n">
        <v>0</v>
      </c>
      <c r="V326" s="4" t="n">
        <v>0</v>
      </c>
      <c r="W326" s="4" t="n">
        <v>0</v>
      </c>
      <c r="X326" s="4" t="n">
        <v>0</v>
      </c>
      <c r="Y326" s="4" t="n">
        <v>0</v>
      </c>
    </row>
    <row r="327" customFormat="false" ht="39.75" hidden="false" customHeight="true" outlineLevel="0" collapsed="false">
      <c r="A327" s="51" t="str">
        <f aca="false">D_flows!A31</f>
        <v>TRANS-F01-0066</v>
      </c>
      <c r="B327" s="51" t="str">
        <f aca="false">D_flows!H31</f>
        <v>BILL-F01-0066</v>
      </c>
      <c r="C327" s="51" t="str">
        <f aca="false">D_flows!I31</f>
        <v>Vận tải nội địa NCC5</v>
      </c>
      <c r="D327" s="51" t="str">
        <f aca="false">D_flows!C31</f>
        <v>OUT</v>
      </c>
      <c r="E327" s="33" t="n">
        <f aca="false">IF(AND(F327&gt;=$B$6,COUNTIF($B$253:$B$274,B327)=0),D_flows!F31,0)</f>
        <v>0</v>
      </c>
      <c r="F327" s="52" t="n">
        <f aca="false">D_flows!E31</f>
        <v>46130</v>
      </c>
      <c r="G327" s="4" t="n">
        <v>0</v>
      </c>
      <c r="H327" s="4" t="s">
        <v>2248</v>
      </c>
      <c r="I327" s="4" t="n">
        <v>0</v>
      </c>
      <c r="J327" s="38" t="n">
        <f aca="false">F327</f>
        <v>46130</v>
      </c>
      <c r="K327" s="38" t="n">
        <f aca="false">F327</f>
        <v>46130</v>
      </c>
      <c r="L327" s="38" t="n">
        <f aca="false">F327</f>
        <v>46130</v>
      </c>
      <c r="M327" s="38"/>
      <c r="N327" s="38" t="n">
        <f aca="false">F327</f>
        <v>46130</v>
      </c>
      <c r="O327" s="4" t="str">
        <f aca="false">IF(F327&lt;$B$6,"excluded_settled_before_as_of",IF(COUNTIF($B$253:$B$274,B327)&gt;0,"excluded_already_in_PAY_BILL","included_from_D_flows"))</f>
        <v>excluded_settled_before_as_of</v>
      </c>
      <c r="P327" s="51" t="str">
        <f aca="false">D_flows!D31</f>
        <v>Vận tải</v>
      </c>
      <c r="Q327" s="51" t="n">
        <f aca="false">D_flows!J31</f>
        <v>0</v>
      </c>
      <c r="R327" s="52" t="n">
        <f aca="false">D_flows!L31</f>
        <v>46203</v>
      </c>
      <c r="S327" s="4" t="str">
        <f aca="false">IF(N327&gt;$B$7,"beyond_horizon",IF(N327&lt;$B$6,"invalid_past","in_horizon"))</f>
        <v>invalid_past</v>
      </c>
      <c r="T327" s="4" t="n">
        <v>0</v>
      </c>
      <c r="U327" s="4" t="n">
        <v>0</v>
      </c>
      <c r="V327" s="4" t="n">
        <v>0</v>
      </c>
      <c r="W327" s="4" t="n">
        <v>0</v>
      </c>
      <c r="X327" s="4" t="n">
        <v>0</v>
      </c>
      <c r="Y327" s="4" t="n">
        <v>0</v>
      </c>
    </row>
    <row r="328" customFormat="false" ht="39.75" hidden="false" customHeight="true" outlineLevel="0" collapsed="false">
      <c r="A328" s="51" t="str">
        <f aca="false">D_flows!A32</f>
        <v>TRANS-F01-0078</v>
      </c>
      <c r="B328" s="51" t="str">
        <f aca="false">D_flows!H32</f>
        <v>BILL-F01-0078</v>
      </c>
      <c r="C328" s="51" t="str">
        <f aca="false">D_flows!I32</f>
        <v>Vận tải nội địa NCC5</v>
      </c>
      <c r="D328" s="51" t="str">
        <f aca="false">D_flows!C32</f>
        <v>OUT</v>
      </c>
      <c r="E328" s="33" t="n">
        <f aca="false">IF(AND(F328&gt;=$B$6,COUNTIF($B$253:$B$274,B328)=0),D_flows!F32,0)</f>
        <v>0</v>
      </c>
      <c r="F328" s="52" t="n">
        <f aca="false">D_flows!E32</f>
        <v>46146</v>
      </c>
      <c r="G328" s="4" t="n">
        <v>0</v>
      </c>
      <c r="H328" s="4" t="s">
        <v>2248</v>
      </c>
      <c r="I328" s="4" t="n">
        <v>0</v>
      </c>
      <c r="J328" s="38" t="n">
        <f aca="false">F328</f>
        <v>46146</v>
      </c>
      <c r="K328" s="38" t="n">
        <f aca="false">F328</f>
        <v>46146</v>
      </c>
      <c r="L328" s="38" t="n">
        <f aca="false">F328</f>
        <v>46146</v>
      </c>
      <c r="M328" s="38"/>
      <c r="N328" s="38" t="n">
        <f aca="false">F328</f>
        <v>46146</v>
      </c>
      <c r="O328" s="4" t="str">
        <f aca="false">IF(F328&lt;$B$6,"excluded_settled_before_as_of",IF(COUNTIF($B$253:$B$274,B328)&gt;0,"excluded_already_in_PAY_BILL","included_from_D_flows"))</f>
        <v>excluded_settled_before_as_of</v>
      </c>
      <c r="P328" s="51" t="str">
        <f aca="false">D_flows!D32</f>
        <v>Vận tải</v>
      </c>
      <c r="Q328" s="51" t="n">
        <f aca="false">D_flows!J32</f>
        <v>0</v>
      </c>
      <c r="R328" s="52" t="n">
        <f aca="false">D_flows!L32</f>
        <v>46203</v>
      </c>
      <c r="S328" s="4" t="str">
        <f aca="false">IF(N328&gt;$B$7,"beyond_horizon",IF(N328&lt;$B$6,"invalid_past","in_horizon"))</f>
        <v>invalid_past</v>
      </c>
      <c r="T328" s="4" t="n">
        <v>0</v>
      </c>
      <c r="U328" s="4" t="n">
        <v>0</v>
      </c>
      <c r="V328" s="4" t="n">
        <v>0</v>
      </c>
      <c r="W328" s="4" t="n">
        <v>0</v>
      </c>
      <c r="X328" s="4" t="n">
        <v>0</v>
      </c>
      <c r="Y328" s="4" t="n">
        <v>0</v>
      </c>
    </row>
    <row r="329" customFormat="false" ht="39.75" hidden="false" customHeight="true" outlineLevel="0" collapsed="false">
      <c r="A329" s="51" t="str">
        <f aca="false">D_flows!A33</f>
        <v>ELEC-F01-0084</v>
      </c>
      <c r="B329" s="51" t="str">
        <f aca="false">D_flows!H33</f>
        <v>BILL-F01-0084</v>
      </c>
      <c r="C329" s="51" t="str">
        <f aca="false">D_flows!I33</f>
        <v>Điện lực khu công nghiệp</v>
      </c>
      <c r="D329" s="51" t="str">
        <f aca="false">D_flows!C33</f>
        <v>OUT</v>
      </c>
      <c r="E329" s="33" t="n">
        <f aca="false">IF(AND(F329&gt;=$B$6,COUNTIF($B$253:$B$274,B329)=0),D_flows!F33,0)</f>
        <v>0</v>
      </c>
      <c r="F329" s="52" t="n">
        <f aca="false">D_flows!E33</f>
        <v>46155</v>
      </c>
      <c r="G329" s="4" t="n">
        <v>0</v>
      </c>
      <c r="H329" s="4" t="s">
        <v>2248</v>
      </c>
      <c r="I329" s="4" t="n">
        <v>0</v>
      </c>
      <c r="J329" s="38" t="n">
        <f aca="false">F329</f>
        <v>46155</v>
      </c>
      <c r="K329" s="38" t="n">
        <f aca="false">F329</f>
        <v>46155</v>
      </c>
      <c r="L329" s="38" t="n">
        <f aca="false">F329</f>
        <v>46155</v>
      </c>
      <c r="M329" s="38"/>
      <c r="N329" s="38" t="n">
        <f aca="false">F329</f>
        <v>46155</v>
      </c>
      <c r="O329" s="4" t="str">
        <f aca="false">IF(F329&lt;$B$6,"excluded_settled_before_as_of",IF(COUNTIF($B$253:$B$274,B329)&gt;0,"excluded_already_in_PAY_BILL","included_from_D_flows"))</f>
        <v>excluded_settled_before_as_of</v>
      </c>
      <c r="P329" s="51" t="str">
        <f aca="false">D_flows!D33</f>
        <v>Tiện ích (điện)</v>
      </c>
      <c r="Q329" s="51" t="n">
        <f aca="false">D_flows!J33</f>
        <v>1</v>
      </c>
      <c r="R329" s="52" t="n">
        <f aca="false">D_flows!L33</f>
        <v>46203</v>
      </c>
      <c r="S329" s="4" t="str">
        <f aca="false">IF(N329&gt;$B$7,"beyond_horizon",IF(N329&lt;$B$6,"invalid_past","in_horizon"))</f>
        <v>invalid_past</v>
      </c>
      <c r="T329" s="4" t="n">
        <v>0</v>
      </c>
      <c r="U329" s="4" t="n">
        <v>0</v>
      </c>
      <c r="V329" s="4" t="n">
        <v>0</v>
      </c>
      <c r="W329" s="4" t="n">
        <v>0</v>
      </c>
      <c r="X329" s="4" t="n">
        <v>0</v>
      </c>
      <c r="Y329" s="4" t="n">
        <v>0</v>
      </c>
    </row>
    <row r="330" customFormat="false" ht="39.75" hidden="false" customHeight="true" outlineLevel="0" collapsed="false">
      <c r="A330" s="51" t="str">
        <f aca="false">D_flows!A34</f>
        <v>TRANS-F01-0087</v>
      </c>
      <c r="B330" s="51" t="str">
        <f aca="false">D_flows!H34</f>
        <v>BILL-F01-0087</v>
      </c>
      <c r="C330" s="51" t="str">
        <f aca="false">D_flows!I34</f>
        <v>Vận tải nội địa NCC5</v>
      </c>
      <c r="D330" s="51" t="str">
        <f aca="false">D_flows!C34</f>
        <v>OUT</v>
      </c>
      <c r="E330" s="33" t="n">
        <f aca="false">IF(AND(F330&gt;=$B$6,COUNTIF($B$253:$B$274,B330)=0),D_flows!F34,0)</f>
        <v>0</v>
      </c>
      <c r="F330" s="52" t="n">
        <f aca="false">D_flows!E34</f>
        <v>46155</v>
      </c>
      <c r="G330" s="4" t="n">
        <v>0</v>
      </c>
      <c r="H330" s="4" t="s">
        <v>2248</v>
      </c>
      <c r="I330" s="4" t="n">
        <v>0</v>
      </c>
      <c r="J330" s="38" t="n">
        <f aca="false">F330</f>
        <v>46155</v>
      </c>
      <c r="K330" s="38" t="n">
        <f aca="false">F330</f>
        <v>46155</v>
      </c>
      <c r="L330" s="38" t="n">
        <f aca="false">F330</f>
        <v>46155</v>
      </c>
      <c r="M330" s="38"/>
      <c r="N330" s="38" t="n">
        <f aca="false">F330</f>
        <v>46155</v>
      </c>
      <c r="O330" s="4" t="str">
        <f aca="false">IF(F330&lt;$B$6,"excluded_settled_before_as_of",IF(COUNTIF($B$253:$B$274,B330)&gt;0,"excluded_already_in_PAY_BILL","included_from_D_flows"))</f>
        <v>excluded_settled_before_as_of</v>
      </c>
      <c r="P330" s="51" t="str">
        <f aca="false">D_flows!D34</f>
        <v>Vận tải</v>
      </c>
      <c r="Q330" s="51" t="n">
        <f aca="false">D_flows!J34</f>
        <v>0</v>
      </c>
      <c r="R330" s="52" t="n">
        <f aca="false">D_flows!L34</f>
        <v>46203</v>
      </c>
      <c r="S330" s="4" t="str">
        <f aca="false">IF(N330&gt;$B$7,"beyond_horizon",IF(N330&lt;$B$6,"invalid_past","in_horizon"))</f>
        <v>invalid_past</v>
      </c>
      <c r="T330" s="4" t="n">
        <v>0</v>
      </c>
      <c r="U330" s="4" t="n">
        <v>0</v>
      </c>
      <c r="V330" s="4" t="n">
        <v>0</v>
      </c>
      <c r="W330" s="4" t="n">
        <v>0</v>
      </c>
      <c r="X330" s="4" t="n">
        <v>0</v>
      </c>
      <c r="Y330" s="4" t="n">
        <v>0</v>
      </c>
    </row>
    <row r="331" customFormat="false" ht="39.75" hidden="false" customHeight="true" outlineLevel="0" collapsed="false">
      <c r="A331" s="51" t="str">
        <f aca="false">D_flows!A35</f>
        <v>TRANS-F01-0098</v>
      </c>
      <c r="B331" s="51" t="str">
        <f aca="false">D_flows!H35</f>
        <v>BILL-F01-0098</v>
      </c>
      <c r="C331" s="51" t="str">
        <f aca="false">D_flows!I35</f>
        <v>Vận tải nội địa NCC5</v>
      </c>
      <c r="D331" s="51" t="str">
        <f aca="false">D_flows!C35</f>
        <v>OUT</v>
      </c>
      <c r="E331" s="33" t="n">
        <f aca="false">IF(AND(F331&gt;=$B$6,COUNTIF($B$253:$B$274,B331)=0),D_flows!F35,0)</f>
        <v>0</v>
      </c>
      <c r="F331" s="52" t="n">
        <f aca="false">D_flows!E35</f>
        <v>46170</v>
      </c>
      <c r="G331" s="4" t="n">
        <v>0</v>
      </c>
      <c r="H331" s="4" t="s">
        <v>2248</v>
      </c>
      <c r="I331" s="4" t="n">
        <v>0</v>
      </c>
      <c r="J331" s="38" t="n">
        <f aca="false">F331</f>
        <v>46170</v>
      </c>
      <c r="K331" s="38" t="n">
        <f aca="false">F331</f>
        <v>46170</v>
      </c>
      <c r="L331" s="38" t="n">
        <f aca="false">F331</f>
        <v>46170</v>
      </c>
      <c r="M331" s="38"/>
      <c r="N331" s="38" t="n">
        <f aca="false">F331</f>
        <v>46170</v>
      </c>
      <c r="O331" s="4" t="str">
        <f aca="false">IF(F331&lt;$B$6,"excluded_settled_before_as_of",IF(COUNTIF($B$253:$B$274,B331)&gt;0,"excluded_already_in_PAY_BILL","included_from_D_flows"))</f>
        <v>excluded_settled_before_as_of</v>
      </c>
      <c r="P331" s="51" t="str">
        <f aca="false">D_flows!D35</f>
        <v>Vận tải</v>
      </c>
      <c r="Q331" s="51" t="n">
        <f aca="false">D_flows!J35</f>
        <v>0</v>
      </c>
      <c r="R331" s="52" t="n">
        <f aca="false">D_flows!L35</f>
        <v>46203</v>
      </c>
      <c r="S331" s="4" t="str">
        <f aca="false">IF(N331&gt;$B$7,"beyond_horizon",IF(N331&lt;$B$6,"invalid_past","in_horizon"))</f>
        <v>invalid_past</v>
      </c>
      <c r="T331" s="4" t="n">
        <v>0</v>
      </c>
      <c r="U331" s="4" t="n">
        <v>0</v>
      </c>
      <c r="V331" s="4" t="n">
        <v>0</v>
      </c>
      <c r="W331" s="4" t="n">
        <v>0</v>
      </c>
      <c r="X331" s="4" t="n">
        <v>0</v>
      </c>
      <c r="Y331" s="4" t="n">
        <v>0</v>
      </c>
    </row>
    <row r="332" customFormat="false" ht="39.75" hidden="false" customHeight="true" outlineLevel="0" collapsed="false">
      <c r="A332" s="51" t="str">
        <f aca="false">D_flows!A36</f>
        <v>TRANS-F01-0101</v>
      </c>
      <c r="B332" s="51" t="str">
        <f aca="false">D_flows!H36</f>
        <v>BILL-F01-0101</v>
      </c>
      <c r="C332" s="51" t="str">
        <f aca="false">D_flows!I36</f>
        <v>Vận tải nội địa NCC5</v>
      </c>
      <c r="D332" s="51" t="str">
        <f aca="false">D_flows!C36</f>
        <v>OUT</v>
      </c>
      <c r="E332" s="33" t="n">
        <f aca="false">IF(AND(F332&gt;=$B$6,COUNTIF($B$253:$B$274,B332)=0),D_flows!F36,0)</f>
        <v>0</v>
      </c>
      <c r="F332" s="52" t="n">
        <f aca="false">D_flows!E36</f>
        <v>46169</v>
      </c>
      <c r="G332" s="4" t="n">
        <v>0</v>
      </c>
      <c r="H332" s="4" t="s">
        <v>2248</v>
      </c>
      <c r="I332" s="4" t="n">
        <v>0</v>
      </c>
      <c r="J332" s="38" t="n">
        <f aca="false">F332</f>
        <v>46169</v>
      </c>
      <c r="K332" s="38" t="n">
        <f aca="false">F332</f>
        <v>46169</v>
      </c>
      <c r="L332" s="38" t="n">
        <f aca="false">F332</f>
        <v>46169</v>
      </c>
      <c r="M332" s="38"/>
      <c r="N332" s="38" t="n">
        <f aca="false">F332</f>
        <v>46169</v>
      </c>
      <c r="O332" s="4" t="str">
        <f aca="false">IF(F332&lt;$B$6,"excluded_settled_before_as_of",IF(COUNTIF($B$253:$B$274,B332)&gt;0,"excluded_already_in_PAY_BILL","included_from_D_flows"))</f>
        <v>excluded_settled_before_as_of</v>
      </c>
      <c r="P332" s="51" t="str">
        <f aca="false">D_flows!D36</f>
        <v>Vận tải</v>
      </c>
      <c r="Q332" s="51" t="n">
        <f aca="false">D_flows!J36</f>
        <v>0</v>
      </c>
      <c r="R332" s="52" t="n">
        <f aca="false">D_flows!L36</f>
        <v>46203</v>
      </c>
      <c r="S332" s="4" t="str">
        <f aca="false">IF(N332&gt;$B$7,"beyond_horizon",IF(N332&lt;$B$6,"invalid_past","in_horizon"))</f>
        <v>invalid_past</v>
      </c>
      <c r="T332" s="4" t="n">
        <v>0</v>
      </c>
      <c r="U332" s="4" t="n">
        <v>0</v>
      </c>
      <c r="V332" s="4" t="n">
        <v>0</v>
      </c>
      <c r="W332" s="4" t="n">
        <v>0</v>
      </c>
      <c r="X332" s="4" t="n">
        <v>0</v>
      </c>
      <c r="Y332" s="4" t="n">
        <v>0</v>
      </c>
    </row>
    <row r="333" customFormat="false" ht="39.75" hidden="false" customHeight="true" outlineLevel="0" collapsed="false">
      <c r="A333" s="51" t="str">
        <f aca="false">D_flows!A37</f>
        <v>TRANS-F01-0102</v>
      </c>
      <c r="B333" s="51" t="str">
        <f aca="false">D_flows!H37</f>
        <v>BILL-F01-0102</v>
      </c>
      <c r="C333" s="51" t="str">
        <f aca="false">D_flows!I37</f>
        <v>Vận tải nội địa NCC5</v>
      </c>
      <c r="D333" s="51" t="str">
        <f aca="false">D_flows!C37</f>
        <v>OUT</v>
      </c>
      <c r="E333" s="33" t="n">
        <f aca="false">IF(AND(F333&gt;=$B$6,COUNTIF($B$253:$B$274,B333)=0),D_flows!F37,0)</f>
        <v>0</v>
      </c>
      <c r="F333" s="52" t="n">
        <f aca="false">D_flows!E37</f>
        <v>46175</v>
      </c>
      <c r="G333" s="4" t="n">
        <v>0</v>
      </c>
      <c r="H333" s="4" t="s">
        <v>2248</v>
      </c>
      <c r="I333" s="4" t="n">
        <v>0</v>
      </c>
      <c r="J333" s="38" t="n">
        <f aca="false">F333</f>
        <v>46175</v>
      </c>
      <c r="K333" s="38" t="n">
        <f aca="false">F333</f>
        <v>46175</v>
      </c>
      <c r="L333" s="38" t="n">
        <f aca="false">F333</f>
        <v>46175</v>
      </c>
      <c r="M333" s="38"/>
      <c r="N333" s="38" t="n">
        <f aca="false">F333</f>
        <v>46175</v>
      </c>
      <c r="O333" s="4" t="str">
        <f aca="false">IF(F333&lt;$B$6,"excluded_settled_before_as_of",IF(COUNTIF($B$253:$B$274,B333)&gt;0,"excluded_already_in_PAY_BILL","included_from_D_flows"))</f>
        <v>excluded_settled_before_as_of</v>
      </c>
      <c r="P333" s="51" t="str">
        <f aca="false">D_flows!D37</f>
        <v>Vận tải</v>
      </c>
      <c r="Q333" s="51" t="n">
        <f aca="false">D_flows!J37</f>
        <v>0</v>
      </c>
      <c r="R333" s="52" t="n">
        <f aca="false">D_flows!L37</f>
        <v>46203</v>
      </c>
      <c r="S333" s="4" t="str">
        <f aca="false">IF(N333&gt;$B$7,"beyond_horizon",IF(N333&lt;$B$6,"invalid_past","in_horizon"))</f>
        <v>invalid_past</v>
      </c>
      <c r="T333" s="4" t="n">
        <v>0</v>
      </c>
      <c r="U333" s="4" t="n">
        <v>0</v>
      </c>
      <c r="V333" s="4" t="n">
        <v>0</v>
      </c>
      <c r="W333" s="4" t="n">
        <v>0</v>
      </c>
      <c r="X333" s="4" t="n">
        <v>0</v>
      </c>
      <c r="Y333" s="4" t="n">
        <v>0</v>
      </c>
    </row>
    <row r="334" customFormat="false" ht="39.75" hidden="false" customHeight="true" outlineLevel="0" collapsed="false">
      <c r="A334" s="51" t="str">
        <f aca="false">D_flows!A38</f>
        <v>ELEC-F01-0107</v>
      </c>
      <c r="B334" s="51" t="str">
        <f aca="false">D_flows!H38</f>
        <v>BILL-F01-0107</v>
      </c>
      <c r="C334" s="51" t="str">
        <f aca="false">D_flows!I38</f>
        <v>Điện lực khu công nghiệp</v>
      </c>
      <c r="D334" s="51" t="str">
        <f aca="false">D_flows!C38</f>
        <v>OUT</v>
      </c>
      <c r="E334" s="33" t="n">
        <f aca="false">IF(AND(F334&gt;=$B$6,COUNTIF($B$253:$B$274,B334)=0),D_flows!F38,0)</f>
        <v>0</v>
      </c>
      <c r="F334" s="52" t="n">
        <f aca="false">D_flows!E38</f>
        <v>46186</v>
      </c>
      <c r="G334" s="4" t="n">
        <v>0</v>
      </c>
      <c r="H334" s="4" t="s">
        <v>2248</v>
      </c>
      <c r="I334" s="4" t="n">
        <v>0</v>
      </c>
      <c r="J334" s="38" t="n">
        <f aca="false">F334</f>
        <v>46186</v>
      </c>
      <c r="K334" s="38" t="n">
        <f aca="false">F334</f>
        <v>46186</v>
      </c>
      <c r="L334" s="38" t="n">
        <f aca="false">F334</f>
        <v>46186</v>
      </c>
      <c r="M334" s="38"/>
      <c r="N334" s="38" t="n">
        <f aca="false">F334</f>
        <v>46186</v>
      </c>
      <c r="O334" s="4" t="str">
        <f aca="false">IF(F334&lt;$B$6,"excluded_settled_before_as_of",IF(COUNTIF($B$253:$B$274,B334)&gt;0,"excluded_already_in_PAY_BILL","included_from_D_flows"))</f>
        <v>excluded_settled_before_as_of</v>
      </c>
      <c r="P334" s="51" t="str">
        <f aca="false">D_flows!D38</f>
        <v>Tiện ích (điện)</v>
      </c>
      <c r="Q334" s="51" t="n">
        <f aca="false">D_flows!J38</f>
        <v>1</v>
      </c>
      <c r="R334" s="52" t="n">
        <f aca="false">D_flows!L38</f>
        <v>46203</v>
      </c>
      <c r="S334" s="4" t="str">
        <f aca="false">IF(N334&gt;$B$7,"beyond_horizon",IF(N334&lt;$B$6,"invalid_past","in_horizon"))</f>
        <v>invalid_past</v>
      </c>
      <c r="T334" s="4" t="n">
        <v>0</v>
      </c>
      <c r="U334" s="4" t="n">
        <v>0</v>
      </c>
      <c r="V334" s="4" t="n">
        <v>0</v>
      </c>
      <c r="W334" s="4" t="n">
        <v>0</v>
      </c>
      <c r="X334" s="4" t="n">
        <v>0</v>
      </c>
      <c r="Y334" s="4" t="n">
        <v>0</v>
      </c>
    </row>
    <row r="335" customFormat="false" ht="39.75" hidden="false" customHeight="true" outlineLevel="0" collapsed="false">
      <c r="A335" s="51" t="str">
        <f aca="false">D_flows!A39</f>
        <v>TRANS-F01-0110</v>
      </c>
      <c r="B335" s="51" t="str">
        <f aca="false">D_flows!H39</f>
        <v>BILL-F01-0110</v>
      </c>
      <c r="C335" s="51" t="str">
        <f aca="false">D_flows!I39</f>
        <v>Vận tải nội địa NCC5</v>
      </c>
      <c r="D335" s="51" t="str">
        <f aca="false">D_flows!C39</f>
        <v>OUT</v>
      </c>
      <c r="E335" s="33" t="n">
        <f aca="false">IF(AND(F335&gt;=$B$6,COUNTIF($B$253:$B$274,B335)=0),D_flows!F39,0)</f>
        <v>0</v>
      </c>
      <c r="F335" s="52" t="n">
        <f aca="false">D_flows!E39</f>
        <v>46186</v>
      </c>
      <c r="G335" s="4" t="n">
        <v>0</v>
      </c>
      <c r="H335" s="4" t="s">
        <v>2248</v>
      </c>
      <c r="I335" s="4" t="n">
        <v>0</v>
      </c>
      <c r="J335" s="38" t="n">
        <f aca="false">F335</f>
        <v>46186</v>
      </c>
      <c r="K335" s="38" t="n">
        <f aca="false">F335</f>
        <v>46186</v>
      </c>
      <c r="L335" s="38" t="n">
        <f aca="false">F335</f>
        <v>46186</v>
      </c>
      <c r="M335" s="38"/>
      <c r="N335" s="38" t="n">
        <f aca="false">F335</f>
        <v>46186</v>
      </c>
      <c r="O335" s="4" t="str">
        <f aca="false">IF(F335&lt;$B$6,"excluded_settled_before_as_of",IF(COUNTIF($B$253:$B$274,B335)&gt;0,"excluded_already_in_PAY_BILL","included_from_D_flows"))</f>
        <v>excluded_settled_before_as_of</v>
      </c>
      <c r="P335" s="51" t="str">
        <f aca="false">D_flows!D39</f>
        <v>Vận tải</v>
      </c>
      <c r="Q335" s="51" t="n">
        <f aca="false">D_flows!J39</f>
        <v>0</v>
      </c>
      <c r="R335" s="52" t="n">
        <f aca="false">D_flows!L39</f>
        <v>46203</v>
      </c>
      <c r="S335" s="4" t="str">
        <f aca="false">IF(N335&gt;$B$7,"beyond_horizon",IF(N335&lt;$B$6,"invalid_past","in_horizon"))</f>
        <v>invalid_past</v>
      </c>
      <c r="T335" s="4" t="n">
        <v>0</v>
      </c>
      <c r="U335" s="4" t="n">
        <v>0</v>
      </c>
      <c r="V335" s="4" t="n">
        <v>0</v>
      </c>
      <c r="W335" s="4" t="n">
        <v>0</v>
      </c>
      <c r="X335" s="4" t="n">
        <v>0</v>
      </c>
      <c r="Y335" s="4" t="n">
        <v>0</v>
      </c>
    </row>
    <row r="336" customFormat="false" ht="39.75" hidden="false" customHeight="true" outlineLevel="0" collapsed="false">
      <c r="A336" s="51" t="str">
        <f aca="false">D_flows!A40</f>
        <v>TRANS-F01-0113</v>
      </c>
      <c r="B336" s="51" t="str">
        <f aca="false">D_flows!H40</f>
        <v>BILL-F01-0113</v>
      </c>
      <c r="C336" s="51" t="str">
        <f aca="false">D_flows!I40</f>
        <v>Vận tải nội địa NCC5</v>
      </c>
      <c r="D336" s="51" t="str">
        <f aca="false">D_flows!C40</f>
        <v>OUT</v>
      </c>
      <c r="E336" s="33" t="n">
        <f aca="false">IF(AND(F336&gt;=$B$6,COUNTIF($B$253:$B$274,B336)=0),D_flows!F40,0)</f>
        <v>0</v>
      </c>
      <c r="F336" s="52" t="n">
        <f aca="false">D_flows!E40</f>
        <v>46188</v>
      </c>
      <c r="G336" s="4" t="n">
        <v>0</v>
      </c>
      <c r="H336" s="4" t="s">
        <v>2248</v>
      </c>
      <c r="I336" s="4" t="n">
        <v>0</v>
      </c>
      <c r="J336" s="38" t="n">
        <f aca="false">F336</f>
        <v>46188</v>
      </c>
      <c r="K336" s="38" t="n">
        <f aca="false">F336</f>
        <v>46188</v>
      </c>
      <c r="L336" s="38" t="n">
        <f aca="false">F336</f>
        <v>46188</v>
      </c>
      <c r="M336" s="38"/>
      <c r="N336" s="38" t="n">
        <f aca="false">F336</f>
        <v>46188</v>
      </c>
      <c r="O336" s="4" t="str">
        <f aca="false">IF(F336&lt;$B$6,"excluded_settled_before_as_of",IF(COUNTIF($B$253:$B$274,B336)&gt;0,"excluded_already_in_PAY_BILL","included_from_D_flows"))</f>
        <v>excluded_settled_before_as_of</v>
      </c>
      <c r="P336" s="51" t="str">
        <f aca="false">D_flows!D40</f>
        <v>Vận tải</v>
      </c>
      <c r="Q336" s="51" t="n">
        <f aca="false">D_flows!J40</f>
        <v>0</v>
      </c>
      <c r="R336" s="52" t="n">
        <f aca="false">D_flows!L40</f>
        <v>46203</v>
      </c>
      <c r="S336" s="4" t="str">
        <f aca="false">IF(N336&gt;$B$7,"beyond_horizon",IF(N336&lt;$B$6,"invalid_past","in_horizon"))</f>
        <v>invalid_past</v>
      </c>
      <c r="T336" s="4" t="n">
        <v>0</v>
      </c>
      <c r="U336" s="4" t="n">
        <v>0</v>
      </c>
      <c r="V336" s="4" t="n">
        <v>0</v>
      </c>
      <c r="W336" s="4" t="n">
        <v>0</v>
      </c>
      <c r="X336" s="4" t="n">
        <v>0</v>
      </c>
      <c r="Y336" s="4" t="n">
        <v>0</v>
      </c>
    </row>
    <row r="337" customFormat="false" ht="39.75" hidden="false" customHeight="true" outlineLevel="0" collapsed="false">
      <c r="A337" s="51" t="str">
        <f aca="false">D_flows!A41</f>
        <v>TRANS-F01-0122</v>
      </c>
      <c r="B337" s="51" t="str">
        <f aca="false">D_flows!H41</f>
        <v>BILL-F01-0122</v>
      </c>
      <c r="C337" s="51" t="str">
        <f aca="false">D_flows!I41</f>
        <v>Vận tải nội địa NCC5</v>
      </c>
      <c r="D337" s="51" t="str">
        <f aca="false">D_flows!C41</f>
        <v>OUT</v>
      </c>
      <c r="E337" s="33" t="n">
        <f aca="false">IF(AND(F337&gt;=$B$6,COUNTIF($B$253:$B$274,B337)=0),D_flows!F41,0)</f>
        <v>0</v>
      </c>
      <c r="F337" s="52" t="n">
        <f aca="false">D_flows!E41</f>
        <v>46204</v>
      </c>
      <c r="G337" s="4" t="n">
        <v>0</v>
      </c>
      <c r="H337" s="4" t="s">
        <v>2248</v>
      </c>
      <c r="I337" s="4" t="n">
        <v>0</v>
      </c>
      <c r="J337" s="38" t="n">
        <f aca="false">F337</f>
        <v>46204</v>
      </c>
      <c r="K337" s="38" t="n">
        <f aca="false">F337</f>
        <v>46204</v>
      </c>
      <c r="L337" s="38" t="n">
        <f aca="false">F337</f>
        <v>46204</v>
      </c>
      <c r="M337" s="38"/>
      <c r="N337" s="38" t="n">
        <f aca="false">F337</f>
        <v>46204</v>
      </c>
      <c r="O337" s="4" t="str">
        <f aca="false">IF(F337&lt;$B$6,"excluded_settled_before_as_of",IF(COUNTIF($B$253:$B$274,B337)&gt;0,"excluded_already_in_PAY_BILL","included_from_D_flows"))</f>
        <v>excluded_already_in_PAY_BILL</v>
      </c>
      <c r="P337" s="51" t="str">
        <f aca="false">D_flows!D41</f>
        <v>Vận tải</v>
      </c>
      <c r="Q337" s="51" t="n">
        <f aca="false">D_flows!J41</f>
        <v>0</v>
      </c>
      <c r="R337" s="52" t="n">
        <f aca="false">D_flows!L41</f>
        <v>46203</v>
      </c>
      <c r="S337" s="4" t="str">
        <f aca="false">IF(N337&gt;$B$7,"beyond_horizon",IF(N337&lt;$B$6,"invalid_past","in_horizon"))</f>
        <v>in_horizon</v>
      </c>
      <c r="T337" s="4" t="n">
        <v>0</v>
      </c>
      <c r="U337" s="4" t="n">
        <v>0</v>
      </c>
      <c r="V337" s="4" t="n">
        <v>0</v>
      </c>
      <c r="W337" s="4" t="n">
        <v>0</v>
      </c>
      <c r="X337" s="4" t="n">
        <v>0</v>
      </c>
      <c r="Y337" s="4" t="n">
        <v>0</v>
      </c>
    </row>
    <row r="338" customFormat="false" ht="39.75" hidden="false" customHeight="true" outlineLevel="0" collapsed="false">
      <c r="A338" s="51" t="str">
        <f aca="false">D_flows!A42</f>
        <v>TRANS-F01-0124</v>
      </c>
      <c r="B338" s="51" t="str">
        <f aca="false">D_flows!H42</f>
        <v>BILL-F01-0124</v>
      </c>
      <c r="C338" s="51" t="str">
        <f aca="false">D_flows!I42</f>
        <v>Vận tải nội địa NCC5</v>
      </c>
      <c r="D338" s="51" t="str">
        <f aca="false">D_flows!C42</f>
        <v>OUT</v>
      </c>
      <c r="E338" s="33" t="n">
        <f aca="false">IF(AND(F338&gt;=$B$6,COUNTIF($B$253:$B$274,B338)=0),D_flows!F42,0)</f>
        <v>0</v>
      </c>
      <c r="F338" s="52" t="n">
        <f aca="false">D_flows!E42</f>
        <v>46206</v>
      </c>
      <c r="G338" s="4" t="n">
        <v>0</v>
      </c>
      <c r="H338" s="4" t="s">
        <v>2248</v>
      </c>
      <c r="I338" s="4" t="n">
        <v>0</v>
      </c>
      <c r="J338" s="38" t="n">
        <f aca="false">F338</f>
        <v>46206</v>
      </c>
      <c r="K338" s="38" t="n">
        <f aca="false">F338</f>
        <v>46206</v>
      </c>
      <c r="L338" s="38" t="n">
        <f aca="false">F338</f>
        <v>46206</v>
      </c>
      <c r="M338" s="38"/>
      <c r="N338" s="38" t="n">
        <f aca="false">F338</f>
        <v>46206</v>
      </c>
      <c r="O338" s="4" t="str">
        <f aca="false">IF(F338&lt;$B$6,"excluded_settled_before_as_of",IF(COUNTIF($B$253:$B$274,B338)&gt;0,"excluded_already_in_PAY_BILL","included_from_D_flows"))</f>
        <v>excluded_already_in_PAY_BILL</v>
      </c>
      <c r="P338" s="51" t="str">
        <f aca="false">D_flows!D42</f>
        <v>Vận tải</v>
      </c>
      <c r="Q338" s="51" t="n">
        <f aca="false">D_flows!J42</f>
        <v>0</v>
      </c>
      <c r="R338" s="52" t="n">
        <f aca="false">D_flows!L42</f>
        <v>46203</v>
      </c>
      <c r="S338" s="4" t="str">
        <f aca="false">IF(N338&gt;$B$7,"beyond_horizon",IF(N338&lt;$B$6,"invalid_past","in_horizon"))</f>
        <v>in_horizon</v>
      </c>
      <c r="T338" s="4" t="n">
        <v>0</v>
      </c>
      <c r="U338" s="4" t="n">
        <v>0</v>
      </c>
      <c r="V338" s="4" t="n">
        <v>0</v>
      </c>
      <c r="W338" s="4" t="n">
        <v>0</v>
      </c>
      <c r="X338" s="4" t="n">
        <v>0</v>
      </c>
      <c r="Y338" s="4" t="n">
        <v>0</v>
      </c>
    </row>
    <row r="339" customFormat="false" ht="39.75" hidden="false" customHeight="true" outlineLevel="0" collapsed="false">
      <c r="A339" s="51" t="str">
        <f aca="false">D_flows!A43</f>
        <v>TRANS-F01-0131</v>
      </c>
      <c r="B339" s="51" t="str">
        <f aca="false">D_flows!H43</f>
        <v>BILL-F01-0131</v>
      </c>
      <c r="C339" s="51" t="str">
        <f aca="false">D_flows!I43</f>
        <v>Vận tải nội địa NCC5</v>
      </c>
      <c r="D339" s="51" t="str">
        <f aca="false">D_flows!C43</f>
        <v>OUT</v>
      </c>
      <c r="E339" s="33" t="n">
        <f aca="false">IF(AND(F339&gt;=$B$6,COUNTIF($B$253:$B$274,B339)=0),D_flows!F43,0)</f>
        <v>0</v>
      </c>
      <c r="F339" s="52" t="n">
        <f aca="false">D_flows!E43</f>
        <v>46212</v>
      </c>
      <c r="G339" s="4" t="n">
        <v>0</v>
      </c>
      <c r="H339" s="4" t="s">
        <v>2248</v>
      </c>
      <c r="I339" s="4" t="n">
        <v>0</v>
      </c>
      <c r="J339" s="38" t="n">
        <f aca="false">F339</f>
        <v>46212</v>
      </c>
      <c r="K339" s="38" t="n">
        <f aca="false">F339</f>
        <v>46212</v>
      </c>
      <c r="L339" s="38" t="n">
        <f aca="false">F339</f>
        <v>46212</v>
      </c>
      <c r="M339" s="38"/>
      <c r="N339" s="38" t="n">
        <f aca="false">F339</f>
        <v>46212</v>
      </c>
      <c r="O339" s="4" t="str">
        <f aca="false">IF(F339&lt;$B$6,"excluded_settled_before_as_of",IF(COUNTIF($B$253:$B$274,B339)&gt;0,"excluded_already_in_PAY_BILL","included_from_D_flows"))</f>
        <v>excluded_already_in_PAY_BILL</v>
      </c>
      <c r="P339" s="51" t="str">
        <f aca="false">D_flows!D43</f>
        <v>Vận tải</v>
      </c>
      <c r="Q339" s="51" t="n">
        <f aca="false">D_flows!J43</f>
        <v>0</v>
      </c>
      <c r="R339" s="52" t="n">
        <f aca="false">D_flows!L43</f>
        <v>46203</v>
      </c>
      <c r="S339" s="4" t="str">
        <f aca="false">IF(N339&gt;$B$7,"beyond_horizon",IF(N339&lt;$B$6,"invalid_past","in_horizon"))</f>
        <v>in_horizon</v>
      </c>
      <c r="T339" s="4" t="n">
        <v>0</v>
      </c>
      <c r="U339" s="4" t="n">
        <v>0</v>
      </c>
      <c r="V339" s="4" t="n">
        <v>0</v>
      </c>
      <c r="W339" s="4" t="n">
        <v>0</v>
      </c>
      <c r="X339" s="4" t="n">
        <v>0</v>
      </c>
      <c r="Y339" s="4" t="n">
        <v>0</v>
      </c>
    </row>
    <row r="340" customFormat="false" ht="39.75" hidden="false" customHeight="true" outlineLevel="0" collapsed="false">
      <c r="A340" s="51" t="str">
        <f aca="false">D_flows!A44</f>
        <v>ELEC-F01-0133</v>
      </c>
      <c r="B340" s="51" t="str">
        <f aca="false">D_flows!H44</f>
        <v>BILL-F01-0133</v>
      </c>
      <c r="C340" s="51" t="str">
        <f aca="false">D_flows!I44</f>
        <v>Điện lực khu công nghiệp</v>
      </c>
      <c r="D340" s="51" t="str">
        <f aca="false">D_flows!C44</f>
        <v>OUT</v>
      </c>
      <c r="E340" s="33" t="n">
        <f aca="false">IF(AND(F340&gt;=$B$6,COUNTIF($B$253:$B$274,B340)=0),D_flows!F44,0)</f>
        <v>0</v>
      </c>
      <c r="F340" s="52" t="n">
        <f aca="false">D_flows!E44</f>
        <v>46214</v>
      </c>
      <c r="G340" s="4" t="n">
        <v>0</v>
      </c>
      <c r="H340" s="4" t="s">
        <v>2248</v>
      </c>
      <c r="I340" s="4" t="n">
        <v>0</v>
      </c>
      <c r="J340" s="38" t="n">
        <f aca="false">F340</f>
        <v>46214</v>
      </c>
      <c r="K340" s="38" t="n">
        <f aca="false">F340</f>
        <v>46214</v>
      </c>
      <c r="L340" s="38" t="n">
        <f aca="false">F340</f>
        <v>46214</v>
      </c>
      <c r="M340" s="38"/>
      <c r="N340" s="38" t="n">
        <f aca="false">F340</f>
        <v>46214</v>
      </c>
      <c r="O340" s="4" t="str">
        <f aca="false">IF(F340&lt;$B$6,"excluded_settled_before_as_of",IF(COUNTIF($B$253:$B$274,B340)&gt;0,"excluded_already_in_PAY_BILL","included_from_D_flows"))</f>
        <v>excluded_already_in_PAY_BILL</v>
      </c>
      <c r="P340" s="51" t="str">
        <f aca="false">D_flows!D44</f>
        <v>Tiện ích (điện)</v>
      </c>
      <c r="Q340" s="51" t="n">
        <f aca="false">D_flows!J44</f>
        <v>1</v>
      </c>
      <c r="R340" s="52" t="n">
        <f aca="false">D_flows!L44</f>
        <v>46203</v>
      </c>
      <c r="S340" s="4" t="str">
        <f aca="false">IF(N340&gt;$B$7,"beyond_horizon",IF(N340&lt;$B$6,"invalid_past","in_horizon"))</f>
        <v>in_horizon</v>
      </c>
      <c r="T340" s="4" t="n">
        <v>0</v>
      </c>
      <c r="U340" s="4" t="n">
        <v>0</v>
      </c>
      <c r="V340" s="4" t="n">
        <v>0</v>
      </c>
      <c r="W340" s="4" t="n">
        <v>0</v>
      </c>
      <c r="X340" s="4" t="n">
        <v>0</v>
      </c>
      <c r="Y340" s="4" t="n">
        <v>0</v>
      </c>
    </row>
    <row r="341" customFormat="false" ht="39.75" hidden="false" customHeight="true" outlineLevel="0" collapsed="false">
      <c r="A341" s="51" t="str">
        <f aca="false">D_flows!A45</f>
        <v>TRANS-F01-0135</v>
      </c>
      <c r="B341" s="51" t="str">
        <f aca="false">D_flows!H45</f>
        <v>BILL-F01-0135</v>
      </c>
      <c r="C341" s="51" t="str">
        <f aca="false">D_flows!I45</f>
        <v>Vận tải nội địa NCC5</v>
      </c>
      <c r="D341" s="51" t="str">
        <f aca="false">D_flows!C45</f>
        <v>OUT</v>
      </c>
      <c r="E341" s="33" t="n">
        <f aca="false">IF(AND(F341&gt;=$B$6,COUNTIF($B$253:$B$274,B341)=0),D_flows!F45,0)</f>
        <v>0</v>
      </c>
      <c r="F341" s="52" t="n">
        <f aca="false">D_flows!E45</f>
        <v>46217</v>
      </c>
      <c r="G341" s="4" t="n">
        <v>0</v>
      </c>
      <c r="H341" s="4" t="s">
        <v>2248</v>
      </c>
      <c r="I341" s="4" t="n">
        <v>0</v>
      </c>
      <c r="J341" s="38" t="n">
        <f aca="false">F341</f>
        <v>46217</v>
      </c>
      <c r="K341" s="38" t="n">
        <f aca="false">F341</f>
        <v>46217</v>
      </c>
      <c r="L341" s="38" t="n">
        <f aca="false">F341</f>
        <v>46217</v>
      </c>
      <c r="M341" s="38"/>
      <c r="N341" s="38" t="n">
        <f aca="false">F341</f>
        <v>46217</v>
      </c>
      <c r="O341" s="4" t="str">
        <f aca="false">IF(F341&lt;$B$6,"excluded_settled_before_as_of",IF(COUNTIF($B$253:$B$274,B341)&gt;0,"excluded_already_in_PAY_BILL","included_from_D_flows"))</f>
        <v>excluded_already_in_PAY_BILL</v>
      </c>
      <c r="P341" s="51" t="str">
        <f aca="false">D_flows!D45</f>
        <v>Vận tải</v>
      </c>
      <c r="Q341" s="51" t="n">
        <f aca="false">D_flows!J45</f>
        <v>0</v>
      </c>
      <c r="R341" s="52" t="n">
        <f aca="false">D_flows!L45</f>
        <v>46203</v>
      </c>
      <c r="S341" s="4" t="str">
        <f aca="false">IF(N341&gt;$B$7,"beyond_horizon",IF(N341&lt;$B$6,"invalid_past","in_horizon"))</f>
        <v>in_horizon</v>
      </c>
      <c r="T341" s="4" t="n">
        <v>0</v>
      </c>
      <c r="U341" s="4" t="n">
        <v>0</v>
      </c>
      <c r="V341" s="4" t="n">
        <v>0</v>
      </c>
      <c r="W341" s="4" t="n">
        <v>0</v>
      </c>
      <c r="X341" s="4" t="n">
        <v>0</v>
      </c>
      <c r="Y341" s="4" t="n">
        <v>0</v>
      </c>
    </row>
    <row r="343" customFormat="false" ht="13.5" hidden="false" customHeight="false" outlineLevel="0" collapsed="false">
      <c r="A343" s="53" t="s">
        <v>2312</v>
      </c>
    </row>
  </sheetData>
  <conditionalFormatting sqref="K70:K160">
    <cfRule type="cellIs" priority="2" operator="equal" aboveAverage="0" equalAverage="0" bottom="0" percent="0" rank="0" text="" dxfId="0">
      <formula>1</formula>
    </cfRule>
    <cfRule type="cellIs" priority="3" operator="equal" aboveAverage="0" equalAverage="0" bottom="0" percent="0" rank="0" text="" dxfId="1">
      <formula>2</formula>
    </cfRule>
    <cfRule type="cellIs" priority="4" operator="equal" aboveAverage="0" equalAverage="0" bottom="0" percent="0" rank="0" text="" dxfId="2">
      <formula>3</formula>
    </cfRule>
  </conditionalFormatting>
  <conditionalFormatting sqref="I29:J41">
    <cfRule type="cellIs" priority="5" operator="equal" aboveAverage="0" equalAverage="0" bottom="0" percent="0" rank="0" text="" dxfId="0">
      <formula>1</formula>
    </cfRule>
    <cfRule type="cellIs" priority="6" operator="equal" aboveAverage="0" equalAverage="0" bottom="0" percent="0" rank="0" text="" dxfId="1">
      <formula>2</formula>
    </cfRule>
    <cfRule type="cellIs" priority="7" operator="equal" aboveAverage="0" equalAverage="0" bottom="0" percent="0" rank="0" text="" dxfId="2">
      <formula>3</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Z132"/>
  <sheetViews>
    <sheetView showFormulas="false" showGridLines="false" showRowColHeaders="true" showZeros="true" rightToLeft="false" tabSelected="false" showOutlineSymbols="true" defaultGridColor="true" view="normal" topLeftCell="A111" colorId="64" zoomScale="100" zoomScaleNormal="100" zoomScalePageLayoutView="100" workbookViewId="0">
      <selection pane="topLeft" activeCell="N110" activeCellId="0" sqref="N110"/>
    </sheetView>
  </sheetViews>
  <sheetFormatPr defaultColWidth="9.00390625" defaultRowHeight="9.75" zeroHeight="false" outlineLevelRow="0" outlineLevelCol="0"/>
  <cols>
    <col collapsed="false" customWidth="true" hidden="false" outlineLevel="0" max="1" min="1" style="16" width="28.19"/>
    <col collapsed="false" customWidth="true" hidden="false" outlineLevel="0" max="2" min="2" style="16" width="30"/>
    <col collapsed="false" customWidth="true" hidden="false" outlineLevel="0" max="26" min="3" style="16" width="16"/>
    <col collapsed="false" customWidth="false" hidden="false" outlineLevel="0" max="16384" min="27" style="16" width="9"/>
  </cols>
  <sheetData>
    <row r="2" customFormat="false" ht="9.75" hidden="false" customHeight="false" outlineLevel="0" collapsed="false">
      <c r="A2" s="54" t="s">
        <v>2313</v>
      </c>
    </row>
    <row r="3" customFormat="false" ht="9.75" hidden="false" customHeight="false" outlineLevel="0" collapsed="false">
      <c r="A3" s="55" t="s">
        <v>2314</v>
      </c>
    </row>
    <row r="5" customFormat="false" ht="19.5" hidden="false" customHeight="true" outlineLevel="0" collapsed="false">
      <c r="A5" s="15" t="s">
        <v>2315</v>
      </c>
      <c r="B5" s="15" t="s">
        <v>1674</v>
      </c>
      <c r="C5" s="15" t="s">
        <v>1082</v>
      </c>
    </row>
    <row r="6" customFormat="false" ht="9.75" hidden="false" customHeight="false" outlineLevel="0" collapsed="false">
      <c r="A6" s="17" t="s">
        <v>1446</v>
      </c>
      <c r="B6" s="17" t="str">
        <f aca="false">$B$35</f>
        <v>M3</v>
      </c>
      <c r="C6" s="55" t="s">
        <v>2316</v>
      </c>
    </row>
    <row r="7" customFormat="false" ht="9.75" hidden="false" customHeight="false" outlineLevel="0" collapsed="false">
      <c r="A7" s="17" t="s">
        <v>2317</v>
      </c>
      <c r="B7" s="17" t="str">
        <f aca="false">$B$33</f>
        <v>TH01</v>
      </c>
      <c r="C7" s="55"/>
    </row>
    <row r="8" customFormat="false" ht="9.75" hidden="false" customHeight="false" outlineLevel="0" collapsed="false">
      <c r="A8" s="17" t="s">
        <v>1892</v>
      </c>
      <c r="B8" s="17" t="str">
        <f aca="false">$B$34</f>
        <v>W1</v>
      </c>
      <c r="C8" s="55"/>
    </row>
    <row r="9" customFormat="false" ht="9.75" hidden="false" customHeight="false" outlineLevel="0" collapsed="false">
      <c r="A9" s="17" t="s">
        <v>2013</v>
      </c>
      <c r="B9" s="18" t="str">
        <f aca="false">$B$88</f>
        <v>A1</v>
      </c>
      <c r="C9" s="55" t="s">
        <v>2318</v>
      </c>
    </row>
    <row r="10" customFormat="false" ht="9.75" hidden="false" customHeight="false" outlineLevel="0" collapsed="false">
      <c r="A10" s="17" t="s">
        <v>2319</v>
      </c>
      <c r="B10" s="17" t="str">
        <f aca="false">$B$60</f>
        <v>giảm một lần</v>
      </c>
      <c r="C10" s="55"/>
    </row>
    <row r="11" customFormat="false" ht="9.75" hidden="false" customHeight="false" outlineLevel="0" collapsed="false">
      <c r="A11" s="17" t="s">
        <v>2320</v>
      </c>
      <c r="B11" s="17" t="str">
        <f aca="false">$B$61</f>
        <v/>
      </c>
      <c r="C11" s="55"/>
    </row>
    <row r="12" customFormat="false" ht="9.75" hidden="false" customHeight="false" outlineLevel="0" collapsed="false">
      <c r="A12" s="17" t="s">
        <v>2321</v>
      </c>
      <c r="B12" s="56" t="n">
        <f aca="false">IF($B$33&lt;&gt;"TH01",0,IF($B$60="tăng một lần",2,1))</f>
        <v>1</v>
      </c>
      <c r="C12" s="55" t="s">
        <v>2322</v>
      </c>
    </row>
    <row r="13" customFormat="false" ht="9.75" hidden="false" customHeight="false" outlineLevel="0" collapsed="false">
      <c r="A13" s="17" t="s">
        <v>2323</v>
      </c>
      <c r="B13" s="57" t="n">
        <f aca="false">$B$65</f>
        <v>46204</v>
      </c>
      <c r="C13" s="55"/>
    </row>
    <row r="14" customFormat="false" ht="9.75" hidden="false" customHeight="false" outlineLevel="0" collapsed="false">
      <c r="A14" s="17" t="s">
        <v>2324</v>
      </c>
      <c r="B14" s="56" t="n">
        <f aca="false">$B$73</f>
        <v>1</v>
      </c>
      <c r="C14" s="55"/>
    </row>
    <row r="15" customFormat="false" ht="9.75" hidden="false" customHeight="false" outlineLevel="0" collapsed="false">
      <c r="A15" s="17" t="s">
        <v>2055</v>
      </c>
      <c r="B15" s="17" t="str">
        <f aca="false">IF($B$74=1,"KHẨN","THƯỜNG")</f>
        <v>KHẨN</v>
      </c>
      <c r="C15" s="55"/>
    </row>
    <row r="16" customFormat="false" ht="9.75" hidden="false" customHeight="false" outlineLevel="0" collapsed="false">
      <c r="A16" s="17" t="s">
        <v>2325</v>
      </c>
      <c r="B16" s="56" t="n">
        <f aca="false">$B$72</f>
        <v>2715485453.22435</v>
      </c>
      <c r="C16" s="55"/>
    </row>
    <row r="17" customFormat="false" ht="9.75" hidden="false" customHeight="false" outlineLevel="0" collapsed="false">
      <c r="A17" s="17" t="s">
        <v>2326</v>
      </c>
      <c r="B17" s="56" t="n">
        <f aca="false">$B$68</f>
        <v>14</v>
      </c>
      <c r="C17" s="55"/>
    </row>
    <row r="18" customFormat="false" ht="9.75" hidden="false" customHeight="false" outlineLevel="0" collapsed="false">
      <c r="A18" s="17" t="s">
        <v>2327</v>
      </c>
      <c r="B18" s="17" t="str">
        <f aca="false">C109&amp;IF(C110&lt;&gt;""," &gt; "&amp;C110,"")&amp;IF(C111&lt;&gt;""," &gt; "&amp;C111,"")</f>
        <v>RF-001 &gt; CL-001 &gt; NB-01</v>
      </c>
      <c r="C18" s="55" t="s">
        <v>2328</v>
      </c>
    </row>
    <row r="19" customFormat="false" ht="9.75" hidden="false" customHeight="false" outlineLevel="0" collapsed="false">
      <c r="A19" s="17" t="s">
        <v>2329</v>
      </c>
      <c r="B19" s="17" t="str">
        <f aca="false">IF($B$33="TH01",$B$132,IF($B$33="TH02",IF($B$34="W0","Đầu tư ngắn hạn trong giới hạn tiền an toàn","Giữ làm dự trữ; xử lý điểm nghẽn"),"Theo dõi; không hành động"))</f>
        <v>RF-001</v>
      </c>
      <c r="C19" s="55"/>
    </row>
    <row r="20" customFormat="false" ht="9.75" hidden="false" customHeight="false" outlineLevel="0" collapsed="false">
      <c r="A20" s="17" t="s">
        <v>2330</v>
      </c>
      <c r="B20" s="56" t="n">
        <f aca="false">$B$125</f>
        <v>2715485453.22435</v>
      </c>
      <c r="C20" s="55"/>
    </row>
    <row r="21" customFormat="false" ht="9.75" hidden="false" customHeight="false" outlineLevel="0" collapsed="false">
      <c r="A21" s="17" t="s">
        <v>2331</v>
      </c>
      <c r="B21" s="56" t="n">
        <f aca="false">$B$126</f>
        <v>14061006.8673809</v>
      </c>
      <c r="C21" s="55"/>
    </row>
    <row r="22" customFormat="false" ht="9.75" hidden="false" customHeight="false" outlineLevel="0" collapsed="false">
      <c r="A22" s="17" t="s">
        <v>2332</v>
      </c>
      <c r="B22" s="58" t="n">
        <f aca="false">$B$127</f>
        <v>0.0052</v>
      </c>
      <c r="C22" s="55"/>
    </row>
    <row r="23" customFormat="false" ht="9.75" hidden="false" customHeight="false" outlineLevel="0" collapsed="false">
      <c r="A23" s="17" t="s">
        <v>2333</v>
      </c>
      <c r="B23" s="56" t="n">
        <f aca="false">$B$128</f>
        <v>0</v>
      </c>
      <c r="C23" s="55"/>
    </row>
    <row r="24" customFormat="false" ht="19.4" hidden="false" customHeight="false" outlineLevel="0" collapsed="false">
      <c r="A24" s="17" t="s">
        <v>2334</v>
      </c>
      <c r="B24" s="56" t="n">
        <f aca="false">$B$131</f>
        <v>0</v>
      </c>
      <c r="C24" s="55"/>
    </row>
    <row r="25" customFormat="false" ht="9.75" hidden="false" customHeight="false" outlineLevel="0" collapsed="false">
      <c r="A25" s="17" t="s">
        <v>2335</v>
      </c>
      <c r="B25" s="17" t="str">
        <f aca="false">IF($B$33&lt;&gt;"TH01","false",IF(OR($B$61&lt;&gt;"",$B$128&gt;0,$B$131&gt;0),"true","false"))</f>
        <v>false</v>
      </c>
      <c r="C25" s="55" t="s">
        <v>2336</v>
      </c>
    </row>
    <row r="30" customFormat="false" ht="19.5" hidden="false" customHeight="true" outlineLevel="0" collapsed="false">
      <c r="A30" s="15" t="s">
        <v>2337</v>
      </c>
      <c r="B30" s="15" t="s">
        <v>1674</v>
      </c>
      <c r="C30" s="15" t="s">
        <v>2338</v>
      </c>
    </row>
    <row r="31" customFormat="false" ht="9.75" hidden="false" customHeight="false" outlineLevel="0" collapsed="false">
      <c r="A31" s="17" t="s">
        <v>2339</v>
      </c>
      <c r="B31" s="59" t="n">
        <f aca="false">D_F01!B7</f>
        <v>46203</v>
      </c>
      <c r="C31" s="55" t="s">
        <v>2340</v>
      </c>
    </row>
    <row r="32" customFormat="false" ht="9.75" hidden="false" customHeight="false" outlineLevel="0" collapsed="false">
      <c r="A32" s="17" t="s">
        <v>2023</v>
      </c>
      <c r="B32" s="60" t="n">
        <f aca="false">F01_UC2!B10</f>
        <v>6855965890.22435</v>
      </c>
      <c r="C32" s="55" t="s">
        <v>2341</v>
      </c>
    </row>
    <row r="33" customFormat="false" ht="9.75" hidden="false" customHeight="false" outlineLevel="0" collapsed="false">
      <c r="A33" s="17" t="s">
        <v>2317</v>
      </c>
      <c r="B33" s="61" t="str">
        <f aca="false">F01_UC2!B23</f>
        <v>TH01</v>
      </c>
      <c r="C33" s="55" t="s">
        <v>2342</v>
      </c>
    </row>
    <row r="34" customFormat="false" ht="9.75" hidden="false" customHeight="false" outlineLevel="0" collapsed="false">
      <c r="A34" s="17" t="s">
        <v>1892</v>
      </c>
      <c r="B34" s="61" t="str">
        <f aca="false">F01_UC1!B30</f>
        <v>W1</v>
      </c>
      <c r="C34" s="55" t="s">
        <v>2343</v>
      </c>
    </row>
    <row r="35" customFormat="false" ht="9.75" hidden="false" customHeight="false" outlineLevel="0" collapsed="false">
      <c r="A35" s="17" t="s">
        <v>1446</v>
      </c>
      <c r="B35" s="61" t="str">
        <f aca="false">F01_UC2!B24</f>
        <v>M3</v>
      </c>
      <c r="C35" s="55" t="s">
        <v>2344</v>
      </c>
    </row>
    <row r="36" customFormat="false" ht="9.75" hidden="false" customHeight="false" outlineLevel="0" collapsed="false">
      <c r="A36" s="17" t="s">
        <v>2345</v>
      </c>
      <c r="B36" s="17" t="n">
        <f aca="false">IF(AND($B$33="TH01",F01_UC2!M37=TRUE()),1,0)</f>
        <v>0</v>
      </c>
      <c r="C36" s="55" t="s">
        <v>2346</v>
      </c>
    </row>
    <row r="37" customFormat="false" ht="9.75" hidden="false" customHeight="false" outlineLevel="0" collapsed="false">
      <c r="A37" s="17" t="s">
        <v>2347</v>
      </c>
      <c r="B37" s="17" t="n">
        <f aca="false">IF(F01_UC1!B22&gt;=1,1,0)</f>
        <v>1</v>
      </c>
      <c r="C37" s="55" t="s">
        <v>2348</v>
      </c>
    </row>
    <row r="38" customFormat="false" ht="9.75" hidden="false" customHeight="false" outlineLevel="0" collapsed="false">
      <c r="A38" s="17" t="s">
        <v>2349</v>
      </c>
      <c r="B38" s="17" t="n">
        <f aca="false">IF(F01_UC1!B23&gt;=1,1,0)</f>
        <v>0</v>
      </c>
      <c r="C38" s="55" t="s">
        <v>2350</v>
      </c>
    </row>
    <row r="39" customFormat="false" ht="9.75" hidden="false" customHeight="false" outlineLevel="0" collapsed="false">
      <c r="A39" s="17" t="s">
        <v>2351</v>
      </c>
      <c r="B39" s="17" t="n">
        <f aca="false">IF(F01_UC1!B26&gt;=1,1,0)</f>
        <v>0</v>
      </c>
      <c r="C39" s="55" t="s">
        <v>1949</v>
      </c>
    </row>
    <row r="40" customFormat="false" ht="9.75" hidden="false" customHeight="false" outlineLevel="0" collapsed="false">
      <c r="A40" s="17" t="s">
        <v>2352</v>
      </c>
      <c r="B40" s="17" t="n">
        <f aca="false">$B$37+$B$38+$B$39</f>
        <v>1</v>
      </c>
      <c r="C40" s="55" t="s">
        <v>2353</v>
      </c>
    </row>
    <row r="41" customFormat="false" ht="9.75" hidden="false" customHeight="false" outlineLevel="0" collapsed="false">
      <c r="A41" s="17" t="s">
        <v>2354</v>
      </c>
      <c r="B41" s="60" t="n">
        <f aca="false">F01_UC1!B27</f>
        <v>2524331212.83056</v>
      </c>
      <c r="C41" s="55" t="s">
        <v>2355</v>
      </c>
    </row>
    <row r="42" customFormat="false" ht="9.75" hidden="false" customHeight="false" outlineLevel="0" collapsed="false">
      <c r="A42" s="17" t="s">
        <v>2356</v>
      </c>
      <c r="B42" s="60" t="n">
        <f aca="false">F01_UC1!B28</f>
        <v>0</v>
      </c>
      <c r="C42" s="55" t="s">
        <v>2357</v>
      </c>
    </row>
    <row r="43" customFormat="false" ht="9.75" hidden="false" customHeight="false" outlineLevel="0" collapsed="false">
      <c r="A43" s="17" t="s">
        <v>2358</v>
      </c>
      <c r="B43" s="60" t="n">
        <f aca="false">F01_UC1!B18</f>
        <v>979364994</v>
      </c>
      <c r="C43" s="55" t="s">
        <v>2359</v>
      </c>
    </row>
    <row r="44" customFormat="false" ht="9.75" hidden="false" customHeight="false" outlineLevel="0" collapsed="false">
      <c r="A44" s="17" t="s">
        <v>2360</v>
      </c>
      <c r="B44" s="61" t="str">
        <f aca="false">D_UC03!$C$17</f>
        <v>ok</v>
      </c>
      <c r="C44" s="55" t="s">
        <v>2361</v>
      </c>
    </row>
    <row r="46" customFormat="false" ht="9.75" hidden="false" customHeight="false" outlineLevel="0" collapsed="false">
      <c r="A46" s="15" t="s">
        <v>2362</v>
      </c>
      <c r="B46" s="15" t="s">
        <v>1674</v>
      </c>
      <c r="C46" s="15" t="s">
        <v>2363</v>
      </c>
    </row>
    <row r="47" customFormat="false" ht="9.75" hidden="false" customHeight="false" outlineLevel="0" collapsed="false">
      <c r="A47" s="17" t="s">
        <v>2364</v>
      </c>
      <c r="B47" s="56" t="n">
        <f aca="false">$B$32*D_UC03!$C$5</f>
        <v>1713991472.55609</v>
      </c>
      <c r="C47" s="55" t="s">
        <v>806</v>
      </c>
    </row>
    <row r="49" customFormat="false" ht="9.75" hidden="false" customHeight="false" outlineLevel="0" collapsed="false">
      <c r="A49" s="15" t="s">
        <v>2065</v>
      </c>
      <c r="B49" s="15" t="s">
        <v>2015</v>
      </c>
      <c r="C49" s="15" t="s">
        <v>2017</v>
      </c>
      <c r="D49" s="15" t="s">
        <v>1257</v>
      </c>
      <c r="E49" s="15" t="s">
        <v>2066</v>
      </c>
      <c r="F49" s="15" t="s">
        <v>2365</v>
      </c>
      <c r="G49" s="15" t="s">
        <v>2366</v>
      </c>
      <c r="H49" s="15" t="s">
        <v>2367</v>
      </c>
    </row>
    <row r="50" customFormat="false" ht="9.75" hidden="false" customHeight="false" outlineLevel="0" collapsed="false">
      <c r="A50" s="60" t="n">
        <f aca="false">F01_UC2!L29</f>
        <v>1</v>
      </c>
      <c r="B50" s="59" t="n">
        <f aca="false">F01_UC2!M29</f>
        <v>46204</v>
      </c>
      <c r="C50" s="59" t="n">
        <f aca="false">F01_UC2!N29</f>
        <v>46217</v>
      </c>
      <c r="D50" s="60" t="n">
        <f aca="false">F01_UC2!R29</f>
        <v>14</v>
      </c>
      <c r="E50" s="60" t="n">
        <f aca="false">F01_UC2!O29</f>
        <v>4140480437</v>
      </c>
      <c r="F50" s="56" t="n">
        <f aca="false">IF(E50&lt;F01_UC2!$B$9,$B$32-E50,0)</f>
        <v>2715485453.22435</v>
      </c>
      <c r="G50" s="17"/>
      <c r="H50" s="56" t="n">
        <v>0</v>
      </c>
    </row>
    <row r="51" customFormat="false" ht="9.75" hidden="false" customHeight="false" outlineLevel="0" collapsed="false">
      <c r="A51" s="60" t="n">
        <f aca="false">F01_UC2!L30</f>
        <v>2</v>
      </c>
      <c r="B51" s="59" t="n">
        <f aca="false">F01_UC2!M30</f>
        <v>46218</v>
      </c>
      <c r="C51" s="59" t="n">
        <f aca="false">F01_UC2!N30</f>
        <v>46231</v>
      </c>
      <c r="D51" s="60" t="n">
        <f aca="false">F01_UC2!R30</f>
        <v>14</v>
      </c>
      <c r="E51" s="60" t="n">
        <f aca="false">F01_UC2!O30</f>
        <v>11150672753</v>
      </c>
      <c r="F51" s="56" t="n">
        <f aca="false">IF(E51&lt;F01_UC2!$B$9,$B$32-E51,0)</f>
        <v>0</v>
      </c>
      <c r="G51" s="56" t="n">
        <f aca="false">ABS(F51-F50)</f>
        <v>2715485453.22435</v>
      </c>
      <c r="H51" s="56" t="n">
        <f aca="false">IF(AND(G51&gt;=$B$47,D51&gt;=D_UC03!$C$6),1,0)</f>
        <v>1</v>
      </c>
    </row>
    <row r="52" customFormat="false" ht="9.75" hidden="false" customHeight="false" outlineLevel="0" collapsed="false">
      <c r="A52" s="60" t="n">
        <f aca="false">F01_UC2!L31</f>
        <v>3</v>
      </c>
      <c r="B52" s="59" t="n">
        <f aca="false">F01_UC2!M31</f>
        <v>46232</v>
      </c>
      <c r="C52" s="59" t="n">
        <f aca="false">F01_UC2!N31</f>
        <v>46245</v>
      </c>
      <c r="D52" s="60" t="n">
        <f aca="false">F01_UC2!R31</f>
        <v>14</v>
      </c>
      <c r="E52" s="60" t="n">
        <f aca="false">F01_UC2!O31</f>
        <v>12461774647</v>
      </c>
      <c r="F52" s="56" t="n">
        <f aca="false">IF(E52&lt;F01_UC2!$B$9,$B$32-E52,0)</f>
        <v>0</v>
      </c>
      <c r="G52" s="56" t="n">
        <f aca="false">ABS(F52-F51)</f>
        <v>0</v>
      </c>
      <c r="H52" s="56" t="n">
        <f aca="false">IF(AND(G52&gt;=$B$47,D52&gt;=D_UC03!$C$6),1,0)</f>
        <v>0</v>
      </c>
    </row>
    <row r="53" customFormat="false" ht="9.75" hidden="false" customHeight="false" outlineLevel="0" collapsed="false">
      <c r="A53" s="60" t="n">
        <f aca="false">F01_UC2!L32</f>
        <v>4</v>
      </c>
      <c r="B53" s="59" t="n">
        <f aca="false">F01_UC2!M32</f>
        <v>46246</v>
      </c>
      <c r="C53" s="59" t="n">
        <f aca="false">F01_UC2!N32</f>
        <v>46259</v>
      </c>
      <c r="D53" s="60" t="n">
        <f aca="false">F01_UC2!R32</f>
        <v>14</v>
      </c>
      <c r="E53" s="60" t="n">
        <f aca="false">F01_UC2!O32</f>
        <v>15514035449</v>
      </c>
      <c r="F53" s="56" t="n">
        <f aca="false">IF(E53&lt;F01_UC2!$B$9,$B$32-E53,0)</f>
        <v>0</v>
      </c>
      <c r="G53" s="56" t="n">
        <f aca="false">ABS(F53-F52)</f>
        <v>0</v>
      </c>
      <c r="H53" s="56" t="n">
        <f aca="false">IF(AND(G53&gt;=$B$47,D53&gt;=D_UC03!$C$6),1,0)</f>
        <v>0</v>
      </c>
    </row>
    <row r="54" customFormat="false" ht="9.75" hidden="false" customHeight="false" outlineLevel="0" collapsed="false">
      <c r="A54" s="60" t="n">
        <f aca="false">F01_UC2!L33</f>
        <v>5</v>
      </c>
      <c r="B54" s="59" t="n">
        <f aca="false">F01_UC2!M33</f>
        <v>46260</v>
      </c>
      <c r="C54" s="59" t="n">
        <f aca="false">F01_UC2!N33</f>
        <v>46273</v>
      </c>
      <c r="D54" s="60" t="n">
        <f aca="false">F01_UC2!R33</f>
        <v>14</v>
      </c>
      <c r="E54" s="60" t="n">
        <f aca="false">F01_UC2!O33</f>
        <v>14828618808</v>
      </c>
      <c r="F54" s="56" t="n">
        <f aca="false">IF(E54&lt;F01_UC2!$B$9,$B$32-E54,0)</f>
        <v>0</v>
      </c>
      <c r="G54" s="56" t="n">
        <f aca="false">ABS(F54-F53)</f>
        <v>0</v>
      </c>
      <c r="H54" s="56" t="n">
        <f aca="false">IF(AND(G54&gt;=$B$47,D54&gt;=D_UC03!$C$6),1,0)</f>
        <v>0</v>
      </c>
    </row>
    <row r="55" customFormat="false" ht="9.75" hidden="false" customHeight="false" outlineLevel="0" collapsed="false">
      <c r="A55" s="60" t="n">
        <f aca="false">F01_UC2!L34</f>
        <v>6</v>
      </c>
      <c r="B55" s="59" t="n">
        <f aca="false">F01_UC2!M34</f>
        <v>46274</v>
      </c>
      <c r="C55" s="59" t="n">
        <f aca="false">F01_UC2!N34</f>
        <v>46287</v>
      </c>
      <c r="D55" s="60" t="n">
        <f aca="false">F01_UC2!R34</f>
        <v>14</v>
      </c>
      <c r="E55" s="60" t="n">
        <f aca="false">F01_UC2!O34</f>
        <v>15656479147</v>
      </c>
      <c r="F55" s="56" t="n">
        <f aca="false">IF(E55&lt;F01_UC2!$B$9,$B$32-E55,0)</f>
        <v>0</v>
      </c>
      <c r="G55" s="56" t="n">
        <f aca="false">ABS(F55-F54)</f>
        <v>0</v>
      </c>
      <c r="H55" s="56" t="n">
        <f aca="false">IF(AND(G55&gt;=$B$47,D55&gt;=D_UC03!$C$6),1,0)</f>
        <v>0</v>
      </c>
    </row>
    <row r="56" customFormat="false" ht="9.75" hidden="false" customHeight="false" outlineLevel="0" collapsed="false">
      <c r="A56" s="60" t="n">
        <f aca="false">F01_UC2!L35</f>
        <v>7</v>
      </c>
      <c r="B56" s="59" t="n">
        <f aca="false">F01_UC2!M35</f>
        <v>46288</v>
      </c>
      <c r="C56" s="59" t="n">
        <f aca="false">F01_UC2!N35</f>
        <v>46294</v>
      </c>
      <c r="D56" s="60" t="n">
        <f aca="false">F01_UC2!R35</f>
        <v>7</v>
      </c>
      <c r="E56" s="60" t="n">
        <f aca="false">F01_UC2!O35</f>
        <v>14156479147</v>
      </c>
      <c r="F56" s="56" t="n">
        <f aca="false">IF(E56&lt;F01_UC2!$B$9,$B$32-E56,0)</f>
        <v>0</v>
      </c>
      <c r="G56" s="56" t="n">
        <f aca="false">ABS(F56-F55)</f>
        <v>0</v>
      </c>
      <c r="H56" s="56" t="n">
        <f aca="false">IF(AND(G56&gt;=$B$47,D56&gt;=D_UC03!$C$6),1,0)</f>
        <v>0</v>
      </c>
    </row>
    <row r="58" customFormat="false" ht="9.75" hidden="false" customHeight="false" outlineLevel="0" collapsed="false">
      <c r="A58" s="17" t="s">
        <v>2368</v>
      </c>
      <c r="B58" s="56" t="n">
        <f aca="false">SUM(H51:H56)</f>
        <v>1</v>
      </c>
      <c r="C58" s="55" t="s">
        <v>814</v>
      </c>
    </row>
    <row r="59" customFormat="false" ht="9.75" hidden="false" customHeight="false" outlineLevel="0" collapsed="false">
      <c r="A59" s="17" t="s">
        <v>2369</v>
      </c>
      <c r="B59" s="56" t="n">
        <f aca="false">SUMPRODUCT(H51:H56*(F51:F56-F50:F55))</f>
        <v>-2715485453.22435</v>
      </c>
      <c r="C59" s="55" t="s">
        <v>2370</v>
      </c>
    </row>
    <row r="60" customFormat="false" ht="9.75" hidden="false" customHeight="false" outlineLevel="0" collapsed="false">
      <c r="A60" s="17" t="s">
        <v>2319</v>
      </c>
      <c r="B60" s="17" t="str">
        <f aca="false">IF($B$58=0,"đồng đều",IF($B$58=1,IF($B$59&gt;0,"tăng một lần","giảm một lần"),"không phân loại được"))</f>
        <v>giảm một lần</v>
      </c>
      <c r="C60" s="55" t="s">
        <v>814</v>
      </c>
    </row>
    <row r="61" customFormat="false" ht="9.75" hidden="false" customHeight="false" outlineLevel="0" collapsed="false">
      <c r="A61" s="17" t="s">
        <v>2320</v>
      </c>
      <c r="B61" s="17" t="str">
        <f aca="false">IF($B$60="không phân loại được","REVIEW_MANUAL","")</f>
        <v/>
      </c>
      <c r="C61" s="55" t="s">
        <v>2371</v>
      </c>
    </row>
    <row r="62" customFormat="false" ht="9.75" hidden="false" customHeight="false" outlineLevel="0" collapsed="false">
      <c r="A62" s="17" t="s">
        <v>2372</v>
      </c>
      <c r="B62" s="56" t="n">
        <f aca="false">MAX(F50:F56)</f>
        <v>2715485453.22435</v>
      </c>
      <c r="C62" s="55" t="s">
        <v>2373</v>
      </c>
    </row>
    <row r="63" customFormat="false" ht="9.75" hidden="false" customHeight="false" outlineLevel="0" collapsed="false">
      <c r="A63" s="17" t="s">
        <v>2374</v>
      </c>
      <c r="B63" s="56" t="n">
        <f aca="false">IFERROR(MATCH(1,H50:H56,0),0)</f>
        <v>2</v>
      </c>
      <c r="C63" s="55" t="s">
        <v>2375</v>
      </c>
    </row>
    <row r="64" customFormat="false" ht="9.75" hidden="false" customHeight="false" outlineLevel="0" collapsed="false">
      <c r="A64" s="17" t="s">
        <v>2376</v>
      </c>
      <c r="B64" s="56" t="n">
        <f aca="false">IF($B$60="tăng một lần",INDEX(F50:F56,$B$63-1),$B$62)</f>
        <v>2715485453.22435</v>
      </c>
      <c r="C64" s="55" t="s">
        <v>2377</v>
      </c>
    </row>
    <row r="65" customFormat="false" ht="9.75" hidden="false" customHeight="false" outlineLevel="0" collapsed="false">
      <c r="A65" s="17" t="s">
        <v>2323</v>
      </c>
      <c r="B65" s="59" t="n">
        <f aca="false">F01_UC2!B20</f>
        <v>46204</v>
      </c>
      <c r="C65" s="55" t="s">
        <v>2378</v>
      </c>
    </row>
    <row r="66" customFormat="false" ht="9.75" hidden="false" customHeight="false" outlineLevel="0" collapsed="false">
      <c r="A66" s="17" t="s">
        <v>2379</v>
      </c>
      <c r="B66" s="57" t="n">
        <f aca="false">IF($B$63&gt;0,INDEX(B50:B56,$B$63),"n.a.")</f>
        <v>46218</v>
      </c>
      <c r="C66" s="55" t="s">
        <v>2380</v>
      </c>
    </row>
    <row r="67" customFormat="false" ht="9.75" hidden="false" customHeight="false" outlineLevel="0" collapsed="false">
      <c r="A67" s="17" t="s">
        <v>2381</v>
      </c>
      <c r="B67" s="57" t="n">
        <f aca="false">IF($B$33="TH01",_xlfn.MAXIFS(F01_UC2!A70:A160,F01_UC2!G70:G160,"&lt;"&amp;F01_UC2!B9),0)</f>
        <v>46211</v>
      </c>
      <c r="C67" s="55"/>
    </row>
    <row r="68" customFormat="false" ht="9.75" hidden="false" customHeight="false" outlineLevel="0" collapsed="false">
      <c r="A68" s="17" t="s">
        <v>2382</v>
      </c>
      <c r="B68" s="56" t="n">
        <f aca="false">IF($B$33&lt;&gt;"TH01",0,IF(AND($B$60="giảm một lần",ISNUMBER($B$66)),$B$66-$B$65,$B$67-$B$65+1))</f>
        <v>14</v>
      </c>
      <c r="C68" s="55" t="s">
        <v>2383</v>
      </c>
    </row>
    <row r="69" customFormat="false" ht="9.75" hidden="false" customHeight="false" outlineLevel="0" collapsed="false">
      <c r="A69" s="17" t="s">
        <v>2384</v>
      </c>
      <c r="B69" s="56" t="str">
        <f aca="false">IF($B$60="tăng một lần",$B$62,"không có")</f>
        <v>không có</v>
      </c>
      <c r="C69" s="55" t="s">
        <v>2385</v>
      </c>
    </row>
    <row r="70" customFormat="false" ht="9.75" hidden="false" customHeight="false" outlineLevel="0" collapsed="false">
      <c r="A70" s="17" t="s">
        <v>2386</v>
      </c>
      <c r="B70" s="57" t="str">
        <f aca="false">IF($B$60="tăng một lần",$B$66,"không có")</f>
        <v>không có</v>
      </c>
      <c r="C70" s="55"/>
    </row>
    <row r="71" customFormat="false" ht="9.75" hidden="false" customHeight="false" outlineLevel="0" collapsed="false">
      <c r="A71" s="17" t="s">
        <v>2387</v>
      </c>
      <c r="B71" s="56" t="str">
        <f aca="false">IF($B$60="tăng một lần",$B$62-$B$64,"không có")</f>
        <v>không có</v>
      </c>
      <c r="C71" s="55" t="s">
        <v>2388</v>
      </c>
    </row>
    <row r="72" customFormat="false" ht="9.75" hidden="false" customHeight="false" outlineLevel="0" collapsed="false">
      <c r="A72" s="17" t="s">
        <v>2389</v>
      </c>
      <c r="B72" s="56" t="n">
        <f aca="false">IF($B$33="TH01",$B$64,0)</f>
        <v>2715485453.22435</v>
      </c>
      <c r="C72" s="55" t="s">
        <v>2390</v>
      </c>
    </row>
    <row r="73" customFormat="false" ht="9.75" hidden="false" customHeight="false" outlineLevel="0" collapsed="false">
      <c r="A73" s="17" t="s">
        <v>2324</v>
      </c>
      <c r="B73" s="56" t="n">
        <f aca="false">IFERROR($B$65-$B$31,0)</f>
        <v>1</v>
      </c>
      <c r="C73" s="55" t="s">
        <v>835</v>
      </c>
    </row>
    <row r="74" customFormat="false" ht="9.75" hidden="false" customHeight="false" outlineLevel="0" collapsed="false">
      <c r="A74" s="17" t="s">
        <v>2391</v>
      </c>
      <c r="B74" s="56" t="n">
        <f aca="false">IF($B$73&lt;=D_UC03!$C$12,1,0)</f>
        <v>1</v>
      </c>
      <c r="C74" s="55" t="s">
        <v>2392</v>
      </c>
    </row>
    <row r="75" customFormat="false" ht="9.75" hidden="false" customHeight="false" outlineLevel="0" collapsed="false">
      <c r="A75" s="17" t="s">
        <v>2393</v>
      </c>
      <c r="B75" s="17" t="str">
        <f aca="false">IF($B$72&gt;=$B$47,"NẶNG","NHẸ")</f>
        <v>NẶNG</v>
      </c>
      <c r="C75" s="55" t="s">
        <v>828</v>
      </c>
    </row>
    <row r="76" customFormat="false" ht="9.75" hidden="false" customHeight="false" outlineLevel="0" collapsed="false">
      <c r="A76" s="17" t="s">
        <v>2394</v>
      </c>
      <c r="B76" s="56" t="n">
        <f aca="false">$B$72*D_UC03!$C$10</f>
        <v>135774272.661218</v>
      </c>
      <c r="C76" s="55" t="s">
        <v>2395</v>
      </c>
    </row>
    <row r="78" customFormat="false" ht="9.75" hidden="false" customHeight="false" outlineLevel="0" collapsed="false">
      <c r="A78" s="15" t="s">
        <v>2396</v>
      </c>
      <c r="B78" s="15" t="s">
        <v>1674</v>
      </c>
      <c r="C78" s="15" t="s">
        <v>2363</v>
      </c>
    </row>
    <row r="79" customFormat="false" ht="9.75" hidden="false" customHeight="false" outlineLevel="0" collapsed="false">
      <c r="A79" s="17" t="s">
        <v>2397</v>
      </c>
      <c r="B79" s="62" t="n">
        <f aca="false">IF($B$62&gt;0,MIN(1,$B$41/$B$62),0)</f>
        <v>0.929605868384668</v>
      </c>
      <c r="C79" s="55" t="s">
        <v>2398</v>
      </c>
    </row>
    <row r="80" customFormat="false" ht="9.75" hidden="false" customHeight="false" outlineLevel="0" collapsed="false">
      <c r="A80" s="17" t="s">
        <v>2399</v>
      </c>
      <c r="B80" s="62" t="n">
        <f aca="false">IF($B$62&gt;0,MIN(1,$B$42/$B$62),0)</f>
        <v>0</v>
      </c>
      <c r="C80" s="55" t="s">
        <v>2398</v>
      </c>
    </row>
    <row r="81" customFormat="false" ht="9.75" hidden="false" customHeight="false" outlineLevel="0" collapsed="false">
      <c r="A81" s="17" t="s">
        <v>2400</v>
      </c>
      <c r="B81" s="62" t="n">
        <f aca="false">IF($B$62&gt;0,MIN(1,$B$43/$B$62),0)</f>
        <v>0.360659267328097</v>
      </c>
      <c r="C81" s="55" t="s">
        <v>2398</v>
      </c>
    </row>
    <row r="82" customFormat="false" ht="9.75" hidden="false" customHeight="false" outlineLevel="0" collapsed="false">
      <c r="A82" s="17" t="s">
        <v>2401</v>
      </c>
      <c r="B82" s="17" t="str">
        <f aca="false">IF($B$79&gt;=D_UC03!$C$7,"CHÍNH",IF($B$79&gt;=D_UC03!$C$8,"PHỤ","BỎ QUA"))</f>
        <v>CHÍNH</v>
      </c>
      <c r="C82" s="55" t="s">
        <v>2402</v>
      </c>
    </row>
    <row r="83" customFormat="false" ht="9.75" hidden="false" customHeight="false" outlineLevel="0" collapsed="false">
      <c r="A83" s="17" t="s">
        <v>2403</v>
      </c>
      <c r="B83" s="17" t="str">
        <f aca="false">IF($B$80&gt;=D_UC03!$C$7,"CHÍNH",IF($B$80&gt;=D_UC03!$C$8,"PHỤ","BỎ QUA"))</f>
        <v>BỎ QUA</v>
      </c>
      <c r="C83" s="55" t="s">
        <v>2402</v>
      </c>
    </row>
    <row r="84" customFormat="false" ht="9.75" hidden="false" customHeight="false" outlineLevel="0" collapsed="false">
      <c r="A84" s="17" t="s">
        <v>2404</v>
      </c>
      <c r="B84" s="17" t="str">
        <f aca="false">IF($B$81&gt;=D_UC03!$C$7,"CHÍNH",IF($B$81&gt;=D_UC03!$C$8,"PHỤ","BỎ QUA"))</f>
        <v>PHỤ</v>
      </c>
      <c r="C84" s="55" t="s">
        <v>2402</v>
      </c>
    </row>
    <row r="85" customFormat="false" ht="9.75" hidden="false" customHeight="false" outlineLevel="0" collapsed="false">
      <c r="A85" s="17" t="s">
        <v>2405</v>
      </c>
      <c r="B85" s="17" t="str">
        <f aca="false">IF(AND($B$79&gt;=D_UC03!$C$7,$B$79&gt;=$B$80,$B$79&gt;=$B$81),"AR",IF(AND($B$80&gt;=D_UC03!$C$7,$B$80&gt;=$B$81),"INV",IF($B$81&gt;=D_UC03!$C$7,"AP","")))</f>
        <v>AR</v>
      </c>
      <c r="C85" s="55" t="s">
        <v>2406</v>
      </c>
    </row>
    <row r="86" customFormat="false" ht="9.75" hidden="false" customHeight="false" outlineLevel="0" collapsed="false">
      <c r="A86" s="17" t="s">
        <v>2407</v>
      </c>
      <c r="B86" s="56" t="n">
        <f aca="false">MAX($O$92:$O$105)</f>
        <v>9220053036.7</v>
      </c>
      <c r="C86" s="55" t="s">
        <v>873</v>
      </c>
    </row>
    <row r="87" customFormat="false" ht="9.75" hidden="false" customHeight="false" outlineLevel="0" collapsed="false">
      <c r="A87" s="17" t="s">
        <v>2408</v>
      </c>
      <c r="B87" s="17" t="str">
        <f aca="false">IF($B$85="AR","A1",IF($B$85="INV","A2",IF($B$85="AP","A4","A3")))</f>
        <v>A1</v>
      </c>
      <c r="C87" s="55" t="s">
        <v>866</v>
      </c>
    </row>
    <row r="88" customFormat="false" ht="9.75" hidden="false" customHeight="false" outlineLevel="0" collapsed="false">
      <c r="A88" s="18" t="s">
        <v>2013</v>
      </c>
      <c r="B88" s="18" t="str">
        <f aca="false">IF($B$33="TH01",IF($B$36=1,"B2",$B$87),IF($B$33="TH02",IF($B$34="W0","D_INVEST","D_RESERVE"),"MONITOR"))</f>
        <v>A1</v>
      </c>
      <c r="C88" s="55" t="s">
        <v>2409</v>
      </c>
    </row>
    <row r="90" customFormat="false" ht="9.75" hidden="false" customHeight="false" outlineLevel="0" collapsed="false">
      <c r="A90" s="54" t="s">
        <v>2410</v>
      </c>
    </row>
    <row r="91" customFormat="false" ht="9.75" hidden="false" customHeight="false" outlineLevel="0" collapsed="false">
      <c r="A91" s="15" t="s">
        <v>154</v>
      </c>
      <c r="B91" s="15" t="s">
        <v>1359</v>
      </c>
      <c r="C91" s="15" t="s">
        <v>2411</v>
      </c>
      <c r="D91" s="15" t="s">
        <v>2412</v>
      </c>
      <c r="E91" s="15" t="s">
        <v>2413</v>
      </c>
      <c r="F91" s="15" t="s">
        <v>2414</v>
      </c>
      <c r="G91" s="15" t="s">
        <v>2415</v>
      </c>
      <c r="H91" s="15" t="s">
        <v>2416</v>
      </c>
      <c r="I91" s="15" t="s">
        <v>2417</v>
      </c>
      <c r="J91" s="15" t="s">
        <v>2418</v>
      </c>
      <c r="K91" s="15" t="s">
        <v>984</v>
      </c>
      <c r="L91" s="15" t="s">
        <v>2419</v>
      </c>
      <c r="M91" s="15" t="s">
        <v>2420</v>
      </c>
      <c r="N91" s="15" t="s">
        <v>2421</v>
      </c>
      <c r="O91" s="15" t="s">
        <v>2422</v>
      </c>
      <c r="P91" s="15" t="s">
        <v>2332</v>
      </c>
      <c r="Q91" s="15" t="s">
        <v>2423</v>
      </c>
      <c r="R91" s="15" t="s">
        <v>997</v>
      </c>
      <c r="S91" s="15" t="s">
        <v>1005</v>
      </c>
      <c r="T91" s="15" t="s">
        <v>2424</v>
      </c>
      <c r="U91" s="15" t="s">
        <v>2425</v>
      </c>
      <c r="V91" s="15" t="s">
        <v>2426</v>
      </c>
      <c r="W91" s="15" t="s">
        <v>1020</v>
      </c>
      <c r="X91" s="15" t="s">
        <v>2427</v>
      </c>
      <c r="Y91" s="15" t="s">
        <v>2428</v>
      </c>
      <c r="Z91" s="15" t="s">
        <v>2429</v>
      </c>
    </row>
    <row r="92" customFormat="false" ht="9.75" hidden="false" customHeight="false" outlineLevel="0" collapsed="false">
      <c r="A92" s="61" t="str">
        <f aca="false">D_UC03!$A$23</f>
        <v>NB-01</v>
      </c>
      <c r="B92" s="61" t="str">
        <f aca="false">D_UC03!$C$23</f>
        <v>NB</v>
      </c>
      <c r="C92" s="61" t="str">
        <f aca="false">D_UC03!$D$23</f>
        <v>O0</v>
      </c>
      <c r="D92" s="61" t="str">
        <f aca="false">D_UC03!$E$23</f>
        <v>OBJ-NB</v>
      </c>
      <c r="E92" s="60" t="n">
        <f aca="false">D_UC03!$F$23</f>
        <v>2000000000</v>
      </c>
      <c r="F92" s="58" t="n">
        <f aca="false">IF(B92="INV_SALE",1-D_UC03!$H$23,D_UC03!$G$23)</f>
        <v>1</v>
      </c>
      <c r="G92" s="56" t="n">
        <f aca="false">E92*F92</f>
        <v>2000000000</v>
      </c>
      <c r="H92" s="56" t="n">
        <f aca="false">IF(D_UC03!$S$23=1,MIN(D_UC03!$L$23,$B$68),D_UC03!$L$23)</f>
        <v>0</v>
      </c>
      <c r="I92" s="56" t="n">
        <f aca="false">IF(B92="INV_SALE",E92*D_UC03!$H$23+D_UC03!$K$23,G92*D_UC03!$I$23*H92/365+G92*D_UC03!$J$23+D_UC03!$K$23)</f>
        <v>0</v>
      </c>
      <c r="J92" s="60" t="n">
        <f aca="false">D_UC03!$M$23</f>
        <v>2</v>
      </c>
      <c r="K92" s="56" t="n">
        <f aca="false">IF(J92&lt;=$B$73,1,0)</f>
        <v>0</v>
      </c>
      <c r="L92" s="56" t="n">
        <f aca="false">IF(AND(D_UC03!$Q$23&lt;&gt;"Y",D_UC03!$P$23&lt;&gt;"Y",D_UC03!$R$23&lt;&gt;"N",G92&gt;0,NOT(AND($B$68&lt;D_UC03!$C$13,OR(D_UC03!$S$23=0,D_UC03!$K$23&gt;0)))),1,0)</f>
        <v>1</v>
      </c>
      <c r="M92" s="56" t="n">
        <f aca="false">IF($B$33&lt;&gt;"TH01",0,IF($B$35="M1",IF(OR(B92="CL",B92="NB"),1,0),1))</f>
        <v>1</v>
      </c>
      <c r="N92" s="56" t="n">
        <f aca="false">L92*M92</f>
        <v>1</v>
      </c>
      <c r="O92" s="56" t="n">
        <f aca="false">IF(AND(L92=1,K92=1),G92,0)</f>
        <v>0</v>
      </c>
      <c r="P92" s="58" t="n">
        <f aca="false">IF(AND(G92&gt;0,$B$72&gt;0),ROUND(I92/MIN(G92,$B$72),4),0)</f>
        <v>0</v>
      </c>
      <c r="Q92" s="56" t="n">
        <f aca="false">IF(B92="NB",0,IF($B$35="M1",IF(B92="CL",1,9),IF($B$35="M3",IF(OR(B92="AR_EARLY",B92="RF",B92="FAC"),1,IF(B92="AP_EXT",2,3)),IF(OR(B92="AR_EARLY",B92="RF",B92="FAC"),1,IF(OR(B92="INV_LOAN",B92="INV_SALE"),2,IF(B92="AP_EXT",3,4))))))</f>
        <v>0</v>
      </c>
      <c r="R92" s="56" t="n">
        <f aca="false">IF(J92&lt;=3,1,IF(J92&lt;=10,2,3))</f>
        <v>1</v>
      </c>
      <c r="S92" s="56" t="n">
        <f aca="false">IF($B$44="degraded",3,IF(D_UC03!$N$23="Cao",1,IF(D_UC03!$N$23="Trung bình",2,3)))</f>
        <v>1</v>
      </c>
      <c r="T92" s="60" t="n">
        <f aca="false">D_UC03!$O$23</f>
        <v>0</v>
      </c>
      <c r="U92" s="56" t="n">
        <f aca="false">IF(K92=1,0,2)</f>
        <v>2</v>
      </c>
      <c r="V92" s="56" t="n">
        <v>1</v>
      </c>
      <c r="W92" s="56" t="n">
        <f aca="false">IF(N92=1,U92*10^13+IF($B$74=1,R92*10^12+Q92*10^11,Q92*10^12+R92*10^11)+S92*10^10+MIN(99999,ROUND(P92*10000,0))*10^5+T92*10^4+MIN(99,J92)*100+V92,9*10^14+V92)</f>
        <v>21010000000201</v>
      </c>
      <c r="X92" s="56" t="n">
        <f aca="false">IF(N92=1,SUMPRODUCT(($W$92:$W$105&lt;W92)*($N$92:$N$105=1))+1,"")</f>
        <v>3</v>
      </c>
      <c r="Y92" s="17" t="str">
        <f aca="false">IF(D_UC03!$Q$23="Y","PLEDGED",IF(D_UC03!$P$23="Y","STRATEGIC_OR_CRITICAL",IF(D_UC03!$R$23="N","NO_PRODUCT_DATA",IF(G92&lt;=0,"NO_NET_CASH",IF(L92=0,"SHORT_DURATION_LOCKED",IF(M92=0,"OUT_OF_SCENARIO",IF(K92=0,"TOO_SLOW",IF(G92&lt;$B$76,"BELOW_MIN_DRAW",""))))))))</f>
        <v>TOO_SLOW</v>
      </c>
      <c r="Z92" s="17" t="str">
        <f aca="false">IF(AND(D_UC03!$S$23=0,D_UC03!$L$23&lt;$B$68),"NOT_COVERING_DURATION","")</f>
        <v/>
      </c>
    </row>
    <row r="93" customFormat="false" ht="9.75" hidden="false" customHeight="false" outlineLevel="0" collapsed="false">
      <c r="A93" s="61" t="str">
        <f aca="false">D_UC03!$A$24</f>
        <v>EX-01</v>
      </c>
      <c r="B93" s="61" t="str">
        <f aca="false">D_UC03!$C$24</f>
        <v>AP_EXT</v>
      </c>
      <c r="C93" s="61" t="str">
        <f aca="false">D_UC03!$D$24</f>
        <v>O1</v>
      </c>
      <c r="D93" s="61" t="str">
        <f aca="false">D_UC03!$E$24</f>
        <v>OBJ-APX</v>
      </c>
      <c r="E93" s="60" t="n">
        <f aca="false">D_UC03!$F$24</f>
        <v>2983068109</v>
      </c>
      <c r="F93" s="58" t="n">
        <f aca="false">IF(B93="INV_SALE",1-D_UC03!$H$24,D_UC03!$G$24)</f>
        <v>1</v>
      </c>
      <c r="G93" s="56" t="n">
        <f aca="false">E93*F93</f>
        <v>2983068109</v>
      </c>
      <c r="H93" s="56" t="n">
        <f aca="false">IF(D_UC03!$S$24=1,MIN(D_UC03!$L$24,$B$68),D_UC03!$L$24)</f>
        <v>0</v>
      </c>
      <c r="I93" s="56" t="n">
        <f aca="false">IF(B93="INV_SALE",E93*D_UC03!$H$24+D_UC03!$K$24,G93*D_UC03!$I$24*H93/365+G93*D_UC03!$J$24+D_UC03!$K$24)</f>
        <v>0</v>
      </c>
      <c r="J93" s="60" t="n">
        <f aca="false">D_UC03!$M$24</f>
        <v>2</v>
      </c>
      <c r="K93" s="56" t="n">
        <f aca="false">IF(J93&lt;=$B$73,1,0)</f>
        <v>0</v>
      </c>
      <c r="L93" s="56" t="n">
        <f aca="false">IF(AND(D_UC03!$Q$24&lt;&gt;"Y",D_UC03!$P$24&lt;&gt;"Y",D_UC03!$R$24&lt;&gt;"N",G93&gt;0,NOT(AND($B$68&lt;D_UC03!$C$13,OR(D_UC03!$S$24=0,D_UC03!$K$24&gt;0)))),1,0)</f>
        <v>1</v>
      </c>
      <c r="M93" s="56" t="n">
        <f aca="false">IF($B$33&lt;&gt;"TH01",0,IF($B$35="M1",IF(OR(B93="CL",B93="NB"),1,0),1))</f>
        <v>1</v>
      </c>
      <c r="N93" s="56" t="n">
        <f aca="false">L93*M93</f>
        <v>1</v>
      </c>
      <c r="O93" s="56" t="n">
        <f aca="false">IF(AND(L93=1,K93=1),G93,0)</f>
        <v>0</v>
      </c>
      <c r="P93" s="58" t="n">
        <f aca="false">IF(AND(G93&gt;0,$B$72&gt;0),ROUND(I93/MIN(G93,$B$72),4),0)</f>
        <v>0</v>
      </c>
      <c r="Q93" s="56" t="n">
        <f aca="false">IF(B93="NB",0,IF($B$35="M1",IF(B93="CL",1,9),IF($B$35="M3",IF(OR(B93="AR_EARLY",B93="RF",B93="FAC"),1,IF(B93="AP_EXT",2,3)),IF(OR(B93="AR_EARLY",B93="RF",B93="FAC"),1,IF(OR(B93="INV_LOAN",B93="INV_SALE"),2,IF(B93="AP_EXT",3,4))))))</f>
        <v>2</v>
      </c>
      <c r="R93" s="56" t="n">
        <f aca="false">IF(J93&lt;=3,1,IF(J93&lt;=10,2,3))</f>
        <v>1</v>
      </c>
      <c r="S93" s="56" t="n">
        <f aca="false">IF($B$44="degraded",3,IF(D_UC03!$N$24="Cao",1,IF(D_UC03!$N$24="Trung bình",2,3)))</f>
        <v>3</v>
      </c>
      <c r="T93" s="60" t="n">
        <f aca="false">D_UC03!$O$24</f>
        <v>1</v>
      </c>
      <c r="U93" s="56" t="n">
        <f aca="false">IF(K93=1,0,2)</f>
        <v>2</v>
      </c>
      <c r="V93" s="56" t="n">
        <v>2</v>
      </c>
      <c r="W93" s="56" t="n">
        <f aca="false">IF(N93=1,U93*10^13+IF($B$74=1,R93*10^12+Q93*10^11,Q93*10^12+R93*10^11)+S93*10^10+MIN(99999,ROUND(P93*10000,0))*10^5+T93*10^4+MIN(99,J93)*100+V93,9*10^14+V93)</f>
        <v>21230000010202</v>
      </c>
      <c r="X93" s="56" t="n">
        <f aca="false">IF(N93=1,SUMPRODUCT(($W$92:$W$105&lt;W93)*($N$92:$N$105=1))+1,"")</f>
        <v>6</v>
      </c>
      <c r="Y93" s="17" t="str">
        <f aca="false">IF(D_UC03!$Q$24="Y","PLEDGED",IF(D_UC03!$P$24="Y","STRATEGIC_OR_CRITICAL",IF(D_UC03!$R$24="N","NO_PRODUCT_DATA",IF(G93&lt;=0,"NO_NET_CASH",IF(L93=0,"SHORT_DURATION_LOCKED",IF(M93=0,"OUT_OF_SCENARIO",IF(K93=0,"TOO_SLOW",IF(G93&lt;$B$76,"BELOW_MIN_DRAW",""))))))))</f>
        <v>TOO_SLOW</v>
      </c>
      <c r="Z93" s="17" t="str">
        <f aca="false">IF(AND(D_UC03!$S$24=0,D_UC03!$L$24&lt;$B$68),"NOT_COVERING_DURATION","")</f>
        <v/>
      </c>
    </row>
    <row r="94" customFormat="false" ht="20.25" hidden="false" customHeight="true" outlineLevel="0" collapsed="false">
      <c r="A94" s="61" t="str">
        <f aca="false">D_UC03!$A$25</f>
        <v>EX-02</v>
      </c>
      <c r="B94" s="61" t="str">
        <f aca="false">D_UC03!$C$25</f>
        <v>AP_EXT</v>
      </c>
      <c r="C94" s="61" t="str">
        <f aca="false">D_UC03!$D$25</f>
        <v>O1</v>
      </c>
      <c r="D94" s="61" t="str">
        <f aca="false">D_UC03!$E$25</f>
        <v>OBJ-APS</v>
      </c>
      <c r="E94" s="60" t="n">
        <f aca="false">D_UC03!$F$25</f>
        <v>4430604968</v>
      </c>
      <c r="F94" s="58" t="n">
        <f aca="false">IF(B94="INV_SALE",1-D_UC03!$H$25,D_UC03!$G$25)</f>
        <v>1</v>
      </c>
      <c r="G94" s="56" t="n">
        <f aca="false">E94*F94</f>
        <v>4430604968</v>
      </c>
      <c r="H94" s="56" t="n">
        <f aca="false">IF(D_UC03!$S$25=1,MIN(D_UC03!$L$25,$B$68),D_UC03!$L$25)</f>
        <v>0</v>
      </c>
      <c r="I94" s="56" t="n">
        <f aca="false">IF(B94="INV_SALE",E94*D_UC03!$H$25+D_UC03!$K$25,G94*D_UC03!$I$25*H94/365+G94*D_UC03!$J$25+D_UC03!$K$25)</f>
        <v>0</v>
      </c>
      <c r="J94" s="60" t="n">
        <f aca="false">D_UC03!$M$25</f>
        <v>2</v>
      </c>
      <c r="K94" s="56" t="n">
        <f aca="false">IF(J94&lt;=$B$73,1,0)</f>
        <v>0</v>
      </c>
      <c r="L94" s="56" t="n">
        <f aca="false">IF(AND(D_UC03!$Q$25&lt;&gt;"Y",D_UC03!$P$25&lt;&gt;"Y",D_UC03!$R$25&lt;&gt;"N",G94&gt;0,NOT(AND($B$68&lt;D_UC03!$C$13,OR(D_UC03!$S$25=0,D_UC03!$K$25&gt;0)))),1,0)</f>
        <v>0</v>
      </c>
      <c r="M94" s="56" t="n">
        <f aca="false">IF($B$33&lt;&gt;"TH01",0,IF($B$35="M1",IF(OR(B94="CL",B94="NB"),1,0),1))</f>
        <v>1</v>
      </c>
      <c r="N94" s="56" t="n">
        <f aca="false">L94*M94</f>
        <v>0</v>
      </c>
      <c r="O94" s="56" t="n">
        <f aca="false">IF(AND(L94=1,K94=1),G94,0)</f>
        <v>0</v>
      </c>
      <c r="P94" s="58" t="n">
        <f aca="false">IF(AND(G94&gt;0,$B$72&gt;0),ROUND(I94/MIN(G94,$B$72),4),0)</f>
        <v>0</v>
      </c>
      <c r="Q94" s="56" t="n">
        <f aca="false">IF(B94="NB",0,IF($B$35="M1",IF(B94="CL",1,9),IF($B$35="M3",IF(OR(B94="AR_EARLY",B94="RF",B94="FAC"),1,IF(B94="AP_EXT",2,3)),IF(OR(B94="AR_EARLY",B94="RF",B94="FAC"),1,IF(OR(B94="INV_LOAN",B94="INV_SALE"),2,IF(B94="AP_EXT",3,4))))))</f>
        <v>2</v>
      </c>
      <c r="R94" s="56" t="n">
        <f aca="false">IF(J94&lt;=3,1,IF(J94&lt;=10,2,3))</f>
        <v>1</v>
      </c>
      <c r="S94" s="56" t="n">
        <f aca="false">IF($B$44="degraded",3,IF(D_UC03!$N$25="Cao",1,IF(D_UC03!$N$25="Trung bình",2,3)))</f>
        <v>3</v>
      </c>
      <c r="T94" s="60" t="n">
        <f aca="false">D_UC03!$O$25</f>
        <v>2</v>
      </c>
      <c r="U94" s="56" t="n">
        <f aca="false">IF(K94=1,0,2)</f>
        <v>2</v>
      </c>
      <c r="V94" s="56" t="n">
        <v>3</v>
      </c>
      <c r="W94" s="56" t="n">
        <f aca="false">IF(N94=1,U94*10^13+IF($B$74=1,R94*10^12+Q94*10^11,Q94*10^12+R94*10^11)+S94*10^10+MIN(99999,ROUND(P94*10000,0))*10^5+T94*10^4+MIN(99,J94)*100+V94,9*10^14+V94)</f>
        <v>900000000000003</v>
      </c>
      <c r="X94" s="56" t="str">
        <f aca="false">IF(N94=1,SUMPRODUCT(($W$92:$W$105&lt;W94)*($N$92:$N$105=1))+1,"")</f>
        <v/>
      </c>
      <c r="Y94" s="17" t="str">
        <f aca="false">IF(D_UC03!$Q$25="Y","PLEDGED",IF(D_UC03!$P$25="Y","STRATEGIC_OR_CRITICAL",IF(D_UC03!$R$25="N","NO_PRODUCT_DATA",IF(G94&lt;=0,"NO_NET_CASH",IF(L94=0,"SHORT_DURATION_LOCKED",IF(M94=0,"OUT_OF_SCENARIO",IF(K94=0,"TOO_SLOW",IF(G94&lt;$B$76,"BELOW_MIN_DRAW",""))))))))</f>
        <v>STRATEGIC_OR_CRITICAL</v>
      </c>
      <c r="Z94" s="17" t="str">
        <f aca="false">IF(AND(D_UC03!$S$25=0,D_UC03!$L$25&lt;$B$68),"NOT_COVERING_DURATION","")</f>
        <v/>
      </c>
    </row>
    <row r="95" customFormat="false" ht="9.75" hidden="false" customHeight="false" outlineLevel="0" collapsed="false">
      <c r="A95" s="61" t="str">
        <f aca="false">D_UC03!$A$26</f>
        <v>AR-01</v>
      </c>
      <c r="B95" s="61" t="str">
        <f aca="false">D_UC03!$C$26</f>
        <v>AR_EARLY</v>
      </c>
      <c r="C95" s="61" t="str">
        <f aca="false">D_UC03!$D$26</f>
        <v>O4</v>
      </c>
      <c r="D95" s="61" t="str">
        <f aca="false">D_UC03!$E$26</f>
        <v>OBJ-AR-K1</v>
      </c>
      <c r="E95" s="60" t="n">
        <f aca="false">D_UC03!$F$26</f>
        <v>9705318986</v>
      </c>
      <c r="F95" s="58" t="n">
        <f aca="false">IF(B95="INV_SALE",1-D_UC03!$H$26,D_UC03!$G$26)</f>
        <v>1</v>
      </c>
      <c r="G95" s="56" t="n">
        <f aca="false">E95*F95</f>
        <v>9705318986</v>
      </c>
      <c r="H95" s="56" t="n">
        <f aca="false">IF(D_UC03!$S$26=1,MIN(D_UC03!$L$26,$B$68),D_UC03!$L$26)</f>
        <v>0</v>
      </c>
      <c r="I95" s="56" t="n">
        <f aca="false">IF(B95="INV_SALE",E95*D_UC03!$H$26+D_UC03!$K$26,G95*D_UC03!$I$26*H95/365+G95*D_UC03!$J$26+D_UC03!$K$26)</f>
        <v>97053189.86</v>
      </c>
      <c r="J95" s="60" t="n">
        <f aca="false">D_UC03!$M$26</f>
        <v>5</v>
      </c>
      <c r="K95" s="56" t="n">
        <f aca="false">IF(J95&lt;=$B$73,1,0)</f>
        <v>0</v>
      </c>
      <c r="L95" s="56" t="n">
        <f aca="false">IF(AND(D_UC03!$Q$26&lt;&gt;"Y",D_UC03!$P$26&lt;&gt;"Y",D_UC03!$R$26&lt;&gt;"N",G95&gt;0,NOT(AND($B$68&lt;D_UC03!$C$13,OR(D_UC03!$S$26=0,D_UC03!$K$26&gt;0)))),1,0)</f>
        <v>1</v>
      </c>
      <c r="M95" s="56" t="n">
        <f aca="false">IF($B$33&lt;&gt;"TH01",0,IF($B$35="M1",IF(OR(B95="CL",B95="NB"),1,0),1))</f>
        <v>1</v>
      </c>
      <c r="N95" s="56" t="n">
        <f aca="false">L95*M95</f>
        <v>1</v>
      </c>
      <c r="O95" s="56" t="n">
        <f aca="false">IF(AND(L95=1,K95=1),G95,0)</f>
        <v>0</v>
      </c>
      <c r="P95" s="58" t="n">
        <f aca="false">IF(AND(G95&gt;0,$B$72&gt;0),ROUND(I95/MIN(G95,$B$72),4),0)</f>
        <v>0.0357</v>
      </c>
      <c r="Q95" s="56" t="n">
        <f aca="false">IF(B95="NB",0,IF($B$35="M1",IF(B95="CL",1,9),IF($B$35="M3",IF(OR(B95="AR_EARLY",B95="RF",B95="FAC"),1,IF(B95="AP_EXT",2,3)),IF(OR(B95="AR_EARLY",B95="RF",B95="FAC"),1,IF(OR(B95="INV_LOAN",B95="INV_SALE"),2,IF(B95="AP_EXT",3,4))))))</f>
        <v>1</v>
      </c>
      <c r="R95" s="56" t="n">
        <f aca="false">IF(J95&lt;=3,1,IF(J95&lt;=10,2,3))</f>
        <v>2</v>
      </c>
      <c r="S95" s="56" t="n">
        <f aca="false">IF($B$44="degraded",3,IF(D_UC03!$N$26="Cao",1,IF(D_UC03!$N$26="Trung bình",2,3)))</f>
        <v>2</v>
      </c>
      <c r="T95" s="60" t="n">
        <f aca="false">D_UC03!$O$26</f>
        <v>1</v>
      </c>
      <c r="U95" s="56" t="n">
        <f aca="false">IF(K95=1,0,2)</f>
        <v>2</v>
      </c>
      <c r="V95" s="56" t="n">
        <v>4</v>
      </c>
      <c r="W95" s="56" t="n">
        <f aca="false">IF(N95=1,U95*10^13+IF($B$74=1,R95*10^12+Q95*10^11,Q95*10^12+R95*10^11)+S95*10^10+MIN(99999,ROUND(P95*10000,0))*10^5+T95*10^4+MIN(99,J95)*100+V95,9*10^14+V95)</f>
        <v>22120035710504</v>
      </c>
      <c r="X95" s="56" t="n">
        <f aca="false">IF(N95=1,SUMPRODUCT(($W$92:$W$105&lt;W95)*($N$92:$N$105=1))+1,"")</f>
        <v>8</v>
      </c>
      <c r="Y95" s="17" t="str">
        <f aca="false">IF(D_UC03!$Q$26="Y","PLEDGED",IF(D_UC03!$P$26="Y","STRATEGIC_OR_CRITICAL",IF(D_UC03!$R$26="N","NO_PRODUCT_DATA",IF(G95&lt;=0,"NO_NET_CASH",IF(L95=0,"SHORT_DURATION_LOCKED",IF(M95=0,"OUT_OF_SCENARIO",IF(K95=0,"TOO_SLOW",IF(G95&lt;$B$76,"BELOW_MIN_DRAW",""))))))))</f>
        <v>TOO_SLOW</v>
      </c>
      <c r="Z95" s="17" t="str">
        <f aca="false">IF(AND(D_UC03!$S$26=0,D_UC03!$L$26&lt;$B$68),"NOT_COVERING_DURATION","")</f>
        <v/>
      </c>
    </row>
    <row r="96" customFormat="false" ht="20.25" hidden="false" customHeight="true" outlineLevel="0" collapsed="false">
      <c r="A96" s="61" t="str">
        <f aca="false">D_UC03!$A$27</f>
        <v>AR-02</v>
      </c>
      <c r="B96" s="61" t="str">
        <f aca="false">D_UC03!$C$27</f>
        <v>AR_EARLY</v>
      </c>
      <c r="C96" s="61" t="str">
        <f aca="false">D_UC03!$D$27</f>
        <v>O4</v>
      </c>
      <c r="D96" s="61" t="str">
        <f aca="false">D_UC03!$E$27</f>
        <v>OBJ-AR-K2</v>
      </c>
      <c r="E96" s="60" t="n">
        <f aca="false">D_UC03!$F$27</f>
        <v>2871750170</v>
      </c>
      <c r="F96" s="58" t="n">
        <f aca="false">IF(B96="INV_SALE",1-D_UC03!$H$27,D_UC03!$G$27)</f>
        <v>1</v>
      </c>
      <c r="G96" s="56" t="n">
        <f aca="false">E96*F96</f>
        <v>2871750170</v>
      </c>
      <c r="H96" s="56" t="n">
        <f aca="false">IF(D_UC03!$S$27=1,MIN(D_UC03!$L$27,$B$68),D_UC03!$L$27)</f>
        <v>0</v>
      </c>
      <c r="I96" s="56" t="n">
        <f aca="false">IF(B96="INV_SALE",E96*D_UC03!$H$27+D_UC03!$K$27,G96*D_UC03!$I$27*H96/365+G96*D_UC03!$J$27+D_UC03!$K$27)</f>
        <v>28717501.7</v>
      </c>
      <c r="J96" s="60" t="n">
        <f aca="false">D_UC03!$M$27</f>
        <v>5</v>
      </c>
      <c r="K96" s="56" t="n">
        <f aca="false">IF(J96&lt;=$B$73,1,0)</f>
        <v>0</v>
      </c>
      <c r="L96" s="56" t="n">
        <f aca="false">IF(AND(D_UC03!$Q$27&lt;&gt;"Y",D_UC03!$P$27&lt;&gt;"Y",D_UC03!$R$27&lt;&gt;"N",G96&gt;0,NOT(AND($B$68&lt;D_UC03!$C$13,OR(D_UC03!$S$27=0,D_UC03!$K$27&gt;0)))),1,0)</f>
        <v>0</v>
      </c>
      <c r="M96" s="56" t="n">
        <f aca="false">IF($B$33&lt;&gt;"TH01",0,IF($B$35="M1",IF(OR(B96="CL",B96="NB"),1,0),1))</f>
        <v>1</v>
      </c>
      <c r="N96" s="56" t="n">
        <f aca="false">L96*M96</f>
        <v>0</v>
      </c>
      <c r="O96" s="56" t="n">
        <f aca="false">IF(AND(L96=1,K96=1),G96,0)</f>
        <v>0</v>
      </c>
      <c r="P96" s="58" t="n">
        <f aca="false">IF(AND(G96&gt;0,$B$72&gt;0),ROUND(I96/MIN(G96,$B$72),4),0)</f>
        <v>0.0106</v>
      </c>
      <c r="Q96" s="56" t="n">
        <f aca="false">IF(B96="NB",0,IF($B$35="M1",IF(B96="CL",1,9),IF($B$35="M3",IF(OR(B96="AR_EARLY",B96="RF",B96="FAC"),1,IF(B96="AP_EXT",2,3)),IF(OR(B96="AR_EARLY",B96="RF",B96="FAC"),1,IF(OR(B96="INV_LOAN",B96="INV_SALE"),2,IF(B96="AP_EXT",3,4))))))</f>
        <v>1</v>
      </c>
      <c r="R96" s="56" t="n">
        <f aca="false">IF(J96&lt;=3,1,IF(J96&lt;=10,2,3))</f>
        <v>2</v>
      </c>
      <c r="S96" s="56" t="n">
        <f aca="false">IF($B$44="degraded",3,IF(D_UC03!$N$27="Cao",1,IF(D_UC03!$N$27="Trung bình",2,3)))</f>
        <v>2</v>
      </c>
      <c r="T96" s="60" t="n">
        <f aca="false">D_UC03!$O$27</f>
        <v>2</v>
      </c>
      <c r="U96" s="56" t="n">
        <f aca="false">IF(K96=1,0,2)</f>
        <v>2</v>
      </c>
      <c r="V96" s="56" t="n">
        <v>5</v>
      </c>
      <c r="W96" s="56" t="n">
        <f aca="false">IF(N96=1,U96*10^13+IF($B$74=1,R96*10^12+Q96*10^11,Q96*10^12+R96*10^11)+S96*10^10+MIN(99999,ROUND(P96*10000,0))*10^5+T96*10^4+MIN(99,J96)*100+V96,9*10^14+V96)</f>
        <v>900000000000005</v>
      </c>
      <c r="X96" s="56" t="str">
        <f aca="false">IF(N96=1,SUMPRODUCT(($W$92:$W$105&lt;W96)*($N$92:$N$105=1))+1,"")</f>
        <v/>
      </c>
      <c r="Y96" s="17" t="str">
        <f aca="false">IF(D_UC03!$Q$27="Y","PLEDGED",IF(D_UC03!$P$27="Y","STRATEGIC_OR_CRITICAL",IF(D_UC03!$R$27="N","NO_PRODUCT_DATA",IF(G96&lt;=0,"NO_NET_CASH",IF(L96=0,"SHORT_DURATION_LOCKED",IF(M96=0,"OUT_OF_SCENARIO",IF(K96=0,"TOO_SLOW",IF(G96&lt;$B$76,"BELOW_MIN_DRAW",""))))))))</f>
        <v>STRATEGIC_OR_CRITICAL</v>
      </c>
      <c r="Z96" s="17" t="str">
        <f aca="false">IF(AND(D_UC03!$S$27=0,D_UC03!$L$27&lt;$B$68),"NOT_COVERING_DURATION","")</f>
        <v/>
      </c>
    </row>
    <row r="97" customFormat="false" ht="9.75" hidden="false" customHeight="false" outlineLevel="0" collapsed="false">
      <c r="A97" s="61" t="str">
        <f aca="false">D_UC03!$A$28</f>
        <v>RF-001</v>
      </c>
      <c r="B97" s="61" t="str">
        <f aca="false">D_UC03!$C$28</f>
        <v>RF</v>
      </c>
      <c r="C97" s="61" t="str">
        <f aca="false">D_UC03!$D$28</f>
        <v>O2</v>
      </c>
      <c r="D97" s="61" t="str">
        <f aca="false">D_UC03!$E$28</f>
        <v>OBJ-AR-K1</v>
      </c>
      <c r="E97" s="60" t="n">
        <f aca="false">D_UC03!$F$28</f>
        <v>9705318986</v>
      </c>
      <c r="F97" s="58" t="n">
        <f aca="false">IF(B97="INV_SALE",1-D_UC03!$H$28,D_UC03!$G$28)</f>
        <v>0.95</v>
      </c>
      <c r="G97" s="56" t="n">
        <f aca="false">E97*F97</f>
        <v>9220053036.7</v>
      </c>
      <c r="H97" s="56" t="n">
        <f aca="false">IF(D_UC03!$S$28=1,MIN(D_UC03!$L$28,$B$68),D_UC03!$L$28)</f>
        <v>21</v>
      </c>
      <c r="I97" s="56" t="n">
        <f aca="false">IF(B97="INV_SALE",E97*D_UC03!$H$28+D_UC03!$K$28,G97*D_UC03!$I$28*H97/365+G97*D_UC03!$J$28+D_UC03!$K$28)</f>
        <v>47742192.4366109</v>
      </c>
      <c r="J97" s="60" t="n">
        <f aca="false">D_UC03!$M$28</f>
        <v>1</v>
      </c>
      <c r="K97" s="56" t="n">
        <f aca="false">IF(J97&lt;=$B$73,1,0)</f>
        <v>1</v>
      </c>
      <c r="L97" s="56" t="n">
        <f aca="false">IF(AND(D_UC03!$Q$28&lt;&gt;"Y",D_UC03!$P$28&lt;&gt;"Y",D_UC03!$R$28&lt;&gt;"N",G97&gt;0,NOT(AND($B$68&lt;D_UC03!$C$13,OR(D_UC03!$S$28=0,D_UC03!$K$28&gt;0)))),1,0)</f>
        <v>1</v>
      </c>
      <c r="M97" s="56" t="n">
        <f aca="false">IF($B$33&lt;&gt;"TH01",0,IF($B$35="M1",IF(OR(B97="CL",B97="NB"),1,0),1))</f>
        <v>1</v>
      </c>
      <c r="N97" s="56" t="n">
        <f aca="false">L97*M97</f>
        <v>1</v>
      </c>
      <c r="O97" s="56" t="n">
        <f aca="false">IF(AND(L97=1,K97=1),G97,0)</f>
        <v>9220053036.7</v>
      </c>
      <c r="P97" s="58" t="n">
        <f aca="false">IF(AND(G97&gt;0,$B$72&gt;0),ROUND(I97/MIN(G97,$B$72),4),0)</f>
        <v>0.0176</v>
      </c>
      <c r="Q97" s="56" t="n">
        <f aca="false">IF(B97="NB",0,IF($B$35="M1",IF(B97="CL",1,9),IF($B$35="M3",IF(OR(B97="AR_EARLY",B97="RF",B97="FAC"),1,IF(B97="AP_EXT",2,3)),IF(OR(B97="AR_EARLY",B97="RF",B97="FAC"),1,IF(OR(B97="INV_LOAN",B97="INV_SALE"),2,IF(B97="AP_EXT",3,4))))))</f>
        <v>1</v>
      </c>
      <c r="R97" s="56" t="n">
        <f aca="false">IF(J97&lt;=3,1,IF(J97&lt;=10,2,3))</f>
        <v>1</v>
      </c>
      <c r="S97" s="56" t="n">
        <f aca="false">IF($B$44="degraded",3,IF(D_UC03!$N$28="Cao",1,IF(D_UC03!$N$28="Trung bình",2,3)))</f>
        <v>2</v>
      </c>
      <c r="T97" s="60" t="n">
        <f aca="false">D_UC03!$O$28</f>
        <v>0</v>
      </c>
      <c r="U97" s="56" t="n">
        <f aca="false">IF(K97=1,0,2)</f>
        <v>0</v>
      </c>
      <c r="V97" s="56" t="n">
        <v>6</v>
      </c>
      <c r="W97" s="56" t="n">
        <f aca="false">IF(N97=1,U97*10^13+IF($B$74=1,R97*10^12+Q97*10^11,Q97*10^12+R97*10^11)+S97*10^10+MIN(99999,ROUND(P97*10000,0))*10^5+T97*10^4+MIN(99,J97)*100+V97,9*10^14+V97)</f>
        <v>1120017600106</v>
      </c>
      <c r="X97" s="56" t="n">
        <f aca="false">IF(N97=1,SUMPRODUCT(($W$92:$W$105&lt;W97)*($N$92:$N$105=1))+1,"")</f>
        <v>1</v>
      </c>
      <c r="Y97" s="17" t="str">
        <f aca="false">IF(D_UC03!$Q$28="Y","PLEDGED",IF(D_UC03!$P$28="Y","STRATEGIC_OR_CRITICAL",IF(D_UC03!$R$28="N","NO_PRODUCT_DATA",IF(G97&lt;=0,"NO_NET_CASH",IF(L97=0,"SHORT_DURATION_LOCKED",IF(M97=0,"OUT_OF_SCENARIO",IF(K97=0,"TOO_SLOW",IF(G97&lt;$B$76,"BELOW_MIN_DRAW",""))))))))</f>
        <v/>
      </c>
      <c r="Z97" s="17" t="str">
        <f aca="false">IF(AND(D_UC03!$S$28=0,D_UC03!$L$28&lt;$B$68),"NOT_COVERING_DURATION","")</f>
        <v/>
      </c>
    </row>
    <row r="98" customFormat="false" ht="9.75" hidden="false" customHeight="false" outlineLevel="0" collapsed="false">
      <c r="A98" s="61" t="str">
        <f aca="false">D_UC03!$A$29</f>
        <v>FAC-001</v>
      </c>
      <c r="B98" s="61" t="str">
        <f aca="false">D_UC03!$C$29</f>
        <v>FAC</v>
      </c>
      <c r="C98" s="61" t="str">
        <f aca="false">D_UC03!$D$29</f>
        <v>O2</v>
      </c>
      <c r="D98" s="61" t="str">
        <f aca="false">D_UC03!$E$29</f>
        <v>OBJ-AR-K1</v>
      </c>
      <c r="E98" s="60" t="n">
        <f aca="false">D_UC03!$F$29</f>
        <v>9705318986</v>
      </c>
      <c r="F98" s="58" t="n">
        <f aca="false">IF(B98="INV_SALE",1-D_UC03!$H$29,D_UC03!$G$29)</f>
        <v>0.85</v>
      </c>
      <c r="G98" s="56" t="n">
        <f aca="false">E98*F98</f>
        <v>8249521138.1</v>
      </c>
      <c r="H98" s="56" t="n">
        <f aca="false">IF(D_UC03!$S$29=1,MIN(D_UC03!$L$29,$B$68),D_UC03!$L$29)</f>
        <v>21</v>
      </c>
      <c r="I98" s="56" t="n">
        <f aca="false">IF(B98="INV_SALE",E98*D_UC03!$H$29+D_UC03!$K$29,G98*D_UC03!$I$29*H98/365+G98*D_UC03!$J$29+D_UC03!$K$29)</f>
        <v>98203203.6850534</v>
      </c>
      <c r="J98" s="60" t="n">
        <f aca="false">D_UC03!$M$29</f>
        <v>3</v>
      </c>
      <c r="K98" s="56" t="n">
        <f aca="false">IF(J98&lt;=$B$73,1,0)</f>
        <v>0</v>
      </c>
      <c r="L98" s="56" t="n">
        <f aca="false">IF(AND(D_UC03!$Q$29&lt;&gt;"Y",D_UC03!$P$29&lt;&gt;"Y",D_UC03!$R$29&lt;&gt;"N",G98&gt;0,NOT(AND($B$68&lt;D_UC03!$C$13,OR(D_UC03!$S$29=0,D_UC03!$K$29&gt;0)))),1,0)</f>
        <v>1</v>
      </c>
      <c r="M98" s="56" t="n">
        <f aca="false">IF($B$33&lt;&gt;"TH01",0,IF($B$35="M1",IF(OR(B98="CL",B98="NB"),1,0),1))</f>
        <v>1</v>
      </c>
      <c r="N98" s="56" t="n">
        <f aca="false">L98*M98</f>
        <v>1</v>
      </c>
      <c r="O98" s="56" t="n">
        <f aca="false">IF(AND(L98=1,K98=1),G98,0)</f>
        <v>0</v>
      </c>
      <c r="P98" s="58" t="n">
        <f aca="false">IF(AND(G98&gt;0,$B$72&gt;0),ROUND(I98/MIN(G98,$B$72),4),0)</f>
        <v>0.0362</v>
      </c>
      <c r="Q98" s="56" t="n">
        <f aca="false">IF(B98="NB",0,IF($B$35="M1",IF(B98="CL",1,9),IF($B$35="M3",IF(OR(B98="AR_EARLY",B98="RF",B98="FAC"),1,IF(B98="AP_EXT",2,3)),IF(OR(B98="AR_EARLY",B98="RF",B98="FAC"),1,IF(OR(B98="INV_LOAN",B98="INV_SALE"),2,IF(B98="AP_EXT",3,4))))))</f>
        <v>1</v>
      </c>
      <c r="R98" s="56" t="n">
        <f aca="false">IF(J98&lt;=3,1,IF(J98&lt;=10,2,3))</f>
        <v>1</v>
      </c>
      <c r="S98" s="56" t="n">
        <f aca="false">IF($B$44="degraded",3,IF(D_UC03!$N$29="Cao",1,IF(D_UC03!$N$29="Trung bình",2,3)))</f>
        <v>2</v>
      </c>
      <c r="T98" s="60" t="n">
        <f aca="false">D_UC03!$O$29</f>
        <v>1</v>
      </c>
      <c r="U98" s="56" t="n">
        <f aca="false">IF(K98=1,0,2)</f>
        <v>2</v>
      </c>
      <c r="V98" s="56" t="n">
        <v>7</v>
      </c>
      <c r="W98" s="56" t="n">
        <f aca="false">IF(N98=1,U98*10^13+IF($B$74=1,R98*10^12+Q98*10^11,Q98*10^12+R98*10^11)+S98*10^10+MIN(99999,ROUND(P98*10000,0))*10^5+T98*10^4+MIN(99,J98)*100+V98,9*10^14+V98)</f>
        <v>21120036210307</v>
      </c>
      <c r="X98" s="56" t="n">
        <f aca="false">IF(N98=1,SUMPRODUCT(($W$92:$W$105&lt;W98)*($N$92:$N$105=1))+1,"")</f>
        <v>5</v>
      </c>
      <c r="Y98" s="17" t="str">
        <f aca="false">IF(D_UC03!$Q$29="Y","PLEDGED",IF(D_UC03!$P$29="Y","STRATEGIC_OR_CRITICAL",IF(D_UC03!$R$29="N","NO_PRODUCT_DATA",IF(G98&lt;=0,"NO_NET_CASH",IF(L98=0,"SHORT_DURATION_LOCKED",IF(M98=0,"OUT_OF_SCENARIO",IF(K98=0,"TOO_SLOW",IF(G98&lt;$B$76,"BELOW_MIN_DRAW",""))))))))</f>
        <v>TOO_SLOW</v>
      </c>
      <c r="Z98" s="17" t="str">
        <f aca="false">IF(AND(D_UC03!$S$29=0,D_UC03!$L$29&lt;$B$68),"NOT_COVERING_DURATION","")</f>
        <v/>
      </c>
    </row>
    <row r="99" customFormat="false" ht="9.75" hidden="false" customHeight="false" outlineLevel="0" collapsed="false">
      <c r="A99" s="61" t="str">
        <f aca="false">D_UC03!$A$30</f>
        <v>FAC-002</v>
      </c>
      <c r="B99" s="61" t="str">
        <f aca="false">D_UC03!$C$30</f>
        <v>FAC</v>
      </c>
      <c r="C99" s="61" t="str">
        <f aca="false">D_UC03!$D$30</f>
        <v>O2</v>
      </c>
      <c r="D99" s="61" t="str">
        <f aca="false">D_UC03!$E$30</f>
        <v>OBJ-AR-K6</v>
      </c>
      <c r="E99" s="60" t="n">
        <f aca="false">D_UC03!$F$30</f>
        <v>689203917</v>
      </c>
      <c r="F99" s="58" t="n">
        <f aca="false">IF(B99="INV_SALE",1-D_UC03!$H$30,D_UC03!$G$30)</f>
        <v>0.8</v>
      </c>
      <c r="G99" s="56" t="n">
        <f aca="false">E99*F99</f>
        <v>551363133.6</v>
      </c>
      <c r="H99" s="56" t="n">
        <f aca="false">IF(D_UC03!$S$30=1,MIN(D_UC03!$L$30,$B$68),D_UC03!$L$30)</f>
        <v>30</v>
      </c>
      <c r="I99" s="56" t="n">
        <f aca="false">IF(B99="INV_SALE",E99*D_UC03!$H$30+D_UC03!$K$30,G99*D_UC03!$I$30*H99/365+G99*D_UC03!$J$30+D_UC03!$K$30)</f>
        <v>8648092.98591781</v>
      </c>
      <c r="J99" s="60" t="n">
        <f aca="false">D_UC03!$M$30</f>
        <v>3</v>
      </c>
      <c r="K99" s="56" t="n">
        <f aca="false">IF(J99&lt;=$B$73,1,0)</f>
        <v>0</v>
      </c>
      <c r="L99" s="56" t="n">
        <f aca="false">IF(AND(D_UC03!$Q$30&lt;&gt;"Y",D_UC03!$P$30&lt;&gt;"Y",D_UC03!$R$30&lt;&gt;"N",G99&gt;0,NOT(AND($B$68&lt;D_UC03!$C$13,OR(D_UC03!$S$30=0,D_UC03!$K$30&gt;0)))),1,0)</f>
        <v>1</v>
      </c>
      <c r="M99" s="56" t="n">
        <f aca="false">IF($B$33&lt;&gt;"TH01",0,IF($B$35="M1",IF(OR(B99="CL",B99="NB"),1,0),1))</f>
        <v>1</v>
      </c>
      <c r="N99" s="56" t="n">
        <f aca="false">L99*M99</f>
        <v>1</v>
      </c>
      <c r="O99" s="56" t="n">
        <f aca="false">IF(AND(L99=1,K99=1),G99,0)</f>
        <v>0</v>
      </c>
      <c r="P99" s="58" t="n">
        <f aca="false">IF(AND(G99&gt;0,$B$72&gt;0),ROUND(I99/MIN(G99,$B$72),4),0)</f>
        <v>0.0157</v>
      </c>
      <c r="Q99" s="56" t="n">
        <f aca="false">IF(B99="NB",0,IF($B$35="M1",IF(B99="CL",1,9),IF($B$35="M3",IF(OR(B99="AR_EARLY",B99="RF",B99="FAC"),1,IF(B99="AP_EXT",2,3)),IF(OR(B99="AR_EARLY",B99="RF",B99="FAC"),1,IF(OR(B99="INV_LOAN",B99="INV_SALE"),2,IF(B99="AP_EXT",3,4))))))</f>
        <v>1</v>
      </c>
      <c r="R99" s="56" t="n">
        <f aca="false">IF(J99&lt;=3,1,IF(J99&lt;=10,2,3))</f>
        <v>1</v>
      </c>
      <c r="S99" s="56" t="n">
        <f aca="false">IF($B$44="degraded",3,IF(D_UC03!$N$30="Cao",1,IF(D_UC03!$N$30="Trung bình",2,3)))</f>
        <v>2</v>
      </c>
      <c r="T99" s="60" t="n">
        <f aca="false">D_UC03!$O$30</f>
        <v>0</v>
      </c>
      <c r="U99" s="56" t="n">
        <f aca="false">IF(K99=1,0,2)</f>
        <v>2</v>
      </c>
      <c r="V99" s="56" t="n">
        <v>8</v>
      </c>
      <c r="W99" s="56" t="n">
        <f aca="false">IF(N99=1,U99*10^13+IF($B$74=1,R99*10^12+Q99*10^11,Q99*10^12+R99*10^11)+S99*10^10+MIN(99999,ROUND(P99*10000,0))*10^5+T99*10^4+MIN(99,J99)*100+V99,9*10^14+V99)</f>
        <v>21120015700308</v>
      </c>
      <c r="X99" s="56" t="n">
        <f aca="false">IF(N99=1,SUMPRODUCT(($W$92:$W$105&lt;W99)*($N$92:$N$105=1))+1,"")</f>
        <v>4</v>
      </c>
      <c r="Y99" s="17" t="str">
        <f aca="false">IF(D_UC03!$Q$30="Y","PLEDGED",IF(D_UC03!$P$30="Y","STRATEGIC_OR_CRITICAL",IF(D_UC03!$R$30="N","NO_PRODUCT_DATA",IF(G99&lt;=0,"NO_NET_CASH",IF(L99=0,"SHORT_DURATION_LOCKED",IF(M99=0,"OUT_OF_SCENARIO",IF(K99=0,"TOO_SLOW",IF(G99&lt;$B$76,"BELOW_MIN_DRAW",""))))))))</f>
        <v>TOO_SLOW</v>
      </c>
      <c r="Z99" s="17" t="str">
        <f aca="false">IF(AND(D_UC03!$S$30=0,D_UC03!$L$30&lt;$B$68),"NOT_COVERING_DURATION","")</f>
        <v/>
      </c>
    </row>
    <row r="100" customFormat="false" ht="9.75" hidden="false" customHeight="false" outlineLevel="0" collapsed="false">
      <c r="A100" s="61" t="str">
        <f aca="false">D_UC03!$A$31</f>
        <v>INV-001</v>
      </c>
      <c r="B100" s="61" t="str">
        <f aca="false">D_UC03!$C$31</f>
        <v>INV_LOAN</v>
      </c>
      <c r="C100" s="61" t="str">
        <f aca="false">D_UC03!$D$31</f>
        <v>O2</v>
      </c>
      <c r="D100" s="61" t="str">
        <f aca="false">D_UC03!$E$31</f>
        <v>OBJ-INV-NOR</v>
      </c>
      <c r="E100" s="60" t="n">
        <f aca="false">D_UC03!$F$31</f>
        <v>18884515458</v>
      </c>
      <c r="F100" s="58" t="n">
        <f aca="false">IF(B100="INV_SALE",1-D_UC03!$H$31,D_UC03!$G$31)</f>
        <v>0.6</v>
      </c>
      <c r="G100" s="56" t="n">
        <f aca="false">E100*F100</f>
        <v>11330709274.8</v>
      </c>
      <c r="H100" s="56" t="n">
        <f aca="false">IF(D_UC03!$S$31=1,MIN(D_UC03!$L$31,$B$68),D_UC03!$L$31)</f>
        <v>14</v>
      </c>
      <c r="I100" s="56" t="n">
        <f aca="false">IF(B100="INV_SALE",E100*D_UC03!$H$31+D_UC03!$K$31,G100*D_UC03!$I$31*H100/365+G100*D_UC03!$J$31+D_UC03!$K$31)</f>
        <v>47806280.2279233</v>
      </c>
      <c r="J100" s="60" t="n">
        <f aca="false">D_UC03!$M$31</f>
        <v>5</v>
      </c>
      <c r="K100" s="56" t="n">
        <f aca="false">IF(J100&lt;=$B$73,1,0)</f>
        <v>0</v>
      </c>
      <c r="L100" s="56" t="n">
        <f aca="false">IF(AND(D_UC03!$Q$31&lt;&gt;"Y",D_UC03!$P$31&lt;&gt;"Y",D_UC03!$R$31&lt;&gt;"N",G100&gt;0,NOT(AND($B$68&lt;D_UC03!$C$13,OR(D_UC03!$S$31=0,D_UC03!$K$31&gt;0)))),1,0)</f>
        <v>1</v>
      </c>
      <c r="M100" s="56" t="n">
        <f aca="false">IF($B$33&lt;&gt;"TH01",0,IF($B$35="M1",IF(OR(B100="CL",B100="NB"),1,0),1))</f>
        <v>1</v>
      </c>
      <c r="N100" s="56" t="n">
        <f aca="false">L100*M100</f>
        <v>1</v>
      </c>
      <c r="O100" s="56" t="n">
        <f aca="false">IF(AND(L100=1,K100=1),G100,0)</f>
        <v>0</v>
      </c>
      <c r="P100" s="58" t="n">
        <f aca="false">IF(AND(G100&gt;0,$B$72&gt;0),ROUND(I100/MIN(G100,$B$72),4),0)</f>
        <v>0.0176</v>
      </c>
      <c r="Q100" s="56" t="n">
        <f aca="false">IF(B100="NB",0,IF($B$35="M1",IF(B100="CL",1,9),IF($B$35="M3",IF(OR(B100="AR_EARLY",B100="RF",B100="FAC"),1,IF(B100="AP_EXT",2,3)),IF(OR(B100="AR_EARLY",B100="RF",B100="FAC"),1,IF(OR(B100="INV_LOAN",B100="INV_SALE"),2,IF(B100="AP_EXT",3,4))))))</f>
        <v>3</v>
      </c>
      <c r="R100" s="56" t="n">
        <f aca="false">IF(J100&lt;=3,1,IF(J100&lt;=10,2,3))</f>
        <v>2</v>
      </c>
      <c r="S100" s="56" t="n">
        <f aca="false">IF($B$44="degraded",3,IF(D_UC03!$N$31="Cao",1,IF(D_UC03!$N$31="Trung bình",2,3)))</f>
        <v>2</v>
      </c>
      <c r="T100" s="60" t="n">
        <f aca="false">D_UC03!$O$31</f>
        <v>0</v>
      </c>
      <c r="U100" s="56" t="n">
        <f aca="false">IF(K100=1,0,2)</f>
        <v>2</v>
      </c>
      <c r="V100" s="56" t="n">
        <v>9</v>
      </c>
      <c r="W100" s="56" t="n">
        <f aca="false">IF(N100=1,U100*10^13+IF($B$74=1,R100*10^12+Q100*10^11,Q100*10^12+R100*10^11)+S100*10^10+MIN(99999,ROUND(P100*10000,0))*10^5+T100*10^4+MIN(99,J100)*100+V100,9*10^14+V100)</f>
        <v>22320017600509</v>
      </c>
      <c r="X100" s="56" t="n">
        <f aca="false">IF(N100=1,SUMPRODUCT(($W$92:$W$105&lt;W100)*($N$92:$N$105=1))+1,"")</f>
        <v>9</v>
      </c>
      <c r="Y100" s="17" t="str">
        <f aca="false">IF(D_UC03!$Q$31="Y","PLEDGED",IF(D_UC03!$P$31="Y","STRATEGIC_OR_CRITICAL",IF(D_UC03!$R$31="N","NO_PRODUCT_DATA",IF(G100&lt;=0,"NO_NET_CASH",IF(L100=0,"SHORT_DURATION_LOCKED",IF(M100=0,"OUT_OF_SCENARIO",IF(K100=0,"TOO_SLOW",IF(G100&lt;$B$76,"BELOW_MIN_DRAW",""))))))))</f>
        <v>TOO_SLOW</v>
      </c>
      <c r="Z100" s="17" t="str">
        <f aca="false">IF(AND(D_UC03!$S$31=0,D_UC03!$L$31&lt;$B$68),"NOT_COVERING_DURATION","")</f>
        <v/>
      </c>
    </row>
    <row r="101" customFormat="false" ht="9.75" hidden="false" customHeight="false" outlineLevel="0" collapsed="false">
      <c r="A101" s="61" t="str">
        <f aca="false">D_UC03!$A$32</f>
        <v>INV-002</v>
      </c>
      <c r="B101" s="61" t="str">
        <f aca="false">D_UC03!$C$32</f>
        <v>INV_SALE</v>
      </c>
      <c r="C101" s="61" t="str">
        <f aca="false">D_UC03!$D$32</f>
        <v>O3</v>
      </c>
      <c r="D101" s="61" t="str">
        <f aca="false">D_UC03!$E$32</f>
        <v>OBJ-INV-SLOW</v>
      </c>
      <c r="E101" s="60" t="n">
        <f aca="false">D_UC03!$F$32</f>
        <v>2610842457</v>
      </c>
      <c r="F101" s="58" t="n">
        <f aca="false">IF(B101="INV_SALE",1-D_UC03!$H$32,D_UC03!$G$32)</f>
        <v>0.875</v>
      </c>
      <c r="G101" s="56" t="n">
        <f aca="false">E101*F101</f>
        <v>2284487149.875</v>
      </c>
      <c r="H101" s="56" t="n">
        <f aca="false">IF(D_UC03!$S$32=1,MIN(D_UC03!$L$32,$B$68),D_UC03!$L$32)</f>
        <v>0</v>
      </c>
      <c r="I101" s="56" t="n">
        <f aca="false">IF(B101="INV_SALE",E101*D_UC03!$H$32+D_UC03!$K$32,G101*D_UC03!$I$32*H101/365+G101*D_UC03!$J$32+D_UC03!$K$32)</f>
        <v>326355307.125</v>
      </c>
      <c r="J101" s="60" t="n">
        <f aca="false">D_UC03!$M$32</f>
        <v>30</v>
      </c>
      <c r="K101" s="56" t="n">
        <f aca="false">IF(J101&lt;=$B$73,1,0)</f>
        <v>0</v>
      </c>
      <c r="L101" s="56" t="n">
        <f aca="false">IF(AND(D_UC03!$Q$32&lt;&gt;"Y",D_UC03!$P$32&lt;&gt;"Y",D_UC03!$R$32&lt;&gt;"N",G101&gt;0,NOT(AND($B$68&lt;D_UC03!$C$13,OR(D_UC03!$S$32=0,D_UC03!$K$32&gt;0)))),1,0)</f>
        <v>1</v>
      </c>
      <c r="M101" s="56" t="n">
        <f aca="false">IF($B$33&lt;&gt;"TH01",0,IF($B$35="M1",IF(OR(B101="CL",B101="NB"),1,0),1))</f>
        <v>1</v>
      </c>
      <c r="N101" s="56" t="n">
        <f aca="false">L101*M101</f>
        <v>1</v>
      </c>
      <c r="O101" s="56" t="n">
        <f aca="false">IF(AND(L101=1,K101=1),G101,0)</f>
        <v>0</v>
      </c>
      <c r="P101" s="58" t="n">
        <f aca="false">IF(AND(G101&gt;0,$B$72&gt;0),ROUND(I101/MIN(G101,$B$72),4),0)</f>
        <v>0.1429</v>
      </c>
      <c r="Q101" s="56" t="n">
        <f aca="false">IF(B101="NB",0,IF($B$35="M1",IF(B101="CL",1,9),IF($B$35="M3",IF(OR(B101="AR_EARLY",B101="RF",B101="FAC"),1,IF(B101="AP_EXT",2,3)),IF(OR(B101="AR_EARLY",B101="RF",B101="FAC"),1,IF(OR(B101="INV_LOAN",B101="INV_SALE"),2,IF(B101="AP_EXT",3,4))))))</f>
        <v>3</v>
      </c>
      <c r="R101" s="56" t="n">
        <f aca="false">IF(J101&lt;=3,1,IF(J101&lt;=10,2,3))</f>
        <v>3</v>
      </c>
      <c r="S101" s="56" t="n">
        <f aca="false">IF($B$44="degraded",3,IF(D_UC03!$N$32="Cao",1,IF(D_UC03!$N$32="Trung bình",2,3)))</f>
        <v>3</v>
      </c>
      <c r="T101" s="60" t="n">
        <f aca="false">D_UC03!$O$32</f>
        <v>1</v>
      </c>
      <c r="U101" s="56" t="n">
        <f aca="false">IF(K101=1,0,2)</f>
        <v>2</v>
      </c>
      <c r="V101" s="56" t="n">
        <v>10</v>
      </c>
      <c r="W101" s="56" t="n">
        <f aca="false">IF(N101=1,U101*10^13+IF($B$74=1,R101*10^12+Q101*10^11,Q101*10^12+R101*10^11)+S101*10^10+MIN(99999,ROUND(P101*10000,0))*10^5+T101*10^4+MIN(99,J101)*100+V101,9*10^14+V101)</f>
        <v>23330142913010</v>
      </c>
      <c r="X101" s="56" t="n">
        <f aca="false">IF(N101=1,SUMPRODUCT(($W$92:$W$105&lt;W101)*($N$92:$N$105=1))+1,"")</f>
        <v>10</v>
      </c>
      <c r="Y101" s="17" t="str">
        <f aca="false">IF(D_UC03!$Q$32="Y","PLEDGED",IF(D_UC03!$P$32="Y","STRATEGIC_OR_CRITICAL",IF(D_UC03!$R$32="N","NO_PRODUCT_DATA",IF(G101&lt;=0,"NO_NET_CASH",IF(L101=0,"SHORT_DURATION_LOCKED",IF(M101=0,"OUT_OF_SCENARIO",IF(K101=0,"TOO_SLOW",IF(G101&lt;$B$76,"BELOW_MIN_DRAW",""))))))))</f>
        <v>TOO_SLOW</v>
      </c>
      <c r="Z101" s="17" t="str">
        <f aca="false">IF(AND(D_UC03!$S$32=0,D_UC03!$L$32&lt;$B$68),"NOT_COVERING_DURATION","")</f>
        <v/>
      </c>
    </row>
    <row r="102" customFormat="false" ht="9.75" hidden="false" customHeight="false" outlineLevel="0" collapsed="false">
      <c r="A102" s="61" t="str">
        <f aca="false">D_UC03!$A$33</f>
        <v>INV-003</v>
      </c>
      <c r="B102" s="61" t="str">
        <f aca="false">D_UC03!$C$33</f>
        <v>INV_LOAN</v>
      </c>
      <c r="C102" s="61" t="str">
        <f aca="false">D_UC03!$D$33</f>
        <v>O2</v>
      </c>
      <c r="D102" s="61" t="str">
        <f aca="false">D_UC03!$E$33</f>
        <v>OBJ-INV-PLG</v>
      </c>
      <c r="E102" s="60" t="n">
        <f aca="false">D_UC03!$F$33</f>
        <v>738578100</v>
      </c>
      <c r="F102" s="58" t="n">
        <f aca="false">IF(B102="INV_SALE",1-D_UC03!$H$33,D_UC03!$G$33)</f>
        <v>0.6</v>
      </c>
      <c r="G102" s="56" t="n">
        <f aca="false">E102*F102</f>
        <v>443146860</v>
      </c>
      <c r="H102" s="56" t="n">
        <f aca="false">IF(D_UC03!$S$33=1,MIN(D_UC03!$L$33,$B$68),D_UC03!$L$33)</f>
        <v>14</v>
      </c>
      <c r="I102" s="56" t="n">
        <f aca="false">IF(B102="INV_SALE",E102*D_UC03!$H$33+D_UC03!$K$33,G102*D_UC03!$I$33*H102/365+G102*D_UC03!$J$33+D_UC03!$K$33)</f>
        <v>1869715.51890411</v>
      </c>
      <c r="J102" s="60" t="n">
        <f aca="false">D_UC03!$M$33</f>
        <v>5</v>
      </c>
      <c r="K102" s="56" t="n">
        <f aca="false">IF(J102&lt;=$B$73,1,0)</f>
        <v>0</v>
      </c>
      <c r="L102" s="56" t="n">
        <f aca="false">IF(AND(D_UC03!$Q$33&lt;&gt;"Y",D_UC03!$P$33&lt;&gt;"Y",D_UC03!$R$33&lt;&gt;"N",G102&gt;0,NOT(AND($B$68&lt;D_UC03!$C$13,OR(D_UC03!$S$33=0,D_UC03!$K$33&gt;0)))),1,0)</f>
        <v>0</v>
      </c>
      <c r="M102" s="56" t="n">
        <f aca="false">IF($B$33&lt;&gt;"TH01",0,IF($B$35="M1",IF(OR(B102="CL",B102="NB"),1,0),1))</f>
        <v>1</v>
      </c>
      <c r="N102" s="56" t="n">
        <f aca="false">L102*M102</f>
        <v>0</v>
      </c>
      <c r="O102" s="56" t="n">
        <f aca="false">IF(AND(L102=1,K102=1),G102,0)</f>
        <v>0</v>
      </c>
      <c r="P102" s="58" t="n">
        <f aca="false">IF(AND(G102&gt;0,$B$72&gt;0),ROUND(I102/MIN(G102,$B$72),4),0)</f>
        <v>0.0042</v>
      </c>
      <c r="Q102" s="56" t="n">
        <f aca="false">IF(B102="NB",0,IF($B$35="M1",IF(B102="CL",1,9),IF($B$35="M3",IF(OR(B102="AR_EARLY",B102="RF",B102="FAC"),1,IF(B102="AP_EXT",2,3)),IF(OR(B102="AR_EARLY",B102="RF",B102="FAC"),1,IF(OR(B102="INV_LOAN",B102="INV_SALE"),2,IF(B102="AP_EXT",3,4))))))</f>
        <v>3</v>
      </c>
      <c r="R102" s="56" t="n">
        <f aca="false">IF(J102&lt;=3,1,IF(J102&lt;=10,2,3))</f>
        <v>2</v>
      </c>
      <c r="S102" s="56" t="n">
        <f aca="false">IF($B$44="degraded",3,IF(D_UC03!$N$33="Cao",1,IF(D_UC03!$N$33="Trung bình",2,3)))</f>
        <v>2</v>
      </c>
      <c r="T102" s="60" t="n">
        <f aca="false">D_UC03!$O$33</f>
        <v>0</v>
      </c>
      <c r="U102" s="56" t="n">
        <f aca="false">IF(K102=1,0,2)</f>
        <v>2</v>
      </c>
      <c r="V102" s="56" t="n">
        <v>11</v>
      </c>
      <c r="W102" s="56" t="n">
        <f aca="false">IF(N102=1,U102*10^13+IF($B$74=1,R102*10^12+Q102*10^11,Q102*10^12+R102*10^11)+S102*10^10+MIN(99999,ROUND(P102*10000,0))*10^5+T102*10^4+MIN(99,J102)*100+V102,9*10^14+V102)</f>
        <v>900000000000011</v>
      </c>
      <c r="X102" s="56" t="str">
        <f aca="false">IF(N102=1,SUMPRODUCT(($W$92:$W$105&lt;W102)*($N$92:$N$105=1))+1,"")</f>
        <v/>
      </c>
      <c r="Y102" s="17" t="str">
        <f aca="false">IF(D_UC03!$Q$33="Y","PLEDGED",IF(D_UC03!$P$33="Y","STRATEGIC_OR_CRITICAL",IF(D_UC03!$R$33="N","NO_PRODUCT_DATA",IF(G102&lt;=0,"NO_NET_CASH",IF(L102=0,"SHORT_DURATION_LOCKED",IF(M102=0,"OUT_OF_SCENARIO",IF(K102=0,"TOO_SLOW",IF(G102&lt;$B$76,"BELOW_MIN_DRAW",""))))))))</f>
        <v>PLEDGED</v>
      </c>
      <c r="Z102" s="17" t="str">
        <f aca="false">IF(AND(D_UC03!$S$33=0,D_UC03!$L$33&lt;$B$68),"NOT_COVERING_DURATION","")</f>
        <v/>
      </c>
    </row>
    <row r="103" customFormat="false" ht="9.75" hidden="false" customHeight="false" outlineLevel="0" collapsed="false">
      <c r="A103" s="61" t="str">
        <f aca="false">D_UC03!$A$34</f>
        <v>CL-001</v>
      </c>
      <c r="B103" s="61" t="str">
        <f aca="false">D_UC03!$C$34</f>
        <v>CL</v>
      </c>
      <c r="C103" s="61" t="str">
        <f aca="false">D_UC03!$D$34</f>
        <v>O2</v>
      </c>
      <c r="D103" s="61" t="str">
        <f aca="false">D_UC03!$E$34</f>
        <v>LIM-CL-001</v>
      </c>
      <c r="E103" s="60" t="n">
        <f aca="false">D_UC03!$F$34</f>
        <v>3000000000</v>
      </c>
      <c r="F103" s="58" t="n">
        <f aca="false">IF(B103="INV_SALE",1-D_UC03!$H$34,D_UC03!$G$34)</f>
        <v>1</v>
      </c>
      <c r="G103" s="56" t="n">
        <f aca="false">E103*F103</f>
        <v>3000000000</v>
      </c>
      <c r="H103" s="56" t="n">
        <f aca="false">IF(D_UC03!$S$34=1,MIN(D_UC03!$L$34,$B$68),D_UC03!$L$34)</f>
        <v>14</v>
      </c>
      <c r="I103" s="56" t="n">
        <f aca="false">IF(B103="INV_SALE",E103*D_UC03!$H$34+D_UC03!$K$34,G103*D_UC03!$I$34*H103/365+G103*D_UC03!$J$34+D_UC03!$K$34)</f>
        <v>11506849.3150685</v>
      </c>
      <c r="J103" s="60" t="n">
        <f aca="false">D_UC03!$M$34</f>
        <v>1</v>
      </c>
      <c r="K103" s="56" t="n">
        <f aca="false">IF(J103&lt;=$B$73,1,0)</f>
        <v>1</v>
      </c>
      <c r="L103" s="56" t="n">
        <f aca="false">IF(AND(D_UC03!$Q$34&lt;&gt;"Y",D_UC03!$P$34&lt;&gt;"Y",D_UC03!$R$34&lt;&gt;"N",G103&gt;0,NOT(AND($B$68&lt;D_UC03!$C$13,OR(D_UC03!$S$34=0,D_UC03!$K$34&gt;0)))),1,0)</f>
        <v>1</v>
      </c>
      <c r="M103" s="56" t="n">
        <f aca="false">IF($B$33&lt;&gt;"TH01",0,IF($B$35="M1",IF(OR(B103="CL",B103="NB"),1,0),1))</f>
        <v>1</v>
      </c>
      <c r="N103" s="56" t="n">
        <f aca="false">L103*M103</f>
        <v>1</v>
      </c>
      <c r="O103" s="56" t="n">
        <f aca="false">IF(AND(L103=1,K103=1),G103,0)</f>
        <v>3000000000</v>
      </c>
      <c r="P103" s="58" t="n">
        <f aca="false">IF(AND(G103&gt;0,$B$72&gt;0),ROUND(I103/MIN(G103,$B$72),4),0)</f>
        <v>0.0042</v>
      </c>
      <c r="Q103" s="56" t="n">
        <f aca="false">IF(B103="NB",0,IF($B$35="M1",IF(B103="CL",1,9),IF($B$35="M3",IF(OR(B103="AR_EARLY",B103="RF",B103="FAC"),1,IF(B103="AP_EXT",2,3)),IF(OR(B103="AR_EARLY",B103="RF",B103="FAC"),1,IF(OR(B103="INV_LOAN",B103="INV_SALE"),2,IF(B103="AP_EXT",3,4))))))</f>
        <v>3</v>
      </c>
      <c r="R103" s="56" t="n">
        <f aca="false">IF(J103&lt;=3,1,IF(J103&lt;=10,2,3))</f>
        <v>1</v>
      </c>
      <c r="S103" s="56" t="n">
        <f aca="false">IF($B$44="degraded",3,IF(D_UC03!$N$34="Cao",1,IF(D_UC03!$N$34="Trung bình",2,3)))</f>
        <v>1</v>
      </c>
      <c r="T103" s="60" t="n">
        <f aca="false">D_UC03!$O$34</f>
        <v>0</v>
      </c>
      <c r="U103" s="56" t="n">
        <f aca="false">IF(K103=1,0,2)</f>
        <v>0</v>
      </c>
      <c r="V103" s="56" t="n">
        <v>12</v>
      </c>
      <c r="W103" s="56" t="n">
        <f aca="false">IF(N103=1,U103*10^13+IF($B$74=1,R103*10^12+Q103*10^11,Q103*10^12+R103*10^11)+S103*10^10+MIN(99999,ROUND(P103*10000,0))*10^5+T103*10^4+MIN(99,J103)*100+V103,9*10^14+V103)</f>
        <v>1310004200112</v>
      </c>
      <c r="X103" s="56" t="n">
        <f aca="false">IF(N103=1,SUMPRODUCT(($W$92:$W$105&lt;W103)*($N$92:$N$105=1))+1,"")</f>
        <v>2</v>
      </c>
      <c r="Y103" s="17" t="str">
        <f aca="false">IF(D_UC03!$Q$34="Y","PLEDGED",IF(D_UC03!$P$34="Y","STRATEGIC_OR_CRITICAL",IF(D_UC03!$R$34="N","NO_PRODUCT_DATA",IF(G103&lt;=0,"NO_NET_CASH",IF(L103=0,"SHORT_DURATION_LOCKED",IF(M103=0,"OUT_OF_SCENARIO",IF(K103=0,"TOO_SLOW",IF(G103&lt;$B$76,"BELOW_MIN_DRAW",""))))))))</f>
        <v/>
      </c>
      <c r="Z103" s="17" t="str">
        <f aca="false">IF(AND(D_UC03!$S$34=0,D_UC03!$L$34&lt;$B$68),"NOT_COVERING_DURATION","")</f>
        <v/>
      </c>
    </row>
    <row r="104" customFormat="false" ht="9.75" hidden="false" customHeight="false" outlineLevel="0" collapsed="false">
      <c r="A104" s="61" t="str">
        <f aca="false">D_UC03!$A$35</f>
        <v>CL-002</v>
      </c>
      <c r="B104" s="61" t="str">
        <f aca="false">D_UC03!$C$35</f>
        <v>CL</v>
      </c>
      <c r="C104" s="61" t="str">
        <f aca="false">D_UC03!$D$35</f>
        <v>O2</v>
      </c>
      <c r="D104" s="61" t="str">
        <f aca="false">D_UC03!$E$35</f>
        <v>LIM-CL-002</v>
      </c>
      <c r="E104" s="60" t="n">
        <f aca="false">D_UC03!$F$35</f>
        <v>1500000000</v>
      </c>
      <c r="F104" s="58" t="n">
        <f aca="false">IF(B104="INV_SALE",1-D_UC03!$H$35,D_UC03!$G$35)</f>
        <v>1</v>
      </c>
      <c r="G104" s="56" t="n">
        <f aca="false">E104*F104</f>
        <v>1500000000</v>
      </c>
      <c r="H104" s="56" t="n">
        <f aca="false">IF(D_UC03!$S$35=1,MIN(D_UC03!$L$35,$B$68),D_UC03!$L$35)</f>
        <v>14</v>
      </c>
      <c r="I104" s="56" t="n">
        <f aca="false">IF(B104="INV_SALE",E104*D_UC03!$H$35+D_UC03!$K$35,G104*D_UC03!$I$35*H104/365+G104*D_UC03!$J$35+D_UC03!$K$35)</f>
        <v>6904109.5890411</v>
      </c>
      <c r="J104" s="60" t="n">
        <f aca="false">D_UC03!$M$35</f>
        <v>2</v>
      </c>
      <c r="K104" s="56" t="n">
        <f aca="false">IF(J104&lt;=$B$73,1,0)</f>
        <v>0</v>
      </c>
      <c r="L104" s="56" t="n">
        <f aca="false">IF(AND(D_UC03!$Q$35&lt;&gt;"Y",D_UC03!$P$35&lt;&gt;"Y",D_UC03!$R$35&lt;&gt;"N",G104&gt;0,NOT(AND($B$68&lt;D_UC03!$C$13,OR(D_UC03!$S$35=0,D_UC03!$K$35&gt;0)))),1,0)</f>
        <v>1</v>
      </c>
      <c r="M104" s="56" t="n">
        <f aca="false">IF($B$33&lt;&gt;"TH01",0,IF($B$35="M1",IF(OR(B104="CL",B104="NB"),1,0),1))</f>
        <v>1</v>
      </c>
      <c r="N104" s="56" t="n">
        <f aca="false">L104*M104</f>
        <v>1</v>
      </c>
      <c r="O104" s="56" t="n">
        <f aca="false">IF(AND(L104=1,K104=1),G104,0)</f>
        <v>0</v>
      </c>
      <c r="P104" s="58" t="n">
        <f aca="false">IF(AND(G104&gt;0,$B$72&gt;0),ROUND(I104/MIN(G104,$B$72),4),0)</f>
        <v>0.0046</v>
      </c>
      <c r="Q104" s="56" t="n">
        <f aca="false">IF(B104="NB",0,IF($B$35="M1",IF(B104="CL",1,9),IF($B$35="M3",IF(OR(B104="AR_EARLY",B104="RF",B104="FAC"),1,IF(B104="AP_EXT",2,3)),IF(OR(B104="AR_EARLY",B104="RF",B104="FAC"),1,IF(OR(B104="INV_LOAN",B104="INV_SALE"),2,IF(B104="AP_EXT",3,4))))))</f>
        <v>3</v>
      </c>
      <c r="R104" s="56" t="n">
        <f aca="false">IF(J104&lt;=3,1,IF(J104&lt;=10,2,3))</f>
        <v>1</v>
      </c>
      <c r="S104" s="56" t="n">
        <f aca="false">IF($B$44="degraded",3,IF(D_UC03!$N$35="Cao",1,IF(D_UC03!$N$35="Trung bình",2,3)))</f>
        <v>1</v>
      </c>
      <c r="T104" s="60" t="n">
        <f aca="false">D_UC03!$O$35</f>
        <v>0</v>
      </c>
      <c r="U104" s="56" t="n">
        <f aca="false">IF(K104=1,0,2)</f>
        <v>2</v>
      </c>
      <c r="V104" s="56" t="n">
        <v>13</v>
      </c>
      <c r="W104" s="56" t="n">
        <f aca="false">IF(N104=1,U104*10^13+IF($B$74=1,R104*10^12+Q104*10^11,Q104*10^12+R104*10^11)+S104*10^10+MIN(99999,ROUND(P104*10000,0))*10^5+T104*10^4+MIN(99,J104)*100+V104,9*10^14+V104)</f>
        <v>21310004600213</v>
      </c>
      <c r="X104" s="56" t="n">
        <f aca="false">IF(N104=1,SUMPRODUCT(($W$92:$W$105&lt;W104)*($N$92:$N$105=1))+1,"")</f>
        <v>7</v>
      </c>
      <c r="Y104" s="17" t="str">
        <f aca="false">IF(D_UC03!$Q$35="Y","PLEDGED",IF(D_UC03!$P$35="Y","STRATEGIC_OR_CRITICAL",IF(D_UC03!$R$35="N","NO_PRODUCT_DATA",IF(G104&lt;=0,"NO_NET_CASH",IF(L104=0,"SHORT_DURATION_LOCKED",IF(M104=0,"OUT_OF_SCENARIO",IF(K104=0,"TOO_SLOW",IF(G104&lt;$B$76,"BELOW_MIN_DRAW",""))))))))</f>
        <v>TOO_SLOW</v>
      </c>
      <c r="Z104" s="17" t="str">
        <f aca="false">IF(AND(D_UC03!$S$35=0,D_UC03!$L$35&lt;$B$68),"NOT_COVERING_DURATION","")</f>
        <v/>
      </c>
    </row>
    <row r="105" customFormat="false" ht="19.4" hidden="false" customHeight="false" outlineLevel="0" collapsed="false">
      <c r="A105" s="61" t="str">
        <f aca="false">D_UC03!$A$36</f>
        <v>TT-001</v>
      </c>
      <c r="B105" s="61" t="str">
        <f aca="false">D_UC03!$C$36</f>
        <v>CL</v>
      </c>
      <c r="C105" s="61" t="str">
        <f aca="false">D_UC03!$D$36</f>
        <v>O2</v>
      </c>
      <c r="D105" s="61" t="str">
        <f aca="false">D_UC03!$E$36</f>
        <v>LIM-TT-001</v>
      </c>
      <c r="E105" s="60" t="n">
        <f aca="false">D_UC03!$F$36</f>
        <v>0</v>
      </c>
      <c r="F105" s="58" t="n">
        <f aca="false">IF(B105="INV_SALE",1-D_UC03!$H$36,D_UC03!$G$36)</f>
        <v>1</v>
      </c>
      <c r="G105" s="56" t="n">
        <f aca="false">E105*F105</f>
        <v>0</v>
      </c>
      <c r="H105" s="56" t="n">
        <f aca="false">IF(D_UC03!$S$36=1,MIN(D_UC03!$L$36,$B$68),D_UC03!$L$36)</f>
        <v>0</v>
      </c>
      <c r="I105" s="56" t="n">
        <f aca="false">IF(B105="INV_SALE",E105*D_UC03!$H$36+D_UC03!$K$36,G105*D_UC03!$I$36*H105/365+G105*D_UC03!$J$36+D_UC03!$K$36)</f>
        <v>0</v>
      </c>
      <c r="J105" s="60" t="n">
        <f aca="false">D_UC03!$M$36</f>
        <v>0</v>
      </c>
      <c r="K105" s="56" t="n">
        <f aca="false">IF(J105&lt;=$B$73,1,0)</f>
        <v>1</v>
      </c>
      <c r="L105" s="56" t="n">
        <f aca="false">IF(AND(D_UC03!$Q$36&lt;&gt;"Y",D_UC03!$P$36&lt;&gt;"Y",D_UC03!$R$36&lt;&gt;"N",G105&gt;0,NOT(AND($B$68&lt;D_UC03!$C$13,OR(D_UC03!$S$36=0,D_UC03!$K$36&gt;0)))),1,0)</f>
        <v>0</v>
      </c>
      <c r="M105" s="56" t="n">
        <f aca="false">IF($B$33&lt;&gt;"TH01",0,IF($B$35="M1",IF(OR(B105="CL",B105="NB"),1,0),1))</f>
        <v>1</v>
      </c>
      <c r="N105" s="56" t="n">
        <f aca="false">L105*M105</f>
        <v>0</v>
      </c>
      <c r="O105" s="56" t="n">
        <f aca="false">IF(AND(L105=1,K105=1),G105,0)</f>
        <v>0</v>
      </c>
      <c r="P105" s="58" t="n">
        <f aca="false">IF(AND(G105&gt;0,$B$72&gt;0),ROUND(I105/MIN(G105,$B$72),4),0)</f>
        <v>0</v>
      </c>
      <c r="Q105" s="56" t="n">
        <f aca="false">IF(B105="NB",0,IF($B$35="M1",IF(B105="CL",1,9),IF($B$35="M3",IF(OR(B105="AR_EARLY",B105="RF",B105="FAC"),1,IF(B105="AP_EXT",2,3)),IF(OR(B105="AR_EARLY",B105="RF",B105="FAC"),1,IF(OR(B105="INV_LOAN",B105="INV_SALE"),2,IF(B105="AP_EXT",3,4))))))</f>
        <v>3</v>
      </c>
      <c r="R105" s="56" t="n">
        <f aca="false">IF(J105&lt;=3,1,IF(J105&lt;=10,2,3))</f>
        <v>1</v>
      </c>
      <c r="S105" s="56" t="n">
        <f aca="false">IF($B$44="degraded",3,IF(D_UC03!$N$36="Cao",1,IF(D_UC03!$N$36="Trung bình",2,3)))</f>
        <v>1</v>
      </c>
      <c r="T105" s="60" t="n">
        <f aca="false">D_UC03!$O$36</f>
        <v>0</v>
      </c>
      <c r="U105" s="56" t="n">
        <f aca="false">IF(K105=1,0,2)</f>
        <v>0</v>
      </c>
      <c r="V105" s="56" t="n">
        <v>14</v>
      </c>
      <c r="W105" s="56" t="n">
        <f aca="false">IF(N105=1,U105*10^13+IF($B$74=1,R105*10^12+Q105*10^11,Q105*10^12+R105*10^11)+S105*10^10+MIN(99999,ROUND(P105*10000,0))*10^5+T105*10^4+MIN(99,J105)*100+V105,9*10^14+V105)</f>
        <v>900000000000014</v>
      </c>
      <c r="X105" s="56" t="str">
        <f aca="false">IF(N105=1,SUMPRODUCT(($W$92:$W$105&lt;W105)*($N$92:$N$105=1))+1,"")</f>
        <v/>
      </c>
      <c r="Y105" s="17" t="str">
        <f aca="false">IF(D_UC03!$Q$36="Y","PLEDGED",IF(D_UC03!$P$36="Y","STRATEGIC_OR_CRITICAL",IF(D_UC03!$R$36="N","NO_PRODUCT_DATA",IF(G105&lt;=0,"NO_NET_CASH",IF(L105=0,"SHORT_DURATION_LOCKED",IF(M105=0,"OUT_OF_SCENARIO",IF(K105=0,"TOO_SLOW",IF(G105&lt;$B$76,"BELOW_MIN_DRAW",""))))))))</f>
        <v>NO_PRODUCT_DATA</v>
      </c>
      <c r="Z105" s="17" t="str">
        <f aca="false">IF(AND(D_UC03!$S$36=0,D_UC03!$L$36&lt;$B$68),"NOT_COVERING_DURATION","")</f>
        <v/>
      </c>
    </row>
    <row r="107" customFormat="false" ht="9.75" hidden="false" customHeight="false" outlineLevel="0" collapsed="false">
      <c r="A107" s="63" t="s">
        <v>2430</v>
      </c>
      <c r="B107" s="64"/>
      <c r="C107" s="64"/>
      <c r="D107" s="64"/>
      <c r="E107" s="64"/>
      <c r="F107" s="64"/>
      <c r="G107" s="64"/>
      <c r="H107" s="64"/>
      <c r="I107" s="64"/>
      <c r="J107" s="64"/>
      <c r="K107" s="64"/>
      <c r="L107" s="64"/>
      <c r="M107" s="64"/>
      <c r="N107" s="64"/>
      <c r="O107" s="64"/>
      <c r="P107" s="64"/>
      <c r="Q107" s="64"/>
      <c r="R107" s="64"/>
    </row>
    <row r="108" customFormat="false" ht="20.25" hidden="false" customHeight="true" outlineLevel="0" collapsed="false">
      <c r="A108" s="65" t="s">
        <v>2427</v>
      </c>
      <c r="B108" s="65" t="s">
        <v>2431</v>
      </c>
      <c r="C108" s="65" t="s">
        <v>154</v>
      </c>
      <c r="D108" s="65" t="s">
        <v>2411</v>
      </c>
      <c r="E108" s="65" t="s">
        <v>2412</v>
      </c>
      <c r="F108" s="65" t="s">
        <v>2432</v>
      </c>
      <c r="G108" s="65" t="s">
        <v>2433</v>
      </c>
      <c r="H108" s="65" t="s">
        <v>2425</v>
      </c>
      <c r="I108" s="65" t="s">
        <v>2434</v>
      </c>
      <c r="J108" s="65" t="s">
        <v>2435</v>
      </c>
      <c r="K108" s="65" t="s">
        <v>2436</v>
      </c>
      <c r="L108" s="65" t="s">
        <v>2437</v>
      </c>
      <c r="M108" s="65" t="s">
        <v>2438</v>
      </c>
      <c r="N108" s="65" t="s">
        <v>2439</v>
      </c>
      <c r="O108" s="65" t="s">
        <v>2429</v>
      </c>
      <c r="P108" s="65" t="s">
        <v>2440</v>
      </c>
      <c r="Q108" s="65" t="s">
        <v>2418</v>
      </c>
      <c r="R108" s="65" t="s">
        <v>1005</v>
      </c>
    </row>
    <row r="109" customFormat="false" ht="9.75" hidden="false" customHeight="false" outlineLevel="0" collapsed="false">
      <c r="A109" s="66" t="n">
        <v>1</v>
      </c>
      <c r="B109" s="66" t="n">
        <f aca="false">IFERROR(MATCH(A109,$X$92:$X$105,0),0)</f>
        <v>6</v>
      </c>
      <c r="C109" s="67" t="str">
        <f aca="false">IF(B109=0,"",INDEX($A$92:$A$105,B109))</f>
        <v>RF-001</v>
      </c>
      <c r="D109" s="67" t="str">
        <f aca="false">IF(B109=0,"",INDEX($C$92:$C$105,B109))</f>
        <v>O2</v>
      </c>
      <c r="E109" s="67" t="str">
        <f aca="false">IF(B109=0,"",INDEX($D$92:$D$105,B109))</f>
        <v>OBJ-AR-K1</v>
      </c>
      <c r="F109" s="66" t="n">
        <f aca="false">IF(B109=0,0,INDEX($G$92:$G$105,B109))</f>
        <v>9220053036.7</v>
      </c>
      <c r="G109" s="66" t="n">
        <f aca="false">IF(B109=0,0,INDEX($I$92:$I$105,B109))</f>
        <v>47742192.4366109</v>
      </c>
      <c r="H109" s="66" t="n">
        <f aca="false">IF(B109=0,"",INDEX($U$92:$U$105,B109))</f>
        <v>0</v>
      </c>
      <c r="I109" s="67" t="str">
        <f aca="false">IF(C109="","",IF(H109=2,"TOO_SLOW",IF(F109&lt;$B$76,"BELOW_MIN_DRAW",IF(COUNTIFS(E$108:E108,E109,J$108:J108,1)&gt;0,"OBJECT_USED",IF(N109&gt;=D_UC03!$C$15,"MAX_PER_OPTION",IF(K109&gt;=$B$72,"GAP_COVERED",IF(COUNTIFS(J$108:J108,1)&gt;=D_UC03!$C$11,"MAX_SOURCES","")))))))</f>
        <v/>
      </c>
      <c r="J109" s="66" t="n">
        <f aca="false">IF(AND(C109&lt;&gt;"",I109=""),1,0)</f>
        <v>1</v>
      </c>
      <c r="K109" s="66" t="n">
        <f aca="false">SUM(L$108:L108)</f>
        <v>0</v>
      </c>
      <c r="L109" s="66" t="n">
        <f aca="false">IF(J109=1,MIN(F109,$B$72-K109),0)</f>
        <v>2715485453.22435</v>
      </c>
      <c r="M109" s="66" t="n">
        <f aca="false">IF(J109=1,G109*L109/F109,0)</f>
        <v>14061006.8673809</v>
      </c>
      <c r="N109" s="66" t="n">
        <f aca="false">COUNTIFS(D$108:D108,D109,J$108:J108,1)</f>
        <v>0</v>
      </c>
      <c r="O109" s="67" t="str">
        <f aca="false">IF(B109=0,"",INDEX($Z$92:$Z$105,B109))</f>
        <v/>
      </c>
      <c r="P109" s="67" t="str">
        <f aca="false">IF(J109=1,C109,"")</f>
        <v>RF-001</v>
      </c>
      <c r="Q109" s="66" t="n">
        <f aca="false">IF(B109=0,"",INDEX($J$92:$J$105,B109))</f>
        <v>1</v>
      </c>
      <c r="R109" s="67" t="str">
        <f aca="false">IF(B109=0,"",INDEX(D_UC03!$N$23:$N$36,B109))</f>
        <v>Trung bình</v>
      </c>
    </row>
    <row r="110" customFormat="false" ht="9.75" hidden="false" customHeight="false" outlineLevel="0" collapsed="false">
      <c r="A110" s="66" t="n">
        <v>2</v>
      </c>
      <c r="B110" s="66" t="n">
        <f aca="false">IFERROR(MATCH(A110,$X$92:$X$105,0),0)</f>
        <v>12</v>
      </c>
      <c r="C110" s="67" t="str">
        <f aca="false">IF(B110=0,"",INDEX($A$92:$A$105,B110))</f>
        <v>CL-001</v>
      </c>
      <c r="D110" s="67" t="str">
        <f aca="false">IF(B110=0,"",INDEX($C$92:$C$105,B110))</f>
        <v>O2</v>
      </c>
      <c r="E110" s="67" t="str">
        <f aca="false">IF(B110=0,"",INDEX($D$92:$D$105,B110))</f>
        <v>LIM-CL-001</v>
      </c>
      <c r="F110" s="66" t="n">
        <f aca="false">IF(B110=0,0,INDEX($G$92:$G$105,B110))</f>
        <v>3000000000</v>
      </c>
      <c r="G110" s="66" t="n">
        <f aca="false">IF(B110=0,0,INDEX($I$92:$I$105,B110))</f>
        <v>11506849.3150685</v>
      </c>
      <c r="H110" s="66" t="n">
        <f aca="false">IF(B110=0,"",INDEX($U$92:$U$105,B110))</f>
        <v>0</v>
      </c>
      <c r="I110" s="67" t="str">
        <f aca="false">IF(C110="","",IF(H110=2,"TOO_SLOW",IF(F110&lt;$B$76,"BELOW_MIN_DRAW",IF(COUNTIFS(E$108:E109,E110,J$108:J109,1)&gt;0,"OBJECT_USED",IF(N110&gt;=D_UC03!$C$15,"MAX_PER_OPTION",IF(K110&gt;=$B$72,"GAP_COVERED",IF(COUNTIFS(J$108:J109,1)&gt;=D_UC03!$C$11,"MAX_SOURCES","")))))))</f>
        <v>GAP_COVERED</v>
      </c>
      <c r="J110" s="66" t="n">
        <f aca="false">IF(AND(C110&lt;&gt;"",I110=""),1,0)</f>
        <v>0</v>
      </c>
      <c r="K110" s="66" t="n">
        <f aca="false">SUM(L$108:L109)</f>
        <v>2715485453.22435</v>
      </c>
      <c r="L110" s="66" t="n">
        <f aca="false">IF(J110=1,MIN(F110,$B$72-K110),0)</f>
        <v>0</v>
      </c>
      <c r="M110" s="66" t="n">
        <f aca="false">IF(J110=1,G110*L110/F110,0)</f>
        <v>0</v>
      </c>
      <c r="N110" s="66" t="n">
        <f aca="false">COUNTIFS(D$108:D109,D110,J$108:J109,1)</f>
        <v>1</v>
      </c>
      <c r="O110" s="67" t="str">
        <f aca="false">IF(B110=0,"",INDEX($Z$92:$Z$105,B110))</f>
        <v/>
      </c>
      <c r="P110" s="67" t="str">
        <f aca="false">IF(J110=1,IF(P109="",C110,P109&amp;" + "&amp;C110),P109)</f>
        <v>RF-001</v>
      </c>
      <c r="Q110" s="66" t="n">
        <f aca="false">IF(B110=0,"",INDEX($J$92:$J$105,B110))</f>
        <v>1</v>
      </c>
      <c r="R110" s="67" t="str">
        <f aca="false">IF(B110=0,"",INDEX(D_UC03!$N$23:$N$36,B110))</f>
        <v>Cao</v>
      </c>
    </row>
    <row r="111" customFormat="false" ht="9.75" hidden="false" customHeight="false" outlineLevel="0" collapsed="false">
      <c r="A111" s="66" t="n">
        <v>3</v>
      </c>
      <c r="B111" s="66" t="n">
        <f aca="false">IFERROR(MATCH(A111,$X$92:$X$105,0),0)</f>
        <v>1</v>
      </c>
      <c r="C111" s="67" t="str">
        <f aca="false">IF(B111=0,"",INDEX($A$92:$A$105,B111))</f>
        <v>NB-01</v>
      </c>
      <c r="D111" s="67" t="str">
        <f aca="false">IF(B111=0,"",INDEX($C$92:$C$105,B111))</f>
        <v>O0</v>
      </c>
      <c r="E111" s="67" t="str">
        <f aca="false">IF(B111=0,"",INDEX($D$92:$D$105,B111))</f>
        <v>OBJ-NB</v>
      </c>
      <c r="F111" s="66" t="n">
        <f aca="false">IF(B111=0,0,INDEX($G$92:$G$105,B111))</f>
        <v>2000000000</v>
      </c>
      <c r="G111" s="66" t="n">
        <f aca="false">IF(B111=0,0,INDEX($I$92:$I$105,B111))</f>
        <v>0</v>
      </c>
      <c r="H111" s="66" t="n">
        <f aca="false">IF(B111=0,"",INDEX($U$92:$U$105,B111))</f>
        <v>2</v>
      </c>
      <c r="I111" s="67" t="str">
        <f aca="false">IF(C111="","",IF(H111=2,"TOO_SLOW",IF(F111&lt;$B$76,"BELOW_MIN_DRAW",IF(COUNTIFS(E$108:E110,E111,J$108:J110,1)&gt;0,"OBJECT_USED",IF(N111&gt;=D_UC03!$C$15,"MAX_PER_OPTION",IF(K111&gt;=$B$72,"GAP_COVERED",IF(COUNTIFS(J$108:J110,1)&gt;=D_UC03!$C$11,"MAX_SOURCES","")))))))</f>
        <v>TOO_SLOW</v>
      </c>
      <c r="J111" s="66" t="n">
        <f aca="false">IF(AND(C111&lt;&gt;"",I111=""),1,0)</f>
        <v>0</v>
      </c>
      <c r="K111" s="66" t="n">
        <f aca="false">SUM(L$108:L110)</f>
        <v>2715485453.22435</v>
      </c>
      <c r="L111" s="66" t="n">
        <f aca="false">IF(J111=1,MIN(F111,$B$72-K111),0)</f>
        <v>0</v>
      </c>
      <c r="M111" s="66" t="n">
        <f aca="false">IF(J111=1,G111*L111/F111,0)</f>
        <v>0</v>
      </c>
      <c r="N111" s="66" t="n">
        <f aca="false">COUNTIFS(D$108:D110,D111,J$108:J110,1)</f>
        <v>0</v>
      </c>
      <c r="O111" s="67" t="str">
        <f aca="false">IF(B111=0,"",INDEX($Z$92:$Z$105,B111))</f>
        <v/>
      </c>
      <c r="P111" s="67" t="str">
        <f aca="false">IF(J111=1,IF(P110="",C111,P110&amp;" + "&amp;C111),P110)</f>
        <v>RF-001</v>
      </c>
      <c r="Q111" s="66" t="n">
        <f aca="false">IF(B111=0,"",INDEX($J$92:$J$105,B111))</f>
        <v>2</v>
      </c>
      <c r="R111" s="67" t="str">
        <f aca="false">IF(B111=0,"",INDEX(D_UC03!$N$23:$N$36,B111))</f>
        <v>Cao</v>
      </c>
    </row>
    <row r="112" customFormat="false" ht="9.75" hidden="false" customHeight="false" outlineLevel="0" collapsed="false">
      <c r="A112" s="66" t="n">
        <v>4</v>
      </c>
      <c r="B112" s="66" t="n">
        <f aca="false">IFERROR(MATCH(A112,$X$92:$X$105,0),0)</f>
        <v>8</v>
      </c>
      <c r="C112" s="67" t="str">
        <f aca="false">IF(B112=0,"",INDEX($A$92:$A$105,B112))</f>
        <v>FAC-002</v>
      </c>
      <c r="D112" s="67" t="str">
        <f aca="false">IF(B112=0,"",INDEX($C$92:$C$105,B112))</f>
        <v>O2</v>
      </c>
      <c r="E112" s="67" t="str">
        <f aca="false">IF(B112=0,"",INDEX($D$92:$D$105,B112))</f>
        <v>OBJ-AR-K6</v>
      </c>
      <c r="F112" s="66" t="n">
        <f aca="false">IF(B112=0,0,INDEX($G$92:$G$105,B112))</f>
        <v>551363133.6</v>
      </c>
      <c r="G112" s="66" t="n">
        <f aca="false">IF(B112=0,0,INDEX($I$92:$I$105,B112))</f>
        <v>8648092.98591781</v>
      </c>
      <c r="H112" s="66" t="n">
        <f aca="false">IF(B112=0,"",INDEX($U$92:$U$105,B112))</f>
        <v>2</v>
      </c>
      <c r="I112" s="67" t="str">
        <f aca="false">IF(C112="","",IF(H112=2,"TOO_SLOW",IF(F112&lt;$B$76,"BELOW_MIN_DRAW",IF(COUNTIFS(E$108:E111,E112,J$108:J111,1)&gt;0,"OBJECT_USED",IF(N112&gt;=D_UC03!$C$15,"MAX_PER_OPTION",IF(K112&gt;=$B$72,"GAP_COVERED",IF(COUNTIFS(J$108:J111,1)&gt;=D_UC03!$C$11,"MAX_SOURCES","")))))))</f>
        <v>TOO_SLOW</v>
      </c>
      <c r="J112" s="66" t="n">
        <f aca="false">IF(AND(C112&lt;&gt;"",I112=""),1,0)</f>
        <v>0</v>
      </c>
      <c r="K112" s="66" t="n">
        <f aca="false">SUM(L$108:L111)</f>
        <v>2715485453.22435</v>
      </c>
      <c r="L112" s="66" t="n">
        <f aca="false">IF(J112=1,MIN(F112,$B$72-K112),0)</f>
        <v>0</v>
      </c>
      <c r="M112" s="66" t="n">
        <f aca="false">IF(J112=1,G112*L112/F112,0)</f>
        <v>0</v>
      </c>
      <c r="N112" s="66" t="n">
        <f aca="false">COUNTIFS(D$108:D111,D112,J$108:J111,1)</f>
        <v>1</v>
      </c>
      <c r="O112" s="67" t="str">
        <f aca="false">IF(B112=0,"",INDEX($Z$92:$Z$105,B112))</f>
        <v/>
      </c>
      <c r="P112" s="67" t="str">
        <f aca="false">IF(J112=1,IF(P111="",C112,P111&amp;" + "&amp;C112),P111)</f>
        <v>RF-001</v>
      </c>
      <c r="Q112" s="66" t="n">
        <f aca="false">IF(B112=0,"",INDEX($J$92:$J$105,B112))</f>
        <v>3</v>
      </c>
      <c r="R112" s="67" t="str">
        <f aca="false">IF(B112=0,"",INDEX(D_UC03!$N$23:$N$36,B112))</f>
        <v>Trung bình</v>
      </c>
    </row>
    <row r="113" customFormat="false" ht="9.75" hidden="false" customHeight="false" outlineLevel="0" collapsed="false">
      <c r="A113" s="66" t="n">
        <v>5</v>
      </c>
      <c r="B113" s="66" t="n">
        <f aca="false">IFERROR(MATCH(A113,$X$92:$X$105,0),0)</f>
        <v>7</v>
      </c>
      <c r="C113" s="67" t="str">
        <f aca="false">IF(B113=0,"",INDEX($A$92:$A$105,B113))</f>
        <v>FAC-001</v>
      </c>
      <c r="D113" s="67" t="str">
        <f aca="false">IF(B113=0,"",INDEX($C$92:$C$105,B113))</f>
        <v>O2</v>
      </c>
      <c r="E113" s="67" t="str">
        <f aca="false">IF(B113=0,"",INDEX($D$92:$D$105,B113))</f>
        <v>OBJ-AR-K1</v>
      </c>
      <c r="F113" s="66" t="n">
        <f aca="false">IF(B113=0,0,INDEX($G$92:$G$105,B113))</f>
        <v>8249521138.1</v>
      </c>
      <c r="G113" s="66" t="n">
        <f aca="false">IF(B113=0,0,INDEX($I$92:$I$105,B113))</f>
        <v>98203203.6850534</v>
      </c>
      <c r="H113" s="66" t="n">
        <f aca="false">IF(B113=0,"",INDEX($U$92:$U$105,B113))</f>
        <v>2</v>
      </c>
      <c r="I113" s="67" t="str">
        <f aca="false">IF(C113="","",IF(H113=2,"TOO_SLOW",IF(F113&lt;$B$76,"BELOW_MIN_DRAW",IF(COUNTIFS(E$108:E112,E113,J$108:J112,1)&gt;0,"OBJECT_USED",IF(N113&gt;=D_UC03!$C$15,"MAX_PER_OPTION",IF(K113&gt;=$B$72,"GAP_COVERED",IF(COUNTIFS(J$108:J112,1)&gt;=D_UC03!$C$11,"MAX_SOURCES","")))))))</f>
        <v>TOO_SLOW</v>
      </c>
      <c r="J113" s="66" t="n">
        <f aca="false">IF(AND(C113&lt;&gt;"",I113=""),1,0)</f>
        <v>0</v>
      </c>
      <c r="K113" s="66" t="n">
        <f aca="false">SUM(L$108:L112)</f>
        <v>2715485453.22435</v>
      </c>
      <c r="L113" s="66" t="n">
        <f aca="false">IF(J113=1,MIN(F113,$B$72-K113),0)</f>
        <v>0</v>
      </c>
      <c r="M113" s="66" t="n">
        <f aca="false">IF(J113=1,G113*L113/F113,0)</f>
        <v>0</v>
      </c>
      <c r="N113" s="66" t="n">
        <f aca="false">COUNTIFS(D$108:D112,D113,J$108:J112,1)</f>
        <v>1</v>
      </c>
      <c r="O113" s="67" t="str">
        <f aca="false">IF(B113=0,"",INDEX($Z$92:$Z$105,B113))</f>
        <v/>
      </c>
      <c r="P113" s="67" t="str">
        <f aca="false">IF(J113=1,IF(P112="",C113,P112&amp;" + "&amp;C113),P112)</f>
        <v>RF-001</v>
      </c>
      <c r="Q113" s="66" t="n">
        <f aca="false">IF(B113=0,"",INDEX($J$92:$J$105,B113))</f>
        <v>3</v>
      </c>
      <c r="R113" s="67" t="str">
        <f aca="false">IF(B113=0,"",INDEX(D_UC03!$N$23:$N$36,B113))</f>
        <v>Trung bình</v>
      </c>
    </row>
    <row r="114" customFormat="false" ht="9.75" hidden="false" customHeight="false" outlineLevel="0" collapsed="false">
      <c r="A114" s="66" t="n">
        <v>6</v>
      </c>
      <c r="B114" s="66" t="n">
        <f aca="false">IFERROR(MATCH(A114,$X$92:$X$105,0),0)</f>
        <v>2</v>
      </c>
      <c r="C114" s="67" t="str">
        <f aca="false">IF(B114=0,"",INDEX($A$92:$A$105,B114))</f>
        <v>EX-01</v>
      </c>
      <c r="D114" s="67" t="str">
        <f aca="false">IF(B114=0,"",INDEX($C$92:$C$105,B114))</f>
        <v>O1</v>
      </c>
      <c r="E114" s="67" t="str">
        <f aca="false">IF(B114=0,"",INDEX($D$92:$D$105,B114))</f>
        <v>OBJ-APX</v>
      </c>
      <c r="F114" s="66" t="n">
        <f aca="false">IF(B114=0,0,INDEX($G$92:$G$105,B114))</f>
        <v>2983068109</v>
      </c>
      <c r="G114" s="66" t="n">
        <f aca="false">IF(B114=0,0,INDEX($I$92:$I$105,B114))</f>
        <v>0</v>
      </c>
      <c r="H114" s="66" t="n">
        <f aca="false">IF(B114=0,"",INDEX($U$92:$U$105,B114))</f>
        <v>2</v>
      </c>
      <c r="I114" s="67" t="str">
        <f aca="false">IF(C114="","",IF(H114=2,"TOO_SLOW",IF(F114&lt;$B$76,"BELOW_MIN_DRAW",IF(COUNTIFS(E$108:E113,E114,J$108:J113,1)&gt;0,"OBJECT_USED",IF(N114&gt;=D_UC03!$C$15,"MAX_PER_OPTION",IF(K114&gt;=$B$72,"GAP_COVERED",IF(COUNTIFS(J$108:J113,1)&gt;=D_UC03!$C$11,"MAX_SOURCES","")))))))</f>
        <v>TOO_SLOW</v>
      </c>
      <c r="J114" s="66" t="n">
        <f aca="false">IF(AND(C114&lt;&gt;"",I114=""),1,0)</f>
        <v>0</v>
      </c>
      <c r="K114" s="66" t="n">
        <f aca="false">SUM(L$108:L113)</f>
        <v>2715485453.22435</v>
      </c>
      <c r="L114" s="66" t="n">
        <f aca="false">IF(J114=1,MIN(F114,$B$72-K114),0)</f>
        <v>0</v>
      </c>
      <c r="M114" s="66" t="n">
        <f aca="false">IF(J114=1,G114*L114/F114,0)</f>
        <v>0</v>
      </c>
      <c r="N114" s="66" t="n">
        <f aca="false">COUNTIFS(D$108:D113,D114,J$108:J113,1)</f>
        <v>0</v>
      </c>
      <c r="O114" s="67" t="str">
        <f aca="false">IF(B114=0,"",INDEX($Z$92:$Z$105,B114))</f>
        <v/>
      </c>
      <c r="P114" s="67" t="str">
        <f aca="false">IF(J114=1,IF(P113="",C114,P113&amp;" + "&amp;C114),P113)</f>
        <v>RF-001</v>
      </c>
      <c r="Q114" s="66" t="n">
        <f aca="false">IF(B114=0,"",INDEX($J$92:$J$105,B114))</f>
        <v>2</v>
      </c>
      <c r="R114" s="67" t="str">
        <f aca="false">IF(B114=0,"",INDEX(D_UC03!$N$23:$N$36,B114))</f>
        <v>Thấp</v>
      </c>
    </row>
    <row r="115" customFormat="false" ht="9.75" hidden="false" customHeight="false" outlineLevel="0" collapsed="false">
      <c r="A115" s="66" t="n">
        <v>7</v>
      </c>
      <c r="B115" s="66" t="n">
        <f aca="false">IFERROR(MATCH(A115,$X$92:$X$105,0),0)</f>
        <v>13</v>
      </c>
      <c r="C115" s="67" t="str">
        <f aca="false">IF(B115=0,"",INDEX($A$92:$A$105,B115))</f>
        <v>CL-002</v>
      </c>
      <c r="D115" s="67" t="str">
        <f aca="false">IF(B115=0,"",INDEX($C$92:$C$105,B115))</f>
        <v>O2</v>
      </c>
      <c r="E115" s="67" t="str">
        <f aca="false">IF(B115=0,"",INDEX($D$92:$D$105,B115))</f>
        <v>LIM-CL-002</v>
      </c>
      <c r="F115" s="66" t="n">
        <f aca="false">IF(B115=0,0,INDEX($G$92:$G$105,B115))</f>
        <v>1500000000</v>
      </c>
      <c r="G115" s="66" t="n">
        <f aca="false">IF(B115=0,0,INDEX($I$92:$I$105,B115))</f>
        <v>6904109.5890411</v>
      </c>
      <c r="H115" s="66" t="n">
        <f aca="false">IF(B115=0,"",INDEX($U$92:$U$105,B115))</f>
        <v>2</v>
      </c>
      <c r="I115" s="67" t="str">
        <f aca="false">IF(C115="","",IF(H115=2,"TOO_SLOW",IF(F115&lt;$B$76,"BELOW_MIN_DRAW",IF(COUNTIFS(E$108:E114,E115,J$108:J114,1)&gt;0,"OBJECT_USED",IF(N115&gt;=D_UC03!$C$15,"MAX_PER_OPTION",IF(K115&gt;=$B$72,"GAP_COVERED",IF(COUNTIFS(J$108:J114,1)&gt;=D_UC03!$C$11,"MAX_SOURCES","")))))))</f>
        <v>TOO_SLOW</v>
      </c>
      <c r="J115" s="66" t="n">
        <f aca="false">IF(AND(C115&lt;&gt;"",I115=""),1,0)</f>
        <v>0</v>
      </c>
      <c r="K115" s="66" t="n">
        <f aca="false">SUM(L$108:L114)</f>
        <v>2715485453.22435</v>
      </c>
      <c r="L115" s="66" t="n">
        <f aca="false">IF(J115=1,MIN(F115,$B$72-K115),0)</f>
        <v>0</v>
      </c>
      <c r="M115" s="66" t="n">
        <f aca="false">IF(J115=1,G115*L115/F115,0)</f>
        <v>0</v>
      </c>
      <c r="N115" s="66" t="n">
        <f aca="false">COUNTIFS(D$108:D114,D115,J$108:J114,1)</f>
        <v>1</v>
      </c>
      <c r="O115" s="67" t="str">
        <f aca="false">IF(B115=0,"",INDEX($Z$92:$Z$105,B115))</f>
        <v/>
      </c>
      <c r="P115" s="67" t="str">
        <f aca="false">IF(J115=1,IF(P114="",C115,P114&amp;" + "&amp;C115),P114)</f>
        <v>RF-001</v>
      </c>
      <c r="Q115" s="66" t="n">
        <f aca="false">IF(B115=0,"",INDEX($J$92:$J$105,B115))</f>
        <v>2</v>
      </c>
      <c r="R115" s="67" t="str">
        <f aca="false">IF(B115=0,"",INDEX(D_UC03!$N$23:$N$36,B115))</f>
        <v>Cao</v>
      </c>
    </row>
    <row r="116" customFormat="false" ht="9.75" hidden="false" customHeight="false" outlineLevel="0" collapsed="false">
      <c r="A116" s="66" t="n">
        <v>8</v>
      </c>
      <c r="B116" s="66" t="n">
        <f aca="false">IFERROR(MATCH(A116,$X$92:$X$105,0),0)</f>
        <v>4</v>
      </c>
      <c r="C116" s="67" t="str">
        <f aca="false">IF(B116=0,"",INDEX($A$92:$A$105,B116))</f>
        <v>AR-01</v>
      </c>
      <c r="D116" s="67" t="str">
        <f aca="false">IF(B116=0,"",INDEX($C$92:$C$105,B116))</f>
        <v>O4</v>
      </c>
      <c r="E116" s="67" t="str">
        <f aca="false">IF(B116=0,"",INDEX($D$92:$D$105,B116))</f>
        <v>OBJ-AR-K1</v>
      </c>
      <c r="F116" s="66" t="n">
        <f aca="false">IF(B116=0,0,INDEX($G$92:$G$105,B116))</f>
        <v>9705318986</v>
      </c>
      <c r="G116" s="66" t="n">
        <f aca="false">IF(B116=0,0,INDEX($I$92:$I$105,B116))</f>
        <v>97053189.86</v>
      </c>
      <c r="H116" s="66" t="n">
        <f aca="false">IF(B116=0,"",INDEX($U$92:$U$105,B116))</f>
        <v>2</v>
      </c>
      <c r="I116" s="67" t="str">
        <f aca="false">IF(C116="","",IF(H116=2,"TOO_SLOW",IF(F116&lt;$B$76,"BELOW_MIN_DRAW",IF(COUNTIFS(E$108:E115,E116,J$108:J115,1)&gt;0,"OBJECT_USED",IF(N116&gt;=D_UC03!$C$15,"MAX_PER_OPTION",IF(K116&gt;=$B$72,"GAP_COVERED",IF(COUNTIFS(J$108:J115,1)&gt;=D_UC03!$C$11,"MAX_SOURCES","")))))))</f>
        <v>TOO_SLOW</v>
      </c>
      <c r="J116" s="66" t="n">
        <f aca="false">IF(AND(C116&lt;&gt;"",I116=""),1,0)</f>
        <v>0</v>
      </c>
      <c r="K116" s="66" t="n">
        <f aca="false">SUM(L$108:L115)</f>
        <v>2715485453.22435</v>
      </c>
      <c r="L116" s="66" t="n">
        <f aca="false">IF(J116=1,MIN(F116,$B$72-K116),0)</f>
        <v>0</v>
      </c>
      <c r="M116" s="66" t="n">
        <f aca="false">IF(J116=1,G116*L116/F116,0)</f>
        <v>0</v>
      </c>
      <c r="N116" s="66" t="n">
        <f aca="false">COUNTIFS(D$108:D115,D116,J$108:J115,1)</f>
        <v>0</v>
      </c>
      <c r="O116" s="67" t="str">
        <f aca="false">IF(B116=0,"",INDEX($Z$92:$Z$105,B116))</f>
        <v/>
      </c>
      <c r="P116" s="67" t="str">
        <f aca="false">IF(J116=1,IF(P115="",C116,P115&amp;" + "&amp;C116),P115)</f>
        <v>RF-001</v>
      </c>
      <c r="Q116" s="66" t="n">
        <f aca="false">IF(B116=0,"",INDEX($J$92:$J$105,B116))</f>
        <v>5</v>
      </c>
      <c r="R116" s="67" t="str">
        <f aca="false">IF(B116=0,"",INDEX(D_UC03!$N$23:$N$36,B116))</f>
        <v>Trung bình</v>
      </c>
    </row>
    <row r="117" customFormat="false" ht="9.75" hidden="false" customHeight="false" outlineLevel="0" collapsed="false">
      <c r="A117" s="66" t="n">
        <v>9</v>
      </c>
      <c r="B117" s="66" t="n">
        <f aca="false">IFERROR(MATCH(A117,$X$92:$X$105,0),0)</f>
        <v>9</v>
      </c>
      <c r="C117" s="67" t="str">
        <f aca="false">IF(B117=0,"",INDEX($A$92:$A$105,B117))</f>
        <v>INV-001</v>
      </c>
      <c r="D117" s="67" t="str">
        <f aca="false">IF(B117=0,"",INDEX($C$92:$C$105,B117))</f>
        <v>O2</v>
      </c>
      <c r="E117" s="67" t="str">
        <f aca="false">IF(B117=0,"",INDEX($D$92:$D$105,B117))</f>
        <v>OBJ-INV-NOR</v>
      </c>
      <c r="F117" s="66" t="n">
        <f aca="false">IF(B117=0,0,INDEX($G$92:$G$105,B117))</f>
        <v>11330709274.8</v>
      </c>
      <c r="G117" s="66" t="n">
        <f aca="false">IF(B117=0,0,INDEX($I$92:$I$105,B117))</f>
        <v>47806280.2279233</v>
      </c>
      <c r="H117" s="66" t="n">
        <f aca="false">IF(B117=0,"",INDEX($U$92:$U$105,B117))</f>
        <v>2</v>
      </c>
      <c r="I117" s="67" t="str">
        <f aca="false">IF(C117="","",IF(H117=2,"TOO_SLOW",IF(F117&lt;$B$76,"BELOW_MIN_DRAW",IF(COUNTIFS(E$108:E116,E117,J$108:J116,1)&gt;0,"OBJECT_USED",IF(N117&gt;=D_UC03!$C$15,"MAX_PER_OPTION",IF(K117&gt;=$B$72,"GAP_COVERED",IF(COUNTIFS(J$108:J116,1)&gt;=D_UC03!$C$11,"MAX_SOURCES","")))))))</f>
        <v>TOO_SLOW</v>
      </c>
      <c r="J117" s="66" t="n">
        <f aca="false">IF(AND(C117&lt;&gt;"",I117=""),1,0)</f>
        <v>0</v>
      </c>
      <c r="K117" s="66" t="n">
        <f aca="false">SUM(L$108:L116)</f>
        <v>2715485453.22435</v>
      </c>
      <c r="L117" s="66" t="n">
        <f aca="false">IF(J117=1,MIN(F117,$B$72-K117),0)</f>
        <v>0</v>
      </c>
      <c r="M117" s="66" t="n">
        <f aca="false">IF(J117=1,G117*L117/F117,0)</f>
        <v>0</v>
      </c>
      <c r="N117" s="66" t="n">
        <f aca="false">COUNTIFS(D$108:D116,D117,J$108:J116,1)</f>
        <v>1</v>
      </c>
      <c r="O117" s="67" t="str">
        <f aca="false">IF(B117=0,"",INDEX($Z$92:$Z$105,B117))</f>
        <v/>
      </c>
      <c r="P117" s="67" t="str">
        <f aca="false">IF(J117=1,IF(P116="",C117,P116&amp;" + "&amp;C117),P116)</f>
        <v>RF-001</v>
      </c>
      <c r="Q117" s="66" t="n">
        <f aca="false">IF(B117=0,"",INDEX($J$92:$J$105,B117))</f>
        <v>5</v>
      </c>
      <c r="R117" s="67" t="str">
        <f aca="false">IF(B117=0,"",INDEX(D_UC03!$N$23:$N$36,B117))</f>
        <v>Trung bình</v>
      </c>
    </row>
    <row r="118" customFormat="false" ht="9.75" hidden="false" customHeight="false" outlineLevel="0" collapsed="false">
      <c r="A118" s="66" t="n">
        <v>10</v>
      </c>
      <c r="B118" s="66" t="n">
        <f aca="false">IFERROR(MATCH(A118,$X$92:$X$105,0),0)</f>
        <v>10</v>
      </c>
      <c r="C118" s="67" t="str">
        <f aca="false">IF(B118=0,"",INDEX($A$92:$A$105,B118))</f>
        <v>INV-002</v>
      </c>
      <c r="D118" s="67" t="str">
        <f aca="false">IF(B118=0,"",INDEX($C$92:$C$105,B118))</f>
        <v>O3</v>
      </c>
      <c r="E118" s="67" t="str">
        <f aca="false">IF(B118=0,"",INDEX($D$92:$D$105,B118))</f>
        <v>OBJ-INV-SLOW</v>
      </c>
      <c r="F118" s="66" t="n">
        <f aca="false">IF(B118=0,0,INDEX($G$92:$G$105,B118))</f>
        <v>2284487149.875</v>
      </c>
      <c r="G118" s="66" t="n">
        <f aca="false">IF(B118=0,0,INDEX($I$92:$I$105,B118))</f>
        <v>326355307.125</v>
      </c>
      <c r="H118" s="66" t="n">
        <f aca="false">IF(B118=0,"",INDEX($U$92:$U$105,B118))</f>
        <v>2</v>
      </c>
      <c r="I118" s="67" t="str">
        <f aca="false">IF(C118="","",IF(H118=2,"TOO_SLOW",IF(F118&lt;$B$76,"BELOW_MIN_DRAW",IF(COUNTIFS(E$108:E117,E118,J$108:J117,1)&gt;0,"OBJECT_USED",IF(N118&gt;=D_UC03!$C$15,"MAX_PER_OPTION",IF(K118&gt;=$B$72,"GAP_COVERED",IF(COUNTIFS(J$108:J117,1)&gt;=D_UC03!$C$11,"MAX_SOURCES","")))))))</f>
        <v>TOO_SLOW</v>
      </c>
      <c r="J118" s="66" t="n">
        <f aca="false">IF(AND(C118&lt;&gt;"",I118=""),1,0)</f>
        <v>0</v>
      </c>
      <c r="K118" s="66" t="n">
        <f aca="false">SUM(L$108:L117)</f>
        <v>2715485453.22435</v>
      </c>
      <c r="L118" s="66" t="n">
        <f aca="false">IF(J118=1,MIN(F118,$B$72-K118),0)</f>
        <v>0</v>
      </c>
      <c r="M118" s="66" t="n">
        <f aca="false">IF(J118=1,G118*L118/F118,0)</f>
        <v>0</v>
      </c>
      <c r="N118" s="66" t="n">
        <f aca="false">COUNTIFS(D$108:D117,D118,J$108:J117,1)</f>
        <v>0</v>
      </c>
      <c r="O118" s="67" t="str">
        <f aca="false">IF(B118=0,"",INDEX($Z$92:$Z$105,B118))</f>
        <v/>
      </c>
      <c r="P118" s="67" t="str">
        <f aca="false">IF(J118=1,IF(P117="",C118,P117&amp;" + "&amp;C118),P117)</f>
        <v>RF-001</v>
      </c>
      <c r="Q118" s="66" t="n">
        <f aca="false">IF(B118=0,"",INDEX($J$92:$J$105,B118))</f>
        <v>30</v>
      </c>
      <c r="R118" s="67" t="str">
        <f aca="false">IF(B118=0,"",INDEX(D_UC03!$N$23:$N$36,B118))</f>
        <v>Thấp</v>
      </c>
    </row>
    <row r="119" customFormat="false" ht="9.75" hidden="false" customHeight="false" outlineLevel="0" collapsed="false">
      <c r="A119" s="66" t="n">
        <v>11</v>
      </c>
      <c r="B119" s="66" t="n">
        <f aca="false">IFERROR(MATCH(A119,$X$92:$X$105,0),0)</f>
        <v>0</v>
      </c>
      <c r="C119" s="67" t="str">
        <f aca="false">IF(B119=0,"",INDEX($A$92:$A$105,B119))</f>
        <v/>
      </c>
      <c r="D119" s="67" t="str">
        <f aca="false">IF(B119=0,"",INDEX($C$92:$C$105,B119))</f>
        <v/>
      </c>
      <c r="E119" s="67" t="str">
        <f aca="false">IF(B119=0,"",INDEX($D$92:$D$105,B119))</f>
        <v/>
      </c>
      <c r="F119" s="66" t="n">
        <f aca="false">IF(B119=0,0,INDEX($G$92:$G$105,B119))</f>
        <v>0</v>
      </c>
      <c r="G119" s="66" t="n">
        <f aca="false">IF(B119=0,0,INDEX($I$92:$I$105,B119))</f>
        <v>0</v>
      </c>
      <c r="H119" s="66" t="str">
        <f aca="false">IF(B119=0,"",INDEX($U$92:$U$105,B119))</f>
        <v/>
      </c>
      <c r="I119" s="67" t="str">
        <f aca="false">IF(C119="","",IF(H119=2,"TOO_SLOW",IF(F119&lt;$B$76,"BELOW_MIN_DRAW",IF(COUNTIFS(E$108:E118,E119,J$108:J118,1)&gt;0,"OBJECT_USED",IF(N119&gt;=D_UC03!$C$15,"MAX_PER_OPTION",IF(K119&gt;=$B$72,"GAP_COVERED",IF(COUNTIFS(J$108:J118,1)&gt;=D_UC03!$C$11,"MAX_SOURCES","")))))))</f>
        <v/>
      </c>
      <c r="J119" s="66" t="n">
        <f aca="false">IF(AND(C119&lt;&gt;"",I119=""),1,0)</f>
        <v>0</v>
      </c>
      <c r="K119" s="66" t="n">
        <f aca="false">SUM(L$108:L118)</f>
        <v>2715485453.22435</v>
      </c>
      <c r="L119" s="66" t="n">
        <f aca="false">IF(J119=1,MIN(F119,$B$72-K119),0)</f>
        <v>0</v>
      </c>
      <c r="M119" s="66" t="n">
        <f aca="false">IF(J119=1,G119*L119/F119,0)</f>
        <v>0</v>
      </c>
      <c r="N119" s="66" t="n">
        <f aca="false">COUNTIFS(D$108:D118,D119,J$108:J118,1)</f>
        <v>0</v>
      </c>
      <c r="O119" s="67" t="str">
        <f aca="false">IF(B119=0,"",INDEX($Z$92:$Z$105,B119))</f>
        <v/>
      </c>
      <c r="P119" s="67" t="str">
        <f aca="false">IF(J119=1,IF(P118="",C119,P118&amp;" + "&amp;C119),P118)</f>
        <v>RF-001</v>
      </c>
      <c r="Q119" s="66" t="str">
        <f aca="false">IF(B119=0,"",INDEX($J$92:$J$105,B119))</f>
        <v/>
      </c>
      <c r="R119" s="67" t="str">
        <f aca="false">IF(B119=0,"",INDEX(D_UC03!$N$23:$N$36,B119))</f>
        <v/>
      </c>
    </row>
    <row r="120" customFormat="false" ht="9.75" hidden="false" customHeight="false" outlineLevel="0" collapsed="false">
      <c r="A120" s="66" t="n">
        <v>12</v>
      </c>
      <c r="B120" s="66" t="n">
        <f aca="false">IFERROR(MATCH(A120,$X$92:$X$105,0),0)</f>
        <v>0</v>
      </c>
      <c r="C120" s="67" t="str">
        <f aca="false">IF(B120=0,"",INDEX($A$92:$A$105,B120))</f>
        <v/>
      </c>
      <c r="D120" s="67" t="str">
        <f aca="false">IF(B120=0,"",INDEX($C$92:$C$105,B120))</f>
        <v/>
      </c>
      <c r="E120" s="67" t="str">
        <f aca="false">IF(B120=0,"",INDEX($D$92:$D$105,B120))</f>
        <v/>
      </c>
      <c r="F120" s="66" t="n">
        <f aca="false">IF(B120=0,0,INDEX($G$92:$G$105,B120))</f>
        <v>0</v>
      </c>
      <c r="G120" s="66" t="n">
        <f aca="false">IF(B120=0,0,INDEX($I$92:$I$105,B120))</f>
        <v>0</v>
      </c>
      <c r="H120" s="66" t="str">
        <f aca="false">IF(B120=0,"",INDEX($U$92:$U$105,B120))</f>
        <v/>
      </c>
      <c r="I120" s="67" t="str">
        <f aca="false">IF(C120="","",IF(H120=2,"TOO_SLOW",IF(F120&lt;$B$76,"BELOW_MIN_DRAW",IF(COUNTIFS(E$108:E119,E120,J$108:J119,1)&gt;0,"OBJECT_USED",IF(N120&gt;=D_UC03!$C$15,"MAX_PER_OPTION",IF(K120&gt;=$B$72,"GAP_COVERED",IF(COUNTIFS(J$108:J119,1)&gt;=D_UC03!$C$11,"MAX_SOURCES","")))))))</f>
        <v/>
      </c>
      <c r="J120" s="66" t="n">
        <f aca="false">IF(AND(C120&lt;&gt;"",I120=""),1,0)</f>
        <v>0</v>
      </c>
      <c r="K120" s="66" t="n">
        <f aca="false">SUM(L$108:L119)</f>
        <v>2715485453.22435</v>
      </c>
      <c r="L120" s="66" t="n">
        <f aca="false">IF(J120=1,MIN(F120,$B$72-K120),0)</f>
        <v>0</v>
      </c>
      <c r="M120" s="66" t="n">
        <f aca="false">IF(J120=1,G120*L120/F120,0)</f>
        <v>0</v>
      </c>
      <c r="N120" s="66" t="n">
        <f aca="false">COUNTIFS(D$108:D119,D120,J$108:J119,1)</f>
        <v>0</v>
      </c>
      <c r="O120" s="67" t="str">
        <f aca="false">IF(B120=0,"",INDEX($Z$92:$Z$105,B120))</f>
        <v/>
      </c>
      <c r="P120" s="67" t="str">
        <f aca="false">IF(J120=1,IF(P119="",C120,P119&amp;" + "&amp;C120),P119)</f>
        <v>RF-001</v>
      </c>
      <c r="Q120" s="66" t="str">
        <f aca="false">IF(B120=0,"",INDEX($J$92:$J$105,B120))</f>
        <v/>
      </c>
      <c r="R120" s="67" t="str">
        <f aca="false">IF(B120=0,"",INDEX(D_UC03!$N$23:$N$36,B120))</f>
        <v/>
      </c>
    </row>
    <row r="121" customFormat="false" ht="9.75" hidden="false" customHeight="false" outlineLevel="0" collapsed="false">
      <c r="A121" s="66" t="n">
        <v>13</v>
      </c>
      <c r="B121" s="66" t="n">
        <f aca="false">IFERROR(MATCH(A121,$X$92:$X$105,0),0)</f>
        <v>0</v>
      </c>
      <c r="C121" s="67" t="str">
        <f aca="false">IF(B121=0,"",INDEX($A$92:$A$105,B121))</f>
        <v/>
      </c>
      <c r="D121" s="67" t="str">
        <f aca="false">IF(B121=0,"",INDEX($C$92:$C$105,B121))</f>
        <v/>
      </c>
      <c r="E121" s="67" t="str">
        <f aca="false">IF(B121=0,"",INDEX($D$92:$D$105,B121))</f>
        <v/>
      </c>
      <c r="F121" s="66" t="n">
        <f aca="false">IF(B121=0,0,INDEX($G$92:$G$105,B121))</f>
        <v>0</v>
      </c>
      <c r="G121" s="66" t="n">
        <f aca="false">IF(B121=0,0,INDEX($I$92:$I$105,B121))</f>
        <v>0</v>
      </c>
      <c r="H121" s="66" t="str">
        <f aca="false">IF(B121=0,"",INDEX($U$92:$U$105,B121))</f>
        <v/>
      </c>
      <c r="I121" s="67" t="str">
        <f aca="false">IF(C121="","",IF(H121=2,"TOO_SLOW",IF(F121&lt;$B$76,"BELOW_MIN_DRAW",IF(COUNTIFS(E$108:E120,E121,J$108:J120,1)&gt;0,"OBJECT_USED",IF(N121&gt;=D_UC03!$C$15,"MAX_PER_OPTION",IF(K121&gt;=$B$72,"GAP_COVERED",IF(COUNTIFS(J$108:J120,1)&gt;=D_UC03!$C$11,"MAX_SOURCES","")))))))</f>
        <v/>
      </c>
      <c r="J121" s="66" t="n">
        <f aca="false">IF(AND(C121&lt;&gt;"",I121=""),1,0)</f>
        <v>0</v>
      </c>
      <c r="K121" s="66" t="n">
        <f aca="false">SUM(L$108:L120)</f>
        <v>2715485453.22435</v>
      </c>
      <c r="L121" s="66" t="n">
        <f aca="false">IF(J121=1,MIN(F121,$B$72-K121),0)</f>
        <v>0</v>
      </c>
      <c r="M121" s="66" t="n">
        <f aca="false">IF(J121=1,G121*L121/F121,0)</f>
        <v>0</v>
      </c>
      <c r="N121" s="66" t="n">
        <f aca="false">COUNTIFS(D$108:D120,D121,J$108:J120,1)</f>
        <v>0</v>
      </c>
      <c r="O121" s="67" t="str">
        <f aca="false">IF(B121=0,"",INDEX($Z$92:$Z$105,B121))</f>
        <v/>
      </c>
      <c r="P121" s="67" t="str">
        <f aca="false">IF(J121=1,IF(P120="",C121,P120&amp;" + "&amp;C121),P120)</f>
        <v>RF-001</v>
      </c>
      <c r="Q121" s="66" t="str">
        <f aca="false">IF(B121=0,"",INDEX($J$92:$J$105,B121))</f>
        <v/>
      </c>
      <c r="R121" s="67" t="str">
        <f aca="false">IF(B121=0,"",INDEX(D_UC03!$N$23:$N$36,B121))</f>
        <v/>
      </c>
    </row>
    <row r="122" customFormat="false" ht="9.75" hidden="false" customHeight="false" outlineLevel="0" collapsed="false">
      <c r="A122" s="66" t="n">
        <v>14</v>
      </c>
      <c r="B122" s="66" t="n">
        <f aca="false">IFERROR(MATCH(A122,$X$92:$X$105,0),0)</f>
        <v>0</v>
      </c>
      <c r="C122" s="67" t="str">
        <f aca="false">IF(B122=0,"",INDEX($A$92:$A$105,B122))</f>
        <v/>
      </c>
      <c r="D122" s="67" t="str">
        <f aca="false">IF(B122=0,"",INDEX($C$92:$C$105,B122))</f>
        <v/>
      </c>
      <c r="E122" s="67" t="str">
        <f aca="false">IF(B122=0,"",INDEX($D$92:$D$105,B122))</f>
        <v/>
      </c>
      <c r="F122" s="66" t="n">
        <f aca="false">IF(B122=0,0,INDEX($G$92:$G$105,B122))</f>
        <v>0</v>
      </c>
      <c r="G122" s="66" t="n">
        <f aca="false">IF(B122=0,0,INDEX($I$92:$I$105,B122))</f>
        <v>0</v>
      </c>
      <c r="H122" s="66" t="str">
        <f aca="false">IF(B122=0,"",INDEX($U$92:$U$105,B122))</f>
        <v/>
      </c>
      <c r="I122" s="67" t="str">
        <f aca="false">IF(C122="","",IF(H122=2,"TOO_SLOW",IF(F122&lt;$B$76,"BELOW_MIN_DRAW",IF(COUNTIFS(E$108:E121,E122,J$108:J121,1)&gt;0,"OBJECT_USED",IF(N122&gt;=D_UC03!$C$15,"MAX_PER_OPTION",IF(K122&gt;=$B$72,"GAP_COVERED",IF(COUNTIFS(J$108:J121,1)&gt;=D_UC03!$C$11,"MAX_SOURCES","")))))))</f>
        <v/>
      </c>
      <c r="J122" s="66" t="n">
        <f aca="false">IF(AND(C122&lt;&gt;"",I122=""),1,0)</f>
        <v>0</v>
      </c>
      <c r="K122" s="66" t="n">
        <f aca="false">SUM(L$108:L121)</f>
        <v>2715485453.22435</v>
      </c>
      <c r="L122" s="66" t="n">
        <f aca="false">IF(J122=1,MIN(F122,$B$72-K122),0)</f>
        <v>0</v>
      </c>
      <c r="M122" s="66" t="n">
        <f aca="false">IF(J122=1,G122*L122/F122,0)</f>
        <v>0</v>
      </c>
      <c r="N122" s="66" t="n">
        <f aca="false">COUNTIFS(D$108:D121,D122,J$108:J121,1)</f>
        <v>0</v>
      </c>
      <c r="O122" s="67" t="str">
        <f aca="false">IF(B122=0,"",INDEX($Z$92:$Z$105,B122))</f>
        <v/>
      </c>
      <c r="P122" s="67" t="str">
        <f aca="false">IF(J122=1,IF(P121="",C122,P121&amp;" + "&amp;C122),P121)</f>
        <v>RF-001</v>
      </c>
      <c r="Q122" s="66" t="str">
        <f aca="false">IF(B122=0,"",INDEX($J$92:$J$105,B122))</f>
        <v/>
      </c>
      <c r="R122" s="67" t="str">
        <f aca="false">IF(B122=0,"",INDEX(D_UC03!$N$23:$N$36,B122))</f>
        <v/>
      </c>
    </row>
    <row r="124" customFormat="false" ht="9.75" hidden="false" customHeight="false" outlineLevel="0" collapsed="false">
      <c r="A124" s="15" t="s">
        <v>2441</v>
      </c>
      <c r="B124" s="15" t="s">
        <v>1674</v>
      </c>
      <c r="C124" s="15" t="s">
        <v>1082</v>
      </c>
    </row>
    <row r="125" customFormat="false" ht="9.75" hidden="false" customHeight="false" outlineLevel="0" collapsed="false">
      <c r="A125" s="17" t="s">
        <v>2442</v>
      </c>
      <c r="B125" s="56" t="n">
        <f aca="false">SUM(L109:L122)</f>
        <v>2715485453.22435</v>
      </c>
      <c r="C125" s="55" t="s">
        <v>1034</v>
      </c>
    </row>
    <row r="126" customFormat="false" ht="9.75" hidden="false" customHeight="false" outlineLevel="0" collapsed="false">
      <c r="A126" s="17" t="s">
        <v>2443</v>
      </c>
      <c r="B126" s="56" t="n">
        <f aca="false">SUM(M109:M122)</f>
        <v>14061006.8673809</v>
      </c>
      <c r="C126" s="55" t="s">
        <v>970</v>
      </c>
    </row>
    <row r="127" customFormat="false" ht="9.75" hidden="false" customHeight="false" outlineLevel="0" collapsed="false">
      <c r="A127" s="17" t="s">
        <v>2444</v>
      </c>
      <c r="B127" s="58" t="n">
        <f aca="false">IF($B$125&gt;0,ROUND($B$126/MIN($B$125,$B$72),4),0)</f>
        <v>0.0052</v>
      </c>
      <c r="C127" s="55"/>
    </row>
    <row r="128" customFormat="false" ht="9.75" hidden="false" customHeight="false" outlineLevel="0" collapsed="false">
      <c r="A128" s="17" t="s">
        <v>2445</v>
      </c>
      <c r="B128" s="56" t="n">
        <f aca="false">MAX(0,$B$72-$B$125)</f>
        <v>0</v>
      </c>
      <c r="C128" s="55" t="s">
        <v>2446</v>
      </c>
    </row>
    <row r="129" customFormat="false" ht="9.75" hidden="false" customHeight="false" outlineLevel="0" collapsed="false">
      <c r="A129" s="17" t="s">
        <v>2447</v>
      </c>
      <c r="B129" s="56" t="n">
        <f aca="false">SUM(J109:J122)</f>
        <v>1</v>
      </c>
      <c r="C129" s="55"/>
    </row>
    <row r="130" customFormat="false" ht="9.75" hidden="false" customHeight="false" outlineLevel="0" collapsed="false">
      <c r="A130" s="17" t="s">
        <v>2448</v>
      </c>
      <c r="B130" s="56" t="n">
        <f aca="false">SUM($N$92:$N$105)</f>
        <v>10</v>
      </c>
      <c r="C130" s="55"/>
    </row>
    <row r="131" customFormat="false" ht="20.25" hidden="false" customHeight="true" outlineLevel="0" collapsed="false">
      <c r="A131" s="17" t="s">
        <v>2449</v>
      </c>
      <c r="B131" s="56" t="n">
        <f aca="false">SUMPRODUCT((J109:J122=1)*(O109:O122="NOT_COVERING_DURATION"))</f>
        <v>0</v>
      </c>
      <c r="C131" s="55" t="s">
        <v>2450</v>
      </c>
    </row>
    <row r="132" customFormat="false" ht="9.75" hidden="false" customHeight="false" outlineLevel="0" collapsed="false">
      <c r="A132" s="17" t="s">
        <v>2451</v>
      </c>
      <c r="B132" s="17" t="str">
        <f aca="false">P122</f>
        <v>RF-001</v>
      </c>
      <c r="C132" s="5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3.5" zeroHeight="false" outlineLevelRow="0" outlineLevelCol="0"/>
  <cols>
    <col collapsed="false" customWidth="true" hidden="false" outlineLevel="0" max="1" min="1" style="0" width="34"/>
    <col collapsed="false" customWidth="true" hidden="false" outlineLevel="0" max="2" min="2" style="0" width="31"/>
    <col collapsed="false" customWidth="true" hidden="false" outlineLevel="0" max="3" min="3" style="0" width="56"/>
    <col collapsed="false" customWidth="true" hidden="false" outlineLevel="0" max="4" min="4" style="0" width="16"/>
    <col collapsed="false" customWidth="true" hidden="false" outlineLevel="0" max="5" min="5" style="0" width="40"/>
    <col collapsed="false" customWidth="true" hidden="false" outlineLevel="0" max="6" min="6" style="0" width="25"/>
    <col collapsed="false" customWidth="true" hidden="false" outlineLevel="0" max="7" min="7" style="0" width="30"/>
    <col collapsed="false" customWidth="true" hidden="false" outlineLevel="0" max="8" min="8" style="0" width="65"/>
    <col collapsed="false" customWidth="true" hidden="false" outlineLevel="0" max="9" min="9" style="0" width="22"/>
    <col collapsed="false" customWidth="true" hidden="false" outlineLevel="0" max="10" min="10" style="0" width="24"/>
    <col collapsed="false" customWidth="true" hidden="false" outlineLevel="0" max="11" min="11" style="0" width="22"/>
    <col collapsed="false" customWidth="true" hidden="false" outlineLevel="0" max="12" min="12" style="0" width="23"/>
    <col collapsed="false" customWidth="true" hidden="false" outlineLevel="0" max="13" min="13" style="0" width="22"/>
    <col collapsed="false" customWidth="true" hidden="false" outlineLevel="0" max="14" min="14" style="0" width="24"/>
    <col collapsed="false" customWidth="true" hidden="false" outlineLevel="0" max="15" min="15" style="0" width="23"/>
    <col collapsed="false" customWidth="true" hidden="false" outlineLevel="0" max="16" min="16" style="0" width="26"/>
    <col collapsed="false" customWidth="true" hidden="false" outlineLevel="0" max="17" min="17" style="0" width="23"/>
    <col collapsed="false" customWidth="true" hidden="false" outlineLevel="0" max="18" min="18" style="0" width="26"/>
    <col collapsed="false" customWidth="true" hidden="false" outlineLevel="0" max="19" min="19" style="0" width="24"/>
  </cols>
  <sheetData>
    <row r="1" customFormat="false" ht="13.5" hidden="false" customHeight="false" outlineLevel="0" collapsed="false">
      <c r="A1" s="20"/>
      <c r="B1" s="20"/>
      <c r="C1" s="20"/>
      <c r="D1" s="20"/>
      <c r="E1" s="20"/>
      <c r="F1" s="20"/>
      <c r="G1" s="20"/>
      <c r="H1" s="20"/>
      <c r="I1" s="20"/>
      <c r="J1" s="20"/>
      <c r="K1" s="20"/>
      <c r="L1" s="20"/>
      <c r="M1" s="20"/>
      <c r="N1" s="20"/>
      <c r="O1" s="20"/>
      <c r="P1" s="20"/>
      <c r="Q1" s="20"/>
      <c r="R1" s="20"/>
      <c r="S1" s="20"/>
      <c r="T1" s="20"/>
      <c r="U1" s="20"/>
    </row>
    <row r="2" customFormat="false" ht="17.25" hidden="false" customHeight="true" outlineLevel="0" collapsed="false">
      <c r="A2" s="21" t="s">
        <v>2452</v>
      </c>
      <c r="B2" s="20"/>
      <c r="C2" s="20"/>
      <c r="D2" s="20"/>
      <c r="E2" s="20"/>
      <c r="F2" s="20"/>
      <c r="G2" s="20"/>
      <c r="H2" s="20"/>
      <c r="I2" s="20"/>
      <c r="J2" s="20"/>
      <c r="K2" s="20"/>
      <c r="L2" s="20"/>
      <c r="M2" s="20"/>
      <c r="N2" s="20"/>
      <c r="O2" s="20"/>
      <c r="P2" s="20"/>
      <c r="Q2" s="20"/>
      <c r="R2" s="20"/>
      <c r="S2" s="20"/>
      <c r="T2" s="20"/>
      <c r="U2" s="20"/>
    </row>
    <row r="3" customFormat="false" ht="13.5" hidden="false" customHeight="false" outlineLevel="0" collapsed="false">
      <c r="A3" s="20"/>
      <c r="B3" s="20"/>
      <c r="C3" s="20"/>
      <c r="D3" s="20"/>
      <c r="E3" s="20"/>
      <c r="F3" s="20"/>
      <c r="G3" s="20"/>
      <c r="H3" s="20"/>
      <c r="I3" s="20"/>
      <c r="J3" s="20"/>
      <c r="K3" s="20"/>
      <c r="L3" s="20"/>
      <c r="M3" s="20"/>
      <c r="N3" s="20"/>
      <c r="O3" s="20"/>
      <c r="P3" s="20"/>
      <c r="Q3" s="20"/>
      <c r="R3" s="20"/>
      <c r="S3" s="20"/>
      <c r="T3" s="20"/>
      <c r="U3" s="20"/>
    </row>
    <row r="4" customFormat="false" ht="30" hidden="false" customHeight="true" outlineLevel="0" collapsed="false">
      <c r="A4" s="22" t="s">
        <v>2453</v>
      </c>
      <c r="B4" s="22" t="s">
        <v>1674</v>
      </c>
      <c r="C4" s="22" t="s">
        <v>1895</v>
      </c>
      <c r="D4" s="20"/>
      <c r="E4" s="22" t="s">
        <v>2454</v>
      </c>
      <c r="F4" s="22" t="s">
        <v>2455</v>
      </c>
      <c r="G4" s="22" t="s">
        <v>2456</v>
      </c>
      <c r="H4" s="22" t="s">
        <v>13</v>
      </c>
      <c r="I4" s="20"/>
      <c r="J4" s="20"/>
      <c r="K4" s="20"/>
      <c r="L4" s="20"/>
      <c r="M4" s="20"/>
      <c r="N4" s="20"/>
      <c r="O4" s="20"/>
      <c r="P4" s="20"/>
      <c r="Q4" s="20"/>
      <c r="R4" s="20"/>
      <c r="S4" s="20"/>
      <c r="T4" s="20"/>
      <c r="U4" s="20"/>
    </row>
    <row r="5" customFormat="false" ht="54" hidden="false" customHeight="true" outlineLevel="0" collapsed="false">
      <c r="A5" s="23" t="s">
        <v>2457</v>
      </c>
      <c r="B5" s="68" t="n">
        <v>1</v>
      </c>
      <c r="C5" s="23" t="s">
        <v>2458</v>
      </c>
      <c r="D5" s="20"/>
      <c r="E5" s="23" t="s">
        <v>2013</v>
      </c>
      <c r="F5" s="23" t="str">
        <f aca="false">F01_UC2!B5</f>
        <v>Base</v>
      </c>
      <c r="G5" s="23" t="str">
        <f aca="false">IF($B$34="Hợp lệ",B6,"Chưa tính")</f>
        <v>Thực hiện giả định</v>
      </c>
      <c r="H5" s="23" t="s">
        <v>2459</v>
      </c>
      <c r="I5" s="20"/>
      <c r="J5" s="20"/>
      <c r="K5" s="20"/>
      <c r="L5" s="20"/>
      <c r="M5" s="20"/>
      <c r="N5" s="20"/>
      <c r="O5" s="20"/>
      <c r="P5" s="20"/>
      <c r="Q5" s="20"/>
      <c r="R5" s="20"/>
      <c r="S5" s="20"/>
      <c r="T5" s="20"/>
      <c r="U5" s="20"/>
    </row>
    <row r="6" customFormat="false" ht="54" hidden="false" customHeight="true" outlineLevel="0" collapsed="false">
      <c r="A6" s="23" t="s">
        <v>1386</v>
      </c>
      <c r="B6" s="23" t="str">
        <f aca="false">CHOOSE(B5+1,"Giữ nguyên","Thực hiện giả định","Thu sớm chỉ đạt một phần","NCC từ chối giãn","Bán tồn chậm","Bất lợi kết hợp","Khách trả chậm")</f>
        <v>Thực hiện giả định</v>
      </c>
      <c r="C6" s="23" t="s">
        <v>2460</v>
      </c>
      <c r="D6" s="20"/>
      <c r="E6" s="23" t="s">
        <v>2461</v>
      </c>
      <c r="F6" s="69" t="n">
        <f aca="false">F01_UC2!B12</f>
        <v>4140480437</v>
      </c>
      <c r="G6" s="69" t="n">
        <f aca="false">IF($B$34="Hợp lệ",MIN(H51:H141),"Chưa tính")</f>
        <v>4683368060.315</v>
      </c>
      <c r="H6" s="23" t="s">
        <v>2462</v>
      </c>
      <c r="I6" s="20"/>
      <c r="J6" s="20"/>
      <c r="K6" s="20"/>
      <c r="L6" s="20"/>
      <c r="M6" s="20"/>
      <c r="N6" s="20"/>
      <c r="O6" s="20"/>
      <c r="P6" s="20"/>
      <c r="Q6" s="20"/>
      <c r="R6" s="20"/>
      <c r="S6" s="20"/>
      <c r="T6" s="20"/>
      <c r="U6" s="20"/>
    </row>
    <row r="7" customFormat="false" ht="54" hidden="false" customHeight="true" outlineLevel="0" collapsed="false">
      <c r="A7" s="23" t="s">
        <v>2463</v>
      </c>
      <c r="B7" s="68" t="s">
        <v>1977</v>
      </c>
      <c r="C7" s="23" t="str">
        <f aca="false">IFERROR(INDEX(D_F01!B38:B46,MATCH(B7,D_F01!A38:A46,0))&amp;"; chọn bằng ID","Không tìm thấy khách")</f>
        <v>Khách mua FOB Lớn K1; chọn bằng ID</v>
      </c>
      <c r="D7" s="20"/>
      <c r="E7" s="23" t="s">
        <v>2464</v>
      </c>
      <c r="F7" s="70" t="n">
        <f aca="false">F01_UC2!B13</f>
        <v>46205</v>
      </c>
      <c r="G7" s="70" t="n">
        <f aca="false">IF($B$34="Hợp lệ",INDEX(A51:A141,MATCH(G6,H51:H141,0)),"Chưa tính")</f>
        <v>46204</v>
      </c>
      <c r="H7" s="23" t="s">
        <v>2465</v>
      </c>
      <c r="I7" s="20"/>
      <c r="J7" s="20"/>
      <c r="K7" s="20"/>
      <c r="L7" s="20"/>
      <c r="M7" s="20"/>
      <c r="N7" s="20"/>
      <c r="O7" s="20"/>
      <c r="P7" s="20"/>
      <c r="Q7" s="20"/>
      <c r="R7" s="20"/>
      <c r="S7" s="20"/>
      <c r="T7" s="20"/>
      <c r="U7" s="20"/>
    </row>
    <row r="8" customFormat="false" ht="54" hidden="false" customHeight="true" outlineLevel="0" collapsed="false">
      <c r="A8" s="23" t="s">
        <v>2466</v>
      </c>
      <c r="B8" s="71" t="n">
        <v>0.5</v>
      </c>
      <c r="C8" s="23" t="s">
        <v>2467</v>
      </c>
      <c r="D8" s="20"/>
      <c r="E8" s="23" t="s">
        <v>2468</v>
      </c>
      <c r="F8" s="69" t="n">
        <f aca="false">F01_UC2!B14</f>
        <v>2715485453.22435</v>
      </c>
      <c r="G8" s="69" t="n">
        <f aca="false">IF($B$34="Hợp lệ",MAX(J51:J141),"Chưa tính")</f>
        <v>2172597829.90935</v>
      </c>
      <c r="H8" s="23" t="s">
        <v>1765</v>
      </c>
      <c r="I8" s="20"/>
      <c r="J8" s="20"/>
      <c r="K8" s="20"/>
      <c r="L8" s="20"/>
      <c r="M8" s="20"/>
      <c r="N8" s="20"/>
      <c r="O8" s="20"/>
      <c r="P8" s="20"/>
      <c r="Q8" s="20"/>
      <c r="R8" s="20"/>
      <c r="S8" s="20"/>
      <c r="T8" s="20"/>
      <c r="U8" s="20"/>
    </row>
    <row r="9" customFormat="false" ht="54" hidden="false" customHeight="true" outlineLevel="0" collapsed="false">
      <c r="A9" s="23" t="s">
        <v>2469</v>
      </c>
      <c r="B9" s="68" t="n">
        <v>7</v>
      </c>
      <c r="C9" s="23" t="s">
        <v>2470</v>
      </c>
      <c r="D9" s="20"/>
      <c r="E9" s="23" t="s">
        <v>2471</v>
      </c>
      <c r="F9" s="69" t="n">
        <f aca="false">F01_UC2!B15</f>
        <v>0</v>
      </c>
      <c r="G9" s="69" t="n">
        <f aca="false">IF($B$34="Hợp lệ",MAX(0,-G6),"Chưa tính")</f>
        <v>0</v>
      </c>
      <c r="H9" s="23" t="s">
        <v>2472</v>
      </c>
      <c r="I9" s="20"/>
      <c r="J9" s="20"/>
      <c r="K9" s="20"/>
      <c r="L9" s="20"/>
      <c r="M9" s="20"/>
      <c r="N9" s="20"/>
      <c r="O9" s="20"/>
      <c r="P9" s="20"/>
      <c r="Q9" s="20"/>
      <c r="R9" s="20"/>
      <c r="S9" s="20"/>
      <c r="T9" s="20"/>
      <c r="U9" s="20"/>
    </row>
    <row r="10" customFormat="false" ht="54" hidden="false" customHeight="true" outlineLevel="0" collapsed="false">
      <c r="A10" s="23" t="s">
        <v>2473</v>
      </c>
      <c r="B10" s="71" t="n">
        <v>0.01</v>
      </c>
      <c r="C10" s="23" t="s">
        <v>2474</v>
      </c>
      <c r="D10" s="20"/>
      <c r="E10" s="23" t="s">
        <v>2475</v>
      </c>
      <c r="F10" s="69" t="n">
        <f aca="false">COUNTIF(I51:I141,"&gt;0")</f>
        <v>7</v>
      </c>
      <c r="G10" s="69" t="n">
        <f aca="false">IF($B$34="Hợp lệ",COUNTIF(J51:J141,"&gt;0"),"Chưa tính")</f>
        <v>2</v>
      </c>
      <c r="H10" s="23" t="s">
        <v>2476</v>
      </c>
      <c r="I10" s="20"/>
      <c r="J10" s="20"/>
      <c r="K10" s="20"/>
      <c r="L10" s="20"/>
      <c r="M10" s="20"/>
      <c r="N10" s="20"/>
      <c r="O10" s="20"/>
      <c r="P10" s="20"/>
      <c r="Q10" s="20"/>
      <c r="R10" s="20"/>
      <c r="S10" s="20"/>
      <c r="T10" s="20"/>
      <c r="U10" s="20"/>
    </row>
    <row r="11" customFormat="false" ht="54" hidden="false" customHeight="true" outlineLevel="0" collapsed="false">
      <c r="A11" s="23" t="s">
        <v>2477</v>
      </c>
      <c r="B11" s="68" t="n">
        <v>14</v>
      </c>
      <c r="C11" s="23" t="s">
        <v>2478</v>
      </c>
      <c r="D11" s="20"/>
      <c r="E11" s="23" t="s">
        <v>2479</v>
      </c>
      <c r="F11" s="69" t="n">
        <f aca="false">COUNTIF(B51:B141,"&lt;0")</f>
        <v>0</v>
      </c>
      <c r="G11" s="69" t="n">
        <f aca="false">IF($B$34="Hợp lệ",COUNTIF(H51:H141,"&lt;0"),"Chưa tính")</f>
        <v>0</v>
      </c>
      <c r="H11" s="23" t="s">
        <v>2480</v>
      </c>
      <c r="I11" s="20"/>
      <c r="J11" s="20"/>
      <c r="K11" s="20"/>
      <c r="L11" s="20"/>
      <c r="M11" s="20"/>
      <c r="N11" s="20"/>
      <c r="O11" s="20"/>
      <c r="P11" s="20"/>
      <c r="Q11" s="20"/>
      <c r="R11" s="20"/>
      <c r="S11" s="20"/>
      <c r="T11" s="20"/>
      <c r="U11" s="20"/>
    </row>
    <row r="12" customFormat="false" ht="54" hidden="false" customHeight="true" outlineLevel="0" collapsed="false">
      <c r="A12" s="23" t="s">
        <v>2481</v>
      </c>
      <c r="B12" s="68" t="n">
        <v>0</v>
      </c>
      <c r="C12" s="23" t="s">
        <v>2482</v>
      </c>
      <c r="D12" s="20"/>
      <c r="E12" s="23" t="s">
        <v>2483</v>
      </c>
      <c r="F12" s="69" t="str">
        <f aca="false">F01_UC2!B22</f>
        <v>Đỏ</v>
      </c>
      <c r="G12" s="69" t="str">
        <f aca="false">IF($B$34="Hợp lệ",CHOOSE(MAX(K51:K141)+1,"Không cảnh báo","Vàng","Cam","Đỏ"),"Chưa tính")</f>
        <v>Đỏ</v>
      </c>
      <c r="H12" s="23" t="s">
        <v>2484</v>
      </c>
      <c r="I12" s="20"/>
      <c r="J12" s="20"/>
      <c r="K12" s="20"/>
      <c r="L12" s="20"/>
      <c r="M12" s="20"/>
      <c r="N12" s="20"/>
      <c r="O12" s="20"/>
      <c r="P12" s="20"/>
      <c r="Q12" s="20"/>
      <c r="R12" s="20"/>
      <c r="S12" s="20"/>
      <c r="T12" s="20"/>
      <c r="U12" s="20"/>
    </row>
    <row r="13" customFormat="false" ht="54" hidden="false" customHeight="true" outlineLevel="0" collapsed="false">
      <c r="A13" s="23" t="s">
        <v>2485</v>
      </c>
      <c r="B13" s="68" t="s">
        <v>1992</v>
      </c>
      <c r="C13" s="23" t="str">
        <f aca="false">IFERROR(INDEX(D_F01!B51:B59,MATCH(B13,D_F01!A51:A59,0))&amp;"; chỉ khoản Trả NCC","Không tìm thấy NCC")</f>
        <v>Nhà phân phối vải Beta; chỉ khoản Trả NCC</v>
      </c>
      <c r="D13" s="20"/>
      <c r="E13" s="23" t="s">
        <v>2486</v>
      </c>
      <c r="F13" s="69" t="n">
        <f aca="false">F01_UC2!G160</f>
        <v>14156479147</v>
      </c>
      <c r="G13" s="69" t="n">
        <f aca="false">IF($B$34="Hợp lệ",H141,"Chưa tính")</f>
        <v>14319227563.2</v>
      </c>
      <c r="H13" s="23" t="s">
        <v>2487</v>
      </c>
      <c r="I13" s="20"/>
      <c r="J13" s="20"/>
      <c r="K13" s="20"/>
      <c r="L13" s="20"/>
      <c r="M13" s="20"/>
      <c r="N13" s="20"/>
      <c r="O13" s="20"/>
      <c r="P13" s="20"/>
      <c r="Q13" s="20"/>
      <c r="R13" s="20"/>
      <c r="S13" s="20"/>
      <c r="T13" s="20"/>
      <c r="U13" s="20"/>
    </row>
    <row r="14" customFormat="false" ht="54" hidden="false" customHeight="true" outlineLevel="0" collapsed="false">
      <c r="A14" s="23" t="s">
        <v>2488</v>
      </c>
      <c r="B14" s="71" t="n">
        <v>0.5</v>
      </c>
      <c r="C14" s="23" t="s">
        <v>2489</v>
      </c>
      <c r="D14" s="20"/>
      <c r="E14" s="23" t="s">
        <v>2490</v>
      </c>
      <c r="F14" s="69" t="n">
        <f aca="false">INDEX(B51:B141,MATCH($B$26,A51:A141,0))</f>
        <v>4140480437</v>
      </c>
      <c r="G14" s="69" t="n">
        <f aca="false">IF($B$34="Hợp lệ",INDEX(H51:H141,MATCH($B$26,A51:A141,0)),"Chưa tính")</f>
        <v>4886465309.765</v>
      </c>
      <c r="H14" s="23" t="s">
        <v>2491</v>
      </c>
      <c r="I14" s="20"/>
      <c r="J14" s="20"/>
      <c r="K14" s="20"/>
      <c r="L14" s="20"/>
      <c r="M14" s="20"/>
      <c r="N14" s="20"/>
      <c r="O14" s="20"/>
      <c r="P14" s="20"/>
      <c r="Q14" s="20"/>
      <c r="R14" s="20"/>
      <c r="S14" s="20"/>
      <c r="T14" s="20"/>
      <c r="U14" s="20"/>
    </row>
    <row r="15" customFormat="false" ht="54" hidden="false" customHeight="true" outlineLevel="0" collapsed="false">
      <c r="A15" s="23" t="s">
        <v>2492</v>
      </c>
      <c r="B15" s="68" t="n">
        <v>14</v>
      </c>
      <c r="C15" s="23" t="s">
        <v>2493</v>
      </c>
      <c r="D15" s="20"/>
      <c r="E15" s="23" t="s">
        <v>2494</v>
      </c>
      <c r="F15" s="69"/>
      <c r="G15" s="69" t="n">
        <f aca="false">IF($B$34="Hợp lệ",F8-G8,"Chưa tính")</f>
        <v>542887623.315</v>
      </c>
      <c r="H15" s="23" t="s">
        <v>2495</v>
      </c>
      <c r="I15" s="20"/>
      <c r="J15" s="20"/>
      <c r="K15" s="20"/>
      <c r="L15" s="20"/>
      <c r="M15" s="20"/>
      <c r="N15" s="20"/>
      <c r="O15" s="20"/>
      <c r="P15" s="20"/>
      <c r="Q15" s="20"/>
      <c r="R15" s="20"/>
      <c r="S15" s="20"/>
      <c r="T15" s="20"/>
      <c r="U15" s="20"/>
    </row>
    <row r="16" customFormat="false" ht="54" hidden="false" customHeight="true" outlineLevel="0" collapsed="false">
      <c r="A16" s="23" t="s">
        <v>2496</v>
      </c>
      <c r="B16" s="71" t="n">
        <v>0.005</v>
      </c>
      <c r="C16" s="23" t="s">
        <v>2497</v>
      </c>
      <c r="D16" s="20"/>
      <c r="E16" s="23" t="s">
        <v>2498</v>
      </c>
      <c r="F16" s="69"/>
      <c r="G16" s="69" t="n">
        <f aca="false">IF($B$34="Hợp lệ",SUM(L51:L141),"Chưa tính")</f>
        <v>0</v>
      </c>
      <c r="H16" s="23" t="s">
        <v>2499</v>
      </c>
      <c r="I16" s="20"/>
      <c r="J16" s="20"/>
      <c r="K16" s="20"/>
      <c r="L16" s="20"/>
      <c r="M16" s="20"/>
      <c r="N16" s="20"/>
      <c r="O16" s="20"/>
      <c r="P16" s="20"/>
      <c r="Q16" s="20"/>
      <c r="R16" s="20"/>
      <c r="S16" s="20"/>
      <c r="T16" s="20"/>
      <c r="U16" s="20"/>
    </row>
    <row r="17" customFormat="false" ht="54" hidden="false" customHeight="true" outlineLevel="0" collapsed="false">
      <c r="A17" s="23" t="s">
        <v>2500</v>
      </c>
      <c r="B17" s="68" t="n">
        <v>1</v>
      </c>
      <c r="C17" s="23" t="s">
        <v>2501</v>
      </c>
      <c r="D17" s="20"/>
      <c r="E17" s="23" t="s">
        <v>2502</v>
      </c>
      <c r="F17" s="69"/>
      <c r="G17" s="69" t="n">
        <f aca="false">IF($B$34="Hợp lệ",SUM(M51:M141),"Chưa tính")</f>
        <v>0</v>
      </c>
      <c r="H17" s="23" t="s">
        <v>2503</v>
      </c>
      <c r="I17" s="20"/>
      <c r="J17" s="20"/>
      <c r="K17" s="20"/>
      <c r="L17" s="20"/>
      <c r="M17" s="20"/>
      <c r="N17" s="20"/>
      <c r="O17" s="20"/>
      <c r="P17" s="20"/>
      <c r="Q17" s="20"/>
      <c r="R17" s="20"/>
      <c r="S17" s="20"/>
      <c r="T17" s="20"/>
      <c r="U17" s="20"/>
    </row>
    <row r="18" customFormat="false" ht="54" hidden="false" customHeight="true" outlineLevel="0" collapsed="false">
      <c r="A18" s="23" t="s">
        <v>2504</v>
      </c>
      <c r="B18" s="68" t="s">
        <v>2505</v>
      </c>
      <c r="C18" s="23" t="str">
        <f aca="false">IFERROR(INDEX(D_inventory!C5:C40,MATCH(B18,D_inventory!A5:A40,0))&amp;"; kiểm quyền sở hữu/cầm cố","Không tìm thấy lô")</f>
        <v>Thành phẩm bộ sưu tập mùa trước; kiểm quyền sở hữu/cầm cố</v>
      </c>
      <c r="D18" s="20"/>
      <c r="E18" s="23" t="s">
        <v>2506</v>
      </c>
      <c r="F18" s="69"/>
      <c r="G18" s="69" t="n">
        <f aca="false">IF($B$34="Hợp lệ",SUM(M151:M272),"Chưa tính")</f>
        <v>69465391.465</v>
      </c>
      <c r="H18" s="23" t="s">
        <v>2507</v>
      </c>
      <c r="I18" s="20"/>
      <c r="J18" s="20"/>
      <c r="K18" s="20"/>
      <c r="L18" s="20"/>
      <c r="M18" s="20"/>
      <c r="N18" s="20"/>
      <c r="O18" s="20"/>
      <c r="P18" s="20"/>
      <c r="Q18" s="20"/>
      <c r="R18" s="20"/>
      <c r="S18" s="20"/>
      <c r="T18" s="20"/>
      <c r="U18" s="20"/>
    </row>
    <row r="19" customFormat="false" ht="54" hidden="false" customHeight="true" outlineLevel="0" collapsed="false">
      <c r="A19" s="23" t="s">
        <v>2508</v>
      </c>
      <c r="B19" s="71" t="n">
        <v>0.5</v>
      </c>
      <c r="C19" s="23" t="s">
        <v>2509</v>
      </c>
      <c r="D19" s="20"/>
      <c r="E19" s="23" t="s">
        <v>2510</v>
      </c>
      <c r="F19" s="69"/>
      <c r="G19" s="69" t="n">
        <f aca="false">IF($B$34="Hợp lệ",SUM(Q151:Q272),"Chưa tính")</f>
        <v>6875165.535</v>
      </c>
      <c r="H19" s="23" t="s">
        <v>2511</v>
      </c>
      <c r="I19" s="20"/>
      <c r="J19" s="20"/>
      <c r="K19" s="20"/>
      <c r="L19" s="20"/>
      <c r="M19" s="20"/>
      <c r="N19" s="20"/>
      <c r="O19" s="20"/>
      <c r="P19" s="20"/>
      <c r="Q19" s="20"/>
      <c r="R19" s="20"/>
      <c r="S19" s="20"/>
      <c r="T19" s="20"/>
      <c r="U19" s="20"/>
    </row>
    <row r="20" customFormat="false" ht="54" hidden="false" customHeight="true" outlineLevel="0" collapsed="false">
      <c r="A20" s="23" t="s">
        <v>2512</v>
      </c>
      <c r="B20" s="71" t="n">
        <v>0.8</v>
      </c>
      <c r="C20" s="23" t="s">
        <v>2513</v>
      </c>
      <c r="D20" s="20"/>
      <c r="E20" s="23" t="s">
        <v>2514</v>
      </c>
      <c r="F20" s="69"/>
      <c r="G20" s="69" t="n">
        <f aca="false">IF($B$34="Hợp lệ",B47,"Chưa tính")</f>
        <v>4879366.8</v>
      </c>
      <c r="H20" s="23" t="s">
        <v>2515</v>
      </c>
      <c r="I20" s="20"/>
      <c r="J20" s="20"/>
      <c r="K20" s="20"/>
      <c r="L20" s="20"/>
      <c r="M20" s="20"/>
      <c r="N20" s="20"/>
      <c r="O20" s="20"/>
      <c r="P20" s="20"/>
      <c r="Q20" s="20"/>
      <c r="R20" s="20"/>
      <c r="S20" s="20"/>
      <c r="T20" s="20"/>
      <c r="U20" s="20"/>
    </row>
    <row r="21" customFormat="false" ht="54" hidden="false" customHeight="true" outlineLevel="0" collapsed="false">
      <c r="A21" s="23" t="s">
        <v>2516</v>
      </c>
      <c r="B21" s="68" t="n">
        <v>14</v>
      </c>
      <c r="C21" s="23" t="s">
        <v>2517</v>
      </c>
      <c r="D21" s="20"/>
      <c r="E21" s="23" t="s">
        <v>2518</v>
      </c>
      <c r="F21" s="69"/>
      <c r="G21" s="69" t="n">
        <f aca="false">IF($B$34="Hợp lệ",MAX(0,B45-B46),"Chưa tính")</f>
        <v>60992085</v>
      </c>
      <c r="H21" s="23" t="s">
        <v>2519</v>
      </c>
      <c r="I21" s="20"/>
      <c r="J21" s="20"/>
      <c r="K21" s="20"/>
      <c r="L21" s="20"/>
      <c r="M21" s="20"/>
      <c r="N21" s="20"/>
      <c r="O21" s="20"/>
      <c r="P21" s="20"/>
      <c r="Q21" s="20"/>
      <c r="R21" s="20"/>
      <c r="S21" s="20"/>
      <c r="T21" s="20"/>
      <c r="U21" s="20"/>
    </row>
    <row r="22" customFormat="false" ht="54" hidden="false" customHeight="true" outlineLevel="0" collapsed="false">
      <c r="A22" s="23" t="s">
        <v>2520</v>
      </c>
      <c r="B22" s="71" t="n">
        <v>0.02</v>
      </c>
      <c r="C22" s="23" t="s">
        <v>2521</v>
      </c>
      <c r="D22" s="20"/>
      <c r="E22" s="23" t="s">
        <v>2522</v>
      </c>
      <c r="F22" s="69"/>
      <c r="G22" s="69" t="n">
        <f aca="false">IF($B$34="Hợp lệ",SUM(G18:G20),"Chưa tính")</f>
        <v>81219923.8</v>
      </c>
      <c r="H22" s="23" t="s">
        <v>2523</v>
      </c>
      <c r="I22" s="20"/>
      <c r="J22" s="20"/>
      <c r="K22" s="20"/>
      <c r="L22" s="20"/>
      <c r="M22" s="20"/>
      <c r="N22" s="20"/>
      <c r="O22" s="20"/>
      <c r="P22" s="20"/>
      <c r="Q22" s="20"/>
      <c r="R22" s="20"/>
      <c r="S22" s="20"/>
      <c r="T22" s="20"/>
      <c r="U22" s="20"/>
    </row>
    <row r="23" customFormat="false" ht="54" hidden="false" customHeight="true" outlineLevel="0" collapsed="false">
      <c r="A23" s="23" t="s">
        <v>2524</v>
      </c>
      <c r="B23" s="68" t="n">
        <v>21</v>
      </c>
      <c r="C23" s="23" t="s">
        <v>2525</v>
      </c>
      <c r="D23" s="20"/>
      <c r="E23" s="23" t="s">
        <v>2526</v>
      </c>
      <c r="F23" s="69"/>
      <c r="G23" s="69" t="n">
        <f aca="false">IF($B$34="Hợp lệ",G22+G21,"Chưa tính")</f>
        <v>142212008.8</v>
      </c>
      <c r="H23" s="23" t="s">
        <v>2527</v>
      </c>
      <c r="I23" s="20"/>
      <c r="J23" s="20"/>
      <c r="K23" s="20"/>
      <c r="L23" s="20"/>
      <c r="M23" s="20"/>
      <c r="N23" s="20"/>
      <c r="O23" s="20"/>
      <c r="P23" s="20"/>
      <c r="Q23" s="20"/>
      <c r="R23" s="20"/>
      <c r="S23" s="20"/>
      <c r="T23" s="20"/>
      <c r="U23" s="20"/>
    </row>
    <row r="24" customFormat="false" ht="54" hidden="false" customHeight="true" outlineLevel="0" collapsed="false">
      <c r="A24" s="23" t="s">
        <v>2528</v>
      </c>
      <c r="B24" s="68" t="n">
        <v>1</v>
      </c>
      <c r="C24" s="23" t="s">
        <v>2529</v>
      </c>
      <c r="D24" s="20"/>
      <c r="E24" s="23" t="s">
        <v>2530</v>
      </c>
      <c r="F24" s="69"/>
      <c r="G24" s="69" t="n">
        <f aca="false">IF($B$34="Hợp lệ",SUMIFS(P151:P272,O151:O272,"&gt;"&amp;F01_UC2!B7),"Chưa tính")</f>
        <v>0</v>
      </c>
      <c r="H24" s="23" t="s">
        <v>2531</v>
      </c>
      <c r="I24" s="20"/>
      <c r="J24" s="20"/>
      <c r="K24" s="20"/>
      <c r="L24" s="20"/>
      <c r="M24" s="20"/>
      <c r="N24" s="20"/>
      <c r="O24" s="20"/>
      <c r="P24" s="20"/>
      <c r="Q24" s="20"/>
      <c r="R24" s="20"/>
      <c r="S24" s="20"/>
      <c r="T24" s="20"/>
      <c r="U24" s="20"/>
    </row>
    <row r="25" customFormat="false" ht="54" hidden="false" customHeight="true" outlineLevel="0" collapsed="false">
      <c r="A25" s="23" t="s">
        <v>2532</v>
      </c>
      <c r="B25" s="71" t="n">
        <v>0.5</v>
      </c>
      <c r="C25" s="23" t="s">
        <v>2533</v>
      </c>
      <c r="D25" s="20"/>
      <c r="E25" s="23" t="s">
        <v>2534</v>
      </c>
      <c r="F25" s="69"/>
      <c r="G25" s="69" t="n">
        <f aca="false">IF($B$34="Hợp lệ",SUMIFS(L151:L272,K151:K272,"&gt;"&amp;F01_UC2!B7)+IF(B33&gt;F01_UC2!B7,B48,0),"Chưa tính")</f>
        <v>0</v>
      </c>
      <c r="H25" s="23" t="s">
        <v>2535</v>
      </c>
      <c r="I25" s="20"/>
      <c r="J25" s="20"/>
      <c r="K25" s="20"/>
      <c r="L25" s="20"/>
      <c r="M25" s="20"/>
      <c r="N25" s="20"/>
      <c r="O25" s="20"/>
      <c r="P25" s="20"/>
      <c r="Q25" s="20"/>
      <c r="R25" s="20"/>
      <c r="S25" s="20"/>
      <c r="T25" s="20"/>
      <c r="U25" s="20"/>
    </row>
    <row r="26" customFormat="false" ht="54" hidden="false" customHeight="true" outlineLevel="0" collapsed="false">
      <c r="A26" s="23" t="s">
        <v>2536</v>
      </c>
      <c r="B26" s="72" t="n">
        <f aca="false">F01_UC2!B13</f>
        <v>46205</v>
      </c>
      <c r="C26" s="23" t="s">
        <v>2537</v>
      </c>
      <c r="D26" s="20"/>
      <c r="E26" s="23" t="s">
        <v>2538</v>
      </c>
      <c r="F26" s="69" t="str">
        <f aca="false">F01_UC1!B30</f>
        <v>W1</v>
      </c>
      <c r="G26" s="69" t="str">
        <f aca="false">IF($B$34="Hợp lệ",F01_UC1!B30,"Chưa tính")</f>
        <v>W1</v>
      </c>
      <c r="H26" s="23" t="s">
        <v>2539</v>
      </c>
      <c r="I26" s="20"/>
      <c r="J26" s="20"/>
      <c r="K26" s="20"/>
      <c r="L26" s="20"/>
      <c r="M26" s="20"/>
      <c r="N26" s="20"/>
      <c r="O26" s="20"/>
      <c r="P26" s="20"/>
      <c r="Q26" s="20"/>
      <c r="R26" s="20"/>
      <c r="S26" s="20"/>
      <c r="T26" s="20"/>
      <c r="U26" s="20"/>
    </row>
    <row r="27" customFormat="false" ht="54" hidden="false" customHeight="true" outlineLevel="0" collapsed="false">
      <c r="A27" s="23" t="s">
        <v>2540</v>
      </c>
      <c r="B27" s="68" t="n">
        <v>1</v>
      </c>
      <c r="C27" s="23" t="s">
        <v>2541</v>
      </c>
      <c r="D27" s="20"/>
      <c r="E27" s="23" t="s">
        <v>2542</v>
      </c>
      <c r="F27" s="69" t="str">
        <f aca="false">F01_UC2!B23</f>
        <v>TH01</v>
      </c>
      <c r="G27" s="69" t="str">
        <f aca="false">IF($B$34="Hợp lệ",IF(MIN(H51:H141)&lt;F01_UC2!B9,"TH01",IF(MAX(H51:H141)&gt;F01_UC2!B11,"TH02","Trong vùng L–H")),"Chưa tính")</f>
        <v>TH01</v>
      </c>
      <c r="H27" s="23" t="s">
        <v>2543</v>
      </c>
      <c r="I27" s="20"/>
      <c r="J27" s="20"/>
      <c r="K27" s="20"/>
      <c r="L27" s="20"/>
      <c r="M27" s="20"/>
      <c r="N27" s="20"/>
      <c r="O27" s="20"/>
      <c r="P27" s="20"/>
      <c r="Q27" s="20"/>
      <c r="R27" s="20"/>
      <c r="S27" s="20"/>
      <c r="T27" s="20"/>
      <c r="U27" s="20"/>
    </row>
    <row r="28" customFormat="false" ht="54" hidden="false" customHeight="true" outlineLevel="0" collapsed="false">
      <c r="A28" s="23" t="s">
        <v>2544</v>
      </c>
      <c r="B28" s="73" t="n">
        <f aca="false">IF(B5=0,0,IF(OR(B5=2,B5=5),B8*B25,B8))</f>
        <v>0.5</v>
      </c>
      <c r="C28" s="23" t="s">
        <v>2545</v>
      </c>
      <c r="D28" s="20"/>
      <c r="E28" s="23" t="s">
        <v>2546</v>
      </c>
      <c r="F28" s="69" t="str">
        <f aca="false">F01_UC2!B24</f>
        <v>M3</v>
      </c>
      <c r="G28" s="69" t="str">
        <f aca="false">IF($B$34="Hợp lệ",IF(G27="Trong vùng L–H","—","M"&amp;(VALUE(RIGHT(F01_UC1!B30,1))*2+IF(G27="TH01",1,2))),"Chưa tính")</f>
        <v>M3</v>
      </c>
      <c r="H28" s="23" t="s">
        <v>2547</v>
      </c>
      <c r="I28" s="20"/>
      <c r="J28" s="20"/>
      <c r="K28" s="20"/>
      <c r="L28" s="20"/>
      <c r="M28" s="20"/>
      <c r="N28" s="20"/>
      <c r="O28" s="20"/>
      <c r="P28" s="20"/>
      <c r="Q28" s="20"/>
      <c r="R28" s="20"/>
      <c r="S28" s="20"/>
      <c r="T28" s="20"/>
      <c r="U28" s="20"/>
    </row>
    <row r="29" customFormat="false" ht="54" hidden="false" customHeight="true" outlineLevel="0" collapsed="false">
      <c r="A29" s="23" t="s">
        <v>2548</v>
      </c>
      <c r="B29" s="23" t="n">
        <f aca="false">IF(B5=6,B11,-B9)</f>
        <v>-7</v>
      </c>
      <c r="C29" s="23" t="s">
        <v>2549</v>
      </c>
      <c r="D29" s="20"/>
      <c r="E29" s="23" t="s">
        <v>2550</v>
      </c>
      <c r="F29" s="69"/>
      <c r="G29" s="69" t="n">
        <f aca="false">IF($B$34="Hợp lệ",SUM(J151:J272),"Chưa tính")</f>
        <v>6946539146.5</v>
      </c>
      <c r="H29" s="23" t="s">
        <v>2551</v>
      </c>
      <c r="I29" s="20"/>
      <c r="J29" s="20"/>
      <c r="K29" s="20"/>
      <c r="L29" s="20"/>
      <c r="M29" s="20"/>
      <c r="N29" s="20"/>
      <c r="O29" s="20"/>
      <c r="P29" s="20"/>
      <c r="Q29" s="20"/>
      <c r="R29" s="20"/>
      <c r="S29" s="20"/>
      <c r="T29" s="20"/>
      <c r="U29" s="20"/>
    </row>
    <row r="30" customFormat="false" ht="54" hidden="false" customHeight="true" outlineLevel="0" collapsed="false">
      <c r="A30" s="23" t="s">
        <v>2552</v>
      </c>
      <c r="B30" s="73" t="n">
        <f aca="false">IF(B5=6,0,B10)</f>
        <v>0.01</v>
      </c>
      <c r="C30" s="23" t="s">
        <v>2553</v>
      </c>
      <c r="D30" s="20"/>
      <c r="E30" s="23" t="s">
        <v>2554</v>
      </c>
      <c r="F30" s="69"/>
      <c r="G30" s="69" t="n">
        <f aca="false">IF($B$34="Hợp lệ",SUM(N151:N272),"Chưa tính")</f>
        <v>1375033107</v>
      </c>
      <c r="H30" s="23" t="s">
        <v>2555</v>
      </c>
      <c r="I30" s="20"/>
      <c r="J30" s="20"/>
      <c r="K30" s="20"/>
      <c r="L30" s="20"/>
      <c r="M30" s="20"/>
      <c r="N30" s="20"/>
      <c r="O30" s="20"/>
      <c r="P30" s="20"/>
      <c r="Q30" s="20"/>
      <c r="R30" s="20"/>
      <c r="S30" s="20"/>
      <c r="T30" s="20"/>
      <c r="U30" s="20"/>
    </row>
    <row r="31" customFormat="false" ht="54" hidden="false" customHeight="true" outlineLevel="0" collapsed="false">
      <c r="A31" s="23" t="s">
        <v>2556</v>
      </c>
      <c r="B31" s="73" t="n">
        <f aca="false">IF(OR(B5=0,B5=3,B5=5,B5=6),0,B14)</f>
        <v>0.5</v>
      </c>
      <c r="C31" s="23" t="s">
        <v>2557</v>
      </c>
      <c r="D31" s="20"/>
      <c r="E31" s="23" t="s">
        <v>2558</v>
      </c>
      <c r="F31" s="69"/>
      <c r="G31" s="69" t="n">
        <f aca="false">IF($B$34="Hợp lệ",B48,"Chưa tính")</f>
        <v>239088973.2</v>
      </c>
      <c r="H31" s="23" t="s">
        <v>2559</v>
      </c>
      <c r="I31" s="20"/>
      <c r="J31" s="20"/>
      <c r="K31" s="20"/>
      <c r="L31" s="20"/>
      <c r="M31" s="20"/>
      <c r="N31" s="20"/>
      <c r="O31" s="20"/>
      <c r="P31" s="20"/>
      <c r="Q31" s="20"/>
      <c r="R31" s="20"/>
      <c r="S31" s="20"/>
      <c r="T31" s="20"/>
      <c r="U31" s="20"/>
    </row>
    <row r="32" customFormat="false" ht="54" hidden="false" customHeight="true" outlineLevel="0" collapsed="false">
      <c r="A32" s="23" t="s">
        <v>2560</v>
      </c>
      <c r="B32" s="73" t="n">
        <f aca="false">IF(OR(B5=0,B5=6),0,B19)</f>
        <v>0.5</v>
      </c>
      <c r="C32" s="23" t="s">
        <v>2561</v>
      </c>
      <c r="D32" s="20"/>
      <c r="E32" s="23" t="s">
        <v>2562</v>
      </c>
      <c r="F32" s="70" t="n">
        <f aca="false">F01_UC2!B20</f>
        <v>46204</v>
      </c>
      <c r="G32" s="70" t="n">
        <f aca="false">IF($B$34="Hợp lệ",IF(COUNTIF(J51:J141,"&gt;0")=0,"Không có",_xlfn.MINIFS(A51:A141,J51:J141,"&gt;0")),"Chưa tính")</f>
        <v>46204</v>
      </c>
      <c r="H32" s="23" t="s">
        <v>2563</v>
      </c>
      <c r="I32" s="20"/>
      <c r="J32" s="20"/>
      <c r="K32" s="20"/>
      <c r="L32" s="20"/>
      <c r="M32" s="20"/>
      <c r="N32" s="20"/>
      <c r="O32" s="20"/>
      <c r="P32" s="20"/>
      <c r="Q32" s="20"/>
      <c r="R32" s="20"/>
      <c r="S32" s="20"/>
      <c r="T32" s="20"/>
      <c r="U32" s="20"/>
    </row>
    <row r="33" customFormat="false" ht="54" hidden="false" customHeight="true" outlineLevel="0" collapsed="false">
      <c r="A33" s="23" t="s">
        <v>2564</v>
      </c>
      <c r="B33" s="70" t="n">
        <f aca="false">F01_UC2!B6+B21+IF(OR(B5=4,B5=5),B23,0)</f>
        <v>46218</v>
      </c>
      <c r="C33" s="23" t="s">
        <v>2565</v>
      </c>
      <c r="D33" s="20"/>
      <c r="E33" s="23" t="s">
        <v>2566</v>
      </c>
      <c r="F33" s="74"/>
      <c r="G33" s="74" t="n">
        <f aca="false">IF($B$34="Hợp lệ",IF(F01_UC1!B5&lt;=0,"n.a.",SUMPRODUCT(J151:J272,F151:F272-K151:K272)/F01_UC1!B5),"Chưa tính")</f>
        <v>0.671593198828322</v>
      </c>
      <c r="H33" s="23" t="s">
        <v>2567</v>
      </c>
      <c r="I33" s="20"/>
      <c r="J33" s="20"/>
      <c r="K33" s="20"/>
      <c r="L33" s="20"/>
      <c r="M33" s="20"/>
      <c r="N33" s="20"/>
      <c r="O33" s="20"/>
      <c r="P33" s="20"/>
      <c r="Q33" s="20"/>
      <c r="R33" s="20"/>
      <c r="S33" s="20"/>
      <c r="T33" s="20"/>
      <c r="U33" s="20"/>
    </row>
    <row r="34" customFormat="false" ht="54" hidden="false" customHeight="true" outlineLevel="0" collapsed="false">
      <c r="A34" s="23" t="s">
        <v>2568</v>
      </c>
      <c r="B34" s="23" t="str">
        <f aca="false">IF(OR(B5&lt;0,B5&gt;6,MOD(B5,1)&lt;&gt;0,COUNT(B5,B8:B12,B14:B17,B19:B27)&lt;&gt;19,B8&lt;0,B8&gt;1,B14&lt;0,B14&gt;1,B19&lt;0,B19&gt;1,B20&lt;0,B20&gt;1,B10&lt;0,B10&gt;1,B16&lt;0,B16&gt;1,B22&lt;0,B22&gt;1,B25&lt;0,B25&gt;1,B9&lt;0,MOD(B9,1)&lt;&gt;0,B11&lt;0,MOD(B11,1)&lt;&gt;0,B15&lt;0,MOD(B15,1)&lt;&gt;0,B21&lt;0,MOD(B21,1)&lt;&gt;0,B23&lt;0,MOD(B23,1)&lt;&gt;0,B12&lt;0,B12&gt;1,MOD(B12,1)&lt;&gt;0,B17&lt;0,B17&gt;1,MOD(B17,1)&lt;&gt;0,B24&lt;0,B24&gt;1,MOD(B24,1)&lt;&gt;0,B27&lt;=0,B26&lt;F01_UC2!B6,B26&gt;F01_UC2!B7,D_F01!B15&lt;0,D_F01!B16&lt;=0,D_F01!B15&gt;D_F01!B16,D_F01!B16&gt;D_F01!B17),"LỖI tham số",IF(OR(COUNTIF(D_sales!C5:C121,B7)=0,COUNTIF(D_purchases!C5:C139,B13)=0),"LỖI ID đối tác",IF(AND(B32&gt;0,OR(B38&lt;&gt;D_F01!B5,B39&lt;&gt;"không",B24&lt;&gt;1)),"CHẶN lô hàng",IF(AND(B31&gt;0,B15&gt;0,B17&lt;&gt;1,COUNTIFS(F01_UC2!C220:C341,B13,F01_UC2!P220:P341,"Trả NCC",F01_UC2!Q220:Q341,1)&gt;0),"CHẶN NCC thiết yếu","Hợp lệ"))))</f>
        <v>Hợp lệ</v>
      </c>
      <c r="C34" s="23" t="s">
        <v>2569</v>
      </c>
      <c r="D34" s="20"/>
      <c r="E34" s="23" t="s">
        <v>2570</v>
      </c>
      <c r="F34" s="74"/>
      <c r="G34" s="74" t="n">
        <f aca="false">IF($B$34="Hợp lệ",IF(F01_UC1!B6&lt;=0,"n.a.",SUMPRODUCT(N151:N272,O151:O272-F151:F272)/F01_UC1!B6),"Chưa tính")</f>
        <v>0.337168100751328</v>
      </c>
      <c r="H34" s="23" t="s">
        <v>2571</v>
      </c>
      <c r="I34" s="20"/>
      <c r="J34" s="20"/>
      <c r="K34" s="20"/>
      <c r="L34" s="20"/>
      <c r="M34" s="20"/>
      <c r="N34" s="20"/>
      <c r="O34" s="20"/>
      <c r="P34" s="20"/>
      <c r="Q34" s="20"/>
      <c r="R34" s="20"/>
      <c r="S34" s="20"/>
      <c r="T34" s="20"/>
      <c r="U34" s="20"/>
    </row>
    <row r="35" customFormat="false" ht="54" hidden="false" customHeight="true" outlineLevel="0" collapsed="false">
      <c r="A35" s="23" t="s">
        <v>2572</v>
      </c>
      <c r="B35" s="23" t="str">
        <f aca="false">F01_UC2!B5</f>
        <v>Base</v>
      </c>
      <c r="C35" s="23" t="s">
        <v>2573</v>
      </c>
      <c r="D35" s="20"/>
      <c r="E35" s="23" t="s">
        <v>1320</v>
      </c>
      <c r="F35" s="74" t="n">
        <f aca="false">F01_UC1!B15</f>
        <v>117.620313190848</v>
      </c>
      <c r="G35" s="74" t="n">
        <f aca="false">IF($B$34="Hợp lệ",F01_UC1!B15,"Chưa tính")</f>
        <v>117.620313190848</v>
      </c>
      <c r="H35" s="23" t="s">
        <v>2574</v>
      </c>
      <c r="I35" s="20"/>
      <c r="J35" s="20"/>
      <c r="K35" s="20"/>
      <c r="L35" s="20"/>
      <c r="M35" s="20"/>
      <c r="N35" s="20"/>
      <c r="O35" s="20"/>
      <c r="P35" s="20"/>
      <c r="Q35" s="20"/>
      <c r="R35" s="20"/>
      <c r="S35" s="20"/>
      <c r="T35" s="20"/>
      <c r="U35" s="20"/>
    </row>
    <row r="36" customFormat="false" ht="54" hidden="false" customHeight="true" outlineLevel="0" collapsed="false">
      <c r="A36" s="23" t="s">
        <v>2575</v>
      </c>
      <c r="B36" s="23" t="str">
        <f aca="false">D_F01!B22</f>
        <v>F01-FOB-20260630-v11</v>
      </c>
      <c r="C36" s="23" t="s">
        <v>2576</v>
      </c>
      <c r="D36" s="20"/>
      <c r="E36" s="23" t="s">
        <v>2577</v>
      </c>
      <c r="F36" s="69"/>
      <c r="G36" s="69" t="str">
        <f aca="false">IF($B$34="Hợp lệ",IF(G24&gt;0,"Chưa đủ đánh giá: có nợ sau kỳ",IF(G8&lt;=B27,"Không thiếu trong phạm vi mô phỏng",IF(G17&gt;0,"Có ngày thiếu xấu đi",IF(OR(G15&gt;B27,G10&lt;F10,MAX(O51:O141)&gt;B27),"Cải thiện một phần","Không cải thiện")))),"Chưa tính")</f>
        <v>Cải thiện một phần</v>
      </c>
      <c r="H36" s="23" t="s">
        <v>2578</v>
      </c>
      <c r="I36" s="20"/>
      <c r="J36" s="20"/>
      <c r="K36" s="20"/>
      <c r="L36" s="20"/>
      <c r="M36" s="20"/>
      <c r="N36" s="20"/>
      <c r="O36" s="20"/>
      <c r="P36" s="20"/>
      <c r="Q36" s="20"/>
      <c r="R36" s="20"/>
      <c r="S36" s="20"/>
      <c r="T36" s="20"/>
      <c r="U36" s="20"/>
    </row>
    <row r="37" customFormat="false" ht="54" hidden="false" customHeight="true" outlineLevel="0" collapsed="false">
      <c r="A37" s="23" t="s">
        <v>2579</v>
      </c>
      <c r="B37" s="75" t="n">
        <f aca="false">IFERROR(INDEX(D_inventory!O5:O40,MATCH(B18,D_inventory!A5:A40,0)),0)</f>
        <v>609920850</v>
      </c>
      <c r="C37" s="23" t="s">
        <v>2580</v>
      </c>
      <c r="D37" s="20"/>
      <c r="E37" s="23" t="s">
        <v>2052</v>
      </c>
      <c r="F37" s="69"/>
      <c r="G37" s="69" t="str">
        <f aca="false">IF($B$34="Hợp lệ","provisional","Chưa tính")</f>
        <v>provisional</v>
      </c>
      <c r="H37" s="23" t="s">
        <v>2581</v>
      </c>
      <c r="I37" s="20"/>
      <c r="J37" s="20"/>
      <c r="K37" s="20"/>
      <c r="L37" s="20"/>
      <c r="M37" s="20"/>
      <c r="N37" s="20"/>
      <c r="O37" s="20"/>
      <c r="P37" s="20"/>
      <c r="Q37" s="20"/>
      <c r="R37" s="20"/>
      <c r="S37" s="20"/>
      <c r="T37" s="20"/>
      <c r="U37" s="20"/>
    </row>
    <row r="38" customFormat="false" ht="54" hidden="false" customHeight="true" outlineLevel="0" collapsed="false">
      <c r="A38" s="23" t="s">
        <v>2582</v>
      </c>
      <c r="B38" s="23" t="str">
        <f aca="false">IFERROR(INDEX(D_inventory!E5:E40,MATCH(B18,D_inventory!A5:A40,0)),"Không tìm thấy")</f>
        <v>F01</v>
      </c>
      <c r="C38" s="23" t="s">
        <v>2583</v>
      </c>
      <c r="D38" s="20"/>
      <c r="E38" s="23" t="s">
        <v>2584</v>
      </c>
      <c r="F38" s="69"/>
      <c r="G38" s="69" t="n">
        <f aca="false">IF($B$34="Hợp lệ",COUNTIFS(J151:J272,"&gt;0",G151:G272,"&gt;0"),"Chưa tính")</f>
        <v>0</v>
      </c>
      <c r="H38" s="23" t="s">
        <v>2585</v>
      </c>
      <c r="I38" s="20"/>
      <c r="J38" s="20"/>
      <c r="K38" s="20"/>
      <c r="L38" s="20"/>
      <c r="M38" s="20"/>
      <c r="N38" s="20"/>
      <c r="O38" s="20"/>
      <c r="P38" s="20"/>
      <c r="Q38" s="20"/>
      <c r="R38" s="20"/>
      <c r="S38" s="20"/>
      <c r="T38" s="20"/>
      <c r="U38" s="20"/>
    </row>
    <row r="39" customFormat="false" ht="54" hidden="false" customHeight="true" outlineLevel="0" collapsed="false">
      <c r="A39" s="23" t="s">
        <v>2586</v>
      </c>
      <c r="B39" s="23" t="str">
        <f aca="false">IFERROR(INDEX(D_inventory!M5:M40,MATCH(B18,D_inventory!A5:A40,0)),"Không tìm thấy")</f>
        <v>không</v>
      </c>
      <c r="C39" s="23" t="s">
        <v>2587</v>
      </c>
      <c r="D39" s="20"/>
      <c r="E39" s="23" t="s">
        <v>2588</v>
      </c>
      <c r="F39" s="69" t="n">
        <f aca="false">F01_UC2!B10</f>
        <v>6855965890.22435</v>
      </c>
      <c r="G39" s="69" t="n">
        <f aca="false">IF($B$34="Hợp lệ",F01_UC2!B10,"Chưa tính")</f>
        <v>6855965890.22435</v>
      </c>
      <c r="H39" s="23" t="s">
        <v>2589</v>
      </c>
      <c r="I39" s="20"/>
      <c r="J39" s="20"/>
      <c r="K39" s="20"/>
      <c r="L39" s="20"/>
      <c r="M39" s="20"/>
      <c r="N39" s="20"/>
      <c r="O39" s="20"/>
      <c r="P39" s="20"/>
      <c r="Q39" s="20"/>
      <c r="R39" s="20"/>
      <c r="S39" s="20"/>
      <c r="T39" s="20"/>
      <c r="U39" s="20"/>
    </row>
    <row r="40" customFormat="false" ht="54" hidden="false" customHeight="true" outlineLevel="0" collapsed="false">
      <c r="A40" s="23" t="s">
        <v>2590</v>
      </c>
      <c r="B40" s="23" t="s">
        <v>1593</v>
      </c>
      <c r="C40" s="23" t="s">
        <v>2591</v>
      </c>
      <c r="D40" s="20"/>
      <c r="E40" s="23" t="s">
        <v>1566</v>
      </c>
      <c r="F40" s="23" t="s">
        <v>2592</v>
      </c>
      <c r="G40" s="23" t="s">
        <v>2593</v>
      </c>
      <c r="H40" s="23" t="s">
        <v>2594</v>
      </c>
      <c r="I40" s="20"/>
      <c r="J40" s="20"/>
      <c r="K40" s="20"/>
      <c r="L40" s="20"/>
      <c r="M40" s="20"/>
      <c r="N40" s="20"/>
      <c r="O40" s="20"/>
      <c r="P40" s="20"/>
      <c r="Q40" s="20"/>
      <c r="R40" s="20"/>
      <c r="S40" s="20"/>
      <c r="T40" s="20"/>
      <c r="U40" s="20"/>
    </row>
    <row r="41" customFormat="false" ht="13.5" hidden="false" customHeight="false" outlineLevel="0" collapsed="false">
      <c r="A41" s="20"/>
      <c r="B41" s="20"/>
      <c r="C41" s="20"/>
      <c r="D41" s="20"/>
      <c r="E41" s="20"/>
      <c r="F41" s="20"/>
      <c r="G41" s="20"/>
      <c r="H41" s="20"/>
      <c r="I41" s="20"/>
      <c r="J41" s="20"/>
      <c r="K41" s="20"/>
      <c r="L41" s="20"/>
      <c r="M41" s="20"/>
      <c r="N41" s="20"/>
      <c r="O41" s="20"/>
      <c r="P41" s="20"/>
      <c r="Q41" s="20"/>
      <c r="R41" s="20"/>
      <c r="S41" s="20"/>
      <c r="T41" s="20"/>
      <c r="U41" s="20"/>
    </row>
    <row r="42" customFormat="false" ht="13.5" hidden="false" customHeight="false" outlineLevel="0" collapsed="false">
      <c r="A42" s="20"/>
      <c r="B42" s="20"/>
      <c r="C42" s="20"/>
      <c r="D42" s="20"/>
      <c r="E42" s="20"/>
      <c r="F42" s="20"/>
      <c r="G42" s="20"/>
      <c r="H42" s="20"/>
      <c r="I42" s="20"/>
      <c r="J42" s="20"/>
      <c r="K42" s="20"/>
      <c r="L42" s="20"/>
      <c r="M42" s="20"/>
      <c r="N42" s="20"/>
      <c r="O42" s="20"/>
      <c r="P42" s="20"/>
      <c r="Q42" s="20"/>
      <c r="R42" s="20"/>
      <c r="S42" s="20"/>
      <c r="T42" s="20"/>
      <c r="U42" s="20"/>
    </row>
    <row r="43" customFormat="false" ht="13.5" hidden="false" customHeight="false" outlineLevel="0" collapsed="false">
      <c r="A43" s="20"/>
      <c r="B43" s="20"/>
      <c r="C43" s="20"/>
      <c r="D43" s="20"/>
      <c r="E43" s="20"/>
      <c r="F43" s="20"/>
      <c r="G43" s="20"/>
      <c r="H43" s="20"/>
      <c r="I43" s="20"/>
      <c r="J43" s="20"/>
      <c r="K43" s="20"/>
      <c r="L43" s="20"/>
      <c r="M43" s="20"/>
      <c r="N43" s="20"/>
      <c r="O43" s="20"/>
      <c r="P43" s="20"/>
      <c r="Q43" s="20"/>
      <c r="R43" s="20"/>
      <c r="S43" s="20"/>
      <c r="T43" s="20"/>
      <c r="U43" s="20"/>
    </row>
    <row r="44" customFormat="false" ht="30" hidden="false" customHeight="true" outlineLevel="0" collapsed="false">
      <c r="A44" s="22" t="s">
        <v>2595</v>
      </c>
      <c r="B44" s="22" t="s">
        <v>1674</v>
      </c>
      <c r="C44" s="22" t="s">
        <v>1895</v>
      </c>
      <c r="D44" s="20"/>
      <c r="E44" s="20"/>
      <c r="F44" s="20"/>
      <c r="G44" s="20"/>
      <c r="H44" s="20"/>
      <c r="I44" s="20"/>
      <c r="J44" s="20"/>
      <c r="K44" s="20"/>
      <c r="L44" s="20"/>
      <c r="M44" s="20"/>
      <c r="N44" s="20"/>
      <c r="O44" s="20"/>
      <c r="P44" s="20"/>
      <c r="Q44" s="20"/>
      <c r="R44" s="20"/>
      <c r="S44" s="20"/>
      <c r="T44" s="20"/>
      <c r="U44" s="20"/>
    </row>
    <row r="45" customFormat="false" ht="13.5" hidden="false" customHeight="false" outlineLevel="0" collapsed="false">
      <c r="A45" s="20" t="s">
        <v>2596</v>
      </c>
      <c r="B45" s="76" t="n">
        <f aca="false">IF(B34="Hợp lệ",B37*B32,0)</f>
        <v>304960425</v>
      </c>
      <c r="C45" s="20" t="s">
        <v>2597</v>
      </c>
      <c r="D45" s="20"/>
      <c r="E45" s="20"/>
      <c r="F45" s="20"/>
      <c r="G45" s="20"/>
      <c r="H45" s="20"/>
      <c r="I45" s="20"/>
      <c r="J45" s="20"/>
      <c r="K45" s="20"/>
      <c r="L45" s="20"/>
      <c r="M45" s="20"/>
      <c r="N45" s="20"/>
      <c r="O45" s="20"/>
      <c r="P45" s="20"/>
      <c r="Q45" s="20"/>
      <c r="R45" s="20"/>
      <c r="S45" s="20"/>
      <c r="T45" s="20"/>
      <c r="U45" s="20"/>
    </row>
    <row r="46" customFormat="false" ht="13.5" hidden="false" customHeight="false" outlineLevel="0" collapsed="false">
      <c r="A46" s="20" t="s">
        <v>2598</v>
      </c>
      <c r="B46" s="76" t="n">
        <f aca="false">B45*B20</f>
        <v>243968340</v>
      </c>
      <c r="C46" s="20" t="s">
        <v>2599</v>
      </c>
      <c r="D46" s="20"/>
      <c r="E46" s="20"/>
      <c r="F46" s="20"/>
      <c r="G46" s="20"/>
      <c r="H46" s="20"/>
      <c r="I46" s="20"/>
      <c r="J46" s="20"/>
      <c r="K46" s="20"/>
      <c r="L46" s="20"/>
      <c r="M46" s="20"/>
      <c r="N46" s="20"/>
      <c r="O46" s="20"/>
      <c r="P46" s="20"/>
      <c r="Q46" s="20"/>
      <c r="R46" s="20"/>
      <c r="S46" s="20"/>
      <c r="T46" s="20"/>
      <c r="U46" s="20"/>
    </row>
    <row r="47" customFormat="false" ht="13.5" hidden="false" customHeight="false" outlineLevel="0" collapsed="false">
      <c r="A47" s="20" t="s">
        <v>2600</v>
      </c>
      <c r="B47" s="76" t="n">
        <f aca="false">B46*B22</f>
        <v>4879366.8</v>
      </c>
      <c r="C47" s="20" t="s">
        <v>2601</v>
      </c>
      <c r="D47" s="20"/>
      <c r="E47" s="20"/>
      <c r="F47" s="20"/>
      <c r="G47" s="20"/>
      <c r="H47" s="20"/>
      <c r="I47" s="20"/>
      <c r="J47" s="20"/>
      <c r="K47" s="20"/>
      <c r="L47" s="20"/>
      <c r="M47" s="20"/>
      <c r="N47" s="20"/>
      <c r="O47" s="20"/>
      <c r="P47" s="20"/>
      <c r="Q47" s="20"/>
      <c r="R47" s="20"/>
      <c r="S47" s="20"/>
      <c r="T47" s="20"/>
      <c r="U47" s="20"/>
    </row>
    <row r="48" customFormat="false" ht="13.5" hidden="false" customHeight="false" outlineLevel="0" collapsed="false">
      <c r="A48" s="20" t="s">
        <v>2602</v>
      </c>
      <c r="B48" s="76" t="n">
        <f aca="false">B46-B47</f>
        <v>239088973.2</v>
      </c>
      <c r="C48" s="20" t="s">
        <v>2603</v>
      </c>
      <c r="D48" s="20"/>
      <c r="E48" s="20"/>
      <c r="F48" s="20"/>
      <c r="G48" s="20"/>
      <c r="H48" s="20"/>
      <c r="I48" s="20"/>
      <c r="J48" s="20"/>
      <c r="K48" s="20"/>
      <c r="L48" s="20"/>
      <c r="M48" s="20"/>
      <c r="N48" s="20"/>
      <c r="O48" s="20"/>
      <c r="P48" s="20"/>
      <c r="Q48" s="20"/>
      <c r="R48" s="20"/>
      <c r="S48" s="20"/>
      <c r="T48" s="20"/>
      <c r="U48" s="20"/>
    </row>
    <row r="49" customFormat="false" ht="13.5" hidden="false" customHeight="false" outlineLevel="0" collapsed="false">
      <c r="A49" s="20"/>
      <c r="B49" s="20"/>
      <c r="C49" s="20"/>
      <c r="D49" s="20"/>
      <c r="E49" s="20"/>
      <c r="F49" s="20"/>
      <c r="G49" s="20"/>
      <c r="H49" s="20"/>
      <c r="I49" s="20"/>
      <c r="J49" s="20"/>
      <c r="K49" s="20"/>
      <c r="L49" s="20"/>
      <c r="M49" s="20"/>
      <c r="N49" s="20"/>
      <c r="O49" s="20"/>
      <c r="P49" s="20"/>
      <c r="Q49" s="20"/>
      <c r="R49" s="20"/>
      <c r="S49" s="20"/>
      <c r="T49" s="20"/>
      <c r="U49" s="20"/>
    </row>
    <row r="50" customFormat="false" ht="30" hidden="false" customHeight="true" outlineLevel="0" collapsed="false">
      <c r="A50" s="22" t="s">
        <v>434</v>
      </c>
      <c r="B50" s="22" t="s">
        <v>2604</v>
      </c>
      <c r="C50" s="22" t="s">
        <v>2605</v>
      </c>
      <c r="D50" s="22" t="s">
        <v>2606</v>
      </c>
      <c r="E50" s="22" t="s">
        <v>2607</v>
      </c>
      <c r="F50" s="22" t="s">
        <v>2608</v>
      </c>
      <c r="G50" s="22" t="s">
        <v>2609</v>
      </c>
      <c r="H50" s="22" t="s">
        <v>2610</v>
      </c>
      <c r="I50" s="22" t="s">
        <v>2611</v>
      </c>
      <c r="J50" s="22" t="s">
        <v>2612</v>
      </c>
      <c r="K50" s="22" t="s">
        <v>2613</v>
      </c>
      <c r="L50" s="22" t="s">
        <v>2614</v>
      </c>
      <c r="M50" s="22" t="s">
        <v>2615</v>
      </c>
      <c r="N50" s="22" t="s">
        <v>2616</v>
      </c>
      <c r="O50" s="22" t="s">
        <v>2617</v>
      </c>
      <c r="P50" s="20"/>
      <c r="Q50" s="20"/>
      <c r="R50" s="20"/>
      <c r="S50" s="20"/>
      <c r="T50" s="20"/>
      <c r="U50" s="20"/>
    </row>
    <row r="51" customFormat="false" ht="22.5" hidden="false" customHeight="true" outlineLevel="0" collapsed="false">
      <c r="A51" s="77" t="n">
        <f aca="false">F01_UC2!A70</f>
        <v>46204</v>
      </c>
      <c r="B51" s="78" t="n">
        <f aca="false">F01_UC2!G70</f>
        <v>4221925973</v>
      </c>
      <c r="C51" s="78" t="n">
        <f aca="false">SUMIFS($L$151:$L$272,$K$151:$K$272,A51)-SUMIFS($J$151:$J$272,$F$151:$F$272,A51)</f>
        <v>461442087.315</v>
      </c>
      <c r="D51" s="78" t="n">
        <f aca="false">SUMIFS($N$151:$N$272,$F$151:$F$272,A51)-SUMIFS($P$151:$P$272,$O$151:$O$272,A51)</f>
        <v>0</v>
      </c>
      <c r="E51" s="78" t="n">
        <f aca="false">IF(A51=$B$33,$B$48,0)</f>
        <v>0</v>
      </c>
      <c r="F51" s="78" t="n">
        <f aca="false">SUM(C51:E51)</f>
        <v>461442087.315</v>
      </c>
      <c r="G51" s="78" t="n">
        <f aca="false">SUM($F$51:F51)</f>
        <v>461442087.315</v>
      </c>
      <c r="H51" s="78" t="n">
        <f aca="false">IF($B$34="Hợp lệ",B51+G51,"Chưa tính")</f>
        <v>4683368060.315</v>
      </c>
      <c r="I51" s="78" t="n">
        <f aca="false">F01_UC2!H70</f>
        <v>2634039917.22435</v>
      </c>
      <c r="J51" s="78" t="n">
        <f aca="false">IF($B$34="Hợp lệ",IF(H51&lt;F01_UC2!$B$9,F01_UC2!$B$10-H51,0),"Chưa tính")</f>
        <v>2172597829.90935</v>
      </c>
      <c r="K51" s="79" t="n">
        <f aca="false">IF($B$34&lt;&gt;"Hợp lệ","Chưa tính",IF(H51&lt;F01_UC2!$B$9,3,0))</f>
        <v>3</v>
      </c>
      <c r="L51" s="20" t="n">
        <f aca="false">IF($B$34="Hợp lệ",IF(AND(I51=0,J51&gt;$B$27),1,0),"Chưa tính")</f>
        <v>0</v>
      </c>
      <c r="M51" s="20" t="n">
        <f aca="false">IF($B$34="Hợp lệ",IF(J51&gt;I51+$B$27,1,0),"Chưa tính")</f>
        <v>0</v>
      </c>
      <c r="N51" s="20" t="n">
        <f aca="false">IF($B$34&lt;&gt;"Hợp lệ","Chưa tính",IF(H51&gt;F01_UC2!$B$11,1,0))</f>
        <v>0</v>
      </c>
      <c r="O51" s="20" t="n">
        <f aca="false">IF($B$34="Hợp lệ",I51-J51,"Chưa tính")</f>
        <v>461442087.315</v>
      </c>
      <c r="P51" s="20"/>
      <c r="Q51" s="20"/>
      <c r="R51" s="20"/>
      <c r="S51" s="20"/>
      <c r="T51" s="20"/>
      <c r="U51" s="20"/>
    </row>
    <row r="52" customFormat="false" ht="22.5" hidden="false" customHeight="true" outlineLevel="0" collapsed="false">
      <c r="A52" s="77" t="n">
        <f aca="false">F01_UC2!A71</f>
        <v>46205</v>
      </c>
      <c r="B52" s="78" t="n">
        <f aca="false">F01_UC2!G71</f>
        <v>4140480437</v>
      </c>
      <c r="C52" s="78" t="n">
        <f aca="false">SUMIFS($L$151:$L$272,$K$151:$K$272,A52)-SUMIFS($J$151:$J$272,$F$151:$F$272,A52)</f>
        <v>284542785.45</v>
      </c>
      <c r="D52" s="78" t="n">
        <f aca="false">SUMIFS($N$151:$N$272,$F$151:$F$272,A52)-SUMIFS($P$151:$P$272,$O$151:$O$272,A52)</f>
        <v>0</v>
      </c>
      <c r="E52" s="78" t="n">
        <f aca="false">IF(A52=$B$33,$B$48,0)</f>
        <v>0</v>
      </c>
      <c r="F52" s="78" t="n">
        <f aca="false">SUM(C52:E52)</f>
        <v>284542785.45</v>
      </c>
      <c r="G52" s="78" t="n">
        <f aca="false">SUM($F$51:F52)</f>
        <v>745984872.765</v>
      </c>
      <c r="H52" s="78" t="n">
        <f aca="false">IF($B$34="Hợp lệ",B52+G52,"Chưa tính")</f>
        <v>4886465309.765</v>
      </c>
      <c r="I52" s="78" t="n">
        <f aca="false">F01_UC2!H71</f>
        <v>2715485453.22435</v>
      </c>
      <c r="J52" s="78" t="n">
        <f aca="false">IF($B$34="Hợp lệ",IF(H52&lt;F01_UC2!$B$9,F01_UC2!$B$10-H52,0),"Chưa tính")</f>
        <v>1969500580.45935</v>
      </c>
      <c r="K52" s="79" t="n">
        <f aca="false">IF($B$34&lt;&gt;"Hợp lệ","Chưa tính",IF(H52&lt;F01_UC2!$B$9,3,0))</f>
        <v>3</v>
      </c>
      <c r="L52" s="20" t="n">
        <f aca="false">IF($B$34="Hợp lệ",IF(AND(I52=0,J52&gt;$B$27),1,0),"Chưa tính")</f>
        <v>0</v>
      </c>
      <c r="M52" s="20" t="n">
        <f aca="false">IF($B$34="Hợp lệ",IF(J52&gt;I52+$B$27,1,0),"Chưa tính")</f>
        <v>0</v>
      </c>
      <c r="N52" s="20" t="n">
        <f aca="false">IF($B$34&lt;&gt;"Hợp lệ","Chưa tính",IF(H52&gt;F01_UC2!$B$11,N51+1,0))</f>
        <v>0</v>
      </c>
      <c r="O52" s="20" t="n">
        <f aca="false">IF($B$34="Hợp lệ",I52-J52,"Chưa tính")</f>
        <v>745984872.765</v>
      </c>
      <c r="P52" s="20"/>
      <c r="Q52" s="20"/>
      <c r="R52" s="20"/>
      <c r="S52" s="20"/>
      <c r="T52" s="20"/>
      <c r="U52" s="20"/>
    </row>
    <row r="53" customFormat="false" ht="22.5" hidden="false" customHeight="true" outlineLevel="0" collapsed="false">
      <c r="A53" s="77" t="n">
        <f aca="false">F01_UC2!A72</f>
        <v>46206</v>
      </c>
      <c r="B53" s="78" t="n">
        <f aca="false">F01_UC2!G72</f>
        <v>4784351714</v>
      </c>
      <c r="C53" s="78" t="n">
        <f aca="false">SUMIFS($L$151:$L$272,$K$151:$K$272,A53)-SUMIFS($J$151:$J$272,$F$151:$F$272,A53)</f>
        <v>0</v>
      </c>
      <c r="D53" s="78" t="n">
        <f aca="false">SUMIFS($N$151:$N$272,$F$151:$F$272,A53)-SUMIFS($P$151:$P$272,$O$151:$O$272,A53)</f>
        <v>185704896</v>
      </c>
      <c r="E53" s="78" t="n">
        <f aca="false">IF(A53=$B$33,$B$48,0)</f>
        <v>0</v>
      </c>
      <c r="F53" s="78" t="n">
        <f aca="false">SUM(C53:E53)</f>
        <v>185704896</v>
      </c>
      <c r="G53" s="78" t="n">
        <f aca="false">SUM($F$51:F53)</f>
        <v>931689768.765</v>
      </c>
      <c r="H53" s="78" t="n">
        <f aca="false">IF($B$34="Hợp lệ",B53+G53,"Chưa tính")</f>
        <v>5716041482.765</v>
      </c>
      <c r="I53" s="78" t="n">
        <f aca="false">F01_UC2!H72</f>
        <v>2071614176.22435</v>
      </c>
      <c r="J53" s="78" t="n">
        <f aca="false">IF($B$34="Hợp lệ",IF(H53&lt;F01_UC2!$B$9,F01_UC2!$B$10-H53,0),"Chưa tính")</f>
        <v>0</v>
      </c>
      <c r="K53" s="79" t="n">
        <f aca="false">IF($B$34&lt;&gt;"Hợp lệ","Chưa tính",IF(H53&lt;F01_UC2!$B$9,3,0))</f>
        <v>0</v>
      </c>
      <c r="L53" s="20" t="n">
        <f aca="false">IF($B$34="Hợp lệ",IF(AND(I53=0,J53&gt;$B$27),1,0),"Chưa tính")</f>
        <v>0</v>
      </c>
      <c r="M53" s="20" t="n">
        <f aca="false">IF($B$34="Hợp lệ",IF(J53&gt;I53+$B$27,1,0),"Chưa tính")</f>
        <v>0</v>
      </c>
      <c r="N53" s="20" t="n">
        <f aca="false">IF($B$34&lt;&gt;"Hợp lệ","Chưa tính",IF(H53&gt;F01_UC2!$B$11,N52+1,0))</f>
        <v>0</v>
      </c>
      <c r="O53" s="20" t="n">
        <f aca="false">IF($B$34="Hợp lệ",I53-J53,"Chưa tính")</f>
        <v>2071614176.22435</v>
      </c>
      <c r="P53" s="20"/>
      <c r="Q53" s="20"/>
      <c r="R53" s="20"/>
      <c r="S53" s="20"/>
      <c r="T53" s="20"/>
      <c r="U53" s="20"/>
    </row>
    <row r="54" customFormat="false" ht="22.5" hidden="false" customHeight="true" outlineLevel="0" collapsed="false">
      <c r="A54" s="77" t="n">
        <f aca="false">F01_UC2!A73</f>
        <v>46207</v>
      </c>
      <c r="B54" s="78" t="n">
        <f aca="false">F01_UC2!G73</f>
        <v>6562039455</v>
      </c>
      <c r="C54" s="78" t="n">
        <f aca="false">SUMIFS($L$151:$L$272,$K$151:$K$272,A54)-SUMIFS($J$151:$J$272,$F$151:$F$272,A54)</f>
        <v>12834630.46</v>
      </c>
      <c r="D54" s="78" t="n">
        <f aca="false">SUMIFS($N$151:$N$272,$F$151:$F$272,A54)-SUMIFS($P$151:$P$272,$O$151:$O$272,A54)</f>
        <v>0</v>
      </c>
      <c r="E54" s="78" t="n">
        <f aca="false">IF(A54=$B$33,$B$48,0)</f>
        <v>0</v>
      </c>
      <c r="F54" s="78" t="n">
        <f aca="false">SUM(C54:E54)</f>
        <v>12834630.46</v>
      </c>
      <c r="G54" s="78" t="n">
        <f aca="false">SUM($F$51:F54)</f>
        <v>944524399.225</v>
      </c>
      <c r="H54" s="78" t="n">
        <f aca="false">IF($B$34="Hợp lệ",B54+G54,"Chưa tính")</f>
        <v>7506563854.225</v>
      </c>
      <c r="I54" s="78" t="n">
        <f aca="false">F01_UC2!H73</f>
        <v>0</v>
      </c>
      <c r="J54" s="78" t="n">
        <f aca="false">IF($B$34="Hợp lệ",IF(H54&lt;F01_UC2!$B$9,F01_UC2!$B$10-H54,0),"Chưa tính")</f>
        <v>0</v>
      </c>
      <c r="K54" s="79" t="n">
        <f aca="false">IF($B$34&lt;&gt;"Hợp lệ","Chưa tính",IF(H54&lt;F01_UC2!$B$9,3,0))</f>
        <v>0</v>
      </c>
      <c r="L54" s="20" t="n">
        <f aca="false">IF($B$34="Hợp lệ",IF(AND(I54=0,J54&gt;$B$27),1,0),"Chưa tính")</f>
        <v>0</v>
      </c>
      <c r="M54" s="20" t="n">
        <f aca="false">IF($B$34="Hợp lệ",IF(J54&gt;I54+$B$27,1,0),"Chưa tính")</f>
        <v>0</v>
      </c>
      <c r="N54" s="20" t="n">
        <f aca="false">IF($B$34&lt;&gt;"Hợp lệ","Chưa tính",IF(H54&gt;F01_UC2!$B$11,N53+1,0))</f>
        <v>0</v>
      </c>
      <c r="O54" s="20" t="n">
        <f aca="false">IF($B$34="Hợp lệ",I54-J54,"Chưa tính")</f>
        <v>0</v>
      </c>
      <c r="P54" s="20"/>
      <c r="Q54" s="20"/>
      <c r="R54" s="20"/>
      <c r="S54" s="20"/>
      <c r="T54" s="20"/>
      <c r="U54" s="20"/>
    </row>
    <row r="55" customFormat="false" ht="22.5" hidden="false" customHeight="true" outlineLevel="0" collapsed="false">
      <c r="A55" s="77" t="n">
        <f aca="false">F01_UC2!A74</f>
        <v>46208</v>
      </c>
      <c r="B55" s="78" t="n">
        <f aca="false">F01_UC2!G74</f>
        <v>5263759563</v>
      </c>
      <c r="C55" s="78" t="n">
        <f aca="false">SUMIFS($L$151:$L$272,$K$151:$K$272,A55)-SUMIFS($J$151:$J$272,$F$151:$F$272,A55)</f>
        <v>228355078.05</v>
      </c>
      <c r="D55" s="78" t="n">
        <f aca="false">SUMIFS($N$151:$N$272,$F$151:$F$272,A55)-SUMIFS($P$151:$P$272,$O$151:$O$272,A55)</f>
        <v>0</v>
      </c>
      <c r="E55" s="78" t="n">
        <f aca="false">IF(A55=$B$33,$B$48,0)</f>
        <v>0</v>
      </c>
      <c r="F55" s="78" t="n">
        <f aca="false">SUM(C55:E55)</f>
        <v>228355078.05</v>
      </c>
      <c r="G55" s="78" t="n">
        <f aca="false">SUM($F$51:F55)</f>
        <v>1172879477.275</v>
      </c>
      <c r="H55" s="78" t="n">
        <f aca="false">IF($B$34="Hợp lệ",B55+G55,"Chưa tính")</f>
        <v>6436639040.275</v>
      </c>
      <c r="I55" s="78" t="n">
        <f aca="false">F01_UC2!H74</f>
        <v>1592206327.22435</v>
      </c>
      <c r="J55" s="78" t="n">
        <f aca="false">IF($B$34="Hợp lệ",IF(H55&lt;F01_UC2!$B$9,F01_UC2!$B$10-H55,0),"Chưa tính")</f>
        <v>0</v>
      </c>
      <c r="K55" s="79" t="n">
        <f aca="false">IF($B$34&lt;&gt;"Hợp lệ","Chưa tính",IF(H55&lt;F01_UC2!$B$9,3,0))</f>
        <v>0</v>
      </c>
      <c r="L55" s="20" t="n">
        <f aca="false">IF($B$34="Hợp lệ",IF(AND(I55=0,J55&gt;$B$27),1,0),"Chưa tính")</f>
        <v>0</v>
      </c>
      <c r="M55" s="20" t="n">
        <f aca="false">IF($B$34="Hợp lệ",IF(J55&gt;I55+$B$27,1,0),"Chưa tính")</f>
        <v>0</v>
      </c>
      <c r="N55" s="20" t="n">
        <f aca="false">IF($B$34&lt;&gt;"Hợp lệ","Chưa tính",IF(H55&gt;F01_UC2!$B$11,N54+1,0))</f>
        <v>0</v>
      </c>
      <c r="O55" s="20" t="n">
        <f aca="false">IF($B$34="Hợp lệ",I55-J55,"Chưa tính")</f>
        <v>1592206327.22435</v>
      </c>
      <c r="P55" s="20"/>
      <c r="Q55" s="20"/>
      <c r="R55" s="20"/>
      <c r="S55" s="20"/>
      <c r="T55" s="20"/>
      <c r="U55" s="20"/>
    </row>
    <row r="56" customFormat="false" ht="22.5" hidden="false" customHeight="true" outlineLevel="0" collapsed="false">
      <c r="A56" s="77" t="n">
        <f aca="false">F01_UC2!A75</f>
        <v>46209</v>
      </c>
      <c r="B56" s="78" t="n">
        <f aca="false">F01_UC2!G75</f>
        <v>5263759563</v>
      </c>
      <c r="C56" s="78" t="n">
        <f aca="false">SUMIFS($L$151:$L$272,$K$151:$K$272,A56)-SUMIFS($J$151:$J$272,$F$151:$F$272,A56)</f>
        <v>0</v>
      </c>
      <c r="D56" s="78" t="n">
        <f aca="false">SUMIFS($N$151:$N$272,$F$151:$F$272,A56)-SUMIFS($P$151:$P$272,$O$151:$O$272,A56)</f>
        <v>0</v>
      </c>
      <c r="E56" s="78" t="n">
        <f aca="false">IF(A56=$B$33,$B$48,0)</f>
        <v>0</v>
      </c>
      <c r="F56" s="78" t="n">
        <f aca="false">SUM(C56:E56)</f>
        <v>0</v>
      </c>
      <c r="G56" s="78" t="n">
        <f aca="false">SUM($F$51:F56)</f>
        <v>1172879477.275</v>
      </c>
      <c r="H56" s="78" t="n">
        <f aca="false">IF($B$34="Hợp lệ",B56+G56,"Chưa tính")</f>
        <v>6436639040.275</v>
      </c>
      <c r="I56" s="78" t="n">
        <f aca="false">F01_UC2!H75</f>
        <v>1592206327.22435</v>
      </c>
      <c r="J56" s="78" t="n">
        <f aca="false">IF($B$34="Hợp lệ",IF(H56&lt;F01_UC2!$B$9,F01_UC2!$B$10-H56,0),"Chưa tính")</f>
        <v>0</v>
      </c>
      <c r="K56" s="79" t="n">
        <f aca="false">IF($B$34&lt;&gt;"Hợp lệ","Chưa tính",IF(H56&lt;F01_UC2!$B$9,3,0))</f>
        <v>0</v>
      </c>
      <c r="L56" s="20" t="n">
        <f aca="false">IF($B$34="Hợp lệ",IF(AND(I56=0,J56&gt;$B$27),1,0),"Chưa tính")</f>
        <v>0</v>
      </c>
      <c r="M56" s="20" t="n">
        <f aca="false">IF($B$34="Hợp lệ",IF(J56&gt;I56+$B$27,1,0),"Chưa tính")</f>
        <v>0</v>
      </c>
      <c r="N56" s="20" t="n">
        <f aca="false">IF($B$34&lt;&gt;"Hợp lệ","Chưa tính",IF(H56&gt;F01_UC2!$B$11,N55+1,0))</f>
        <v>0</v>
      </c>
      <c r="O56" s="20" t="n">
        <f aca="false">IF($B$34="Hợp lệ",I56-J56,"Chưa tính")</f>
        <v>1592206327.22435</v>
      </c>
      <c r="P56" s="20"/>
      <c r="Q56" s="20"/>
      <c r="R56" s="20"/>
      <c r="S56" s="20"/>
      <c r="T56" s="20"/>
      <c r="U56" s="20"/>
    </row>
    <row r="57" customFormat="false" ht="22.5" hidden="false" customHeight="true" outlineLevel="0" collapsed="false">
      <c r="A57" s="77" t="n">
        <f aca="false">F01_UC2!A76</f>
        <v>46210</v>
      </c>
      <c r="B57" s="78" t="n">
        <f aca="false">F01_UC2!G76</f>
        <v>4515574756</v>
      </c>
      <c r="C57" s="78" t="n">
        <f aca="false">SUMIFS($L$151:$L$272,$K$151:$K$272,A57)-SUMIFS($J$151:$J$272,$F$151:$F$272,A57)</f>
        <v>619663157.19</v>
      </c>
      <c r="D57" s="78" t="n">
        <f aca="false">SUMIFS($N$151:$N$272,$F$151:$F$272,A57)-SUMIFS($P$151:$P$272,$O$151:$O$272,A57)</f>
        <v>0</v>
      </c>
      <c r="E57" s="78" t="n">
        <f aca="false">IF(A57=$B$33,$B$48,0)</f>
        <v>0</v>
      </c>
      <c r="F57" s="78" t="n">
        <f aca="false">SUM(C57:E57)</f>
        <v>619663157.19</v>
      </c>
      <c r="G57" s="78" t="n">
        <f aca="false">SUM($F$51:F57)</f>
        <v>1792542634.465</v>
      </c>
      <c r="H57" s="78" t="n">
        <f aca="false">IF($B$34="Hợp lệ",B57+G57,"Chưa tính")</f>
        <v>6308117390.465</v>
      </c>
      <c r="I57" s="78" t="n">
        <f aca="false">F01_UC2!H76</f>
        <v>2340391134.22435</v>
      </c>
      <c r="J57" s="78" t="n">
        <f aca="false">IF($B$34="Hợp lệ",IF(H57&lt;F01_UC2!$B$9,F01_UC2!$B$10-H57,0),"Chưa tính")</f>
        <v>0</v>
      </c>
      <c r="K57" s="79" t="n">
        <f aca="false">IF($B$34&lt;&gt;"Hợp lệ","Chưa tính",IF(H57&lt;F01_UC2!$B$9,3,0))</f>
        <v>0</v>
      </c>
      <c r="L57" s="20" t="n">
        <f aca="false">IF($B$34="Hợp lệ",IF(AND(I57=0,J57&gt;$B$27),1,0),"Chưa tính")</f>
        <v>0</v>
      </c>
      <c r="M57" s="20" t="n">
        <f aca="false">IF($B$34="Hợp lệ",IF(J57&gt;I57+$B$27,1,0),"Chưa tính")</f>
        <v>0</v>
      </c>
      <c r="N57" s="20" t="n">
        <f aca="false">IF($B$34&lt;&gt;"Hợp lệ","Chưa tính",IF(H57&gt;F01_UC2!$B$11,N56+1,0))</f>
        <v>0</v>
      </c>
      <c r="O57" s="20" t="n">
        <f aca="false">IF($B$34="Hợp lệ",I57-J57,"Chưa tính")</f>
        <v>2340391134.22435</v>
      </c>
      <c r="P57" s="20"/>
      <c r="Q57" s="20"/>
      <c r="R57" s="20"/>
      <c r="S57" s="20"/>
      <c r="T57" s="20"/>
      <c r="U57" s="20"/>
    </row>
    <row r="58" customFormat="false" ht="22.5" hidden="false" customHeight="true" outlineLevel="0" collapsed="false">
      <c r="A58" s="77" t="n">
        <f aca="false">F01_UC2!A77</f>
        <v>46211</v>
      </c>
      <c r="B58" s="78" t="n">
        <f aca="false">F01_UC2!G77</f>
        <v>5314587071</v>
      </c>
      <c r="C58" s="78" t="n">
        <f aca="false">SUMIFS($L$151:$L$272,$K$151:$K$272,A58)-SUMIFS($J$151:$J$272,$F$151:$F$272,A58)</f>
        <v>0</v>
      </c>
      <c r="D58" s="78" t="n">
        <f aca="false">SUMIFS($N$151:$N$272,$F$151:$F$272,A58)-SUMIFS($P$151:$P$272,$O$151:$O$272,A58)</f>
        <v>0</v>
      </c>
      <c r="E58" s="78" t="n">
        <f aca="false">IF(A58=$B$33,$B$48,0)</f>
        <v>0</v>
      </c>
      <c r="F58" s="78" t="n">
        <f aca="false">SUM(C58:E58)</f>
        <v>0</v>
      </c>
      <c r="G58" s="78" t="n">
        <f aca="false">SUM($F$51:F58)</f>
        <v>1792542634.465</v>
      </c>
      <c r="H58" s="78" t="n">
        <f aca="false">IF($B$34="Hợp lệ",B58+G58,"Chưa tính")</f>
        <v>7107129705.465</v>
      </c>
      <c r="I58" s="78" t="n">
        <f aca="false">F01_UC2!H77</f>
        <v>1541378819.22435</v>
      </c>
      <c r="J58" s="78" t="n">
        <f aca="false">IF($B$34="Hợp lệ",IF(H58&lt;F01_UC2!$B$9,F01_UC2!$B$10-H58,0),"Chưa tính")</f>
        <v>0</v>
      </c>
      <c r="K58" s="79" t="n">
        <f aca="false">IF($B$34&lt;&gt;"Hợp lệ","Chưa tính",IF(H58&lt;F01_UC2!$B$9,3,0))</f>
        <v>0</v>
      </c>
      <c r="L58" s="20" t="n">
        <f aca="false">IF($B$34="Hợp lệ",IF(AND(I58=0,J58&gt;$B$27),1,0),"Chưa tính")</f>
        <v>0</v>
      </c>
      <c r="M58" s="20" t="n">
        <f aca="false">IF($B$34="Hợp lệ",IF(J58&gt;I58+$B$27,1,0),"Chưa tính")</f>
        <v>0</v>
      </c>
      <c r="N58" s="20" t="n">
        <f aca="false">IF($B$34&lt;&gt;"Hợp lệ","Chưa tính",IF(H58&gt;F01_UC2!$B$11,N57+1,0))</f>
        <v>0</v>
      </c>
      <c r="O58" s="20" t="n">
        <f aca="false">IF($B$34="Hợp lệ",I58-J58,"Chưa tính")</f>
        <v>1541378819.22435</v>
      </c>
      <c r="P58" s="20"/>
      <c r="Q58" s="20"/>
      <c r="R58" s="20"/>
      <c r="S58" s="20"/>
      <c r="T58" s="20"/>
      <c r="U58" s="20"/>
    </row>
    <row r="59" customFormat="false" ht="22.5" hidden="false" customHeight="true" outlineLevel="0" collapsed="false">
      <c r="A59" s="77" t="n">
        <f aca="false">F01_UC2!A78</f>
        <v>46212</v>
      </c>
      <c r="B59" s="78" t="n">
        <f aca="false">F01_UC2!G78</f>
        <v>5889420981</v>
      </c>
      <c r="C59" s="78" t="n">
        <f aca="false">SUMIFS($L$151:$L$272,$K$151:$K$272,A59)-SUMIFS($J$151:$J$272,$F$151:$F$272,A59)</f>
        <v>-287416955</v>
      </c>
      <c r="D59" s="78" t="n">
        <f aca="false">SUMIFS($N$151:$N$272,$F$151:$F$272,A59)-SUMIFS($P$151:$P$272,$O$151:$O$272,A59)</f>
        <v>0</v>
      </c>
      <c r="E59" s="78" t="n">
        <f aca="false">IF(A59=$B$33,$B$48,0)</f>
        <v>0</v>
      </c>
      <c r="F59" s="78" t="n">
        <f aca="false">SUM(C59:E59)</f>
        <v>-287416955</v>
      </c>
      <c r="G59" s="78" t="n">
        <f aca="false">SUM($F$51:F59)</f>
        <v>1505125679.465</v>
      </c>
      <c r="H59" s="78" t="n">
        <f aca="false">IF($B$34="Hợp lệ",B59+G59,"Chưa tính")</f>
        <v>7394546660.465</v>
      </c>
      <c r="I59" s="78" t="n">
        <f aca="false">F01_UC2!H78</f>
        <v>0</v>
      </c>
      <c r="J59" s="78" t="n">
        <f aca="false">IF($B$34="Hợp lệ",IF(H59&lt;F01_UC2!$B$9,F01_UC2!$B$10-H59,0),"Chưa tính")</f>
        <v>0</v>
      </c>
      <c r="K59" s="79" t="n">
        <f aca="false">IF($B$34&lt;&gt;"Hợp lệ","Chưa tính",IF(H59&lt;F01_UC2!$B$9,3,0))</f>
        <v>0</v>
      </c>
      <c r="L59" s="20" t="n">
        <f aca="false">IF($B$34="Hợp lệ",IF(AND(I59=0,J59&gt;$B$27),1,0),"Chưa tính")</f>
        <v>0</v>
      </c>
      <c r="M59" s="20" t="n">
        <f aca="false">IF($B$34="Hợp lệ",IF(J59&gt;I59+$B$27,1,0),"Chưa tính")</f>
        <v>0</v>
      </c>
      <c r="N59" s="20" t="n">
        <f aca="false">IF($B$34&lt;&gt;"Hợp lệ","Chưa tính",IF(H59&gt;F01_UC2!$B$11,N58+1,0))</f>
        <v>0</v>
      </c>
      <c r="O59" s="20" t="n">
        <f aca="false">IF($B$34="Hợp lệ",I59-J59,"Chưa tính")</f>
        <v>0</v>
      </c>
      <c r="P59" s="20"/>
      <c r="Q59" s="20"/>
      <c r="R59" s="20"/>
      <c r="S59" s="20"/>
      <c r="T59" s="20"/>
      <c r="U59" s="20"/>
    </row>
    <row r="60" customFormat="false" ht="22.5" hidden="false" customHeight="true" outlineLevel="0" collapsed="false">
      <c r="A60" s="77" t="n">
        <f aca="false">F01_UC2!A79</f>
        <v>46213</v>
      </c>
      <c r="B60" s="78" t="n">
        <f aca="false">F01_UC2!G79</f>
        <v>9111656724</v>
      </c>
      <c r="C60" s="78" t="n">
        <f aca="false">SUMIFS($L$151:$L$272,$K$151:$K$272,A60)-SUMIFS($J$151:$J$272,$F$151:$F$272,A60)</f>
        <v>0</v>
      </c>
      <c r="D60" s="78" t="n">
        <f aca="false">SUMIFS($N$151:$N$272,$F$151:$F$272,A60)-SUMIFS($P$151:$P$272,$O$151:$O$272,A60)</f>
        <v>0</v>
      </c>
      <c r="E60" s="78" t="n">
        <f aca="false">IF(A60=$B$33,$B$48,0)</f>
        <v>0</v>
      </c>
      <c r="F60" s="78" t="n">
        <f aca="false">SUM(C60:E60)</f>
        <v>0</v>
      </c>
      <c r="G60" s="78" t="n">
        <f aca="false">SUM($F$51:F60)</f>
        <v>1505125679.465</v>
      </c>
      <c r="H60" s="78" t="n">
        <f aca="false">IF($B$34="Hợp lệ",B60+G60,"Chưa tính")</f>
        <v>10616782403.465</v>
      </c>
      <c r="I60" s="78" t="n">
        <f aca="false">F01_UC2!H79</f>
        <v>0</v>
      </c>
      <c r="J60" s="78" t="n">
        <f aca="false">IF($B$34="Hợp lệ",IF(H60&lt;F01_UC2!$B$9,F01_UC2!$B$10-H60,0),"Chưa tính")</f>
        <v>0</v>
      </c>
      <c r="K60" s="79" t="n">
        <f aca="false">IF($B$34&lt;&gt;"Hợp lệ","Chưa tính",IF(H60&lt;F01_UC2!$B$9,3,0))</f>
        <v>0</v>
      </c>
      <c r="L60" s="20" t="n">
        <f aca="false">IF($B$34="Hợp lệ",IF(AND(I60=0,J60&gt;$B$27),1,0),"Chưa tính")</f>
        <v>0</v>
      </c>
      <c r="M60" s="20" t="n">
        <f aca="false">IF($B$34="Hợp lệ",IF(J60&gt;I60+$B$27,1,0),"Chưa tính")</f>
        <v>0</v>
      </c>
      <c r="N60" s="20" t="n">
        <f aca="false">IF($B$34&lt;&gt;"Hợp lệ","Chưa tính",IF(H60&gt;F01_UC2!$B$11,N59+1,0))</f>
        <v>1</v>
      </c>
      <c r="O60" s="20" t="n">
        <f aca="false">IF($B$34="Hợp lệ",I60-J60,"Chưa tính")</f>
        <v>0</v>
      </c>
      <c r="P60" s="20"/>
      <c r="Q60" s="20"/>
      <c r="R60" s="20"/>
      <c r="S60" s="20"/>
      <c r="T60" s="20"/>
      <c r="U60" s="20"/>
    </row>
    <row r="61" customFormat="false" ht="22.5" hidden="false" customHeight="true" outlineLevel="0" collapsed="false">
      <c r="A61" s="77" t="n">
        <f aca="false">F01_UC2!A80</f>
        <v>46214</v>
      </c>
      <c r="B61" s="78" t="n">
        <f aca="false">F01_UC2!G80</f>
        <v>9690006277</v>
      </c>
      <c r="C61" s="78" t="n">
        <f aca="false">SUMIFS($L$151:$L$272,$K$151:$K$272,A61)-SUMIFS($J$151:$J$272,$F$151:$F$272,A61)</f>
        <v>-43296945.37</v>
      </c>
      <c r="D61" s="78" t="n">
        <f aca="false">SUMIFS($N$151:$N$272,$F$151:$F$272,A61)-SUMIFS($P$151:$P$272,$O$151:$O$272,A61)</f>
        <v>0</v>
      </c>
      <c r="E61" s="78" t="n">
        <f aca="false">IF(A61=$B$33,$B$48,0)</f>
        <v>0</v>
      </c>
      <c r="F61" s="78" t="n">
        <f aca="false">SUM(C61:E61)</f>
        <v>-43296945.37</v>
      </c>
      <c r="G61" s="78" t="n">
        <f aca="false">SUM($F$51:F61)</f>
        <v>1461828734.095</v>
      </c>
      <c r="H61" s="78" t="n">
        <f aca="false">IF($B$34="Hợp lệ",B61+G61,"Chưa tính")</f>
        <v>11151835011.095</v>
      </c>
      <c r="I61" s="78" t="n">
        <f aca="false">F01_UC2!H80</f>
        <v>0</v>
      </c>
      <c r="J61" s="78" t="n">
        <f aca="false">IF($B$34="Hợp lệ",IF(H61&lt;F01_UC2!$B$9,F01_UC2!$B$10-H61,0),"Chưa tính")</f>
        <v>0</v>
      </c>
      <c r="K61" s="79" t="n">
        <f aca="false">IF($B$34&lt;&gt;"Hợp lệ","Chưa tính",IF(H61&lt;F01_UC2!$B$9,3,0))</f>
        <v>0</v>
      </c>
      <c r="L61" s="20" t="n">
        <f aca="false">IF($B$34="Hợp lệ",IF(AND(I61=0,J61&gt;$B$27),1,0),"Chưa tính")</f>
        <v>0</v>
      </c>
      <c r="M61" s="20" t="n">
        <f aca="false">IF($B$34="Hợp lệ",IF(J61&gt;I61+$B$27,1,0),"Chưa tính")</f>
        <v>0</v>
      </c>
      <c r="N61" s="20" t="n">
        <f aca="false">IF($B$34&lt;&gt;"Hợp lệ","Chưa tính",IF(H61&gt;F01_UC2!$B$11,N60+1,0))</f>
        <v>2</v>
      </c>
      <c r="O61" s="20" t="n">
        <f aca="false">IF($B$34="Hợp lệ",I61-J61,"Chưa tính")</f>
        <v>0</v>
      </c>
      <c r="P61" s="20"/>
      <c r="Q61" s="20"/>
      <c r="R61" s="20"/>
      <c r="S61" s="20"/>
      <c r="T61" s="20"/>
      <c r="U61" s="20"/>
    </row>
    <row r="62" customFormat="false" ht="22.5" hidden="false" customHeight="true" outlineLevel="0" collapsed="false">
      <c r="A62" s="77" t="n">
        <f aca="false">F01_UC2!A81</f>
        <v>46215</v>
      </c>
      <c r="B62" s="78" t="n">
        <f aca="false">F01_UC2!G81</f>
        <v>10151329667</v>
      </c>
      <c r="C62" s="78" t="n">
        <f aca="false">SUMIFS($L$151:$L$272,$K$151:$K$272,A62)-SUMIFS($J$151:$J$272,$F$151:$F$272,A62)</f>
        <v>46685896.675</v>
      </c>
      <c r="D62" s="78" t="n">
        <f aca="false">SUMIFS($N$151:$N$272,$F$151:$F$272,A62)-SUMIFS($P$151:$P$272,$O$151:$O$272,A62)</f>
        <v>0</v>
      </c>
      <c r="E62" s="78" t="n">
        <f aca="false">IF(A62=$B$33,$B$48,0)</f>
        <v>0</v>
      </c>
      <c r="F62" s="78" t="n">
        <f aca="false">SUM(C62:E62)</f>
        <v>46685896.675</v>
      </c>
      <c r="G62" s="78" t="n">
        <f aca="false">SUM($F$51:F62)</f>
        <v>1508514630.77</v>
      </c>
      <c r="H62" s="78" t="n">
        <f aca="false">IF($B$34="Hợp lệ",B62+G62,"Chưa tính")</f>
        <v>11659844297.77</v>
      </c>
      <c r="I62" s="78" t="n">
        <f aca="false">F01_UC2!H81</f>
        <v>0</v>
      </c>
      <c r="J62" s="78" t="n">
        <f aca="false">IF($B$34="Hợp lệ",IF(H62&lt;F01_UC2!$B$9,F01_UC2!$B$10-H62,0),"Chưa tính")</f>
        <v>0</v>
      </c>
      <c r="K62" s="79" t="n">
        <f aca="false">IF($B$34&lt;&gt;"Hợp lệ","Chưa tính",IF(H62&lt;F01_UC2!$B$9,3,0))</f>
        <v>0</v>
      </c>
      <c r="L62" s="20" t="n">
        <f aca="false">IF($B$34="Hợp lệ",IF(AND(I62=0,J62&gt;$B$27),1,0),"Chưa tính")</f>
        <v>0</v>
      </c>
      <c r="M62" s="20" t="n">
        <f aca="false">IF($B$34="Hợp lệ",IF(J62&gt;I62+$B$27,1,0),"Chưa tính")</f>
        <v>0</v>
      </c>
      <c r="N62" s="20" t="n">
        <f aca="false">IF($B$34&lt;&gt;"Hợp lệ","Chưa tính",IF(H62&gt;F01_UC2!$B$11,N61+1,0))</f>
        <v>3</v>
      </c>
      <c r="O62" s="20" t="n">
        <f aca="false">IF($B$34="Hợp lệ",I62-J62,"Chưa tính")</f>
        <v>0</v>
      </c>
      <c r="P62" s="20"/>
      <c r="Q62" s="20"/>
      <c r="R62" s="20"/>
      <c r="S62" s="20"/>
      <c r="T62" s="20"/>
      <c r="U62" s="20"/>
    </row>
    <row r="63" customFormat="false" ht="22.5" hidden="false" customHeight="true" outlineLevel="0" collapsed="false">
      <c r="A63" s="77" t="n">
        <f aca="false">F01_UC2!A82</f>
        <v>46216</v>
      </c>
      <c r="B63" s="78" t="n">
        <f aca="false">F01_UC2!G82</f>
        <v>10151329667</v>
      </c>
      <c r="C63" s="78" t="n">
        <f aca="false">SUMIFS($L$151:$L$272,$K$151:$K$272,A63)-SUMIFS($J$151:$J$272,$F$151:$F$272,A63)</f>
        <v>459231635.115</v>
      </c>
      <c r="D63" s="78" t="n">
        <f aca="false">SUMIFS($N$151:$N$272,$F$151:$F$272,A63)-SUMIFS($P$151:$P$272,$O$151:$O$272,A63)</f>
        <v>0</v>
      </c>
      <c r="E63" s="78" t="n">
        <f aca="false">IF(A63=$B$33,$B$48,0)</f>
        <v>0</v>
      </c>
      <c r="F63" s="78" t="n">
        <f aca="false">SUM(C63:E63)</f>
        <v>459231635.115</v>
      </c>
      <c r="G63" s="78" t="n">
        <f aca="false">SUM($F$51:F63)</f>
        <v>1967746265.885</v>
      </c>
      <c r="H63" s="78" t="n">
        <f aca="false">IF($B$34="Hợp lệ",B63+G63,"Chưa tính")</f>
        <v>12119075932.885</v>
      </c>
      <c r="I63" s="78" t="n">
        <f aca="false">F01_UC2!H82</f>
        <v>0</v>
      </c>
      <c r="J63" s="78" t="n">
        <f aca="false">IF($B$34="Hợp lệ",IF(H63&lt;F01_UC2!$B$9,F01_UC2!$B$10-H63,0),"Chưa tính")</f>
        <v>0</v>
      </c>
      <c r="K63" s="79" t="n">
        <f aca="false">IF($B$34&lt;&gt;"Hợp lệ","Chưa tính",IF(H63&lt;F01_UC2!$B$9,3,0))</f>
        <v>0</v>
      </c>
      <c r="L63" s="20" t="n">
        <f aca="false">IF($B$34="Hợp lệ",IF(AND(I63=0,J63&gt;$B$27),1,0),"Chưa tính")</f>
        <v>0</v>
      </c>
      <c r="M63" s="20" t="n">
        <f aca="false">IF($B$34="Hợp lệ",IF(J63&gt;I63+$B$27,1,0),"Chưa tính")</f>
        <v>0</v>
      </c>
      <c r="N63" s="20" t="n">
        <f aca="false">IF($B$34&lt;&gt;"Hợp lệ","Chưa tính",IF(H63&gt;F01_UC2!$B$11,N62+1,0))</f>
        <v>4</v>
      </c>
      <c r="O63" s="20" t="n">
        <f aca="false">IF($B$34="Hợp lệ",I63-J63,"Chưa tính")</f>
        <v>0</v>
      </c>
      <c r="P63" s="20"/>
      <c r="Q63" s="20"/>
      <c r="R63" s="20"/>
      <c r="S63" s="20"/>
      <c r="T63" s="20"/>
      <c r="U63" s="20"/>
    </row>
    <row r="64" customFormat="false" ht="22.5" hidden="false" customHeight="true" outlineLevel="0" collapsed="false">
      <c r="A64" s="77" t="n">
        <f aca="false">F01_UC2!A83</f>
        <v>46217</v>
      </c>
      <c r="B64" s="78" t="n">
        <f aca="false">F01_UC2!G83</f>
        <v>11056565799</v>
      </c>
      <c r="C64" s="78" t="n">
        <f aca="false">SUMIFS($L$151:$L$272,$K$151:$K$272,A64)-SUMIFS($J$151:$J$272,$F$151:$F$272,A64)</f>
        <v>-625922381</v>
      </c>
      <c r="D64" s="78" t="n">
        <f aca="false">SUMIFS($N$151:$N$272,$F$151:$F$272,A64)-SUMIFS($P$151:$P$272,$O$151:$O$272,A64)</f>
        <v>0</v>
      </c>
      <c r="E64" s="78" t="n">
        <f aca="false">IF(A64=$B$33,$B$48,0)</f>
        <v>0</v>
      </c>
      <c r="F64" s="78" t="n">
        <f aca="false">SUM(C64:E64)</f>
        <v>-625922381</v>
      </c>
      <c r="G64" s="78" t="n">
        <f aca="false">SUM($F$51:F64)</f>
        <v>1341823884.885</v>
      </c>
      <c r="H64" s="78" t="n">
        <f aca="false">IF($B$34="Hợp lệ",B64+G64,"Chưa tính")</f>
        <v>12398389683.885</v>
      </c>
      <c r="I64" s="78" t="n">
        <f aca="false">F01_UC2!H83</f>
        <v>0</v>
      </c>
      <c r="J64" s="78" t="n">
        <f aca="false">IF($B$34="Hợp lệ",IF(H64&lt;F01_UC2!$B$9,F01_UC2!$B$10-H64,0),"Chưa tính")</f>
        <v>0</v>
      </c>
      <c r="K64" s="79" t="n">
        <f aca="false">IF($B$34&lt;&gt;"Hợp lệ","Chưa tính",IF(H64&lt;F01_UC2!$B$9,3,0))</f>
        <v>0</v>
      </c>
      <c r="L64" s="20" t="n">
        <f aca="false">IF($B$34="Hợp lệ",IF(AND(I64=0,J64&gt;$B$27),1,0),"Chưa tính")</f>
        <v>0</v>
      </c>
      <c r="M64" s="20" t="n">
        <f aca="false">IF($B$34="Hợp lệ",IF(J64&gt;I64+$B$27,1,0),"Chưa tính")</f>
        <v>0</v>
      </c>
      <c r="N64" s="20" t="n">
        <f aca="false">IF($B$34&lt;&gt;"Hợp lệ","Chưa tính",IF(H64&gt;F01_UC2!$B$11,N63+1,0))</f>
        <v>5</v>
      </c>
      <c r="O64" s="20" t="n">
        <f aca="false">IF($B$34="Hợp lệ",I64-J64,"Chưa tính")</f>
        <v>0</v>
      </c>
      <c r="P64" s="20"/>
      <c r="Q64" s="20"/>
      <c r="R64" s="20"/>
      <c r="S64" s="20"/>
      <c r="T64" s="20"/>
      <c r="U64" s="20"/>
    </row>
    <row r="65" customFormat="false" ht="22.5" hidden="false" customHeight="true" outlineLevel="0" collapsed="false">
      <c r="A65" s="77" t="n">
        <f aca="false">F01_UC2!A84</f>
        <v>46218</v>
      </c>
      <c r="B65" s="78" t="n">
        <f aca="false">F01_UC2!G84</f>
        <v>11150672753</v>
      </c>
      <c r="C65" s="78" t="n">
        <f aca="false">SUMIFS($L$151:$L$272,$K$151:$K$272,A65)-SUMIFS($J$151:$J$272,$F$151:$F$272,A65)</f>
        <v>0</v>
      </c>
      <c r="D65" s="78" t="n">
        <f aca="false">SUMIFS($N$151:$N$272,$F$151:$F$272,A65)-SUMIFS($P$151:$P$272,$O$151:$O$272,A65)</f>
        <v>366814980</v>
      </c>
      <c r="E65" s="78" t="n">
        <f aca="false">IF(A65=$B$33,$B$48,0)</f>
        <v>239088973.2</v>
      </c>
      <c r="F65" s="78" t="n">
        <f aca="false">SUM(C65:E65)</f>
        <v>605903953.2</v>
      </c>
      <c r="G65" s="78" t="n">
        <f aca="false">SUM($F$51:F65)</f>
        <v>1947727838.085</v>
      </c>
      <c r="H65" s="78" t="n">
        <f aca="false">IF($B$34="Hợp lệ",B65+G65,"Chưa tính")</f>
        <v>13098400591.085</v>
      </c>
      <c r="I65" s="78" t="n">
        <f aca="false">F01_UC2!H84</f>
        <v>0</v>
      </c>
      <c r="J65" s="78" t="n">
        <f aca="false">IF($B$34="Hợp lệ",IF(H65&lt;F01_UC2!$B$9,F01_UC2!$B$10-H65,0),"Chưa tính")</f>
        <v>0</v>
      </c>
      <c r="K65" s="79" t="n">
        <f aca="false">IF($B$34&lt;&gt;"Hợp lệ","Chưa tính",IF(H65&lt;F01_UC2!$B$9,3,0))</f>
        <v>0</v>
      </c>
      <c r="L65" s="20" t="n">
        <f aca="false">IF($B$34="Hợp lệ",IF(AND(I65=0,J65&gt;$B$27),1,0),"Chưa tính")</f>
        <v>0</v>
      </c>
      <c r="M65" s="20" t="n">
        <f aca="false">IF($B$34="Hợp lệ",IF(J65&gt;I65+$B$27,1,0),"Chưa tính")</f>
        <v>0</v>
      </c>
      <c r="N65" s="20" t="n">
        <f aca="false">IF($B$34&lt;&gt;"Hợp lệ","Chưa tính",IF(H65&gt;F01_UC2!$B$11,N64+1,0))</f>
        <v>6</v>
      </c>
      <c r="O65" s="20" t="n">
        <f aca="false">IF($B$34="Hợp lệ",I65-J65,"Chưa tính")</f>
        <v>0</v>
      </c>
      <c r="P65" s="20"/>
      <c r="Q65" s="20"/>
      <c r="R65" s="20"/>
      <c r="S65" s="20"/>
      <c r="T65" s="20"/>
      <c r="U65" s="20"/>
    </row>
    <row r="66" customFormat="false" ht="22.5" hidden="false" customHeight="true" outlineLevel="0" collapsed="false">
      <c r="A66" s="77" t="n">
        <f aca="false">F01_UC2!A85</f>
        <v>46219</v>
      </c>
      <c r="B66" s="78" t="n">
        <f aca="false">F01_UC2!G85</f>
        <v>11150672753</v>
      </c>
      <c r="C66" s="78" t="n">
        <f aca="false">SUMIFS($L$151:$L$272,$K$151:$K$272,A66)-SUMIFS($J$151:$J$272,$F$151:$F$272,A66)</f>
        <v>0</v>
      </c>
      <c r="D66" s="78" t="n">
        <f aca="false">SUMIFS($N$151:$N$272,$F$151:$F$272,A66)-SUMIFS($P$151:$P$272,$O$151:$O$272,A66)</f>
        <v>0</v>
      </c>
      <c r="E66" s="78" t="n">
        <f aca="false">IF(A66=$B$33,$B$48,0)</f>
        <v>0</v>
      </c>
      <c r="F66" s="78" t="n">
        <f aca="false">SUM(C66:E66)</f>
        <v>0</v>
      </c>
      <c r="G66" s="78" t="n">
        <f aca="false">SUM($F$51:F66)</f>
        <v>1947727838.085</v>
      </c>
      <c r="H66" s="78" t="n">
        <f aca="false">IF($B$34="Hợp lệ",B66+G66,"Chưa tính")</f>
        <v>13098400591.085</v>
      </c>
      <c r="I66" s="78" t="n">
        <f aca="false">F01_UC2!H85</f>
        <v>0</v>
      </c>
      <c r="J66" s="78" t="n">
        <f aca="false">IF($B$34="Hợp lệ",IF(H66&lt;F01_UC2!$B$9,F01_UC2!$B$10-H66,0),"Chưa tính")</f>
        <v>0</v>
      </c>
      <c r="K66" s="79" t="n">
        <f aca="false">IF($B$34&lt;&gt;"Hợp lệ","Chưa tính",IF(H66&lt;F01_UC2!$B$9,3,0))</f>
        <v>0</v>
      </c>
      <c r="L66" s="20" t="n">
        <f aca="false">IF($B$34="Hợp lệ",IF(AND(I66=0,J66&gt;$B$27),1,0),"Chưa tính")</f>
        <v>0</v>
      </c>
      <c r="M66" s="20" t="n">
        <f aca="false">IF($B$34="Hợp lệ",IF(J66&gt;I66+$B$27,1,0),"Chưa tính")</f>
        <v>0</v>
      </c>
      <c r="N66" s="20" t="n">
        <f aca="false">IF($B$34&lt;&gt;"Hợp lệ","Chưa tính",IF(H66&gt;F01_UC2!$B$11,N65+1,0))</f>
        <v>7</v>
      </c>
      <c r="O66" s="20" t="n">
        <f aca="false">IF($B$34="Hợp lệ",I66-J66,"Chưa tính")</f>
        <v>0</v>
      </c>
      <c r="P66" s="20"/>
      <c r="Q66" s="20"/>
      <c r="R66" s="20"/>
      <c r="S66" s="20"/>
      <c r="T66" s="20"/>
      <c r="U66" s="20"/>
    </row>
    <row r="67" customFormat="false" ht="22.5" hidden="false" customHeight="true" outlineLevel="0" collapsed="false">
      <c r="A67" s="77" t="n">
        <f aca="false">F01_UC2!A86</f>
        <v>46220</v>
      </c>
      <c r="B67" s="78" t="n">
        <f aca="false">F01_UC2!G86</f>
        <v>11150672753</v>
      </c>
      <c r="C67" s="78" t="n">
        <f aca="false">SUMIFS($L$151:$L$272,$K$151:$K$272,A67)-SUMIFS($J$151:$J$272,$F$151:$F$272,A67)</f>
        <v>0</v>
      </c>
      <c r="D67" s="78" t="n">
        <f aca="false">SUMIFS($N$151:$N$272,$F$151:$F$272,A67)-SUMIFS($P$151:$P$272,$O$151:$O$272,A67)</f>
        <v>-186633420.48</v>
      </c>
      <c r="E67" s="78" t="n">
        <f aca="false">IF(A67=$B$33,$B$48,0)</f>
        <v>0</v>
      </c>
      <c r="F67" s="78" t="n">
        <f aca="false">SUM(C67:E67)</f>
        <v>-186633420.48</v>
      </c>
      <c r="G67" s="78" t="n">
        <f aca="false">SUM($F$51:F67)</f>
        <v>1761094417.605</v>
      </c>
      <c r="H67" s="78" t="n">
        <f aca="false">IF($B$34="Hợp lệ",B67+G67,"Chưa tính")</f>
        <v>12911767170.605</v>
      </c>
      <c r="I67" s="78" t="n">
        <f aca="false">F01_UC2!H86</f>
        <v>0</v>
      </c>
      <c r="J67" s="78" t="n">
        <f aca="false">IF($B$34="Hợp lệ",IF(H67&lt;F01_UC2!$B$9,F01_UC2!$B$10-H67,0),"Chưa tính")</f>
        <v>0</v>
      </c>
      <c r="K67" s="79" t="n">
        <f aca="false">IF($B$34&lt;&gt;"Hợp lệ","Chưa tính",IF(H67&lt;F01_UC2!$B$9,3,0))</f>
        <v>0</v>
      </c>
      <c r="L67" s="20" t="n">
        <f aca="false">IF($B$34="Hợp lệ",IF(AND(I67=0,J67&gt;$B$27),1,0),"Chưa tính")</f>
        <v>0</v>
      </c>
      <c r="M67" s="20" t="n">
        <f aca="false">IF($B$34="Hợp lệ",IF(J67&gt;I67+$B$27,1,0),"Chưa tính")</f>
        <v>0</v>
      </c>
      <c r="N67" s="20" t="n">
        <f aca="false">IF($B$34&lt;&gt;"Hợp lệ","Chưa tính",IF(H67&gt;F01_UC2!$B$11,N66+1,0))</f>
        <v>8</v>
      </c>
      <c r="O67" s="20" t="n">
        <f aca="false">IF($B$34="Hợp lệ",I67-J67,"Chưa tính")</f>
        <v>0</v>
      </c>
      <c r="P67" s="20"/>
      <c r="Q67" s="20"/>
      <c r="R67" s="20"/>
      <c r="S67" s="20"/>
      <c r="T67" s="20"/>
      <c r="U67" s="20"/>
    </row>
    <row r="68" customFormat="false" ht="22.5" hidden="false" customHeight="true" outlineLevel="0" collapsed="false">
      <c r="A68" s="77" t="n">
        <f aca="false">F01_UC2!A87</f>
        <v>46221</v>
      </c>
      <c r="B68" s="78" t="n">
        <f aca="false">F01_UC2!G87</f>
        <v>11798033316</v>
      </c>
      <c r="C68" s="78" t="n">
        <f aca="false">SUMIFS($L$151:$L$272,$K$151:$K$272,A68)-SUMIFS($J$151:$J$272,$F$151:$F$272,A68)</f>
        <v>-444927837</v>
      </c>
      <c r="D68" s="78" t="n">
        <f aca="false">SUMIFS($N$151:$N$272,$F$151:$F$272,A68)-SUMIFS($P$151:$P$272,$O$151:$O$272,A68)</f>
        <v>286197675</v>
      </c>
      <c r="E68" s="78" t="n">
        <f aca="false">IF(A68=$B$33,$B$48,0)</f>
        <v>0</v>
      </c>
      <c r="F68" s="78" t="n">
        <f aca="false">SUM(C68:E68)</f>
        <v>-158730162</v>
      </c>
      <c r="G68" s="78" t="n">
        <f aca="false">SUM($F$51:F68)</f>
        <v>1602364255.605</v>
      </c>
      <c r="H68" s="78" t="n">
        <f aca="false">IF($B$34="Hợp lệ",B68+G68,"Chưa tính")</f>
        <v>13400397571.605</v>
      </c>
      <c r="I68" s="78" t="n">
        <f aca="false">F01_UC2!H87</f>
        <v>0</v>
      </c>
      <c r="J68" s="78" t="n">
        <f aca="false">IF($B$34="Hợp lệ",IF(H68&lt;F01_UC2!$B$9,F01_UC2!$B$10-H68,0),"Chưa tính")</f>
        <v>0</v>
      </c>
      <c r="K68" s="79" t="n">
        <f aca="false">IF($B$34&lt;&gt;"Hợp lệ","Chưa tính",IF(H68&lt;F01_UC2!$B$9,3,0))</f>
        <v>0</v>
      </c>
      <c r="L68" s="20" t="n">
        <f aca="false">IF($B$34="Hợp lệ",IF(AND(I68=0,J68&gt;$B$27),1,0),"Chưa tính")</f>
        <v>0</v>
      </c>
      <c r="M68" s="20" t="n">
        <f aca="false">IF($B$34="Hợp lệ",IF(J68&gt;I68+$B$27,1,0),"Chưa tính")</f>
        <v>0</v>
      </c>
      <c r="N68" s="20" t="n">
        <f aca="false">IF($B$34&lt;&gt;"Hợp lệ","Chưa tính",IF(H68&gt;F01_UC2!$B$11,N67+1,0))</f>
        <v>9</v>
      </c>
      <c r="O68" s="20" t="n">
        <f aca="false">IF($B$34="Hợp lệ",I68-J68,"Chưa tính")</f>
        <v>0</v>
      </c>
      <c r="P68" s="20"/>
      <c r="Q68" s="20"/>
      <c r="R68" s="20"/>
      <c r="S68" s="20"/>
      <c r="T68" s="20"/>
      <c r="U68" s="20"/>
    </row>
    <row r="69" customFormat="false" ht="22.5" hidden="false" customHeight="true" outlineLevel="0" collapsed="false">
      <c r="A69" s="77" t="n">
        <f aca="false">F01_UC2!A88</f>
        <v>46222</v>
      </c>
      <c r="B69" s="78" t="n">
        <f aca="false">F01_UC2!G88</f>
        <v>12358331481</v>
      </c>
      <c r="C69" s="78" t="n">
        <f aca="false">SUMIFS($L$151:$L$272,$K$151:$K$272,A69)-SUMIFS($J$151:$J$272,$F$151:$F$272,A69)</f>
        <v>-280149082.5</v>
      </c>
      <c r="D69" s="78" t="n">
        <f aca="false">SUMIFS($N$151:$N$272,$F$151:$F$272,A69)-SUMIFS($P$151:$P$272,$O$151:$O$272,A69)</f>
        <v>0</v>
      </c>
      <c r="E69" s="78" t="n">
        <f aca="false">IF(A69=$B$33,$B$48,0)</f>
        <v>0</v>
      </c>
      <c r="F69" s="78" t="n">
        <f aca="false">SUM(C69:E69)</f>
        <v>-280149082.5</v>
      </c>
      <c r="G69" s="78" t="n">
        <f aca="false">SUM($F$51:F69)</f>
        <v>1322215173.105</v>
      </c>
      <c r="H69" s="78" t="n">
        <f aca="false">IF($B$34="Hợp lệ",B69+G69,"Chưa tính")</f>
        <v>13680546654.105</v>
      </c>
      <c r="I69" s="78" t="n">
        <f aca="false">F01_UC2!H88</f>
        <v>0</v>
      </c>
      <c r="J69" s="78" t="n">
        <f aca="false">IF($B$34="Hợp lệ",IF(H69&lt;F01_UC2!$B$9,F01_UC2!$B$10-H69,0),"Chưa tính")</f>
        <v>0</v>
      </c>
      <c r="K69" s="79" t="n">
        <f aca="false">IF($B$34&lt;&gt;"Hợp lệ","Chưa tính",IF(H69&lt;F01_UC2!$B$9,3,0))</f>
        <v>0</v>
      </c>
      <c r="L69" s="20" t="n">
        <f aca="false">IF($B$34="Hợp lệ",IF(AND(I69=0,J69&gt;$B$27),1,0),"Chưa tính")</f>
        <v>0</v>
      </c>
      <c r="M69" s="20" t="n">
        <f aca="false">IF($B$34="Hợp lệ",IF(J69&gt;I69+$B$27,1,0),"Chưa tính")</f>
        <v>0</v>
      </c>
      <c r="N69" s="20" t="n">
        <f aca="false">IF($B$34&lt;&gt;"Hợp lệ","Chưa tính",IF(H69&gt;F01_UC2!$B$11,N68+1,0))</f>
        <v>10</v>
      </c>
      <c r="O69" s="20" t="n">
        <f aca="false">IF($B$34="Hợp lệ",I69-J69,"Chưa tính")</f>
        <v>0</v>
      </c>
      <c r="P69" s="20"/>
      <c r="Q69" s="20"/>
      <c r="R69" s="20"/>
      <c r="S69" s="20"/>
      <c r="T69" s="20"/>
      <c r="U69" s="20"/>
    </row>
    <row r="70" customFormat="false" ht="22.5" hidden="false" customHeight="true" outlineLevel="0" collapsed="false">
      <c r="A70" s="77" t="n">
        <f aca="false">F01_UC2!A89</f>
        <v>46223</v>
      </c>
      <c r="B70" s="78" t="n">
        <f aca="false">F01_UC2!G89</f>
        <v>12876430372</v>
      </c>
      <c r="C70" s="78" t="n">
        <f aca="false">SUMIFS($L$151:$L$272,$K$151:$K$272,A70)-SUMIFS($J$151:$J$272,$F$151:$F$272,A70)</f>
        <v>-51277726.64</v>
      </c>
      <c r="D70" s="78" t="n">
        <f aca="false">SUMIFS($N$151:$N$272,$F$151:$F$272,A70)-SUMIFS($P$151:$P$272,$O$151:$O$272,A70)</f>
        <v>0</v>
      </c>
      <c r="E70" s="78" t="n">
        <f aca="false">IF(A70=$B$33,$B$48,0)</f>
        <v>0</v>
      </c>
      <c r="F70" s="78" t="n">
        <f aca="false">SUM(C70:E70)</f>
        <v>-51277726.64</v>
      </c>
      <c r="G70" s="78" t="n">
        <f aca="false">SUM($F$51:F70)</f>
        <v>1270937446.465</v>
      </c>
      <c r="H70" s="78" t="n">
        <f aca="false">IF($B$34="Hợp lệ",B70+G70,"Chưa tính")</f>
        <v>14147367818.465</v>
      </c>
      <c r="I70" s="78" t="n">
        <f aca="false">F01_UC2!H89</f>
        <v>0</v>
      </c>
      <c r="J70" s="78" t="n">
        <f aca="false">IF($B$34="Hợp lệ",IF(H70&lt;F01_UC2!$B$9,F01_UC2!$B$10-H70,0),"Chưa tính")</f>
        <v>0</v>
      </c>
      <c r="K70" s="79" t="n">
        <f aca="false">IF($B$34&lt;&gt;"Hợp lệ","Chưa tính",IF(H70&lt;F01_UC2!$B$9,3,0))</f>
        <v>0</v>
      </c>
      <c r="L70" s="20" t="n">
        <f aca="false">IF($B$34="Hợp lệ",IF(AND(I70=0,J70&gt;$B$27),1,0),"Chưa tính")</f>
        <v>0</v>
      </c>
      <c r="M70" s="20" t="n">
        <f aca="false">IF($B$34="Hợp lệ",IF(J70&gt;I70+$B$27,1,0),"Chưa tính")</f>
        <v>0</v>
      </c>
      <c r="N70" s="20" t="n">
        <f aca="false">IF($B$34&lt;&gt;"Hợp lệ","Chưa tính",IF(H70&gt;F01_UC2!$B$11,N69+1,0))</f>
        <v>11</v>
      </c>
      <c r="O70" s="20" t="n">
        <f aca="false">IF($B$34="Hợp lệ",I70-J70,"Chưa tính")</f>
        <v>0</v>
      </c>
      <c r="P70" s="20"/>
      <c r="Q70" s="20"/>
      <c r="R70" s="20"/>
      <c r="S70" s="20"/>
      <c r="T70" s="20"/>
      <c r="U70" s="20"/>
    </row>
    <row r="71" customFormat="false" ht="22.5" hidden="false" customHeight="true" outlineLevel="0" collapsed="false">
      <c r="A71" s="77" t="n">
        <f aca="false">F01_UC2!A90</f>
        <v>46224</v>
      </c>
      <c r="B71" s="78" t="n">
        <f aca="false">F01_UC2!G90</f>
        <v>12407917632</v>
      </c>
      <c r="C71" s="78" t="n">
        <f aca="false">SUMIFS($L$151:$L$272,$K$151:$K$272,A71)-SUMIFS($J$151:$J$272,$F$151:$F$272,A71)</f>
        <v>0</v>
      </c>
      <c r="D71" s="78" t="n">
        <f aca="false">SUMIFS($N$151:$N$272,$F$151:$F$272,A71)-SUMIFS($P$151:$P$272,$O$151:$O$272,A71)</f>
        <v>234256370</v>
      </c>
      <c r="E71" s="78" t="n">
        <f aca="false">IF(A71=$B$33,$B$48,0)</f>
        <v>0</v>
      </c>
      <c r="F71" s="78" t="n">
        <f aca="false">SUM(C71:E71)</f>
        <v>234256370</v>
      </c>
      <c r="G71" s="78" t="n">
        <f aca="false">SUM($F$51:F71)</f>
        <v>1505193816.465</v>
      </c>
      <c r="H71" s="78" t="n">
        <f aca="false">IF($B$34="Hợp lệ",B71+G71,"Chưa tính")</f>
        <v>13913111448.465</v>
      </c>
      <c r="I71" s="78" t="n">
        <f aca="false">F01_UC2!H90</f>
        <v>0</v>
      </c>
      <c r="J71" s="78" t="n">
        <f aca="false">IF($B$34="Hợp lệ",IF(H71&lt;F01_UC2!$B$9,F01_UC2!$B$10-H71,0),"Chưa tính")</f>
        <v>0</v>
      </c>
      <c r="K71" s="79" t="n">
        <f aca="false">IF($B$34&lt;&gt;"Hợp lệ","Chưa tính",IF(H71&lt;F01_UC2!$B$9,3,0))</f>
        <v>0</v>
      </c>
      <c r="L71" s="20" t="n">
        <f aca="false">IF($B$34="Hợp lệ",IF(AND(I71=0,J71&gt;$B$27),1,0),"Chưa tính")</f>
        <v>0</v>
      </c>
      <c r="M71" s="20" t="n">
        <f aca="false">IF($B$34="Hợp lệ",IF(J71&gt;I71+$B$27,1,0),"Chưa tính")</f>
        <v>0</v>
      </c>
      <c r="N71" s="20" t="n">
        <f aca="false">IF($B$34&lt;&gt;"Hợp lệ","Chưa tính",IF(H71&gt;F01_UC2!$B$11,N70+1,0))</f>
        <v>12</v>
      </c>
      <c r="O71" s="20" t="n">
        <f aca="false">IF($B$34="Hợp lệ",I71-J71,"Chưa tính")</f>
        <v>0</v>
      </c>
      <c r="P71" s="20"/>
      <c r="Q71" s="20"/>
      <c r="R71" s="20"/>
      <c r="S71" s="20"/>
      <c r="T71" s="20"/>
      <c r="U71" s="20"/>
    </row>
    <row r="72" customFormat="false" ht="22.5" hidden="false" customHeight="true" outlineLevel="0" collapsed="false">
      <c r="A72" s="77" t="n">
        <f aca="false">F01_UC2!A91</f>
        <v>46225</v>
      </c>
      <c r="B72" s="78" t="n">
        <f aca="false">F01_UC2!G91</f>
        <v>11975759766</v>
      </c>
      <c r="C72" s="78" t="n">
        <f aca="false">SUMIFS($L$151:$L$272,$K$151:$K$272,A72)-SUMIFS($J$151:$J$272,$F$151:$F$272,A72)</f>
        <v>0</v>
      </c>
      <c r="D72" s="78" t="n">
        <f aca="false">SUMIFS($N$151:$N$272,$F$151:$F$272,A72)-SUMIFS($P$151:$P$272,$O$151:$O$272,A72)</f>
        <v>0</v>
      </c>
      <c r="E72" s="78" t="n">
        <f aca="false">IF(A72=$B$33,$B$48,0)</f>
        <v>0</v>
      </c>
      <c r="F72" s="78" t="n">
        <f aca="false">SUM(C72:E72)</f>
        <v>0</v>
      </c>
      <c r="G72" s="78" t="n">
        <f aca="false">SUM($F$51:F72)</f>
        <v>1505193816.465</v>
      </c>
      <c r="H72" s="78" t="n">
        <f aca="false">IF($B$34="Hợp lệ",B72+G72,"Chưa tính")</f>
        <v>13480953582.465</v>
      </c>
      <c r="I72" s="78" t="n">
        <f aca="false">F01_UC2!H91</f>
        <v>0</v>
      </c>
      <c r="J72" s="78" t="n">
        <f aca="false">IF($B$34="Hợp lệ",IF(H72&lt;F01_UC2!$B$9,F01_UC2!$B$10-H72,0),"Chưa tính")</f>
        <v>0</v>
      </c>
      <c r="K72" s="79" t="n">
        <f aca="false">IF($B$34&lt;&gt;"Hợp lệ","Chưa tính",IF(H72&lt;F01_UC2!$B$9,3,0))</f>
        <v>0</v>
      </c>
      <c r="L72" s="20" t="n">
        <f aca="false">IF($B$34="Hợp lệ",IF(AND(I72=0,J72&gt;$B$27),1,0),"Chưa tính")</f>
        <v>0</v>
      </c>
      <c r="M72" s="20" t="n">
        <f aca="false">IF($B$34="Hợp lệ",IF(J72&gt;I72+$B$27,1,0),"Chưa tính")</f>
        <v>0</v>
      </c>
      <c r="N72" s="20" t="n">
        <f aca="false">IF($B$34&lt;&gt;"Hợp lệ","Chưa tính",IF(H72&gt;F01_UC2!$B$11,N71+1,0))</f>
        <v>13</v>
      </c>
      <c r="O72" s="20" t="n">
        <f aca="false">IF($B$34="Hợp lệ",I72-J72,"Chưa tính")</f>
        <v>0</v>
      </c>
      <c r="P72" s="20"/>
      <c r="Q72" s="20"/>
      <c r="R72" s="20"/>
      <c r="S72" s="20"/>
      <c r="T72" s="20"/>
      <c r="U72" s="20"/>
    </row>
    <row r="73" customFormat="false" ht="22.5" hidden="false" customHeight="true" outlineLevel="0" collapsed="false">
      <c r="A73" s="77" t="n">
        <f aca="false">F01_UC2!A92</f>
        <v>46226</v>
      </c>
      <c r="B73" s="78" t="n">
        <f aca="false">F01_UC2!G92</f>
        <v>11937730444</v>
      </c>
      <c r="C73" s="78" t="n">
        <f aca="false">SUMIFS($L$151:$L$272,$K$151:$K$272,A73)-SUMIFS($J$151:$J$272,$F$151:$F$272,A73)</f>
        <v>0</v>
      </c>
      <c r="D73" s="78" t="n">
        <f aca="false">SUMIFS($N$151:$N$272,$F$151:$F$272,A73)-SUMIFS($P$151:$P$272,$O$151:$O$272,A73)</f>
        <v>0</v>
      </c>
      <c r="E73" s="78" t="n">
        <f aca="false">IF(A73=$B$33,$B$48,0)</f>
        <v>0</v>
      </c>
      <c r="F73" s="78" t="n">
        <f aca="false">SUM(C73:E73)</f>
        <v>0</v>
      </c>
      <c r="G73" s="78" t="n">
        <f aca="false">SUM($F$51:F73)</f>
        <v>1505193816.465</v>
      </c>
      <c r="H73" s="78" t="n">
        <f aca="false">IF($B$34="Hợp lệ",B73+G73,"Chưa tính")</f>
        <v>13442924260.465</v>
      </c>
      <c r="I73" s="78" t="n">
        <f aca="false">F01_UC2!H92</f>
        <v>0</v>
      </c>
      <c r="J73" s="78" t="n">
        <f aca="false">IF($B$34="Hợp lệ",IF(H73&lt;F01_UC2!$B$9,F01_UC2!$B$10-H73,0),"Chưa tính")</f>
        <v>0</v>
      </c>
      <c r="K73" s="79" t="n">
        <f aca="false">IF($B$34&lt;&gt;"Hợp lệ","Chưa tính",IF(H73&lt;F01_UC2!$B$9,3,0))</f>
        <v>0</v>
      </c>
      <c r="L73" s="20" t="n">
        <f aca="false">IF($B$34="Hợp lệ",IF(AND(I73=0,J73&gt;$B$27),1,0),"Chưa tính")</f>
        <v>0</v>
      </c>
      <c r="M73" s="20" t="n">
        <f aca="false">IF($B$34="Hợp lệ",IF(J73&gt;I73+$B$27,1,0),"Chưa tính")</f>
        <v>0</v>
      </c>
      <c r="N73" s="20" t="n">
        <f aca="false">IF($B$34&lt;&gt;"Hợp lệ","Chưa tính",IF(H73&gt;F01_UC2!$B$11,N72+1,0))</f>
        <v>14</v>
      </c>
      <c r="O73" s="20" t="n">
        <f aca="false">IF($B$34="Hợp lệ",I73-J73,"Chưa tính")</f>
        <v>0</v>
      </c>
      <c r="P73" s="20"/>
      <c r="Q73" s="20"/>
      <c r="R73" s="20"/>
      <c r="S73" s="20"/>
      <c r="T73" s="20"/>
      <c r="U73" s="20"/>
    </row>
    <row r="74" customFormat="false" ht="22.5" hidden="false" customHeight="true" outlineLevel="0" collapsed="false">
      <c r="A74" s="77" t="n">
        <f aca="false">F01_UC2!A93</f>
        <v>46227</v>
      </c>
      <c r="B74" s="78" t="n">
        <f aca="false">F01_UC2!G93</f>
        <v>11937730444</v>
      </c>
      <c r="C74" s="78" t="n">
        <f aca="false">SUMIFS($L$151:$L$272,$K$151:$K$272,A74)-SUMIFS($J$151:$J$272,$F$151:$F$272,A74)</f>
        <v>0</v>
      </c>
      <c r="D74" s="78" t="n">
        <f aca="false">SUMIFS($N$151:$N$272,$F$151:$F$272,A74)-SUMIFS($P$151:$P$272,$O$151:$O$272,A74)</f>
        <v>0</v>
      </c>
      <c r="E74" s="78" t="n">
        <f aca="false">IF(A74=$B$33,$B$48,0)</f>
        <v>0</v>
      </c>
      <c r="F74" s="78" t="n">
        <f aca="false">SUM(C74:E74)</f>
        <v>0</v>
      </c>
      <c r="G74" s="78" t="n">
        <f aca="false">SUM($F$51:F74)</f>
        <v>1505193816.465</v>
      </c>
      <c r="H74" s="78" t="n">
        <f aca="false">IF($B$34="Hợp lệ",B74+G74,"Chưa tính")</f>
        <v>13442924260.465</v>
      </c>
      <c r="I74" s="78" t="n">
        <f aca="false">F01_UC2!H93</f>
        <v>0</v>
      </c>
      <c r="J74" s="78" t="n">
        <f aca="false">IF($B$34="Hợp lệ",IF(H74&lt;F01_UC2!$B$9,F01_UC2!$B$10-H74,0),"Chưa tính")</f>
        <v>0</v>
      </c>
      <c r="K74" s="79" t="n">
        <f aca="false">IF($B$34&lt;&gt;"Hợp lệ","Chưa tính",IF(H74&lt;F01_UC2!$B$9,3,0))</f>
        <v>0</v>
      </c>
      <c r="L74" s="20" t="n">
        <f aca="false">IF($B$34="Hợp lệ",IF(AND(I74=0,J74&gt;$B$27),1,0),"Chưa tính")</f>
        <v>0</v>
      </c>
      <c r="M74" s="20" t="n">
        <f aca="false">IF($B$34="Hợp lệ",IF(J74&gt;I74+$B$27,1,0),"Chưa tính")</f>
        <v>0</v>
      </c>
      <c r="N74" s="20" t="n">
        <f aca="false">IF($B$34&lt;&gt;"Hợp lệ","Chưa tính",IF(H74&gt;F01_UC2!$B$11,N73+1,0))</f>
        <v>15</v>
      </c>
      <c r="O74" s="20" t="n">
        <f aca="false">IF($B$34="Hợp lệ",I74-J74,"Chưa tính")</f>
        <v>0</v>
      </c>
      <c r="P74" s="20"/>
      <c r="Q74" s="20"/>
      <c r="R74" s="20"/>
      <c r="S74" s="20"/>
      <c r="T74" s="20"/>
      <c r="U74" s="20"/>
    </row>
    <row r="75" customFormat="false" ht="22.5" hidden="false" customHeight="true" outlineLevel="0" collapsed="false">
      <c r="A75" s="77" t="n">
        <f aca="false">F01_UC2!A94</f>
        <v>46228</v>
      </c>
      <c r="B75" s="78" t="n">
        <f aca="false">F01_UC2!G94</f>
        <v>13479530589</v>
      </c>
      <c r="C75" s="78" t="n">
        <f aca="false">SUMIFS($L$151:$L$272,$K$151:$K$272,A75)-SUMIFS($J$151:$J$272,$F$151:$F$272,A75)</f>
        <v>0</v>
      </c>
      <c r="D75" s="78" t="n">
        <f aca="false">SUMIFS($N$151:$N$272,$F$151:$F$272,A75)-SUMIFS($P$151:$P$272,$O$151:$O$272,A75)</f>
        <v>0</v>
      </c>
      <c r="E75" s="78" t="n">
        <f aca="false">IF(A75=$B$33,$B$48,0)</f>
        <v>0</v>
      </c>
      <c r="F75" s="78" t="n">
        <f aca="false">SUM(C75:E75)</f>
        <v>0</v>
      </c>
      <c r="G75" s="78" t="n">
        <f aca="false">SUM($F$51:F75)</f>
        <v>1505193816.465</v>
      </c>
      <c r="H75" s="78" t="n">
        <f aca="false">IF($B$34="Hợp lệ",B75+G75,"Chưa tính")</f>
        <v>14984724405.465</v>
      </c>
      <c r="I75" s="78" t="n">
        <f aca="false">F01_UC2!H94</f>
        <v>0</v>
      </c>
      <c r="J75" s="78" t="n">
        <f aca="false">IF($B$34="Hợp lệ",IF(H75&lt;F01_UC2!$B$9,F01_UC2!$B$10-H75,0),"Chưa tính")</f>
        <v>0</v>
      </c>
      <c r="K75" s="79" t="n">
        <f aca="false">IF($B$34&lt;&gt;"Hợp lệ","Chưa tính",IF(H75&lt;F01_UC2!$B$9,3,0))</f>
        <v>0</v>
      </c>
      <c r="L75" s="20" t="n">
        <f aca="false">IF($B$34="Hợp lệ",IF(AND(I75=0,J75&gt;$B$27),1,0),"Chưa tính")</f>
        <v>0</v>
      </c>
      <c r="M75" s="20" t="n">
        <f aca="false">IF($B$34="Hợp lệ",IF(J75&gt;I75+$B$27,1,0),"Chưa tính")</f>
        <v>0</v>
      </c>
      <c r="N75" s="20" t="n">
        <f aca="false">IF($B$34&lt;&gt;"Hợp lệ","Chưa tính",IF(H75&gt;F01_UC2!$B$11,N74+1,0))</f>
        <v>16</v>
      </c>
      <c r="O75" s="20" t="n">
        <f aca="false">IF($B$34="Hợp lệ",I75-J75,"Chưa tính")</f>
        <v>0</v>
      </c>
      <c r="P75" s="20"/>
      <c r="Q75" s="20"/>
      <c r="R75" s="20"/>
      <c r="S75" s="20"/>
      <c r="T75" s="20"/>
      <c r="U75" s="20"/>
    </row>
    <row r="76" customFormat="false" ht="22.5" hidden="false" customHeight="true" outlineLevel="0" collapsed="false">
      <c r="A76" s="77" t="n">
        <f aca="false">F01_UC2!A95</f>
        <v>46229</v>
      </c>
      <c r="B76" s="78" t="n">
        <f aca="false">F01_UC2!G95</f>
        <v>13102805967</v>
      </c>
      <c r="C76" s="78" t="n">
        <f aca="false">SUMIFS($L$151:$L$272,$K$151:$K$272,A76)-SUMIFS($J$151:$J$272,$F$151:$F$272,A76)</f>
        <v>0</v>
      </c>
      <c r="D76" s="78" t="n">
        <f aca="false">SUMIFS($N$151:$N$272,$F$151:$F$272,A76)-SUMIFS($P$151:$P$272,$O$151:$O$272,A76)</f>
        <v>0</v>
      </c>
      <c r="E76" s="78" t="n">
        <f aca="false">IF(A76=$B$33,$B$48,0)</f>
        <v>0</v>
      </c>
      <c r="F76" s="78" t="n">
        <f aca="false">SUM(C76:E76)</f>
        <v>0</v>
      </c>
      <c r="G76" s="78" t="n">
        <f aca="false">SUM($F$51:F76)</f>
        <v>1505193816.465</v>
      </c>
      <c r="H76" s="78" t="n">
        <f aca="false">IF($B$34="Hợp lệ",B76+G76,"Chưa tính")</f>
        <v>14607999783.465</v>
      </c>
      <c r="I76" s="78" t="n">
        <f aca="false">F01_UC2!H95</f>
        <v>0</v>
      </c>
      <c r="J76" s="78" t="n">
        <f aca="false">IF($B$34="Hợp lệ",IF(H76&lt;F01_UC2!$B$9,F01_UC2!$B$10-H76,0),"Chưa tính")</f>
        <v>0</v>
      </c>
      <c r="K76" s="79" t="n">
        <f aca="false">IF($B$34&lt;&gt;"Hợp lệ","Chưa tính",IF(H76&lt;F01_UC2!$B$9,3,0))</f>
        <v>0</v>
      </c>
      <c r="L76" s="20" t="n">
        <f aca="false">IF($B$34="Hợp lệ",IF(AND(I76=0,J76&gt;$B$27),1,0),"Chưa tính")</f>
        <v>0</v>
      </c>
      <c r="M76" s="20" t="n">
        <f aca="false">IF($B$34="Hợp lệ",IF(J76&gt;I76+$B$27,1,0),"Chưa tính")</f>
        <v>0</v>
      </c>
      <c r="N76" s="20" t="n">
        <f aca="false">IF($B$34&lt;&gt;"Hợp lệ","Chưa tính",IF(H76&gt;F01_UC2!$B$11,N75+1,0))</f>
        <v>17</v>
      </c>
      <c r="O76" s="20" t="n">
        <f aca="false">IF($B$34="Hợp lệ",I76-J76,"Chưa tính")</f>
        <v>0</v>
      </c>
      <c r="P76" s="20"/>
      <c r="Q76" s="20"/>
      <c r="R76" s="20"/>
      <c r="S76" s="20"/>
      <c r="T76" s="20"/>
      <c r="U76" s="20"/>
    </row>
    <row r="77" customFormat="false" ht="22.5" hidden="false" customHeight="true" outlineLevel="0" collapsed="false">
      <c r="A77" s="77" t="n">
        <f aca="false">F01_UC2!A96</f>
        <v>46230</v>
      </c>
      <c r="B77" s="78" t="n">
        <f aca="false">F01_UC2!G96</f>
        <v>13332208023</v>
      </c>
      <c r="C77" s="78" t="n">
        <f aca="false">SUMIFS($L$151:$L$272,$K$151:$K$272,A77)-SUMIFS($J$151:$J$272,$F$151:$F$272,A77)</f>
        <v>-416760214</v>
      </c>
      <c r="D77" s="78" t="n">
        <f aca="false">SUMIFS($N$151:$N$272,$F$151:$F$272,A77)-SUMIFS($P$151:$P$272,$O$151:$O$272,A77)</f>
        <v>302059186</v>
      </c>
      <c r="E77" s="78" t="n">
        <f aca="false">IF(A77=$B$33,$B$48,0)</f>
        <v>0</v>
      </c>
      <c r="F77" s="78" t="n">
        <f aca="false">SUM(C77:E77)</f>
        <v>-114701028</v>
      </c>
      <c r="G77" s="78" t="n">
        <f aca="false">SUM($F$51:F77)</f>
        <v>1390492788.465</v>
      </c>
      <c r="H77" s="78" t="n">
        <f aca="false">IF($B$34="Hợp lệ",B77+G77,"Chưa tính")</f>
        <v>14722700811.465</v>
      </c>
      <c r="I77" s="78" t="n">
        <f aca="false">F01_UC2!H96</f>
        <v>0</v>
      </c>
      <c r="J77" s="78" t="n">
        <f aca="false">IF($B$34="Hợp lệ",IF(H77&lt;F01_UC2!$B$9,F01_UC2!$B$10-H77,0),"Chưa tính")</f>
        <v>0</v>
      </c>
      <c r="K77" s="79" t="n">
        <f aca="false">IF($B$34&lt;&gt;"Hợp lệ","Chưa tính",IF(H77&lt;F01_UC2!$B$9,3,0))</f>
        <v>0</v>
      </c>
      <c r="L77" s="20" t="n">
        <f aca="false">IF($B$34="Hợp lệ",IF(AND(I77=0,J77&gt;$B$27),1,0),"Chưa tính")</f>
        <v>0</v>
      </c>
      <c r="M77" s="20" t="n">
        <f aca="false">IF($B$34="Hợp lệ",IF(J77&gt;I77+$B$27,1,0),"Chưa tính")</f>
        <v>0</v>
      </c>
      <c r="N77" s="20" t="n">
        <f aca="false">IF($B$34&lt;&gt;"Hợp lệ","Chưa tính",IF(H77&gt;F01_UC2!$B$11,N76+1,0))</f>
        <v>18</v>
      </c>
      <c r="O77" s="20" t="n">
        <f aca="false">IF($B$34="Hợp lệ",I77-J77,"Chưa tính")</f>
        <v>0</v>
      </c>
      <c r="P77" s="20"/>
      <c r="Q77" s="20"/>
      <c r="R77" s="20"/>
      <c r="S77" s="20"/>
      <c r="T77" s="20"/>
      <c r="U77" s="20"/>
    </row>
    <row r="78" customFormat="false" ht="22.5" hidden="false" customHeight="true" outlineLevel="0" collapsed="false">
      <c r="A78" s="77" t="n">
        <f aca="false">F01_UC2!A97</f>
        <v>46231</v>
      </c>
      <c r="B78" s="78" t="n">
        <f aca="false">F01_UC2!G97</f>
        <v>12521411940</v>
      </c>
      <c r="C78" s="78" t="n">
        <f aca="false">SUMIFS($L$151:$L$272,$K$151:$K$272,A78)-SUMIFS($J$151:$J$272,$F$151:$F$272,A78)</f>
        <v>0</v>
      </c>
      <c r="D78" s="78" t="n">
        <f aca="false">SUMIFS($N$151:$N$272,$F$151:$F$272,A78)-SUMIFS($P$151:$P$272,$O$151:$O$272,A78)</f>
        <v>0</v>
      </c>
      <c r="E78" s="78" t="n">
        <f aca="false">IF(A78=$B$33,$B$48,0)</f>
        <v>0</v>
      </c>
      <c r="F78" s="78" t="n">
        <f aca="false">SUM(C78:E78)</f>
        <v>0</v>
      </c>
      <c r="G78" s="78" t="n">
        <f aca="false">SUM($F$51:F78)</f>
        <v>1390492788.465</v>
      </c>
      <c r="H78" s="78" t="n">
        <f aca="false">IF($B$34="Hợp lệ",B78+G78,"Chưa tính")</f>
        <v>13911904728.465</v>
      </c>
      <c r="I78" s="78" t="n">
        <f aca="false">F01_UC2!H97</f>
        <v>0</v>
      </c>
      <c r="J78" s="78" t="n">
        <f aca="false">IF($B$34="Hợp lệ",IF(H78&lt;F01_UC2!$B$9,F01_UC2!$B$10-H78,0),"Chưa tính")</f>
        <v>0</v>
      </c>
      <c r="K78" s="79" t="n">
        <f aca="false">IF($B$34&lt;&gt;"Hợp lệ","Chưa tính",IF(H78&lt;F01_UC2!$B$9,3,0))</f>
        <v>0</v>
      </c>
      <c r="L78" s="20" t="n">
        <f aca="false">IF($B$34="Hợp lệ",IF(AND(I78=0,J78&gt;$B$27),1,0),"Chưa tính")</f>
        <v>0</v>
      </c>
      <c r="M78" s="20" t="n">
        <f aca="false">IF($B$34="Hợp lệ",IF(J78&gt;I78+$B$27,1,0),"Chưa tính")</f>
        <v>0</v>
      </c>
      <c r="N78" s="20" t="n">
        <f aca="false">IF($B$34&lt;&gt;"Hợp lệ","Chưa tính",IF(H78&gt;F01_UC2!$B$11,N77+1,0))</f>
        <v>19</v>
      </c>
      <c r="O78" s="20" t="n">
        <f aca="false">IF($B$34="Hợp lệ",I78-J78,"Chưa tính")</f>
        <v>0</v>
      </c>
      <c r="P78" s="20"/>
      <c r="Q78" s="20"/>
      <c r="R78" s="20"/>
      <c r="S78" s="20"/>
      <c r="T78" s="20"/>
      <c r="U78" s="20"/>
    </row>
    <row r="79" customFormat="false" ht="22.5" hidden="false" customHeight="true" outlineLevel="0" collapsed="false">
      <c r="A79" s="77" t="n">
        <f aca="false">F01_UC2!A98</f>
        <v>46232</v>
      </c>
      <c r="B79" s="78" t="n">
        <f aca="false">F01_UC2!G98</f>
        <v>12521411940</v>
      </c>
      <c r="C79" s="78" t="n">
        <f aca="false">SUMIFS($L$151:$L$272,$K$151:$K$272,A79)-SUMIFS($J$151:$J$272,$F$151:$F$272,A79)</f>
        <v>0</v>
      </c>
      <c r="D79" s="78" t="n">
        <f aca="false">SUMIFS($N$151:$N$272,$F$151:$F$272,A79)-SUMIFS($P$151:$P$272,$O$151:$O$272,A79)</f>
        <v>-368649054.9</v>
      </c>
      <c r="E79" s="78" t="n">
        <f aca="false">IF(A79=$B$33,$B$48,0)</f>
        <v>0</v>
      </c>
      <c r="F79" s="78" t="n">
        <f aca="false">SUM(C79:E79)</f>
        <v>-368649054.9</v>
      </c>
      <c r="G79" s="78" t="n">
        <f aca="false">SUM($F$51:F79)</f>
        <v>1021843733.565</v>
      </c>
      <c r="H79" s="78" t="n">
        <f aca="false">IF($B$34="Hợp lệ",B79+G79,"Chưa tính")</f>
        <v>13543255673.565</v>
      </c>
      <c r="I79" s="78" t="n">
        <f aca="false">F01_UC2!H98</f>
        <v>0</v>
      </c>
      <c r="J79" s="78" t="n">
        <f aca="false">IF($B$34="Hợp lệ",IF(H79&lt;F01_UC2!$B$9,F01_UC2!$B$10-H79,0),"Chưa tính")</f>
        <v>0</v>
      </c>
      <c r="K79" s="79" t="n">
        <f aca="false">IF($B$34&lt;&gt;"Hợp lệ","Chưa tính",IF(H79&lt;F01_UC2!$B$9,3,0))</f>
        <v>0</v>
      </c>
      <c r="L79" s="20" t="n">
        <f aca="false">IF($B$34="Hợp lệ",IF(AND(I79=0,J79&gt;$B$27),1,0),"Chưa tính")</f>
        <v>0</v>
      </c>
      <c r="M79" s="20" t="n">
        <f aca="false">IF($B$34="Hợp lệ",IF(J79&gt;I79+$B$27,1,0),"Chưa tính")</f>
        <v>0</v>
      </c>
      <c r="N79" s="20" t="n">
        <f aca="false">IF($B$34&lt;&gt;"Hợp lệ","Chưa tính",IF(H79&gt;F01_UC2!$B$11,N78+1,0))</f>
        <v>20</v>
      </c>
      <c r="O79" s="20" t="n">
        <f aca="false">IF($B$34="Hợp lệ",I79-J79,"Chưa tính")</f>
        <v>0</v>
      </c>
      <c r="P79" s="20"/>
      <c r="Q79" s="20"/>
      <c r="R79" s="20"/>
      <c r="S79" s="20"/>
      <c r="T79" s="20"/>
      <c r="U79" s="20"/>
    </row>
    <row r="80" customFormat="false" ht="22.5" hidden="false" customHeight="true" outlineLevel="0" collapsed="false">
      <c r="A80" s="77" t="n">
        <f aca="false">F01_UC2!A99</f>
        <v>46233</v>
      </c>
      <c r="B80" s="78" t="n">
        <f aca="false">F01_UC2!G99</f>
        <v>12641774647</v>
      </c>
      <c r="C80" s="78" t="n">
        <f aca="false">SUMIFS($L$151:$L$272,$K$151:$K$272,A80)-SUMIFS($J$151:$J$272,$F$151:$F$272,A80)</f>
        <v>0</v>
      </c>
      <c r="D80" s="78" t="n">
        <f aca="false">SUMIFS($N$151:$N$272,$F$151:$F$272,A80)-SUMIFS($P$151:$P$272,$O$151:$O$272,A80)</f>
        <v>0</v>
      </c>
      <c r="E80" s="78" t="n">
        <f aca="false">IF(A80=$B$33,$B$48,0)</f>
        <v>0</v>
      </c>
      <c r="F80" s="78" t="n">
        <f aca="false">SUM(C80:E80)</f>
        <v>0</v>
      </c>
      <c r="G80" s="78" t="n">
        <f aca="false">SUM($F$51:F80)</f>
        <v>1021843733.565</v>
      </c>
      <c r="H80" s="78" t="n">
        <f aca="false">IF($B$34="Hợp lệ",B80+G80,"Chưa tính")</f>
        <v>13663618380.565</v>
      </c>
      <c r="I80" s="78" t="n">
        <f aca="false">F01_UC2!H99</f>
        <v>0</v>
      </c>
      <c r="J80" s="78" t="n">
        <f aca="false">IF($B$34="Hợp lệ",IF(H80&lt;F01_UC2!$B$9,F01_UC2!$B$10-H80,0),"Chưa tính")</f>
        <v>0</v>
      </c>
      <c r="K80" s="79" t="n">
        <f aca="false">IF($B$34&lt;&gt;"Hợp lệ","Chưa tính",IF(H80&lt;F01_UC2!$B$9,3,0))</f>
        <v>0</v>
      </c>
      <c r="L80" s="20" t="n">
        <f aca="false">IF($B$34="Hợp lệ",IF(AND(I80=0,J80&gt;$B$27),1,0),"Chưa tính")</f>
        <v>0</v>
      </c>
      <c r="M80" s="20" t="n">
        <f aca="false">IF($B$34="Hợp lệ",IF(J80&gt;I80+$B$27,1,0),"Chưa tính")</f>
        <v>0</v>
      </c>
      <c r="N80" s="20" t="n">
        <f aca="false">IF($B$34&lt;&gt;"Hợp lệ","Chưa tính",IF(H80&gt;F01_UC2!$B$11,N79+1,0))</f>
        <v>21</v>
      </c>
      <c r="O80" s="20" t="n">
        <f aca="false">IF($B$34="Hợp lệ",I80-J80,"Chưa tính")</f>
        <v>0</v>
      </c>
      <c r="P80" s="20"/>
      <c r="Q80" s="20"/>
      <c r="R80" s="20"/>
      <c r="S80" s="20"/>
      <c r="T80" s="20"/>
      <c r="U80" s="20"/>
    </row>
    <row r="81" customFormat="false" ht="22.5" hidden="false" customHeight="true" outlineLevel="0" collapsed="false">
      <c r="A81" s="77" t="n">
        <f aca="false">F01_UC2!A100</f>
        <v>46234</v>
      </c>
      <c r="B81" s="78" t="n">
        <f aca="false">F01_UC2!G100</f>
        <v>12641774647</v>
      </c>
      <c r="C81" s="78" t="n">
        <f aca="false">SUMIFS($L$151:$L$272,$K$151:$K$272,A81)-SUMIFS($J$151:$J$272,$F$151:$F$272,A81)</f>
        <v>0</v>
      </c>
      <c r="D81" s="78" t="n">
        <f aca="false">SUMIFS($N$151:$N$272,$F$151:$F$272,A81)-SUMIFS($P$151:$P$272,$O$151:$O$272,A81)</f>
        <v>0</v>
      </c>
      <c r="E81" s="78" t="n">
        <f aca="false">IF(A81=$B$33,$B$48,0)</f>
        <v>0</v>
      </c>
      <c r="F81" s="78" t="n">
        <f aca="false">SUM(C81:E81)</f>
        <v>0</v>
      </c>
      <c r="G81" s="78" t="n">
        <f aca="false">SUM($F$51:F81)</f>
        <v>1021843733.565</v>
      </c>
      <c r="H81" s="78" t="n">
        <f aca="false">IF($B$34="Hợp lệ",B81+G81,"Chưa tính")</f>
        <v>13663618380.565</v>
      </c>
      <c r="I81" s="78" t="n">
        <f aca="false">F01_UC2!H100</f>
        <v>0</v>
      </c>
      <c r="J81" s="78" t="n">
        <f aca="false">IF($B$34="Hợp lệ",IF(H81&lt;F01_UC2!$B$9,F01_UC2!$B$10-H81,0),"Chưa tính")</f>
        <v>0</v>
      </c>
      <c r="K81" s="79" t="n">
        <f aca="false">IF($B$34&lt;&gt;"Hợp lệ","Chưa tính",IF(H81&lt;F01_UC2!$B$9,3,0))</f>
        <v>0</v>
      </c>
      <c r="L81" s="20" t="n">
        <f aca="false">IF($B$34="Hợp lệ",IF(AND(I81=0,J81&gt;$B$27),1,0),"Chưa tính")</f>
        <v>0</v>
      </c>
      <c r="M81" s="20" t="n">
        <f aca="false">IF($B$34="Hợp lệ",IF(J81&gt;I81+$B$27,1,0),"Chưa tính")</f>
        <v>0</v>
      </c>
      <c r="N81" s="20" t="n">
        <f aca="false">IF($B$34&lt;&gt;"Hợp lệ","Chưa tính",IF(H81&gt;F01_UC2!$B$11,N80+1,0))</f>
        <v>22</v>
      </c>
      <c r="O81" s="20" t="n">
        <f aca="false">IF($B$34="Hợp lệ",I81-J81,"Chưa tính")</f>
        <v>0</v>
      </c>
      <c r="P81" s="20"/>
      <c r="Q81" s="20"/>
      <c r="R81" s="20"/>
      <c r="S81" s="20"/>
      <c r="T81" s="20"/>
      <c r="U81" s="20"/>
    </row>
    <row r="82" customFormat="false" ht="22.5" hidden="false" customHeight="true" outlineLevel="0" collapsed="false">
      <c r="A82" s="77" t="n">
        <f aca="false">F01_UC2!A101</f>
        <v>46235</v>
      </c>
      <c r="B82" s="78" t="n">
        <f aca="false">F01_UC2!G101</f>
        <v>12461774647</v>
      </c>
      <c r="C82" s="78" t="n">
        <f aca="false">SUMIFS($L$151:$L$272,$K$151:$K$272,A82)-SUMIFS($J$151:$J$272,$F$151:$F$272,A82)</f>
        <v>0</v>
      </c>
      <c r="D82" s="78" t="n">
        <f aca="false">SUMIFS($N$151:$N$272,$F$151:$F$272,A82)-SUMIFS($P$151:$P$272,$O$151:$O$272,A82)</f>
        <v>-287628663.375</v>
      </c>
      <c r="E82" s="78" t="n">
        <f aca="false">IF(A82=$B$33,$B$48,0)</f>
        <v>0</v>
      </c>
      <c r="F82" s="78" t="n">
        <f aca="false">SUM(C82:E82)</f>
        <v>-287628663.375</v>
      </c>
      <c r="G82" s="78" t="n">
        <f aca="false">SUM($F$51:F82)</f>
        <v>734215070.19</v>
      </c>
      <c r="H82" s="78" t="n">
        <f aca="false">IF($B$34="Hợp lệ",B82+G82,"Chưa tính")</f>
        <v>13195989717.19</v>
      </c>
      <c r="I82" s="78" t="n">
        <f aca="false">F01_UC2!H101</f>
        <v>0</v>
      </c>
      <c r="J82" s="78" t="n">
        <f aca="false">IF($B$34="Hợp lệ",IF(H82&lt;F01_UC2!$B$9,F01_UC2!$B$10-H82,0),"Chưa tính")</f>
        <v>0</v>
      </c>
      <c r="K82" s="79" t="n">
        <f aca="false">IF($B$34&lt;&gt;"Hợp lệ","Chưa tính",IF(H82&lt;F01_UC2!$B$9,3,0))</f>
        <v>0</v>
      </c>
      <c r="L82" s="20" t="n">
        <f aca="false">IF($B$34="Hợp lệ",IF(AND(I82=0,J82&gt;$B$27),1,0),"Chưa tính")</f>
        <v>0</v>
      </c>
      <c r="M82" s="20" t="n">
        <f aca="false">IF($B$34="Hợp lệ",IF(J82&gt;I82+$B$27,1,0),"Chưa tính")</f>
        <v>0</v>
      </c>
      <c r="N82" s="20" t="n">
        <f aca="false">IF($B$34&lt;&gt;"Hợp lệ","Chưa tính",IF(H82&gt;F01_UC2!$B$11,N81+1,0))</f>
        <v>23</v>
      </c>
      <c r="O82" s="20" t="n">
        <f aca="false">IF($B$34="Hợp lệ",I82-J82,"Chưa tính")</f>
        <v>0</v>
      </c>
      <c r="P82" s="20"/>
      <c r="Q82" s="20"/>
      <c r="R82" s="20"/>
      <c r="S82" s="20"/>
      <c r="T82" s="20"/>
      <c r="U82" s="20"/>
    </row>
    <row r="83" customFormat="false" ht="22.5" hidden="false" customHeight="true" outlineLevel="0" collapsed="false">
      <c r="A83" s="77" t="n">
        <f aca="false">F01_UC2!A102</f>
        <v>46236</v>
      </c>
      <c r="B83" s="78" t="n">
        <f aca="false">F01_UC2!G102</f>
        <v>12461774647</v>
      </c>
      <c r="C83" s="78" t="n">
        <f aca="false">SUMIFS($L$151:$L$272,$K$151:$K$272,A83)-SUMIFS($J$151:$J$272,$F$151:$F$272,A83)</f>
        <v>1468102191.435</v>
      </c>
      <c r="D83" s="78" t="n">
        <f aca="false">SUMIFS($N$151:$N$272,$F$151:$F$272,A83)-SUMIFS($P$151:$P$272,$O$151:$O$272,A83)</f>
        <v>0</v>
      </c>
      <c r="E83" s="78" t="n">
        <f aca="false">IF(A83=$B$33,$B$48,0)</f>
        <v>0</v>
      </c>
      <c r="F83" s="78" t="n">
        <f aca="false">SUM(C83:E83)</f>
        <v>1468102191.435</v>
      </c>
      <c r="G83" s="78" t="n">
        <f aca="false">SUM($F$51:F83)</f>
        <v>2202317261.625</v>
      </c>
      <c r="H83" s="78" t="n">
        <f aca="false">IF($B$34="Hợp lệ",B83+G83,"Chưa tính")</f>
        <v>14664091908.625</v>
      </c>
      <c r="I83" s="78" t="n">
        <f aca="false">F01_UC2!H102</f>
        <v>0</v>
      </c>
      <c r="J83" s="78" t="n">
        <f aca="false">IF($B$34="Hợp lệ",IF(H83&lt;F01_UC2!$B$9,F01_UC2!$B$10-H83,0),"Chưa tính")</f>
        <v>0</v>
      </c>
      <c r="K83" s="79" t="n">
        <f aca="false">IF($B$34&lt;&gt;"Hợp lệ","Chưa tính",IF(H83&lt;F01_UC2!$B$9,3,0))</f>
        <v>0</v>
      </c>
      <c r="L83" s="20" t="n">
        <f aca="false">IF($B$34="Hợp lệ",IF(AND(I83=0,J83&gt;$B$27),1,0),"Chưa tính")</f>
        <v>0</v>
      </c>
      <c r="M83" s="20" t="n">
        <f aca="false">IF($B$34="Hợp lệ",IF(J83&gt;I83+$B$27,1,0),"Chưa tính")</f>
        <v>0</v>
      </c>
      <c r="N83" s="20" t="n">
        <f aca="false">IF($B$34&lt;&gt;"Hợp lệ","Chưa tính",IF(H83&gt;F01_UC2!$B$11,N82+1,0))</f>
        <v>24</v>
      </c>
      <c r="O83" s="20" t="n">
        <f aca="false">IF($B$34="Hợp lệ",I83-J83,"Chưa tính")</f>
        <v>0</v>
      </c>
      <c r="P83" s="20"/>
      <c r="Q83" s="20"/>
      <c r="R83" s="20"/>
      <c r="S83" s="20"/>
      <c r="T83" s="20"/>
      <c r="U83" s="20"/>
    </row>
    <row r="84" customFormat="false" ht="22.5" hidden="false" customHeight="true" outlineLevel="0" collapsed="false">
      <c r="A84" s="77" t="n">
        <f aca="false">F01_UC2!A103</f>
        <v>46237</v>
      </c>
      <c r="B84" s="78" t="n">
        <f aca="false">F01_UC2!G103</f>
        <v>12461774647</v>
      </c>
      <c r="C84" s="78" t="n">
        <f aca="false">SUMIFS($L$151:$L$272,$K$151:$K$272,A84)-SUMIFS($J$151:$J$272,$F$151:$F$272,A84)</f>
        <v>0</v>
      </c>
      <c r="D84" s="78" t="n">
        <f aca="false">SUMIFS($N$151:$N$272,$F$151:$F$272,A84)-SUMIFS($P$151:$P$272,$O$151:$O$272,A84)</f>
        <v>0</v>
      </c>
      <c r="E84" s="78" t="n">
        <f aca="false">IF(A84=$B$33,$B$48,0)</f>
        <v>0</v>
      </c>
      <c r="F84" s="78" t="n">
        <f aca="false">SUM(C84:E84)</f>
        <v>0</v>
      </c>
      <c r="G84" s="78" t="n">
        <f aca="false">SUM($F$51:F84)</f>
        <v>2202317261.625</v>
      </c>
      <c r="H84" s="78" t="n">
        <f aca="false">IF($B$34="Hợp lệ",B84+G84,"Chưa tính")</f>
        <v>14664091908.625</v>
      </c>
      <c r="I84" s="78" t="n">
        <f aca="false">F01_UC2!H103</f>
        <v>0</v>
      </c>
      <c r="J84" s="78" t="n">
        <f aca="false">IF($B$34="Hợp lệ",IF(H84&lt;F01_UC2!$B$9,F01_UC2!$B$10-H84,0),"Chưa tính")</f>
        <v>0</v>
      </c>
      <c r="K84" s="79" t="n">
        <f aca="false">IF($B$34&lt;&gt;"Hợp lệ","Chưa tính",IF(H84&lt;F01_UC2!$B$9,3,0))</f>
        <v>0</v>
      </c>
      <c r="L84" s="20" t="n">
        <f aca="false">IF($B$34="Hợp lệ",IF(AND(I84=0,J84&gt;$B$27),1,0),"Chưa tính")</f>
        <v>0</v>
      </c>
      <c r="M84" s="20" t="n">
        <f aca="false">IF($B$34="Hợp lệ",IF(J84&gt;I84+$B$27,1,0),"Chưa tính")</f>
        <v>0</v>
      </c>
      <c r="N84" s="20" t="n">
        <f aca="false">IF($B$34&lt;&gt;"Hợp lệ","Chưa tính",IF(H84&gt;F01_UC2!$B$11,N83+1,0))</f>
        <v>25</v>
      </c>
      <c r="O84" s="20" t="n">
        <f aca="false">IF($B$34="Hợp lệ",I84-J84,"Chưa tính")</f>
        <v>0</v>
      </c>
      <c r="P84" s="20"/>
      <c r="Q84" s="20"/>
      <c r="R84" s="20"/>
      <c r="S84" s="20"/>
      <c r="T84" s="20"/>
      <c r="U84" s="20"/>
    </row>
    <row r="85" customFormat="false" ht="22.5" hidden="false" customHeight="true" outlineLevel="0" collapsed="false">
      <c r="A85" s="77" t="n">
        <f aca="false">F01_UC2!A104</f>
        <v>46238</v>
      </c>
      <c r="B85" s="78" t="n">
        <f aca="false">F01_UC2!G104</f>
        <v>12461774647</v>
      </c>
      <c r="C85" s="78" t="n">
        <f aca="false">SUMIFS($L$151:$L$272,$K$151:$K$272,A85)-SUMIFS($J$151:$J$272,$F$151:$F$272,A85)</f>
        <v>0</v>
      </c>
      <c r="D85" s="78" t="n">
        <f aca="false">SUMIFS($N$151:$N$272,$F$151:$F$272,A85)-SUMIFS($P$151:$P$272,$O$151:$O$272,A85)</f>
        <v>-235427651.85</v>
      </c>
      <c r="E85" s="78" t="n">
        <f aca="false">IF(A85=$B$33,$B$48,0)</f>
        <v>0</v>
      </c>
      <c r="F85" s="78" t="n">
        <f aca="false">SUM(C85:E85)</f>
        <v>-235427651.85</v>
      </c>
      <c r="G85" s="78" t="n">
        <f aca="false">SUM($F$51:F85)</f>
        <v>1966889609.775</v>
      </c>
      <c r="H85" s="78" t="n">
        <f aca="false">IF($B$34="Hợp lệ",B85+G85,"Chưa tính")</f>
        <v>14428664256.775</v>
      </c>
      <c r="I85" s="78" t="n">
        <f aca="false">F01_UC2!H104</f>
        <v>0</v>
      </c>
      <c r="J85" s="78" t="n">
        <f aca="false">IF($B$34="Hợp lệ",IF(H85&lt;F01_UC2!$B$9,F01_UC2!$B$10-H85,0),"Chưa tính")</f>
        <v>0</v>
      </c>
      <c r="K85" s="79" t="n">
        <f aca="false">IF($B$34&lt;&gt;"Hợp lệ","Chưa tính",IF(H85&lt;F01_UC2!$B$9,3,0))</f>
        <v>0</v>
      </c>
      <c r="L85" s="20" t="n">
        <f aca="false">IF($B$34="Hợp lệ",IF(AND(I85=0,J85&gt;$B$27),1,0),"Chưa tính")</f>
        <v>0</v>
      </c>
      <c r="M85" s="20" t="n">
        <f aca="false">IF($B$34="Hợp lệ",IF(J85&gt;I85+$B$27,1,0),"Chưa tính")</f>
        <v>0</v>
      </c>
      <c r="N85" s="20" t="n">
        <f aca="false">IF($B$34&lt;&gt;"Hợp lệ","Chưa tính",IF(H85&gt;F01_UC2!$B$11,N84+1,0))</f>
        <v>26</v>
      </c>
      <c r="O85" s="20" t="n">
        <f aca="false">IF($B$34="Hợp lệ",I85-J85,"Chưa tính")</f>
        <v>0</v>
      </c>
      <c r="P85" s="20"/>
      <c r="Q85" s="20"/>
      <c r="R85" s="20"/>
      <c r="S85" s="20"/>
      <c r="T85" s="20"/>
      <c r="U85" s="20"/>
    </row>
    <row r="86" customFormat="false" ht="22.5" hidden="false" customHeight="true" outlineLevel="0" collapsed="false">
      <c r="A86" s="77" t="n">
        <f aca="false">F01_UC2!A105</f>
        <v>46239</v>
      </c>
      <c r="B86" s="78" t="n">
        <f aca="false">F01_UC2!G105</f>
        <v>12461774647</v>
      </c>
      <c r="C86" s="78" t="n">
        <f aca="false">SUMIFS($L$151:$L$272,$K$151:$K$272,A86)-SUMIFS($J$151:$J$272,$F$151:$F$272,A86)</f>
        <v>289883462.715</v>
      </c>
      <c r="D86" s="78" t="n">
        <f aca="false">SUMIFS($N$151:$N$272,$F$151:$F$272,A86)-SUMIFS($P$151:$P$272,$O$151:$O$272,A86)</f>
        <v>0</v>
      </c>
      <c r="E86" s="78" t="n">
        <f aca="false">IF(A86=$B$33,$B$48,0)</f>
        <v>0</v>
      </c>
      <c r="F86" s="78" t="n">
        <f aca="false">SUM(C86:E86)</f>
        <v>289883462.715</v>
      </c>
      <c r="G86" s="78" t="n">
        <f aca="false">SUM($F$51:F86)</f>
        <v>2256773072.49</v>
      </c>
      <c r="H86" s="78" t="n">
        <f aca="false">IF($B$34="Hợp lệ",B86+G86,"Chưa tính")</f>
        <v>14718547719.49</v>
      </c>
      <c r="I86" s="78" t="n">
        <f aca="false">F01_UC2!H105</f>
        <v>0</v>
      </c>
      <c r="J86" s="78" t="n">
        <f aca="false">IF($B$34="Hợp lệ",IF(H86&lt;F01_UC2!$B$9,F01_UC2!$B$10-H86,0),"Chưa tính")</f>
        <v>0</v>
      </c>
      <c r="K86" s="79" t="n">
        <f aca="false">IF($B$34&lt;&gt;"Hợp lệ","Chưa tính",IF(H86&lt;F01_UC2!$B$9,3,0))</f>
        <v>0</v>
      </c>
      <c r="L86" s="20" t="n">
        <f aca="false">IF($B$34="Hợp lệ",IF(AND(I86=0,J86&gt;$B$27),1,0),"Chưa tính")</f>
        <v>0</v>
      </c>
      <c r="M86" s="20" t="n">
        <f aca="false">IF($B$34="Hợp lệ",IF(J86&gt;I86+$B$27,1,0),"Chưa tính")</f>
        <v>0</v>
      </c>
      <c r="N86" s="20" t="n">
        <f aca="false">IF($B$34&lt;&gt;"Hợp lệ","Chưa tính",IF(H86&gt;F01_UC2!$B$11,N85+1,0))</f>
        <v>27</v>
      </c>
      <c r="O86" s="20" t="n">
        <f aca="false">IF($B$34="Hợp lệ",I86-J86,"Chưa tính")</f>
        <v>0</v>
      </c>
      <c r="P86" s="20"/>
      <c r="Q86" s="20"/>
      <c r="R86" s="20"/>
      <c r="S86" s="20"/>
      <c r="T86" s="20"/>
      <c r="U86" s="20"/>
    </row>
    <row r="87" customFormat="false" ht="22.5" hidden="false" customHeight="true" outlineLevel="0" collapsed="false">
      <c r="A87" s="77" t="n">
        <f aca="false">F01_UC2!A106</f>
        <v>46240</v>
      </c>
      <c r="B87" s="78" t="n">
        <f aca="false">F01_UC2!G106</f>
        <v>12461774647</v>
      </c>
      <c r="C87" s="78" t="n">
        <f aca="false">SUMIFS($L$151:$L$272,$K$151:$K$272,A87)-SUMIFS($J$151:$J$272,$F$151:$F$272,A87)</f>
        <v>0</v>
      </c>
      <c r="D87" s="78" t="n">
        <f aca="false">SUMIFS($N$151:$N$272,$F$151:$F$272,A87)-SUMIFS($P$151:$P$272,$O$151:$O$272,A87)</f>
        <v>0</v>
      </c>
      <c r="E87" s="78" t="n">
        <f aca="false">IF(A87=$B$33,$B$48,0)</f>
        <v>0</v>
      </c>
      <c r="F87" s="78" t="n">
        <f aca="false">SUM(C87:E87)</f>
        <v>0</v>
      </c>
      <c r="G87" s="78" t="n">
        <f aca="false">SUM($F$51:F87)</f>
        <v>2256773072.49</v>
      </c>
      <c r="H87" s="78" t="n">
        <f aca="false">IF($B$34="Hợp lệ",B87+G87,"Chưa tính")</f>
        <v>14718547719.49</v>
      </c>
      <c r="I87" s="78" t="n">
        <f aca="false">F01_UC2!H106</f>
        <v>0</v>
      </c>
      <c r="J87" s="78" t="n">
        <f aca="false">IF($B$34="Hợp lệ",IF(H87&lt;F01_UC2!$B$9,F01_UC2!$B$10-H87,0),"Chưa tính")</f>
        <v>0</v>
      </c>
      <c r="K87" s="79" t="n">
        <f aca="false">IF($B$34&lt;&gt;"Hợp lệ","Chưa tính",IF(H87&lt;F01_UC2!$B$9,3,0))</f>
        <v>0</v>
      </c>
      <c r="L87" s="20" t="n">
        <f aca="false">IF($B$34="Hợp lệ",IF(AND(I87=0,J87&gt;$B$27),1,0),"Chưa tính")</f>
        <v>0</v>
      </c>
      <c r="M87" s="20" t="n">
        <f aca="false">IF($B$34="Hợp lệ",IF(J87&gt;I87+$B$27,1,0),"Chưa tính")</f>
        <v>0</v>
      </c>
      <c r="N87" s="20" t="n">
        <f aca="false">IF($B$34&lt;&gt;"Hợp lệ","Chưa tính",IF(H87&gt;F01_UC2!$B$11,N86+1,0))</f>
        <v>28</v>
      </c>
      <c r="O87" s="20" t="n">
        <f aca="false">IF($B$34="Hợp lệ",I87-J87,"Chưa tính")</f>
        <v>0</v>
      </c>
      <c r="P87" s="20"/>
      <c r="Q87" s="20"/>
      <c r="R87" s="20"/>
      <c r="S87" s="20"/>
      <c r="T87" s="20"/>
      <c r="U87" s="20"/>
    </row>
    <row r="88" customFormat="false" ht="22.5" hidden="false" customHeight="true" outlineLevel="0" collapsed="false">
      <c r="A88" s="77" t="n">
        <f aca="false">F01_UC2!A107</f>
        <v>46241</v>
      </c>
      <c r="B88" s="78" t="n">
        <f aca="false">F01_UC2!G107</f>
        <v>12461774647</v>
      </c>
      <c r="C88" s="78" t="n">
        <f aca="false">SUMIFS($L$151:$L$272,$K$151:$K$272,A88)-SUMIFS($J$151:$J$272,$F$151:$F$272,A88)</f>
        <v>0</v>
      </c>
      <c r="D88" s="78" t="n">
        <f aca="false">SUMIFS($N$151:$N$272,$F$151:$F$272,A88)-SUMIFS($P$151:$P$272,$O$151:$O$272,A88)</f>
        <v>0</v>
      </c>
      <c r="E88" s="78" t="n">
        <f aca="false">IF(A88=$B$33,$B$48,0)</f>
        <v>0</v>
      </c>
      <c r="F88" s="78" t="n">
        <f aca="false">SUM(C88:E88)</f>
        <v>0</v>
      </c>
      <c r="G88" s="78" t="n">
        <f aca="false">SUM($F$51:F88)</f>
        <v>2256773072.49</v>
      </c>
      <c r="H88" s="78" t="n">
        <f aca="false">IF($B$34="Hợp lệ",B88+G88,"Chưa tính")</f>
        <v>14718547719.49</v>
      </c>
      <c r="I88" s="78" t="n">
        <f aca="false">F01_UC2!H107</f>
        <v>0</v>
      </c>
      <c r="J88" s="78" t="n">
        <f aca="false">IF($B$34="Hợp lệ",IF(H88&lt;F01_UC2!$B$9,F01_UC2!$B$10-H88,0),"Chưa tính")</f>
        <v>0</v>
      </c>
      <c r="K88" s="79" t="n">
        <f aca="false">IF($B$34&lt;&gt;"Hợp lệ","Chưa tính",IF(H88&lt;F01_UC2!$B$9,3,0))</f>
        <v>0</v>
      </c>
      <c r="L88" s="20" t="n">
        <f aca="false">IF($B$34="Hợp lệ",IF(AND(I88=0,J88&gt;$B$27),1,0),"Chưa tính")</f>
        <v>0</v>
      </c>
      <c r="M88" s="20" t="n">
        <f aca="false">IF($B$34="Hợp lệ",IF(J88&gt;I88+$B$27,1,0),"Chưa tính")</f>
        <v>0</v>
      </c>
      <c r="N88" s="20" t="n">
        <f aca="false">IF($B$34&lt;&gt;"Hợp lệ","Chưa tính",IF(H88&gt;F01_UC2!$B$11,N87+1,0))</f>
        <v>29</v>
      </c>
      <c r="O88" s="20" t="n">
        <f aca="false">IF($B$34="Hợp lệ",I88-J88,"Chưa tính")</f>
        <v>0</v>
      </c>
      <c r="P88" s="20"/>
      <c r="Q88" s="20"/>
      <c r="R88" s="20"/>
      <c r="S88" s="20"/>
      <c r="T88" s="20"/>
      <c r="U88" s="20"/>
    </row>
    <row r="89" customFormat="false" ht="22.5" hidden="false" customHeight="true" outlineLevel="0" collapsed="false">
      <c r="A89" s="77" t="n">
        <f aca="false">F01_UC2!A108</f>
        <v>46242</v>
      </c>
      <c r="B89" s="78" t="n">
        <f aca="false">F01_UC2!G108</f>
        <v>12970549279</v>
      </c>
      <c r="C89" s="78" t="n">
        <f aca="false">SUMIFS($L$151:$L$272,$K$151:$K$272,A89)-SUMIFS($J$151:$J$272,$F$151:$F$272,A89)</f>
        <v>0</v>
      </c>
      <c r="D89" s="78" t="n">
        <f aca="false">SUMIFS($N$151:$N$272,$F$151:$F$272,A89)-SUMIFS($P$151:$P$272,$O$151:$O$272,A89)</f>
        <v>0</v>
      </c>
      <c r="E89" s="78" t="n">
        <f aca="false">IF(A89=$B$33,$B$48,0)</f>
        <v>0</v>
      </c>
      <c r="F89" s="78" t="n">
        <f aca="false">SUM(C89:E89)</f>
        <v>0</v>
      </c>
      <c r="G89" s="78" t="n">
        <f aca="false">SUM($F$51:F89)</f>
        <v>2256773072.49</v>
      </c>
      <c r="H89" s="78" t="n">
        <f aca="false">IF($B$34="Hợp lệ",B89+G89,"Chưa tính")</f>
        <v>15227322351.49</v>
      </c>
      <c r="I89" s="78" t="n">
        <f aca="false">F01_UC2!H108</f>
        <v>0</v>
      </c>
      <c r="J89" s="78" t="n">
        <f aca="false">IF($B$34="Hợp lệ",IF(H89&lt;F01_UC2!$B$9,F01_UC2!$B$10-H89,0),"Chưa tính")</f>
        <v>0</v>
      </c>
      <c r="K89" s="79" t="n">
        <f aca="false">IF($B$34&lt;&gt;"Hợp lệ","Chưa tính",IF(H89&lt;F01_UC2!$B$9,3,0))</f>
        <v>0</v>
      </c>
      <c r="L89" s="20" t="n">
        <f aca="false">IF($B$34="Hợp lệ",IF(AND(I89=0,J89&gt;$B$27),1,0),"Chưa tính")</f>
        <v>0</v>
      </c>
      <c r="M89" s="20" t="n">
        <f aca="false">IF($B$34="Hợp lệ",IF(J89&gt;I89+$B$27,1,0),"Chưa tính")</f>
        <v>0</v>
      </c>
      <c r="N89" s="20" t="n">
        <f aca="false">IF($B$34&lt;&gt;"Hợp lệ","Chưa tính",IF(H89&gt;F01_UC2!$B$11,N88+1,0))</f>
        <v>30</v>
      </c>
      <c r="O89" s="20" t="n">
        <f aca="false">IF($B$34="Hợp lệ",I89-J89,"Chưa tính")</f>
        <v>0</v>
      </c>
      <c r="P89" s="20"/>
      <c r="Q89" s="20"/>
      <c r="R89" s="20"/>
      <c r="S89" s="20"/>
      <c r="T89" s="20"/>
      <c r="U89" s="20"/>
    </row>
    <row r="90" customFormat="false" ht="22.5" hidden="false" customHeight="true" outlineLevel="0" collapsed="false">
      <c r="A90" s="77" t="n">
        <f aca="false">F01_UC2!A109</f>
        <v>46243</v>
      </c>
      <c r="B90" s="78" t="n">
        <f aca="false">F01_UC2!G109</f>
        <v>15936412292</v>
      </c>
      <c r="C90" s="78" t="n">
        <f aca="false">SUMIFS($L$151:$L$272,$K$151:$K$272,A90)-SUMIFS($J$151:$J$272,$F$151:$F$272,A90)</f>
        <v>-1482931506.5</v>
      </c>
      <c r="D90" s="78" t="n">
        <f aca="false">SUMIFS($N$151:$N$272,$F$151:$F$272,A90)-SUMIFS($P$151:$P$272,$O$151:$O$272,A90)</f>
        <v>0</v>
      </c>
      <c r="E90" s="78" t="n">
        <f aca="false">IF(A90=$B$33,$B$48,0)</f>
        <v>0</v>
      </c>
      <c r="F90" s="78" t="n">
        <f aca="false">SUM(C90:E90)</f>
        <v>-1482931506.5</v>
      </c>
      <c r="G90" s="78" t="n">
        <f aca="false">SUM($F$51:F90)</f>
        <v>773841565.99</v>
      </c>
      <c r="H90" s="78" t="n">
        <f aca="false">IF($B$34="Hợp lệ",B90+G90,"Chưa tính")</f>
        <v>16710253857.99</v>
      </c>
      <c r="I90" s="78" t="n">
        <f aca="false">F01_UC2!H109</f>
        <v>0</v>
      </c>
      <c r="J90" s="78" t="n">
        <f aca="false">IF($B$34="Hợp lệ",IF(H90&lt;F01_UC2!$B$9,F01_UC2!$B$10-H90,0),"Chưa tính")</f>
        <v>0</v>
      </c>
      <c r="K90" s="79" t="n">
        <f aca="false">IF($B$34&lt;&gt;"Hợp lệ","Chưa tính",IF(H90&lt;F01_UC2!$B$9,3,0))</f>
        <v>0</v>
      </c>
      <c r="L90" s="20" t="n">
        <f aca="false">IF($B$34="Hợp lệ",IF(AND(I90=0,J90&gt;$B$27),1,0),"Chưa tính")</f>
        <v>0</v>
      </c>
      <c r="M90" s="20" t="n">
        <f aca="false">IF($B$34="Hợp lệ",IF(J90&gt;I90+$B$27,1,0),"Chưa tính")</f>
        <v>0</v>
      </c>
      <c r="N90" s="20" t="n">
        <f aca="false">IF($B$34&lt;&gt;"Hợp lệ","Chưa tính",IF(H90&gt;F01_UC2!$B$11,N89+1,0))</f>
        <v>31</v>
      </c>
      <c r="O90" s="20" t="n">
        <f aca="false">IF($B$34="Hợp lệ",I90-J90,"Chưa tính")</f>
        <v>0</v>
      </c>
      <c r="P90" s="20"/>
      <c r="Q90" s="20"/>
      <c r="R90" s="20"/>
      <c r="S90" s="20"/>
      <c r="T90" s="20"/>
      <c r="U90" s="20"/>
    </row>
    <row r="91" customFormat="false" ht="22.5" hidden="false" customHeight="true" outlineLevel="0" collapsed="false">
      <c r="A91" s="77" t="n">
        <f aca="false">F01_UC2!A110</f>
        <v>46244</v>
      </c>
      <c r="B91" s="78" t="n">
        <f aca="false">F01_UC2!G110</f>
        <v>15936412292</v>
      </c>
      <c r="C91" s="78" t="n">
        <f aca="false">SUMIFS($L$151:$L$272,$K$151:$K$272,A91)-SUMIFS($J$151:$J$272,$F$151:$F$272,A91)</f>
        <v>0</v>
      </c>
      <c r="D91" s="78" t="n">
        <f aca="false">SUMIFS($N$151:$N$272,$F$151:$F$272,A91)-SUMIFS($P$151:$P$272,$O$151:$O$272,A91)</f>
        <v>-303569481.93</v>
      </c>
      <c r="E91" s="78" t="n">
        <f aca="false">IF(A91=$B$33,$B$48,0)</f>
        <v>0</v>
      </c>
      <c r="F91" s="78" t="n">
        <f aca="false">SUM(C91:E91)</f>
        <v>-303569481.93</v>
      </c>
      <c r="G91" s="78" t="n">
        <f aca="false">SUM($F$51:F91)</f>
        <v>470272084.06</v>
      </c>
      <c r="H91" s="78" t="n">
        <f aca="false">IF($B$34="Hợp lệ",B91+G91,"Chưa tính")</f>
        <v>16406684376.06</v>
      </c>
      <c r="I91" s="78" t="n">
        <f aca="false">F01_UC2!H110</f>
        <v>0</v>
      </c>
      <c r="J91" s="78" t="n">
        <f aca="false">IF($B$34="Hợp lệ",IF(H91&lt;F01_UC2!$B$9,F01_UC2!$B$10-H91,0),"Chưa tính")</f>
        <v>0</v>
      </c>
      <c r="K91" s="79" t="n">
        <f aca="false">IF($B$34&lt;&gt;"Hợp lệ","Chưa tính",IF(H91&lt;F01_UC2!$B$9,3,0))</f>
        <v>0</v>
      </c>
      <c r="L91" s="20" t="n">
        <f aca="false">IF($B$34="Hợp lệ",IF(AND(I91=0,J91&gt;$B$27),1,0),"Chưa tính")</f>
        <v>0</v>
      </c>
      <c r="M91" s="20" t="n">
        <f aca="false">IF($B$34="Hợp lệ",IF(J91&gt;I91+$B$27,1,0),"Chưa tính")</f>
        <v>0</v>
      </c>
      <c r="N91" s="20" t="n">
        <f aca="false">IF($B$34&lt;&gt;"Hợp lệ","Chưa tính",IF(H91&gt;F01_UC2!$B$11,N90+1,0))</f>
        <v>32</v>
      </c>
      <c r="O91" s="20" t="n">
        <f aca="false">IF($B$34="Hợp lệ",I91-J91,"Chưa tính")</f>
        <v>0</v>
      </c>
      <c r="P91" s="20"/>
      <c r="Q91" s="20"/>
      <c r="R91" s="20"/>
      <c r="S91" s="20"/>
      <c r="T91" s="20"/>
      <c r="U91" s="20"/>
    </row>
    <row r="92" customFormat="false" ht="22.5" hidden="false" customHeight="true" outlineLevel="0" collapsed="false">
      <c r="A92" s="77" t="n">
        <f aca="false">F01_UC2!A111</f>
        <v>46245</v>
      </c>
      <c r="B92" s="78" t="n">
        <f aca="false">F01_UC2!G111</f>
        <v>15936412292</v>
      </c>
      <c r="C92" s="78" t="n">
        <f aca="false">SUMIFS($L$151:$L$272,$K$151:$K$272,A92)-SUMIFS($J$151:$J$272,$F$151:$F$272,A92)</f>
        <v>471358343.61</v>
      </c>
      <c r="D92" s="78" t="n">
        <f aca="false">SUMIFS($N$151:$N$272,$F$151:$F$272,A92)-SUMIFS($P$151:$P$272,$O$151:$O$272,A92)</f>
        <v>0</v>
      </c>
      <c r="E92" s="78" t="n">
        <f aca="false">IF(A92=$B$33,$B$48,0)</f>
        <v>0</v>
      </c>
      <c r="F92" s="78" t="n">
        <f aca="false">SUM(C92:E92)</f>
        <v>471358343.61</v>
      </c>
      <c r="G92" s="78" t="n">
        <f aca="false">SUM($F$51:F92)</f>
        <v>941630427.67</v>
      </c>
      <c r="H92" s="78" t="n">
        <f aca="false">IF($B$34="Hợp lệ",B92+G92,"Chưa tính")</f>
        <v>16878042719.67</v>
      </c>
      <c r="I92" s="78" t="n">
        <f aca="false">F01_UC2!H111</f>
        <v>0</v>
      </c>
      <c r="J92" s="78" t="n">
        <f aca="false">IF($B$34="Hợp lệ",IF(H92&lt;F01_UC2!$B$9,F01_UC2!$B$10-H92,0),"Chưa tính")</f>
        <v>0</v>
      </c>
      <c r="K92" s="79" t="n">
        <f aca="false">IF($B$34&lt;&gt;"Hợp lệ","Chưa tính",IF(H92&lt;F01_UC2!$B$9,3,0))</f>
        <v>0</v>
      </c>
      <c r="L92" s="20" t="n">
        <f aca="false">IF($B$34="Hợp lệ",IF(AND(I92=0,J92&gt;$B$27),1,0),"Chưa tính")</f>
        <v>0</v>
      </c>
      <c r="M92" s="20" t="n">
        <f aca="false">IF($B$34="Hợp lệ",IF(J92&gt;I92+$B$27,1,0),"Chưa tính")</f>
        <v>0</v>
      </c>
      <c r="N92" s="20" t="n">
        <f aca="false">IF($B$34&lt;&gt;"Hợp lệ","Chưa tính",IF(H92&gt;F01_UC2!$B$11,N91+1,0))</f>
        <v>33</v>
      </c>
      <c r="O92" s="20" t="n">
        <f aca="false">IF($B$34="Hợp lệ",I92-J92,"Chưa tính")</f>
        <v>0</v>
      </c>
      <c r="P92" s="20"/>
      <c r="Q92" s="20"/>
      <c r="R92" s="20"/>
      <c r="S92" s="20"/>
      <c r="T92" s="20"/>
      <c r="U92" s="20"/>
    </row>
    <row r="93" customFormat="false" ht="22.5" hidden="false" customHeight="true" outlineLevel="0" collapsed="false">
      <c r="A93" s="77" t="n">
        <f aca="false">F01_UC2!A112</f>
        <v>46246</v>
      </c>
      <c r="B93" s="78" t="n">
        <f aca="false">F01_UC2!G112</f>
        <v>16522035449</v>
      </c>
      <c r="C93" s="78" t="n">
        <f aca="false">SUMIFS($L$151:$L$272,$K$151:$K$272,A93)-SUMIFS($J$151:$J$272,$F$151:$F$272,A93)</f>
        <v>-292811578.5</v>
      </c>
      <c r="D93" s="78" t="n">
        <f aca="false">SUMIFS($N$151:$N$272,$F$151:$F$272,A93)-SUMIFS($P$151:$P$272,$O$151:$O$272,A93)</f>
        <v>0</v>
      </c>
      <c r="E93" s="78" t="n">
        <f aca="false">IF(A93=$B$33,$B$48,0)</f>
        <v>0</v>
      </c>
      <c r="F93" s="78" t="n">
        <f aca="false">SUM(C93:E93)</f>
        <v>-292811578.5</v>
      </c>
      <c r="G93" s="78" t="n">
        <f aca="false">SUM($F$51:F93)</f>
        <v>648818849.17</v>
      </c>
      <c r="H93" s="78" t="n">
        <f aca="false">IF($B$34="Hợp lệ",B93+G93,"Chưa tính")</f>
        <v>17170854298.17</v>
      </c>
      <c r="I93" s="78" t="n">
        <f aca="false">F01_UC2!H112</f>
        <v>0</v>
      </c>
      <c r="J93" s="78" t="n">
        <f aca="false">IF($B$34="Hợp lệ",IF(H93&lt;F01_UC2!$B$9,F01_UC2!$B$10-H93,0),"Chưa tính")</f>
        <v>0</v>
      </c>
      <c r="K93" s="79" t="n">
        <f aca="false">IF($B$34&lt;&gt;"Hợp lệ","Chưa tính",IF(H93&lt;F01_UC2!$B$9,3,0))</f>
        <v>0</v>
      </c>
      <c r="L93" s="20" t="n">
        <f aca="false">IF($B$34="Hợp lệ",IF(AND(I93=0,J93&gt;$B$27),1,0),"Chưa tính")</f>
        <v>0</v>
      </c>
      <c r="M93" s="20" t="n">
        <f aca="false">IF($B$34="Hợp lệ",IF(J93&gt;I93+$B$27,1,0),"Chưa tính")</f>
        <v>0</v>
      </c>
      <c r="N93" s="20" t="n">
        <f aca="false">IF($B$34&lt;&gt;"Hợp lệ","Chưa tính",IF(H93&gt;F01_UC2!$B$11,N92+1,0))</f>
        <v>34</v>
      </c>
      <c r="O93" s="20" t="n">
        <f aca="false">IF($B$34="Hợp lệ",I93-J93,"Chưa tính")</f>
        <v>0</v>
      </c>
      <c r="P93" s="20"/>
      <c r="Q93" s="20"/>
      <c r="R93" s="20"/>
      <c r="S93" s="20"/>
      <c r="T93" s="20"/>
      <c r="U93" s="20"/>
    </row>
    <row r="94" customFormat="false" ht="22.5" hidden="false" customHeight="true" outlineLevel="0" collapsed="false">
      <c r="A94" s="77" t="n">
        <f aca="false">F01_UC2!A113</f>
        <v>46247</v>
      </c>
      <c r="B94" s="78" t="n">
        <f aca="false">F01_UC2!G113</f>
        <v>16522035449</v>
      </c>
      <c r="C94" s="78" t="n">
        <f aca="false">SUMIFS($L$151:$L$272,$K$151:$K$272,A94)-SUMIFS($J$151:$J$272,$F$151:$F$272,A94)</f>
        <v>0</v>
      </c>
      <c r="D94" s="78" t="n">
        <f aca="false">SUMIFS($N$151:$N$272,$F$151:$F$272,A94)-SUMIFS($P$151:$P$272,$O$151:$O$272,A94)</f>
        <v>0</v>
      </c>
      <c r="E94" s="78" t="n">
        <f aca="false">IF(A94=$B$33,$B$48,0)</f>
        <v>0</v>
      </c>
      <c r="F94" s="78" t="n">
        <f aca="false">SUM(C94:E94)</f>
        <v>0</v>
      </c>
      <c r="G94" s="78" t="n">
        <f aca="false">SUM($F$51:F94)</f>
        <v>648818849.17</v>
      </c>
      <c r="H94" s="78" t="n">
        <f aca="false">IF($B$34="Hợp lệ",B94+G94,"Chưa tính")</f>
        <v>17170854298.17</v>
      </c>
      <c r="I94" s="78" t="n">
        <f aca="false">F01_UC2!H113</f>
        <v>0</v>
      </c>
      <c r="J94" s="78" t="n">
        <f aca="false">IF($B$34="Hợp lệ",IF(H94&lt;F01_UC2!$B$9,F01_UC2!$B$10-H94,0),"Chưa tính")</f>
        <v>0</v>
      </c>
      <c r="K94" s="79" t="n">
        <f aca="false">IF($B$34&lt;&gt;"Hợp lệ","Chưa tính",IF(H94&lt;F01_UC2!$B$9,3,0))</f>
        <v>0</v>
      </c>
      <c r="L94" s="20" t="n">
        <f aca="false">IF($B$34="Hợp lệ",IF(AND(I94=0,J94&gt;$B$27),1,0),"Chưa tính")</f>
        <v>0</v>
      </c>
      <c r="M94" s="20" t="n">
        <f aca="false">IF($B$34="Hợp lệ",IF(J94&gt;I94+$B$27,1,0),"Chưa tính")</f>
        <v>0</v>
      </c>
      <c r="N94" s="20" t="n">
        <f aca="false">IF($B$34&lt;&gt;"Hợp lệ","Chưa tính",IF(H94&gt;F01_UC2!$B$11,N93+1,0))</f>
        <v>35</v>
      </c>
      <c r="O94" s="20" t="n">
        <f aca="false">IF($B$34="Hợp lệ",I94-J94,"Chưa tính")</f>
        <v>0</v>
      </c>
      <c r="P94" s="20"/>
      <c r="Q94" s="20"/>
      <c r="R94" s="20"/>
      <c r="S94" s="20"/>
      <c r="T94" s="20"/>
      <c r="U94" s="20"/>
    </row>
    <row r="95" customFormat="false" ht="22.5" hidden="false" customHeight="true" outlineLevel="0" collapsed="false">
      <c r="A95" s="77" t="n">
        <f aca="false">F01_UC2!A114</f>
        <v>46248</v>
      </c>
      <c r="B95" s="78" t="n">
        <f aca="false">F01_UC2!G114</f>
        <v>16522035449</v>
      </c>
      <c r="C95" s="78" t="n">
        <f aca="false">SUMIFS($L$151:$L$272,$K$151:$K$272,A95)-SUMIFS($J$151:$J$272,$F$151:$F$272,A95)</f>
        <v>0</v>
      </c>
      <c r="D95" s="78" t="n">
        <f aca="false">SUMIFS($N$151:$N$272,$F$151:$F$272,A95)-SUMIFS($P$151:$P$272,$O$151:$O$272,A95)</f>
        <v>0</v>
      </c>
      <c r="E95" s="78" t="n">
        <f aca="false">IF(A95=$B$33,$B$48,0)</f>
        <v>0</v>
      </c>
      <c r="F95" s="78" t="n">
        <f aca="false">SUM(C95:E95)</f>
        <v>0</v>
      </c>
      <c r="G95" s="78" t="n">
        <f aca="false">SUM($F$51:F95)</f>
        <v>648818849.17</v>
      </c>
      <c r="H95" s="78" t="n">
        <f aca="false">IF($B$34="Hợp lệ",B95+G95,"Chưa tính")</f>
        <v>17170854298.17</v>
      </c>
      <c r="I95" s="78" t="n">
        <f aca="false">F01_UC2!H114</f>
        <v>0</v>
      </c>
      <c r="J95" s="78" t="n">
        <f aca="false">IF($B$34="Hợp lệ",IF(H95&lt;F01_UC2!$B$9,F01_UC2!$B$10-H95,0),"Chưa tính")</f>
        <v>0</v>
      </c>
      <c r="K95" s="79" t="n">
        <f aca="false">IF($B$34&lt;&gt;"Hợp lệ","Chưa tính",IF(H95&lt;F01_UC2!$B$9,3,0))</f>
        <v>0</v>
      </c>
      <c r="L95" s="20" t="n">
        <f aca="false">IF($B$34="Hợp lệ",IF(AND(I95=0,J95&gt;$B$27),1,0),"Chưa tính")</f>
        <v>0</v>
      </c>
      <c r="M95" s="20" t="n">
        <f aca="false">IF($B$34="Hợp lệ",IF(J95&gt;I95+$B$27,1,0),"Chưa tính")</f>
        <v>0</v>
      </c>
      <c r="N95" s="20" t="n">
        <f aca="false">IF($B$34&lt;&gt;"Hợp lệ","Chưa tính",IF(H95&gt;F01_UC2!$B$11,N94+1,0))</f>
        <v>36</v>
      </c>
      <c r="O95" s="20" t="n">
        <f aca="false">IF($B$34="Hợp lệ",I95-J95,"Chưa tính")</f>
        <v>0</v>
      </c>
      <c r="P95" s="20"/>
      <c r="Q95" s="20"/>
      <c r="R95" s="20"/>
      <c r="S95" s="20"/>
      <c r="T95" s="20"/>
      <c r="U95" s="20"/>
    </row>
    <row r="96" customFormat="false" ht="22.5" hidden="false" customHeight="true" outlineLevel="0" collapsed="false">
      <c r="A96" s="77" t="n">
        <f aca="false">F01_UC2!A115</f>
        <v>46249</v>
      </c>
      <c r="B96" s="78" t="n">
        <f aca="false">F01_UC2!G115</f>
        <v>15514035449</v>
      </c>
      <c r="C96" s="78" t="n">
        <f aca="false">SUMIFS($L$151:$L$272,$K$151:$K$272,A96)-SUMIFS($J$151:$J$272,$F$151:$F$272,A96)</f>
        <v>367447635.225</v>
      </c>
      <c r="D96" s="78" t="n">
        <f aca="false">SUMIFS($N$151:$N$272,$F$151:$F$272,A96)-SUMIFS($P$151:$P$272,$O$151:$O$272,A96)</f>
        <v>0</v>
      </c>
      <c r="E96" s="78" t="n">
        <f aca="false">IF(A96=$B$33,$B$48,0)</f>
        <v>0</v>
      </c>
      <c r="F96" s="78" t="n">
        <f aca="false">SUM(C96:E96)</f>
        <v>367447635.225</v>
      </c>
      <c r="G96" s="78" t="n">
        <f aca="false">SUM($F$51:F96)</f>
        <v>1016266484.395</v>
      </c>
      <c r="H96" s="78" t="n">
        <f aca="false">IF($B$34="Hợp lệ",B96+G96,"Chưa tính")</f>
        <v>16530301933.395</v>
      </c>
      <c r="I96" s="78" t="n">
        <f aca="false">F01_UC2!H115</f>
        <v>0</v>
      </c>
      <c r="J96" s="78" t="n">
        <f aca="false">IF($B$34="Hợp lệ",IF(H96&lt;F01_UC2!$B$9,F01_UC2!$B$10-H96,0),"Chưa tính")</f>
        <v>0</v>
      </c>
      <c r="K96" s="79" t="n">
        <f aca="false">IF($B$34&lt;&gt;"Hợp lệ","Chưa tính",IF(H96&lt;F01_UC2!$B$9,3,0))</f>
        <v>0</v>
      </c>
      <c r="L96" s="20" t="n">
        <f aca="false">IF($B$34="Hợp lệ",IF(AND(I96=0,J96&gt;$B$27),1,0),"Chưa tính")</f>
        <v>0</v>
      </c>
      <c r="M96" s="20" t="n">
        <f aca="false">IF($B$34="Hợp lệ",IF(J96&gt;I96+$B$27,1,0),"Chưa tính")</f>
        <v>0</v>
      </c>
      <c r="N96" s="20" t="n">
        <f aca="false">IF($B$34&lt;&gt;"Hợp lệ","Chưa tính",IF(H96&gt;F01_UC2!$B$11,N95+1,0))</f>
        <v>37</v>
      </c>
      <c r="O96" s="20" t="n">
        <f aca="false">IF($B$34="Hợp lệ",I96-J96,"Chưa tính")</f>
        <v>0</v>
      </c>
      <c r="P96" s="20"/>
      <c r="Q96" s="20"/>
      <c r="R96" s="20"/>
      <c r="S96" s="20"/>
      <c r="T96" s="20"/>
      <c r="U96" s="20"/>
    </row>
    <row r="97" customFormat="false" ht="22.5" hidden="false" customHeight="true" outlineLevel="0" collapsed="false">
      <c r="A97" s="77" t="n">
        <f aca="false">F01_UC2!A116</f>
        <v>46250</v>
      </c>
      <c r="B97" s="78" t="n">
        <f aca="false">F01_UC2!G116</f>
        <v>15514035449</v>
      </c>
      <c r="C97" s="78" t="n">
        <f aca="false">SUMIFS($L$151:$L$272,$K$151:$K$272,A97)-SUMIFS($J$151:$J$272,$F$151:$F$272,A97)</f>
        <v>0</v>
      </c>
      <c r="D97" s="78" t="n">
        <f aca="false">SUMIFS($N$151:$N$272,$F$151:$F$272,A97)-SUMIFS($P$151:$P$272,$O$151:$O$272,A97)</f>
        <v>0</v>
      </c>
      <c r="E97" s="78" t="n">
        <f aca="false">IF(A97=$B$33,$B$48,0)</f>
        <v>0</v>
      </c>
      <c r="F97" s="78" t="n">
        <f aca="false">SUM(C97:E97)</f>
        <v>0</v>
      </c>
      <c r="G97" s="78" t="n">
        <f aca="false">SUM($F$51:F97)</f>
        <v>1016266484.395</v>
      </c>
      <c r="H97" s="78" t="n">
        <f aca="false">IF($B$34="Hợp lệ",B97+G97,"Chưa tính")</f>
        <v>16530301933.395</v>
      </c>
      <c r="I97" s="78" t="n">
        <f aca="false">F01_UC2!H116</f>
        <v>0</v>
      </c>
      <c r="J97" s="78" t="n">
        <f aca="false">IF($B$34="Hợp lệ",IF(H97&lt;F01_UC2!$B$9,F01_UC2!$B$10-H97,0),"Chưa tính")</f>
        <v>0</v>
      </c>
      <c r="K97" s="79" t="n">
        <f aca="false">IF($B$34&lt;&gt;"Hợp lệ","Chưa tính",IF(H97&lt;F01_UC2!$B$9,3,0))</f>
        <v>0</v>
      </c>
      <c r="L97" s="20" t="n">
        <f aca="false">IF($B$34="Hợp lệ",IF(AND(I97=0,J97&gt;$B$27),1,0),"Chưa tính")</f>
        <v>0</v>
      </c>
      <c r="M97" s="20" t="n">
        <f aca="false">IF($B$34="Hợp lệ",IF(J97&gt;I97+$B$27,1,0),"Chưa tính")</f>
        <v>0</v>
      </c>
      <c r="N97" s="20" t="n">
        <f aca="false">IF($B$34&lt;&gt;"Hợp lệ","Chưa tính",IF(H97&gt;F01_UC2!$B$11,N96+1,0))</f>
        <v>38</v>
      </c>
      <c r="O97" s="20" t="n">
        <f aca="false">IF($B$34="Hợp lệ",I97-J97,"Chưa tính")</f>
        <v>0</v>
      </c>
      <c r="P97" s="20"/>
      <c r="Q97" s="20"/>
      <c r="R97" s="20"/>
      <c r="S97" s="20"/>
      <c r="T97" s="20"/>
      <c r="U97" s="20"/>
    </row>
    <row r="98" customFormat="false" ht="22.5" hidden="false" customHeight="true" outlineLevel="0" collapsed="false">
      <c r="A98" s="77" t="n">
        <f aca="false">F01_UC2!A117</f>
        <v>46251</v>
      </c>
      <c r="B98" s="78" t="n">
        <f aca="false">F01_UC2!G117</f>
        <v>15514035449</v>
      </c>
      <c r="C98" s="78" t="n">
        <f aca="false">SUMIFS($L$151:$L$272,$K$151:$K$272,A98)-SUMIFS($J$151:$J$272,$F$151:$F$272,A98)</f>
        <v>0</v>
      </c>
      <c r="D98" s="78" t="n">
        <f aca="false">SUMIFS($N$151:$N$272,$F$151:$F$272,A98)-SUMIFS($P$151:$P$272,$O$151:$O$272,A98)</f>
        <v>0</v>
      </c>
      <c r="E98" s="78" t="n">
        <f aca="false">IF(A98=$B$33,$B$48,0)</f>
        <v>0</v>
      </c>
      <c r="F98" s="78" t="n">
        <f aca="false">SUM(C98:E98)</f>
        <v>0</v>
      </c>
      <c r="G98" s="78" t="n">
        <f aca="false">SUM($F$51:F98)</f>
        <v>1016266484.395</v>
      </c>
      <c r="H98" s="78" t="n">
        <f aca="false">IF($B$34="Hợp lệ",B98+G98,"Chưa tính")</f>
        <v>16530301933.395</v>
      </c>
      <c r="I98" s="78" t="n">
        <f aca="false">F01_UC2!H117</f>
        <v>0</v>
      </c>
      <c r="J98" s="78" t="n">
        <f aca="false">IF($B$34="Hợp lệ",IF(H98&lt;F01_UC2!$B$9,F01_UC2!$B$10-H98,0),"Chưa tính")</f>
        <v>0</v>
      </c>
      <c r="K98" s="79" t="n">
        <f aca="false">IF($B$34&lt;&gt;"Hợp lệ","Chưa tính",IF(H98&lt;F01_UC2!$B$9,3,0))</f>
        <v>0</v>
      </c>
      <c r="L98" s="20" t="n">
        <f aca="false">IF($B$34="Hợp lệ",IF(AND(I98=0,J98&gt;$B$27),1,0),"Chưa tính")</f>
        <v>0</v>
      </c>
      <c r="M98" s="20" t="n">
        <f aca="false">IF($B$34="Hợp lệ",IF(J98&gt;I98+$B$27,1,0),"Chưa tính")</f>
        <v>0</v>
      </c>
      <c r="N98" s="20" t="n">
        <f aca="false">IF($B$34&lt;&gt;"Hợp lệ","Chưa tính",IF(H98&gt;F01_UC2!$B$11,N97+1,0))</f>
        <v>39</v>
      </c>
      <c r="O98" s="20" t="n">
        <f aca="false">IF($B$34="Hợp lệ",I98-J98,"Chưa tính")</f>
        <v>0</v>
      </c>
      <c r="P98" s="20"/>
      <c r="Q98" s="20"/>
      <c r="R98" s="20"/>
      <c r="S98" s="20"/>
      <c r="T98" s="20"/>
      <c r="U98" s="20"/>
    </row>
    <row r="99" customFormat="false" ht="22.5" hidden="false" customHeight="true" outlineLevel="0" collapsed="false">
      <c r="A99" s="77" t="n">
        <f aca="false">F01_UC2!A118</f>
        <v>46252</v>
      </c>
      <c r="B99" s="78" t="n">
        <f aca="false">F01_UC2!G118</f>
        <v>16466274527</v>
      </c>
      <c r="C99" s="78" t="n">
        <f aca="false">SUMIFS($L$151:$L$272,$K$151:$K$272,A99)-SUMIFS($J$151:$J$272,$F$151:$F$272,A99)</f>
        <v>-476119539</v>
      </c>
      <c r="D99" s="78" t="n">
        <f aca="false">SUMIFS($N$151:$N$272,$F$151:$F$272,A99)-SUMIFS($P$151:$P$272,$O$151:$O$272,A99)</f>
        <v>0</v>
      </c>
      <c r="E99" s="78" t="n">
        <f aca="false">IF(A99=$B$33,$B$48,0)</f>
        <v>0</v>
      </c>
      <c r="F99" s="78" t="n">
        <f aca="false">SUM(C99:E99)</f>
        <v>-476119539</v>
      </c>
      <c r="G99" s="78" t="n">
        <f aca="false">SUM($F$51:F99)</f>
        <v>540146945.395</v>
      </c>
      <c r="H99" s="78" t="n">
        <f aca="false">IF($B$34="Hợp lệ",B99+G99,"Chưa tính")</f>
        <v>17006421472.395</v>
      </c>
      <c r="I99" s="78" t="n">
        <f aca="false">F01_UC2!H118</f>
        <v>0</v>
      </c>
      <c r="J99" s="78" t="n">
        <f aca="false">IF($B$34="Hợp lệ",IF(H99&lt;F01_UC2!$B$9,F01_UC2!$B$10-H99,0),"Chưa tính")</f>
        <v>0</v>
      </c>
      <c r="K99" s="79" t="n">
        <f aca="false">IF($B$34&lt;&gt;"Hợp lệ","Chưa tính",IF(H99&lt;F01_UC2!$B$9,3,0))</f>
        <v>0</v>
      </c>
      <c r="L99" s="20" t="n">
        <f aca="false">IF($B$34="Hợp lệ",IF(AND(I99=0,J99&gt;$B$27),1,0),"Chưa tính")</f>
        <v>0</v>
      </c>
      <c r="M99" s="20" t="n">
        <f aca="false">IF($B$34="Hợp lệ",IF(J99&gt;I99+$B$27,1,0),"Chưa tính")</f>
        <v>0</v>
      </c>
      <c r="N99" s="20" t="n">
        <f aca="false">IF($B$34&lt;&gt;"Hợp lệ","Chưa tính",IF(H99&gt;F01_UC2!$B$11,N98+1,0))</f>
        <v>40</v>
      </c>
      <c r="O99" s="20" t="n">
        <f aca="false">IF($B$34="Hợp lệ",I99-J99,"Chưa tính")</f>
        <v>0</v>
      </c>
      <c r="P99" s="20"/>
      <c r="Q99" s="20"/>
      <c r="R99" s="20"/>
      <c r="S99" s="20"/>
      <c r="T99" s="20"/>
      <c r="U99" s="20"/>
    </row>
    <row r="100" customFormat="false" ht="22.5" hidden="false" customHeight="true" outlineLevel="0" collapsed="false">
      <c r="A100" s="77" t="n">
        <f aca="false">F01_UC2!A119</f>
        <v>46253</v>
      </c>
      <c r="B100" s="78" t="n">
        <f aca="false">F01_UC2!G119</f>
        <v>16466274527</v>
      </c>
      <c r="C100" s="78" t="n">
        <f aca="false">SUMIFS($L$151:$L$272,$K$151:$K$272,A100)-SUMIFS($J$151:$J$272,$F$151:$F$272,A100)</f>
        <v>0</v>
      </c>
      <c r="D100" s="78" t="n">
        <f aca="false">SUMIFS($N$151:$N$272,$F$151:$F$272,A100)-SUMIFS($P$151:$P$272,$O$151:$O$272,A100)</f>
        <v>0</v>
      </c>
      <c r="E100" s="78" t="n">
        <f aca="false">IF(A100=$B$33,$B$48,0)</f>
        <v>0</v>
      </c>
      <c r="F100" s="78" t="n">
        <f aca="false">SUM(C100:E100)</f>
        <v>0</v>
      </c>
      <c r="G100" s="78" t="n">
        <f aca="false">SUM($F$51:F100)</f>
        <v>540146945.395</v>
      </c>
      <c r="H100" s="78" t="n">
        <f aca="false">IF($B$34="Hợp lệ",B100+G100,"Chưa tính")</f>
        <v>17006421472.395</v>
      </c>
      <c r="I100" s="78" t="n">
        <f aca="false">F01_UC2!H119</f>
        <v>0</v>
      </c>
      <c r="J100" s="78" t="n">
        <f aca="false">IF($B$34="Hợp lệ",IF(H100&lt;F01_UC2!$B$9,F01_UC2!$B$10-H100,0),"Chưa tính")</f>
        <v>0</v>
      </c>
      <c r="K100" s="79" t="n">
        <f aca="false">IF($B$34&lt;&gt;"Hợp lệ","Chưa tính",IF(H100&lt;F01_UC2!$B$9,3,0))</f>
        <v>0</v>
      </c>
      <c r="L100" s="20" t="n">
        <f aca="false">IF($B$34="Hợp lệ",IF(AND(I100=0,J100&gt;$B$27),1,0),"Chưa tính")</f>
        <v>0</v>
      </c>
      <c r="M100" s="20" t="n">
        <f aca="false">IF($B$34="Hợp lệ",IF(J100&gt;I100+$B$27,1,0),"Chưa tính")</f>
        <v>0</v>
      </c>
      <c r="N100" s="20" t="n">
        <f aca="false">IF($B$34&lt;&gt;"Hợp lệ","Chưa tính",IF(H100&gt;F01_UC2!$B$11,N99+1,0))</f>
        <v>41</v>
      </c>
      <c r="O100" s="20" t="n">
        <f aca="false">IF($B$34="Hợp lệ",I100-J100,"Chưa tính")</f>
        <v>0</v>
      </c>
      <c r="P100" s="20"/>
      <c r="Q100" s="20"/>
      <c r="R100" s="20"/>
      <c r="S100" s="20"/>
      <c r="T100" s="20"/>
      <c r="U100" s="20"/>
    </row>
    <row r="101" customFormat="false" ht="22.5" hidden="false" customHeight="true" outlineLevel="0" collapsed="false">
      <c r="A101" s="77" t="n">
        <f aca="false">F01_UC2!A120</f>
        <v>46254</v>
      </c>
      <c r="B101" s="78" t="n">
        <f aca="false">F01_UC2!G120</f>
        <v>15938074943</v>
      </c>
      <c r="C101" s="78" t="n">
        <f aca="false">SUMIFS($L$151:$L$272,$K$151:$K$272,A101)-SUMIFS($J$151:$J$272,$F$151:$F$272,A101)</f>
        <v>0</v>
      </c>
      <c r="D101" s="78" t="n">
        <f aca="false">SUMIFS($N$151:$N$272,$F$151:$F$272,A101)-SUMIFS($P$151:$P$272,$O$151:$O$272,A101)</f>
        <v>0</v>
      </c>
      <c r="E101" s="78" t="n">
        <f aca="false">IF(A101=$B$33,$B$48,0)</f>
        <v>0</v>
      </c>
      <c r="F101" s="78" t="n">
        <f aca="false">SUM(C101:E101)</f>
        <v>0</v>
      </c>
      <c r="G101" s="78" t="n">
        <f aca="false">SUM($F$51:F101)</f>
        <v>540146945.395</v>
      </c>
      <c r="H101" s="78" t="n">
        <f aca="false">IF($B$34="Hợp lệ",B101+G101,"Chưa tính")</f>
        <v>16478221888.395</v>
      </c>
      <c r="I101" s="78" t="n">
        <f aca="false">F01_UC2!H120</f>
        <v>0</v>
      </c>
      <c r="J101" s="78" t="n">
        <f aca="false">IF($B$34="Hợp lệ",IF(H101&lt;F01_UC2!$B$9,F01_UC2!$B$10-H101,0),"Chưa tính")</f>
        <v>0</v>
      </c>
      <c r="K101" s="79" t="n">
        <f aca="false">IF($B$34&lt;&gt;"Hợp lệ","Chưa tính",IF(H101&lt;F01_UC2!$B$9,3,0))</f>
        <v>0</v>
      </c>
      <c r="L101" s="20" t="n">
        <f aca="false">IF($B$34="Hợp lệ",IF(AND(I101=0,J101&gt;$B$27),1,0),"Chưa tính")</f>
        <v>0</v>
      </c>
      <c r="M101" s="20" t="n">
        <f aca="false">IF($B$34="Hợp lệ",IF(J101&gt;I101+$B$27,1,0),"Chưa tính")</f>
        <v>0</v>
      </c>
      <c r="N101" s="20" t="n">
        <f aca="false">IF($B$34&lt;&gt;"Hợp lệ","Chưa tính",IF(H101&gt;F01_UC2!$B$11,N100+1,0))</f>
        <v>42</v>
      </c>
      <c r="O101" s="20" t="n">
        <f aca="false">IF($B$34="Hợp lệ",I101-J101,"Chưa tính")</f>
        <v>0</v>
      </c>
      <c r="P101" s="20"/>
      <c r="Q101" s="20"/>
      <c r="R101" s="20"/>
      <c r="S101" s="20"/>
      <c r="T101" s="20"/>
      <c r="U101" s="20"/>
    </row>
    <row r="102" customFormat="false" ht="22.5" hidden="false" customHeight="true" outlineLevel="0" collapsed="false">
      <c r="A102" s="77" t="n">
        <f aca="false">F01_UC2!A121</f>
        <v>46255</v>
      </c>
      <c r="B102" s="78" t="n">
        <f aca="false">F01_UC2!G121</f>
        <v>15938074943</v>
      </c>
      <c r="C102" s="78" t="n">
        <f aca="false">SUMIFS($L$151:$L$272,$K$151:$K$272,A102)-SUMIFS($J$151:$J$272,$F$151:$F$272,A102)</f>
        <v>0</v>
      </c>
      <c r="D102" s="78" t="n">
        <f aca="false">SUMIFS($N$151:$N$272,$F$151:$F$272,A102)-SUMIFS($P$151:$P$272,$O$151:$O$272,A102)</f>
        <v>0</v>
      </c>
      <c r="E102" s="78" t="n">
        <f aca="false">IF(A102=$B$33,$B$48,0)</f>
        <v>0</v>
      </c>
      <c r="F102" s="78" t="n">
        <f aca="false">SUM(C102:E102)</f>
        <v>0</v>
      </c>
      <c r="G102" s="78" t="n">
        <f aca="false">SUM($F$51:F102)</f>
        <v>540146945.395</v>
      </c>
      <c r="H102" s="78" t="n">
        <f aca="false">IF($B$34="Hợp lệ",B102+G102,"Chưa tính")</f>
        <v>16478221888.395</v>
      </c>
      <c r="I102" s="78" t="n">
        <f aca="false">F01_UC2!H121</f>
        <v>0</v>
      </c>
      <c r="J102" s="78" t="n">
        <f aca="false">IF($B$34="Hợp lệ",IF(H102&lt;F01_UC2!$B$9,F01_UC2!$B$10-H102,0),"Chưa tính")</f>
        <v>0</v>
      </c>
      <c r="K102" s="79" t="n">
        <f aca="false">IF($B$34&lt;&gt;"Hợp lệ","Chưa tính",IF(H102&lt;F01_UC2!$B$9,3,0))</f>
        <v>0</v>
      </c>
      <c r="L102" s="20" t="n">
        <f aca="false">IF($B$34="Hợp lệ",IF(AND(I102=0,J102&gt;$B$27),1,0),"Chưa tính")</f>
        <v>0</v>
      </c>
      <c r="M102" s="20" t="n">
        <f aca="false">IF($B$34="Hợp lệ",IF(J102&gt;I102+$B$27,1,0),"Chưa tính")</f>
        <v>0</v>
      </c>
      <c r="N102" s="20" t="n">
        <f aca="false">IF($B$34&lt;&gt;"Hợp lệ","Chưa tính",IF(H102&gt;F01_UC2!$B$11,N101+1,0))</f>
        <v>43</v>
      </c>
      <c r="O102" s="20" t="n">
        <f aca="false">IF($B$34="Hợp lệ",I102-J102,"Chưa tính")</f>
        <v>0</v>
      </c>
      <c r="P102" s="20"/>
      <c r="Q102" s="20"/>
      <c r="R102" s="20"/>
      <c r="S102" s="20"/>
      <c r="T102" s="20"/>
      <c r="U102" s="20"/>
    </row>
    <row r="103" customFormat="false" ht="22.5" hidden="false" customHeight="true" outlineLevel="0" collapsed="false">
      <c r="A103" s="77" t="n">
        <f aca="false">F01_UC2!A122</f>
        <v>46256</v>
      </c>
      <c r="B103" s="78" t="n">
        <f aca="false">F01_UC2!G122</f>
        <v>16680393398</v>
      </c>
      <c r="C103" s="78" t="n">
        <f aca="false">SUMIFS($L$151:$L$272,$K$151:$K$272,A103)-SUMIFS($J$151:$J$272,$F$151:$F$272,A103)</f>
        <v>-371159227.5</v>
      </c>
      <c r="D103" s="78" t="n">
        <f aca="false">SUMIFS($N$151:$N$272,$F$151:$F$272,A103)-SUMIFS($P$151:$P$272,$O$151:$O$272,A103)</f>
        <v>0</v>
      </c>
      <c r="E103" s="78" t="n">
        <f aca="false">IF(A103=$B$33,$B$48,0)</f>
        <v>0</v>
      </c>
      <c r="F103" s="78" t="n">
        <f aca="false">SUM(C103:E103)</f>
        <v>-371159227.5</v>
      </c>
      <c r="G103" s="78" t="n">
        <f aca="false">SUM($F$51:F103)</f>
        <v>168987717.895</v>
      </c>
      <c r="H103" s="78" t="n">
        <f aca="false">IF($B$34="Hợp lệ",B103+G103,"Chưa tính")</f>
        <v>16849381115.895</v>
      </c>
      <c r="I103" s="78" t="n">
        <f aca="false">F01_UC2!H122</f>
        <v>0</v>
      </c>
      <c r="J103" s="78" t="n">
        <f aca="false">IF($B$34="Hợp lệ",IF(H103&lt;F01_UC2!$B$9,F01_UC2!$B$10-H103,0),"Chưa tính")</f>
        <v>0</v>
      </c>
      <c r="K103" s="79" t="n">
        <f aca="false">IF($B$34&lt;&gt;"Hợp lệ","Chưa tính",IF(H103&lt;F01_UC2!$B$9,3,0))</f>
        <v>0</v>
      </c>
      <c r="L103" s="20" t="n">
        <f aca="false">IF($B$34="Hợp lệ",IF(AND(I103=0,J103&gt;$B$27),1,0),"Chưa tính")</f>
        <v>0</v>
      </c>
      <c r="M103" s="20" t="n">
        <f aca="false">IF($B$34="Hợp lệ",IF(J103&gt;I103+$B$27,1,0),"Chưa tính")</f>
        <v>0</v>
      </c>
      <c r="N103" s="20" t="n">
        <f aca="false">IF($B$34&lt;&gt;"Hợp lệ","Chưa tính",IF(H103&gt;F01_UC2!$B$11,N102+1,0))</f>
        <v>44</v>
      </c>
      <c r="O103" s="20" t="n">
        <f aca="false">IF($B$34="Hợp lệ",I103-J103,"Chưa tính")</f>
        <v>0</v>
      </c>
      <c r="P103" s="20"/>
      <c r="Q103" s="20"/>
      <c r="R103" s="20"/>
      <c r="S103" s="20"/>
      <c r="T103" s="20"/>
      <c r="U103" s="20"/>
    </row>
    <row r="104" customFormat="false" ht="22.5" hidden="false" customHeight="true" outlineLevel="0" collapsed="false">
      <c r="A104" s="77" t="n">
        <f aca="false">F01_UC2!A123</f>
        <v>46257</v>
      </c>
      <c r="B104" s="78" t="n">
        <f aca="false">F01_UC2!G123</f>
        <v>16680393398</v>
      </c>
      <c r="C104" s="78" t="n">
        <f aca="false">SUMIFS($L$151:$L$272,$K$151:$K$272,A104)-SUMIFS($J$151:$J$272,$F$151:$F$272,A104)</f>
        <v>617690867.805</v>
      </c>
      <c r="D104" s="78" t="n">
        <f aca="false">SUMIFS($N$151:$N$272,$F$151:$F$272,A104)-SUMIFS($P$151:$P$272,$O$151:$O$272,A104)</f>
        <v>0</v>
      </c>
      <c r="E104" s="78" t="n">
        <f aca="false">IF(A104=$B$33,$B$48,0)</f>
        <v>0</v>
      </c>
      <c r="F104" s="78" t="n">
        <f aca="false">SUM(C104:E104)</f>
        <v>617690867.805</v>
      </c>
      <c r="G104" s="78" t="n">
        <f aca="false">SUM($F$51:F104)</f>
        <v>786678585.7</v>
      </c>
      <c r="H104" s="78" t="n">
        <f aca="false">IF($B$34="Hợp lệ",B104+G104,"Chưa tính")</f>
        <v>17467071983.7</v>
      </c>
      <c r="I104" s="78" t="n">
        <f aca="false">F01_UC2!H123</f>
        <v>0</v>
      </c>
      <c r="J104" s="78" t="n">
        <f aca="false">IF($B$34="Hợp lệ",IF(H104&lt;F01_UC2!$B$9,F01_UC2!$B$10-H104,0),"Chưa tính")</f>
        <v>0</v>
      </c>
      <c r="K104" s="79" t="n">
        <f aca="false">IF($B$34&lt;&gt;"Hợp lệ","Chưa tính",IF(H104&lt;F01_UC2!$B$9,3,0))</f>
        <v>0</v>
      </c>
      <c r="L104" s="20" t="n">
        <f aca="false">IF($B$34="Hợp lệ",IF(AND(I104=0,J104&gt;$B$27),1,0),"Chưa tính")</f>
        <v>0</v>
      </c>
      <c r="M104" s="20" t="n">
        <f aca="false">IF($B$34="Hợp lệ",IF(J104&gt;I104+$B$27,1,0),"Chưa tính")</f>
        <v>0</v>
      </c>
      <c r="N104" s="20" t="n">
        <f aca="false">IF($B$34&lt;&gt;"Hợp lệ","Chưa tính",IF(H104&gt;F01_UC2!$B$11,N103+1,0))</f>
        <v>45</v>
      </c>
      <c r="O104" s="20" t="n">
        <f aca="false">IF($B$34="Hợp lệ",I104-J104,"Chưa tính")</f>
        <v>0</v>
      </c>
      <c r="P104" s="20"/>
      <c r="Q104" s="20"/>
      <c r="R104" s="20"/>
      <c r="S104" s="20"/>
      <c r="T104" s="20"/>
      <c r="U104" s="20"/>
    </row>
    <row r="105" customFormat="false" ht="22.5" hidden="false" customHeight="true" outlineLevel="0" collapsed="false">
      <c r="A105" s="77" t="n">
        <f aca="false">F01_UC2!A124</f>
        <v>46258</v>
      </c>
      <c r="B105" s="78" t="n">
        <f aca="false">F01_UC2!G124</f>
        <v>16680393398</v>
      </c>
      <c r="C105" s="78" t="n">
        <f aca="false">SUMIFS($L$151:$L$272,$K$151:$K$272,A105)-SUMIFS($J$151:$J$272,$F$151:$F$272,A105)</f>
        <v>0</v>
      </c>
      <c r="D105" s="78" t="n">
        <f aca="false">SUMIFS($N$151:$N$272,$F$151:$F$272,A105)-SUMIFS($P$151:$P$272,$O$151:$O$272,A105)</f>
        <v>0</v>
      </c>
      <c r="E105" s="78" t="n">
        <f aca="false">IF(A105=$B$33,$B$48,0)</f>
        <v>0</v>
      </c>
      <c r="F105" s="78" t="n">
        <f aca="false">SUM(C105:E105)</f>
        <v>0</v>
      </c>
      <c r="G105" s="78" t="n">
        <f aca="false">SUM($F$51:F105)</f>
        <v>786678585.7</v>
      </c>
      <c r="H105" s="78" t="n">
        <f aca="false">IF($B$34="Hợp lệ",B105+G105,"Chưa tính")</f>
        <v>17467071983.7</v>
      </c>
      <c r="I105" s="78" t="n">
        <f aca="false">F01_UC2!H124</f>
        <v>0</v>
      </c>
      <c r="J105" s="78" t="n">
        <f aca="false">IF($B$34="Hợp lệ",IF(H105&lt;F01_UC2!$B$9,F01_UC2!$B$10-H105,0),"Chưa tính")</f>
        <v>0</v>
      </c>
      <c r="K105" s="79" t="n">
        <f aca="false">IF($B$34&lt;&gt;"Hợp lệ","Chưa tính",IF(H105&lt;F01_UC2!$B$9,3,0))</f>
        <v>0</v>
      </c>
      <c r="L105" s="20" t="n">
        <f aca="false">IF($B$34="Hợp lệ",IF(AND(I105=0,J105&gt;$B$27),1,0),"Chưa tính")</f>
        <v>0</v>
      </c>
      <c r="M105" s="20" t="n">
        <f aca="false">IF($B$34="Hợp lệ",IF(J105&gt;I105+$B$27,1,0),"Chưa tính")</f>
        <v>0</v>
      </c>
      <c r="N105" s="20" t="n">
        <f aca="false">IF($B$34&lt;&gt;"Hợp lệ","Chưa tính",IF(H105&gt;F01_UC2!$B$11,N104+1,0))</f>
        <v>46</v>
      </c>
      <c r="O105" s="20" t="n">
        <f aca="false">IF($B$34="Hợp lệ",I105-J105,"Chưa tính")</f>
        <v>0</v>
      </c>
      <c r="P105" s="20"/>
      <c r="Q105" s="20"/>
      <c r="R105" s="20"/>
      <c r="S105" s="20"/>
      <c r="T105" s="20"/>
      <c r="U105" s="20"/>
    </row>
    <row r="106" customFormat="false" ht="22.5" hidden="false" customHeight="true" outlineLevel="0" collapsed="false">
      <c r="A106" s="77" t="n">
        <f aca="false">F01_UC2!A125</f>
        <v>46259</v>
      </c>
      <c r="B106" s="78" t="n">
        <f aca="false">F01_UC2!G125</f>
        <v>16680393398</v>
      </c>
      <c r="C106" s="78" t="n">
        <f aca="false">SUMIFS($L$151:$L$272,$K$151:$K$272,A106)-SUMIFS($J$151:$J$272,$F$151:$F$272,A106)</f>
        <v>0</v>
      </c>
      <c r="D106" s="78" t="n">
        <f aca="false">SUMIFS($N$151:$N$272,$F$151:$F$272,A106)-SUMIFS($P$151:$P$272,$O$151:$O$272,A106)</f>
        <v>0</v>
      </c>
      <c r="E106" s="78" t="n">
        <f aca="false">IF(A106=$B$33,$B$48,0)</f>
        <v>0</v>
      </c>
      <c r="F106" s="78" t="n">
        <f aca="false">SUM(C106:E106)</f>
        <v>0</v>
      </c>
      <c r="G106" s="78" t="n">
        <f aca="false">SUM($F$51:F106)</f>
        <v>786678585.7</v>
      </c>
      <c r="H106" s="78" t="n">
        <f aca="false">IF($B$34="Hợp lệ",B106+G106,"Chưa tính")</f>
        <v>17467071983.7</v>
      </c>
      <c r="I106" s="78" t="n">
        <f aca="false">F01_UC2!H125</f>
        <v>0</v>
      </c>
      <c r="J106" s="78" t="n">
        <f aca="false">IF($B$34="Hợp lệ",IF(H106&lt;F01_UC2!$B$9,F01_UC2!$B$10-H106,0),"Chưa tính")</f>
        <v>0</v>
      </c>
      <c r="K106" s="79" t="n">
        <f aca="false">IF($B$34&lt;&gt;"Hợp lệ","Chưa tính",IF(H106&lt;F01_UC2!$B$9,3,0))</f>
        <v>0</v>
      </c>
      <c r="L106" s="20" t="n">
        <f aca="false">IF($B$34="Hợp lệ",IF(AND(I106=0,J106&gt;$B$27),1,0),"Chưa tính")</f>
        <v>0</v>
      </c>
      <c r="M106" s="20" t="n">
        <f aca="false">IF($B$34="Hợp lệ",IF(J106&gt;I106+$B$27,1,0),"Chưa tính")</f>
        <v>0</v>
      </c>
      <c r="N106" s="20" t="n">
        <f aca="false">IF($B$34&lt;&gt;"Hợp lệ","Chưa tính",IF(H106&gt;F01_UC2!$B$11,N105+1,0))</f>
        <v>47</v>
      </c>
      <c r="O106" s="20" t="n">
        <f aca="false">IF($B$34="Hợp lệ",I106-J106,"Chưa tính")</f>
        <v>0</v>
      </c>
      <c r="P106" s="20"/>
      <c r="Q106" s="20"/>
      <c r="R106" s="20"/>
      <c r="S106" s="20"/>
      <c r="T106" s="20"/>
      <c r="U106" s="20"/>
    </row>
    <row r="107" customFormat="false" ht="22.5" hidden="false" customHeight="true" outlineLevel="0" collapsed="false">
      <c r="A107" s="77" t="n">
        <f aca="false">F01_UC2!A126</f>
        <v>46260</v>
      </c>
      <c r="B107" s="78" t="n">
        <f aca="false">F01_UC2!G126</f>
        <v>16328618808</v>
      </c>
      <c r="C107" s="78" t="n">
        <f aca="false">SUMIFS($L$151:$L$272,$K$151:$K$272,A107)-SUMIFS($J$151:$J$272,$F$151:$F$272,A107)</f>
        <v>0</v>
      </c>
      <c r="D107" s="78" t="n">
        <f aca="false">SUMIFS($N$151:$N$272,$F$151:$F$272,A107)-SUMIFS($P$151:$P$272,$O$151:$O$272,A107)</f>
        <v>0</v>
      </c>
      <c r="E107" s="78" t="n">
        <f aca="false">IF(A107=$B$33,$B$48,0)</f>
        <v>0</v>
      </c>
      <c r="F107" s="78" t="n">
        <f aca="false">SUM(C107:E107)</f>
        <v>0</v>
      </c>
      <c r="G107" s="78" t="n">
        <f aca="false">SUM($F$51:F107)</f>
        <v>786678585.7</v>
      </c>
      <c r="H107" s="78" t="n">
        <f aca="false">IF($B$34="Hợp lệ",B107+G107,"Chưa tính")</f>
        <v>17115297393.7</v>
      </c>
      <c r="I107" s="78" t="n">
        <f aca="false">F01_UC2!H126</f>
        <v>0</v>
      </c>
      <c r="J107" s="78" t="n">
        <f aca="false">IF($B$34="Hợp lệ",IF(H107&lt;F01_UC2!$B$9,F01_UC2!$B$10-H107,0),"Chưa tính")</f>
        <v>0</v>
      </c>
      <c r="K107" s="79" t="n">
        <f aca="false">IF($B$34&lt;&gt;"Hợp lệ","Chưa tính",IF(H107&lt;F01_UC2!$B$9,3,0))</f>
        <v>0</v>
      </c>
      <c r="L107" s="20" t="n">
        <f aca="false">IF($B$34="Hợp lệ",IF(AND(I107=0,J107&gt;$B$27),1,0),"Chưa tính")</f>
        <v>0</v>
      </c>
      <c r="M107" s="20" t="n">
        <f aca="false">IF($B$34="Hợp lệ",IF(J107&gt;I107+$B$27,1,0),"Chưa tính")</f>
        <v>0</v>
      </c>
      <c r="N107" s="20" t="n">
        <f aca="false">IF($B$34&lt;&gt;"Hợp lệ","Chưa tính",IF(H107&gt;F01_UC2!$B$11,N106+1,0))</f>
        <v>48</v>
      </c>
      <c r="O107" s="20" t="n">
        <f aca="false">IF($B$34="Hợp lệ",I107-J107,"Chưa tính")</f>
        <v>0</v>
      </c>
      <c r="P107" s="20"/>
      <c r="Q107" s="20"/>
      <c r="R107" s="20"/>
      <c r="S107" s="20"/>
      <c r="T107" s="20"/>
      <c r="U107" s="20"/>
    </row>
    <row r="108" customFormat="false" ht="22.5" hidden="false" customHeight="true" outlineLevel="0" collapsed="false">
      <c r="A108" s="77" t="n">
        <f aca="false">F01_UC2!A127</f>
        <v>46261</v>
      </c>
      <c r="B108" s="78" t="n">
        <f aca="false">F01_UC2!G127</f>
        <v>16328618808</v>
      </c>
      <c r="C108" s="78" t="n">
        <f aca="false">SUMIFS($L$151:$L$272,$K$151:$K$272,A108)-SUMIFS($J$151:$J$272,$F$151:$F$272,A108)</f>
        <v>0</v>
      </c>
      <c r="D108" s="78" t="n">
        <f aca="false">SUMIFS($N$151:$N$272,$F$151:$F$272,A108)-SUMIFS($P$151:$P$272,$O$151:$O$272,A108)</f>
        <v>0</v>
      </c>
      <c r="E108" s="78" t="n">
        <f aca="false">IF(A108=$B$33,$B$48,0)</f>
        <v>0</v>
      </c>
      <c r="F108" s="78" t="n">
        <f aca="false">SUM(C108:E108)</f>
        <v>0</v>
      </c>
      <c r="G108" s="78" t="n">
        <f aca="false">SUM($F$51:F108)</f>
        <v>786678585.7</v>
      </c>
      <c r="H108" s="78" t="n">
        <f aca="false">IF($B$34="Hợp lệ",B108+G108,"Chưa tính")</f>
        <v>17115297393.7</v>
      </c>
      <c r="I108" s="78" t="n">
        <f aca="false">F01_UC2!H127</f>
        <v>0</v>
      </c>
      <c r="J108" s="78" t="n">
        <f aca="false">IF($B$34="Hợp lệ",IF(H108&lt;F01_UC2!$B$9,F01_UC2!$B$10-H108,0),"Chưa tính")</f>
        <v>0</v>
      </c>
      <c r="K108" s="79" t="n">
        <f aca="false">IF($B$34&lt;&gt;"Hợp lệ","Chưa tính",IF(H108&lt;F01_UC2!$B$9,3,0))</f>
        <v>0</v>
      </c>
      <c r="L108" s="20" t="n">
        <f aca="false">IF($B$34="Hợp lệ",IF(AND(I108=0,J108&gt;$B$27),1,0),"Chưa tính")</f>
        <v>0</v>
      </c>
      <c r="M108" s="20" t="n">
        <f aca="false">IF($B$34="Hợp lệ",IF(J108&gt;I108+$B$27,1,0),"Chưa tính")</f>
        <v>0</v>
      </c>
      <c r="N108" s="20" t="n">
        <f aca="false">IF($B$34&lt;&gt;"Hợp lệ","Chưa tính",IF(H108&gt;F01_UC2!$B$11,N107+1,0))</f>
        <v>49</v>
      </c>
      <c r="O108" s="20" t="n">
        <f aca="false">IF($B$34="Hợp lệ",I108-J108,"Chưa tính")</f>
        <v>0</v>
      </c>
      <c r="P108" s="20"/>
      <c r="Q108" s="20"/>
      <c r="R108" s="20"/>
      <c r="S108" s="20"/>
      <c r="T108" s="20"/>
      <c r="U108" s="20"/>
    </row>
    <row r="109" customFormat="false" ht="22.5" hidden="false" customHeight="true" outlineLevel="0" collapsed="false">
      <c r="A109" s="77" t="n">
        <f aca="false">F01_UC2!A128</f>
        <v>46262</v>
      </c>
      <c r="B109" s="78" t="n">
        <f aca="false">F01_UC2!G128</f>
        <v>14828618808</v>
      </c>
      <c r="C109" s="78" t="n">
        <f aca="false">SUMIFS($L$151:$L$272,$K$151:$K$272,A109)-SUMIFS($J$151:$J$272,$F$151:$F$272,A109)</f>
        <v>0</v>
      </c>
      <c r="D109" s="78" t="n">
        <f aca="false">SUMIFS($N$151:$N$272,$F$151:$F$272,A109)-SUMIFS($P$151:$P$272,$O$151:$O$272,A109)</f>
        <v>0</v>
      </c>
      <c r="E109" s="78" t="n">
        <f aca="false">IF(A109=$B$33,$B$48,0)</f>
        <v>0</v>
      </c>
      <c r="F109" s="78" t="n">
        <f aca="false">SUM(C109:E109)</f>
        <v>0</v>
      </c>
      <c r="G109" s="78" t="n">
        <f aca="false">SUM($F$51:F109)</f>
        <v>786678585.7</v>
      </c>
      <c r="H109" s="78" t="n">
        <f aca="false">IF($B$34="Hợp lệ",B109+G109,"Chưa tính")</f>
        <v>15615297393.7</v>
      </c>
      <c r="I109" s="78" t="n">
        <f aca="false">F01_UC2!H128</f>
        <v>0</v>
      </c>
      <c r="J109" s="78" t="n">
        <f aca="false">IF($B$34="Hợp lệ",IF(H109&lt;F01_UC2!$B$9,F01_UC2!$B$10-H109,0),"Chưa tính")</f>
        <v>0</v>
      </c>
      <c r="K109" s="79" t="n">
        <f aca="false">IF($B$34&lt;&gt;"Hợp lệ","Chưa tính",IF(H109&lt;F01_UC2!$B$9,3,0))</f>
        <v>0</v>
      </c>
      <c r="L109" s="20" t="n">
        <f aca="false">IF($B$34="Hợp lệ",IF(AND(I109=0,J109&gt;$B$27),1,0),"Chưa tính")</f>
        <v>0</v>
      </c>
      <c r="M109" s="20" t="n">
        <f aca="false">IF($B$34="Hợp lệ",IF(J109&gt;I109+$B$27,1,0),"Chưa tính")</f>
        <v>0</v>
      </c>
      <c r="N109" s="20" t="n">
        <f aca="false">IF($B$34&lt;&gt;"Hợp lệ","Chưa tính",IF(H109&gt;F01_UC2!$B$11,N108+1,0))</f>
        <v>50</v>
      </c>
      <c r="O109" s="20" t="n">
        <f aca="false">IF($B$34="Hợp lệ",I109-J109,"Chưa tính")</f>
        <v>0</v>
      </c>
      <c r="P109" s="20"/>
      <c r="Q109" s="20"/>
      <c r="R109" s="20"/>
      <c r="S109" s="20"/>
      <c r="T109" s="20"/>
      <c r="U109" s="20"/>
    </row>
    <row r="110" customFormat="false" ht="22.5" hidden="false" customHeight="true" outlineLevel="0" collapsed="false">
      <c r="A110" s="77" t="n">
        <f aca="false">F01_UC2!A129</f>
        <v>46263</v>
      </c>
      <c r="B110" s="78" t="n">
        <f aca="false">F01_UC2!G129</f>
        <v>14828618808</v>
      </c>
      <c r="C110" s="78" t="n">
        <f aca="false">SUMIFS($L$151:$L$272,$K$151:$K$272,A110)-SUMIFS($J$151:$J$272,$F$151:$F$272,A110)</f>
        <v>0</v>
      </c>
      <c r="D110" s="78" t="n">
        <f aca="false">SUMIFS($N$151:$N$272,$F$151:$F$272,A110)-SUMIFS($P$151:$P$272,$O$151:$O$272,A110)</f>
        <v>0</v>
      </c>
      <c r="E110" s="78" t="n">
        <f aca="false">IF(A110=$B$33,$B$48,0)</f>
        <v>0</v>
      </c>
      <c r="F110" s="78" t="n">
        <f aca="false">SUM(C110:E110)</f>
        <v>0</v>
      </c>
      <c r="G110" s="78" t="n">
        <f aca="false">SUM($F$51:F110)</f>
        <v>786678585.7</v>
      </c>
      <c r="H110" s="78" t="n">
        <f aca="false">IF($B$34="Hợp lệ",B110+G110,"Chưa tính")</f>
        <v>15615297393.7</v>
      </c>
      <c r="I110" s="78" t="n">
        <f aca="false">F01_UC2!H129</f>
        <v>0</v>
      </c>
      <c r="J110" s="78" t="n">
        <f aca="false">IF($B$34="Hợp lệ",IF(H110&lt;F01_UC2!$B$9,F01_UC2!$B$10-H110,0),"Chưa tính")</f>
        <v>0</v>
      </c>
      <c r="K110" s="79" t="n">
        <f aca="false">IF($B$34&lt;&gt;"Hợp lệ","Chưa tính",IF(H110&lt;F01_UC2!$B$9,3,0))</f>
        <v>0</v>
      </c>
      <c r="L110" s="20" t="n">
        <f aca="false">IF($B$34="Hợp lệ",IF(AND(I110=0,J110&gt;$B$27),1,0),"Chưa tính")</f>
        <v>0</v>
      </c>
      <c r="M110" s="20" t="n">
        <f aca="false">IF($B$34="Hợp lệ",IF(J110&gt;I110+$B$27,1,0),"Chưa tính")</f>
        <v>0</v>
      </c>
      <c r="N110" s="20" t="n">
        <f aca="false">IF($B$34&lt;&gt;"Hợp lệ","Chưa tính",IF(H110&gt;F01_UC2!$B$11,N109+1,0))</f>
        <v>51</v>
      </c>
      <c r="O110" s="20" t="n">
        <f aca="false">IF($B$34="Hợp lệ",I110-J110,"Chưa tính")</f>
        <v>0</v>
      </c>
      <c r="P110" s="20"/>
      <c r="Q110" s="20"/>
      <c r="R110" s="20"/>
      <c r="S110" s="20"/>
      <c r="T110" s="20"/>
      <c r="U110" s="20"/>
    </row>
    <row r="111" customFormat="false" ht="22.5" hidden="false" customHeight="true" outlineLevel="0" collapsed="false">
      <c r="A111" s="77" t="n">
        <f aca="false">F01_UC2!A130</f>
        <v>46264</v>
      </c>
      <c r="B111" s="78" t="n">
        <f aca="false">F01_UC2!G130</f>
        <v>16076479147</v>
      </c>
      <c r="C111" s="78" t="n">
        <f aca="false">SUMIFS($L$151:$L$272,$K$151:$K$272,A111)-SUMIFS($J$151:$J$272,$F$151:$F$272,A111)</f>
        <v>-623930169.5</v>
      </c>
      <c r="D111" s="78" t="n">
        <f aca="false">SUMIFS($N$151:$N$272,$F$151:$F$272,A111)-SUMIFS($P$151:$P$272,$O$151:$O$272,A111)</f>
        <v>0</v>
      </c>
      <c r="E111" s="78" t="n">
        <f aca="false">IF(A111=$B$33,$B$48,0)</f>
        <v>0</v>
      </c>
      <c r="F111" s="78" t="n">
        <f aca="false">SUM(C111:E111)</f>
        <v>-623930169.5</v>
      </c>
      <c r="G111" s="78" t="n">
        <f aca="false">SUM($F$51:F111)</f>
        <v>162748416.2</v>
      </c>
      <c r="H111" s="78" t="n">
        <f aca="false">IF($B$34="Hợp lệ",B111+G111,"Chưa tính")</f>
        <v>16239227563.2</v>
      </c>
      <c r="I111" s="78" t="n">
        <f aca="false">F01_UC2!H130</f>
        <v>0</v>
      </c>
      <c r="J111" s="78" t="n">
        <f aca="false">IF($B$34="Hợp lệ",IF(H111&lt;F01_UC2!$B$9,F01_UC2!$B$10-H111,0),"Chưa tính")</f>
        <v>0</v>
      </c>
      <c r="K111" s="79" t="n">
        <f aca="false">IF($B$34&lt;&gt;"Hợp lệ","Chưa tính",IF(H111&lt;F01_UC2!$B$9,3,0))</f>
        <v>0</v>
      </c>
      <c r="L111" s="20" t="n">
        <f aca="false">IF($B$34="Hợp lệ",IF(AND(I111=0,J111&gt;$B$27),1,0),"Chưa tính")</f>
        <v>0</v>
      </c>
      <c r="M111" s="20" t="n">
        <f aca="false">IF($B$34="Hợp lệ",IF(J111&gt;I111+$B$27,1,0),"Chưa tính")</f>
        <v>0</v>
      </c>
      <c r="N111" s="20" t="n">
        <f aca="false">IF($B$34&lt;&gt;"Hợp lệ","Chưa tính",IF(H111&gt;F01_UC2!$B$11,N110+1,0))</f>
        <v>52</v>
      </c>
      <c r="O111" s="20" t="n">
        <f aca="false">IF($B$34="Hợp lệ",I111-J111,"Chưa tính")</f>
        <v>0</v>
      </c>
      <c r="P111" s="20"/>
      <c r="Q111" s="20"/>
      <c r="R111" s="20"/>
      <c r="S111" s="20"/>
      <c r="T111" s="20"/>
      <c r="U111" s="20"/>
    </row>
    <row r="112" customFormat="false" ht="22.5" hidden="false" customHeight="true" outlineLevel="0" collapsed="false">
      <c r="A112" s="77" t="n">
        <f aca="false">F01_UC2!A131</f>
        <v>46265</v>
      </c>
      <c r="B112" s="78" t="n">
        <f aca="false">F01_UC2!G131</f>
        <v>16076479147</v>
      </c>
      <c r="C112" s="78" t="n">
        <f aca="false">SUMIFS($L$151:$L$272,$K$151:$K$272,A112)-SUMIFS($J$151:$J$272,$F$151:$F$272,A112)</f>
        <v>0</v>
      </c>
      <c r="D112" s="78" t="n">
        <f aca="false">SUMIFS($N$151:$N$272,$F$151:$F$272,A112)-SUMIFS($P$151:$P$272,$O$151:$O$272,A112)</f>
        <v>0</v>
      </c>
      <c r="E112" s="78" t="n">
        <f aca="false">IF(A112=$B$33,$B$48,0)</f>
        <v>0</v>
      </c>
      <c r="F112" s="78" t="n">
        <f aca="false">SUM(C112:E112)</f>
        <v>0</v>
      </c>
      <c r="G112" s="78" t="n">
        <f aca="false">SUM($F$51:F112)</f>
        <v>162748416.2</v>
      </c>
      <c r="H112" s="78" t="n">
        <f aca="false">IF($B$34="Hợp lệ",B112+G112,"Chưa tính")</f>
        <v>16239227563.2</v>
      </c>
      <c r="I112" s="78" t="n">
        <f aca="false">F01_UC2!H131</f>
        <v>0</v>
      </c>
      <c r="J112" s="78" t="n">
        <f aca="false">IF($B$34="Hợp lệ",IF(H112&lt;F01_UC2!$B$9,F01_UC2!$B$10-H112,0),"Chưa tính")</f>
        <v>0</v>
      </c>
      <c r="K112" s="79" t="n">
        <f aca="false">IF($B$34&lt;&gt;"Hợp lệ","Chưa tính",IF(H112&lt;F01_UC2!$B$9,3,0))</f>
        <v>0</v>
      </c>
      <c r="L112" s="20" t="n">
        <f aca="false">IF($B$34="Hợp lệ",IF(AND(I112=0,J112&gt;$B$27),1,0),"Chưa tính")</f>
        <v>0</v>
      </c>
      <c r="M112" s="20" t="n">
        <f aca="false">IF($B$34="Hợp lệ",IF(J112&gt;I112+$B$27,1,0),"Chưa tính")</f>
        <v>0</v>
      </c>
      <c r="N112" s="20" t="n">
        <f aca="false">IF($B$34&lt;&gt;"Hợp lệ","Chưa tính",IF(H112&gt;F01_UC2!$B$11,N111+1,0))</f>
        <v>53</v>
      </c>
      <c r="O112" s="20" t="n">
        <f aca="false">IF($B$34="Hợp lệ",I112-J112,"Chưa tính")</f>
        <v>0</v>
      </c>
      <c r="P112" s="20"/>
      <c r="Q112" s="20"/>
      <c r="R112" s="20"/>
      <c r="S112" s="20"/>
      <c r="T112" s="20"/>
      <c r="U112" s="20"/>
    </row>
    <row r="113" customFormat="false" ht="22.5" hidden="false" customHeight="true" outlineLevel="0" collapsed="false">
      <c r="A113" s="77" t="n">
        <f aca="false">F01_UC2!A132</f>
        <v>46266</v>
      </c>
      <c r="B113" s="78" t="n">
        <f aca="false">F01_UC2!G132</f>
        <v>15896479147</v>
      </c>
      <c r="C113" s="78" t="n">
        <f aca="false">SUMIFS($L$151:$L$272,$K$151:$K$272,A113)-SUMIFS($J$151:$J$272,$F$151:$F$272,A113)</f>
        <v>0</v>
      </c>
      <c r="D113" s="78" t="n">
        <f aca="false">SUMIFS($N$151:$N$272,$F$151:$F$272,A113)-SUMIFS($P$151:$P$272,$O$151:$O$272,A113)</f>
        <v>0</v>
      </c>
      <c r="E113" s="78" t="n">
        <f aca="false">IF(A113=$B$33,$B$48,0)</f>
        <v>0</v>
      </c>
      <c r="F113" s="78" t="n">
        <f aca="false">SUM(C113:E113)</f>
        <v>0</v>
      </c>
      <c r="G113" s="78" t="n">
        <f aca="false">SUM($F$51:F113)</f>
        <v>162748416.2</v>
      </c>
      <c r="H113" s="78" t="n">
        <f aca="false">IF($B$34="Hợp lệ",B113+G113,"Chưa tính")</f>
        <v>16059227563.2</v>
      </c>
      <c r="I113" s="78" t="n">
        <f aca="false">F01_UC2!H132</f>
        <v>0</v>
      </c>
      <c r="J113" s="78" t="n">
        <f aca="false">IF($B$34="Hợp lệ",IF(H113&lt;F01_UC2!$B$9,F01_UC2!$B$10-H113,0),"Chưa tính")</f>
        <v>0</v>
      </c>
      <c r="K113" s="79" t="n">
        <f aca="false">IF($B$34&lt;&gt;"Hợp lệ","Chưa tính",IF(H113&lt;F01_UC2!$B$9,3,0))</f>
        <v>0</v>
      </c>
      <c r="L113" s="20" t="n">
        <f aca="false">IF($B$34="Hợp lệ",IF(AND(I113=0,J113&gt;$B$27),1,0),"Chưa tính")</f>
        <v>0</v>
      </c>
      <c r="M113" s="20" t="n">
        <f aca="false">IF($B$34="Hợp lệ",IF(J113&gt;I113+$B$27,1,0),"Chưa tính")</f>
        <v>0</v>
      </c>
      <c r="N113" s="20" t="n">
        <f aca="false">IF($B$34&lt;&gt;"Hợp lệ","Chưa tính",IF(H113&gt;F01_UC2!$B$11,N112+1,0))</f>
        <v>54</v>
      </c>
      <c r="O113" s="20" t="n">
        <f aca="false">IF($B$34="Hợp lệ",I113-J113,"Chưa tính")</f>
        <v>0</v>
      </c>
      <c r="P113" s="20"/>
      <c r="Q113" s="20"/>
      <c r="R113" s="20"/>
      <c r="S113" s="20"/>
      <c r="T113" s="20"/>
      <c r="U113" s="20"/>
    </row>
    <row r="114" customFormat="false" ht="22.5" hidden="false" customHeight="true" outlineLevel="0" collapsed="false">
      <c r="A114" s="77" t="n">
        <f aca="false">F01_UC2!A133</f>
        <v>46267</v>
      </c>
      <c r="B114" s="78" t="n">
        <f aca="false">F01_UC2!G133</f>
        <v>15896479147</v>
      </c>
      <c r="C114" s="78" t="n">
        <f aca="false">SUMIFS($L$151:$L$272,$K$151:$K$272,A114)-SUMIFS($J$151:$J$272,$F$151:$F$272,A114)</f>
        <v>0</v>
      </c>
      <c r="D114" s="78" t="n">
        <f aca="false">SUMIFS($N$151:$N$272,$F$151:$F$272,A114)-SUMIFS($P$151:$P$272,$O$151:$O$272,A114)</f>
        <v>0</v>
      </c>
      <c r="E114" s="78" t="n">
        <f aca="false">IF(A114=$B$33,$B$48,0)</f>
        <v>0</v>
      </c>
      <c r="F114" s="78" t="n">
        <f aca="false">SUM(C114:E114)</f>
        <v>0</v>
      </c>
      <c r="G114" s="78" t="n">
        <f aca="false">SUM($F$51:F114)</f>
        <v>162748416.2</v>
      </c>
      <c r="H114" s="78" t="n">
        <f aca="false">IF($B$34="Hợp lệ",B114+G114,"Chưa tính")</f>
        <v>16059227563.2</v>
      </c>
      <c r="I114" s="78" t="n">
        <f aca="false">F01_UC2!H133</f>
        <v>0</v>
      </c>
      <c r="J114" s="78" t="n">
        <f aca="false">IF($B$34="Hợp lệ",IF(H114&lt;F01_UC2!$B$9,F01_UC2!$B$10-H114,0),"Chưa tính")</f>
        <v>0</v>
      </c>
      <c r="K114" s="79" t="n">
        <f aca="false">IF($B$34&lt;&gt;"Hợp lệ","Chưa tính",IF(H114&lt;F01_UC2!$B$9,3,0))</f>
        <v>0</v>
      </c>
      <c r="L114" s="20" t="n">
        <f aca="false">IF($B$34="Hợp lệ",IF(AND(I114=0,J114&gt;$B$27),1,0),"Chưa tính")</f>
        <v>0</v>
      </c>
      <c r="M114" s="20" t="n">
        <f aca="false">IF($B$34="Hợp lệ",IF(J114&gt;I114+$B$27,1,0),"Chưa tính")</f>
        <v>0</v>
      </c>
      <c r="N114" s="20" t="n">
        <f aca="false">IF($B$34&lt;&gt;"Hợp lệ","Chưa tính",IF(H114&gt;F01_UC2!$B$11,N113+1,0))</f>
        <v>55</v>
      </c>
      <c r="O114" s="20" t="n">
        <f aca="false">IF($B$34="Hợp lệ",I114-J114,"Chưa tính")</f>
        <v>0</v>
      </c>
      <c r="P114" s="20"/>
      <c r="Q114" s="20"/>
      <c r="R114" s="20"/>
      <c r="S114" s="20"/>
      <c r="T114" s="20"/>
      <c r="U114" s="20"/>
    </row>
    <row r="115" customFormat="false" ht="22.5" hidden="false" customHeight="true" outlineLevel="0" collapsed="false">
      <c r="A115" s="77" t="n">
        <f aca="false">F01_UC2!A134</f>
        <v>46268</v>
      </c>
      <c r="B115" s="78" t="n">
        <f aca="false">F01_UC2!G134</f>
        <v>15896479147</v>
      </c>
      <c r="C115" s="78" t="n">
        <f aca="false">SUMIFS($L$151:$L$272,$K$151:$K$272,A115)-SUMIFS($J$151:$J$272,$F$151:$F$272,A115)</f>
        <v>0</v>
      </c>
      <c r="D115" s="78" t="n">
        <f aca="false">SUMIFS($N$151:$N$272,$F$151:$F$272,A115)-SUMIFS($P$151:$P$272,$O$151:$O$272,A115)</f>
        <v>0</v>
      </c>
      <c r="E115" s="78" t="n">
        <f aca="false">IF(A115=$B$33,$B$48,0)</f>
        <v>0</v>
      </c>
      <c r="F115" s="78" t="n">
        <f aca="false">SUM(C115:E115)</f>
        <v>0</v>
      </c>
      <c r="G115" s="78" t="n">
        <f aca="false">SUM($F$51:F115)</f>
        <v>162748416.2</v>
      </c>
      <c r="H115" s="78" t="n">
        <f aca="false">IF($B$34="Hợp lệ",B115+G115,"Chưa tính")</f>
        <v>16059227563.2</v>
      </c>
      <c r="I115" s="78" t="n">
        <f aca="false">F01_UC2!H134</f>
        <v>0</v>
      </c>
      <c r="J115" s="78" t="n">
        <f aca="false">IF($B$34="Hợp lệ",IF(H115&lt;F01_UC2!$B$9,F01_UC2!$B$10-H115,0),"Chưa tính")</f>
        <v>0</v>
      </c>
      <c r="K115" s="79" t="n">
        <f aca="false">IF($B$34&lt;&gt;"Hợp lệ","Chưa tính",IF(H115&lt;F01_UC2!$B$9,3,0))</f>
        <v>0</v>
      </c>
      <c r="L115" s="20" t="n">
        <f aca="false">IF($B$34="Hợp lệ",IF(AND(I115=0,J115&gt;$B$27),1,0),"Chưa tính")</f>
        <v>0</v>
      </c>
      <c r="M115" s="20" t="n">
        <f aca="false">IF($B$34="Hợp lệ",IF(J115&gt;I115+$B$27,1,0),"Chưa tính")</f>
        <v>0</v>
      </c>
      <c r="N115" s="20" t="n">
        <f aca="false">IF($B$34&lt;&gt;"Hợp lệ","Chưa tính",IF(H115&gt;F01_UC2!$B$11,N114+1,0))</f>
        <v>56</v>
      </c>
      <c r="O115" s="20" t="n">
        <f aca="false">IF($B$34="Hợp lệ",I115-J115,"Chưa tính")</f>
        <v>0</v>
      </c>
      <c r="P115" s="20"/>
      <c r="Q115" s="20"/>
      <c r="R115" s="20"/>
      <c r="S115" s="20"/>
      <c r="T115" s="20"/>
      <c r="U115" s="20"/>
    </row>
    <row r="116" customFormat="false" ht="22.5" hidden="false" customHeight="true" outlineLevel="0" collapsed="false">
      <c r="A116" s="77" t="n">
        <f aca="false">F01_UC2!A135</f>
        <v>46269</v>
      </c>
      <c r="B116" s="78" t="n">
        <f aca="false">F01_UC2!G135</f>
        <v>15896479147</v>
      </c>
      <c r="C116" s="78" t="n">
        <f aca="false">SUMIFS($L$151:$L$272,$K$151:$K$272,A116)-SUMIFS($J$151:$J$272,$F$151:$F$272,A116)</f>
        <v>0</v>
      </c>
      <c r="D116" s="78" t="n">
        <f aca="false">SUMIFS($N$151:$N$272,$F$151:$F$272,A116)-SUMIFS($P$151:$P$272,$O$151:$O$272,A116)</f>
        <v>0</v>
      </c>
      <c r="E116" s="78" t="n">
        <f aca="false">IF(A116=$B$33,$B$48,0)</f>
        <v>0</v>
      </c>
      <c r="F116" s="78" t="n">
        <f aca="false">SUM(C116:E116)</f>
        <v>0</v>
      </c>
      <c r="G116" s="78" t="n">
        <f aca="false">SUM($F$51:F116)</f>
        <v>162748416.2</v>
      </c>
      <c r="H116" s="78" t="n">
        <f aca="false">IF($B$34="Hợp lệ",B116+G116,"Chưa tính")</f>
        <v>16059227563.2</v>
      </c>
      <c r="I116" s="78" t="n">
        <f aca="false">F01_UC2!H135</f>
        <v>0</v>
      </c>
      <c r="J116" s="78" t="n">
        <f aca="false">IF($B$34="Hợp lệ",IF(H116&lt;F01_UC2!$B$9,F01_UC2!$B$10-H116,0),"Chưa tính")</f>
        <v>0</v>
      </c>
      <c r="K116" s="79" t="n">
        <f aca="false">IF($B$34&lt;&gt;"Hợp lệ","Chưa tính",IF(H116&lt;F01_UC2!$B$9,3,0))</f>
        <v>0</v>
      </c>
      <c r="L116" s="20" t="n">
        <f aca="false">IF($B$34="Hợp lệ",IF(AND(I116=0,J116&gt;$B$27),1,0),"Chưa tính")</f>
        <v>0</v>
      </c>
      <c r="M116" s="20" t="n">
        <f aca="false">IF($B$34="Hợp lệ",IF(J116&gt;I116+$B$27,1,0),"Chưa tính")</f>
        <v>0</v>
      </c>
      <c r="N116" s="20" t="n">
        <f aca="false">IF($B$34&lt;&gt;"Hợp lệ","Chưa tính",IF(H116&gt;F01_UC2!$B$11,N115+1,0))</f>
        <v>57</v>
      </c>
      <c r="O116" s="20" t="n">
        <f aca="false">IF($B$34="Hợp lệ",I116-J116,"Chưa tính")</f>
        <v>0</v>
      </c>
      <c r="P116" s="20"/>
      <c r="Q116" s="20"/>
      <c r="R116" s="20"/>
      <c r="S116" s="20"/>
      <c r="T116" s="20"/>
      <c r="U116" s="20"/>
    </row>
    <row r="117" customFormat="false" ht="22.5" hidden="false" customHeight="true" outlineLevel="0" collapsed="false">
      <c r="A117" s="77" t="n">
        <f aca="false">F01_UC2!A136</f>
        <v>46270</v>
      </c>
      <c r="B117" s="78" t="n">
        <f aca="false">F01_UC2!G136</f>
        <v>15896479147</v>
      </c>
      <c r="C117" s="78" t="n">
        <f aca="false">SUMIFS($L$151:$L$272,$K$151:$K$272,A117)-SUMIFS($J$151:$J$272,$F$151:$F$272,A117)</f>
        <v>0</v>
      </c>
      <c r="D117" s="78" t="n">
        <f aca="false">SUMIFS($N$151:$N$272,$F$151:$F$272,A117)-SUMIFS($P$151:$P$272,$O$151:$O$272,A117)</f>
        <v>0</v>
      </c>
      <c r="E117" s="78" t="n">
        <f aca="false">IF(A117=$B$33,$B$48,0)</f>
        <v>0</v>
      </c>
      <c r="F117" s="78" t="n">
        <f aca="false">SUM(C117:E117)</f>
        <v>0</v>
      </c>
      <c r="G117" s="78" t="n">
        <f aca="false">SUM($F$51:F117)</f>
        <v>162748416.2</v>
      </c>
      <c r="H117" s="78" t="n">
        <f aca="false">IF($B$34="Hợp lệ",B117+G117,"Chưa tính")</f>
        <v>16059227563.2</v>
      </c>
      <c r="I117" s="78" t="n">
        <f aca="false">F01_UC2!H136</f>
        <v>0</v>
      </c>
      <c r="J117" s="78" t="n">
        <f aca="false">IF($B$34="Hợp lệ",IF(H117&lt;F01_UC2!$B$9,F01_UC2!$B$10-H117,0),"Chưa tính")</f>
        <v>0</v>
      </c>
      <c r="K117" s="79" t="n">
        <f aca="false">IF($B$34&lt;&gt;"Hợp lệ","Chưa tính",IF(H117&lt;F01_UC2!$B$9,3,0))</f>
        <v>0</v>
      </c>
      <c r="L117" s="20" t="n">
        <f aca="false">IF($B$34="Hợp lệ",IF(AND(I117=0,J117&gt;$B$27),1,0),"Chưa tính")</f>
        <v>0</v>
      </c>
      <c r="M117" s="20" t="n">
        <f aca="false">IF($B$34="Hợp lệ",IF(J117&gt;I117+$B$27,1,0),"Chưa tính")</f>
        <v>0</v>
      </c>
      <c r="N117" s="20" t="n">
        <f aca="false">IF($B$34&lt;&gt;"Hợp lệ","Chưa tính",IF(H117&gt;F01_UC2!$B$11,N116+1,0))</f>
        <v>58</v>
      </c>
      <c r="O117" s="20" t="n">
        <f aca="false">IF($B$34="Hợp lệ",I117-J117,"Chưa tính")</f>
        <v>0</v>
      </c>
      <c r="P117" s="20"/>
      <c r="Q117" s="20"/>
      <c r="R117" s="20"/>
      <c r="S117" s="20"/>
      <c r="T117" s="20"/>
      <c r="U117" s="20"/>
    </row>
    <row r="118" customFormat="false" ht="22.5" hidden="false" customHeight="true" outlineLevel="0" collapsed="false">
      <c r="A118" s="77" t="n">
        <f aca="false">F01_UC2!A137</f>
        <v>46271</v>
      </c>
      <c r="B118" s="78" t="n">
        <f aca="false">F01_UC2!G137</f>
        <v>15896479147</v>
      </c>
      <c r="C118" s="78" t="n">
        <f aca="false">SUMIFS($L$151:$L$272,$K$151:$K$272,A118)-SUMIFS($J$151:$J$272,$F$151:$F$272,A118)</f>
        <v>0</v>
      </c>
      <c r="D118" s="78" t="n">
        <f aca="false">SUMIFS($N$151:$N$272,$F$151:$F$272,A118)-SUMIFS($P$151:$P$272,$O$151:$O$272,A118)</f>
        <v>0</v>
      </c>
      <c r="E118" s="78" t="n">
        <f aca="false">IF(A118=$B$33,$B$48,0)</f>
        <v>0</v>
      </c>
      <c r="F118" s="78" t="n">
        <f aca="false">SUM(C118:E118)</f>
        <v>0</v>
      </c>
      <c r="G118" s="78" t="n">
        <f aca="false">SUM($F$51:F118)</f>
        <v>162748416.2</v>
      </c>
      <c r="H118" s="78" t="n">
        <f aca="false">IF($B$34="Hợp lệ",B118+G118,"Chưa tính")</f>
        <v>16059227563.2</v>
      </c>
      <c r="I118" s="78" t="n">
        <f aca="false">F01_UC2!H137</f>
        <v>0</v>
      </c>
      <c r="J118" s="78" t="n">
        <f aca="false">IF($B$34="Hợp lệ",IF(H118&lt;F01_UC2!$B$9,F01_UC2!$B$10-H118,0),"Chưa tính")</f>
        <v>0</v>
      </c>
      <c r="K118" s="79" t="n">
        <f aca="false">IF($B$34&lt;&gt;"Hợp lệ","Chưa tính",IF(H118&lt;F01_UC2!$B$9,3,0))</f>
        <v>0</v>
      </c>
      <c r="L118" s="20" t="n">
        <f aca="false">IF($B$34="Hợp lệ",IF(AND(I118=0,J118&gt;$B$27),1,0),"Chưa tính")</f>
        <v>0</v>
      </c>
      <c r="M118" s="20" t="n">
        <f aca="false">IF($B$34="Hợp lệ",IF(J118&gt;I118+$B$27,1,0),"Chưa tính")</f>
        <v>0</v>
      </c>
      <c r="N118" s="20" t="n">
        <f aca="false">IF($B$34&lt;&gt;"Hợp lệ","Chưa tính",IF(H118&gt;F01_UC2!$B$11,N117+1,0))</f>
        <v>59</v>
      </c>
      <c r="O118" s="20" t="n">
        <f aca="false">IF($B$34="Hợp lệ",I118-J118,"Chưa tính")</f>
        <v>0</v>
      </c>
      <c r="P118" s="20"/>
      <c r="Q118" s="20"/>
      <c r="R118" s="20"/>
      <c r="S118" s="20"/>
      <c r="T118" s="20"/>
      <c r="U118" s="20"/>
    </row>
    <row r="119" customFormat="false" ht="22.5" hidden="false" customHeight="true" outlineLevel="0" collapsed="false">
      <c r="A119" s="77" t="n">
        <f aca="false">F01_UC2!A138</f>
        <v>46272</v>
      </c>
      <c r="B119" s="78" t="n">
        <f aca="false">F01_UC2!G138</f>
        <v>15896479147</v>
      </c>
      <c r="C119" s="78" t="n">
        <f aca="false">SUMIFS($L$151:$L$272,$K$151:$K$272,A119)-SUMIFS($J$151:$J$272,$F$151:$F$272,A119)</f>
        <v>0</v>
      </c>
      <c r="D119" s="78" t="n">
        <f aca="false">SUMIFS($N$151:$N$272,$F$151:$F$272,A119)-SUMIFS($P$151:$P$272,$O$151:$O$272,A119)</f>
        <v>0</v>
      </c>
      <c r="E119" s="78" t="n">
        <f aca="false">IF(A119=$B$33,$B$48,0)</f>
        <v>0</v>
      </c>
      <c r="F119" s="78" t="n">
        <f aca="false">SUM(C119:E119)</f>
        <v>0</v>
      </c>
      <c r="G119" s="78" t="n">
        <f aca="false">SUM($F$51:F119)</f>
        <v>162748416.2</v>
      </c>
      <c r="H119" s="78" t="n">
        <f aca="false">IF($B$34="Hợp lệ",B119+G119,"Chưa tính")</f>
        <v>16059227563.2</v>
      </c>
      <c r="I119" s="78" t="n">
        <f aca="false">F01_UC2!H138</f>
        <v>0</v>
      </c>
      <c r="J119" s="78" t="n">
        <f aca="false">IF($B$34="Hợp lệ",IF(H119&lt;F01_UC2!$B$9,F01_UC2!$B$10-H119,0),"Chưa tính")</f>
        <v>0</v>
      </c>
      <c r="K119" s="79" t="n">
        <f aca="false">IF($B$34&lt;&gt;"Hợp lệ","Chưa tính",IF(H119&lt;F01_UC2!$B$9,3,0))</f>
        <v>0</v>
      </c>
      <c r="L119" s="20" t="n">
        <f aca="false">IF($B$34="Hợp lệ",IF(AND(I119=0,J119&gt;$B$27),1,0),"Chưa tính")</f>
        <v>0</v>
      </c>
      <c r="M119" s="20" t="n">
        <f aca="false">IF($B$34="Hợp lệ",IF(J119&gt;I119+$B$27,1,0),"Chưa tính")</f>
        <v>0</v>
      </c>
      <c r="N119" s="20" t="n">
        <f aca="false">IF($B$34&lt;&gt;"Hợp lệ","Chưa tính",IF(H119&gt;F01_UC2!$B$11,N118+1,0))</f>
        <v>60</v>
      </c>
      <c r="O119" s="20" t="n">
        <f aca="false">IF($B$34="Hợp lệ",I119-J119,"Chưa tính")</f>
        <v>0</v>
      </c>
      <c r="P119" s="20"/>
      <c r="Q119" s="20"/>
      <c r="R119" s="20"/>
      <c r="S119" s="20"/>
      <c r="T119" s="20"/>
      <c r="U119" s="20"/>
    </row>
    <row r="120" customFormat="false" ht="22.5" hidden="false" customHeight="true" outlineLevel="0" collapsed="false">
      <c r="A120" s="77" t="n">
        <f aca="false">F01_UC2!A139</f>
        <v>46273</v>
      </c>
      <c r="B120" s="78" t="n">
        <f aca="false">F01_UC2!G139</f>
        <v>15896479147</v>
      </c>
      <c r="C120" s="78" t="n">
        <f aca="false">SUMIFS($L$151:$L$272,$K$151:$K$272,A120)-SUMIFS($J$151:$J$272,$F$151:$F$272,A120)</f>
        <v>0</v>
      </c>
      <c r="D120" s="78" t="n">
        <f aca="false">SUMIFS($N$151:$N$272,$F$151:$F$272,A120)-SUMIFS($P$151:$P$272,$O$151:$O$272,A120)</f>
        <v>0</v>
      </c>
      <c r="E120" s="78" t="n">
        <f aca="false">IF(A120=$B$33,$B$48,0)</f>
        <v>0</v>
      </c>
      <c r="F120" s="78" t="n">
        <f aca="false">SUM(C120:E120)</f>
        <v>0</v>
      </c>
      <c r="G120" s="78" t="n">
        <f aca="false">SUM($F$51:F120)</f>
        <v>162748416.2</v>
      </c>
      <c r="H120" s="78" t="n">
        <f aca="false">IF($B$34="Hợp lệ",B120+G120,"Chưa tính")</f>
        <v>16059227563.2</v>
      </c>
      <c r="I120" s="78" t="n">
        <f aca="false">F01_UC2!H139</f>
        <v>0</v>
      </c>
      <c r="J120" s="78" t="n">
        <f aca="false">IF($B$34="Hợp lệ",IF(H120&lt;F01_UC2!$B$9,F01_UC2!$B$10-H120,0),"Chưa tính")</f>
        <v>0</v>
      </c>
      <c r="K120" s="79" t="n">
        <f aca="false">IF($B$34&lt;&gt;"Hợp lệ","Chưa tính",IF(H120&lt;F01_UC2!$B$9,3,0))</f>
        <v>0</v>
      </c>
      <c r="L120" s="20" t="n">
        <f aca="false">IF($B$34="Hợp lệ",IF(AND(I120=0,J120&gt;$B$27),1,0),"Chưa tính")</f>
        <v>0</v>
      </c>
      <c r="M120" s="20" t="n">
        <f aca="false">IF($B$34="Hợp lệ",IF(J120&gt;I120+$B$27,1,0),"Chưa tính")</f>
        <v>0</v>
      </c>
      <c r="N120" s="20" t="n">
        <f aca="false">IF($B$34&lt;&gt;"Hợp lệ","Chưa tính",IF(H120&gt;F01_UC2!$B$11,N119+1,0))</f>
        <v>61</v>
      </c>
      <c r="O120" s="20" t="n">
        <f aca="false">IF($B$34="Hợp lệ",I120-J120,"Chưa tính")</f>
        <v>0</v>
      </c>
      <c r="P120" s="20"/>
      <c r="Q120" s="20"/>
      <c r="R120" s="20"/>
      <c r="S120" s="20"/>
      <c r="T120" s="20"/>
      <c r="U120" s="20"/>
    </row>
    <row r="121" customFormat="false" ht="22.5" hidden="false" customHeight="true" outlineLevel="0" collapsed="false">
      <c r="A121" s="77" t="n">
        <f aca="false">F01_UC2!A140</f>
        <v>46274</v>
      </c>
      <c r="B121" s="78" t="n">
        <f aca="false">F01_UC2!G140</f>
        <v>15896479147</v>
      </c>
      <c r="C121" s="78" t="n">
        <f aca="false">SUMIFS($L$151:$L$272,$K$151:$K$272,A121)-SUMIFS($J$151:$J$272,$F$151:$F$272,A121)</f>
        <v>0</v>
      </c>
      <c r="D121" s="78" t="n">
        <f aca="false">SUMIFS($N$151:$N$272,$F$151:$F$272,A121)-SUMIFS($P$151:$P$272,$O$151:$O$272,A121)</f>
        <v>0</v>
      </c>
      <c r="E121" s="78" t="n">
        <f aca="false">IF(A121=$B$33,$B$48,0)</f>
        <v>0</v>
      </c>
      <c r="F121" s="78" t="n">
        <f aca="false">SUM(C121:E121)</f>
        <v>0</v>
      </c>
      <c r="G121" s="78" t="n">
        <f aca="false">SUM($F$51:F121)</f>
        <v>162748416.2</v>
      </c>
      <c r="H121" s="78" t="n">
        <f aca="false">IF($B$34="Hợp lệ",B121+G121,"Chưa tính")</f>
        <v>16059227563.2</v>
      </c>
      <c r="I121" s="78" t="n">
        <f aca="false">F01_UC2!H140</f>
        <v>0</v>
      </c>
      <c r="J121" s="78" t="n">
        <f aca="false">IF($B$34="Hợp lệ",IF(H121&lt;F01_UC2!$B$9,F01_UC2!$B$10-H121,0),"Chưa tính")</f>
        <v>0</v>
      </c>
      <c r="K121" s="79" t="n">
        <f aca="false">IF($B$34&lt;&gt;"Hợp lệ","Chưa tính",IF(H121&lt;F01_UC2!$B$9,3,0))</f>
        <v>0</v>
      </c>
      <c r="L121" s="20" t="n">
        <f aca="false">IF($B$34="Hợp lệ",IF(AND(I121=0,J121&gt;$B$27),1,0),"Chưa tính")</f>
        <v>0</v>
      </c>
      <c r="M121" s="20" t="n">
        <f aca="false">IF($B$34="Hợp lệ",IF(J121&gt;I121+$B$27,1,0),"Chưa tính")</f>
        <v>0</v>
      </c>
      <c r="N121" s="20" t="n">
        <f aca="false">IF($B$34&lt;&gt;"Hợp lệ","Chưa tính",IF(H121&gt;F01_UC2!$B$11,N120+1,0))</f>
        <v>62</v>
      </c>
      <c r="O121" s="20" t="n">
        <f aca="false">IF($B$34="Hợp lệ",I121-J121,"Chưa tính")</f>
        <v>0</v>
      </c>
      <c r="P121" s="20"/>
      <c r="Q121" s="20"/>
      <c r="R121" s="20"/>
      <c r="S121" s="20"/>
      <c r="T121" s="20"/>
      <c r="U121" s="20"/>
    </row>
    <row r="122" customFormat="false" ht="22.5" hidden="false" customHeight="true" outlineLevel="0" collapsed="false">
      <c r="A122" s="77" t="n">
        <f aca="false">F01_UC2!A141</f>
        <v>46275</v>
      </c>
      <c r="B122" s="78" t="n">
        <f aca="false">F01_UC2!G141</f>
        <v>15896479147</v>
      </c>
      <c r="C122" s="78" t="n">
        <f aca="false">SUMIFS($L$151:$L$272,$K$151:$K$272,A122)-SUMIFS($J$151:$J$272,$F$151:$F$272,A122)</f>
        <v>0</v>
      </c>
      <c r="D122" s="78" t="n">
        <f aca="false">SUMIFS($N$151:$N$272,$F$151:$F$272,A122)-SUMIFS($P$151:$P$272,$O$151:$O$272,A122)</f>
        <v>0</v>
      </c>
      <c r="E122" s="78" t="n">
        <f aca="false">IF(A122=$B$33,$B$48,0)</f>
        <v>0</v>
      </c>
      <c r="F122" s="78" t="n">
        <f aca="false">SUM(C122:E122)</f>
        <v>0</v>
      </c>
      <c r="G122" s="78" t="n">
        <f aca="false">SUM($F$51:F122)</f>
        <v>162748416.2</v>
      </c>
      <c r="H122" s="78" t="n">
        <f aca="false">IF($B$34="Hợp lệ",B122+G122,"Chưa tính")</f>
        <v>16059227563.2</v>
      </c>
      <c r="I122" s="78" t="n">
        <f aca="false">F01_UC2!H141</f>
        <v>0</v>
      </c>
      <c r="J122" s="78" t="n">
        <f aca="false">IF($B$34="Hợp lệ",IF(H122&lt;F01_UC2!$B$9,F01_UC2!$B$10-H122,0),"Chưa tính")</f>
        <v>0</v>
      </c>
      <c r="K122" s="79" t="n">
        <f aca="false">IF($B$34&lt;&gt;"Hợp lệ","Chưa tính",IF(H122&lt;F01_UC2!$B$9,3,0))</f>
        <v>0</v>
      </c>
      <c r="L122" s="20" t="n">
        <f aca="false">IF($B$34="Hợp lệ",IF(AND(I122=0,J122&gt;$B$27),1,0),"Chưa tính")</f>
        <v>0</v>
      </c>
      <c r="M122" s="20" t="n">
        <f aca="false">IF($B$34="Hợp lệ",IF(J122&gt;I122+$B$27,1,0),"Chưa tính")</f>
        <v>0</v>
      </c>
      <c r="N122" s="20" t="n">
        <f aca="false">IF($B$34&lt;&gt;"Hợp lệ","Chưa tính",IF(H122&gt;F01_UC2!$B$11,N121+1,0))</f>
        <v>63</v>
      </c>
      <c r="O122" s="20" t="n">
        <f aca="false">IF($B$34="Hợp lệ",I122-J122,"Chưa tính")</f>
        <v>0</v>
      </c>
      <c r="P122" s="20"/>
      <c r="Q122" s="20"/>
      <c r="R122" s="20"/>
      <c r="S122" s="20"/>
      <c r="T122" s="20"/>
      <c r="U122" s="20"/>
    </row>
    <row r="123" customFormat="false" ht="22.5" hidden="false" customHeight="true" outlineLevel="0" collapsed="false">
      <c r="A123" s="77" t="n">
        <f aca="false">F01_UC2!A142</f>
        <v>46276</v>
      </c>
      <c r="B123" s="78" t="n">
        <f aca="false">F01_UC2!G142</f>
        <v>15896479147</v>
      </c>
      <c r="C123" s="78" t="n">
        <f aca="false">SUMIFS($L$151:$L$272,$K$151:$K$272,A123)-SUMIFS($J$151:$J$272,$F$151:$F$272,A123)</f>
        <v>0</v>
      </c>
      <c r="D123" s="78" t="n">
        <f aca="false">SUMIFS($N$151:$N$272,$F$151:$F$272,A123)-SUMIFS($P$151:$P$272,$O$151:$O$272,A123)</f>
        <v>0</v>
      </c>
      <c r="E123" s="78" t="n">
        <f aca="false">IF(A123=$B$33,$B$48,0)</f>
        <v>0</v>
      </c>
      <c r="F123" s="78" t="n">
        <f aca="false">SUM(C123:E123)</f>
        <v>0</v>
      </c>
      <c r="G123" s="78" t="n">
        <f aca="false">SUM($F$51:F123)</f>
        <v>162748416.2</v>
      </c>
      <c r="H123" s="78" t="n">
        <f aca="false">IF($B$34="Hợp lệ",B123+G123,"Chưa tính")</f>
        <v>16059227563.2</v>
      </c>
      <c r="I123" s="78" t="n">
        <f aca="false">F01_UC2!H142</f>
        <v>0</v>
      </c>
      <c r="J123" s="78" t="n">
        <f aca="false">IF($B$34="Hợp lệ",IF(H123&lt;F01_UC2!$B$9,F01_UC2!$B$10-H123,0),"Chưa tính")</f>
        <v>0</v>
      </c>
      <c r="K123" s="79" t="n">
        <f aca="false">IF($B$34&lt;&gt;"Hợp lệ","Chưa tính",IF(H123&lt;F01_UC2!$B$9,3,0))</f>
        <v>0</v>
      </c>
      <c r="L123" s="20" t="n">
        <f aca="false">IF($B$34="Hợp lệ",IF(AND(I123=0,J123&gt;$B$27),1,0),"Chưa tính")</f>
        <v>0</v>
      </c>
      <c r="M123" s="20" t="n">
        <f aca="false">IF($B$34="Hợp lệ",IF(J123&gt;I123+$B$27,1,0),"Chưa tính")</f>
        <v>0</v>
      </c>
      <c r="N123" s="20" t="n">
        <f aca="false">IF($B$34&lt;&gt;"Hợp lệ","Chưa tính",IF(H123&gt;F01_UC2!$B$11,N122+1,0))</f>
        <v>64</v>
      </c>
      <c r="O123" s="20" t="n">
        <f aca="false">IF($B$34="Hợp lệ",I123-J123,"Chưa tính")</f>
        <v>0</v>
      </c>
      <c r="P123" s="20"/>
      <c r="Q123" s="20"/>
      <c r="R123" s="20"/>
      <c r="S123" s="20"/>
      <c r="T123" s="20"/>
      <c r="U123" s="20"/>
    </row>
    <row r="124" customFormat="false" ht="22.5" hidden="false" customHeight="true" outlineLevel="0" collapsed="false">
      <c r="A124" s="77" t="n">
        <f aca="false">F01_UC2!A143</f>
        <v>46277</v>
      </c>
      <c r="B124" s="78" t="n">
        <f aca="false">F01_UC2!G143</f>
        <v>15896479147</v>
      </c>
      <c r="C124" s="78" t="n">
        <f aca="false">SUMIFS($L$151:$L$272,$K$151:$K$272,A124)-SUMIFS($J$151:$J$272,$F$151:$F$272,A124)</f>
        <v>0</v>
      </c>
      <c r="D124" s="78" t="n">
        <f aca="false">SUMIFS($N$151:$N$272,$F$151:$F$272,A124)-SUMIFS($P$151:$P$272,$O$151:$O$272,A124)</f>
        <v>0</v>
      </c>
      <c r="E124" s="78" t="n">
        <f aca="false">IF(A124=$B$33,$B$48,0)</f>
        <v>0</v>
      </c>
      <c r="F124" s="78" t="n">
        <f aca="false">SUM(C124:E124)</f>
        <v>0</v>
      </c>
      <c r="G124" s="78" t="n">
        <f aca="false">SUM($F$51:F124)</f>
        <v>162748416.2</v>
      </c>
      <c r="H124" s="78" t="n">
        <f aca="false">IF($B$34="Hợp lệ",B124+G124,"Chưa tính")</f>
        <v>16059227563.2</v>
      </c>
      <c r="I124" s="78" t="n">
        <f aca="false">F01_UC2!H143</f>
        <v>0</v>
      </c>
      <c r="J124" s="78" t="n">
        <f aca="false">IF($B$34="Hợp lệ",IF(H124&lt;F01_UC2!$B$9,F01_UC2!$B$10-H124,0),"Chưa tính")</f>
        <v>0</v>
      </c>
      <c r="K124" s="79" t="n">
        <f aca="false">IF($B$34&lt;&gt;"Hợp lệ","Chưa tính",IF(H124&lt;F01_UC2!$B$9,3,0))</f>
        <v>0</v>
      </c>
      <c r="L124" s="20" t="n">
        <f aca="false">IF($B$34="Hợp lệ",IF(AND(I124=0,J124&gt;$B$27),1,0),"Chưa tính")</f>
        <v>0</v>
      </c>
      <c r="M124" s="20" t="n">
        <f aca="false">IF($B$34="Hợp lệ",IF(J124&gt;I124+$B$27,1,0),"Chưa tính")</f>
        <v>0</v>
      </c>
      <c r="N124" s="20" t="n">
        <f aca="false">IF($B$34&lt;&gt;"Hợp lệ","Chưa tính",IF(H124&gt;F01_UC2!$B$11,N123+1,0))</f>
        <v>65</v>
      </c>
      <c r="O124" s="20" t="n">
        <f aca="false">IF($B$34="Hợp lệ",I124-J124,"Chưa tính")</f>
        <v>0</v>
      </c>
      <c r="P124" s="20"/>
      <c r="Q124" s="20"/>
      <c r="R124" s="20"/>
      <c r="S124" s="20"/>
      <c r="T124" s="20"/>
      <c r="U124" s="20"/>
    </row>
    <row r="125" customFormat="false" ht="22.5" hidden="false" customHeight="true" outlineLevel="0" collapsed="false">
      <c r="A125" s="77" t="n">
        <f aca="false">F01_UC2!A144</f>
        <v>46278</v>
      </c>
      <c r="B125" s="78" t="n">
        <f aca="false">F01_UC2!G144</f>
        <v>15896479147</v>
      </c>
      <c r="C125" s="78" t="n">
        <f aca="false">SUMIFS($L$151:$L$272,$K$151:$K$272,A125)-SUMIFS($J$151:$J$272,$F$151:$F$272,A125)</f>
        <v>0</v>
      </c>
      <c r="D125" s="78" t="n">
        <f aca="false">SUMIFS($N$151:$N$272,$F$151:$F$272,A125)-SUMIFS($P$151:$P$272,$O$151:$O$272,A125)</f>
        <v>0</v>
      </c>
      <c r="E125" s="78" t="n">
        <f aca="false">IF(A125=$B$33,$B$48,0)</f>
        <v>0</v>
      </c>
      <c r="F125" s="78" t="n">
        <f aca="false">SUM(C125:E125)</f>
        <v>0</v>
      </c>
      <c r="G125" s="78" t="n">
        <f aca="false">SUM($F$51:F125)</f>
        <v>162748416.2</v>
      </c>
      <c r="H125" s="78" t="n">
        <f aca="false">IF($B$34="Hợp lệ",B125+G125,"Chưa tính")</f>
        <v>16059227563.2</v>
      </c>
      <c r="I125" s="78" t="n">
        <f aca="false">F01_UC2!H144</f>
        <v>0</v>
      </c>
      <c r="J125" s="78" t="n">
        <f aca="false">IF($B$34="Hợp lệ",IF(H125&lt;F01_UC2!$B$9,F01_UC2!$B$10-H125,0),"Chưa tính")</f>
        <v>0</v>
      </c>
      <c r="K125" s="79" t="n">
        <f aca="false">IF($B$34&lt;&gt;"Hợp lệ","Chưa tính",IF(H125&lt;F01_UC2!$B$9,3,0))</f>
        <v>0</v>
      </c>
      <c r="L125" s="20" t="n">
        <f aca="false">IF($B$34="Hợp lệ",IF(AND(I125=0,J125&gt;$B$27),1,0),"Chưa tính")</f>
        <v>0</v>
      </c>
      <c r="M125" s="20" t="n">
        <f aca="false">IF($B$34="Hợp lệ",IF(J125&gt;I125+$B$27,1,0),"Chưa tính")</f>
        <v>0</v>
      </c>
      <c r="N125" s="20" t="n">
        <f aca="false">IF($B$34&lt;&gt;"Hợp lệ","Chưa tính",IF(H125&gt;F01_UC2!$B$11,N124+1,0))</f>
        <v>66</v>
      </c>
      <c r="O125" s="20" t="n">
        <f aca="false">IF($B$34="Hợp lệ",I125-J125,"Chưa tính")</f>
        <v>0</v>
      </c>
      <c r="P125" s="20"/>
      <c r="Q125" s="20"/>
      <c r="R125" s="20"/>
      <c r="S125" s="20"/>
      <c r="T125" s="20"/>
      <c r="U125" s="20"/>
    </row>
    <row r="126" customFormat="false" ht="22.5" hidden="false" customHeight="true" outlineLevel="0" collapsed="false">
      <c r="A126" s="77" t="n">
        <f aca="false">F01_UC2!A145</f>
        <v>46279</v>
      </c>
      <c r="B126" s="78" t="n">
        <f aca="false">F01_UC2!G145</f>
        <v>15896479147</v>
      </c>
      <c r="C126" s="78" t="n">
        <f aca="false">SUMIFS($L$151:$L$272,$K$151:$K$272,A126)-SUMIFS($J$151:$J$272,$F$151:$F$272,A126)</f>
        <v>0</v>
      </c>
      <c r="D126" s="78" t="n">
        <f aca="false">SUMIFS($N$151:$N$272,$F$151:$F$272,A126)-SUMIFS($P$151:$P$272,$O$151:$O$272,A126)</f>
        <v>0</v>
      </c>
      <c r="E126" s="78" t="n">
        <f aca="false">IF(A126=$B$33,$B$48,0)</f>
        <v>0</v>
      </c>
      <c r="F126" s="78" t="n">
        <f aca="false">SUM(C126:E126)</f>
        <v>0</v>
      </c>
      <c r="G126" s="78" t="n">
        <f aca="false">SUM($F$51:F126)</f>
        <v>162748416.2</v>
      </c>
      <c r="H126" s="78" t="n">
        <f aca="false">IF($B$34="Hợp lệ",B126+G126,"Chưa tính")</f>
        <v>16059227563.2</v>
      </c>
      <c r="I126" s="78" t="n">
        <f aca="false">F01_UC2!H145</f>
        <v>0</v>
      </c>
      <c r="J126" s="78" t="n">
        <f aca="false">IF($B$34="Hợp lệ",IF(H126&lt;F01_UC2!$B$9,F01_UC2!$B$10-H126,0),"Chưa tính")</f>
        <v>0</v>
      </c>
      <c r="K126" s="79" t="n">
        <f aca="false">IF($B$34&lt;&gt;"Hợp lệ","Chưa tính",IF(H126&lt;F01_UC2!$B$9,3,0))</f>
        <v>0</v>
      </c>
      <c r="L126" s="20" t="n">
        <f aca="false">IF($B$34="Hợp lệ",IF(AND(I126=0,J126&gt;$B$27),1,0),"Chưa tính")</f>
        <v>0</v>
      </c>
      <c r="M126" s="20" t="n">
        <f aca="false">IF($B$34="Hợp lệ",IF(J126&gt;I126+$B$27,1,0),"Chưa tính")</f>
        <v>0</v>
      </c>
      <c r="N126" s="20" t="n">
        <f aca="false">IF($B$34&lt;&gt;"Hợp lệ","Chưa tính",IF(H126&gt;F01_UC2!$B$11,N125+1,0))</f>
        <v>67</v>
      </c>
      <c r="O126" s="20" t="n">
        <f aca="false">IF($B$34="Hợp lệ",I126-J126,"Chưa tính")</f>
        <v>0</v>
      </c>
      <c r="P126" s="20"/>
      <c r="Q126" s="20"/>
      <c r="R126" s="20"/>
      <c r="S126" s="20"/>
      <c r="T126" s="20"/>
      <c r="U126" s="20"/>
    </row>
    <row r="127" customFormat="false" ht="22.5" hidden="false" customHeight="true" outlineLevel="0" collapsed="false">
      <c r="A127" s="77" t="n">
        <f aca="false">F01_UC2!A146</f>
        <v>46280</v>
      </c>
      <c r="B127" s="78" t="n">
        <f aca="false">F01_UC2!G146</f>
        <v>15896479147</v>
      </c>
      <c r="C127" s="78" t="n">
        <f aca="false">SUMIFS($L$151:$L$272,$K$151:$K$272,A127)-SUMIFS($J$151:$J$272,$F$151:$F$272,A127)</f>
        <v>0</v>
      </c>
      <c r="D127" s="78" t="n">
        <f aca="false">SUMIFS($N$151:$N$272,$F$151:$F$272,A127)-SUMIFS($P$151:$P$272,$O$151:$O$272,A127)</f>
        <v>0</v>
      </c>
      <c r="E127" s="78" t="n">
        <f aca="false">IF(A127=$B$33,$B$48,0)</f>
        <v>0</v>
      </c>
      <c r="F127" s="78" t="n">
        <f aca="false">SUM(C127:E127)</f>
        <v>0</v>
      </c>
      <c r="G127" s="78" t="n">
        <f aca="false">SUM($F$51:F127)</f>
        <v>162748416.2</v>
      </c>
      <c r="H127" s="78" t="n">
        <f aca="false">IF($B$34="Hợp lệ",B127+G127,"Chưa tính")</f>
        <v>16059227563.2</v>
      </c>
      <c r="I127" s="78" t="n">
        <f aca="false">F01_UC2!H146</f>
        <v>0</v>
      </c>
      <c r="J127" s="78" t="n">
        <f aca="false">IF($B$34="Hợp lệ",IF(H127&lt;F01_UC2!$B$9,F01_UC2!$B$10-H127,0),"Chưa tính")</f>
        <v>0</v>
      </c>
      <c r="K127" s="79" t="n">
        <f aca="false">IF($B$34&lt;&gt;"Hợp lệ","Chưa tính",IF(H127&lt;F01_UC2!$B$9,3,0))</f>
        <v>0</v>
      </c>
      <c r="L127" s="20" t="n">
        <f aca="false">IF($B$34="Hợp lệ",IF(AND(I127=0,J127&gt;$B$27),1,0),"Chưa tính")</f>
        <v>0</v>
      </c>
      <c r="M127" s="20" t="n">
        <f aca="false">IF($B$34="Hợp lệ",IF(J127&gt;I127+$B$27,1,0),"Chưa tính")</f>
        <v>0</v>
      </c>
      <c r="N127" s="20" t="n">
        <f aca="false">IF($B$34&lt;&gt;"Hợp lệ","Chưa tính",IF(H127&gt;F01_UC2!$B$11,N126+1,0))</f>
        <v>68</v>
      </c>
      <c r="O127" s="20" t="n">
        <f aca="false">IF($B$34="Hợp lệ",I127-J127,"Chưa tính")</f>
        <v>0</v>
      </c>
      <c r="P127" s="20"/>
      <c r="Q127" s="20"/>
      <c r="R127" s="20"/>
      <c r="S127" s="20"/>
      <c r="T127" s="20"/>
      <c r="U127" s="20"/>
    </row>
    <row r="128" customFormat="false" ht="22.5" hidden="false" customHeight="true" outlineLevel="0" collapsed="false">
      <c r="A128" s="77" t="n">
        <f aca="false">F01_UC2!A147</f>
        <v>46281</v>
      </c>
      <c r="B128" s="78" t="n">
        <f aca="false">F01_UC2!G147</f>
        <v>15896479147</v>
      </c>
      <c r="C128" s="78" t="n">
        <f aca="false">SUMIFS($L$151:$L$272,$K$151:$K$272,A128)-SUMIFS($J$151:$J$272,$F$151:$F$272,A128)</f>
        <v>0</v>
      </c>
      <c r="D128" s="78" t="n">
        <f aca="false">SUMIFS($N$151:$N$272,$F$151:$F$272,A128)-SUMIFS($P$151:$P$272,$O$151:$O$272,A128)</f>
        <v>0</v>
      </c>
      <c r="E128" s="78" t="n">
        <f aca="false">IF(A128=$B$33,$B$48,0)</f>
        <v>0</v>
      </c>
      <c r="F128" s="78" t="n">
        <f aca="false">SUM(C128:E128)</f>
        <v>0</v>
      </c>
      <c r="G128" s="78" t="n">
        <f aca="false">SUM($F$51:F128)</f>
        <v>162748416.2</v>
      </c>
      <c r="H128" s="78" t="n">
        <f aca="false">IF($B$34="Hợp lệ",B128+G128,"Chưa tính")</f>
        <v>16059227563.2</v>
      </c>
      <c r="I128" s="78" t="n">
        <f aca="false">F01_UC2!H147</f>
        <v>0</v>
      </c>
      <c r="J128" s="78" t="n">
        <f aca="false">IF($B$34="Hợp lệ",IF(H128&lt;F01_UC2!$B$9,F01_UC2!$B$10-H128,0),"Chưa tính")</f>
        <v>0</v>
      </c>
      <c r="K128" s="79" t="n">
        <f aca="false">IF($B$34&lt;&gt;"Hợp lệ","Chưa tính",IF(H128&lt;F01_UC2!$B$9,3,0))</f>
        <v>0</v>
      </c>
      <c r="L128" s="20" t="n">
        <f aca="false">IF($B$34="Hợp lệ",IF(AND(I128=0,J128&gt;$B$27),1,0),"Chưa tính")</f>
        <v>0</v>
      </c>
      <c r="M128" s="20" t="n">
        <f aca="false">IF($B$34="Hợp lệ",IF(J128&gt;I128+$B$27,1,0),"Chưa tính")</f>
        <v>0</v>
      </c>
      <c r="N128" s="20" t="n">
        <f aca="false">IF($B$34&lt;&gt;"Hợp lệ","Chưa tính",IF(H128&gt;F01_UC2!$B$11,N127+1,0))</f>
        <v>69</v>
      </c>
      <c r="O128" s="20" t="n">
        <f aca="false">IF($B$34="Hợp lệ",I128-J128,"Chưa tính")</f>
        <v>0</v>
      </c>
      <c r="P128" s="20"/>
      <c r="Q128" s="20"/>
      <c r="R128" s="20"/>
      <c r="S128" s="20"/>
      <c r="T128" s="20"/>
      <c r="U128" s="20"/>
    </row>
    <row r="129" customFormat="false" ht="22.5" hidden="false" customHeight="true" outlineLevel="0" collapsed="false">
      <c r="A129" s="77" t="n">
        <f aca="false">F01_UC2!A148</f>
        <v>46282</v>
      </c>
      <c r="B129" s="78" t="n">
        <f aca="false">F01_UC2!G148</f>
        <v>15896479147</v>
      </c>
      <c r="C129" s="78" t="n">
        <f aca="false">SUMIFS($L$151:$L$272,$K$151:$K$272,A129)-SUMIFS($J$151:$J$272,$F$151:$F$272,A129)</f>
        <v>0</v>
      </c>
      <c r="D129" s="78" t="n">
        <f aca="false">SUMIFS($N$151:$N$272,$F$151:$F$272,A129)-SUMIFS($P$151:$P$272,$O$151:$O$272,A129)</f>
        <v>0</v>
      </c>
      <c r="E129" s="78" t="n">
        <f aca="false">IF(A129=$B$33,$B$48,0)</f>
        <v>0</v>
      </c>
      <c r="F129" s="78" t="n">
        <f aca="false">SUM(C129:E129)</f>
        <v>0</v>
      </c>
      <c r="G129" s="78" t="n">
        <f aca="false">SUM($F$51:F129)</f>
        <v>162748416.2</v>
      </c>
      <c r="H129" s="78" t="n">
        <f aca="false">IF($B$34="Hợp lệ",B129+G129,"Chưa tính")</f>
        <v>16059227563.2</v>
      </c>
      <c r="I129" s="78" t="n">
        <f aca="false">F01_UC2!H148</f>
        <v>0</v>
      </c>
      <c r="J129" s="78" t="n">
        <f aca="false">IF($B$34="Hợp lệ",IF(H129&lt;F01_UC2!$B$9,F01_UC2!$B$10-H129,0),"Chưa tính")</f>
        <v>0</v>
      </c>
      <c r="K129" s="79" t="n">
        <f aca="false">IF($B$34&lt;&gt;"Hợp lệ","Chưa tính",IF(H129&lt;F01_UC2!$B$9,3,0))</f>
        <v>0</v>
      </c>
      <c r="L129" s="20" t="n">
        <f aca="false">IF($B$34="Hợp lệ",IF(AND(I129=0,J129&gt;$B$27),1,0),"Chưa tính")</f>
        <v>0</v>
      </c>
      <c r="M129" s="20" t="n">
        <f aca="false">IF($B$34="Hợp lệ",IF(J129&gt;I129+$B$27,1,0),"Chưa tính")</f>
        <v>0</v>
      </c>
      <c r="N129" s="20" t="n">
        <f aca="false">IF($B$34&lt;&gt;"Hợp lệ","Chưa tính",IF(H129&gt;F01_UC2!$B$11,N128+1,0))</f>
        <v>70</v>
      </c>
      <c r="O129" s="20" t="n">
        <f aca="false">IF($B$34="Hợp lệ",I129-J129,"Chưa tính")</f>
        <v>0</v>
      </c>
      <c r="P129" s="20"/>
      <c r="Q129" s="20"/>
      <c r="R129" s="20"/>
      <c r="S129" s="20"/>
      <c r="T129" s="20"/>
      <c r="U129" s="20"/>
    </row>
    <row r="130" customFormat="false" ht="22.5" hidden="false" customHeight="true" outlineLevel="0" collapsed="false">
      <c r="A130" s="77" t="n">
        <f aca="false">F01_UC2!A149</f>
        <v>46283</v>
      </c>
      <c r="B130" s="78" t="n">
        <f aca="false">F01_UC2!G149</f>
        <v>15656479147</v>
      </c>
      <c r="C130" s="78" t="n">
        <f aca="false">SUMIFS($L$151:$L$272,$K$151:$K$272,A130)-SUMIFS($J$151:$J$272,$F$151:$F$272,A130)</f>
        <v>0</v>
      </c>
      <c r="D130" s="78" t="n">
        <f aca="false">SUMIFS($N$151:$N$272,$F$151:$F$272,A130)-SUMIFS($P$151:$P$272,$O$151:$O$272,A130)</f>
        <v>0</v>
      </c>
      <c r="E130" s="78" t="n">
        <f aca="false">IF(A130=$B$33,$B$48,0)</f>
        <v>0</v>
      </c>
      <c r="F130" s="78" t="n">
        <f aca="false">SUM(C130:E130)</f>
        <v>0</v>
      </c>
      <c r="G130" s="78" t="n">
        <f aca="false">SUM($F$51:F130)</f>
        <v>162748416.2</v>
      </c>
      <c r="H130" s="78" t="n">
        <f aca="false">IF($B$34="Hợp lệ",B130+G130,"Chưa tính")</f>
        <v>15819227563.2</v>
      </c>
      <c r="I130" s="78" t="n">
        <f aca="false">F01_UC2!H149</f>
        <v>0</v>
      </c>
      <c r="J130" s="78" t="n">
        <f aca="false">IF($B$34="Hợp lệ",IF(H130&lt;F01_UC2!$B$9,F01_UC2!$B$10-H130,0),"Chưa tính")</f>
        <v>0</v>
      </c>
      <c r="K130" s="79" t="n">
        <f aca="false">IF($B$34&lt;&gt;"Hợp lệ","Chưa tính",IF(H130&lt;F01_UC2!$B$9,3,0))</f>
        <v>0</v>
      </c>
      <c r="L130" s="20" t="n">
        <f aca="false">IF($B$34="Hợp lệ",IF(AND(I130=0,J130&gt;$B$27),1,0),"Chưa tính")</f>
        <v>0</v>
      </c>
      <c r="M130" s="20" t="n">
        <f aca="false">IF($B$34="Hợp lệ",IF(J130&gt;I130+$B$27,1,0),"Chưa tính")</f>
        <v>0</v>
      </c>
      <c r="N130" s="20" t="n">
        <f aca="false">IF($B$34&lt;&gt;"Hợp lệ","Chưa tính",IF(H130&gt;F01_UC2!$B$11,N129+1,0))</f>
        <v>71</v>
      </c>
      <c r="O130" s="20" t="n">
        <f aca="false">IF($B$34="Hợp lệ",I130-J130,"Chưa tính")</f>
        <v>0</v>
      </c>
      <c r="P130" s="20"/>
      <c r="Q130" s="20"/>
      <c r="R130" s="20"/>
      <c r="S130" s="20"/>
      <c r="T130" s="20"/>
      <c r="U130" s="20"/>
    </row>
    <row r="131" customFormat="false" ht="22.5" hidden="false" customHeight="true" outlineLevel="0" collapsed="false">
      <c r="A131" s="77" t="n">
        <f aca="false">F01_UC2!A150</f>
        <v>46284</v>
      </c>
      <c r="B131" s="78" t="n">
        <f aca="false">F01_UC2!G150</f>
        <v>15656479147</v>
      </c>
      <c r="C131" s="78" t="n">
        <f aca="false">SUMIFS($L$151:$L$272,$K$151:$K$272,A131)-SUMIFS($J$151:$J$272,$F$151:$F$272,A131)</f>
        <v>0</v>
      </c>
      <c r="D131" s="78" t="n">
        <f aca="false">SUMIFS($N$151:$N$272,$F$151:$F$272,A131)-SUMIFS($P$151:$P$272,$O$151:$O$272,A131)</f>
        <v>0</v>
      </c>
      <c r="E131" s="78" t="n">
        <f aca="false">IF(A131=$B$33,$B$48,0)</f>
        <v>0</v>
      </c>
      <c r="F131" s="78" t="n">
        <f aca="false">SUM(C131:E131)</f>
        <v>0</v>
      </c>
      <c r="G131" s="78" t="n">
        <f aca="false">SUM($F$51:F131)</f>
        <v>162748416.2</v>
      </c>
      <c r="H131" s="78" t="n">
        <f aca="false">IF($B$34="Hợp lệ",B131+G131,"Chưa tính")</f>
        <v>15819227563.2</v>
      </c>
      <c r="I131" s="78" t="n">
        <f aca="false">F01_UC2!H150</f>
        <v>0</v>
      </c>
      <c r="J131" s="78" t="n">
        <f aca="false">IF($B$34="Hợp lệ",IF(H131&lt;F01_UC2!$B$9,F01_UC2!$B$10-H131,0),"Chưa tính")</f>
        <v>0</v>
      </c>
      <c r="K131" s="79" t="n">
        <f aca="false">IF($B$34&lt;&gt;"Hợp lệ","Chưa tính",IF(H131&lt;F01_UC2!$B$9,3,0))</f>
        <v>0</v>
      </c>
      <c r="L131" s="20" t="n">
        <f aca="false">IF($B$34="Hợp lệ",IF(AND(I131=0,J131&gt;$B$27),1,0),"Chưa tính")</f>
        <v>0</v>
      </c>
      <c r="M131" s="20" t="n">
        <f aca="false">IF($B$34="Hợp lệ",IF(J131&gt;I131+$B$27,1,0),"Chưa tính")</f>
        <v>0</v>
      </c>
      <c r="N131" s="20" t="n">
        <f aca="false">IF($B$34&lt;&gt;"Hợp lệ","Chưa tính",IF(H131&gt;F01_UC2!$B$11,N130+1,0))</f>
        <v>72</v>
      </c>
      <c r="O131" s="20" t="n">
        <f aca="false">IF($B$34="Hợp lệ",I131-J131,"Chưa tính")</f>
        <v>0</v>
      </c>
      <c r="P131" s="20"/>
      <c r="Q131" s="20"/>
      <c r="R131" s="20"/>
      <c r="S131" s="20"/>
      <c r="T131" s="20"/>
      <c r="U131" s="20"/>
    </row>
    <row r="132" customFormat="false" ht="22.5" hidden="false" customHeight="true" outlineLevel="0" collapsed="false">
      <c r="A132" s="77" t="n">
        <f aca="false">F01_UC2!A151</f>
        <v>46285</v>
      </c>
      <c r="B132" s="78" t="n">
        <f aca="false">F01_UC2!G151</f>
        <v>15656479147</v>
      </c>
      <c r="C132" s="78" t="n">
        <f aca="false">SUMIFS($L$151:$L$272,$K$151:$K$272,A132)-SUMIFS($J$151:$J$272,$F$151:$F$272,A132)</f>
        <v>0</v>
      </c>
      <c r="D132" s="78" t="n">
        <f aca="false">SUMIFS($N$151:$N$272,$F$151:$F$272,A132)-SUMIFS($P$151:$P$272,$O$151:$O$272,A132)</f>
        <v>0</v>
      </c>
      <c r="E132" s="78" t="n">
        <f aca="false">IF(A132=$B$33,$B$48,0)</f>
        <v>0</v>
      </c>
      <c r="F132" s="78" t="n">
        <f aca="false">SUM(C132:E132)</f>
        <v>0</v>
      </c>
      <c r="G132" s="78" t="n">
        <f aca="false">SUM($F$51:F132)</f>
        <v>162748416.2</v>
      </c>
      <c r="H132" s="78" t="n">
        <f aca="false">IF($B$34="Hợp lệ",B132+G132,"Chưa tính")</f>
        <v>15819227563.2</v>
      </c>
      <c r="I132" s="78" t="n">
        <f aca="false">F01_UC2!H151</f>
        <v>0</v>
      </c>
      <c r="J132" s="78" t="n">
        <f aca="false">IF($B$34="Hợp lệ",IF(H132&lt;F01_UC2!$B$9,F01_UC2!$B$10-H132,0),"Chưa tính")</f>
        <v>0</v>
      </c>
      <c r="K132" s="79" t="n">
        <f aca="false">IF($B$34&lt;&gt;"Hợp lệ","Chưa tính",IF(H132&lt;F01_UC2!$B$9,3,0))</f>
        <v>0</v>
      </c>
      <c r="L132" s="20" t="n">
        <f aca="false">IF($B$34="Hợp lệ",IF(AND(I132=0,J132&gt;$B$27),1,0),"Chưa tính")</f>
        <v>0</v>
      </c>
      <c r="M132" s="20" t="n">
        <f aca="false">IF($B$34="Hợp lệ",IF(J132&gt;I132+$B$27,1,0),"Chưa tính")</f>
        <v>0</v>
      </c>
      <c r="N132" s="20" t="n">
        <f aca="false">IF($B$34&lt;&gt;"Hợp lệ","Chưa tính",IF(H132&gt;F01_UC2!$B$11,N131+1,0))</f>
        <v>73</v>
      </c>
      <c r="O132" s="20" t="n">
        <f aca="false">IF($B$34="Hợp lệ",I132-J132,"Chưa tính")</f>
        <v>0</v>
      </c>
      <c r="P132" s="20"/>
      <c r="Q132" s="20"/>
      <c r="R132" s="20"/>
      <c r="S132" s="20"/>
      <c r="T132" s="20"/>
      <c r="U132" s="20"/>
    </row>
    <row r="133" customFormat="false" ht="22.5" hidden="false" customHeight="true" outlineLevel="0" collapsed="false">
      <c r="A133" s="77" t="n">
        <f aca="false">F01_UC2!A152</f>
        <v>46286</v>
      </c>
      <c r="B133" s="78" t="n">
        <f aca="false">F01_UC2!G152</f>
        <v>15656479147</v>
      </c>
      <c r="C133" s="78" t="n">
        <f aca="false">SUMIFS($L$151:$L$272,$K$151:$K$272,A133)-SUMIFS($J$151:$J$272,$F$151:$F$272,A133)</f>
        <v>0</v>
      </c>
      <c r="D133" s="78" t="n">
        <f aca="false">SUMIFS($N$151:$N$272,$F$151:$F$272,A133)-SUMIFS($P$151:$P$272,$O$151:$O$272,A133)</f>
        <v>0</v>
      </c>
      <c r="E133" s="78" t="n">
        <f aca="false">IF(A133=$B$33,$B$48,0)</f>
        <v>0</v>
      </c>
      <c r="F133" s="78" t="n">
        <f aca="false">SUM(C133:E133)</f>
        <v>0</v>
      </c>
      <c r="G133" s="78" t="n">
        <f aca="false">SUM($F$51:F133)</f>
        <v>162748416.2</v>
      </c>
      <c r="H133" s="78" t="n">
        <f aca="false">IF($B$34="Hợp lệ",B133+G133,"Chưa tính")</f>
        <v>15819227563.2</v>
      </c>
      <c r="I133" s="78" t="n">
        <f aca="false">F01_UC2!H152</f>
        <v>0</v>
      </c>
      <c r="J133" s="78" t="n">
        <f aca="false">IF($B$34="Hợp lệ",IF(H133&lt;F01_UC2!$B$9,F01_UC2!$B$10-H133,0),"Chưa tính")</f>
        <v>0</v>
      </c>
      <c r="K133" s="79" t="n">
        <f aca="false">IF($B$34&lt;&gt;"Hợp lệ","Chưa tính",IF(H133&lt;F01_UC2!$B$9,3,0))</f>
        <v>0</v>
      </c>
      <c r="L133" s="20" t="n">
        <f aca="false">IF($B$34="Hợp lệ",IF(AND(I133=0,J133&gt;$B$27),1,0),"Chưa tính")</f>
        <v>0</v>
      </c>
      <c r="M133" s="20" t="n">
        <f aca="false">IF($B$34="Hợp lệ",IF(J133&gt;I133+$B$27,1,0),"Chưa tính")</f>
        <v>0</v>
      </c>
      <c r="N133" s="20" t="n">
        <f aca="false">IF($B$34&lt;&gt;"Hợp lệ","Chưa tính",IF(H133&gt;F01_UC2!$B$11,N132+1,0))</f>
        <v>74</v>
      </c>
      <c r="O133" s="20" t="n">
        <f aca="false">IF($B$34="Hợp lệ",I133-J133,"Chưa tính")</f>
        <v>0</v>
      </c>
      <c r="P133" s="20"/>
      <c r="Q133" s="20"/>
      <c r="R133" s="20"/>
      <c r="S133" s="20"/>
      <c r="T133" s="20"/>
      <c r="U133" s="20"/>
    </row>
    <row r="134" customFormat="false" ht="22.5" hidden="false" customHeight="true" outlineLevel="0" collapsed="false">
      <c r="A134" s="77" t="n">
        <f aca="false">F01_UC2!A153</f>
        <v>46287</v>
      </c>
      <c r="B134" s="78" t="n">
        <f aca="false">F01_UC2!G153</f>
        <v>15656479147</v>
      </c>
      <c r="C134" s="78" t="n">
        <f aca="false">SUMIFS($L$151:$L$272,$K$151:$K$272,A134)-SUMIFS($J$151:$J$272,$F$151:$F$272,A134)</f>
        <v>0</v>
      </c>
      <c r="D134" s="78" t="n">
        <f aca="false">SUMIFS($N$151:$N$272,$F$151:$F$272,A134)-SUMIFS($P$151:$P$272,$O$151:$O$272,A134)</f>
        <v>0</v>
      </c>
      <c r="E134" s="78" t="n">
        <f aca="false">IF(A134=$B$33,$B$48,0)</f>
        <v>0</v>
      </c>
      <c r="F134" s="78" t="n">
        <f aca="false">SUM(C134:E134)</f>
        <v>0</v>
      </c>
      <c r="G134" s="78" t="n">
        <f aca="false">SUM($F$51:F134)</f>
        <v>162748416.2</v>
      </c>
      <c r="H134" s="78" t="n">
        <f aca="false">IF($B$34="Hợp lệ",B134+G134,"Chưa tính")</f>
        <v>15819227563.2</v>
      </c>
      <c r="I134" s="78" t="n">
        <f aca="false">F01_UC2!H153</f>
        <v>0</v>
      </c>
      <c r="J134" s="78" t="n">
        <f aca="false">IF($B$34="Hợp lệ",IF(H134&lt;F01_UC2!$B$9,F01_UC2!$B$10-H134,0),"Chưa tính")</f>
        <v>0</v>
      </c>
      <c r="K134" s="79" t="n">
        <f aca="false">IF($B$34&lt;&gt;"Hợp lệ","Chưa tính",IF(H134&lt;F01_UC2!$B$9,3,0))</f>
        <v>0</v>
      </c>
      <c r="L134" s="20" t="n">
        <f aca="false">IF($B$34="Hợp lệ",IF(AND(I134=0,J134&gt;$B$27),1,0),"Chưa tính")</f>
        <v>0</v>
      </c>
      <c r="M134" s="20" t="n">
        <f aca="false">IF($B$34="Hợp lệ",IF(J134&gt;I134+$B$27,1,0),"Chưa tính")</f>
        <v>0</v>
      </c>
      <c r="N134" s="20" t="n">
        <f aca="false">IF($B$34&lt;&gt;"Hợp lệ","Chưa tính",IF(H134&gt;F01_UC2!$B$11,N133+1,0))</f>
        <v>75</v>
      </c>
      <c r="O134" s="20" t="n">
        <f aca="false">IF($B$34="Hợp lệ",I134-J134,"Chưa tính")</f>
        <v>0</v>
      </c>
      <c r="P134" s="20"/>
      <c r="Q134" s="20"/>
      <c r="R134" s="20"/>
      <c r="S134" s="20"/>
      <c r="T134" s="20"/>
      <c r="U134" s="20"/>
    </row>
    <row r="135" customFormat="false" ht="22.5" hidden="false" customHeight="true" outlineLevel="0" collapsed="false">
      <c r="A135" s="77" t="n">
        <f aca="false">F01_UC2!A154</f>
        <v>46288</v>
      </c>
      <c r="B135" s="78" t="n">
        <f aca="false">F01_UC2!G154</f>
        <v>15656479147</v>
      </c>
      <c r="C135" s="78" t="n">
        <f aca="false">SUMIFS($L$151:$L$272,$K$151:$K$272,A135)-SUMIFS($J$151:$J$272,$F$151:$F$272,A135)</f>
        <v>0</v>
      </c>
      <c r="D135" s="78" t="n">
        <f aca="false">SUMIFS($N$151:$N$272,$F$151:$F$272,A135)-SUMIFS($P$151:$P$272,$O$151:$O$272,A135)</f>
        <v>0</v>
      </c>
      <c r="E135" s="78" t="n">
        <f aca="false">IF(A135=$B$33,$B$48,0)</f>
        <v>0</v>
      </c>
      <c r="F135" s="78" t="n">
        <f aca="false">SUM(C135:E135)</f>
        <v>0</v>
      </c>
      <c r="G135" s="78" t="n">
        <f aca="false">SUM($F$51:F135)</f>
        <v>162748416.2</v>
      </c>
      <c r="H135" s="78" t="n">
        <f aca="false">IF($B$34="Hợp lệ",B135+G135,"Chưa tính")</f>
        <v>15819227563.2</v>
      </c>
      <c r="I135" s="78" t="n">
        <f aca="false">F01_UC2!H154</f>
        <v>0</v>
      </c>
      <c r="J135" s="78" t="n">
        <f aca="false">IF($B$34="Hợp lệ",IF(H135&lt;F01_UC2!$B$9,F01_UC2!$B$10-H135,0),"Chưa tính")</f>
        <v>0</v>
      </c>
      <c r="K135" s="79" t="n">
        <f aca="false">IF($B$34&lt;&gt;"Hợp lệ","Chưa tính",IF(H135&lt;F01_UC2!$B$9,3,0))</f>
        <v>0</v>
      </c>
      <c r="L135" s="20" t="n">
        <f aca="false">IF($B$34="Hợp lệ",IF(AND(I135=0,J135&gt;$B$27),1,0),"Chưa tính")</f>
        <v>0</v>
      </c>
      <c r="M135" s="20" t="n">
        <f aca="false">IF($B$34="Hợp lệ",IF(J135&gt;I135+$B$27,1,0),"Chưa tính")</f>
        <v>0</v>
      </c>
      <c r="N135" s="20" t="n">
        <f aca="false">IF($B$34&lt;&gt;"Hợp lệ","Chưa tính",IF(H135&gt;F01_UC2!$B$11,N134+1,0))</f>
        <v>76</v>
      </c>
      <c r="O135" s="20" t="n">
        <f aca="false">IF($B$34="Hợp lệ",I135-J135,"Chưa tính")</f>
        <v>0</v>
      </c>
      <c r="P135" s="20"/>
      <c r="Q135" s="20"/>
      <c r="R135" s="20"/>
      <c r="S135" s="20"/>
      <c r="T135" s="20"/>
      <c r="U135" s="20"/>
    </row>
    <row r="136" customFormat="false" ht="22.5" hidden="false" customHeight="true" outlineLevel="0" collapsed="false">
      <c r="A136" s="77" t="n">
        <f aca="false">F01_UC2!A155</f>
        <v>46289</v>
      </c>
      <c r="B136" s="78" t="n">
        <f aca="false">F01_UC2!G155</f>
        <v>15656479147</v>
      </c>
      <c r="C136" s="78" t="n">
        <f aca="false">SUMIFS($L$151:$L$272,$K$151:$K$272,A136)-SUMIFS($J$151:$J$272,$F$151:$F$272,A136)</f>
        <v>0</v>
      </c>
      <c r="D136" s="78" t="n">
        <f aca="false">SUMIFS($N$151:$N$272,$F$151:$F$272,A136)-SUMIFS($P$151:$P$272,$O$151:$O$272,A136)</f>
        <v>0</v>
      </c>
      <c r="E136" s="78" t="n">
        <f aca="false">IF(A136=$B$33,$B$48,0)</f>
        <v>0</v>
      </c>
      <c r="F136" s="78" t="n">
        <f aca="false">SUM(C136:E136)</f>
        <v>0</v>
      </c>
      <c r="G136" s="78" t="n">
        <f aca="false">SUM($F$51:F136)</f>
        <v>162748416.2</v>
      </c>
      <c r="H136" s="78" t="n">
        <f aca="false">IF($B$34="Hợp lệ",B136+G136,"Chưa tính")</f>
        <v>15819227563.2</v>
      </c>
      <c r="I136" s="78" t="n">
        <f aca="false">F01_UC2!H155</f>
        <v>0</v>
      </c>
      <c r="J136" s="78" t="n">
        <f aca="false">IF($B$34="Hợp lệ",IF(H136&lt;F01_UC2!$B$9,F01_UC2!$B$10-H136,0),"Chưa tính")</f>
        <v>0</v>
      </c>
      <c r="K136" s="79" t="n">
        <f aca="false">IF($B$34&lt;&gt;"Hợp lệ","Chưa tính",IF(H136&lt;F01_UC2!$B$9,3,0))</f>
        <v>0</v>
      </c>
      <c r="L136" s="20" t="n">
        <f aca="false">IF($B$34="Hợp lệ",IF(AND(I136=0,J136&gt;$B$27),1,0),"Chưa tính")</f>
        <v>0</v>
      </c>
      <c r="M136" s="20" t="n">
        <f aca="false">IF($B$34="Hợp lệ",IF(J136&gt;I136+$B$27,1,0),"Chưa tính")</f>
        <v>0</v>
      </c>
      <c r="N136" s="20" t="n">
        <f aca="false">IF($B$34&lt;&gt;"Hợp lệ","Chưa tính",IF(H136&gt;F01_UC2!$B$11,N135+1,0))</f>
        <v>77</v>
      </c>
      <c r="O136" s="20" t="n">
        <f aca="false">IF($B$34="Hợp lệ",I136-J136,"Chưa tính")</f>
        <v>0</v>
      </c>
      <c r="P136" s="20"/>
      <c r="Q136" s="20"/>
      <c r="R136" s="20"/>
      <c r="S136" s="20"/>
      <c r="T136" s="20"/>
      <c r="U136" s="20"/>
    </row>
    <row r="137" customFormat="false" ht="22.5" hidden="false" customHeight="true" outlineLevel="0" collapsed="false">
      <c r="A137" s="77" t="n">
        <f aca="false">F01_UC2!A156</f>
        <v>46290</v>
      </c>
      <c r="B137" s="78" t="n">
        <f aca="false">F01_UC2!G156</f>
        <v>15656479147</v>
      </c>
      <c r="C137" s="78" t="n">
        <f aca="false">SUMIFS($L$151:$L$272,$K$151:$K$272,A137)-SUMIFS($J$151:$J$272,$F$151:$F$272,A137)</f>
        <v>0</v>
      </c>
      <c r="D137" s="78" t="n">
        <f aca="false">SUMIFS($N$151:$N$272,$F$151:$F$272,A137)-SUMIFS($P$151:$P$272,$O$151:$O$272,A137)</f>
        <v>0</v>
      </c>
      <c r="E137" s="78" t="n">
        <f aca="false">IF(A137=$B$33,$B$48,0)</f>
        <v>0</v>
      </c>
      <c r="F137" s="78" t="n">
        <f aca="false">SUM(C137:E137)</f>
        <v>0</v>
      </c>
      <c r="G137" s="78" t="n">
        <f aca="false">SUM($F$51:F137)</f>
        <v>162748416.2</v>
      </c>
      <c r="H137" s="78" t="n">
        <f aca="false">IF($B$34="Hợp lệ",B137+G137,"Chưa tính")</f>
        <v>15819227563.2</v>
      </c>
      <c r="I137" s="78" t="n">
        <f aca="false">F01_UC2!H156</f>
        <v>0</v>
      </c>
      <c r="J137" s="78" t="n">
        <f aca="false">IF($B$34="Hợp lệ",IF(H137&lt;F01_UC2!$B$9,F01_UC2!$B$10-H137,0),"Chưa tính")</f>
        <v>0</v>
      </c>
      <c r="K137" s="79" t="n">
        <f aca="false">IF($B$34&lt;&gt;"Hợp lệ","Chưa tính",IF(H137&lt;F01_UC2!$B$9,3,0))</f>
        <v>0</v>
      </c>
      <c r="L137" s="20" t="n">
        <f aca="false">IF($B$34="Hợp lệ",IF(AND(I137=0,J137&gt;$B$27),1,0),"Chưa tính")</f>
        <v>0</v>
      </c>
      <c r="M137" s="20" t="n">
        <f aca="false">IF($B$34="Hợp lệ",IF(J137&gt;I137+$B$27,1,0),"Chưa tính")</f>
        <v>0</v>
      </c>
      <c r="N137" s="20" t="n">
        <f aca="false">IF($B$34&lt;&gt;"Hợp lệ","Chưa tính",IF(H137&gt;F01_UC2!$B$11,N136+1,0))</f>
        <v>78</v>
      </c>
      <c r="O137" s="20" t="n">
        <f aca="false">IF($B$34="Hợp lệ",I137-J137,"Chưa tính")</f>
        <v>0</v>
      </c>
      <c r="P137" s="20"/>
      <c r="Q137" s="20"/>
      <c r="R137" s="20"/>
      <c r="S137" s="20"/>
      <c r="T137" s="20"/>
      <c r="U137" s="20"/>
    </row>
    <row r="138" customFormat="false" ht="22.5" hidden="false" customHeight="true" outlineLevel="0" collapsed="false">
      <c r="A138" s="77" t="n">
        <f aca="false">F01_UC2!A157</f>
        <v>46291</v>
      </c>
      <c r="B138" s="78" t="n">
        <f aca="false">F01_UC2!G157</f>
        <v>15656479147</v>
      </c>
      <c r="C138" s="78" t="n">
        <f aca="false">SUMIFS($L$151:$L$272,$K$151:$K$272,A138)-SUMIFS($J$151:$J$272,$F$151:$F$272,A138)</f>
        <v>0</v>
      </c>
      <c r="D138" s="78" t="n">
        <f aca="false">SUMIFS($N$151:$N$272,$F$151:$F$272,A138)-SUMIFS($P$151:$P$272,$O$151:$O$272,A138)</f>
        <v>0</v>
      </c>
      <c r="E138" s="78" t="n">
        <f aca="false">IF(A138=$B$33,$B$48,0)</f>
        <v>0</v>
      </c>
      <c r="F138" s="78" t="n">
        <f aca="false">SUM(C138:E138)</f>
        <v>0</v>
      </c>
      <c r="G138" s="78" t="n">
        <f aca="false">SUM($F$51:F138)</f>
        <v>162748416.2</v>
      </c>
      <c r="H138" s="78" t="n">
        <f aca="false">IF($B$34="Hợp lệ",B138+G138,"Chưa tính")</f>
        <v>15819227563.2</v>
      </c>
      <c r="I138" s="78" t="n">
        <f aca="false">F01_UC2!H157</f>
        <v>0</v>
      </c>
      <c r="J138" s="78" t="n">
        <f aca="false">IF($B$34="Hợp lệ",IF(H138&lt;F01_UC2!$B$9,F01_UC2!$B$10-H138,0),"Chưa tính")</f>
        <v>0</v>
      </c>
      <c r="K138" s="79" t="n">
        <f aca="false">IF($B$34&lt;&gt;"Hợp lệ","Chưa tính",IF(H138&lt;F01_UC2!$B$9,3,0))</f>
        <v>0</v>
      </c>
      <c r="L138" s="20" t="n">
        <f aca="false">IF($B$34="Hợp lệ",IF(AND(I138=0,J138&gt;$B$27),1,0),"Chưa tính")</f>
        <v>0</v>
      </c>
      <c r="M138" s="20" t="n">
        <f aca="false">IF($B$34="Hợp lệ",IF(J138&gt;I138+$B$27,1,0),"Chưa tính")</f>
        <v>0</v>
      </c>
      <c r="N138" s="20" t="n">
        <f aca="false">IF($B$34&lt;&gt;"Hợp lệ","Chưa tính",IF(H138&gt;F01_UC2!$B$11,N137+1,0))</f>
        <v>79</v>
      </c>
      <c r="O138" s="20" t="n">
        <f aca="false">IF($B$34="Hợp lệ",I138-J138,"Chưa tính")</f>
        <v>0</v>
      </c>
      <c r="P138" s="20"/>
      <c r="Q138" s="20"/>
      <c r="R138" s="20"/>
      <c r="S138" s="20"/>
      <c r="T138" s="20"/>
      <c r="U138" s="20"/>
    </row>
    <row r="139" customFormat="false" ht="22.5" hidden="false" customHeight="true" outlineLevel="0" collapsed="false">
      <c r="A139" s="77" t="n">
        <f aca="false">F01_UC2!A158</f>
        <v>46292</v>
      </c>
      <c r="B139" s="78" t="n">
        <f aca="false">F01_UC2!G158</f>
        <v>15656479147</v>
      </c>
      <c r="C139" s="78" t="n">
        <f aca="false">SUMIFS($L$151:$L$272,$K$151:$K$272,A139)-SUMIFS($J$151:$J$272,$F$151:$F$272,A139)</f>
        <v>0</v>
      </c>
      <c r="D139" s="78" t="n">
        <f aca="false">SUMIFS($N$151:$N$272,$F$151:$F$272,A139)-SUMIFS($P$151:$P$272,$O$151:$O$272,A139)</f>
        <v>0</v>
      </c>
      <c r="E139" s="78" t="n">
        <f aca="false">IF(A139=$B$33,$B$48,0)</f>
        <v>0</v>
      </c>
      <c r="F139" s="78" t="n">
        <f aca="false">SUM(C139:E139)</f>
        <v>0</v>
      </c>
      <c r="G139" s="78" t="n">
        <f aca="false">SUM($F$51:F139)</f>
        <v>162748416.2</v>
      </c>
      <c r="H139" s="78" t="n">
        <f aca="false">IF($B$34="Hợp lệ",B139+G139,"Chưa tính")</f>
        <v>15819227563.2</v>
      </c>
      <c r="I139" s="78" t="n">
        <f aca="false">F01_UC2!H158</f>
        <v>0</v>
      </c>
      <c r="J139" s="78" t="n">
        <f aca="false">IF($B$34="Hợp lệ",IF(H139&lt;F01_UC2!$B$9,F01_UC2!$B$10-H139,0),"Chưa tính")</f>
        <v>0</v>
      </c>
      <c r="K139" s="79" t="n">
        <f aca="false">IF($B$34&lt;&gt;"Hợp lệ","Chưa tính",IF(H139&lt;F01_UC2!$B$9,3,0))</f>
        <v>0</v>
      </c>
      <c r="L139" s="20" t="n">
        <f aca="false">IF($B$34="Hợp lệ",IF(AND(I139=0,J139&gt;$B$27),1,0),"Chưa tính")</f>
        <v>0</v>
      </c>
      <c r="M139" s="20" t="n">
        <f aca="false">IF($B$34="Hợp lệ",IF(J139&gt;I139+$B$27,1,0),"Chưa tính")</f>
        <v>0</v>
      </c>
      <c r="N139" s="20" t="n">
        <f aca="false">IF($B$34&lt;&gt;"Hợp lệ","Chưa tính",IF(H139&gt;F01_UC2!$B$11,N138+1,0))</f>
        <v>80</v>
      </c>
      <c r="O139" s="20" t="n">
        <f aca="false">IF($B$34="Hợp lệ",I139-J139,"Chưa tính")</f>
        <v>0</v>
      </c>
      <c r="P139" s="20"/>
      <c r="Q139" s="20"/>
      <c r="R139" s="20"/>
      <c r="S139" s="20"/>
      <c r="T139" s="20"/>
      <c r="U139" s="20"/>
    </row>
    <row r="140" customFormat="false" ht="22.5" hidden="false" customHeight="true" outlineLevel="0" collapsed="false">
      <c r="A140" s="77" t="n">
        <f aca="false">F01_UC2!A159</f>
        <v>46293</v>
      </c>
      <c r="B140" s="78" t="n">
        <f aca="false">F01_UC2!G159</f>
        <v>14156479147</v>
      </c>
      <c r="C140" s="78" t="n">
        <f aca="false">SUMIFS($L$151:$L$272,$K$151:$K$272,A140)-SUMIFS($J$151:$J$272,$F$151:$F$272,A140)</f>
        <v>0</v>
      </c>
      <c r="D140" s="78" t="n">
        <f aca="false">SUMIFS($N$151:$N$272,$F$151:$F$272,A140)-SUMIFS($P$151:$P$272,$O$151:$O$272,A140)</f>
        <v>0</v>
      </c>
      <c r="E140" s="78" t="n">
        <f aca="false">IF(A140=$B$33,$B$48,0)</f>
        <v>0</v>
      </c>
      <c r="F140" s="78" t="n">
        <f aca="false">SUM(C140:E140)</f>
        <v>0</v>
      </c>
      <c r="G140" s="78" t="n">
        <f aca="false">SUM($F$51:F140)</f>
        <v>162748416.2</v>
      </c>
      <c r="H140" s="78" t="n">
        <f aca="false">IF($B$34="Hợp lệ",B140+G140,"Chưa tính")</f>
        <v>14319227563.2</v>
      </c>
      <c r="I140" s="78" t="n">
        <f aca="false">F01_UC2!H159</f>
        <v>0</v>
      </c>
      <c r="J140" s="78" t="n">
        <f aca="false">IF($B$34="Hợp lệ",IF(H140&lt;F01_UC2!$B$9,F01_UC2!$B$10-H140,0),"Chưa tính")</f>
        <v>0</v>
      </c>
      <c r="K140" s="79" t="n">
        <f aca="false">IF($B$34&lt;&gt;"Hợp lệ","Chưa tính",IF(H140&lt;F01_UC2!$B$9,3,0))</f>
        <v>0</v>
      </c>
      <c r="L140" s="20" t="n">
        <f aca="false">IF($B$34="Hợp lệ",IF(AND(I140=0,J140&gt;$B$27),1,0),"Chưa tính")</f>
        <v>0</v>
      </c>
      <c r="M140" s="20" t="n">
        <f aca="false">IF($B$34="Hợp lệ",IF(J140&gt;I140+$B$27,1,0),"Chưa tính")</f>
        <v>0</v>
      </c>
      <c r="N140" s="20" t="n">
        <f aca="false">IF($B$34&lt;&gt;"Hợp lệ","Chưa tính",IF(H140&gt;F01_UC2!$B$11,N139+1,0))</f>
        <v>81</v>
      </c>
      <c r="O140" s="20" t="n">
        <f aca="false">IF($B$34="Hợp lệ",I140-J140,"Chưa tính")</f>
        <v>0</v>
      </c>
      <c r="P140" s="20"/>
      <c r="Q140" s="20"/>
      <c r="R140" s="20"/>
      <c r="S140" s="20"/>
      <c r="T140" s="20"/>
      <c r="U140" s="20"/>
    </row>
    <row r="141" customFormat="false" ht="22.5" hidden="false" customHeight="true" outlineLevel="0" collapsed="false">
      <c r="A141" s="77" t="n">
        <f aca="false">F01_UC2!A160</f>
        <v>46294</v>
      </c>
      <c r="B141" s="78" t="n">
        <f aca="false">F01_UC2!G160</f>
        <v>14156479147</v>
      </c>
      <c r="C141" s="78" t="n">
        <f aca="false">SUMIFS($L$151:$L$272,$K$151:$K$272,A141)-SUMIFS($J$151:$J$272,$F$151:$F$272,A141)</f>
        <v>0</v>
      </c>
      <c r="D141" s="78" t="n">
        <f aca="false">SUMIFS($N$151:$N$272,$F$151:$F$272,A141)-SUMIFS($P$151:$P$272,$O$151:$O$272,A141)</f>
        <v>0</v>
      </c>
      <c r="E141" s="78" t="n">
        <f aca="false">IF(A141=$B$33,$B$48,0)</f>
        <v>0</v>
      </c>
      <c r="F141" s="78" t="n">
        <f aca="false">SUM(C141:E141)</f>
        <v>0</v>
      </c>
      <c r="G141" s="78" t="n">
        <f aca="false">SUM($F$51:F141)</f>
        <v>162748416.2</v>
      </c>
      <c r="H141" s="78" t="n">
        <f aca="false">IF($B$34="Hợp lệ",B141+G141,"Chưa tính")</f>
        <v>14319227563.2</v>
      </c>
      <c r="I141" s="78" t="n">
        <f aca="false">F01_UC2!H160</f>
        <v>0</v>
      </c>
      <c r="J141" s="78" t="n">
        <f aca="false">IF($B$34="Hợp lệ",IF(H141&lt;F01_UC2!$B$9,F01_UC2!$B$10-H141,0),"Chưa tính")</f>
        <v>0</v>
      </c>
      <c r="K141" s="79" t="n">
        <f aca="false">IF($B$34&lt;&gt;"Hợp lệ","Chưa tính",IF(H141&lt;F01_UC2!$B$9,3,0))</f>
        <v>0</v>
      </c>
      <c r="L141" s="20" t="n">
        <f aca="false">IF($B$34="Hợp lệ",IF(AND(I141=0,J141&gt;$B$27),1,0),"Chưa tính")</f>
        <v>0</v>
      </c>
      <c r="M141" s="20" t="n">
        <f aca="false">IF($B$34="Hợp lệ",IF(J141&gt;I141+$B$27,1,0),"Chưa tính")</f>
        <v>0</v>
      </c>
      <c r="N141" s="20" t="n">
        <f aca="false">IF($B$34&lt;&gt;"Hợp lệ","Chưa tính",IF(H141&gt;F01_UC2!$B$11,N140+1,0))</f>
        <v>82</v>
      </c>
      <c r="O141" s="20" t="n">
        <f aca="false">IF($B$34="Hợp lệ",I141-J141,"Chưa tính")</f>
        <v>0</v>
      </c>
      <c r="P141" s="20"/>
      <c r="Q141" s="20"/>
      <c r="R141" s="20"/>
      <c r="S141" s="20"/>
      <c r="T141" s="20"/>
      <c r="U141" s="20"/>
    </row>
    <row r="142" customFormat="false" ht="13.5" hidden="false" customHeight="false" outlineLevel="0" collapsed="false">
      <c r="A142" s="20"/>
      <c r="B142" s="20"/>
      <c r="C142" s="20"/>
      <c r="D142" s="20"/>
      <c r="E142" s="20"/>
      <c r="F142" s="20"/>
      <c r="G142" s="20"/>
      <c r="H142" s="20"/>
      <c r="I142" s="20"/>
      <c r="J142" s="20"/>
      <c r="K142" s="20"/>
      <c r="L142" s="20"/>
      <c r="M142" s="20"/>
      <c r="N142" s="20"/>
      <c r="O142" s="20"/>
      <c r="P142" s="20"/>
      <c r="Q142" s="20"/>
      <c r="R142" s="20"/>
      <c r="S142" s="20"/>
      <c r="T142" s="20"/>
      <c r="U142" s="20"/>
    </row>
    <row r="143" customFormat="false" ht="13.5" hidden="false" customHeight="false" outlineLevel="0" collapsed="false">
      <c r="A143" s="20"/>
      <c r="B143" s="20"/>
      <c r="C143" s="20"/>
      <c r="D143" s="20"/>
      <c r="E143" s="20"/>
      <c r="F143" s="20"/>
      <c r="G143" s="20"/>
      <c r="H143" s="20"/>
      <c r="I143" s="20"/>
      <c r="J143" s="20"/>
      <c r="K143" s="20"/>
      <c r="L143" s="20"/>
      <c r="M143" s="20"/>
      <c r="N143" s="20"/>
      <c r="O143" s="20"/>
      <c r="P143" s="20"/>
      <c r="Q143" s="20"/>
      <c r="R143" s="20"/>
      <c r="S143" s="20"/>
      <c r="T143" s="20"/>
      <c r="U143" s="20"/>
    </row>
    <row r="144" customFormat="false" ht="13.5" hidden="false" customHeight="false" outlineLevel="0" collapsed="false">
      <c r="A144" s="20"/>
      <c r="B144" s="20"/>
      <c r="C144" s="20"/>
      <c r="D144" s="20"/>
      <c r="E144" s="20"/>
      <c r="F144" s="20"/>
      <c r="G144" s="20"/>
      <c r="H144" s="20"/>
      <c r="I144" s="20"/>
      <c r="J144" s="20"/>
      <c r="K144" s="20"/>
      <c r="L144" s="20"/>
      <c r="M144" s="20"/>
      <c r="N144" s="20"/>
      <c r="O144" s="20"/>
      <c r="P144" s="20"/>
      <c r="Q144" s="20"/>
      <c r="R144" s="20"/>
      <c r="S144" s="20"/>
      <c r="T144" s="20"/>
      <c r="U144" s="20"/>
    </row>
    <row r="145" customFormat="false" ht="13.5" hidden="false" customHeight="false" outlineLevel="0" collapsed="false">
      <c r="A145" s="20"/>
      <c r="B145" s="20"/>
      <c r="C145" s="20"/>
      <c r="D145" s="20"/>
      <c r="E145" s="20"/>
      <c r="F145" s="20"/>
      <c r="G145" s="20"/>
      <c r="H145" s="20"/>
      <c r="I145" s="20"/>
      <c r="J145" s="20"/>
      <c r="K145" s="20"/>
      <c r="L145" s="20"/>
      <c r="M145" s="20"/>
      <c r="N145" s="20"/>
      <c r="O145" s="20"/>
      <c r="P145" s="20"/>
      <c r="Q145" s="20"/>
      <c r="R145" s="20"/>
      <c r="S145" s="20"/>
      <c r="T145" s="20"/>
      <c r="U145" s="20"/>
    </row>
    <row r="146" customFormat="false" ht="13.5" hidden="false" customHeight="false" outlineLevel="0" collapsed="false">
      <c r="A146" s="20"/>
      <c r="B146" s="20"/>
      <c r="C146" s="20"/>
      <c r="D146" s="20"/>
      <c r="E146" s="20"/>
      <c r="F146" s="20"/>
      <c r="G146" s="20"/>
      <c r="H146" s="20"/>
      <c r="I146" s="20"/>
      <c r="J146" s="20"/>
      <c r="K146" s="20"/>
      <c r="L146" s="20"/>
      <c r="M146" s="20"/>
      <c r="N146" s="20"/>
      <c r="O146" s="20"/>
      <c r="P146" s="20"/>
      <c r="Q146" s="20"/>
      <c r="R146" s="20"/>
      <c r="S146" s="20"/>
      <c r="T146" s="20"/>
      <c r="U146" s="20"/>
    </row>
    <row r="147" customFormat="false" ht="13.5" hidden="false" customHeight="false" outlineLevel="0" collapsed="false">
      <c r="A147" s="20"/>
      <c r="B147" s="20"/>
      <c r="C147" s="20"/>
      <c r="D147" s="20"/>
      <c r="E147" s="20"/>
      <c r="F147" s="20"/>
      <c r="G147" s="20"/>
      <c r="H147" s="20"/>
      <c r="I147" s="20"/>
      <c r="J147" s="20"/>
      <c r="K147" s="20"/>
      <c r="L147" s="20"/>
      <c r="M147" s="20"/>
      <c r="N147" s="20"/>
      <c r="O147" s="20"/>
      <c r="P147" s="20"/>
      <c r="Q147" s="20"/>
      <c r="R147" s="20"/>
      <c r="S147" s="20"/>
      <c r="T147" s="20"/>
      <c r="U147" s="20"/>
    </row>
    <row r="148" customFormat="false" ht="13.5" hidden="false" customHeight="false" outlineLevel="0" collapsed="false">
      <c r="A148" s="20"/>
      <c r="B148" s="20"/>
      <c r="C148" s="20"/>
      <c r="D148" s="20"/>
      <c r="E148" s="20"/>
      <c r="F148" s="20"/>
      <c r="G148" s="20"/>
      <c r="H148" s="20"/>
      <c r="I148" s="20"/>
      <c r="J148" s="20"/>
      <c r="K148" s="20"/>
      <c r="L148" s="20"/>
      <c r="M148" s="20"/>
      <c r="N148" s="20"/>
      <c r="O148" s="20"/>
      <c r="P148" s="20"/>
      <c r="Q148" s="20"/>
      <c r="R148" s="20"/>
      <c r="S148" s="20"/>
      <c r="T148" s="20"/>
      <c r="U148" s="20"/>
    </row>
    <row r="149" customFormat="false" ht="13.5" hidden="false" customHeight="false" outlineLevel="0" collapsed="false">
      <c r="A149" s="20"/>
      <c r="B149" s="20"/>
      <c r="C149" s="20"/>
      <c r="D149" s="20"/>
      <c r="E149" s="20"/>
      <c r="F149" s="20"/>
      <c r="G149" s="20"/>
      <c r="H149" s="20"/>
      <c r="I149" s="20"/>
      <c r="J149" s="20"/>
      <c r="K149" s="20"/>
      <c r="L149" s="20"/>
      <c r="M149" s="20"/>
      <c r="N149" s="20"/>
      <c r="O149" s="20"/>
      <c r="P149" s="20"/>
      <c r="Q149" s="20"/>
      <c r="R149" s="20"/>
      <c r="S149" s="20"/>
      <c r="T149" s="20"/>
      <c r="U149" s="20"/>
    </row>
    <row r="150" customFormat="false" ht="48" hidden="false" customHeight="true" outlineLevel="0" collapsed="false">
      <c r="A150" s="25" t="s">
        <v>2106</v>
      </c>
      <c r="B150" s="25" t="s">
        <v>2107</v>
      </c>
      <c r="C150" s="25" t="s">
        <v>2108</v>
      </c>
      <c r="D150" s="25" t="s">
        <v>2618</v>
      </c>
      <c r="E150" s="25" t="s">
        <v>2604</v>
      </c>
      <c r="F150" s="25" t="s">
        <v>2619</v>
      </c>
      <c r="G150" s="25" t="s">
        <v>2620</v>
      </c>
      <c r="H150" s="25" t="s">
        <v>2621</v>
      </c>
      <c r="I150" s="25" t="s">
        <v>1989</v>
      </c>
      <c r="J150" s="25" t="s">
        <v>2622</v>
      </c>
      <c r="K150" s="25" t="s">
        <v>2623</v>
      </c>
      <c r="L150" s="25" t="s">
        <v>2624</v>
      </c>
      <c r="M150" s="25" t="s">
        <v>2625</v>
      </c>
      <c r="N150" s="25" t="s">
        <v>2626</v>
      </c>
      <c r="O150" s="25" t="s">
        <v>2627</v>
      </c>
      <c r="P150" s="25" t="s">
        <v>2628</v>
      </c>
      <c r="Q150" s="25" t="s">
        <v>2629</v>
      </c>
      <c r="R150" s="25" t="s">
        <v>2630</v>
      </c>
      <c r="S150" s="25" t="s">
        <v>2631</v>
      </c>
      <c r="T150" s="20"/>
      <c r="U150" s="20"/>
    </row>
    <row r="151" customFormat="false" ht="24" hidden="false" customHeight="true" outlineLevel="0" collapsed="false">
      <c r="A151" s="20" t="str">
        <f aca="false">F01_UC2!A220</f>
        <v>RCV-INV-F01-0038</v>
      </c>
      <c r="B151" s="20" t="str">
        <f aca="false">F01_UC2!B220</f>
        <v>INV-F01-0038</v>
      </c>
      <c r="C151" s="20" t="str">
        <f aca="false">F01_UC2!C220</f>
        <v>BYR-F01-008</v>
      </c>
      <c r="D151" s="20" t="str">
        <f aca="false">F01_UC2!D220</f>
        <v>IN</v>
      </c>
      <c r="E151" s="78" t="n">
        <f aca="false">F01_UC2!E220</f>
        <v>82708587</v>
      </c>
      <c r="F151" s="80" t="n">
        <f aca="false">F01_UC2!N220</f>
        <v>46213</v>
      </c>
      <c r="G151" s="80" t="n">
        <f aca="false">F01_UC2!M220</f>
        <v>0</v>
      </c>
      <c r="H151" s="20" t="str">
        <f aca="false">F01_UC2!P220</f>
        <v>Thu công nợ</v>
      </c>
      <c r="I151" s="20" t="n">
        <f aca="false">F01_UC2!Q220</f>
        <v>0</v>
      </c>
      <c r="J151" s="78" t="n">
        <f aca="false">IF(AND($B$34="Hợp lệ",D151="IN",H151="Thu công nợ",C151=$B$7,OR(G151=0,$B$12=1),K151&lt;&gt;F151),E151*$B$28,0)</f>
        <v>0</v>
      </c>
      <c r="K151" s="77" t="n">
        <f aca="false">MAX(F01_UC2!$B$6,F151+$B$29)</f>
        <v>46206</v>
      </c>
      <c r="L151" s="78" t="n">
        <f aca="false">J151-M151</f>
        <v>0</v>
      </c>
      <c r="M151" s="78" t="n">
        <f aca="false">IF(K151&lt;F151,J151*$B$30,0)</f>
        <v>0</v>
      </c>
      <c r="N151" s="78" t="n">
        <f aca="false">IF(AND($B$34="Hợp lệ",D151="OUT",H151="Trả NCC",C151=$B$13,OR(I151=0,$B$17=1),O151&lt;&gt;F151),E151*$B$31,0)</f>
        <v>0</v>
      </c>
      <c r="O151" s="77" t="n">
        <f aca="false">F151+$B$15</f>
        <v>46227</v>
      </c>
      <c r="P151" s="78" t="n">
        <f aca="false">N151+Q151</f>
        <v>0</v>
      </c>
      <c r="Q151" s="78" t="n">
        <f aca="false">N151*$B$16</f>
        <v>0</v>
      </c>
      <c r="R151" s="78" t="n">
        <f aca="false">E151-J151-N151</f>
        <v>82708587</v>
      </c>
      <c r="S151" s="20" t="str">
        <f aca="false">IF(AND(J151&gt;=0,N151&gt;=0,R151&gt;=0,ABS(R151+J151+N151-E151)&lt;=$B$27),"Khớp","LỆCH")</f>
        <v>Khớp</v>
      </c>
      <c r="T151" s="20"/>
      <c r="U151" s="20"/>
    </row>
    <row r="152" customFormat="false" ht="24" hidden="false" customHeight="true" outlineLevel="0" collapsed="false">
      <c r="A152" s="20" t="str">
        <f aca="false">F01_UC2!A221</f>
        <v>RCV-INV-F01-0051</v>
      </c>
      <c r="B152" s="20" t="str">
        <f aca="false">F01_UC2!B221</f>
        <v>INV-F01-0051</v>
      </c>
      <c r="C152" s="20" t="str">
        <f aca="false">F01_UC2!C221</f>
        <v>BYR-F01-005</v>
      </c>
      <c r="D152" s="20" t="str">
        <f aca="false">F01_UC2!D221</f>
        <v>IN</v>
      </c>
      <c r="E152" s="78" t="n">
        <f aca="false">F01_UC2!E221</f>
        <v>730432904</v>
      </c>
      <c r="F152" s="80" t="n">
        <f aca="false">F01_UC2!N221</f>
        <v>46213</v>
      </c>
      <c r="G152" s="80" t="n">
        <f aca="false">F01_UC2!M221</f>
        <v>0</v>
      </c>
      <c r="H152" s="20" t="str">
        <f aca="false">F01_UC2!P221</f>
        <v>Thu công nợ</v>
      </c>
      <c r="I152" s="20" t="n">
        <f aca="false">F01_UC2!Q221</f>
        <v>0</v>
      </c>
      <c r="J152" s="78" t="n">
        <f aca="false">IF(AND($B$34="Hợp lệ",D152="IN",H152="Thu công nợ",C152=$B$7,OR(G152=0,$B$12=1),K152&lt;&gt;F152),E152*$B$28,0)</f>
        <v>0</v>
      </c>
      <c r="K152" s="77" t="n">
        <f aca="false">MAX(F01_UC2!$B$6,F152+$B$29)</f>
        <v>46206</v>
      </c>
      <c r="L152" s="78" t="n">
        <f aca="false">J152-M152</f>
        <v>0</v>
      </c>
      <c r="M152" s="78" t="n">
        <f aca="false">IF(K152&lt;F152,J152*$B$30,0)</f>
        <v>0</v>
      </c>
      <c r="N152" s="78" t="n">
        <f aca="false">IF(AND($B$34="Hợp lệ",D152="OUT",H152="Trả NCC",C152=$B$13,OR(I152=0,$B$17=1),O152&lt;&gt;F152),E152*$B$31,0)</f>
        <v>0</v>
      </c>
      <c r="O152" s="77" t="n">
        <f aca="false">F152+$B$15</f>
        <v>46227</v>
      </c>
      <c r="P152" s="78" t="n">
        <f aca="false">N152+Q152</f>
        <v>0</v>
      </c>
      <c r="Q152" s="78" t="n">
        <f aca="false">N152*$B$16</f>
        <v>0</v>
      </c>
      <c r="R152" s="78" t="n">
        <f aca="false">E152-J152-N152</f>
        <v>730432904</v>
      </c>
      <c r="S152" s="20" t="str">
        <f aca="false">IF(AND(J152&gt;=0,N152&gt;=0,R152&gt;=0,ABS(R152+J152+N152-E152)&lt;=$B$27),"Khớp","LỆCH")</f>
        <v>Khớp</v>
      </c>
      <c r="T152" s="20"/>
      <c r="U152" s="20"/>
    </row>
    <row r="153" customFormat="false" ht="24" hidden="false" customHeight="true" outlineLevel="0" collapsed="false">
      <c r="A153" s="20" t="str">
        <f aca="false">F01_UC2!A222</f>
        <v>RCV-INV-F01-0056</v>
      </c>
      <c r="B153" s="20" t="str">
        <f aca="false">F01_UC2!B222</f>
        <v>INV-F01-0056</v>
      </c>
      <c r="C153" s="20" t="str">
        <f aca="false">F01_UC2!C222</f>
        <v>BYR-F01-005</v>
      </c>
      <c r="D153" s="20" t="str">
        <f aca="false">F01_UC2!D222</f>
        <v>IN</v>
      </c>
      <c r="E153" s="78" t="n">
        <f aca="false">F01_UC2!E222</f>
        <v>593475685</v>
      </c>
      <c r="F153" s="80" t="n">
        <f aca="false">F01_UC2!N222</f>
        <v>46213</v>
      </c>
      <c r="G153" s="80" t="n">
        <f aca="false">F01_UC2!M222</f>
        <v>0</v>
      </c>
      <c r="H153" s="20" t="str">
        <f aca="false">F01_UC2!P222</f>
        <v>Thu công nợ</v>
      </c>
      <c r="I153" s="20" t="n">
        <f aca="false">F01_UC2!Q222</f>
        <v>0</v>
      </c>
      <c r="J153" s="78" t="n">
        <f aca="false">IF(AND($B$34="Hợp lệ",D153="IN",H153="Thu công nợ",C153=$B$7,OR(G153=0,$B$12=1),K153&lt;&gt;F153),E153*$B$28,0)</f>
        <v>0</v>
      </c>
      <c r="K153" s="77" t="n">
        <f aca="false">MAX(F01_UC2!$B$6,F153+$B$29)</f>
        <v>46206</v>
      </c>
      <c r="L153" s="78" t="n">
        <f aca="false">J153-M153</f>
        <v>0</v>
      </c>
      <c r="M153" s="78" t="n">
        <f aca="false">IF(K153&lt;F153,J153*$B$30,0)</f>
        <v>0</v>
      </c>
      <c r="N153" s="78" t="n">
        <f aca="false">IF(AND($B$34="Hợp lệ",D153="OUT",H153="Trả NCC",C153=$B$13,OR(I153=0,$B$17=1),O153&lt;&gt;F153),E153*$B$31,0)</f>
        <v>0</v>
      </c>
      <c r="O153" s="77" t="n">
        <f aca="false">F153+$B$15</f>
        <v>46227</v>
      </c>
      <c r="P153" s="78" t="n">
        <f aca="false">N153+Q153</f>
        <v>0</v>
      </c>
      <c r="Q153" s="78" t="n">
        <f aca="false">N153*$B$16</f>
        <v>0</v>
      </c>
      <c r="R153" s="78" t="n">
        <f aca="false">E153-J153-N153</f>
        <v>593475685</v>
      </c>
      <c r="S153" s="20" t="str">
        <f aca="false">IF(AND(J153&gt;=0,N153&gt;=0,R153&gt;=0,ABS(R153+J153+N153-E153)&lt;=$B$27),"Khớp","LỆCH")</f>
        <v>Khớp</v>
      </c>
      <c r="T153" s="20"/>
      <c r="U153" s="20"/>
    </row>
    <row r="154" customFormat="false" ht="24" hidden="false" customHeight="true" outlineLevel="0" collapsed="false">
      <c r="A154" s="20" t="str">
        <f aca="false">F01_UC2!A223</f>
        <v>RCV-INV-F01-0075</v>
      </c>
      <c r="B154" s="20" t="str">
        <f aca="false">F01_UC2!B223</f>
        <v>INV-F01-0075</v>
      </c>
      <c r="C154" s="20" t="str">
        <f aca="false">F01_UC2!C223</f>
        <v>BYR-F01-002</v>
      </c>
      <c r="D154" s="20" t="str">
        <f aca="false">F01_UC2!D223</f>
        <v>IN</v>
      </c>
      <c r="E154" s="78" t="n">
        <f aca="false">F01_UC2!E223</f>
        <v>659212461</v>
      </c>
      <c r="F154" s="80" t="n">
        <f aca="false">F01_UC2!N223</f>
        <v>46207</v>
      </c>
      <c r="G154" s="80" t="n">
        <f aca="false">F01_UC2!M223</f>
        <v>0</v>
      </c>
      <c r="H154" s="20" t="str">
        <f aca="false">F01_UC2!P223</f>
        <v>Thu công nợ</v>
      </c>
      <c r="I154" s="20" t="n">
        <f aca="false">F01_UC2!Q223</f>
        <v>0</v>
      </c>
      <c r="J154" s="78" t="n">
        <f aca="false">IF(AND($B$34="Hợp lệ",D154="IN",H154="Thu công nợ",C154=$B$7,OR(G154=0,$B$12=1),K154&lt;&gt;F154),E154*$B$28,0)</f>
        <v>329606230.5</v>
      </c>
      <c r="K154" s="77" t="n">
        <f aca="false">MAX(F01_UC2!$B$6,F154+$B$29)</f>
        <v>46204</v>
      </c>
      <c r="L154" s="78" t="n">
        <f aca="false">J154-M154</f>
        <v>326310168.195</v>
      </c>
      <c r="M154" s="78" t="n">
        <f aca="false">IF(K154&lt;F154,J154*$B$30,0)</f>
        <v>3296062.305</v>
      </c>
      <c r="N154" s="78" t="n">
        <f aca="false">IF(AND($B$34="Hợp lệ",D154="OUT",H154="Trả NCC",C154=$B$13,OR(I154=0,$B$17=1),O154&lt;&gt;F154),E154*$B$31,0)</f>
        <v>0</v>
      </c>
      <c r="O154" s="77" t="n">
        <f aca="false">F154+$B$15</f>
        <v>46221</v>
      </c>
      <c r="P154" s="78" t="n">
        <f aca="false">N154+Q154</f>
        <v>0</v>
      </c>
      <c r="Q154" s="78" t="n">
        <f aca="false">N154*$B$16</f>
        <v>0</v>
      </c>
      <c r="R154" s="78" t="n">
        <f aca="false">E154-J154-N154</f>
        <v>329606230.5</v>
      </c>
      <c r="S154" s="20" t="str">
        <f aca="false">IF(AND(J154&gt;=0,N154&gt;=0,R154&gt;=0,ABS(R154+J154+N154-E154)&lt;=$B$27),"Khớp","LỆCH")</f>
        <v>Khớp</v>
      </c>
      <c r="T154" s="20"/>
      <c r="U154" s="20"/>
    </row>
    <row r="155" customFormat="false" ht="24" hidden="false" customHeight="true" outlineLevel="0" collapsed="false">
      <c r="A155" s="20" t="str">
        <f aca="false">F01_UC2!A224</f>
        <v>RCV-INV-F01-0076</v>
      </c>
      <c r="B155" s="20" t="str">
        <f aca="false">F01_UC2!B224</f>
        <v>INV-F01-0076</v>
      </c>
      <c r="C155" s="20" t="str">
        <f aca="false">F01_UC2!C224</f>
        <v>BYR-F01-002</v>
      </c>
      <c r="D155" s="20" t="str">
        <f aca="false">F01_UC2!D224</f>
        <v>IN</v>
      </c>
      <c r="E155" s="78" t="n">
        <f aca="false">F01_UC2!E224</f>
        <v>272993776</v>
      </c>
      <c r="F155" s="80" t="n">
        <f aca="false">F01_UC2!N224</f>
        <v>46207</v>
      </c>
      <c r="G155" s="80" t="n">
        <f aca="false">F01_UC2!M224</f>
        <v>0</v>
      </c>
      <c r="H155" s="20" t="str">
        <f aca="false">F01_UC2!P224</f>
        <v>Thu công nợ</v>
      </c>
      <c r="I155" s="20" t="n">
        <f aca="false">F01_UC2!Q224</f>
        <v>0</v>
      </c>
      <c r="J155" s="78" t="n">
        <f aca="false">IF(AND($B$34="Hợp lệ",D155="IN",H155="Thu công nợ",C155=$B$7,OR(G155=0,$B$12=1),K155&lt;&gt;F155),E155*$B$28,0)</f>
        <v>136496888</v>
      </c>
      <c r="K155" s="77" t="n">
        <f aca="false">MAX(F01_UC2!$B$6,F155+$B$29)</f>
        <v>46204</v>
      </c>
      <c r="L155" s="78" t="n">
        <f aca="false">J155-M155</f>
        <v>135131919.12</v>
      </c>
      <c r="M155" s="78" t="n">
        <f aca="false">IF(K155&lt;F155,J155*$B$30,0)</f>
        <v>1364968.88</v>
      </c>
      <c r="N155" s="78" t="n">
        <f aca="false">IF(AND($B$34="Hợp lệ",D155="OUT",H155="Trả NCC",C155=$B$13,OR(I155=0,$B$17=1),O155&lt;&gt;F155),E155*$B$31,0)</f>
        <v>0</v>
      </c>
      <c r="O155" s="77" t="n">
        <f aca="false">F155+$B$15</f>
        <v>46221</v>
      </c>
      <c r="P155" s="78" t="n">
        <f aca="false">N155+Q155</f>
        <v>0</v>
      </c>
      <c r="Q155" s="78" t="n">
        <f aca="false">N155*$B$16</f>
        <v>0</v>
      </c>
      <c r="R155" s="78" t="n">
        <f aca="false">E155-J155-N155</f>
        <v>136496888</v>
      </c>
      <c r="S155" s="20" t="str">
        <f aca="false">IF(AND(J155&gt;=0,N155&gt;=0,R155&gt;=0,ABS(R155+J155+N155-E155)&lt;=$B$27),"Khớp","LỆCH")</f>
        <v>Khớp</v>
      </c>
      <c r="T155" s="20"/>
      <c r="U155" s="20"/>
    </row>
    <row r="156" customFormat="false" ht="24" hidden="false" customHeight="true" outlineLevel="0" collapsed="false">
      <c r="A156" s="20" t="str">
        <f aca="false">F01_UC2!A225</f>
        <v>RCV-INV-F01-0079</v>
      </c>
      <c r="B156" s="20" t="str">
        <f aca="false">F01_UC2!B225</f>
        <v>INV-F01-0079</v>
      </c>
      <c r="C156" s="20" t="str">
        <f aca="false">F01_UC2!C225</f>
        <v>BYR-F01-004</v>
      </c>
      <c r="D156" s="20" t="str">
        <f aca="false">F01_UC2!D225</f>
        <v>IN</v>
      </c>
      <c r="E156" s="78" t="n">
        <f aca="false">F01_UC2!E225</f>
        <v>274915745</v>
      </c>
      <c r="F156" s="80" t="n">
        <f aca="false">F01_UC2!N225</f>
        <v>46226</v>
      </c>
      <c r="G156" s="80" t="n">
        <f aca="false">F01_UC2!M225</f>
        <v>0</v>
      </c>
      <c r="H156" s="20" t="str">
        <f aca="false">F01_UC2!P225</f>
        <v>Thu công nợ</v>
      </c>
      <c r="I156" s="20" t="n">
        <f aca="false">F01_UC2!Q225</f>
        <v>0</v>
      </c>
      <c r="J156" s="78" t="n">
        <f aca="false">IF(AND($B$34="Hợp lệ",D156="IN",H156="Thu công nợ",C156=$B$7,OR(G156=0,$B$12=1),K156&lt;&gt;F156),E156*$B$28,0)</f>
        <v>0</v>
      </c>
      <c r="K156" s="77" t="n">
        <f aca="false">MAX(F01_UC2!$B$6,F156+$B$29)</f>
        <v>46219</v>
      </c>
      <c r="L156" s="78" t="n">
        <f aca="false">J156-M156</f>
        <v>0</v>
      </c>
      <c r="M156" s="78" t="n">
        <f aca="false">IF(K156&lt;F156,J156*$B$30,0)</f>
        <v>0</v>
      </c>
      <c r="N156" s="78" t="n">
        <f aca="false">IF(AND($B$34="Hợp lệ",D156="OUT",H156="Trả NCC",C156=$B$13,OR(I156=0,$B$17=1),O156&lt;&gt;F156),E156*$B$31,0)</f>
        <v>0</v>
      </c>
      <c r="O156" s="77" t="n">
        <f aca="false">F156+$B$15</f>
        <v>46240</v>
      </c>
      <c r="P156" s="78" t="n">
        <f aca="false">N156+Q156</f>
        <v>0</v>
      </c>
      <c r="Q156" s="78" t="n">
        <f aca="false">N156*$B$16</f>
        <v>0</v>
      </c>
      <c r="R156" s="78" t="n">
        <f aca="false">E156-J156-N156</f>
        <v>274915745</v>
      </c>
      <c r="S156" s="20" t="str">
        <f aca="false">IF(AND(J156&gt;=0,N156&gt;=0,R156&gt;=0,ABS(R156+J156+N156-E156)&lt;=$B$27),"Khớp","LỆCH")</f>
        <v>Khớp</v>
      </c>
      <c r="T156" s="20"/>
      <c r="U156" s="20"/>
    </row>
    <row r="157" customFormat="false" ht="24" hidden="false" customHeight="true" outlineLevel="0" collapsed="false">
      <c r="A157" s="20" t="str">
        <f aca="false">F01_UC2!A226</f>
        <v>RCV-INV-F01-0083</v>
      </c>
      <c r="B157" s="20" t="str">
        <f aca="false">F01_UC2!B226</f>
        <v>INV-F01-0083</v>
      </c>
      <c r="C157" s="20" t="str">
        <f aca="false">F01_UC2!C226</f>
        <v>BYR-F01-002</v>
      </c>
      <c r="D157" s="20" t="str">
        <f aca="false">F01_UC2!D226</f>
        <v>IN</v>
      </c>
      <c r="E157" s="78" t="n">
        <f aca="false">F01_UC2!E226</f>
        <v>574833910</v>
      </c>
      <c r="F157" s="80" t="n">
        <f aca="false">F01_UC2!N226</f>
        <v>46212</v>
      </c>
      <c r="G157" s="80" t="n">
        <f aca="false">F01_UC2!M226</f>
        <v>0</v>
      </c>
      <c r="H157" s="20" t="str">
        <f aca="false">F01_UC2!P226</f>
        <v>Thu công nợ</v>
      </c>
      <c r="I157" s="20" t="n">
        <f aca="false">F01_UC2!Q226</f>
        <v>0</v>
      </c>
      <c r="J157" s="78" t="n">
        <f aca="false">IF(AND($B$34="Hợp lệ",D157="IN",H157="Thu công nợ",C157=$B$7,OR(G157=0,$B$12=1),K157&lt;&gt;F157),E157*$B$28,0)</f>
        <v>287416955</v>
      </c>
      <c r="K157" s="77" t="n">
        <f aca="false">MAX(F01_UC2!$B$6,F157+$B$29)</f>
        <v>46205</v>
      </c>
      <c r="L157" s="78" t="n">
        <f aca="false">J157-M157</f>
        <v>284542785.45</v>
      </c>
      <c r="M157" s="78" t="n">
        <f aca="false">IF(K157&lt;F157,J157*$B$30,0)</f>
        <v>2874169.55</v>
      </c>
      <c r="N157" s="78" t="n">
        <f aca="false">IF(AND($B$34="Hợp lệ",D157="OUT",H157="Trả NCC",C157=$B$13,OR(I157=0,$B$17=1),O157&lt;&gt;F157),E157*$B$31,0)</f>
        <v>0</v>
      </c>
      <c r="O157" s="77" t="n">
        <f aca="false">F157+$B$15</f>
        <v>46226</v>
      </c>
      <c r="P157" s="78" t="n">
        <f aca="false">N157+Q157</f>
        <v>0</v>
      </c>
      <c r="Q157" s="78" t="n">
        <f aca="false">N157*$B$16</f>
        <v>0</v>
      </c>
      <c r="R157" s="78" t="n">
        <f aca="false">E157-J157-N157</f>
        <v>287416955</v>
      </c>
      <c r="S157" s="20" t="str">
        <f aca="false">IF(AND(J157&gt;=0,N157&gt;=0,R157&gt;=0,ABS(R157+J157+N157-E157)&lt;=$B$27),"Khớp","LỆCH")</f>
        <v>Khớp</v>
      </c>
      <c r="T157" s="20"/>
      <c r="U157" s="20"/>
    </row>
    <row r="158" customFormat="false" ht="24" hidden="false" customHeight="true" outlineLevel="0" collapsed="false">
      <c r="A158" s="20" t="str">
        <f aca="false">F01_UC2!A227</f>
        <v>RCV-INV-F01-0085</v>
      </c>
      <c r="B158" s="20" t="str">
        <f aca="false">F01_UC2!B227</f>
        <v>INV-F01-0085</v>
      </c>
      <c r="C158" s="20" t="str">
        <f aca="false">F01_UC2!C227</f>
        <v>BYR-F01-002</v>
      </c>
      <c r="D158" s="20" t="str">
        <f aca="false">F01_UC2!D227</f>
        <v>IN</v>
      </c>
      <c r="E158" s="78" t="n">
        <f aca="false">F01_UC2!E227</f>
        <v>967551008</v>
      </c>
      <c r="F158" s="80" t="n">
        <f aca="false">F01_UC2!N227</f>
        <v>46214</v>
      </c>
      <c r="G158" s="80" t="n">
        <f aca="false">F01_UC2!M227</f>
        <v>0</v>
      </c>
      <c r="H158" s="20" t="str">
        <f aca="false">F01_UC2!P227</f>
        <v>Thu công nợ</v>
      </c>
      <c r="I158" s="20" t="n">
        <f aca="false">F01_UC2!Q227</f>
        <v>0</v>
      </c>
      <c r="J158" s="78" t="n">
        <f aca="false">IF(AND($B$34="Hợp lệ",D158="IN",H158="Thu công nợ",C158=$B$7,OR(G158=0,$B$12=1),K158&lt;&gt;F158),E158*$B$28,0)</f>
        <v>483775504</v>
      </c>
      <c r="K158" s="77" t="n">
        <f aca="false">MAX(F01_UC2!$B$6,F158+$B$29)</f>
        <v>46207</v>
      </c>
      <c r="L158" s="78" t="n">
        <f aca="false">J158-M158</f>
        <v>478937748.96</v>
      </c>
      <c r="M158" s="78" t="n">
        <f aca="false">IF(K158&lt;F158,J158*$B$30,0)</f>
        <v>4837755.04</v>
      </c>
      <c r="N158" s="78" t="n">
        <f aca="false">IF(AND($B$34="Hợp lệ",D158="OUT",H158="Trả NCC",C158=$B$13,OR(I158=0,$B$17=1),O158&lt;&gt;F158),E158*$B$31,0)</f>
        <v>0</v>
      </c>
      <c r="O158" s="77" t="n">
        <f aca="false">F158+$B$15</f>
        <v>46228</v>
      </c>
      <c r="P158" s="78" t="n">
        <f aca="false">N158+Q158</f>
        <v>0</v>
      </c>
      <c r="Q158" s="78" t="n">
        <f aca="false">N158*$B$16</f>
        <v>0</v>
      </c>
      <c r="R158" s="78" t="n">
        <f aca="false">E158-J158-N158</f>
        <v>483775504</v>
      </c>
      <c r="S158" s="20" t="str">
        <f aca="false">IF(AND(J158&gt;=0,N158&gt;=0,R158&gt;=0,ABS(R158+J158+N158-E158)&lt;=$B$27),"Khớp","LỆCH")</f>
        <v>Khớp</v>
      </c>
      <c r="T158" s="20"/>
      <c r="U158" s="20"/>
    </row>
    <row r="159" customFormat="false" ht="24" hidden="false" customHeight="true" outlineLevel="0" collapsed="false">
      <c r="A159" s="20" t="str">
        <f aca="false">F01_UC2!A228</f>
        <v>RCV-INV-F01-0086</v>
      </c>
      <c r="B159" s="20" t="str">
        <f aca="false">F01_UC2!B228</f>
        <v>INV-F01-0086</v>
      </c>
      <c r="C159" s="20" t="str">
        <f aca="false">F01_UC2!C228</f>
        <v>BYR-F01-002</v>
      </c>
      <c r="D159" s="20" t="str">
        <f aca="false">F01_UC2!D228</f>
        <v>IN</v>
      </c>
      <c r="E159" s="78" t="n">
        <f aca="false">F01_UC2!E228</f>
        <v>461323390</v>
      </c>
      <c r="F159" s="80" t="n">
        <f aca="false">F01_UC2!N228</f>
        <v>46215</v>
      </c>
      <c r="G159" s="80" t="n">
        <f aca="false">F01_UC2!M228</f>
        <v>0</v>
      </c>
      <c r="H159" s="20" t="str">
        <f aca="false">F01_UC2!P228</f>
        <v>Thu công nợ</v>
      </c>
      <c r="I159" s="20" t="n">
        <f aca="false">F01_UC2!Q228</f>
        <v>0</v>
      </c>
      <c r="J159" s="78" t="n">
        <f aca="false">IF(AND($B$34="Hợp lệ",D159="IN",H159="Thu công nợ",C159=$B$7,OR(G159=0,$B$12=1),K159&lt;&gt;F159),E159*$B$28,0)</f>
        <v>230661695</v>
      </c>
      <c r="K159" s="77" t="n">
        <f aca="false">MAX(F01_UC2!$B$6,F159+$B$29)</f>
        <v>46208</v>
      </c>
      <c r="L159" s="78" t="n">
        <f aca="false">J159-M159</f>
        <v>228355078.05</v>
      </c>
      <c r="M159" s="78" t="n">
        <f aca="false">IF(K159&lt;F159,J159*$B$30,0)</f>
        <v>2306616.95</v>
      </c>
      <c r="N159" s="78" t="n">
        <f aca="false">IF(AND($B$34="Hợp lệ",D159="OUT",H159="Trả NCC",C159=$B$13,OR(I159=0,$B$17=1),O159&lt;&gt;F159),E159*$B$31,0)</f>
        <v>0</v>
      </c>
      <c r="O159" s="77" t="n">
        <f aca="false">F159+$B$15</f>
        <v>46229</v>
      </c>
      <c r="P159" s="78" t="n">
        <f aca="false">N159+Q159</f>
        <v>0</v>
      </c>
      <c r="Q159" s="78" t="n">
        <f aca="false">N159*$B$16</f>
        <v>0</v>
      </c>
      <c r="R159" s="78" t="n">
        <f aca="false">E159-J159-N159</f>
        <v>230661695</v>
      </c>
      <c r="S159" s="20" t="str">
        <f aca="false">IF(AND(J159&gt;=0,N159&gt;=0,R159&gt;=0,ABS(R159+J159+N159-E159)&lt;=$B$27),"Khớp","LỆCH")</f>
        <v>Khớp</v>
      </c>
      <c r="T159" s="20"/>
      <c r="U159" s="20"/>
    </row>
    <row r="160" customFormat="false" ht="24" hidden="false" customHeight="true" outlineLevel="0" collapsed="false">
      <c r="A160" s="20" t="str">
        <f aca="false">F01_UC2!A229</f>
        <v>RCV-INV-F01-0089</v>
      </c>
      <c r="B160" s="20" t="str">
        <f aca="false">F01_UC2!B229</f>
        <v>INV-F01-0089</v>
      </c>
      <c r="C160" s="20" t="str">
        <f aca="false">F01_UC2!C229</f>
        <v>BYR-F01-002</v>
      </c>
      <c r="D160" s="20" t="str">
        <f aca="false">F01_UC2!D229</f>
        <v>IN</v>
      </c>
      <c r="E160" s="78" t="n">
        <f aca="false">F01_UC2!E229</f>
        <v>658439641</v>
      </c>
      <c r="F160" s="80" t="n">
        <f aca="false">F01_UC2!N229</f>
        <v>46217</v>
      </c>
      <c r="G160" s="80" t="n">
        <f aca="false">F01_UC2!M229</f>
        <v>0</v>
      </c>
      <c r="H160" s="20" t="str">
        <f aca="false">F01_UC2!P229</f>
        <v>Thu công nợ</v>
      </c>
      <c r="I160" s="20" t="n">
        <f aca="false">F01_UC2!Q229</f>
        <v>0</v>
      </c>
      <c r="J160" s="78" t="n">
        <f aca="false">IF(AND($B$34="Hợp lệ",D160="IN",H160="Thu công nợ",C160=$B$7,OR(G160=0,$B$12=1),K160&lt;&gt;F160),E160*$B$28,0)</f>
        <v>329219820.5</v>
      </c>
      <c r="K160" s="77" t="n">
        <f aca="false">MAX(F01_UC2!$B$6,F160+$B$29)</f>
        <v>46210</v>
      </c>
      <c r="L160" s="78" t="n">
        <f aca="false">J160-M160</f>
        <v>325927622.295</v>
      </c>
      <c r="M160" s="78" t="n">
        <f aca="false">IF(K160&lt;F160,J160*$B$30,0)</f>
        <v>3292198.205</v>
      </c>
      <c r="N160" s="78" t="n">
        <f aca="false">IF(AND($B$34="Hợp lệ",D160="OUT",H160="Trả NCC",C160=$B$13,OR(I160=0,$B$17=1),O160&lt;&gt;F160),E160*$B$31,0)</f>
        <v>0</v>
      </c>
      <c r="O160" s="77" t="n">
        <f aca="false">F160+$B$15</f>
        <v>46231</v>
      </c>
      <c r="P160" s="78" t="n">
        <f aca="false">N160+Q160</f>
        <v>0</v>
      </c>
      <c r="Q160" s="78" t="n">
        <f aca="false">N160*$B$16</f>
        <v>0</v>
      </c>
      <c r="R160" s="78" t="n">
        <f aca="false">E160-J160-N160</f>
        <v>329219820.5</v>
      </c>
      <c r="S160" s="20" t="str">
        <f aca="false">IF(AND(J160&gt;=0,N160&gt;=0,R160&gt;=0,ABS(R160+J160+N160-E160)&lt;=$B$27),"Khớp","LỆCH")</f>
        <v>Khớp</v>
      </c>
      <c r="T160" s="20"/>
      <c r="U160" s="20"/>
    </row>
    <row r="161" customFormat="false" ht="24" hidden="false" customHeight="true" outlineLevel="0" collapsed="false">
      <c r="A161" s="20" t="str">
        <f aca="false">F01_UC2!A230</f>
        <v>RCV-INV-F01-0090</v>
      </c>
      <c r="B161" s="20" t="str">
        <f aca="false">F01_UC2!B230</f>
        <v>INV-F01-0090</v>
      </c>
      <c r="C161" s="20" t="str">
        <f aca="false">F01_UC2!C230</f>
        <v>BYR-F01-002</v>
      </c>
      <c r="D161" s="20" t="str">
        <f aca="false">F01_UC2!D230</f>
        <v>IN</v>
      </c>
      <c r="E161" s="78" t="n">
        <f aca="false">F01_UC2!E230</f>
        <v>593405121</v>
      </c>
      <c r="F161" s="80" t="n">
        <f aca="false">F01_UC2!N230</f>
        <v>46217</v>
      </c>
      <c r="G161" s="80" t="n">
        <f aca="false">F01_UC2!M230</f>
        <v>0</v>
      </c>
      <c r="H161" s="20" t="str">
        <f aca="false">F01_UC2!P230</f>
        <v>Thu công nợ</v>
      </c>
      <c r="I161" s="20" t="n">
        <f aca="false">F01_UC2!Q230</f>
        <v>0</v>
      </c>
      <c r="J161" s="78" t="n">
        <f aca="false">IF(AND($B$34="Hợp lệ",D161="IN",H161="Thu công nợ",C161=$B$7,OR(G161=0,$B$12=1),K161&lt;&gt;F161),E161*$B$28,0)</f>
        <v>296702560.5</v>
      </c>
      <c r="K161" s="77" t="n">
        <f aca="false">MAX(F01_UC2!$B$6,F161+$B$29)</f>
        <v>46210</v>
      </c>
      <c r="L161" s="78" t="n">
        <f aca="false">J161-M161</f>
        <v>293735534.895</v>
      </c>
      <c r="M161" s="78" t="n">
        <f aca="false">IF(K161&lt;F161,J161*$B$30,0)</f>
        <v>2967025.605</v>
      </c>
      <c r="N161" s="78" t="n">
        <f aca="false">IF(AND($B$34="Hợp lệ",D161="OUT",H161="Trả NCC",C161=$B$13,OR(I161=0,$B$17=1),O161&lt;&gt;F161),E161*$B$31,0)</f>
        <v>0</v>
      </c>
      <c r="O161" s="77" t="n">
        <f aca="false">F161+$B$15</f>
        <v>46231</v>
      </c>
      <c r="P161" s="78" t="n">
        <f aca="false">N161+Q161</f>
        <v>0</v>
      </c>
      <c r="Q161" s="78" t="n">
        <f aca="false">N161*$B$16</f>
        <v>0</v>
      </c>
      <c r="R161" s="78" t="n">
        <f aca="false">E161-J161-N161</f>
        <v>296702560.5</v>
      </c>
      <c r="S161" s="20" t="str">
        <f aca="false">IF(AND(J161&gt;=0,N161&gt;=0,R161&gt;=0,ABS(R161+J161+N161-E161)&lt;=$B$27),"Khớp","LỆCH")</f>
        <v>Khớp</v>
      </c>
      <c r="T161" s="20"/>
      <c r="U161" s="20"/>
    </row>
    <row r="162" customFormat="false" ht="24" hidden="false" customHeight="true" outlineLevel="0" collapsed="false">
      <c r="A162" s="20" t="str">
        <f aca="false">F01_UC2!A231</f>
        <v>RCV-INV-F01-0092</v>
      </c>
      <c r="B162" s="20" t="str">
        <f aca="false">F01_UC2!B231</f>
        <v>INV-F01-0092</v>
      </c>
      <c r="C162" s="20" t="str">
        <f aca="false">F01_UC2!C231</f>
        <v>BYR-F01-002</v>
      </c>
      <c r="D162" s="20" t="str">
        <f aca="false">F01_UC2!D231</f>
        <v>IN</v>
      </c>
      <c r="E162" s="78" t="n">
        <f aca="false">F01_UC2!E231</f>
        <v>889855674</v>
      </c>
      <c r="F162" s="80" t="n">
        <f aca="false">F01_UC2!N231</f>
        <v>46221</v>
      </c>
      <c r="G162" s="80" t="n">
        <f aca="false">F01_UC2!M231</f>
        <v>0</v>
      </c>
      <c r="H162" s="20" t="str">
        <f aca="false">F01_UC2!P231</f>
        <v>Thu công nợ</v>
      </c>
      <c r="I162" s="20" t="n">
        <f aca="false">F01_UC2!Q231</f>
        <v>0</v>
      </c>
      <c r="J162" s="78" t="n">
        <f aca="false">IF(AND($B$34="Hợp lệ",D162="IN",H162="Thu công nợ",C162=$B$7,OR(G162=0,$B$12=1),K162&lt;&gt;F162),E162*$B$28,0)</f>
        <v>444927837</v>
      </c>
      <c r="K162" s="77" t="n">
        <f aca="false">MAX(F01_UC2!$B$6,F162+$B$29)</f>
        <v>46214</v>
      </c>
      <c r="L162" s="78" t="n">
        <f aca="false">J162-M162</f>
        <v>440478558.63</v>
      </c>
      <c r="M162" s="78" t="n">
        <f aca="false">IF(K162&lt;F162,J162*$B$30,0)</f>
        <v>4449278.37</v>
      </c>
      <c r="N162" s="78" t="n">
        <f aca="false">IF(AND($B$34="Hợp lệ",D162="OUT",H162="Trả NCC",C162=$B$13,OR(I162=0,$B$17=1),O162&lt;&gt;F162),E162*$B$31,0)</f>
        <v>0</v>
      </c>
      <c r="O162" s="77" t="n">
        <f aca="false">F162+$B$15</f>
        <v>46235</v>
      </c>
      <c r="P162" s="78" t="n">
        <f aca="false">N162+Q162</f>
        <v>0</v>
      </c>
      <c r="Q162" s="78" t="n">
        <f aca="false">N162*$B$16</f>
        <v>0</v>
      </c>
      <c r="R162" s="78" t="n">
        <f aca="false">E162-J162-N162</f>
        <v>444927837</v>
      </c>
      <c r="S162" s="20" t="str">
        <f aca="false">IF(AND(J162&gt;=0,N162&gt;=0,R162&gt;=0,ABS(R162+J162+N162-E162)&lt;=$B$27),"Khớp","LỆCH")</f>
        <v>Khớp</v>
      </c>
      <c r="T162" s="20"/>
      <c r="U162" s="20"/>
    </row>
    <row r="163" customFormat="false" ht="24" hidden="false" customHeight="true" outlineLevel="0" collapsed="false">
      <c r="A163" s="20" t="str">
        <f aca="false">F01_UC2!A232</f>
        <v>RCV-INV-F01-0093</v>
      </c>
      <c r="B163" s="20" t="str">
        <f aca="false">F01_UC2!B232</f>
        <v>INV-F01-0093</v>
      </c>
      <c r="C163" s="20" t="str">
        <f aca="false">F01_UC2!C232</f>
        <v>BYR-F01-002</v>
      </c>
      <c r="D163" s="20" t="str">
        <f aca="false">F01_UC2!D232</f>
        <v>IN</v>
      </c>
      <c r="E163" s="78" t="n">
        <f aca="false">F01_UC2!E232</f>
        <v>560298165</v>
      </c>
      <c r="F163" s="80" t="n">
        <f aca="false">F01_UC2!N232</f>
        <v>46222</v>
      </c>
      <c r="G163" s="80" t="n">
        <f aca="false">F01_UC2!M232</f>
        <v>0</v>
      </c>
      <c r="H163" s="20" t="str">
        <f aca="false">F01_UC2!P232</f>
        <v>Thu công nợ</v>
      </c>
      <c r="I163" s="20" t="n">
        <f aca="false">F01_UC2!Q232</f>
        <v>0</v>
      </c>
      <c r="J163" s="78" t="n">
        <f aca="false">IF(AND($B$34="Hợp lệ",D163="IN",H163="Thu công nợ",C163=$B$7,OR(G163=0,$B$12=1),K163&lt;&gt;F163),E163*$B$28,0)</f>
        <v>280149082.5</v>
      </c>
      <c r="K163" s="77" t="n">
        <f aca="false">MAX(F01_UC2!$B$6,F163+$B$29)</f>
        <v>46215</v>
      </c>
      <c r="L163" s="78" t="n">
        <f aca="false">J163-M163</f>
        <v>277347591.675</v>
      </c>
      <c r="M163" s="78" t="n">
        <f aca="false">IF(K163&lt;F163,J163*$B$30,0)</f>
        <v>2801490.825</v>
      </c>
      <c r="N163" s="78" t="n">
        <f aca="false">IF(AND($B$34="Hợp lệ",D163="OUT",H163="Trả NCC",C163=$B$13,OR(I163=0,$B$17=1),O163&lt;&gt;F163),E163*$B$31,0)</f>
        <v>0</v>
      </c>
      <c r="O163" s="77" t="n">
        <f aca="false">F163+$B$15</f>
        <v>46236</v>
      </c>
      <c r="P163" s="78" t="n">
        <f aca="false">N163+Q163</f>
        <v>0</v>
      </c>
      <c r="Q163" s="78" t="n">
        <f aca="false">N163*$B$16</f>
        <v>0</v>
      </c>
      <c r="R163" s="78" t="n">
        <f aca="false">E163-J163-N163</f>
        <v>280149082.5</v>
      </c>
      <c r="S163" s="20" t="str">
        <f aca="false">IF(AND(J163&gt;=0,N163&gt;=0,R163&gt;=0,ABS(R163+J163+N163-E163)&lt;=$B$27),"Khớp","LỆCH")</f>
        <v>Khớp</v>
      </c>
      <c r="T163" s="20"/>
      <c r="U163" s="20"/>
    </row>
    <row r="164" customFormat="false" ht="24" hidden="false" customHeight="true" outlineLevel="0" collapsed="false">
      <c r="A164" s="20" t="str">
        <f aca="false">F01_UC2!A233</f>
        <v>RCV-INV-F01-0094</v>
      </c>
      <c r="B164" s="20" t="str">
        <f aca="false">F01_UC2!B233</f>
        <v>INV-F01-0094</v>
      </c>
      <c r="C164" s="20" t="str">
        <f aca="false">F01_UC2!C233</f>
        <v>BYR-F01-002</v>
      </c>
      <c r="D164" s="20" t="str">
        <f aca="false">F01_UC2!D233</f>
        <v>IN</v>
      </c>
      <c r="E164" s="78" t="n">
        <f aca="false">F01_UC2!E233</f>
        <v>927740677</v>
      </c>
      <c r="F164" s="80" t="n">
        <f aca="false">F01_UC2!N233</f>
        <v>46223</v>
      </c>
      <c r="G164" s="80" t="n">
        <f aca="false">F01_UC2!M233</f>
        <v>0</v>
      </c>
      <c r="H164" s="20" t="str">
        <f aca="false">F01_UC2!P233</f>
        <v>Thu công nợ</v>
      </c>
      <c r="I164" s="20" t="n">
        <f aca="false">F01_UC2!Q233</f>
        <v>0</v>
      </c>
      <c r="J164" s="78" t="n">
        <f aca="false">IF(AND($B$34="Hợp lệ",D164="IN",H164="Thu công nợ",C164=$B$7,OR(G164=0,$B$12=1),K164&lt;&gt;F164),E164*$B$28,0)</f>
        <v>463870338.5</v>
      </c>
      <c r="K164" s="77" t="n">
        <f aca="false">MAX(F01_UC2!$B$6,F164+$B$29)</f>
        <v>46216</v>
      </c>
      <c r="L164" s="78" t="n">
        <f aca="false">J164-M164</f>
        <v>459231635.115</v>
      </c>
      <c r="M164" s="78" t="n">
        <f aca="false">IF(K164&lt;F164,J164*$B$30,0)</f>
        <v>4638703.385</v>
      </c>
      <c r="N164" s="78" t="n">
        <f aca="false">IF(AND($B$34="Hợp lệ",D164="OUT",H164="Trả NCC",C164=$B$13,OR(I164=0,$B$17=1),O164&lt;&gt;F164),E164*$B$31,0)</f>
        <v>0</v>
      </c>
      <c r="O164" s="77" t="n">
        <f aca="false">F164+$B$15</f>
        <v>46237</v>
      </c>
      <c r="P164" s="78" t="n">
        <f aca="false">N164+Q164</f>
        <v>0</v>
      </c>
      <c r="Q164" s="78" t="n">
        <f aca="false">N164*$B$16</f>
        <v>0</v>
      </c>
      <c r="R164" s="78" t="n">
        <f aca="false">E164-J164-N164</f>
        <v>463870338.5</v>
      </c>
      <c r="S164" s="20" t="str">
        <f aca="false">IF(AND(J164&gt;=0,N164&gt;=0,R164&gt;=0,ABS(R164+J164+N164-E164)&lt;=$B$27),"Khớp","LỆCH")</f>
        <v>Khớp</v>
      </c>
      <c r="T164" s="20"/>
      <c r="U164" s="20"/>
    </row>
    <row r="165" customFormat="false" ht="24" hidden="false" customHeight="true" outlineLevel="0" collapsed="false">
      <c r="A165" s="20" t="str">
        <f aca="false">F01_UC2!A234</f>
        <v>RCV-INV-F01-0096</v>
      </c>
      <c r="B165" s="20" t="str">
        <f aca="false">F01_UC2!B234</f>
        <v>INV-F01-0096</v>
      </c>
      <c r="C165" s="20" t="str">
        <f aca="false">F01_UC2!C234</f>
        <v>BYR-F01-001</v>
      </c>
      <c r="D165" s="20" t="str">
        <f aca="false">F01_UC2!D234</f>
        <v>IN</v>
      </c>
      <c r="E165" s="78" t="n">
        <f aca="false">F01_UC2!E234</f>
        <v>983608872</v>
      </c>
      <c r="F165" s="80" t="n">
        <f aca="false">F01_UC2!N234</f>
        <v>46207</v>
      </c>
      <c r="G165" s="80" t="n">
        <f aca="false">F01_UC2!M234</f>
        <v>46207</v>
      </c>
      <c r="H165" s="20" t="str">
        <f aca="false">F01_UC2!P234</f>
        <v>Thu công nợ</v>
      </c>
      <c r="I165" s="20" t="n">
        <f aca="false">F01_UC2!Q234</f>
        <v>0</v>
      </c>
      <c r="J165" s="78" t="n">
        <f aca="false">IF(AND($B$34="Hợp lệ",D165="IN",H165="Thu công nợ",C165=$B$7,OR(G165=0,$B$12=1),K165&lt;&gt;F165),E165*$B$28,0)</f>
        <v>0</v>
      </c>
      <c r="K165" s="77" t="n">
        <f aca="false">MAX(F01_UC2!$B$6,F165+$B$29)</f>
        <v>46204</v>
      </c>
      <c r="L165" s="78" t="n">
        <f aca="false">J165-M165</f>
        <v>0</v>
      </c>
      <c r="M165" s="78" t="n">
        <f aca="false">IF(K165&lt;F165,J165*$B$30,0)</f>
        <v>0</v>
      </c>
      <c r="N165" s="78" t="n">
        <f aca="false">IF(AND($B$34="Hợp lệ",D165="OUT",H165="Trả NCC",C165=$B$13,OR(I165=0,$B$17=1),O165&lt;&gt;F165),E165*$B$31,0)</f>
        <v>0</v>
      </c>
      <c r="O165" s="77" t="n">
        <f aca="false">F165+$B$15</f>
        <v>46221</v>
      </c>
      <c r="P165" s="78" t="n">
        <f aca="false">N165+Q165</f>
        <v>0</v>
      </c>
      <c r="Q165" s="78" t="n">
        <f aca="false">N165*$B$16</f>
        <v>0</v>
      </c>
      <c r="R165" s="78" t="n">
        <f aca="false">E165-J165-N165</f>
        <v>983608872</v>
      </c>
      <c r="S165" s="20" t="str">
        <f aca="false">IF(AND(J165&gt;=0,N165&gt;=0,R165&gt;=0,ABS(R165+J165+N165-E165)&lt;=$B$27),"Khớp","LỆCH")</f>
        <v>Khớp</v>
      </c>
      <c r="T165" s="20"/>
      <c r="U165" s="20"/>
    </row>
    <row r="166" customFormat="false" ht="24" hidden="false" customHeight="true" outlineLevel="0" collapsed="false">
      <c r="A166" s="20" t="str">
        <f aca="false">F01_UC2!A235</f>
        <v>RCV-INV-F01-0099</v>
      </c>
      <c r="B166" s="20" t="str">
        <f aca="false">F01_UC2!B235</f>
        <v>INV-F01-0099</v>
      </c>
      <c r="C166" s="20" t="str">
        <f aca="false">F01_UC2!C235</f>
        <v>BYR-F01-002</v>
      </c>
      <c r="D166" s="20" t="str">
        <f aca="false">F01_UC2!D235</f>
        <v>IN</v>
      </c>
      <c r="E166" s="78" t="n">
        <f aca="false">F01_UC2!E235</f>
        <v>833520428</v>
      </c>
      <c r="F166" s="80" t="n">
        <f aca="false">F01_UC2!N235</f>
        <v>46230</v>
      </c>
      <c r="G166" s="80" t="n">
        <f aca="false">F01_UC2!M235</f>
        <v>0</v>
      </c>
      <c r="H166" s="20" t="str">
        <f aca="false">F01_UC2!P235</f>
        <v>Thu công nợ</v>
      </c>
      <c r="I166" s="20" t="n">
        <f aca="false">F01_UC2!Q235</f>
        <v>0</v>
      </c>
      <c r="J166" s="78" t="n">
        <f aca="false">IF(AND($B$34="Hợp lệ",D166="IN",H166="Thu công nợ",C166=$B$7,OR(G166=0,$B$12=1),K166&lt;&gt;F166),E166*$B$28,0)</f>
        <v>416760214</v>
      </c>
      <c r="K166" s="77" t="n">
        <f aca="false">MAX(F01_UC2!$B$6,F166+$B$29)</f>
        <v>46223</v>
      </c>
      <c r="L166" s="78" t="n">
        <f aca="false">J166-M166</f>
        <v>412592611.86</v>
      </c>
      <c r="M166" s="78" t="n">
        <f aca="false">IF(K166&lt;F166,J166*$B$30,0)</f>
        <v>4167602.14</v>
      </c>
      <c r="N166" s="78" t="n">
        <f aca="false">IF(AND($B$34="Hợp lệ",D166="OUT",H166="Trả NCC",C166=$B$13,OR(I166=0,$B$17=1),O166&lt;&gt;F166),E166*$B$31,0)</f>
        <v>0</v>
      </c>
      <c r="O166" s="77" t="n">
        <f aca="false">F166+$B$15</f>
        <v>46244</v>
      </c>
      <c r="P166" s="78" t="n">
        <f aca="false">N166+Q166</f>
        <v>0</v>
      </c>
      <c r="Q166" s="78" t="n">
        <f aca="false">N166*$B$16</f>
        <v>0</v>
      </c>
      <c r="R166" s="78" t="n">
        <f aca="false">E166-J166-N166</f>
        <v>416760214</v>
      </c>
      <c r="S166" s="20" t="str">
        <f aca="false">IF(AND(J166&gt;=0,N166&gt;=0,R166&gt;=0,ABS(R166+J166+N166-E166)&lt;=$B$27),"Khớp","LỆCH")</f>
        <v>Khớp</v>
      </c>
      <c r="T166" s="20"/>
      <c r="U166" s="20"/>
    </row>
    <row r="167" customFormat="false" ht="24" hidden="false" customHeight="true" outlineLevel="0" collapsed="false">
      <c r="A167" s="20" t="str">
        <f aca="false">F01_UC2!A236</f>
        <v>RCV-INV-F01-0100</v>
      </c>
      <c r="B167" s="20" t="str">
        <f aca="false">F01_UC2!B236</f>
        <v>INV-F01-0100</v>
      </c>
      <c r="C167" s="20" t="str">
        <f aca="false">F01_UC2!C236</f>
        <v>BYR-F01-006</v>
      </c>
      <c r="D167" s="20" t="str">
        <f aca="false">F01_UC2!D236</f>
        <v>IN</v>
      </c>
      <c r="E167" s="78" t="n">
        <f aca="false">F01_UC2!E236</f>
        <v>1909998793</v>
      </c>
      <c r="F167" s="80" t="n">
        <f aca="false">F01_UC2!N236</f>
        <v>46213</v>
      </c>
      <c r="G167" s="80" t="n">
        <f aca="false">F01_UC2!M236</f>
        <v>0</v>
      </c>
      <c r="H167" s="20" t="str">
        <f aca="false">F01_UC2!P236</f>
        <v>Thu công nợ</v>
      </c>
      <c r="I167" s="20" t="n">
        <f aca="false">F01_UC2!Q236</f>
        <v>0</v>
      </c>
      <c r="J167" s="78" t="n">
        <f aca="false">IF(AND($B$34="Hợp lệ",D167="IN",H167="Thu công nợ",C167=$B$7,OR(G167=0,$B$12=1),K167&lt;&gt;F167),E167*$B$28,0)</f>
        <v>0</v>
      </c>
      <c r="K167" s="77" t="n">
        <f aca="false">MAX(F01_UC2!$B$6,F167+$B$29)</f>
        <v>46206</v>
      </c>
      <c r="L167" s="78" t="n">
        <f aca="false">J167-M167</f>
        <v>0</v>
      </c>
      <c r="M167" s="78" t="n">
        <f aca="false">IF(K167&lt;F167,J167*$B$30,0)</f>
        <v>0</v>
      </c>
      <c r="N167" s="78" t="n">
        <f aca="false">IF(AND($B$34="Hợp lệ",D167="OUT",H167="Trả NCC",C167=$B$13,OR(I167=0,$B$17=1),O167&lt;&gt;F167),E167*$B$31,0)</f>
        <v>0</v>
      </c>
      <c r="O167" s="77" t="n">
        <f aca="false">F167+$B$15</f>
        <v>46227</v>
      </c>
      <c r="P167" s="78" t="n">
        <f aca="false">N167+Q167</f>
        <v>0</v>
      </c>
      <c r="Q167" s="78" t="n">
        <f aca="false">N167*$B$16</f>
        <v>0</v>
      </c>
      <c r="R167" s="78" t="n">
        <f aca="false">E167-J167-N167</f>
        <v>1909998793</v>
      </c>
      <c r="S167" s="20" t="str">
        <f aca="false">IF(AND(J167&gt;=0,N167&gt;=0,R167&gt;=0,ABS(R167+J167+N167-E167)&lt;=$B$27),"Khớp","LỆCH")</f>
        <v>Khớp</v>
      </c>
      <c r="T167" s="20"/>
      <c r="U167" s="20"/>
    </row>
    <row r="168" customFormat="false" ht="24" hidden="false" customHeight="true" outlineLevel="0" collapsed="false">
      <c r="A168" s="20" t="str">
        <f aca="false">F01_UC2!A237</f>
        <v>RCV-INV-F01-0102</v>
      </c>
      <c r="B168" s="20" t="str">
        <f aca="false">F01_UC2!B237</f>
        <v>INV-F01-0102</v>
      </c>
      <c r="C168" s="20" t="str">
        <f aca="false">F01_UC2!C237</f>
        <v>BYR-F01-001</v>
      </c>
      <c r="D168" s="20" t="str">
        <f aca="false">F01_UC2!D237</f>
        <v>IN</v>
      </c>
      <c r="E168" s="78" t="n">
        <f aca="false">F01_UC2!E237</f>
        <v>1015281069</v>
      </c>
      <c r="F168" s="80" t="n">
        <f aca="false">F01_UC2!N237</f>
        <v>46206</v>
      </c>
      <c r="G168" s="80" t="n">
        <f aca="false">F01_UC2!M237</f>
        <v>0</v>
      </c>
      <c r="H168" s="20" t="str">
        <f aca="false">F01_UC2!P237</f>
        <v>Thu công nợ</v>
      </c>
      <c r="I168" s="20" t="n">
        <f aca="false">F01_UC2!Q237</f>
        <v>0</v>
      </c>
      <c r="J168" s="78" t="n">
        <f aca="false">IF(AND($B$34="Hợp lệ",D168="IN",H168="Thu công nợ",C168=$B$7,OR(G168=0,$B$12=1),K168&lt;&gt;F168),E168*$B$28,0)</f>
        <v>0</v>
      </c>
      <c r="K168" s="77" t="n">
        <f aca="false">MAX(F01_UC2!$B$6,F168+$B$29)</f>
        <v>46204</v>
      </c>
      <c r="L168" s="78" t="n">
        <f aca="false">J168-M168</f>
        <v>0</v>
      </c>
      <c r="M168" s="78" t="n">
        <f aca="false">IF(K168&lt;F168,J168*$B$30,0)</f>
        <v>0</v>
      </c>
      <c r="N168" s="78" t="n">
        <f aca="false">IF(AND($B$34="Hợp lệ",D168="OUT",H168="Trả NCC",C168=$B$13,OR(I168=0,$B$17=1),O168&lt;&gt;F168),E168*$B$31,0)</f>
        <v>0</v>
      </c>
      <c r="O168" s="77" t="n">
        <f aca="false">F168+$B$15</f>
        <v>46220</v>
      </c>
      <c r="P168" s="78" t="n">
        <f aca="false">N168+Q168</f>
        <v>0</v>
      </c>
      <c r="Q168" s="78" t="n">
        <f aca="false">N168*$B$16</f>
        <v>0</v>
      </c>
      <c r="R168" s="78" t="n">
        <f aca="false">E168-J168-N168</f>
        <v>1015281069</v>
      </c>
      <c r="S168" s="20" t="str">
        <f aca="false">IF(AND(J168&gt;=0,N168&gt;=0,R168&gt;=0,ABS(R168+J168+N168-E168)&lt;=$B$27),"Khớp","LỆCH")</f>
        <v>Khớp</v>
      </c>
      <c r="T168" s="20"/>
      <c r="U168" s="20"/>
    </row>
    <row r="169" customFormat="false" ht="24" hidden="false" customHeight="true" outlineLevel="0" collapsed="false">
      <c r="A169" s="20" t="str">
        <f aca="false">F01_UC2!A238</f>
        <v>RCV-INV-F01-0103</v>
      </c>
      <c r="B169" s="20" t="str">
        <f aca="false">F01_UC2!B238</f>
        <v>INV-F01-0103</v>
      </c>
      <c r="C169" s="20" t="str">
        <f aca="false">F01_UC2!C238</f>
        <v>BYR-F01-003</v>
      </c>
      <c r="D169" s="20" t="str">
        <f aca="false">F01_UC2!D238</f>
        <v>IN</v>
      </c>
      <c r="E169" s="78" t="n">
        <f aca="false">F01_UC2!E238</f>
        <v>320784319</v>
      </c>
      <c r="F169" s="80" t="n">
        <f aca="false">F01_UC2!N238</f>
        <v>46210</v>
      </c>
      <c r="G169" s="80" t="n">
        <f aca="false">F01_UC2!M238</f>
        <v>0</v>
      </c>
      <c r="H169" s="20" t="str">
        <f aca="false">F01_UC2!P238</f>
        <v>Thu công nợ</v>
      </c>
      <c r="I169" s="20" t="n">
        <f aca="false">F01_UC2!Q238</f>
        <v>0</v>
      </c>
      <c r="J169" s="78" t="n">
        <f aca="false">IF(AND($B$34="Hợp lệ",D169="IN",H169="Thu công nợ",C169=$B$7,OR(G169=0,$B$12=1),K169&lt;&gt;F169),E169*$B$28,0)</f>
        <v>0</v>
      </c>
      <c r="K169" s="77" t="n">
        <f aca="false">MAX(F01_UC2!$B$6,F169+$B$29)</f>
        <v>46204</v>
      </c>
      <c r="L169" s="78" t="n">
        <f aca="false">J169-M169</f>
        <v>0</v>
      </c>
      <c r="M169" s="78" t="n">
        <f aca="false">IF(K169&lt;F169,J169*$B$30,0)</f>
        <v>0</v>
      </c>
      <c r="N169" s="78" t="n">
        <f aca="false">IF(AND($B$34="Hợp lệ",D169="OUT",H169="Trả NCC",C169=$B$13,OR(I169=0,$B$17=1),O169&lt;&gt;F169),E169*$B$31,0)</f>
        <v>0</v>
      </c>
      <c r="O169" s="77" t="n">
        <f aca="false">F169+$B$15</f>
        <v>46224</v>
      </c>
      <c r="P169" s="78" t="n">
        <f aca="false">N169+Q169</f>
        <v>0</v>
      </c>
      <c r="Q169" s="78" t="n">
        <f aca="false">N169*$B$16</f>
        <v>0</v>
      </c>
      <c r="R169" s="78" t="n">
        <f aca="false">E169-J169-N169</f>
        <v>320784319</v>
      </c>
      <c r="S169" s="20" t="str">
        <f aca="false">IF(AND(J169&gt;=0,N169&gt;=0,R169&gt;=0,ABS(R169+J169+N169-E169)&lt;=$B$27),"Khớp","LỆCH")</f>
        <v>Khớp</v>
      </c>
      <c r="T169" s="20"/>
      <c r="U169" s="20"/>
    </row>
    <row r="170" customFormat="false" ht="24" hidden="false" customHeight="true" outlineLevel="0" collapsed="false">
      <c r="A170" s="20" t="str">
        <f aca="false">F01_UC2!A239</f>
        <v>RCV-INV-F01-0104</v>
      </c>
      <c r="B170" s="20" t="str">
        <f aca="false">F01_UC2!B239</f>
        <v>INV-F01-0104</v>
      </c>
      <c r="C170" s="20" t="str">
        <f aca="false">F01_UC2!C239</f>
        <v>BYR-F01-001</v>
      </c>
      <c r="D170" s="20" t="str">
        <f aca="false">F01_UC2!D239</f>
        <v>IN</v>
      </c>
      <c r="E170" s="78" t="n">
        <f aca="false">F01_UC2!E239</f>
        <v>799012315</v>
      </c>
      <c r="F170" s="80" t="n">
        <f aca="false">F01_UC2!N239</f>
        <v>46211</v>
      </c>
      <c r="G170" s="80" t="n">
        <f aca="false">F01_UC2!M239</f>
        <v>0</v>
      </c>
      <c r="H170" s="20" t="str">
        <f aca="false">F01_UC2!P239</f>
        <v>Thu công nợ</v>
      </c>
      <c r="I170" s="20" t="n">
        <f aca="false">F01_UC2!Q239</f>
        <v>0</v>
      </c>
      <c r="J170" s="78" t="n">
        <f aca="false">IF(AND($B$34="Hợp lệ",D170="IN",H170="Thu công nợ",C170=$B$7,OR(G170=0,$B$12=1),K170&lt;&gt;F170),E170*$B$28,0)</f>
        <v>0</v>
      </c>
      <c r="K170" s="77" t="n">
        <f aca="false">MAX(F01_UC2!$B$6,F170+$B$29)</f>
        <v>46204</v>
      </c>
      <c r="L170" s="78" t="n">
        <f aca="false">J170-M170</f>
        <v>0</v>
      </c>
      <c r="M170" s="78" t="n">
        <f aca="false">IF(K170&lt;F170,J170*$B$30,0)</f>
        <v>0</v>
      </c>
      <c r="N170" s="78" t="n">
        <f aca="false">IF(AND($B$34="Hợp lệ",D170="OUT",H170="Trả NCC",C170=$B$13,OR(I170=0,$B$17=1),O170&lt;&gt;F170),E170*$B$31,0)</f>
        <v>0</v>
      </c>
      <c r="O170" s="77" t="n">
        <f aca="false">F170+$B$15</f>
        <v>46225</v>
      </c>
      <c r="P170" s="78" t="n">
        <f aca="false">N170+Q170</f>
        <v>0</v>
      </c>
      <c r="Q170" s="78" t="n">
        <f aca="false">N170*$B$16</f>
        <v>0</v>
      </c>
      <c r="R170" s="78" t="n">
        <f aca="false">E170-J170-N170</f>
        <v>799012315</v>
      </c>
      <c r="S170" s="20" t="str">
        <f aca="false">IF(AND(J170&gt;=0,N170&gt;=0,R170&gt;=0,ABS(R170+J170+N170-E170)&lt;=$B$27),"Khớp","LỆCH")</f>
        <v>Khớp</v>
      </c>
      <c r="T170" s="20"/>
      <c r="U170" s="20"/>
    </row>
    <row r="171" customFormat="false" ht="24" hidden="false" customHeight="true" outlineLevel="0" collapsed="false">
      <c r="A171" s="20" t="str">
        <f aca="false">F01_UC2!A240</f>
        <v>RCV-INV-F01-0105</v>
      </c>
      <c r="B171" s="20" t="str">
        <f aca="false">F01_UC2!B240</f>
        <v>INV-F01-0105</v>
      </c>
      <c r="C171" s="20" t="str">
        <f aca="false">F01_UC2!C240</f>
        <v>BYR-F01-002</v>
      </c>
      <c r="D171" s="20" t="str">
        <f aca="false">F01_UC2!D240</f>
        <v>IN</v>
      </c>
      <c r="E171" s="78" t="n">
        <f aca="false">F01_UC2!E240</f>
        <v>1131567022</v>
      </c>
      <c r="F171" s="80" t="n">
        <f aca="false">F01_UC2!N240</f>
        <v>46243</v>
      </c>
      <c r="G171" s="80" t="n">
        <f aca="false">F01_UC2!M240</f>
        <v>0</v>
      </c>
      <c r="H171" s="20" t="str">
        <f aca="false">F01_UC2!P240</f>
        <v>Thu công nợ</v>
      </c>
      <c r="I171" s="20" t="n">
        <f aca="false">F01_UC2!Q240</f>
        <v>0</v>
      </c>
      <c r="J171" s="78" t="n">
        <f aca="false">IF(AND($B$34="Hợp lệ",D171="IN",H171="Thu công nợ",C171=$B$7,OR(G171=0,$B$12=1),K171&lt;&gt;F171),E171*$B$28,0)</f>
        <v>565783511</v>
      </c>
      <c r="K171" s="77" t="n">
        <f aca="false">MAX(F01_UC2!$B$6,F171+$B$29)</f>
        <v>46236</v>
      </c>
      <c r="L171" s="78" t="n">
        <f aca="false">J171-M171</f>
        <v>560125675.89</v>
      </c>
      <c r="M171" s="78" t="n">
        <f aca="false">IF(K171&lt;F171,J171*$B$30,0)</f>
        <v>5657835.11</v>
      </c>
      <c r="N171" s="78" t="n">
        <f aca="false">IF(AND($B$34="Hợp lệ",D171="OUT",H171="Trả NCC",C171=$B$13,OR(I171=0,$B$17=1),O171&lt;&gt;F171),E171*$B$31,0)</f>
        <v>0</v>
      </c>
      <c r="O171" s="77" t="n">
        <f aca="false">F171+$B$15</f>
        <v>46257</v>
      </c>
      <c r="P171" s="78" t="n">
        <f aca="false">N171+Q171</f>
        <v>0</v>
      </c>
      <c r="Q171" s="78" t="n">
        <f aca="false">N171*$B$16</f>
        <v>0</v>
      </c>
      <c r="R171" s="78" t="n">
        <f aca="false">E171-J171-N171</f>
        <v>565783511</v>
      </c>
      <c r="S171" s="20" t="str">
        <f aca="false">IF(AND(J171&gt;=0,N171&gt;=0,R171&gt;=0,ABS(R171+J171+N171-E171)&lt;=$B$27),"Khớp","LỆCH")</f>
        <v>Khớp</v>
      </c>
      <c r="T171" s="20"/>
      <c r="U171" s="20"/>
    </row>
    <row r="172" customFormat="false" ht="24" hidden="false" customHeight="true" outlineLevel="0" collapsed="false">
      <c r="A172" s="20" t="str">
        <f aca="false">F01_UC2!A241</f>
        <v>RCV-INV-F01-0106</v>
      </c>
      <c r="B172" s="20" t="str">
        <f aca="false">F01_UC2!B241</f>
        <v>INV-F01-0106</v>
      </c>
      <c r="C172" s="20" t="str">
        <f aca="false">F01_UC2!C241</f>
        <v>BYR-F01-002</v>
      </c>
      <c r="D172" s="20" t="str">
        <f aca="false">F01_UC2!D241</f>
        <v>IN</v>
      </c>
      <c r="E172" s="78" t="n">
        <f aca="false">F01_UC2!E241</f>
        <v>1834295991</v>
      </c>
      <c r="F172" s="80" t="n">
        <f aca="false">F01_UC2!N241</f>
        <v>46243</v>
      </c>
      <c r="G172" s="80" t="n">
        <f aca="false">F01_UC2!M241</f>
        <v>0</v>
      </c>
      <c r="H172" s="20" t="str">
        <f aca="false">F01_UC2!P241</f>
        <v>Thu công nợ</v>
      </c>
      <c r="I172" s="20" t="n">
        <f aca="false">F01_UC2!Q241</f>
        <v>0</v>
      </c>
      <c r="J172" s="78" t="n">
        <f aca="false">IF(AND($B$34="Hợp lệ",D172="IN",H172="Thu công nợ",C172=$B$7,OR(G172=0,$B$12=1),K172&lt;&gt;F172),E172*$B$28,0)</f>
        <v>917147995.5</v>
      </c>
      <c r="K172" s="77" t="n">
        <f aca="false">MAX(F01_UC2!$B$6,F172+$B$29)</f>
        <v>46236</v>
      </c>
      <c r="L172" s="78" t="n">
        <f aca="false">J172-M172</f>
        <v>907976515.545</v>
      </c>
      <c r="M172" s="78" t="n">
        <f aca="false">IF(K172&lt;F172,J172*$B$30,0)</f>
        <v>9171479.955</v>
      </c>
      <c r="N172" s="78" t="n">
        <f aca="false">IF(AND($B$34="Hợp lệ",D172="OUT",H172="Trả NCC",C172=$B$13,OR(I172=0,$B$17=1),O172&lt;&gt;F172),E172*$B$31,0)</f>
        <v>0</v>
      </c>
      <c r="O172" s="77" t="n">
        <f aca="false">F172+$B$15</f>
        <v>46257</v>
      </c>
      <c r="P172" s="78" t="n">
        <f aca="false">N172+Q172</f>
        <v>0</v>
      </c>
      <c r="Q172" s="78" t="n">
        <f aca="false">N172*$B$16</f>
        <v>0</v>
      </c>
      <c r="R172" s="78" t="n">
        <f aca="false">E172-J172-N172</f>
        <v>917147995.5</v>
      </c>
      <c r="S172" s="20" t="str">
        <f aca="false">IF(AND(J172&gt;=0,N172&gt;=0,R172&gt;=0,ABS(R172+J172+N172-E172)&lt;=$B$27),"Khớp","LỆCH")</f>
        <v>Khớp</v>
      </c>
      <c r="T172" s="20"/>
      <c r="U172" s="20"/>
    </row>
    <row r="173" customFormat="false" ht="24" hidden="false" customHeight="true" outlineLevel="0" collapsed="false">
      <c r="A173" s="20" t="str">
        <f aca="false">F01_UC2!A242</f>
        <v>RCV-INV-F01-0107</v>
      </c>
      <c r="B173" s="20" t="str">
        <f aca="false">F01_UC2!B242</f>
        <v>INV-F01-0107</v>
      </c>
      <c r="C173" s="20" t="str">
        <f aca="false">F01_UC2!C242</f>
        <v>BYR-F01-004</v>
      </c>
      <c r="D173" s="20" t="str">
        <f aca="false">F01_UC2!D242</f>
        <v>IN</v>
      </c>
      <c r="E173" s="78" t="n">
        <f aca="false">F01_UC2!E242</f>
        <v>329900239</v>
      </c>
      <c r="F173" s="80" t="n">
        <f aca="false">F01_UC2!N242</f>
        <v>46221</v>
      </c>
      <c r="G173" s="80" t="n">
        <f aca="false">F01_UC2!M242</f>
        <v>0</v>
      </c>
      <c r="H173" s="20" t="str">
        <f aca="false">F01_UC2!P242</f>
        <v>Thu công nợ</v>
      </c>
      <c r="I173" s="20" t="n">
        <f aca="false">F01_UC2!Q242</f>
        <v>0</v>
      </c>
      <c r="J173" s="78" t="n">
        <f aca="false">IF(AND($B$34="Hợp lệ",D173="IN",H173="Thu công nợ",C173=$B$7,OR(G173=0,$B$12=1),K173&lt;&gt;F173),E173*$B$28,0)</f>
        <v>0</v>
      </c>
      <c r="K173" s="77" t="n">
        <f aca="false">MAX(F01_UC2!$B$6,F173+$B$29)</f>
        <v>46214</v>
      </c>
      <c r="L173" s="78" t="n">
        <f aca="false">J173-M173</f>
        <v>0</v>
      </c>
      <c r="M173" s="78" t="n">
        <f aca="false">IF(K173&lt;F173,J173*$B$30,0)</f>
        <v>0</v>
      </c>
      <c r="N173" s="78" t="n">
        <f aca="false">IF(AND($B$34="Hợp lệ",D173="OUT",H173="Trả NCC",C173=$B$13,OR(I173=0,$B$17=1),O173&lt;&gt;F173),E173*$B$31,0)</f>
        <v>0</v>
      </c>
      <c r="O173" s="77" t="n">
        <f aca="false">F173+$B$15</f>
        <v>46235</v>
      </c>
      <c r="P173" s="78" t="n">
        <f aca="false">N173+Q173</f>
        <v>0</v>
      </c>
      <c r="Q173" s="78" t="n">
        <f aca="false">N173*$B$16</f>
        <v>0</v>
      </c>
      <c r="R173" s="78" t="n">
        <f aca="false">E173-J173-N173</f>
        <v>329900239</v>
      </c>
      <c r="S173" s="20" t="str">
        <f aca="false">IF(AND(J173&gt;=0,N173&gt;=0,R173&gt;=0,ABS(R173+J173+N173-E173)&lt;=$B$27),"Khớp","LỆCH")</f>
        <v>Khớp</v>
      </c>
      <c r="T173" s="20"/>
      <c r="U173" s="20"/>
    </row>
    <row r="174" customFormat="false" ht="24" hidden="false" customHeight="true" outlineLevel="0" collapsed="false">
      <c r="A174" s="20" t="str">
        <f aca="false">F01_UC2!A243</f>
        <v>RCV-INV-F01-0108</v>
      </c>
      <c r="B174" s="20" t="str">
        <f aca="false">F01_UC2!B243</f>
        <v>INV-F01-0108</v>
      </c>
      <c r="C174" s="20" t="str">
        <f aca="false">F01_UC2!C243</f>
        <v>BYR-F01-005</v>
      </c>
      <c r="D174" s="20" t="str">
        <f aca="false">F01_UC2!D243</f>
        <v>IN</v>
      </c>
      <c r="E174" s="78" t="n">
        <f aca="false">F01_UC2!E243</f>
        <v>415259935</v>
      </c>
      <c r="F174" s="80" t="n">
        <f aca="false">F01_UC2!N243</f>
        <v>46228</v>
      </c>
      <c r="G174" s="80" t="n">
        <f aca="false">F01_UC2!M243</f>
        <v>0</v>
      </c>
      <c r="H174" s="20" t="str">
        <f aca="false">F01_UC2!P243</f>
        <v>Thu công nợ</v>
      </c>
      <c r="I174" s="20" t="n">
        <f aca="false">F01_UC2!Q243</f>
        <v>0</v>
      </c>
      <c r="J174" s="78" t="n">
        <f aca="false">IF(AND($B$34="Hợp lệ",D174="IN",H174="Thu công nợ",C174=$B$7,OR(G174=0,$B$12=1),K174&lt;&gt;F174),E174*$B$28,0)</f>
        <v>0</v>
      </c>
      <c r="K174" s="77" t="n">
        <f aca="false">MAX(F01_UC2!$B$6,F174+$B$29)</f>
        <v>46221</v>
      </c>
      <c r="L174" s="78" t="n">
        <f aca="false">J174-M174</f>
        <v>0</v>
      </c>
      <c r="M174" s="78" t="n">
        <f aca="false">IF(K174&lt;F174,J174*$B$30,0)</f>
        <v>0</v>
      </c>
      <c r="N174" s="78" t="n">
        <f aca="false">IF(AND($B$34="Hợp lệ",D174="OUT",H174="Trả NCC",C174=$B$13,OR(I174=0,$B$17=1),O174&lt;&gt;F174),E174*$B$31,0)</f>
        <v>0</v>
      </c>
      <c r="O174" s="77" t="n">
        <f aca="false">F174+$B$15</f>
        <v>46242</v>
      </c>
      <c r="P174" s="78" t="n">
        <f aca="false">N174+Q174</f>
        <v>0</v>
      </c>
      <c r="Q174" s="78" t="n">
        <f aca="false">N174*$B$16</f>
        <v>0</v>
      </c>
      <c r="R174" s="78" t="n">
        <f aca="false">E174-J174-N174</f>
        <v>415259935</v>
      </c>
      <c r="S174" s="20" t="str">
        <f aca="false">IF(AND(J174&gt;=0,N174&gt;=0,R174&gt;=0,ABS(R174+J174+N174-E174)&lt;=$B$27),"Khớp","LỆCH")</f>
        <v>Khớp</v>
      </c>
      <c r="T174" s="20"/>
      <c r="U174" s="20"/>
    </row>
    <row r="175" customFormat="false" ht="24" hidden="false" customHeight="true" outlineLevel="0" collapsed="false">
      <c r="A175" s="20" t="str">
        <f aca="false">F01_UC2!A244</f>
        <v>RCV-INV-F01-0109</v>
      </c>
      <c r="B175" s="20" t="str">
        <f aca="false">F01_UC2!B244</f>
        <v>INV-F01-0109</v>
      </c>
      <c r="C175" s="20" t="str">
        <f aca="false">F01_UC2!C244</f>
        <v>BYR-F01-002</v>
      </c>
      <c r="D175" s="20" t="str">
        <f aca="false">F01_UC2!D244</f>
        <v>IN</v>
      </c>
      <c r="E175" s="78" t="n">
        <f aca="false">F01_UC2!E244</f>
        <v>585623157</v>
      </c>
      <c r="F175" s="80" t="n">
        <f aca="false">F01_UC2!N244</f>
        <v>46246</v>
      </c>
      <c r="G175" s="80" t="n">
        <f aca="false">F01_UC2!M244</f>
        <v>0</v>
      </c>
      <c r="H175" s="20" t="str">
        <f aca="false">F01_UC2!P244</f>
        <v>Thu công nợ</v>
      </c>
      <c r="I175" s="20" t="n">
        <f aca="false">F01_UC2!Q244</f>
        <v>0</v>
      </c>
      <c r="J175" s="78" t="n">
        <f aca="false">IF(AND($B$34="Hợp lệ",D175="IN",H175="Thu công nợ",C175=$B$7,OR(G175=0,$B$12=1),K175&lt;&gt;F175),E175*$B$28,0)</f>
        <v>292811578.5</v>
      </c>
      <c r="K175" s="77" t="n">
        <f aca="false">MAX(F01_UC2!$B$6,F175+$B$29)</f>
        <v>46239</v>
      </c>
      <c r="L175" s="78" t="n">
        <f aca="false">J175-M175</f>
        <v>289883462.715</v>
      </c>
      <c r="M175" s="78" t="n">
        <f aca="false">IF(K175&lt;F175,J175*$B$30,0)</f>
        <v>2928115.785</v>
      </c>
      <c r="N175" s="78" t="n">
        <f aca="false">IF(AND($B$34="Hợp lệ",D175="OUT",H175="Trả NCC",C175=$B$13,OR(I175=0,$B$17=1),O175&lt;&gt;F175),E175*$B$31,0)</f>
        <v>0</v>
      </c>
      <c r="O175" s="77" t="n">
        <f aca="false">F175+$B$15</f>
        <v>46260</v>
      </c>
      <c r="P175" s="78" t="n">
        <f aca="false">N175+Q175</f>
        <v>0</v>
      </c>
      <c r="Q175" s="78" t="n">
        <f aca="false">N175*$B$16</f>
        <v>0</v>
      </c>
      <c r="R175" s="78" t="n">
        <f aca="false">E175-J175-N175</f>
        <v>292811578.5</v>
      </c>
      <c r="S175" s="20" t="str">
        <f aca="false">IF(AND(J175&gt;=0,N175&gt;=0,R175&gt;=0,ABS(R175+J175+N175-E175)&lt;=$B$27),"Khớp","LỆCH")</f>
        <v>Khớp</v>
      </c>
      <c r="T175" s="20"/>
      <c r="U175" s="20"/>
    </row>
    <row r="176" customFormat="false" ht="24" hidden="false" customHeight="true" outlineLevel="0" collapsed="false">
      <c r="A176" s="20" t="str">
        <f aca="false">F01_UC2!A245</f>
        <v>RCV-INV-F01-0110</v>
      </c>
      <c r="B176" s="20" t="str">
        <f aca="false">F01_UC2!B245</f>
        <v>INV-F01-0110</v>
      </c>
      <c r="C176" s="20" t="str">
        <f aca="false">F01_UC2!C245</f>
        <v>BYR-F01-001</v>
      </c>
      <c r="D176" s="20" t="str">
        <f aca="false">F01_UC2!D245</f>
        <v>IN</v>
      </c>
      <c r="E176" s="78" t="n">
        <f aca="false">F01_UC2!E245</f>
        <v>946197645</v>
      </c>
      <c r="F176" s="80" t="n">
        <f aca="false">F01_UC2!N245</f>
        <v>46218</v>
      </c>
      <c r="G176" s="80" t="n">
        <f aca="false">F01_UC2!M245</f>
        <v>0</v>
      </c>
      <c r="H176" s="20" t="str">
        <f aca="false">F01_UC2!P245</f>
        <v>Thu công nợ</v>
      </c>
      <c r="I176" s="20" t="n">
        <f aca="false">F01_UC2!Q245</f>
        <v>0</v>
      </c>
      <c r="J176" s="78" t="n">
        <f aca="false">IF(AND($B$34="Hợp lệ",D176="IN",H176="Thu công nợ",C176=$B$7,OR(G176=0,$B$12=1),K176&lt;&gt;F176),E176*$B$28,0)</f>
        <v>0</v>
      </c>
      <c r="K176" s="77" t="n">
        <f aca="false">MAX(F01_UC2!$B$6,F176+$B$29)</f>
        <v>46211</v>
      </c>
      <c r="L176" s="78" t="n">
        <f aca="false">J176-M176</f>
        <v>0</v>
      </c>
      <c r="M176" s="78" t="n">
        <f aca="false">IF(K176&lt;F176,J176*$B$30,0)</f>
        <v>0</v>
      </c>
      <c r="N176" s="78" t="n">
        <f aca="false">IF(AND($B$34="Hợp lệ",D176="OUT",H176="Trả NCC",C176=$B$13,OR(I176=0,$B$17=1),O176&lt;&gt;F176),E176*$B$31,0)</f>
        <v>0</v>
      </c>
      <c r="O176" s="77" t="n">
        <f aca="false">F176+$B$15</f>
        <v>46232</v>
      </c>
      <c r="P176" s="78" t="n">
        <f aca="false">N176+Q176</f>
        <v>0</v>
      </c>
      <c r="Q176" s="78" t="n">
        <f aca="false">N176*$B$16</f>
        <v>0</v>
      </c>
      <c r="R176" s="78" t="n">
        <f aca="false">E176-J176-N176</f>
        <v>946197645</v>
      </c>
      <c r="S176" s="20" t="str">
        <f aca="false">IF(AND(J176&gt;=0,N176&gt;=0,R176&gt;=0,ABS(R176+J176+N176-E176)&lt;=$B$27),"Khớp","LỆCH")</f>
        <v>Khớp</v>
      </c>
      <c r="T176" s="20"/>
      <c r="U176" s="20"/>
    </row>
    <row r="177" customFormat="false" ht="24" hidden="false" customHeight="true" outlineLevel="0" collapsed="false">
      <c r="A177" s="20" t="str">
        <f aca="false">F01_UC2!A246</f>
        <v>RCV-INV-F01-0111</v>
      </c>
      <c r="B177" s="20" t="str">
        <f aca="false">F01_UC2!B246</f>
        <v>INV-F01-0111</v>
      </c>
      <c r="C177" s="20" t="str">
        <f aca="false">F01_UC2!C246</f>
        <v>BYR-F01-002</v>
      </c>
      <c r="D177" s="20" t="str">
        <f aca="false">F01_UC2!D246</f>
        <v>IN</v>
      </c>
      <c r="E177" s="78" t="n">
        <f aca="false">F01_UC2!E246</f>
        <v>952239078</v>
      </c>
      <c r="F177" s="80" t="n">
        <f aca="false">F01_UC2!N246</f>
        <v>46252</v>
      </c>
      <c r="G177" s="80" t="n">
        <f aca="false">F01_UC2!M246</f>
        <v>0</v>
      </c>
      <c r="H177" s="20" t="str">
        <f aca="false">F01_UC2!P246</f>
        <v>Thu công nợ</v>
      </c>
      <c r="I177" s="20" t="n">
        <f aca="false">F01_UC2!Q246</f>
        <v>0</v>
      </c>
      <c r="J177" s="78" t="n">
        <f aca="false">IF(AND($B$34="Hợp lệ",D177="IN",H177="Thu công nợ",C177=$B$7,OR(G177=0,$B$12=1),K177&lt;&gt;F177),E177*$B$28,0)</f>
        <v>476119539</v>
      </c>
      <c r="K177" s="77" t="n">
        <f aca="false">MAX(F01_UC2!$B$6,F177+$B$29)</f>
        <v>46245</v>
      </c>
      <c r="L177" s="78" t="n">
        <f aca="false">J177-M177</f>
        <v>471358343.61</v>
      </c>
      <c r="M177" s="78" t="n">
        <f aca="false">IF(K177&lt;F177,J177*$B$30,0)</f>
        <v>4761195.39</v>
      </c>
      <c r="N177" s="78" t="n">
        <f aca="false">IF(AND($B$34="Hợp lệ",D177="OUT",H177="Trả NCC",C177=$B$13,OR(I177=0,$B$17=1),O177&lt;&gt;F177),E177*$B$31,0)</f>
        <v>0</v>
      </c>
      <c r="O177" s="77" t="n">
        <f aca="false">F177+$B$15</f>
        <v>46266</v>
      </c>
      <c r="P177" s="78" t="n">
        <f aca="false">N177+Q177</f>
        <v>0</v>
      </c>
      <c r="Q177" s="78" t="n">
        <f aca="false">N177*$B$16</f>
        <v>0</v>
      </c>
      <c r="R177" s="78" t="n">
        <f aca="false">E177-J177-N177</f>
        <v>476119539</v>
      </c>
      <c r="S177" s="20" t="str">
        <f aca="false">IF(AND(J177&gt;=0,N177&gt;=0,R177&gt;=0,ABS(R177+J177+N177-E177)&lt;=$B$27),"Khớp","LỆCH")</f>
        <v>Khớp</v>
      </c>
      <c r="T177" s="20"/>
      <c r="U177" s="20"/>
    </row>
    <row r="178" customFormat="false" ht="24" hidden="false" customHeight="true" outlineLevel="0" collapsed="false">
      <c r="A178" s="20" t="str">
        <f aca="false">F01_UC2!A247</f>
        <v>RCV-INV-F01-0112</v>
      </c>
      <c r="B178" s="20" t="str">
        <f aca="false">F01_UC2!B247</f>
        <v>INV-F01-0112</v>
      </c>
      <c r="C178" s="20" t="str">
        <f aca="false">F01_UC2!C247</f>
        <v>BYR-F01-002</v>
      </c>
      <c r="D178" s="20" t="str">
        <f aca="false">F01_UC2!D247</f>
        <v>IN</v>
      </c>
      <c r="E178" s="78" t="n">
        <f aca="false">F01_UC2!E247</f>
        <v>742318455</v>
      </c>
      <c r="F178" s="80" t="n">
        <f aca="false">F01_UC2!N247</f>
        <v>46256</v>
      </c>
      <c r="G178" s="80" t="n">
        <f aca="false">F01_UC2!M247</f>
        <v>0</v>
      </c>
      <c r="H178" s="20" t="str">
        <f aca="false">F01_UC2!P247</f>
        <v>Thu công nợ</v>
      </c>
      <c r="I178" s="20" t="n">
        <f aca="false">F01_UC2!Q247</f>
        <v>0</v>
      </c>
      <c r="J178" s="78" t="n">
        <f aca="false">IF(AND($B$34="Hợp lệ",D178="IN",H178="Thu công nợ",C178=$B$7,OR(G178=0,$B$12=1),K178&lt;&gt;F178),E178*$B$28,0)</f>
        <v>371159227.5</v>
      </c>
      <c r="K178" s="77" t="n">
        <f aca="false">MAX(F01_UC2!$B$6,F178+$B$29)</f>
        <v>46249</v>
      </c>
      <c r="L178" s="78" t="n">
        <f aca="false">J178-M178</f>
        <v>367447635.225</v>
      </c>
      <c r="M178" s="78" t="n">
        <f aca="false">IF(K178&lt;F178,J178*$B$30,0)</f>
        <v>3711592.275</v>
      </c>
      <c r="N178" s="78" t="n">
        <f aca="false">IF(AND($B$34="Hợp lệ",D178="OUT",H178="Trả NCC",C178=$B$13,OR(I178=0,$B$17=1),O178&lt;&gt;F178),E178*$B$31,0)</f>
        <v>0</v>
      </c>
      <c r="O178" s="77" t="n">
        <f aca="false">F178+$B$15</f>
        <v>46270</v>
      </c>
      <c r="P178" s="78" t="n">
        <f aca="false">N178+Q178</f>
        <v>0</v>
      </c>
      <c r="Q178" s="78" t="n">
        <f aca="false">N178*$B$16</f>
        <v>0</v>
      </c>
      <c r="R178" s="78" t="n">
        <f aca="false">E178-J178-N178</f>
        <v>371159227.5</v>
      </c>
      <c r="S178" s="20" t="str">
        <f aca="false">IF(AND(J178&gt;=0,N178&gt;=0,R178&gt;=0,ABS(R178+J178+N178-E178)&lt;=$B$27),"Khớp","LỆCH")</f>
        <v>Khớp</v>
      </c>
      <c r="T178" s="20"/>
      <c r="U178" s="20"/>
    </row>
    <row r="179" customFormat="false" ht="24" hidden="false" customHeight="true" outlineLevel="0" collapsed="false">
      <c r="A179" s="20" t="str">
        <f aca="false">F01_UC2!A248</f>
        <v>RCV-INV-F01-0113</v>
      </c>
      <c r="B179" s="20" t="str">
        <f aca="false">F01_UC2!B248</f>
        <v>INV-F01-0113</v>
      </c>
      <c r="C179" s="20" t="str">
        <f aca="false">F01_UC2!C248</f>
        <v>BYR-F01-001</v>
      </c>
      <c r="D179" s="20" t="str">
        <f aca="false">F01_UC2!D248</f>
        <v>IN</v>
      </c>
      <c r="E179" s="78" t="n">
        <f aca="false">F01_UC2!E248</f>
        <v>1126540210</v>
      </c>
      <c r="F179" s="80" t="n">
        <f aca="false">F01_UC2!N248</f>
        <v>46228</v>
      </c>
      <c r="G179" s="80" t="n">
        <f aca="false">F01_UC2!M248</f>
        <v>0</v>
      </c>
      <c r="H179" s="20" t="str">
        <f aca="false">F01_UC2!P248</f>
        <v>Thu công nợ</v>
      </c>
      <c r="I179" s="20" t="n">
        <f aca="false">F01_UC2!Q248</f>
        <v>0</v>
      </c>
      <c r="J179" s="78" t="n">
        <f aca="false">IF(AND($B$34="Hợp lệ",D179="IN",H179="Thu công nợ",C179=$B$7,OR(G179=0,$B$12=1),K179&lt;&gt;F179),E179*$B$28,0)</f>
        <v>0</v>
      </c>
      <c r="K179" s="77" t="n">
        <f aca="false">MAX(F01_UC2!$B$6,F179+$B$29)</f>
        <v>46221</v>
      </c>
      <c r="L179" s="78" t="n">
        <f aca="false">J179-M179</f>
        <v>0</v>
      </c>
      <c r="M179" s="78" t="n">
        <f aca="false">IF(K179&lt;F179,J179*$B$30,0)</f>
        <v>0</v>
      </c>
      <c r="N179" s="78" t="n">
        <f aca="false">IF(AND($B$34="Hợp lệ",D179="OUT",H179="Trả NCC",C179=$B$13,OR(I179=0,$B$17=1),O179&lt;&gt;F179),E179*$B$31,0)</f>
        <v>0</v>
      </c>
      <c r="O179" s="77" t="n">
        <f aca="false">F179+$B$15</f>
        <v>46242</v>
      </c>
      <c r="P179" s="78" t="n">
        <f aca="false">N179+Q179</f>
        <v>0</v>
      </c>
      <c r="Q179" s="78" t="n">
        <f aca="false">N179*$B$16</f>
        <v>0</v>
      </c>
      <c r="R179" s="78" t="n">
        <f aca="false">E179-J179-N179</f>
        <v>1126540210</v>
      </c>
      <c r="S179" s="20" t="str">
        <f aca="false">IF(AND(J179&gt;=0,N179&gt;=0,R179&gt;=0,ABS(R179+J179+N179-E179)&lt;=$B$27),"Khớp","LỆCH")</f>
        <v>Khớp</v>
      </c>
      <c r="T179" s="20"/>
      <c r="U179" s="20"/>
    </row>
    <row r="180" customFormat="false" ht="24" hidden="false" customHeight="true" outlineLevel="0" collapsed="false">
      <c r="A180" s="20" t="str">
        <f aca="false">F01_UC2!A249</f>
        <v>RCV-INV-F01-0114</v>
      </c>
      <c r="B180" s="20" t="str">
        <f aca="false">F01_UC2!B249</f>
        <v>INV-F01-0114</v>
      </c>
      <c r="C180" s="20" t="str">
        <f aca="false">F01_UC2!C249</f>
        <v>BYR-F01-005</v>
      </c>
      <c r="D180" s="20" t="str">
        <f aca="false">F01_UC2!D249</f>
        <v>IN</v>
      </c>
      <c r="E180" s="78" t="n">
        <f aca="false">F01_UC2!E249</f>
        <v>508774632</v>
      </c>
      <c r="F180" s="80" t="n">
        <f aca="false">F01_UC2!N249</f>
        <v>46242</v>
      </c>
      <c r="G180" s="80" t="n">
        <f aca="false">F01_UC2!M249</f>
        <v>0</v>
      </c>
      <c r="H180" s="20" t="str">
        <f aca="false">F01_UC2!P249</f>
        <v>Thu công nợ</v>
      </c>
      <c r="I180" s="20" t="n">
        <f aca="false">F01_UC2!Q249</f>
        <v>0</v>
      </c>
      <c r="J180" s="78" t="n">
        <f aca="false">IF(AND($B$34="Hợp lệ",D180="IN",H180="Thu công nợ",C180=$B$7,OR(G180=0,$B$12=1),K180&lt;&gt;F180),E180*$B$28,0)</f>
        <v>0</v>
      </c>
      <c r="K180" s="77" t="n">
        <f aca="false">MAX(F01_UC2!$B$6,F180+$B$29)</f>
        <v>46235</v>
      </c>
      <c r="L180" s="78" t="n">
        <f aca="false">J180-M180</f>
        <v>0</v>
      </c>
      <c r="M180" s="78" t="n">
        <f aca="false">IF(K180&lt;F180,J180*$B$30,0)</f>
        <v>0</v>
      </c>
      <c r="N180" s="78" t="n">
        <f aca="false">IF(AND($B$34="Hợp lệ",D180="OUT",H180="Trả NCC",C180=$B$13,OR(I180=0,$B$17=1),O180&lt;&gt;F180),E180*$B$31,0)</f>
        <v>0</v>
      </c>
      <c r="O180" s="77" t="n">
        <f aca="false">F180+$B$15</f>
        <v>46256</v>
      </c>
      <c r="P180" s="78" t="n">
        <f aca="false">N180+Q180</f>
        <v>0</v>
      </c>
      <c r="Q180" s="78" t="n">
        <f aca="false">N180*$B$16</f>
        <v>0</v>
      </c>
      <c r="R180" s="78" t="n">
        <f aca="false">E180-J180-N180</f>
        <v>508774632</v>
      </c>
      <c r="S180" s="20" t="str">
        <f aca="false">IF(AND(J180&gt;=0,N180&gt;=0,R180&gt;=0,ABS(R180+J180+N180-E180)&lt;=$B$27),"Khớp","LỆCH")</f>
        <v>Khớp</v>
      </c>
      <c r="T180" s="20"/>
      <c r="U180" s="20"/>
    </row>
    <row r="181" customFormat="false" ht="24" hidden="false" customHeight="true" outlineLevel="0" collapsed="false">
      <c r="A181" s="20" t="str">
        <f aca="false">F01_UC2!A250</f>
        <v>RCV-INV-F01-0115</v>
      </c>
      <c r="B181" s="20" t="str">
        <f aca="false">F01_UC2!B250</f>
        <v>INV-F01-0115</v>
      </c>
      <c r="C181" s="20" t="str">
        <f aca="false">F01_UC2!C250</f>
        <v>BYR-F01-006</v>
      </c>
      <c r="D181" s="20" t="str">
        <f aca="false">F01_UC2!D250</f>
        <v>IN</v>
      </c>
      <c r="E181" s="78" t="n">
        <f aca="false">F01_UC2!E250</f>
        <v>689203917</v>
      </c>
      <c r="F181" s="80" t="n">
        <f aca="false">F01_UC2!N250</f>
        <v>46231</v>
      </c>
      <c r="G181" s="80" t="n">
        <f aca="false">F01_UC2!M250</f>
        <v>0</v>
      </c>
      <c r="H181" s="20" t="str">
        <f aca="false">F01_UC2!P250</f>
        <v>Thu công nợ</v>
      </c>
      <c r="I181" s="20" t="n">
        <f aca="false">F01_UC2!Q250</f>
        <v>0</v>
      </c>
      <c r="J181" s="78" t="n">
        <f aca="false">IF(AND($B$34="Hợp lệ",D181="IN",H181="Thu công nợ",C181=$B$7,OR(G181=0,$B$12=1),K181&lt;&gt;F181),E181*$B$28,0)</f>
        <v>0</v>
      </c>
      <c r="K181" s="77" t="n">
        <f aca="false">MAX(F01_UC2!$B$6,F181+$B$29)</f>
        <v>46224</v>
      </c>
      <c r="L181" s="78" t="n">
        <f aca="false">J181-M181</f>
        <v>0</v>
      </c>
      <c r="M181" s="78" t="n">
        <f aca="false">IF(K181&lt;F181,J181*$B$30,0)</f>
        <v>0</v>
      </c>
      <c r="N181" s="78" t="n">
        <f aca="false">IF(AND($B$34="Hợp lệ",D181="OUT",H181="Trả NCC",C181=$B$13,OR(I181=0,$B$17=1),O181&lt;&gt;F181),E181*$B$31,0)</f>
        <v>0</v>
      </c>
      <c r="O181" s="77" t="n">
        <f aca="false">F181+$B$15</f>
        <v>46245</v>
      </c>
      <c r="P181" s="78" t="n">
        <f aca="false">N181+Q181</f>
        <v>0</v>
      </c>
      <c r="Q181" s="78" t="n">
        <f aca="false">N181*$B$16</f>
        <v>0</v>
      </c>
      <c r="R181" s="78" t="n">
        <f aca="false">E181-J181-N181</f>
        <v>689203917</v>
      </c>
      <c r="S181" s="20" t="str">
        <f aca="false">IF(AND(J181&gt;=0,N181&gt;=0,R181&gt;=0,ABS(R181+J181+N181-E181)&lt;=$B$27),"Khớp","LỆCH")</f>
        <v>Khớp</v>
      </c>
      <c r="T181" s="20"/>
      <c r="U181" s="20"/>
    </row>
    <row r="182" customFormat="false" ht="24" hidden="false" customHeight="true" outlineLevel="0" collapsed="false">
      <c r="A182" s="20" t="str">
        <f aca="false">F01_UC2!A251</f>
        <v>RCV-INV-F01-0116</v>
      </c>
      <c r="B182" s="20" t="str">
        <f aca="false">F01_UC2!B251</f>
        <v>INV-F01-0116</v>
      </c>
      <c r="C182" s="20" t="str">
        <f aca="false">F01_UC2!C251</f>
        <v>BYR-F01-003</v>
      </c>
      <c r="D182" s="20" t="str">
        <f aca="false">F01_UC2!D251</f>
        <v>IN</v>
      </c>
      <c r="E182" s="78" t="n">
        <f aca="false">F01_UC2!E251</f>
        <v>296418085</v>
      </c>
      <c r="F182" s="80" t="n">
        <f aca="false">F01_UC2!N251</f>
        <v>46233</v>
      </c>
      <c r="G182" s="80" t="n">
        <f aca="false">F01_UC2!M251</f>
        <v>0</v>
      </c>
      <c r="H182" s="20" t="str">
        <f aca="false">F01_UC2!P251</f>
        <v>Thu công nợ</v>
      </c>
      <c r="I182" s="20" t="n">
        <f aca="false">F01_UC2!Q251</f>
        <v>0</v>
      </c>
      <c r="J182" s="78" t="n">
        <f aca="false">IF(AND($B$34="Hợp lệ",D182="IN",H182="Thu công nợ",C182=$B$7,OR(G182=0,$B$12=1),K182&lt;&gt;F182),E182*$B$28,0)</f>
        <v>0</v>
      </c>
      <c r="K182" s="77" t="n">
        <f aca="false">MAX(F01_UC2!$B$6,F182+$B$29)</f>
        <v>46226</v>
      </c>
      <c r="L182" s="78" t="n">
        <f aca="false">J182-M182</f>
        <v>0</v>
      </c>
      <c r="M182" s="78" t="n">
        <f aca="false">IF(K182&lt;F182,J182*$B$30,0)</f>
        <v>0</v>
      </c>
      <c r="N182" s="78" t="n">
        <f aca="false">IF(AND($B$34="Hợp lệ",D182="OUT",H182="Trả NCC",C182=$B$13,OR(I182=0,$B$17=1),O182&lt;&gt;F182),E182*$B$31,0)</f>
        <v>0</v>
      </c>
      <c r="O182" s="77" t="n">
        <f aca="false">F182+$B$15</f>
        <v>46247</v>
      </c>
      <c r="P182" s="78" t="n">
        <f aca="false">N182+Q182</f>
        <v>0</v>
      </c>
      <c r="Q182" s="78" t="n">
        <f aca="false">N182*$B$16</f>
        <v>0</v>
      </c>
      <c r="R182" s="78" t="n">
        <f aca="false">E182-J182-N182</f>
        <v>296418085</v>
      </c>
      <c r="S182" s="20" t="str">
        <f aca="false">IF(AND(J182&gt;=0,N182&gt;=0,R182&gt;=0,ABS(R182+J182+N182-E182)&lt;=$B$27),"Khớp","LỆCH")</f>
        <v>Khớp</v>
      </c>
      <c r="T182" s="20"/>
      <c r="U182" s="20"/>
    </row>
    <row r="183" customFormat="false" ht="24" hidden="false" customHeight="true" outlineLevel="0" collapsed="false">
      <c r="A183" s="20" t="str">
        <f aca="false">F01_UC2!A252</f>
        <v>RCV-INV-F01-0117</v>
      </c>
      <c r="B183" s="20" t="str">
        <f aca="false">F01_UC2!B252</f>
        <v>INV-F01-0117</v>
      </c>
      <c r="C183" s="20" t="str">
        <f aca="false">F01_UC2!C252</f>
        <v>BYR-F01-002</v>
      </c>
      <c r="D183" s="20" t="str">
        <f aca="false">F01_UC2!D252</f>
        <v>IN</v>
      </c>
      <c r="E183" s="78" t="n">
        <f aca="false">F01_UC2!E252</f>
        <v>1247860339</v>
      </c>
      <c r="F183" s="80" t="n">
        <f aca="false">F01_UC2!N252</f>
        <v>46264</v>
      </c>
      <c r="G183" s="80" t="n">
        <f aca="false">F01_UC2!M252</f>
        <v>0</v>
      </c>
      <c r="H183" s="20" t="str">
        <f aca="false">F01_UC2!P252</f>
        <v>Thu công nợ</v>
      </c>
      <c r="I183" s="20" t="n">
        <f aca="false">F01_UC2!Q252</f>
        <v>0</v>
      </c>
      <c r="J183" s="78" t="n">
        <f aca="false">IF(AND($B$34="Hợp lệ",D183="IN",H183="Thu công nợ",C183=$B$7,OR(G183=0,$B$12=1),K183&lt;&gt;F183),E183*$B$28,0)</f>
        <v>623930169.5</v>
      </c>
      <c r="K183" s="77" t="n">
        <f aca="false">MAX(F01_UC2!$B$6,F183+$B$29)</f>
        <v>46257</v>
      </c>
      <c r="L183" s="78" t="n">
        <f aca="false">J183-M183</f>
        <v>617690867.805</v>
      </c>
      <c r="M183" s="78" t="n">
        <f aca="false">IF(K183&lt;F183,J183*$B$30,0)</f>
        <v>6239301.695</v>
      </c>
      <c r="N183" s="78" t="n">
        <f aca="false">IF(AND($B$34="Hợp lệ",D183="OUT",H183="Trả NCC",C183=$B$13,OR(I183=0,$B$17=1),O183&lt;&gt;F183),E183*$B$31,0)</f>
        <v>0</v>
      </c>
      <c r="O183" s="77" t="n">
        <f aca="false">F183+$B$15</f>
        <v>46278</v>
      </c>
      <c r="P183" s="78" t="n">
        <f aca="false">N183+Q183</f>
        <v>0</v>
      </c>
      <c r="Q183" s="78" t="n">
        <f aca="false">N183*$B$16</f>
        <v>0</v>
      </c>
      <c r="R183" s="78" t="n">
        <f aca="false">E183-J183-N183</f>
        <v>623930169.5</v>
      </c>
      <c r="S183" s="20" t="str">
        <f aca="false">IF(AND(J183&gt;=0,N183&gt;=0,R183&gt;=0,ABS(R183+J183+N183-E183)&lt;=$B$27),"Khớp","LỆCH")</f>
        <v>Khớp</v>
      </c>
      <c r="T183" s="20"/>
      <c r="U183" s="20"/>
    </row>
    <row r="184" customFormat="false" ht="24" hidden="false" customHeight="true" outlineLevel="0" collapsed="false">
      <c r="A184" s="20" t="str">
        <f aca="false">F01_UC2!A253</f>
        <v>PAY-BILL-F01-0105</v>
      </c>
      <c r="B184" s="20" t="str">
        <f aca="false">F01_UC2!B253</f>
        <v>BILL-F01-0105</v>
      </c>
      <c r="C184" s="20" t="str">
        <f aca="false">F01_UC2!C253</f>
        <v>SUP-F01-002</v>
      </c>
      <c r="D184" s="20" t="str">
        <f aca="false">F01_UC2!D253</f>
        <v>OUT</v>
      </c>
      <c r="E184" s="78" t="n">
        <f aca="false">F01_UC2!E253</f>
        <v>432157866</v>
      </c>
      <c r="F184" s="80" t="n">
        <f aca="false">F01_UC2!N253</f>
        <v>46225</v>
      </c>
      <c r="G184" s="80" t="n">
        <f aca="false">F01_UC2!M253</f>
        <v>0</v>
      </c>
      <c r="H184" s="20" t="str">
        <f aca="false">F01_UC2!P253</f>
        <v>Trả NCC</v>
      </c>
      <c r="I184" s="20" t="n">
        <f aca="false">F01_UC2!Q253</f>
        <v>0</v>
      </c>
      <c r="J184" s="78" t="n">
        <f aca="false">IF(AND($B$34="Hợp lệ",D184="IN",H184="Thu công nợ",C184=$B$7,OR(G184=0,$B$12=1),K184&lt;&gt;F184),E184*$B$28,0)</f>
        <v>0</v>
      </c>
      <c r="K184" s="77" t="n">
        <f aca="false">MAX(F01_UC2!$B$6,F184+$B$29)</f>
        <v>46218</v>
      </c>
      <c r="L184" s="78" t="n">
        <f aca="false">J184-M184</f>
        <v>0</v>
      </c>
      <c r="M184" s="78" t="n">
        <f aca="false">IF(K184&lt;F184,J184*$B$30,0)</f>
        <v>0</v>
      </c>
      <c r="N184" s="78" t="n">
        <f aca="false">IF(AND($B$34="Hợp lệ",D184="OUT",H184="Trả NCC",C184=$B$13,OR(I184=0,$B$17=1),O184&lt;&gt;F184),E184*$B$31,0)</f>
        <v>0</v>
      </c>
      <c r="O184" s="77" t="n">
        <f aca="false">F184+$B$15</f>
        <v>46239</v>
      </c>
      <c r="P184" s="78" t="n">
        <f aca="false">N184+Q184</f>
        <v>0</v>
      </c>
      <c r="Q184" s="78" t="n">
        <f aca="false">N184*$B$16</f>
        <v>0</v>
      </c>
      <c r="R184" s="78" t="n">
        <f aca="false">E184-J184-N184</f>
        <v>432157866</v>
      </c>
      <c r="S184" s="20" t="str">
        <f aca="false">IF(AND(J184&gt;=0,N184&gt;=0,R184&gt;=0,ABS(R184+J184+N184-E184)&lt;=$B$27),"Khớp","LỆCH")</f>
        <v>Khớp</v>
      </c>
      <c r="T184" s="20"/>
      <c r="U184" s="20"/>
    </row>
    <row r="185" customFormat="false" ht="24" hidden="false" customHeight="true" outlineLevel="0" collapsed="false">
      <c r="A185" s="20" t="str">
        <f aca="false">F01_UC2!A254</f>
        <v>PAY-BILL-F01-0106</v>
      </c>
      <c r="B185" s="20" t="str">
        <f aca="false">F01_UC2!B254</f>
        <v>BILL-F01-0106</v>
      </c>
      <c r="C185" s="20" t="str">
        <f aca="false">F01_UC2!C254</f>
        <v>SUP-F01-002</v>
      </c>
      <c r="D185" s="20" t="str">
        <f aca="false">F01_UC2!D254</f>
        <v>OUT</v>
      </c>
      <c r="E185" s="78" t="n">
        <f aca="false">F01_UC2!E254</f>
        <v>376724622</v>
      </c>
      <c r="F185" s="80" t="n">
        <f aca="false">F01_UC2!N254</f>
        <v>46229</v>
      </c>
      <c r="G185" s="80" t="n">
        <f aca="false">F01_UC2!M254</f>
        <v>0</v>
      </c>
      <c r="H185" s="20" t="str">
        <f aca="false">F01_UC2!P254</f>
        <v>Trả NCC</v>
      </c>
      <c r="I185" s="20" t="n">
        <f aca="false">F01_UC2!Q254</f>
        <v>0</v>
      </c>
      <c r="J185" s="78" t="n">
        <f aca="false">IF(AND($B$34="Hợp lệ",D185="IN",H185="Thu công nợ",C185=$B$7,OR(G185=0,$B$12=1),K185&lt;&gt;F185),E185*$B$28,0)</f>
        <v>0</v>
      </c>
      <c r="K185" s="77" t="n">
        <f aca="false">MAX(F01_UC2!$B$6,F185+$B$29)</f>
        <v>46222</v>
      </c>
      <c r="L185" s="78" t="n">
        <f aca="false">J185-M185</f>
        <v>0</v>
      </c>
      <c r="M185" s="78" t="n">
        <f aca="false">IF(K185&lt;F185,J185*$B$30,0)</f>
        <v>0</v>
      </c>
      <c r="N185" s="78" t="n">
        <f aca="false">IF(AND($B$34="Hợp lệ",D185="OUT",H185="Trả NCC",C185=$B$13,OR(I185=0,$B$17=1),O185&lt;&gt;F185),E185*$B$31,0)</f>
        <v>0</v>
      </c>
      <c r="O185" s="77" t="n">
        <f aca="false">F185+$B$15</f>
        <v>46243</v>
      </c>
      <c r="P185" s="78" t="n">
        <f aca="false">N185+Q185</f>
        <v>0</v>
      </c>
      <c r="Q185" s="78" t="n">
        <f aca="false">N185*$B$16</f>
        <v>0</v>
      </c>
      <c r="R185" s="78" t="n">
        <f aca="false">E185-J185-N185</f>
        <v>376724622</v>
      </c>
      <c r="S185" s="20" t="str">
        <f aca="false">IF(AND(J185&gt;=0,N185&gt;=0,R185&gt;=0,ABS(R185+J185+N185-E185)&lt;=$B$27),"Khớp","LỆCH")</f>
        <v>Khớp</v>
      </c>
      <c r="T185" s="20"/>
      <c r="U185" s="20"/>
    </row>
    <row r="186" customFormat="false" ht="24" hidden="false" customHeight="true" outlineLevel="0" collapsed="false">
      <c r="A186" s="20" t="str">
        <f aca="false">F01_UC2!A255</f>
        <v>PAY-BILL-F01-0109</v>
      </c>
      <c r="B186" s="20" t="str">
        <f aca="false">F01_UC2!B255</f>
        <v>BILL-F01-0109</v>
      </c>
      <c r="C186" s="20" t="str">
        <f aca="false">F01_UC2!C255</f>
        <v>SUP-F01-002</v>
      </c>
      <c r="D186" s="20" t="str">
        <f aca="false">F01_UC2!D255</f>
        <v>OUT</v>
      </c>
      <c r="E186" s="78" t="n">
        <f aca="false">F01_UC2!E255</f>
        <v>176055378</v>
      </c>
      <c r="F186" s="80" t="n">
        <f aca="false">F01_UC2!N255</f>
        <v>46233</v>
      </c>
      <c r="G186" s="80" t="n">
        <f aca="false">F01_UC2!M255</f>
        <v>0</v>
      </c>
      <c r="H186" s="20" t="str">
        <f aca="false">F01_UC2!P255</f>
        <v>Trả NCC</v>
      </c>
      <c r="I186" s="20" t="n">
        <f aca="false">F01_UC2!Q255</f>
        <v>0</v>
      </c>
      <c r="J186" s="78" t="n">
        <f aca="false">IF(AND($B$34="Hợp lệ",D186="IN",H186="Thu công nợ",C186=$B$7,OR(G186=0,$B$12=1),K186&lt;&gt;F186),E186*$B$28,0)</f>
        <v>0</v>
      </c>
      <c r="K186" s="77" t="n">
        <f aca="false">MAX(F01_UC2!$B$6,F186+$B$29)</f>
        <v>46226</v>
      </c>
      <c r="L186" s="78" t="n">
        <f aca="false">J186-M186</f>
        <v>0</v>
      </c>
      <c r="M186" s="78" t="n">
        <f aca="false">IF(K186&lt;F186,J186*$B$30,0)</f>
        <v>0</v>
      </c>
      <c r="N186" s="78" t="n">
        <f aca="false">IF(AND($B$34="Hợp lệ",D186="OUT",H186="Trả NCC",C186=$B$13,OR(I186=0,$B$17=1),O186&lt;&gt;F186),E186*$B$31,0)</f>
        <v>0</v>
      </c>
      <c r="O186" s="77" t="n">
        <f aca="false">F186+$B$15</f>
        <v>46247</v>
      </c>
      <c r="P186" s="78" t="n">
        <f aca="false">N186+Q186</f>
        <v>0</v>
      </c>
      <c r="Q186" s="78" t="n">
        <f aca="false">N186*$B$16</f>
        <v>0</v>
      </c>
      <c r="R186" s="78" t="n">
        <f aca="false">E186-J186-N186</f>
        <v>176055378</v>
      </c>
      <c r="S186" s="20" t="str">
        <f aca="false">IF(AND(J186&gt;=0,N186&gt;=0,R186&gt;=0,ABS(R186+J186+N186-E186)&lt;=$B$27),"Khớp","LỆCH")</f>
        <v>Khớp</v>
      </c>
      <c r="T186" s="20"/>
      <c r="U186" s="20"/>
    </row>
    <row r="187" customFormat="false" ht="24" hidden="false" customHeight="true" outlineLevel="0" collapsed="false">
      <c r="A187" s="20" t="str">
        <f aca="false">F01_UC2!A256</f>
        <v>PAY-BILL-F01-0114</v>
      </c>
      <c r="B187" s="20" t="str">
        <f aca="false">F01_UC2!B256</f>
        <v>BILL-F01-0114</v>
      </c>
      <c r="C187" s="20" t="str">
        <f aca="false">F01_UC2!C256</f>
        <v>SUP-F01-001</v>
      </c>
      <c r="D187" s="20" t="str">
        <f aca="false">F01_UC2!D256</f>
        <v>OUT</v>
      </c>
      <c r="E187" s="78" t="n">
        <f aca="false">F01_UC2!E256</f>
        <v>371409792</v>
      </c>
      <c r="F187" s="80" t="n">
        <f aca="false">F01_UC2!N256</f>
        <v>46206</v>
      </c>
      <c r="G187" s="80" t="n">
        <f aca="false">F01_UC2!M256</f>
        <v>0</v>
      </c>
      <c r="H187" s="20" t="str">
        <f aca="false">F01_UC2!P256</f>
        <v>Trả NCC</v>
      </c>
      <c r="I187" s="20" t="n">
        <f aca="false">F01_UC2!Q256</f>
        <v>1</v>
      </c>
      <c r="J187" s="78" t="n">
        <f aca="false">IF(AND($B$34="Hợp lệ",D187="IN",H187="Thu công nợ",C187=$B$7,OR(G187=0,$B$12=1),K187&lt;&gt;F187),E187*$B$28,0)</f>
        <v>0</v>
      </c>
      <c r="K187" s="77" t="n">
        <f aca="false">MAX(F01_UC2!$B$6,F187+$B$29)</f>
        <v>46204</v>
      </c>
      <c r="L187" s="78" t="n">
        <f aca="false">J187-M187</f>
        <v>0</v>
      </c>
      <c r="M187" s="78" t="n">
        <f aca="false">IF(K187&lt;F187,J187*$B$30,0)</f>
        <v>0</v>
      </c>
      <c r="N187" s="78" t="n">
        <f aca="false">IF(AND($B$34="Hợp lệ",D187="OUT",H187="Trả NCC",C187=$B$13,OR(I187=0,$B$17=1),O187&lt;&gt;F187),E187*$B$31,0)</f>
        <v>185704896</v>
      </c>
      <c r="O187" s="77" t="n">
        <f aca="false">F187+$B$15</f>
        <v>46220</v>
      </c>
      <c r="P187" s="78" t="n">
        <f aca="false">N187+Q187</f>
        <v>186633420.48</v>
      </c>
      <c r="Q187" s="78" t="n">
        <f aca="false">N187*$B$16</f>
        <v>928524.48</v>
      </c>
      <c r="R187" s="78" t="n">
        <f aca="false">E187-J187-N187</f>
        <v>185704896</v>
      </c>
      <c r="S187" s="20" t="str">
        <f aca="false">IF(AND(J187&gt;=0,N187&gt;=0,R187&gt;=0,ABS(R187+J187+N187-E187)&lt;=$B$27),"Khớp","LỆCH")</f>
        <v>Khớp</v>
      </c>
      <c r="T187" s="20"/>
      <c r="U187" s="20"/>
    </row>
    <row r="188" customFormat="false" ht="24" hidden="false" customHeight="true" outlineLevel="0" collapsed="false">
      <c r="A188" s="20" t="str">
        <f aca="false">F01_UC2!A257</f>
        <v>PAY-BILL-F01-0115</v>
      </c>
      <c r="B188" s="20" t="str">
        <f aca="false">F01_UC2!B257</f>
        <v>BILL-F01-0115</v>
      </c>
      <c r="C188" s="20" t="str">
        <f aca="false">F01_UC2!C257</f>
        <v>SUP-F01-007</v>
      </c>
      <c r="D188" s="20" t="str">
        <f aca="false">F01_UC2!D257</f>
        <v>OUT</v>
      </c>
      <c r="E188" s="78" t="n">
        <f aca="false">F01_UC2!E257</f>
        <v>979364994</v>
      </c>
      <c r="F188" s="80" t="n">
        <f aca="false">F01_UC2!N257</f>
        <v>46208</v>
      </c>
      <c r="G188" s="80" t="n">
        <f aca="false">F01_UC2!M257</f>
        <v>0</v>
      </c>
      <c r="H188" s="20" t="str">
        <f aca="false">F01_UC2!P257</f>
        <v>Trả NCC</v>
      </c>
      <c r="I188" s="20" t="n">
        <f aca="false">F01_UC2!Q257</f>
        <v>0</v>
      </c>
      <c r="J188" s="78" t="n">
        <f aca="false">IF(AND($B$34="Hợp lệ",D188="IN",H188="Thu công nợ",C188=$B$7,OR(G188=0,$B$12=1),K188&lt;&gt;F188),E188*$B$28,0)</f>
        <v>0</v>
      </c>
      <c r="K188" s="77" t="n">
        <f aca="false">MAX(F01_UC2!$B$6,F188+$B$29)</f>
        <v>46204</v>
      </c>
      <c r="L188" s="78" t="n">
        <f aca="false">J188-M188</f>
        <v>0</v>
      </c>
      <c r="M188" s="78" t="n">
        <f aca="false">IF(K188&lt;F188,J188*$B$30,0)</f>
        <v>0</v>
      </c>
      <c r="N188" s="78" t="n">
        <f aca="false">IF(AND($B$34="Hợp lệ",D188="OUT",H188="Trả NCC",C188=$B$13,OR(I188=0,$B$17=1),O188&lt;&gt;F188),E188*$B$31,0)</f>
        <v>0</v>
      </c>
      <c r="O188" s="77" t="n">
        <f aca="false">F188+$B$15</f>
        <v>46222</v>
      </c>
      <c r="P188" s="78" t="n">
        <f aca="false">N188+Q188</f>
        <v>0</v>
      </c>
      <c r="Q188" s="78" t="n">
        <f aca="false">N188*$B$16</f>
        <v>0</v>
      </c>
      <c r="R188" s="78" t="n">
        <f aca="false">E188-J188-N188</f>
        <v>979364994</v>
      </c>
      <c r="S188" s="20" t="str">
        <f aca="false">IF(AND(J188&gt;=0,N188&gt;=0,R188&gt;=0,ABS(R188+J188+N188-E188)&lt;=$B$27),"Khớp","LỆCH")</f>
        <v>Khớp</v>
      </c>
      <c r="T188" s="20"/>
      <c r="U188" s="20"/>
    </row>
    <row r="189" customFormat="false" ht="24" hidden="false" customHeight="true" outlineLevel="0" collapsed="false">
      <c r="A189" s="20" t="str">
        <f aca="false">F01_UC2!A258</f>
        <v>PAY-BILL-F01-0117</v>
      </c>
      <c r="B189" s="20" t="str">
        <f aca="false">F01_UC2!B258</f>
        <v>BILL-F01-0117</v>
      </c>
      <c r="C189" s="20" t="str">
        <f aca="false">F01_UC2!C258</f>
        <v>SUP-F01-005</v>
      </c>
      <c r="D189" s="20" t="str">
        <f aca="false">F01_UC2!D258</f>
        <v>OUT</v>
      </c>
      <c r="E189" s="78" t="n">
        <f aca="false">F01_UC2!E258</f>
        <v>925742208</v>
      </c>
      <c r="F189" s="80" t="n">
        <f aca="false">F01_UC2!N258</f>
        <v>46210</v>
      </c>
      <c r="G189" s="80" t="n">
        <f aca="false">F01_UC2!M258</f>
        <v>0</v>
      </c>
      <c r="H189" s="20" t="str">
        <f aca="false">F01_UC2!P258</f>
        <v>Trả NCC</v>
      </c>
      <c r="I189" s="20" t="n">
        <f aca="false">F01_UC2!Q258</f>
        <v>0</v>
      </c>
      <c r="J189" s="78" t="n">
        <f aca="false">IF(AND($B$34="Hợp lệ",D189="IN",H189="Thu công nợ",C189=$B$7,OR(G189=0,$B$12=1),K189&lt;&gt;F189),E189*$B$28,0)</f>
        <v>0</v>
      </c>
      <c r="K189" s="77" t="n">
        <f aca="false">MAX(F01_UC2!$B$6,F189+$B$29)</f>
        <v>46204</v>
      </c>
      <c r="L189" s="78" t="n">
        <f aca="false">J189-M189</f>
        <v>0</v>
      </c>
      <c r="M189" s="78" t="n">
        <f aca="false">IF(K189&lt;F189,J189*$B$30,0)</f>
        <v>0</v>
      </c>
      <c r="N189" s="78" t="n">
        <f aca="false">IF(AND($B$34="Hợp lệ",D189="OUT",H189="Trả NCC",C189=$B$13,OR(I189=0,$B$17=1),O189&lt;&gt;F189),E189*$B$31,0)</f>
        <v>0</v>
      </c>
      <c r="O189" s="77" t="n">
        <f aca="false">F189+$B$15</f>
        <v>46224</v>
      </c>
      <c r="P189" s="78" t="n">
        <f aca="false">N189+Q189</f>
        <v>0</v>
      </c>
      <c r="Q189" s="78" t="n">
        <f aca="false">N189*$B$16</f>
        <v>0</v>
      </c>
      <c r="R189" s="78" t="n">
        <f aca="false">E189-J189-N189</f>
        <v>925742208</v>
      </c>
      <c r="S189" s="20" t="str">
        <f aca="false">IF(AND(J189&gt;=0,N189&gt;=0,R189&gt;=0,ABS(R189+J189+N189-E189)&lt;=$B$27),"Khớp","LỆCH")</f>
        <v>Khớp</v>
      </c>
      <c r="T189" s="20"/>
      <c r="U189" s="20"/>
    </row>
    <row r="190" customFormat="false" ht="24" hidden="false" customHeight="true" outlineLevel="0" collapsed="false">
      <c r="A190" s="20" t="str">
        <f aca="false">F01_UC2!A259</f>
        <v>PAY-BILL-F01-0120</v>
      </c>
      <c r="B190" s="20" t="str">
        <f aca="false">F01_UC2!B259</f>
        <v>BILL-F01-0120</v>
      </c>
      <c r="C190" s="20" t="str">
        <f aca="false">F01_UC2!C259</f>
        <v>SUP-F01-009</v>
      </c>
      <c r="D190" s="20" t="str">
        <f aca="false">F01_UC2!D259</f>
        <v>OUT</v>
      </c>
      <c r="E190" s="78" t="n">
        <f aca="false">F01_UC2!E259</f>
        <v>346608630</v>
      </c>
      <c r="F190" s="80" t="n">
        <f aca="false">F01_UC2!N259</f>
        <v>46217</v>
      </c>
      <c r="G190" s="80" t="n">
        <f aca="false">F01_UC2!M259</f>
        <v>0</v>
      </c>
      <c r="H190" s="20" t="str">
        <f aca="false">F01_UC2!P259</f>
        <v>Trả NCC</v>
      </c>
      <c r="I190" s="20" t="n">
        <f aca="false">F01_UC2!Q259</f>
        <v>1</v>
      </c>
      <c r="J190" s="78" t="n">
        <f aca="false">IF(AND($B$34="Hợp lệ",D190="IN",H190="Thu công nợ",C190=$B$7,OR(G190=0,$B$12=1),K190&lt;&gt;F190),E190*$B$28,0)</f>
        <v>0</v>
      </c>
      <c r="K190" s="77" t="n">
        <f aca="false">MAX(F01_UC2!$B$6,F190+$B$29)</f>
        <v>46210</v>
      </c>
      <c r="L190" s="78" t="n">
        <f aca="false">J190-M190</f>
        <v>0</v>
      </c>
      <c r="M190" s="78" t="n">
        <f aca="false">IF(K190&lt;F190,J190*$B$30,0)</f>
        <v>0</v>
      </c>
      <c r="N190" s="78" t="n">
        <f aca="false">IF(AND($B$34="Hợp lệ",D190="OUT",H190="Trả NCC",C190=$B$13,OR(I190=0,$B$17=1),O190&lt;&gt;F190),E190*$B$31,0)</f>
        <v>0</v>
      </c>
      <c r="O190" s="77" t="n">
        <f aca="false">F190+$B$15</f>
        <v>46231</v>
      </c>
      <c r="P190" s="78" t="n">
        <f aca="false">N190+Q190</f>
        <v>0</v>
      </c>
      <c r="Q190" s="78" t="n">
        <f aca="false">N190*$B$16</f>
        <v>0</v>
      </c>
      <c r="R190" s="78" t="n">
        <f aca="false">E190-J190-N190</f>
        <v>346608630</v>
      </c>
      <c r="S190" s="20" t="str">
        <f aca="false">IF(AND(J190&gt;=0,N190&gt;=0,R190&gt;=0,ABS(R190+J190+N190-E190)&lt;=$B$27),"Khớp","LỆCH")</f>
        <v>Khớp</v>
      </c>
      <c r="T190" s="20"/>
      <c r="U190" s="20"/>
    </row>
    <row r="191" customFormat="false" ht="24" hidden="false" customHeight="true" outlineLevel="0" collapsed="false">
      <c r="A191" s="20" t="str">
        <f aca="false">F01_UC2!A260</f>
        <v>PAY-BILL-F01-0121</v>
      </c>
      <c r="B191" s="20" t="str">
        <f aca="false">F01_UC2!B260</f>
        <v>BILL-F01-0121</v>
      </c>
      <c r="C191" s="20" t="str">
        <f aca="false">F01_UC2!C260</f>
        <v>SUP-F01-001</v>
      </c>
      <c r="D191" s="20" t="str">
        <f aca="false">F01_UC2!D260</f>
        <v>OUT</v>
      </c>
      <c r="E191" s="78" t="n">
        <f aca="false">F01_UC2!E260</f>
        <v>733629960</v>
      </c>
      <c r="F191" s="80" t="n">
        <f aca="false">F01_UC2!N260</f>
        <v>46218</v>
      </c>
      <c r="G191" s="80" t="n">
        <f aca="false">F01_UC2!M260</f>
        <v>0</v>
      </c>
      <c r="H191" s="20" t="str">
        <f aca="false">F01_UC2!P260</f>
        <v>Trả NCC</v>
      </c>
      <c r="I191" s="20" t="n">
        <f aca="false">F01_UC2!Q260</f>
        <v>1</v>
      </c>
      <c r="J191" s="78" t="n">
        <f aca="false">IF(AND($B$34="Hợp lệ",D191="IN",H191="Thu công nợ",C191=$B$7,OR(G191=0,$B$12=1),K191&lt;&gt;F191),E191*$B$28,0)</f>
        <v>0</v>
      </c>
      <c r="K191" s="77" t="n">
        <f aca="false">MAX(F01_UC2!$B$6,F191+$B$29)</f>
        <v>46211</v>
      </c>
      <c r="L191" s="78" t="n">
        <f aca="false">J191-M191</f>
        <v>0</v>
      </c>
      <c r="M191" s="78" t="n">
        <f aca="false">IF(K191&lt;F191,J191*$B$30,0)</f>
        <v>0</v>
      </c>
      <c r="N191" s="78" t="n">
        <f aca="false">IF(AND($B$34="Hợp lệ",D191="OUT",H191="Trả NCC",C191=$B$13,OR(I191=0,$B$17=1),O191&lt;&gt;F191),E191*$B$31,0)</f>
        <v>366814980</v>
      </c>
      <c r="O191" s="77" t="n">
        <f aca="false">F191+$B$15</f>
        <v>46232</v>
      </c>
      <c r="P191" s="78" t="n">
        <f aca="false">N191+Q191</f>
        <v>368649054.9</v>
      </c>
      <c r="Q191" s="78" t="n">
        <f aca="false">N191*$B$16</f>
        <v>1834074.9</v>
      </c>
      <c r="R191" s="78" t="n">
        <f aca="false">E191-J191-N191</f>
        <v>366814980</v>
      </c>
      <c r="S191" s="20" t="str">
        <f aca="false">IF(AND(J191&gt;=0,N191&gt;=0,R191&gt;=0,ABS(R191+J191+N191-E191)&lt;=$B$27),"Khớp","LỆCH")</f>
        <v>Khớp</v>
      </c>
      <c r="T191" s="20"/>
      <c r="U191" s="20"/>
    </row>
    <row r="192" customFormat="false" ht="24" hidden="false" customHeight="true" outlineLevel="0" collapsed="false">
      <c r="A192" s="20" t="str">
        <f aca="false">F01_UC2!A261</f>
        <v>PAY-BILL-F01-0122</v>
      </c>
      <c r="B192" s="20" t="str">
        <f aca="false">F01_UC2!B261</f>
        <v>BILL-F01-0122</v>
      </c>
      <c r="C192" s="20" t="str">
        <f aca="false">F01_UC2!C261</f>
        <v>SUP-F01-004</v>
      </c>
      <c r="D192" s="20" t="str">
        <f aca="false">F01_UC2!D261</f>
        <v>OUT</v>
      </c>
      <c r="E192" s="78" t="n">
        <f aca="false">F01_UC2!E261</f>
        <v>81445536</v>
      </c>
      <c r="F192" s="80" t="n">
        <f aca="false">F01_UC2!N261</f>
        <v>46205</v>
      </c>
      <c r="G192" s="80" t="n">
        <f aca="false">F01_UC2!M261</f>
        <v>0</v>
      </c>
      <c r="H192" s="20" t="str">
        <f aca="false">F01_UC2!P261</f>
        <v>Trả NCC</v>
      </c>
      <c r="I192" s="20" t="n">
        <f aca="false">F01_UC2!Q261</f>
        <v>0</v>
      </c>
      <c r="J192" s="78" t="n">
        <f aca="false">IF(AND($B$34="Hợp lệ",D192="IN",H192="Thu công nợ",C192=$B$7,OR(G192=0,$B$12=1),K192&lt;&gt;F192),E192*$B$28,0)</f>
        <v>0</v>
      </c>
      <c r="K192" s="77" t="n">
        <f aca="false">MAX(F01_UC2!$B$6,F192+$B$29)</f>
        <v>46204</v>
      </c>
      <c r="L192" s="78" t="n">
        <f aca="false">J192-M192</f>
        <v>0</v>
      </c>
      <c r="M192" s="78" t="n">
        <f aca="false">IF(K192&lt;F192,J192*$B$30,0)</f>
        <v>0</v>
      </c>
      <c r="N192" s="78" t="n">
        <f aca="false">IF(AND($B$34="Hợp lệ",D192="OUT",H192="Trả NCC",C192=$B$13,OR(I192=0,$B$17=1),O192&lt;&gt;F192),E192*$B$31,0)</f>
        <v>0</v>
      </c>
      <c r="O192" s="77" t="n">
        <f aca="false">F192+$B$15</f>
        <v>46219</v>
      </c>
      <c r="P192" s="78" t="n">
        <f aca="false">N192+Q192</f>
        <v>0</v>
      </c>
      <c r="Q192" s="78" t="n">
        <f aca="false">N192*$B$16</f>
        <v>0</v>
      </c>
      <c r="R192" s="78" t="n">
        <f aca="false">E192-J192-N192</f>
        <v>81445536</v>
      </c>
      <c r="S192" s="20" t="str">
        <f aca="false">IF(AND(J192&gt;=0,N192&gt;=0,R192&gt;=0,ABS(R192+J192+N192-E192)&lt;=$B$27),"Khớp","LỆCH")</f>
        <v>Khớp</v>
      </c>
      <c r="T192" s="20"/>
      <c r="U192" s="20"/>
    </row>
    <row r="193" customFormat="false" ht="24" hidden="false" customHeight="true" outlineLevel="0" collapsed="false">
      <c r="A193" s="20" t="str">
        <f aca="false">F01_UC2!A262</f>
        <v>PAY-BILL-F01-0123</v>
      </c>
      <c r="B193" s="20" t="str">
        <f aca="false">F01_UC2!B262</f>
        <v>BILL-F01-0123</v>
      </c>
      <c r="C193" s="20" t="str">
        <f aca="false">F01_UC2!C262</f>
        <v>SUP-F01-001</v>
      </c>
      <c r="D193" s="20" t="str">
        <f aca="false">F01_UC2!D262</f>
        <v>OUT</v>
      </c>
      <c r="E193" s="78" t="n">
        <f aca="false">F01_UC2!E262</f>
        <v>572395350</v>
      </c>
      <c r="F193" s="80" t="n">
        <f aca="false">F01_UC2!N262</f>
        <v>46221</v>
      </c>
      <c r="G193" s="80" t="n">
        <f aca="false">F01_UC2!M262</f>
        <v>0</v>
      </c>
      <c r="H193" s="20" t="str">
        <f aca="false">F01_UC2!P262</f>
        <v>Trả NCC</v>
      </c>
      <c r="I193" s="20" t="n">
        <f aca="false">F01_UC2!Q262</f>
        <v>1</v>
      </c>
      <c r="J193" s="78" t="n">
        <f aca="false">IF(AND($B$34="Hợp lệ",D193="IN",H193="Thu công nợ",C193=$B$7,OR(G193=0,$B$12=1),K193&lt;&gt;F193),E193*$B$28,0)</f>
        <v>0</v>
      </c>
      <c r="K193" s="77" t="n">
        <f aca="false">MAX(F01_UC2!$B$6,F193+$B$29)</f>
        <v>46214</v>
      </c>
      <c r="L193" s="78" t="n">
        <f aca="false">J193-M193</f>
        <v>0</v>
      </c>
      <c r="M193" s="78" t="n">
        <f aca="false">IF(K193&lt;F193,J193*$B$30,0)</f>
        <v>0</v>
      </c>
      <c r="N193" s="78" t="n">
        <f aca="false">IF(AND($B$34="Hợp lệ",D193="OUT",H193="Trả NCC",C193=$B$13,OR(I193=0,$B$17=1),O193&lt;&gt;F193),E193*$B$31,0)</f>
        <v>286197675</v>
      </c>
      <c r="O193" s="77" t="n">
        <f aca="false">F193+$B$15</f>
        <v>46235</v>
      </c>
      <c r="P193" s="78" t="n">
        <f aca="false">N193+Q193</f>
        <v>287628663.375</v>
      </c>
      <c r="Q193" s="78" t="n">
        <f aca="false">N193*$B$16</f>
        <v>1430988.375</v>
      </c>
      <c r="R193" s="78" t="n">
        <f aca="false">E193-J193-N193</f>
        <v>286197675</v>
      </c>
      <c r="S193" s="20" t="str">
        <f aca="false">IF(AND(J193&gt;=0,N193&gt;=0,R193&gt;=0,ABS(R193+J193+N193-E193)&lt;=$B$27),"Khớp","LỆCH")</f>
        <v>Khớp</v>
      </c>
      <c r="T193" s="20"/>
      <c r="U193" s="20"/>
    </row>
    <row r="194" customFormat="false" ht="24" hidden="false" customHeight="true" outlineLevel="0" collapsed="false">
      <c r="A194" s="20" t="str">
        <f aca="false">F01_UC2!A263</f>
        <v>PAY-BILL-F01-0124</v>
      </c>
      <c r="B194" s="20" t="str">
        <f aca="false">F01_UC2!B263</f>
        <v>BILL-F01-0124</v>
      </c>
      <c r="C194" s="20" t="str">
        <f aca="false">F01_UC2!C263</f>
        <v>SUP-F01-004</v>
      </c>
      <c r="D194" s="20" t="str">
        <f aca="false">F01_UC2!D263</f>
        <v>OUT</v>
      </c>
      <c r="E194" s="78" t="n">
        <f aca="false">F01_UC2!E263</f>
        <v>138127368</v>
      </c>
      <c r="F194" s="80" t="n">
        <f aca="false">F01_UC2!N263</f>
        <v>46207</v>
      </c>
      <c r="G194" s="80" t="n">
        <f aca="false">F01_UC2!M263</f>
        <v>0</v>
      </c>
      <c r="H194" s="20" t="str">
        <f aca="false">F01_UC2!P263</f>
        <v>Trả NCC</v>
      </c>
      <c r="I194" s="20" t="n">
        <f aca="false">F01_UC2!Q263</f>
        <v>0</v>
      </c>
      <c r="J194" s="78" t="n">
        <f aca="false">IF(AND($B$34="Hợp lệ",D194="IN",H194="Thu công nợ",C194=$B$7,OR(G194=0,$B$12=1),K194&lt;&gt;F194),E194*$B$28,0)</f>
        <v>0</v>
      </c>
      <c r="K194" s="77" t="n">
        <f aca="false">MAX(F01_UC2!$B$6,F194+$B$29)</f>
        <v>46204</v>
      </c>
      <c r="L194" s="78" t="n">
        <f aca="false">J194-M194</f>
        <v>0</v>
      </c>
      <c r="M194" s="78" t="n">
        <f aca="false">IF(K194&lt;F194,J194*$B$30,0)</f>
        <v>0</v>
      </c>
      <c r="N194" s="78" t="n">
        <f aca="false">IF(AND($B$34="Hợp lệ",D194="OUT",H194="Trả NCC",C194=$B$13,OR(I194=0,$B$17=1),O194&lt;&gt;F194),E194*$B$31,0)</f>
        <v>0</v>
      </c>
      <c r="O194" s="77" t="n">
        <f aca="false">F194+$B$15</f>
        <v>46221</v>
      </c>
      <c r="P194" s="78" t="n">
        <f aca="false">N194+Q194</f>
        <v>0</v>
      </c>
      <c r="Q194" s="78" t="n">
        <f aca="false">N194*$B$16</f>
        <v>0</v>
      </c>
      <c r="R194" s="78" t="n">
        <f aca="false">E194-J194-N194</f>
        <v>138127368</v>
      </c>
      <c r="S194" s="20" t="str">
        <f aca="false">IF(AND(J194&gt;=0,N194&gt;=0,R194&gt;=0,ABS(R194+J194+N194-E194)&lt;=$B$27),"Khớp","LỆCH")</f>
        <v>Khớp</v>
      </c>
      <c r="T194" s="20"/>
      <c r="U194" s="20"/>
    </row>
    <row r="195" customFormat="false" ht="24" hidden="false" customHeight="true" outlineLevel="0" collapsed="false">
      <c r="A195" s="20" t="str">
        <f aca="false">F01_UC2!A264</f>
        <v>PAY-BILL-F01-0125</v>
      </c>
      <c r="B195" s="20" t="str">
        <f aca="false">F01_UC2!B264</f>
        <v>BILL-F01-0125</v>
      </c>
      <c r="C195" s="20" t="str">
        <f aca="false">F01_UC2!C264</f>
        <v>SUP-F01-002</v>
      </c>
      <c r="D195" s="20" t="str">
        <f aca="false">F01_UC2!D264</f>
        <v>OUT</v>
      </c>
      <c r="E195" s="78" t="n">
        <f aca="false">F01_UC2!E264</f>
        <v>288199584</v>
      </c>
      <c r="F195" s="80" t="n">
        <f aca="false">F01_UC2!N264</f>
        <v>46254</v>
      </c>
      <c r="G195" s="80" t="n">
        <f aca="false">F01_UC2!M264</f>
        <v>0</v>
      </c>
      <c r="H195" s="20" t="str">
        <f aca="false">F01_UC2!P264</f>
        <v>Trả NCC</v>
      </c>
      <c r="I195" s="20" t="n">
        <f aca="false">F01_UC2!Q264</f>
        <v>0</v>
      </c>
      <c r="J195" s="78" t="n">
        <f aca="false">IF(AND($B$34="Hợp lệ",D195="IN",H195="Thu công nợ",C195=$B$7,OR(G195=0,$B$12=1),K195&lt;&gt;F195),E195*$B$28,0)</f>
        <v>0</v>
      </c>
      <c r="K195" s="77" t="n">
        <f aca="false">MAX(F01_UC2!$B$6,F195+$B$29)</f>
        <v>46247</v>
      </c>
      <c r="L195" s="78" t="n">
        <f aca="false">J195-M195</f>
        <v>0</v>
      </c>
      <c r="M195" s="78" t="n">
        <f aca="false">IF(K195&lt;F195,J195*$B$30,0)</f>
        <v>0</v>
      </c>
      <c r="N195" s="78" t="n">
        <f aca="false">IF(AND($B$34="Hợp lệ",D195="OUT",H195="Trả NCC",C195=$B$13,OR(I195=0,$B$17=1),O195&lt;&gt;F195),E195*$B$31,0)</f>
        <v>0</v>
      </c>
      <c r="O195" s="77" t="n">
        <f aca="false">F195+$B$15</f>
        <v>46268</v>
      </c>
      <c r="P195" s="78" t="n">
        <f aca="false">N195+Q195</f>
        <v>0</v>
      </c>
      <c r="Q195" s="78" t="n">
        <f aca="false">N195*$B$16</f>
        <v>0</v>
      </c>
      <c r="R195" s="78" t="n">
        <f aca="false">E195-J195-N195</f>
        <v>288199584</v>
      </c>
      <c r="S195" s="20" t="str">
        <f aca="false">IF(AND(J195&gt;=0,N195&gt;=0,R195&gt;=0,ABS(R195+J195+N195-E195)&lt;=$B$27),"Khớp","LỆCH")</f>
        <v>Khớp</v>
      </c>
      <c r="T195" s="20"/>
      <c r="U195" s="20"/>
    </row>
    <row r="196" customFormat="false" ht="24" hidden="false" customHeight="true" outlineLevel="0" collapsed="false">
      <c r="A196" s="20" t="str">
        <f aca="false">F01_UC2!A265</f>
        <v>PAY-BILL-F01-0126</v>
      </c>
      <c r="B196" s="20" t="str">
        <f aca="false">F01_UC2!B265</f>
        <v>BILL-F01-0126</v>
      </c>
      <c r="C196" s="20" t="str">
        <f aca="false">F01_UC2!C265</f>
        <v>SUP-F01-003</v>
      </c>
      <c r="D196" s="20" t="str">
        <f aca="false">F01_UC2!D265</f>
        <v>OUT</v>
      </c>
      <c r="E196" s="78" t="n">
        <f aca="false">F01_UC2!E265</f>
        <v>318914898</v>
      </c>
      <c r="F196" s="80" t="n">
        <f aca="false">F01_UC2!N265</f>
        <v>46208</v>
      </c>
      <c r="G196" s="80" t="n">
        <f aca="false">F01_UC2!M265</f>
        <v>0</v>
      </c>
      <c r="H196" s="20" t="str">
        <f aca="false">F01_UC2!P265</f>
        <v>Trả NCC</v>
      </c>
      <c r="I196" s="20" t="n">
        <f aca="false">F01_UC2!Q265</f>
        <v>1</v>
      </c>
      <c r="J196" s="78" t="n">
        <f aca="false">IF(AND($B$34="Hợp lệ",D196="IN",H196="Thu công nợ",C196=$B$7,OR(G196=0,$B$12=1),K196&lt;&gt;F196),E196*$B$28,0)</f>
        <v>0</v>
      </c>
      <c r="K196" s="77" t="n">
        <f aca="false">MAX(F01_UC2!$B$6,F196+$B$29)</f>
        <v>46204</v>
      </c>
      <c r="L196" s="78" t="n">
        <f aca="false">J196-M196</f>
        <v>0</v>
      </c>
      <c r="M196" s="78" t="n">
        <f aca="false">IF(K196&lt;F196,J196*$B$30,0)</f>
        <v>0</v>
      </c>
      <c r="N196" s="78" t="n">
        <f aca="false">IF(AND($B$34="Hợp lệ",D196="OUT",H196="Trả NCC",C196=$B$13,OR(I196=0,$B$17=1),O196&lt;&gt;F196),E196*$B$31,0)</f>
        <v>0</v>
      </c>
      <c r="O196" s="77" t="n">
        <f aca="false">F196+$B$15</f>
        <v>46222</v>
      </c>
      <c r="P196" s="78" t="n">
        <f aca="false">N196+Q196</f>
        <v>0</v>
      </c>
      <c r="Q196" s="78" t="n">
        <f aca="false">N196*$B$16</f>
        <v>0</v>
      </c>
      <c r="R196" s="78" t="n">
        <f aca="false">E196-J196-N196</f>
        <v>318914898</v>
      </c>
      <c r="S196" s="20" t="str">
        <f aca="false">IF(AND(J196&gt;=0,N196&gt;=0,R196&gt;=0,ABS(R196+J196+N196-E196)&lt;=$B$27),"Khớp","LỆCH")</f>
        <v>Khớp</v>
      </c>
      <c r="T196" s="20"/>
      <c r="U196" s="20"/>
    </row>
    <row r="197" customFormat="false" ht="24" hidden="false" customHeight="true" outlineLevel="0" collapsed="false">
      <c r="A197" s="20" t="str">
        <f aca="false">F01_UC2!A266</f>
        <v>PAY-BILL-F01-0127</v>
      </c>
      <c r="B197" s="20" t="str">
        <f aca="false">F01_UC2!B266</f>
        <v>BILL-F01-0127</v>
      </c>
      <c r="C197" s="20" t="str">
        <f aca="false">F01_UC2!C266</f>
        <v>SUP-F01-009</v>
      </c>
      <c r="D197" s="20" t="str">
        <f aca="false">F01_UC2!D266</f>
        <v>OUT</v>
      </c>
      <c r="E197" s="78" t="n">
        <f aca="false">F01_UC2!E266</f>
        <v>169641786</v>
      </c>
      <c r="F197" s="80" t="n">
        <f aca="false">F01_UC2!N266</f>
        <v>46223</v>
      </c>
      <c r="G197" s="80" t="n">
        <f aca="false">F01_UC2!M266</f>
        <v>0</v>
      </c>
      <c r="H197" s="20" t="str">
        <f aca="false">F01_UC2!P266</f>
        <v>Trả NCC</v>
      </c>
      <c r="I197" s="20" t="n">
        <f aca="false">F01_UC2!Q266</f>
        <v>1</v>
      </c>
      <c r="J197" s="78" t="n">
        <f aca="false">IF(AND($B$34="Hợp lệ",D197="IN",H197="Thu công nợ",C197=$B$7,OR(G197=0,$B$12=1),K197&lt;&gt;F197),E197*$B$28,0)</f>
        <v>0</v>
      </c>
      <c r="K197" s="77" t="n">
        <f aca="false">MAX(F01_UC2!$B$6,F197+$B$29)</f>
        <v>46216</v>
      </c>
      <c r="L197" s="78" t="n">
        <f aca="false">J197-M197</f>
        <v>0</v>
      </c>
      <c r="M197" s="78" t="n">
        <f aca="false">IF(K197&lt;F197,J197*$B$30,0)</f>
        <v>0</v>
      </c>
      <c r="N197" s="78" t="n">
        <f aca="false">IF(AND($B$34="Hợp lệ",D197="OUT",H197="Trả NCC",C197=$B$13,OR(I197=0,$B$17=1),O197&lt;&gt;F197),E197*$B$31,0)</f>
        <v>0</v>
      </c>
      <c r="O197" s="77" t="n">
        <f aca="false">F197+$B$15</f>
        <v>46237</v>
      </c>
      <c r="P197" s="78" t="n">
        <f aca="false">N197+Q197</f>
        <v>0</v>
      </c>
      <c r="Q197" s="78" t="n">
        <f aca="false">N197*$B$16</f>
        <v>0</v>
      </c>
      <c r="R197" s="78" t="n">
        <f aca="false">E197-J197-N197</f>
        <v>169641786</v>
      </c>
      <c r="S197" s="20" t="str">
        <f aca="false">IF(AND(J197&gt;=0,N197&gt;=0,R197&gt;=0,ABS(R197+J197+N197-E197)&lt;=$B$27),"Khớp","LỆCH")</f>
        <v>Khớp</v>
      </c>
      <c r="T197" s="20"/>
      <c r="U197" s="20"/>
    </row>
    <row r="198" customFormat="false" ht="24" hidden="false" customHeight="true" outlineLevel="0" collapsed="false">
      <c r="A198" s="20" t="str">
        <f aca="false">F01_UC2!A267</f>
        <v>PAY-BILL-F01-0128</v>
      </c>
      <c r="B198" s="20" t="str">
        <f aca="false">F01_UC2!B267</f>
        <v>BILL-F01-0128</v>
      </c>
      <c r="C198" s="20" t="str">
        <f aca="false">F01_UC2!C267</f>
        <v>SUP-F01-001</v>
      </c>
      <c r="D198" s="20" t="str">
        <f aca="false">F01_UC2!D267</f>
        <v>OUT</v>
      </c>
      <c r="E198" s="78" t="n">
        <f aca="false">F01_UC2!E267</f>
        <v>468512740</v>
      </c>
      <c r="F198" s="80" t="n">
        <f aca="false">F01_UC2!N267</f>
        <v>46224</v>
      </c>
      <c r="G198" s="80" t="n">
        <f aca="false">F01_UC2!M267</f>
        <v>0</v>
      </c>
      <c r="H198" s="20" t="str">
        <f aca="false">F01_UC2!P267</f>
        <v>Trả NCC</v>
      </c>
      <c r="I198" s="20" t="n">
        <f aca="false">F01_UC2!Q267</f>
        <v>1</v>
      </c>
      <c r="J198" s="78" t="n">
        <f aca="false">IF(AND($B$34="Hợp lệ",D198="IN",H198="Thu công nợ",C198=$B$7,OR(G198=0,$B$12=1),K198&lt;&gt;F198),E198*$B$28,0)</f>
        <v>0</v>
      </c>
      <c r="K198" s="77" t="n">
        <f aca="false">MAX(F01_UC2!$B$6,F198+$B$29)</f>
        <v>46217</v>
      </c>
      <c r="L198" s="78" t="n">
        <f aca="false">J198-M198</f>
        <v>0</v>
      </c>
      <c r="M198" s="78" t="n">
        <f aca="false">IF(K198&lt;F198,J198*$B$30,0)</f>
        <v>0</v>
      </c>
      <c r="N198" s="78" t="n">
        <f aca="false">IF(AND($B$34="Hợp lệ",D198="OUT",H198="Trả NCC",C198=$B$13,OR(I198=0,$B$17=1),O198&lt;&gt;F198),E198*$B$31,0)</f>
        <v>234256370</v>
      </c>
      <c r="O198" s="77" t="n">
        <f aca="false">F198+$B$15</f>
        <v>46238</v>
      </c>
      <c r="P198" s="78" t="n">
        <f aca="false">N198+Q198</f>
        <v>235427651.85</v>
      </c>
      <c r="Q198" s="78" t="n">
        <f aca="false">N198*$B$16</f>
        <v>1171281.85</v>
      </c>
      <c r="R198" s="78" t="n">
        <f aca="false">E198-J198-N198</f>
        <v>234256370</v>
      </c>
      <c r="S198" s="20" t="str">
        <f aca="false">IF(AND(J198&gt;=0,N198&gt;=0,R198&gt;=0,ABS(R198+J198+N198-E198)&lt;=$B$27),"Khớp","LỆCH")</f>
        <v>Khớp</v>
      </c>
      <c r="T198" s="20"/>
      <c r="U198" s="20"/>
    </row>
    <row r="199" customFormat="false" ht="24" hidden="false" customHeight="true" outlineLevel="0" collapsed="false">
      <c r="A199" s="20" t="str">
        <f aca="false">F01_UC2!A268</f>
        <v>PAY-BILL-F01-0129</v>
      </c>
      <c r="B199" s="20" t="str">
        <f aca="false">F01_UC2!B268</f>
        <v>BILL-F01-0129</v>
      </c>
      <c r="C199" s="20" t="str">
        <f aca="false">F01_UC2!C268</f>
        <v>SUP-F01-003</v>
      </c>
      <c r="D199" s="20" t="str">
        <f aca="false">F01_UC2!D268</f>
        <v>OUT</v>
      </c>
      <c r="E199" s="78" t="n">
        <f aca="false">F01_UC2!E268</f>
        <v>143226918</v>
      </c>
      <c r="F199" s="80" t="n">
        <f aca="false">F01_UC2!N268</f>
        <v>46210</v>
      </c>
      <c r="G199" s="80" t="n">
        <f aca="false">F01_UC2!M268</f>
        <v>0</v>
      </c>
      <c r="H199" s="20" t="str">
        <f aca="false">F01_UC2!P268</f>
        <v>Trả NCC</v>
      </c>
      <c r="I199" s="20" t="n">
        <f aca="false">F01_UC2!Q268</f>
        <v>1</v>
      </c>
      <c r="J199" s="78" t="n">
        <f aca="false">IF(AND($B$34="Hợp lệ",D199="IN",H199="Thu công nợ",C199=$B$7,OR(G199=0,$B$12=1),K199&lt;&gt;F199),E199*$B$28,0)</f>
        <v>0</v>
      </c>
      <c r="K199" s="77" t="n">
        <f aca="false">MAX(F01_UC2!$B$6,F199+$B$29)</f>
        <v>46204</v>
      </c>
      <c r="L199" s="78" t="n">
        <f aca="false">J199-M199</f>
        <v>0</v>
      </c>
      <c r="M199" s="78" t="n">
        <f aca="false">IF(K199&lt;F199,J199*$B$30,0)</f>
        <v>0</v>
      </c>
      <c r="N199" s="78" t="n">
        <f aca="false">IF(AND($B$34="Hợp lệ",D199="OUT",H199="Trả NCC",C199=$B$13,OR(I199=0,$B$17=1),O199&lt;&gt;F199),E199*$B$31,0)</f>
        <v>0</v>
      </c>
      <c r="O199" s="77" t="n">
        <f aca="false">F199+$B$15</f>
        <v>46224</v>
      </c>
      <c r="P199" s="78" t="n">
        <f aca="false">N199+Q199</f>
        <v>0</v>
      </c>
      <c r="Q199" s="78" t="n">
        <f aca="false">N199*$B$16</f>
        <v>0</v>
      </c>
      <c r="R199" s="78" t="n">
        <f aca="false">E199-J199-N199</f>
        <v>143226918</v>
      </c>
      <c r="S199" s="20" t="str">
        <f aca="false">IF(AND(J199&gt;=0,N199&gt;=0,R199&gt;=0,ABS(R199+J199+N199-E199)&lt;=$B$27),"Khớp","LỆCH")</f>
        <v>Khớp</v>
      </c>
      <c r="T199" s="20"/>
      <c r="U199" s="20"/>
    </row>
    <row r="200" customFormat="false" ht="24" hidden="false" customHeight="true" outlineLevel="0" collapsed="false">
      <c r="A200" s="20" t="str">
        <f aca="false">F01_UC2!A269</f>
        <v>PAY-BILL-F01-0130</v>
      </c>
      <c r="B200" s="20" t="str">
        <f aca="false">F01_UC2!B269</f>
        <v>BILL-F01-0130</v>
      </c>
      <c r="C200" s="20" t="str">
        <f aca="false">F01_UC2!C269</f>
        <v>SUP-F01-009</v>
      </c>
      <c r="D200" s="20" t="str">
        <f aca="false">F01_UC2!D269</f>
        <v>OUT</v>
      </c>
      <c r="E200" s="78" t="n">
        <f aca="false">F01_UC2!E269</f>
        <v>312945067</v>
      </c>
      <c r="F200" s="80" t="n">
        <f aca="false">F01_UC2!N269</f>
        <v>46226</v>
      </c>
      <c r="G200" s="80" t="n">
        <f aca="false">F01_UC2!M269</f>
        <v>0</v>
      </c>
      <c r="H200" s="20" t="str">
        <f aca="false">F01_UC2!P269</f>
        <v>Trả NCC</v>
      </c>
      <c r="I200" s="20" t="n">
        <f aca="false">F01_UC2!Q269</f>
        <v>1</v>
      </c>
      <c r="J200" s="78" t="n">
        <f aca="false">IF(AND($B$34="Hợp lệ",D200="IN",H200="Thu công nợ",C200=$B$7,OR(G200=0,$B$12=1),K200&lt;&gt;F200),E200*$B$28,0)</f>
        <v>0</v>
      </c>
      <c r="K200" s="77" t="n">
        <f aca="false">MAX(F01_UC2!$B$6,F200+$B$29)</f>
        <v>46219</v>
      </c>
      <c r="L200" s="78" t="n">
        <f aca="false">J200-M200</f>
        <v>0</v>
      </c>
      <c r="M200" s="78" t="n">
        <f aca="false">IF(K200&lt;F200,J200*$B$30,0)</f>
        <v>0</v>
      </c>
      <c r="N200" s="78" t="n">
        <f aca="false">IF(AND($B$34="Hợp lệ",D200="OUT",H200="Trả NCC",C200=$B$13,OR(I200=0,$B$17=1),O200&lt;&gt;F200),E200*$B$31,0)</f>
        <v>0</v>
      </c>
      <c r="O200" s="77" t="n">
        <f aca="false">F200+$B$15</f>
        <v>46240</v>
      </c>
      <c r="P200" s="78" t="n">
        <f aca="false">N200+Q200</f>
        <v>0</v>
      </c>
      <c r="Q200" s="78" t="n">
        <f aca="false">N200*$B$16</f>
        <v>0</v>
      </c>
      <c r="R200" s="78" t="n">
        <f aca="false">E200-J200-N200</f>
        <v>312945067</v>
      </c>
      <c r="S200" s="20" t="str">
        <f aca="false">IF(AND(J200&gt;=0,N200&gt;=0,R200&gt;=0,ABS(R200+J200+N200-E200)&lt;=$B$27),"Khớp","LỆCH")</f>
        <v>Khớp</v>
      </c>
      <c r="T200" s="20"/>
      <c r="U200" s="20"/>
    </row>
    <row r="201" customFormat="false" ht="24" hidden="false" customHeight="true" outlineLevel="0" collapsed="false">
      <c r="A201" s="20" t="str">
        <f aca="false">F01_UC2!A270</f>
        <v>PAY-BILL-F01-0131</v>
      </c>
      <c r="B201" s="20" t="str">
        <f aca="false">F01_UC2!B270</f>
        <v>BILL-F01-0131</v>
      </c>
      <c r="C201" s="20" t="str">
        <f aca="false">F01_UC2!C270</f>
        <v>SUP-F01-004</v>
      </c>
      <c r="D201" s="20" t="str">
        <f aca="false">F01_UC2!D270</f>
        <v>OUT</v>
      </c>
      <c r="E201" s="78" t="n">
        <f aca="false">F01_UC2!E270</f>
        <v>94380226</v>
      </c>
      <c r="F201" s="80" t="n">
        <f aca="false">F01_UC2!N270</f>
        <v>46213</v>
      </c>
      <c r="G201" s="80" t="n">
        <f aca="false">F01_UC2!M270</f>
        <v>0</v>
      </c>
      <c r="H201" s="20" t="str">
        <f aca="false">F01_UC2!P270</f>
        <v>Trả NCC</v>
      </c>
      <c r="I201" s="20" t="n">
        <f aca="false">F01_UC2!Q270</f>
        <v>0</v>
      </c>
      <c r="J201" s="78" t="n">
        <f aca="false">IF(AND($B$34="Hợp lệ",D201="IN",H201="Thu công nợ",C201=$B$7,OR(G201=0,$B$12=1),K201&lt;&gt;F201),E201*$B$28,0)</f>
        <v>0</v>
      </c>
      <c r="K201" s="77" t="n">
        <f aca="false">MAX(F01_UC2!$B$6,F201+$B$29)</f>
        <v>46206</v>
      </c>
      <c r="L201" s="78" t="n">
        <f aca="false">J201-M201</f>
        <v>0</v>
      </c>
      <c r="M201" s="78" t="n">
        <f aca="false">IF(K201&lt;F201,J201*$B$30,0)</f>
        <v>0</v>
      </c>
      <c r="N201" s="78" t="n">
        <f aca="false">IF(AND($B$34="Hợp lệ",D201="OUT",H201="Trả NCC",C201=$B$13,OR(I201=0,$B$17=1),O201&lt;&gt;F201),E201*$B$31,0)</f>
        <v>0</v>
      </c>
      <c r="O201" s="77" t="n">
        <f aca="false">F201+$B$15</f>
        <v>46227</v>
      </c>
      <c r="P201" s="78" t="n">
        <f aca="false">N201+Q201</f>
        <v>0</v>
      </c>
      <c r="Q201" s="78" t="n">
        <f aca="false">N201*$B$16</f>
        <v>0</v>
      </c>
      <c r="R201" s="78" t="n">
        <f aca="false">E201-J201-N201</f>
        <v>94380226</v>
      </c>
      <c r="S201" s="20" t="str">
        <f aca="false">IF(AND(J201&gt;=0,N201&gt;=0,R201&gt;=0,ABS(R201+J201+N201-E201)&lt;=$B$27),"Khớp","LỆCH")</f>
        <v>Khớp</v>
      </c>
      <c r="T201" s="20"/>
      <c r="U201" s="20"/>
    </row>
    <row r="202" customFormat="false" ht="24" hidden="false" customHeight="true" outlineLevel="0" collapsed="false">
      <c r="A202" s="20" t="str">
        <f aca="false">F01_UC2!A271</f>
        <v>PAY-BILL-F01-0132</v>
      </c>
      <c r="B202" s="20" t="str">
        <f aca="false">F01_UC2!B271</f>
        <v>BILL-F01-0132</v>
      </c>
      <c r="C202" s="20" t="str">
        <f aca="false">F01_UC2!C271</f>
        <v>SUP-F01-002</v>
      </c>
      <c r="D202" s="20" t="str">
        <f aca="false">F01_UC2!D271</f>
        <v>OUT</v>
      </c>
      <c r="E202" s="78" t="n">
        <f aca="false">F01_UC2!E271</f>
        <v>351774590</v>
      </c>
      <c r="F202" s="80" t="n">
        <f aca="false">F01_UC2!N271</f>
        <v>46260</v>
      </c>
      <c r="G202" s="80" t="n">
        <f aca="false">F01_UC2!M271</f>
        <v>0</v>
      </c>
      <c r="H202" s="20" t="str">
        <f aca="false">F01_UC2!P271</f>
        <v>Trả NCC</v>
      </c>
      <c r="I202" s="20" t="n">
        <f aca="false">F01_UC2!Q271</f>
        <v>0</v>
      </c>
      <c r="J202" s="78" t="n">
        <f aca="false">IF(AND($B$34="Hợp lệ",D202="IN",H202="Thu công nợ",C202=$B$7,OR(G202=0,$B$12=1),K202&lt;&gt;F202),E202*$B$28,0)</f>
        <v>0</v>
      </c>
      <c r="K202" s="77" t="n">
        <f aca="false">MAX(F01_UC2!$B$6,F202+$B$29)</f>
        <v>46253</v>
      </c>
      <c r="L202" s="78" t="n">
        <f aca="false">J202-M202</f>
        <v>0</v>
      </c>
      <c r="M202" s="78" t="n">
        <f aca="false">IF(K202&lt;F202,J202*$B$30,0)</f>
        <v>0</v>
      </c>
      <c r="N202" s="78" t="n">
        <f aca="false">IF(AND($B$34="Hợp lệ",D202="OUT",H202="Trả NCC",C202=$B$13,OR(I202=0,$B$17=1),O202&lt;&gt;F202),E202*$B$31,0)</f>
        <v>0</v>
      </c>
      <c r="O202" s="77" t="n">
        <f aca="false">F202+$B$15</f>
        <v>46274</v>
      </c>
      <c r="P202" s="78" t="n">
        <f aca="false">N202+Q202</f>
        <v>0</v>
      </c>
      <c r="Q202" s="78" t="n">
        <f aca="false">N202*$B$16</f>
        <v>0</v>
      </c>
      <c r="R202" s="78" t="n">
        <f aca="false">E202-J202-N202</f>
        <v>351774590</v>
      </c>
      <c r="S202" s="20" t="str">
        <f aca="false">IF(AND(J202&gt;=0,N202&gt;=0,R202&gt;=0,ABS(R202+J202+N202-E202)&lt;=$B$27),"Khớp","LỆCH")</f>
        <v>Khớp</v>
      </c>
      <c r="T202" s="20"/>
      <c r="U202" s="20"/>
    </row>
    <row r="203" customFormat="false" ht="24" hidden="false" customHeight="true" outlineLevel="0" collapsed="false">
      <c r="A203" s="20" t="str">
        <f aca="false">F01_UC2!A272</f>
        <v>PAY-BILL-F01-0133</v>
      </c>
      <c r="B203" s="20" t="str">
        <f aca="false">F01_UC2!B272</f>
        <v>BILL-F01-0133</v>
      </c>
      <c r="C203" s="20" t="str">
        <f aca="false">F01_UC2!C272</f>
        <v>SUP-F01-006</v>
      </c>
      <c r="D203" s="20" t="str">
        <f aca="false">F01_UC2!D272</f>
        <v>OUT</v>
      </c>
      <c r="E203" s="78" t="n">
        <f aca="false">F01_UC2!E272</f>
        <v>389201455</v>
      </c>
      <c r="F203" s="80" t="n">
        <f aca="false">F01_UC2!N272</f>
        <v>46214</v>
      </c>
      <c r="G203" s="80" t="n">
        <f aca="false">F01_UC2!M272</f>
        <v>0</v>
      </c>
      <c r="H203" s="20" t="str">
        <f aca="false">F01_UC2!P272</f>
        <v>Trả NCC</v>
      </c>
      <c r="I203" s="20" t="n">
        <f aca="false">F01_UC2!Q272</f>
        <v>1</v>
      </c>
      <c r="J203" s="78" t="n">
        <f aca="false">IF(AND($B$34="Hợp lệ",D203="IN",H203="Thu công nợ",C203=$B$7,OR(G203=0,$B$12=1),K203&lt;&gt;F203),E203*$B$28,0)</f>
        <v>0</v>
      </c>
      <c r="K203" s="77" t="n">
        <f aca="false">MAX(F01_UC2!$B$6,F203+$B$29)</f>
        <v>46207</v>
      </c>
      <c r="L203" s="78" t="n">
        <f aca="false">J203-M203</f>
        <v>0</v>
      </c>
      <c r="M203" s="78" t="n">
        <f aca="false">IF(K203&lt;F203,J203*$B$30,0)</f>
        <v>0</v>
      </c>
      <c r="N203" s="78" t="n">
        <f aca="false">IF(AND($B$34="Hợp lệ",D203="OUT",H203="Trả NCC",C203=$B$13,OR(I203=0,$B$17=1),O203&lt;&gt;F203),E203*$B$31,0)</f>
        <v>0</v>
      </c>
      <c r="O203" s="77" t="n">
        <f aca="false">F203+$B$15</f>
        <v>46228</v>
      </c>
      <c r="P203" s="78" t="n">
        <f aca="false">N203+Q203</f>
        <v>0</v>
      </c>
      <c r="Q203" s="78" t="n">
        <f aca="false">N203*$B$16</f>
        <v>0</v>
      </c>
      <c r="R203" s="78" t="n">
        <f aca="false">E203-J203-N203</f>
        <v>389201455</v>
      </c>
      <c r="S203" s="20" t="str">
        <f aca="false">IF(AND(J203&gt;=0,N203&gt;=0,R203&gt;=0,ABS(R203+J203+N203-E203)&lt;=$B$27),"Khớp","LỆCH")</f>
        <v>Khớp</v>
      </c>
      <c r="T203" s="20"/>
      <c r="U203" s="20"/>
    </row>
    <row r="204" customFormat="false" ht="24" hidden="false" customHeight="true" outlineLevel="0" collapsed="false">
      <c r="A204" s="20" t="str">
        <f aca="false">F01_UC2!A273</f>
        <v>PAY-BILL-F01-0134</v>
      </c>
      <c r="B204" s="20" t="str">
        <f aca="false">F01_UC2!B273</f>
        <v>BILL-F01-0134</v>
      </c>
      <c r="C204" s="20" t="str">
        <f aca="false">F01_UC2!C273</f>
        <v>SUP-F01-001</v>
      </c>
      <c r="D204" s="20" t="str">
        <f aca="false">F01_UC2!D273</f>
        <v>OUT</v>
      </c>
      <c r="E204" s="78" t="n">
        <f aca="false">F01_UC2!E273</f>
        <v>604118372</v>
      </c>
      <c r="F204" s="80" t="n">
        <f aca="false">F01_UC2!N273</f>
        <v>46230</v>
      </c>
      <c r="G204" s="80" t="n">
        <f aca="false">F01_UC2!M273</f>
        <v>0</v>
      </c>
      <c r="H204" s="20" t="str">
        <f aca="false">F01_UC2!P273</f>
        <v>Trả NCC</v>
      </c>
      <c r="I204" s="20" t="n">
        <f aca="false">F01_UC2!Q273</f>
        <v>1</v>
      </c>
      <c r="J204" s="78" t="n">
        <f aca="false">IF(AND($B$34="Hợp lệ",D204="IN",H204="Thu công nợ",C204=$B$7,OR(G204=0,$B$12=1),K204&lt;&gt;F204),E204*$B$28,0)</f>
        <v>0</v>
      </c>
      <c r="K204" s="77" t="n">
        <f aca="false">MAX(F01_UC2!$B$6,F204+$B$29)</f>
        <v>46223</v>
      </c>
      <c r="L204" s="78" t="n">
        <f aca="false">J204-M204</f>
        <v>0</v>
      </c>
      <c r="M204" s="78" t="n">
        <f aca="false">IF(K204&lt;F204,J204*$B$30,0)</f>
        <v>0</v>
      </c>
      <c r="N204" s="78" t="n">
        <f aca="false">IF(AND($B$34="Hợp lệ",D204="OUT",H204="Trả NCC",C204=$B$13,OR(I204=0,$B$17=1),O204&lt;&gt;F204),E204*$B$31,0)</f>
        <v>302059186</v>
      </c>
      <c r="O204" s="77" t="n">
        <f aca="false">F204+$B$15</f>
        <v>46244</v>
      </c>
      <c r="P204" s="78" t="n">
        <f aca="false">N204+Q204</f>
        <v>303569481.93</v>
      </c>
      <c r="Q204" s="78" t="n">
        <f aca="false">N204*$B$16</f>
        <v>1510295.93</v>
      </c>
      <c r="R204" s="78" t="n">
        <f aca="false">E204-J204-N204</f>
        <v>302059186</v>
      </c>
      <c r="S204" s="20" t="str">
        <f aca="false">IF(AND(J204&gt;=0,N204&gt;=0,R204&gt;=0,ABS(R204+J204+N204-E204)&lt;=$B$27),"Khớp","LỆCH")</f>
        <v>Khớp</v>
      </c>
      <c r="T204" s="20"/>
      <c r="U204" s="20"/>
    </row>
    <row r="205" customFormat="false" ht="24" hidden="false" customHeight="true" outlineLevel="0" collapsed="false">
      <c r="A205" s="20" t="str">
        <f aca="false">F01_UC2!A274</f>
        <v>PAY-BILL-F01-0135</v>
      </c>
      <c r="B205" s="20" t="str">
        <f aca="false">F01_UC2!B274</f>
        <v>BILL-F01-0135</v>
      </c>
      <c r="C205" s="20" t="str">
        <f aca="false">F01_UC2!C274</f>
        <v>SUP-F01-004</v>
      </c>
      <c r="D205" s="20" t="str">
        <f aca="false">F01_UC2!D274</f>
        <v>OUT</v>
      </c>
      <c r="E205" s="78" t="n">
        <f aca="false">F01_UC2!E274</f>
        <v>118460731</v>
      </c>
      <c r="F205" s="80" t="n">
        <f aca="false">F01_UC2!N274</f>
        <v>46218</v>
      </c>
      <c r="G205" s="80" t="n">
        <f aca="false">F01_UC2!M274</f>
        <v>0</v>
      </c>
      <c r="H205" s="20" t="str">
        <f aca="false">F01_UC2!P274</f>
        <v>Trả NCC</v>
      </c>
      <c r="I205" s="20" t="n">
        <f aca="false">F01_UC2!Q274</f>
        <v>0</v>
      </c>
      <c r="J205" s="78" t="n">
        <f aca="false">IF(AND($B$34="Hợp lệ",D205="IN",H205="Thu công nợ",C205=$B$7,OR(G205=0,$B$12=1),K205&lt;&gt;F205),E205*$B$28,0)</f>
        <v>0</v>
      </c>
      <c r="K205" s="77" t="n">
        <f aca="false">MAX(F01_UC2!$B$6,F205+$B$29)</f>
        <v>46211</v>
      </c>
      <c r="L205" s="78" t="n">
        <f aca="false">J205-M205</f>
        <v>0</v>
      </c>
      <c r="M205" s="78" t="n">
        <f aca="false">IF(K205&lt;F205,J205*$B$30,0)</f>
        <v>0</v>
      </c>
      <c r="N205" s="78" t="n">
        <f aca="false">IF(AND($B$34="Hợp lệ",D205="OUT",H205="Trả NCC",C205=$B$13,OR(I205=0,$B$17=1),O205&lt;&gt;F205),E205*$B$31,0)</f>
        <v>0</v>
      </c>
      <c r="O205" s="77" t="n">
        <f aca="false">F205+$B$15</f>
        <v>46232</v>
      </c>
      <c r="P205" s="78" t="n">
        <f aca="false">N205+Q205</f>
        <v>0</v>
      </c>
      <c r="Q205" s="78" t="n">
        <f aca="false">N205*$B$16</f>
        <v>0</v>
      </c>
      <c r="R205" s="78" t="n">
        <f aca="false">E205-J205-N205</f>
        <v>118460731</v>
      </c>
      <c r="S205" s="20" t="str">
        <f aca="false">IF(AND(J205&gt;=0,N205&gt;=0,R205&gt;=0,ABS(R205+J205+N205-E205)&lt;=$B$27),"Khớp","LỆCH")</f>
        <v>Khớp</v>
      </c>
      <c r="T205" s="20"/>
      <c r="U205" s="20"/>
    </row>
    <row r="206" customFormat="false" ht="24" hidden="false" customHeight="true" outlineLevel="0" collapsed="false">
      <c r="A206" s="20" t="str">
        <f aca="false">F01_UC2!A275</f>
        <v>PAYROLL-7</v>
      </c>
      <c r="B206" s="20" t="str">
        <f aca="false">F01_UC2!B275</f>
        <v>PAYROLL-7</v>
      </c>
      <c r="C206" s="20" t="str">
        <f aca="false">F01_UC2!C275</f>
        <v>Nhân viên</v>
      </c>
      <c r="D206" s="20" t="str">
        <f aca="false">F01_UC2!D275</f>
        <v>OUT</v>
      </c>
      <c r="E206" s="78" t="n">
        <f aca="false">F01_UC2!E275</f>
        <v>1500000000</v>
      </c>
      <c r="F206" s="80" t="n">
        <f aca="false">F01_UC2!N275</f>
        <v>46231</v>
      </c>
      <c r="G206" s="80" t="n">
        <f aca="false">F01_UC2!M275</f>
        <v>46231</v>
      </c>
      <c r="H206" s="20" t="str">
        <f aca="false">F01_UC2!P275</f>
        <v>Lương</v>
      </c>
      <c r="I206" s="20" t="n">
        <f aca="false">F01_UC2!Q275</f>
        <v>1</v>
      </c>
      <c r="J206" s="78" t="n">
        <f aca="false">IF(AND($B$34="Hợp lệ",D206="IN",H206="Thu công nợ",C206=$B$7,OR(G206=0,$B$12=1),K206&lt;&gt;F206),E206*$B$28,0)</f>
        <v>0</v>
      </c>
      <c r="K206" s="77" t="n">
        <f aca="false">MAX(F01_UC2!$B$6,F206+$B$29)</f>
        <v>46224</v>
      </c>
      <c r="L206" s="78" t="n">
        <f aca="false">J206-M206</f>
        <v>0</v>
      </c>
      <c r="M206" s="78" t="n">
        <f aca="false">IF(K206&lt;F206,J206*$B$30,0)</f>
        <v>0</v>
      </c>
      <c r="N206" s="78" t="n">
        <f aca="false">IF(AND($B$34="Hợp lệ",D206="OUT",H206="Trả NCC",C206=$B$13,OR(I206=0,$B$17=1),O206&lt;&gt;F206),E206*$B$31,0)</f>
        <v>0</v>
      </c>
      <c r="O206" s="77" t="n">
        <f aca="false">F206+$B$15</f>
        <v>46245</v>
      </c>
      <c r="P206" s="78" t="n">
        <f aca="false">N206+Q206</f>
        <v>0</v>
      </c>
      <c r="Q206" s="78" t="n">
        <f aca="false">N206*$B$16</f>
        <v>0</v>
      </c>
      <c r="R206" s="78" t="n">
        <f aca="false">E206-J206-N206</f>
        <v>1500000000</v>
      </c>
      <c r="S206" s="20" t="str">
        <f aca="false">IF(AND(J206&gt;=0,N206&gt;=0,R206&gt;=0,ABS(R206+J206+N206-E206)&lt;=$B$27),"Khớp","LỆCH")</f>
        <v>Khớp</v>
      </c>
      <c r="T206" s="20"/>
      <c r="U206" s="20"/>
    </row>
    <row r="207" customFormat="false" ht="24" hidden="false" customHeight="true" outlineLevel="0" collapsed="false">
      <c r="A207" s="20" t="str">
        <f aca="false">F01_UC2!A276</f>
        <v>PAYROLL-8</v>
      </c>
      <c r="B207" s="20" t="str">
        <f aca="false">F01_UC2!B276</f>
        <v>PAYROLL-8</v>
      </c>
      <c r="C207" s="20" t="str">
        <f aca="false">F01_UC2!C276</f>
        <v>Nhân viên</v>
      </c>
      <c r="D207" s="20" t="str">
        <f aca="false">F01_UC2!D276</f>
        <v>OUT</v>
      </c>
      <c r="E207" s="78" t="n">
        <f aca="false">F01_UC2!E276</f>
        <v>1500000000</v>
      </c>
      <c r="F207" s="80" t="n">
        <f aca="false">F01_UC2!N276</f>
        <v>46262</v>
      </c>
      <c r="G207" s="80" t="n">
        <f aca="false">F01_UC2!M276</f>
        <v>46262</v>
      </c>
      <c r="H207" s="20" t="str">
        <f aca="false">F01_UC2!P276</f>
        <v>Lương</v>
      </c>
      <c r="I207" s="20" t="n">
        <f aca="false">F01_UC2!Q276</f>
        <v>1</v>
      </c>
      <c r="J207" s="78" t="n">
        <f aca="false">IF(AND($B$34="Hợp lệ",D207="IN",H207="Thu công nợ",C207=$B$7,OR(G207=0,$B$12=1),K207&lt;&gt;F207),E207*$B$28,0)</f>
        <v>0</v>
      </c>
      <c r="K207" s="77" t="n">
        <f aca="false">MAX(F01_UC2!$B$6,F207+$B$29)</f>
        <v>46255</v>
      </c>
      <c r="L207" s="78" t="n">
        <f aca="false">J207-M207</f>
        <v>0</v>
      </c>
      <c r="M207" s="78" t="n">
        <f aca="false">IF(K207&lt;F207,J207*$B$30,0)</f>
        <v>0</v>
      </c>
      <c r="N207" s="78" t="n">
        <f aca="false">IF(AND($B$34="Hợp lệ",D207="OUT",H207="Trả NCC",C207=$B$13,OR(I207=0,$B$17=1),O207&lt;&gt;F207),E207*$B$31,0)</f>
        <v>0</v>
      </c>
      <c r="O207" s="77" t="n">
        <f aca="false">F207+$B$15</f>
        <v>46276</v>
      </c>
      <c r="P207" s="78" t="n">
        <f aca="false">N207+Q207</f>
        <v>0</v>
      </c>
      <c r="Q207" s="78" t="n">
        <f aca="false">N207*$B$16</f>
        <v>0</v>
      </c>
      <c r="R207" s="78" t="n">
        <f aca="false">E207-J207-N207</f>
        <v>1500000000</v>
      </c>
      <c r="S207" s="20" t="str">
        <f aca="false">IF(AND(J207&gt;=0,N207&gt;=0,R207&gt;=0,ABS(R207+J207+N207-E207)&lt;=$B$27),"Khớp","LỆCH")</f>
        <v>Khớp</v>
      </c>
      <c r="T207" s="20"/>
      <c r="U207" s="20"/>
    </row>
    <row r="208" customFormat="false" ht="24" hidden="false" customHeight="true" outlineLevel="0" collapsed="false">
      <c r="A208" s="20" t="str">
        <f aca="false">F01_UC2!A277</f>
        <v>PAYROLL-9</v>
      </c>
      <c r="B208" s="20" t="str">
        <f aca="false">F01_UC2!B277</f>
        <v>PAYROLL-9</v>
      </c>
      <c r="C208" s="20" t="str">
        <f aca="false">F01_UC2!C277</f>
        <v>Nhân viên</v>
      </c>
      <c r="D208" s="20" t="str">
        <f aca="false">F01_UC2!D277</f>
        <v>OUT</v>
      </c>
      <c r="E208" s="78" t="n">
        <f aca="false">F01_UC2!E277</f>
        <v>1500000000</v>
      </c>
      <c r="F208" s="80" t="n">
        <f aca="false">F01_UC2!N277</f>
        <v>46293</v>
      </c>
      <c r="G208" s="80" t="n">
        <f aca="false">F01_UC2!M277</f>
        <v>46293</v>
      </c>
      <c r="H208" s="20" t="str">
        <f aca="false">F01_UC2!P277</f>
        <v>Lương</v>
      </c>
      <c r="I208" s="20" t="n">
        <f aca="false">F01_UC2!Q277</f>
        <v>1</v>
      </c>
      <c r="J208" s="78" t="n">
        <f aca="false">IF(AND($B$34="Hợp lệ",D208="IN",H208="Thu công nợ",C208=$B$7,OR(G208=0,$B$12=1),K208&lt;&gt;F208),E208*$B$28,0)</f>
        <v>0</v>
      </c>
      <c r="K208" s="77" t="n">
        <f aca="false">MAX(F01_UC2!$B$6,F208+$B$29)</f>
        <v>46286</v>
      </c>
      <c r="L208" s="78" t="n">
        <f aca="false">J208-M208</f>
        <v>0</v>
      </c>
      <c r="M208" s="78" t="n">
        <f aca="false">IF(K208&lt;F208,J208*$B$30,0)</f>
        <v>0</v>
      </c>
      <c r="N208" s="78" t="n">
        <f aca="false">IF(AND($B$34="Hợp lệ",D208="OUT",H208="Trả NCC",C208=$B$13,OR(I208=0,$B$17=1),O208&lt;&gt;F208),E208*$B$31,0)</f>
        <v>0</v>
      </c>
      <c r="O208" s="77" t="n">
        <f aca="false">F208+$B$15</f>
        <v>46307</v>
      </c>
      <c r="P208" s="78" t="n">
        <f aca="false">N208+Q208</f>
        <v>0</v>
      </c>
      <c r="Q208" s="78" t="n">
        <f aca="false">N208*$B$16</f>
        <v>0</v>
      </c>
      <c r="R208" s="78" t="n">
        <f aca="false">E208-J208-N208</f>
        <v>1500000000</v>
      </c>
      <c r="S208" s="20" t="str">
        <f aca="false">IF(AND(J208&gt;=0,N208&gt;=0,R208&gt;=0,ABS(R208+J208+N208-E208)&lt;=$B$27),"Khớp","LỆCH")</f>
        <v>Khớp</v>
      </c>
      <c r="T208" s="20"/>
      <c r="U208" s="20"/>
    </row>
    <row r="209" customFormat="false" ht="24" hidden="false" customHeight="true" outlineLevel="0" collapsed="false">
      <c r="A209" s="20" t="str">
        <f aca="false">F01_UC2!A278</f>
        <v>TAX-7</v>
      </c>
      <c r="B209" s="20" t="str">
        <f aca="false">F01_UC2!B278</f>
        <v>TAX-7</v>
      </c>
      <c r="C209" s="20" t="str">
        <f aca="false">F01_UC2!C278</f>
        <v>Cơ quan thuế</v>
      </c>
      <c r="D209" s="20" t="str">
        <f aca="false">F01_UC2!D278</f>
        <v>OUT</v>
      </c>
      <c r="E209" s="78" t="n">
        <f aca="false">F01_UC2!E278</f>
        <v>240000000</v>
      </c>
      <c r="F209" s="80" t="n">
        <f aca="false">F01_UC2!N278</f>
        <v>46223</v>
      </c>
      <c r="G209" s="80" t="n">
        <f aca="false">F01_UC2!M278</f>
        <v>46223</v>
      </c>
      <c r="H209" s="20" t="str">
        <f aca="false">F01_UC2!P278</f>
        <v>Thuế</v>
      </c>
      <c r="I209" s="20" t="n">
        <f aca="false">F01_UC2!Q278</f>
        <v>1</v>
      </c>
      <c r="J209" s="78" t="n">
        <f aca="false">IF(AND($B$34="Hợp lệ",D209="IN",H209="Thu công nợ",C209=$B$7,OR(G209=0,$B$12=1),K209&lt;&gt;F209),E209*$B$28,0)</f>
        <v>0</v>
      </c>
      <c r="K209" s="77" t="n">
        <f aca="false">MAX(F01_UC2!$B$6,F209+$B$29)</f>
        <v>46216</v>
      </c>
      <c r="L209" s="78" t="n">
        <f aca="false">J209-M209</f>
        <v>0</v>
      </c>
      <c r="M209" s="78" t="n">
        <f aca="false">IF(K209&lt;F209,J209*$B$30,0)</f>
        <v>0</v>
      </c>
      <c r="N209" s="78" t="n">
        <f aca="false">IF(AND($B$34="Hợp lệ",D209="OUT",H209="Trả NCC",C209=$B$13,OR(I209=0,$B$17=1),O209&lt;&gt;F209),E209*$B$31,0)</f>
        <v>0</v>
      </c>
      <c r="O209" s="77" t="n">
        <f aca="false">F209+$B$15</f>
        <v>46237</v>
      </c>
      <c r="P209" s="78" t="n">
        <f aca="false">N209+Q209</f>
        <v>0</v>
      </c>
      <c r="Q209" s="78" t="n">
        <f aca="false">N209*$B$16</f>
        <v>0</v>
      </c>
      <c r="R209" s="78" t="n">
        <f aca="false">E209-J209-N209</f>
        <v>240000000</v>
      </c>
      <c r="S209" s="20" t="str">
        <f aca="false">IF(AND(J209&gt;=0,N209&gt;=0,R209&gt;=0,ABS(R209+J209+N209-E209)&lt;=$B$27),"Khớp","LỆCH")</f>
        <v>Khớp</v>
      </c>
      <c r="T209" s="20"/>
      <c r="U209" s="20"/>
    </row>
    <row r="210" customFormat="false" ht="24" hidden="false" customHeight="true" outlineLevel="0" collapsed="false">
      <c r="A210" s="20" t="str">
        <f aca="false">F01_UC2!A279</f>
        <v>TAX-8</v>
      </c>
      <c r="B210" s="20" t="str">
        <f aca="false">F01_UC2!B279</f>
        <v>TAX-8</v>
      </c>
      <c r="C210" s="20" t="str">
        <f aca="false">F01_UC2!C279</f>
        <v>Cơ quan thuế</v>
      </c>
      <c r="D210" s="20" t="str">
        <f aca="false">F01_UC2!D279</f>
        <v>OUT</v>
      </c>
      <c r="E210" s="78" t="n">
        <f aca="false">F01_UC2!E279</f>
        <v>240000000</v>
      </c>
      <c r="F210" s="80" t="n">
        <f aca="false">F01_UC2!N279</f>
        <v>46254</v>
      </c>
      <c r="G210" s="80" t="n">
        <f aca="false">F01_UC2!M279</f>
        <v>46254</v>
      </c>
      <c r="H210" s="20" t="str">
        <f aca="false">F01_UC2!P279</f>
        <v>Thuế</v>
      </c>
      <c r="I210" s="20" t="n">
        <f aca="false">F01_UC2!Q279</f>
        <v>1</v>
      </c>
      <c r="J210" s="78" t="n">
        <f aca="false">IF(AND($B$34="Hợp lệ",D210="IN",H210="Thu công nợ",C210=$B$7,OR(G210=0,$B$12=1),K210&lt;&gt;F210),E210*$B$28,0)</f>
        <v>0</v>
      </c>
      <c r="K210" s="77" t="n">
        <f aca="false">MAX(F01_UC2!$B$6,F210+$B$29)</f>
        <v>46247</v>
      </c>
      <c r="L210" s="78" t="n">
        <f aca="false">J210-M210</f>
        <v>0</v>
      </c>
      <c r="M210" s="78" t="n">
        <f aca="false">IF(K210&lt;F210,J210*$B$30,0)</f>
        <v>0</v>
      </c>
      <c r="N210" s="78" t="n">
        <f aca="false">IF(AND($B$34="Hợp lệ",D210="OUT",H210="Trả NCC",C210=$B$13,OR(I210=0,$B$17=1),O210&lt;&gt;F210),E210*$B$31,0)</f>
        <v>0</v>
      </c>
      <c r="O210" s="77" t="n">
        <f aca="false">F210+$B$15</f>
        <v>46268</v>
      </c>
      <c r="P210" s="78" t="n">
        <f aca="false">N210+Q210</f>
        <v>0</v>
      </c>
      <c r="Q210" s="78" t="n">
        <f aca="false">N210*$B$16</f>
        <v>0</v>
      </c>
      <c r="R210" s="78" t="n">
        <f aca="false">E210-J210-N210</f>
        <v>240000000</v>
      </c>
      <c r="S210" s="20" t="str">
        <f aca="false">IF(AND(J210&gt;=0,N210&gt;=0,R210&gt;=0,ABS(R210+J210+N210-E210)&lt;=$B$27),"Khớp","LỆCH")</f>
        <v>Khớp</v>
      </c>
      <c r="T210" s="20"/>
      <c r="U210" s="20"/>
    </row>
    <row r="211" customFormat="false" ht="24" hidden="false" customHeight="true" outlineLevel="0" collapsed="false">
      <c r="A211" s="20" t="str">
        <f aca="false">F01_UC2!A280</f>
        <v>TAX-9</v>
      </c>
      <c r="B211" s="20" t="str">
        <f aca="false">F01_UC2!B280</f>
        <v>TAX-9</v>
      </c>
      <c r="C211" s="20" t="str">
        <f aca="false">F01_UC2!C280</f>
        <v>Cơ quan thuế</v>
      </c>
      <c r="D211" s="20" t="str">
        <f aca="false">F01_UC2!D280</f>
        <v>OUT</v>
      </c>
      <c r="E211" s="78" t="n">
        <f aca="false">F01_UC2!E280</f>
        <v>240000000</v>
      </c>
      <c r="F211" s="80" t="n">
        <f aca="false">F01_UC2!N280</f>
        <v>46283</v>
      </c>
      <c r="G211" s="80" t="n">
        <f aca="false">F01_UC2!M280</f>
        <v>46283</v>
      </c>
      <c r="H211" s="20" t="str">
        <f aca="false">F01_UC2!P280</f>
        <v>Thuế</v>
      </c>
      <c r="I211" s="20" t="n">
        <f aca="false">F01_UC2!Q280</f>
        <v>1</v>
      </c>
      <c r="J211" s="78" t="n">
        <f aca="false">IF(AND($B$34="Hợp lệ",D211="IN",H211="Thu công nợ",C211=$B$7,OR(G211=0,$B$12=1),K211&lt;&gt;F211),E211*$B$28,0)</f>
        <v>0</v>
      </c>
      <c r="K211" s="77" t="n">
        <f aca="false">MAX(F01_UC2!$B$6,F211+$B$29)</f>
        <v>46276</v>
      </c>
      <c r="L211" s="78" t="n">
        <f aca="false">J211-M211</f>
        <v>0</v>
      </c>
      <c r="M211" s="78" t="n">
        <f aca="false">IF(K211&lt;F211,J211*$B$30,0)</f>
        <v>0</v>
      </c>
      <c r="N211" s="78" t="n">
        <f aca="false">IF(AND($B$34="Hợp lệ",D211="OUT",H211="Trả NCC",C211=$B$13,OR(I211=0,$B$17=1),O211&lt;&gt;F211),E211*$B$31,0)</f>
        <v>0</v>
      </c>
      <c r="O211" s="77" t="n">
        <f aca="false">F211+$B$15</f>
        <v>46297</v>
      </c>
      <c r="P211" s="78" t="n">
        <f aca="false">N211+Q211</f>
        <v>0</v>
      </c>
      <c r="Q211" s="78" t="n">
        <f aca="false">N211*$B$16</f>
        <v>0</v>
      </c>
      <c r="R211" s="78" t="n">
        <f aca="false">E211-J211-N211</f>
        <v>240000000</v>
      </c>
      <c r="S211" s="20" t="str">
        <f aca="false">IF(AND(J211&gt;=0,N211&gt;=0,R211&gt;=0,ABS(R211+J211+N211-E211)&lt;=$B$27),"Khớp","LỆCH")</f>
        <v>Khớp</v>
      </c>
      <c r="T211" s="20"/>
      <c r="U211" s="20"/>
    </row>
    <row r="212" customFormat="false" ht="24" hidden="false" customHeight="true" outlineLevel="0" collapsed="false">
      <c r="A212" s="20" t="str">
        <f aca="false">F01_UC2!A281</f>
        <v>RENT-7</v>
      </c>
      <c r="B212" s="20" t="str">
        <f aca="false">F01_UC2!B281</f>
        <v>RENT-7</v>
      </c>
      <c r="C212" s="20" t="str">
        <f aca="false">F01_UC2!C281</f>
        <v>Bên cho thuê</v>
      </c>
      <c r="D212" s="20" t="str">
        <f aca="false">F01_UC2!D281</f>
        <v>OUT</v>
      </c>
      <c r="E212" s="78" t="n">
        <f aca="false">F01_UC2!E281</f>
        <v>180000000</v>
      </c>
      <c r="F212" s="80" t="n">
        <f aca="false">F01_UC2!N281</f>
        <v>46204</v>
      </c>
      <c r="G212" s="80" t="n">
        <f aca="false">F01_UC2!M281</f>
        <v>46204</v>
      </c>
      <c r="H212" s="20" t="str">
        <f aca="false">F01_UC2!P281</f>
        <v>Thuê xưởng</v>
      </c>
      <c r="I212" s="20" t="n">
        <f aca="false">F01_UC2!Q281</f>
        <v>1</v>
      </c>
      <c r="J212" s="78" t="n">
        <f aca="false">IF(AND($B$34="Hợp lệ",D212="IN",H212="Thu công nợ",C212=$B$7,OR(G212=0,$B$12=1),K212&lt;&gt;F212),E212*$B$28,0)</f>
        <v>0</v>
      </c>
      <c r="K212" s="77" t="n">
        <f aca="false">MAX(F01_UC2!$B$6,F212+$B$29)</f>
        <v>46204</v>
      </c>
      <c r="L212" s="78" t="n">
        <f aca="false">J212-M212</f>
        <v>0</v>
      </c>
      <c r="M212" s="78" t="n">
        <f aca="false">IF(K212&lt;F212,J212*$B$30,0)</f>
        <v>0</v>
      </c>
      <c r="N212" s="78" t="n">
        <f aca="false">IF(AND($B$34="Hợp lệ",D212="OUT",H212="Trả NCC",C212=$B$13,OR(I212=0,$B$17=1),O212&lt;&gt;F212),E212*$B$31,0)</f>
        <v>0</v>
      </c>
      <c r="O212" s="77" t="n">
        <f aca="false">F212+$B$15</f>
        <v>46218</v>
      </c>
      <c r="P212" s="78" t="n">
        <f aca="false">N212+Q212</f>
        <v>0</v>
      </c>
      <c r="Q212" s="78" t="n">
        <f aca="false">N212*$B$16</f>
        <v>0</v>
      </c>
      <c r="R212" s="78" t="n">
        <f aca="false">E212-J212-N212</f>
        <v>180000000</v>
      </c>
      <c r="S212" s="20" t="str">
        <f aca="false">IF(AND(J212&gt;=0,N212&gt;=0,R212&gt;=0,ABS(R212+J212+N212-E212)&lt;=$B$27),"Khớp","LỆCH")</f>
        <v>Khớp</v>
      </c>
      <c r="T212" s="20"/>
      <c r="U212" s="20"/>
    </row>
    <row r="213" customFormat="false" ht="24" hidden="false" customHeight="true" outlineLevel="0" collapsed="false">
      <c r="A213" s="20" t="str">
        <f aca="false">F01_UC2!A282</f>
        <v>RENT-8</v>
      </c>
      <c r="B213" s="20" t="str">
        <f aca="false">F01_UC2!B282</f>
        <v>RENT-8</v>
      </c>
      <c r="C213" s="20" t="str">
        <f aca="false">F01_UC2!C282</f>
        <v>Bên cho thuê</v>
      </c>
      <c r="D213" s="20" t="str">
        <f aca="false">F01_UC2!D282</f>
        <v>OUT</v>
      </c>
      <c r="E213" s="78" t="n">
        <f aca="false">F01_UC2!E282</f>
        <v>180000000</v>
      </c>
      <c r="F213" s="80" t="n">
        <f aca="false">F01_UC2!N282</f>
        <v>46235</v>
      </c>
      <c r="G213" s="80" t="n">
        <f aca="false">F01_UC2!M282</f>
        <v>46235</v>
      </c>
      <c r="H213" s="20" t="str">
        <f aca="false">F01_UC2!P282</f>
        <v>Thuê xưởng</v>
      </c>
      <c r="I213" s="20" t="n">
        <f aca="false">F01_UC2!Q282</f>
        <v>1</v>
      </c>
      <c r="J213" s="78" t="n">
        <f aca="false">IF(AND($B$34="Hợp lệ",D213="IN",H213="Thu công nợ",C213=$B$7,OR(G213=0,$B$12=1),K213&lt;&gt;F213),E213*$B$28,0)</f>
        <v>0</v>
      </c>
      <c r="K213" s="77" t="n">
        <f aca="false">MAX(F01_UC2!$B$6,F213+$B$29)</f>
        <v>46228</v>
      </c>
      <c r="L213" s="78" t="n">
        <f aca="false">J213-M213</f>
        <v>0</v>
      </c>
      <c r="M213" s="78" t="n">
        <f aca="false">IF(K213&lt;F213,J213*$B$30,0)</f>
        <v>0</v>
      </c>
      <c r="N213" s="78" t="n">
        <f aca="false">IF(AND($B$34="Hợp lệ",D213="OUT",H213="Trả NCC",C213=$B$13,OR(I213=0,$B$17=1),O213&lt;&gt;F213),E213*$B$31,0)</f>
        <v>0</v>
      </c>
      <c r="O213" s="77" t="n">
        <f aca="false">F213+$B$15</f>
        <v>46249</v>
      </c>
      <c r="P213" s="78" t="n">
        <f aca="false">N213+Q213</f>
        <v>0</v>
      </c>
      <c r="Q213" s="78" t="n">
        <f aca="false">N213*$B$16</f>
        <v>0</v>
      </c>
      <c r="R213" s="78" t="n">
        <f aca="false">E213-J213-N213</f>
        <v>180000000</v>
      </c>
      <c r="S213" s="20" t="str">
        <f aca="false">IF(AND(J213&gt;=0,N213&gt;=0,R213&gt;=0,ABS(R213+J213+N213-E213)&lt;=$B$27),"Khớp","LỆCH")</f>
        <v>Khớp</v>
      </c>
      <c r="T213" s="20"/>
      <c r="U213" s="20"/>
    </row>
    <row r="214" customFormat="false" ht="24" hidden="false" customHeight="true" outlineLevel="0" collapsed="false">
      <c r="A214" s="20" t="str">
        <f aca="false">F01_UC2!A283</f>
        <v>RENT-9</v>
      </c>
      <c r="B214" s="20" t="str">
        <f aca="false">F01_UC2!B283</f>
        <v>RENT-9</v>
      </c>
      <c r="C214" s="20" t="str">
        <f aca="false">F01_UC2!C283</f>
        <v>Bên cho thuê</v>
      </c>
      <c r="D214" s="20" t="str">
        <f aca="false">F01_UC2!D283</f>
        <v>OUT</v>
      </c>
      <c r="E214" s="78" t="n">
        <f aca="false">F01_UC2!E283</f>
        <v>180000000</v>
      </c>
      <c r="F214" s="80" t="n">
        <f aca="false">F01_UC2!N283</f>
        <v>46266</v>
      </c>
      <c r="G214" s="80" t="n">
        <f aca="false">F01_UC2!M283</f>
        <v>46266</v>
      </c>
      <c r="H214" s="20" t="str">
        <f aca="false">F01_UC2!P283</f>
        <v>Thuê xưởng</v>
      </c>
      <c r="I214" s="20" t="n">
        <f aca="false">F01_UC2!Q283</f>
        <v>1</v>
      </c>
      <c r="J214" s="78" t="n">
        <f aca="false">IF(AND($B$34="Hợp lệ",D214="IN",H214="Thu công nợ",C214=$B$7,OR(G214=0,$B$12=1),K214&lt;&gt;F214),E214*$B$28,0)</f>
        <v>0</v>
      </c>
      <c r="K214" s="77" t="n">
        <f aca="false">MAX(F01_UC2!$B$6,F214+$B$29)</f>
        <v>46259</v>
      </c>
      <c r="L214" s="78" t="n">
        <f aca="false">J214-M214</f>
        <v>0</v>
      </c>
      <c r="M214" s="78" t="n">
        <f aca="false">IF(K214&lt;F214,J214*$B$30,0)</f>
        <v>0</v>
      </c>
      <c r="N214" s="78" t="n">
        <f aca="false">IF(AND($B$34="Hợp lệ",D214="OUT",H214="Trả NCC",C214=$B$13,OR(I214=0,$B$17=1),O214&lt;&gt;F214),E214*$B$31,0)</f>
        <v>0</v>
      </c>
      <c r="O214" s="77" t="n">
        <f aca="false">F214+$B$15</f>
        <v>46280</v>
      </c>
      <c r="P214" s="78" t="n">
        <f aca="false">N214+Q214</f>
        <v>0</v>
      </c>
      <c r="Q214" s="78" t="n">
        <f aca="false">N214*$B$16</f>
        <v>0</v>
      </c>
      <c r="R214" s="78" t="n">
        <f aca="false">E214-J214-N214</f>
        <v>180000000</v>
      </c>
      <c r="S214" s="20" t="str">
        <f aca="false">IF(AND(J214&gt;=0,N214&gt;=0,R214&gt;=0,ABS(R214+J214+N214-E214)&lt;=$B$27),"Khớp","LỆCH")</f>
        <v>Khớp</v>
      </c>
      <c r="T214" s="20"/>
      <c r="U214" s="20"/>
    </row>
    <row r="215" customFormat="false" ht="24" hidden="false" customHeight="true" outlineLevel="0" collapsed="false">
      <c r="A215" s="20" t="str">
        <f aca="false">F01_UC2!A284</f>
        <v>DEBT-PRINCIPAL</v>
      </c>
      <c r="B215" s="20" t="str">
        <f aca="false">F01_UC2!B284</f>
        <v>DEBT-PRINCIPAL</v>
      </c>
      <c r="C215" s="20" t="str">
        <f aca="false">F01_UC2!C284</f>
        <v>Ngân hàng</v>
      </c>
      <c r="D215" s="20" t="str">
        <f aca="false">F01_UC2!D284</f>
        <v>OUT</v>
      </c>
      <c r="E215" s="78" t="n">
        <f aca="false">F01_UC2!E284</f>
        <v>1000000000</v>
      </c>
      <c r="F215" s="80" t="n">
        <f aca="false">F01_UC2!N284</f>
        <v>46249</v>
      </c>
      <c r="G215" s="80" t="n">
        <f aca="false">F01_UC2!M284</f>
        <v>46249</v>
      </c>
      <c r="H215" s="20" t="str">
        <f aca="false">F01_UC2!P284</f>
        <v>Gốc vay</v>
      </c>
      <c r="I215" s="20" t="n">
        <f aca="false">F01_UC2!Q284</f>
        <v>1</v>
      </c>
      <c r="J215" s="78" t="n">
        <f aca="false">IF(AND($B$34="Hợp lệ",D215="IN",H215="Thu công nợ",C215=$B$7,OR(G215=0,$B$12=1),K215&lt;&gt;F215),E215*$B$28,0)</f>
        <v>0</v>
      </c>
      <c r="K215" s="77" t="n">
        <f aca="false">MAX(F01_UC2!$B$6,F215+$B$29)</f>
        <v>46242</v>
      </c>
      <c r="L215" s="78" t="n">
        <f aca="false">J215-M215</f>
        <v>0</v>
      </c>
      <c r="M215" s="78" t="n">
        <f aca="false">IF(K215&lt;F215,J215*$B$30,0)</f>
        <v>0</v>
      </c>
      <c r="N215" s="78" t="n">
        <f aca="false">IF(AND($B$34="Hợp lệ",D215="OUT",H215="Trả NCC",C215=$B$13,OR(I215=0,$B$17=1),O215&lt;&gt;F215),E215*$B$31,0)</f>
        <v>0</v>
      </c>
      <c r="O215" s="77" t="n">
        <f aca="false">F215+$B$15</f>
        <v>46263</v>
      </c>
      <c r="P215" s="78" t="n">
        <f aca="false">N215+Q215</f>
        <v>0</v>
      </c>
      <c r="Q215" s="78" t="n">
        <f aca="false">N215*$B$16</f>
        <v>0</v>
      </c>
      <c r="R215" s="78" t="n">
        <f aca="false">E215-J215-N215</f>
        <v>1000000000</v>
      </c>
      <c r="S215" s="20" t="str">
        <f aca="false">IF(AND(J215&gt;=0,N215&gt;=0,R215&gt;=0,ABS(R215+J215+N215-E215)&lt;=$B$27),"Khớp","LỆCH")</f>
        <v>Khớp</v>
      </c>
      <c r="T215" s="20"/>
      <c r="U215" s="20"/>
    </row>
    <row r="216" customFormat="false" ht="24" hidden="false" customHeight="true" outlineLevel="0" collapsed="false">
      <c r="A216" s="20" t="str">
        <f aca="false">F01_UC2!A285</f>
        <v>DEBT-INTEREST</v>
      </c>
      <c r="B216" s="20" t="str">
        <f aca="false">F01_UC2!B285</f>
        <v>DEBT-INTEREST</v>
      </c>
      <c r="C216" s="20" t="str">
        <f aca="false">F01_UC2!C285</f>
        <v>Ngân hàng</v>
      </c>
      <c r="D216" s="20" t="str">
        <f aca="false">F01_UC2!D285</f>
        <v>OUT</v>
      </c>
      <c r="E216" s="78" t="n">
        <f aca="false">F01_UC2!E285</f>
        <v>8000000</v>
      </c>
      <c r="F216" s="80" t="n">
        <f aca="false">F01_UC2!N285</f>
        <v>46249</v>
      </c>
      <c r="G216" s="80" t="n">
        <f aca="false">F01_UC2!M285</f>
        <v>46249</v>
      </c>
      <c r="H216" s="20" t="str">
        <f aca="false">F01_UC2!P285</f>
        <v>Lãi vay</v>
      </c>
      <c r="I216" s="20" t="n">
        <f aca="false">F01_UC2!Q285</f>
        <v>1</v>
      </c>
      <c r="J216" s="78" t="n">
        <f aca="false">IF(AND($B$34="Hợp lệ",D216="IN",H216="Thu công nợ",C216=$B$7,OR(G216=0,$B$12=1),K216&lt;&gt;F216),E216*$B$28,0)</f>
        <v>0</v>
      </c>
      <c r="K216" s="77" t="n">
        <f aca="false">MAX(F01_UC2!$B$6,F216+$B$29)</f>
        <v>46242</v>
      </c>
      <c r="L216" s="78" t="n">
        <f aca="false">J216-M216</f>
        <v>0</v>
      </c>
      <c r="M216" s="78" t="n">
        <f aca="false">IF(K216&lt;F216,J216*$B$30,0)</f>
        <v>0</v>
      </c>
      <c r="N216" s="78" t="n">
        <f aca="false">IF(AND($B$34="Hợp lệ",D216="OUT",H216="Trả NCC",C216=$B$13,OR(I216=0,$B$17=1),O216&lt;&gt;F216),E216*$B$31,0)</f>
        <v>0</v>
      </c>
      <c r="O216" s="77" t="n">
        <f aca="false">F216+$B$15</f>
        <v>46263</v>
      </c>
      <c r="P216" s="78" t="n">
        <f aca="false">N216+Q216</f>
        <v>0</v>
      </c>
      <c r="Q216" s="78" t="n">
        <f aca="false">N216*$B$16</f>
        <v>0</v>
      </c>
      <c r="R216" s="78" t="n">
        <f aca="false">E216-J216-N216</f>
        <v>8000000</v>
      </c>
      <c r="S216" s="20" t="str">
        <f aca="false">IF(AND(J216&gt;=0,N216&gt;=0,R216&gt;=0,ABS(R216+J216+N216-E216)&lt;=$B$27),"Khớp","LỆCH")</f>
        <v>Khớp</v>
      </c>
      <c r="T216" s="20"/>
      <c r="U216" s="20"/>
    </row>
    <row r="217" customFormat="false" ht="24" hidden="false" customHeight="true" outlineLevel="0" collapsed="false">
      <c r="A217" s="20" t="str">
        <f aca="false">F01_UC2!A286</f>
        <v>NEW-1-IN</v>
      </c>
      <c r="B217" s="20" t="str">
        <f aca="false">F01_UC2!B286</f>
        <v>NEW-1</v>
      </c>
      <c r="C217" s="20" t="str">
        <f aca="false">F01_UC2!C286</f>
        <v>NEW_CUSTOMERS</v>
      </c>
      <c r="D217" s="20" t="str">
        <f aca="false">F01_UC2!D286</f>
        <v>IN</v>
      </c>
      <c r="E217" s="78" t="n">
        <f aca="false">F01_UC2!E286</f>
        <v>0</v>
      </c>
      <c r="F217" s="80" t="n">
        <f aca="false">F01_UC2!N286</f>
        <v>46272</v>
      </c>
      <c r="G217" s="80" t="n">
        <f aca="false">F01_UC2!M286</f>
        <v>0</v>
      </c>
      <c r="H217" s="20" t="str">
        <f aca="false">F01_UC2!P286</f>
        <v>Hoạt động mới</v>
      </c>
      <c r="I217" s="20" t="n">
        <f aca="false">F01_UC2!Q286</f>
        <v>0</v>
      </c>
      <c r="J217" s="78" t="n">
        <f aca="false">IF(AND($B$34="Hợp lệ",D217="IN",H217="Thu công nợ",C217=$B$7,OR(G217=0,$B$12=1),K217&lt;&gt;F217),E217*$B$28,0)</f>
        <v>0</v>
      </c>
      <c r="K217" s="77" t="n">
        <f aca="false">MAX(F01_UC2!$B$6,F217+$B$29)</f>
        <v>46265</v>
      </c>
      <c r="L217" s="78" t="n">
        <f aca="false">J217-M217</f>
        <v>0</v>
      </c>
      <c r="M217" s="78" t="n">
        <f aca="false">IF(K217&lt;F217,J217*$B$30,0)</f>
        <v>0</v>
      </c>
      <c r="N217" s="78" t="n">
        <f aca="false">IF(AND($B$34="Hợp lệ",D217="OUT",H217="Trả NCC",C217=$B$13,OR(I217=0,$B$17=1),O217&lt;&gt;F217),E217*$B$31,0)</f>
        <v>0</v>
      </c>
      <c r="O217" s="77" t="n">
        <f aca="false">F217+$B$15</f>
        <v>46286</v>
      </c>
      <c r="P217" s="78" t="n">
        <f aca="false">N217+Q217</f>
        <v>0</v>
      </c>
      <c r="Q217" s="78" t="n">
        <f aca="false">N217*$B$16</f>
        <v>0</v>
      </c>
      <c r="R217" s="78" t="n">
        <f aca="false">E217-J217-N217</f>
        <v>0</v>
      </c>
      <c r="S217" s="20" t="str">
        <f aca="false">IF(AND(J217&gt;=0,N217&gt;=0,R217&gt;=0,ABS(R217+J217+N217-E217)&lt;=$B$27),"Khớp","LỆCH")</f>
        <v>Khớp</v>
      </c>
      <c r="T217" s="20"/>
      <c r="U217" s="20"/>
    </row>
    <row r="218" customFormat="false" ht="24" hidden="false" customHeight="true" outlineLevel="0" collapsed="false">
      <c r="A218" s="20" t="str">
        <f aca="false">F01_UC2!A287</f>
        <v>NEW-1-OUT</v>
      </c>
      <c r="B218" s="20" t="str">
        <f aca="false">F01_UC2!B287</f>
        <v>NEW-1</v>
      </c>
      <c r="C218" s="20" t="str">
        <f aca="false">F01_UC2!C287</f>
        <v>VARIABLE_COST</v>
      </c>
      <c r="D218" s="20" t="str">
        <f aca="false">F01_UC2!D287</f>
        <v>OUT</v>
      </c>
      <c r="E218" s="78" t="n">
        <f aca="false">F01_UC2!E287</f>
        <v>0</v>
      </c>
      <c r="F218" s="80" t="n">
        <f aca="false">F01_UC2!N287</f>
        <v>46211</v>
      </c>
      <c r="G218" s="80" t="n">
        <f aca="false">F01_UC2!M287</f>
        <v>0</v>
      </c>
      <c r="H218" s="20" t="str">
        <f aca="false">F01_UC2!P287</f>
        <v>Hoạt động mới</v>
      </c>
      <c r="I218" s="20" t="n">
        <f aca="false">F01_UC2!Q287</f>
        <v>0</v>
      </c>
      <c r="J218" s="78" t="n">
        <f aca="false">IF(AND($B$34="Hợp lệ",D218="IN",H218="Thu công nợ",C218=$B$7,OR(G218=0,$B$12=1),K218&lt;&gt;F218),E218*$B$28,0)</f>
        <v>0</v>
      </c>
      <c r="K218" s="77" t="n">
        <f aca="false">MAX(F01_UC2!$B$6,F218+$B$29)</f>
        <v>46204</v>
      </c>
      <c r="L218" s="78" t="n">
        <f aca="false">J218-M218</f>
        <v>0</v>
      </c>
      <c r="M218" s="78" t="n">
        <f aca="false">IF(K218&lt;F218,J218*$B$30,0)</f>
        <v>0</v>
      </c>
      <c r="N218" s="78" t="n">
        <f aca="false">IF(AND($B$34="Hợp lệ",D218="OUT",H218="Trả NCC",C218=$B$13,OR(I218=0,$B$17=1),O218&lt;&gt;F218),E218*$B$31,0)</f>
        <v>0</v>
      </c>
      <c r="O218" s="77" t="n">
        <f aca="false">F218+$B$15</f>
        <v>46225</v>
      </c>
      <c r="P218" s="78" t="n">
        <f aca="false">N218+Q218</f>
        <v>0</v>
      </c>
      <c r="Q218" s="78" t="n">
        <f aca="false">N218*$B$16</f>
        <v>0</v>
      </c>
      <c r="R218" s="78" t="n">
        <f aca="false">E218-J218-N218</f>
        <v>0</v>
      </c>
      <c r="S218" s="20" t="str">
        <f aca="false">IF(AND(J218&gt;=0,N218&gt;=0,R218&gt;=0,ABS(R218+J218+N218-E218)&lt;=$B$27),"Khớp","LỆCH")</f>
        <v>Khớp</v>
      </c>
      <c r="T218" s="20"/>
      <c r="U218" s="20"/>
    </row>
    <row r="219" customFormat="false" ht="24" hidden="false" customHeight="true" outlineLevel="0" collapsed="false">
      <c r="A219" s="20" t="str">
        <f aca="false">F01_UC2!A288</f>
        <v>NEW-2-IN</v>
      </c>
      <c r="B219" s="20" t="str">
        <f aca="false">F01_UC2!B288</f>
        <v>NEW-2</v>
      </c>
      <c r="C219" s="20" t="str">
        <f aca="false">F01_UC2!C288</f>
        <v>NEW_CUSTOMERS</v>
      </c>
      <c r="D219" s="20" t="str">
        <f aca="false">F01_UC2!D288</f>
        <v>IN</v>
      </c>
      <c r="E219" s="78" t="n">
        <f aca="false">F01_UC2!E288</f>
        <v>0</v>
      </c>
      <c r="F219" s="80" t="n">
        <f aca="false">F01_UC2!N288</f>
        <v>46279</v>
      </c>
      <c r="G219" s="80" t="n">
        <f aca="false">F01_UC2!M288</f>
        <v>0</v>
      </c>
      <c r="H219" s="20" t="str">
        <f aca="false">F01_UC2!P288</f>
        <v>Hoạt động mới</v>
      </c>
      <c r="I219" s="20" t="n">
        <f aca="false">F01_UC2!Q288</f>
        <v>0</v>
      </c>
      <c r="J219" s="78" t="n">
        <f aca="false">IF(AND($B$34="Hợp lệ",D219="IN",H219="Thu công nợ",C219=$B$7,OR(G219=0,$B$12=1),K219&lt;&gt;F219),E219*$B$28,0)</f>
        <v>0</v>
      </c>
      <c r="K219" s="77" t="n">
        <f aca="false">MAX(F01_UC2!$B$6,F219+$B$29)</f>
        <v>46272</v>
      </c>
      <c r="L219" s="78" t="n">
        <f aca="false">J219-M219</f>
        <v>0</v>
      </c>
      <c r="M219" s="78" t="n">
        <f aca="false">IF(K219&lt;F219,J219*$B$30,0)</f>
        <v>0</v>
      </c>
      <c r="N219" s="78" t="n">
        <f aca="false">IF(AND($B$34="Hợp lệ",D219="OUT",H219="Trả NCC",C219=$B$13,OR(I219=0,$B$17=1),O219&lt;&gt;F219),E219*$B$31,0)</f>
        <v>0</v>
      </c>
      <c r="O219" s="77" t="n">
        <f aca="false">F219+$B$15</f>
        <v>46293</v>
      </c>
      <c r="P219" s="78" t="n">
        <f aca="false">N219+Q219</f>
        <v>0</v>
      </c>
      <c r="Q219" s="78" t="n">
        <f aca="false">N219*$B$16</f>
        <v>0</v>
      </c>
      <c r="R219" s="78" t="n">
        <f aca="false">E219-J219-N219</f>
        <v>0</v>
      </c>
      <c r="S219" s="20" t="str">
        <f aca="false">IF(AND(J219&gt;=0,N219&gt;=0,R219&gt;=0,ABS(R219+J219+N219-E219)&lt;=$B$27),"Khớp","LỆCH")</f>
        <v>Khớp</v>
      </c>
      <c r="T219" s="20"/>
      <c r="U219" s="20"/>
    </row>
    <row r="220" customFormat="false" ht="24" hidden="false" customHeight="true" outlineLevel="0" collapsed="false">
      <c r="A220" s="20" t="str">
        <f aca="false">F01_UC2!A289</f>
        <v>NEW-2-OUT</v>
      </c>
      <c r="B220" s="20" t="str">
        <f aca="false">F01_UC2!B289</f>
        <v>NEW-2</v>
      </c>
      <c r="C220" s="20" t="str">
        <f aca="false">F01_UC2!C289</f>
        <v>VARIABLE_COST</v>
      </c>
      <c r="D220" s="20" t="str">
        <f aca="false">F01_UC2!D289</f>
        <v>OUT</v>
      </c>
      <c r="E220" s="78" t="n">
        <f aca="false">F01_UC2!E289</f>
        <v>0</v>
      </c>
      <c r="F220" s="80" t="n">
        <f aca="false">F01_UC2!N289</f>
        <v>46218</v>
      </c>
      <c r="G220" s="80" t="n">
        <f aca="false">F01_UC2!M289</f>
        <v>0</v>
      </c>
      <c r="H220" s="20" t="str">
        <f aca="false">F01_UC2!P289</f>
        <v>Hoạt động mới</v>
      </c>
      <c r="I220" s="20" t="n">
        <f aca="false">F01_UC2!Q289</f>
        <v>0</v>
      </c>
      <c r="J220" s="78" t="n">
        <f aca="false">IF(AND($B$34="Hợp lệ",D220="IN",H220="Thu công nợ",C220=$B$7,OR(G220=0,$B$12=1),K220&lt;&gt;F220),E220*$B$28,0)</f>
        <v>0</v>
      </c>
      <c r="K220" s="77" t="n">
        <f aca="false">MAX(F01_UC2!$B$6,F220+$B$29)</f>
        <v>46211</v>
      </c>
      <c r="L220" s="78" t="n">
        <f aca="false">J220-M220</f>
        <v>0</v>
      </c>
      <c r="M220" s="78" t="n">
        <f aca="false">IF(K220&lt;F220,J220*$B$30,0)</f>
        <v>0</v>
      </c>
      <c r="N220" s="78" t="n">
        <f aca="false">IF(AND($B$34="Hợp lệ",D220="OUT",H220="Trả NCC",C220=$B$13,OR(I220=0,$B$17=1),O220&lt;&gt;F220),E220*$B$31,0)</f>
        <v>0</v>
      </c>
      <c r="O220" s="77" t="n">
        <f aca="false">F220+$B$15</f>
        <v>46232</v>
      </c>
      <c r="P220" s="78" t="n">
        <f aca="false">N220+Q220</f>
        <v>0</v>
      </c>
      <c r="Q220" s="78" t="n">
        <f aca="false">N220*$B$16</f>
        <v>0</v>
      </c>
      <c r="R220" s="78" t="n">
        <f aca="false">E220-J220-N220</f>
        <v>0</v>
      </c>
      <c r="S220" s="20" t="str">
        <f aca="false">IF(AND(J220&gt;=0,N220&gt;=0,R220&gt;=0,ABS(R220+J220+N220-E220)&lt;=$B$27),"Khớp","LỆCH")</f>
        <v>Khớp</v>
      </c>
      <c r="T220" s="20"/>
      <c r="U220" s="20"/>
    </row>
    <row r="221" customFormat="false" ht="24" hidden="false" customHeight="true" outlineLevel="0" collapsed="false">
      <c r="A221" s="20" t="str">
        <f aca="false">F01_UC2!A290</f>
        <v>NEW-3-IN</v>
      </c>
      <c r="B221" s="20" t="str">
        <f aca="false">F01_UC2!B290</f>
        <v>NEW-3</v>
      </c>
      <c r="C221" s="20" t="str">
        <f aca="false">F01_UC2!C290</f>
        <v>NEW_CUSTOMERS</v>
      </c>
      <c r="D221" s="20" t="str">
        <f aca="false">F01_UC2!D290</f>
        <v>IN</v>
      </c>
      <c r="E221" s="78" t="n">
        <f aca="false">F01_UC2!E290</f>
        <v>0</v>
      </c>
      <c r="F221" s="80" t="n">
        <f aca="false">F01_UC2!N290</f>
        <v>46286</v>
      </c>
      <c r="G221" s="80" t="n">
        <f aca="false">F01_UC2!M290</f>
        <v>0</v>
      </c>
      <c r="H221" s="20" t="str">
        <f aca="false">F01_UC2!P290</f>
        <v>Hoạt động mới</v>
      </c>
      <c r="I221" s="20" t="n">
        <f aca="false">F01_UC2!Q290</f>
        <v>0</v>
      </c>
      <c r="J221" s="78" t="n">
        <f aca="false">IF(AND($B$34="Hợp lệ",D221="IN",H221="Thu công nợ",C221=$B$7,OR(G221=0,$B$12=1),K221&lt;&gt;F221),E221*$B$28,0)</f>
        <v>0</v>
      </c>
      <c r="K221" s="77" t="n">
        <f aca="false">MAX(F01_UC2!$B$6,F221+$B$29)</f>
        <v>46279</v>
      </c>
      <c r="L221" s="78" t="n">
        <f aca="false">J221-M221</f>
        <v>0</v>
      </c>
      <c r="M221" s="78" t="n">
        <f aca="false">IF(K221&lt;F221,J221*$B$30,0)</f>
        <v>0</v>
      </c>
      <c r="N221" s="78" t="n">
        <f aca="false">IF(AND($B$34="Hợp lệ",D221="OUT",H221="Trả NCC",C221=$B$13,OR(I221=0,$B$17=1),O221&lt;&gt;F221),E221*$B$31,0)</f>
        <v>0</v>
      </c>
      <c r="O221" s="77" t="n">
        <f aca="false">F221+$B$15</f>
        <v>46300</v>
      </c>
      <c r="P221" s="78" t="n">
        <f aca="false">N221+Q221</f>
        <v>0</v>
      </c>
      <c r="Q221" s="78" t="n">
        <f aca="false">N221*$B$16</f>
        <v>0</v>
      </c>
      <c r="R221" s="78" t="n">
        <f aca="false">E221-J221-N221</f>
        <v>0</v>
      </c>
      <c r="S221" s="20" t="str">
        <f aca="false">IF(AND(J221&gt;=0,N221&gt;=0,R221&gt;=0,ABS(R221+J221+N221-E221)&lt;=$B$27),"Khớp","LỆCH")</f>
        <v>Khớp</v>
      </c>
      <c r="T221" s="20"/>
      <c r="U221" s="20"/>
    </row>
    <row r="222" customFormat="false" ht="24" hidden="false" customHeight="true" outlineLevel="0" collapsed="false">
      <c r="A222" s="20" t="str">
        <f aca="false">F01_UC2!A291</f>
        <v>NEW-3-OUT</v>
      </c>
      <c r="B222" s="20" t="str">
        <f aca="false">F01_UC2!B291</f>
        <v>NEW-3</v>
      </c>
      <c r="C222" s="20" t="str">
        <f aca="false">F01_UC2!C291</f>
        <v>VARIABLE_COST</v>
      </c>
      <c r="D222" s="20" t="str">
        <f aca="false">F01_UC2!D291</f>
        <v>OUT</v>
      </c>
      <c r="E222" s="78" t="n">
        <f aca="false">F01_UC2!E291</f>
        <v>0</v>
      </c>
      <c r="F222" s="80" t="n">
        <f aca="false">F01_UC2!N291</f>
        <v>46225</v>
      </c>
      <c r="G222" s="80" t="n">
        <f aca="false">F01_UC2!M291</f>
        <v>0</v>
      </c>
      <c r="H222" s="20" t="str">
        <f aca="false">F01_UC2!P291</f>
        <v>Hoạt động mới</v>
      </c>
      <c r="I222" s="20" t="n">
        <f aca="false">F01_UC2!Q291</f>
        <v>0</v>
      </c>
      <c r="J222" s="78" t="n">
        <f aca="false">IF(AND($B$34="Hợp lệ",D222="IN",H222="Thu công nợ",C222=$B$7,OR(G222=0,$B$12=1),K222&lt;&gt;F222),E222*$B$28,0)</f>
        <v>0</v>
      </c>
      <c r="K222" s="77" t="n">
        <f aca="false">MAX(F01_UC2!$B$6,F222+$B$29)</f>
        <v>46218</v>
      </c>
      <c r="L222" s="78" t="n">
        <f aca="false">J222-M222</f>
        <v>0</v>
      </c>
      <c r="M222" s="78" t="n">
        <f aca="false">IF(K222&lt;F222,J222*$B$30,0)</f>
        <v>0</v>
      </c>
      <c r="N222" s="78" t="n">
        <f aca="false">IF(AND($B$34="Hợp lệ",D222="OUT",H222="Trả NCC",C222=$B$13,OR(I222=0,$B$17=1),O222&lt;&gt;F222),E222*$B$31,0)</f>
        <v>0</v>
      </c>
      <c r="O222" s="77" t="n">
        <f aca="false">F222+$B$15</f>
        <v>46239</v>
      </c>
      <c r="P222" s="78" t="n">
        <f aca="false">N222+Q222</f>
        <v>0</v>
      </c>
      <c r="Q222" s="78" t="n">
        <f aca="false">N222*$B$16</f>
        <v>0</v>
      </c>
      <c r="R222" s="78" t="n">
        <f aca="false">E222-J222-N222</f>
        <v>0</v>
      </c>
      <c r="S222" s="20" t="str">
        <f aca="false">IF(AND(J222&gt;=0,N222&gt;=0,R222&gt;=0,ABS(R222+J222+N222-E222)&lt;=$B$27),"Khớp","LỆCH")</f>
        <v>Khớp</v>
      </c>
      <c r="T222" s="20"/>
      <c r="U222" s="20"/>
    </row>
    <row r="223" customFormat="false" ht="24" hidden="false" customHeight="true" outlineLevel="0" collapsed="false">
      <c r="A223" s="20" t="str">
        <f aca="false">F01_UC2!A292</f>
        <v>NEW-4-IN</v>
      </c>
      <c r="B223" s="20" t="str">
        <f aca="false">F01_UC2!B292</f>
        <v>NEW-4</v>
      </c>
      <c r="C223" s="20" t="str">
        <f aca="false">F01_UC2!C292</f>
        <v>NEW_CUSTOMERS</v>
      </c>
      <c r="D223" s="20" t="str">
        <f aca="false">F01_UC2!D292</f>
        <v>IN</v>
      </c>
      <c r="E223" s="78" t="n">
        <f aca="false">F01_UC2!E292</f>
        <v>0</v>
      </c>
      <c r="F223" s="80" t="n">
        <f aca="false">F01_UC2!N292</f>
        <v>46293</v>
      </c>
      <c r="G223" s="80" t="n">
        <f aca="false">F01_UC2!M292</f>
        <v>0</v>
      </c>
      <c r="H223" s="20" t="str">
        <f aca="false">F01_UC2!P292</f>
        <v>Hoạt động mới</v>
      </c>
      <c r="I223" s="20" t="n">
        <f aca="false">F01_UC2!Q292</f>
        <v>0</v>
      </c>
      <c r="J223" s="78" t="n">
        <f aca="false">IF(AND($B$34="Hợp lệ",D223="IN",H223="Thu công nợ",C223=$B$7,OR(G223=0,$B$12=1),K223&lt;&gt;F223),E223*$B$28,0)</f>
        <v>0</v>
      </c>
      <c r="K223" s="77" t="n">
        <f aca="false">MAX(F01_UC2!$B$6,F223+$B$29)</f>
        <v>46286</v>
      </c>
      <c r="L223" s="78" t="n">
        <f aca="false">J223-M223</f>
        <v>0</v>
      </c>
      <c r="M223" s="78" t="n">
        <f aca="false">IF(K223&lt;F223,J223*$B$30,0)</f>
        <v>0</v>
      </c>
      <c r="N223" s="78" t="n">
        <f aca="false">IF(AND($B$34="Hợp lệ",D223="OUT",H223="Trả NCC",C223=$B$13,OR(I223=0,$B$17=1),O223&lt;&gt;F223),E223*$B$31,0)</f>
        <v>0</v>
      </c>
      <c r="O223" s="77" t="n">
        <f aca="false">F223+$B$15</f>
        <v>46307</v>
      </c>
      <c r="P223" s="78" t="n">
        <f aca="false">N223+Q223</f>
        <v>0</v>
      </c>
      <c r="Q223" s="78" t="n">
        <f aca="false">N223*$B$16</f>
        <v>0</v>
      </c>
      <c r="R223" s="78" t="n">
        <f aca="false">E223-J223-N223</f>
        <v>0</v>
      </c>
      <c r="S223" s="20" t="str">
        <f aca="false">IF(AND(J223&gt;=0,N223&gt;=0,R223&gt;=0,ABS(R223+J223+N223-E223)&lt;=$B$27),"Khớp","LỆCH")</f>
        <v>Khớp</v>
      </c>
      <c r="T223" s="20"/>
      <c r="U223" s="20"/>
    </row>
    <row r="224" customFormat="false" ht="24" hidden="false" customHeight="true" outlineLevel="0" collapsed="false">
      <c r="A224" s="20" t="str">
        <f aca="false">F01_UC2!A293</f>
        <v>NEW-4-OUT</v>
      </c>
      <c r="B224" s="20" t="str">
        <f aca="false">F01_UC2!B293</f>
        <v>NEW-4</v>
      </c>
      <c r="C224" s="20" t="str">
        <f aca="false">F01_UC2!C293</f>
        <v>VARIABLE_COST</v>
      </c>
      <c r="D224" s="20" t="str">
        <f aca="false">F01_UC2!D293</f>
        <v>OUT</v>
      </c>
      <c r="E224" s="78" t="n">
        <f aca="false">F01_UC2!E293</f>
        <v>0</v>
      </c>
      <c r="F224" s="80" t="n">
        <f aca="false">F01_UC2!N293</f>
        <v>46232</v>
      </c>
      <c r="G224" s="80" t="n">
        <f aca="false">F01_UC2!M293</f>
        <v>0</v>
      </c>
      <c r="H224" s="20" t="str">
        <f aca="false">F01_UC2!P293</f>
        <v>Hoạt động mới</v>
      </c>
      <c r="I224" s="20" t="n">
        <f aca="false">F01_UC2!Q293</f>
        <v>0</v>
      </c>
      <c r="J224" s="78" t="n">
        <f aca="false">IF(AND($B$34="Hợp lệ",D224="IN",H224="Thu công nợ",C224=$B$7,OR(G224=0,$B$12=1),K224&lt;&gt;F224),E224*$B$28,0)</f>
        <v>0</v>
      </c>
      <c r="K224" s="77" t="n">
        <f aca="false">MAX(F01_UC2!$B$6,F224+$B$29)</f>
        <v>46225</v>
      </c>
      <c r="L224" s="78" t="n">
        <f aca="false">J224-M224</f>
        <v>0</v>
      </c>
      <c r="M224" s="78" t="n">
        <f aca="false">IF(K224&lt;F224,J224*$B$30,0)</f>
        <v>0</v>
      </c>
      <c r="N224" s="78" t="n">
        <f aca="false">IF(AND($B$34="Hợp lệ",D224="OUT",H224="Trả NCC",C224=$B$13,OR(I224=0,$B$17=1),O224&lt;&gt;F224),E224*$B$31,0)</f>
        <v>0</v>
      </c>
      <c r="O224" s="77" t="n">
        <f aca="false">F224+$B$15</f>
        <v>46246</v>
      </c>
      <c r="P224" s="78" t="n">
        <f aca="false">N224+Q224</f>
        <v>0</v>
      </c>
      <c r="Q224" s="78" t="n">
        <f aca="false">N224*$B$16</f>
        <v>0</v>
      </c>
      <c r="R224" s="78" t="n">
        <f aca="false">E224-J224-N224</f>
        <v>0</v>
      </c>
      <c r="S224" s="20" t="str">
        <f aca="false">IF(AND(J224&gt;=0,N224&gt;=0,R224&gt;=0,ABS(R224+J224+N224-E224)&lt;=$B$27),"Khớp","LỆCH")</f>
        <v>Khớp</v>
      </c>
      <c r="T224" s="20"/>
      <c r="U224" s="20"/>
    </row>
    <row r="225" customFormat="false" ht="24" hidden="false" customHeight="true" outlineLevel="0" collapsed="false">
      <c r="A225" s="20" t="str">
        <f aca="false">F01_UC2!A294</f>
        <v>NEW-5-IN</v>
      </c>
      <c r="B225" s="20" t="str">
        <f aca="false">F01_UC2!B294</f>
        <v>NEW-5</v>
      </c>
      <c r="C225" s="20" t="str">
        <f aca="false">F01_UC2!C294</f>
        <v>NEW_CUSTOMERS</v>
      </c>
      <c r="D225" s="20" t="str">
        <f aca="false">F01_UC2!D294</f>
        <v>IN</v>
      </c>
      <c r="E225" s="78" t="n">
        <f aca="false">F01_UC2!E294</f>
        <v>0</v>
      </c>
      <c r="F225" s="80" t="n">
        <f aca="false">F01_UC2!N294</f>
        <v>46300</v>
      </c>
      <c r="G225" s="80" t="n">
        <f aca="false">F01_UC2!M294</f>
        <v>0</v>
      </c>
      <c r="H225" s="20" t="str">
        <f aca="false">F01_UC2!P294</f>
        <v>Hoạt động mới</v>
      </c>
      <c r="I225" s="20" t="n">
        <f aca="false">F01_UC2!Q294</f>
        <v>0</v>
      </c>
      <c r="J225" s="78" t="n">
        <f aca="false">IF(AND($B$34="Hợp lệ",D225="IN",H225="Thu công nợ",C225=$B$7,OR(G225=0,$B$12=1),K225&lt;&gt;F225),E225*$B$28,0)</f>
        <v>0</v>
      </c>
      <c r="K225" s="77" t="n">
        <f aca="false">MAX(F01_UC2!$B$6,F225+$B$29)</f>
        <v>46293</v>
      </c>
      <c r="L225" s="78" t="n">
        <f aca="false">J225-M225</f>
        <v>0</v>
      </c>
      <c r="M225" s="78" t="n">
        <f aca="false">IF(K225&lt;F225,J225*$B$30,0)</f>
        <v>0</v>
      </c>
      <c r="N225" s="78" t="n">
        <f aca="false">IF(AND($B$34="Hợp lệ",D225="OUT",H225="Trả NCC",C225=$B$13,OR(I225=0,$B$17=1),O225&lt;&gt;F225),E225*$B$31,0)</f>
        <v>0</v>
      </c>
      <c r="O225" s="77" t="n">
        <f aca="false">F225+$B$15</f>
        <v>46314</v>
      </c>
      <c r="P225" s="78" t="n">
        <f aca="false">N225+Q225</f>
        <v>0</v>
      </c>
      <c r="Q225" s="78" t="n">
        <f aca="false">N225*$B$16</f>
        <v>0</v>
      </c>
      <c r="R225" s="78" t="n">
        <f aca="false">E225-J225-N225</f>
        <v>0</v>
      </c>
      <c r="S225" s="20" t="str">
        <f aca="false">IF(AND(J225&gt;=0,N225&gt;=0,R225&gt;=0,ABS(R225+J225+N225-E225)&lt;=$B$27),"Khớp","LỆCH")</f>
        <v>Khớp</v>
      </c>
      <c r="T225" s="20"/>
      <c r="U225" s="20"/>
    </row>
    <row r="226" customFormat="false" ht="24" hidden="false" customHeight="true" outlineLevel="0" collapsed="false">
      <c r="A226" s="20" t="str">
        <f aca="false">F01_UC2!A295</f>
        <v>NEW-5-OUT</v>
      </c>
      <c r="B226" s="20" t="str">
        <f aca="false">F01_UC2!B295</f>
        <v>NEW-5</v>
      </c>
      <c r="C226" s="20" t="str">
        <f aca="false">F01_UC2!C295</f>
        <v>VARIABLE_COST</v>
      </c>
      <c r="D226" s="20" t="str">
        <f aca="false">F01_UC2!D295</f>
        <v>OUT</v>
      </c>
      <c r="E226" s="78" t="n">
        <f aca="false">F01_UC2!E295</f>
        <v>0</v>
      </c>
      <c r="F226" s="80" t="n">
        <f aca="false">F01_UC2!N295</f>
        <v>46239</v>
      </c>
      <c r="G226" s="80" t="n">
        <f aca="false">F01_UC2!M295</f>
        <v>0</v>
      </c>
      <c r="H226" s="20" t="str">
        <f aca="false">F01_UC2!P295</f>
        <v>Hoạt động mới</v>
      </c>
      <c r="I226" s="20" t="n">
        <f aca="false">F01_UC2!Q295</f>
        <v>0</v>
      </c>
      <c r="J226" s="78" t="n">
        <f aca="false">IF(AND($B$34="Hợp lệ",D226="IN",H226="Thu công nợ",C226=$B$7,OR(G226=0,$B$12=1),K226&lt;&gt;F226),E226*$B$28,0)</f>
        <v>0</v>
      </c>
      <c r="K226" s="77" t="n">
        <f aca="false">MAX(F01_UC2!$B$6,F226+$B$29)</f>
        <v>46232</v>
      </c>
      <c r="L226" s="78" t="n">
        <f aca="false">J226-M226</f>
        <v>0</v>
      </c>
      <c r="M226" s="78" t="n">
        <f aca="false">IF(K226&lt;F226,J226*$B$30,0)</f>
        <v>0</v>
      </c>
      <c r="N226" s="78" t="n">
        <f aca="false">IF(AND($B$34="Hợp lệ",D226="OUT",H226="Trả NCC",C226=$B$13,OR(I226=0,$B$17=1),O226&lt;&gt;F226),E226*$B$31,0)</f>
        <v>0</v>
      </c>
      <c r="O226" s="77" t="n">
        <f aca="false">F226+$B$15</f>
        <v>46253</v>
      </c>
      <c r="P226" s="78" t="n">
        <f aca="false">N226+Q226</f>
        <v>0</v>
      </c>
      <c r="Q226" s="78" t="n">
        <f aca="false">N226*$B$16</f>
        <v>0</v>
      </c>
      <c r="R226" s="78" t="n">
        <f aca="false">E226-J226-N226</f>
        <v>0</v>
      </c>
      <c r="S226" s="20" t="str">
        <f aca="false">IF(AND(J226&gt;=0,N226&gt;=0,R226&gt;=0,ABS(R226+J226+N226-E226)&lt;=$B$27),"Khớp","LỆCH")</f>
        <v>Khớp</v>
      </c>
      <c r="T226" s="20"/>
      <c r="U226" s="20"/>
    </row>
    <row r="227" customFormat="false" ht="24" hidden="false" customHeight="true" outlineLevel="0" collapsed="false">
      <c r="A227" s="20" t="str">
        <f aca="false">F01_UC2!A296</f>
        <v>NEW-6-IN</v>
      </c>
      <c r="B227" s="20" t="str">
        <f aca="false">F01_UC2!B296</f>
        <v>NEW-6</v>
      </c>
      <c r="C227" s="20" t="str">
        <f aca="false">F01_UC2!C296</f>
        <v>NEW_CUSTOMERS</v>
      </c>
      <c r="D227" s="20" t="str">
        <f aca="false">F01_UC2!D296</f>
        <v>IN</v>
      </c>
      <c r="E227" s="78" t="n">
        <f aca="false">F01_UC2!E296</f>
        <v>0</v>
      </c>
      <c r="F227" s="80" t="n">
        <f aca="false">F01_UC2!N296</f>
        <v>46307</v>
      </c>
      <c r="G227" s="80" t="n">
        <f aca="false">F01_UC2!M296</f>
        <v>0</v>
      </c>
      <c r="H227" s="20" t="str">
        <f aca="false">F01_UC2!P296</f>
        <v>Hoạt động mới</v>
      </c>
      <c r="I227" s="20" t="n">
        <f aca="false">F01_UC2!Q296</f>
        <v>0</v>
      </c>
      <c r="J227" s="78" t="n">
        <f aca="false">IF(AND($B$34="Hợp lệ",D227="IN",H227="Thu công nợ",C227=$B$7,OR(G227=0,$B$12=1),K227&lt;&gt;F227),E227*$B$28,0)</f>
        <v>0</v>
      </c>
      <c r="K227" s="77" t="n">
        <f aca="false">MAX(F01_UC2!$B$6,F227+$B$29)</f>
        <v>46300</v>
      </c>
      <c r="L227" s="78" t="n">
        <f aca="false">J227-M227</f>
        <v>0</v>
      </c>
      <c r="M227" s="78" t="n">
        <f aca="false">IF(K227&lt;F227,J227*$B$30,0)</f>
        <v>0</v>
      </c>
      <c r="N227" s="78" t="n">
        <f aca="false">IF(AND($B$34="Hợp lệ",D227="OUT",H227="Trả NCC",C227=$B$13,OR(I227=0,$B$17=1),O227&lt;&gt;F227),E227*$B$31,0)</f>
        <v>0</v>
      </c>
      <c r="O227" s="77" t="n">
        <f aca="false">F227+$B$15</f>
        <v>46321</v>
      </c>
      <c r="P227" s="78" t="n">
        <f aca="false">N227+Q227</f>
        <v>0</v>
      </c>
      <c r="Q227" s="78" t="n">
        <f aca="false">N227*$B$16</f>
        <v>0</v>
      </c>
      <c r="R227" s="78" t="n">
        <f aca="false">E227-J227-N227</f>
        <v>0</v>
      </c>
      <c r="S227" s="20" t="str">
        <f aca="false">IF(AND(J227&gt;=0,N227&gt;=0,R227&gt;=0,ABS(R227+J227+N227-E227)&lt;=$B$27),"Khớp","LỆCH")</f>
        <v>Khớp</v>
      </c>
      <c r="T227" s="20"/>
      <c r="U227" s="20"/>
    </row>
    <row r="228" customFormat="false" ht="24" hidden="false" customHeight="true" outlineLevel="0" collapsed="false">
      <c r="A228" s="20" t="str">
        <f aca="false">F01_UC2!A297</f>
        <v>NEW-6-OUT</v>
      </c>
      <c r="B228" s="20" t="str">
        <f aca="false">F01_UC2!B297</f>
        <v>NEW-6</v>
      </c>
      <c r="C228" s="20" t="str">
        <f aca="false">F01_UC2!C297</f>
        <v>VARIABLE_COST</v>
      </c>
      <c r="D228" s="20" t="str">
        <f aca="false">F01_UC2!D297</f>
        <v>OUT</v>
      </c>
      <c r="E228" s="78" t="n">
        <f aca="false">F01_UC2!E297</f>
        <v>0</v>
      </c>
      <c r="F228" s="80" t="n">
        <f aca="false">F01_UC2!N297</f>
        <v>46246</v>
      </c>
      <c r="G228" s="80" t="n">
        <f aca="false">F01_UC2!M297</f>
        <v>0</v>
      </c>
      <c r="H228" s="20" t="str">
        <f aca="false">F01_UC2!P297</f>
        <v>Hoạt động mới</v>
      </c>
      <c r="I228" s="20" t="n">
        <f aca="false">F01_UC2!Q297</f>
        <v>0</v>
      </c>
      <c r="J228" s="78" t="n">
        <f aca="false">IF(AND($B$34="Hợp lệ",D228="IN",H228="Thu công nợ",C228=$B$7,OR(G228=0,$B$12=1),K228&lt;&gt;F228),E228*$B$28,0)</f>
        <v>0</v>
      </c>
      <c r="K228" s="77" t="n">
        <f aca="false">MAX(F01_UC2!$B$6,F228+$B$29)</f>
        <v>46239</v>
      </c>
      <c r="L228" s="78" t="n">
        <f aca="false">J228-M228</f>
        <v>0</v>
      </c>
      <c r="M228" s="78" t="n">
        <f aca="false">IF(K228&lt;F228,J228*$B$30,0)</f>
        <v>0</v>
      </c>
      <c r="N228" s="78" t="n">
        <f aca="false">IF(AND($B$34="Hợp lệ",D228="OUT",H228="Trả NCC",C228=$B$13,OR(I228=0,$B$17=1),O228&lt;&gt;F228),E228*$B$31,0)</f>
        <v>0</v>
      </c>
      <c r="O228" s="77" t="n">
        <f aca="false">F228+$B$15</f>
        <v>46260</v>
      </c>
      <c r="P228" s="78" t="n">
        <f aca="false">N228+Q228</f>
        <v>0</v>
      </c>
      <c r="Q228" s="78" t="n">
        <f aca="false">N228*$B$16</f>
        <v>0</v>
      </c>
      <c r="R228" s="78" t="n">
        <f aca="false">E228-J228-N228</f>
        <v>0</v>
      </c>
      <c r="S228" s="20" t="str">
        <f aca="false">IF(AND(J228&gt;=0,N228&gt;=0,R228&gt;=0,ABS(R228+J228+N228-E228)&lt;=$B$27),"Khớp","LỆCH")</f>
        <v>Khớp</v>
      </c>
      <c r="T228" s="20"/>
      <c r="U228" s="20"/>
    </row>
    <row r="229" customFormat="false" ht="24" hidden="false" customHeight="true" outlineLevel="0" collapsed="false">
      <c r="A229" s="20" t="str">
        <f aca="false">F01_UC2!A298</f>
        <v>NEW-7-IN</v>
      </c>
      <c r="B229" s="20" t="str">
        <f aca="false">F01_UC2!B298</f>
        <v>NEW-7</v>
      </c>
      <c r="C229" s="20" t="str">
        <f aca="false">F01_UC2!C298</f>
        <v>NEW_CUSTOMERS</v>
      </c>
      <c r="D229" s="20" t="str">
        <f aca="false">F01_UC2!D298</f>
        <v>IN</v>
      </c>
      <c r="E229" s="78" t="n">
        <f aca="false">F01_UC2!E298</f>
        <v>0</v>
      </c>
      <c r="F229" s="80" t="n">
        <f aca="false">F01_UC2!N298</f>
        <v>46314</v>
      </c>
      <c r="G229" s="80" t="n">
        <f aca="false">F01_UC2!M298</f>
        <v>0</v>
      </c>
      <c r="H229" s="20" t="str">
        <f aca="false">F01_UC2!P298</f>
        <v>Hoạt động mới</v>
      </c>
      <c r="I229" s="20" t="n">
        <f aca="false">F01_UC2!Q298</f>
        <v>0</v>
      </c>
      <c r="J229" s="78" t="n">
        <f aca="false">IF(AND($B$34="Hợp lệ",D229="IN",H229="Thu công nợ",C229=$B$7,OR(G229=0,$B$12=1),K229&lt;&gt;F229),E229*$B$28,0)</f>
        <v>0</v>
      </c>
      <c r="K229" s="77" t="n">
        <f aca="false">MAX(F01_UC2!$B$6,F229+$B$29)</f>
        <v>46307</v>
      </c>
      <c r="L229" s="78" t="n">
        <f aca="false">J229-M229</f>
        <v>0</v>
      </c>
      <c r="M229" s="78" t="n">
        <f aca="false">IF(K229&lt;F229,J229*$B$30,0)</f>
        <v>0</v>
      </c>
      <c r="N229" s="78" t="n">
        <f aca="false">IF(AND($B$34="Hợp lệ",D229="OUT",H229="Trả NCC",C229=$B$13,OR(I229=0,$B$17=1),O229&lt;&gt;F229),E229*$B$31,0)</f>
        <v>0</v>
      </c>
      <c r="O229" s="77" t="n">
        <f aca="false">F229+$B$15</f>
        <v>46328</v>
      </c>
      <c r="P229" s="78" t="n">
        <f aca="false">N229+Q229</f>
        <v>0</v>
      </c>
      <c r="Q229" s="78" t="n">
        <f aca="false">N229*$B$16</f>
        <v>0</v>
      </c>
      <c r="R229" s="78" t="n">
        <f aca="false">E229-J229-N229</f>
        <v>0</v>
      </c>
      <c r="S229" s="20" t="str">
        <f aca="false">IF(AND(J229&gt;=0,N229&gt;=0,R229&gt;=0,ABS(R229+J229+N229-E229)&lt;=$B$27),"Khớp","LỆCH")</f>
        <v>Khớp</v>
      </c>
      <c r="T229" s="20"/>
      <c r="U229" s="20"/>
    </row>
    <row r="230" customFormat="false" ht="24" hidden="false" customHeight="true" outlineLevel="0" collapsed="false">
      <c r="A230" s="20" t="str">
        <f aca="false">F01_UC2!A299</f>
        <v>NEW-7-OUT</v>
      </c>
      <c r="B230" s="20" t="str">
        <f aca="false">F01_UC2!B299</f>
        <v>NEW-7</v>
      </c>
      <c r="C230" s="20" t="str">
        <f aca="false">F01_UC2!C299</f>
        <v>VARIABLE_COST</v>
      </c>
      <c r="D230" s="20" t="str">
        <f aca="false">F01_UC2!D299</f>
        <v>OUT</v>
      </c>
      <c r="E230" s="78" t="n">
        <f aca="false">F01_UC2!E299</f>
        <v>0</v>
      </c>
      <c r="F230" s="80" t="n">
        <f aca="false">F01_UC2!N299</f>
        <v>46253</v>
      </c>
      <c r="G230" s="80" t="n">
        <f aca="false">F01_UC2!M299</f>
        <v>0</v>
      </c>
      <c r="H230" s="20" t="str">
        <f aca="false">F01_UC2!P299</f>
        <v>Hoạt động mới</v>
      </c>
      <c r="I230" s="20" t="n">
        <f aca="false">F01_UC2!Q299</f>
        <v>0</v>
      </c>
      <c r="J230" s="78" t="n">
        <f aca="false">IF(AND($B$34="Hợp lệ",D230="IN",H230="Thu công nợ",C230=$B$7,OR(G230=0,$B$12=1),K230&lt;&gt;F230),E230*$B$28,0)</f>
        <v>0</v>
      </c>
      <c r="K230" s="77" t="n">
        <f aca="false">MAX(F01_UC2!$B$6,F230+$B$29)</f>
        <v>46246</v>
      </c>
      <c r="L230" s="78" t="n">
        <f aca="false">J230-M230</f>
        <v>0</v>
      </c>
      <c r="M230" s="78" t="n">
        <f aca="false">IF(K230&lt;F230,J230*$B$30,0)</f>
        <v>0</v>
      </c>
      <c r="N230" s="78" t="n">
        <f aca="false">IF(AND($B$34="Hợp lệ",D230="OUT",H230="Trả NCC",C230=$B$13,OR(I230=0,$B$17=1),O230&lt;&gt;F230),E230*$B$31,0)</f>
        <v>0</v>
      </c>
      <c r="O230" s="77" t="n">
        <f aca="false">F230+$B$15</f>
        <v>46267</v>
      </c>
      <c r="P230" s="78" t="n">
        <f aca="false">N230+Q230</f>
        <v>0</v>
      </c>
      <c r="Q230" s="78" t="n">
        <f aca="false">N230*$B$16</f>
        <v>0</v>
      </c>
      <c r="R230" s="78" t="n">
        <f aca="false">E230-J230-N230</f>
        <v>0</v>
      </c>
      <c r="S230" s="20" t="str">
        <f aca="false">IF(AND(J230&gt;=0,N230&gt;=0,R230&gt;=0,ABS(R230+J230+N230-E230)&lt;=$B$27),"Khớp","LỆCH")</f>
        <v>Khớp</v>
      </c>
      <c r="T230" s="20"/>
      <c r="U230" s="20"/>
    </row>
    <row r="231" customFormat="false" ht="24" hidden="false" customHeight="true" outlineLevel="0" collapsed="false">
      <c r="A231" s="20" t="str">
        <f aca="false">F01_UC2!A300</f>
        <v>NEW-8-IN</v>
      </c>
      <c r="B231" s="20" t="str">
        <f aca="false">F01_UC2!B300</f>
        <v>NEW-8</v>
      </c>
      <c r="C231" s="20" t="str">
        <f aca="false">F01_UC2!C300</f>
        <v>NEW_CUSTOMERS</v>
      </c>
      <c r="D231" s="20" t="str">
        <f aca="false">F01_UC2!D300</f>
        <v>IN</v>
      </c>
      <c r="E231" s="78" t="n">
        <f aca="false">F01_UC2!E300</f>
        <v>0</v>
      </c>
      <c r="F231" s="80" t="n">
        <f aca="false">F01_UC2!N300</f>
        <v>46321</v>
      </c>
      <c r="G231" s="80" t="n">
        <f aca="false">F01_UC2!M300</f>
        <v>0</v>
      </c>
      <c r="H231" s="20" t="str">
        <f aca="false">F01_UC2!P300</f>
        <v>Hoạt động mới</v>
      </c>
      <c r="I231" s="20" t="n">
        <f aca="false">F01_UC2!Q300</f>
        <v>0</v>
      </c>
      <c r="J231" s="78" t="n">
        <f aca="false">IF(AND($B$34="Hợp lệ",D231="IN",H231="Thu công nợ",C231=$B$7,OR(G231=0,$B$12=1),K231&lt;&gt;F231),E231*$B$28,0)</f>
        <v>0</v>
      </c>
      <c r="K231" s="77" t="n">
        <f aca="false">MAX(F01_UC2!$B$6,F231+$B$29)</f>
        <v>46314</v>
      </c>
      <c r="L231" s="78" t="n">
        <f aca="false">J231-M231</f>
        <v>0</v>
      </c>
      <c r="M231" s="78" t="n">
        <f aca="false">IF(K231&lt;F231,J231*$B$30,0)</f>
        <v>0</v>
      </c>
      <c r="N231" s="78" t="n">
        <f aca="false">IF(AND($B$34="Hợp lệ",D231="OUT",H231="Trả NCC",C231=$B$13,OR(I231=0,$B$17=1),O231&lt;&gt;F231),E231*$B$31,0)</f>
        <v>0</v>
      </c>
      <c r="O231" s="77" t="n">
        <f aca="false">F231+$B$15</f>
        <v>46335</v>
      </c>
      <c r="P231" s="78" t="n">
        <f aca="false">N231+Q231</f>
        <v>0</v>
      </c>
      <c r="Q231" s="78" t="n">
        <f aca="false">N231*$B$16</f>
        <v>0</v>
      </c>
      <c r="R231" s="78" t="n">
        <f aca="false">E231-J231-N231</f>
        <v>0</v>
      </c>
      <c r="S231" s="20" t="str">
        <f aca="false">IF(AND(J231&gt;=0,N231&gt;=0,R231&gt;=0,ABS(R231+J231+N231-E231)&lt;=$B$27),"Khớp","LỆCH")</f>
        <v>Khớp</v>
      </c>
      <c r="T231" s="20"/>
      <c r="U231" s="20"/>
    </row>
    <row r="232" customFormat="false" ht="24" hidden="false" customHeight="true" outlineLevel="0" collapsed="false">
      <c r="A232" s="20" t="str">
        <f aca="false">F01_UC2!A301</f>
        <v>NEW-8-OUT</v>
      </c>
      <c r="B232" s="20" t="str">
        <f aca="false">F01_UC2!B301</f>
        <v>NEW-8</v>
      </c>
      <c r="C232" s="20" t="str">
        <f aca="false">F01_UC2!C301</f>
        <v>VARIABLE_COST</v>
      </c>
      <c r="D232" s="20" t="str">
        <f aca="false">F01_UC2!D301</f>
        <v>OUT</v>
      </c>
      <c r="E232" s="78" t="n">
        <f aca="false">F01_UC2!E301</f>
        <v>0</v>
      </c>
      <c r="F232" s="80" t="n">
        <f aca="false">F01_UC2!N301</f>
        <v>46260</v>
      </c>
      <c r="G232" s="80" t="n">
        <f aca="false">F01_UC2!M301</f>
        <v>0</v>
      </c>
      <c r="H232" s="20" t="str">
        <f aca="false">F01_UC2!P301</f>
        <v>Hoạt động mới</v>
      </c>
      <c r="I232" s="20" t="n">
        <f aca="false">F01_UC2!Q301</f>
        <v>0</v>
      </c>
      <c r="J232" s="78" t="n">
        <f aca="false">IF(AND($B$34="Hợp lệ",D232="IN",H232="Thu công nợ",C232=$B$7,OR(G232=0,$B$12=1),K232&lt;&gt;F232),E232*$B$28,0)</f>
        <v>0</v>
      </c>
      <c r="K232" s="77" t="n">
        <f aca="false">MAX(F01_UC2!$B$6,F232+$B$29)</f>
        <v>46253</v>
      </c>
      <c r="L232" s="78" t="n">
        <f aca="false">J232-M232</f>
        <v>0</v>
      </c>
      <c r="M232" s="78" t="n">
        <f aca="false">IF(K232&lt;F232,J232*$B$30,0)</f>
        <v>0</v>
      </c>
      <c r="N232" s="78" t="n">
        <f aca="false">IF(AND($B$34="Hợp lệ",D232="OUT",H232="Trả NCC",C232=$B$13,OR(I232=0,$B$17=1),O232&lt;&gt;F232),E232*$B$31,0)</f>
        <v>0</v>
      </c>
      <c r="O232" s="77" t="n">
        <f aca="false">F232+$B$15</f>
        <v>46274</v>
      </c>
      <c r="P232" s="78" t="n">
        <f aca="false">N232+Q232</f>
        <v>0</v>
      </c>
      <c r="Q232" s="78" t="n">
        <f aca="false">N232*$B$16</f>
        <v>0</v>
      </c>
      <c r="R232" s="78" t="n">
        <f aca="false">E232-J232-N232</f>
        <v>0</v>
      </c>
      <c r="S232" s="20" t="str">
        <f aca="false">IF(AND(J232&gt;=0,N232&gt;=0,R232&gt;=0,ABS(R232+J232+N232-E232)&lt;=$B$27),"Khớp","LỆCH")</f>
        <v>Khớp</v>
      </c>
      <c r="T232" s="20"/>
      <c r="U232" s="20"/>
    </row>
    <row r="233" customFormat="false" ht="24" hidden="false" customHeight="true" outlineLevel="0" collapsed="false">
      <c r="A233" s="20" t="str">
        <f aca="false">F01_UC2!A302</f>
        <v>NEW-9-IN</v>
      </c>
      <c r="B233" s="20" t="str">
        <f aca="false">F01_UC2!B302</f>
        <v>NEW-9</v>
      </c>
      <c r="C233" s="20" t="str">
        <f aca="false">F01_UC2!C302</f>
        <v>NEW_CUSTOMERS</v>
      </c>
      <c r="D233" s="20" t="str">
        <f aca="false">F01_UC2!D302</f>
        <v>IN</v>
      </c>
      <c r="E233" s="78" t="n">
        <f aca="false">F01_UC2!E302</f>
        <v>0</v>
      </c>
      <c r="F233" s="80" t="n">
        <f aca="false">F01_UC2!N302</f>
        <v>46328</v>
      </c>
      <c r="G233" s="80" t="n">
        <f aca="false">F01_UC2!M302</f>
        <v>0</v>
      </c>
      <c r="H233" s="20" t="str">
        <f aca="false">F01_UC2!P302</f>
        <v>Hoạt động mới</v>
      </c>
      <c r="I233" s="20" t="n">
        <f aca="false">F01_UC2!Q302</f>
        <v>0</v>
      </c>
      <c r="J233" s="78" t="n">
        <f aca="false">IF(AND($B$34="Hợp lệ",D233="IN",H233="Thu công nợ",C233=$B$7,OR(G233=0,$B$12=1),K233&lt;&gt;F233),E233*$B$28,0)</f>
        <v>0</v>
      </c>
      <c r="K233" s="77" t="n">
        <f aca="false">MAX(F01_UC2!$B$6,F233+$B$29)</f>
        <v>46321</v>
      </c>
      <c r="L233" s="78" t="n">
        <f aca="false">J233-M233</f>
        <v>0</v>
      </c>
      <c r="M233" s="78" t="n">
        <f aca="false">IF(K233&lt;F233,J233*$B$30,0)</f>
        <v>0</v>
      </c>
      <c r="N233" s="78" t="n">
        <f aca="false">IF(AND($B$34="Hợp lệ",D233="OUT",H233="Trả NCC",C233=$B$13,OR(I233=0,$B$17=1),O233&lt;&gt;F233),E233*$B$31,0)</f>
        <v>0</v>
      </c>
      <c r="O233" s="77" t="n">
        <f aca="false">F233+$B$15</f>
        <v>46342</v>
      </c>
      <c r="P233" s="78" t="n">
        <f aca="false">N233+Q233</f>
        <v>0</v>
      </c>
      <c r="Q233" s="78" t="n">
        <f aca="false">N233*$B$16</f>
        <v>0</v>
      </c>
      <c r="R233" s="78" t="n">
        <f aca="false">E233-J233-N233</f>
        <v>0</v>
      </c>
      <c r="S233" s="20" t="str">
        <f aca="false">IF(AND(J233&gt;=0,N233&gt;=0,R233&gt;=0,ABS(R233+J233+N233-E233)&lt;=$B$27),"Khớp","LỆCH")</f>
        <v>Khớp</v>
      </c>
      <c r="T233" s="20"/>
      <c r="U233" s="20"/>
    </row>
    <row r="234" customFormat="false" ht="24" hidden="false" customHeight="true" outlineLevel="0" collapsed="false">
      <c r="A234" s="20" t="str">
        <f aca="false">F01_UC2!A303</f>
        <v>NEW-9-OUT</v>
      </c>
      <c r="B234" s="20" t="str">
        <f aca="false">F01_UC2!B303</f>
        <v>NEW-9</v>
      </c>
      <c r="C234" s="20" t="str">
        <f aca="false">F01_UC2!C303</f>
        <v>VARIABLE_COST</v>
      </c>
      <c r="D234" s="20" t="str">
        <f aca="false">F01_UC2!D303</f>
        <v>OUT</v>
      </c>
      <c r="E234" s="78" t="n">
        <f aca="false">F01_UC2!E303</f>
        <v>0</v>
      </c>
      <c r="F234" s="80" t="n">
        <f aca="false">F01_UC2!N303</f>
        <v>46267</v>
      </c>
      <c r="G234" s="80" t="n">
        <f aca="false">F01_UC2!M303</f>
        <v>0</v>
      </c>
      <c r="H234" s="20" t="str">
        <f aca="false">F01_UC2!P303</f>
        <v>Hoạt động mới</v>
      </c>
      <c r="I234" s="20" t="n">
        <f aca="false">F01_UC2!Q303</f>
        <v>0</v>
      </c>
      <c r="J234" s="78" t="n">
        <f aca="false">IF(AND($B$34="Hợp lệ",D234="IN",H234="Thu công nợ",C234=$B$7,OR(G234=0,$B$12=1),K234&lt;&gt;F234),E234*$B$28,0)</f>
        <v>0</v>
      </c>
      <c r="K234" s="77" t="n">
        <f aca="false">MAX(F01_UC2!$B$6,F234+$B$29)</f>
        <v>46260</v>
      </c>
      <c r="L234" s="78" t="n">
        <f aca="false">J234-M234</f>
        <v>0</v>
      </c>
      <c r="M234" s="78" t="n">
        <f aca="false">IF(K234&lt;F234,J234*$B$30,0)</f>
        <v>0</v>
      </c>
      <c r="N234" s="78" t="n">
        <f aca="false">IF(AND($B$34="Hợp lệ",D234="OUT",H234="Trả NCC",C234=$B$13,OR(I234=0,$B$17=1),O234&lt;&gt;F234),E234*$B$31,0)</f>
        <v>0</v>
      </c>
      <c r="O234" s="77" t="n">
        <f aca="false">F234+$B$15</f>
        <v>46281</v>
      </c>
      <c r="P234" s="78" t="n">
        <f aca="false">N234+Q234</f>
        <v>0</v>
      </c>
      <c r="Q234" s="78" t="n">
        <f aca="false">N234*$B$16</f>
        <v>0</v>
      </c>
      <c r="R234" s="78" t="n">
        <f aca="false">E234-J234-N234</f>
        <v>0</v>
      </c>
      <c r="S234" s="20" t="str">
        <f aca="false">IF(AND(J234&gt;=0,N234&gt;=0,R234&gt;=0,ABS(R234+J234+N234-E234)&lt;=$B$27),"Khớp","LỆCH")</f>
        <v>Khớp</v>
      </c>
      <c r="T234" s="20"/>
      <c r="U234" s="20"/>
    </row>
    <row r="235" customFormat="false" ht="24" hidden="false" customHeight="true" outlineLevel="0" collapsed="false">
      <c r="A235" s="20" t="str">
        <f aca="false">F01_UC2!A304</f>
        <v>NEW-10-IN</v>
      </c>
      <c r="B235" s="20" t="str">
        <f aca="false">F01_UC2!B304</f>
        <v>NEW-10</v>
      </c>
      <c r="C235" s="20" t="str">
        <f aca="false">F01_UC2!C304</f>
        <v>NEW_CUSTOMERS</v>
      </c>
      <c r="D235" s="20" t="str">
        <f aca="false">F01_UC2!D304</f>
        <v>IN</v>
      </c>
      <c r="E235" s="78" t="n">
        <f aca="false">F01_UC2!E304</f>
        <v>0</v>
      </c>
      <c r="F235" s="80" t="n">
        <f aca="false">F01_UC2!N304</f>
        <v>46335</v>
      </c>
      <c r="G235" s="80" t="n">
        <f aca="false">F01_UC2!M304</f>
        <v>0</v>
      </c>
      <c r="H235" s="20" t="str">
        <f aca="false">F01_UC2!P304</f>
        <v>Hoạt động mới</v>
      </c>
      <c r="I235" s="20" t="n">
        <f aca="false">F01_UC2!Q304</f>
        <v>0</v>
      </c>
      <c r="J235" s="78" t="n">
        <f aca="false">IF(AND($B$34="Hợp lệ",D235="IN",H235="Thu công nợ",C235=$B$7,OR(G235=0,$B$12=1),K235&lt;&gt;F235),E235*$B$28,0)</f>
        <v>0</v>
      </c>
      <c r="K235" s="77" t="n">
        <f aca="false">MAX(F01_UC2!$B$6,F235+$B$29)</f>
        <v>46328</v>
      </c>
      <c r="L235" s="78" t="n">
        <f aca="false">J235-M235</f>
        <v>0</v>
      </c>
      <c r="M235" s="78" t="n">
        <f aca="false">IF(K235&lt;F235,J235*$B$30,0)</f>
        <v>0</v>
      </c>
      <c r="N235" s="78" t="n">
        <f aca="false">IF(AND($B$34="Hợp lệ",D235="OUT",H235="Trả NCC",C235=$B$13,OR(I235=0,$B$17=1),O235&lt;&gt;F235),E235*$B$31,0)</f>
        <v>0</v>
      </c>
      <c r="O235" s="77" t="n">
        <f aca="false">F235+$B$15</f>
        <v>46349</v>
      </c>
      <c r="P235" s="78" t="n">
        <f aca="false">N235+Q235</f>
        <v>0</v>
      </c>
      <c r="Q235" s="78" t="n">
        <f aca="false">N235*$B$16</f>
        <v>0</v>
      </c>
      <c r="R235" s="78" t="n">
        <f aca="false">E235-J235-N235</f>
        <v>0</v>
      </c>
      <c r="S235" s="20" t="str">
        <f aca="false">IF(AND(J235&gt;=0,N235&gt;=0,R235&gt;=0,ABS(R235+J235+N235-E235)&lt;=$B$27),"Khớp","LỆCH")</f>
        <v>Khớp</v>
      </c>
      <c r="T235" s="20"/>
      <c r="U235" s="20"/>
    </row>
    <row r="236" customFormat="false" ht="24" hidden="false" customHeight="true" outlineLevel="0" collapsed="false">
      <c r="A236" s="20" t="str">
        <f aca="false">F01_UC2!A305</f>
        <v>NEW-10-OUT</v>
      </c>
      <c r="B236" s="20" t="str">
        <f aca="false">F01_UC2!B305</f>
        <v>NEW-10</v>
      </c>
      <c r="C236" s="20" t="str">
        <f aca="false">F01_UC2!C305</f>
        <v>VARIABLE_COST</v>
      </c>
      <c r="D236" s="20" t="str">
        <f aca="false">F01_UC2!D305</f>
        <v>OUT</v>
      </c>
      <c r="E236" s="78" t="n">
        <f aca="false">F01_UC2!E305</f>
        <v>0</v>
      </c>
      <c r="F236" s="80" t="n">
        <f aca="false">F01_UC2!N305</f>
        <v>46274</v>
      </c>
      <c r="G236" s="80" t="n">
        <f aca="false">F01_UC2!M305</f>
        <v>0</v>
      </c>
      <c r="H236" s="20" t="str">
        <f aca="false">F01_UC2!P305</f>
        <v>Hoạt động mới</v>
      </c>
      <c r="I236" s="20" t="n">
        <f aca="false">F01_UC2!Q305</f>
        <v>0</v>
      </c>
      <c r="J236" s="78" t="n">
        <f aca="false">IF(AND($B$34="Hợp lệ",D236="IN",H236="Thu công nợ",C236=$B$7,OR(G236=0,$B$12=1),K236&lt;&gt;F236),E236*$B$28,0)</f>
        <v>0</v>
      </c>
      <c r="K236" s="77" t="n">
        <f aca="false">MAX(F01_UC2!$B$6,F236+$B$29)</f>
        <v>46267</v>
      </c>
      <c r="L236" s="78" t="n">
        <f aca="false">J236-M236</f>
        <v>0</v>
      </c>
      <c r="M236" s="78" t="n">
        <f aca="false">IF(K236&lt;F236,J236*$B$30,0)</f>
        <v>0</v>
      </c>
      <c r="N236" s="78" t="n">
        <f aca="false">IF(AND($B$34="Hợp lệ",D236="OUT",H236="Trả NCC",C236=$B$13,OR(I236=0,$B$17=1),O236&lt;&gt;F236),E236*$B$31,0)</f>
        <v>0</v>
      </c>
      <c r="O236" s="77" t="n">
        <f aca="false">F236+$B$15</f>
        <v>46288</v>
      </c>
      <c r="P236" s="78" t="n">
        <f aca="false">N236+Q236</f>
        <v>0</v>
      </c>
      <c r="Q236" s="78" t="n">
        <f aca="false">N236*$B$16</f>
        <v>0</v>
      </c>
      <c r="R236" s="78" t="n">
        <f aca="false">E236-J236-N236</f>
        <v>0</v>
      </c>
      <c r="S236" s="20" t="str">
        <f aca="false">IF(AND(J236&gt;=0,N236&gt;=0,R236&gt;=0,ABS(R236+J236+N236-E236)&lt;=$B$27),"Khớp","LỆCH")</f>
        <v>Khớp</v>
      </c>
      <c r="T236" s="20"/>
      <c r="U236" s="20"/>
    </row>
    <row r="237" customFormat="false" ht="24" hidden="false" customHeight="true" outlineLevel="0" collapsed="false">
      <c r="A237" s="20" t="str">
        <f aca="false">F01_UC2!A306</f>
        <v>NEW-11-IN</v>
      </c>
      <c r="B237" s="20" t="str">
        <f aca="false">F01_UC2!B306</f>
        <v>NEW-11</v>
      </c>
      <c r="C237" s="20" t="str">
        <f aca="false">F01_UC2!C306</f>
        <v>NEW_CUSTOMERS</v>
      </c>
      <c r="D237" s="20" t="str">
        <f aca="false">F01_UC2!D306</f>
        <v>IN</v>
      </c>
      <c r="E237" s="78" t="n">
        <f aca="false">F01_UC2!E306</f>
        <v>0</v>
      </c>
      <c r="F237" s="80" t="n">
        <f aca="false">F01_UC2!N306</f>
        <v>46342</v>
      </c>
      <c r="G237" s="80" t="n">
        <f aca="false">F01_UC2!M306</f>
        <v>0</v>
      </c>
      <c r="H237" s="20" t="str">
        <f aca="false">F01_UC2!P306</f>
        <v>Hoạt động mới</v>
      </c>
      <c r="I237" s="20" t="n">
        <f aca="false">F01_UC2!Q306</f>
        <v>0</v>
      </c>
      <c r="J237" s="78" t="n">
        <f aca="false">IF(AND($B$34="Hợp lệ",D237="IN",H237="Thu công nợ",C237=$B$7,OR(G237=0,$B$12=1),K237&lt;&gt;F237),E237*$B$28,0)</f>
        <v>0</v>
      </c>
      <c r="K237" s="77" t="n">
        <f aca="false">MAX(F01_UC2!$B$6,F237+$B$29)</f>
        <v>46335</v>
      </c>
      <c r="L237" s="78" t="n">
        <f aca="false">J237-M237</f>
        <v>0</v>
      </c>
      <c r="M237" s="78" t="n">
        <f aca="false">IF(K237&lt;F237,J237*$B$30,0)</f>
        <v>0</v>
      </c>
      <c r="N237" s="78" t="n">
        <f aca="false">IF(AND($B$34="Hợp lệ",D237="OUT",H237="Trả NCC",C237=$B$13,OR(I237=0,$B$17=1),O237&lt;&gt;F237),E237*$B$31,0)</f>
        <v>0</v>
      </c>
      <c r="O237" s="77" t="n">
        <f aca="false">F237+$B$15</f>
        <v>46356</v>
      </c>
      <c r="P237" s="78" t="n">
        <f aca="false">N237+Q237</f>
        <v>0</v>
      </c>
      <c r="Q237" s="78" t="n">
        <f aca="false">N237*$B$16</f>
        <v>0</v>
      </c>
      <c r="R237" s="78" t="n">
        <f aca="false">E237-J237-N237</f>
        <v>0</v>
      </c>
      <c r="S237" s="20" t="str">
        <f aca="false">IF(AND(J237&gt;=0,N237&gt;=0,R237&gt;=0,ABS(R237+J237+N237-E237)&lt;=$B$27),"Khớp","LỆCH")</f>
        <v>Khớp</v>
      </c>
      <c r="T237" s="20"/>
      <c r="U237" s="20"/>
    </row>
    <row r="238" customFormat="false" ht="24" hidden="false" customHeight="true" outlineLevel="0" collapsed="false">
      <c r="A238" s="20" t="str">
        <f aca="false">F01_UC2!A307</f>
        <v>NEW-11-OUT</v>
      </c>
      <c r="B238" s="20" t="str">
        <f aca="false">F01_UC2!B307</f>
        <v>NEW-11</v>
      </c>
      <c r="C238" s="20" t="str">
        <f aca="false">F01_UC2!C307</f>
        <v>VARIABLE_COST</v>
      </c>
      <c r="D238" s="20" t="str">
        <f aca="false">F01_UC2!D307</f>
        <v>OUT</v>
      </c>
      <c r="E238" s="78" t="n">
        <f aca="false">F01_UC2!E307</f>
        <v>0</v>
      </c>
      <c r="F238" s="80" t="n">
        <f aca="false">F01_UC2!N307</f>
        <v>46281</v>
      </c>
      <c r="G238" s="80" t="n">
        <f aca="false">F01_UC2!M307</f>
        <v>0</v>
      </c>
      <c r="H238" s="20" t="str">
        <f aca="false">F01_UC2!P307</f>
        <v>Hoạt động mới</v>
      </c>
      <c r="I238" s="20" t="n">
        <f aca="false">F01_UC2!Q307</f>
        <v>0</v>
      </c>
      <c r="J238" s="78" t="n">
        <f aca="false">IF(AND($B$34="Hợp lệ",D238="IN",H238="Thu công nợ",C238=$B$7,OR(G238=0,$B$12=1),K238&lt;&gt;F238),E238*$B$28,0)</f>
        <v>0</v>
      </c>
      <c r="K238" s="77" t="n">
        <f aca="false">MAX(F01_UC2!$B$6,F238+$B$29)</f>
        <v>46274</v>
      </c>
      <c r="L238" s="78" t="n">
        <f aca="false">J238-M238</f>
        <v>0</v>
      </c>
      <c r="M238" s="78" t="n">
        <f aca="false">IF(K238&lt;F238,J238*$B$30,0)</f>
        <v>0</v>
      </c>
      <c r="N238" s="78" t="n">
        <f aca="false">IF(AND($B$34="Hợp lệ",D238="OUT",H238="Trả NCC",C238=$B$13,OR(I238=0,$B$17=1),O238&lt;&gt;F238),E238*$B$31,0)</f>
        <v>0</v>
      </c>
      <c r="O238" s="77" t="n">
        <f aca="false">F238+$B$15</f>
        <v>46295</v>
      </c>
      <c r="P238" s="78" t="n">
        <f aca="false">N238+Q238</f>
        <v>0</v>
      </c>
      <c r="Q238" s="78" t="n">
        <f aca="false">N238*$B$16</f>
        <v>0</v>
      </c>
      <c r="R238" s="78" t="n">
        <f aca="false">E238-J238-N238</f>
        <v>0</v>
      </c>
      <c r="S238" s="20" t="str">
        <f aca="false">IF(AND(J238&gt;=0,N238&gt;=0,R238&gt;=0,ABS(R238+J238+N238-E238)&lt;=$B$27),"Khớp","LỆCH")</f>
        <v>Khớp</v>
      </c>
      <c r="T238" s="20"/>
      <c r="U238" s="20"/>
    </row>
    <row r="239" customFormat="false" ht="24" hidden="false" customHeight="true" outlineLevel="0" collapsed="false">
      <c r="A239" s="20" t="str">
        <f aca="false">F01_UC2!A308</f>
        <v>NEW-12-IN</v>
      </c>
      <c r="B239" s="20" t="str">
        <f aca="false">F01_UC2!B308</f>
        <v>NEW-12</v>
      </c>
      <c r="C239" s="20" t="str">
        <f aca="false">F01_UC2!C308</f>
        <v>NEW_CUSTOMERS</v>
      </c>
      <c r="D239" s="20" t="str">
        <f aca="false">F01_UC2!D308</f>
        <v>IN</v>
      </c>
      <c r="E239" s="78" t="n">
        <f aca="false">F01_UC2!E308</f>
        <v>0</v>
      </c>
      <c r="F239" s="80" t="n">
        <f aca="false">F01_UC2!N308</f>
        <v>46349</v>
      </c>
      <c r="G239" s="80" t="n">
        <f aca="false">F01_UC2!M308</f>
        <v>0</v>
      </c>
      <c r="H239" s="20" t="str">
        <f aca="false">F01_UC2!P308</f>
        <v>Hoạt động mới</v>
      </c>
      <c r="I239" s="20" t="n">
        <f aca="false">F01_UC2!Q308</f>
        <v>0</v>
      </c>
      <c r="J239" s="78" t="n">
        <f aca="false">IF(AND($B$34="Hợp lệ",D239="IN",H239="Thu công nợ",C239=$B$7,OR(G239=0,$B$12=1),K239&lt;&gt;F239),E239*$B$28,0)</f>
        <v>0</v>
      </c>
      <c r="K239" s="77" t="n">
        <f aca="false">MAX(F01_UC2!$B$6,F239+$B$29)</f>
        <v>46342</v>
      </c>
      <c r="L239" s="78" t="n">
        <f aca="false">J239-M239</f>
        <v>0</v>
      </c>
      <c r="M239" s="78" t="n">
        <f aca="false">IF(K239&lt;F239,J239*$B$30,0)</f>
        <v>0</v>
      </c>
      <c r="N239" s="78" t="n">
        <f aca="false">IF(AND($B$34="Hợp lệ",D239="OUT",H239="Trả NCC",C239=$B$13,OR(I239=0,$B$17=1),O239&lt;&gt;F239),E239*$B$31,0)</f>
        <v>0</v>
      </c>
      <c r="O239" s="77" t="n">
        <f aca="false">F239+$B$15</f>
        <v>46363</v>
      </c>
      <c r="P239" s="78" t="n">
        <f aca="false">N239+Q239</f>
        <v>0</v>
      </c>
      <c r="Q239" s="78" t="n">
        <f aca="false">N239*$B$16</f>
        <v>0</v>
      </c>
      <c r="R239" s="78" t="n">
        <f aca="false">E239-J239-N239</f>
        <v>0</v>
      </c>
      <c r="S239" s="20" t="str">
        <f aca="false">IF(AND(J239&gt;=0,N239&gt;=0,R239&gt;=0,ABS(R239+J239+N239-E239)&lt;=$B$27),"Khớp","LỆCH")</f>
        <v>Khớp</v>
      </c>
      <c r="T239" s="20"/>
      <c r="U239" s="20"/>
    </row>
    <row r="240" customFormat="false" ht="24" hidden="false" customHeight="true" outlineLevel="0" collapsed="false">
      <c r="A240" s="20" t="str">
        <f aca="false">F01_UC2!A309</f>
        <v>NEW-12-OUT</v>
      </c>
      <c r="B240" s="20" t="str">
        <f aca="false">F01_UC2!B309</f>
        <v>NEW-12</v>
      </c>
      <c r="C240" s="20" t="str">
        <f aca="false">F01_UC2!C309</f>
        <v>VARIABLE_COST</v>
      </c>
      <c r="D240" s="20" t="str">
        <f aca="false">F01_UC2!D309</f>
        <v>OUT</v>
      </c>
      <c r="E240" s="78" t="n">
        <f aca="false">F01_UC2!E309</f>
        <v>0</v>
      </c>
      <c r="F240" s="80" t="n">
        <f aca="false">F01_UC2!N309</f>
        <v>46288</v>
      </c>
      <c r="G240" s="80" t="n">
        <f aca="false">F01_UC2!M309</f>
        <v>0</v>
      </c>
      <c r="H240" s="20" t="str">
        <f aca="false">F01_UC2!P309</f>
        <v>Hoạt động mới</v>
      </c>
      <c r="I240" s="20" t="n">
        <f aca="false">F01_UC2!Q309</f>
        <v>0</v>
      </c>
      <c r="J240" s="78" t="n">
        <f aca="false">IF(AND($B$34="Hợp lệ",D240="IN",H240="Thu công nợ",C240=$B$7,OR(G240=0,$B$12=1),K240&lt;&gt;F240),E240*$B$28,0)</f>
        <v>0</v>
      </c>
      <c r="K240" s="77" t="n">
        <f aca="false">MAX(F01_UC2!$B$6,F240+$B$29)</f>
        <v>46281</v>
      </c>
      <c r="L240" s="78" t="n">
        <f aca="false">J240-M240</f>
        <v>0</v>
      </c>
      <c r="M240" s="78" t="n">
        <f aca="false">IF(K240&lt;F240,J240*$B$30,0)</f>
        <v>0</v>
      </c>
      <c r="N240" s="78" t="n">
        <f aca="false">IF(AND($B$34="Hợp lệ",D240="OUT",H240="Trả NCC",C240=$B$13,OR(I240=0,$B$17=1),O240&lt;&gt;F240),E240*$B$31,0)</f>
        <v>0</v>
      </c>
      <c r="O240" s="77" t="n">
        <f aca="false">F240+$B$15</f>
        <v>46302</v>
      </c>
      <c r="P240" s="78" t="n">
        <f aca="false">N240+Q240</f>
        <v>0</v>
      </c>
      <c r="Q240" s="78" t="n">
        <f aca="false">N240*$B$16</f>
        <v>0</v>
      </c>
      <c r="R240" s="78" t="n">
        <f aca="false">E240-J240-N240</f>
        <v>0</v>
      </c>
      <c r="S240" s="20" t="str">
        <f aca="false">IF(AND(J240&gt;=0,N240&gt;=0,R240&gt;=0,ABS(R240+J240+N240-E240)&lt;=$B$27),"Khớp","LỆCH")</f>
        <v>Khớp</v>
      </c>
      <c r="T240" s="20"/>
      <c r="U240" s="20"/>
    </row>
    <row r="241" customFormat="false" ht="24" hidden="false" customHeight="true" outlineLevel="0" collapsed="false">
      <c r="A241" s="20" t="str">
        <f aca="false">F01_UC2!A310</f>
        <v>NEW-13-IN</v>
      </c>
      <c r="B241" s="20" t="str">
        <f aca="false">F01_UC2!B310</f>
        <v>NEW-13</v>
      </c>
      <c r="C241" s="20" t="str">
        <f aca="false">F01_UC2!C310</f>
        <v>NEW_CUSTOMERS</v>
      </c>
      <c r="D241" s="20" t="str">
        <f aca="false">F01_UC2!D310</f>
        <v>IN</v>
      </c>
      <c r="E241" s="78" t="n">
        <f aca="false">F01_UC2!E310</f>
        <v>0</v>
      </c>
      <c r="F241" s="80" t="n">
        <f aca="false">F01_UC2!N310</f>
        <v>46356</v>
      </c>
      <c r="G241" s="80" t="n">
        <f aca="false">F01_UC2!M310</f>
        <v>0</v>
      </c>
      <c r="H241" s="20" t="str">
        <f aca="false">F01_UC2!P310</f>
        <v>Hoạt động mới</v>
      </c>
      <c r="I241" s="20" t="n">
        <f aca="false">F01_UC2!Q310</f>
        <v>0</v>
      </c>
      <c r="J241" s="78" t="n">
        <f aca="false">IF(AND($B$34="Hợp lệ",D241="IN",H241="Thu công nợ",C241=$B$7,OR(G241=0,$B$12=1),K241&lt;&gt;F241),E241*$B$28,0)</f>
        <v>0</v>
      </c>
      <c r="K241" s="77" t="n">
        <f aca="false">MAX(F01_UC2!$B$6,F241+$B$29)</f>
        <v>46349</v>
      </c>
      <c r="L241" s="78" t="n">
        <f aca="false">J241-M241</f>
        <v>0</v>
      </c>
      <c r="M241" s="78" t="n">
        <f aca="false">IF(K241&lt;F241,J241*$B$30,0)</f>
        <v>0</v>
      </c>
      <c r="N241" s="78" t="n">
        <f aca="false">IF(AND($B$34="Hợp lệ",D241="OUT",H241="Trả NCC",C241=$B$13,OR(I241=0,$B$17=1),O241&lt;&gt;F241),E241*$B$31,0)</f>
        <v>0</v>
      </c>
      <c r="O241" s="77" t="n">
        <f aca="false">F241+$B$15</f>
        <v>46370</v>
      </c>
      <c r="P241" s="78" t="n">
        <f aca="false">N241+Q241</f>
        <v>0</v>
      </c>
      <c r="Q241" s="78" t="n">
        <f aca="false">N241*$B$16</f>
        <v>0</v>
      </c>
      <c r="R241" s="78" t="n">
        <f aca="false">E241-J241-N241</f>
        <v>0</v>
      </c>
      <c r="S241" s="20" t="str">
        <f aca="false">IF(AND(J241&gt;=0,N241&gt;=0,R241&gt;=0,ABS(R241+J241+N241-E241)&lt;=$B$27),"Khớp","LỆCH")</f>
        <v>Khớp</v>
      </c>
      <c r="T241" s="20"/>
      <c r="U241" s="20"/>
    </row>
    <row r="242" customFormat="false" ht="24" hidden="false" customHeight="true" outlineLevel="0" collapsed="false">
      <c r="A242" s="20" t="str">
        <f aca="false">F01_UC2!A311</f>
        <v>NEW-13-OUT</v>
      </c>
      <c r="B242" s="20" t="str">
        <f aca="false">F01_UC2!B311</f>
        <v>NEW-13</v>
      </c>
      <c r="C242" s="20" t="str">
        <f aca="false">F01_UC2!C311</f>
        <v>VARIABLE_COST</v>
      </c>
      <c r="D242" s="20" t="str">
        <f aca="false">F01_UC2!D311</f>
        <v>OUT</v>
      </c>
      <c r="E242" s="78" t="n">
        <f aca="false">F01_UC2!E311</f>
        <v>0</v>
      </c>
      <c r="F242" s="80" t="n">
        <f aca="false">F01_UC2!N311</f>
        <v>46295</v>
      </c>
      <c r="G242" s="80" t="n">
        <f aca="false">F01_UC2!M311</f>
        <v>0</v>
      </c>
      <c r="H242" s="20" t="str">
        <f aca="false">F01_UC2!P311</f>
        <v>Hoạt động mới</v>
      </c>
      <c r="I242" s="20" t="n">
        <f aca="false">F01_UC2!Q311</f>
        <v>0</v>
      </c>
      <c r="J242" s="78" t="n">
        <f aca="false">IF(AND($B$34="Hợp lệ",D242="IN",H242="Thu công nợ",C242=$B$7,OR(G242=0,$B$12=1),K242&lt;&gt;F242),E242*$B$28,0)</f>
        <v>0</v>
      </c>
      <c r="K242" s="77" t="n">
        <f aca="false">MAX(F01_UC2!$B$6,F242+$B$29)</f>
        <v>46288</v>
      </c>
      <c r="L242" s="78" t="n">
        <f aca="false">J242-M242</f>
        <v>0</v>
      </c>
      <c r="M242" s="78" t="n">
        <f aca="false">IF(K242&lt;F242,J242*$B$30,0)</f>
        <v>0</v>
      </c>
      <c r="N242" s="78" t="n">
        <f aca="false">IF(AND($B$34="Hợp lệ",D242="OUT",H242="Trả NCC",C242=$B$13,OR(I242=0,$B$17=1),O242&lt;&gt;F242),E242*$B$31,0)</f>
        <v>0</v>
      </c>
      <c r="O242" s="77" t="n">
        <f aca="false">F242+$B$15</f>
        <v>46309</v>
      </c>
      <c r="P242" s="78" t="n">
        <f aca="false">N242+Q242</f>
        <v>0</v>
      </c>
      <c r="Q242" s="78" t="n">
        <f aca="false">N242*$B$16</f>
        <v>0</v>
      </c>
      <c r="R242" s="78" t="n">
        <f aca="false">E242-J242-N242</f>
        <v>0</v>
      </c>
      <c r="S242" s="20" t="str">
        <f aca="false">IF(AND(J242&gt;=0,N242&gt;=0,R242&gt;=0,ABS(R242+J242+N242-E242)&lt;=$B$27),"Khớp","LỆCH")</f>
        <v>Khớp</v>
      </c>
      <c r="T242" s="20"/>
      <c r="U242" s="20"/>
    </row>
    <row r="243" customFormat="false" ht="24" hidden="false" customHeight="true" outlineLevel="0" collapsed="false">
      <c r="A243" s="20" t="str">
        <f aca="false">F01_UC2!A312</f>
        <v>TRANS-F01-0013</v>
      </c>
      <c r="B243" s="20" t="str">
        <f aca="false">F01_UC2!B312</f>
        <v>BILL-F01-0013</v>
      </c>
      <c r="C243" s="20" t="str">
        <f aca="false">F01_UC2!C312</f>
        <v>Vận tải nội địa NCC5</v>
      </c>
      <c r="D243" s="20" t="str">
        <f aca="false">F01_UC2!D312</f>
        <v>OUT</v>
      </c>
      <c r="E243" s="78" t="n">
        <f aca="false">F01_UC2!E312</f>
        <v>0</v>
      </c>
      <c r="F243" s="80" t="n">
        <f aca="false">F01_UC2!N312</f>
        <v>46052</v>
      </c>
      <c r="G243" s="80" t="n">
        <f aca="false">F01_UC2!M312</f>
        <v>0</v>
      </c>
      <c r="H243" s="20" t="str">
        <f aca="false">F01_UC2!P312</f>
        <v>Vận tải</v>
      </c>
      <c r="I243" s="20" t="n">
        <f aca="false">F01_UC2!Q312</f>
        <v>0</v>
      </c>
      <c r="J243" s="78" t="n">
        <f aca="false">IF(AND($B$34="Hợp lệ",D243="IN",H243="Thu công nợ",C243=$B$7,OR(G243=0,$B$12=1),K243&lt;&gt;F243),E243*$B$28,0)</f>
        <v>0</v>
      </c>
      <c r="K243" s="77" t="n">
        <f aca="false">MAX(F01_UC2!$B$6,F243+$B$29)</f>
        <v>46204</v>
      </c>
      <c r="L243" s="78" t="n">
        <f aca="false">J243-M243</f>
        <v>0</v>
      </c>
      <c r="M243" s="78" t="n">
        <f aca="false">IF(K243&lt;F243,J243*$B$30,0)</f>
        <v>0</v>
      </c>
      <c r="N243" s="78" t="n">
        <f aca="false">IF(AND($B$34="Hợp lệ",D243="OUT",H243="Trả NCC",C243=$B$13,OR(I243=0,$B$17=1),O243&lt;&gt;F243),E243*$B$31,0)</f>
        <v>0</v>
      </c>
      <c r="O243" s="77" t="n">
        <f aca="false">F243+$B$15</f>
        <v>46066</v>
      </c>
      <c r="P243" s="78" t="n">
        <f aca="false">N243+Q243</f>
        <v>0</v>
      </c>
      <c r="Q243" s="78" t="n">
        <f aca="false">N243*$B$16</f>
        <v>0</v>
      </c>
      <c r="R243" s="78" t="n">
        <f aca="false">E243-J243-N243</f>
        <v>0</v>
      </c>
      <c r="S243" s="20" t="str">
        <f aca="false">IF(AND(J243&gt;=0,N243&gt;=0,R243&gt;=0,ABS(R243+J243+N243-E243)&lt;=$B$27),"Khớp","LỆCH")</f>
        <v>Khớp</v>
      </c>
      <c r="T243" s="20"/>
      <c r="U243" s="20"/>
    </row>
    <row r="244" customFormat="false" ht="24" hidden="false" customHeight="true" outlineLevel="0" collapsed="false">
      <c r="A244" s="20" t="str">
        <f aca="false">F01_UC2!A313</f>
        <v>TRANS-F01-0015</v>
      </c>
      <c r="B244" s="20" t="str">
        <f aca="false">F01_UC2!B313</f>
        <v>BILL-F01-0015</v>
      </c>
      <c r="C244" s="20" t="str">
        <f aca="false">F01_UC2!C313</f>
        <v>Vận tải nội địa NCC5</v>
      </c>
      <c r="D244" s="20" t="str">
        <f aca="false">F01_UC2!D313</f>
        <v>OUT</v>
      </c>
      <c r="E244" s="78" t="n">
        <f aca="false">F01_UC2!E313</f>
        <v>0</v>
      </c>
      <c r="F244" s="80" t="n">
        <f aca="false">F01_UC2!N313</f>
        <v>46059</v>
      </c>
      <c r="G244" s="80" t="n">
        <f aca="false">F01_UC2!M313</f>
        <v>0</v>
      </c>
      <c r="H244" s="20" t="str">
        <f aca="false">F01_UC2!P313</f>
        <v>Vận tải</v>
      </c>
      <c r="I244" s="20" t="n">
        <f aca="false">F01_UC2!Q313</f>
        <v>0</v>
      </c>
      <c r="J244" s="78" t="n">
        <f aca="false">IF(AND($B$34="Hợp lệ",D244="IN",H244="Thu công nợ",C244=$B$7,OR(G244=0,$B$12=1),K244&lt;&gt;F244),E244*$B$28,0)</f>
        <v>0</v>
      </c>
      <c r="K244" s="77" t="n">
        <f aca="false">MAX(F01_UC2!$B$6,F244+$B$29)</f>
        <v>46204</v>
      </c>
      <c r="L244" s="78" t="n">
        <f aca="false">J244-M244</f>
        <v>0</v>
      </c>
      <c r="M244" s="78" t="n">
        <f aca="false">IF(K244&lt;F244,J244*$B$30,0)</f>
        <v>0</v>
      </c>
      <c r="N244" s="78" t="n">
        <f aca="false">IF(AND($B$34="Hợp lệ",D244="OUT",H244="Trả NCC",C244=$B$13,OR(I244=0,$B$17=1),O244&lt;&gt;F244),E244*$B$31,0)</f>
        <v>0</v>
      </c>
      <c r="O244" s="77" t="n">
        <f aca="false">F244+$B$15</f>
        <v>46073</v>
      </c>
      <c r="P244" s="78" t="n">
        <f aca="false">N244+Q244</f>
        <v>0</v>
      </c>
      <c r="Q244" s="78" t="n">
        <f aca="false">N244*$B$16</f>
        <v>0</v>
      </c>
      <c r="R244" s="78" t="n">
        <f aca="false">E244-J244-N244</f>
        <v>0</v>
      </c>
      <c r="S244" s="20" t="str">
        <f aca="false">IF(AND(J244&gt;=0,N244&gt;=0,R244&gt;=0,ABS(R244+J244+N244-E244)&lt;=$B$27),"Khớp","LỆCH")</f>
        <v>Khớp</v>
      </c>
      <c r="T244" s="20"/>
      <c r="U244" s="20"/>
    </row>
    <row r="245" customFormat="false" ht="24" hidden="false" customHeight="true" outlineLevel="0" collapsed="false">
      <c r="A245" s="20" t="str">
        <f aca="false">F01_UC2!A314</f>
        <v>ELEC-F01-0018</v>
      </c>
      <c r="B245" s="20" t="str">
        <f aca="false">F01_UC2!B314</f>
        <v>BILL-F01-0018</v>
      </c>
      <c r="C245" s="20" t="str">
        <f aca="false">F01_UC2!C314</f>
        <v>Điện lực khu công nghiệp</v>
      </c>
      <c r="D245" s="20" t="str">
        <f aca="false">F01_UC2!D314</f>
        <v>OUT</v>
      </c>
      <c r="E245" s="78" t="n">
        <f aca="false">F01_UC2!E314</f>
        <v>0</v>
      </c>
      <c r="F245" s="80" t="n">
        <f aca="false">F01_UC2!N314</f>
        <v>46061</v>
      </c>
      <c r="G245" s="80" t="n">
        <f aca="false">F01_UC2!M314</f>
        <v>0</v>
      </c>
      <c r="H245" s="20" t="str">
        <f aca="false">F01_UC2!P314</f>
        <v>Tiện ích (điện)</v>
      </c>
      <c r="I245" s="20" t="n">
        <f aca="false">F01_UC2!Q314</f>
        <v>1</v>
      </c>
      <c r="J245" s="78" t="n">
        <f aca="false">IF(AND($B$34="Hợp lệ",D245="IN",H245="Thu công nợ",C245=$B$7,OR(G245=0,$B$12=1),K245&lt;&gt;F245),E245*$B$28,0)</f>
        <v>0</v>
      </c>
      <c r="K245" s="77" t="n">
        <f aca="false">MAX(F01_UC2!$B$6,F245+$B$29)</f>
        <v>46204</v>
      </c>
      <c r="L245" s="78" t="n">
        <f aca="false">J245-M245</f>
        <v>0</v>
      </c>
      <c r="M245" s="78" t="n">
        <f aca="false">IF(K245&lt;F245,J245*$B$30,0)</f>
        <v>0</v>
      </c>
      <c r="N245" s="78" t="n">
        <f aca="false">IF(AND($B$34="Hợp lệ",D245="OUT",H245="Trả NCC",C245=$B$13,OR(I245=0,$B$17=1),O245&lt;&gt;F245),E245*$B$31,0)</f>
        <v>0</v>
      </c>
      <c r="O245" s="77" t="n">
        <f aca="false">F245+$B$15</f>
        <v>46075</v>
      </c>
      <c r="P245" s="78" t="n">
        <f aca="false">N245+Q245</f>
        <v>0</v>
      </c>
      <c r="Q245" s="78" t="n">
        <f aca="false">N245*$B$16</f>
        <v>0</v>
      </c>
      <c r="R245" s="78" t="n">
        <f aca="false">E245-J245-N245</f>
        <v>0</v>
      </c>
      <c r="S245" s="20" t="str">
        <f aca="false">IF(AND(J245&gt;=0,N245&gt;=0,R245&gt;=0,ABS(R245+J245+N245-E245)&lt;=$B$27),"Khớp","LỆCH")</f>
        <v>Khớp</v>
      </c>
      <c r="T245" s="20"/>
      <c r="U245" s="20"/>
    </row>
    <row r="246" customFormat="false" ht="24" hidden="false" customHeight="true" outlineLevel="0" collapsed="false">
      <c r="A246" s="20" t="str">
        <f aca="false">F01_UC2!A315</f>
        <v>TRANS-F01-0020</v>
      </c>
      <c r="B246" s="20" t="str">
        <f aca="false">F01_UC2!B315</f>
        <v>BILL-F01-0020</v>
      </c>
      <c r="C246" s="20" t="str">
        <f aca="false">F01_UC2!C315</f>
        <v>Vận tải nội địa NCC5</v>
      </c>
      <c r="D246" s="20" t="str">
        <f aca="false">F01_UC2!D315</f>
        <v>OUT</v>
      </c>
      <c r="E246" s="78" t="n">
        <f aca="false">F01_UC2!E315</f>
        <v>0</v>
      </c>
      <c r="F246" s="80" t="n">
        <f aca="false">F01_UC2!N315</f>
        <v>46059</v>
      </c>
      <c r="G246" s="80" t="n">
        <f aca="false">F01_UC2!M315</f>
        <v>0</v>
      </c>
      <c r="H246" s="20" t="str">
        <f aca="false">F01_UC2!P315</f>
        <v>Vận tải</v>
      </c>
      <c r="I246" s="20" t="n">
        <f aca="false">F01_UC2!Q315</f>
        <v>0</v>
      </c>
      <c r="J246" s="78" t="n">
        <f aca="false">IF(AND($B$34="Hợp lệ",D246="IN",H246="Thu công nợ",C246=$B$7,OR(G246=0,$B$12=1),K246&lt;&gt;F246),E246*$B$28,0)</f>
        <v>0</v>
      </c>
      <c r="K246" s="77" t="n">
        <f aca="false">MAX(F01_UC2!$B$6,F246+$B$29)</f>
        <v>46204</v>
      </c>
      <c r="L246" s="78" t="n">
        <f aca="false">J246-M246</f>
        <v>0</v>
      </c>
      <c r="M246" s="78" t="n">
        <f aca="false">IF(K246&lt;F246,J246*$B$30,0)</f>
        <v>0</v>
      </c>
      <c r="N246" s="78" t="n">
        <f aca="false">IF(AND($B$34="Hợp lệ",D246="OUT",H246="Trả NCC",C246=$B$13,OR(I246=0,$B$17=1),O246&lt;&gt;F246),E246*$B$31,0)</f>
        <v>0</v>
      </c>
      <c r="O246" s="77" t="n">
        <f aca="false">F246+$B$15</f>
        <v>46073</v>
      </c>
      <c r="P246" s="78" t="n">
        <f aca="false">N246+Q246</f>
        <v>0</v>
      </c>
      <c r="Q246" s="78" t="n">
        <f aca="false">N246*$B$16</f>
        <v>0</v>
      </c>
      <c r="R246" s="78" t="n">
        <f aca="false">E246-J246-N246</f>
        <v>0</v>
      </c>
      <c r="S246" s="20" t="str">
        <f aca="false">IF(AND(J246&gt;=0,N246&gt;=0,R246&gt;=0,ABS(R246+J246+N246-E246)&lt;=$B$27),"Khớp","LỆCH")</f>
        <v>Khớp</v>
      </c>
      <c r="T246" s="20"/>
      <c r="U246" s="20"/>
    </row>
    <row r="247" customFormat="false" ht="24" hidden="false" customHeight="true" outlineLevel="0" collapsed="false">
      <c r="A247" s="20" t="str">
        <f aca="false">F01_UC2!A316</f>
        <v>TRANS-F01-0030</v>
      </c>
      <c r="B247" s="20" t="str">
        <f aca="false">F01_UC2!B316</f>
        <v>BILL-F01-0030</v>
      </c>
      <c r="C247" s="20" t="str">
        <f aca="false">F01_UC2!C316</f>
        <v>Vận tải nội địa NCC5</v>
      </c>
      <c r="D247" s="20" t="str">
        <f aca="false">F01_UC2!D316</f>
        <v>OUT</v>
      </c>
      <c r="E247" s="78" t="n">
        <f aca="false">F01_UC2!E316</f>
        <v>0</v>
      </c>
      <c r="F247" s="80" t="n">
        <f aca="false">F01_UC2!N316</f>
        <v>46079</v>
      </c>
      <c r="G247" s="80" t="n">
        <f aca="false">F01_UC2!M316</f>
        <v>0</v>
      </c>
      <c r="H247" s="20" t="str">
        <f aca="false">F01_UC2!P316</f>
        <v>Vận tải</v>
      </c>
      <c r="I247" s="20" t="n">
        <f aca="false">F01_UC2!Q316</f>
        <v>0</v>
      </c>
      <c r="J247" s="78" t="n">
        <f aca="false">IF(AND($B$34="Hợp lệ",D247="IN",H247="Thu công nợ",C247=$B$7,OR(G247=0,$B$12=1),K247&lt;&gt;F247),E247*$B$28,0)</f>
        <v>0</v>
      </c>
      <c r="K247" s="77" t="n">
        <f aca="false">MAX(F01_UC2!$B$6,F247+$B$29)</f>
        <v>46204</v>
      </c>
      <c r="L247" s="78" t="n">
        <f aca="false">J247-M247</f>
        <v>0</v>
      </c>
      <c r="M247" s="78" t="n">
        <f aca="false">IF(K247&lt;F247,J247*$B$30,0)</f>
        <v>0</v>
      </c>
      <c r="N247" s="78" t="n">
        <f aca="false">IF(AND($B$34="Hợp lệ",D247="OUT",H247="Trả NCC",C247=$B$13,OR(I247=0,$B$17=1),O247&lt;&gt;F247),E247*$B$31,0)</f>
        <v>0</v>
      </c>
      <c r="O247" s="77" t="n">
        <f aca="false">F247+$B$15</f>
        <v>46093</v>
      </c>
      <c r="P247" s="78" t="n">
        <f aca="false">N247+Q247</f>
        <v>0</v>
      </c>
      <c r="Q247" s="78" t="n">
        <f aca="false">N247*$B$16</f>
        <v>0</v>
      </c>
      <c r="R247" s="78" t="n">
        <f aca="false">E247-J247-N247</f>
        <v>0</v>
      </c>
      <c r="S247" s="20" t="str">
        <f aca="false">IF(AND(J247&gt;=0,N247&gt;=0,R247&gt;=0,ABS(R247+J247+N247-E247)&lt;=$B$27),"Khớp","LỆCH")</f>
        <v>Khớp</v>
      </c>
      <c r="T247" s="20"/>
      <c r="U247" s="20"/>
    </row>
    <row r="248" customFormat="false" ht="24" hidden="false" customHeight="true" outlineLevel="0" collapsed="false">
      <c r="A248" s="20" t="str">
        <f aca="false">F01_UC2!A317</f>
        <v>TRANS-F01-0035</v>
      </c>
      <c r="B248" s="20" t="str">
        <f aca="false">F01_UC2!B317</f>
        <v>BILL-F01-0035</v>
      </c>
      <c r="C248" s="20" t="str">
        <f aca="false">F01_UC2!C317</f>
        <v>Vận tải nội địa NCC5</v>
      </c>
      <c r="D248" s="20" t="str">
        <f aca="false">F01_UC2!D317</f>
        <v>OUT</v>
      </c>
      <c r="E248" s="78" t="n">
        <f aca="false">F01_UC2!E317</f>
        <v>0</v>
      </c>
      <c r="F248" s="80" t="n">
        <f aca="false">F01_UC2!N317</f>
        <v>46091</v>
      </c>
      <c r="G248" s="80" t="n">
        <f aca="false">F01_UC2!M317</f>
        <v>0</v>
      </c>
      <c r="H248" s="20" t="str">
        <f aca="false">F01_UC2!P317</f>
        <v>Vận tải</v>
      </c>
      <c r="I248" s="20" t="n">
        <f aca="false">F01_UC2!Q317</f>
        <v>0</v>
      </c>
      <c r="J248" s="78" t="n">
        <f aca="false">IF(AND($B$34="Hợp lệ",D248="IN",H248="Thu công nợ",C248=$B$7,OR(G248=0,$B$12=1),K248&lt;&gt;F248),E248*$B$28,0)</f>
        <v>0</v>
      </c>
      <c r="K248" s="77" t="n">
        <f aca="false">MAX(F01_UC2!$B$6,F248+$B$29)</f>
        <v>46204</v>
      </c>
      <c r="L248" s="78" t="n">
        <f aca="false">J248-M248</f>
        <v>0</v>
      </c>
      <c r="M248" s="78" t="n">
        <f aca="false">IF(K248&lt;F248,J248*$B$30,0)</f>
        <v>0</v>
      </c>
      <c r="N248" s="78" t="n">
        <f aca="false">IF(AND($B$34="Hợp lệ",D248="OUT",H248="Trả NCC",C248=$B$13,OR(I248=0,$B$17=1),O248&lt;&gt;F248),E248*$B$31,0)</f>
        <v>0</v>
      </c>
      <c r="O248" s="77" t="n">
        <f aca="false">F248+$B$15</f>
        <v>46105</v>
      </c>
      <c r="P248" s="78" t="n">
        <f aca="false">N248+Q248</f>
        <v>0</v>
      </c>
      <c r="Q248" s="78" t="n">
        <f aca="false">N248*$B$16</f>
        <v>0</v>
      </c>
      <c r="R248" s="78" t="n">
        <f aca="false">E248-J248-N248</f>
        <v>0</v>
      </c>
      <c r="S248" s="20" t="str">
        <f aca="false">IF(AND(J248&gt;=0,N248&gt;=0,R248&gt;=0,ABS(R248+J248+N248-E248)&lt;=$B$27),"Khớp","LỆCH")</f>
        <v>Khớp</v>
      </c>
      <c r="T248" s="20"/>
      <c r="U248" s="20"/>
    </row>
    <row r="249" customFormat="false" ht="24" hidden="false" customHeight="true" outlineLevel="0" collapsed="false">
      <c r="A249" s="20" t="str">
        <f aca="false">F01_UC2!A318</f>
        <v>ELEC-F01-0036</v>
      </c>
      <c r="B249" s="20" t="str">
        <f aca="false">F01_UC2!B318</f>
        <v>BILL-F01-0036</v>
      </c>
      <c r="C249" s="20" t="str">
        <f aca="false">F01_UC2!C318</f>
        <v>Điện lực khu công nghiệp</v>
      </c>
      <c r="D249" s="20" t="str">
        <f aca="false">F01_UC2!D318</f>
        <v>OUT</v>
      </c>
      <c r="E249" s="78" t="n">
        <f aca="false">F01_UC2!E318</f>
        <v>0</v>
      </c>
      <c r="F249" s="80" t="n">
        <f aca="false">F01_UC2!N318</f>
        <v>46091</v>
      </c>
      <c r="G249" s="80" t="n">
        <f aca="false">F01_UC2!M318</f>
        <v>0</v>
      </c>
      <c r="H249" s="20" t="str">
        <f aca="false">F01_UC2!P318</f>
        <v>Tiện ích (điện)</v>
      </c>
      <c r="I249" s="20" t="n">
        <f aca="false">F01_UC2!Q318</f>
        <v>1</v>
      </c>
      <c r="J249" s="78" t="n">
        <f aca="false">IF(AND($B$34="Hợp lệ",D249="IN",H249="Thu công nợ",C249=$B$7,OR(G249=0,$B$12=1),K249&lt;&gt;F249),E249*$B$28,0)</f>
        <v>0</v>
      </c>
      <c r="K249" s="77" t="n">
        <f aca="false">MAX(F01_UC2!$B$6,F249+$B$29)</f>
        <v>46204</v>
      </c>
      <c r="L249" s="78" t="n">
        <f aca="false">J249-M249</f>
        <v>0</v>
      </c>
      <c r="M249" s="78" t="n">
        <f aca="false">IF(K249&lt;F249,J249*$B$30,0)</f>
        <v>0</v>
      </c>
      <c r="N249" s="78" t="n">
        <f aca="false">IF(AND($B$34="Hợp lệ",D249="OUT",H249="Trả NCC",C249=$B$13,OR(I249=0,$B$17=1),O249&lt;&gt;F249),E249*$B$31,0)</f>
        <v>0</v>
      </c>
      <c r="O249" s="77" t="n">
        <f aca="false">F249+$B$15</f>
        <v>46105</v>
      </c>
      <c r="P249" s="78" t="n">
        <f aca="false">N249+Q249</f>
        <v>0</v>
      </c>
      <c r="Q249" s="78" t="n">
        <f aca="false">N249*$B$16</f>
        <v>0</v>
      </c>
      <c r="R249" s="78" t="n">
        <f aca="false">E249-J249-N249</f>
        <v>0</v>
      </c>
      <c r="S249" s="20" t="str">
        <f aca="false">IF(AND(J249&gt;=0,N249&gt;=0,R249&gt;=0,ABS(R249+J249+N249-E249)&lt;=$B$27),"Khớp","LỆCH")</f>
        <v>Khớp</v>
      </c>
      <c r="T249" s="20"/>
      <c r="U249" s="20"/>
    </row>
    <row r="250" customFormat="false" ht="24" hidden="false" customHeight="true" outlineLevel="0" collapsed="false">
      <c r="A250" s="20" t="str">
        <f aca="false">F01_UC2!A319</f>
        <v>TRANS-F01-0037</v>
      </c>
      <c r="B250" s="20" t="str">
        <f aca="false">F01_UC2!B319</f>
        <v>BILL-F01-0037</v>
      </c>
      <c r="C250" s="20" t="str">
        <f aca="false">F01_UC2!C319</f>
        <v>Vận tải nội địa NCC5</v>
      </c>
      <c r="D250" s="20" t="str">
        <f aca="false">F01_UC2!D319</f>
        <v>OUT</v>
      </c>
      <c r="E250" s="78" t="n">
        <f aca="false">F01_UC2!E319</f>
        <v>0</v>
      </c>
      <c r="F250" s="80" t="n">
        <f aca="false">F01_UC2!N319</f>
        <v>46094</v>
      </c>
      <c r="G250" s="80" t="n">
        <f aca="false">F01_UC2!M319</f>
        <v>0</v>
      </c>
      <c r="H250" s="20" t="str">
        <f aca="false">F01_UC2!P319</f>
        <v>Vận tải</v>
      </c>
      <c r="I250" s="20" t="n">
        <f aca="false">F01_UC2!Q319</f>
        <v>0</v>
      </c>
      <c r="J250" s="78" t="n">
        <f aca="false">IF(AND($B$34="Hợp lệ",D250="IN",H250="Thu công nợ",C250=$B$7,OR(G250=0,$B$12=1),K250&lt;&gt;F250),E250*$B$28,0)</f>
        <v>0</v>
      </c>
      <c r="K250" s="77" t="n">
        <f aca="false">MAX(F01_UC2!$B$6,F250+$B$29)</f>
        <v>46204</v>
      </c>
      <c r="L250" s="78" t="n">
        <f aca="false">J250-M250</f>
        <v>0</v>
      </c>
      <c r="M250" s="78" t="n">
        <f aca="false">IF(K250&lt;F250,J250*$B$30,0)</f>
        <v>0</v>
      </c>
      <c r="N250" s="78" t="n">
        <f aca="false">IF(AND($B$34="Hợp lệ",D250="OUT",H250="Trả NCC",C250=$B$13,OR(I250=0,$B$17=1),O250&lt;&gt;F250),E250*$B$31,0)</f>
        <v>0</v>
      </c>
      <c r="O250" s="77" t="n">
        <f aca="false">F250+$B$15</f>
        <v>46108</v>
      </c>
      <c r="P250" s="78" t="n">
        <f aca="false">N250+Q250</f>
        <v>0</v>
      </c>
      <c r="Q250" s="78" t="n">
        <f aca="false">N250*$B$16</f>
        <v>0</v>
      </c>
      <c r="R250" s="78" t="n">
        <f aca="false">E250-J250-N250</f>
        <v>0</v>
      </c>
      <c r="S250" s="20" t="str">
        <f aca="false">IF(AND(J250&gt;=0,N250&gt;=0,R250&gt;=0,ABS(R250+J250+N250-E250)&lt;=$B$27),"Khớp","LỆCH")</f>
        <v>Khớp</v>
      </c>
      <c r="T250" s="20"/>
      <c r="U250" s="20"/>
    </row>
    <row r="251" customFormat="false" ht="24" hidden="false" customHeight="true" outlineLevel="0" collapsed="false">
      <c r="A251" s="20" t="str">
        <f aca="false">F01_UC2!A320</f>
        <v>TRANS-F01-0039</v>
      </c>
      <c r="B251" s="20" t="str">
        <f aca="false">F01_UC2!B320</f>
        <v>BILL-F01-0039</v>
      </c>
      <c r="C251" s="20" t="str">
        <f aca="false">F01_UC2!C320</f>
        <v>Vận tải nội địa NCC5</v>
      </c>
      <c r="D251" s="20" t="str">
        <f aca="false">F01_UC2!D320</f>
        <v>OUT</v>
      </c>
      <c r="E251" s="78" t="n">
        <f aca="false">F01_UC2!E320</f>
        <v>0</v>
      </c>
      <c r="F251" s="80" t="n">
        <f aca="false">F01_UC2!N320</f>
        <v>46098</v>
      </c>
      <c r="G251" s="80" t="n">
        <f aca="false">F01_UC2!M320</f>
        <v>0</v>
      </c>
      <c r="H251" s="20" t="str">
        <f aca="false">F01_UC2!P320</f>
        <v>Vận tải</v>
      </c>
      <c r="I251" s="20" t="n">
        <f aca="false">F01_UC2!Q320</f>
        <v>0</v>
      </c>
      <c r="J251" s="78" t="n">
        <f aca="false">IF(AND($B$34="Hợp lệ",D251="IN",H251="Thu công nợ",C251=$B$7,OR(G251=0,$B$12=1),K251&lt;&gt;F251),E251*$B$28,0)</f>
        <v>0</v>
      </c>
      <c r="K251" s="77" t="n">
        <f aca="false">MAX(F01_UC2!$B$6,F251+$B$29)</f>
        <v>46204</v>
      </c>
      <c r="L251" s="78" t="n">
        <f aca="false">J251-M251</f>
        <v>0</v>
      </c>
      <c r="M251" s="78" t="n">
        <f aca="false">IF(K251&lt;F251,J251*$B$30,0)</f>
        <v>0</v>
      </c>
      <c r="N251" s="78" t="n">
        <f aca="false">IF(AND($B$34="Hợp lệ",D251="OUT",H251="Trả NCC",C251=$B$13,OR(I251=0,$B$17=1),O251&lt;&gt;F251),E251*$B$31,0)</f>
        <v>0</v>
      </c>
      <c r="O251" s="77" t="n">
        <f aca="false">F251+$B$15</f>
        <v>46112</v>
      </c>
      <c r="P251" s="78" t="n">
        <f aca="false">N251+Q251</f>
        <v>0</v>
      </c>
      <c r="Q251" s="78" t="n">
        <f aca="false">N251*$B$16</f>
        <v>0</v>
      </c>
      <c r="R251" s="78" t="n">
        <f aca="false">E251-J251-N251</f>
        <v>0</v>
      </c>
      <c r="S251" s="20" t="str">
        <f aca="false">IF(AND(J251&gt;=0,N251&gt;=0,R251&gt;=0,ABS(R251+J251+N251-E251)&lt;=$B$27),"Khớp","LỆCH")</f>
        <v>Khớp</v>
      </c>
      <c r="T251" s="20"/>
      <c r="U251" s="20"/>
    </row>
    <row r="252" customFormat="false" ht="24" hidden="false" customHeight="true" outlineLevel="0" collapsed="false">
      <c r="A252" s="20" t="str">
        <f aca="false">F01_UC2!A321</f>
        <v>TRANS-F01-0042</v>
      </c>
      <c r="B252" s="20" t="str">
        <f aca="false">F01_UC2!B321</f>
        <v>BILL-F01-0042</v>
      </c>
      <c r="C252" s="20" t="str">
        <f aca="false">F01_UC2!C321</f>
        <v>Vận tải nội địa NCC5</v>
      </c>
      <c r="D252" s="20" t="str">
        <f aca="false">F01_UC2!D321</f>
        <v>OUT</v>
      </c>
      <c r="E252" s="78" t="n">
        <f aca="false">F01_UC2!E321</f>
        <v>0</v>
      </c>
      <c r="F252" s="80" t="n">
        <f aca="false">F01_UC2!N321</f>
        <v>46099</v>
      </c>
      <c r="G252" s="80" t="n">
        <f aca="false">F01_UC2!M321</f>
        <v>0</v>
      </c>
      <c r="H252" s="20" t="str">
        <f aca="false">F01_UC2!P321</f>
        <v>Vận tải</v>
      </c>
      <c r="I252" s="20" t="n">
        <f aca="false">F01_UC2!Q321</f>
        <v>0</v>
      </c>
      <c r="J252" s="78" t="n">
        <f aca="false">IF(AND($B$34="Hợp lệ",D252="IN",H252="Thu công nợ",C252=$B$7,OR(G252=0,$B$12=1),K252&lt;&gt;F252),E252*$B$28,0)</f>
        <v>0</v>
      </c>
      <c r="K252" s="77" t="n">
        <f aca="false">MAX(F01_UC2!$B$6,F252+$B$29)</f>
        <v>46204</v>
      </c>
      <c r="L252" s="78" t="n">
        <f aca="false">J252-M252</f>
        <v>0</v>
      </c>
      <c r="M252" s="78" t="n">
        <f aca="false">IF(K252&lt;F252,J252*$B$30,0)</f>
        <v>0</v>
      </c>
      <c r="N252" s="78" t="n">
        <f aca="false">IF(AND($B$34="Hợp lệ",D252="OUT",H252="Trả NCC",C252=$B$13,OR(I252=0,$B$17=1),O252&lt;&gt;F252),E252*$B$31,0)</f>
        <v>0</v>
      </c>
      <c r="O252" s="77" t="n">
        <f aca="false">F252+$B$15</f>
        <v>46113</v>
      </c>
      <c r="P252" s="78" t="n">
        <f aca="false">N252+Q252</f>
        <v>0</v>
      </c>
      <c r="Q252" s="78" t="n">
        <f aca="false">N252*$B$16</f>
        <v>0</v>
      </c>
      <c r="R252" s="78" t="n">
        <f aca="false">E252-J252-N252</f>
        <v>0</v>
      </c>
      <c r="S252" s="20" t="str">
        <f aca="false">IF(AND(J252&gt;=0,N252&gt;=0,R252&gt;=0,ABS(R252+J252+N252-E252)&lt;=$B$27),"Khớp","LỆCH")</f>
        <v>Khớp</v>
      </c>
      <c r="T252" s="20"/>
      <c r="U252" s="20"/>
    </row>
    <row r="253" customFormat="false" ht="24" hidden="false" customHeight="true" outlineLevel="0" collapsed="false">
      <c r="A253" s="20" t="str">
        <f aca="false">F01_UC2!A322</f>
        <v>TRANS-F01-0043</v>
      </c>
      <c r="B253" s="20" t="str">
        <f aca="false">F01_UC2!B322</f>
        <v>BILL-F01-0043</v>
      </c>
      <c r="C253" s="20" t="str">
        <f aca="false">F01_UC2!C322</f>
        <v>Vận tải nội địa NCC5</v>
      </c>
      <c r="D253" s="20" t="str">
        <f aca="false">F01_UC2!D322</f>
        <v>OUT</v>
      </c>
      <c r="E253" s="78" t="n">
        <f aca="false">F01_UC2!E322</f>
        <v>0</v>
      </c>
      <c r="F253" s="80" t="n">
        <f aca="false">F01_UC2!N322</f>
        <v>46101</v>
      </c>
      <c r="G253" s="80" t="n">
        <f aca="false">F01_UC2!M322</f>
        <v>0</v>
      </c>
      <c r="H253" s="20" t="str">
        <f aca="false">F01_UC2!P322</f>
        <v>Vận tải</v>
      </c>
      <c r="I253" s="20" t="n">
        <f aca="false">F01_UC2!Q322</f>
        <v>0</v>
      </c>
      <c r="J253" s="78" t="n">
        <f aca="false">IF(AND($B$34="Hợp lệ",D253="IN",H253="Thu công nợ",C253=$B$7,OR(G253=0,$B$12=1),K253&lt;&gt;F253),E253*$B$28,0)</f>
        <v>0</v>
      </c>
      <c r="K253" s="77" t="n">
        <f aca="false">MAX(F01_UC2!$B$6,F253+$B$29)</f>
        <v>46204</v>
      </c>
      <c r="L253" s="78" t="n">
        <f aca="false">J253-M253</f>
        <v>0</v>
      </c>
      <c r="M253" s="78" t="n">
        <f aca="false">IF(K253&lt;F253,J253*$B$30,0)</f>
        <v>0</v>
      </c>
      <c r="N253" s="78" t="n">
        <f aca="false">IF(AND($B$34="Hợp lệ",D253="OUT",H253="Trả NCC",C253=$B$13,OR(I253=0,$B$17=1),O253&lt;&gt;F253),E253*$B$31,0)</f>
        <v>0</v>
      </c>
      <c r="O253" s="77" t="n">
        <f aca="false">F253+$B$15</f>
        <v>46115</v>
      </c>
      <c r="P253" s="78" t="n">
        <f aca="false">N253+Q253</f>
        <v>0</v>
      </c>
      <c r="Q253" s="78" t="n">
        <f aca="false">N253*$B$16</f>
        <v>0</v>
      </c>
      <c r="R253" s="78" t="n">
        <f aca="false">E253-J253-N253</f>
        <v>0</v>
      </c>
      <c r="S253" s="20" t="str">
        <f aca="false">IF(AND(J253&gt;=0,N253&gt;=0,R253&gt;=0,ABS(R253+J253+N253-E253)&lt;=$B$27),"Khớp","LỆCH")</f>
        <v>Khớp</v>
      </c>
      <c r="T253" s="20"/>
      <c r="U253" s="20"/>
    </row>
    <row r="254" customFormat="false" ht="24" hidden="false" customHeight="true" outlineLevel="0" collapsed="false">
      <c r="A254" s="20" t="str">
        <f aca="false">F01_UC2!A323</f>
        <v>TRANS-F01-0047</v>
      </c>
      <c r="B254" s="20" t="str">
        <f aca="false">F01_UC2!B323</f>
        <v>BILL-F01-0047</v>
      </c>
      <c r="C254" s="20" t="str">
        <f aca="false">F01_UC2!C323</f>
        <v>Vận tải nội địa NCC5</v>
      </c>
      <c r="D254" s="20" t="str">
        <f aca="false">F01_UC2!D323</f>
        <v>OUT</v>
      </c>
      <c r="E254" s="78" t="n">
        <f aca="false">F01_UC2!E323</f>
        <v>0</v>
      </c>
      <c r="F254" s="80" t="n">
        <f aca="false">F01_UC2!N323</f>
        <v>46106</v>
      </c>
      <c r="G254" s="80" t="n">
        <f aca="false">F01_UC2!M323</f>
        <v>0</v>
      </c>
      <c r="H254" s="20" t="str">
        <f aca="false">F01_UC2!P323</f>
        <v>Vận tải</v>
      </c>
      <c r="I254" s="20" t="n">
        <f aca="false">F01_UC2!Q323</f>
        <v>0</v>
      </c>
      <c r="J254" s="78" t="n">
        <f aca="false">IF(AND($B$34="Hợp lệ",D254="IN",H254="Thu công nợ",C254=$B$7,OR(G254=0,$B$12=1),K254&lt;&gt;F254),E254*$B$28,0)</f>
        <v>0</v>
      </c>
      <c r="K254" s="77" t="n">
        <f aca="false">MAX(F01_UC2!$B$6,F254+$B$29)</f>
        <v>46204</v>
      </c>
      <c r="L254" s="78" t="n">
        <f aca="false">J254-M254</f>
        <v>0</v>
      </c>
      <c r="M254" s="78" t="n">
        <f aca="false">IF(K254&lt;F254,J254*$B$30,0)</f>
        <v>0</v>
      </c>
      <c r="N254" s="78" t="n">
        <f aca="false">IF(AND($B$34="Hợp lệ",D254="OUT",H254="Trả NCC",C254=$B$13,OR(I254=0,$B$17=1),O254&lt;&gt;F254),E254*$B$31,0)</f>
        <v>0</v>
      </c>
      <c r="O254" s="77" t="n">
        <f aca="false">F254+$B$15</f>
        <v>46120</v>
      </c>
      <c r="P254" s="78" t="n">
        <f aca="false">N254+Q254</f>
        <v>0</v>
      </c>
      <c r="Q254" s="78" t="n">
        <f aca="false">N254*$B$16</f>
        <v>0</v>
      </c>
      <c r="R254" s="78" t="n">
        <f aca="false">E254-J254-N254</f>
        <v>0</v>
      </c>
      <c r="S254" s="20" t="str">
        <f aca="false">IF(AND(J254&gt;=0,N254&gt;=0,R254&gt;=0,ABS(R254+J254+N254-E254)&lt;=$B$27),"Khớp","LỆCH")</f>
        <v>Khớp</v>
      </c>
      <c r="T254" s="20"/>
      <c r="U254" s="20"/>
    </row>
    <row r="255" customFormat="false" ht="24" hidden="false" customHeight="true" outlineLevel="0" collapsed="false">
      <c r="A255" s="20" t="str">
        <f aca="false">F01_UC2!A324</f>
        <v>TRANS-F01-0051</v>
      </c>
      <c r="B255" s="20" t="str">
        <f aca="false">F01_UC2!B324</f>
        <v>BILL-F01-0051</v>
      </c>
      <c r="C255" s="20" t="str">
        <f aca="false">F01_UC2!C324</f>
        <v>Vận tải nội địa NCC5</v>
      </c>
      <c r="D255" s="20" t="str">
        <f aca="false">F01_UC2!D324</f>
        <v>OUT</v>
      </c>
      <c r="E255" s="78" t="n">
        <f aca="false">F01_UC2!E324</f>
        <v>0</v>
      </c>
      <c r="F255" s="80" t="n">
        <f aca="false">F01_UC2!N324</f>
        <v>46112</v>
      </c>
      <c r="G255" s="80" t="n">
        <f aca="false">F01_UC2!M324</f>
        <v>0</v>
      </c>
      <c r="H255" s="20" t="str">
        <f aca="false">F01_UC2!P324</f>
        <v>Vận tải</v>
      </c>
      <c r="I255" s="20" t="n">
        <f aca="false">F01_UC2!Q324</f>
        <v>0</v>
      </c>
      <c r="J255" s="78" t="n">
        <f aca="false">IF(AND($B$34="Hợp lệ",D255="IN",H255="Thu công nợ",C255=$B$7,OR(G255=0,$B$12=1),K255&lt;&gt;F255),E255*$B$28,0)</f>
        <v>0</v>
      </c>
      <c r="K255" s="77" t="n">
        <f aca="false">MAX(F01_UC2!$B$6,F255+$B$29)</f>
        <v>46204</v>
      </c>
      <c r="L255" s="78" t="n">
        <f aca="false">J255-M255</f>
        <v>0</v>
      </c>
      <c r="M255" s="78" t="n">
        <f aca="false">IF(K255&lt;F255,J255*$B$30,0)</f>
        <v>0</v>
      </c>
      <c r="N255" s="78" t="n">
        <f aca="false">IF(AND($B$34="Hợp lệ",D255="OUT",H255="Trả NCC",C255=$B$13,OR(I255=0,$B$17=1),O255&lt;&gt;F255),E255*$B$31,0)</f>
        <v>0</v>
      </c>
      <c r="O255" s="77" t="n">
        <f aca="false">F255+$B$15</f>
        <v>46126</v>
      </c>
      <c r="P255" s="78" t="n">
        <f aca="false">N255+Q255</f>
        <v>0</v>
      </c>
      <c r="Q255" s="78" t="n">
        <f aca="false">N255*$B$16</f>
        <v>0</v>
      </c>
      <c r="R255" s="78" t="n">
        <f aca="false">E255-J255-N255</f>
        <v>0</v>
      </c>
      <c r="S255" s="20" t="str">
        <f aca="false">IF(AND(J255&gt;=0,N255&gt;=0,R255&gt;=0,ABS(R255+J255+N255-E255)&lt;=$B$27),"Khớp","LỆCH")</f>
        <v>Khớp</v>
      </c>
      <c r="T255" s="20"/>
      <c r="U255" s="20"/>
    </row>
    <row r="256" customFormat="false" ht="24" hidden="false" customHeight="true" outlineLevel="0" collapsed="false">
      <c r="A256" s="20" t="str">
        <f aca="false">F01_UC2!A325</f>
        <v>TRANS-F01-0054</v>
      </c>
      <c r="B256" s="20" t="str">
        <f aca="false">F01_UC2!B325</f>
        <v>BILL-F01-0054</v>
      </c>
      <c r="C256" s="20" t="str">
        <f aca="false">F01_UC2!C325</f>
        <v>Vận tải nội địa NCC5</v>
      </c>
      <c r="D256" s="20" t="str">
        <f aca="false">F01_UC2!D325</f>
        <v>OUT</v>
      </c>
      <c r="E256" s="78" t="n">
        <f aca="false">F01_UC2!E325</f>
        <v>0</v>
      </c>
      <c r="F256" s="80" t="n">
        <f aca="false">F01_UC2!N325</f>
        <v>46113</v>
      </c>
      <c r="G256" s="80" t="n">
        <f aca="false">F01_UC2!M325</f>
        <v>0</v>
      </c>
      <c r="H256" s="20" t="str">
        <f aca="false">F01_UC2!P325</f>
        <v>Vận tải</v>
      </c>
      <c r="I256" s="20" t="n">
        <f aca="false">F01_UC2!Q325</f>
        <v>0</v>
      </c>
      <c r="J256" s="78" t="n">
        <f aca="false">IF(AND($B$34="Hợp lệ",D256="IN",H256="Thu công nợ",C256=$B$7,OR(G256=0,$B$12=1),K256&lt;&gt;F256),E256*$B$28,0)</f>
        <v>0</v>
      </c>
      <c r="K256" s="77" t="n">
        <f aca="false">MAX(F01_UC2!$B$6,F256+$B$29)</f>
        <v>46204</v>
      </c>
      <c r="L256" s="78" t="n">
        <f aca="false">J256-M256</f>
        <v>0</v>
      </c>
      <c r="M256" s="78" t="n">
        <f aca="false">IF(K256&lt;F256,J256*$B$30,0)</f>
        <v>0</v>
      </c>
      <c r="N256" s="78" t="n">
        <f aca="false">IF(AND($B$34="Hợp lệ",D256="OUT",H256="Trả NCC",C256=$B$13,OR(I256=0,$B$17=1),O256&lt;&gt;F256),E256*$B$31,0)</f>
        <v>0</v>
      </c>
      <c r="O256" s="77" t="n">
        <f aca="false">F256+$B$15</f>
        <v>46127</v>
      </c>
      <c r="P256" s="78" t="n">
        <f aca="false">N256+Q256</f>
        <v>0</v>
      </c>
      <c r="Q256" s="78" t="n">
        <f aca="false">N256*$B$16</f>
        <v>0</v>
      </c>
      <c r="R256" s="78" t="n">
        <f aca="false">E256-J256-N256</f>
        <v>0</v>
      </c>
      <c r="S256" s="20" t="str">
        <f aca="false">IF(AND(J256&gt;=0,N256&gt;=0,R256&gt;=0,ABS(R256+J256+N256-E256)&lt;=$B$27),"Khớp","LỆCH")</f>
        <v>Khớp</v>
      </c>
      <c r="T256" s="20"/>
      <c r="U256" s="20"/>
    </row>
    <row r="257" customFormat="false" ht="24" hidden="false" customHeight="true" outlineLevel="0" collapsed="false">
      <c r="A257" s="20" t="str">
        <f aca="false">F01_UC2!A326</f>
        <v>ELEC-F01-0060</v>
      </c>
      <c r="B257" s="20" t="str">
        <f aca="false">F01_UC2!B326</f>
        <v>BILL-F01-0060</v>
      </c>
      <c r="C257" s="20" t="str">
        <f aca="false">F01_UC2!C326</f>
        <v>Điện lực khu công nghiệp</v>
      </c>
      <c r="D257" s="20" t="str">
        <f aca="false">F01_UC2!D326</f>
        <v>OUT</v>
      </c>
      <c r="E257" s="78" t="n">
        <f aca="false">F01_UC2!E326</f>
        <v>0</v>
      </c>
      <c r="F257" s="80" t="n">
        <f aca="false">F01_UC2!N326</f>
        <v>46125</v>
      </c>
      <c r="G257" s="80" t="n">
        <f aca="false">F01_UC2!M326</f>
        <v>0</v>
      </c>
      <c r="H257" s="20" t="str">
        <f aca="false">F01_UC2!P326</f>
        <v>Tiện ích (điện)</v>
      </c>
      <c r="I257" s="20" t="n">
        <f aca="false">F01_UC2!Q326</f>
        <v>1</v>
      </c>
      <c r="J257" s="78" t="n">
        <f aca="false">IF(AND($B$34="Hợp lệ",D257="IN",H257="Thu công nợ",C257=$B$7,OR(G257=0,$B$12=1),K257&lt;&gt;F257),E257*$B$28,0)</f>
        <v>0</v>
      </c>
      <c r="K257" s="77" t="n">
        <f aca="false">MAX(F01_UC2!$B$6,F257+$B$29)</f>
        <v>46204</v>
      </c>
      <c r="L257" s="78" t="n">
        <f aca="false">J257-M257</f>
        <v>0</v>
      </c>
      <c r="M257" s="78" t="n">
        <f aca="false">IF(K257&lt;F257,J257*$B$30,0)</f>
        <v>0</v>
      </c>
      <c r="N257" s="78" t="n">
        <f aca="false">IF(AND($B$34="Hợp lệ",D257="OUT",H257="Trả NCC",C257=$B$13,OR(I257=0,$B$17=1),O257&lt;&gt;F257),E257*$B$31,0)</f>
        <v>0</v>
      </c>
      <c r="O257" s="77" t="n">
        <f aca="false">F257+$B$15</f>
        <v>46139</v>
      </c>
      <c r="P257" s="78" t="n">
        <f aca="false">N257+Q257</f>
        <v>0</v>
      </c>
      <c r="Q257" s="78" t="n">
        <f aca="false">N257*$B$16</f>
        <v>0</v>
      </c>
      <c r="R257" s="78" t="n">
        <f aca="false">E257-J257-N257</f>
        <v>0</v>
      </c>
      <c r="S257" s="20" t="str">
        <f aca="false">IF(AND(J257&gt;=0,N257&gt;=0,R257&gt;=0,ABS(R257+J257+N257-E257)&lt;=$B$27),"Khớp","LỆCH")</f>
        <v>Khớp</v>
      </c>
      <c r="T257" s="20"/>
      <c r="U257" s="20"/>
    </row>
    <row r="258" customFormat="false" ht="24" hidden="false" customHeight="true" outlineLevel="0" collapsed="false">
      <c r="A258" s="20" t="str">
        <f aca="false">F01_UC2!A327</f>
        <v>TRANS-F01-0066</v>
      </c>
      <c r="B258" s="20" t="str">
        <f aca="false">F01_UC2!B327</f>
        <v>BILL-F01-0066</v>
      </c>
      <c r="C258" s="20" t="str">
        <f aca="false">F01_UC2!C327</f>
        <v>Vận tải nội địa NCC5</v>
      </c>
      <c r="D258" s="20" t="str">
        <f aca="false">F01_UC2!D327</f>
        <v>OUT</v>
      </c>
      <c r="E258" s="78" t="n">
        <f aca="false">F01_UC2!E327</f>
        <v>0</v>
      </c>
      <c r="F258" s="80" t="n">
        <f aca="false">F01_UC2!N327</f>
        <v>46130</v>
      </c>
      <c r="G258" s="80" t="n">
        <f aca="false">F01_UC2!M327</f>
        <v>0</v>
      </c>
      <c r="H258" s="20" t="str">
        <f aca="false">F01_UC2!P327</f>
        <v>Vận tải</v>
      </c>
      <c r="I258" s="20" t="n">
        <f aca="false">F01_UC2!Q327</f>
        <v>0</v>
      </c>
      <c r="J258" s="78" t="n">
        <f aca="false">IF(AND($B$34="Hợp lệ",D258="IN",H258="Thu công nợ",C258=$B$7,OR(G258=0,$B$12=1),K258&lt;&gt;F258),E258*$B$28,0)</f>
        <v>0</v>
      </c>
      <c r="K258" s="77" t="n">
        <f aca="false">MAX(F01_UC2!$B$6,F258+$B$29)</f>
        <v>46204</v>
      </c>
      <c r="L258" s="78" t="n">
        <f aca="false">J258-M258</f>
        <v>0</v>
      </c>
      <c r="M258" s="78" t="n">
        <f aca="false">IF(K258&lt;F258,J258*$B$30,0)</f>
        <v>0</v>
      </c>
      <c r="N258" s="78" t="n">
        <f aca="false">IF(AND($B$34="Hợp lệ",D258="OUT",H258="Trả NCC",C258=$B$13,OR(I258=0,$B$17=1),O258&lt;&gt;F258),E258*$B$31,0)</f>
        <v>0</v>
      </c>
      <c r="O258" s="77" t="n">
        <f aca="false">F258+$B$15</f>
        <v>46144</v>
      </c>
      <c r="P258" s="78" t="n">
        <f aca="false">N258+Q258</f>
        <v>0</v>
      </c>
      <c r="Q258" s="78" t="n">
        <f aca="false">N258*$B$16</f>
        <v>0</v>
      </c>
      <c r="R258" s="78" t="n">
        <f aca="false">E258-J258-N258</f>
        <v>0</v>
      </c>
      <c r="S258" s="20" t="str">
        <f aca="false">IF(AND(J258&gt;=0,N258&gt;=0,R258&gt;=0,ABS(R258+J258+N258-E258)&lt;=$B$27),"Khớp","LỆCH")</f>
        <v>Khớp</v>
      </c>
      <c r="T258" s="20"/>
      <c r="U258" s="20"/>
    </row>
    <row r="259" customFormat="false" ht="24" hidden="false" customHeight="true" outlineLevel="0" collapsed="false">
      <c r="A259" s="20" t="str">
        <f aca="false">F01_UC2!A328</f>
        <v>TRANS-F01-0078</v>
      </c>
      <c r="B259" s="20" t="str">
        <f aca="false">F01_UC2!B328</f>
        <v>BILL-F01-0078</v>
      </c>
      <c r="C259" s="20" t="str">
        <f aca="false">F01_UC2!C328</f>
        <v>Vận tải nội địa NCC5</v>
      </c>
      <c r="D259" s="20" t="str">
        <f aca="false">F01_UC2!D328</f>
        <v>OUT</v>
      </c>
      <c r="E259" s="78" t="n">
        <f aca="false">F01_UC2!E328</f>
        <v>0</v>
      </c>
      <c r="F259" s="80" t="n">
        <f aca="false">F01_UC2!N328</f>
        <v>46146</v>
      </c>
      <c r="G259" s="80" t="n">
        <f aca="false">F01_UC2!M328</f>
        <v>0</v>
      </c>
      <c r="H259" s="20" t="str">
        <f aca="false">F01_UC2!P328</f>
        <v>Vận tải</v>
      </c>
      <c r="I259" s="20" t="n">
        <f aca="false">F01_UC2!Q328</f>
        <v>0</v>
      </c>
      <c r="J259" s="78" t="n">
        <f aca="false">IF(AND($B$34="Hợp lệ",D259="IN",H259="Thu công nợ",C259=$B$7,OR(G259=0,$B$12=1),K259&lt;&gt;F259),E259*$B$28,0)</f>
        <v>0</v>
      </c>
      <c r="K259" s="77" t="n">
        <f aca="false">MAX(F01_UC2!$B$6,F259+$B$29)</f>
        <v>46204</v>
      </c>
      <c r="L259" s="78" t="n">
        <f aca="false">J259-M259</f>
        <v>0</v>
      </c>
      <c r="M259" s="78" t="n">
        <f aca="false">IF(K259&lt;F259,J259*$B$30,0)</f>
        <v>0</v>
      </c>
      <c r="N259" s="78" t="n">
        <f aca="false">IF(AND($B$34="Hợp lệ",D259="OUT",H259="Trả NCC",C259=$B$13,OR(I259=0,$B$17=1),O259&lt;&gt;F259),E259*$B$31,0)</f>
        <v>0</v>
      </c>
      <c r="O259" s="77" t="n">
        <f aca="false">F259+$B$15</f>
        <v>46160</v>
      </c>
      <c r="P259" s="78" t="n">
        <f aca="false">N259+Q259</f>
        <v>0</v>
      </c>
      <c r="Q259" s="78" t="n">
        <f aca="false">N259*$B$16</f>
        <v>0</v>
      </c>
      <c r="R259" s="78" t="n">
        <f aca="false">E259-J259-N259</f>
        <v>0</v>
      </c>
      <c r="S259" s="20" t="str">
        <f aca="false">IF(AND(J259&gt;=0,N259&gt;=0,R259&gt;=0,ABS(R259+J259+N259-E259)&lt;=$B$27),"Khớp","LỆCH")</f>
        <v>Khớp</v>
      </c>
      <c r="T259" s="20"/>
      <c r="U259" s="20"/>
    </row>
    <row r="260" customFormat="false" ht="24" hidden="false" customHeight="true" outlineLevel="0" collapsed="false">
      <c r="A260" s="20" t="str">
        <f aca="false">F01_UC2!A329</f>
        <v>ELEC-F01-0084</v>
      </c>
      <c r="B260" s="20" t="str">
        <f aca="false">F01_UC2!B329</f>
        <v>BILL-F01-0084</v>
      </c>
      <c r="C260" s="20" t="str">
        <f aca="false">F01_UC2!C329</f>
        <v>Điện lực khu công nghiệp</v>
      </c>
      <c r="D260" s="20" t="str">
        <f aca="false">F01_UC2!D329</f>
        <v>OUT</v>
      </c>
      <c r="E260" s="78" t="n">
        <f aca="false">F01_UC2!E329</f>
        <v>0</v>
      </c>
      <c r="F260" s="80" t="n">
        <f aca="false">F01_UC2!N329</f>
        <v>46155</v>
      </c>
      <c r="G260" s="80" t="n">
        <f aca="false">F01_UC2!M329</f>
        <v>0</v>
      </c>
      <c r="H260" s="20" t="str">
        <f aca="false">F01_UC2!P329</f>
        <v>Tiện ích (điện)</v>
      </c>
      <c r="I260" s="20" t="n">
        <f aca="false">F01_UC2!Q329</f>
        <v>1</v>
      </c>
      <c r="J260" s="78" t="n">
        <f aca="false">IF(AND($B$34="Hợp lệ",D260="IN",H260="Thu công nợ",C260=$B$7,OR(G260=0,$B$12=1),K260&lt;&gt;F260),E260*$B$28,0)</f>
        <v>0</v>
      </c>
      <c r="K260" s="77" t="n">
        <f aca="false">MAX(F01_UC2!$B$6,F260+$B$29)</f>
        <v>46204</v>
      </c>
      <c r="L260" s="78" t="n">
        <f aca="false">J260-M260</f>
        <v>0</v>
      </c>
      <c r="M260" s="78" t="n">
        <f aca="false">IF(K260&lt;F260,J260*$B$30,0)</f>
        <v>0</v>
      </c>
      <c r="N260" s="78" t="n">
        <f aca="false">IF(AND($B$34="Hợp lệ",D260="OUT",H260="Trả NCC",C260=$B$13,OR(I260=0,$B$17=1),O260&lt;&gt;F260),E260*$B$31,0)</f>
        <v>0</v>
      </c>
      <c r="O260" s="77" t="n">
        <f aca="false">F260+$B$15</f>
        <v>46169</v>
      </c>
      <c r="P260" s="78" t="n">
        <f aca="false">N260+Q260</f>
        <v>0</v>
      </c>
      <c r="Q260" s="78" t="n">
        <f aca="false">N260*$B$16</f>
        <v>0</v>
      </c>
      <c r="R260" s="78" t="n">
        <f aca="false">E260-J260-N260</f>
        <v>0</v>
      </c>
      <c r="S260" s="20" t="str">
        <f aca="false">IF(AND(J260&gt;=0,N260&gt;=0,R260&gt;=0,ABS(R260+J260+N260-E260)&lt;=$B$27),"Khớp","LỆCH")</f>
        <v>Khớp</v>
      </c>
      <c r="T260" s="20"/>
      <c r="U260" s="20"/>
    </row>
    <row r="261" customFormat="false" ht="24" hidden="false" customHeight="true" outlineLevel="0" collapsed="false">
      <c r="A261" s="20" t="str">
        <f aca="false">F01_UC2!A330</f>
        <v>TRANS-F01-0087</v>
      </c>
      <c r="B261" s="20" t="str">
        <f aca="false">F01_UC2!B330</f>
        <v>BILL-F01-0087</v>
      </c>
      <c r="C261" s="20" t="str">
        <f aca="false">F01_UC2!C330</f>
        <v>Vận tải nội địa NCC5</v>
      </c>
      <c r="D261" s="20" t="str">
        <f aca="false">F01_UC2!D330</f>
        <v>OUT</v>
      </c>
      <c r="E261" s="78" t="n">
        <f aca="false">F01_UC2!E330</f>
        <v>0</v>
      </c>
      <c r="F261" s="80" t="n">
        <f aca="false">F01_UC2!N330</f>
        <v>46155</v>
      </c>
      <c r="G261" s="80" t="n">
        <f aca="false">F01_UC2!M330</f>
        <v>0</v>
      </c>
      <c r="H261" s="20" t="str">
        <f aca="false">F01_UC2!P330</f>
        <v>Vận tải</v>
      </c>
      <c r="I261" s="20" t="n">
        <f aca="false">F01_UC2!Q330</f>
        <v>0</v>
      </c>
      <c r="J261" s="78" t="n">
        <f aca="false">IF(AND($B$34="Hợp lệ",D261="IN",H261="Thu công nợ",C261=$B$7,OR(G261=0,$B$12=1),K261&lt;&gt;F261),E261*$B$28,0)</f>
        <v>0</v>
      </c>
      <c r="K261" s="77" t="n">
        <f aca="false">MAX(F01_UC2!$B$6,F261+$B$29)</f>
        <v>46204</v>
      </c>
      <c r="L261" s="78" t="n">
        <f aca="false">J261-M261</f>
        <v>0</v>
      </c>
      <c r="M261" s="78" t="n">
        <f aca="false">IF(K261&lt;F261,J261*$B$30,0)</f>
        <v>0</v>
      </c>
      <c r="N261" s="78" t="n">
        <f aca="false">IF(AND($B$34="Hợp lệ",D261="OUT",H261="Trả NCC",C261=$B$13,OR(I261=0,$B$17=1),O261&lt;&gt;F261),E261*$B$31,0)</f>
        <v>0</v>
      </c>
      <c r="O261" s="77" t="n">
        <f aca="false">F261+$B$15</f>
        <v>46169</v>
      </c>
      <c r="P261" s="78" t="n">
        <f aca="false">N261+Q261</f>
        <v>0</v>
      </c>
      <c r="Q261" s="78" t="n">
        <f aca="false">N261*$B$16</f>
        <v>0</v>
      </c>
      <c r="R261" s="78" t="n">
        <f aca="false">E261-J261-N261</f>
        <v>0</v>
      </c>
      <c r="S261" s="20" t="str">
        <f aca="false">IF(AND(J261&gt;=0,N261&gt;=0,R261&gt;=0,ABS(R261+J261+N261-E261)&lt;=$B$27),"Khớp","LỆCH")</f>
        <v>Khớp</v>
      </c>
      <c r="T261" s="20"/>
      <c r="U261" s="20"/>
    </row>
    <row r="262" customFormat="false" ht="24" hidden="false" customHeight="true" outlineLevel="0" collapsed="false">
      <c r="A262" s="20" t="str">
        <f aca="false">F01_UC2!A331</f>
        <v>TRANS-F01-0098</v>
      </c>
      <c r="B262" s="20" t="str">
        <f aca="false">F01_UC2!B331</f>
        <v>BILL-F01-0098</v>
      </c>
      <c r="C262" s="20" t="str">
        <f aca="false">F01_UC2!C331</f>
        <v>Vận tải nội địa NCC5</v>
      </c>
      <c r="D262" s="20" t="str">
        <f aca="false">F01_UC2!D331</f>
        <v>OUT</v>
      </c>
      <c r="E262" s="78" t="n">
        <f aca="false">F01_UC2!E331</f>
        <v>0</v>
      </c>
      <c r="F262" s="80" t="n">
        <f aca="false">F01_UC2!N331</f>
        <v>46170</v>
      </c>
      <c r="G262" s="80" t="n">
        <f aca="false">F01_UC2!M331</f>
        <v>0</v>
      </c>
      <c r="H262" s="20" t="str">
        <f aca="false">F01_UC2!P331</f>
        <v>Vận tải</v>
      </c>
      <c r="I262" s="20" t="n">
        <f aca="false">F01_UC2!Q331</f>
        <v>0</v>
      </c>
      <c r="J262" s="78" t="n">
        <f aca="false">IF(AND($B$34="Hợp lệ",D262="IN",H262="Thu công nợ",C262=$B$7,OR(G262=0,$B$12=1),K262&lt;&gt;F262),E262*$B$28,0)</f>
        <v>0</v>
      </c>
      <c r="K262" s="77" t="n">
        <f aca="false">MAX(F01_UC2!$B$6,F262+$B$29)</f>
        <v>46204</v>
      </c>
      <c r="L262" s="78" t="n">
        <f aca="false">J262-M262</f>
        <v>0</v>
      </c>
      <c r="M262" s="78" t="n">
        <f aca="false">IF(K262&lt;F262,J262*$B$30,0)</f>
        <v>0</v>
      </c>
      <c r="N262" s="78" t="n">
        <f aca="false">IF(AND($B$34="Hợp lệ",D262="OUT",H262="Trả NCC",C262=$B$13,OR(I262=0,$B$17=1),O262&lt;&gt;F262),E262*$B$31,0)</f>
        <v>0</v>
      </c>
      <c r="O262" s="77" t="n">
        <f aca="false">F262+$B$15</f>
        <v>46184</v>
      </c>
      <c r="P262" s="78" t="n">
        <f aca="false">N262+Q262</f>
        <v>0</v>
      </c>
      <c r="Q262" s="78" t="n">
        <f aca="false">N262*$B$16</f>
        <v>0</v>
      </c>
      <c r="R262" s="78" t="n">
        <f aca="false">E262-J262-N262</f>
        <v>0</v>
      </c>
      <c r="S262" s="20" t="str">
        <f aca="false">IF(AND(J262&gt;=0,N262&gt;=0,R262&gt;=0,ABS(R262+J262+N262-E262)&lt;=$B$27),"Khớp","LỆCH")</f>
        <v>Khớp</v>
      </c>
      <c r="T262" s="20"/>
      <c r="U262" s="20"/>
    </row>
    <row r="263" customFormat="false" ht="24" hidden="false" customHeight="true" outlineLevel="0" collapsed="false">
      <c r="A263" s="20" t="str">
        <f aca="false">F01_UC2!A332</f>
        <v>TRANS-F01-0101</v>
      </c>
      <c r="B263" s="20" t="str">
        <f aca="false">F01_UC2!B332</f>
        <v>BILL-F01-0101</v>
      </c>
      <c r="C263" s="20" t="str">
        <f aca="false">F01_UC2!C332</f>
        <v>Vận tải nội địa NCC5</v>
      </c>
      <c r="D263" s="20" t="str">
        <f aca="false">F01_UC2!D332</f>
        <v>OUT</v>
      </c>
      <c r="E263" s="78" t="n">
        <f aca="false">F01_UC2!E332</f>
        <v>0</v>
      </c>
      <c r="F263" s="80" t="n">
        <f aca="false">F01_UC2!N332</f>
        <v>46169</v>
      </c>
      <c r="G263" s="80" t="n">
        <f aca="false">F01_UC2!M332</f>
        <v>0</v>
      </c>
      <c r="H263" s="20" t="str">
        <f aca="false">F01_UC2!P332</f>
        <v>Vận tải</v>
      </c>
      <c r="I263" s="20" t="n">
        <f aca="false">F01_UC2!Q332</f>
        <v>0</v>
      </c>
      <c r="J263" s="78" t="n">
        <f aca="false">IF(AND($B$34="Hợp lệ",D263="IN",H263="Thu công nợ",C263=$B$7,OR(G263=0,$B$12=1),K263&lt;&gt;F263),E263*$B$28,0)</f>
        <v>0</v>
      </c>
      <c r="K263" s="77" t="n">
        <f aca="false">MAX(F01_UC2!$B$6,F263+$B$29)</f>
        <v>46204</v>
      </c>
      <c r="L263" s="78" t="n">
        <f aca="false">J263-M263</f>
        <v>0</v>
      </c>
      <c r="M263" s="78" t="n">
        <f aca="false">IF(K263&lt;F263,J263*$B$30,0)</f>
        <v>0</v>
      </c>
      <c r="N263" s="78" t="n">
        <f aca="false">IF(AND($B$34="Hợp lệ",D263="OUT",H263="Trả NCC",C263=$B$13,OR(I263=0,$B$17=1),O263&lt;&gt;F263),E263*$B$31,0)</f>
        <v>0</v>
      </c>
      <c r="O263" s="77" t="n">
        <f aca="false">F263+$B$15</f>
        <v>46183</v>
      </c>
      <c r="P263" s="78" t="n">
        <f aca="false">N263+Q263</f>
        <v>0</v>
      </c>
      <c r="Q263" s="78" t="n">
        <f aca="false">N263*$B$16</f>
        <v>0</v>
      </c>
      <c r="R263" s="78" t="n">
        <f aca="false">E263-J263-N263</f>
        <v>0</v>
      </c>
      <c r="S263" s="20" t="str">
        <f aca="false">IF(AND(J263&gt;=0,N263&gt;=0,R263&gt;=0,ABS(R263+J263+N263-E263)&lt;=$B$27),"Khớp","LỆCH")</f>
        <v>Khớp</v>
      </c>
      <c r="T263" s="20"/>
      <c r="U263" s="20"/>
    </row>
    <row r="264" customFormat="false" ht="24" hidden="false" customHeight="true" outlineLevel="0" collapsed="false">
      <c r="A264" s="20" t="str">
        <f aca="false">F01_UC2!A333</f>
        <v>TRANS-F01-0102</v>
      </c>
      <c r="B264" s="20" t="str">
        <f aca="false">F01_UC2!B333</f>
        <v>BILL-F01-0102</v>
      </c>
      <c r="C264" s="20" t="str">
        <f aca="false">F01_UC2!C333</f>
        <v>Vận tải nội địa NCC5</v>
      </c>
      <c r="D264" s="20" t="str">
        <f aca="false">F01_UC2!D333</f>
        <v>OUT</v>
      </c>
      <c r="E264" s="78" t="n">
        <f aca="false">F01_UC2!E333</f>
        <v>0</v>
      </c>
      <c r="F264" s="80" t="n">
        <f aca="false">F01_UC2!N333</f>
        <v>46175</v>
      </c>
      <c r="G264" s="80" t="n">
        <f aca="false">F01_UC2!M333</f>
        <v>0</v>
      </c>
      <c r="H264" s="20" t="str">
        <f aca="false">F01_UC2!P333</f>
        <v>Vận tải</v>
      </c>
      <c r="I264" s="20" t="n">
        <f aca="false">F01_UC2!Q333</f>
        <v>0</v>
      </c>
      <c r="J264" s="78" t="n">
        <f aca="false">IF(AND($B$34="Hợp lệ",D264="IN",H264="Thu công nợ",C264=$B$7,OR(G264=0,$B$12=1),K264&lt;&gt;F264),E264*$B$28,0)</f>
        <v>0</v>
      </c>
      <c r="K264" s="77" t="n">
        <f aca="false">MAX(F01_UC2!$B$6,F264+$B$29)</f>
        <v>46204</v>
      </c>
      <c r="L264" s="78" t="n">
        <f aca="false">J264-M264</f>
        <v>0</v>
      </c>
      <c r="M264" s="78" t="n">
        <f aca="false">IF(K264&lt;F264,J264*$B$30,0)</f>
        <v>0</v>
      </c>
      <c r="N264" s="78" t="n">
        <f aca="false">IF(AND($B$34="Hợp lệ",D264="OUT",H264="Trả NCC",C264=$B$13,OR(I264=0,$B$17=1),O264&lt;&gt;F264),E264*$B$31,0)</f>
        <v>0</v>
      </c>
      <c r="O264" s="77" t="n">
        <f aca="false">F264+$B$15</f>
        <v>46189</v>
      </c>
      <c r="P264" s="78" t="n">
        <f aca="false">N264+Q264</f>
        <v>0</v>
      </c>
      <c r="Q264" s="78" t="n">
        <f aca="false">N264*$B$16</f>
        <v>0</v>
      </c>
      <c r="R264" s="78" t="n">
        <f aca="false">E264-J264-N264</f>
        <v>0</v>
      </c>
      <c r="S264" s="20" t="str">
        <f aca="false">IF(AND(J264&gt;=0,N264&gt;=0,R264&gt;=0,ABS(R264+J264+N264-E264)&lt;=$B$27),"Khớp","LỆCH")</f>
        <v>Khớp</v>
      </c>
      <c r="T264" s="20"/>
      <c r="U264" s="20"/>
    </row>
    <row r="265" customFormat="false" ht="24" hidden="false" customHeight="true" outlineLevel="0" collapsed="false">
      <c r="A265" s="20" t="str">
        <f aca="false">F01_UC2!A334</f>
        <v>ELEC-F01-0107</v>
      </c>
      <c r="B265" s="20" t="str">
        <f aca="false">F01_UC2!B334</f>
        <v>BILL-F01-0107</v>
      </c>
      <c r="C265" s="20" t="str">
        <f aca="false">F01_UC2!C334</f>
        <v>Điện lực khu công nghiệp</v>
      </c>
      <c r="D265" s="20" t="str">
        <f aca="false">F01_UC2!D334</f>
        <v>OUT</v>
      </c>
      <c r="E265" s="78" t="n">
        <f aca="false">F01_UC2!E334</f>
        <v>0</v>
      </c>
      <c r="F265" s="80" t="n">
        <f aca="false">F01_UC2!N334</f>
        <v>46186</v>
      </c>
      <c r="G265" s="80" t="n">
        <f aca="false">F01_UC2!M334</f>
        <v>0</v>
      </c>
      <c r="H265" s="20" t="str">
        <f aca="false">F01_UC2!P334</f>
        <v>Tiện ích (điện)</v>
      </c>
      <c r="I265" s="20" t="n">
        <f aca="false">F01_UC2!Q334</f>
        <v>1</v>
      </c>
      <c r="J265" s="78" t="n">
        <f aca="false">IF(AND($B$34="Hợp lệ",D265="IN",H265="Thu công nợ",C265=$B$7,OR(G265=0,$B$12=1),K265&lt;&gt;F265),E265*$B$28,0)</f>
        <v>0</v>
      </c>
      <c r="K265" s="77" t="n">
        <f aca="false">MAX(F01_UC2!$B$6,F265+$B$29)</f>
        <v>46204</v>
      </c>
      <c r="L265" s="78" t="n">
        <f aca="false">J265-M265</f>
        <v>0</v>
      </c>
      <c r="M265" s="78" t="n">
        <f aca="false">IF(K265&lt;F265,J265*$B$30,0)</f>
        <v>0</v>
      </c>
      <c r="N265" s="78" t="n">
        <f aca="false">IF(AND($B$34="Hợp lệ",D265="OUT",H265="Trả NCC",C265=$B$13,OR(I265=0,$B$17=1),O265&lt;&gt;F265),E265*$B$31,0)</f>
        <v>0</v>
      </c>
      <c r="O265" s="77" t="n">
        <f aca="false">F265+$B$15</f>
        <v>46200</v>
      </c>
      <c r="P265" s="78" t="n">
        <f aca="false">N265+Q265</f>
        <v>0</v>
      </c>
      <c r="Q265" s="78" t="n">
        <f aca="false">N265*$B$16</f>
        <v>0</v>
      </c>
      <c r="R265" s="78" t="n">
        <f aca="false">E265-J265-N265</f>
        <v>0</v>
      </c>
      <c r="S265" s="20" t="str">
        <f aca="false">IF(AND(J265&gt;=0,N265&gt;=0,R265&gt;=0,ABS(R265+J265+N265-E265)&lt;=$B$27),"Khớp","LỆCH")</f>
        <v>Khớp</v>
      </c>
      <c r="T265" s="20"/>
      <c r="U265" s="20"/>
    </row>
    <row r="266" customFormat="false" ht="24" hidden="false" customHeight="true" outlineLevel="0" collapsed="false">
      <c r="A266" s="20" t="str">
        <f aca="false">F01_UC2!A335</f>
        <v>TRANS-F01-0110</v>
      </c>
      <c r="B266" s="20" t="str">
        <f aca="false">F01_UC2!B335</f>
        <v>BILL-F01-0110</v>
      </c>
      <c r="C266" s="20" t="str">
        <f aca="false">F01_UC2!C335</f>
        <v>Vận tải nội địa NCC5</v>
      </c>
      <c r="D266" s="20" t="str">
        <f aca="false">F01_UC2!D335</f>
        <v>OUT</v>
      </c>
      <c r="E266" s="78" t="n">
        <f aca="false">F01_UC2!E335</f>
        <v>0</v>
      </c>
      <c r="F266" s="80" t="n">
        <f aca="false">F01_UC2!N335</f>
        <v>46186</v>
      </c>
      <c r="G266" s="80" t="n">
        <f aca="false">F01_UC2!M335</f>
        <v>0</v>
      </c>
      <c r="H266" s="20" t="str">
        <f aca="false">F01_UC2!P335</f>
        <v>Vận tải</v>
      </c>
      <c r="I266" s="20" t="n">
        <f aca="false">F01_UC2!Q335</f>
        <v>0</v>
      </c>
      <c r="J266" s="78" t="n">
        <f aca="false">IF(AND($B$34="Hợp lệ",D266="IN",H266="Thu công nợ",C266=$B$7,OR(G266=0,$B$12=1),K266&lt;&gt;F266),E266*$B$28,0)</f>
        <v>0</v>
      </c>
      <c r="K266" s="77" t="n">
        <f aca="false">MAX(F01_UC2!$B$6,F266+$B$29)</f>
        <v>46204</v>
      </c>
      <c r="L266" s="78" t="n">
        <f aca="false">J266-M266</f>
        <v>0</v>
      </c>
      <c r="M266" s="78" t="n">
        <f aca="false">IF(K266&lt;F266,J266*$B$30,0)</f>
        <v>0</v>
      </c>
      <c r="N266" s="78" t="n">
        <f aca="false">IF(AND($B$34="Hợp lệ",D266="OUT",H266="Trả NCC",C266=$B$13,OR(I266=0,$B$17=1),O266&lt;&gt;F266),E266*$B$31,0)</f>
        <v>0</v>
      </c>
      <c r="O266" s="77" t="n">
        <f aca="false">F266+$B$15</f>
        <v>46200</v>
      </c>
      <c r="P266" s="78" t="n">
        <f aca="false">N266+Q266</f>
        <v>0</v>
      </c>
      <c r="Q266" s="78" t="n">
        <f aca="false">N266*$B$16</f>
        <v>0</v>
      </c>
      <c r="R266" s="78" t="n">
        <f aca="false">E266-J266-N266</f>
        <v>0</v>
      </c>
      <c r="S266" s="20" t="str">
        <f aca="false">IF(AND(J266&gt;=0,N266&gt;=0,R266&gt;=0,ABS(R266+J266+N266-E266)&lt;=$B$27),"Khớp","LỆCH")</f>
        <v>Khớp</v>
      </c>
      <c r="T266" s="20"/>
      <c r="U266" s="20"/>
    </row>
    <row r="267" customFormat="false" ht="24" hidden="false" customHeight="true" outlineLevel="0" collapsed="false">
      <c r="A267" s="20" t="str">
        <f aca="false">F01_UC2!A336</f>
        <v>TRANS-F01-0113</v>
      </c>
      <c r="B267" s="20" t="str">
        <f aca="false">F01_UC2!B336</f>
        <v>BILL-F01-0113</v>
      </c>
      <c r="C267" s="20" t="str">
        <f aca="false">F01_UC2!C336</f>
        <v>Vận tải nội địa NCC5</v>
      </c>
      <c r="D267" s="20" t="str">
        <f aca="false">F01_UC2!D336</f>
        <v>OUT</v>
      </c>
      <c r="E267" s="78" t="n">
        <f aca="false">F01_UC2!E336</f>
        <v>0</v>
      </c>
      <c r="F267" s="80" t="n">
        <f aca="false">F01_UC2!N336</f>
        <v>46188</v>
      </c>
      <c r="G267" s="80" t="n">
        <f aca="false">F01_UC2!M336</f>
        <v>0</v>
      </c>
      <c r="H267" s="20" t="str">
        <f aca="false">F01_UC2!P336</f>
        <v>Vận tải</v>
      </c>
      <c r="I267" s="20" t="n">
        <f aca="false">F01_UC2!Q336</f>
        <v>0</v>
      </c>
      <c r="J267" s="78" t="n">
        <f aca="false">IF(AND($B$34="Hợp lệ",D267="IN",H267="Thu công nợ",C267=$B$7,OR(G267=0,$B$12=1),K267&lt;&gt;F267),E267*$B$28,0)</f>
        <v>0</v>
      </c>
      <c r="K267" s="77" t="n">
        <f aca="false">MAX(F01_UC2!$B$6,F267+$B$29)</f>
        <v>46204</v>
      </c>
      <c r="L267" s="78" t="n">
        <f aca="false">J267-M267</f>
        <v>0</v>
      </c>
      <c r="M267" s="78" t="n">
        <f aca="false">IF(K267&lt;F267,J267*$B$30,0)</f>
        <v>0</v>
      </c>
      <c r="N267" s="78" t="n">
        <f aca="false">IF(AND($B$34="Hợp lệ",D267="OUT",H267="Trả NCC",C267=$B$13,OR(I267=0,$B$17=1),O267&lt;&gt;F267),E267*$B$31,0)</f>
        <v>0</v>
      </c>
      <c r="O267" s="77" t="n">
        <f aca="false">F267+$B$15</f>
        <v>46202</v>
      </c>
      <c r="P267" s="78" t="n">
        <f aca="false">N267+Q267</f>
        <v>0</v>
      </c>
      <c r="Q267" s="78" t="n">
        <f aca="false">N267*$B$16</f>
        <v>0</v>
      </c>
      <c r="R267" s="78" t="n">
        <f aca="false">E267-J267-N267</f>
        <v>0</v>
      </c>
      <c r="S267" s="20" t="str">
        <f aca="false">IF(AND(J267&gt;=0,N267&gt;=0,R267&gt;=0,ABS(R267+J267+N267-E267)&lt;=$B$27),"Khớp","LỆCH")</f>
        <v>Khớp</v>
      </c>
      <c r="T267" s="20"/>
      <c r="U267" s="20"/>
    </row>
    <row r="268" customFormat="false" ht="24" hidden="false" customHeight="true" outlineLevel="0" collapsed="false">
      <c r="A268" s="20" t="str">
        <f aca="false">F01_UC2!A337</f>
        <v>TRANS-F01-0122</v>
      </c>
      <c r="B268" s="20" t="str">
        <f aca="false">F01_UC2!B337</f>
        <v>BILL-F01-0122</v>
      </c>
      <c r="C268" s="20" t="str">
        <f aca="false">F01_UC2!C337</f>
        <v>Vận tải nội địa NCC5</v>
      </c>
      <c r="D268" s="20" t="str">
        <f aca="false">F01_UC2!D337</f>
        <v>OUT</v>
      </c>
      <c r="E268" s="78" t="n">
        <f aca="false">F01_UC2!E337</f>
        <v>0</v>
      </c>
      <c r="F268" s="80" t="n">
        <f aca="false">F01_UC2!N337</f>
        <v>46204</v>
      </c>
      <c r="G268" s="80" t="n">
        <f aca="false">F01_UC2!M337</f>
        <v>0</v>
      </c>
      <c r="H268" s="20" t="str">
        <f aca="false">F01_UC2!P337</f>
        <v>Vận tải</v>
      </c>
      <c r="I268" s="20" t="n">
        <f aca="false">F01_UC2!Q337</f>
        <v>0</v>
      </c>
      <c r="J268" s="78" t="n">
        <f aca="false">IF(AND($B$34="Hợp lệ",D268="IN",H268="Thu công nợ",C268=$B$7,OR(G268=0,$B$12=1),K268&lt;&gt;F268),E268*$B$28,0)</f>
        <v>0</v>
      </c>
      <c r="K268" s="77" t="n">
        <f aca="false">MAX(F01_UC2!$B$6,F268+$B$29)</f>
        <v>46204</v>
      </c>
      <c r="L268" s="78" t="n">
        <f aca="false">J268-M268</f>
        <v>0</v>
      </c>
      <c r="M268" s="78" t="n">
        <f aca="false">IF(K268&lt;F268,J268*$B$30,0)</f>
        <v>0</v>
      </c>
      <c r="N268" s="78" t="n">
        <f aca="false">IF(AND($B$34="Hợp lệ",D268="OUT",H268="Trả NCC",C268=$B$13,OR(I268=0,$B$17=1),O268&lt;&gt;F268),E268*$B$31,0)</f>
        <v>0</v>
      </c>
      <c r="O268" s="77" t="n">
        <f aca="false">F268+$B$15</f>
        <v>46218</v>
      </c>
      <c r="P268" s="78" t="n">
        <f aca="false">N268+Q268</f>
        <v>0</v>
      </c>
      <c r="Q268" s="78" t="n">
        <f aca="false">N268*$B$16</f>
        <v>0</v>
      </c>
      <c r="R268" s="78" t="n">
        <f aca="false">E268-J268-N268</f>
        <v>0</v>
      </c>
      <c r="S268" s="20" t="str">
        <f aca="false">IF(AND(J268&gt;=0,N268&gt;=0,R268&gt;=0,ABS(R268+J268+N268-E268)&lt;=$B$27),"Khớp","LỆCH")</f>
        <v>Khớp</v>
      </c>
      <c r="T268" s="20"/>
      <c r="U268" s="20"/>
    </row>
    <row r="269" customFormat="false" ht="24" hidden="false" customHeight="true" outlineLevel="0" collapsed="false">
      <c r="A269" s="20" t="str">
        <f aca="false">F01_UC2!A338</f>
        <v>TRANS-F01-0124</v>
      </c>
      <c r="B269" s="20" t="str">
        <f aca="false">F01_UC2!B338</f>
        <v>BILL-F01-0124</v>
      </c>
      <c r="C269" s="20" t="str">
        <f aca="false">F01_UC2!C338</f>
        <v>Vận tải nội địa NCC5</v>
      </c>
      <c r="D269" s="20" t="str">
        <f aca="false">F01_UC2!D338</f>
        <v>OUT</v>
      </c>
      <c r="E269" s="78" t="n">
        <f aca="false">F01_UC2!E338</f>
        <v>0</v>
      </c>
      <c r="F269" s="80" t="n">
        <f aca="false">F01_UC2!N338</f>
        <v>46206</v>
      </c>
      <c r="G269" s="80" t="n">
        <f aca="false">F01_UC2!M338</f>
        <v>0</v>
      </c>
      <c r="H269" s="20" t="str">
        <f aca="false">F01_UC2!P338</f>
        <v>Vận tải</v>
      </c>
      <c r="I269" s="20" t="n">
        <f aca="false">F01_UC2!Q338</f>
        <v>0</v>
      </c>
      <c r="J269" s="78" t="n">
        <f aca="false">IF(AND($B$34="Hợp lệ",D269="IN",H269="Thu công nợ",C269=$B$7,OR(G269=0,$B$12=1),K269&lt;&gt;F269),E269*$B$28,0)</f>
        <v>0</v>
      </c>
      <c r="K269" s="77" t="n">
        <f aca="false">MAX(F01_UC2!$B$6,F269+$B$29)</f>
        <v>46204</v>
      </c>
      <c r="L269" s="78" t="n">
        <f aca="false">J269-M269</f>
        <v>0</v>
      </c>
      <c r="M269" s="78" t="n">
        <f aca="false">IF(K269&lt;F269,J269*$B$30,0)</f>
        <v>0</v>
      </c>
      <c r="N269" s="78" t="n">
        <f aca="false">IF(AND($B$34="Hợp lệ",D269="OUT",H269="Trả NCC",C269=$B$13,OR(I269=0,$B$17=1),O269&lt;&gt;F269),E269*$B$31,0)</f>
        <v>0</v>
      </c>
      <c r="O269" s="77" t="n">
        <f aca="false">F269+$B$15</f>
        <v>46220</v>
      </c>
      <c r="P269" s="78" t="n">
        <f aca="false">N269+Q269</f>
        <v>0</v>
      </c>
      <c r="Q269" s="78" t="n">
        <f aca="false">N269*$B$16</f>
        <v>0</v>
      </c>
      <c r="R269" s="78" t="n">
        <f aca="false">E269-J269-N269</f>
        <v>0</v>
      </c>
      <c r="S269" s="20" t="str">
        <f aca="false">IF(AND(J269&gt;=0,N269&gt;=0,R269&gt;=0,ABS(R269+J269+N269-E269)&lt;=$B$27),"Khớp","LỆCH")</f>
        <v>Khớp</v>
      </c>
      <c r="T269" s="20"/>
      <c r="U269" s="20"/>
    </row>
    <row r="270" customFormat="false" ht="24" hidden="false" customHeight="true" outlineLevel="0" collapsed="false">
      <c r="A270" s="20" t="str">
        <f aca="false">F01_UC2!A339</f>
        <v>TRANS-F01-0131</v>
      </c>
      <c r="B270" s="20" t="str">
        <f aca="false">F01_UC2!B339</f>
        <v>BILL-F01-0131</v>
      </c>
      <c r="C270" s="20" t="str">
        <f aca="false">F01_UC2!C339</f>
        <v>Vận tải nội địa NCC5</v>
      </c>
      <c r="D270" s="20" t="str">
        <f aca="false">F01_UC2!D339</f>
        <v>OUT</v>
      </c>
      <c r="E270" s="78" t="n">
        <f aca="false">F01_UC2!E339</f>
        <v>0</v>
      </c>
      <c r="F270" s="80" t="n">
        <f aca="false">F01_UC2!N339</f>
        <v>46212</v>
      </c>
      <c r="G270" s="80" t="n">
        <f aca="false">F01_UC2!M339</f>
        <v>0</v>
      </c>
      <c r="H270" s="20" t="str">
        <f aca="false">F01_UC2!P339</f>
        <v>Vận tải</v>
      </c>
      <c r="I270" s="20" t="n">
        <f aca="false">F01_UC2!Q339</f>
        <v>0</v>
      </c>
      <c r="J270" s="78" t="n">
        <f aca="false">IF(AND($B$34="Hợp lệ",D270="IN",H270="Thu công nợ",C270=$B$7,OR(G270=0,$B$12=1),K270&lt;&gt;F270),E270*$B$28,0)</f>
        <v>0</v>
      </c>
      <c r="K270" s="77" t="n">
        <f aca="false">MAX(F01_UC2!$B$6,F270+$B$29)</f>
        <v>46205</v>
      </c>
      <c r="L270" s="78" t="n">
        <f aca="false">J270-M270</f>
        <v>0</v>
      </c>
      <c r="M270" s="78" t="n">
        <f aca="false">IF(K270&lt;F270,J270*$B$30,0)</f>
        <v>0</v>
      </c>
      <c r="N270" s="78" t="n">
        <f aca="false">IF(AND($B$34="Hợp lệ",D270="OUT",H270="Trả NCC",C270=$B$13,OR(I270=0,$B$17=1),O270&lt;&gt;F270),E270*$B$31,0)</f>
        <v>0</v>
      </c>
      <c r="O270" s="77" t="n">
        <f aca="false">F270+$B$15</f>
        <v>46226</v>
      </c>
      <c r="P270" s="78" t="n">
        <f aca="false">N270+Q270</f>
        <v>0</v>
      </c>
      <c r="Q270" s="78" t="n">
        <f aca="false">N270*$B$16</f>
        <v>0</v>
      </c>
      <c r="R270" s="78" t="n">
        <f aca="false">E270-J270-N270</f>
        <v>0</v>
      </c>
      <c r="S270" s="20" t="str">
        <f aca="false">IF(AND(J270&gt;=0,N270&gt;=0,R270&gt;=0,ABS(R270+J270+N270-E270)&lt;=$B$27),"Khớp","LỆCH")</f>
        <v>Khớp</v>
      </c>
      <c r="T270" s="20"/>
      <c r="U270" s="20"/>
    </row>
    <row r="271" customFormat="false" ht="24" hidden="false" customHeight="true" outlineLevel="0" collapsed="false">
      <c r="A271" s="20" t="str">
        <f aca="false">F01_UC2!A340</f>
        <v>ELEC-F01-0133</v>
      </c>
      <c r="B271" s="20" t="str">
        <f aca="false">F01_UC2!B340</f>
        <v>BILL-F01-0133</v>
      </c>
      <c r="C271" s="20" t="str">
        <f aca="false">F01_UC2!C340</f>
        <v>Điện lực khu công nghiệp</v>
      </c>
      <c r="D271" s="20" t="str">
        <f aca="false">F01_UC2!D340</f>
        <v>OUT</v>
      </c>
      <c r="E271" s="78" t="n">
        <f aca="false">F01_UC2!E340</f>
        <v>0</v>
      </c>
      <c r="F271" s="80" t="n">
        <f aca="false">F01_UC2!N340</f>
        <v>46214</v>
      </c>
      <c r="G271" s="80" t="n">
        <f aca="false">F01_UC2!M340</f>
        <v>0</v>
      </c>
      <c r="H271" s="20" t="str">
        <f aca="false">F01_UC2!P340</f>
        <v>Tiện ích (điện)</v>
      </c>
      <c r="I271" s="20" t="n">
        <f aca="false">F01_UC2!Q340</f>
        <v>1</v>
      </c>
      <c r="J271" s="78" t="n">
        <f aca="false">IF(AND($B$34="Hợp lệ",D271="IN",H271="Thu công nợ",C271=$B$7,OR(G271=0,$B$12=1),K271&lt;&gt;F271),E271*$B$28,0)</f>
        <v>0</v>
      </c>
      <c r="K271" s="77" t="n">
        <f aca="false">MAX(F01_UC2!$B$6,F271+$B$29)</f>
        <v>46207</v>
      </c>
      <c r="L271" s="78" t="n">
        <f aca="false">J271-M271</f>
        <v>0</v>
      </c>
      <c r="M271" s="78" t="n">
        <f aca="false">IF(K271&lt;F271,J271*$B$30,0)</f>
        <v>0</v>
      </c>
      <c r="N271" s="78" t="n">
        <f aca="false">IF(AND($B$34="Hợp lệ",D271="OUT",H271="Trả NCC",C271=$B$13,OR(I271=0,$B$17=1),O271&lt;&gt;F271),E271*$B$31,0)</f>
        <v>0</v>
      </c>
      <c r="O271" s="77" t="n">
        <f aca="false">F271+$B$15</f>
        <v>46228</v>
      </c>
      <c r="P271" s="78" t="n">
        <f aca="false">N271+Q271</f>
        <v>0</v>
      </c>
      <c r="Q271" s="78" t="n">
        <f aca="false">N271*$B$16</f>
        <v>0</v>
      </c>
      <c r="R271" s="78" t="n">
        <f aca="false">E271-J271-N271</f>
        <v>0</v>
      </c>
      <c r="S271" s="20" t="str">
        <f aca="false">IF(AND(J271&gt;=0,N271&gt;=0,R271&gt;=0,ABS(R271+J271+N271-E271)&lt;=$B$27),"Khớp","LỆCH")</f>
        <v>Khớp</v>
      </c>
      <c r="T271" s="20"/>
      <c r="U271" s="20"/>
    </row>
    <row r="272" customFormat="false" ht="24" hidden="false" customHeight="true" outlineLevel="0" collapsed="false">
      <c r="A272" s="20" t="str">
        <f aca="false">F01_UC2!A341</f>
        <v>TRANS-F01-0135</v>
      </c>
      <c r="B272" s="20" t="str">
        <f aca="false">F01_UC2!B341</f>
        <v>BILL-F01-0135</v>
      </c>
      <c r="C272" s="20" t="str">
        <f aca="false">F01_UC2!C341</f>
        <v>Vận tải nội địa NCC5</v>
      </c>
      <c r="D272" s="20" t="str">
        <f aca="false">F01_UC2!D341</f>
        <v>OUT</v>
      </c>
      <c r="E272" s="78" t="n">
        <f aca="false">F01_UC2!E341</f>
        <v>0</v>
      </c>
      <c r="F272" s="80" t="n">
        <f aca="false">F01_UC2!N341</f>
        <v>46217</v>
      </c>
      <c r="G272" s="80" t="n">
        <f aca="false">F01_UC2!M341</f>
        <v>0</v>
      </c>
      <c r="H272" s="20" t="str">
        <f aca="false">F01_UC2!P341</f>
        <v>Vận tải</v>
      </c>
      <c r="I272" s="20" t="n">
        <f aca="false">F01_UC2!Q341</f>
        <v>0</v>
      </c>
      <c r="J272" s="78" t="n">
        <f aca="false">IF(AND($B$34="Hợp lệ",D272="IN",H272="Thu công nợ",C272=$B$7,OR(G272=0,$B$12=1),K272&lt;&gt;F272),E272*$B$28,0)</f>
        <v>0</v>
      </c>
      <c r="K272" s="77" t="n">
        <f aca="false">MAX(F01_UC2!$B$6,F272+$B$29)</f>
        <v>46210</v>
      </c>
      <c r="L272" s="78" t="n">
        <f aca="false">J272-M272</f>
        <v>0</v>
      </c>
      <c r="M272" s="78" t="n">
        <f aca="false">IF(K272&lt;F272,J272*$B$30,0)</f>
        <v>0</v>
      </c>
      <c r="N272" s="78" t="n">
        <f aca="false">IF(AND($B$34="Hợp lệ",D272="OUT",H272="Trả NCC",C272=$B$13,OR(I272=0,$B$17=1),O272&lt;&gt;F272),E272*$B$31,0)</f>
        <v>0</v>
      </c>
      <c r="O272" s="77" t="n">
        <f aca="false">F272+$B$15</f>
        <v>46231</v>
      </c>
      <c r="P272" s="78" t="n">
        <f aca="false">N272+Q272</f>
        <v>0</v>
      </c>
      <c r="Q272" s="78" t="n">
        <f aca="false">N272*$B$16</f>
        <v>0</v>
      </c>
      <c r="R272" s="78" t="n">
        <f aca="false">E272-J272-N272</f>
        <v>0</v>
      </c>
      <c r="S272" s="20" t="str">
        <f aca="false">IF(AND(J272&gt;=0,N272&gt;=0,R272&gt;=0,ABS(R272+J272+N272-E272)&lt;=$B$27),"Khớp","LỆCH")</f>
        <v>Khớp</v>
      </c>
      <c r="T272" s="20"/>
      <c r="U272" s="20"/>
    </row>
    <row r="273" customFormat="false" ht="61.5" hidden="false" customHeight="true" outlineLevel="0" collapsed="false">
      <c r="A273" s="81"/>
      <c r="B273" s="81"/>
      <c r="C273" s="81"/>
      <c r="D273" s="81"/>
      <c r="E273" s="81"/>
      <c r="F273" s="81"/>
      <c r="G273" s="81"/>
      <c r="H273" s="81"/>
      <c r="I273" s="81"/>
      <c r="J273" s="81"/>
      <c r="K273" s="81"/>
      <c r="L273" s="81"/>
      <c r="M273" s="81"/>
      <c r="N273" s="81"/>
      <c r="O273" s="81"/>
      <c r="P273" s="81"/>
      <c r="Q273" s="81"/>
      <c r="R273" s="81"/>
      <c r="S273" s="81"/>
      <c r="T273" s="20"/>
      <c r="U273" s="20"/>
    </row>
    <row r="274" customFormat="false" ht="13.5" hidden="false" customHeight="fals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row>
    <row r="275" customFormat="false" ht="13.5" hidden="false" customHeight="fals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row>
    <row r="276" customFormat="false" ht="13.5" hidden="false" customHeight="fals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row>
    <row r="277" customFormat="false" ht="13.5" hidden="false" customHeight="fals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row>
    <row r="278" customFormat="false" ht="13.5" hidden="false" customHeight="fals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row>
    <row r="279" customFormat="false" ht="13.5" hidden="false" customHeight="fals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row>
    <row r="280" customFormat="false" ht="13.5" hidden="false" customHeight="fals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row>
    <row r="281" customFormat="false" ht="13.5" hidden="false" customHeight="fals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row>
    <row r="282" customFormat="false" ht="13.5" hidden="false" customHeight="fals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row>
    <row r="283" customFormat="false" ht="13.5" hidden="false" customHeight="fals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row>
    <row r="284" customFormat="false" ht="13.5" hidden="false" customHeight="fals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row>
    <row r="285" customFormat="false" ht="13.5" hidden="false" customHeight="fals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row>
    <row r="286" customFormat="false" ht="13.5" hidden="false" customHeight="fals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row>
    <row r="287" customFormat="false" ht="13.5" hidden="false" customHeight="fals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row>
    <row r="288" customFormat="false" ht="13.5" hidden="false" customHeight="fals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row>
    <row r="289" customFormat="false" ht="13.5" hidden="false" customHeight="fals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row>
    <row r="290" customFormat="false" ht="13.5" hidden="false" customHeight="fals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row>
    <row r="291" customFormat="false" ht="13.5" hidden="false" customHeight="fals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row>
    <row r="292" customFormat="false" ht="13.5" hidden="false" customHeight="fals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row>
    <row r="293" customFormat="false" ht="13.5" hidden="false" customHeight="fals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row>
    <row r="294" customFormat="false" ht="13.5" hidden="false" customHeight="fals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row>
    <row r="295" customFormat="false" ht="13.5" hidden="false" customHeight="fals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row>
    <row r="296" customFormat="false" ht="13.5" hidden="false" customHeight="fals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row>
    <row r="297" customFormat="false" ht="13.5" hidden="false" customHeight="fals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row>
    <row r="298" customFormat="false" ht="13.5" hidden="false" customHeight="fals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row>
    <row r="299" customFormat="false" ht="13.5" hidden="false" customHeight="fals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row>
    <row r="300" customFormat="false" ht="13.5" hidden="false" customHeight="fals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row>
    <row r="301" customFormat="false" ht="13.5" hidden="false" customHeight="false" outlineLevel="0" collapsed="false">
      <c r="A301" s="81"/>
      <c r="B301" s="81"/>
      <c r="C301" s="81"/>
      <c r="D301" s="81"/>
      <c r="E301" s="81"/>
      <c r="F301" s="81"/>
      <c r="G301" s="81"/>
      <c r="H301" s="81"/>
      <c r="I301" s="81"/>
      <c r="J301" s="81"/>
      <c r="K301" s="81"/>
      <c r="L301" s="81"/>
      <c r="M301" s="81"/>
      <c r="N301" s="81"/>
      <c r="O301" s="81"/>
      <c r="P301" s="81"/>
      <c r="Q301" s="81"/>
      <c r="R301" s="81"/>
      <c r="S301" s="81"/>
      <c r="T301" s="81"/>
      <c r="U301" s="81"/>
    </row>
    <row r="302" customFormat="false" ht="13.5" hidden="false" customHeight="false" outlineLevel="0" collapsed="false">
      <c r="A302" s="81"/>
      <c r="B302" s="81"/>
      <c r="C302" s="81"/>
      <c r="D302" s="81"/>
      <c r="E302" s="81"/>
      <c r="F302" s="81"/>
      <c r="G302" s="81"/>
      <c r="H302" s="81"/>
      <c r="I302" s="81"/>
      <c r="J302" s="81"/>
      <c r="K302" s="81"/>
      <c r="L302" s="81"/>
      <c r="M302" s="81"/>
      <c r="N302" s="81"/>
      <c r="O302" s="81"/>
      <c r="P302" s="81"/>
      <c r="Q302" s="81"/>
      <c r="R302" s="81"/>
      <c r="S302" s="81"/>
      <c r="T302" s="81"/>
      <c r="U302" s="81"/>
    </row>
    <row r="303" customFormat="false" ht="13.5" hidden="false" customHeight="false" outlineLevel="0" collapsed="false">
      <c r="A303" s="81"/>
      <c r="B303" s="81"/>
      <c r="C303" s="81"/>
      <c r="D303" s="81"/>
      <c r="E303" s="81"/>
      <c r="F303" s="81"/>
      <c r="G303" s="81"/>
      <c r="H303" s="81"/>
      <c r="I303" s="81"/>
      <c r="J303" s="81"/>
      <c r="K303" s="81"/>
      <c r="L303" s="81"/>
      <c r="M303" s="81"/>
      <c r="N303" s="81"/>
      <c r="O303" s="81"/>
      <c r="P303" s="81"/>
      <c r="Q303" s="81"/>
      <c r="R303" s="81"/>
      <c r="S303" s="81"/>
      <c r="T303" s="81"/>
      <c r="U303" s="81"/>
    </row>
    <row r="304" customFormat="false" ht="13.5" hidden="false" customHeight="false" outlineLevel="0" collapsed="false">
      <c r="A304" s="81"/>
      <c r="B304" s="81"/>
      <c r="C304" s="81"/>
      <c r="D304" s="81"/>
      <c r="E304" s="81"/>
      <c r="F304" s="81"/>
      <c r="G304" s="81"/>
      <c r="H304" s="81"/>
      <c r="I304" s="81"/>
      <c r="J304" s="81"/>
      <c r="K304" s="81"/>
      <c r="L304" s="81"/>
      <c r="M304" s="81"/>
      <c r="N304" s="81"/>
      <c r="O304" s="81"/>
      <c r="P304" s="81"/>
      <c r="Q304" s="81"/>
      <c r="R304" s="81"/>
      <c r="S304" s="81"/>
      <c r="T304" s="81"/>
      <c r="U304" s="81"/>
    </row>
    <row r="305" customFormat="false" ht="13.5" hidden="false" customHeight="false" outlineLevel="0" collapsed="false">
      <c r="A305" s="81"/>
      <c r="B305" s="81"/>
      <c r="C305" s="81"/>
      <c r="D305" s="81"/>
      <c r="E305" s="81"/>
      <c r="F305" s="81"/>
      <c r="G305" s="81"/>
      <c r="H305" s="81"/>
      <c r="I305" s="81"/>
      <c r="J305" s="81"/>
      <c r="K305" s="81"/>
      <c r="L305" s="81"/>
      <c r="M305" s="81"/>
      <c r="N305" s="81"/>
      <c r="O305" s="81"/>
      <c r="P305" s="81"/>
      <c r="Q305" s="81"/>
      <c r="R305" s="81"/>
      <c r="S305" s="81"/>
      <c r="T305" s="81"/>
      <c r="U305" s="81"/>
    </row>
    <row r="306" customFormat="false" ht="13.5" hidden="false" customHeight="false" outlineLevel="0" collapsed="false">
      <c r="A306" s="22" t="s">
        <v>2057</v>
      </c>
      <c r="B306" s="22" t="s">
        <v>2632</v>
      </c>
      <c r="C306" s="22" t="s">
        <v>2633</v>
      </c>
      <c r="D306" s="22" t="s">
        <v>2634</v>
      </c>
      <c r="E306" s="22" t="s">
        <v>2635</v>
      </c>
      <c r="F306" s="22" t="s">
        <v>2636</v>
      </c>
      <c r="G306" s="22" t="s">
        <v>2637</v>
      </c>
      <c r="H306" s="22" t="s">
        <v>2638</v>
      </c>
      <c r="I306" s="22" t="s">
        <v>2639</v>
      </c>
      <c r="J306" s="20"/>
      <c r="K306" s="20"/>
      <c r="L306" s="20"/>
      <c r="M306" s="20"/>
      <c r="N306" s="20"/>
      <c r="O306" s="20"/>
      <c r="P306" s="20"/>
      <c r="Q306" s="20"/>
      <c r="R306" s="20"/>
      <c r="S306" s="20"/>
      <c r="T306" s="81"/>
      <c r="U306" s="81"/>
    </row>
    <row r="307" customFormat="false" ht="13.5" hidden="false" customHeight="false" outlineLevel="0" collapsed="false">
      <c r="A307" s="20" t="n">
        <v>1</v>
      </c>
      <c r="B307" s="77" t="n">
        <f aca="false">A51</f>
        <v>46204</v>
      </c>
      <c r="C307" s="77" t="n">
        <f aca="false">A57</f>
        <v>46210</v>
      </c>
      <c r="D307" s="78" t="n">
        <f aca="false">MIN(B51:B57)</f>
        <v>4140480437</v>
      </c>
      <c r="E307" s="78" t="n">
        <f aca="false">IF($B$34="Hợp lệ",MIN(H51:H57),"Chưa tính")</f>
        <v>4683368060.315</v>
      </c>
      <c r="F307" s="78" t="n">
        <f aca="false">B57</f>
        <v>4515574756</v>
      </c>
      <c r="G307" s="78" t="n">
        <f aca="false">IF($B$34="Hợp lệ",H57,"Chưa tính")</f>
        <v>6308117390.465</v>
      </c>
      <c r="H307" s="78" t="n">
        <f aca="false">IF($B$34="Hợp lệ",MAX(J51:J57),"Chưa tính")</f>
        <v>2172597829.90935</v>
      </c>
      <c r="I307" s="20" t="str">
        <f aca="false">IF($B$34="Hợp lệ",CHOOSE(MAX(K51:K57)+1,"Không cảnh báo","Vàng","Cam","Đỏ"),"Chưa tính")</f>
        <v>Đỏ</v>
      </c>
      <c r="J307" s="20"/>
      <c r="K307" s="20"/>
      <c r="L307" s="20"/>
      <c r="M307" s="20"/>
      <c r="N307" s="20"/>
      <c r="O307" s="20"/>
      <c r="P307" s="20"/>
      <c r="Q307" s="20"/>
      <c r="R307" s="20"/>
      <c r="S307" s="20"/>
      <c r="T307" s="81"/>
      <c r="U307" s="81"/>
    </row>
    <row r="308" customFormat="false" ht="13.5" hidden="false" customHeight="false" outlineLevel="0" collapsed="false">
      <c r="A308" s="20" t="n">
        <v>2</v>
      </c>
      <c r="B308" s="77" t="n">
        <f aca="false">A58</f>
        <v>46211</v>
      </c>
      <c r="C308" s="77" t="n">
        <f aca="false">A64</f>
        <v>46217</v>
      </c>
      <c r="D308" s="78" t="n">
        <f aca="false">MIN(B58:B64)</f>
        <v>5314587071</v>
      </c>
      <c r="E308" s="78" t="n">
        <f aca="false">IF($B$34="Hợp lệ",MIN(H58:H64),"Chưa tính")</f>
        <v>7107129705.465</v>
      </c>
      <c r="F308" s="78" t="n">
        <f aca="false">B64</f>
        <v>11056565799</v>
      </c>
      <c r="G308" s="78" t="n">
        <f aca="false">IF($B$34="Hợp lệ",H64,"Chưa tính")</f>
        <v>12398389683.885</v>
      </c>
      <c r="H308" s="78" t="n">
        <f aca="false">IF($B$34="Hợp lệ",MAX(J58:J64),"Chưa tính")</f>
        <v>0</v>
      </c>
      <c r="I308" s="20" t="str">
        <f aca="false">IF($B$34="Hợp lệ",CHOOSE(MAX(K58:K64)+1,"Không cảnh báo","Vàng","Cam","Đỏ"),"Chưa tính")</f>
        <v>Không cảnh báo</v>
      </c>
      <c r="J308" s="20"/>
      <c r="K308" s="20"/>
      <c r="L308" s="20"/>
      <c r="M308" s="20"/>
      <c r="N308" s="20"/>
      <c r="O308" s="20"/>
      <c r="P308" s="20"/>
      <c r="Q308" s="20"/>
      <c r="R308" s="20"/>
      <c r="S308" s="20"/>
      <c r="T308" s="81"/>
      <c r="U308" s="81"/>
    </row>
    <row r="309" customFormat="false" ht="13.5" hidden="false" customHeight="false" outlineLevel="0" collapsed="false">
      <c r="A309" s="20" t="n">
        <v>3</v>
      </c>
      <c r="B309" s="77" t="n">
        <f aca="false">A65</f>
        <v>46218</v>
      </c>
      <c r="C309" s="77" t="n">
        <f aca="false">A71</f>
        <v>46224</v>
      </c>
      <c r="D309" s="78" t="n">
        <f aca="false">MIN(B65:B71)</f>
        <v>11150672753</v>
      </c>
      <c r="E309" s="78" t="n">
        <f aca="false">IF($B$34="Hợp lệ",MIN(H65:H71),"Chưa tính")</f>
        <v>12911767170.605</v>
      </c>
      <c r="F309" s="78" t="n">
        <f aca="false">B71</f>
        <v>12407917632</v>
      </c>
      <c r="G309" s="78" t="n">
        <f aca="false">IF($B$34="Hợp lệ",H71,"Chưa tính")</f>
        <v>13913111448.465</v>
      </c>
      <c r="H309" s="78" t="n">
        <f aca="false">IF($B$34="Hợp lệ",MAX(J65:J71),"Chưa tính")</f>
        <v>0</v>
      </c>
      <c r="I309" s="20" t="str">
        <f aca="false">IF($B$34="Hợp lệ",CHOOSE(MAX(K65:K71)+1,"Không cảnh báo","Vàng","Cam","Đỏ"),"Chưa tính")</f>
        <v>Không cảnh báo</v>
      </c>
      <c r="J309" s="20"/>
      <c r="K309" s="20"/>
      <c r="L309" s="20"/>
      <c r="M309" s="20"/>
      <c r="N309" s="20"/>
      <c r="O309" s="20"/>
      <c r="P309" s="20"/>
      <c r="Q309" s="20"/>
      <c r="R309" s="20"/>
      <c r="S309" s="20"/>
      <c r="T309" s="81"/>
      <c r="U309" s="81"/>
    </row>
    <row r="310" customFormat="false" ht="13.5" hidden="false" customHeight="false" outlineLevel="0" collapsed="false">
      <c r="A310" s="20" t="n">
        <v>4</v>
      </c>
      <c r="B310" s="77" t="n">
        <f aca="false">A72</f>
        <v>46225</v>
      </c>
      <c r="C310" s="77" t="n">
        <f aca="false">A78</f>
        <v>46231</v>
      </c>
      <c r="D310" s="78" t="n">
        <f aca="false">MIN(B72:B78)</f>
        <v>11937730444</v>
      </c>
      <c r="E310" s="78" t="n">
        <f aca="false">IF($B$34="Hợp lệ",MIN(H72:H78),"Chưa tính")</f>
        <v>13442924260.465</v>
      </c>
      <c r="F310" s="78" t="n">
        <f aca="false">B78</f>
        <v>12521411940</v>
      </c>
      <c r="G310" s="78" t="n">
        <f aca="false">IF($B$34="Hợp lệ",H78,"Chưa tính")</f>
        <v>13911904728.465</v>
      </c>
      <c r="H310" s="78" t="n">
        <f aca="false">IF($B$34="Hợp lệ",MAX(J72:J78),"Chưa tính")</f>
        <v>0</v>
      </c>
      <c r="I310" s="20" t="str">
        <f aca="false">IF($B$34="Hợp lệ",CHOOSE(MAX(K72:K78)+1,"Không cảnh báo","Vàng","Cam","Đỏ"),"Chưa tính")</f>
        <v>Không cảnh báo</v>
      </c>
      <c r="J310" s="20"/>
      <c r="K310" s="20"/>
      <c r="L310" s="20"/>
      <c r="M310" s="20"/>
      <c r="N310" s="20"/>
      <c r="O310" s="20"/>
      <c r="P310" s="20"/>
      <c r="Q310" s="20"/>
      <c r="R310" s="20"/>
      <c r="S310" s="20"/>
      <c r="T310" s="81"/>
      <c r="U310" s="81"/>
    </row>
    <row r="311" customFormat="false" ht="13.5" hidden="false" customHeight="false" outlineLevel="0" collapsed="false">
      <c r="A311" s="20" t="n">
        <v>5</v>
      </c>
      <c r="B311" s="77" t="n">
        <f aca="false">A79</f>
        <v>46232</v>
      </c>
      <c r="C311" s="77" t="n">
        <f aca="false">A85</f>
        <v>46238</v>
      </c>
      <c r="D311" s="78" t="n">
        <f aca="false">MIN(B79:B85)</f>
        <v>12461774647</v>
      </c>
      <c r="E311" s="78" t="n">
        <f aca="false">IF($B$34="Hợp lệ",MIN(H79:H85),"Chưa tính")</f>
        <v>13195989717.19</v>
      </c>
      <c r="F311" s="78" t="n">
        <f aca="false">B85</f>
        <v>12461774647</v>
      </c>
      <c r="G311" s="78" t="n">
        <f aca="false">IF($B$34="Hợp lệ",H85,"Chưa tính")</f>
        <v>14428664256.775</v>
      </c>
      <c r="H311" s="78" t="n">
        <f aca="false">IF($B$34="Hợp lệ",MAX(J79:J85),"Chưa tính")</f>
        <v>0</v>
      </c>
      <c r="I311" s="20" t="str">
        <f aca="false">IF($B$34="Hợp lệ",CHOOSE(MAX(K79:K85)+1,"Không cảnh báo","Vàng","Cam","Đỏ"),"Chưa tính")</f>
        <v>Không cảnh báo</v>
      </c>
      <c r="J311" s="20"/>
      <c r="K311" s="20"/>
      <c r="L311" s="20"/>
      <c r="M311" s="20"/>
      <c r="N311" s="20"/>
      <c r="O311" s="20"/>
      <c r="P311" s="20"/>
      <c r="Q311" s="20"/>
      <c r="R311" s="20"/>
      <c r="S311" s="20"/>
      <c r="T311" s="81"/>
      <c r="U311" s="81"/>
    </row>
    <row r="312" customFormat="false" ht="13.5" hidden="false" customHeight="false" outlineLevel="0" collapsed="false">
      <c r="A312" s="20" t="n">
        <v>6</v>
      </c>
      <c r="B312" s="77" t="n">
        <f aca="false">A86</f>
        <v>46239</v>
      </c>
      <c r="C312" s="77" t="n">
        <f aca="false">A92</f>
        <v>46245</v>
      </c>
      <c r="D312" s="78" t="n">
        <f aca="false">MIN(B86:B92)</f>
        <v>12461774647</v>
      </c>
      <c r="E312" s="78" t="n">
        <f aca="false">IF($B$34="Hợp lệ",MIN(H86:H92),"Chưa tính")</f>
        <v>14718547719.49</v>
      </c>
      <c r="F312" s="78" t="n">
        <f aca="false">B92</f>
        <v>15936412292</v>
      </c>
      <c r="G312" s="78" t="n">
        <f aca="false">IF($B$34="Hợp lệ",H92,"Chưa tính")</f>
        <v>16878042719.67</v>
      </c>
      <c r="H312" s="78" t="n">
        <f aca="false">IF($B$34="Hợp lệ",MAX(J86:J92),"Chưa tính")</f>
        <v>0</v>
      </c>
      <c r="I312" s="20" t="str">
        <f aca="false">IF($B$34="Hợp lệ",CHOOSE(MAX(K86:K92)+1,"Không cảnh báo","Vàng","Cam","Đỏ"),"Chưa tính")</f>
        <v>Không cảnh báo</v>
      </c>
      <c r="J312" s="20"/>
      <c r="K312" s="20"/>
      <c r="L312" s="20"/>
      <c r="M312" s="20"/>
      <c r="N312" s="20"/>
      <c r="O312" s="20"/>
      <c r="P312" s="20"/>
      <c r="Q312" s="20"/>
      <c r="R312" s="20"/>
      <c r="S312" s="20"/>
      <c r="T312" s="81"/>
      <c r="U312" s="81"/>
    </row>
    <row r="313" customFormat="false" ht="13.5" hidden="false" customHeight="false" outlineLevel="0" collapsed="false">
      <c r="A313" s="20" t="n">
        <v>7</v>
      </c>
      <c r="B313" s="77" t="n">
        <f aca="false">A93</f>
        <v>46246</v>
      </c>
      <c r="C313" s="77" t="n">
        <f aca="false">A99</f>
        <v>46252</v>
      </c>
      <c r="D313" s="78" t="n">
        <f aca="false">MIN(B93:B99)</f>
        <v>15514035449</v>
      </c>
      <c r="E313" s="78" t="n">
        <f aca="false">IF($B$34="Hợp lệ",MIN(H93:H99),"Chưa tính")</f>
        <v>16530301933.395</v>
      </c>
      <c r="F313" s="78" t="n">
        <f aca="false">B99</f>
        <v>16466274527</v>
      </c>
      <c r="G313" s="78" t="n">
        <f aca="false">IF($B$34="Hợp lệ",H99,"Chưa tính")</f>
        <v>17006421472.395</v>
      </c>
      <c r="H313" s="78" t="n">
        <f aca="false">IF($B$34="Hợp lệ",MAX(J93:J99),"Chưa tính")</f>
        <v>0</v>
      </c>
      <c r="I313" s="20" t="str">
        <f aca="false">IF($B$34="Hợp lệ",CHOOSE(MAX(K93:K99)+1,"Không cảnh báo","Vàng","Cam","Đỏ"),"Chưa tính")</f>
        <v>Không cảnh báo</v>
      </c>
      <c r="J313" s="20"/>
      <c r="K313" s="20"/>
      <c r="L313" s="20"/>
      <c r="M313" s="20"/>
      <c r="N313" s="20"/>
      <c r="O313" s="20"/>
      <c r="P313" s="20"/>
      <c r="Q313" s="20"/>
      <c r="R313" s="20"/>
      <c r="S313" s="20"/>
      <c r="T313" s="81"/>
      <c r="U313" s="81"/>
    </row>
    <row r="314" customFormat="false" ht="13.5" hidden="false" customHeight="false" outlineLevel="0" collapsed="false">
      <c r="A314" s="20" t="n">
        <v>8</v>
      </c>
      <c r="B314" s="77" t="n">
        <f aca="false">A100</f>
        <v>46253</v>
      </c>
      <c r="C314" s="77" t="n">
        <f aca="false">A106</f>
        <v>46259</v>
      </c>
      <c r="D314" s="78" t="n">
        <f aca="false">MIN(B100:B106)</f>
        <v>15938074943</v>
      </c>
      <c r="E314" s="78" t="n">
        <f aca="false">IF($B$34="Hợp lệ",MIN(H100:H106),"Chưa tính")</f>
        <v>16478221888.395</v>
      </c>
      <c r="F314" s="78" t="n">
        <f aca="false">B106</f>
        <v>16680393398</v>
      </c>
      <c r="G314" s="78" t="n">
        <f aca="false">IF($B$34="Hợp lệ",H106,"Chưa tính")</f>
        <v>17467071983.7</v>
      </c>
      <c r="H314" s="78" t="n">
        <f aca="false">IF($B$34="Hợp lệ",MAX(J100:J106),"Chưa tính")</f>
        <v>0</v>
      </c>
      <c r="I314" s="20" t="str">
        <f aca="false">IF($B$34="Hợp lệ",CHOOSE(MAX(K100:K106)+1,"Không cảnh báo","Vàng","Cam","Đỏ"),"Chưa tính")</f>
        <v>Không cảnh báo</v>
      </c>
      <c r="J314" s="20"/>
      <c r="K314" s="20"/>
      <c r="L314" s="20"/>
      <c r="M314" s="20"/>
      <c r="N314" s="20"/>
      <c r="O314" s="20"/>
      <c r="P314" s="20"/>
      <c r="Q314" s="20"/>
      <c r="R314" s="20"/>
      <c r="S314" s="20"/>
      <c r="T314" s="81"/>
      <c r="U314" s="81"/>
    </row>
    <row r="315" customFormat="false" ht="13.5" hidden="false" customHeight="false" outlineLevel="0" collapsed="false">
      <c r="A315" s="20" t="n">
        <v>9</v>
      </c>
      <c r="B315" s="77" t="n">
        <f aca="false">A107</f>
        <v>46260</v>
      </c>
      <c r="C315" s="77" t="n">
        <f aca="false">A113</f>
        <v>46266</v>
      </c>
      <c r="D315" s="78" t="n">
        <f aca="false">MIN(B107:B113)</f>
        <v>14828618808</v>
      </c>
      <c r="E315" s="78" t="n">
        <f aca="false">IF($B$34="Hợp lệ",MIN(H107:H113),"Chưa tính")</f>
        <v>15615297393.7</v>
      </c>
      <c r="F315" s="78" t="n">
        <f aca="false">B113</f>
        <v>15896479147</v>
      </c>
      <c r="G315" s="78" t="n">
        <f aca="false">IF($B$34="Hợp lệ",H113,"Chưa tính")</f>
        <v>16059227563.2</v>
      </c>
      <c r="H315" s="78" t="n">
        <f aca="false">IF($B$34="Hợp lệ",MAX(J107:J113),"Chưa tính")</f>
        <v>0</v>
      </c>
      <c r="I315" s="20" t="str">
        <f aca="false">IF($B$34="Hợp lệ",CHOOSE(MAX(K107:K113)+1,"Không cảnh báo","Vàng","Cam","Đỏ"),"Chưa tính")</f>
        <v>Không cảnh báo</v>
      </c>
      <c r="J315" s="20"/>
      <c r="K315" s="20"/>
      <c r="L315" s="20"/>
      <c r="M315" s="20"/>
      <c r="N315" s="20"/>
      <c r="O315" s="20"/>
      <c r="P315" s="20"/>
      <c r="Q315" s="20"/>
      <c r="R315" s="20"/>
      <c r="S315" s="20"/>
      <c r="T315" s="81"/>
      <c r="U315" s="81"/>
    </row>
    <row r="316" customFormat="false" ht="13.5" hidden="false" customHeight="false" outlineLevel="0" collapsed="false">
      <c r="A316" s="20" t="n">
        <v>10</v>
      </c>
      <c r="B316" s="77" t="n">
        <f aca="false">A114</f>
        <v>46267</v>
      </c>
      <c r="C316" s="77" t="n">
        <f aca="false">A120</f>
        <v>46273</v>
      </c>
      <c r="D316" s="78" t="n">
        <f aca="false">MIN(B114:B120)</f>
        <v>15896479147</v>
      </c>
      <c r="E316" s="78" t="n">
        <f aca="false">IF($B$34="Hợp lệ",MIN(H114:H120),"Chưa tính")</f>
        <v>16059227563.2</v>
      </c>
      <c r="F316" s="78" t="n">
        <f aca="false">B120</f>
        <v>15896479147</v>
      </c>
      <c r="G316" s="78" t="n">
        <f aca="false">IF($B$34="Hợp lệ",H120,"Chưa tính")</f>
        <v>16059227563.2</v>
      </c>
      <c r="H316" s="78" t="n">
        <f aca="false">IF($B$34="Hợp lệ",MAX(J114:J120),"Chưa tính")</f>
        <v>0</v>
      </c>
      <c r="I316" s="20" t="str">
        <f aca="false">IF($B$34="Hợp lệ",CHOOSE(MAX(K114:K120)+1,"Không cảnh báo","Vàng","Cam","Đỏ"),"Chưa tính")</f>
        <v>Không cảnh báo</v>
      </c>
      <c r="J316" s="20"/>
      <c r="K316" s="20"/>
      <c r="L316" s="20"/>
      <c r="M316" s="20"/>
      <c r="N316" s="20"/>
      <c r="O316" s="20"/>
      <c r="P316" s="20"/>
      <c r="Q316" s="20"/>
      <c r="R316" s="20"/>
      <c r="S316" s="20"/>
      <c r="T316" s="81"/>
      <c r="U316" s="81"/>
    </row>
    <row r="317" customFormat="false" ht="13.5" hidden="false" customHeight="false" outlineLevel="0" collapsed="false">
      <c r="A317" s="20" t="n">
        <v>11</v>
      </c>
      <c r="B317" s="77" t="n">
        <f aca="false">A121</f>
        <v>46274</v>
      </c>
      <c r="C317" s="77" t="n">
        <f aca="false">A127</f>
        <v>46280</v>
      </c>
      <c r="D317" s="78" t="n">
        <f aca="false">MIN(B121:B127)</f>
        <v>15896479147</v>
      </c>
      <c r="E317" s="78" t="n">
        <f aca="false">IF($B$34="Hợp lệ",MIN(H121:H127),"Chưa tính")</f>
        <v>16059227563.2</v>
      </c>
      <c r="F317" s="78" t="n">
        <f aca="false">B127</f>
        <v>15896479147</v>
      </c>
      <c r="G317" s="78" t="n">
        <f aca="false">IF($B$34="Hợp lệ",H127,"Chưa tính")</f>
        <v>16059227563.2</v>
      </c>
      <c r="H317" s="78" t="n">
        <f aca="false">IF($B$34="Hợp lệ",MAX(J121:J127),"Chưa tính")</f>
        <v>0</v>
      </c>
      <c r="I317" s="20" t="str">
        <f aca="false">IF($B$34="Hợp lệ",CHOOSE(MAX(K121:K127)+1,"Không cảnh báo","Vàng","Cam","Đỏ"),"Chưa tính")</f>
        <v>Không cảnh báo</v>
      </c>
      <c r="J317" s="20"/>
      <c r="K317" s="20"/>
      <c r="L317" s="20"/>
      <c r="M317" s="20"/>
      <c r="N317" s="20"/>
      <c r="O317" s="20"/>
      <c r="P317" s="20"/>
      <c r="Q317" s="20"/>
      <c r="R317" s="20"/>
      <c r="S317" s="20"/>
      <c r="T317" s="81"/>
      <c r="U317" s="81"/>
    </row>
    <row r="318" customFormat="false" ht="13.5" hidden="false" customHeight="false" outlineLevel="0" collapsed="false">
      <c r="A318" s="20" t="n">
        <v>12</v>
      </c>
      <c r="B318" s="77" t="n">
        <f aca="false">A128</f>
        <v>46281</v>
      </c>
      <c r="C318" s="77" t="n">
        <f aca="false">A134</f>
        <v>46287</v>
      </c>
      <c r="D318" s="78" t="n">
        <f aca="false">MIN(B128:B134)</f>
        <v>15656479147</v>
      </c>
      <c r="E318" s="78" t="n">
        <f aca="false">IF($B$34="Hợp lệ",MIN(H128:H134),"Chưa tính")</f>
        <v>15819227563.2</v>
      </c>
      <c r="F318" s="78" t="n">
        <f aca="false">B134</f>
        <v>15656479147</v>
      </c>
      <c r="G318" s="78" t="n">
        <f aca="false">IF($B$34="Hợp lệ",H134,"Chưa tính")</f>
        <v>15819227563.2</v>
      </c>
      <c r="H318" s="78" t="n">
        <f aca="false">IF($B$34="Hợp lệ",MAX(J128:J134),"Chưa tính")</f>
        <v>0</v>
      </c>
      <c r="I318" s="20" t="str">
        <f aca="false">IF($B$34="Hợp lệ",CHOOSE(MAX(K128:K134)+1,"Không cảnh báo","Vàng","Cam","Đỏ"),"Chưa tính")</f>
        <v>Không cảnh báo</v>
      </c>
      <c r="J318" s="20"/>
      <c r="K318" s="20"/>
      <c r="L318" s="20"/>
      <c r="M318" s="20"/>
      <c r="N318" s="20"/>
      <c r="O318" s="20"/>
      <c r="P318" s="20"/>
      <c r="Q318" s="20"/>
      <c r="R318" s="20"/>
      <c r="S318" s="20"/>
      <c r="T318" s="81"/>
      <c r="U318" s="81"/>
    </row>
    <row r="319" customFormat="false" ht="13.5" hidden="false" customHeight="false" outlineLevel="0" collapsed="false">
      <c r="A319" s="20" t="n">
        <v>13</v>
      </c>
      <c r="B319" s="77" t="n">
        <f aca="false">A135</f>
        <v>46288</v>
      </c>
      <c r="C319" s="77" t="n">
        <f aca="false">A141</f>
        <v>46294</v>
      </c>
      <c r="D319" s="78" t="n">
        <f aca="false">MIN(B135:B141)</f>
        <v>14156479147</v>
      </c>
      <c r="E319" s="78" t="n">
        <f aca="false">IF($B$34="Hợp lệ",MIN(H135:H141),"Chưa tính")</f>
        <v>14319227563.2</v>
      </c>
      <c r="F319" s="78" t="n">
        <f aca="false">B141</f>
        <v>14156479147</v>
      </c>
      <c r="G319" s="78" t="n">
        <f aca="false">IF($B$34="Hợp lệ",H141,"Chưa tính")</f>
        <v>14319227563.2</v>
      </c>
      <c r="H319" s="78" t="n">
        <f aca="false">IF($B$34="Hợp lệ",MAX(J135:J141),"Chưa tính")</f>
        <v>0</v>
      </c>
      <c r="I319" s="20" t="str">
        <f aca="false">IF($B$34="Hợp lệ",CHOOSE(MAX(K135:K141)+1,"Không cảnh báo","Vàng","Cam","Đỏ"),"Chưa tính")</f>
        <v>Không cảnh báo</v>
      </c>
      <c r="J319" s="20"/>
      <c r="K319" s="20"/>
      <c r="L319" s="20"/>
      <c r="M319" s="20"/>
      <c r="N319" s="20"/>
      <c r="O319" s="20"/>
      <c r="P319" s="20"/>
      <c r="Q319" s="20"/>
      <c r="R319" s="20"/>
      <c r="S319" s="20"/>
      <c r="T319" s="81"/>
      <c r="U319" s="81"/>
    </row>
    <row r="320" customFormat="false" ht="13.5" hidden="false" customHeight="false" outlineLevel="0" collapsed="false">
      <c r="A320" s="20"/>
      <c r="B320" s="20"/>
      <c r="C320" s="20"/>
      <c r="D320" s="20"/>
      <c r="E320" s="20"/>
      <c r="F320" s="20"/>
      <c r="G320" s="20"/>
      <c r="H320" s="20"/>
      <c r="I320" s="20"/>
      <c r="J320" s="20"/>
      <c r="K320" s="20"/>
      <c r="L320" s="20"/>
      <c r="M320" s="20"/>
      <c r="N320" s="20"/>
      <c r="O320" s="20"/>
      <c r="P320" s="20"/>
      <c r="Q320" s="20"/>
      <c r="R320" s="20"/>
      <c r="S320" s="20"/>
      <c r="T320" s="81"/>
      <c r="U320" s="81"/>
    </row>
    <row r="321" customFormat="false" ht="13.5" hidden="false" customHeight="false" outlineLevel="0" collapsed="false">
      <c r="A321" s="20"/>
      <c r="B321" s="20"/>
      <c r="C321" s="20"/>
      <c r="D321" s="20"/>
      <c r="E321" s="20"/>
      <c r="F321" s="20"/>
      <c r="G321" s="20"/>
      <c r="H321" s="20"/>
      <c r="I321" s="20"/>
      <c r="J321" s="20"/>
      <c r="K321" s="20"/>
      <c r="L321" s="20"/>
      <c r="M321" s="20"/>
      <c r="N321" s="20"/>
      <c r="O321" s="20"/>
      <c r="P321" s="20"/>
      <c r="Q321" s="20"/>
      <c r="R321" s="20"/>
      <c r="S321" s="20"/>
      <c r="T321" s="81"/>
      <c r="U321" s="81"/>
    </row>
    <row r="322" customFormat="false" ht="13.5" hidden="false" customHeight="false" outlineLevel="0" collapsed="false">
      <c r="A322" s="20"/>
      <c r="B322" s="20"/>
      <c r="C322" s="20"/>
      <c r="D322" s="20"/>
      <c r="E322" s="20"/>
      <c r="F322" s="20"/>
      <c r="G322" s="20"/>
      <c r="H322" s="20"/>
      <c r="I322" s="20"/>
      <c r="J322" s="20"/>
      <c r="K322" s="20"/>
      <c r="L322" s="20"/>
      <c r="M322" s="20"/>
      <c r="N322" s="20"/>
      <c r="O322" s="20"/>
      <c r="P322" s="20"/>
      <c r="Q322" s="20"/>
      <c r="R322" s="20"/>
      <c r="S322" s="20"/>
      <c r="T322" s="81"/>
      <c r="U322" s="81"/>
    </row>
    <row r="323" customFormat="false" ht="13.5" hidden="false" customHeight="false" outlineLevel="0" collapsed="false">
      <c r="A323" s="20"/>
      <c r="B323" s="20"/>
      <c r="C323" s="20"/>
      <c r="D323" s="20"/>
      <c r="E323" s="20"/>
      <c r="F323" s="20"/>
      <c r="G323" s="20"/>
      <c r="H323" s="20"/>
      <c r="I323" s="20"/>
      <c r="J323" s="20"/>
      <c r="K323" s="20"/>
      <c r="L323" s="20"/>
      <c r="M323" s="20"/>
      <c r="N323" s="20"/>
      <c r="O323" s="20"/>
      <c r="P323" s="20"/>
      <c r="Q323" s="20"/>
      <c r="R323" s="20"/>
      <c r="S323" s="20"/>
      <c r="T323" s="81"/>
      <c r="U323" s="81"/>
    </row>
    <row r="324" customFormat="false" ht="13.5" hidden="false" customHeight="false" outlineLevel="0" collapsed="false">
      <c r="A324" s="22" t="s">
        <v>2640</v>
      </c>
      <c r="B324" s="22" t="s">
        <v>2641</v>
      </c>
      <c r="C324" s="22" t="s">
        <v>2642</v>
      </c>
      <c r="D324" s="22" t="s">
        <v>1895</v>
      </c>
      <c r="E324" s="20"/>
      <c r="F324" s="20"/>
      <c r="G324" s="20"/>
      <c r="H324" s="20"/>
      <c r="I324" s="20"/>
      <c r="J324" s="20"/>
      <c r="K324" s="20"/>
      <c r="L324" s="20"/>
      <c r="M324" s="20"/>
      <c r="N324" s="20"/>
      <c r="O324" s="20"/>
      <c r="P324" s="20"/>
      <c r="Q324" s="20"/>
      <c r="R324" s="20"/>
      <c r="S324" s="20"/>
      <c r="T324" s="81"/>
      <c r="U324" s="81"/>
    </row>
    <row r="325" customFormat="false" ht="25.5" hidden="false" customHeight="true" outlineLevel="0" collapsed="false">
      <c r="A325" s="23" t="s">
        <v>2643</v>
      </c>
      <c r="B325" s="23" t="n">
        <f aca="false">IF(B34="Hợp lệ",H141-B141-SUM(F51:F141),"Chưa tính")</f>
        <v>7.15255737304688E-007</v>
      </c>
      <c r="C325" s="23" t="s">
        <v>2644</v>
      </c>
      <c r="D325" s="23" t="s">
        <v>2645</v>
      </c>
      <c r="E325" s="20"/>
      <c r="F325" s="20"/>
      <c r="G325" s="20"/>
      <c r="H325" s="20"/>
      <c r="I325" s="20"/>
      <c r="J325" s="20"/>
      <c r="K325" s="20"/>
      <c r="L325" s="20"/>
      <c r="M325" s="20"/>
      <c r="N325" s="20"/>
      <c r="O325" s="20"/>
      <c r="P325" s="20"/>
      <c r="Q325" s="20"/>
      <c r="R325" s="20"/>
      <c r="S325" s="20"/>
      <c r="T325" s="81"/>
      <c r="U325" s="81"/>
    </row>
    <row r="326" customFormat="false" ht="38.25" hidden="false" customHeight="true" outlineLevel="0" collapsed="false">
      <c r="A326" s="23" t="s">
        <v>2646</v>
      </c>
      <c r="B326" s="23" t="n">
        <f aca="false">COUNTIF(S151:S272,"LỆCH")</f>
        <v>0</v>
      </c>
      <c r="C326" s="23" t="n">
        <v>0</v>
      </c>
      <c r="D326" s="23" t="s">
        <v>2647</v>
      </c>
      <c r="E326" s="20"/>
      <c r="F326" s="20"/>
      <c r="G326" s="20"/>
      <c r="H326" s="20"/>
      <c r="I326" s="20"/>
      <c r="J326" s="20"/>
      <c r="K326" s="20"/>
      <c r="L326" s="20"/>
      <c r="M326" s="20"/>
      <c r="N326" s="20"/>
      <c r="O326" s="20"/>
      <c r="P326" s="20"/>
      <c r="Q326" s="20"/>
      <c r="R326" s="20"/>
      <c r="S326" s="20"/>
      <c r="T326" s="81"/>
      <c r="U326" s="81"/>
    </row>
    <row r="327" customFormat="false" ht="25.5" hidden="false" customHeight="true" outlineLevel="0" collapsed="false">
      <c r="A327" s="23" t="s">
        <v>2648</v>
      </c>
      <c r="B327" s="23" t="str">
        <f aca="false">IF(B5=0,MAX(MAX(G51:G141),-MIN(G51:G141)),"Chọn case0 để kiểm")</f>
        <v>Chọn case0 để kiểm</v>
      </c>
      <c r="C327" s="23" t="s">
        <v>2649</v>
      </c>
      <c r="D327" s="23" t="s">
        <v>2650</v>
      </c>
      <c r="E327" s="20"/>
      <c r="F327" s="20"/>
      <c r="G327" s="20"/>
      <c r="H327" s="20"/>
      <c r="I327" s="20"/>
      <c r="J327" s="20"/>
      <c r="K327" s="20"/>
      <c r="L327" s="20"/>
      <c r="M327" s="20"/>
      <c r="N327" s="20"/>
      <c r="O327" s="20"/>
      <c r="P327" s="20"/>
      <c r="Q327" s="20"/>
      <c r="R327" s="20"/>
      <c r="S327" s="20"/>
      <c r="T327" s="81"/>
      <c r="U327" s="81"/>
    </row>
    <row r="328" customFormat="false" ht="38.25" hidden="false" customHeight="true" outlineLevel="0" collapsed="false">
      <c r="A328" s="23" t="s">
        <v>2651</v>
      </c>
      <c r="B328" s="23" t="n">
        <f aca="false">COUNTA(A151:A272)</f>
        <v>122</v>
      </c>
      <c r="C328" s="23" t="n">
        <v>122</v>
      </c>
      <c r="D328" s="23" t="s">
        <v>2652</v>
      </c>
      <c r="E328" s="20"/>
      <c r="F328" s="20"/>
      <c r="G328" s="20"/>
      <c r="H328" s="20"/>
      <c r="I328" s="20"/>
      <c r="J328" s="20"/>
      <c r="K328" s="20"/>
      <c r="L328" s="20"/>
      <c r="M328" s="20"/>
      <c r="N328" s="20"/>
      <c r="O328" s="20"/>
      <c r="P328" s="20"/>
      <c r="Q328" s="20"/>
      <c r="R328" s="20"/>
      <c r="S328" s="20"/>
      <c r="T328" s="81"/>
      <c r="U328" s="81"/>
    </row>
    <row r="329" customFormat="false" ht="38.25" hidden="false" customHeight="true" outlineLevel="0" collapsed="false">
      <c r="A329" s="23" t="s">
        <v>2653</v>
      </c>
      <c r="B329" s="23" t="s">
        <v>2654</v>
      </c>
      <c r="C329" s="23" t="s">
        <v>2655</v>
      </c>
      <c r="D329" s="23" t="s">
        <v>2656</v>
      </c>
      <c r="E329" s="20"/>
      <c r="F329" s="20"/>
      <c r="G329" s="20"/>
      <c r="H329" s="20"/>
      <c r="I329" s="20"/>
      <c r="J329" s="20"/>
      <c r="K329" s="20"/>
      <c r="L329" s="20"/>
      <c r="M329" s="20"/>
      <c r="N329" s="20"/>
      <c r="O329" s="20"/>
      <c r="P329" s="20"/>
      <c r="Q329" s="20"/>
      <c r="R329" s="20"/>
      <c r="S329" s="20"/>
      <c r="T329" s="81"/>
      <c r="U329" s="81"/>
    </row>
    <row r="330" customFormat="false" ht="63.75" hidden="false" customHeight="true" outlineLevel="0" collapsed="false">
      <c r="A330" s="23" t="s">
        <v>2657</v>
      </c>
      <c r="B330" s="23" t="s">
        <v>2658</v>
      </c>
      <c r="C330" s="23" t="s">
        <v>2659</v>
      </c>
      <c r="D330" s="23" t="s">
        <v>2660</v>
      </c>
      <c r="E330" s="20"/>
      <c r="F330" s="20"/>
      <c r="G330" s="20"/>
      <c r="H330" s="20"/>
      <c r="I330" s="20"/>
      <c r="J330" s="20"/>
      <c r="K330" s="20"/>
      <c r="L330" s="20"/>
      <c r="M330" s="20"/>
      <c r="N330" s="20"/>
      <c r="O330" s="20"/>
      <c r="P330" s="20"/>
      <c r="Q330" s="20"/>
      <c r="R330" s="20"/>
      <c r="S330" s="20"/>
      <c r="T330" s="81"/>
      <c r="U330" s="81"/>
    </row>
    <row r="331" customFormat="false" ht="13.5" hidden="false" customHeight="false" outlineLevel="0" collapsed="false">
      <c r="A331" s="23"/>
      <c r="B331" s="23"/>
      <c r="C331" s="23"/>
      <c r="D331" s="23"/>
      <c r="E331" s="20"/>
      <c r="F331" s="20"/>
      <c r="G331" s="20"/>
      <c r="H331" s="20"/>
      <c r="I331" s="20"/>
      <c r="J331" s="20"/>
      <c r="K331" s="20"/>
      <c r="L331" s="20"/>
      <c r="M331" s="20"/>
      <c r="N331" s="20"/>
      <c r="O331" s="20"/>
      <c r="P331" s="20"/>
      <c r="Q331" s="20"/>
      <c r="R331" s="20"/>
      <c r="S331" s="20"/>
      <c r="T331" s="81"/>
      <c r="U331" s="81"/>
    </row>
    <row r="332" customFormat="false" ht="13.5" hidden="false" customHeight="false" outlineLevel="0" collapsed="false">
      <c r="A332" s="23"/>
      <c r="B332" s="23"/>
      <c r="C332" s="23"/>
      <c r="D332" s="23"/>
      <c r="E332" s="20"/>
      <c r="F332" s="20"/>
      <c r="G332" s="20"/>
      <c r="H332" s="20"/>
      <c r="I332" s="20"/>
      <c r="J332" s="20"/>
      <c r="K332" s="20"/>
      <c r="L332" s="20"/>
      <c r="M332" s="20"/>
      <c r="N332" s="20"/>
      <c r="O332" s="20"/>
      <c r="P332" s="20"/>
      <c r="Q332" s="20"/>
      <c r="R332" s="20"/>
      <c r="S332" s="20"/>
      <c r="T332" s="81"/>
      <c r="U332" s="81"/>
    </row>
    <row r="333" customFormat="false" ht="63.75" hidden="false" customHeight="true" outlineLevel="0" collapsed="false">
      <c r="A333" s="23" t="s">
        <v>1442</v>
      </c>
      <c r="B333" s="23" t="s">
        <v>2661</v>
      </c>
      <c r="C333" s="23"/>
      <c r="D333" s="23"/>
      <c r="E333" s="20"/>
      <c r="F333" s="20"/>
      <c r="G333" s="20"/>
      <c r="H333" s="20"/>
      <c r="I333" s="20"/>
      <c r="J333" s="20"/>
      <c r="K333" s="20"/>
      <c r="L333" s="20"/>
      <c r="M333" s="20"/>
      <c r="N333" s="20"/>
      <c r="O333" s="20"/>
      <c r="P333" s="20"/>
      <c r="Q333" s="20"/>
      <c r="R333" s="20"/>
      <c r="S333" s="20"/>
      <c r="T333" s="81"/>
      <c r="U333" s="81"/>
    </row>
  </sheetData>
  <conditionalFormatting sqref="K51:K141">
    <cfRule type="cellIs" priority="2" operator="equal" aboveAverage="0" equalAverage="0" bottom="0" percent="0" rank="0" text="" dxfId="3">
      <formula>1</formula>
    </cfRule>
    <cfRule type="cellIs" priority="3" operator="equal" aboveAverage="0" equalAverage="0" bottom="0" percent="0" rank="0" text="" dxfId="4">
      <formula>2</formula>
    </cfRule>
    <cfRule type="cellIs" priority="4" operator="equal" aboveAverage="0" equalAverage="0" bottom="0" percent="0" rank="0" text="" dxfId="5">
      <formula>3</formula>
    </cfRule>
  </conditionalFormatting>
  <conditionalFormatting sqref="B34">
    <cfRule type="containsText" priority="5" operator="containsText" aboveAverage="0" equalAverage="0" bottom="0" percent="0" rank="0" text="LỖI" dxfId="6">
      <formula>NOT(ISERROR(SEARCH("LỖI",B34)))</formula>
    </cfRule>
  </conditionalFormatting>
  <dataValidations count="7">
    <dataValidation allowBlank="false" errorStyle="stop" operator="between" showDropDown="false" showErrorMessage="false" showInputMessage="false" sqref="B5" type="whole">
      <formula1>0</formula1>
      <formula2>6</formula2>
    </dataValidation>
    <dataValidation allowBlank="false" errorStyle="stop" operator="between" showDropDown="false" showErrorMessage="false" showInputMessage="false" sqref="B8 B10 B14 B16 B19:B20 B22 B25" type="decimal">
      <formula1>0</formula1>
      <formula2>1</formula2>
    </dataValidation>
    <dataValidation allowBlank="false" errorStyle="stop" operator="between" showDropDown="false" showErrorMessage="false" showInputMessage="false" sqref="B12 B17 B24" type="whole">
      <formula1>0</formula1>
      <formula2>1</formula2>
    </dataValidation>
    <dataValidation allowBlank="false" errorStyle="stop" operator="between" showDropDown="false" showErrorMessage="false" showInputMessage="false" sqref="B9 B11 B15 B21 B23" type="whole">
      <formula1>0</formula1>
      <formula2>365</formula2>
    </dataValidation>
    <dataValidation allowBlank="false" errorStyle="stop" operator="between" showDropDown="false" showErrorMessage="false" showInputMessage="false" sqref="B7" type="list">
      <formula1>D_F01!$A$38:$A$46</formula1>
      <formula2>0</formula2>
    </dataValidation>
    <dataValidation allowBlank="false" errorStyle="stop" operator="between" showDropDown="false" showErrorMessage="false" showInputMessage="false" sqref="B13" type="list">
      <formula1>D_F01!$A$51:$A$59</formula1>
      <formula2>0</formula2>
    </dataValidation>
    <dataValidation allowBlank="false" errorStyle="stop" operator="between" showDropDown="false" showErrorMessage="false" showInputMessage="false" sqref="B18" type="list">
      <formula1>D_inventory!$A$5:$A$40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87"/>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A1" activeCellId="0" sqref="A1"/>
    </sheetView>
  </sheetViews>
  <sheetFormatPr defaultColWidth="8.6796875" defaultRowHeight="13.5" zeroHeight="false" outlineLevelRow="0" outlineLevelCol="0"/>
  <cols>
    <col collapsed="false" customWidth="true" hidden="false" outlineLevel="0" max="1" min="1" style="0" width="43"/>
    <col collapsed="false" customWidth="true" hidden="false" outlineLevel="0" max="2" min="2" style="0" width="27"/>
    <col collapsed="false" customWidth="true" hidden="false" outlineLevel="0" max="3" min="3" style="0" width="86"/>
    <col collapsed="false" customWidth="true" hidden="false" outlineLevel="0" max="4" min="4" style="0" width="28"/>
    <col collapsed="false" customWidth="true" hidden="false" outlineLevel="0" max="5" min="5" style="0" width="20"/>
    <col collapsed="false" customWidth="true" hidden="false" outlineLevel="0" max="6" min="6" style="0" width="26"/>
  </cols>
  <sheetData>
    <row r="2" customFormat="false" ht="17.25" hidden="false" customHeight="true" outlineLevel="0" collapsed="false">
      <c r="A2" s="1" t="s">
        <v>2662</v>
      </c>
    </row>
    <row r="4" customFormat="false" ht="33.75" hidden="false" customHeight="true" outlineLevel="0" collapsed="false">
      <c r="A4" s="2" t="s">
        <v>2663</v>
      </c>
      <c r="B4" s="2" t="s">
        <v>1674</v>
      </c>
      <c r="C4" s="2" t="s">
        <v>2664</v>
      </c>
    </row>
    <row r="5" customFormat="false" ht="25.5" hidden="false" customHeight="true" outlineLevel="0" collapsed="false">
      <c r="A5" s="3" t="s">
        <v>2665</v>
      </c>
      <c r="B5" s="82" t="s">
        <v>2666</v>
      </c>
      <c r="C5" s="3" t="s">
        <v>2667</v>
      </c>
    </row>
    <row r="6" customFormat="false" ht="25.5" hidden="false" customHeight="true" outlineLevel="0" collapsed="false">
      <c r="A6" s="4" t="s">
        <v>2668</v>
      </c>
      <c r="B6" s="83" t="n">
        <v>46023</v>
      </c>
      <c r="C6" s="4" t="s">
        <v>2669</v>
      </c>
    </row>
    <row r="7" customFormat="false" ht="25.5" hidden="false" customHeight="true" outlineLevel="0" collapsed="false">
      <c r="A7" s="3" t="s">
        <v>2670</v>
      </c>
      <c r="B7" s="84" t="n">
        <v>46203</v>
      </c>
      <c r="C7" s="3" t="s">
        <v>2671</v>
      </c>
    </row>
    <row r="8" customFormat="false" ht="25.5" hidden="false" customHeight="true" outlineLevel="0" collapsed="false">
      <c r="A8" s="4" t="s">
        <v>2672</v>
      </c>
      <c r="B8" s="85" t="n">
        <f aca="false">B7-B6+1</f>
        <v>181</v>
      </c>
      <c r="C8" s="4" t="s">
        <v>2673</v>
      </c>
    </row>
    <row r="9" customFormat="false" ht="25.5" hidden="false" customHeight="true" outlineLevel="0" collapsed="false">
      <c r="A9" s="3" t="s">
        <v>2674</v>
      </c>
      <c r="B9" s="86" t="n">
        <f aca="false">SUM(D_sales!F5:F121)</f>
        <v>69627509083</v>
      </c>
      <c r="C9" s="3" t="s">
        <v>2675</v>
      </c>
    </row>
    <row r="10" customFormat="false" ht="25.5" hidden="false" customHeight="true" outlineLevel="0" collapsed="false">
      <c r="A10" s="4" t="s">
        <v>2676</v>
      </c>
      <c r="B10" s="32" t="n">
        <f aca="false">B9*0.82</f>
        <v>57094557448.06</v>
      </c>
      <c r="C10" s="4" t="s">
        <v>2677</v>
      </c>
    </row>
    <row r="11" customFormat="false" ht="25.5" hidden="false" customHeight="true" outlineLevel="0" collapsed="false">
      <c r="A11" s="3" t="s">
        <v>2678</v>
      </c>
      <c r="B11" s="87" t="n">
        <v>4401925973</v>
      </c>
      <c r="C11" s="3" t="s">
        <v>2679</v>
      </c>
    </row>
    <row r="12" customFormat="false" ht="25.5" hidden="false" customHeight="true" outlineLevel="0" collapsed="false">
      <c r="A12" s="4" t="s">
        <v>2680</v>
      </c>
      <c r="B12" s="88" t="n">
        <v>0</v>
      </c>
      <c r="C12" s="4" t="s">
        <v>2681</v>
      </c>
    </row>
    <row r="13" customFormat="false" ht="25.5" hidden="false" customHeight="true" outlineLevel="0" collapsed="false">
      <c r="A13" s="3" t="s">
        <v>2682</v>
      </c>
      <c r="B13" s="87" t="n">
        <v>2000000000</v>
      </c>
      <c r="C13" s="3" t="s">
        <v>2683</v>
      </c>
    </row>
    <row r="14" customFormat="false" ht="25.5" hidden="false" customHeight="true" outlineLevel="0" collapsed="false">
      <c r="A14" s="4" t="s">
        <v>2684</v>
      </c>
      <c r="B14" s="88" t="n">
        <v>3000000000</v>
      </c>
      <c r="C14" s="4" t="s">
        <v>2685</v>
      </c>
    </row>
    <row r="15" customFormat="false" ht="25.5" hidden="false" customHeight="true" outlineLevel="0" collapsed="false">
      <c r="A15" s="3" t="s">
        <v>2686</v>
      </c>
      <c r="B15" s="86" t="n">
        <f aca="false">MAX(Nguong!B5*B21,Nguong!B6)</f>
        <v>5564546291.68451</v>
      </c>
      <c r="C15" s="3" t="s">
        <v>2687</v>
      </c>
    </row>
    <row r="16" customFormat="false" ht="25.5" hidden="false" customHeight="true" outlineLevel="0" collapsed="false">
      <c r="A16" s="4" t="s">
        <v>2688</v>
      </c>
      <c r="B16" s="86" t="n">
        <f aca="false">B15+Nguong!B86/3</f>
        <v>6855965890.22435</v>
      </c>
      <c r="C16" s="4" t="s">
        <v>2689</v>
      </c>
    </row>
    <row r="17" customFormat="false" ht="25.5" hidden="false" customHeight="true" outlineLevel="0" collapsed="false">
      <c r="A17" s="3" t="s">
        <v>2690</v>
      </c>
      <c r="B17" s="86" t="n">
        <f aca="false">B15+Nguong!B86</f>
        <v>9438805087.30403</v>
      </c>
      <c r="C17" s="3" t="s">
        <v>2691</v>
      </c>
    </row>
    <row r="18" customFormat="false" ht="25.5" hidden="false" customHeight="true" outlineLevel="0" collapsed="false">
      <c r="A18" s="4" t="s">
        <v>2692</v>
      </c>
      <c r="B18" s="89" t="n">
        <v>13</v>
      </c>
      <c r="C18" s="4" t="s">
        <v>2693</v>
      </c>
    </row>
    <row r="19" customFormat="false" ht="25.5" hidden="false" customHeight="true" outlineLevel="0" collapsed="false">
      <c r="A19" s="3" t="s">
        <v>2694</v>
      </c>
      <c r="B19" s="82" t="n">
        <v>1</v>
      </c>
      <c r="C19" s="3" t="s">
        <v>2695</v>
      </c>
    </row>
    <row r="20" customFormat="false" ht="25.5" hidden="false" customHeight="true" outlineLevel="0" collapsed="false">
      <c r="A20" s="4" t="s">
        <v>2696</v>
      </c>
      <c r="B20" s="85" t="str">
        <f aca="false">IF(B19=5,"continuing","run_off")</f>
        <v>run_off</v>
      </c>
      <c r="C20" s="4" t="s">
        <v>2697</v>
      </c>
    </row>
    <row r="21" customFormat="false" ht="25.5" hidden="false" customHeight="true" outlineLevel="0" collapsed="false">
      <c r="A21" s="3" t="s">
        <v>2698</v>
      </c>
      <c r="B21" s="90" t="n">
        <f aca="false">B85+B9</f>
        <v>133127509083</v>
      </c>
      <c r="C21" s="3" t="s">
        <v>2699</v>
      </c>
    </row>
    <row r="22" customFormat="false" ht="25.5" hidden="false" customHeight="true" outlineLevel="0" collapsed="false">
      <c r="A22" s="4" t="s">
        <v>2700</v>
      </c>
      <c r="B22" s="89" t="s">
        <v>2701</v>
      </c>
      <c r="C22" s="4" t="s">
        <v>2702</v>
      </c>
    </row>
    <row r="23" customFormat="false" ht="25.5" hidden="false" customHeight="true" outlineLevel="0" collapsed="false">
      <c r="A23" s="3" t="s">
        <v>2703</v>
      </c>
      <c r="B23" s="82" t="s">
        <v>2704</v>
      </c>
      <c r="C23" s="3" t="s">
        <v>2705</v>
      </c>
    </row>
    <row r="24" customFormat="false" ht="25.5" hidden="false" customHeight="true" outlineLevel="0" collapsed="false">
      <c r="A24" s="4" t="s">
        <v>2706</v>
      </c>
      <c r="B24" s="89" t="s">
        <v>2707</v>
      </c>
      <c r="C24" s="4" t="s">
        <v>2708</v>
      </c>
    </row>
    <row r="25" customFormat="false" ht="25.5" hidden="false" customHeight="true" outlineLevel="0" collapsed="false">
      <c r="A25" s="3" t="s">
        <v>2709</v>
      </c>
      <c r="B25" s="82" t="n">
        <v>180</v>
      </c>
      <c r="C25" s="3" t="s">
        <v>2710</v>
      </c>
    </row>
    <row r="26" customFormat="false" ht="25.5" hidden="false" customHeight="true" outlineLevel="0" collapsed="false">
      <c r="A26" s="4" t="s">
        <v>2711</v>
      </c>
      <c r="B26" s="89" t="n">
        <v>5</v>
      </c>
      <c r="C26" s="4" t="s">
        <v>2712</v>
      </c>
    </row>
    <row r="27" customFormat="false" ht="25.5" hidden="false" customHeight="true" outlineLevel="0" collapsed="false">
      <c r="A27" s="3" t="s">
        <v>2713</v>
      </c>
      <c r="B27" s="82" t="n">
        <v>3</v>
      </c>
      <c r="C27" s="3" t="s">
        <v>2714</v>
      </c>
    </row>
    <row r="28" customFormat="false" ht="25.5" hidden="false" customHeight="true" outlineLevel="0" collapsed="false">
      <c r="A28" s="4" t="s">
        <v>2715</v>
      </c>
      <c r="B28" s="89" t="n">
        <v>7</v>
      </c>
      <c r="C28" s="4" t="s">
        <v>2716</v>
      </c>
    </row>
    <row r="29" customFormat="false" ht="25.5" hidden="false" customHeight="true" outlineLevel="0" collapsed="false">
      <c r="A29" s="3" t="s">
        <v>2717</v>
      </c>
      <c r="B29" s="91" t="n">
        <v>0.65</v>
      </c>
      <c r="C29" s="3" t="s">
        <v>2718</v>
      </c>
    </row>
    <row r="30" customFormat="false" ht="25.5" hidden="false" customHeight="true" outlineLevel="0" collapsed="false">
      <c r="A30" s="4" t="s">
        <v>2719</v>
      </c>
      <c r="B30" s="89" t="n">
        <v>7</v>
      </c>
      <c r="C30" s="4" t="s">
        <v>2720</v>
      </c>
    </row>
    <row r="31" customFormat="false" ht="25.5" hidden="false" customHeight="true" outlineLevel="0" collapsed="false">
      <c r="A31" s="3" t="s">
        <v>2721</v>
      </c>
      <c r="B31" s="82" t="n">
        <v>60</v>
      </c>
      <c r="C31" s="3" t="s">
        <v>2722</v>
      </c>
    </row>
    <row r="32" customFormat="false" ht="25.5" hidden="false" customHeight="true" outlineLevel="0" collapsed="false">
      <c r="A32" s="4" t="s">
        <v>2723</v>
      </c>
      <c r="B32" s="89" t="n">
        <v>1</v>
      </c>
      <c r="C32" s="4" t="s">
        <v>2724</v>
      </c>
    </row>
    <row r="33" customFormat="false" ht="25.5" hidden="false" customHeight="true" outlineLevel="0" collapsed="false">
      <c r="A33" s="3" t="s">
        <v>2725</v>
      </c>
      <c r="B33" s="82" t="s">
        <v>2053</v>
      </c>
      <c r="C33" s="3" t="s">
        <v>2726</v>
      </c>
    </row>
    <row r="35" customFormat="false" ht="54" hidden="false" customHeight="true" outlineLevel="0" collapsed="false">
      <c r="A35" s="5" t="s">
        <v>2727</v>
      </c>
      <c r="B35" s="5" t="n">
        <f aca="false">B8</f>
        <v>181</v>
      </c>
      <c r="C35" s="5" t="s">
        <v>2728</v>
      </c>
    </row>
    <row r="37" customFormat="false" ht="33.75" hidden="false" customHeight="true" outlineLevel="0" collapsed="false">
      <c r="A37" s="2" t="s">
        <v>2729</v>
      </c>
      <c r="B37" s="2" t="s">
        <v>2730</v>
      </c>
      <c r="C37" s="2" t="s">
        <v>2731</v>
      </c>
    </row>
    <row r="38" customFormat="false" ht="25.5" hidden="false" customHeight="true" outlineLevel="0" collapsed="false">
      <c r="A38" s="3" t="s">
        <v>1977</v>
      </c>
      <c r="B38" s="3" t="s">
        <v>2732</v>
      </c>
      <c r="C38" s="3" t="s">
        <v>2733</v>
      </c>
    </row>
    <row r="39" customFormat="false" ht="25.5" hidden="false" customHeight="true" outlineLevel="0" collapsed="false">
      <c r="A39" s="4" t="s">
        <v>1978</v>
      </c>
      <c r="B39" s="4" t="s">
        <v>2734</v>
      </c>
      <c r="C39" s="4" t="s">
        <v>2735</v>
      </c>
    </row>
    <row r="40" customFormat="false" ht="25.5" hidden="false" customHeight="true" outlineLevel="0" collapsed="false">
      <c r="A40" s="3" t="s">
        <v>1979</v>
      </c>
      <c r="B40" s="3" t="s">
        <v>2736</v>
      </c>
      <c r="C40" s="3" t="s">
        <v>2733</v>
      </c>
    </row>
    <row r="41" customFormat="false" ht="39.75" hidden="false" customHeight="true" outlineLevel="0" collapsed="false">
      <c r="A41" s="4" t="s">
        <v>1980</v>
      </c>
      <c r="B41" s="4" t="s">
        <v>2737</v>
      </c>
      <c r="C41" s="4" t="s">
        <v>2733</v>
      </c>
    </row>
    <row r="42" customFormat="false" ht="25.5" hidden="false" customHeight="true" outlineLevel="0" collapsed="false">
      <c r="A42" s="3" t="s">
        <v>1981</v>
      </c>
      <c r="B42" s="3" t="s">
        <v>2738</v>
      </c>
      <c r="C42" s="3" t="s">
        <v>2733</v>
      </c>
    </row>
    <row r="43" customFormat="false" ht="25.5" hidden="false" customHeight="true" outlineLevel="0" collapsed="false">
      <c r="A43" s="4" t="s">
        <v>1982</v>
      </c>
      <c r="B43" s="4" t="s">
        <v>2739</v>
      </c>
      <c r="C43" s="4" t="s">
        <v>2733</v>
      </c>
    </row>
    <row r="44" customFormat="false" ht="25.5" hidden="false" customHeight="true" outlineLevel="0" collapsed="false">
      <c r="A44" s="3" t="s">
        <v>1983</v>
      </c>
      <c r="B44" s="3" t="s">
        <v>2740</v>
      </c>
      <c r="C44" s="3" t="s">
        <v>2733</v>
      </c>
    </row>
    <row r="45" customFormat="false" ht="25.5" hidden="false" customHeight="true" outlineLevel="0" collapsed="false">
      <c r="A45" s="4" t="s">
        <v>1984</v>
      </c>
      <c r="B45" s="4" t="s">
        <v>2741</v>
      </c>
      <c r="C45" s="4" t="s">
        <v>2733</v>
      </c>
    </row>
    <row r="46" customFormat="false" ht="25.5" hidden="false" customHeight="true" outlineLevel="0" collapsed="false">
      <c r="A46" s="3" t="s">
        <v>1985</v>
      </c>
      <c r="B46" s="3" t="s">
        <v>2742</v>
      </c>
      <c r="C46" s="3" t="s">
        <v>2733</v>
      </c>
    </row>
    <row r="50" customFormat="false" ht="33.75" hidden="false" customHeight="true" outlineLevel="0" collapsed="false">
      <c r="A50" s="2" t="s">
        <v>2743</v>
      </c>
      <c r="B50" s="2" t="s">
        <v>2744</v>
      </c>
      <c r="C50" s="2" t="s">
        <v>1989</v>
      </c>
      <c r="D50" s="2" t="s">
        <v>2745</v>
      </c>
      <c r="E50" s="2" t="s">
        <v>2746</v>
      </c>
      <c r="F50" s="2" t="s">
        <v>2747</v>
      </c>
    </row>
    <row r="51" customFormat="false" ht="39.75" hidden="false" customHeight="true" outlineLevel="0" collapsed="false">
      <c r="A51" s="3" t="s">
        <v>1992</v>
      </c>
      <c r="B51" s="3" t="s">
        <v>2748</v>
      </c>
      <c r="C51" s="3" t="s">
        <v>2735</v>
      </c>
      <c r="D51" s="3" t="s">
        <v>2733</v>
      </c>
      <c r="E51" s="3" t="n">
        <v>0</v>
      </c>
      <c r="F51" s="3" t="n">
        <v>45</v>
      </c>
    </row>
    <row r="52" customFormat="false" ht="39.75" hidden="false" customHeight="true" outlineLevel="0" collapsed="false">
      <c r="A52" s="4" t="s">
        <v>1993</v>
      </c>
      <c r="B52" s="4" t="s">
        <v>2749</v>
      </c>
      <c r="C52" s="4" t="s">
        <v>2733</v>
      </c>
      <c r="D52" s="4" t="s">
        <v>2733</v>
      </c>
      <c r="E52" s="4" t="n">
        <v>3</v>
      </c>
      <c r="F52" s="4" t="n">
        <v>7</v>
      </c>
    </row>
    <row r="53" customFormat="false" ht="25.5" hidden="false" customHeight="true" outlineLevel="0" collapsed="false">
      <c r="A53" s="3" t="s">
        <v>1994</v>
      </c>
      <c r="B53" s="3" t="s">
        <v>2750</v>
      </c>
      <c r="C53" s="3" t="s">
        <v>2735</v>
      </c>
      <c r="D53" s="3" t="s">
        <v>2733</v>
      </c>
      <c r="E53" s="3" t="n">
        <v>0</v>
      </c>
      <c r="F53" s="3" t="n">
        <v>35</v>
      </c>
    </row>
    <row r="54" customFormat="false" ht="25.5" hidden="false" customHeight="true" outlineLevel="0" collapsed="false">
      <c r="A54" s="4" t="s">
        <v>1995</v>
      </c>
      <c r="B54" s="4" t="s">
        <v>2751</v>
      </c>
      <c r="C54" s="4" t="s">
        <v>2733</v>
      </c>
      <c r="D54" s="4" t="s">
        <v>2733</v>
      </c>
      <c r="E54" s="4" t="n">
        <v>4</v>
      </c>
      <c r="F54" s="4" t="n">
        <v>3</v>
      </c>
    </row>
    <row r="55" customFormat="false" ht="39.75" hidden="false" customHeight="true" outlineLevel="0" collapsed="false">
      <c r="A55" s="3" t="s">
        <v>1996</v>
      </c>
      <c r="B55" s="3" t="s">
        <v>2752</v>
      </c>
      <c r="C55" s="3" t="s">
        <v>2733</v>
      </c>
      <c r="D55" s="3" t="s">
        <v>2733</v>
      </c>
      <c r="E55" s="3" t="n">
        <v>2</v>
      </c>
      <c r="F55" s="3" t="n">
        <v>10</v>
      </c>
    </row>
    <row r="56" customFormat="false" ht="25.5" hidden="false" customHeight="true" outlineLevel="0" collapsed="false">
      <c r="A56" s="4" t="s">
        <v>1997</v>
      </c>
      <c r="B56" s="4" t="s">
        <v>2753</v>
      </c>
      <c r="C56" s="4" t="s">
        <v>2735</v>
      </c>
      <c r="D56" s="4" t="s">
        <v>2733</v>
      </c>
      <c r="E56" s="4" t="n">
        <v>0</v>
      </c>
      <c r="F56" s="4" t="n">
        <v>0</v>
      </c>
    </row>
    <row r="57" customFormat="false" ht="25.5" hidden="false" customHeight="true" outlineLevel="0" collapsed="false">
      <c r="A57" s="3" t="s">
        <v>1998</v>
      </c>
      <c r="B57" s="3" t="s">
        <v>2754</v>
      </c>
      <c r="C57" s="3" t="s">
        <v>2733</v>
      </c>
      <c r="D57" s="3" t="s">
        <v>2733</v>
      </c>
      <c r="E57" s="3" t="n">
        <v>2</v>
      </c>
      <c r="F57" s="3" t="n">
        <v>14</v>
      </c>
    </row>
    <row r="58" customFormat="false" ht="25.5" hidden="false" customHeight="true" outlineLevel="0" collapsed="false">
      <c r="A58" s="4" t="s">
        <v>1999</v>
      </c>
      <c r="B58" s="4" t="s">
        <v>2755</v>
      </c>
      <c r="C58" s="4" t="s">
        <v>2733</v>
      </c>
      <c r="D58" s="4" t="s">
        <v>2733</v>
      </c>
      <c r="E58" s="4" t="n">
        <v>5</v>
      </c>
      <c r="F58" s="4" t="n">
        <v>2</v>
      </c>
    </row>
    <row r="59" customFormat="false" ht="25.5" hidden="false" customHeight="true" outlineLevel="0" collapsed="false">
      <c r="A59" s="3" t="s">
        <v>2000</v>
      </c>
      <c r="B59" s="3" t="s">
        <v>2756</v>
      </c>
      <c r="C59" s="3" t="s">
        <v>2735</v>
      </c>
      <c r="D59" s="3" t="s">
        <v>2735</v>
      </c>
      <c r="E59" s="3" t="n">
        <v>0</v>
      </c>
      <c r="F59" s="3" t="n">
        <v>40</v>
      </c>
    </row>
    <row r="63" customFormat="false" ht="13.5" hidden="false" customHeight="true" outlineLevel="0" collapsed="false">
      <c r="A63" s="3" t="s">
        <v>2757</v>
      </c>
      <c r="B63" s="3"/>
      <c r="C63" s="3"/>
      <c r="D63" s="3"/>
      <c r="E63" s="3"/>
      <c r="F63" s="3"/>
    </row>
    <row r="64" customFormat="false" ht="13.5" hidden="false" customHeight="false" outlineLevel="0" collapsed="false">
      <c r="A64" s="3"/>
      <c r="B64" s="3"/>
      <c r="C64" s="3"/>
      <c r="D64" s="3"/>
      <c r="E64" s="3"/>
      <c r="F64" s="3"/>
    </row>
    <row r="65" customFormat="false" ht="13.5" hidden="false" customHeight="false" outlineLevel="0" collapsed="false">
      <c r="A65" s="3"/>
      <c r="B65" s="3"/>
      <c r="C65" s="3"/>
      <c r="D65" s="3"/>
      <c r="E65" s="3"/>
      <c r="F65" s="3"/>
    </row>
    <row r="67" customFormat="false" ht="33.75" hidden="false" customHeight="true" outlineLevel="0" collapsed="false">
      <c r="A67" s="2" t="s">
        <v>2758</v>
      </c>
      <c r="B67" s="2" t="s">
        <v>2759</v>
      </c>
      <c r="C67" s="2" t="s">
        <v>2012</v>
      </c>
      <c r="D67" s="2" t="s">
        <v>2760</v>
      </c>
    </row>
    <row r="68" customFormat="false" ht="25.5" hidden="false" customHeight="true" outlineLevel="0" collapsed="false">
      <c r="A68" s="3" t="s">
        <v>2761</v>
      </c>
      <c r="B68" s="3" t="s">
        <v>2762</v>
      </c>
      <c r="C68" s="3" t="s">
        <v>2763</v>
      </c>
      <c r="D68" s="3" t="s">
        <v>2764</v>
      </c>
    </row>
    <row r="69" customFormat="false" ht="39.75" hidden="false" customHeight="true" outlineLevel="0" collapsed="false">
      <c r="A69" s="4" t="s">
        <v>2765</v>
      </c>
      <c r="B69" s="4" t="s">
        <v>2766</v>
      </c>
      <c r="C69" s="4" t="s">
        <v>2767</v>
      </c>
      <c r="D69" s="4" t="s">
        <v>2768</v>
      </c>
    </row>
    <row r="70" customFormat="false" ht="25.5" hidden="false" customHeight="true" outlineLevel="0" collapsed="false">
      <c r="A70" s="3" t="s">
        <v>2769</v>
      </c>
      <c r="B70" s="3" t="s">
        <v>2770</v>
      </c>
      <c r="C70" s="3" t="s">
        <v>2771</v>
      </c>
      <c r="D70" s="3" t="s">
        <v>2772</v>
      </c>
    </row>
    <row r="71" customFormat="false" ht="25.5" hidden="false" customHeight="true" outlineLevel="0" collapsed="false">
      <c r="A71" s="4" t="s">
        <v>308</v>
      </c>
      <c r="B71" s="4" t="s">
        <v>2773</v>
      </c>
      <c r="C71" s="4" t="s">
        <v>2774</v>
      </c>
      <c r="D71" s="4" t="s">
        <v>2775</v>
      </c>
    </row>
    <row r="72" customFormat="false" ht="25.5" hidden="false" customHeight="true" outlineLevel="0" collapsed="false">
      <c r="A72" s="3" t="s">
        <v>351</v>
      </c>
      <c r="B72" s="3" t="s">
        <v>2776</v>
      </c>
      <c r="C72" s="3" t="s">
        <v>2777</v>
      </c>
      <c r="D72" s="3" t="s">
        <v>2775</v>
      </c>
    </row>
    <row r="73" customFormat="false" ht="39.75" hidden="false" customHeight="true" outlineLevel="0" collapsed="false">
      <c r="A73" s="4" t="s">
        <v>323</v>
      </c>
      <c r="B73" s="4" t="s">
        <v>2778</v>
      </c>
      <c r="C73" s="4" t="s">
        <v>2779</v>
      </c>
      <c r="D73" s="4" t="s">
        <v>2780</v>
      </c>
    </row>
    <row r="74" customFormat="false" ht="25.5" hidden="false" customHeight="true" outlineLevel="0" collapsed="false">
      <c r="A74" s="3" t="s">
        <v>2781</v>
      </c>
      <c r="B74" s="3" t="s">
        <v>2782</v>
      </c>
      <c r="C74" s="3" t="s">
        <v>2783</v>
      </c>
      <c r="D74" s="3" t="s">
        <v>2784</v>
      </c>
    </row>
    <row r="75" customFormat="false" ht="39.75" hidden="false" customHeight="true" outlineLevel="0" collapsed="false">
      <c r="A75" s="4" t="s">
        <v>2785</v>
      </c>
      <c r="B75" s="4" t="s">
        <v>2786</v>
      </c>
      <c r="C75" s="4" t="s">
        <v>2787</v>
      </c>
      <c r="D75" s="4" t="s">
        <v>2788</v>
      </c>
    </row>
    <row r="76" customFormat="false" ht="25.5" hidden="false" customHeight="true" outlineLevel="0" collapsed="false">
      <c r="A76" s="3" t="s">
        <v>2789</v>
      </c>
      <c r="B76" s="3" t="s">
        <v>2790</v>
      </c>
      <c r="C76" s="3" t="s">
        <v>2791</v>
      </c>
      <c r="D76" s="3" t="s">
        <v>2792</v>
      </c>
    </row>
    <row r="77" customFormat="false" ht="39.75" hidden="false" customHeight="true" outlineLevel="0" collapsed="false">
      <c r="A77" s="4" t="s">
        <v>2700</v>
      </c>
      <c r="B77" s="4" t="s">
        <v>2793</v>
      </c>
      <c r="C77" s="4" t="s">
        <v>2794</v>
      </c>
      <c r="D77" s="4" t="s">
        <v>2795</v>
      </c>
    </row>
    <row r="81" customFormat="false" ht="36" hidden="false" customHeight="true" outlineLevel="0" collapsed="false">
      <c r="A81" s="2" t="s">
        <v>2796</v>
      </c>
      <c r="B81" s="2" t="s">
        <v>2797</v>
      </c>
      <c r="C81" s="2" t="s">
        <v>2798</v>
      </c>
      <c r="D81" s="42" t="s">
        <v>1082</v>
      </c>
    </row>
    <row r="82" customFormat="false" ht="72" hidden="false" customHeight="true" outlineLevel="0" collapsed="false">
      <c r="A82" s="3" t="n">
        <v>2023</v>
      </c>
      <c r="B82" s="87" t="n">
        <v>98000000000</v>
      </c>
      <c r="C82" s="32" t="n">
        <f aca="false">B82*0.82</f>
        <v>80360000000</v>
      </c>
      <c r="D82" s="3" t="s">
        <v>2799</v>
      </c>
    </row>
    <row r="83" customFormat="false" ht="72" hidden="false" customHeight="true" outlineLevel="0" collapsed="false">
      <c r="A83" s="3" t="n">
        <v>2024</v>
      </c>
      <c r="B83" s="87" t="n">
        <v>112000000000</v>
      </c>
      <c r="C83" s="32" t="n">
        <f aca="false">B83*0.82</f>
        <v>91840000000</v>
      </c>
      <c r="D83" s="3" t="s">
        <v>2799</v>
      </c>
    </row>
    <row r="84" customFormat="false" ht="72" hidden="false" customHeight="true" outlineLevel="0" collapsed="false">
      <c r="A84" s="3" t="n">
        <v>2025</v>
      </c>
      <c r="B84" s="87" t="n">
        <v>124000000000</v>
      </c>
      <c r="C84" s="32" t="n">
        <f aca="false">B84*0.82</f>
        <v>101680000000</v>
      </c>
      <c r="D84" s="3" t="s">
        <v>2799</v>
      </c>
    </row>
    <row r="85" customFormat="false" ht="72" hidden="false" customHeight="true" outlineLevel="0" collapsed="false">
      <c r="A85" s="3" t="s">
        <v>2800</v>
      </c>
      <c r="B85" s="92" t="n">
        <v>63500000000</v>
      </c>
      <c r="C85" s="3" t="s">
        <v>170</v>
      </c>
      <c r="D85" s="3" t="s">
        <v>2801</v>
      </c>
    </row>
    <row r="86" customFormat="false" ht="72" hidden="false" customHeight="true" outlineLevel="0" collapsed="false">
      <c r="A86" s="3" t="s">
        <v>2802</v>
      </c>
      <c r="B86" s="32" t="n">
        <f aca="false">B10*0.3</f>
        <v>17128367234.418</v>
      </c>
      <c r="C86" s="3" t="s">
        <v>2803</v>
      </c>
      <c r="D86" s="3" t="s">
        <v>2804</v>
      </c>
    </row>
    <row r="87" customFormat="false" ht="72" hidden="false" customHeight="true" outlineLevel="0" collapsed="false">
      <c r="A87" s="3" t="s">
        <v>2805</v>
      </c>
      <c r="B87" s="86" t="n">
        <f aca="false">F01_UC1!B9+B10-SUMIFS(D_purchases!G5:G139,D_purchases!F5:F139,"&lt;&gt;Vận tải",D_purchases!F5:F139,"&lt;&gt;Tiện ích (điện)")-B86</f>
        <v>27960535044.442</v>
      </c>
      <c r="C87" s="3" t="s">
        <v>170</v>
      </c>
      <c r="D87" s="3" t="s">
        <v>2806</v>
      </c>
    </row>
  </sheetData>
  <mergeCells count="1">
    <mergeCell ref="A63:F65"/>
  </mergeCells>
  <dataValidations count="1">
    <dataValidation allowBlank="false" errorStyle="stop" operator="between" showDropDown="false" showErrorMessage="false" showInputMessage="false" sqref="B19"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W81"/>
  <sheetViews>
    <sheetView showFormulas="false" showGridLines="false" showRowColHeaders="true" showZeros="true" rightToLeft="false" tabSelected="false" showOutlineSymbols="true" defaultGridColor="true" view="normal" topLeftCell="A14" colorId="64" zoomScale="100" zoomScaleNormal="100" zoomScalePageLayoutView="100" workbookViewId="0">
      <selection pane="topLeft" activeCell="N110" activeCellId="0" sqref="N110"/>
    </sheetView>
  </sheetViews>
  <sheetFormatPr defaultColWidth="8.6796875" defaultRowHeight="13.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16"/>
    <col collapsed="false" customWidth="true" hidden="false" outlineLevel="0" max="4" min="4" style="0" width="12"/>
    <col collapsed="false" customWidth="true" hidden="false" outlineLevel="0" max="5" min="5" style="0" width="18"/>
    <col collapsed="false" customWidth="true" hidden="false" outlineLevel="0" max="6" min="6" style="0" width="16"/>
    <col collapsed="false" customWidth="true" hidden="false" outlineLevel="0" max="10" min="7" style="0" width="12"/>
    <col collapsed="false" customWidth="true" hidden="false" outlineLevel="0" max="11" min="11" style="0" width="14"/>
    <col collapsed="false" customWidth="true" hidden="false" outlineLevel="0" max="13" min="12" style="0" width="12"/>
    <col collapsed="false" customWidth="true" hidden="false" outlineLevel="0" max="14" min="14" style="0" width="14"/>
    <col collapsed="false" customWidth="true" hidden="false" outlineLevel="0" max="15" min="15" style="0" width="8"/>
    <col collapsed="false" customWidth="true" hidden="false" outlineLevel="0" max="16" min="16" style="0" width="18"/>
    <col collapsed="false" customWidth="true" hidden="false" outlineLevel="0" max="18" min="17" style="0" width="12"/>
    <col collapsed="false" customWidth="true" hidden="false" outlineLevel="0" max="19" min="19" style="0" width="14"/>
    <col collapsed="false" customWidth="true" hidden="false" outlineLevel="0" max="20" min="20" style="0" width="12"/>
    <col collapsed="false" customWidth="true" hidden="false" outlineLevel="0" max="21" min="21" style="0" width="60"/>
  </cols>
  <sheetData>
    <row r="2" customFormat="false" ht="13.5" hidden="false" customHeight="false" outlineLevel="0" collapsed="false">
      <c r="A2" s="54" t="s">
        <v>2807</v>
      </c>
      <c r="B2" s="16"/>
      <c r="C2" s="16"/>
      <c r="D2" s="16"/>
      <c r="E2" s="16"/>
      <c r="F2" s="16"/>
      <c r="G2" s="16"/>
      <c r="H2" s="16"/>
      <c r="I2" s="16"/>
      <c r="J2" s="16"/>
      <c r="K2" s="16"/>
      <c r="L2" s="16"/>
      <c r="M2" s="16"/>
      <c r="N2" s="16"/>
      <c r="O2" s="16"/>
      <c r="P2" s="16"/>
      <c r="Q2" s="16"/>
      <c r="R2" s="16"/>
      <c r="S2" s="16"/>
      <c r="T2" s="16"/>
      <c r="U2" s="16"/>
      <c r="V2" s="16"/>
      <c r="W2" s="16"/>
    </row>
    <row r="3" customFormat="false" ht="13.5" hidden="false" customHeight="false" outlineLevel="0" collapsed="false">
      <c r="A3" s="55" t="s">
        <v>2808</v>
      </c>
      <c r="B3" s="16"/>
      <c r="C3" s="16"/>
      <c r="D3" s="16"/>
      <c r="E3" s="16"/>
      <c r="F3" s="16"/>
      <c r="G3" s="16"/>
      <c r="H3" s="16"/>
      <c r="I3" s="16"/>
      <c r="J3" s="16"/>
      <c r="K3" s="16"/>
      <c r="L3" s="16"/>
      <c r="M3" s="16"/>
      <c r="N3" s="16"/>
      <c r="O3" s="16"/>
      <c r="P3" s="16"/>
      <c r="Q3" s="16"/>
      <c r="R3" s="16"/>
      <c r="S3" s="16"/>
      <c r="T3" s="16"/>
      <c r="U3" s="16"/>
      <c r="V3" s="16"/>
      <c r="W3" s="16"/>
    </row>
    <row r="4" customFormat="false" ht="30" hidden="false" customHeight="true" outlineLevel="0" collapsed="false">
      <c r="A4" s="15" t="s">
        <v>154</v>
      </c>
      <c r="B4" s="15" t="s">
        <v>1079</v>
      </c>
      <c r="C4" s="15" t="s">
        <v>1674</v>
      </c>
      <c r="D4" s="15" t="s">
        <v>1564</v>
      </c>
      <c r="E4" s="15" t="s">
        <v>2809</v>
      </c>
      <c r="F4" s="16"/>
      <c r="G4" s="16"/>
      <c r="H4" s="16"/>
      <c r="I4" s="16"/>
      <c r="J4" s="16"/>
      <c r="K4" s="16"/>
      <c r="L4" s="16"/>
      <c r="M4" s="16"/>
      <c r="N4" s="16"/>
      <c r="O4" s="16"/>
      <c r="P4" s="16"/>
      <c r="Q4" s="16"/>
      <c r="R4" s="16"/>
      <c r="S4" s="16"/>
      <c r="T4" s="16"/>
      <c r="U4" s="16"/>
      <c r="V4" s="16"/>
      <c r="W4" s="16"/>
    </row>
    <row r="5" customFormat="false" ht="13.5" hidden="false" customHeight="false" outlineLevel="0" collapsed="false">
      <c r="A5" s="17" t="s">
        <v>1083</v>
      </c>
      <c r="B5" s="17" t="s">
        <v>1084</v>
      </c>
      <c r="C5" s="93" t="n">
        <v>0.25</v>
      </c>
      <c r="D5" s="17" t="s">
        <v>2810</v>
      </c>
      <c r="E5" s="55" t="s">
        <v>2811</v>
      </c>
      <c r="F5" s="16"/>
      <c r="G5" s="16"/>
      <c r="H5" s="16"/>
      <c r="I5" s="16"/>
      <c r="J5" s="16"/>
      <c r="K5" s="16"/>
      <c r="L5" s="16"/>
      <c r="M5" s="16"/>
      <c r="N5" s="16"/>
      <c r="O5" s="16"/>
      <c r="P5" s="16"/>
      <c r="Q5" s="16"/>
      <c r="R5" s="16"/>
      <c r="S5" s="16"/>
      <c r="T5" s="16"/>
      <c r="U5" s="16"/>
      <c r="V5" s="16"/>
      <c r="W5" s="16"/>
    </row>
    <row r="6" customFormat="false" ht="13.5" hidden="false" customHeight="false" outlineLevel="0" collapsed="false">
      <c r="A6" s="17" t="s">
        <v>1089</v>
      </c>
      <c r="B6" s="17" t="s">
        <v>1090</v>
      </c>
      <c r="C6" s="94" t="n">
        <v>14</v>
      </c>
      <c r="D6" s="17" t="s">
        <v>279</v>
      </c>
      <c r="E6" s="55" t="s">
        <v>2812</v>
      </c>
      <c r="F6" s="16"/>
      <c r="G6" s="16"/>
      <c r="H6" s="16"/>
      <c r="I6" s="16"/>
      <c r="J6" s="16"/>
      <c r="K6" s="16"/>
      <c r="L6" s="16"/>
      <c r="M6" s="16"/>
      <c r="N6" s="16"/>
      <c r="O6" s="16"/>
      <c r="P6" s="16"/>
      <c r="Q6" s="16"/>
      <c r="R6" s="16"/>
      <c r="S6" s="16"/>
      <c r="T6" s="16"/>
      <c r="U6" s="16"/>
      <c r="V6" s="16"/>
      <c r="W6" s="16"/>
    </row>
    <row r="7" customFormat="false" ht="13.5" hidden="false" customHeight="false" outlineLevel="0" collapsed="false">
      <c r="A7" s="17" t="s">
        <v>1094</v>
      </c>
      <c r="B7" s="17" t="s">
        <v>1095</v>
      </c>
      <c r="C7" s="93" t="n">
        <v>0.5</v>
      </c>
      <c r="D7" s="17" t="s">
        <v>2813</v>
      </c>
      <c r="E7" s="55" t="s">
        <v>2814</v>
      </c>
      <c r="F7" s="16"/>
      <c r="G7" s="16"/>
      <c r="H7" s="16"/>
      <c r="I7" s="16"/>
      <c r="J7" s="16"/>
      <c r="K7" s="16"/>
      <c r="L7" s="16"/>
      <c r="M7" s="16"/>
      <c r="N7" s="16"/>
      <c r="O7" s="16"/>
      <c r="P7" s="16"/>
      <c r="Q7" s="16"/>
      <c r="R7" s="16"/>
      <c r="S7" s="16"/>
      <c r="T7" s="16"/>
      <c r="U7" s="16"/>
      <c r="V7" s="16"/>
      <c r="W7" s="16"/>
    </row>
    <row r="8" customFormat="false" ht="13.5" hidden="false" customHeight="false" outlineLevel="0" collapsed="false">
      <c r="A8" s="17" t="s">
        <v>1098</v>
      </c>
      <c r="B8" s="17" t="s">
        <v>1099</v>
      </c>
      <c r="C8" s="93" t="n">
        <v>0.15</v>
      </c>
      <c r="D8" s="17" t="s">
        <v>2813</v>
      </c>
      <c r="E8" s="55" t="s">
        <v>2815</v>
      </c>
      <c r="F8" s="16"/>
      <c r="G8" s="16"/>
      <c r="H8" s="16"/>
      <c r="I8" s="16"/>
      <c r="J8" s="16"/>
      <c r="K8" s="16"/>
      <c r="L8" s="16"/>
      <c r="M8" s="16"/>
      <c r="N8" s="16"/>
      <c r="O8" s="16"/>
      <c r="P8" s="16"/>
      <c r="Q8" s="16"/>
      <c r="R8" s="16"/>
      <c r="S8" s="16"/>
      <c r="T8" s="16"/>
      <c r="U8" s="16"/>
      <c r="V8" s="16"/>
      <c r="W8" s="16"/>
    </row>
    <row r="9" customFormat="false" ht="13.5" hidden="false" customHeight="false" outlineLevel="0" collapsed="false">
      <c r="A9" s="17" t="s">
        <v>1102</v>
      </c>
      <c r="B9" s="17" t="s">
        <v>1103</v>
      </c>
      <c r="C9" s="93" t="n">
        <v>0.3</v>
      </c>
      <c r="D9" s="17" t="s">
        <v>2813</v>
      </c>
      <c r="E9" s="55" t="s">
        <v>2816</v>
      </c>
      <c r="F9" s="16"/>
      <c r="G9" s="16"/>
      <c r="H9" s="16"/>
      <c r="I9" s="16"/>
      <c r="J9" s="16"/>
      <c r="K9" s="16"/>
      <c r="L9" s="16"/>
      <c r="M9" s="16"/>
      <c r="N9" s="16"/>
      <c r="O9" s="16"/>
      <c r="P9" s="16"/>
      <c r="Q9" s="16"/>
      <c r="R9" s="16"/>
      <c r="S9" s="16"/>
      <c r="T9" s="16"/>
      <c r="U9" s="16"/>
      <c r="V9" s="16"/>
      <c r="W9" s="16"/>
    </row>
    <row r="10" customFormat="false" ht="13.5" hidden="false" customHeight="false" outlineLevel="0" collapsed="false">
      <c r="A10" s="17" t="s">
        <v>1106</v>
      </c>
      <c r="B10" s="17" t="s">
        <v>1107</v>
      </c>
      <c r="C10" s="93" t="n">
        <v>0.05</v>
      </c>
      <c r="D10" s="17" t="s">
        <v>2817</v>
      </c>
      <c r="E10" s="55" t="s">
        <v>2818</v>
      </c>
      <c r="F10" s="16"/>
      <c r="G10" s="16"/>
      <c r="H10" s="16"/>
      <c r="I10" s="16"/>
      <c r="J10" s="16"/>
      <c r="K10" s="16"/>
      <c r="L10" s="16"/>
      <c r="M10" s="16"/>
      <c r="N10" s="16"/>
      <c r="O10" s="16"/>
      <c r="P10" s="16"/>
      <c r="Q10" s="16"/>
      <c r="R10" s="16"/>
      <c r="S10" s="16"/>
      <c r="T10" s="16"/>
      <c r="U10" s="16"/>
      <c r="V10" s="16"/>
      <c r="W10" s="16"/>
    </row>
    <row r="11" customFormat="false" ht="13.5" hidden="false" customHeight="false" outlineLevel="0" collapsed="false">
      <c r="A11" s="17" t="s">
        <v>1110</v>
      </c>
      <c r="B11" s="17" t="s">
        <v>1111</v>
      </c>
      <c r="C11" s="94" t="n">
        <v>4</v>
      </c>
      <c r="D11" s="17" t="s">
        <v>2819</v>
      </c>
      <c r="E11" s="55" t="s">
        <v>2820</v>
      </c>
      <c r="F11" s="16"/>
      <c r="G11" s="16"/>
      <c r="H11" s="16"/>
      <c r="I11" s="16"/>
      <c r="J11" s="16"/>
      <c r="K11" s="16"/>
      <c r="L11" s="16"/>
      <c r="M11" s="16"/>
      <c r="N11" s="16"/>
      <c r="O11" s="16"/>
      <c r="P11" s="16"/>
      <c r="Q11" s="16"/>
      <c r="R11" s="16"/>
      <c r="S11" s="16"/>
      <c r="T11" s="16"/>
      <c r="U11" s="16"/>
      <c r="V11" s="16"/>
      <c r="W11" s="16"/>
    </row>
    <row r="12" customFormat="false" ht="13.5" hidden="false" customHeight="false" outlineLevel="0" collapsed="false">
      <c r="A12" s="17" t="s">
        <v>1114</v>
      </c>
      <c r="B12" s="17" t="s">
        <v>1115</v>
      </c>
      <c r="C12" s="94" t="n">
        <v>7</v>
      </c>
      <c r="D12" s="17" t="s">
        <v>279</v>
      </c>
      <c r="E12" s="55" t="s">
        <v>2821</v>
      </c>
      <c r="F12" s="16"/>
      <c r="G12" s="16"/>
      <c r="H12" s="16"/>
      <c r="I12" s="16"/>
      <c r="J12" s="16"/>
      <c r="K12" s="16"/>
      <c r="L12" s="16"/>
      <c r="M12" s="16"/>
      <c r="N12" s="16"/>
      <c r="O12" s="16"/>
      <c r="P12" s="16"/>
      <c r="Q12" s="16"/>
      <c r="R12" s="16"/>
      <c r="S12" s="16"/>
      <c r="T12" s="16"/>
      <c r="U12" s="16"/>
      <c r="V12" s="16"/>
      <c r="W12" s="16"/>
    </row>
    <row r="13" customFormat="false" ht="13.5" hidden="false" customHeight="false" outlineLevel="0" collapsed="false">
      <c r="A13" s="17" t="s">
        <v>1119</v>
      </c>
      <c r="B13" s="17" t="s">
        <v>1120</v>
      </c>
      <c r="C13" s="94" t="n">
        <v>14</v>
      </c>
      <c r="D13" s="17" t="s">
        <v>279</v>
      </c>
      <c r="E13" s="55" t="s">
        <v>2822</v>
      </c>
      <c r="F13" s="16"/>
      <c r="G13" s="16"/>
      <c r="H13" s="16"/>
      <c r="I13" s="16"/>
      <c r="J13" s="16"/>
      <c r="K13" s="16"/>
      <c r="L13" s="16"/>
      <c r="M13" s="16"/>
      <c r="N13" s="16"/>
      <c r="O13" s="16"/>
      <c r="P13" s="16"/>
      <c r="Q13" s="16"/>
      <c r="R13" s="16"/>
      <c r="S13" s="16"/>
      <c r="T13" s="16"/>
      <c r="U13" s="16"/>
      <c r="V13" s="16"/>
      <c r="W13" s="16"/>
    </row>
    <row r="14" customFormat="false" ht="13.5" hidden="false" customHeight="false" outlineLevel="0" collapsed="false">
      <c r="A14" s="17" t="s">
        <v>1122</v>
      </c>
      <c r="B14" s="17" t="s">
        <v>1123</v>
      </c>
      <c r="C14" s="93" t="n">
        <v>0.3</v>
      </c>
      <c r="D14" s="17" t="s">
        <v>2823</v>
      </c>
      <c r="E14" s="55" t="s">
        <v>2824</v>
      </c>
      <c r="F14" s="16"/>
      <c r="G14" s="16"/>
      <c r="H14" s="16"/>
      <c r="I14" s="16"/>
      <c r="J14" s="16"/>
      <c r="K14" s="16"/>
      <c r="L14" s="16"/>
      <c r="M14" s="16"/>
      <c r="N14" s="16"/>
      <c r="O14" s="16"/>
      <c r="P14" s="16"/>
      <c r="Q14" s="16"/>
      <c r="R14" s="16"/>
      <c r="S14" s="16"/>
      <c r="T14" s="16"/>
      <c r="U14" s="16"/>
      <c r="V14" s="16"/>
      <c r="W14" s="16"/>
    </row>
    <row r="15" customFormat="false" ht="13.5" hidden="false" customHeight="false" outlineLevel="0" collapsed="false">
      <c r="A15" s="17" t="s">
        <v>243</v>
      </c>
      <c r="B15" s="17" t="s">
        <v>2825</v>
      </c>
      <c r="C15" s="94" t="n">
        <v>2</v>
      </c>
      <c r="D15" s="17" t="s">
        <v>2819</v>
      </c>
      <c r="E15" s="55" t="s">
        <v>2826</v>
      </c>
      <c r="F15" s="16"/>
      <c r="G15" s="16"/>
      <c r="H15" s="16"/>
      <c r="I15" s="16"/>
      <c r="J15" s="16"/>
      <c r="K15" s="16"/>
      <c r="L15" s="16"/>
      <c r="M15" s="16"/>
      <c r="N15" s="16"/>
      <c r="O15" s="16"/>
      <c r="P15" s="16"/>
      <c r="Q15" s="16"/>
      <c r="R15" s="16"/>
      <c r="S15" s="16"/>
      <c r="T15" s="16"/>
      <c r="U15" s="16"/>
      <c r="V15" s="16"/>
      <c r="W15" s="16"/>
    </row>
    <row r="16" customFormat="false" ht="13.5" hidden="false" customHeight="false" outlineLevel="0" collapsed="false">
      <c r="A16" s="17" t="s">
        <v>243</v>
      </c>
      <c r="B16" s="17" t="s">
        <v>2827</v>
      </c>
      <c r="C16" s="94" t="n">
        <v>1</v>
      </c>
      <c r="D16" s="17" t="s">
        <v>476</v>
      </c>
      <c r="E16" s="55" t="s">
        <v>2828</v>
      </c>
      <c r="F16" s="16"/>
      <c r="G16" s="16"/>
      <c r="H16" s="16"/>
      <c r="I16" s="16"/>
      <c r="J16" s="16"/>
      <c r="K16" s="16"/>
      <c r="L16" s="16"/>
      <c r="M16" s="16"/>
      <c r="N16" s="16"/>
      <c r="O16" s="16"/>
      <c r="P16" s="16"/>
      <c r="Q16" s="16"/>
      <c r="R16" s="16"/>
      <c r="S16" s="16"/>
      <c r="T16" s="16"/>
      <c r="U16" s="16"/>
      <c r="V16" s="16"/>
      <c r="W16" s="16"/>
    </row>
    <row r="17" customFormat="false" ht="13.5" hidden="false" customHeight="false" outlineLevel="0" collapsed="false">
      <c r="A17" s="17" t="s">
        <v>243</v>
      </c>
      <c r="B17" s="17" t="s">
        <v>2360</v>
      </c>
      <c r="C17" s="95" t="s">
        <v>2829</v>
      </c>
      <c r="D17" s="17" t="s">
        <v>819</v>
      </c>
      <c r="E17" s="55" t="s">
        <v>2830</v>
      </c>
      <c r="F17" s="16"/>
      <c r="G17" s="16"/>
      <c r="H17" s="16"/>
      <c r="I17" s="16"/>
      <c r="J17" s="16"/>
      <c r="K17" s="16"/>
      <c r="L17" s="16"/>
      <c r="M17" s="16"/>
      <c r="N17" s="16"/>
      <c r="O17" s="16"/>
      <c r="P17" s="16"/>
      <c r="Q17" s="16"/>
      <c r="R17" s="16"/>
      <c r="S17" s="16"/>
      <c r="T17" s="16"/>
      <c r="U17" s="16"/>
      <c r="V17" s="16"/>
      <c r="W17" s="16"/>
    </row>
    <row r="18" customFormat="false" ht="13.5" hidden="false" customHeight="false" outlineLevel="0" collapsed="false">
      <c r="A18" s="16"/>
      <c r="B18" s="16"/>
      <c r="C18" s="16"/>
      <c r="D18" s="16"/>
      <c r="E18" s="16"/>
      <c r="F18" s="16"/>
      <c r="G18" s="16"/>
      <c r="H18" s="16"/>
      <c r="I18" s="16"/>
      <c r="J18" s="16"/>
      <c r="K18" s="16"/>
      <c r="L18" s="16"/>
      <c r="M18" s="16"/>
      <c r="N18" s="16"/>
      <c r="O18" s="16"/>
      <c r="P18" s="16"/>
      <c r="Q18" s="16"/>
      <c r="R18" s="16"/>
      <c r="S18" s="16"/>
      <c r="T18" s="16"/>
      <c r="U18" s="16"/>
      <c r="V18" s="16"/>
      <c r="W18" s="16"/>
    </row>
    <row r="19" customFormat="false" ht="13.5" hidden="false" customHeight="false" outlineLevel="0" collapsed="false">
      <c r="A19" s="16"/>
      <c r="B19" s="16"/>
      <c r="C19" s="16"/>
      <c r="D19" s="16"/>
      <c r="E19" s="16"/>
      <c r="F19" s="16"/>
      <c r="G19" s="16"/>
      <c r="H19" s="16"/>
      <c r="I19" s="16"/>
      <c r="J19" s="16"/>
      <c r="K19" s="16"/>
      <c r="L19" s="16"/>
      <c r="M19" s="16"/>
      <c r="N19" s="16"/>
      <c r="O19" s="16"/>
      <c r="P19" s="16"/>
      <c r="Q19" s="16"/>
      <c r="R19" s="16"/>
      <c r="S19" s="16"/>
      <c r="T19" s="16"/>
      <c r="U19" s="16"/>
      <c r="V19" s="16"/>
      <c r="W19" s="16"/>
    </row>
    <row r="20" customFormat="false" ht="13.5" hidden="false" customHeight="false" outlineLevel="0" collapsed="false">
      <c r="A20" s="54" t="s">
        <v>2831</v>
      </c>
      <c r="B20" s="16"/>
      <c r="C20" s="16"/>
      <c r="D20" s="16"/>
      <c r="E20" s="16"/>
      <c r="F20" s="16"/>
      <c r="G20" s="16"/>
      <c r="H20" s="16"/>
      <c r="I20" s="16"/>
      <c r="J20" s="16"/>
      <c r="K20" s="16"/>
      <c r="L20" s="16"/>
      <c r="M20" s="16"/>
      <c r="N20" s="16"/>
      <c r="O20" s="16"/>
      <c r="P20" s="16"/>
      <c r="Q20" s="16"/>
      <c r="R20" s="16"/>
      <c r="S20" s="16"/>
      <c r="T20" s="16"/>
      <c r="U20" s="16"/>
      <c r="V20" s="16"/>
      <c r="W20" s="16"/>
    </row>
    <row r="21" customFormat="false" ht="13.5" hidden="false" customHeight="false" outlineLevel="0" collapsed="false">
      <c r="A21" s="16"/>
      <c r="B21" s="16"/>
      <c r="C21" s="16"/>
      <c r="D21" s="16"/>
      <c r="E21" s="16"/>
      <c r="F21" s="16"/>
      <c r="G21" s="16"/>
      <c r="H21" s="16"/>
      <c r="I21" s="16"/>
      <c r="J21" s="16"/>
      <c r="K21" s="16"/>
      <c r="L21" s="16"/>
      <c r="M21" s="16"/>
      <c r="N21" s="16"/>
      <c r="O21" s="16"/>
      <c r="P21" s="16"/>
      <c r="Q21" s="16"/>
      <c r="R21" s="16"/>
      <c r="S21" s="16"/>
      <c r="T21" s="16"/>
      <c r="U21" s="16"/>
      <c r="V21" s="16"/>
      <c r="W21" s="16"/>
    </row>
    <row r="22" customFormat="false" ht="30" hidden="false" customHeight="true" outlineLevel="0" collapsed="false">
      <c r="A22" s="15" t="s">
        <v>154</v>
      </c>
      <c r="B22" s="15" t="s">
        <v>2832</v>
      </c>
      <c r="C22" s="15" t="s">
        <v>1359</v>
      </c>
      <c r="D22" s="15" t="s">
        <v>2411</v>
      </c>
      <c r="E22" s="15" t="s">
        <v>2412</v>
      </c>
      <c r="F22" s="15" t="s">
        <v>2833</v>
      </c>
      <c r="G22" s="15" t="s">
        <v>2834</v>
      </c>
      <c r="H22" s="15" t="s">
        <v>2835</v>
      </c>
      <c r="I22" s="15" t="s">
        <v>2836</v>
      </c>
      <c r="J22" s="15" t="s">
        <v>2837</v>
      </c>
      <c r="K22" s="15" t="s">
        <v>2838</v>
      </c>
      <c r="L22" s="15" t="s">
        <v>2839</v>
      </c>
      <c r="M22" s="15" t="s">
        <v>2418</v>
      </c>
      <c r="N22" s="15" t="s">
        <v>1005</v>
      </c>
      <c r="O22" s="15" t="s">
        <v>2424</v>
      </c>
      <c r="P22" s="15" t="s">
        <v>2840</v>
      </c>
      <c r="Q22" s="15" t="s">
        <v>2841</v>
      </c>
      <c r="R22" s="15" t="s">
        <v>2842</v>
      </c>
      <c r="S22" s="15" t="s">
        <v>2843</v>
      </c>
      <c r="T22" s="15" t="s">
        <v>2844</v>
      </c>
      <c r="U22" s="15" t="s">
        <v>2845</v>
      </c>
      <c r="V22" s="16"/>
      <c r="W22" s="16"/>
    </row>
    <row r="23" customFormat="false" ht="13.5" hidden="false" customHeight="false" outlineLevel="0" collapsed="false">
      <c r="A23" s="95" t="s">
        <v>2846</v>
      </c>
      <c r="B23" s="95" t="s">
        <v>2847</v>
      </c>
      <c r="C23" s="95" t="s">
        <v>2848</v>
      </c>
      <c r="D23" s="95" t="s">
        <v>2849</v>
      </c>
      <c r="E23" s="95" t="s">
        <v>2850</v>
      </c>
      <c r="F23" s="60" t="n">
        <f aca="false">D_F01!B13</f>
        <v>2000000000</v>
      </c>
      <c r="G23" s="93" t="n">
        <v>1</v>
      </c>
      <c r="H23" s="93" t="n">
        <v>0</v>
      </c>
      <c r="I23" s="93" t="n">
        <v>0</v>
      </c>
      <c r="J23" s="93" t="n">
        <v>0</v>
      </c>
      <c r="K23" s="94" t="n">
        <v>0</v>
      </c>
      <c r="L23" s="94" t="n">
        <v>0</v>
      </c>
      <c r="M23" s="94" t="n">
        <v>2</v>
      </c>
      <c r="N23" s="95" t="s">
        <v>2851</v>
      </c>
      <c r="O23" s="94" t="n">
        <v>0</v>
      </c>
      <c r="P23" s="95" t="s">
        <v>2672</v>
      </c>
      <c r="Q23" s="95" t="s">
        <v>2672</v>
      </c>
      <c r="R23" s="95" t="s">
        <v>2852</v>
      </c>
      <c r="S23" s="94" t="n">
        <v>1</v>
      </c>
      <c r="T23" s="95"/>
      <c r="U23" s="55" t="s">
        <v>2853</v>
      </c>
      <c r="V23" s="16"/>
      <c r="W23" s="16"/>
    </row>
    <row r="24" customFormat="false" ht="13.5" hidden="false" customHeight="false" outlineLevel="0" collapsed="false">
      <c r="A24" s="95" t="s">
        <v>2854</v>
      </c>
      <c r="B24" s="95" t="s">
        <v>2855</v>
      </c>
      <c r="C24" s="95" t="s">
        <v>2856</v>
      </c>
      <c r="D24" s="95" t="s">
        <v>2857</v>
      </c>
      <c r="E24" s="95" t="s">
        <v>2858</v>
      </c>
      <c r="F24" s="60" t="n">
        <f aca="false">SUMPRODUCT((F01_UC1!$J$54:$J$62="không")*(F01_UC1!$D$54:$D$62=0)*F01_UC1!$C$54:$C$62*(SUMIF(D_purchases!$C$5:$C$139,F01_UC1!$A$54:$A$62,D_purchases!$G$5:$G$139)/SUM(D_purchases!$G$5:$G$139)&lt;D_UC03!$C$14))</f>
        <v>2983068109</v>
      </c>
      <c r="G24" s="93" t="n">
        <v>1</v>
      </c>
      <c r="H24" s="93" t="n">
        <v>0</v>
      </c>
      <c r="I24" s="93" t="n">
        <v>0</v>
      </c>
      <c r="J24" s="93" t="n">
        <v>0</v>
      </c>
      <c r="K24" s="94" t="n">
        <v>0</v>
      </c>
      <c r="L24" s="94" t="n">
        <v>0</v>
      </c>
      <c r="M24" s="94" t="n">
        <v>2</v>
      </c>
      <c r="N24" s="95" t="s">
        <v>2859</v>
      </c>
      <c r="O24" s="94" t="n">
        <v>1</v>
      </c>
      <c r="P24" s="95" t="s">
        <v>2672</v>
      </c>
      <c r="Q24" s="95" t="s">
        <v>2672</v>
      </c>
      <c r="R24" s="95" t="s">
        <v>2852</v>
      </c>
      <c r="S24" s="94" t="n">
        <v>1</v>
      </c>
      <c r="T24" s="95" t="s">
        <v>2860</v>
      </c>
      <c r="U24" s="55" t="s">
        <v>2861</v>
      </c>
      <c r="V24" s="16"/>
      <c r="W24" s="16"/>
    </row>
    <row r="25" customFormat="false" ht="13.5" hidden="false" customHeight="false" outlineLevel="0" collapsed="false">
      <c r="A25" s="95" t="s">
        <v>2862</v>
      </c>
      <c r="B25" s="95" t="s">
        <v>2863</v>
      </c>
      <c r="C25" s="95" t="s">
        <v>2856</v>
      </c>
      <c r="D25" s="95" t="s">
        <v>2857</v>
      </c>
      <c r="E25" s="95" t="s">
        <v>2864</v>
      </c>
      <c r="F25" s="60" t="n">
        <f aca="false">SUMIFS(F01_UC1!$C$54:$C$62,F01_UC1!$J$54:$J$62,"có",F01_UC1!$D$54:$D$62,0)</f>
        <v>4430604968</v>
      </c>
      <c r="G25" s="93" t="n">
        <v>1</v>
      </c>
      <c r="H25" s="93" t="n">
        <v>0</v>
      </c>
      <c r="I25" s="93" t="n">
        <v>0</v>
      </c>
      <c r="J25" s="93" t="n">
        <v>0</v>
      </c>
      <c r="K25" s="94" t="n">
        <v>0</v>
      </c>
      <c r="L25" s="94" t="n">
        <v>0</v>
      </c>
      <c r="M25" s="94" t="n">
        <v>2</v>
      </c>
      <c r="N25" s="95" t="s">
        <v>2859</v>
      </c>
      <c r="O25" s="94" t="n">
        <v>2</v>
      </c>
      <c r="P25" s="95" t="s">
        <v>2852</v>
      </c>
      <c r="Q25" s="95" t="s">
        <v>2672</v>
      </c>
      <c r="R25" s="95" t="s">
        <v>2852</v>
      </c>
      <c r="S25" s="94" t="n">
        <v>1</v>
      </c>
      <c r="T25" s="95" t="s">
        <v>2860</v>
      </c>
      <c r="U25" s="55" t="s">
        <v>2865</v>
      </c>
      <c r="V25" s="16"/>
      <c r="W25" s="16"/>
    </row>
    <row r="26" customFormat="false" ht="13.5" hidden="false" customHeight="false" outlineLevel="0" collapsed="false">
      <c r="A26" s="95" t="s">
        <v>2866</v>
      </c>
      <c r="B26" s="95" t="s">
        <v>2867</v>
      </c>
      <c r="C26" s="95" t="s">
        <v>2868</v>
      </c>
      <c r="D26" s="95" t="s">
        <v>2869</v>
      </c>
      <c r="E26" s="95" t="s">
        <v>2870</v>
      </c>
      <c r="F26" s="60" t="n">
        <f aca="false">F01_UC1!C41-F01_UC1!F41</f>
        <v>9705318986</v>
      </c>
      <c r="G26" s="93" t="n">
        <v>1</v>
      </c>
      <c r="H26" s="93" t="n">
        <v>0</v>
      </c>
      <c r="I26" s="93" t="n">
        <v>0</v>
      </c>
      <c r="J26" s="93" t="n">
        <v>0.01</v>
      </c>
      <c r="K26" s="94" t="n">
        <v>0</v>
      </c>
      <c r="L26" s="94" t="n">
        <v>0</v>
      </c>
      <c r="M26" s="94" t="n">
        <v>5</v>
      </c>
      <c r="N26" s="95" t="s">
        <v>2871</v>
      </c>
      <c r="O26" s="94" t="n">
        <v>1</v>
      </c>
      <c r="P26" s="61" t="str">
        <f aca="false">IF(D_F01!C38="có","Y","N")</f>
        <v>N</v>
      </c>
      <c r="Q26" s="95" t="s">
        <v>2672</v>
      </c>
      <c r="R26" s="95" t="s">
        <v>2852</v>
      </c>
      <c r="S26" s="94" t="n">
        <v>1</v>
      </c>
      <c r="T26" s="95" t="s">
        <v>2872</v>
      </c>
      <c r="U26" s="55" t="s">
        <v>2873</v>
      </c>
      <c r="V26" s="16"/>
      <c r="W26" s="16"/>
    </row>
    <row r="27" customFormat="false" ht="13.5" hidden="false" customHeight="false" outlineLevel="0" collapsed="false">
      <c r="A27" s="95" t="s">
        <v>2874</v>
      </c>
      <c r="B27" s="95" t="s">
        <v>2875</v>
      </c>
      <c r="C27" s="95" t="s">
        <v>2868</v>
      </c>
      <c r="D27" s="95" t="s">
        <v>2869</v>
      </c>
      <c r="E27" s="95" t="s">
        <v>2876</v>
      </c>
      <c r="F27" s="60" t="n">
        <f aca="false">F01_UC1!C42-F01_UC1!F42</f>
        <v>2871750170</v>
      </c>
      <c r="G27" s="93" t="n">
        <v>1</v>
      </c>
      <c r="H27" s="93" t="n">
        <v>0</v>
      </c>
      <c r="I27" s="93" t="n">
        <v>0</v>
      </c>
      <c r="J27" s="93" t="n">
        <v>0.01</v>
      </c>
      <c r="K27" s="94" t="n">
        <v>0</v>
      </c>
      <c r="L27" s="94" t="n">
        <v>0</v>
      </c>
      <c r="M27" s="94" t="n">
        <v>5</v>
      </c>
      <c r="N27" s="95" t="s">
        <v>2871</v>
      </c>
      <c r="O27" s="94" t="n">
        <v>2</v>
      </c>
      <c r="P27" s="61" t="str">
        <f aca="false">IF(D_F01!C39="có","Y","N")</f>
        <v>Y</v>
      </c>
      <c r="Q27" s="95" t="s">
        <v>2672</v>
      </c>
      <c r="R27" s="95" t="s">
        <v>2852</v>
      </c>
      <c r="S27" s="94" t="n">
        <v>1</v>
      </c>
      <c r="T27" s="95" t="s">
        <v>2872</v>
      </c>
      <c r="U27" s="55" t="s">
        <v>2877</v>
      </c>
      <c r="V27" s="16"/>
      <c r="W27" s="16"/>
    </row>
    <row r="28" customFormat="false" ht="13.5" hidden="false" customHeight="false" outlineLevel="0" collapsed="false">
      <c r="A28" s="95" t="s">
        <v>2878</v>
      </c>
      <c r="B28" s="95" t="s">
        <v>2879</v>
      </c>
      <c r="C28" s="95" t="s">
        <v>2880</v>
      </c>
      <c r="D28" s="95" t="s">
        <v>2881</v>
      </c>
      <c r="E28" s="95" t="s">
        <v>2870</v>
      </c>
      <c r="F28" s="60" t="n">
        <f aca="false">F01_UC1!C41-F01_UC1!F41</f>
        <v>9705318986</v>
      </c>
      <c r="G28" s="93" t="n">
        <v>0.95</v>
      </c>
      <c r="H28" s="93" t="n">
        <v>0</v>
      </c>
      <c r="I28" s="93" t="n">
        <v>0.09</v>
      </c>
      <c r="J28" s="93" t="n">
        <v>0</v>
      </c>
      <c r="K28" s="94" t="n">
        <v>0</v>
      </c>
      <c r="L28" s="94" t="n">
        <v>21</v>
      </c>
      <c r="M28" s="94" t="n">
        <v>1</v>
      </c>
      <c r="N28" s="95" t="s">
        <v>2871</v>
      </c>
      <c r="O28" s="94" t="n">
        <v>0</v>
      </c>
      <c r="P28" s="61" t="str">
        <f aca="false">IF(D_F01!C38="có","Y","N")</f>
        <v>N</v>
      </c>
      <c r="Q28" s="95" t="s">
        <v>2672</v>
      </c>
      <c r="R28" s="95" t="s">
        <v>2852</v>
      </c>
      <c r="S28" s="94" t="n">
        <v>0</v>
      </c>
      <c r="T28" s="95" t="s">
        <v>2872</v>
      </c>
      <c r="U28" s="55" t="s">
        <v>2882</v>
      </c>
      <c r="V28" s="16"/>
      <c r="W28" s="16"/>
    </row>
    <row r="29" customFormat="false" ht="13.5" hidden="false" customHeight="false" outlineLevel="0" collapsed="false">
      <c r="A29" s="95" t="s">
        <v>2883</v>
      </c>
      <c r="B29" s="95" t="s">
        <v>2884</v>
      </c>
      <c r="C29" s="95" t="s">
        <v>2885</v>
      </c>
      <c r="D29" s="95" t="s">
        <v>2881</v>
      </c>
      <c r="E29" s="95" t="s">
        <v>2870</v>
      </c>
      <c r="F29" s="60" t="n">
        <f aca="false">F01_UC1!C41-F01_UC1!F41</f>
        <v>9705318986</v>
      </c>
      <c r="G29" s="93" t="n">
        <v>0.85</v>
      </c>
      <c r="H29" s="93" t="n">
        <v>0</v>
      </c>
      <c r="I29" s="93" t="n">
        <v>0.12</v>
      </c>
      <c r="J29" s="93" t="n">
        <v>0.005</v>
      </c>
      <c r="K29" s="94" t="n">
        <v>0</v>
      </c>
      <c r="L29" s="94" t="n">
        <v>21</v>
      </c>
      <c r="M29" s="94" t="n">
        <v>3</v>
      </c>
      <c r="N29" s="95" t="s">
        <v>2871</v>
      </c>
      <c r="O29" s="94" t="n">
        <v>1</v>
      </c>
      <c r="P29" s="61" t="str">
        <f aca="false">IF(D_F01!C38="có","Y","N")</f>
        <v>N</v>
      </c>
      <c r="Q29" s="95" t="s">
        <v>2672</v>
      </c>
      <c r="R29" s="95" t="s">
        <v>2852</v>
      </c>
      <c r="S29" s="94" t="n">
        <v>0</v>
      </c>
      <c r="T29" s="95" t="s">
        <v>2872</v>
      </c>
      <c r="U29" s="55" t="s">
        <v>2886</v>
      </c>
      <c r="V29" s="16"/>
      <c r="W29" s="16"/>
    </row>
    <row r="30" customFormat="false" ht="13.5" hidden="false" customHeight="false" outlineLevel="0" collapsed="false">
      <c r="A30" s="95" t="s">
        <v>2887</v>
      </c>
      <c r="B30" s="95" t="s">
        <v>2888</v>
      </c>
      <c r="C30" s="95" t="s">
        <v>2885</v>
      </c>
      <c r="D30" s="95" t="s">
        <v>2881</v>
      </c>
      <c r="E30" s="95" t="s">
        <v>2889</v>
      </c>
      <c r="F30" s="60" t="n">
        <f aca="false">F01_UC1!C44-F01_UC1!F44</f>
        <v>689203917</v>
      </c>
      <c r="G30" s="93" t="n">
        <v>0.8</v>
      </c>
      <c r="H30" s="93" t="n">
        <v>0</v>
      </c>
      <c r="I30" s="93" t="n">
        <v>0.13</v>
      </c>
      <c r="J30" s="93" t="n">
        <v>0.005</v>
      </c>
      <c r="K30" s="94" t="n">
        <v>0</v>
      </c>
      <c r="L30" s="94" t="n">
        <v>30</v>
      </c>
      <c r="M30" s="94" t="n">
        <v>3</v>
      </c>
      <c r="N30" s="95" t="s">
        <v>2871</v>
      </c>
      <c r="O30" s="94" t="n">
        <v>0</v>
      </c>
      <c r="P30" s="61" t="str">
        <f aca="false">IF(D_F01!C41="có","Y","N")</f>
        <v>N</v>
      </c>
      <c r="Q30" s="95" t="s">
        <v>2672</v>
      </c>
      <c r="R30" s="95" t="s">
        <v>2852</v>
      </c>
      <c r="S30" s="94" t="n">
        <v>0</v>
      </c>
      <c r="T30" s="95" t="s">
        <v>2872</v>
      </c>
      <c r="U30" s="55" t="s">
        <v>2890</v>
      </c>
      <c r="V30" s="16"/>
      <c r="W30" s="16"/>
    </row>
    <row r="31" customFormat="false" ht="13.5" hidden="false" customHeight="false" outlineLevel="0" collapsed="false">
      <c r="A31" s="95" t="s">
        <v>2891</v>
      </c>
      <c r="B31" s="95" t="s">
        <v>2892</v>
      </c>
      <c r="C31" s="95" t="s">
        <v>2893</v>
      </c>
      <c r="D31" s="95" t="s">
        <v>2881</v>
      </c>
      <c r="E31" s="95" t="s">
        <v>2894</v>
      </c>
      <c r="F31" s="60" t="n">
        <f aca="false">SUMIFS(D_inventory!$P$5:$P$40,D_inventory!$M$5:$M$40,"không",D_inventory!$S$5:$S$40,0)</f>
        <v>18884515458</v>
      </c>
      <c r="G31" s="93" t="n">
        <v>0.6</v>
      </c>
      <c r="H31" s="93" t="n">
        <v>0</v>
      </c>
      <c r="I31" s="93" t="n">
        <v>0.11</v>
      </c>
      <c r="J31" s="93" t="n">
        <v>0</v>
      </c>
      <c r="K31" s="94" t="n">
        <v>0</v>
      </c>
      <c r="L31" s="94" t="n">
        <v>60</v>
      </c>
      <c r="M31" s="94" t="n">
        <v>5</v>
      </c>
      <c r="N31" s="95" t="s">
        <v>2871</v>
      </c>
      <c r="O31" s="94" t="n">
        <v>0</v>
      </c>
      <c r="P31" s="95" t="s">
        <v>2672</v>
      </c>
      <c r="Q31" s="95" t="s">
        <v>2672</v>
      </c>
      <c r="R31" s="95" t="s">
        <v>2852</v>
      </c>
      <c r="S31" s="94" t="n">
        <v>1</v>
      </c>
      <c r="T31" s="95" t="s">
        <v>2895</v>
      </c>
      <c r="U31" s="55" t="s">
        <v>2896</v>
      </c>
      <c r="V31" s="16"/>
      <c r="W31" s="16"/>
    </row>
    <row r="32" customFormat="false" ht="13.5" hidden="false" customHeight="false" outlineLevel="0" collapsed="false">
      <c r="A32" s="95" t="s">
        <v>2897</v>
      </c>
      <c r="B32" s="95" t="s">
        <v>2898</v>
      </c>
      <c r="C32" s="95" t="s">
        <v>2899</v>
      </c>
      <c r="D32" s="95" t="s">
        <v>2900</v>
      </c>
      <c r="E32" s="95" t="s">
        <v>2901</v>
      </c>
      <c r="F32" s="60" t="n">
        <f aca="false">SUMIFS(D_inventory!$P$5:$P$40,D_inventory!$M$5:$M$40,"không",D_inventory!$S$5:$S$40,1,D_inventory!$H$5:$H$40,"&lt;&gt;Đã hủy",D_inventory!$D$5:$D$40,"&lt;&gt;NVL",D_inventory!$D$5:$D$40,"&lt;&gt;BTP")</f>
        <v>2610842457</v>
      </c>
      <c r="G32" s="93" t="n">
        <v>0</v>
      </c>
      <c r="H32" s="93" t="n">
        <v>0.125</v>
      </c>
      <c r="I32" s="93" t="n">
        <v>0</v>
      </c>
      <c r="J32" s="93" t="n">
        <v>0</v>
      </c>
      <c r="K32" s="94" t="n">
        <v>0</v>
      </c>
      <c r="L32" s="94" t="n">
        <v>0</v>
      </c>
      <c r="M32" s="94" t="n">
        <v>30</v>
      </c>
      <c r="N32" s="95" t="s">
        <v>2859</v>
      </c>
      <c r="O32" s="94" t="n">
        <v>1</v>
      </c>
      <c r="P32" s="95" t="s">
        <v>2672</v>
      </c>
      <c r="Q32" s="95" t="s">
        <v>2672</v>
      </c>
      <c r="R32" s="95" t="s">
        <v>2852</v>
      </c>
      <c r="S32" s="94" t="n">
        <v>1</v>
      </c>
      <c r="T32" s="95" t="s">
        <v>2895</v>
      </c>
      <c r="U32" s="55" t="s">
        <v>2902</v>
      </c>
      <c r="V32" s="16"/>
      <c r="W32" s="16"/>
    </row>
    <row r="33" customFormat="false" ht="13.5" hidden="false" customHeight="false" outlineLevel="0" collapsed="false">
      <c r="A33" s="95" t="s">
        <v>2903</v>
      </c>
      <c r="B33" s="95" t="s">
        <v>2904</v>
      </c>
      <c r="C33" s="95" t="s">
        <v>2893</v>
      </c>
      <c r="D33" s="95" t="s">
        <v>2881</v>
      </c>
      <c r="E33" s="95" t="s">
        <v>2905</v>
      </c>
      <c r="F33" s="60" t="n">
        <f aca="false">SUMIFS(D_inventory!$P$5:$P$40,D_inventory!$M$5:$M$40,"có")</f>
        <v>738578100</v>
      </c>
      <c r="G33" s="93" t="n">
        <v>0.6</v>
      </c>
      <c r="H33" s="93" t="n">
        <v>0</v>
      </c>
      <c r="I33" s="93" t="n">
        <v>0.11</v>
      </c>
      <c r="J33" s="93" t="n">
        <v>0</v>
      </c>
      <c r="K33" s="94" t="n">
        <v>0</v>
      </c>
      <c r="L33" s="94" t="n">
        <v>60</v>
      </c>
      <c r="M33" s="94" t="n">
        <v>5</v>
      </c>
      <c r="N33" s="95" t="s">
        <v>2871</v>
      </c>
      <c r="O33" s="94" t="n">
        <v>0</v>
      </c>
      <c r="P33" s="95" t="s">
        <v>2672</v>
      </c>
      <c r="Q33" s="95" t="s">
        <v>2852</v>
      </c>
      <c r="R33" s="95" t="s">
        <v>2852</v>
      </c>
      <c r="S33" s="94" t="n">
        <v>1</v>
      </c>
      <c r="T33" s="95" t="s">
        <v>2895</v>
      </c>
      <c r="U33" s="55" t="s">
        <v>2906</v>
      </c>
      <c r="V33" s="16"/>
      <c r="W33" s="16"/>
    </row>
    <row r="34" customFormat="false" ht="13.5" hidden="false" customHeight="false" outlineLevel="0" collapsed="false">
      <c r="A34" s="95" t="s">
        <v>2907</v>
      </c>
      <c r="B34" s="95" t="s">
        <v>2908</v>
      </c>
      <c r="C34" s="95" t="s">
        <v>2909</v>
      </c>
      <c r="D34" s="95" t="s">
        <v>2881</v>
      </c>
      <c r="E34" s="95" t="s">
        <v>2910</v>
      </c>
      <c r="F34" s="94" t="n">
        <v>3000000000</v>
      </c>
      <c r="G34" s="93" t="n">
        <v>1</v>
      </c>
      <c r="H34" s="93" t="n">
        <v>0</v>
      </c>
      <c r="I34" s="93" t="n">
        <v>0.1</v>
      </c>
      <c r="J34" s="93" t="n">
        <v>0</v>
      </c>
      <c r="K34" s="94" t="n">
        <v>0</v>
      </c>
      <c r="L34" s="94" t="n">
        <v>30</v>
      </c>
      <c r="M34" s="94" t="n">
        <v>1</v>
      </c>
      <c r="N34" s="95" t="s">
        <v>2851</v>
      </c>
      <c r="O34" s="94" t="n">
        <v>0</v>
      </c>
      <c r="P34" s="95" t="s">
        <v>2672</v>
      </c>
      <c r="Q34" s="95" t="s">
        <v>2672</v>
      </c>
      <c r="R34" s="95" t="s">
        <v>2852</v>
      </c>
      <c r="S34" s="94" t="n">
        <v>1</v>
      </c>
      <c r="T34" s="95"/>
      <c r="U34" s="55" t="s">
        <v>2911</v>
      </c>
      <c r="V34" s="16"/>
      <c r="W34" s="16"/>
    </row>
    <row r="35" customFormat="false" ht="13.5" hidden="false" customHeight="false" outlineLevel="0" collapsed="false">
      <c r="A35" s="95" t="s">
        <v>2912</v>
      </c>
      <c r="B35" s="95" t="s">
        <v>2913</v>
      </c>
      <c r="C35" s="95" t="s">
        <v>2909</v>
      </c>
      <c r="D35" s="95" t="s">
        <v>2881</v>
      </c>
      <c r="E35" s="95" t="s">
        <v>2914</v>
      </c>
      <c r="F35" s="94" t="n">
        <v>1500000000</v>
      </c>
      <c r="G35" s="93" t="n">
        <v>1</v>
      </c>
      <c r="H35" s="93" t="n">
        <v>0</v>
      </c>
      <c r="I35" s="93" t="n">
        <v>0.12</v>
      </c>
      <c r="J35" s="93" t="n">
        <v>0</v>
      </c>
      <c r="K35" s="94" t="n">
        <v>0</v>
      </c>
      <c r="L35" s="94" t="n">
        <v>30</v>
      </c>
      <c r="M35" s="94" t="n">
        <v>2</v>
      </c>
      <c r="N35" s="95" t="s">
        <v>2851</v>
      </c>
      <c r="O35" s="94" t="n">
        <v>0</v>
      </c>
      <c r="P35" s="95" t="s">
        <v>2672</v>
      </c>
      <c r="Q35" s="95" t="s">
        <v>2672</v>
      </c>
      <c r="R35" s="95" t="s">
        <v>2852</v>
      </c>
      <c r="S35" s="94" t="n">
        <v>1</v>
      </c>
      <c r="T35" s="95"/>
      <c r="U35" s="55" t="s">
        <v>2915</v>
      </c>
      <c r="V35" s="16"/>
      <c r="W35" s="16"/>
    </row>
    <row r="36" customFormat="false" ht="13.5" hidden="false" customHeight="false" outlineLevel="0" collapsed="false">
      <c r="A36" s="95" t="s">
        <v>2916</v>
      </c>
      <c r="B36" s="95" t="s">
        <v>2917</v>
      </c>
      <c r="C36" s="95" t="s">
        <v>2909</v>
      </c>
      <c r="D36" s="95" t="s">
        <v>2881</v>
      </c>
      <c r="E36" s="95" t="s">
        <v>2918</v>
      </c>
      <c r="F36" s="94" t="n">
        <v>0</v>
      </c>
      <c r="G36" s="93" t="n">
        <v>1</v>
      </c>
      <c r="H36" s="93" t="n">
        <v>0</v>
      </c>
      <c r="I36" s="93" t="n">
        <v>0</v>
      </c>
      <c r="J36" s="93" t="n">
        <v>0</v>
      </c>
      <c r="K36" s="94" t="n">
        <v>0</v>
      </c>
      <c r="L36" s="94" t="n">
        <v>0</v>
      </c>
      <c r="M36" s="94" t="n">
        <v>0</v>
      </c>
      <c r="N36" s="95" t="s">
        <v>2851</v>
      </c>
      <c r="O36" s="94" t="n">
        <v>0</v>
      </c>
      <c r="P36" s="95" t="s">
        <v>2672</v>
      </c>
      <c r="Q36" s="95" t="s">
        <v>2672</v>
      </c>
      <c r="R36" s="95" t="s">
        <v>2672</v>
      </c>
      <c r="S36" s="94" t="n">
        <v>1</v>
      </c>
      <c r="T36" s="95"/>
      <c r="U36" s="55" t="s">
        <v>2919</v>
      </c>
      <c r="V36" s="16"/>
      <c r="W36" s="16"/>
    </row>
    <row r="37" customFormat="false" ht="13.5" hidden="false" customHeight="false" outlineLevel="0" collapsed="false">
      <c r="A37" s="16"/>
      <c r="B37" s="16"/>
      <c r="C37" s="16"/>
      <c r="D37" s="16"/>
      <c r="E37" s="16"/>
      <c r="F37" s="16"/>
      <c r="G37" s="16"/>
      <c r="H37" s="16"/>
      <c r="I37" s="16"/>
      <c r="J37" s="16"/>
      <c r="K37" s="16"/>
      <c r="L37" s="16"/>
      <c r="M37" s="16"/>
      <c r="N37" s="16"/>
      <c r="O37" s="16"/>
      <c r="P37" s="16"/>
      <c r="Q37" s="16"/>
      <c r="R37" s="16"/>
      <c r="S37" s="16"/>
      <c r="T37" s="16"/>
      <c r="U37" s="16"/>
      <c r="V37" s="16"/>
      <c r="W37" s="16"/>
    </row>
    <row r="38" customFormat="false" ht="13.5" hidden="false" customHeight="false" outlineLevel="0" collapsed="false">
      <c r="A38" s="16"/>
      <c r="B38" s="16"/>
      <c r="C38" s="16"/>
      <c r="D38" s="16"/>
      <c r="E38" s="16"/>
      <c r="F38" s="16"/>
      <c r="G38" s="16"/>
      <c r="H38" s="16"/>
      <c r="I38" s="16"/>
      <c r="J38" s="16"/>
      <c r="K38" s="16"/>
      <c r="L38" s="16"/>
      <c r="M38" s="16"/>
      <c r="N38" s="16"/>
      <c r="O38" s="16"/>
      <c r="P38" s="16"/>
      <c r="Q38" s="16"/>
      <c r="R38" s="16"/>
      <c r="S38" s="16"/>
      <c r="T38" s="16"/>
      <c r="U38" s="16"/>
      <c r="V38" s="16"/>
      <c r="W38" s="16"/>
    </row>
    <row r="39" customFormat="false" ht="13.5" hidden="false" customHeight="false" outlineLevel="0" collapsed="false">
      <c r="A39" s="54" t="s">
        <v>2920</v>
      </c>
      <c r="B39" s="16"/>
      <c r="C39" s="16"/>
      <c r="D39" s="16"/>
      <c r="E39" s="16"/>
      <c r="F39" s="16"/>
      <c r="G39" s="16"/>
      <c r="H39" s="16"/>
      <c r="I39" s="16"/>
      <c r="J39" s="16"/>
      <c r="K39" s="16"/>
      <c r="L39" s="16"/>
      <c r="M39" s="16"/>
      <c r="N39" s="16"/>
      <c r="O39" s="16"/>
      <c r="P39" s="16"/>
      <c r="Q39" s="16"/>
      <c r="R39" s="16"/>
      <c r="S39" s="16"/>
      <c r="T39" s="16"/>
      <c r="U39" s="16"/>
      <c r="V39" s="16"/>
      <c r="W39" s="16"/>
    </row>
    <row r="40" customFormat="false" ht="13.5" hidden="false" customHeight="false" outlineLevel="0" collapsed="false">
      <c r="A40" s="15" t="s">
        <v>2921</v>
      </c>
      <c r="B40" s="15" t="s">
        <v>2922</v>
      </c>
      <c r="C40" s="15" t="s">
        <v>2923</v>
      </c>
      <c r="D40" s="15" t="s">
        <v>2924</v>
      </c>
      <c r="E40" s="15" t="s">
        <v>2925</v>
      </c>
      <c r="F40" s="15" t="s">
        <v>2926</v>
      </c>
      <c r="G40" s="15" t="s">
        <v>2927</v>
      </c>
      <c r="H40" s="16"/>
      <c r="I40" s="55" t="s">
        <v>2928</v>
      </c>
      <c r="J40" s="16"/>
      <c r="K40" s="16"/>
      <c r="L40" s="16"/>
      <c r="M40" s="16"/>
      <c r="N40" s="16"/>
      <c r="O40" s="16"/>
      <c r="P40" s="16"/>
      <c r="Q40" s="16"/>
      <c r="R40" s="16"/>
      <c r="S40" s="16"/>
      <c r="T40" s="16"/>
      <c r="U40" s="16"/>
      <c r="V40" s="16"/>
      <c r="W40" s="16"/>
    </row>
    <row r="41" customFormat="false" ht="13.5" hidden="false" customHeight="false" outlineLevel="0" collapsed="false">
      <c r="A41" s="17" t="s">
        <v>2848</v>
      </c>
      <c r="B41" s="94" t="n">
        <v>0</v>
      </c>
      <c r="C41" s="94" t="n">
        <v>0</v>
      </c>
      <c r="D41" s="94" t="n">
        <v>1</v>
      </c>
      <c r="E41" s="94" t="n">
        <v>0</v>
      </c>
      <c r="F41" s="94" t="n">
        <v>0</v>
      </c>
      <c r="G41" s="94" t="n">
        <v>1</v>
      </c>
      <c r="H41" s="16"/>
      <c r="I41" s="16"/>
      <c r="J41" s="16"/>
      <c r="K41" s="16"/>
      <c r="L41" s="16"/>
      <c r="M41" s="16"/>
      <c r="N41" s="16"/>
      <c r="O41" s="16"/>
      <c r="P41" s="16"/>
      <c r="Q41" s="16"/>
      <c r="R41" s="16"/>
      <c r="S41" s="16"/>
      <c r="T41" s="16"/>
      <c r="U41" s="16"/>
      <c r="V41" s="16"/>
      <c r="W41" s="16"/>
    </row>
    <row r="42" customFormat="false" ht="13.5" hidden="false" customHeight="false" outlineLevel="0" collapsed="false">
      <c r="A42" s="17" t="s">
        <v>2856</v>
      </c>
      <c r="B42" s="94" t="n">
        <v>0</v>
      </c>
      <c r="C42" s="94" t="n">
        <v>0</v>
      </c>
      <c r="D42" s="94" t="n">
        <v>1</v>
      </c>
      <c r="E42" s="94" t="n">
        <v>1</v>
      </c>
      <c r="F42" s="94" t="n">
        <v>1</v>
      </c>
      <c r="G42" s="94" t="n">
        <v>1</v>
      </c>
      <c r="H42" s="16"/>
      <c r="I42" s="16"/>
      <c r="J42" s="16"/>
      <c r="K42" s="16"/>
      <c r="L42" s="16"/>
      <c r="M42" s="16"/>
      <c r="N42" s="16"/>
      <c r="O42" s="16"/>
      <c r="P42" s="16"/>
      <c r="Q42" s="16"/>
      <c r="R42" s="16"/>
      <c r="S42" s="16"/>
      <c r="T42" s="16"/>
      <c r="U42" s="16"/>
      <c r="V42" s="16"/>
      <c r="W42" s="16"/>
    </row>
    <row r="43" customFormat="false" ht="13.5" hidden="false" customHeight="false" outlineLevel="0" collapsed="false">
      <c r="A43" s="17" t="s">
        <v>2868</v>
      </c>
      <c r="B43" s="94" t="n">
        <v>1</v>
      </c>
      <c r="C43" s="94" t="n">
        <v>0</v>
      </c>
      <c r="D43" s="94" t="n">
        <v>0</v>
      </c>
      <c r="E43" s="94" t="n">
        <v>0</v>
      </c>
      <c r="F43" s="94" t="n">
        <v>0</v>
      </c>
      <c r="G43" s="94" t="n">
        <v>1</v>
      </c>
      <c r="H43" s="16"/>
      <c r="I43" s="16"/>
      <c r="J43" s="16"/>
      <c r="K43" s="16"/>
      <c r="L43" s="16"/>
      <c r="M43" s="16"/>
      <c r="N43" s="16"/>
      <c r="O43" s="16"/>
      <c r="P43" s="16"/>
      <c r="Q43" s="16"/>
      <c r="R43" s="16"/>
      <c r="S43" s="16"/>
      <c r="T43" s="16"/>
      <c r="U43" s="16"/>
      <c r="V43" s="16"/>
      <c r="W43" s="16"/>
    </row>
    <row r="44" customFormat="false" ht="13.5" hidden="false" customHeight="false" outlineLevel="0" collapsed="false">
      <c r="A44" s="17" t="s">
        <v>2880</v>
      </c>
      <c r="B44" s="94" t="n">
        <v>1</v>
      </c>
      <c r="C44" s="94" t="n">
        <v>0</v>
      </c>
      <c r="D44" s="94" t="n">
        <v>0</v>
      </c>
      <c r="E44" s="94" t="n">
        <v>1</v>
      </c>
      <c r="F44" s="94" t="n">
        <v>1</v>
      </c>
      <c r="G44" s="94" t="n">
        <v>1</v>
      </c>
      <c r="H44" s="16"/>
      <c r="I44" s="16"/>
      <c r="J44" s="16"/>
      <c r="K44" s="16"/>
      <c r="L44" s="16"/>
      <c r="M44" s="16"/>
      <c r="N44" s="16"/>
      <c r="O44" s="16"/>
      <c r="P44" s="16"/>
      <c r="Q44" s="16"/>
      <c r="R44" s="16"/>
      <c r="S44" s="16"/>
      <c r="T44" s="16"/>
      <c r="U44" s="16"/>
      <c r="V44" s="16"/>
      <c r="W44" s="16"/>
    </row>
    <row r="45" customFormat="false" ht="13.5" hidden="false" customHeight="false" outlineLevel="0" collapsed="false">
      <c r="A45" s="17" t="s">
        <v>2885</v>
      </c>
      <c r="B45" s="94" t="n">
        <v>1</v>
      </c>
      <c r="C45" s="94" t="n">
        <v>0</v>
      </c>
      <c r="D45" s="94" t="n">
        <v>0</v>
      </c>
      <c r="E45" s="94" t="n">
        <v>0</v>
      </c>
      <c r="F45" s="94" t="n">
        <v>1</v>
      </c>
      <c r="G45" s="94" t="n">
        <v>1</v>
      </c>
      <c r="H45" s="16"/>
      <c r="I45" s="16"/>
      <c r="J45" s="16"/>
      <c r="K45" s="16"/>
      <c r="L45" s="16"/>
      <c r="M45" s="16"/>
      <c r="N45" s="16"/>
      <c r="O45" s="16"/>
      <c r="P45" s="16"/>
      <c r="Q45" s="16"/>
      <c r="R45" s="16"/>
      <c r="S45" s="16"/>
      <c r="T45" s="16"/>
      <c r="U45" s="16"/>
      <c r="V45" s="16"/>
      <c r="W45" s="16"/>
    </row>
    <row r="46" customFormat="false" ht="13.5" hidden="false" customHeight="false" outlineLevel="0" collapsed="false">
      <c r="A46" s="17" t="s">
        <v>2893</v>
      </c>
      <c r="B46" s="94" t="n">
        <v>0</v>
      </c>
      <c r="C46" s="94" t="n">
        <v>1</v>
      </c>
      <c r="D46" s="94" t="n">
        <v>0</v>
      </c>
      <c r="E46" s="94" t="n">
        <v>0</v>
      </c>
      <c r="F46" s="94" t="n">
        <v>0</v>
      </c>
      <c r="G46" s="94" t="n">
        <v>1</v>
      </c>
      <c r="H46" s="16"/>
      <c r="I46" s="16"/>
      <c r="J46" s="16"/>
      <c r="K46" s="16"/>
      <c r="L46" s="16"/>
      <c r="M46" s="16"/>
      <c r="N46" s="16"/>
      <c r="O46" s="16"/>
      <c r="P46" s="16"/>
      <c r="Q46" s="16"/>
      <c r="R46" s="16"/>
      <c r="S46" s="16"/>
      <c r="T46" s="16"/>
      <c r="U46" s="16"/>
      <c r="V46" s="16"/>
      <c r="W46" s="16"/>
    </row>
    <row r="47" customFormat="false" ht="13.5" hidden="false" customHeight="false" outlineLevel="0" collapsed="false">
      <c r="A47" s="17" t="s">
        <v>2899</v>
      </c>
      <c r="B47" s="94" t="n">
        <v>0</v>
      </c>
      <c r="C47" s="94" t="n">
        <v>1</v>
      </c>
      <c r="D47" s="94" t="n">
        <v>0</v>
      </c>
      <c r="E47" s="94" t="n">
        <v>0</v>
      </c>
      <c r="F47" s="94" t="n">
        <v>0</v>
      </c>
      <c r="G47" s="94" t="n">
        <v>1</v>
      </c>
      <c r="H47" s="16"/>
      <c r="I47" s="16"/>
      <c r="J47" s="16"/>
      <c r="K47" s="16"/>
      <c r="L47" s="16"/>
      <c r="M47" s="16"/>
      <c r="N47" s="16"/>
      <c r="O47" s="16"/>
      <c r="P47" s="16"/>
      <c r="Q47" s="16"/>
      <c r="R47" s="16"/>
      <c r="S47" s="16"/>
      <c r="T47" s="16"/>
      <c r="U47" s="16"/>
      <c r="V47" s="16"/>
      <c r="W47" s="16"/>
    </row>
    <row r="48" customFormat="false" ht="13.5" hidden="false" customHeight="false" outlineLevel="0" collapsed="false">
      <c r="A48" s="17" t="s">
        <v>2909</v>
      </c>
      <c r="B48" s="94" t="n">
        <v>1</v>
      </c>
      <c r="C48" s="94" t="n">
        <v>1</v>
      </c>
      <c r="D48" s="94" t="n">
        <v>1</v>
      </c>
      <c r="E48" s="94" t="n">
        <v>1</v>
      </c>
      <c r="F48" s="94" t="n">
        <v>0</v>
      </c>
      <c r="G48" s="94" t="n">
        <v>1</v>
      </c>
      <c r="H48" s="16"/>
      <c r="I48" s="16"/>
      <c r="J48" s="16"/>
      <c r="K48" s="16"/>
      <c r="L48" s="16"/>
      <c r="M48" s="16"/>
      <c r="N48" s="16"/>
      <c r="O48" s="16"/>
      <c r="P48" s="16"/>
      <c r="Q48" s="16"/>
      <c r="R48" s="16"/>
      <c r="S48" s="16"/>
      <c r="T48" s="16"/>
      <c r="U48" s="16"/>
      <c r="V48" s="16"/>
      <c r="W48" s="16"/>
    </row>
    <row r="49" customFormat="false" ht="13.5" hidden="false" customHeight="false" outlineLevel="0" collapsed="false">
      <c r="A49" s="16"/>
      <c r="B49" s="16"/>
      <c r="C49" s="16"/>
      <c r="D49" s="16"/>
      <c r="E49" s="16"/>
      <c r="F49" s="16"/>
      <c r="G49" s="16"/>
      <c r="H49" s="16"/>
      <c r="I49" s="16"/>
      <c r="J49" s="16"/>
      <c r="K49" s="16"/>
      <c r="L49" s="16"/>
      <c r="M49" s="16"/>
      <c r="N49" s="16"/>
      <c r="O49" s="16"/>
      <c r="P49" s="16"/>
      <c r="Q49" s="16"/>
      <c r="R49" s="16"/>
      <c r="S49" s="16"/>
      <c r="T49" s="16"/>
      <c r="U49" s="16"/>
      <c r="V49" s="16"/>
      <c r="W49" s="16"/>
    </row>
    <row r="50" customFormat="false" ht="13.5" hidden="false" customHeight="false" outlineLevel="0" collapsed="false">
      <c r="A50" s="54" t="s">
        <v>2929</v>
      </c>
      <c r="B50" s="16"/>
      <c r="C50" s="16"/>
      <c r="D50" s="16"/>
      <c r="E50" s="16"/>
      <c r="F50" s="16"/>
      <c r="G50" s="16"/>
      <c r="H50" s="16"/>
      <c r="I50" s="16"/>
      <c r="J50" s="16"/>
      <c r="K50" s="16"/>
      <c r="L50" s="16"/>
      <c r="M50" s="16"/>
      <c r="N50" s="16"/>
      <c r="O50" s="16"/>
      <c r="P50" s="16"/>
      <c r="Q50" s="16"/>
      <c r="R50" s="16"/>
      <c r="S50" s="16"/>
      <c r="T50" s="16"/>
      <c r="U50" s="16"/>
      <c r="V50" s="16"/>
      <c r="W50" s="16"/>
    </row>
    <row r="51" customFormat="false" ht="13.5" hidden="false" customHeight="false" outlineLevel="0" collapsed="false">
      <c r="A51" s="15" t="s">
        <v>2921</v>
      </c>
      <c r="B51" s="15" t="s">
        <v>2922</v>
      </c>
      <c r="C51" s="15" t="s">
        <v>2923</v>
      </c>
      <c r="D51" s="15" t="s">
        <v>2924</v>
      </c>
      <c r="E51" s="15" t="s">
        <v>2925</v>
      </c>
      <c r="F51" s="15" t="s">
        <v>2926</v>
      </c>
      <c r="G51" s="15" t="s">
        <v>2927</v>
      </c>
      <c r="H51" s="16"/>
      <c r="I51" s="16"/>
      <c r="J51" s="16"/>
      <c r="K51" s="16"/>
      <c r="L51" s="16"/>
      <c r="M51" s="16"/>
      <c r="N51" s="16"/>
      <c r="O51" s="16"/>
      <c r="P51" s="16"/>
      <c r="Q51" s="16"/>
      <c r="R51" s="16"/>
      <c r="S51" s="16"/>
      <c r="T51" s="16"/>
      <c r="U51" s="16"/>
      <c r="V51" s="16"/>
      <c r="W51" s="16"/>
    </row>
    <row r="52" customFormat="false" ht="13.5" hidden="false" customHeight="false" outlineLevel="0" collapsed="false">
      <c r="A52" s="17" t="s">
        <v>2848</v>
      </c>
      <c r="B52" s="94" t="n">
        <v>0</v>
      </c>
      <c r="C52" s="94" t="n">
        <v>0</v>
      </c>
      <c r="D52" s="94" t="n">
        <v>1</v>
      </c>
      <c r="E52" s="94" t="n">
        <v>0</v>
      </c>
      <c r="F52" s="94" t="n">
        <v>0</v>
      </c>
      <c r="G52" s="94" t="n">
        <v>1</v>
      </c>
      <c r="H52" s="16"/>
      <c r="I52" s="16"/>
      <c r="J52" s="16"/>
      <c r="K52" s="16"/>
      <c r="L52" s="16"/>
      <c r="M52" s="16"/>
      <c r="N52" s="16"/>
      <c r="O52" s="16"/>
      <c r="P52" s="16"/>
      <c r="Q52" s="16"/>
      <c r="R52" s="16"/>
      <c r="S52" s="16"/>
      <c r="T52" s="16"/>
      <c r="U52" s="16"/>
      <c r="V52" s="16"/>
      <c r="W52" s="16"/>
    </row>
    <row r="53" customFormat="false" ht="13.5" hidden="false" customHeight="false" outlineLevel="0" collapsed="false">
      <c r="A53" s="17" t="s">
        <v>2856</v>
      </c>
      <c r="B53" s="94" t="n">
        <v>0</v>
      </c>
      <c r="C53" s="94" t="n">
        <v>0</v>
      </c>
      <c r="D53" s="94" t="n">
        <v>1</v>
      </c>
      <c r="E53" s="94" t="n">
        <v>1</v>
      </c>
      <c r="F53" s="94" t="n">
        <v>1</v>
      </c>
      <c r="G53" s="94" t="n">
        <v>1</v>
      </c>
      <c r="H53" s="16"/>
      <c r="I53" s="16"/>
      <c r="J53" s="16"/>
      <c r="K53" s="16"/>
      <c r="L53" s="16"/>
      <c r="M53" s="16"/>
      <c r="N53" s="16"/>
      <c r="O53" s="16"/>
      <c r="P53" s="16"/>
      <c r="Q53" s="16"/>
      <c r="R53" s="16"/>
      <c r="S53" s="16"/>
      <c r="T53" s="16"/>
      <c r="U53" s="16"/>
      <c r="V53" s="16"/>
      <c r="W53" s="16"/>
    </row>
    <row r="54" customFormat="false" ht="13.5" hidden="false" customHeight="false" outlineLevel="0" collapsed="false">
      <c r="A54" s="17" t="s">
        <v>2868</v>
      </c>
      <c r="B54" s="94" t="n">
        <v>1</v>
      </c>
      <c r="C54" s="94" t="n">
        <v>0</v>
      </c>
      <c r="D54" s="94" t="n">
        <v>0</v>
      </c>
      <c r="E54" s="94" t="n">
        <v>0</v>
      </c>
      <c r="F54" s="94" t="n">
        <v>0</v>
      </c>
      <c r="G54" s="94" t="n">
        <v>1</v>
      </c>
      <c r="H54" s="16"/>
      <c r="I54" s="16"/>
      <c r="J54" s="16"/>
      <c r="K54" s="16"/>
      <c r="L54" s="16"/>
      <c r="M54" s="16"/>
      <c r="N54" s="16"/>
      <c r="O54" s="16"/>
      <c r="P54" s="16"/>
      <c r="Q54" s="16"/>
      <c r="R54" s="16"/>
      <c r="S54" s="16"/>
      <c r="T54" s="16"/>
      <c r="U54" s="16"/>
      <c r="V54" s="16"/>
      <c r="W54" s="16"/>
    </row>
    <row r="55" customFormat="false" ht="13.5" hidden="false" customHeight="false" outlineLevel="0" collapsed="false">
      <c r="A55" s="17" t="s">
        <v>2880</v>
      </c>
      <c r="B55" s="94" t="n">
        <v>1</v>
      </c>
      <c r="C55" s="94" t="n">
        <v>0</v>
      </c>
      <c r="D55" s="94" t="n">
        <v>0</v>
      </c>
      <c r="E55" s="94" t="n">
        <v>1</v>
      </c>
      <c r="F55" s="94" t="n">
        <v>1</v>
      </c>
      <c r="G55" s="94" t="n">
        <v>1</v>
      </c>
      <c r="H55" s="16"/>
      <c r="I55" s="16"/>
      <c r="J55" s="16"/>
      <c r="K55" s="16"/>
      <c r="L55" s="16"/>
      <c r="M55" s="16"/>
      <c r="N55" s="16"/>
      <c r="O55" s="16"/>
      <c r="P55" s="16"/>
      <c r="Q55" s="16"/>
      <c r="R55" s="16"/>
      <c r="S55" s="16"/>
      <c r="T55" s="16"/>
      <c r="U55" s="16"/>
      <c r="V55" s="16"/>
      <c r="W55" s="16"/>
    </row>
    <row r="56" customFormat="false" ht="13.5" hidden="false" customHeight="false" outlineLevel="0" collapsed="false">
      <c r="A56" s="17" t="s">
        <v>2885</v>
      </c>
      <c r="B56" s="94" t="n">
        <v>1</v>
      </c>
      <c r="C56" s="94" t="n">
        <v>0</v>
      </c>
      <c r="D56" s="94" t="n">
        <v>0</v>
      </c>
      <c r="E56" s="94" t="n">
        <v>0</v>
      </c>
      <c r="F56" s="94" t="n">
        <v>1</v>
      </c>
      <c r="G56" s="94" t="n">
        <v>1</v>
      </c>
      <c r="H56" s="16"/>
      <c r="I56" s="16"/>
      <c r="J56" s="16"/>
      <c r="K56" s="16"/>
      <c r="L56" s="16"/>
      <c r="M56" s="16"/>
      <c r="N56" s="16"/>
      <c r="O56" s="16"/>
      <c r="P56" s="16"/>
      <c r="Q56" s="16"/>
      <c r="R56" s="16"/>
      <c r="S56" s="16"/>
      <c r="T56" s="16"/>
      <c r="U56" s="16"/>
      <c r="V56" s="16"/>
      <c r="W56" s="16"/>
    </row>
    <row r="57" customFormat="false" ht="13.5" hidden="false" customHeight="false" outlineLevel="0" collapsed="false">
      <c r="A57" s="17" t="s">
        <v>2893</v>
      </c>
      <c r="B57" s="94" t="n">
        <v>0</v>
      </c>
      <c r="C57" s="94" t="n">
        <v>1</v>
      </c>
      <c r="D57" s="94" t="n">
        <v>0</v>
      </c>
      <c r="E57" s="94" t="n">
        <v>0</v>
      </c>
      <c r="F57" s="94" t="n">
        <v>0</v>
      </c>
      <c r="G57" s="94" t="n">
        <v>1</v>
      </c>
      <c r="H57" s="16"/>
      <c r="I57" s="16"/>
      <c r="J57" s="16"/>
      <c r="K57" s="16"/>
      <c r="L57" s="16"/>
      <c r="M57" s="16"/>
      <c r="N57" s="16"/>
      <c r="O57" s="16"/>
      <c r="P57" s="16"/>
      <c r="Q57" s="16"/>
      <c r="R57" s="16"/>
      <c r="S57" s="16"/>
      <c r="T57" s="16"/>
      <c r="U57" s="16"/>
      <c r="V57" s="16"/>
      <c r="W57" s="16"/>
    </row>
    <row r="58" customFormat="false" ht="13.5" hidden="false" customHeight="false" outlineLevel="0" collapsed="false">
      <c r="A58" s="17" t="s">
        <v>2899</v>
      </c>
      <c r="B58" s="94" t="n">
        <v>0</v>
      </c>
      <c r="C58" s="94" t="n">
        <v>1</v>
      </c>
      <c r="D58" s="94" t="n">
        <v>0</v>
      </c>
      <c r="E58" s="94" t="n">
        <v>0</v>
      </c>
      <c r="F58" s="94" t="n">
        <v>0</v>
      </c>
      <c r="G58" s="94" t="n">
        <v>1</v>
      </c>
      <c r="H58" s="16"/>
      <c r="I58" s="16"/>
      <c r="J58" s="16"/>
      <c r="K58" s="16"/>
      <c r="L58" s="16"/>
      <c r="M58" s="16"/>
      <c r="N58" s="16"/>
      <c r="O58" s="16"/>
      <c r="P58" s="16"/>
      <c r="Q58" s="16"/>
      <c r="R58" s="16"/>
      <c r="S58" s="16"/>
      <c r="T58" s="16"/>
      <c r="U58" s="16"/>
      <c r="V58" s="16"/>
      <c r="W58" s="16"/>
    </row>
    <row r="59" customFormat="false" ht="13.5" hidden="false" customHeight="false" outlineLevel="0" collapsed="false">
      <c r="A59" s="17" t="s">
        <v>2909</v>
      </c>
      <c r="B59" s="94" t="n">
        <v>0</v>
      </c>
      <c r="C59" s="94" t="n">
        <v>0</v>
      </c>
      <c r="D59" s="94" t="n">
        <v>0</v>
      </c>
      <c r="E59" s="94" t="n">
        <v>0</v>
      </c>
      <c r="F59" s="94" t="n">
        <v>0</v>
      </c>
      <c r="G59" s="94" t="n">
        <v>0</v>
      </c>
      <c r="H59" s="16"/>
      <c r="I59" s="16"/>
      <c r="J59" s="16"/>
      <c r="K59" s="16"/>
      <c r="L59" s="16"/>
      <c r="M59" s="16"/>
      <c r="N59" s="16"/>
      <c r="O59" s="16"/>
      <c r="P59" s="16"/>
      <c r="Q59" s="16"/>
      <c r="R59" s="16"/>
      <c r="S59" s="16"/>
      <c r="T59" s="16"/>
      <c r="U59" s="16"/>
      <c r="V59" s="16"/>
      <c r="W59" s="16"/>
    </row>
    <row r="60" customFormat="false" ht="13.5" hidden="false" customHeight="false" outlineLevel="0" collapsed="false">
      <c r="A60" s="16"/>
      <c r="B60" s="16"/>
      <c r="C60" s="16"/>
      <c r="D60" s="16"/>
      <c r="E60" s="16"/>
      <c r="F60" s="16"/>
      <c r="G60" s="16"/>
      <c r="H60" s="16"/>
      <c r="I60" s="16"/>
      <c r="J60" s="16"/>
      <c r="K60" s="16"/>
      <c r="L60" s="16"/>
      <c r="M60" s="16"/>
      <c r="N60" s="16"/>
      <c r="O60" s="16"/>
      <c r="P60" s="16"/>
      <c r="Q60" s="16"/>
      <c r="R60" s="16"/>
      <c r="S60" s="16"/>
      <c r="T60" s="16"/>
      <c r="U60" s="16"/>
      <c r="V60" s="16"/>
      <c r="W60" s="16"/>
    </row>
    <row r="61" customFormat="false" ht="13.5" hidden="false" customHeight="false" outlineLevel="0" collapsed="false">
      <c r="A61" s="16"/>
      <c r="B61" s="16"/>
      <c r="C61" s="16"/>
      <c r="D61" s="16"/>
      <c r="E61" s="16"/>
      <c r="F61" s="16"/>
      <c r="G61" s="16"/>
      <c r="H61" s="16"/>
      <c r="I61" s="16"/>
      <c r="J61" s="16"/>
      <c r="K61" s="16"/>
      <c r="L61" s="16"/>
      <c r="M61" s="16"/>
      <c r="N61" s="16"/>
      <c r="O61" s="16"/>
      <c r="P61" s="16"/>
      <c r="Q61" s="16"/>
      <c r="R61" s="16"/>
      <c r="S61" s="16"/>
      <c r="T61" s="16"/>
      <c r="U61" s="16"/>
      <c r="V61" s="16"/>
      <c r="W61" s="16"/>
    </row>
    <row r="62" customFormat="false" ht="13.5" hidden="false" customHeight="false" outlineLevel="0" collapsed="false">
      <c r="A62" s="16"/>
      <c r="B62" s="16"/>
      <c r="C62" s="16"/>
      <c r="D62" s="16"/>
      <c r="E62" s="16"/>
      <c r="F62" s="16"/>
      <c r="G62" s="16"/>
      <c r="H62" s="16"/>
      <c r="I62" s="16"/>
      <c r="J62" s="16"/>
      <c r="K62" s="16"/>
      <c r="L62" s="16"/>
      <c r="M62" s="16"/>
      <c r="N62" s="16"/>
      <c r="O62" s="16"/>
      <c r="P62" s="16"/>
      <c r="Q62" s="16"/>
      <c r="R62" s="16"/>
      <c r="S62" s="16"/>
      <c r="T62" s="16"/>
      <c r="U62" s="16"/>
      <c r="V62" s="16"/>
      <c r="W62" s="16"/>
    </row>
    <row r="63" customFormat="false" ht="13.5" hidden="false" customHeight="false" outlineLevel="0" collapsed="false">
      <c r="A63" s="16"/>
      <c r="B63" s="16"/>
      <c r="C63" s="16"/>
      <c r="D63" s="16"/>
      <c r="E63" s="16"/>
      <c r="F63" s="16"/>
      <c r="G63" s="16"/>
      <c r="H63" s="16"/>
      <c r="I63" s="16"/>
      <c r="J63" s="16"/>
      <c r="K63" s="16"/>
      <c r="L63" s="16"/>
      <c r="M63" s="16"/>
      <c r="N63" s="16"/>
      <c r="O63" s="16"/>
      <c r="P63" s="16"/>
      <c r="Q63" s="16"/>
      <c r="R63" s="16"/>
      <c r="S63" s="16"/>
      <c r="T63" s="16"/>
      <c r="U63" s="16"/>
      <c r="V63" s="16"/>
      <c r="W63" s="16"/>
    </row>
    <row r="64" customFormat="false" ht="13.5" hidden="false" customHeight="false" outlineLevel="0" collapsed="false">
      <c r="A64" s="16"/>
      <c r="B64" s="16"/>
      <c r="C64" s="16"/>
      <c r="D64" s="16"/>
      <c r="E64" s="16"/>
      <c r="F64" s="16"/>
      <c r="G64" s="16"/>
      <c r="H64" s="16"/>
      <c r="I64" s="16"/>
      <c r="J64" s="16"/>
      <c r="K64" s="16"/>
      <c r="L64" s="16"/>
      <c r="M64" s="16"/>
      <c r="N64" s="16"/>
      <c r="O64" s="16"/>
      <c r="P64" s="16"/>
      <c r="Q64" s="16"/>
      <c r="R64" s="16"/>
      <c r="S64" s="16"/>
      <c r="T64" s="16"/>
      <c r="U64" s="16"/>
      <c r="V64" s="16"/>
      <c r="W64" s="16"/>
    </row>
    <row r="65" customFormat="false" ht="13.5" hidden="false" customHeight="false" outlineLevel="0" collapsed="false">
      <c r="A65" s="16"/>
      <c r="B65" s="16"/>
      <c r="C65" s="16"/>
      <c r="D65" s="16"/>
      <c r="E65" s="16"/>
      <c r="F65" s="16"/>
      <c r="G65" s="16"/>
      <c r="H65" s="16"/>
      <c r="I65" s="16"/>
      <c r="J65" s="16"/>
      <c r="K65" s="16"/>
      <c r="L65" s="16"/>
      <c r="M65" s="16"/>
      <c r="N65" s="16"/>
      <c r="O65" s="16"/>
      <c r="P65" s="16"/>
      <c r="Q65" s="16"/>
      <c r="R65" s="16"/>
      <c r="S65" s="16"/>
      <c r="T65" s="16"/>
      <c r="U65" s="16"/>
      <c r="V65" s="16"/>
      <c r="W65" s="16"/>
    </row>
    <row r="66" customFormat="false" ht="13.5" hidden="false" customHeight="false" outlineLevel="0" collapsed="false">
      <c r="A66" s="16"/>
      <c r="B66" s="16"/>
      <c r="C66" s="16"/>
      <c r="D66" s="16"/>
      <c r="E66" s="16"/>
      <c r="F66" s="16"/>
      <c r="G66" s="16"/>
      <c r="H66" s="16"/>
      <c r="I66" s="16"/>
      <c r="J66" s="16"/>
      <c r="K66" s="16"/>
      <c r="L66" s="16"/>
      <c r="M66" s="16"/>
      <c r="N66" s="16"/>
      <c r="O66" s="16"/>
      <c r="P66" s="16"/>
      <c r="Q66" s="16"/>
      <c r="R66" s="16"/>
      <c r="S66" s="16"/>
      <c r="T66" s="16"/>
      <c r="U66" s="16"/>
      <c r="V66" s="16"/>
      <c r="W66" s="16"/>
    </row>
    <row r="67" customFormat="false" ht="13.5" hidden="false" customHeight="false" outlineLevel="0" collapsed="false">
      <c r="A67" s="16"/>
      <c r="B67" s="16"/>
      <c r="C67" s="16"/>
      <c r="D67" s="16"/>
      <c r="E67" s="16"/>
      <c r="F67" s="16"/>
      <c r="G67" s="16"/>
      <c r="H67" s="16"/>
      <c r="I67" s="16"/>
      <c r="J67" s="16"/>
      <c r="K67" s="16"/>
      <c r="L67" s="16"/>
      <c r="M67" s="16"/>
      <c r="N67" s="16"/>
      <c r="O67" s="16"/>
      <c r="P67" s="16"/>
      <c r="Q67" s="16"/>
      <c r="R67" s="16"/>
      <c r="S67" s="16"/>
      <c r="T67" s="16"/>
      <c r="U67" s="16"/>
      <c r="V67" s="16"/>
      <c r="W67" s="16"/>
    </row>
    <row r="68" customFormat="false" ht="13.5" hidden="false" customHeight="false" outlineLevel="0" collapsed="false">
      <c r="A68" s="16"/>
      <c r="B68" s="16"/>
      <c r="C68" s="16"/>
      <c r="D68" s="16"/>
      <c r="E68" s="16"/>
      <c r="F68" s="16"/>
      <c r="G68" s="16"/>
      <c r="H68" s="16"/>
      <c r="I68" s="16"/>
      <c r="J68" s="16"/>
      <c r="K68" s="16"/>
      <c r="L68" s="16"/>
      <c r="M68" s="16"/>
      <c r="N68" s="16"/>
      <c r="O68" s="16"/>
      <c r="P68" s="16"/>
      <c r="Q68" s="16"/>
      <c r="R68" s="16"/>
      <c r="S68" s="16"/>
      <c r="T68" s="16"/>
      <c r="U68" s="16"/>
      <c r="V68" s="16"/>
      <c r="W68" s="16"/>
    </row>
    <row r="69" customFormat="false" ht="13.5" hidden="false" customHeight="false" outlineLevel="0" collapsed="false">
      <c r="A69" s="16"/>
      <c r="B69" s="16"/>
      <c r="C69" s="16"/>
      <c r="D69" s="16"/>
      <c r="E69" s="16"/>
      <c r="F69" s="16"/>
      <c r="G69" s="16"/>
      <c r="H69" s="16"/>
      <c r="I69" s="16"/>
      <c r="J69" s="16"/>
      <c r="K69" s="16"/>
      <c r="L69" s="16"/>
      <c r="M69" s="16"/>
      <c r="N69" s="16"/>
      <c r="O69" s="16"/>
      <c r="P69" s="16"/>
      <c r="Q69" s="16"/>
      <c r="R69" s="16"/>
      <c r="S69" s="16"/>
      <c r="T69" s="16"/>
      <c r="U69" s="16"/>
      <c r="V69" s="16"/>
      <c r="W69" s="16"/>
    </row>
    <row r="70" customFormat="false" ht="13.5" hidden="false" customHeight="false" outlineLevel="0" collapsed="false">
      <c r="A70" s="16"/>
      <c r="B70" s="16"/>
      <c r="C70" s="16"/>
      <c r="D70" s="16"/>
      <c r="E70" s="16"/>
      <c r="F70" s="16"/>
      <c r="G70" s="16"/>
      <c r="H70" s="16"/>
      <c r="I70" s="16"/>
      <c r="J70" s="16"/>
      <c r="K70" s="16"/>
      <c r="L70" s="16"/>
      <c r="M70" s="16"/>
      <c r="N70" s="16"/>
      <c r="O70" s="16"/>
      <c r="P70" s="16"/>
      <c r="Q70" s="16"/>
      <c r="R70" s="16"/>
      <c r="S70" s="16"/>
      <c r="T70" s="16"/>
      <c r="U70" s="16"/>
      <c r="V70" s="16"/>
      <c r="W70" s="16"/>
    </row>
    <row r="71" customFormat="false" ht="13.5" hidden="false" customHeight="false" outlineLevel="0" collapsed="false">
      <c r="A71" s="16"/>
      <c r="B71" s="16"/>
      <c r="C71" s="16"/>
      <c r="D71" s="16"/>
      <c r="E71" s="16"/>
      <c r="F71" s="16"/>
      <c r="G71" s="16"/>
      <c r="H71" s="16"/>
      <c r="I71" s="16"/>
      <c r="J71" s="16"/>
      <c r="K71" s="16"/>
      <c r="L71" s="16"/>
      <c r="M71" s="16"/>
      <c r="N71" s="16"/>
      <c r="O71" s="16"/>
      <c r="P71" s="16"/>
      <c r="Q71" s="16"/>
      <c r="R71" s="16"/>
      <c r="S71" s="16"/>
      <c r="T71" s="16"/>
      <c r="U71" s="16"/>
      <c r="V71" s="16"/>
      <c r="W71" s="16"/>
    </row>
    <row r="72" customFormat="false" ht="13.5" hidden="false" customHeight="false" outlineLevel="0" collapsed="false">
      <c r="A72" s="16"/>
      <c r="B72" s="16"/>
      <c r="C72" s="16"/>
      <c r="D72" s="16"/>
      <c r="E72" s="16"/>
      <c r="F72" s="16"/>
      <c r="G72" s="16"/>
      <c r="H72" s="16"/>
      <c r="I72" s="16"/>
      <c r="J72" s="16"/>
      <c r="K72" s="16"/>
      <c r="L72" s="16"/>
      <c r="M72" s="16"/>
      <c r="N72" s="16"/>
      <c r="O72" s="16"/>
      <c r="P72" s="16"/>
      <c r="Q72" s="16"/>
      <c r="R72" s="16"/>
      <c r="S72" s="16"/>
      <c r="T72" s="16"/>
      <c r="U72" s="16"/>
      <c r="V72" s="16"/>
      <c r="W72" s="16"/>
    </row>
    <row r="73" customFormat="false" ht="13.5" hidden="false" customHeight="false" outlineLevel="0" collapsed="false">
      <c r="A73" s="16"/>
      <c r="B73" s="16"/>
      <c r="C73" s="16"/>
      <c r="D73" s="16"/>
      <c r="E73" s="16"/>
      <c r="F73" s="16"/>
      <c r="G73" s="16"/>
      <c r="H73" s="16"/>
      <c r="I73" s="16"/>
      <c r="J73" s="16"/>
      <c r="K73" s="16"/>
      <c r="L73" s="16"/>
      <c r="M73" s="16"/>
      <c r="N73" s="16"/>
      <c r="O73" s="16"/>
      <c r="P73" s="16"/>
      <c r="Q73" s="16"/>
      <c r="R73" s="16"/>
      <c r="S73" s="16"/>
      <c r="T73" s="16"/>
      <c r="U73" s="16"/>
      <c r="V73" s="16"/>
      <c r="W73" s="16"/>
    </row>
    <row r="74" customFormat="false" ht="13.5" hidden="false" customHeight="false" outlineLevel="0" collapsed="false">
      <c r="A74" s="16"/>
      <c r="B74" s="16"/>
      <c r="C74" s="16"/>
      <c r="D74" s="16"/>
      <c r="E74" s="16"/>
      <c r="F74" s="16"/>
      <c r="G74" s="16"/>
      <c r="H74" s="16"/>
      <c r="I74" s="16"/>
      <c r="J74" s="16"/>
      <c r="K74" s="16"/>
      <c r="L74" s="16"/>
      <c r="M74" s="16"/>
      <c r="N74" s="16"/>
      <c r="O74" s="16"/>
      <c r="P74" s="16"/>
      <c r="Q74" s="16"/>
      <c r="R74" s="16"/>
      <c r="S74" s="16"/>
      <c r="T74" s="16"/>
      <c r="U74" s="16"/>
      <c r="V74" s="16"/>
      <c r="W74" s="16"/>
    </row>
    <row r="75" customFormat="false" ht="13.5" hidden="false" customHeight="false" outlineLevel="0" collapsed="false">
      <c r="A75" s="16"/>
      <c r="B75" s="16"/>
      <c r="C75" s="16"/>
      <c r="D75" s="16"/>
      <c r="E75" s="16"/>
      <c r="F75" s="16"/>
      <c r="G75" s="16"/>
      <c r="H75" s="16"/>
      <c r="I75" s="16"/>
      <c r="J75" s="16"/>
      <c r="K75" s="16"/>
      <c r="L75" s="16"/>
      <c r="M75" s="16"/>
      <c r="N75" s="16"/>
      <c r="O75" s="16"/>
      <c r="P75" s="16"/>
      <c r="Q75" s="16"/>
      <c r="R75" s="16"/>
      <c r="S75" s="16"/>
      <c r="T75" s="16"/>
      <c r="U75" s="16"/>
      <c r="V75" s="16"/>
      <c r="W75" s="16"/>
    </row>
    <row r="76" customFormat="false" ht="13.5" hidden="false" customHeight="false" outlineLevel="0" collapsed="false">
      <c r="A76" s="16"/>
      <c r="B76" s="16"/>
      <c r="C76" s="16"/>
      <c r="D76" s="16"/>
      <c r="E76" s="16"/>
      <c r="F76" s="16"/>
      <c r="G76" s="16"/>
      <c r="H76" s="16"/>
      <c r="I76" s="16"/>
      <c r="J76" s="16"/>
      <c r="K76" s="16"/>
      <c r="L76" s="16"/>
      <c r="M76" s="16"/>
      <c r="N76" s="16"/>
      <c r="O76" s="16"/>
      <c r="P76" s="16"/>
      <c r="Q76" s="16"/>
      <c r="R76" s="16"/>
      <c r="S76" s="16"/>
      <c r="T76" s="16"/>
      <c r="U76" s="16"/>
      <c r="V76" s="16"/>
      <c r="W76" s="16"/>
    </row>
    <row r="77" customFormat="false" ht="13.5" hidden="false" customHeight="false" outlineLevel="0" collapsed="false">
      <c r="A77" s="16"/>
      <c r="B77" s="16"/>
      <c r="C77" s="16"/>
      <c r="D77" s="16"/>
      <c r="E77" s="16"/>
      <c r="F77" s="16"/>
      <c r="G77" s="16"/>
      <c r="H77" s="16"/>
      <c r="I77" s="16"/>
      <c r="J77" s="16"/>
      <c r="K77" s="16"/>
      <c r="L77" s="16"/>
      <c r="M77" s="16"/>
      <c r="N77" s="16"/>
      <c r="O77" s="16"/>
      <c r="P77" s="16"/>
      <c r="Q77" s="16"/>
      <c r="R77" s="16"/>
      <c r="S77" s="16"/>
      <c r="T77" s="16"/>
      <c r="U77" s="16"/>
      <c r="V77" s="16"/>
      <c r="W77" s="16"/>
    </row>
    <row r="78" customFormat="false" ht="13.5" hidden="false" customHeight="false" outlineLevel="0" collapsed="false">
      <c r="A78" s="16"/>
      <c r="B78" s="16"/>
      <c r="C78" s="16"/>
      <c r="D78" s="16"/>
      <c r="E78" s="16"/>
      <c r="F78" s="16"/>
      <c r="G78" s="16"/>
      <c r="H78" s="16"/>
      <c r="I78" s="16"/>
      <c r="J78" s="16"/>
      <c r="K78" s="16"/>
      <c r="L78" s="16"/>
      <c r="M78" s="16"/>
      <c r="N78" s="16"/>
      <c r="O78" s="16"/>
      <c r="P78" s="16"/>
      <c r="Q78" s="16"/>
      <c r="R78" s="16"/>
      <c r="S78" s="16"/>
      <c r="T78" s="16"/>
      <c r="U78" s="16"/>
      <c r="V78" s="16"/>
      <c r="W78" s="16"/>
    </row>
    <row r="79" customFormat="false" ht="13.5" hidden="false" customHeight="false" outlineLevel="0" collapsed="false">
      <c r="A79" s="16"/>
      <c r="B79" s="16"/>
      <c r="C79" s="16"/>
      <c r="D79" s="16"/>
      <c r="E79" s="16"/>
      <c r="F79" s="16"/>
      <c r="G79" s="16"/>
      <c r="H79" s="16"/>
      <c r="I79" s="16"/>
      <c r="J79" s="16"/>
      <c r="K79" s="16"/>
      <c r="L79" s="16"/>
      <c r="M79" s="16"/>
      <c r="N79" s="16"/>
      <c r="O79" s="16"/>
      <c r="P79" s="16"/>
      <c r="Q79" s="16"/>
      <c r="R79" s="16"/>
      <c r="S79" s="16"/>
      <c r="T79" s="16"/>
      <c r="U79" s="16"/>
      <c r="V79" s="16"/>
      <c r="W79" s="16"/>
    </row>
    <row r="80" customFormat="false" ht="13.5" hidden="false" customHeight="false" outlineLevel="0" collapsed="false">
      <c r="A80" s="16"/>
      <c r="B80" s="16"/>
      <c r="C80" s="16"/>
      <c r="D80" s="16"/>
      <c r="E80" s="16"/>
      <c r="F80" s="16"/>
      <c r="G80" s="16"/>
      <c r="H80" s="16"/>
      <c r="I80" s="16"/>
      <c r="J80" s="16"/>
      <c r="K80" s="16"/>
      <c r="L80" s="16"/>
      <c r="M80" s="16"/>
      <c r="N80" s="16"/>
      <c r="O80" s="16"/>
      <c r="P80" s="16"/>
      <c r="Q80" s="16"/>
      <c r="R80" s="16"/>
      <c r="S80" s="16"/>
      <c r="T80" s="16"/>
      <c r="U80" s="16"/>
      <c r="V80" s="16"/>
      <c r="W80" s="16"/>
    </row>
    <row r="81" customFormat="false" ht="13.5" hidden="false" customHeight="false" outlineLevel="0" collapsed="false">
      <c r="A81" s="16"/>
      <c r="B81" s="16"/>
      <c r="C81" s="16"/>
      <c r="D81" s="16"/>
      <c r="E81" s="16"/>
      <c r="F81" s="16"/>
      <c r="G81" s="16"/>
      <c r="H81" s="16"/>
      <c r="I81" s="16"/>
      <c r="J81" s="16"/>
      <c r="K81" s="16"/>
      <c r="L81" s="16"/>
      <c r="M81" s="16"/>
      <c r="N81" s="16"/>
      <c r="O81" s="16"/>
      <c r="P81" s="16"/>
      <c r="Q81" s="16"/>
      <c r="R81" s="16"/>
      <c r="S81" s="16"/>
      <c r="T81" s="16"/>
      <c r="U81" s="16"/>
      <c r="V81" s="16"/>
      <c r="W81" s="1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A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8.6796875" defaultRowHeight="13.5" zeroHeight="false" outlineLevelRow="0" outlineLevelCol="0"/>
  <cols>
    <col collapsed="false" customWidth="true" hidden="false" outlineLevel="0" max="1" min="1" style="0" width="21"/>
    <col collapsed="false" customWidth="true" hidden="false" outlineLevel="0" max="2" min="2" style="0" width="10"/>
    <col collapsed="false" customWidth="true" hidden="false" outlineLevel="0" max="3" min="3" style="0" width="21"/>
    <col collapsed="false" customWidth="true" hidden="false" outlineLevel="0" max="4" min="4" style="0" width="37"/>
    <col collapsed="false" customWidth="true" hidden="false" outlineLevel="0" max="5" min="5" style="0" width="23"/>
    <col collapsed="false" customWidth="true" hidden="false" outlineLevel="0" max="6" min="6" style="0" width="24"/>
    <col collapsed="false" customWidth="true" hidden="false" outlineLevel="0" max="9" min="7" style="0" width="17"/>
    <col collapsed="false" customWidth="true" hidden="false" outlineLevel="0" max="10" min="10" style="0" width="13"/>
    <col collapsed="false" customWidth="true" hidden="false" outlineLevel="0" max="12" min="11" style="0" width="12"/>
    <col collapsed="false" customWidth="true" hidden="false" outlineLevel="0" max="26" min="13" style="0" width="22"/>
    <col collapsed="false" customWidth="true" hidden="false" outlineLevel="0" max="27" min="27" style="0" width="26"/>
  </cols>
  <sheetData>
    <row r="2" customFormat="false" ht="17.25" hidden="false" customHeight="true" outlineLevel="0" collapsed="false">
      <c r="A2" s="1" t="s">
        <v>2930</v>
      </c>
    </row>
    <row r="4" customFormat="false" ht="33.75" hidden="false" customHeight="true" outlineLevel="0" collapsed="false">
      <c r="A4" s="2" t="s">
        <v>2931</v>
      </c>
      <c r="B4" s="2" t="s">
        <v>2665</v>
      </c>
      <c r="C4" s="2" t="s">
        <v>2729</v>
      </c>
      <c r="D4" s="2" t="s">
        <v>2932</v>
      </c>
      <c r="E4" s="2" t="s">
        <v>2933</v>
      </c>
      <c r="F4" s="2" t="s">
        <v>2934</v>
      </c>
      <c r="G4" s="2" t="s">
        <v>2935</v>
      </c>
      <c r="H4" s="2" t="s">
        <v>2936</v>
      </c>
      <c r="I4" s="2" t="s">
        <v>2937</v>
      </c>
      <c r="J4" s="2" t="s">
        <v>2938</v>
      </c>
      <c r="K4" s="2" t="s">
        <v>2939</v>
      </c>
      <c r="L4" s="2" t="s">
        <v>2940</v>
      </c>
      <c r="M4" s="2" t="s">
        <v>2941</v>
      </c>
      <c r="N4" s="2" t="s">
        <v>2942</v>
      </c>
      <c r="O4" s="2" t="s">
        <v>2112</v>
      </c>
      <c r="P4" s="2" t="s">
        <v>2943</v>
      </c>
      <c r="Q4" s="2" t="s">
        <v>2944</v>
      </c>
      <c r="R4" s="2" t="s">
        <v>2945</v>
      </c>
      <c r="S4" s="2" t="s">
        <v>2946</v>
      </c>
      <c r="T4" s="2" t="s">
        <v>2947</v>
      </c>
      <c r="U4" s="2" t="s">
        <v>2948</v>
      </c>
      <c r="V4" s="2" t="s">
        <v>2949</v>
      </c>
      <c r="W4" s="2" t="s">
        <v>2950</v>
      </c>
      <c r="X4" s="2" t="s">
        <v>2951</v>
      </c>
      <c r="Y4" s="2" t="s">
        <v>2952</v>
      </c>
      <c r="Z4" s="2" t="s">
        <v>2953</v>
      </c>
      <c r="AA4" s="40" t="s">
        <v>2954</v>
      </c>
    </row>
    <row r="5" customFormat="false" ht="25.5" hidden="false" customHeight="true" outlineLevel="0" collapsed="false">
      <c r="A5" s="82" t="s">
        <v>2955</v>
      </c>
      <c r="B5" s="82" t="s">
        <v>2666</v>
      </c>
      <c r="C5" s="82" t="s">
        <v>1977</v>
      </c>
      <c r="D5" s="82" t="s">
        <v>2732</v>
      </c>
      <c r="E5" s="82" t="s">
        <v>2956</v>
      </c>
      <c r="F5" s="87" t="n">
        <v>331691162</v>
      </c>
      <c r="G5" s="84" t="n">
        <v>46023</v>
      </c>
      <c r="H5" s="84" t="n">
        <v>46068</v>
      </c>
      <c r="I5" s="84" t="n">
        <v>46090</v>
      </c>
      <c r="J5" s="82" t="n">
        <v>45</v>
      </c>
      <c r="K5" s="82" t="s">
        <v>2704</v>
      </c>
      <c r="L5" s="82" t="s">
        <v>2957</v>
      </c>
      <c r="M5" s="3" t="n">
        <f aca="false">IF(AND(G5&lt;=D_F01!$B$7,OR(NOT(ISNUMBER(I5)),I5&gt;D_F01!$B$7),L5&lt;&gt;"cancelled"),1,0)</f>
        <v>0</v>
      </c>
      <c r="N5" s="32" t="n">
        <f aca="false">F5*M5</f>
        <v>0</v>
      </c>
      <c r="O5" s="3" t="n">
        <f aca="false">IF(M5=1,MAX(0,D_F01!$B$7-H5),0)</f>
        <v>0</v>
      </c>
      <c r="P5" s="3" t="n">
        <f aca="false">IF(AND(ISNUMBER(I5),I5&lt;=D_F01!$B$7),I5-H5,0)</f>
        <v>22</v>
      </c>
      <c r="Q5" s="3" t="n">
        <f aca="false">MAX(0,P5)</f>
        <v>22</v>
      </c>
      <c r="R5" s="3" t="n">
        <f aca="false">IF(AND(ISNUMBER(I5),I5&gt;D_F01!$B$7-D_F01!$B$25,I5&lt;=D_F01!$B$7),1,0)</f>
        <v>1</v>
      </c>
      <c r="S5" s="3" t="n">
        <f aca="false">R5*F5*Q5</f>
        <v>7297205564</v>
      </c>
      <c r="T5" s="3" t="n">
        <f aca="false">R5*F5</f>
        <v>331691162</v>
      </c>
      <c r="U5" s="3" t="n">
        <f aca="false">IF(AND(H5&gt;D_F01!$B$7-D_F01!$B$25,H5&lt;=D_F01!$B$7),IF(M5=1,O5,Q5),0)</f>
        <v>22</v>
      </c>
      <c r="V5" s="3" t="n">
        <f aca="false">F5*W5</f>
        <v>331691162</v>
      </c>
      <c r="W5" s="3" t="n">
        <f aca="false">IF(AND(H5&gt;D_F01!$B$7-D_F01!$B$25,H5&lt;=D_F01!$B$7,L5&lt;&gt;"cancelled"),1,0)</f>
        <v>1</v>
      </c>
      <c r="X5" s="3" t="n">
        <f aca="false">V5*U5</f>
        <v>7297205564</v>
      </c>
      <c r="Y5" s="3" t="n">
        <f aca="false">M5*W5</f>
        <v>0</v>
      </c>
      <c r="Z5" s="3" t="n">
        <f aca="false">R5*F5*P5</f>
        <v>7297205564</v>
      </c>
      <c r="AA5" s="42" t="n">
        <f aca="false">T5*J5</f>
        <v>14926102290</v>
      </c>
    </row>
    <row r="6" customFormat="false" ht="25.5" hidden="false" customHeight="true" outlineLevel="0" collapsed="false">
      <c r="A6" s="89" t="s">
        <v>2958</v>
      </c>
      <c r="B6" s="89" t="s">
        <v>2666</v>
      </c>
      <c r="C6" s="89" t="s">
        <v>1979</v>
      </c>
      <c r="D6" s="89" t="s">
        <v>2736</v>
      </c>
      <c r="E6" s="89" t="s">
        <v>2959</v>
      </c>
      <c r="F6" s="88" t="n">
        <v>478356759</v>
      </c>
      <c r="G6" s="83" t="n">
        <v>46023</v>
      </c>
      <c r="H6" s="83" t="n">
        <v>46053</v>
      </c>
      <c r="I6" s="83" t="n">
        <v>46063</v>
      </c>
      <c r="J6" s="89" t="n">
        <v>30</v>
      </c>
      <c r="K6" s="89" t="s">
        <v>2704</v>
      </c>
      <c r="L6" s="89" t="s">
        <v>2957</v>
      </c>
      <c r="M6" s="4" t="n">
        <f aca="false">IF(AND(G6&lt;=D_F01!$B$7,OR(NOT(ISNUMBER(I6)),I6&gt;D_F01!$B$7),L6&lt;&gt;"cancelled"),1,0)</f>
        <v>0</v>
      </c>
      <c r="N6" s="33" t="n">
        <f aca="false">F6*M6</f>
        <v>0</v>
      </c>
      <c r="O6" s="4" t="n">
        <f aca="false">IF(M6=1,MAX(0,D_F01!$B$7-H6),0)</f>
        <v>0</v>
      </c>
      <c r="P6" s="4" t="n">
        <f aca="false">IF(AND(ISNUMBER(I6),I6&lt;=D_F01!$B$7),I6-H6,0)</f>
        <v>10</v>
      </c>
      <c r="Q6" s="4" t="n">
        <f aca="false">MAX(0,P6)</f>
        <v>10</v>
      </c>
      <c r="R6" s="4" t="n">
        <f aca="false">IF(AND(ISNUMBER(I6),I6&gt;D_F01!$B$7-D_F01!$B$25,I6&lt;=D_F01!$B$7),1,0)</f>
        <v>1</v>
      </c>
      <c r="S6" s="4" t="n">
        <f aca="false">R6*F6*Q6</f>
        <v>4783567590</v>
      </c>
      <c r="T6" s="4" t="n">
        <f aca="false">R6*F6</f>
        <v>478356759</v>
      </c>
      <c r="U6" s="4" t="n">
        <f aca="false">IF(AND(H6&gt;D_F01!$B$7-D_F01!$B$25,H6&lt;=D_F01!$B$7),IF(M6=1,O6,Q6),0)</f>
        <v>10</v>
      </c>
      <c r="V6" s="4" t="n">
        <f aca="false">F6*W6</f>
        <v>478356759</v>
      </c>
      <c r="W6" s="4" t="n">
        <f aca="false">IF(AND(H6&gt;D_F01!$B$7-D_F01!$B$25,H6&lt;=D_F01!$B$7,L6&lt;&gt;"cancelled"),1,0)</f>
        <v>1</v>
      </c>
      <c r="X6" s="4" t="n">
        <f aca="false">V6*U6</f>
        <v>4783567590</v>
      </c>
      <c r="Y6" s="4" t="n">
        <f aca="false">M6*W6</f>
        <v>0</v>
      </c>
      <c r="Z6" s="4" t="n">
        <f aca="false">R6*F6*P6</f>
        <v>4783567590</v>
      </c>
      <c r="AA6" s="42" t="n">
        <f aca="false">T6*J6</f>
        <v>14350702770</v>
      </c>
    </row>
    <row r="7" customFormat="false" ht="25.5" hidden="false" customHeight="true" outlineLevel="0" collapsed="false">
      <c r="A7" s="82" t="s">
        <v>2960</v>
      </c>
      <c r="B7" s="82" t="s">
        <v>2666</v>
      </c>
      <c r="C7" s="82" t="s">
        <v>1981</v>
      </c>
      <c r="D7" s="82" t="s">
        <v>2738</v>
      </c>
      <c r="E7" s="82" t="s">
        <v>2961</v>
      </c>
      <c r="F7" s="87" t="n">
        <v>464147352</v>
      </c>
      <c r="G7" s="84" t="n">
        <v>46023</v>
      </c>
      <c r="H7" s="84" t="n">
        <v>46053</v>
      </c>
      <c r="I7" s="84" t="n">
        <v>46056</v>
      </c>
      <c r="J7" s="82" t="n">
        <v>30</v>
      </c>
      <c r="K7" s="82" t="s">
        <v>2704</v>
      </c>
      <c r="L7" s="82" t="s">
        <v>2957</v>
      </c>
      <c r="M7" s="3" t="n">
        <f aca="false">IF(AND(G7&lt;=D_F01!$B$7,OR(NOT(ISNUMBER(I7)),I7&gt;D_F01!$B$7),L7&lt;&gt;"cancelled"),1,0)</f>
        <v>0</v>
      </c>
      <c r="N7" s="32" t="n">
        <f aca="false">F7*M7</f>
        <v>0</v>
      </c>
      <c r="O7" s="3" t="n">
        <f aca="false">IF(M7=1,MAX(0,D_F01!$B$7-H7),0)</f>
        <v>0</v>
      </c>
      <c r="P7" s="3" t="n">
        <f aca="false">IF(AND(ISNUMBER(I7),I7&lt;=D_F01!$B$7),I7-H7,0)</f>
        <v>3</v>
      </c>
      <c r="Q7" s="3" t="n">
        <f aca="false">MAX(0,P7)</f>
        <v>3</v>
      </c>
      <c r="R7" s="3" t="n">
        <f aca="false">IF(AND(ISNUMBER(I7),I7&gt;D_F01!$B$7-D_F01!$B$25,I7&lt;=D_F01!$B$7),1,0)</f>
        <v>1</v>
      </c>
      <c r="S7" s="3" t="n">
        <f aca="false">R7*F7*Q7</f>
        <v>1392442056</v>
      </c>
      <c r="T7" s="3" t="n">
        <f aca="false">R7*F7</f>
        <v>464147352</v>
      </c>
      <c r="U7" s="3" t="n">
        <f aca="false">IF(AND(H7&gt;D_F01!$B$7-D_F01!$B$25,H7&lt;=D_F01!$B$7),IF(M7=1,O7,Q7),0)</f>
        <v>3</v>
      </c>
      <c r="V7" s="3" t="n">
        <f aca="false">F7*W7</f>
        <v>464147352</v>
      </c>
      <c r="W7" s="3" t="n">
        <f aca="false">IF(AND(H7&gt;D_F01!$B$7-D_F01!$B$25,H7&lt;=D_F01!$B$7,L7&lt;&gt;"cancelled"),1,0)</f>
        <v>1</v>
      </c>
      <c r="X7" s="3" t="n">
        <f aca="false">V7*U7</f>
        <v>1392442056</v>
      </c>
      <c r="Y7" s="3" t="n">
        <f aca="false">M7*W7</f>
        <v>0</v>
      </c>
      <c r="Z7" s="3" t="n">
        <f aca="false">R7*F7*P7</f>
        <v>1392442056</v>
      </c>
      <c r="AA7" s="42" t="n">
        <f aca="false">T7*J7</f>
        <v>13924420560</v>
      </c>
    </row>
    <row r="8" customFormat="false" ht="25.5" hidden="false" customHeight="true" outlineLevel="0" collapsed="false">
      <c r="A8" s="89" t="s">
        <v>2962</v>
      </c>
      <c r="B8" s="89" t="s">
        <v>2666</v>
      </c>
      <c r="C8" s="89" t="s">
        <v>1985</v>
      </c>
      <c r="D8" s="89" t="s">
        <v>2742</v>
      </c>
      <c r="E8" s="89" t="s">
        <v>2963</v>
      </c>
      <c r="F8" s="88" t="n">
        <v>192744810</v>
      </c>
      <c r="G8" s="83" t="n">
        <v>46023</v>
      </c>
      <c r="H8" s="83" t="n">
        <v>46053</v>
      </c>
      <c r="I8" s="83" t="n">
        <v>46052</v>
      </c>
      <c r="J8" s="89" t="n">
        <v>30</v>
      </c>
      <c r="K8" s="89" t="s">
        <v>2704</v>
      </c>
      <c r="L8" s="89" t="s">
        <v>2957</v>
      </c>
      <c r="M8" s="4" t="n">
        <f aca="false">IF(AND(G8&lt;=D_F01!$B$7,OR(NOT(ISNUMBER(I8)),I8&gt;D_F01!$B$7),L8&lt;&gt;"cancelled"),1,0)</f>
        <v>0</v>
      </c>
      <c r="N8" s="33" t="n">
        <f aca="false">F8*M8</f>
        <v>0</v>
      </c>
      <c r="O8" s="4" t="n">
        <f aca="false">IF(M8=1,MAX(0,D_F01!$B$7-H8),0)</f>
        <v>0</v>
      </c>
      <c r="P8" s="4" t="n">
        <f aca="false">IF(AND(ISNUMBER(I8),I8&lt;=D_F01!$B$7),I8-H8,0)</f>
        <v>-1</v>
      </c>
      <c r="Q8" s="4" t="n">
        <f aca="false">MAX(0,P8)</f>
        <v>0</v>
      </c>
      <c r="R8" s="4" t="n">
        <f aca="false">IF(AND(ISNUMBER(I8),I8&gt;D_F01!$B$7-D_F01!$B$25,I8&lt;=D_F01!$B$7),1,0)</f>
        <v>1</v>
      </c>
      <c r="S8" s="4" t="n">
        <f aca="false">R8*F8*Q8</f>
        <v>0</v>
      </c>
      <c r="T8" s="4" t="n">
        <f aca="false">R8*F8</f>
        <v>192744810</v>
      </c>
      <c r="U8" s="4" t="n">
        <f aca="false">IF(AND(H8&gt;D_F01!$B$7-D_F01!$B$25,H8&lt;=D_F01!$B$7),IF(M8=1,O8,Q8),0)</f>
        <v>0</v>
      </c>
      <c r="V8" s="4" t="n">
        <f aca="false">F8*W8</f>
        <v>192744810</v>
      </c>
      <c r="W8" s="4" t="n">
        <f aca="false">IF(AND(H8&gt;D_F01!$B$7-D_F01!$B$25,H8&lt;=D_F01!$B$7,L8&lt;&gt;"cancelled"),1,0)</f>
        <v>1</v>
      </c>
      <c r="X8" s="4" t="n">
        <f aca="false">V8*U8</f>
        <v>0</v>
      </c>
      <c r="Y8" s="4" t="n">
        <f aca="false">M8*W8</f>
        <v>0</v>
      </c>
      <c r="Z8" s="4" t="n">
        <f aca="false">R8*F8*P8</f>
        <v>-192744810</v>
      </c>
      <c r="AA8" s="42" t="n">
        <f aca="false">T8*J8</f>
        <v>5782344300</v>
      </c>
    </row>
    <row r="9" customFormat="false" ht="25.5" hidden="false" customHeight="true" outlineLevel="0" collapsed="false">
      <c r="A9" s="82" t="s">
        <v>2964</v>
      </c>
      <c r="B9" s="82" t="s">
        <v>2666</v>
      </c>
      <c r="C9" s="82" t="s">
        <v>1979</v>
      </c>
      <c r="D9" s="82" t="s">
        <v>2736</v>
      </c>
      <c r="E9" s="82" t="s">
        <v>2959</v>
      </c>
      <c r="F9" s="87" t="n">
        <v>389773829</v>
      </c>
      <c r="G9" s="84" t="n">
        <v>46023</v>
      </c>
      <c r="H9" s="84" t="n">
        <v>46053</v>
      </c>
      <c r="I9" s="84" t="n">
        <v>46057</v>
      </c>
      <c r="J9" s="82" t="n">
        <v>30</v>
      </c>
      <c r="K9" s="82" t="s">
        <v>2704</v>
      </c>
      <c r="L9" s="82" t="s">
        <v>2957</v>
      </c>
      <c r="M9" s="3" t="n">
        <f aca="false">IF(AND(G9&lt;=D_F01!$B$7,OR(NOT(ISNUMBER(I9)),I9&gt;D_F01!$B$7),L9&lt;&gt;"cancelled"),1,0)</f>
        <v>0</v>
      </c>
      <c r="N9" s="32" t="n">
        <f aca="false">F9*M9</f>
        <v>0</v>
      </c>
      <c r="O9" s="3" t="n">
        <f aca="false">IF(M9=1,MAX(0,D_F01!$B$7-H9),0)</f>
        <v>0</v>
      </c>
      <c r="P9" s="3" t="n">
        <f aca="false">IF(AND(ISNUMBER(I9),I9&lt;=D_F01!$B$7),I9-H9,0)</f>
        <v>4</v>
      </c>
      <c r="Q9" s="3" t="n">
        <f aca="false">MAX(0,P9)</f>
        <v>4</v>
      </c>
      <c r="R9" s="3" t="n">
        <f aca="false">IF(AND(ISNUMBER(I9),I9&gt;D_F01!$B$7-D_F01!$B$25,I9&lt;=D_F01!$B$7),1,0)</f>
        <v>1</v>
      </c>
      <c r="S9" s="3" t="n">
        <f aca="false">R9*F9*Q9</f>
        <v>1559095316</v>
      </c>
      <c r="T9" s="3" t="n">
        <f aca="false">R9*F9</f>
        <v>389773829</v>
      </c>
      <c r="U9" s="3" t="n">
        <f aca="false">IF(AND(H9&gt;D_F01!$B$7-D_F01!$B$25,H9&lt;=D_F01!$B$7),IF(M9=1,O9,Q9),0)</f>
        <v>4</v>
      </c>
      <c r="V9" s="3" t="n">
        <f aca="false">F9*W9</f>
        <v>389773829</v>
      </c>
      <c r="W9" s="3" t="n">
        <f aca="false">IF(AND(H9&gt;D_F01!$B$7-D_F01!$B$25,H9&lt;=D_F01!$B$7,L9&lt;&gt;"cancelled"),1,0)</f>
        <v>1</v>
      </c>
      <c r="X9" s="3" t="n">
        <f aca="false">V9*U9</f>
        <v>1559095316</v>
      </c>
      <c r="Y9" s="3" t="n">
        <f aca="false">M9*W9</f>
        <v>0</v>
      </c>
      <c r="Z9" s="3" t="n">
        <f aca="false">R9*F9*P9</f>
        <v>1559095316</v>
      </c>
      <c r="AA9" s="42" t="n">
        <f aca="false">T9*J9</f>
        <v>11693214870</v>
      </c>
    </row>
    <row r="10" customFormat="false" ht="25.5" hidden="false" customHeight="true" outlineLevel="0" collapsed="false">
      <c r="A10" s="89" t="s">
        <v>2965</v>
      </c>
      <c r="B10" s="89" t="s">
        <v>2666</v>
      </c>
      <c r="C10" s="89" t="s">
        <v>1984</v>
      </c>
      <c r="D10" s="89" t="s">
        <v>2741</v>
      </c>
      <c r="E10" s="89" t="s">
        <v>2966</v>
      </c>
      <c r="F10" s="88" t="n">
        <v>157165425</v>
      </c>
      <c r="G10" s="83" t="n">
        <v>46023</v>
      </c>
      <c r="H10" s="83" t="n">
        <v>46053</v>
      </c>
      <c r="I10" s="83" t="n">
        <v>46053</v>
      </c>
      <c r="J10" s="89" t="n">
        <v>30</v>
      </c>
      <c r="K10" s="89" t="s">
        <v>2704</v>
      </c>
      <c r="L10" s="89" t="s">
        <v>2957</v>
      </c>
      <c r="M10" s="4" t="n">
        <f aca="false">IF(AND(G10&lt;=D_F01!$B$7,OR(NOT(ISNUMBER(I10)),I10&gt;D_F01!$B$7),L10&lt;&gt;"cancelled"),1,0)</f>
        <v>0</v>
      </c>
      <c r="N10" s="33" t="n">
        <f aca="false">F10*M10</f>
        <v>0</v>
      </c>
      <c r="O10" s="4" t="n">
        <f aca="false">IF(M10=1,MAX(0,D_F01!$B$7-H10),0)</f>
        <v>0</v>
      </c>
      <c r="P10" s="4" t="n">
        <f aca="false">IF(AND(ISNUMBER(I10),I10&lt;=D_F01!$B$7),I10-H10,0)</f>
        <v>0</v>
      </c>
      <c r="Q10" s="4" t="n">
        <f aca="false">MAX(0,P10)</f>
        <v>0</v>
      </c>
      <c r="R10" s="4" t="n">
        <f aca="false">IF(AND(ISNUMBER(I10),I10&gt;D_F01!$B$7-D_F01!$B$25,I10&lt;=D_F01!$B$7),1,0)</f>
        <v>1</v>
      </c>
      <c r="S10" s="4" t="n">
        <f aca="false">R10*F10*Q10</f>
        <v>0</v>
      </c>
      <c r="T10" s="4" t="n">
        <f aca="false">R10*F10</f>
        <v>157165425</v>
      </c>
      <c r="U10" s="4" t="n">
        <f aca="false">IF(AND(H10&gt;D_F01!$B$7-D_F01!$B$25,H10&lt;=D_F01!$B$7),IF(M10=1,O10,Q10),0)</f>
        <v>0</v>
      </c>
      <c r="V10" s="4" t="n">
        <f aca="false">F10*W10</f>
        <v>157165425</v>
      </c>
      <c r="W10" s="4" t="n">
        <f aca="false">IF(AND(H10&gt;D_F01!$B$7-D_F01!$B$25,H10&lt;=D_F01!$B$7,L10&lt;&gt;"cancelled"),1,0)</f>
        <v>1</v>
      </c>
      <c r="X10" s="4" t="n">
        <f aca="false">V10*U10</f>
        <v>0</v>
      </c>
      <c r="Y10" s="4" t="n">
        <f aca="false">M10*W10</f>
        <v>0</v>
      </c>
      <c r="Z10" s="4" t="n">
        <f aca="false">R10*F10*P10</f>
        <v>0</v>
      </c>
      <c r="AA10" s="42" t="n">
        <f aca="false">T10*J10</f>
        <v>4714962750</v>
      </c>
    </row>
    <row r="11" customFormat="false" ht="25.5" hidden="false" customHeight="true" outlineLevel="0" collapsed="false">
      <c r="A11" s="82" t="s">
        <v>2967</v>
      </c>
      <c r="B11" s="82" t="s">
        <v>2666</v>
      </c>
      <c r="C11" s="82" t="s">
        <v>1978</v>
      </c>
      <c r="D11" s="82" t="s">
        <v>2734</v>
      </c>
      <c r="E11" s="82" t="s">
        <v>2968</v>
      </c>
      <c r="F11" s="87" t="n">
        <v>386967703</v>
      </c>
      <c r="G11" s="84" t="n">
        <v>46023</v>
      </c>
      <c r="H11" s="84" t="n">
        <v>46053</v>
      </c>
      <c r="I11" s="84" t="n">
        <v>46055</v>
      </c>
      <c r="J11" s="82" t="n">
        <v>30</v>
      </c>
      <c r="K11" s="82" t="s">
        <v>2704</v>
      </c>
      <c r="L11" s="82" t="s">
        <v>2957</v>
      </c>
      <c r="M11" s="3" t="n">
        <f aca="false">IF(AND(G11&lt;=D_F01!$B$7,OR(NOT(ISNUMBER(I11)),I11&gt;D_F01!$B$7),L11&lt;&gt;"cancelled"),1,0)</f>
        <v>0</v>
      </c>
      <c r="N11" s="32" t="n">
        <f aca="false">F11*M11</f>
        <v>0</v>
      </c>
      <c r="O11" s="3" t="n">
        <f aca="false">IF(M11=1,MAX(0,D_F01!$B$7-H11),0)</f>
        <v>0</v>
      </c>
      <c r="P11" s="3" t="n">
        <f aca="false">IF(AND(ISNUMBER(I11),I11&lt;=D_F01!$B$7),I11-H11,0)</f>
        <v>2</v>
      </c>
      <c r="Q11" s="3" t="n">
        <f aca="false">MAX(0,P11)</f>
        <v>2</v>
      </c>
      <c r="R11" s="3" t="n">
        <f aca="false">IF(AND(ISNUMBER(I11),I11&gt;D_F01!$B$7-D_F01!$B$25,I11&lt;=D_F01!$B$7),1,0)</f>
        <v>1</v>
      </c>
      <c r="S11" s="3" t="n">
        <f aca="false">R11*F11*Q11</f>
        <v>773935406</v>
      </c>
      <c r="T11" s="3" t="n">
        <f aca="false">R11*F11</f>
        <v>386967703</v>
      </c>
      <c r="U11" s="3" t="n">
        <f aca="false">IF(AND(H11&gt;D_F01!$B$7-D_F01!$B$25,H11&lt;=D_F01!$B$7),IF(M11=1,O11,Q11),0)</f>
        <v>2</v>
      </c>
      <c r="V11" s="3" t="n">
        <f aca="false">F11*W11</f>
        <v>386967703</v>
      </c>
      <c r="W11" s="3" t="n">
        <f aca="false">IF(AND(H11&gt;D_F01!$B$7-D_F01!$B$25,H11&lt;=D_F01!$B$7,L11&lt;&gt;"cancelled"),1,0)</f>
        <v>1</v>
      </c>
      <c r="X11" s="3" t="n">
        <f aca="false">V11*U11</f>
        <v>773935406</v>
      </c>
      <c r="Y11" s="3" t="n">
        <f aca="false">M11*W11</f>
        <v>0</v>
      </c>
      <c r="Z11" s="3" t="n">
        <f aca="false">R11*F11*P11</f>
        <v>773935406</v>
      </c>
      <c r="AA11" s="42" t="n">
        <f aca="false">T11*J11</f>
        <v>11609031090</v>
      </c>
    </row>
    <row r="12" customFormat="false" ht="39.75" hidden="false" customHeight="true" outlineLevel="0" collapsed="false">
      <c r="A12" s="89" t="s">
        <v>2969</v>
      </c>
      <c r="B12" s="89" t="s">
        <v>2666</v>
      </c>
      <c r="C12" s="89" t="s">
        <v>1980</v>
      </c>
      <c r="D12" s="89" t="s">
        <v>2737</v>
      </c>
      <c r="E12" s="89" t="s">
        <v>2970</v>
      </c>
      <c r="F12" s="88" t="n">
        <v>2052887369</v>
      </c>
      <c r="G12" s="83" t="n">
        <v>46023</v>
      </c>
      <c r="H12" s="83" t="n">
        <v>46068</v>
      </c>
      <c r="I12" s="83" t="n">
        <v>46071</v>
      </c>
      <c r="J12" s="89" t="n">
        <v>45</v>
      </c>
      <c r="K12" s="89" t="s">
        <v>2704</v>
      </c>
      <c r="L12" s="89" t="s">
        <v>2957</v>
      </c>
      <c r="M12" s="4" t="n">
        <f aca="false">IF(AND(G12&lt;=D_F01!$B$7,OR(NOT(ISNUMBER(I12)),I12&gt;D_F01!$B$7),L12&lt;&gt;"cancelled"),1,0)</f>
        <v>0</v>
      </c>
      <c r="N12" s="33" t="n">
        <f aca="false">F12*M12</f>
        <v>0</v>
      </c>
      <c r="O12" s="4" t="n">
        <f aca="false">IF(M12=1,MAX(0,D_F01!$B$7-H12),0)</f>
        <v>0</v>
      </c>
      <c r="P12" s="4" t="n">
        <f aca="false">IF(AND(ISNUMBER(I12),I12&lt;=D_F01!$B$7),I12-H12,0)</f>
        <v>3</v>
      </c>
      <c r="Q12" s="4" t="n">
        <f aca="false">MAX(0,P12)</f>
        <v>3</v>
      </c>
      <c r="R12" s="4" t="n">
        <f aca="false">IF(AND(ISNUMBER(I12),I12&gt;D_F01!$B$7-D_F01!$B$25,I12&lt;=D_F01!$B$7),1,0)</f>
        <v>1</v>
      </c>
      <c r="S12" s="4" t="n">
        <f aca="false">R12*F12*Q12</f>
        <v>6158662107</v>
      </c>
      <c r="T12" s="4" t="n">
        <f aca="false">R12*F12</f>
        <v>2052887369</v>
      </c>
      <c r="U12" s="4" t="n">
        <f aca="false">IF(AND(H12&gt;D_F01!$B$7-D_F01!$B$25,H12&lt;=D_F01!$B$7),IF(M12=1,O12,Q12),0)</f>
        <v>3</v>
      </c>
      <c r="V12" s="4" t="n">
        <f aca="false">F12*W12</f>
        <v>2052887369</v>
      </c>
      <c r="W12" s="4" t="n">
        <f aca="false">IF(AND(H12&gt;D_F01!$B$7-D_F01!$B$25,H12&lt;=D_F01!$B$7,L12&lt;&gt;"cancelled"),1,0)</f>
        <v>1</v>
      </c>
      <c r="X12" s="4" t="n">
        <f aca="false">V12*U12</f>
        <v>6158662107</v>
      </c>
      <c r="Y12" s="4" t="n">
        <f aca="false">M12*W12</f>
        <v>0</v>
      </c>
      <c r="Z12" s="4" t="n">
        <f aca="false">R12*F12*P12</f>
        <v>6158662107</v>
      </c>
      <c r="AA12" s="42" t="n">
        <f aca="false">T12*J12</f>
        <v>92379931605</v>
      </c>
    </row>
    <row r="13" customFormat="false" ht="25.5" hidden="false" customHeight="true" outlineLevel="0" collapsed="false">
      <c r="A13" s="82" t="s">
        <v>2971</v>
      </c>
      <c r="B13" s="82" t="s">
        <v>2666</v>
      </c>
      <c r="C13" s="82" t="s">
        <v>1982</v>
      </c>
      <c r="D13" s="82" t="s">
        <v>2739</v>
      </c>
      <c r="E13" s="82" t="s">
        <v>2972</v>
      </c>
      <c r="F13" s="87" t="n">
        <v>190695283</v>
      </c>
      <c r="G13" s="84" t="n">
        <v>46028</v>
      </c>
      <c r="H13" s="84" t="n">
        <v>46058</v>
      </c>
      <c r="I13" s="84" t="n">
        <v>46054</v>
      </c>
      <c r="J13" s="82" t="n">
        <v>30</v>
      </c>
      <c r="K13" s="82" t="s">
        <v>2704</v>
      </c>
      <c r="L13" s="82" t="s">
        <v>2957</v>
      </c>
      <c r="M13" s="3" t="n">
        <f aca="false">IF(AND(G13&lt;=D_F01!$B$7,OR(NOT(ISNUMBER(I13)),I13&gt;D_F01!$B$7),L13&lt;&gt;"cancelled"),1,0)</f>
        <v>0</v>
      </c>
      <c r="N13" s="32" t="n">
        <f aca="false">F13*M13</f>
        <v>0</v>
      </c>
      <c r="O13" s="3" t="n">
        <f aca="false">IF(M13=1,MAX(0,D_F01!$B$7-H13),0)</f>
        <v>0</v>
      </c>
      <c r="P13" s="3" t="n">
        <f aca="false">IF(AND(ISNUMBER(I13),I13&lt;=D_F01!$B$7),I13-H13,0)</f>
        <v>-4</v>
      </c>
      <c r="Q13" s="3" t="n">
        <f aca="false">MAX(0,P13)</f>
        <v>0</v>
      </c>
      <c r="R13" s="3" t="n">
        <f aca="false">IF(AND(ISNUMBER(I13),I13&gt;D_F01!$B$7-D_F01!$B$25,I13&lt;=D_F01!$B$7),1,0)</f>
        <v>1</v>
      </c>
      <c r="S13" s="3" t="n">
        <f aca="false">R13*F13*Q13</f>
        <v>0</v>
      </c>
      <c r="T13" s="3" t="n">
        <f aca="false">R13*F13</f>
        <v>190695283</v>
      </c>
      <c r="U13" s="3" t="n">
        <f aca="false">IF(AND(H13&gt;D_F01!$B$7-D_F01!$B$25,H13&lt;=D_F01!$B$7),IF(M13=1,O13,Q13),0)</f>
        <v>0</v>
      </c>
      <c r="V13" s="3" t="n">
        <f aca="false">F13*W13</f>
        <v>190695283</v>
      </c>
      <c r="W13" s="3" t="n">
        <f aca="false">IF(AND(H13&gt;D_F01!$B$7-D_F01!$B$25,H13&lt;=D_F01!$B$7,L13&lt;&gt;"cancelled"),1,0)</f>
        <v>1</v>
      </c>
      <c r="X13" s="3" t="n">
        <f aca="false">V13*U13</f>
        <v>0</v>
      </c>
      <c r="Y13" s="3" t="n">
        <f aca="false">M13*W13</f>
        <v>0</v>
      </c>
      <c r="Z13" s="3" t="n">
        <f aca="false">R13*F13*P13</f>
        <v>-762781132</v>
      </c>
      <c r="AA13" s="42" t="n">
        <f aca="false">T13*J13</f>
        <v>5720858490</v>
      </c>
    </row>
    <row r="14" customFormat="false" ht="25.5" hidden="false" customHeight="true" outlineLevel="0" collapsed="false">
      <c r="A14" s="89" t="s">
        <v>2973</v>
      </c>
      <c r="B14" s="89" t="s">
        <v>2666</v>
      </c>
      <c r="C14" s="89" t="s">
        <v>1978</v>
      </c>
      <c r="D14" s="89" t="s">
        <v>2734</v>
      </c>
      <c r="E14" s="89" t="s">
        <v>2974</v>
      </c>
      <c r="F14" s="88" t="n">
        <v>806035066</v>
      </c>
      <c r="G14" s="83" t="n">
        <v>46029</v>
      </c>
      <c r="H14" s="83" t="n">
        <v>46059</v>
      </c>
      <c r="I14" s="83" t="n">
        <v>46059</v>
      </c>
      <c r="J14" s="89" t="n">
        <v>30</v>
      </c>
      <c r="K14" s="89" t="s">
        <v>2704</v>
      </c>
      <c r="L14" s="89" t="s">
        <v>2957</v>
      </c>
      <c r="M14" s="4" t="n">
        <f aca="false">IF(AND(G14&lt;=D_F01!$B$7,OR(NOT(ISNUMBER(I14)),I14&gt;D_F01!$B$7),L14&lt;&gt;"cancelled"),1,0)</f>
        <v>0</v>
      </c>
      <c r="N14" s="33" t="n">
        <f aca="false">F14*M14</f>
        <v>0</v>
      </c>
      <c r="O14" s="4" t="n">
        <f aca="false">IF(M14=1,MAX(0,D_F01!$B$7-H14),0)</f>
        <v>0</v>
      </c>
      <c r="P14" s="4" t="n">
        <f aca="false">IF(AND(ISNUMBER(I14),I14&lt;=D_F01!$B$7),I14-H14,0)</f>
        <v>0</v>
      </c>
      <c r="Q14" s="4" t="n">
        <f aca="false">MAX(0,P14)</f>
        <v>0</v>
      </c>
      <c r="R14" s="4" t="n">
        <f aca="false">IF(AND(ISNUMBER(I14),I14&gt;D_F01!$B$7-D_F01!$B$25,I14&lt;=D_F01!$B$7),1,0)</f>
        <v>1</v>
      </c>
      <c r="S14" s="4" t="n">
        <f aca="false">R14*F14*Q14</f>
        <v>0</v>
      </c>
      <c r="T14" s="4" t="n">
        <f aca="false">R14*F14</f>
        <v>806035066</v>
      </c>
      <c r="U14" s="4" t="n">
        <f aca="false">IF(AND(H14&gt;D_F01!$B$7-D_F01!$B$25,H14&lt;=D_F01!$B$7),IF(M14=1,O14,Q14),0)</f>
        <v>0</v>
      </c>
      <c r="V14" s="4" t="n">
        <f aca="false">F14*W14</f>
        <v>806035066</v>
      </c>
      <c r="W14" s="4" t="n">
        <f aca="false">IF(AND(H14&gt;D_F01!$B$7-D_F01!$B$25,H14&lt;=D_F01!$B$7,L14&lt;&gt;"cancelled"),1,0)</f>
        <v>1</v>
      </c>
      <c r="X14" s="4" t="n">
        <f aca="false">V14*U14</f>
        <v>0</v>
      </c>
      <c r="Y14" s="4" t="n">
        <f aca="false">M14*W14</f>
        <v>0</v>
      </c>
      <c r="Z14" s="4" t="n">
        <f aca="false">R14*F14*P14</f>
        <v>0</v>
      </c>
      <c r="AA14" s="42" t="n">
        <f aca="false">T14*J14</f>
        <v>24181051980</v>
      </c>
    </row>
    <row r="15" customFormat="false" ht="25.5" hidden="false" customHeight="true" outlineLevel="0" collapsed="false">
      <c r="A15" s="82" t="s">
        <v>2975</v>
      </c>
      <c r="B15" s="82" t="s">
        <v>2666</v>
      </c>
      <c r="C15" s="82" t="s">
        <v>1985</v>
      </c>
      <c r="D15" s="82" t="s">
        <v>2742</v>
      </c>
      <c r="E15" s="82" t="s">
        <v>2976</v>
      </c>
      <c r="F15" s="87" t="n">
        <v>126495965</v>
      </c>
      <c r="G15" s="84" t="n">
        <v>46031</v>
      </c>
      <c r="H15" s="84" t="n">
        <v>46061</v>
      </c>
      <c r="I15" s="84" t="n">
        <v>46056</v>
      </c>
      <c r="J15" s="82" t="n">
        <v>30</v>
      </c>
      <c r="K15" s="82" t="s">
        <v>2704</v>
      </c>
      <c r="L15" s="82" t="s">
        <v>2957</v>
      </c>
      <c r="M15" s="3" t="n">
        <f aca="false">IF(AND(G15&lt;=D_F01!$B$7,OR(NOT(ISNUMBER(I15)),I15&gt;D_F01!$B$7),L15&lt;&gt;"cancelled"),1,0)</f>
        <v>0</v>
      </c>
      <c r="N15" s="32" t="n">
        <f aca="false">F15*M15</f>
        <v>0</v>
      </c>
      <c r="O15" s="3" t="n">
        <f aca="false">IF(M15=1,MAX(0,D_F01!$B$7-H15),0)</f>
        <v>0</v>
      </c>
      <c r="P15" s="3" t="n">
        <f aca="false">IF(AND(ISNUMBER(I15),I15&lt;=D_F01!$B$7),I15-H15,0)</f>
        <v>-5</v>
      </c>
      <c r="Q15" s="3" t="n">
        <f aca="false">MAX(0,P15)</f>
        <v>0</v>
      </c>
      <c r="R15" s="3" t="n">
        <f aca="false">IF(AND(ISNUMBER(I15),I15&gt;D_F01!$B$7-D_F01!$B$25,I15&lt;=D_F01!$B$7),1,0)</f>
        <v>1</v>
      </c>
      <c r="S15" s="3" t="n">
        <f aca="false">R15*F15*Q15</f>
        <v>0</v>
      </c>
      <c r="T15" s="3" t="n">
        <f aca="false">R15*F15</f>
        <v>126495965</v>
      </c>
      <c r="U15" s="3" t="n">
        <f aca="false">IF(AND(H15&gt;D_F01!$B$7-D_F01!$B$25,H15&lt;=D_F01!$B$7),IF(M15=1,O15,Q15),0)</f>
        <v>0</v>
      </c>
      <c r="V15" s="3" t="n">
        <f aca="false">F15*W15</f>
        <v>126495965</v>
      </c>
      <c r="W15" s="3" t="n">
        <f aca="false">IF(AND(H15&gt;D_F01!$B$7-D_F01!$B$25,H15&lt;=D_F01!$B$7,L15&lt;&gt;"cancelled"),1,0)</f>
        <v>1</v>
      </c>
      <c r="X15" s="3" t="n">
        <f aca="false">V15*U15</f>
        <v>0</v>
      </c>
      <c r="Y15" s="3" t="n">
        <f aca="false">M15*W15</f>
        <v>0</v>
      </c>
      <c r="Z15" s="3" t="n">
        <f aca="false">R15*F15*P15</f>
        <v>-632479825</v>
      </c>
      <c r="AA15" s="42" t="n">
        <f aca="false">T15*J15</f>
        <v>3794878950</v>
      </c>
    </row>
    <row r="16" customFormat="false" ht="25.5" hidden="false" customHeight="true" outlineLevel="0" collapsed="false">
      <c r="A16" s="89" t="s">
        <v>2977</v>
      </c>
      <c r="B16" s="89" t="s">
        <v>2666</v>
      </c>
      <c r="C16" s="89" t="s">
        <v>1978</v>
      </c>
      <c r="D16" s="89" t="s">
        <v>2734</v>
      </c>
      <c r="E16" s="89" t="s">
        <v>2978</v>
      </c>
      <c r="F16" s="88" t="n">
        <v>536381962</v>
      </c>
      <c r="G16" s="83" t="n">
        <v>46032</v>
      </c>
      <c r="H16" s="83" t="n">
        <v>46062</v>
      </c>
      <c r="I16" s="83" t="n">
        <v>46064</v>
      </c>
      <c r="J16" s="89" t="n">
        <v>30</v>
      </c>
      <c r="K16" s="89" t="s">
        <v>2704</v>
      </c>
      <c r="L16" s="89" t="s">
        <v>2957</v>
      </c>
      <c r="M16" s="4" t="n">
        <f aca="false">IF(AND(G16&lt;=D_F01!$B$7,OR(NOT(ISNUMBER(I16)),I16&gt;D_F01!$B$7),L16&lt;&gt;"cancelled"),1,0)</f>
        <v>0</v>
      </c>
      <c r="N16" s="33" t="n">
        <f aca="false">F16*M16</f>
        <v>0</v>
      </c>
      <c r="O16" s="4" t="n">
        <f aca="false">IF(M16=1,MAX(0,D_F01!$B$7-H16),0)</f>
        <v>0</v>
      </c>
      <c r="P16" s="4" t="n">
        <f aca="false">IF(AND(ISNUMBER(I16),I16&lt;=D_F01!$B$7),I16-H16,0)</f>
        <v>2</v>
      </c>
      <c r="Q16" s="4" t="n">
        <f aca="false">MAX(0,P16)</f>
        <v>2</v>
      </c>
      <c r="R16" s="4" t="n">
        <f aca="false">IF(AND(ISNUMBER(I16),I16&gt;D_F01!$B$7-D_F01!$B$25,I16&lt;=D_F01!$B$7),1,0)</f>
        <v>1</v>
      </c>
      <c r="S16" s="4" t="n">
        <f aca="false">R16*F16*Q16</f>
        <v>1072763924</v>
      </c>
      <c r="T16" s="4" t="n">
        <f aca="false">R16*F16</f>
        <v>536381962</v>
      </c>
      <c r="U16" s="4" t="n">
        <f aca="false">IF(AND(H16&gt;D_F01!$B$7-D_F01!$B$25,H16&lt;=D_F01!$B$7),IF(M16=1,O16,Q16),0)</f>
        <v>2</v>
      </c>
      <c r="V16" s="4" t="n">
        <f aca="false">F16*W16</f>
        <v>536381962</v>
      </c>
      <c r="W16" s="4" t="n">
        <f aca="false">IF(AND(H16&gt;D_F01!$B$7-D_F01!$B$25,H16&lt;=D_F01!$B$7,L16&lt;&gt;"cancelled"),1,0)</f>
        <v>1</v>
      </c>
      <c r="X16" s="4" t="n">
        <f aca="false">V16*U16</f>
        <v>1072763924</v>
      </c>
      <c r="Y16" s="4" t="n">
        <f aca="false">M16*W16</f>
        <v>0</v>
      </c>
      <c r="Z16" s="4" t="n">
        <f aca="false">R16*F16*P16</f>
        <v>1072763924</v>
      </c>
      <c r="AA16" s="42" t="n">
        <f aca="false">T16*J16</f>
        <v>16091458860</v>
      </c>
    </row>
    <row r="17" customFormat="false" ht="25.5" hidden="false" customHeight="true" outlineLevel="0" collapsed="false">
      <c r="A17" s="82" t="s">
        <v>2979</v>
      </c>
      <c r="B17" s="82" t="s">
        <v>2666</v>
      </c>
      <c r="C17" s="82" t="s">
        <v>1977</v>
      </c>
      <c r="D17" s="82" t="s">
        <v>2732</v>
      </c>
      <c r="E17" s="82" t="s">
        <v>2980</v>
      </c>
      <c r="F17" s="87" t="n">
        <v>579824246</v>
      </c>
      <c r="G17" s="84" t="n">
        <v>46035</v>
      </c>
      <c r="H17" s="84" t="n">
        <v>46080</v>
      </c>
      <c r="I17" s="84" t="n">
        <v>46109</v>
      </c>
      <c r="J17" s="82" t="n">
        <v>45</v>
      </c>
      <c r="K17" s="82" t="s">
        <v>2704</v>
      </c>
      <c r="L17" s="82" t="s">
        <v>2957</v>
      </c>
      <c r="M17" s="3" t="n">
        <f aca="false">IF(AND(G17&lt;=D_F01!$B$7,OR(NOT(ISNUMBER(I17)),I17&gt;D_F01!$B$7),L17&lt;&gt;"cancelled"),1,0)</f>
        <v>0</v>
      </c>
      <c r="N17" s="32" t="n">
        <f aca="false">F17*M17</f>
        <v>0</v>
      </c>
      <c r="O17" s="3" t="n">
        <f aca="false">IF(M17=1,MAX(0,D_F01!$B$7-H17),0)</f>
        <v>0</v>
      </c>
      <c r="P17" s="3" t="n">
        <f aca="false">IF(AND(ISNUMBER(I17),I17&lt;=D_F01!$B$7),I17-H17,0)</f>
        <v>29</v>
      </c>
      <c r="Q17" s="3" t="n">
        <f aca="false">MAX(0,P17)</f>
        <v>29</v>
      </c>
      <c r="R17" s="3" t="n">
        <f aca="false">IF(AND(ISNUMBER(I17),I17&gt;D_F01!$B$7-D_F01!$B$25,I17&lt;=D_F01!$B$7),1,0)</f>
        <v>1</v>
      </c>
      <c r="S17" s="3" t="n">
        <f aca="false">R17*F17*Q17</f>
        <v>16814903134</v>
      </c>
      <c r="T17" s="3" t="n">
        <f aca="false">R17*F17</f>
        <v>579824246</v>
      </c>
      <c r="U17" s="3" t="n">
        <f aca="false">IF(AND(H17&gt;D_F01!$B$7-D_F01!$B$25,H17&lt;=D_F01!$B$7),IF(M17=1,O17,Q17),0)</f>
        <v>29</v>
      </c>
      <c r="V17" s="3" t="n">
        <f aca="false">F17*W17</f>
        <v>579824246</v>
      </c>
      <c r="W17" s="3" t="n">
        <f aca="false">IF(AND(H17&gt;D_F01!$B$7-D_F01!$B$25,H17&lt;=D_F01!$B$7,L17&lt;&gt;"cancelled"),1,0)</f>
        <v>1</v>
      </c>
      <c r="X17" s="3" t="n">
        <f aca="false">V17*U17</f>
        <v>16814903134</v>
      </c>
      <c r="Y17" s="3" t="n">
        <f aca="false">M17*W17</f>
        <v>0</v>
      </c>
      <c r="Z17" s="3" t="n">
        <f aca="false">R17*F17*P17</f>
        <v>16814903134</v>
      </c>
      <c r="AA17" s="42" t="n">
        <f aca="false">T17*J17</f>
        <v>26092091070</v>
      </c>
    </row>
    <row r="18" customFormat="false" ht="25.5" hidden="false" customHeight="true" outlineLevel="0" collapsed="false">
      <c r="A18" s="89" t="s">
        <v>2981</v>
      </c>
      <c r="B18" s="89" t="s">
        <v>2666</v>
      </c>
      <c r="C18" s="89" t="s">
        <v>1977</v>
      </c>
      <c r="D18" s="89" t="s">
        <v>2732</v>
      </c>
      <c r="E18" s="89" t="s">
        <v>2982</v>
      </c>
      <c r="F18" s="88" t="n">
        <v>417439235</v>
      </c>
      <c r="G18" s="83" t="n">
        <v>46036</v>
      </c>
      <c r="H18" s="83" t="n">
        <v>46081</v>
      </c>
      <c r="I18" s="83" t="n">
        <v>46099</v>
      </c>
      <c r="J18" s="89" t="n">
        <v>45</v>
      </c>
      <c r="K18" s="89" t="s">
        <v>2704</v>
      </c>
      <c r="L18" s="89" t="s">
        <v>2957</v>
      </c>
      <c r="M18" s="4" t="n">
        <f aca="false">IF(AND(G18&lt;=D_F01!$B$7,OR(NOT(ISNUMBER(I18)),I18&gt;D_F01!$B$7),L18&lt;&gt;"cancelled"),1,0)</f>
        <v>0</v>
      </c>
      <c r="N18" s="33" t="n">
        <f aca="false">F18*M18</f>
        <v>0</v>
      </c>
      <c r="O18" s="4" t="n">
        <f aca="false">IF(M18=1,MAX(0,D_F01!$B$7-H18),0)</f>
        <v>0</v>
      </c>
      <c r="P18" s="4" t="n">
        <f aca="false">IF(AND(ISNUMBER(I18),I18&lt;=D_F01!$B$7),I18-H18,0)</f>
        <v>18</v>
      </c>
      <c r="Q18" s="4" t="n">
        <f aca="false">MAX(0,P18)</f>
        <v>18</v>
      </c>
      <c r="R18" s="4" t="n">
        <f aca="false">IF(AND(ISNUMBER(I18),I18&gt;D_F01!$B$7-D_F01!$B$25,I18&lt;=D_F01!$B$7),1,0)</f>
        <v>1</v>
      </c>
      <c r="S18" s="4" t="n">
        <f aca="false">R18*F18*Q18</f>
        <v>7513906230</v>
      </c>
      <c r="T18" s="4" t="n">
        <f aca="false">R18*F18</f>
        <v>417439235</v>
      </c>
      <c r="U18" s="4" t="n">
        <f aca="false">IF(AND(H18&gt;D_F01!$B$7-D_F01!$B$25,H18&lt;=D_F01!$B$7),IF(M18=1,O18,Q18),0)</f>
        <v>18</v>
      </c>
      <c r="V18" s="4" t="n">
        <f aca="false">F18*W18</f>
        <v>417439235</v>
      </c>
      <c r="W18" s="4" t="n">
        <f aca="false">IF(AND(H18&gt;D_F01!$B$7-D_F01!$B$25,H18&lt;=D_F01!$B$7,L18&lt;&gt;"cancelled"),1,0)</f>
        <v>1</v>
      </c>
      <c r="X18" s="4" t="n">
        <f aca="false">V18*U18</f>
        <v>7513906230</v>
      </c>
      <c r="Y18" s="4" t="n">
        <f aca="false">M18*W18</f>
        <v>0</v>
      </c>
      <c r="Z18" s="4" t="n">
        <f aca="false">R18*F18*P18</f>
        <v>7513906230</v>
      </c>
      <c r="AA18" s="42" t="n">
        <f aca="false">T18*J18</f>
        <v>18784765575</v>
      </c>
    </row>
    <row r="19" customFormat="false" ht="25.5" hidden="false" customHeight="true" outlineLevel="0" collapsed="false">
      <c r="A19" s="82" t="s">
        <v>2983</v>
      </c>
      <c r="B19" s="82" t="s">
        <v>2666</v>
      </c>
      <c r="C19" s="82" t="s">
        <v>1981</v>
      </c>
      <c r="D19" s="82" t="s">
        <v>2738</v>
      </c>
      <c r="E19" s="82" t="s">
        <v>2984</v>
      </c>
      <c r="F19" s="87" t="n">
        <v>191803048</v>
      </c>
      <c r="G19" s="84" t="n">
        <v>46039</v>
      </c>
      <c r="H19" s="84" t="n">
        <v>46069</v>
      </c>
      <c r="I19" s="84" t="n">
        <v>46067</v>
      </c>
      <c r="J19" s="82" t="n">
        <v>30</v>
      </c>
      <c r="K19" s="82" t="s">
        <v>2704</v>
      </c>
      <c r="L19" s="82" t="s">
        <v>2957</v>
      </c>
      <c r="M19" s="3" t="n">
        <f aca="false">IF(AND(G19&lt;=D_F01!$B$7,OR(NOT(ISNUMBER(I19)),I19&gt;D_F01!$B$7),L19&lt;&gt;"cancelled"),1,0)</f>
        <v>0</v>
      </c>
      <c r="N19" s="32" t="n">
        <f aca="false">F19*M19</f>
        <v>0</v>
      </c>
      <c r="O19" s="3" t="n">
        <f aca="false">IF(M19=1,MAX(0,D_F01!$B$7-H19),0)</f>
        <v>0</v>
      </c>
      <c r="P19" s="3" t="n">
        <f aca="false">IF(AND(ISNUMBER(I19),I19&lt;=D_F01!$B$7),I19-H19,0)</f>
        <v>-2</v>
      </c>
      <c r="Q19" s="3" t="n">
        <f aca="false">MAX(0,P19)</f>
        <v>0</v>
      </c>
      <c r="R19" s="3" t="n">
        <f aca="false">IF(AND(ISNUMBER(I19),I19&gt;D_F01!$B$7-D_F01!$B$25,I19&lt;=D_F01!$B$7),1,0)</f>
        <v>1</v>
      </c>
      <c r="S19" s="3" t="n">
        <f aca="false">R19*F19*Q19</f>
        <v>0</v>
      </c>
      <c r="T19" s="3" t="n">
        <f aca="false">R19*F19</f>
        <v>191803048</v>
      </c>
      <c r="U19" s="3" t="n">
        <f aca="false">IF(AND(H19&gt;D_F01!$B$7-D_F01!$B$25,H19&lt;=D_F01!$B$7),IF(M19=1,O19,Q19),0)</f>
        <v>0</v>
      </c>
      <c r="V19" s="3" t="n">
        <f aca="false">F19*W19</f>
        <v>191803048</v>
      </c>
      <c r="W19" s="3" t="n">
        <f aca="false">IF(AND(H19&gt;D_F01!$B$7-D_F01!$B$25,H19&lt;=D_F01!$B$7,L19&lt;&gt;"cancelled"),1,0)</f>
        <v>1</v>
      </c>
      <c r="X19" s="3" t="n">
        <f aca="false">V19*U19</f>
        <v>0</v>
      </c>
      <c r="Y19" s="3" t="n">
        <f aca="false">M19*W19</f>
        <v>0</v>
      </c>
      <c r="Z19" s="3" t="n">
        <f aca="false">R19*F19*P19</f>
        <v>-383606096</v>
      </c>
      <c r="AA19" s="42" t="n">
        <f aca="false">T19*J19</f>
        <v>5754091440</v>
      </c>
    </row>
    <row r="20" customFormat="false" ht="25.5" hidden="false" customHeight="true" outlineLevel="0" collapsed="false">
      <c r="A20" s="89" t="s">
        <v>2985</v>
      </c>
      <c r="B20" s="89" t="s">
        <v>2666</v>
      </c>
      <c r="C20" s="89" t="s">
        <v>1979</v>
      </c>
      <c r="D20" s="89" t="s">
        <v>2736</v>
      </c>
      <c r="E20" s="89" t="s">
        <v>2986</v>
      </c>
      <c r="F20" s="88" t="n">
        <v>311642843</v>
      </c>
      <c r="G20" s="83" t="n">
        <v>46040</v>
      </c>
      <c r="H20" s="83" t="n">
        <v>46070</v>
      </c>
      <c r="I20" s="83" t="n">
        <v>46075</v>
      </c>
      <c r="J20" s="89" t="n">
        <v>30</v>
      </c>
      <c r="K20" s="89" t="s">
        <v>2704</v>
      </c>
      <c r="L20" s="89" t="s">
        <v>2957</v>
      </c>
      <c r="M20" s="4" t="n">
        <f aca="false">IF(AND(G20&lt;=D_F01!$B$7,OR(NOT(ISNUMBER(I20)),I20&gt;D_F01!$B$7),L20&lt;&gt;"cancelled"),1,0)</f>
        <v>0</v>
      </c>
      <c r="N20" s="33" t="n">
        <f aca="false">F20*M20</f>
        <v>0</v>
      </c>
      <c r="O20" s="4" t="n">
        <f aca="false">IF(M20=1,MAX(0,D_F01!$B$7-H20),0)</f>
        <v>0</v>
      </c>
      <c r="P20" s="4" t="n">
        <f aca="false">IF(AND(ISNUMBER(I20),I20&lt;=D_F01!$B$7),I20-H20,0)</f>
        <v>5</v>
      </c>
      <c r="Q20" s="4" t="n">
        <f aca="false">MAX(0,P20)</f>
        <v>5</v>
      </c>
      <c r="R20" s="4" t="n">
        <f aca="false">IF(AND(ISNUMBER(I20),I20&gt;D_F01!$B$7-D_F01!$B$25,I20&lt;=D_F01!$B$7),1,0)</f>
        <v>1</v>
      </c>
      <c r="S20" s="4" t="n">
        <f aca="false">R20*F20*Q20</f>
        <v>1558214215</v>
      </c>
      <c r="T20" s="4" t="n">
        <f aca="false">R20*F20</f>
        <v>311642843</v>
      </c>
      <c r="U20" s="4" t="n">
        <f aca="false">IF(AND(H20&gt;D_F01!$B$7-D_F01!$B$25,H20&lt;=D_F01!$B$7),IF(M20=1,O20,Q20),0)</f>
        <v>5</v>
      </c>
      <c r="V20" s="4" t="n">
        <f aca="false">F20*W20</f>
        <v>311642843</v>
      </c>
      <c r="W20" s="4" t="n">
        <f aca="false">IF(AND(H20&gt;D_F01!$B$7-D_F01!$B$25,H20&lt;=D_F01!$B$7,L20&lt;&gt;"cancelled"),1,0)</f>
        <v>1</v>
      </c>
      <c r="X20" s="4" t="n">
        <f aca="false">V20*U20</f>
        <v>1558214215</v>
      </c>
      <c r="Y20" s="4" t="n">
        <f aca="false">M20*W20</f>
        <v>0</v>
      </c>
      <c r="Z20" s="4" t="n">
        <f aca="false">R20*F20*P20</f>
        <v>1558214215</v>
      </c>
      <c r="AA20" s="42" t="n">
        <f aca="false">T20*J20</f>
        <v>9349285290</v>
      </c>
    </row>
    <row r="21" customFormat="false" ht="25.5" hidden="false" customHeight="true" outlineLevel="0" collapsed="false">
      <c r="A21" s="82" t="s">
        <v>2987</v>
      </c>
      <c r="B21" s="82" t="s">
        <v>2666</v>
      </c>
      <c r="C21" s="82" t="s">
        <v>1978</v>
      </c>
      <c r="D21" s="82" t="s">
        <v>2734</v>
      </c>
      <c r="E21" s="82" t="s">
        <v>2988</v>
      </c>
      <c r="F21" s="87" t="n">
        <v>547896976</v>
      </c>
      <c r="G21" s="84" t="n">
        <v>46041</v>
      </c>
      <c r="H21" s="84" t="n">
        <v>46071</v>
      </c>
      <c r="I21" s="84" t="n">
        <v>46076</v>
      </c>
      <c r="J21" s="82" t="n">
        <v>30</v>
      </c>
      <c r="K21" s="82" t="s">
        <v>2704</v>
      </c>
      <c r="L21" s="82" t="s">
        <v>2957</v>
      </c>
      <c r="M21" s="3" t="n">
        <f aca="false">IF(AND(G21&lt;=D_F01!$B$7,OR(NOT(ISNUMBER(I21)),I21&gt;D_F01!$B$7),L21&lt;&gt;"cancelled"),1,0)</f>
        <v>0</v>
      </c>
      <c r="N21" s="32" t="n">
        <f aca="false">F21*M21</f>
        <v>0</v>
      </c>
      <c r="O21" s="3" t="n">
        <f aca="false">IF(M21=1,MAX(0,D_F01!$B$7-H21),0)</f>
        <v>0</v>
      </c>
      <c r="P21" s="3" t="n">
        <f aca="false">IF(AND(ISNUMBER(I21),I21&lt;=D_F01!$B$7),I21-H21,0)</f>
        <v>5</v>
      </c>
      <c r="Q21" s="3" t="n">
        <f aca="false">MAX(0,P21)</f>
        <v>5</v>
      </c>
      <c r="R21" s="3" t="n">
        <f aca="false">IF(AND(ISNUMBER(I21),I21&gt;D_F01!$B$7-D_F01!$B$25,I21&lt;=D_F01!$B$7),1,0)</f>
        <v>1</v>
      </c>
      <c r="S21" s="3" t="n">
        <f aca="false">R21*F21*Q21</f>
        <v>2739484880</v>
      </c>
      <c r="T21" s="3" t="n">
        <f aca="false">R21*F21</f>
        <v>547896976</v>
      </c>
      <c r="U21" s="3" t="n">
        <f aca="false">IF(AND(H21&gt;D_F01!$B$7-D_F01!$B$25,H21&lt;=D_F01!$B$7),IF(M21=1,O21,Q21),0)</f>
        <v>5</v>
      </c>
      <c r="V21" s="3" t="n">
        <f aca="false">F21*W21</f>
        <v>547896976</v>
      </c>
      <c r="W21" s="3" t="n">
        <f aca="false">IF(AND(H21&gt;D_F01!$B$7-D_F01!$B$25,H21&lt;=D_F01!$B$7,L21&lt;&gt;"cancelled"),1,0)</f>
        <v>1</v>
      </c>
      <c r="X21" s="3" t="n">
        <f aca="false">V21*U21</f>
        <v>2739484880</v>
      </c>
      <c r="Y21" s="3" t="n">
        <f aca="false">M21*W21</f>
        <v>0</v>
      </c>
      <c r="Z21" s="3" t="n">
        <f aca="false">R21*F21*P21</f>
        <v>2739484880</v>
      </c>
      <c r="AA21" s="42" t="n">
        <f aca="false">T21*J21</f>
        <v>16436909280</v>
      </c>
    </row>
    <row r="22" customFormat="false" ht="25.5" hidden="false" customHeight="true" outlineLevel="0" collapsed="false">
      <c r="A22" s="89" t="s">
        <v>2989</v>
      </c>
      <c r="B22" s="89" t="s">
        <v>2666</v>
      </c>
      <c r="C22" s="89" t="s">
        <v>1979</v>
      </c>
      <c r="D22" s="89" t="s">
        <v>2736</v>
      </c>
      <c r="E22" s="89" t="s">
        <v>2990</v>
      </c>
      <c r="F22" s="88" t="n">
        <v>332406263</v>
      </c>
      <c r="G22" s="83" t="n">
        <v>46042</v>
      </c>
      <c r="H22" s="83" t="n">
        <v>46072</v>
      </c>
      <c r="I22" s="83" t="n">
        <v>46076</v>
      </c>
      <c r="J22" s="89" t="n">
        <v>30</v>
      </c>
      <c r="K22" s="89" t="s">
        <v>2704</v>
      </c>
      <c r="L22" s="89" t="s">
        <v>2957</v>
      </c>
      <c r="M22" s="4" t="n">
        <f aca="false">IF(AND(G22&lt;=D_F01!$B$7,OR(NOT(ISNUMBER(I22)),I22&gt;D_F01!$B$7),L22&lt;&gt;"cancelled"),1,0)</f>
        <v>0</v>
      </c>
      <c r="N22" s="33" t="n">
        <f aca="false">F22*M22</f>
        <v>0</v>
      </c>
      <c r="O22" s="4" t="n">
        <f aca="false">IF(M22=1,MAX(0,D_F01!$B$7-H22),0)</f>
        <v>0</v>
      </c>
      <c r="P22" s="4" t="n">
        <f aca="false">IF(AND(ISNUMBER(I22),I22&lt;=D_F01!$B$7),I22-H22,0)</f>
        <v>4</v>
      </c>
      <c r="Q22" s="4" t="n">
        <f aca="false">MAX(0,P22)</f>
        <v>4</v>
      </c>
      <c r="R22" s="4" t="n">
        <f aca="false">IF(AND(ISNUMBER(I22),I22&gt;D_F01!$B$7-D_F01!$B$25,I22&lt;=D_F01!$B$7),1,0)</f>
        <v>1</v>
      </c>
      <c r="S22" s="4" t="n">
        <f aca="false">R22*F22*Q22</f>
        <v>1329625052</v>
      </c>
      <c r="T22" s="4" t="n">
        <f aca="false">R22*F22</f>
        <v>332406263</v>
      </c>
      <c r="U22" s="4" t="n">
        <f aca="false">IF(AND(H22&gt;D_F01!$B$7-D_F01!$B$25,H22&lt;=D_F01!$B$7),IF(M22=1,O22,Q22),0)</f>
        <v>4</v>
      </c>
      <c r="V22" s="4" t="n">
        <f aca="false">F22*W22</f>
        <v>332406263</v>
      </c>
      <c r="W22" s="4" t="n">
        <f aca="false">IF(AND(H22&gt;D_F01!$B$7-D_F01!$B$25,H22&lt;=D_F01!$B$7,L22&lt;&gt;"cancelled"),1,0)</f>
        <v>1</v>
      </c>
      <c r="X22" s="4" t="n">
        <f aca="false">V22*U22</f>
        <v>1329625052</v>
      </c>
      <c r="Y22" s="4" t="n">
        <f aca="false">M22*W22</f>
        <v>0</v>
      </c>
      <c r="Z22" s="4" t="n">
        <f aca="false">R22*F22*P22</f>
        <v>1329625052</v>
      </c>
      <c r="AA22" s="42" t="n">
        <f aca="false">T22*J22</f>
        <v>9972187890</v>
      </c>
    </row>
    <row r="23" customFormat="false" ht="25.5" hidden="false" customHeight="true" outlineLevel="0" collapsed="false">
      <c r="A23" s="82" t="s">
        <v>2991</v>
      </c>
      <c r="B23" s="82" t="s">
        <v>2666</v>
      </c>
      <c r="C23" s="82" t="s">
        <v>1981</v>
      </c>
      <c r="D23" s="82" t="s">
        <v>2738</v>
      </c>
      <c r="E23" s="82" t="s">
        <v>2984</v>
      </c>
      <c r="F23" s="87" t="n">
        <v>110910629</v>
      </c>
      <c r="G23" s="84" t="n">
        <v>46044</v>
      </c>
      <c r="H23" s="84" t="n">
        <v>46074</v>
      </c>
      <c r="I23" s="84" t="n">
        <v>46078</v>
      </c>
      <c r="J23" s="82" t="n">
        <v>30</v>
      </c>
      <c r="K23" s="82" t="s">
        <v>2704</v>
      </c>
      <c r="L23" s="82" t="s">
        <v>2957</v>
      </c>
      <c r="M23" s="3" t="n">
        <f aca="false">IF(AND(G23&lt;=D_F01!$B$7,OR(NOT(ISNUMBER(I23)),I23&gt;D_F01!$B$7),L23&lt;&gt;"cancelled"),1,0)</f>
        <v>0</v>
      </c>
      <c r="N23" s="32" t="n">
        <f aca="false">F23*M23</f>
        <v>0</v>
      </c>
      <c r="O23" s="3" t="n">
        <f aca="false">IF(M23=1,MAX(0,D_F01!$B$7-H23),0)</f>
        <v>0</v>
      </c>
      <c r="P23" s="3" t="n">
        <f aca="false">IF(AND(ISNUMBER(I23),I23&lt;=D_F01!$B$7),I23-H23,0)</f>
        <v>4</v>
      </c>
      <c r="Q23" s="3" t="n">
        <f aca="false">MAX(0,P23)</f>
        <v>4</v>
      </c>
      <c r="R23" s="3" t="n">
        <f aca="false">IF(AND(ISNUMBER(I23),I23&gt;D_F01!$B$7-D_F01!$B$25,I23&lt;=D_F01!$B$7),1,0)</f>
        <v>1</v>
      </c>
      <c r="S23" s="3" t="n">
        <f aca="false">R23*F23*Q23</f>
        <v>443642516</v>
      </c>
      <c r="T23" s="3" t="n">
        <f aca="false">R23*F23</f>
        <v>110910629</v>
      </c>
      <c r="U23" s="3" t="n">
        <f aca="false">IF(AND(H23&gt;D_F01!$B$7-D_F01!$B$25,H23&lt;=D_F01!$B$7),IF(M23=1,O23,Q23),0)</f>
        <v>4</v>
      </c>
      <c r="V23" s="3" t="n">
        <f aca="false">F23*W23</f>
        <v>110910629</v>
      </c>
      <c r="W23" s="3" t="n">
        <f aca="false">IF(AND(H23&gt;D_F01!$B$7-D_F01!$B$25,H23&lt;=D_F01!$B$7,L23&lt;&gt;"cancelled"),1,0)</f>
        <v>1</v>
      </c>
      <c r="X23" s="3" t="n">
        <f aca="false">V23*U23</f>
        <v>443642516</v>
      </c>
      <c r="Y23" s="3" t="n">
        <f aca="false">M23*W23</f>
        <v>0</v>
      </c>
      <c r="Z23" s="3" t="n">
        <f aca="false">R23*F23*P23</f>
        <v>443642516</v>
      </c>
      <c r="AA23" s="42" t="n">
        <f aca="false">T23*J23</f>
        <v>3327318870</v>
      </c>
    </row>
    <row r="24" customFormat="false" ht="25.5" hidden="false" customHeight="true" outlineLevel="0" collapsed="false">
      <c r="A24" s="89" t="s">
        <v>2992</v>
      </c>
      <c r="B24" s="89" t="s">
        <v>2666</v>
      </c>
      <c r="C24" s="89" t="s">
        <v>1978</v>
      </c>
      <c r="D24" s="89" t="s">
        <v>2734</v>
      </c>
      <c r="E24" s="89" t="s">
        <v>2993</v>
      </c>
      <c r="F24" s="88" t="n">
        <v>1716739605</v>
      </c>
      <c r="G24" s="83" t="n">
        <v>46047</v>
      </c>
      <c r="H24" s="83" t="n">
        <v>46077</v>
      </c>
      <c r="I24" s="83" t="n">
        <v>46075</v>
      </c>
      <c r="J24" s="89" t="n">
        <v>30</v>
      </c>
      <c r="K24" s="89" t="s">
        <v>2704</v>
      </c>
      <c r="L24" s="89" t="s">
        <v>2957</v>
      </c>
      <c r="M24" s="4" t="n">
        <f aca="false">IF(AND(G24&lt;=D_F01!$B$7,OR(NOT(ISNUMBER(I24)),I24&gt;D_F01!$B$7),L24&lt;&gt;"cancelled"),1,0)</f>
        <v>0</v>
      </c>
      <c r="N24" s="33" t="n">
        <f aca="false">F24*M24</f>
        <v>0</v>
      </c>
      <c r="O24" s="4" t="n">
        <f aca="false">IF(M24=1,MAX(0,D_F01!$B$7-H24),0)</f>
        <v>0</v>
      </c>
      <c r="P24" s="4" t="n">
        <f aca="false">IF(AND(ISNUMBER(I24),I24&lt;=D_F01!$B$7),I24-H24,0)</f>
        <v>-2</v>
      </c>
      <c r="Q24" s="4" t="n">
        <f aca="false">MAX(0,P24)</f>
        <v>0</v>
      </c>
      <c r="R24" s="4" t="n">
        <f aca="false">IF(AND(ISNUMBER(I24),I24&gt;D_F01!$B$7-D_F01!$B$25,I24&lt;=D_F01!$B$7),1,0)</f>
        <v>1</v>
      </c>
      <c r="S24" s="4" t="n">
        <f aca="false">R24*F24*Q24</f>
        <v>0</v>
      </c>
      <c r="T24" s="4" t="n">
        <f aca="false">R24*F24</f>
        <v>1716739605</v>
      </c>
      <c r="U24" s="4" t="n">
        <f aca="false">IF(AND(H24&gt;D_F01!$B$7-D_F01!$B$25,H24&lt;=D_F01!$B$7),IF(M24=1,O24,Q24),0)</f>
        <v>0</v>
      </c>
      <c r="V24" s="4" t="n">
        <f aca="false">F24*W24</f>
        <v>1716739605</v>
      </c>
      <c r="W24" s="4" t="n">
        <f aca="false">IF(AND(H24&gt;D_F01!$B$7-D_F01!$B$25,H24&lt;=D_F01!$B$7,L24&lt;&gt;"cancelled"),1,0)</f>
        <v>1</v>
      </c>
      <c r="X24" s="4" t="n">
        <f aca="false">V24*U24</f>
        <v>0</v>
      </c>
      <c r="Y24" s="4" t="n">
        <f aca="false">M24*W24</f>
        <v>0</v>
      </c>
      <c r="Z24" s="4" t="n">
        <f aca="false">R24*F24*P24</f>
        <v>-3433479210</v>
      </c>
      <c r="AA24" s="42" t="n">
        <f aca="false">T24*J24</f>
        <v>51502188150</v>
      </c>
    </row>
    <row r="25" customFormat="false" ht="25.5" hidden="false" customHeight="true" outlineLevel="0" collapsed="false">
      <c r="A25" s="82" t="s">
        <v>2994</v>
      </c>
      <c r="B25" s="82" t="s">
        <v>2666</v>
      </c>
      <c r="C25" s="82" t="s">
        <v>1977</v>
      </c>
      <c r="D25" s="82" t="s">
        <v>2732</v>
      </c>
      <c r="E25" s="82" t="s">
        <v>2995</v>
      </c>
      <c r="F25" s="87" t="n">
        <v>790532734</v>
      </c>
      <c r="G25" s="84" t="n">
        <v>46051</v>
      </c>
      <c r="H25" s="84" t="n">
        <v>46096</v>
      </c>
      <c r="I25" s="84" t="n">
        <v>46122</v>
      </c>
      <c r="J25" s="82" t="n">
        <v>45</v>
      </c>
      <c r="K25" s="82" t="s">
        <v>2704</v>
      </c>
      <c r="L25" s="82" t="s">
        <v>2957</v>
      </c>
      <c r="M25" s="3" t="n">
        <f aca="false">IF(AND(G25&lt;=D_F01!$B$7,OR(NOT(ISNUMBER(I25)),I25&gt;D_F01!$B$7),L25&lt;&gt;"cancelled"),1,0)</f>
        <v>0</v>
      </c>
      <c r="N25" s="32" t="n">
        <f aca="false">F25*M25</f>
        <v>0</v>
      </c>
      <c r="O25" s="3" t="n">
        <f aca="false">IF(M25=1,MAX(0,D_F01!$B$7-H25),0)</f>
        <v>0</v>
      </c>
      <c r="P25" s="3" t="n">
        <f aca="false">IF(AND(ISNUMBER(I25),I25&lt;=D_F01!$B$7),I25-H25,0)</f>
        <v>26</v>
      </c>
      <c r="Q25" s="3" t="n">
        <f aca="false">MAX(0,P25)</f>
        <v>26</v>
      </c>
      <c r="R25" s="3" t="n">
        <f aca="false">IF(AND(ISNUMBER(I25),I25&gt;D_F01!$B$7-D_F01!$B$25,I25&lt;=D_F01!$B$7),1,0)</f>
        <v>1</v>
      </c>
      <c r="S25" s="3" t="n">
        <f aca="false">R25*F25*Q25</f>
        <v>20553851084</v>
      </c>
      <c r="T25" s="3" t="n">
        <f aca="false">R25*F25</f>
        <v>790532734</v>
      </c>
      <c r="U25" s="3" t="n">
        <f aca="false">IF(AND(H25&gt;D_F01!$B$7-D_F01!$B$25,H25&lt;=D_F01!$B$7),IF(M25=1,O25,Q25),0)</f>
        <v>26</v>
      </c>
      <c r="V25" s="3" t="n">
        <f aca="false">F25*W25</f>
        <v>790532734</v>
      </c>
      <c r="W25" s="3" t="n">
        <f aca="false">IF(AND(H25&gt;D_F01!$B$7-D_F01!$B$25,H25&lt;=D_F01!$B$7,L25&lt;&gt;"cancelled"),1,0)</f>
        <v>1</v>
      </c>
      <c r="X25" s="3" t="n">
        <f aca="false">V25*U25</f>
        <v>20553851084</v>
      </c>
      <c r="Y25" s="3" t="n">
        <f aca="false">M25*W25</f>
        <v>0</v>
      </c>
      <c r="Z25" s="3" t="n">
        <f aca="false">R25*F25*P25</f>
        <v>20553851084</v>
      </c>
      <c r="AA25" s="42" t="n">
        <f aca="false">T25*J25</f>
        <v>35573973030</v>
      </c>
    </row>
    <row r="26" customFormat="false" ht="25.5" hidden="false" customHeight="true" outlineLevel="0" collapsed="false">
      <c r="A26" s="89" t="s">
        <v>2996</v>
      </c>
      <c r="B26" s="89" t="s">
        <v>2666</v>
      </c>
      <c r="C26" s="89" t="s">
        <v>1978</v>
      </c>
      <c r="D26" s="89" t="s">
        <v>2734</v>
      </c>
      <c r="E26" s="89" t="s">
        <v>2993</v>
      </c>
      <c r="F26" s="88" t="n">
        <v>1269990873</v>
      </c>
      <c r="G26" s="83" t="n">
        <v>46053</v>
      </c>
      <c r="H26" s="83" t="n">
        <v>46083</v>
      </c>
      <c r="I26" s="83" t="n">
        <v>46080</v>
      </c>
      <c r="J26" s="89" t="n">
        <v>30</v>
      </c>
      <c r="K26" s="89" t="s">
        <v>2704</v>
      </c>
      <c r="L26" s="89" t="s">
        <v>2957</v>
      </c>
      <c r="M26" s="4" t="n">
        <f aca="false">IF(AND(G26&lt;=D_F01!$B$7,OR(NOT(ISNUMBER(I26)),I26&gt;D_F01!$B$7),L26&lt;&gt;"cancelled"),1,0)</f>
        <v>0</v>
      </c>
      <c r="N26" s="33" t="n">
        <f aca="false">F26*M26</f>
        <v>0</v>
      </c>
      <c r="O26" s="4" t="n">
        <f aca="false">IF(M26=1,MAX(0,D_F01!$B$7-H26),0)</f>
        <v>0</v>
      </c>
      <c r="P26" s="4" t="n">
        <f aca="false">IF(AND(ISNUMBER(I26),I26&lt;=D_F01!$B$7),I26-H26,0)</f>
        <v>-3</v>
      </c>
      <c r="Q26" s="4" t="n">
        <f aca="false">MAX(0,P26)</f>
        <v>0</v>
      </c>
      <c r="R26" s="4" t="n">
        <f aca="false">IF(AND(ISNUMBER(I26),I26&gt;D_F01!$B$7-D_F01!$B$25,I26&lt;=D_F01!$B$7),1,0)</f>
        <v>1</v>
      </c>
      <c r="S26" s="4" t="n">
        <f aca="false">R26*F26*Q26</f>
        <v>0</v>
      </c>
      <c r="T26" s="4" t="n">
        <f aca="false">R26*F26</f>
        <v>1269990873</v>
      </c>
      <c r="U26" s="4" t="n">
        <f aca="false">IF(AND(H26&gt;D_F01!$B$7-D_F01!$B$25,H26&lt;=D_F01!$B$7),IF(M26=1,O26,Q26),0)</f>
        <v>0</v>
      </c>
      <c r="V26" s="4" t="n">
        <f aca="false">F26*W26</f>
        <v>1269990873</v>
      </c>
      <c r="W26" s="4" t="n">
        <f aca="false">IF(AND(H26&gt;D_F01!$B$7-D_F01!$B$25,H26&lt;=D_F01!$B$7,L26&lt;&gt;"cancelled"),1,0)</f>
        <v>1</v>
      </c>
      <c r="X26" s="4" t="n">
        <f aca="false">V26*U26</f>
        <v>0</v>
      </c>
      <c r="Y26" s="4" t="n">
        <f aca="false">M26*W26</f>
        <v>0</v>
      </c>
      <c r="Z26" s="4" t="n">
        <f aca="false">R26*F26*P26</f>
        <v>-3809972619</v>
      </c>
      <c r="AA26" s="42" t="n">
        <f aca="false">T26*J26</f>
        <v>38099726190</v>
      </c>
    </row>
    <row r="27" customFormat="false" ht="25.5" hidden="false" customHeight="true" outlineLevel="0" collapsed="false">
      <c r="A27" s="82" t="s">
        <v>2997</v>
      </c>
      <c r="B27" s="82" t="s">
        <v>2666</v>
      </c>
      <c r="C27" s="82" t="s">
        <v>1978</v>
      </c>
      <c r="D27" s="82" t="s">
        <v>2734</v>
      </c>
      <c r="E27" s="82" t="s">
        <v>2993</v>
      </c>
      <c r="F27" s="87" t="n">
        <v>401046221</v>
      </c>
      <c r="G27" s="84" t="n">
        <v>46054</v>
      </c>
      <c r="H27" s="84" t="n">
        <v>46084</v>
      </c>
      <c r="I27" s="84" t="n">
        <v>46078</v>
      </c>
      <c r="J27" s="82" t="n">
        <v>30</v>
      </c>
      <c r="K27" s="82" t="s">
        <v>2704</v>
      </c>
      <c r="L27" s="82" t="s">
        <v>2957</v>
      </c>
      <c r="M27" s="3" t="n">
        <f aca="false">IF(AND(G27&lt;=D_F01!$B$7,OR(NOT(ISNUMBER(I27)),I27&gt;D_F01!$B$7),L27&lt;&gt;"cancelled"),1,0)</f>
        <v>0</v>
      </c>
      <c r="N27" s="32" t="n">
        <f aca="false">F27*M27</f>
        <v>0</v>
      </c>
      <c r="O27" s="3" t="n">
        <f aca="false">IF(M27=1,MAX(0,D_F01!$B$7-H27),0)</f>
        <v>0</v>
      </c>
      <c r="P27" s="3" t="n">
        <f aca="false">IF(AND(ISNUMBER(I27),I27&lt;=D_F01!$B$7),I27-H27,0)</f>
        <v>-6</v>
      </c>
      <c r="Q27" s="3" t="n">
        <f aca="false">MAX(0,P27)</f>
        <v>0</v>
      </c>
      <c r="R27" s="3" t="n">
        <f aca="false">IF(AND(ISNUMBER(I27),I27&gt;D_F01!$B$7-D_F01!$B$25,I27&lt;=D_F01!$B$7),1,0)</f>
        <v>1</v>
      </c>
      <c r="S27" s="3" t="n">
        <f aca="false">R27*F27*Q27</f>
        <v>0</v>
      </c>
      <c r="T27" s="3" t="n">
        <f aca="false">R27*F27</f>
        <v>401046221</v>
      </c>
      <c r="U27" s="3" t="n">
        <f aca="false">IF(AND(H27&gt;D_F01!$B$7-D_F01!$B$25,H27&lt;=D_F01!$B$7),IF(M27=1,O27,Q27),0)</f>
        <v>0</v>
      </c>
      <c r="V27" s="3" t="n">
        <f aca="false">F27*W27</f>
        <v>401046221</v>
      </c>
      <c r="W27" s="3" t="n">
        <f aca="false">IF(AND(H27&gt;D_F01!$B$7-D_F01!$B$25,H27&lt;=D_F01!$B$7,L27&lt;&gt;"cancelled"),1,0)</f>
        <v>1</v>
      </c>
      <c r="X27" s="3" t="n">
        <f aca="false">V27*U27</f>
        <v>0</v>
      </c>
      <c r="Y27" s="3" t="n">
        <f aca="false">M27*W27</f>
        <v>0</v>
      </c>
      <c r="Z27" s="3" t="n">
        <f aca="false">R27*F27*P27</f>
        <v>-2406277326</v>
      </c>
      <c r="AA27" s="42" t="n">
        <f aca="false">T27*J27</f>
        <v>12031386630</v>
      </c>
    </row>
    <row r="28" customFormat="false" ht="25.5" hidden="false" customHeight="true" outlineLevel="0" collapsed="false">
      <c r="A28" s="89" t="s">
        <v>2998</v>
      </c>
      <c r="B28" s="89" t="s">
        <v>2666</v>
      </c>
      <c r="C28" s="89" t="s">
        <v>1984</v>
      </c>
      <c r="D28" s="89" t="s">
        <v>2741</v>
      </c>
      <c r="E28" s="89" t="s">
        <v>2999</v>
      </c>
      <c r="F28" s="88" t="n">
        <v>130971719</v>
      </c>
      <c r="G28" s="83" t="n">
        <v>46054</v>
      </c>
      <c r="H28" s="83" t="n">
        <v>46084</v>
      </c>
      <c r="I28" s="83" t="n">
        <v>46084</v>
      </c>
      <c r="J28" s="89" t="n">
        <v>30</v>
      </c>
      <c r="K28" s="89" t="s">
        <v>2704</v>
      </c>
      <c r="L28" s="89" t="s">
        <v>2957</v>
      </c>
      <c r="M28" s="4" t="n">
        <f aca="false">IF(AND(G28&lt;=D_F01!$B$7,OR(NOT(ISNUMBER(I28)),I28&gt;D_F01!$B$7),L28&lt;&gt;"cancelled"),1,0)</f>
        <v>0</v>
      </c>
      <c r="N28" s="33" t="n">
        <f aca="false">F28*M28</f>
        <v>0</v>
      </c>
      <c r="O28" s="4" t="n">
        <f aca="false">IF(M28=1,MAX(0,D_F01!$B$7-H28),0)</f>
        <v>0</v>
      </c>
      <c r="P28" s="4" t="n">
        <f aca="false">IF(AND(ISNUMBER(I28),I28&lt;=D_F01!$B$7),I28-H28,0)</f>
        <v>0</v>
      </c>
      <c r="Q28" s="4" t="n">
        <f aca="false">MAX(0,P28)</f>
        <v>0</v>
      </c>
      <c r="R28" s="4" t="n">
        <f aca="false">IF(AND(ISNUMBER(I28),I28&gt;D_F01!$B$7-D_F01!$B$25,I28&lt;=D_F01!$B$7),1,0)</f>
        <v>1</v>
      </c>
      <c r="S28" s="4" t="n">
        <f aca="false">R28*F28*Q28</f>
        <v>0</v>
      </c>
      <c r="T28" s="4" t="n">
        <f aca="false">R28*F28</f>
        <v>130971719</v>
      </c>
      <c r="U28" s="4" t="n">
        <f aca="false">IF(AND(H28&gt;D_F01!$B$7-D_F01!$B$25,H28&lt;=D_F01!$B$7),IF(M28=1,O28,Q28),0)</f>
        <v>0</v>
      </c>
      <c r="V28" s="4" t="n">
        <f aca="false">F28*W28</f>
        <v>130971719</v>
      </c>
      <c r="W28" s="4" t="n">
        <f aca="false">IF(AND(H28&gt;D_F01!$B$7-D_F01!$B$25,H28&lt;=D_F01!$B$7,L28&lt;&gt;"cancelled"),1,0)</f>
        <v>1</v>
      </c>
      <c r="X28" s="4" t="n">
        <f aca="false">V28*U28</f>
        <v>0</v>
      </c>
      <c r="Y28" s="4" t="n">
        <f aca="false">M28*W28</f>
        <v>0</v>
      </c>
      <c r="Z28" s="4" t="n">
        <f aca="false">R28*F28*P28</f>
        <v>0</v>
      </c>
      <c r="AA28" s="42" t="n">
        <f aca="false">T28*J28</f>
        <v>3929151570</v>
      </c>
    </row>
    <row r="29" customFormat="false" ht="25.5" hidden="false" customHeight="true" outlineLevel="0" collapsed="false">
      <c r="A29" s="82" t="s">
        <v>3000</v>
      </c>
      <c r="B29" s="82" t="s">
        <v>2666</v>
      </c>
      <c r="C29" s="82" t="s">
        <v>1977</v>
      </c>
      <c r="D29" s="82" t="s">
        <v>2732</v>
      </c>
      <c r="E29" s="82" t="s">
        <v>2995</v>
      </c>
      <c r="F29" s="87" t="n">
        <v>453842260</v>
      </c>
      <c r="G29" s="84" t="n">
        <v>46057</v>
      </c>
      <c r="H29" s="84" t="n">
        <v>46102</v>
      </c>
      <c r="I29" s="84" t="n">
        <v>46115</v>
      </c>
      <c r="J29" s="82" t="n">
        <v>45</v>
      </c>
      <c r="K29" s="82" t="s">
        <v>2704</v>
      </c>
      <c r="L29" s="82" t="s">
        <v>2957</v>
      </c>
      <c r="M29" s="3" t="n">
        <f aca="false">IF(AND(G29&lt;=D_F01!$B$7,OR(NOT(ISNUMBER(I29)),I29&gt;D_F01!$B$7),L29&lt;&gt;"cancelled"),1,0)</f>
        <v>0</v>
      </c>
      <c r="N29" s="32" t="n">
        <f aca="false">F29*M29</f>
        <v>0</v>
      </c>
      <c r="O29" s="3" t="n">
        <f aca="false">IF(M29=1,MAX(0,D_F01!$B$7-H29),0)</f>
        <v>0</v>
      </c>
      <c r="P29" s="3" t="n">
        <f aca="false">IF(AND(ISNUMBER(I29),I29&lt;=D_F01!$B$7),I29-H29,0)</f>
        <v>13</v>
      </c>
      <c r="Q29" s="3" t="n">
        <f aca="false">MAX(0,P29)</f>
        <v>13</v>
      </c>
      <c r="R29" s="3" t="n">
        <f aca="false">IF(AND(ISNUMBER(I29),I29&gt;D_F01!$B$7-D_F01!$B$25,I29&lt;=D_F01!$B$7),1,0)</f>
        <v>1</v>
      </c>
      <c r="S29" s="3" t="n">
        <f aca="false">R29*F29*Q29</f>
        <v>5899949380</v>
      </c>
      <c r="T29" s="3" t="n">
        <f aca="false">R29*F29</f>
        <v>453842260</v>
      </c>
      <c r="U29" s="3" t="n">
        <f aca="false">IF(AND(H29&gt;D_F01!$B$7-D_F01!$B$25,H29&lt;=D_F01!$B$7),IF(M29=1,O29,Q29),0)</f>
        <v>13</v>
      </c>
      <c r="V29" s="3" t="n">
        <f aca="false">F29*W29</f>
        <v>453842260</v>
      </c>
      <c r="W29" s="3" t="n">
        <f aca="false">IF(AND(H29&gt;D_F01!$B$7-D_F01!$B$25,H29&lt;=D_F01!$B$7,L29&lt;&gt;"cancelled"),1,0)</f>
        <v>1</v>
      </c>
      <c r="X29" s="3" t="n">
        <f aca="false">V29*U29</f>
        <v>5899949380</v>
      </c>
      <c r="Y29" s="3" t="n">
        <f aca="false">M29*W29</f>
        <v>0</v>
      </c>
      <c r="Z29" s="3" t="n">
        <f aca="false">R29*F29*P29</f>
        <v>5899949380</v>
      </c>
      <c r="AA29" s="42" t="n">
        <f aca="false">T29*J29</f>
        <v>20422901700</v>
      </c>
    </row>
    <row r="30" customFormat="false" ht="25.5" hidden="false" customHeight="true" outlineLevel="0" collapsed="false">
      <c r="A30" s="89" t="s">
        <v>3001</v>
      </c>
      <c r="B30" s="89" t="s">
        <v>2666</v>
      </c>
      <c r="C30" s="89" t="s">
        <v>1979</v>
      </c>
      <c r="D30" s="89" t="s">
        <v>2736</v>
      </c>
      <c r="E30" s="89" t="s">
        <v>3002</v>
      </c>
      <c r="F30" s="88" t="n">
        <v>1008669955</v>
      </c>
      <c r="G30" s="83" t="n">
        <v>46059</v>
      </c>
      <c r="H30" s="83" t="n">
        <v>46089</v>
      </c>
      <c r="I30" s="83" t="n">
        <v>46093</v>
      </c>
      <c r="J30" s="89" t="n">
        <v>30</v>
      </c>
      <c r="K30" s="89" t="s">
        <v>2704</v>
      </c>
      <c r="L30" s="89" t="s">
        <v>2957</v>
      </c>
      <c r="M30" s="4" t="n">
        <f aca="false">IF(AND(G30&lt;=D_F01!$B$7,OR(NOT(ISNUMBER(I30)),I30&gt;D_F01!$B$7),L30&lt;&gt;"cancelled"),1,0)</f>
        <v>0</v>
      </c>
      <c r="N30" s="33" t="n">
        <f aca="false">F30*M30</f>
        <v>0</v>
      </c>
      <c r="O30" s="4" t="n">
        <f aca="false">IF(M30=1,MAX(0,D_F01!$B$7-H30),0)</f>
        <v>0</v>
      </c>
      <c r="P30" s="4" t="n">
        <f aca="false">IF(AND(ISNUMBER(I30),I30&lt;=D_F01!$B$7),I30-H30,0)</f>
        <v>4</v>
      </c>
      <c r="Q30" s="4" t="n">
        <f aca="false">MAX(0,P30)</f>
        <v>4</v>
      </c>
      <c r="R30" s="4" t="n">
        <f aca="false">IF(AND(ISNUMBER(I30),I30&gt;D_F01!$B$7-D_F01!$B$25,I30&lt;=D_F01!$B$7),1,0)</f>
        <v>1</v>
      </c>
      <c r="S30" s="4" t="n">
        <f aca="false">R30*F30*Q30</f>
        <v>4034679820</v>
      </c>
      <c r="T30" s="4" t="n">
        <f aca="false">R30*F30</f>
        <v>1008669955</v>
      </c>
      <c r="U30" s="4" t="n">
        <f aca="false">IF(AND(H30&gt;D_F01!$B$7-D_F01!$B$25,H30&lt;=D_F01!$B$7),IF(M30=1,O30,Q30),0)</f>
        <v>4</v>
      </c>
      <c r="V30" s="4" t="n">
        <f aca="false">F30*W30</f>
        <v>1008669955</v>
      </c>
      <c r="W30" s="4" t="n">
        <f aca="false">IF(AND(H30&gt;D_F01!$B$7-D_F01!$B$25,H30&lt;=D_F01!$B$7,L30&lt;&gt;"cancelled"),1,0)</f>
        <v>1</v>
      </c>
      <c r="X30" s="4" t="n">
        <f aca="false">V30*U30</f>
        <v>4034679820</v>
      </c>
      <c r="Y30" s="4" t="n">
        <f aca="false">M30*W30</f>
        <v>0</v>
      </c>
      <c r="Z30" s="4" t="n">
        <f aca="false">R30*F30*P30</f>
        <v>4034679820</v>
      </c>
      <c r="AA30" s="42" t="n">
        <f aca="false">T30*J30</f>
        <v>30260098650</v>
      </c>
    </row>
    <row r="31" customFormat="false" ht="25.5" hidden="false" customHeight="true" outlineLevel="0" collapsed="false">
      <c r="A31" s="82" t="s">
        <v>3003</v>
      </c>
      <c r="B31" s="82" t="s">
        <v>2666</v>
      </c>
      <c r="C31" s="82" t="s">
        <v>1977</v>
      </c>
      <c r="D31" s="82" t="s">
        <v>2732</v>
      </c>
      <c r="E31" s="82" t="s">
        <v>2995</v>
      </c>
      <c r="F31" s="87" t="n">
        <v>450988249</v>
      </c>
      <c r="G31" s="84" t="n">
        <v>46060</v>
      </c>
      <c r="H31" s="84" t="n">
        <v>46105</v>
      </c>
      <c r="I31" s="84" t="n">
        <v>46122</v>
      </c>
      <c r="J31" s="82" t="n">
        <v>45</v>
      </c>
      <c r="K31" s="82" t="s">
        <v>2704</v>
      </c>
      <c r="L31" s="82" t="s">
        <v>2957</v>
      </c>
      <c r="M31" s="3" t="n">
        <f aca="false">IF(AND(G31&lt;=D_F01!$B$7,OR(NOT(ISNUMBER(I31)),I31&gt;D_F01!$B$7),L31&lt;&gt;"cancelled"),1,0)</f>
        <v>0</v>
      </c>
      <c r="N31" s="32" t="n">
        <f aca="false">F31*M31</f>
        <v>0</v>
      </c>
      <c r="O31" s="3" t="n">
        <f aca="false">IF(M31=1,MAX(0,D_F01!$B$7-H31),0)</f>
        <v>0</v>
      </c>
      <c r="P31" s="3" t="n">
        <f aca="false">IF(AND(ISNUMBER(I31),I31&lt;=D_F01!$B$7),I31-H31,0)</f>
        <v>17</v>
      </c>
      <c r="Q31" s="3" t="n">
        <f aca="false">MAX(0,P31)</f>
        <v>17</v>
      </c>
      <c r="R31" s="3" t="n">
        <f aca="false">IF(AND(ISNUMBER(I31),I31&gt;D_F01!$B$7-D_F01!$B$25,I31&lt;=D_F01!$B$7),1,0)</f>
        <v>1</v>
      </c>
      <c r="S31" s="3" t="n">
        <f aca="false">R31*F31*Q31</f>
        <v>7666800233</v>
      </c>
      <c r="T31" s="3" t="n">
        <f aca="false">R31*F31</f>
        <v>450988249</v>
      </c>
      <c r="U31" s="3" t="n">
        <f aca="false">IF(AND(H31&gt;D_F01!$B$7-D_F01!$B$25,H31&lt;=D_F01!$B$7),IF(M31=1,O31,Q31),0)</f>
        <v>17</v>
      </c>
      <c r="V31" s="3" t="n">
        <f aca="false">F31*W31</f>
        <v>450988249</v>
      </c>
      <c r="W31" s="3" t="n">
        <f aca="false">IF(AND(H31&gt;D_F01!$B$7-D_F01!$B$25,H31&lt;=D_F01!$B$7,L31&lt;&gt;"cancelled"),1,0)</f>
        <v>1</v>
      </c>
      <c r="X31" s="3" t="n">
        <f aca="false">V31*U31</f>
        <v>7666800233</v>
      </c>
      <c r="Y31" s="3" t="n">
        <f aca="false">M31*W31</f>
        <v>0</v>
      </c>
      <c r="Z31" s="3" t="n">
        <f aca="false">R31*F31*P31</f>
        <v>7666800233</v>
      </c>
      <c r="AA31" s="42" t="n">
        <f aca="false">T31*J31</f>
        <v>20294471205</v>
      </c>
    </row>
    <row r="32" customFormat="false" ht="25.5" hidden="false" customHeight="true" outlineLevel="0" collapsed="false">
      <c r="A32" s="89" t="s">
        <v>3004</v>
      </c>
      <c r="B32" s="89" t="s">
        <v>2666</v>
      </c>
      <c r="C32" s="89" t="s">
        <v>1977</v>
      </c>
      <c r="D32" s="89" t="s">
        <v>2732</v>
      </c>
      <c r="E32" s="89" t="s">
        <v>2995</v>
      </c>
      <c r="F32" s="88" t="n">
        <v>543877735</v>
      </c>
      <c r="G32" s="83" t="n">
        <v>46063</v>
      </c>
      <c r="H32" s="83" t="n">
        <v>46108</v>
      </c>
      <c r="I32" s="83" t="n">
        <v>46131</v>
      </c>
      <c r="J32" s="89" t="n">
        <v>45</v>
      </c>
      <c r="K32" s="89" t="s">
        <v>2704</v>
      </c>
      <c r="L32" s="89" t="s">
        <v>2957</v>
      </c>
      <c r="M32" s="4" t="n">
        <f aca="false">IF(AND(G32&lt;=D_F01!$B$7,OR(NOT(ISNUMBER(I32)),I32&gt;D_F01!$B$7),L32&lt;&gt;"cancelled"),1,0)</f>
        <v>0</v>
      </c>
      <c r="N32" s="33" t="n">
        <f aca="false">F32*M32</f>
        <v>0</v>
      </c>
      <c r="O32" s="4" t="n">
        <f aca="false">IF(M32=1,MAX(0,D_F01!$B$7-H32),0)</f>
        <v>0</v>
      </c>
      <c r="P32" s="4" t="n">
        <f aca="false">IF(AND(ISNUMBER(I32),I32&lt;=D_F01!$B$7),I32-H32,0)</f>
        <v>23</v>
      </c>
      <c r="Q32" s="4" t="n">
        <f aca="false">MAX(0,P32)</f>
        <v>23</v>
      </c>
      <c r="R32" s="4" t="n">
        <f aca="false">IF(AND(ISNUMBER(I32),I32&gt;D_F01!$B$7-D_F01!$B$25,I32&lt;=D_F01!$B$7),1,0)</f>
        <v>1</v>
      </c>
      <c r="S32" s="4" t="n">
        <f aca="false">R32*F32*Q32</f>
        <v>12509187905</v>
      </c>
      <c r="T32" s="4" t="n">
        <f aca="false">R32*F32</f>
        <v>543877735</v>
      </c>
      <c r="U32" s="4" t="n">
        <f aca="false">IF(AND(H32&gt;D_F01!$B$7-D_F01!$B$25,H32&lt;=D_F01!$B$7),IF(M32=1,O32,Q32),0)</f>
        <v>23</v>
      </c>
      <c r="V32" s="4" t="n">
        <f aca="false">F32*W32</f>
        <v>543877735</v>
      </c>
      <c r="W32" s="4" t="n">
        <f aca="false">IF(AND(H32&gt;D_F01!$B$7-D_F01!$B$25,H32&lt;=D_F01!$B$7,L32&lt;&gt;"cancelled"),1,0)</f>
        <v>1</v>
      </c>
      <c r="X32" s="4" t="n">
        <f aca="false">V32*U32</f>
        <v>12509187905</v>
      </c>
      <c r="Y32" s="4" t="n">
        <f aca="false">M32*W32</f>
        <v>0</v>
      </c>
      <c r="Z32" s="4" t="n">
        <f aca="false">R32*F32*P32</f>
        <v>12509187905</v>
      </c>
      <c r="AA32" s="42" t="n">
        <f aca="false">T32*J32</f>
        <v>24474498075</v>
      </c>
    </row>
    <row r="33" customFormat="false" ht="25.5" hidden="false" customHeight="true" outlineLevel="0" collapsed="false">
      <c r="A33" s="82" t="s">
        <v>3005</v>
      </c>
      <c r="B33" s="82" t="s">
        <v>2666</v>
      </c>
      <c r="C33" s="82" t="s">
        <v>1978</v>
      </c>
      <c r="D33" s="82" t="s">
        <v>2734</v>
      </c>
      <c r="E33" s="82" t="s">
        <v>3006</v>
      </c>
      <c r="F33" s="87" t="n">
        <v>1261949198</v>
      </c>
      <c r="G33" s="84" t="n">
        <v>46063</v>
      </c>
      <c r="H33" s="84" t="n">
        <v>46093</v>
      </c>
      <c r="I33" s="84" t="n">
        <v>46089</v>
      </c>
      <c r="J33" s="82" t="n">
        <v>30</v>
      </c>
      <c r="K33" s="82" t="s">
        <v>2704</v>
      </c>
      <c r="L33" s="82" t="s">
        <v>2957</v>
      </c>
      <c r="M33" s="3" t="n">
        <f aca="false">IF(AND(G33&lt;=D_F01!$B$7,OR(NOT(ISNUMBER(I33)),I33&gt;D_F01!$B$7),L33&lt;&gt;"cancelled"),1,0)</f>
        <v>0</v>
      </c>
      <c r="N33" s="32" t="n">
        <f aca="false">F33*M33</f>
        <v>0</v>
      </c>
      <c r="O33" s="3" t="n">
        <f aca="false">IF(M33=1,MAX(0,D_F01!$B$7-H33),0)</f>
        <v>0</v>
      </c>
      <c r="P33" s="3" t="n">
        <f aca="false">IF(AND(ISNUMBER(I33),I33&lt;=D_F01!$B$7),I33-H33,0)</f>
        <v>-4</v>
      </c>
      <c r="Q33" s="3" t="n">
        <f aca="false">MAX(0,P33)</f>
        <v>0</v>
      </c>
      <c r="R33" s="3" t="n">
        <f aca="false">IF(AND(ISNUMBER(I33),I33&gt;D_F01!$B$7-D_F01!$B$25,I33&lt;=D_F01!$B$7),1,0)</f>
        <v>1</v>
      </c>
      <c r="S33" s="3" t="n">
        <f aca="false">R33*F33*Q33</f>
        <v>0</v>
      </c>
      <c r="T33" s="3" t="n">
        <f aca="false">R33*F33</f>
        <v>1261949198</v>
      </c>
      <c r="U33" s="3" t="n">
        <f aca="false">IF(AND(H33&gt;D_F01!$B$7-D_F01!$B$25,H33&lt;=D_F01!$B$7),IF(M33=1,O33,Q33),0)</f>
        <v>0</v>
      </c>
      <c r="V33" s="3" t="n">
        <f aca="false">F33*W33</f>
        <v>1261949198</v>
      </c>
      <c r="W33" s="3" t="n">
        <f aca="false">IF(AND(H33&gt;D_F01!$B$7-D_F01!$B$25,H33&lt;=D_F01!$B$7,L33&lt;&gt;"cancelled"),1,0)</f>
        <v>1</v>
      </c>
      <c r="X33" s="3" t="n">
        <f aca="false">V33*U33</f>
        <v>0</v>
      </c>
      <c r="Y33" s="3" t="n">
        <f aca="false">M33*W33</f>
        <v>0</v>
      </c>
      <c r="Z33" s="3" t="n">
        <f aca="false">R33*F33*P33</f>
        <v>-5047796792</v>
      </c>
      <c r="AA33" s="42" t="n">
        <f aca="false">T33*J33</f>
        <v>37858475940</v>
      </c>
    </row>
    <row r="34" customFormat="false" ht="25.5" hidden="false" customHeight="true" outlineLevel="0" collapsed="false">
      <c r="A34" s="89" t="s">
        <v>3007</v>
      </c>
      <c r="B34" s="89" t="s">
        <v>2666</v>
      </c>
      <c r="C34" s="89" t="s">
        <v>1979</v>
      </c>
      <c r="D34" s="89" t="s">
        <v>2736</v>
      </c>
      <c r="E34" s="89" t="s">
        <v>3002</v>
      </c>
      <c r="F34" s="88" t="n">
        <v>779646623</v>
      </c>
      <c r="G34" s="83" t="n">
        <v>46063</v>
      </c>
      <c r="H34" s="83" t="n">
        <v>46093</v>
      </c>
      <c r="I34" s="83" t="n">
        <v>46107</v>
      </c>
      <c r="J34" s="89" t="n">
        <v>30</v>
      </c>
      <c r="K34" s="89" t="s">
        <v>2704</v>
      </c>
      <c r="L34" s="89" t="s">
        <v>2957</v>
      </c>
      <c r="M34" s="4" t="n">
        <f aca="false">IF(AND(G34&lt;=D_F01!$B$7,OR(NOT(ISNUMBER(I34)),I34&gt;D_F01!$B$7),L34&lt;&gt;"cancelled"),1,0)</f>
        <v>0</v>
      </c>
      <c r="N34" s="33" t="n">
        <f aca="false">F34*M34</f>
        <v>0</v>
      </c>
      <c r="O34" s="4" t="n">
        <f aca="false">IF(M34=1,MAX(0,D_F01!$B$7-H34),0)</f>
        <v>0</v>
      </c>
      <c r="P34" s="4" t="n">
        <f aca="false">IF(AND(ISNUMBER(I34),I34&lt;=D_F01!$B$7),I34-H34,0)</f>
        <v>14</v>
      </c>
      <c r="Q34" s="4" t="n">
        <f aca="false">MAX(0,P34)</f>
        <v>14</v>
      </c>
      <c r="R34" s="4" t="n">
        <f aca="false">IF(AND(ISNUMBER(I34),I34&gt;D_F01!$B$7-D_F01!$B$25,I34&lt;=D_F01!$B$7),1,0)</f>
        <v>1</v>
      </c>
      <c r="S34" s="4" t="n">
        <f aca="false">R34*F34*Q34</f>
        <v>10915052722</v>
      </c>
      <c r="T34" s="4" t="n">
        <f aca="false">R34*F34</f>
        <v>779646623</v>
      </c>
      <c r="U34" s="4" t="n">
        <f aca="false">IF(AND(H34&gt;D_F01!$B$7-D_F01!$B$25,H34&lt;=D_F01!$B$7),IF(M34=1,O34,Q34),0)</f>
        <v>14</v>
      </c>
      <c r="V34" s="4" t="n">
        <f aca="false">F34*W34</f>
        <v>779646623</v>
      </c>
      <c r="W34" s="4" t="n">
        <f aca="false">IF(AND(H34&gt;D_F01!$B$7-D_F01!$B$25,H34&lt;=D_F01!$B$7,L34&lt;&gt;"cancelled"),1,0)</f>
        <v>1</v>
      </c>
      <c r="X34" s="4" t="n">
        <f aca="false">V34*U34</f>
        <v>10915052722</v>
      </c>
      <c r="Y34" s="4" t="n">
        <f aca="false">M34*W34</f>
        <v>0</v>
      </c>
      <c r="Z34" s="4" t="n">
        <f aca="false">R34*F34*P34</f>
        <v>10915052722</v>
      </c>
      <c r="AA34" s="42" t="n">
        <f aca="false">T34*J34</f>
        <v>23389398690</v>
      </c>
    </row>
    <row r="35" customFormat="false" ht="25.5" hidden="false" customHeight="true" outlineLevel="0" collapsed="false">
      <c r="A35" s="82" t="s">
        <v>3008</v>
      </c>
      <c r="B35" s="82" t="s">
        <v>2666</v>
      </c>
      <c r="C35" s="82" t="s">
        <v>1977</v>
      </c>
      <c r="D35" s="82" t="s">
        <v>2732</v>
      </c>
      <c r="E35" s="82" t="s">
        <v>3009</v>
      </c>
      <c r="F35" s="87" t="n">
        <v>555418289</v>
      </c>
      <c r="G35" s="84" t="n">
        <v>46066</v>
      </c>
      <c r="H35" s="84" t="n">
        <v>46111</v>
      </c>
      <c r="I35" s="84" t="n">
        <v>46141</v>
      </c>
      <c r="J35" s="82" t="n">
        <v>45</v>
      </c>
      <c r="K35" s="82" t="s">
        <v>2704</v>
      </c>
      <c r="L35" s="82" t="s">
        <v>2957</v>
      </c>
      <c r="M35" s="3" t="n">
        <f aca="false">IF(AND(G35&lt;=D_F01!$B$7,OR(NOT(ISNUMBER(I35)),I35&gt;D_F01!$B$7),L35&lt;&gt;"cancelled"),1,0)</f>
        <v>0</v>
      </c>
      <c r="N35" s="32" t="n">
        <f aca="false">F35*M35</f>
        <v>0</v>
      </c>
      <c r="O35" s="3" t="n">
        <f aca="false">IF(M35=1,MAX(0,D_F01!$B$7-H35),0)</f>
        <v>0</v>
      </c>
      <c r="P35" s="3" t="n">
        <f aca="false">IF(AND(ISNUMBER(I35),I35&lt;=D_F01!$B$7),I35-H35,0)</f>
        <v>30</v>
      </c>
      <c r="Q35" s="3" t="n">
        <f aca="false">MAX(0,P35)</f>
        <v>30</v>
      </c>
      <c r="R35" s="3" t="n">
        <f aca="false">IF(AND(ISNUMBER(I35),I35&gt;D_F01!$B$7-D_F01!$B$25,I35&lt;=D_F01!$B$7),1,0)</f>
        <v>1</v>
      </c>
      <c r="S35" s="3" t="n">
        <f aca="false">R35*F35*Q35</f>
        <v>16662548670</v>
      </c>
      <c r="T35" s="3" t="n">
        <f aca="false">R35*F35</f>
        <v>555418289</v>
      </c>
      <c r="U35" s="3" t="n">
        <f aca="false">IF(AND(H35&gt;D_F01!$B$7-D_F01!$B$25,H35&lt;=D_F01!$B$7),IF(M35=1,O35,Q35),0)</f>
        <v>30</v>
      </c>
      <c r="V35" s="3" t="n">
        <f aca="false">F35*W35</f>
        <v>555418289</v>
      </c>
      <c r="W35" s="3" t="n">
        <f aca="false">IF(AND(H35&gt;D_F01!$B$7-D_F01!$B$25,H35&lt;=D_F01!$B$7,L35&lt;&gt;"cancelled"),1,0)</f>
        <v>1</v>
      </c>
      <c r="X35" s="3" t="n">
        <f aca="false">V35*U35</f>
        <v>16662548670</v>
      </c>
      <c r="Y35" s="3" t="n">
        <f aca="false">M35*W35</f>
        <v>0</v>
      </c>
      <c r="Z35" s="3" t="n">
        <f aca="false">R35*F35*P35</f>
        <v>16662548670</v>
      </c>
      <c r="AA35" s="42" t="n">
        <f aca="false">T35*J35</f>
        <v>24993823005</v>
      </c>
    </row>
    <row r="36" customFormat="false" ht="25.5" hidden="false" customHeight="true" outlineLevel="0" collapsed="false">
      <c r="A36" s="89" t="s">
        <v>3010</v>
      </c>
      <c r="B36" s="89" t="s">
        <v>2666</v>
      </c>
      <c r="C36" s="89" t="s">
        <v>1984</v>
      </c>
      <c r="D36" s="89" t="s">
        <v>2741</v>
      </c>
      <c r="E36" s="89" t="s">
        <v>3011</v>
      </c>
      <c r="F36" s="88" t="n">
        <v>144066976</v>
      </c>
      <c r="G36" s="83" t="n">
        <v>46073</v>
      </c>
      <c r="H36" s="83" t="n">
        <v>46103</v>
      </c>
      <c r="I36" s="83" t="n">
        <v>46103</v>
      </c>
      <c r="J36" s="89" t="n">
        <v>30</v>
      </c>
      <c r="K36" s="89" t="s">
        <v>2704</v>
      </c>
      <c r="L36" s="89" t="s">
        <v>2957</v>
      </c>
      <c r="M36" s="4" t="n">
        <f aca="false">IF(AND(G36&lt;=D_F01!$B$7,OR(NOT(ISNUMBER(I36)),I36&gt;D_F01!$B$7),L36&lt;&gt;"cancelled"),1,0)</f>
        <v>0</v>
      </c>
      <c r="N36" s="33" t="n">
        <f aca="false">F36*M36</f>
        <v>0</v>
      </c>
      <c r="O36" s="4" t="n">
        <f aca="false">IF(M36=1,MAX(0,D_F01!$B$7-H36),0)</f>
        <v>0</v>
      </c>
      <c r="P36" s="4" t="n">
        <f aca="false">IF(AND(ISNUMBER(I36),I36&lt;=D_F01!$B$7),I36-H36,0)</f>
        <v>0</v>
      </c>
      <c r="Q36" s="4" t="n">
        <f aca="false">MAX(0,P36)</f>
        <v>0</v>
      </c>
      <c r="R36" s="4" t="n">
        <f aca="false">IF(AND(ISNUMBER(I36),I36&gt;D_F01!$B$7-D_F01!$B$25,I36&lt;=D_F01!$B$7),1,0)</f>
        <v>1</v>
      </c>
      <c r="S36" s="4" t="n">
        <f aca="false">R36*F36*Q36</f>
        <v>0</v>
      </c>
      <c r="T36" s="4" t="n">
        <f aca="false">R36*F36</f>
        <v>144066976</v>
      </c>
      <c r="U36" s="4" t="n">
        <f aca="false">IF(AND(H36&gt;D_F01!$B$7-D_F01!$B$25,H36&lt;=D_F01!$B$7),IF(M36=1,O36,Q36),0)</f>
        <v>0</v>
      </c>
      <c r="V36" s="4" t="n">
        <f aca="false">F36*W36</f>
        <v>144066976</v>
      </c>
      <c r="W36" s="4" t="n">
        <f aca="false">IF(AND(H36&gt;D_F01!$B$7-D_F01!$B$25,H36&lt;=D_F01!$B$7,L36&lt;&gt;"cancelled"),1,0)</f>
        <v>1</v>
      </c>
      <c r="X36" s="4" t="n">
        <f aca="false">V36*U36</f>
        <v>0</v>
      </c>
      <c r="Y36" s="4" t="n">
        <f aca="false">M36*W36</f>
        <v>0</v>
      </c>
      <c r="Z36" s="4" t="n">
        <f aca="false">R36*F36*P36</f>
        <v>0</v>
      </c>
      <c r="AA36" s="42" t="n">
        <f aca="false">T36*J36</f>
        <v>4322009280</v>
      </c>
    </row>
    <row r="37" customFormat="false" ht="25.5" hidden="false" customHeight="true" outlineLevel="0" collapsed="false">
      <c r="A37" s="82" t="s">
        <v>3012</v>
      </c>
      <c r="B37" s="82" t="s">
        <v>2666</v>
      </c>
      <c r="C37" s="82" t="s">
        <v>1978</v>
      </c>
      <c r="D37" s="82" t="s">
        <v>2734</v>
      </c>
      <c r="E37" s="82" t="s">
        <v>3013</v>
      </c>
      <c r="F37" s="87" t="n">
        <v>964139058</v>
      </c>
      <c r="G37" s="84" t="n">
        <v>46074</v>
      </c>
      <c r="H37" s="84" t="n">
        <v>46104</v>
      </c>
      <c r="I37" s="84" t="n">
        <v>46097</v>
      </c>
      <c r="J37" s="82" t="n">
        <v>30</v>
      </c>
      <c r="K37" s="82" t="s">
        <v>2704</v>
      </c>
      <c r="L37" s="82" t="s">
        <v>2957</v>
      </c>
      <c r="M37" s="3" t="n">
        <f aca="false">IF(AND(G37&lt;=D_F01!$B$7,OR(NOT(ISNUMBER(I37)),I37&gt;D_F01!$B$7),L37&lt;&gt;"cancelled"),1,0)</f>
        <v>0</v>
      </c>
      <c r="N37" s="32" t="n">
        <f aca="false">F37*M37</f>
        <v>0</v>
      </c>
      <c r="O37" s="3" t="n">
        <f aca="false">IF(M37=1,MAX(0,D_F01!$B$7-H37),0)</f>
        <v>0</v>
      </c>
      <c r="P37" s="3" t="n">
        <f aca="false">IF(AND(ISNUMBER(I37),I37&lt;=D_F01!$B$7),I37-H37,0)</f>
        <v>-7</v>
      </c>
      <c r="Q37" s="3" t="n">
        <f aca="false">MAX(0,P37)</f>
        <v>0</v>
      </c>
      <c r="R37" s="3" t="n">
        <f aca="false">IF(AND(ISNUMBER(I37),I37&gt;D_F01!$B$7-D_F01!$B$25,I37&lt;=D_F01!$B$7),1,0)</f>
        <v>1</v>
      </c>
      <c r="S37" s="3" t="n">
        <f aca="false">R37*F37*Q37</f>
        <v>0</v>
      </c>
      <c r="T37" s="3" t="n">
        <f aca="false">R37*F37</f>
        <v>964139058</v>
      </c>
      <c r="U37" s="3" t="n">
        <f aca="false">IF(AND(H37&gt;D_F01!$B$7-D_F01!$B$25,H37&lt;=D_F01!$B$7),IF(M37=1,O37,Q37),0)</f>
        <v>0</v>
      </c>
      <c r="V37" s="3" t="n">
        <f aca="false">F37*W37</f>
        <v>964139058</v>
      </c>
      <c r="W37" s="3" t="n">
        <f aca="false">IF(AND(H37&gt;D_F01!$B$7-D_F01!$B$25,H37&lt;=D_F01!$B$7,L37&lt;&gt;"cancelled"),1,0)</f>
        <v>1</v>
      </c>
      <c r="X37" s="3" t="n">
        <f aca="false">V37*U37</f>
        <v>0</v>
      </c>
      <c r="Y37" s="3" t="n">
        <f aca="false">M37*W37</f>
        <v>0</v>
      </c>
      <c r="Z37" s="3" t="n">
        <f aca="false">R37*F37*P37</f>
        <v>-6748973406</v>
      </c>
      <c r="AA37" s="42" t="n">
        <f aca="false">T37*J37</f>
        <v>28924171740</v>
      </c>
    </row>
    <row r="38" customFormat="false" ht="25.5" hidden="false" customHeight="true" outlineLevel="0" collapsed="false">
      <c r="A38" s="89" t="s">
        <v>3014</v>
      </c>
      <c r="B38" s="89" t="s">
        <v>2666</v>
      </c>
      <c r="C38" s="89" t="s">
        <v>1978</v>
      </c>
      <c r="D38" s="89" t="s">
        <v>2734</v>
      </c>
      <c r="E38" s="89" t="s">
        <v>3015</v>
      </c>
      <c r="F38" s="88" t="n">
        <v>303949139</v>
      </c>
      <c r="G38" s="83" t="n">
        <v>46076</v>
      </c>
      <c r="H38" s="83" t="n">
        <v>46106</v>
      </c>
      <c r="I38" s="83" t="n">
        <v>46099</v>
      </c>
      <c r="J38" s="89" t="n">
        <v>30</v>
      </c>
      <c r="K38" s="89" t="s">
        <v>2704</v>
      </c>
      <c r="L38" s="89" t="s">
        <v>2957</v>
      </c>
      <c r="M38" s="4" t="n">
        <f aca="false">IF(AND(G38&lt;=D_F01!$B$7,OR(NOT(ISNUMBER(I38)),I38&gt;D_F01!$B$7),L38&lt;&gt;"cancelled"),1,0)</f>
        <v>0</v>
      </c>
      <c r="N38" s="33" t="n">
        <f aca="false">F38*M38</f>
        <v>0</v>
      </c>
      <c r="O38" s="4" t="n">
        <f aca="false">IF(M38=1,MAX(0,D_F01!$B$7-H38),0)</f>
        <v>0</v>
      </c>
      <c r="P38" s="4" t="n">
        <f aca="false">IF(AND(ISNUMBER(I38),I38&lt;=D_F01!$B$7),I38-H38,0)</f>
        <v>-7</v>
      </c>
      <c r="Q38" s="4" t="n">
        <f aca="false">MAX(0,P38)</f>
        <v>0</v>
      </c>
      <c r="R38" s="4" t="n">
        <f aca="false">IF(AND(ISNUMBER(I38),I38&gt;D_F01!$B$7-D_F01!$B$25,I38&lt;=D_F01!$B$7),1,0)</f>
        <v>1</v>
      </c>
      <c r="S38" s="4" t="n">
        <f aca="false">R38*F38*Q38</f>
        <v>0</v>
      </c>
      <c r="T38" s="4" t="n">
        <f aca="false">R38*F38</f>
        <v>303949139</v>
      </c>
      <c r="U38" s="4" t="n">
        <f aca="false">IF(AND(H38&gt;D_F01!$B$7-D_F01!$B$25,H38&lt;=D_F01!$B$7),IF(M38=1,O38,Q38),0)</f>
        <v>0</v>
      </c>
      <c r="V38" s="4" t="n">
        <f aca="false">F38*W38</f>
        <v>303949139</v>
      </c>
      <c r="W38" s="4" t="n">
        <f aca="false">IF(AND(H38&gt;D_F01!$B$7-D_F01!$B$25,H38&lt;=D_F01!$B$7,L38&lt;&gt;"cancelled"),1,0)</f>
        <v>1</v>
      </c>
      <c r="X38" s="4" t="n">
        <f aca="false">V38*U38</f>
        <v>0</v>
      </c>
      <c r="Y38" s="4" t="n">
        <f aca="false">M38*W38</f>
        <v>0</v>
      </c>
      <c r="Z38" s="4" t="n">
        <f aca="false">R38*F38*P38</f>
        <v>-2127643973</v>
      </c>
      <c r="AA38" s="42" t="n">
        <f aca="false">T38*J38</f>
        <v>9118474170</v>
      </c>
    </row>
    <row r="39" customFormat="false" ht="25.5" hidden="false" customHeight="true" outlineLevel="0" collapsed="false">
      <c r="A39" s="82" t="s">
        <v>3016</v>
      </c>
      <c r="B39" s="82" t="s">
        <v>2666</v>
      </c>
      <c r="C39" s="82" t="s">
        <v>1979</v>
      </c>
      <c r="D39" s="82" t="s">
        <v>2736</v>
      </c>
      <c r="E39" s="82" t="s">
        <v>3017</v>
      </c>
      <c r="F39" s="87" t="n">
        <v>440185140</v>
      </c>
      <c r="G39" s="84" t="n">
        <v>46076</v>
      </c>
      <c r="H39" s="84" t="n">
        <v>46106</v>
      </c>
      <c r="I39" s="84" t="n">
        <v>46106</v>
      </c>
      <c r="J39" s="82" t="n">
        <v>30</v>
      </c>
      <c r="K39" s="82" t="s">
        <v>2704</v>
      </c>
      <c r="L39" s="82" t="s">
        <v>2957</v>
      </c>
      <c r="M39" s="3" t="n">
        <f aca="false">IF(AND(G39&lt;=D_F01!$B$7,OR(NOT(ISNUMBER(I39)),I39&gt;D_F01!$B$7),L39&lt;&gt;"cancelled"),1,0)</f>
        <v>0</v>
      </c>
      <c r="N39" s="32" t="n">
        <f aca="false">F39*M39</f>
        <v>0</v>
      </c>
      <c r="O39" s="3" t="n">
        <f aca="false">IF(M39=1,MAX(0,D_F01!$B$7-H39),0)</f>
        <v>0</v>
      </c>
      <c r="P39" s="3" t="n">
        <f aca="false">IF(AND(ISNUMBER(I39),I39&lt;=D_F01!$B$7),I39-H39,0)</f>
        <v>0</v>
      </c>
      <c r="Q39" s="3" t="n">
        <f aca="false">MAX(0,P39)</f>
        <v>0</v>
      </c>
      <c r="R39" s="3" t="n">
        <f aca="false">IF(AND(ISNUMBER(I39),I39&gt;D_F01!$B$7-D_F01!$B$25,I39&lt;=D_F01!$B$7),1,0)</f>
        <v>1</v>
      </c>
      <c r="S39" s="3" t="n">
        <f aca="false">R39*F39*Q39</f>
        <v>0</v>
      </c>
      <c r="T39" s="3" t="n">
        <f aca="false">R39*F39</f>
        <v>440185140</v>
      </c>
      <c r="U39" s="3" t="n">
        <f aca="false">IF(AND(H39&gt;D_F01!$B$7-D_F01!$B$25,H39&lt;=D_F01!$B$7),IF(M39=1,O39,Q39),0)</f>
        <v>0</v>
      </c>
      <c r="V39" s="3" t="n">
        <f aca="false">F39*W39</f>
        <v>440185140</v>
      </c>
      <c r="W39" s="3" t="n">
        <f aca="false">IF(AND(H39&gt;D_F01!$B$7-D_F01!$B$25,H39&lt;=D_F01!$B$7,L39&lt;&gt;"cancelled"),1,0)</f>
        <v>1</v>
      </c>
      <c r="X39" s="3" t="n">
        <f aca="false">V39*U39</f>
        <v>0</v>
      </c>
      <c r="Y39" s="3" t="n">
        <f aca="false">M39*W39</f>
        <v>0</v>
      </c>
      <c r="Z39" s="3" t="n">
        <f aca="false">R39*F39*P39</f>
        <v>0</v>
      </c>
      <c r="AA39" s="42" t="n">
        <f aca="false">T39*J39</f>
        <v>13205554200</v>
      </c>
    </row>
    <row r="40" customFormat="false" ht="39.75" hidden="false" customHeight="true" outlineLevel="0" collapsed="false">
      <c r="A40" s="89" t="s">
        <v>3018</v>
      </c>
      <c r="B40" s="89" t="s">
        <v>2666</v>
      </c>
      <c r="C40" s="89" t="s">
        <v>1980</v>
      </c>
      <c r="D40" s="89" t="s">
        <v>2737</v>
      </c>
      <c r="E40" s="89" t="s">
        <v>3019</v>
      </c>
      <c r="F40" s="88" t="n">
        <v>811079069</v>
      </c>
      <c r="G40" s="83" t="n">
        <v>46076</v>
      </c>
      <c r="H40" s="83" t="n">
        <v>46121</v>
      </c>
      <c r="I40" s="83" t="n">
        <v>46123</v>
      </c>
      <c r="J40" s="89" t="n">
        <v>45</v>
      </c>
      <c r="K40" s="89" t="s">
        <v>2704</v>
      </c>
      <c r="L40" s="89" t="s">
        <v>2957</v>
      </c>
      <c r="M40" s="4" t="n">
        <f aca="false">IF(AND(G40&lt;=D_F01!$B$7,OR(NOT(ISNUMBER(I40)),I40&gt;D_F01!$B$7),L40&lt;&gt;"cancelled"),1,0)</f>
        <v>0</v>
      </c>
      <c r="N40" s="33" t="n">
        <f aca="false">F40*M40</f>
        <v>0</v>
      </c>
      <c r="O40" s="4" t="n">
        <f aca="false">IF(M40=1,MAX(0,D_F01!$B$7-H40),0)</f>
        <v>0</v>
      </c>
      <c r="P40" s="4" t="n">
        <f aca="false">IF(AND(ISNUMBER(I40),I40&lt;=D_F01!$B$7),I40-H40,0)</f>
        <v>2</v>
      </c>
      <c r="Q40" s="4" t="n">
        <f aca="false">MAX(0,P40)</f>
        <v>2</v>
      </c>
      <c r="R40" s="4" t="n">
        <f aca="false">IF(AND(ISNUMBER(I40),I40&gt;D_F01!$B$7-D_F01!$B$25,I40&lt;=D_F01!$B$7),1,0)</f>
        <v>1</v>
      </c>
      <c r="S40" s="4" t="n">
        <f aca="false">R40*F40*Q40</f>
        <v>1622158138</v>
      </c>
      <c r="T40" s="4" t="n">
        <f aca="false">R40*F40</f>
        <v>811079069</v>
      </c>
      <c r="U40" s="4" t="n">
        <f aca="false">IF(AND(H40&gt;D_F01!$B$7-D_F01!$B$25,H40&lt;=D_F01!$B$7),IF(M40=1,O40,Q40),0)</f>
        <v>2</v>
      </c>
      <c r="V40" s="4" t="n">
        <f aca="false">F40*W40</f>
        <v>811079069</v>
      </c>
      <c r="W40" s="4" t="n">
        <f aca="false">IF(AND(H40&gt;D_F01!$B$7-D_F01!$B$25,H40&lt;=D_F01!$B$7,L40&lt;&gt;"cancelled"),1,0)</f>
        <v>1</v>
      </c>
      <c r="X40" s="4" t="n">
        <f aca="false">V40*U40</f>
        <v>1622158138</v>
      </c>
      <c r="Y40" s="4" t="n">
        <f aca="false">M40*W40</f>
        <v>0</v>
      </c>
      <c r="Z40" s="4" t="n">
        <f aca="false">R40*F40*P40</f>
        <v>1622158138</v>
      </c>
      <c r="AA40" s="42" t="n">
        <f aca="false">T40*J40</f>
        <v>36498558105</v>
      </c>
    </row>
    <row r="41" customFormat="false" ht="25.5" hidden="false" customHeight="true" outlineLevel="0" collapsed="false">
      <c r="A41" s="82" t="s">
        <v>3020</v>
      </c>
      <c r="B41" s="82" t="s">
        <v>2666</v>
      </c>
      <c r="C41" s="82" t="s">
        <v>1982</v>
      </c>
      <c r="D41" s="82" t="s">
        <v>2739</v>
      </c>
      <c r="E41" s="82" t="s">
        <v>3021</v>
      </c>
      <c r="F41" s="87" t="n">
        <v>375621887</v>
      </c>
      <c r="G41" s="84" t="n">
        <v>46080</v>
      </c>
      <c r="H41" s="84" t="n">
        <v>46110</v>
      </c>
      <c r="I41" s="84" t="n">
        <v>46115</v>
      </c>
      <c r="J41" s="82" t="n">
        <v>30</v>
      </c>
      <c r="K41" s="82" t="s">
        <v>2704</v>
      </c>
      <c r="L41" s="82" t="s">
        <v>2957</v>
      </c>
      <c r="M41" s="3" t="n">
        <f aca="false">IF(AND(G41&lt;=D_F01!$B$7,OR(NOT(ISNUMBER(I41)),I41&gt;D_F01!$B$7),L41&lt;&gt;"cancelled"),1,0)</f>
        <v>0</v>
      </c>
      <c r="N41" s="32" t="n">
        <f aca="false">F41*M41</f>
        <v>0</v>
      </c>
      <c r="O41" s="3" t="n">
        <f aca="false">IF(M41=1,MAX(0,D_F01!$B$7-H41),0)</f>
        <v>0</v>
      </c>
      <c r="P41" s="3" t="n">
        <f aca="false">IF(AND(ISNUMBER(I41),I41&lt;=D_F01!$B$7),I41-H41,0)</f>
        <v>5</v>
      </c>
      <c r="Q41" s="3" t="n">
        <f aca="false">MAX(0,P41)</f>
        <v>5</v>
      </c>
      <c r="R41" s="3" t="n">
        <f aca="false">IF(AND(ISNUMBER(I41),I41&gt;D_F01!$B$7-D_F01!$B$25,I41&lt;=D_F01!$B$7),1,0)</f>
        <v>1</v>
      </c>
      <c r="S41" s="3" t="n">
        <f aca="false">R41*F41*Q41</f>
        <v>1878109435</v>
      </c>
      <c r="T41" s="3" t="n">
        <f aca="false">R41*F41</f>
        <v>375621887</v>
      </c>
      <c r="U41" s="3" t="n">
        <f aca="false">IF(AND(H41&gt;D_F01!$B$7-D_F01!$B$25,H41&lt;=D_F01!$B$7),IF(M41=1,O41,Q41),0)</f>
        <v>5</v>
      </c>
      <c r="V41" s="3" t="n">
        <f aca="false">F41*W41</f>
        <v>375621887</v>
      </c>
      <c r="W41" s="3" t="n">
        <f aca="false">IF(AND(H41&gt;D_F01!$B$7-D_F01!$B$25,H41&lt;=D_F01!$B$7,L41&lt;&gt;"cancelled"),1,0)</f>
        <v>1</v>
      </c>
      <c r="X41" s="3" t="n">
        <f aca="false">V41*U41</f>
        <v>1878109435</v>
      </c>
      <c r="Y41" s="3" t="n">
        <f aca="false">M41*W41</f>
        <v>0</v>
      </c>
      <c r="Z41" s="3" t="n">
        <f aca="false">R41*F41*P41</f>
        <v>1878109435</v>
      </c>
      <c r="AA41" s="42" t="n">
        <f aca="false">T41*J41</f>
        <v>11268656610</v>
      </c>
    </row>
    <row r="42" customFormat="false" ht="25.5" hidden="false" customHeight="true" outlineLevel="0" collapsed="false">
      <c r="A42" s="89" t="s">
        <v>2132</v>
      </c>
      <c r="B42" s="89" t="s">
        <v>2666</v>
      </c>
      <c r="C42" s="89" t="s">
        <v>1984</v>
      </c>
      <c r="D42" s="89" t="s">
        <v>2741</v>
      </c>
      <c r="E42" s="89" t="s">
        <v>3022</v>
      </c>
      <c r="F42" s="88" t="n">
        <v>82708587</v>
      </c>
      <c r="G42" s="83" t="n">
        <v>46081</v>
      </c>
      <c r="H42" s="83" t="n">
        <v>46111</v>
      </c>
      <c r="I42" s="83"/>
      <c r="J42" s="89" t="n">
        <v>30</v>
      </c>
      <c r="K42" s="89" t="s">
        <v>2704</v>
      </c>
      <c r="L42" s="89" t="s">
        <v>2957</v>
      </c>
      <c r="M42" s="4" t="n">
        <f aca="false">IF(AND(G42&lt;=D_F01!$B$7,OR(NOT(ISNUMBER(I42)),I42&gt;D_F01!$B$7),L42&lt;&gt;"cancelled"),1,0)</f>
        <v>1</v>
      </c>
      <c r="N42" s="33" t="n">
        <f aca="false">F42*M42</f>
        <v>82708587</v>
      </c>
      <c r="O42" s="4" t="n">
        <f aca="false">IF(M42=1,MAX(0,D_F01!$B$7-H42),0)</f>
        <v>92</v>
      </c>
      <c r="P42" s="4" t="n">
        <f aca="false">IF(AND(ISNUMBER(I42),I42&lt;=D_F01!$B$7),I42-H42,0)</f>
        <v>0</v>
      </c>
      <c r="Q42" s="4" t="n">
        <f aca="false">MAX(0,P42)</f>
        <v>0</v>
      </c>
      <c r="R42" s="4" t="n">
        <f aca="false">IF(AND(ISNUMBER(I42),I42&gt;D_F01!$B$7-D_F01!$B$25,I42&lt;=D_F01!$B$7),1,0)</f>
        <v>0</v>
      </c>
      <c r="S42" s="4" t="n">
        <f aca="false">R42*F42*Q42</f>
        <v>0</v>
      </c>
      <c r="T42" s="4" t="n">
        <f aca="false">R42*F42</f>
        <v>0</v>
      </c>
      <c r="U42" s="4" t="n">
        <f aca="false">IF(AND(H42&gt;D_F01!$B$7-D_F01!$B$25,H42&lt;=D_F01!$B$7),IF(M42=1,O42,Q42),0)</f>
        <v>92</v>
      </c>
      <c r="V42" s="4" t="n">
        <f aca="false">F42*W42</f>
        <v>82708587</v>
      </c>
      <c r="W42" s="4" t="n">
        <f aca="false">IF(AND(H42&gt;D_F01!$B$7-D_F01!$B$25,H42&lt;=D_F01!$B$7,L42&lt;&gt;"cancelled"),1,0)</f>
        <v>1</v>
      </c>
      <c r="X42" s="4" t="n">
        <f aca="false">V42*U42</f>
        <v>7609190004</v>
      </c>
      <c r="Y42" s="4" t="n">
        <f aca="false">M42*W42</f>
        <v>1</v>
      </c>
      <c r="Z42" s="4" t="n">
        <f aca="false">R42*F42*P42</f>
        <v>0</v>
      </c>
      <c r="AA42" s="42" t="n">
        <f aca="false">T42*J42</f>
        <v>0</v>
      </c>
    </row>
    <row r="43" customFormat="false" ht="25.5" hidden="false" customHeight="true" outlineLevel="0" collapsed="false">
      <c r="A43" s="82" t="s">
        <v>3023</v>
      </c>
      <c r="B43" s="82" t="s">
        <v>2666</v>
      </c>
      <c r="C43" s="82" t="s">
        <v>1978</v>
      </c>
      <c r="D43" s="82" t="s">
        <v>2734</v>
      </c>
      <c r="E43" s="82" t="s">
        <v>3024</v>
      </c>
      <c r="F43" s="87" t="n">
        <v>628160492</v>
      </c>
      <c r="G43" s="84" t="n">
        <v>46082</v>
      </c>
      <c r="H43" s="84" t="n">
        <v>46112</v>
      </c>
      <c r="I43" s="84" t="n">
        <v>46116</v>
      </c>
      <c r="J43" s="82" t="n">
        <v>30</v>
      </c>
      <c r="K43" s="82" t="s">
        <v>2704</v>
      </c>
      <c r="L43" s="82" t="s">
        <v>2957</v>
      </c>
      <c r="M43" s="3" t="n">
        <f aca="false">IF(AND(G43&lt;=D_F01!$B$7,OR(NOT(ISNUMBER(I43)),I43&gt;D_F01!$B$7),L43&lt;&gt;"cancelled"),1,0)</f>
        <v>0</v>
      </c>
      <c r="N43" s="32" t="n">
        <f aca="false">F43*M43</f>
        <v>0</v>
      </c>
      <c r="O43" s="3" t="n">
        <f aca="false">IF(M43=1,MAX(0,D_F01!$B$7-H43),0)</f>
        <v>0</v>
      </c>
      <c r="P43" s="3" t="n">
        <f aca="false">IF(AND(ISNUMBER(I43),I43&lt;=D_F01!$B$7),I43-H43,0)</f>
        <v>4</v>
      </c>
      <c r="Q43" s="3" t="n">
        <f aca="false">MAX(0,P43)</f>
        <v>4</v>
      </c>
      <c r="R43" s="3" t="n">
        <f aca="false">IF(AND(ISNUMBER(I43),I43&gt;D_F01!$B$7-D_F01!$B$25,I43&lt;=D_F01!$B$7),1,0)</f>
        <v>1</v>
      </c>
      <c r="S43" s="3" t="n">
        <f aca="false">R43*F43*Q43</f>
        <v>2512641968</v>
      </c>
      <c r="T43" s="3" t="n">
        <f aca="false">R43*F43</f>
        <v>628160492</v>
      </c>
      <c r="U43" s="3" t="n">
        <f aca="false">IF(AND(H43&gt;D_F01!$B$7-D_F01!$B$25,H43&lt;=D_F01!$B$7),IF(M43=1,O43,Q43),0)</f>
        <v>4</v>
      </c>
      <c r="V43" s="3" t="n">
        <f aca="false">F43*W43</f>
        <v>628160492</v>
      </c>
      <c r="W43" s="3" t="n">
        <f aca="false">IF(AND(H43&gt;D_F01!$B$7-D_F01!$B$25,H43&lt;=D_F01!$B$7,L43&lt;&gt;"cancelled"),1,0)</f>
        <v>1</v>
      </c>
      <c r="X43" s="3" t="n">
        <f aca="false">V43*U43</f>
        <v>2512641968</v>
      </c>
      <c r="Y43" s="3" t="n">
        <f aca="false">M43*W43</f>
        <v>0</v>
      </c>
      <c r="Z43" s="3" t="n">
        <f aca="false">R43*F43*P43</f>
        <v>2512641968</v>
      </c>
      <c r="AA43" s="42" t="n">
        <f aca="false">T43*J43</f>
        <v>18844814760</v>
      </c>
    </row>
    <row r="44" customFormat="false" ht="25.5" hidden="false" customHeight="true" outlineLevel="0" collapsed="false">
      <c r="A44" s="89" t="s">
        <v>3025</v>
      </c>
      <c r="B44" s="89" t="s">
        <v>2666</v>
      </c>
      <c r="C44" s="89" t="s">
        <v>1981</v>
      </c>
      <c r="D44" s="89" t="s">
        <v>2738</v>
      </c>
      <c r="E44" s="89" t="s">
        <v>3026</v>
      </c>
      <c r="F44" s="88" t="n">
        <v>115619431</v>
      </c>
      <c r="G44" s="83" t="n">
        <v>46082</v>
      </c>
      <c r="H44" s="83" t="n">
        <v>46112</v>
      </c>
      <c r="I44" s="83" t="n">
        <v>46116</v>
      </c>
      <c r="J44" s="89" t="n">
        <v>30</v>
      </c>
      <c r="K44" s="89" t="s">
        <v>2704</v>
      </c>
      <c r="L44" s="89" t="s">
        <v>2957</v>
      </c>
      <c r="M44" s="4" t="n">
        <f aca="false">IF(AND(G44&lt;=D_F01!$B$7,OR(NOT(ISNUMBER(I44)),I44&gt;D_F01!$B$7),L44&lt;&gt;"cancelled"),1,0)</f>
        <v>0</v>
      </c>
      <c r="N44" s="33" t="n">
        <f aca="false">F44*M44</f>
        <v>0</v>
      </c>
      <c r="O44" s="4" t="n">
        <f aca="false">IF(M44=1,MAX(0,D_F01!$B$7-H44),0)</f>
        <v>0</v>
      </c>
      <c r="P44" s="4" t="n">
        <f aca="false">IF(AND(ISNUMBER(I44),I44&lt;=D_F01!$B$7),I44-H44,0)</f>
        <v>4</v>
      </c>
      <c r="Q44" s="4" t="n">
        <f aca="false">MAX(0,P44)</f>
        <v>4</v>
      </c>
      <c r="R44" s="4" t="n">
        <f aca="false">IF(AND(ISNUMBER(I44),I44&gt;D_F01!$B$7-D_F01!$B$25,I44&lt;=D_F01!$B$7),1,0)</f>
        <v>1</v>
      </c>
      <c r="S44" s="4" t="n">
        <f aca="false">R44*F44*Q44</f>
        <v>462477724</v>
      </c>
      <c r="T44" s="4" t="n">
        <f aca="false">R44*F44</f>
        <v>115619431</v>
      </c>
      <c r="U44" s="4" t="n">
        <f aca="false">IF(AND(H44&gt;D_F01!$B$7-D_F01!$B$25,H44&lt;=D_F01!$B$7),IF(M44=1,O44,Q44),0)</f>
        <v>4</v>
      </c>
      <c r="V44" s="4" t="n">
        <f aca="false">F44*W44</f>
        <v>115619431</v>
      </c>
      <c r="W44" s="4" t="n">
        <f aca="false">IF(AND(H44&gt;D_F01!$B$7-D_F01!$B$25,H44&lt;=D_F01!$B$7,L44&lt;&gt;"cancelled"),1,0)</f>
        <v>1</v>
      </c>
      <c r="X44" s="4" t="n">
        <f aca="false">V44*U44</f>
        <v>462477724</v>
      </c>
      <c r="Y44" s="4" t="n">
        <f aca="false">M44*W44</f>
        <v>0</v>
      </c>
      <c r="Z44" s="4" t="n">
        <f aca="false">R44*F44*P44</f>
        <v>462477724</v>
      </c>
      <c r="AA44" s="42" t="n">
        <f aca="false">T44*J44</f>
        <v>3468582930</v>
      </c>
    </row>
    <row r="45" customFormat="false" ht="25.5" hidden="false" customHeight="true" outlineLevel="0" collapsed="false">
      <c r="A45" s="82" t="s">
        <v>3027</v>
      </c>
      <c r="B45" s="82" t="s">
        <v>2666</v>
      </c>
      <c r="C45" s="82" t="s">
        <v>1981</v>
      </c>
      <c r="D45" s="82" t="s">
        <v>2738</v>
      </c>
      <c r="E45" s="82" t="s">
        <v>3028</v>
      </c>
      <c r="F45" s="87" t="n">
        <v>152201230</v>
      </c>
      <c r="G45" s="84" t="n">
        <v>46083</v>
      </c>
      <c r="H45" s="84" t="n">
        <v>46113</v>
      </c>
      <c r="I45" s="84" t="n">
        <v>46115</v>
      </c>
      <c r="J45" s="82" t="n">
        <v>30</v>
      </c>
      <c r="K45" s="82" t="s">
        <v>2704</v>
      </c>
      <c r="L45" s="82" t="s">
        <v>2957</v>
      </c>
      <c r="M45" s="3" t="n">
        <f aca="false">IF(AND(G45&lt;=D_F01!$B$7,OR(NOT(ISNUMBER(I45)),I45&gt;D_F01!$B$7),L45&lt;&gt;"cancelled"),1,0)</f>
        <v>0</v>
      </c>
      <c r="N45" s="32" t="n">
        <f aca="false">F45*M45</f>
        <v>0</v>
      </c>
      <c r="O45" s="3" t="n">
        <f aca="false">IF(M45=1,MAX(0,D_F01!$B$7-H45),0)</f>
        <v>0</v>
      </c>
      <c r="P45" s="3" t="n">
        <f aca="false">IF(AND(ISNUMBER(I45),I45&lt;=D_F01!$B$7),I45-H45,0)</f>
        <v>2</v>
      </c>
      <c r="Q45" s="3" t="n">
        <f aca="false">MAX(0,P45)</f>
        <v>2</v>
      </c>
      <c r="R45" s="3" t="n">
        <f aca="false">IF(AND(ISNUMBER(I45),I45&gt;D_F01!$B$7-D_F01!$B$25,I45&lt;=D_F01!$B$7),1,0)</f>
        <v>1</v>
      </c>
      <c r="S45" s="3" t="n">
        <f aca="false">R45*F45*Q45</f>
        <v>304402460</v>
      </c>
      <c r="T45" s="3" t="n">
        <f aca="false">R45*F45</f>
        <v>152201230</v>
      </c>
      <c r="U45" s="3" t="n">
        <f aca="false">IF(AND(H45&gt;D_F01!$B$7-D_F01!$B$25,H45&lt;=D_F01!$B$7),IF(M45=1,O45,Q45),0)</f>
        <v>2</v>
      </c>
      <c r="V45" s="3" t="n">
        <f aca="false">F45*W45</f>
        <v>152201230</v>
      </c>
      <c r="W45" s="3" t="n">
        <f aca="false">IF(AND(H45&gt;D_F01!$B$7-D_F01!$B$25,H45&lt;=D_F01!$B$7,L45&lt;&gt;"cancelled"),1,0)</f>
        <v>1</v>
      </c>
      <c r="X45" s="3" t="n">
        <f aca="false">V45*U45</f>
        <v>304402460</v>
      </c>
      <c r="Y45" s="3" t="n">
        <f aca="false">M45*W45</f>
        <v>0</v>
      </c>
      <c r="Z45" s="3" t="n">
        <f aca="false">R45*F45*P45</f>
        <v>304402460</v>
      </c>
      <c r="AA45" s="42" t="n">
        <f aca="false">T45*J45</f>
        <v>4566036900</v>
      </c>
    </row>
    <row r="46" customFormat="false" ht="25.5" hidden="false" customHeight="true" outlineLevel="0" collapsed="false">
      <c r="A46" s="89" t="s">
        <v>3029</v>
      </c>
      <c r="B46" s="89" t="s">
        <v>2666</v>
      </c>
      <c r="C46" s="89" t="s">
        <v>1979</v>
      </c>
      <c r="D46" s="89" t="s">
        <v>2736</v>
      </c>
      <c r="E46" s="89" t="s">
        <v>3017</v>
      </c>
      <c r="F46" s="88" t="n">
        <v>659011919</v>
      </c>
      <c r="G46" s="83" t="n">
        <v>46084</v>
      </c>
      <c r="H46" s="83" t="n">
        <v>46114</v>
      </c>
      <c r="I46" s="83" t="n">
        <v>46123</v>
      </c>
      <c r="J46" s="89" t="n">
        <v>30</v>
      </c>
      <c r="K46" s="89" t="s">
        <v>2704</v>
      </c>
      <c r="L46" s="89" t="s">
        <v>2957</v>
      </c>
      <c r="M46" s="4" t="n">
        <f aca="false">IF(AND(G46&lt;=D_F01!$B$7,OR(NOT(ISNUMBER(I46)),I46&gt;D_F01!$B$7),L46&lt;&gt;"cancelled"),1,0)</f>
        <v>0</v>
      </c>
      <c r="N46" s="33" t="n">
        <f aca="false">F46*M46</f>
        <v>0</v>
      </c>
      <c r="O46" s="4" t="n">
        <f aca="false">IF(M46=1,MAX(0,D_F01!$B$7-H46),0)</f>
        <v>0</v>
      </c>
      <c r="P46" s="4" t="n">
        <f aca="false">IF(AND(ISNUMBER(I46),I46&lt;=D_F01!$B$7),I46-H46,0)</f>
        <v>9</v>
      </c>
      <c r="Q46" s="4" t="n">
        <f aca="false">MAX(0,P46)</f>
        <v>9</v>
      </c>
      <c r="R46" s="4" t="n">
        <f aca="false">IF(AND(ISNUMBER(I46),I46&gt;D_F01!$B$7-D_F01!$B$25,I46&lt;=D_F01!$B$7),1,0)</f>
        <v>1</v>
      </c>
      <c r="S46" s="4" t="n">
        <f aca="false">R46*F46*Q46</f>
        <v>5931107271</v>
      </c>
      <c r="T46" s="4" t="n">
        <f aca="false">R46*F46</f>
        <v>659011919</v>
      </c>
      <c r="U46" s="4" t="n">
        <f aca="false">IF(AND(H46&gt;D_F01!$B$7-D_F01!$B$25,H46&lt;=D_F01!$B$7),IF(M46=1,O46,Q46),0)</f>
        <v>9</v>
      </c>
      <c r="V46" s="4" t="n">
        <f aca="false">F46*W46</f>
        <v>659011919</v>
      </c>
      <c r="W46" s="4" t="n">
        <f aca="false">IF(AND(H46&gt;D_F01!$B$7-D_F01!$B$25,H46&lt;=D_F01!$B$7,L46&lt;&gt;"cancelled"),1,0)</f>
        <v>1</v>
      </c>
      <c r="X46" s="4" t="n">
        <f aca="false">V46*U46</f>
        <v>5931107271</v>
      </c>
      <c r="Y46" s="4" t="n">
        <f aca="false">M46*W46</f>
        <v>0</v>
      </c>
      <c r="Z46" s="4" t="n">
        <f aca="false">R46*F46*P46</f>
        <v>5931107271</v>
      </c>
      <c r="AA46" s="42" t="n">
        <f aca="false">T46*J46</f>
        <v>19770357570</v>
      </c>
    </row>
    <row r="47" customFormat="false" ht="25.5" hidden="false" customHeight="true" outlineLevel="0" collapsed="false">
      <c r="A47" s="82" t="s">
        <v>3030</v>
      </c>
      <c r="B47" s="82" t="s">
        <v>2666</v>
      </c>
      <c r="C47" s="82" t="s">
        <v>1977</v>
      </c>
      <c r="D47" s="82" t="s">
        <v>2732</v>
      </c>
      <c r="E47" s="82" t="s">
        <v>3031</v>
      </c>
      <c r="F47" s="87" t="n">
        <v>633970674</v>
      </c>
      <c r="G47" s="84" t="n">
        <v>46088</v>
      </c>
      <c r="H47" s="84" t="n">
        <v>46133</v>
      </c>
      <c r="I47" s="84" t="n">
        <v>46137</v>
      </c>
      <c r="J47" s="82" t="n">
        <v>45</v>
      </c>
      <c r="K47" s="82" t="s">
        <v>2704</v>
      </c>
      <c r="L47" s="82" t="s">
        <v>2957</v>
      </c>
      <c r="M47" s="3" t="n">
        <f aca="false">IF(AND(G47&lt;=D_F01!$B$7,OR(NOT(ISNUMBER(I47)),I47&gt;D_F01!$B$7),L47&lt;&gt;"cancelled"),1,0)</f>
        <v>0</v>
      </c>
      <c r="N47" s="32" t="n">
        <f aca="false">F47*M47</f>
        <v>0</v>
      </c>
      <c r="O47" s="3" t="n">
        <f aca="false">IF(M47=1,MAX(0,D_F01!$B$7-H47),0)</f>
        <v>0</v>
      </c>
      <c r="P47" s="3" t="n">
        <f aca="false">IF(AND(ISNUMBER(I47),I47&lt;=D_F01!$B$7),I47-H47,0)</f>
        <v>4</v>
      </c>
      <c r="Q47" s="3" t="n">
        <f aca="false">MAX(0,P47)</f>
        <v>4</v>
      </c>
      <c r="R47" s="3" t="n">
        <f aca="false">IF(AND(ISNUMBER(I47),I47&gt;D_F01!$B$7-D_F01!$B$25,I47&lt;=D_F01!$B$7),1,0)</f>
        <v>1</v>
      </c>
      <c r="S47" s="3" t="n">
        <f aca="false">R47*F47*Q47</f>
        <v>2535882696</v>
      </c>
      <c r="T47" s="3" t="n">
        <f aca="false">R47*F47</f>
        <v>633970674</v>
      </c>
      <c r="U47" s="3" t="n">
        <f aca="false">IF(AND(H47&gt;D_F01!$B$7-D_F01!$B$25,H47&lt;=D_F01!$B$7),IF(M47=1,O47,Q47),0)</f>
        <v>4</v>
      </c>
      <c r="V47" s="3" t="n">
        <f aca="false">F47*W47</f>
        <v>633970674</v>
      </c>
      <c r="W47" s="3" t="n">
        <f aca="false">IF(AND(H47&gt;D_F01!$B$7-D_F01!$B$25,H47&lt;=D_F01!$B$7,L47&lt;&gt;"cancelled"),1,0)</f>
        <v>1</v>
      </c>
      <c r="X47" s="3" t="n">
        <f aca="false">V47*U47</f>
        <v>2535882696</v>
      </c>
      <c r="Y47" s="3" t="n">
        <f aca="false">M47*W47</f>
        <v>0</v>
      </c>
      <c r="Z47" s="3" t="n">
        <f aca="false">R47*F47*P47</f>
        <v>2535882696</v>
      </c>
      <c r="AA47" s="42" t="n">
        <f aca="false">T47*J47</f>
        <v>28528680330</v>
      </c>
    </row>
    <row r="48" customFormat="false" ht="25.5" hidden="false" customHeight="true" outlineLevel="0" collapsed="false">
      <c r="A48" s="89" t="s">
        <v>3032</v>
      </c>
      <c r="B48" s="89" t="s">
        <v>2666</v>
      </c>
      <c r="C48" s="89" t="s">
        <v>1981</v>
      </c>
      <c r="D48" s="89" t="s">
        <v>2738</v>
      </c>
      <c r="E48" s="89" t="s">
        <v>3028</v>
      </c>
      <c r="F48" s="88" t="n">
        <v>209715649</v>
      </c>
      <c r="G48" s="83" t="n">
        <v>46089</v>
      </c>
      <c r="H48" s="83" t="n">
        <v>46119</v>
      </c>
      <c r="I48" s="83" t="n">
        <v>46128</v>
      </c>
      <c r="J48" s="89" t="n">
        <v>30</v>
      </c>
      <c r="K48" s="89" t="s">
        <v>2704</v>
      </c>
      <c r="L48" s="89" t="s">
        <v>2957</v>
      </c>
      <c r="M48" s="4" t="n">
        <f aca="false">IF(AND(G48&lt;=D_F01!$B$7,OR(NOT(ISNUMBER(I48)),I48&gt;D_F01!$B$7),L48&lt;&gt;"cancelled"),1,0)</f>
        <v>0</v>
      </c>
      <c r="N48" s="33" t="n">
        <f aca="false">F48*M48</f>
        <v>0</v>
      </c>
      <c r="O48" s="4" t="n">
        <f aca="false">IF(M48=1,MAX(0,D_F01!$B$7-H48),0)</f>
        <v>0</v>
      </c>
      <c r="P48" s="4" t="n">
        <f aca="false">IF(AND(ISNUMBER(I48),I48&lt;=D_F01!$B$7),I48-H48,0)</f>
        <v>9</v>
      </c>
      <c r="Q48" s="4" t="n">
        <f aca="false">MAX(0,P48)</f>
        <v>9</v>
      </c>
      <c r="R48" s="4" t="n">
        <f aca="false">IF(AND(ISNUMBER(I48),I48&gt;D_F01!$B$7-D_F01!$B$25,I48&lt;=D_F01!$B$7),1,0)</f>
        <v>1</v>
      </c>
      <c r="S48" s="4" t="n">
        <f aca="false">R48*F48*Q48</f>
        <v>1887440841</v>
      </c>
      <c r="T48" s="4" t="n">
        <f aca="false">R48*F48</f>
        <v>209715649</v>
      </c>
      <c r="U48" s="4" t="n">
        <f aca="false">IF(AND(H48&gt;D_F01!$B$7-D_F01!$B$25,H48&lt;=D_F01!$B$7),IF(M48=1,O48,Q48),0)</f>
        <v>9</v>
      </c>
      <c r="V48" s="4" t="n">
        <f aca="false">F48*W48</f>
        <v>209715649</v>
      </c>
      <c r="W48" s="4" t="n">
        <f aca="false">IF(AND(H48&gt;D_F01!$B$7-D_F01!$B$25,H48&lt;=D_F01!$B$7,L48&lt;&gt;"cancelled"),1,0)</f>
        <v>1</v>
      </c>
      <c r="X48" s="4" t="n">
        <f aca="false">V48*U48</f>
        <v>1887440841</v>
      </c>
      <c r="Y48" s="4" t="n">
        <f aca="false">M48*W48</f>
        <v>0</v>
      </c>
      <c r="Z48" s="4" t="n">
        <f aca="false">R48*F48*P48</f>
        <v>1887440841</v>
      </c>
      <c r="AA48" s="42" t="n">
        <f aca="false">T48*J48</f>
        <v>6291469470</v>
      </c>
    </row>
    <row r="49" customFormat="false" ht="25.5" hidden="false" customHeight="true" outlineLevel="0" collapsed="false">
      <c r="A49" s="82" t="s">
        <v>3033</v>
      </c>
      <c r="B49" s="82" t="s">
        <v>2666</v>
      </c>
      <c r="C49" s="82" t="s">
        <v>1979</v>
      </c>
      <c r="D49" s="82" t="s">
        <v>2736</v>
      </c>
      <c r="E49" s="82" t="s">
        <v>3034</v>
      </c>
      <c r="F49" s="87" t="n">
        <v>287332657</v>
      </c>
      <c r="G49" s="84" t="n">
        <v>46089</v>
      </c>
      <c r="H49" s="84" t="n">
        <v>46119</v>
      </c>
      <c r="I49" s="84" t="n">
        <v>46119</v>
      </c>
      <c r="J49" s="82" t="n">
        <v>30</v>
      </c>
      <c r="K49" s="82" t="s">
        <v>2704</v>
      </c>
      <c r="L49" s="82" t="s">
        <v>2957</v>
      </c>
      <c r="M49" s="3" t="n">
        <f aca="false">IF(AND(G49&lt;=D_F01!$B$7,OR(NOT(ISNUMBER(I49)),I49&gt;D_F01!$B$7),L49&lt;&gt;"cancelled"),1,0)</f>
        <v>0</v>
      </c>
      <c r="N49" s="32" t="n">
        <f aca="false">F49*M49</f>
        <v>0</v>
      </c>
      <c r="O49" s="3" t="n">
        <f aca="false">IF(M49=1,MAX(0,D_F01!$B$7-H49),0)</f>
        <v>0</v>
      </c>
      <c r="P49" s="3" t="n">
        <f aca="false">IF(AND(ISNUMBER(I49),I49&lt;=D_F01!$B$7),I49-H49,0)</f>
        <v>0</v>
      </c>
      <c r="Q49" s="3" t="n">
        <f aca="false">MAX(0,P49)</f>
        <v>0</v>
      </c>
      <c r="R49" s="3" t="n">
        <f aca="false">IF(AND(ISNUMBER(I49),I49&gt;D_F01!$B$7-D_F01!$B$25,I49&lt;=D_F01!$B$7),1,0)</f>
        <v>1</v>
      </c>
      <c r="S49" s="3" t="n">
        <f aca="false">R49*F49*Q49</f>
        <v>0</v>
      </c>
      <c r="T49" s="3" t="n">
        <f aca="false">R49*F49</f>
        <v>287332657</v>
      </c>
      <c r="U49" s="3" t="n">
        <f aca="false">IF(AND(H49&gt;D_F01!$B$7-D_F01!$B$25,H49&lt;=D_F01!$B$7),IF(M49=1,O49,Q49),0)</f>
        <v>0</v>
      </c>
      <c r="V49" s="3" t="n">
        <f aca="false">F49*W49</f>
        <v>287332657</v>
      </c>
      <c r="W49" s="3" t="n">
        <f aca="false">IF(AND(H49&gt;D_F01!$B$7-D_F01!$B$25,H49&lt;=D_F01!$B$7,L49&lt;&gt;"cancelled"),1,0)</f>
        <v>1</v>
      </c>
      <c r="X49" s="3" t="n">
        <f aca="false">V49*U49</f>
        <v>0</v>
      </c>
      <c r="Y49" s="3" t="n">
        <f aca="false">M49*W49</f>
        <v>0</v>
      </c>
      <c r="Z49" s="3" t="n">
        <f aca="false">R49*F49*P49</f>
        <v>0</v>
      </c>
      <c r="AA49" s="42" t="n">
        <f aca="false">T49*J49</f>
        <v>8619979710</v>
      </c>
    </row>
    <row r="50" customFormat="false" ht="25.5" hidden="false" customHeight="true" outlineLevel="0" collapsed="false">
      <c r="A50" s="89" t="s">
        <v>3035</v>
      </c>
      <c r="B50" s="89" t="s">
        <v>2666</v>
      </c>
      <c r="C50" s="89" t="s">
        <v>1978</v>
      </c>
      <c r="D50" s="89" t="s">
        <v>2734</v>
      </c>
      <c r="E50" s="89" t="s">
        <v>3036</v>
      </c>
      <c r="F50" s="88" t="n">
        <v>614959886</v>
      </c>
      <c r="G50" s="83" t="n">
        <v>46090</v>
      </c>
      <c r="H50" s="83" t="n">
        <v>46120</v>
      </c>
      <c r="I50" s="83" t="n">
        <v>46116</v>
      </c>
      <c r="J50" s="89" t="n">
        <v>30</v>
      </c>
      <c r="K50" s="89" t="s">
        <v>2704</v>
      </c>
      <c r="L50" s="89" t="s">
        <v>2957</v>
      </c>
      <c r="M50" s="4" t="n">
        <f aca="false">IF(AND(G50&lt;=D_F01!$B$7,OR(NOT(ISNUMBER(I50)),I50&gt;D_F01!$B$7),L50&lt;&gt;"cancelled"),1,0)</f>
        <v>0</v>
      </c>
      <c r="N50" s="33" t="n">
        <f aca="false">F50*M50</f>
        <v>0</v>
      </c>
      <c r="O50" s="4" t="n">
        <f aca="false">IF(M50=1,MAX(0,D_F01!$B$7-H50),0)</f>
        <v>0</v>
      </c>
      <c r="P50" s="4" t="n">
        <f aca="false">IF(AND(ISNUMBER(I50),I50&lt;=D_F01!$B$7),I50-H50,0)</f>
        <v>-4</v>
      </c>
      <c r="Q50" s="4" t="n">
        <f aca="false">MAX(0,P50)</f>
        <v>0</v>
      </c>
      <c r="R50" s="4" t="n">
        <f aca="false">IF(AND(ISNUMBER(I50),I50&gt;D_F01!$B$7-D_F01!$B$25,I50&lt;=D_F01!$B$7),1,0)</f>
        <v>1</v>
      </c>
      <c r="S50" s="4" t="n">
        <f aca="false">R50*F50*Q50</f>
        <v>0</v>
      </c>
      <c r="T50" s="4" t="n">
        <f aca="false">R50*F50</f>
        <v>614959886</v>
      </c>
      <c r="U50" s="4" t="n">
        <f aca="false">IF(AND(H50&gt;D_F01!$B$7-D_F01!$B$25,H50&lt;=D_F01!$B$7),IF(M50=1,O50,Q50),0)</f>
        <v>0</v>
      </c>
      <c r="V50" s="4" t="n">
        <f aca="false">F50*W50</f>
        <v>614959886</v>
      </c>
      <c r="W50" s="4" t="n">
        <f aca="false">IF(AND(H50&gt;D_F01!$B$7-D_F01!$B$25,H50&lt;=D_F01!$B$7,L50&lt;&gt;"cancelled"),1,0)</f>
        <v>1</v>
      </c>
      <c r="X50" s="4" t="n">
        <f aca="false">V50*U50</f>
        <v>0</v>
      </c>
      <c r="Y50" s="4" t="n">
        <f aca="false">M50*W50</f>
        <v>0</v>
      </c>
      <c r="Z50" s="4" t="n">
        <f aca="false">R50*F50*P50</f>
        <v>-2459839544</v>
      </c>
      <c r="AA50" s="42" t="n">
        <f aca="false">T50*J50</f>
        <v>18448796580</v>
      </c>
    </row>
    <row r="51" customFormat="false" ht="39.75" hidden="false" customHeight="true" outlineLevel="0" collapsed="false">
      <c r="A51" s="82" t="s">
        <v>3037</v>
      </c>
      <c r="B51" s="82" t="s">
        <v>2666</v>
      </c>
      <c r="C51" s="82" t="s">
        <v>1980</v>
      </c>
      <c r="D51" s="82" t="s">
        <v>2737</v>
      </c>
      <c r="E51" s="82" t="s">
        <v>3038</v>
      </c>
      <c r="F51" s="87" t="n">
        <v>1276726855</v>
      </c>
      <c r="G51" s="84" t="n">
        <v>46091</v>
      </c>
      <c r="H51" s="84" t="n">
        <v>46121</v>
      </c>
      <c r="I51" s="84" t="n">
        <v>46117</v>
      </c>
      <c r="J51" s="82" t="n">
        <v>30</v>
      </c>
      <c r="K51" s="82" t="s">
        <v>2704</v>
      </c>
      <c r="L51" s="82" t="s">
        <v>2957</v>
      </c>
      <c r="M51" s="3" t="n">
        <f aca="false">IF(AND(G51&lt;=D_F01!$B$7,OR(NOT(ISNUMBER(I51)),I51&gt;D_F01!$B$7),L51&lt;&gt;"cancelled"),1,0)</f>
        <v>0</v>
      </c>
      <c r="N51" s="32" t="n">
        <f aca="false">F51*M51</f>
        <v>0</v>
      </c>
      <c r="O51" s="3" t="n">
        <f aca="false">IF(M51=1,MAX(0,D_F01!$B$7-H51),0)</f>
        <v>0</v>
      </c>
      <c r="P51" s="3" t="n">
        <f aca="false">IF(AND(ISNUMBER(I51),I51&lt;=D_F01!$B$7),I51-H51,0)</f>
        <v>-4</v>
      </c>
      <c r="Q51" s="3" t="n">
        <f aca="false">MAX(0,P51)</f>
        <v>0</v>
      </c>
      <c r="R51" s="3" t="n">
        <f aca="false">IF(AND(ISNUMBER(I51),I51&gt;D_F01!$B$7-D_F01!$B$25,I51&lt;=D_F01!$B$7),1,0)</f>
        <v>1</v>
      </c>
      <c r="S51" s="3" t="n">
        <f aca="false">R51*F51*Q51</f>
        <v>0</v>
      </c>
      <c r="T51" s="3" t="n">
        <f aca="false">R51*F51</f>
        <v>1276726855</v>
      </c>
      <c r="U51" s="3" t="n">
        <f aca="false">IF(AND(H51&gt;D_F01!$B$7-D_F01!$B$25,H51&lt;=D_F01!$B$7),IF(M51=1,O51,Q51),0)</f>
        <v>0</v>
      </c>
      <c r="V51" s="3" t="n">
        <f aca="false">F51*W51</f>
        <v>1276726855</v>
      </c>
      <c r="W51" s="3" t="n">
        <f aca="false">IF(AND(H51&gt;D_F01!$B$7-D_F01!$B$25,H51&lt;=D_F01!$B$7,L51&lt;&gt;"cancelled"),1,0)</f>
        <v>1</v>
      </c>
      <c r="X51" s="3" t="n">
        <f aca="false">V51*U51</f>
        <v>0</v>
      </c>
      <c r="Y51" s="3" t="n">
        <f aca="false">M51*W51</f>
        <v>0</v>
      </c>
      <c r="Z51" s="3" t="n">
        <f aca="false">R51*F51*P51</f>
        <v>-5106907420</v>
      </c>
      <c r="AA51" s="42" t="n">
        <f aca="false">T51*J51</f>
        <v>38301805650</v>
      </c>
    </row>
    <row r="52" customFormat="false" ht="25.5" hidden="false" customHeight="true" outlineLevel="0" collapsed="false">
      <c r="A52" s="89" t="s">
        <v>3039</v>
      </c>
      <c r="B52" s="89" t="s">
        <v>2666</v>
      </c>
      <c r="C52" s="89" t="s">
        <v>1978</v>
      </c>
      <c r="D52" s="89" t="s">
        <v>2734</v>
      </c>
      <c r="E52" s="89" t="s">
        <v>3040</v>
      </c>
      <c r="F52" s="88" t="n">
        <v>407185222</v>
      </c>
      <c r="G52" s="83" t="n">
        <v>46094</v>
      </c>
      <c r="H52" s="83" t="n">
        <v>46124</v>
      </c>
      <c r="I52" s="83" t="n">
        <v>46127</v>
      </c>
      <c r="J52" s="89" t="n">
        <v>30</v>
      </c>
      <c r="K52" s="89" t="s">
        <v>2704</v>
      </c>
      <c r="L52" s="89" t="s">
        <v>2957</v>
      </c>
      <c r="M52" s="4" t="n">
        <f aca="false">IF(AND(G52&lt;=D_F01!$B$7,OR(NOT(ISNUMBER(I52)),I52&gt;D_F01!$B$7),L52&lt;&gt;"cancelled"),1,0)</f>
        <v>0</v>
      </c>
      <c r="N52" s="33" t="n">
        <f aca="false">F52*M52</f>
        <v>0</v>
      </c>
      <c r="O52" s="4" t="n">
        <f aca="false">IF(M52=1,MAX(0,D_F01!$B$7-H52),0)</f>
        <v>0</v>
      </c>
      <c r="P52" s="4" t="n">
        <f aca="false">IF(AND(ISNUMBER(I52),I52&lt;=D_F01!$B$7),I52-H52,0)</f>
        <v>3</v>
      </c>
      <c r="Q52" s="4" t="n">
        <f aca="false">MAX(0,P52)</f>
        <v>3</v>
      </c>
      <c r="R52" s="4" t="n">
        <f aca="false">IF(AND(ISNUMBER(I52),I52&gt;D_F01!$B$7-D_F01!$B$25,I52&lt;=D_F01!$B$7),1,0)</f>
        <v>1</v>
      </c>
      <c r="S52" s="4" t="n">
        <f aca="false">R52*F52*Q52</f>
        <v>1221555666</v>
      </c>
      <c r="T52" s="4" t="n">
        <f aca="false">R52*F52</f>
        <v>407185222</v>
      </c>
      <c r="U52" s="4" t="n">
        <f aca="false">IF(AND(H52&gt;D_F01!$B$7-D_F01!$B$25,H52&lt;=D_F01!$B$7),IF(M52=1,O52,Q52),0)</f>
        <v>3</v>
      </c>
      <c r="V52" s="4" t="n">
        <f aca="false">F52*W52</f>
        <v>407185222</v>
      </c>
      <c r="W52" s="4" t="n">
        <f aca="false">IF(AND(H52&gt;D_F01!$B$7-D_F01!$B$25,H52&lt;=D_F01!$B$7,L52&lt;&gt;"cancelled"),1,0)</f>
        <v>1</v>
      </c>
      <c r="X52" s="4" t="n">
        <f aca="false">V52*U52</f>
        <v>1221555666</v>
      </c>
      <c r="Y52" s="4" t="n">
        <f aca="false">M52*W52</f>
        <v>0</v>
      </c>
      <c r="Z52" s="4" t="n">
        <f aca="false">R52*F52*P52</f>
        <v>1221555666</v>
      </c>
      <c r="AA52" s="42" t="n">
        <f aca="false">T52*J52</f>
        <v>12215556660</v>
      </c>
    </row>
    <row r="53" customFormat="false" ht="25.5" hidden="false" customHeight="true" outlineLevel="0" collapsed="false">
      <c r="A53" s="82" t="s">
        <v>3041</v>
      </c>
      <c r="B53" s="82" t="s">
        <v>2666</v>
      </c>
      <c r="C53" s="82" t="s">
        <v>1979</v>
      </c>
      <c r="D53" s="82" t="s">
        <v>2736</v>
      </c>
      <c r="E53" s="82" t="s">
        <v>3042</v>
      </c>
      <c r="F53" s="87" t="n">
        <v>202261376</v>
      </c>
      <c r="G53" s="84" t="n">
        <v>46095</v>
      </c>
      <c r="H53" s="84" t="n">
        <v>46125</v>
      </c>
      <c r="I53" s="84" t="n">
        <v>46129</v>
      </c>
      <c r="J53" s="82" t="n">
        <v>30</v>
      </c>
      <c r="K53" s="82" t="s">
        <v>2704</v>
      </c>
      <c r="L53" s="82" t="s">
        <v>2957</v>
      </c>
      <c r="M53" s="3" t="n">
        <f aca="false">IF(AND(G53&lt;=D_F01!$B$7,OR(NOT(ISNUMBER(I53)),I53&gt;D_F01!$B$7),L53&lt;&gt;"cancelled"),1,0)</f>
        <v>0</v>
      </c>
      <c r="N53" s="32" t="n">
        <f aca="false">F53*M53</f>
        <v>0</v>
      </c>
      <c r="O53" s="3" t="n">
        <f aca="false">IF(M53=1,MAX(0,D_F01!$B$7-H53),0)</f>
        <v>0</v>
      </c>
      <c r="P53" s="3" t="n">
        <f aca="false">IF(AND(ISNUMBER(I53),I53&lt;=D_F01!$B$7),I53-H53,0)</f>
        <v>4</v>
      </c>
      <c r="Q53" s="3" t="n">
        <f aca="false">MAX(0,P53)</f>
        <v>4</v>
      </c>
      <c r="R53" s="3" t="n">
        <f aca="false">IF(AND(ISNUMBER(I53),I53&gt;D_F01!$B$7-D_F01!$B$25,I53&lt;=D_F01!$B$7),1,0)</f>
        <v>1</v>
      </c>
      <c r="S53" s="3" t="n">
        <f aca="false">R53*F53*Q53</f>
        <v>809045504</v>
      </c>
      <c r="T53" s="3" t="n">
        <f aca="false">R53*F53</f>
        <v>202261376</v>
      </c>
      <c r="U53" s="3" t="n">
        <f aca="false">IF(AND(H53&gt;D_F01!$B$7-D_F01!$B$25,H53&lt;=D_F01!$B$7),IF(M53=1,O53,Q53),0)</f>
        <v>4</v>
      </c>
      <c r="V53" s="3" t="n">
        <f aca="false">F53*W53</f>
        <v>202261376</v>
      </c>
      <c r="W53" s="3" t="n">
        <f aca="false">IF(AND(H53&gt;D_F01!$B$7-D_F01!$B$25,H53&lt;=D_F01!$B$7,L53&lt;&gt;"cancelled"),1,0)</f>
        <v>1</v>
      </c>
      <c r="X53" s="3" t="n">
        <f aca="false">V53*U53</f>
        <v>809045504</v>
      </c>
      <c r="Y53" s="3" t="n">
        <f aca="false">M53*W53</f>
        <v>0</v>
      </c>
      <c r="Z53" s="3" t="n">
        <f aca="false">R53*F53*P53</f>
        <v>809045504</v>
      </c>
      <c r="AA53" s="42" t="n">
        <f aca="false">T53*J53</f>
        <v>6067841280</v>
      </c>
    </row>
    <row r="54" customFormat="false" ht="25.5" hidden="false" customHeight="true" outlineLevel="0" collapsed="false">
      <c r="A54" s="89" t="s">
        <v>3043</v>
      </c>
      <c r="B54" s="89" t="s">
        <v>2666</v>
      </c>
      <c r="C54" s="89" t="s">
        <v>1978</v>
      </c>
      <c r="D54" s="89" t="s">
        <v>2734</v>
      </c>
      <c r="E54" s="89" t="s">
        <v>3044</v>
      </c>
      <c r="F54" s="88" t="n">
        <v>371992118</v>
      </c>
      <c r="G54" s="83" t="n">
        <v>46096</v>
      </c>
      <c r="H54" s="83" t="n">
        <v>46126</v>
      </c>
      <c r="I54" s="83" t="n">
        <v>46124</v>
      </c>
      <c r="J54" s="89" t="n">
        <v>30</v>
      </c>
      <c r="K54" s="89" t="s">
        <v>2704</v>
      </c>
      <c r="L54" s="89" t="s">
        <v>2957</v>
      </c>
      <c r="M54" s="4" t="n">
        <f aca="false">IF(AND(G54&lt;=D_F01!$B$7,OR(NOT(ISNUMBER(I54)),I54&gt;D_F01!$B$7),L54&lt;&gt;"cancelled"),1,0)</f>
        <v>0</v>
      </c>
      <c r="N54" s="33" t="n">
        <f aca="false">F54*M54</f>
        <v>0</v>
      </c>
      <c r="O54" s="4" t="n">
        <f aca="false">IF(M54=1,MAX(0,D_F01!$B$7-H54),0)</f>
        <v>0</v>
      </c>
      <c r="P54" s="4" t="n">
        <f aca="false">IF(AND(ISNUMBER(I54),I54&lt;=D_F01!$B$7),I54-H54,0)</f>
        <v>-2</v>
      </c>
      <c r="Q54" s="4" t="n">
        <f aca="false">MAX(0,P54)</f>
        <v>0</v>
      </c>
      <c r="R54" s="4" t="n">
        <f aca="false">IF(AND(ISNUMBER(I54),I54&gt;D_F01!$B$7-D_F01!$B$25,I54&lt;=D_F01!$B$7),1,0)</f>
        <v>1</v>
      </c>
      <c r="S54" s="4" t="n">
        <f aca="false">R54*F54*Q54</f>
        <v>0</v>
      </c>
      <c r="T54" s="4" t="n">
        <f aca="false">R54*F54</f>
        <v>371992118</v>
      </c>
      <c r="U54" s="4" t="n">
        <f aca="false">IF(AND(H54&gt;D_F01!$B$7-D_F01!$B$25,H54&lt;=D_F01!$B$7),IF(M54=1,O54,Q54),0)</f>
        <v>0</v>
      </c>
      <c r="V54" s="4" t="n">
        <f aca="false">F54*W54</f>
        <v>371992118</v>
      </c>
      <c r="W54" s="4" t="n">
        <f aca="false">IF(AND(H54&gt;D_F01!$B$7-D_F01!$B$25,H54&lt;=D_F01!$B$7,L54&lt;&gt;"cancelled"),1,0)</f>
        <v>1</v>
      </c>
      <c r="X54" s="4" t="n">
        <f aca="false">V54*U54</f>
        <v>0</v>
      </c>
      <c r="Y54" s="4" t="n">
        <f aca="false">M54*W54</f>
        <v>0</v>
      </c>
      <c r="Z54" s="4" t="n">
        <f aca="false">R54*F54*P54</f>
        <v>-743984236</v>
      </c>
      <c r="AA54" s="42" t="n">
        <f aca="false">T54*J54</f>
        <v>11159763540</v>
      </c>
    </row>
    <row r="55" customFormat="false" ht="25.5" hidden="false" customHeight="true" outlineLevel="0" collapsed="false">
      <c r="A55" s="82" t="s">
        <v>2136</v>
      </c>
      <c r="B55" s="82" t="s">
        <v>2666</v>
      </c>
      <c r="C55" s="82" t="s">
        <v>1979</v>
      </c>
      <c r="D55" s="82" t="s">
        <v>2736</v>
      </c>
      <c r="E55" s="82" t="s">
        <v>3045</v>
      </c>
      <c r="F55" s="87" t="n">
        <v>730432904</v>
      </c>
      <c r="G55" s="84" t="n">
        <v>46096</v>
      </c>
      <c r="H55" s="84" t="n">
        <v>46126</v>
      </c>
      <c r="I55" s="84"/>
      <c r="J55" s="82" t="n">
        <v>30</v>
      </c>
      <c r="K55" s="82" t="s">
        <v>2704</v>
      </c>
      <c r="L55" s="82" t="s">
        <v>2957</v>
      </c>
      <c r="M55" s="3" t="n">
        <f aca="false">IF(AND(G55&lt;=D_F01!$B$7,OR(NOT(ISNUMBER(I55)),I55&gt;D_F01!$B$7),L55&lt;&gt;"cancelled"),1,0)</f>
        <v>1</v>
      </c>
      <c r="N55" s="32" t="n">
        <f aca="false">F55*M55</f>
        <v>730432904</v>
      </c>
      <c r="O55" s="3" t="n">
        <f aca="false">IF(M55=1,MAX(0,D_F01!$B$7-H55),0)</f>
        <v>77</v>
      </c>
      <c r="P55" s="3" t="n">
        <f aca="false">IF(AND(ISNUMBER(I55),I55&lt;=D_F01!$B$7),I55-H55,0)</f>
        <v>0</v>
      </c>
      <c r="Q55" s="3" t="n">
        <f aca="false">MAX(0,P55)</f>
        <v>0</v>
      </c>
      <c r="R55" s="3" t="n">
        <f aca="false">IF(AND(ISNUMBER(I55),I55&gt;D_F01!$B$7-D_F01!$B$25,I55&lt;=D_F01!$B$7),1,0)</f>
        <v>0</v>
      </c>
      <c r="S55" s="3" t="n">
        <f aca="false">R55*F55*Q55</f>
        <v>0</v>
      </c>
      <c r="T55" s="3" t="n">
        <f aca="false">R55*F55</f>
        <v>0</v>
      </c>
      <c r="U55" s="3" t="n">
        <f aca="false">IF(AND(H55&gt;D_F01!$B$7-D_F01!$B$25,H55&lt;=D_F01!$B$7),IF(M55=1,O55,Q55),0)</f>
        <v>77</v>
      </c>
      <c r="V55" s="3" t="n">
        <f aca="false">F55*W55</f>
        <v>730432904</v>
      </c>
      <c r="W55" s="3" t="n">
        <f aca="false">IF(AND(H55&gt;D_F01!$B$7-D_F01!$B$25,H55&lt;=D_F01!$B$7,L55&lt;&gt;"cancelled"),1,0)</f>
        <v>1</v>
      </c>
      <c r="X55" s="3" t="n">
        <f aca="false">V55*U55</f>
        <v>56243333608</v>
      </c>
      <c r="Y55" s="3" t="n">
        <f aca="false">M55*W55</f>
        <v>1</v>
      </c>
      <c r="Z55" s="3" t="n">
        <f aca="false">R55*F55*P55</f>
        <v>0</v>
      </c>
      <c r="AA55" s="42" t="n">
        <f aca="false">T55*J55</f>
        <v>0</v>
      </c>
    </row>
    <row r="56" customFormat="false" ht="25.5" hidden="false" customHeight="true" outlineLevel="0" collapsed="false">
      <c r="A56" s="89" t="s">
        <v>3046</v>
      </c>
      <c r="B56" s="89" t="s">
        <v>2666</v>
      </c>
      <c r="C56" s="89" t="s">
        <v>1977</v>
      </c>
      <c r="D56" s="89" t="s">
        <v>2732</v>
      </c>
      <c r="E56" s="89" t="s">
        <v>3047</v>
      </c>
      <c r="F56" s="88" t="n">
        <v>840541801</v>
      </c>
      <c r="G56" s="83" t="n">
        <v>46100</v>
      </c>
      <c r="H56" s="83" t="n">
        <v>46145</v>
      </c>
      <c r="I56" s="83" t="n">
        <v>46162</v>
      </c>
      <c r="J56" s="89" t="n">
        <v>45</v>
      </c>
      <c r="K56" s="89" t="s">
        <v>2704</v>
      </c>
      <c r="L56" s="89" t="s">
        <v>2957</v>
      </c>
      <c r="M56" s="4" t="n">
        <f aca="false">IF(AND(G56&lt;=D_F01!$B$7,OR(NOT(ISNUMBER(I56)),I56&gt;D_F01!$B$7),L56&lt;&gt;"cancelled"),1,0)</f>
        <v>0</v>
      </c>
      <c r="N56" s="33" t="n">
        <f aca="false">F56*M56</f>
        <v>0</v>
      </c>
      <c r="O56" s="4" t="n">
        <f aca="false">IF(M56=1,MAX(0,D_F01!$B$7-H56),0)</f>
        <v>0</v>
      </c>
      <c r="P56" s="4" t="n">
        <f aca="false">IF(AND(ISNUMBER(I56),I56&lt;=D_F01!$B$7),I56-H56,0)</f>
        <v>17</v>
      </c>
      <c r="Q56" s="4" t="n">
        <f aca="false">MAX(0,P56)</f>
        <v>17</v>
      </c>
      <c r="R56" s="4" t="n">
        <f aca="false">IF(AND(ISNUMBER(I56),I56&gt;D_F01!$B$7-D_F01!$B$25,I56&lt;=D_F01!$B$7),1,0)</f>
        <v>1</v>
      </c>
      <c r="S56" s="4" t="n">
        <f aca="false">R56*F56*Q56</f>
        <v>14289210617</v>
      </c>
      <c r="T56" s="4" t="n">
        <f aca="false">R56*F56</f>
        <v>840541801</v>
      </c>
      <c r="U56" s="4" t="n">
        <f aca="false">IF(AND(H56&gt;D_F01!$B$7-D_F01!$B$25,H56&lt;=D_F01!$B$7),IF(M56=1,O56,Q56),0)</f>
        <v>17</v>
      </c>
      <c r="V56" s="4" t="n">
        <f aca="false">F56*W56</f>
        <v>840541801</v>
      </c>
      <c r="W56" s="4" t="n">
        <f aca="false">IF(AND(H56&gt;D_F01!$B$7-D_F01!$B$25,H56&lt;=D_F01!$B$7,L56&lt;&gt;"cancelled"),1,0)</f>
        <v>1</v>
      </c>
      <c r="X56" s="4" t="n">
        <f aca="false">V56*U56</f>
        <v>14289210617</v>
      </c>
      <c r="Y56" s="4" t="n">
        <f aca="false">M56*W56</f>
        <v>0</v>
      </c>
      <c r="Z56" s="4" t="n">
        <f aca="false">R56*F56*P56</f>
        <v>14289210617</v>
      </c>
      <c r="AA56" s="42" t="n">
        <f aca="false">T56*J56</f>
        <v>37824381045</v>
      </c>
    </row>
    <row r="57" customFormat="false" ht="39.75" hidden="false" customHeight="true" outlineLevel="0" collapsed="false">
      <c r="A57" s="82" t="s">
        <v>3048</v>
      </c>
      <c r="B57" s="82" t="s">
        <v>2666</v>
      </c>
      <c r="C57" s="82" t="s">
        <v>1980</v>
      </c>
      <c r="D57" s="82" t="s">
        <v>2737</v>
      </c>
      <c r="E57" s="82" t="s">
        <v>3049</v>
      </c>
      <c r="F57" s="87" t="n">
        <v>785380189</v>
      </c>
      <c r="G57" s="84" t="n">
        <v>46100</v>
      </c>
      <c r="H57" s="84" t="n">
        <v>46130</v>
      </c>
      <c r="I57" s="84" t="n">
        <v>46132</v>
      </c>
      <c r="J57" s="82" t="n">
        <v>30</v>
      </c>
      <c r="K57" s="82" t="s">
        <v>2704</v>
      </c>
      <c r="L57" s="82" t="s">
        <v>2957</v>
      </c>
      <c r="M57" s="3" t="n">
        <f aca="false">IF(AND(G57&lt;=D_F01!$B$7,OR(NOT(ISNUMBER(I57)),I57&gt;D_F01!$B$7),L57&lt;&gt;"cancelled"),1,0)</f>
        <v>0</v>
      </c>
      <c r="N57" s="32" t="n">
        <f aca="false">F57*M57</f>
        <v>0</v>
      </c>
      <c r="O57" s="3" t="n">
        <f aca="false">IF(M57=1,MAX(0,D_F01!$B$7-H57),0)</f>
        <v>0</v>
      </c>
      <c r="P57" s="3" t="n">
        <f aca="false">IF(AND(ISNUMBER(I57),I57&lt;=D_F01!$B$7),I57-H57,0)</f>
        <v>2</v>
      </c>
      <c r="Q57" s="3" t="n">
        <f aca="false">MAX(0,P57)</f>
        <v>2</v>
      </c>
      <c r="R57" s="3" t="n">
        <f aca="false">IF(AND(ISNUMBER(I57),I57&gt;D_F01!$B$7-D_F01!$B$25,I57&lt;=D_F01!$B$7),1,0)</f>
        <v>1</v>
      </c>
      <c r="S57" s="3" t="n">
        <f aca="false">R57*F57*Q57</f>
        <v>1570760378</v>
      </c>
      <c r="T57" s="3" t="n">
        <f aca="false">R57*F57</f>
        <v>785380189</v>
      </c>
      <c r="U57" s="3" t="n">
        <f aca="false">IF(AND(H57&gt;D_F01!$B$7-D_F01!$B$25,H57&lt;=D_F01!$B$7),IF(M57=1,O57,Q57),0)</f>
        <v>2</v>
      </c>
      <c r="V57" s="3" t="n">
        <f aca="false">F57*W57</f>
        <v>785380189</v>
      </c>
      <c r="W57" s="3" t="n">
        <f aca="false">IF(AND(H57&gt;D_F01!$B$7-D_F01!$B$25,H57&lt;=D_F01!$B$7,L57&lt;&gt;"cancelled"),1,0)</f>
        <v>1</v>
      </c>
      <c r="X57" s="3" t="n">
        <f aca="false">V57*U57</f>
        <v>1570760378</v>
      </c>
      <c r="Y57" s="3" t="n">
        <f aca="false">M57*W57</f>
        <v>0</v>
      </c>
      <c r="Z57" s="3" t="n">
        <f aca="false">R57*F57*P57</f>
        <v>1570760378</v>
      </c>
      <c r="AA57" s="42" t="n">
        <f aca="false">T57*J57</f>
        <v>23561405670</v>
      </c>
    </row>
    <row r="58" customFormat="false" ht="25.5" hidden="false" customHeight="true" outlineLevel="0" collapsed="false">
      <c r="A58" s="89" t="s">
        <v>3050</v>
      </c>
      <c r="B58" s="89" t="s">
        <v>2666</v>
      </c>
      <c r="C58" s="89" t="s">
        <v>1978</v>
      </c>
      <c r="D58" s="89" t="s">
        <v>2734</v>
      </c>
      <c r="E58" s="89" t="s">
        <v>3051</v>
      </c>
      <c r="F58" s="88" t="n">
        <v>366488408</v>
      </c>
      <c r="G58" s="83" t="n">
        <v>46101</v>
      </c>
      <c r="H58" s="83" t="n">
        <v>46131</v>
      </c>
      <c r="I58" s="83" t="n">
        <v>46130</v>
      </c>
      <c r="J58" s="89" t="n">
        <v>30</v>
      </c>
      <c r="K58" s="89" t="s">
        <v>2704</v>
      </c>
      <c r="L58" s="89" t="s">
        <v>2957</v>
      </c>
      <c r="M58" s="4" t="n">
        <f aca="false">IF(AND(G58&lt;=D_F01!$B$7,OR(NOT(ISNUMBER(I58)),I58&gt;D_F01!$B$7),L58&lt;&gt;"cancelled"),1,0)</f>
        <v>0</v>
      </c>
      <c r="N58" s="33" t="n">
        <f aca="false">F58*M58</f>
        <v>0</v>
      </c>
      <c r="O58" s="4" t="n">
        <f aca="false">IF(M58=1,MAX(0,D_F01!$B$7-H58),0)</f>
        <v>0</v>
      </c>
      <c r="P58" s="4" t="n">
        <f aca="false">IF(AND(ISNUMBER(I58),I58&lt;=D_F01!$B$7),I58-H58,0)</f>
        <v>-1</v>
      </c>
      <c r="Q58" s="4" t="n">
        <f aca="false">MAX(0,P58)</f>
        <v>0</v>
      </c>
      <c r="R58" s="4" t="n">
        <f aca="false">IF(AND(ISNUMBER(I58),I58&gt;D_F01!$B$7-D_F01!$B$25,I58&lt;=D_F01!$B$7),1,0)</f>
        <v>1</v>
      </c>
      <c r="S58" s="4" t="n">
        <f aca="false">R58*F58*Q58</f>
        <v>0</v>
      </c>
      <c r="T58" s="4" t="n">
        <f aca="false">R58*F58</f>
        <v>366488408</v>
      </c>
      <c r="U58" s="4" t="n">
        <f aca="false">IF(AND(H58&gt;D_F01!$B$7-D_F01!$B$25,H58&lt;=D_F01!$B$7),IF(M58=1,O58,Q58),0)</f>
        <v>0</v>
      </c>
      <c r="V58" s="4" t="n">
        <f aca="false">F58*W58</f>
        <v>366488408</v>
      </c>
      <c r="W58" s="4" t="n">
        <f aca="false">IF(AND(H58&gt;D_F01!$B$7-D_F01!$B$25,H58&lt;=D_F01!$B$7,L58&lt;&gt;"cancelled"),1,0)</f>
        <v>1</v>
      </c>
      <c r="X58" s="4" t="n">
        <f aca="false">V58*U58</f>
        <v>0</v>
      </c>
      <c r="Y58" s="4" t="n">
        <f aca="false">M58*W58</f>
        <v>0</v>
      </c>
      <c r="Z58" s="4" t="n">
        <f aca="false">R58*F58*P58</f>
        <v>-366488408</v>
      </c>
      <c r="AA58" s="42" t="n">
        <f aca="false">T58*J58</f>
        <v>10994652240</v>
      </c>
    </row>
    <row r="59" customFormat="false" ht="39.75" hidden="false" customHeight="true" outlineLevel="0" collapsed="false">
      <c r="A59" s="82" t="s">
        <v>3052</v>
      </c>
      <c r="B59" s="82" t="s">
        <v>2666</v>
      </c>
      <c r="C59" s="82" t="s">
        <v>1980</v>
      </c>
      <c r="D59" s="82" t="s">
        <v>2737</v>
      </c>
      <c r="E59" s="82" t="s">
        <v>3049</v>
      </c>
      <c r="F59" s="87" t="n">
        <v>1146728819</v>
      </c>
      <c r="G59" s="84" t="n">
        <v>46102</v>
      </c>
      <c r="H59" s="84" t="n">
        <v>46132</v>
      </c>
      <c r="I59" s="84" t="n">
        <v>46131</v>
      </c>
      <c r="J59" s="82" t="n">
        <v>30</v>
      </c>
      <c r="K59" s="82" t="s">
        <v>2704</v>
      </c>
      <c r="L59" s="82" t="s">
        <v>2957</v>
      </c>
      <c r="M59" s="3" t="n">
        <f aca="false">IF(AND(G59&lt;=D_F01!$B$7,OR(NOT(ISNUMBER(I59)),I59&gt;D_F01!$B$7),L59&lt;&gt;"cancelled"),1,0)</f>
        <v>0</v>
      </c>
      <c r="N59" s="32" t="n">
        <f aca="false">F59*M59</f>
        <v>0</v>
      </c>
      <c r="O59" s="3" t="n">
        <f aca="false">IF(M59=1,MAX(0,D_F01!$B$7-H59),0)</f>
        <v>0</v>
      </c>
      <c r="P59" s="3" t="n">
        <f aca="false">IF(AND(ISNUMBER(I59),I59&lt;=D_F01!$B$7),I59-H59,0)</f>
        <v>-1</v>
      </c>
      <c r="Q59" s="3" t="n">
        <f aca="false">MAX(0,P59)</f>
        <v>0</v>
      </c>
      <c r="R59" s="3" t="n">
        <f aca="false">IF(AND(ISNUMBER(I59),I59&gt;D_F01!$B$7-D_F01!$B$25,I59&lt;=D_F01!$B$7),1,0)</f>
        <v>1</v>
      </c>
      <c r="S59" s="3" t="n">
        <f aca="false">R59*F59*Q59</f>
        <v>0</v>
      </c>
      <c r="T59" s="3" t="n">
        <f aca="false">R59*F59</f>
        <v>1146728819</v>
      </c>
      <c r="U59" s="3" t="n">
        <f aca="false">IF(AND(H59&gt;D_F01!$B$7-D_F01!$B$25,H59&lt;=D_F01!$B$7),IF(M59=1,O59,Q59),0)</f>
        <v>0</v>
      </c>
      <c r="V59" s="3" t="n">
        <f aca="false">F59*W59</f>
        <v>1146728819</v>
      </c>
      <c r="W59" s="3" t="n">
        <f aca="false">IF(AND(H59&gt;D_F01!$B$7-D_F01!$B$25,H59&lt;=D_F01!$B$7,L59&lt;&gt;"cancelled"),1,0)</f>
        <v>1</v>
      </c>
      <c r="X59" s="3" t="n">
        <f aca="false">V59*U59</f>
        <v>0</v>
      </c>
      <c r="Y59" s="3" t="n">
        <f aca="false">M59*W59</f>
        <v>0</v>
      </c>
      <c r="Z59" s="3" t="n">
        <f aca="false">R59*F59*P59</f>
        <v>-1146728819</v>
      </c>
      <c r="AA59" s="42" t="n">
        <f aca="false">T59*J59</f>
        <v>34401864570</v>
      </c>
    </row>
    <row r="60" customFormat="false" ht="25.5" hidden="false" customHeight="true" outlineLevel="0" collapsed="false">
      <c r="A60" s="89" t="s">
        <v>2138</v>
      </c>
      <c r="B60" s="89" t="s">
        <v>2666</v>
      </c>
      <c r="C60" s="89" t="s">
        <v>1979</v>
      </c>
      <c r="D60" s="89" t="s">
        <v>2736</v>
      </c>
      <c r="E60" s="89" t="s">
        <v>3053</v>
      </c>
      <c r="F60" s="88" t="n">
        <v>593475685</v>
      </c>
      <c r="G60" s="83" t="n">
        <v>46107</v>
      </c>
      <c r="H60" s="83" t="n">
        <v>46137</v>
      </c>
      <c r="I60" s="83"/>
      <c r="J60" s="89" t="n">
        <v>30</v>
      </c>
      <c r="K60" s="89" t="s">
        <v>2704</v>
      </c>
      <c r="L60" s="89" t="s">
        <v>2957</v>
      </c>
      <c r="M60" s="4" t="n">
        <f aca="false">IF(AND(G60&lt;=D_F01!$B$7,OR(NOT(ISNUMBER(I60)),I60&gt;D_F01!$B$7),L60&lt;&gt;"cancelled"),1,0)</f>
        <v>1</v>
      </c>
      <c r="N60" s="33" t="n">
        <f aca="false">F60*M60</f>
        <v>593475685</v>
      </c>
      <c r="O60" s="4" t="n">
        <f aca="false">IF(M60=1,MAX(0,D_F01!$B$7-H60),0)</f>
        <v>66</v>
      </c>
      <c r="P60" s="4" t="n">
        <f aca="false">IF(AND(ISNUMBER(I60),I60&lt;=D_F01!$B$7),I60-H60,0)</f>
        <v>0</v>
      </c>
      <c r="Q60" s="4" t="n">
        <f aca="false">MAX(0,P60)</f>
        <v>0</v>
      </c>
      <c r="R60" s="4" t="n">
        <f aca="false">IF(AND(ISNUMBER(I60),I60&gt;D_F01!$B$7-D_F01!$B$25,I60&lt;=D_F01!$B$7),1,0)</f>
        <v>0</v>
      </c>
      <c r="S60" s="4" t="n">
        <f aca="false">R60*F60*Q60</f>
        <v>0</v>
      </c>
      <c r="T60" s="4" t="n">
        <f aca="false">R60*F60</f>
        <v>0</v>
      </c>
      <c r="U60" s="4" t="n">
        <f aca="false">IF(AND(H60&gt;D_F01!$B$7-D_F01!$B$25,H60&lt;=D_F01!$B$7),IF(M60=1,O60,Q60),0)</f>
        <v>66</v>
      </c>
      <c r="V60" s="4" t="n">
        <f aca="false">F60*W60</f>
        <v>593475685</v>
      </c>
      <c r="W60" s="4" t="n">
        <f aca="false">IF(AND(H60&gt;D_F01!$B$7-D_F01!$B$25,H60&lt;=D_F01!$B$7,L60&lt;&gt;"cancelled"),1,0)</f>
        <v>1</v>
      </c>
      <c r="X60" s="4" t="n">
        <f aca="false">V60*U60</f>
        <v>39169395210</v>
      </c>
      <c r="Y60" s="4" t="n">
        <f aca="false">M60*W60</f>
        <v>1</v>
      </c>
      <c r="Z60" s="4" t="n">
        <f aca="false">R60*F60*P60</f>
        <v>0</v>
      </c>
      <c r="AA60" s="42" t="n">
        <f aca="false">T60*J60</f>
        <v>0</v>
      </c>
    </row>
    <row r="61" customFormat="false" ht="25.5" hidden="false" customHeight="true" outlineLevel="0" collapsed="false">
      <c r="A61" s="82" t="s">
        <v>3054</v>
      </c>
      <c r="B61" s="82" t="s">
        <v>2666</v>
      </c>
      <c r="C61" s="82" t="s">
        <v>1978</v>
      </c>
      <c r="D61" s="82" t="s">
        <v>2734</v>
      </c>
      <c r="E61" s="82" t="s">
        <v>3051</v>
      </c>
      <c r="F61" s="87" t="n">
        <v>1005525432</v>
      </c>
      <c r="G61" s="84" t="n">
        <v>46111</v>
      </c>
      <c r="H61" s="84" t="n">
        <v>46141</v>
      </c>
      <c r="I61" s="84" t="n">
        <v>46139</v>
      </c>
      <c r="J61" s="82" t="n">
        <v>30</v>
      </c>
      <c r="K61" s="82" t="s">
        <v>2704</v>
      </c>
      <c r="L61" s="82" t="s">
        <v>2957</v>
      </c>
      <c r="M61" s="3" t="n">
        <f aca="false">IF(AND(G61&lt;=D_F01!$B$7,OR(NOT(ISNUMBER(I61)),I61&gt;D_F01!$B$7),L61&lt;&gt;"cancelled"),1,0)</f>
        <v>0</v>
      </c>
      <c r="N61" s="32" t="n">
        <f aca="false">F61*M61</f>
        <v>0</v>
      </c>
      <c r="O61" s="3" t="n">
        <f aca="false">IF(M61=1,MAX(0,D_F01!$B$7-H61),0)</f>
        <v>0</v>
      </c>
      <c r="P61" s="3" t="n">
        <f aca="false">IF(AND(ISNUMBER(I61),I61&lt;=D_F01!$B$7),I61-H61,0)</f>
        <v>-2</v>
      </c>
      <c r="Q61" s="3" t="n">
        <f aca="false">MAX(0,P61)</f>
        <v>0</v>
      </c>
      <c r="R61" s="3" t="n">
        <f aca="false">IF(AND(ISNUMBER(I61),I61&gt;D_F01!$B$7-D_F01!$B$25,I61&lt;=D_F01!$B$7),1,0)</f>
        <v>1</v>
      </c>
      <c r="S61" s="3" t="n">
        <f aca="false">R61*F61*Q61</f>
        <v>0</v>
      </c>
      <c r="T61" s="3" t="n">
        <f aca="false">R61*F61</f>
        <v>1005525432</v>
      </c>
      <c r="U61" s="3" t="n">
        <f aca="false">IF(AND(H61&gt;D_F01!$B$7-D_F01!$B$25,H61&lt;=D_F01!$B$7),IF(M61=1,O61,Q61),0)</f>
        <v>0</v>
      </c>
      <c r="V61" s="3" t="n">
        <f aca="false">F61*W61</f>
        <v>1005525432</v>
      </c>
      <c r="W61" s="3" t="n">
        <f aca="false">IF(AND(H61&gt;D_F01!$B$7-D_F01!$B$25,H61&lt;=D_F01!$B$7,L61&lt;&gt;"cancelled"),1,0)</f>
        <v>1</v>
      </c>
      <c r="X61" s="3" t="n">
        <f aca="false">V61*U61</f>
        <v>0</v>
      </c>
      <c r="Y61" s="3" t="n">
        <f aca="false">M61*W61</f>
        <v>0</v>
      </c>
      <c r="Z61" s="3" t="n">
        <f aca="false">R61*F61*P61</f>
        <v>-2011050864</v>
      </c>
      <c r="AA61" s="42" t="n">
        <f aca="false">T61*J61</f>
        <v>30165762960</v>
      </c>
    </row>
    <row r="62" customFormat="false" ht="25.5" hidden="false" customHeight="true" outlineLevel="0" collapsed="false">
      <c r="A62" s="89" t="s">
        <v>3055</v>
      </c>
      <c r="B62" s="89" t="s">
        <v>2666</v>
      </c>
      <c r="C62" s="89" t="s">
        <v>1981</v>
      </c>
      <c r="D62" s="89" t="s">
        <v>2738</v>
      </c>
      <c r="E62" s="89" t="s">
        <v>3056</v>
      </c>
      <c r="F62" s="88" t="n">
        <v>330474856</v>
      </c>
      <c r="G62" s="83" t="n">
        <v>46111</v>
      </c>
      <c r="H62" s="83" t="n">
        <v>46141</v>
      </c>
      <c r="I62" s="83" t="n">
        <v>46141</v>
      </c>
      <c r="J62" s="89" t="n">
        <v>30</v>
      </c>
      <c r="K62" s="89" t="s">
        <v>2704</v>
      </c>
      <c r="L62" s="89" t="s">
        <v>2957</v>
      </c>
      <c r="M62" s="4" t="n">
        <f aca="false">IF(AND(G62&lt;=D_F01!$B$7,OR(NOT(ISNUMBER(I62)),I62&gt;D_F01!$B$7),L62&lt;&gt;"cancelled"),1,0)</f>
        <v>0</v>
      </c>
      <c r="N62" s="33" t="n">
        <f aca="false">F62*M62</f>
        <v>0</v>
      </c>
      <c r="O62" s="4" t="n">
        <f aca="false">IF(M62=1,MAX(0,D_F01!$B$7-H62),0)</f>
        <v>0</v>
      </c>
      <c r="P62" s="4" t="n">
        <f aca="false">IF(AND(ISNUMBER(I62),I62&lt;=D_F01!$B$7),I62-H62,0)</f>
        <v>0</v>
      </c>
      <c r="Q62" s="4" t="n">
        <f aca="false">MAX(0,P62)</f>
        <v>0</v>
      </c>
      <c r="R62" s="4" t="n">
        <f aca="false">IF(AND(ISNUMBER(I62),I62&gt;D_F01!$B$7-D_F01!$B$25,I62&lt;=D_F01!$B$7),1,0)</f>
        <v>1</v>
      </c>
      <c r="S62" s="4" t="n">
        <f aca="false">R62*F62*Q62</f>
        <v>0</v>
      </c>
      <c r="T62" s="4" t="n">
        <f aca="false">R62*F62</f>
        <v>330474856</v>
      </c>
      <c r="U62" s="4" t="n">
        <f aca="false">IF(AND(H62&gt;D_F01!$B$7-D_F01!$B$25,H62&lt;=D_F01!$B$7),IF(M62=1,O62,Q62),0)</f>
        <v>0</v>
      </c>
      <c r="V62" s="4" t="n">
        <f aca="false">F62*W62</f>
        <v>330474856</v>
      </c>
      <c r="W62" s="4" t="n">
        <f aca="false">IF(AND(H62&gt;D_F01!$B$7-D_F01!$B$25,H62&lt;=D_F01!$B$7,L62&lt;&gt;"cancelled"),1,0)</f>
        <v>1</v>
      </c>
      <c r="X62" s="4" t="n">
        <f aca="false">V62*U62</f>
        <v>0</v>
      </c>
      <c r="Y62" s="4" t="n">
        <f aca="false">M62*W62</f>
        <v>0</v>
      </c>
      <c r="Z62" s="4" t="n">
        <f aca="false">R62*F62*P62</f>
        <v>0</v>
      </c>
      <c r="AA62" s="42" t="n">
        <f aca="false">T62*J62</f>
        <v>9914245680</v>
      </c>
    </row>
    <row r="63" customFormat="false" ht="25.5" hidden="false" customHeight="true" outlineLevel="0" collapsed="false">
      <c r="A63" s="82" t="s">
        <v>3057</v>
      </c>
      <c r="B63" s="82" t="s">
        <v>2666</v>
      </c>
      <c r="C63" s="82" t="s">
        <v>1978</v>
      </c>
      <c r="D63" s="82" t="s">
        <v>2734</v>
      </c>
      <c r="E63" s="82" t="s">
        <v>3058</v>
      </c>
      <c r="F63" s="87" t="n">
        <v>687172149</v>
      </c>
      <c r="G63" s="84" t="n">
        <v>46113</v>
      </c>
      <c r="H63" s="84" t="n">
        <v>46143</v>
      </c>
      <c r="I63" s="84" t="n">
        <v>46140</v>
      </c>
      <c r="J63" s="82" t="n">
        <v>30</v>
      </c>
      <c r="K63" s="82" t="s">
        <v>2704</v>
      </c>
      <c r="L63" s="82" t="s">
        <v>2957</v>
      </c>
      <c r="M63" s="3" t="n">
        <f aca="false">IF(AND(G63&lt;=D_F01!$B$7,OR(NOT(ISNUMBER(I63)),I63&gt;D_F01!$B$7),L63&lt;&gt;"cancelled"),1,0)</f>
        <v>0</v>
      </c>
      <c r="N63" s="32" t="n">
        <f aca="false">F63*M63</f>
        <v>0</v>
      </c>
      <c r="O63" s="3" t="n">
        <f aca="false">IF(M63=1,MAX(0,D_F01!$B$7-H63),0)</f>
        <v>0</v>
      </c>
      <c r="P63" s="3" t="n">
        <f aca="false">IF(AND(ISNUMBER(I63),I63&lt;=D_F01!$B$7),I63-H63,0)</f>
        <v>-3</v>
      </c>
      <c r="Q63" s="3" t="n">
        <f aca="false">MAX(0,P63)</f>
        <v>0</v>
      </c>
      <c r="R63" s="3" t="n">
        <f aca="false">IF(AND(ISNUMBER(I63),I63&gt;D_F01!$B$7-D_F01!$B$25,I63&lt;=D_F01!$B$7),1,0)</f>
        <v>1</v>
      </c>
      <c r="S63" s="3" t="n">
        <f aca="false">R63*F63*Q63</f>
        <v>0</v>
      </c>
      <c r="T63" s="3" t="n">
        <f aca="false">R63*F63</f>
        <v>687172149</v>
      </c>
      <c r="U63" s="3" t="n">
        <f aca="false">IF(AND(H63&gt;D_F01!$B$7-D_F01!$B$25,H63&lt;=D_F01!$B$7),IF(M63=1,O63,Q63),0)</f>
        <v>0</v>
      </c>
      <c r="V63" s="3" t="n">
        <f aca="false">F63*W63</f>
        <v>687172149</v>
      </c>
      <c r="W63" s="3" t="n">
        <f aca="false">IF(AND(H63&gt;D_F01!$B$7-D_F01!$B$25,H63&lt;=D_F01!$B$7,L63&lt;&gt;"cancelled"),1,0)</f>
        <v>1</v>
      </c>
      <c r="X63" s="3" t="n">
        <f aca="false">V63*U63</f>
        <v>0</v>
      </c>
      <c r="Y63" s="3" t="n">
        <f aca="false">M63*W63</f>
        <v>0</v>
      </c>
      <c r="Z63" s="3" t="n">
        <f aca="false">R63*F63*P63</f>
        <v>-2061516447</v>
      </c>
      <c r="AA63" s="42" t="n">
        <f aca="false">T63*J63</f>
        <v>20615164470</v>
      </c>
    </row>
    <row r="64" customFormat="false" ht="25.5" hidden="false" customHeight="true" outlineLevel="0" collapsed="false">
      <c r="A64" s="89" t="s">
        <v>3059</v>
      </c>
      <c r="B64" s="89" t="s">
        <v>2666</v>
      </c>
      <c r="C64" s="89" t="s">
        <v>1977</v>
      </c>
      <c r="D64" s="89" t="s">
        <v>2732</v>
      </c>
      <c r="E64" s="89" t="s">
        <v>3060</v>
      </c>
      <c r="F64" s="88" t="n">
        <v>235685885</v>
      </c>
      <c r="G64" s="83" t="n">
        <v>46116</v>
      </c>
      <c r="H64" s="83" t="n">
        <v>46161</v>
      </c>
      <c r="I64" s="83" t="n">
        <v>46177</v>
      </c>
      <c r="J64" s="89" t="n">
        <v>45</v>
      </c>
      <c r="K64" s="89" t="s">
        <v>2704</v>
      </c>
      <c r="L64" s="89" t="s">
        <v>2957</v>
      </c>
      <c r="M64" s="4" t="n">
        <f aca="false">IF(AND(G64&lt;=D_F01!$B$7,OR(NOT(ISNUMBER(I64)),I64&gt;D_F01!$B$7),L64&lt;&gt;"cancelled"),1,0)</f>
        <v>0</v>
      </c>
      <c r="N64" s="33" t="n">
        <f aca="false">F64*M64</f>
        <v>0</v>
      </c>
      <c r="O64" s="4" t="n">
        <f aca="false">IF(M64=1,MAX(0,D_F01!$B$7-H64),0)</f>
        <v>0</v>
      </c>
      <c r="P64" s="4" t="n">
        <f aca="false">IF(AND(ISNUMBER(I64),I64&lt;=D_F01!$B$7),I64-H64,0)</f>
        <v>16</v>
      </c>
      <c r="Q64" s="4" t="n">
        <f aca="false">MAX(0,P64)</f>
        <v>16</v>
      </c>
      <c r="R64" s="4" t="n">
        <f aca="false">IF(AND(ISNUMBER(I64),I64&gt;D_F01!$B$7-D_F01!$B$25,I64&lt;=D_F01!$B$7),1,0)</f>
        <v>1</v>
      </c>
      <c r="S64" s="4" t="n">
        <f aca="false">R64*F64*Q64</f>
        <v>3770974160</v>
      </c>
      <c r="T64" s="4" t="n">
        <f aca="false">R64*F64</f>
        <v>235685885</v>
      </c>
      <c r="U64" s="4" t="n">
        <f aca="false">IF(AND(H64&gt;D_F01!$B$7-D_F01!$B$25,H64&lt;=D_F01!$B$7),IF(M64=1,O64,Q64),0)</f>
        <v>16</v>
      </c>
      <c r="V64" s="4" t="n">
        <f aca="false">F64*W64</f>
        <v>235685885</v>
      </c>
      <c r="W64" s="4" t="n">
        <f aca="false">IF(AND(H64&gt;D_F01!$B$7-D_F01!$B$25,H64&lt;=D_F01!$B$7,L64&lt;&gt;"cancelled"),1,0)</f>
        <v>1</v>
      </c>
      <c r="X64" s="4" t="n">
        <f aca="false">V64*U64</f>
        <v>3770974160</v>
      </c>
      <c r="Y64" s="4" t="n">
        <f aca="false">M64*W64</f>
        <v>0</v>
      </c>
      <c r="Z64" s="4" t="n">
        <f aca="false">R64*F64*P64</f>
        <v>3770974160</v>
      </c>
      <c r="AA64" s="42" t="n">
        <f aca="false">T64*J64</f>
        <v>10605864825</v>
      </c>
    </row>
    <row r="65" customFormat="false" ht="25.5" hidden="false" customHeight="true" outlineLevel="0" collapsed="false">
      <c r="A65" s="82" t="s">
        <v>3061</v>
      </c>
      <c r="B65" s="82" t="s">
        <v>2666</v>
      </c>
      <c r="C65" s="82" t="s">
        <v>1978</v>
      </c>
      <c r="D65" s="82" t="s">
        <v>2734</v>
      </c>
      <c r="E65" s="82" t="s">
        <v>3058</v>
      </c>
      <c r="F65" s="87" t="n">
        <v>682239879</v>
      </c>
      <c r="G65" s="84" t="n">
        <v>46116</v>
      </c>
      <c r="H65" s="84" t="n">
        <v>46146</v>
      </c>
      <c r="I65" s="84" t="n">
        <v>46150</v>
      </c>
      <c r="J65" s="82" t="n">
        <v>30</v>
      </c>
      <c r="K65" s="82" t="s">
        <v>2704</v>
      </c>
      <c r="L65" s="82" t="s">
        <v>2957</v>
      </c>
      <c r="M65" s="3" t="n">
        <f aca="false">IF(AND(G65&lt;=D_F01!$B$7,OR(NOT(ISNUMBER(I65)),I65&gt;D_F01!$B$7),L65&lt;&gt;"cancelled"),1,0)</f>
        <v>0</v>
      </c>
      <c r="N65" s="32" t="n">
        <f aca="false">F65*M65</f>
        <v>0</v>
      </c>
      <c r="O65" s="3" t="n">
        <f aca="false">IF(M65=1,MAX(0,D_F01!$B$7-H65),0)</f>
        <v>0</v>
      </c>
      <c r="P65" s="3" t="n">
        <f aca="false">IF(AND(ISNUMBER(I65),I65&lt;=D_F01!$B$7),I65-H65,0)</f>
        <v>4</v>
      </c>
      <c r="Q65" s="3" t="n">
        <f aca="false">MAX(0,P65)</f>
        <v>4</v>
      </c>
      <c r="R65" s="3" t="n">
        <f aca="false">IF(AND(ISNUMBER(I65),I65&gt;D_F01!$B$7-D_F01!$B$25,I65&lt;=D_F01!$B$7),1,0)</f>
        <v>1</v>
      </c>
      <c r="S65" s="3" t="n">
        <f aca="false">R65*F65*Q65</f>
        <v>2728959516</v>
      </c>
      <c r="T65" s="3" t="n">
        <f aca="false">R65*F65</f>
        <v>682239879</v>
      </c>
      <c r="U65" s="3" t="n">
        <f aca="false">IF(AND(H65&gt;D_F01!$B$7-D_F01!$B$25,H65&lt;=D_F01!$B$7),IF(M65=1,O65,Q65),0)</f>
        <v>4</v>
      </c>
      <c r="V65" s="3" t="n">
        <f aca="false">F65*W65</f>
        <v>682239879</v>
      </c>
      <c r="W65" s="3" t="n">
        <f aca="false">IF(AND(H65&gt;D_F01!$B$7-D_F01!$B$25,H65&lt;=D_F01!$B$7,L65&lt;&gt;"cancelled"),1,0)</f>
        <v>1</v>
      </c>
      <c r="X65" s="3" t="n">
        <f aca="false">V65*U65</f>
        <v>2728959516</v>
      </c>
      <c r="Y65" s="3" t="n">
        <f aca="false">M65*W65</f>
        <v>0</v>
      </c>
      <c r="Z65" s="3" t="n">
        <f aca="false">R65*F65*P65</f>
        <v>2728959516</v>
      </c>
      <c r="AA65" s="42" t="n">
        <f aca="false">T65*J65</f>
        <v>20467196370</v>
      </c>
    </row>
    <row r="66" customFormat="false" ht="25.5" hidden="false" customHeight="true" outlineLevel="0" collapsed="false">
      <c r="A66" s="89" t="s">
        <v>3062</v>
      </c>
      <c r="B66" s="89" t="s">
        <v>2666</v>
      </c>
      <c r="C66" s="89" t="s">
        <v>1977</v>
      </c>
      <c r="D66" s="89" t="s">
        <v>2732</v>
      </c>
      <c r="E66" s="89" t="s">
        <v>3063</v>
      </c>
      <c r="F66" s="88" t="n">
        <v>526760046</v>
      </c>
      <c r="G66" s="83" t="n">
        <v>46117</v>
      </c>
      <c r="H66" s="83" t="n">
        <v>46162</v>
      </c>
      <c r="I66" s="83" t="n">
        <v>46165</v>
      </c>
      <c r="J66" s="89" t="n">
        <v>45</v>
      </c>
      <c r="K66" s="89" t="s">
        <v>2704</v>
      </c>
      <c r="L66" s="89" t="s">
        <v>2957</v>
      </c>
      <c r="M66" s="4" t="n">
        <f aca="false">IF(AND(G66&lt;=D_F01!$B$7,OR(NOT(ISNUMBER(I66)),I66&gt;D_F01!$B$7),L66&lt;&gt;"cancelled"),1,0)</f>
        <v>0</v>
      </c>
      <c r="N66" s="33" t="n">
        <f aca="false">F66*M66</f>
        <v>0</v>
      </c>
      <c r="O66" s="4" t="n">
        <f aca="false">IF(M66=1,MAX(0,D_F01!$B$7-H66),0)</f>
        <v>0</v>
      </c>
      <c r="P66" s="4" t="n">
        <f aca="false">IF(AND(ISNUMBER(I66),I66&lt;=D_F01!$B$7),I66-H66,0)</f>
        <v>3</v>
      </c>
      <c r="Q66" s="4" t="n">
        <f aca="false">MAX(0,P66)</f>
        <v>3</v>
      </c>
      <c r="R66" s="4" t="n">
        <f aca="false">IF(AND(ISNUMBER(I66),I66&gt;D_F01!$B$7-D_F01!$B$25,I66&lt;=D_F01!$B$7),1,0)</f>
        <v>1</v>
      </c>
      <c r="S66" s="4" t="n">
        <f aca="false">R66*F66*Q66</f>
        <v>1580280138</v>
      </c>
      <c r="T66" s="4" t="n">
        <f aca="false">R66*F66</f>
        <v>526760046</v>
      </c>
      <c r="U66" s="4" t="n">
        <f aca="false">IF(AND(H66&gt;D_F01!$B$7-D_F01!$B$25,H66&lt;=D_F01!$B$7),IF(M66=1,O66,Q66),0)</f>
        <v>3</v>
      </c>
      <c r="V66" s="4" t="n">
        <f aca="false">F66*W66</f>
        <v>526760046</v>
      </c>
      <c r="W66" s="4" t="n">
        <f aca="false">IF(AND(H66&gt;D_F01!$B$7-D_F01!$B$25,H66&lt;=D_F01!$B$7,L66&lt;&gt;"cancelled"),1,0)</f>
        <v>1</v>
      </c>
      <c r="X66" s="4" t="n">
        <f aca="false">V66*U66</f>
        <v>1580280138</v>
      </c>
      <c r="Y66" s="4" t="n">
        <f aca="false">M66*W66</f>
        <v>0</v>
      </c>
      <c r="Z66" s="4" t="n">
        <f aca="false">R66*F66*P66</f>
        <v>1580280138</v>
      </c>
      <c r="AA66" s="42" t="n">
        <f aca="false">T66*J66</f>
        <v>23704202070</v>
      </c>
    </row>
    <row r="67" customFormat="false" ht="25.5" hidden="false" customHeight="true" outlineLevel="0" collapsed="false">
      <c r="A67" s="82" t="s">
        <v>3064</v>
      </c>
      <c r="B67" s="82" t="s">
        <v>2666</v>
      </c>
      <c r="C67" s="82" t="s">
        <v>1979</v>
      </c>
      <c r="D67" s="82" t="s">
        <v>2736</v>
      </c>
      <c r="E67" s="82" t="s">
        <v>3065</v>
      </c>
      <c r="F67" s="87" t="n">
        <v>1182474209</v>
      </c>
      <c r="G67" s="84" t="n">
        <v>46118</v>
      </c>
      <c r="H67" s="84" t="n">
        <v>46148</v>
      </c>
      <c r="I67" s="84" t="n">
        <v>46148</v>
      </c>
      <c r="J67" s="82" t="n">
        <v>30</v>
      </c>
      <c r="K67" s="82" t="s">
        <v>2704</v>
      </c>
      <c r="L67" s="82" t="s">
        <v>2957</v>
      </c>
      <c r="M67" s="3" t="n">
        <f aca="false">IF(AND(G67&lt;=D_F01!$B$7,OR(NOT(ISNUMBER(I67)),I67&gt;D_F01!$B$7),L67&lt;&gt;"cancelled"),1,0)</f>
        <v>0</v>
      </c>
      <c r="N67" s="32" t="n">
        <f aca="false">F67*M67</f>
        <v>0</v>
      </c>
      <c r="O67" s="3" t="n">
        <f aca="false">IF(M67=1,MAX(0,D_F01!$B$7-H67),0)</f>
        <v>0</v>
      </c>
      <c r="P67" s="3" t="n">
        <f aca="false">IF(AND(ISNUMBER(I67),I67&lt;=D_F01!$B$7),I67-H67,0)</f>
        <v>0</v>
      </c>
      <c r="Q67" s="3" t="n">
        <f aca="false">MAX(0,P67)</f>
        <v>0</v>
      </c>
      <c r="R67" s="3" t="n">
        <f aca="false">IF(AND(ISNUMBER(I67),I67&gt;D_F01!$B$7-D_F01!$B$25,I67&lt;=D_F01!$B$7),1,0)</f>
        <v>1</v>
      </c>
      <c r="S67" s="3" t="n">
        <f aca="false">R67*F67*Q67</f>
        <v>0</v>
      </c>
      <c r="T67" s="3" t="n">
        <f aca="false">R67*F67</f>
        <v>1182474209</v>
      </c>
      <c r="U67" s="3" t="n">
        <f aca="false">IF(AND(H67&gt;D_F01!$B$7-D_F01!$B$25,H67&lt;=D_F01!$B$7),IF(M67=1,O67,Q67),0)</f>
        <v>0</v>
      </c>
      <c r="V67" s="3" t="n">
        <f aca="false">F67*W67</f>
        <v>1182474209</v>
      </c>
      <c r="W67" s="3" t="n">
        <f aca="false">IF(AND(H67&gt;D_F01!$B$7-D_F01!$B$25,H67&lt;=D_F01!$B$7,L67&lt;&gt;"cancelled"),1,0)</f>
        <v>1</v>
      </c>
      <c r="X67" s="3" t="n">
        <f aca="false">V67*U67</f>
        <v>0</v>
      </c>
      <c r="Y67" s="3" t="n">
        <f aca="false">M67*W67</f>
        <v>0</v>
      </c>
      <c r="Z67" s="3" t="n">
        <f aca="false">R67*F67*P67</f>
        <v>0</v>
      </c>
      <c r="AA67" s="42" t="n">
        <f aca="false">T67*J67</f>
        <v>35474226270</v>
      </c>
    </row>
    <row r="68" customFormat="false" ht="25.5" hidden="false" customHeight="true" outlineLevel="0" collapsed="false">
      <c r="A68" s="89" t="s">
        <v>3066</v>
      </c>
      <c r="B68" s="89" t="s">
        <v>2666</v>
      </c>
      <c r="C68" s="89" t="s">
        <v>1978</v>
      </c>
      <c r="D68" s="89" t="s">
        <v>2734</v>
      </c>
      <c r="E68" s="89" t="s">
        <v>3067</v>
      </c>
      <c r="F68" s="88" t="n">
        <v>192891659</v>
      </c>
      <c r="G68" s="83" t="n">
        <v>46119</v>
      </c>
      <c r="H68" s="83" t="n">
        <v>46149</v>
      </c>
      <c r="I68" s="83" t="n">
        <v>46147</v>
      </c>
      <c r="J68" s="89" t="n">
        <v>30</v>
      </c>
      <c r="K68" s="89" t="s">
        <v>2704</v>
      </c>
      <c r="L68" s="89" t="s">
        <v>2957</v>
      </c>
      <c r="M68" s="4" t="n">
        <f aca="false">IF(AND(G68&lt;=D_F01!$B$7,OR(NOT(ISNUMBER(I68)),I68&gt;D_F01!$B$7),L68&lt;&gt;"cancelled"),1,0)</f>
        <v>0</v>
      </c>
      <c r="N68" s="33" t="n">
        <f aca="false">F68*M68</f>
        <v>0</v>
      </c>
      <c r="O68" s="4" t="n">
        <f aca="false">IF(M68=1,MAX(0,D_F01!$B$7-H68),0)</f>
        <v>0</v>
      </c>
      <c r="P68" s="4" t="n">
        <f aca="false">IF(AND(ISNUMBER(I68),I68&lt;=D_F01!$B$7),I68-H68,0)</f>
        <v>-2</v>
      </c>
      <c r="Q68" s="4" t="n">
        <f aca="false">MAX(0,P68)</f>
        <v>0</v>
      </c>
      <c r="R68" s="4" t="n">
        <f aca="false">IF(AND(ISNUMBER(I68),I68&gt;D_F01!$B$7-D_F01!$B$25,I68&lt;=D_F01!$B$7),1,0)</f>
        <v>1</v>
      </c>
      <c r="S68" s="4" t="n">
        <f aca="false">R68*F68*Q68</f>
        <v>0</v>
      </c>
      <c r="T68" s="4" t="n">
        <f aca="false">R68*F68</f>
        <v>192891659</v>
      </c>
      <c r="U68" s="4" t="n">
        <f aca="false">IF(AND(H68&gt;D_F01!$B$7-D_F01!$B$25,H68&lt;=D_F01!$B$7),IF(M68=1,O68,Q68),0)</f>
        <v>0</v>
      </c>
      <c r="V68" s="4" t="n">
        <f aca="false">F68*W68</f>
        <v>192891659</v>
      </c>
      <c r="W68" s="4" t="n">
        <f aca="false">IF(AND(H68&gt;D_F01!$B$7-D_F01!$B$25,H68&lt;=D_F01!$B$7,L68&lt;&gt;"cancelled"),1,0)</f>
        <v>1</v>
      </c>
      <c r="X68" s="4" t="n">
        <f aca="false">V68*U68</f>
        <v>0</v>
      </c>
      <c r="Y68" s="4" t="n">
        <f aca="false">M68*W68</f>
        <v>0</v>
      </c>
      <c r="Z68" s="4" t="n">
        <f aca="false">R68*F68*P68</f>
        <v>-385783318</v>
      </c>
      <c r="AA68" s="42" t="n">
        <f aca="false">T68*J68</f>
        <v>5786749770</v>
      </c>
    </row>
    <row r="69" customFormat="false" ht="25.5" hidden="false" customHeight="true" outlineLevel="0" collapsed="false">
      <c r="A69" s="82" t="s">
        <v>3068</v>
      </c>
      <c r="B69" s="82" t="s">
        <v>2666</v>
      </c>
      <c r="C69" s="82" t="s">
        <v>1979</v>
      </c>
      <c r="D69" s="82" t="s">
        <v>2736</v>
      </c>
      <c r="E69" s="82" t="s">
        <v>3069</v>
      </c>
      <c r="F69" s="87" t="n">
        <v>682718740</v>
      </c>
      <c r="G69" s="84" t="n">
        <v>46121</v>
      </c>
      <c r="H69" s="84" t="n">
        <v>46151</v>
      </c>
      <c r="I69" s="84" t="n">
        <v>46156</v>
      </c>
      <c r="J69" s="82" t="n">
        <v>30</v>
      </c>
      <c r="K69" s="82" t="s">
        <v>2704</v>
      </c>
      <c r="L69" s="82" t="s">
        <v>2957</v>
      </c>
      <c r="M69" s="3" t="n">
        <f aca="false">IF(AND(G69&lt;=D_F01!$B$7,OR(NOT(ISNUMBER(I69)),I69&gt;D_F01!$B$7),L69&lt;&gt;"cancelled"),1,0)</f>
        <v>0</v>
      </c>
      <c r="N69" s="32" t="n">
        <f aca="false">F69*M69</f>
        <v>0</v>
      </c>
      <c r="O69" s="3" t="n">
        <f aca="false">IF(M69=1,MAX(0,D_F01!$B$7-H69),0)</f>
        <v>0</v>
      </c>
      <c r="P69" s="3" t="n">
        <f aca="false">IF(AND(ISNUMBER(I69),I69&lt;=D_F01!$B$7),I69-H69,0)</f>
        <v>5</v>
      </c>
      <c r="Q69" s="3" t="n">
        <f aca="false">MAX(0,P69)</f>
        <v>5</v>
      </c>
      <c r="R69" s="3" t="n">
        <f aca="false">IF(AND(ISNUMBER(I69),I69&gt;D_F01!$B$7-D_F01!$B$25,I69&lt;=D_F01!$B$7),1,0)</f>
        <v>1</v>
      </c>
      <c r="S69" s="3" t="n">
        <f aca="false">R69*F69*Q69</f>
        <v>3413593700</v>
      </c>
      <c r="T69" s="3" t="n">
        <f aca="false">R69*F69</f>
        <v>682718740</v>
      </c>
      <c r="U69" s="3" t="n">
        <f aca="false">IF(AND(H69&gt;D_F01!$B$7-D_F01!$B$25,H69&lt;=D_F01!$B$7),IF(M69=1,O69,Q69),0)</f>
        <v>5</v>
      </c>
      <c r="V69" s="3" t="n">
        <f aca="false">F69*W69</f>
        <v>682718740</v>
      </c>
      <c r="W69" s="3" t="n">
        <f aca="false">IF(AND(H69&gt;D_F01!$B$7-D_F01!$B$25,H69&lt;=D_F01!$B$7,L69&lt;&gt;"cancelled"),1,0)</f>
        <v>1</v>
      </c>
      <c r="X69" s="3" t="n">
        <f aca="false">V69*U69</f>
        <v>3413593700</v>
      </c>
      <c r="Y69" s="3" t="n">
        <f aca="false">M69*W69</f>
        <v>0</v>
      </c>
      <c r="Z69" s="3" t="n">
        <f aca="false">R69*F69*P69</f>
        <v>3413593700</v>
      </c>
      <c r="AA69" s="42" t="n">
        <f aca="false">T69*J69</f>
        <v>20481562200</v>
      </c>
    </row>
    <row r="70" customFormat="false" ht="25.5" hidden="false" customHeight="true" outlineLevel="0" collapsed="false">
      <c r="A70" s="89" t="s">
        <v>3070</v>
      </c>
      <c r="B70" s="89" t="s">
        <v>2666</v>
      </c>
      <c r="C70" s="89" t="s">
        <v>1977</v>
      </c>
      <c r="D70" s="89" t="s">
        <v>2732</v>
      </c>
      <c r="E70" s="89" t="s">
        <v>3071</v>
      </c>
      <c r="F70" s="88" t="n">
        <v>241713151</v>
      </c>
      <c r="G70" s="83" t="n">
        <v>46122</v>
      </c>
      <c r="H70" s="83" t="n">
        <v>46167</v>
      </c>
      <c r="I70" s="83" t="n">
        <v>46190</v>
      </c>
      <c r="J70" s="89" t="n">
        <v>45</v>
      </c>
      <c r="K70" s="89" t="s">
        <v>2704</v>
      </c>
      <c r="L70" s="89" t="s">
        <v>2957</v>
      </c>
      <c r="M70" s="4" t="n">
        <f aca="false">IF(AND(G70&lt;=D_F01!$B$7,OR(NOT(ISNUMBER(I70)),I70&gt;D_F01!$B$7),L70&lt;&gt;"cancelled"),1,0)</f>
        <v>0</v>
      </c>
      <c r="N70" s="33" t="n">
        <f aca="false">F70*M70</f>
        <v>0</v>
      </c>
      <c r="O70" s="4" t="n">
        <f aca="false">IF(M70=1,MAX(0,D_F01!$B$7-H70),0)</f>
        <v>0</v>
      </c>
      <c r="P70" s="4" t="n">
        <f aca="false">IF(AND(ISNUMBER(I70),I70&lt;=D_F01!$B$7),I70-H70,0)</f>
        <v>23</v>
      </c>
      <c r="Q70" s="4" t="n">
        <f aca="false">MAX(0,P70)</f>
        <v>23</v>
      </c>
      <c r="R70" s="4" t="n">
        <f aca="false">IF(AND(ISNUMBER(I70),I70&gt;D_F01!$B$7-D_F01!$B$25,I70&lt;=D_F01!$B$7),1,0)</f>
        <v>1</v>
      </c>
      <c r="S70" s="4" t="n">
        <f aca="false">R70*F70*Q70</f>
        <v>5559402473</v>
      </c>
      <c r="T70" s="4" t="n">
        <f aca="false">R70*F70</f>
        <v>241713151</v>
      </c>
      <c r="U70" s="4" t="n">
        <f aca="false">IF(AND(H70&gt;D_F01!$B$7-D_F01!$B$25,H70&lt;=D_F01!$B$7),IF(M70=1,O70,Q70),0)</f>
        <v>23</v>
      </c>
      <c r="V70" s="4" t="n">
        <f aca="false">F70*W70</f>
        <v>241713151</v>
      </c>
      <c r="W70" s="4" t="n">
        <f aca="false">IF(AND(H70&gt;D_F01!$B$7-D_F01!$B$25,H70&lt;=D_F01!$B$7,L70&lt;&gt;"cancelled"),1,0)</f>
        <v>1</v>
      </c>
      <c r="X70" s="4" t="n">
        <f aca="false">V70*U70</f>
        <v>5559402473</v>
      </c>
      <c r="Y70" s="4" t="n">
        <f aca="false">M70*W70</f>
        <v>0</v>
      </c>
      <c r="Z70" s="4" t="n">
        <f aca="false">R70*F70*P70</f>
        <v>5559402473</v>
      </c>
      <c r="AA70" s="42" t="n">
        <f aca="false">T70*J70</f>
        <v>10877091795</v>
      </c>
    </row>
    <row r="71" customFormat="false" ht="25.5" hidden="false" customHeight="true" outlineLevel="0" collapsed="false">
      <c r="A71" s="82" t="s">
        <v>3072</v>
      </c>
      <c r="B71" s="82" t="s">
        <v>2666</v>
      </c>
      <c r="C71" s="82" t="s">
        <v>1982</v>
      </c>
      <c r="D71" s="82" t="s">
        <v>2739</v>
      </c>
      <c r="E71" s="82" t="s">
        <v>3073</v>
      </c>
      <c r="F71" s="87" t="n">
        <v>199860685</v>
      </c>
      <c r="G71" s="84" t="n">
        <v>46123</v>
      </c>
      <c r="H71" s="84" t="n">
        <v>46153</v>
      </c>
      <c r="I71" s="84" t="n">
        <v>46152</v>
      </c>
      <c r="J71" s="82" t="n">
        <v>30</v>
      </c>
      <c r="K71" s="82" t="s">
        <v>2704</v>
      </c>
      <c r="L71" s="82" t="s">
        <v>2957</v>
      </c>
      <c r="M71" s="3" t="n">
        <f aca="false">IF(AND(G71&lt;=D_F01!$B$7,OR(NOT(ISNUMBER(I71)),I71&gt;D_F01!$B$7),L71&lt;&gt;"cancelled"),1,0)</f>
        <v>0</v>
      </c>
      <c r="N71" s="32" t="n">
        <f aca="false">F71*M71</f>
        <v>0</v>
      </c>
      <c r="O71" s="3" t="n">
        <f aca="false">IF(M71=1,MAX(0,D_F01!$B$7-H71),0)</f>
        <v>0</v>
      </c>
      <c r="P71" s="3" t="n">
        <f aca="false">IF(AND(ISNUMBER(I71),I71&lt;=D_F01!$B$7),I71-H71,0)</f>
        <v>-1</v>
      </c>
      <c r="Q71" s="3" t="n">
        <f aca="false">MAX(0,P71)</f>
        <v>0</v>
      </c>
      <c r="R71" s="3" t="n">
        <f aca="false">IF(AND(ISNUMBER(I71),I71&gt;D_F01!$B$7-D_F01!$B$25,I71&lt;=D_F01!$B$7),1,0)</f>
        <v>1</v>
      </c>
      <c r="S71" s="3" t="n">
        <f aca="false">R71*F71*Q71</f>
        <v>0</v>
      </c>
      <c r="T71" s="3" t="n">
        <f aca="false">R71*F71</f>
        <v>199860685</v>
      </c>
      <c r="U71" s="3" t="n">
        <f aca="false">IF(AND(H71&gt;D_F01!$B$7-D_F01!$B$25,H71&lt;=D_F01!$B$7),IF(M71=1,O71,Q71),0)</f>
        <v>0</v>
      </c>
      <c r="V71" s="3" t="n">
        <f aca="false">F71*W71</f>
        <v>199860685</v>
      </c>
      <c r="W71" s="3" t="n">
        <f aca="false">IF(AND(H71&gt;D_F01!$B$7-D_F01!$B$25,H71&lt;=D_F01!$B$7,L71&lt;&gt;"cancelled"),1,0)</f>
        <v>1</v>
      </c>
      <c r="X71" s="3" t="n">
        <f aca="false">V71*U71</f>
        <v>0</v>
      </c>
      <c r="Y71" s="3" t="n">
        <f aca="false">M71*W71</f>
        <v>0</v>
      </c>
      <c r="Z71" s="3" t="n">
        <f aca="false">R71*F71*P71</f>
        <v>-199860685</v>
      </c>
      <c r="AA71" s="42" t="n">
        <f aca="false">T71*J71</f>
        <v>5995820550</v>
      </c>
    </row>
    <row r="72" customFormat="false" ht="25.5" hidden="false" customHeight="true" outlineLevel="0" collapsed="false">
      <c r="A72" s="89" t="s">
        <v>3074</v>
      </c>
      <c r="B72" s="89" t="s">
        <v>2666</v>
      </c>
      <c r="C72" s="89" t="s">
        <v>1977</v>
      </c>
      <c r="D72" s="89" t="s">
        <v>2732</v>
      </c>
      <c r="E72" s="89" t="s">
        <v>3075</v>
      </c>
      <c r="F72" s="88" t="n">
        <v>520825360</v>
      </c>
      <c r="G72" s="83" t="n">
        <v>46125</v>
      </c>
      <c r="H72" s="83" t="n">
        <v>46170</v>
      </c>
      <c r="I72" s="83" t="n">
        <v>46190</v>
      </c>
      <c r="J72" s="89" t="n">
        <v>45</v>
      </c>
      <c r="K72" s="89" t="s">
        <v>2704</v>
      </c>
      <c r="L72" s="89" t="s">
        <v>2957</v>
      </c>
      <c r="M72" s="4" t="n">
        <f aca="false">IF(AND(G72&lt;=D_F01!$B$7,OR(NOT(ISNUMBER(I72)),I72&gt;D_F01!$B$7),L72&lt;&gt;"cancelled"),1,0)</f>
        <v>0</v>
      </c>
      <c r="N72" s="33" t="n">
        <f aca="false">F72*M72</f>
        <v>0</v>
      </c>
      <c r="O72" s="4" t="n">
        <f aca="false">IF(M72=1,MAX(0,D_F01!$B$7-H72),0)</f>
        <v>0</v>
      </c>
      <c r="P72" s="4" t="n">
        <f aca="false">IF(AND(ISNUMBER(I72),I72&lt;=D_F01!$B$7),I72-H72,0)</f>
        <v>20</v>
      </c>
      <c r="Q72" s="4" t="n">
        <f aca="false">MAX(0,P72)</f>
        <v>20</v>
      </c>
      <c r="R72" s="4" t="n">
        <f aca="false">IF(AND(ISNUMBER(I72),I72&gt;D_F01!$B$7-D_F01!$B$25,I72&lt;=D_F01!$B$7),1,0)</f>
        <v>1</v>
      </c>
      <c r="S72" s="4" t="n">
        <f aca="false">R72*F72*Q72</f>
        <v>10416507200</v>
      </c>
      <c r="T72" s="4" t="n">
        <f aca="false">R72*F72</f>
        <v>520825360</v>
      </c>
      <c r="U72" s="4" t="n">
        <f aca="false">IF(AND(H72&gt;D_F01!$B$7-D_F01!$B$25,H72&lt;=D_F01!$B$7),IF(M72=1,O72,Q72),0)</f>
        <v>20</v>
      </c>
      <c r="V72" s="4" t="n">
        <f aca="false">F72*W72</f>
        <v>520825360</v>
      </c>
      <c r="W72" s="4" t="n">
        <f aca="false">IF(AND(H72&gt;D_F01!$B$7-D_F01!$B$25,H72&lt;=D_F01!$B$7,L72&lt;&gt;"cancelled"),1,0)</f>
        <v>1</v>
      </c>
      <c r="X72" s="4" t="n">
        <f aca="false">V72*U72</f>
        <v>10416507200</v>
      </c>
      <c r="Y72" s="4" t="n">
        <f aca="false">M72*W72</f>
        <v>0</v>
      </c>
      <c r="Z72" s="4" t="n">
        <f aca="false">R72*F72*P72</f>
        <v>10416507200</v>
      </c>
      <c r="AA72" s="42" t="n">
        <f aca="false">T72*J72</f>
        <v>23437141200</v>
      </c>
    </row>
    <row r="73" customFormat="false" ht="25.5" hidden="false" customHeight="true" outlineLevel="0" collapsed="false">
      <c r="A73" s="82" t="s">
        <v>3076</v>
      </c>
      <c r="B73" s="82" t="s">
        <v>2666</v>
      </c>
      <c r="C73" s="82" t="s">
        <v>1977</v>
      </c>
      <c r="D73" s="82" t="s">
        <v>2732</v>
      </c>
      <c r="E73" s="82" t="s">
        <v>3077</v>
      </c>
      <c r="F73" s="87" t="n">
        <v>686281337</v>
      </c>
      <c r="G73" s="84" t="n">
        <v>46127</v>
      </c>
      <c r="H73" s="84" t="n">
        <v>46172</v>
      </c>
      <c r="I73" s="84" t="n">
        <v>46195</v>
      </c>
      <c r="J73" s="82" t="n">
        <v>45</v>
      </c>
      <c r="K73" s="82" t="s">
        <v>2704</v>
      </c>
      <c r="L73" s="82" t="s">
        <v>2957</v>
      </c>
      <c r="M73" s="3" t="n">
        <f aca="false">IF(AND(G73&lt;=D_F01!$B$7,OR(NOT(ISNUMBER(I73)),I73&gt;D_F01!$B$7),L73&lt;&gt;"cancelled"),1,0)</f>
        <v>0</v>
      </c>
      <c r="N73" s="32" t="n">
        <f aca="false">F73*M73</f>
        <v>0</v>
      </c>
      <c r="O73" s="3" t="n">
        <f aca="false">IF(M73=1,MAX(0,D_F01!$B$7-H73),0)</f>
        <v>0</v>
      </c>
      <c r="P73" s="3" t="n">
        <f aca="false">IF(AND(ISNUMBER(I73),I73&lt;=D_F01!$B$7),I73-H73,0)</f>
        <v>23</v>
      </c>
      <c r="Q73" s="3" t="n">
        <f aca="false">MAX(0,P73)</f>
        <v>23</v>
      </c>
      <c r="R73" s="3" t="n">
        <f aca="false">IF(AND(ISNUMBER(I73),I73&gt;D_F01!$B$7-D_F01!$B$25,I73&lt;=D_F01!$B$7),1,0)</f>
        <v>1</v>
      </c>
      <c r="S73" s="3" t="n">
        <f aca="false">R73*F73*Q73</f>
        <v>15784470751</v>
      </c>
      <c r="T73" s="3" t="n">
        <f aca="false">R73*F73</f>
        <v>686281337</v>
      </c>
      <c r="U73" s="3" t="n">
        <f aca="false">IF(AND(H73&gt;D_F01!$B$7-D_F01!$B$25,H73&lt;=D_F01!$B$7),IF(M73=1,O73,Q73),0)</f>
        <v>23</v>
      </c>
      <c r="V73" s="3" t="n">
        <f aca="false">F73*W73</f>
        <v>686281337</v>
      </c>
      <c r="W73" s="3" t="n">
        <f aca="false">IF(AND(H73&gt;D_F01!$B$7-D_F01!$B$25,H73&lt;=D_F01!$B$7,L73&lt;&gt;"cancelled"),1,0)</f>
        <v>1</v>
      </c>
      <c r="X73" s="3" t="n">
        <f aca="false">V73*U73</f>
        <v>15784470751</v>
      </c>
      <c r="Y73" s="3" t="n">
        <f aca="false">M73*W73</f>
        <v>0</v>
      </c>
      <c r="Z73" s="3" t="n">
        <f aca="false">R73*F73*P73</f>
        <v>15784470751</v>
      </c>
      <c r="AA73" s="42" t="n">
        <f aca="false">T73*J73</f>
        <v>30882660165</v>
      </c>
    </row>
    <row r="74" customFormat="false" ht="25.5" hidden="false" customHeight="true" outlineLevel="0" collapsed="false">
      <c r="A74" s="89" t="s">
        <v>3078</v>
      </c>
      <c r="B74" s="89" t="s">
        <v>2666</v>
      </c>
      <c r="C74" s="89" t="s">
        <v>1981</v>
      </c>
      <c r="D74" s="89" t="s">
        <v>2738</v>
      </c>
      <c r="E74" s="89" t="s">
        <v>3079</v>
      </c>
      <c r="F74" s="88" t="n">
        <v>103909680</v>
      </c>
      <c r="G74" s="83" t="n">
        <v>46127</v>
      </c>
      <c r="H74" s="83" t="n">
        <v>46157</v>
      </c>
      <c r="I74" s="83" t="n">
        <v>46157</v>
      </c>
      <c r="J74" s="89" t="n">
        <v>30</v>
      </c>
      <c r="K74" s="89" t="s">
        <v>2704</v>
      </c>
      <c r="L74" s="89" t="s">
        <v>2957</v>
      </c>
      <c r="M74" s="4" t="n">
        <f aca="false">IF(AND(G74&lt;=D_F01!$B$7,OR(NOT(ISNUMBER(I74)),I74&gt;D_F01!$B$7),L74&lt;&gt;"cancelled"),1,0)</f>
        <v>0</v>
      </c>
      <c r="N74" s="33" t="n">
        <f aca="false">F74*M74</f>
        <v>0</v>
      </c>
      <c r="O74" s="4" t="n">
        <f aca="false">IF(M74=1,MAX(0,D_F01!$B$7-H74),0)</f>
        <v>0</v>
      </c>
      <c r="P74" s="4" t="n">
        <f aca="false">IF(AND(ISNUMBER(I74),I74&lt;=D_F01!$B$7),I74-H74,0)</f>
        <v>0</v>
      </c>
      <c r="Q74" s="4" t="n">
        <f aca="false">MAX(0,P74)</f>
        <v>0</v>
      </c>
      <c r="R74" s="4" t="n">
        <f aca="false">IF(AND(ISNUMBER(I74),I74&gt;D_F01!$B$7-D_F01!$B$25,I74&lt;=D_F01!$B$7),1,0)</f>
        <v>1</v>
      </c>
      <c r="S74" s="4" t="n">
        <f aca="false">R74*F74*Q74</f>
        <v>0</v>
      </c>
      <c r="T74" s="4" t="n">
        <f aca="false">R74*F74</f>
        <v>103909680</v>
      </c>
      <c r="U74" s="4" t="n">
        <f aca="false">IF(AND(H74&gt;D_F01!$B$7-D_F01!$B$25,H74&lt;=D_F01!$B$7),IF(M74=1,O74,Q74),0)</f>
        <v>0</v>
      </c>
      <c r="V74" s="4" t="n">
        <f aca="false">F74*W74</f>
        <v>103909680</v>
      </c>
      <c r="W74" s="4" t="n">
        <f aca="false">IF(AND(H74&gt;D_F01!$B$7-D_F01!$B$25,H74&lt;=D_F01!$B$7,L74&lt;&gt;"cancelled"),1,0)</f>
        <v>1</v>
      </c>
      <c r="X74" s="4" t="n">
        <f aca="false">V74*U74</f>
        <v>0</v>
      </c>
      <c r="Y74" s="4" t="n">
        <f aca="false">M74*W74</f>
        <v>0</v>
      </c>
      <c r="Z74" s="4" t="n">
        <f aca="false">R74*F74*P74</f>
        <v>0</v>
      </c>
      <c r="AA74" s="42" t="n">
        <f aca="false">T74*J74</f>
        <v>3117290400</v>
      </c>
    </row>
    <row r="75" customFormat="false" ht="25.5" hidden="false" customHeight="true" outlineLevel="0" collapsed="false">
      <c r="A75" s="82" t="s">
        <v>3080</v>
      </c>
      <c r="B75" s="82" t="s">
        <v>2666</v>
      </c>
      <c r="C75" s="82" t="s">
        <v>1977</v>
      </c>
      <c r="D75" s="82" t="s">
        <v>2732</v>
      </c>
      <c r="E75" s="82" t="s">
        <v>3081</v>
      </c>
      <c r="F75" s="87" t="n">
        <v>410108918</v>
      </c>
      <c r="G75" s="84" t="n">
        <v>46132</v>
      </c>
      <c r="H75" s="84" t="n">
        <v>46177</v>
      </c>
      <c r="I75" s="84" t="n">
        <v>46198</v>
      </c>
      <c r="J75" s="82" t="n">
        <v>45</v>
      </c>
      <c r="K75" s="82" t="s">
        <v>2704</v>
      </c>
      <c r="L75" s="82" t="s">
        <v>2957</v>
      </c>
      <c r="M75" s="3" t="n">
        <f aca="false">IF(AND(G75&lt;=D_F01!$B$7,OR(NOT(ISNUMBER(I75)),I75&gt;D_F01!$B$7),L75&lt;&gt;"cancelled"),1,0)</f>
        <v>0</v>
      </c>
      <c r="N75" s="32" t="n">
        <f aca="false">F75*M75</f>
        <v>0</v>
      </c>
      <c r="O75" s="3" t="n">
        <f aca="false">IF(M75=1,MAX(0,D_F01!$B$7-H75),0)</f>
        <v>0</v>
      </c>
      <c r="P75" s="3" t="n">
        <f aca="false">IF(AND(ISNUMBER(I75),I75&lt;=D_F01!$B$7),I75-H75,0)</f>
        <v>21</v>
      </c>
      <c r="Q75" s="3" t="n">
        <f aca="false">MAX(0,P75)</f>
        <v>21</v>
      </c>
      <c r="R75" s="3" t="n">
        <f aca="false">IF(AND(ISNUMBER(I75),I75&gt;D_F01!$B$7-D_F01!$B$25,I75&lt;=D_F01!$B$7),1,0)</f>
        <v>1</v>
      </c>
      <c r="S75" s="3" t="n">
        <f aca="false">R75*F75*Q75</f>
        <v>8612287278</v>
      </c>
      <c r="T75" s="3" t="n">
        <f aca="false">R75*F75</f>
        <v>410108918</v>
      </c>
      <c r="U75" s="3" t="n">
        <f aca="false">IF(AND(H75&gt;D_F01!$B$7-D_F01!$B$25,H75&lt;=D_F01!$B$7),IF(M75=1,O75,Q75),0)</f>
        <v>21</v>
      </c>
      <c r="V75" s="3" t="n">
        <f aca="false">F75*W75</f>
        <v>410108918</v>
      </c>
      <c r="W75" s="3" t="n">
        <f aca="false">IF(AND(H75&gt;D_F01!$B$7-D_F01!$B$25,H75&lt;=D_F01!$B$7,L75&lt;&gt;"cancelled"),1,0)</f>
        <v>1</v>
      </c>
      <c r="X75" s="3" t="n">
        <f aca="false">V75*U75</f>
        <v>8612287278</v>
      </c>
      <c r="Y75" s="3" t="n">
        <f aca="false">M75*W75</f>
        <v>0</v>
      </c>
      <c r="Z75" s="3" t="n">
        <f aca="false">R75*F75*P75</f>
        <v>8612287278</v>
      </c>
      <c r="AA75" s="42" t="n">
        <f aca="false">T75*J75</f>
        <v>18454901310</v>
      </c>
    </row>
    <row r="76" customFormat="false" ht="25.5" hidden="false" customHeight="true" outlineLevel="0" collapsed="false">
      <c r="A76" s="89" t="s">
        <v>3082</v>
      </c>
      <c r="B76" s="89" t="s">
        <v>2666</v>
      </c>
      <c r="C76" s="89" t="s">
        <v>1981</v>
      </c>
      <c r="D76" s="89" t="s">
        <v>2738</v>
      </c>
      <c r="E76" s="89" t="s">
        <v>3083</v>
      </c>
      <c r="F76" s="88" t="n">
        <v>120194150</v>
      </c>
      <c r="G76" s="83" t="n">
        <v>46132</v>
      </c>
      <c r="H76" s="83" t="n">
        <v>46162</v>
      </c>
      <c r="I76" s="83" t="n">
        <v>46162</v>
      </c>
      <c r="J76" s="89" t="n">
        <v>30</v>
      </c>
      <c r="K76" s="89" t="s">
        <v>2704</v>
      </c>
      <c r="L76" s="89" t="s">
        <v>2957</v>
      </c>
      <c r="M76" s="4" t="n">
        <f aca="false">IF(AND(G76&lt;=D_F01!$B$7,OR(NOT(ISNUMBER(I76)),I76&gt;D_F01!$B$7),L76&lt;&gt;"cancelled"),1,0)</f>
        <v>0</v>
      </c>
      <c r="N76" s="33" t="n">
        <f aca="false">F76*M76</f>
        <v>0</v>
      </c>
      <c r="O76" s="4" t="n">
        <f aca="false">IF(M76=1,MAX(0,D_F01!$B$7-H76),0)</f>
        <v>0</v>
      </c>
      <c r="P76" s="4" t="n">
        <f aca="false">IF(AND(ISNUMBER(I76),I76&lt;=D_F01!$B$7),I76-H76,0)</f>
        <v>0</v>
      </c>
      <c r="Q76" s="4" t="n">
        <f aca="false">MAX(0,P76)</f>
        <v>0</v>
      </c>
      <c r="R76" s="4" t="n">
        <f aca="false">IF(AND(ISNUMBER(I76),I76&gt;D_F01!$B$7-D_F01!$B$25,I76&lt;=D_F01!$B$7),1,0)</f>
        <v>1</v>
      </c>
      <c r="S76" s="4" t="n">
        <f aca="false">R76*F76*Q76</f>
        <v>0</v>
      </c>
      <c r="T76" s="4" t="n">
        <f aca="false">R76*F76</f>
        <v>120194150</v>
      </c>
      <c r="U76" s="4" t="n">
        <f aca="false">IF(AND(H76&gt;D_F01!$B$7-D_F01!$B$25,H76&lt;=D_F01!$B$7),IF(M76=1,O76,Q76),0)</f>
        <v>0</v>
      </c>
      <c r="V76" s="4" t="n">
        <f aca="false">F76*W76</f>
        <v>120194150</v>
      </c>
      <c r="W76" s="4" t="n">
        <f aca="false">IF(AND(H76&gt;D_F01!$B$7-D_F01!$B$25,H76&lt;=D_F01!$B$7,L76&lt;&gt;"cancelled"),1,0)</f>
        <v>1</v>
      </c>
      <c r="X76" s="4" t="n">
        <f aca="false">V76*U76</f>
        <v>0</v>
      </c>
      <c r="Y76" s="4" t="n">
        <f aca="false">M76*W76</f>
        <v>0</v>
      </c>
      <c r="Z76" s="4" t="n">
        <f aca="false">R76*F76*P76</f>
        <v>0</v>
      </c>
      <c r="AA76" s="42" t="n">
        <f aca="false">T76*J76</f>
        <v>3605824500</v>
      </c>
    </row>
    <row r="77" customFormat="false" ht="25.5" hidden="false" customHeight="true" outlineLevel="0" collapsed="false">
      <c r="A77" s="82" t="s">
        <v>3084</v>
      </c>
      <c r="B77" s="82" t="s">
        <v>2666</v>
      </c>
      <c r="C77" s="82" t="s">
        <v>1979</v>
      </c>
      <c r="D77" s="82" t="s">
        <v>2736</v>
      </c>
      <c r="E77" s="82" t="s">
        <v>3085</v>
      </c>
      <c r="F77" s="87" t="n">
        <v>638733746</v>
      </c>
      <c r="G77" s="84" t="n">
        <v>46132</v>
      </c>
      <c r="H77" s="84" t="n">
        <v>46162</v>
      </c>
      <c r="I77" s="84" t="n">
        <v>46167</v>
      </c>
      <c r="J77" s="82" t="n">
        <v>30</v>
      </c>
      <c r="K77" s="82" t="s">
        <v>2704</v>
      </c>
      <c r="L77" s="82" t="s">
        <v>2957</v>
      </c>
      <c r="M77" s="3" t="n">
        <f aca="false">IF(AND(G77&lt;=D_F01!$B$7,OR(NOT(ISNUMBER(I77)),I77&gt;D_F01!$B$7),L77&lt;&gt;"cancelled"),1,0)</f>
        <v>0</v>
      </c>
      <c r="N77" s="32" t="n">
        <f aca="false">F77*M77</f>
        <v>0</v>
      </c>
      <c r="O77" s="3" t="n">
        <f aca="false">IF(M77=1,MAX(0,D_F01!$B$7-H77),0)</f>
        <v>0</v>
      </c>
      <c r="P77" s="3" t="n">
        <f aca="false">IF(AND(ISNUMBER(I77),I77&lt;=D_F01!$B$7),I77-H77,0)</f>
        <v>5</v>
      </c>
      <c r="Q77" s="3" t="n">
        <f aca="false">MAX(0,P77)</f>
        <v>5</v>
      </c>
      <c r="R77" s="3" t="n">
        <f aca="false">IF(AND(ISNUMBER(I77),I77&gt;D_F01!$B$7-D_F01!$B$25,I77&lt;=D_F01!$B$7),1,0)</f>
        <v>1</v>
      </c>
      <c r="S77" s="3" t="n">
        <f aca="false">R77*F77*Q77</f>
        <v>3193668730</v>
      </c>
      <c r="T77" s="3" t="n">
        <f aca="false">R77*F77</f>
        <v>638733746</v>
      </c>
      <c r="U77" s="3" t="n">
        <f aca="false">IF(AND(H77&gt;D_F01!$B$7-D_F01!$B$25,H77&lt;=D_F01!$B$7),IF(M77=1,O77,Q77),0)</f>
        <v>5</v>
      </c>
      <c r="V77" s="3" t="n">
        <f aca="false">F77*W77</f>
        <v>638733746</v>
      </c>
      <c r="W77" s="3" t="n">
        <f aca="false">IF(AND(H77&gt;D_F01!$B$7-D_F01!$B$25,H77&lt;=D_F01!$B$7,L77&lt;&gt;"cancelled"),1,0)</f>
        <v>1</v>
      </c>
      <c r="X77" s="3" t="n">
        <f aca="false">V77*U77</f>
        <v>3193668730</v>
      </c>
      <c r="Y77" s="3" t="n">
        <f aca="false">M77*W77</f>
        <v>0</v>
      </c>
      <c r="Z77" s="3" t="n">
        <f aca="false">R77*F77*P77</f>
        <v>3193668730</v>
      </c>
      <c r="AA77" s="42" t="n">
        <f aca="false">T77*J77</f>
        <v>19162012380</v>
      </c>
    </row>
    <row r="78" customFormat="false" ht="25.5" hidden="false" customHeight="true" outlineLevel="0" collapsed="false">
      <c r="A78" s="89" t="s">
        <v>3086</v>
      </c>
      <c r="B78" s="89" t="s">
        <v>2666</v>
      </c>
      <c r="C78" s="89" t="s">
        <v>1979</v>
      </c>
      <c r="D78" s="89" t="s">
        <v>2736</v>
      </c>
      <c r="E78" s="89" t="s">
        <v>3087</v>
      </c>
      <c r="F78" s="88" t="n">
        <v>302550865</v>
      </c>
      <c r="G78" s="83" t="n">
        <v>46133</v>
      </c>
      <c r="H78" s="83" t="n">
        <v>46163</v>
      </c>
      <c r="I78" s="83" t="n">
        <v>46164</v>
      </c>
      <c r="J78" s="89" t="n">
        <v>30</v>
      </c>
      <c r="K78" s="89" t="s">
        <v>2704</v>
      </c>
      <c r="L78" s="89" t="s">
        <v>2957</v>
      </c>
      <c r="M78" s="4" t="n">
        <f aca="false">IF(AND(G78&lt;=D_F01!$B$7,OR(NOT(ISNUMBER(I78)),I78&gt;D_F01!$B$7),L78&lt;&gt;"cancelled"),1,0)</f>
        <v>0</v>
      </c>
      <c r="N78" s="33" t="n">
        <f aca="false">F78*M78</f>
        <v>0</v>
      </c>
      <c r="O78" s="4" t="n">
        <f aca="false">IF(M78=1,MAX(0,D_F01!$B$7-H78),0)</f>
        <v>0</v>
      </c>
      <c r="P78" s="4" t="n">
        <f aca="false">IF(AND(ISNUMBER(I78),I78&lt;=D_F01!$B$7),I78-H78,0)</f>
        <v>1</v>
      </c>
      <c r="Q78" s="4" t="n">
        <f aca="false">MAX(0,P78)</f>
        <v>1</v>
      </c>
      <c r="R78" s="4" t="n">
        <f aca="false">IF(AND(ISNUMBER(I78),I78&gt;D_F01!$B$7-D_F01!$B$25,I78&lt;=D_F01!$B$7),1,0)</f>
        <v>1</v>
      </c>
      <c r="S78" s="4" t="n">
        <f aca="false">R78*F78*Q78</f>
        <v>302550865</v>
      </c>
      <c r="T78" s="4" t="n">
        <f aca="false">R78*F78</f>
        <v>302550865</v>
      </c>
      <c r="U78" s="4" t="n">
        <f aca="false">IF(AND(H78&gt;D_F01!$B$7-D_F01!$B$25,H78&lt;=D_F01!$B$7),IF(M78=1,O78,Q78),0)</f>
        <v>1</v>
      </c>
      <c r="V78" s="4" t="n">
        <f aca="false">F78*W78</f>
        <v>302550865</v>
      </c>
      <c r="W78" s="4" t="n">
        <f aca="false">IF(AND(H78&gt;D_F01!$B$7-D_F01!$B$25,H78&lt;=D_F01!$B$7,L78&lt;&gt;"cancelled"),1,0)</f>
        <v>1</v>
      </c>
      <c r="X78" s="4" t="n">
        <f aca="false">V78*U78</f>
        <v>302550865</v>
      </c>
      <c r="Y78" s="4" t="n">
        <f aca="false">M78*W78</f>
        <v>0</v>
      </c>
      <c r="Z78" s="4" t="n">
        <f aca="false">R78*F78*P78</f>
        <v>302550865</v>
      </c>
      <c r="AA78" s="42" t="n">
        <f aca="false">T78*J78</f>
        <v>9076525950</v>
      </c>
    </row>
    <row r="79" customFormat="false" ht="25.5" hidden="false" customHeight="true" outlineLevel="0" collapsed="false">
      <c r="A79" s="82" t="s">
        <v>2140</v>
      </c>
      <c r="B79" s="82" t="s">
        <v>2666</v>
      </c>
      <c r="C79" s="82" t="s">
        <v>1977</v>
      </c>
      <c r="D79" s="82" t="s">
        <v>2732</v>
      </c>
      <c r="E79" s="82" t="s">
        <v>3088</v>
      </c>
      <c r="F79" s="87" t="n">
        <v>659212461</v>
      </c>
      <c r="G79" s="84" t="n">
        <v>46137</v>
      </c>
      <c r="H79" s="84" t="n">
        <v>46182</v>
      </c>
      <c r="I79" s="84"/>
      <c r="J79" s="82" t="n">
        <v>45</v>
      </c>
      <c r="K79" s="82" t="s">
        <v>2704</v>
      </c>
      <c r="L79" s="82" t="s">
        <v>2957</v>
      </c>
      <c r="M79" s="3" t="n">
        <f aca="false">IF(AND(G79&lt;=D_F01!$B$7,OR(NOT(ISNUMBER(I79)),I79&gt;D_F01!$B$7),L79&lt;&gt;"cancelled"),1,0)</f>
        <v>1</v>
      </c>
      <c r="N79" s="32" t="n">
        <f aca="false">F79*M79</f>
        <v>659212461</v>
      </c>
      <c r="O79" s="3" t="n">
        <f aca="false">IF(M79=1,MAX(0,D_F01!$B$7-H79),0)</f>
        <v>21</v>
      </c>
      <c r="P79" s="3" t="n">
        <f aca="false">IF(AND(ISNUMBER(I79),I79&lt;=D_F01!$B$7),I79-H79,0)</f>
        <v>0</v>
      </c>
      <c r="Q79" s="3" t="n">
        <f aca="false">MAX(0,P79)</f>
        <v>0</v>
      </c>
      <c r="R79" s="3" t="n">
        <f aca="false">IF(AND(ISNUMBER(I79),I79&gt;D_F01!$B$7-D_F01!$B$25,I79&lt;=D_F01!$B$7),1,0)</f>
        <v>0</v>
      </c>
      <c r="S79" s="3" t="n">
        <f aca="false">R79*F79*Q79</f>
        <v>0</v>
      </c>
      <c r="T79" s="3" t="n">
        <f aca="false">R79*F79</f>
        <v>0</v>
      </c>
      <c r="U79" s="3" t="n">
        <f aca="false">IF(AND(H79&gt;D_F01!$B$7-D_F01!$B$25,H79&lt;=D_F01!$B$7),IF(M79=1,O79,Q79),0)</f>
        <v>21</v>
      </c>
      <c r="V79" s="3" t="n">
        <f aca="false">F79*W79</f>
        <v>659212461</v>
      </c>
      <c r="W79" s="3" t="n">
        <f aca="false">IF(AND(H79&gt;D_F01!$B$7-D_F01!$B$25,H79&lt;=D_F01!$B$7,L79&lt;&gt;"cancelled"),1,0)</f>
        <v>1</v>
      </c>
      <c r="X79" s="3" t="n">
        <f aca="false">V79*U79</f>
        <v>13843461681</v>
      </c>
      <c r="Y79" s="3" t="n">
        <f aca="false">M79*W79</f>
        <v>1</v>
      </c>
      <c r="Z79" s="3" t="n">
        <f aca="false">R79*F79*P79</f>
        <v>0</v>
      </c>
      <c r="AA79" s="42" t="n">
        <f aca="false">T79*J79</f>
        <v>0</v>
      </c>
    </row>
    <row r="80" customFormat="false" ht="25.5" hidden="false" customHeight="true" outlineLevel="0" collapsed="false">
      <c r="A80" s="89" t="s">
        <v>2142</v>
      </c>
      <c r="B80" s="89" t="s">
        <v>2666</v>
      </c>
      <c r="C80" s="89" t="s">
        <v>1977</v>
      </c>
      <c r="D80" s="89" t="s">
        <v>2732</v>
      </c>
      <c r="E80" s="89" t="s">
        <v>3089</v>
      </c>
      <c r="F80" s="88" t="n">
        <v>272993776</v>
      </c>
      <c r="G80" s="83" t="n">
        <v>46138</v>
      </c>
      <c r="H80" s="83" t="n">
        <v>46183</v>
      </c>
      <c r="I80" s="83"/>
      <c r="J80" s="89" t="n">
        <v>45</v>
      </c>
      <c r="K80" s="89" t="s">
        <v>2704</v>
      </c>
      <c r="L80" s="89" t="s">
        <v>2957</v>
      </c>
      <c r="M80" s="4" t="n">
        <f aca="false">IF(AND(G80&lt;=D_F01!$B$7,OR(NOT(ISNUMBER(I80)),I80&gt;D_F01!$B$7),L80&lt;&gt;"cancelled"),1,0)</f>
        <v>1</v>
      </c>
      <c r="N80" s="33" t="n">
        <f aca="false">F80*M80</f>
        <v>272993776</v>
      </c>
      <c r="O80" s="4" t="n">
        <f aca="false">IF(M80=1,MAX(0,D_F01!$B$7-H80),0)</f>
        <v>20</v>
      </c>
      <c r="P80" s="4" t="n">
        <f aca="false">IF(AND(ISNUMBER(I80),I80&lt;=D_F01!$B$7),I80-H80,0)</f>
        <v>0</v>
      </c>
      <c r="Q80" s="4" t="n">
        <f aca="false">MAX(0,P80)</f>
        <v>0</v>
      </c>
      <c r="R80" s="4" t="n">
        <f aca="false">IF(AND(ISNUMBER(I80),I80&gt;D_F01!$B$7-D_F01!$B$25,I80&lt;=D_F01!$B$7),1,0)</f>
        <v>0</v>
      </c>
      <c r="S80" s="4" t="n">
        <f aca="false">R80*F80*Q80</f>
        <v>0</v>
      </c>
      <c r="T80" s="4" t="n">
        <f aca="false">R80*F80</f>
        <v>0</v>
      </c>
      <c r="U80" s="4" t="n">
        <f aca="false">IF(AND(H80&gt;D_F01!$B$7-D_F01!$B$25,H80&lt;=D_F01!$B$7),IF(M80=1,O80,Q80),0)</f>
        <v>20</v>
      </c>
      <c r="V80" s="4" t="n">
        <f aca="false">F80*W80</f>
        <v>272993776</v>
      </c>
      <c r="W80" s="4" t="n">
        <f aca="false">IF(AND(H80&gt;D_F01!$B$7-D_F01!$B$25,H80&lt;=D_F01!$B$7,L80&lt;&gt;"cancelled"),1,0)</f>
        <v>1</v>
      </c>
      <c r="X80" s="4" t="n">
        <f aca="false">V80*U80</f>
        <v>5459875520</v>
      </c>
      <c r="Y80" s="4" t="n">
        <f aca="false">M80*W80</f>
        <v>1</v>
      </c>
      <c r="Z80" s="4" t="n">
        <f aca="false">R80*F80*P80</f>
        <v>0</v>
      </c>
      <c r="AA80" s="42" t="n">
        <f aca="false">T80*J80</f>
        <v>0</v>
      </c>
    </row>
    <row r="81" customFormat="false" ht="39.75" hidden="false" customHeight="true" outlineLevel="0" collapsed="false">
      <c r="A81" s="82" t="s">
        <v>3090</v>
      </c>
      <c r="B81" s="82" t="s">
        <v>2666</v>
      </c>
      <c r="C81" s="82" t="s">
        <v>1980</v>
      </c>
      <c r="D81" s="82" t="s">
        <v>2737</v>
      </c>
      <c r="E81" s="82" t="s">
        <v>3091</v>
      </c>
      <c r="F81" s="87" t="n">
        <v>600552551</v>
      </c>
      <c r="G81" s="84" t="n">
        <v>46140</v>
      </c>
      <c r="H81" s="84" t="n">
        <v>46170</v>
      </c>
      <c r="I81" s="84" t="n">
        <v>46168</v>
      </c>
      <c r="J81" s="82" t="n">
        <v>30</v>
      </c>
      <c r="K81" s="82" t="s">
        <v>2704</v>
      </c>
      <c r="L81" s="82" t="s">
        <v>2957</v>
      </c>
      <c r="M81" s="3" t="n">
        <f aca="false">IF(AND(G81&lt;=D_F01!$B$7,OR(NOT(ISNUMBER(I81)),I81&gt;D_F01!$B$7),L81&lt;&gt;"cancelled"),1,0)</f>
        <v>0</v>
      </c>
      <c r="N81" s="32" t="n">
        <f aca="false">F81*M81</f>
        <v>0</v>
      </c>
      <c r="O81" s="3" t="n">
        <f aca="false">IF(M81=1,MAX(0,D_F01!$B$7-H81),0)</f>
        <v>0</v>
      </c>
      <c r="P81" s="3" t="n">
        <f aca="false">IF(AND(ISNUMBER(I81),I81&lt;=D_F01!$B$7),I81-H81,0)</f>
        <v>-2</v>
      </c>
      <c r="Q81" s="3" t="n">
        <f aca="false">MAX(0,P81)</f>
        <v>0</v>
      </c>
      <c r="R81" s="3" t="n">
        <f aca="false">IF(AND(ISNUMBER(I81),I81&gt;D_F01!$B$7-D_F01!$B$25,I81&lt;=D_F01!$B$7),1,0)</f>
        <v>1</v>
      </c>
      <c r="S81" s="3" t="n">
        <f aca="false">R81*F81*Q81</f>
        <v>0</v>
      </c>
      <c r="T81" s="3" t="n">
        <f aca="false">R81*F81</f>
        <v>600552551</v>
      </c>
      <c r="U81" s="3" t="n">
        <f aca="false">IF(AND(H81&gt;D_F01!$B$7-D_F01!$B$25,H81&lt;=D_F01!$B$7),IF(M81=1,O81,Q81),0)</f>
        <v>0</v>
      </c>
      <c r="V81" s="3" t="n">
        <f aca="false">F81*W81</f>
        <v>600552551</v>
      </c>
      <c r="W81" s="3" t="n">
        <f aca="false">IF(AND(H81&gt;D_F01!$B$7-D_F01!$B$25,H81&lt;=D_F01!$B$7,L81&lt;&gt;"cancelled"),1,0)</f>
        <v>1</v>
      </c>
      <c r="X81" s="3" t="n">
        <f aca="false">V81*U81</f>
        <v>0</v>
      </c>
      <c r="Y81" s="3" t="n">
        <f aca="false">M81*W81</f>
        <v>0</v>
      </c>
      <c r="Z81" s="3" t="n">
        <f aca="false">R81*F81*P81</f>
        <v>-1201105102</v>
      </c>
      <c r="AA81" s="42" t="n">
        <f aca="false">T81*J81</f>
        <v>18016576530</v>
      </c>
    </row>
    <row r="82" customFormat="false" ht="25.5" hidden="false" customHeight="true" outlineLevel="0" collapsed="false">
      <c r="A82" s="89" t="s">
        <v>3092</v>
      </c>
      <c r="B82" s="89" t="s">
        <v>2666</v>
      </c>
      <c r="C82" s="89" t="s">
        <v>1978</v>
      </c>
      <c r="D82" s="89" t="s">
        <v>2734</v>
      </c>
      <c r="E82" s="89" t="s">
        <v>3093</v>
      </c>
      <c r="F82" s="88" t="n">
        <v>439865899</v>
      </c>
      <c r="G82" s="83" t="n">
        <v>46143</v>
      </c>
      <c r="H82" s="83" t="n">
        <v>46173</v>
      </c>
      <c r="I82" s="83" t="n">
        <v>46176</v>
      </c>
      <c r="J82" s="89" t="n">
        <v>30</v>
      </c>
      <c r="K82" s="89" t="s">
        <v>2704</v>
      </c>
      <c r="L82" s="89" t="s">
        <v>2957</v>
      </c>
      <c r="M82" s="4" t="n">
        <f aca="false">IF(AND(G82&lt;=D_F01!$B$7,OR(NOT(ISNUMBER(I82)),I82&gt;D_F01!$B$7),L82&lt;&gt;"cancelled"),1,0)</f>
        <v>0</v>
      </c>
      <c r="N82" s="33" t="n">
        <f aca="false">F82*M82</f>
        <v>0</v>
      </c>
      <c r="O82" s="4" t="n">
        <f aca="false">IF(M82=1,MAX(0,D_F01!$B$7-H82),0)</f>
        <v>0</v>
      </c>
      <c r="P82" s="4" t="n">
        <f aca="false">IF(AND(ISNUMBER(I82),I82&lt;=D_F01!$B$7),I82-H82,0)</f>
        <v>3</v>
      </c>
      <c r="Q82" s="4" t="n">
        <f aca="false">MAX(0,P82)</f>
        <v>3</v>
      </c>
      <c r="R82" s="4" t="n">
        <f aca="false">IF(AND(ISNUMBER(I82),I82&gt;D_F01!$B$7-D_F01!$B$25,I82&lt;=D_F01!$B$7),1,0)</f>
        <v>1</v>
      </c>
      <c r="S82" s="4" t="n">
        <f aca="false">R82*F82*Q82</f>
        <v>1319597697</v>
      </c>
      <c r="T82" s="4" t="n">
        <f aca="false">R82*F82</f>
        <v>439865899</v>
      </c>
      <c r="U82" s="4" t="n">
        <f aca="false">IF(AND(H82&gt;D_F01!$B$7-D_F01!$B$25,H82&lt;=D_F01!$B$7),IF(M82=1,O82,Q82),0)</f>
        <v>3</v>
      </c>
      <c r="V82" s="4" t="n">
        <f aca="false">F82*W82</f>
        <v>439865899</v>
      </c>
      <c r="W82" s="4" t="n">
        <f aca="false">IF(AND(H82&gt;D_F01!$B$7-D_F01!$B$25,H82&lt;=D_F01!$B$7,L82&lt;&gt;"cancelled"),1,0)</f>
        <v>1</v>
      </c>
      <c r="X82" s="4" t="n">
        <f aca="false">V82*U82</f>
        <v>1319597697</v>
      </c>
      <c r="Y82" s="4" t="n">
        <f aca="false">M82*W82</f>
        <v>0</v>
      </c>
      <c r="Z82" s="4" t="n">
        <f aca="false">R82*F82*P82</f>
        <v>1319597697</v>
      </c>
      <c r="AA82" s="42" t="n">
        <f aca="false">T82*J82</f>
        <v>13195976970</v>
      </c>
    </row>
    <row r="83" customFormat="false" ht="25.5" hidden="false" customHeight="true" outlineLevel="0" collapsed="false">
      <c r="A83" s="82" t="s">
        <v>2144</v>
      </c>
      <c r="B83" s="82" t="s">
        <v>2666</v>
      </c>
      <c r="C83" s="82" t="s">
        <v>1983</v>
      </c>
      <c r="D83" s="82" t="s">
        <v>2740</v>
      </c>
      <c r="E83" s="82" t="s">
        <v>3094</v>
      </c>
      <c r="F83" s="87" t="n">
        <v>274915745</v>
      </c>
      <c r="G83" s="84" t="n">
        <v>46144</v>
      </c>
      <c r="H83" s="84" t="n">
        <v>46174</v>
      </c>
      <c r="I83" s="84"/>
      <c r="J83" s="82" t="n">
        <v>30</v>
      </c>
      <c r="K83" s="82" t="s">
        <v>2704</v>
      </c>
      <c r="L83" s="82" t="s">
        <v>2957</v>
      </c>
      <c r="M83" s="3" t="n">
        <f aca="false">IF(AND(G83&lt;=D_F01!$B$7,OR(NOT(ISNUMBER(I83)),I83&gt;D_F01!$B$7),L83&lt;&gt;"cancelled"),1,0)</f>
        <v>1</v>
      </c>
      <c r="N83" s="32" t="n">
        <f aca="false">F83*M83</f>
        <v>274915745</v>
      </c>
      <c r="O83" s="3" t="n">
        <f aca="false">IF(M83=1,MAX(0,D_F01!$B$7-H83),0)</f>
        <v>29</v>
      </c>
      <c r="P83" s="3" t="n">
        <f aca="false">IF(AND(ISNUMBER(I83),I83&lt;=D_F01!$B$7),I83-H83,0)</f>
        <v>0</v>
      </c>
      <c r="Q83" s="3" t="n">
        <f aca="false">MAX(0,P83)</f>
        <v>0</v>
      </c>
      <c r="R83" s="3" t="n">
        <f aca="false">IF(AND(ISNUMBER(I83),I83&gt;D_F01!$B$7-D_F01!$B$25,I83&lt;=D_F01!$B$7),1,0)</f>
        <v>0</v>
      </c>
      <c r="S83" s="3" t="n">
        <f aca="false">R83*F83*Q83</f>
        <v>0</v>
      </c>
      <c r="T83" s="3" t="n">
        <f aca="false">R83*F83</f>
        <v>0</v>
      </c>
      <c r="U83" s="3" t="n">
        <f aca="false">IF(AND(H83&gt;D_F01!$B$7-D_F01!$B$25,H83&lt;=D_F01!$B$7),IF(M83=1,O83,Q83),0)</f>
        <v>29</v>
      </c>
      <c r="V83" s="3" t="n">
        <f aca="false">F83*W83</f>
        <v>274915745</v>
      </c>
      <c r="W83" s="3" t="n">
        <f aca="false">IF(AND(H83&gt;D_F01!$B$7-D_F01!$B$25,H83&lt;=D_F01!$B$7,L83&lt;&gt;"cancelled"),1,0)</f>
        <v>1</v>
      </c>
      <c r="X83" s="3" t="n">
        <f aca="false">V83*U83</f>
        <v>7972556605</v>
      </c>
      <c r="Y83" s="3" t="n">
        <f aca="false">M83*W83</f>
        <v>1</v>
      </c>
      <c r="Z83" s="3" t="n">
        <f aca="false">R83*F83*P83</f>
        <v>0</v>
      </c>
      <c r="AA83" s="42" t="n">
        <f aca="false">T83*J83</f>
        <v>0</v>
      </c>
    </row>
    <row r="84" customFormat="false" ht="25.5" hidden="false" customHeight="true" outlineLevel="0" collapsed="false">
      <c r="A84" s="89" t="s">
        <v>3095</v>
      </c>
      <c r="B84" s="89" t="s">
        <v>2666</v>
      </c>
      <c r="C84" s="89" t="s">
        <v>1979</v>
      </c>
      <c r="D84" s="89" t="s">
        <v>2736</v>
      </c>
      <c r="E84" s="89" t="s">
        <v>3096</v>
      </c>
      <c r="F84" s="88" t="n">
        <v>548321567</v>
      </c>
      <c r="G84" s="83" t="n">
        <v>46144</v>
      </c>
      <c r="H84" s="83" t="n">
        <v>46174</v>
      </c>
      <c r="I84" s="83" t="n">
        <v>46185</v>
      </c>
      <c r="J84" s="89" t="n">
        <v>30</v>
      </c>
      <c r="K84" s="89" t="s">
        <v>2704</v>
      </c>
      <c r="L84" s="89" t="s">
        <v>2957</v>
      </c>
      <c r="M84" s="4" t="n">
        <f aca="false">IF(AND(G84&lt;=D_F01!$B$7,OR(NOT(ISNUMBER(I84)),I84&gt;D_F01!$B$7),L84&lt;&gt;"cancelled"),1,0)</f>
        <v>0</v>
      </c>
      <c r="N84" s="33" t="n">
        <f aca="false">F84*M84</f>
        <v>0</v>
      </c>
      <c r="O84" s="4" t="n">
        <f aca="false">IF(M84=1,MAX(0,D_F01!$B$7-H84),0)</f>
        <v>0</v>
      </c>
      <c r="P84" s="4" t="n">
        <f aca="false">IF(AND(ISNUMBER(I84),I84&lt;=D_F01!$B$7),I84-H84,0)</f>
        <v>11</v>
      </c>
      <c r="Q84" s="4" t="n">
        <f aca="false">MAX(0,P84)</f>
        <v>11</v>
      </c>
      <c r="R84" s="4" t="n">
        <f aca="false">IF(AND(ISNUMBER(I84),I84&gt;D_F01!$B$7-D_F01!$B$25,I84&lt;=D_F01!$B$7),1,0)</f>
        <v>1</v>
      </c>
      <c r="S84" s="4" t="n">
        <f aca="false">R84*F84*Q84</f>
        <v>6031537237</v>
      </c>
      <c r="T84" s="4" t="n">
        <f aca="false">R84*F84</f>
        <v>548321567</v>
      </c>
      <c r="U84" s="4" t="n">
        <f aca="false">IF(AND(H84&gt;D_F01!$B$7-D_F01!$B$25,H84&lt;=D_F01!$B$7),IF(M84=1,O84,Q84),0)</f>
        <v>11</v>
      </c>
      <c r="V84" s="4" t="n">
        <f aca="false">F84*W84</f>
        <v>548321567</v>
      </c>
      <c r="W84" s="4" t="n">
        <f aca="false">IF(AND(H84&gt;D_F01!$B$7-D_F01!$B$25,H84&lt;=D_F01!$B$7,L84&lt;&gt;"cancelled"),1,0)</f>
        <v>1</v>
      </c>
      <c r="X84" s="4" t="n">
        <f aca="false">V84*U84</f>
        <v>6031537237</v>
      </c>
      <c r="Y84" s="4" t="n">
        <f aca="false">M84*W84</f>
        <v>0</v>
      </c>
      <c r="Z84" s="4" t="n">
        <f aca="false">R84*F84*P84</f>
        <v>6031537237</v>
      </c>
      <c r="AA84" s="42" t="n">
        <f aca="false">T84*J84</f>
        <v>16449647010</v>
      </c>
    </row>
    <row r="85" customFormat="false" ht="25.5" hidden="false" customHeight="true" outlineLevel="0" collapsed="false">
      <c r="A85" s="82" t="s">
        <v>3097</v>
      </c>
      <c r="B85" s="82" t="s">
        <v>2666</v>
      </c>
      <c r="C85" s="82" t="s">
        <v>1978</v>
      </c>
      <c r="D85" s="82" t="s">
        <v>2734</v>
      </c>
      <c r="E85" s="82" t="s">
        <v>3098</v>
      </c>
      <c r="F85" s="87" t="n">
        <v>457066591</v>
      </c>
      <c r="G85" s="84" t="n">
        <v>46145</v>
      </c>
      <c r="H85" s="84" t="n">
        <v>46175</v>
      </c>
      <c r="I85" s="84" t="n">
        <v>46178</v>
      </c>
      <c r="J85" s="82" t="n">
        <v>30</v>
      </c>
      <c r="K85" s="82" t="s">
        <v>2704</v>
      </c>
      <c r="L85" s="82" t="s">
        <v>2957</v>
      </c>
      <c r="M85" s="3" t="n">
        <f aca="false">IF(AND(G85&lt;=D_F01!$B$7,OR(NOT(ISNUMBER(I85)),I85&gt;D_F01!$B$7),L85&lt;&gt;"cancelled"),1,0)</f>
        <v>0</v>
      </c>
      <c r="N85" s="32" t="n">
        <f aca="false">F85*M85</f>
        <v>0</v>
      </c>
      <c r="O85" s="3" t="n">
        <f aca="false">IF(M85=1,MAX(0,D_F01!$B$7-H85),0)</f>
        <v>0</v>
      </c>
      <c r="P85" s="3" t="n">
        <f aca="false">IF(AND(ISNUMBER(I85),I85&lt;=D_F01!$B$7),I85-H85,0)</f>
        <v>3</v>
      </c>
      <c r="Q85" s="3" t="n">
        <f aca="false">MAX(0,P85)</f>
        <v>3</v>
      </c>
      <c r="R85" s="3" t="n">
        <f aca="false">IF(AND(ISNUMBER(I85),I85&gt;D_F01!$B$7-D_F01!$B$25,I85&lt;=D_F01!$B$7),1,0)</f>
        <v>1</v>
      </c>
      <c r="S85" s="3" t="n">
        <f aca="false">R85*F85*Q85</f>
        <v>1371199773</v>
      </c>
      <c r="T85" s="3" t="n">
        <f aca="false">R85*F85</f>
        <v>457066591</v>
      </c>
      <c r="U85" s="3" t="n">
        <f aca="false">IF(AND(H85&gt;D_F01!$B$7-D_F01!$B$25,H85&lt;=D_F01!$B$7),IF(M85=1,O85,Q85),0)</f>
        <v>3</v>
      </c>
      <c r="V85" s="3" t="n">
        <f aca="false">F85*W85</f>
        <v>457066591</v>
      </c>
      <c r="W85" s="3" t="n">
        <f aca="false">IF(AND(H85&gt;D_F01!$B$7-D_F01!$B$25,H85&lt;=D_F01!$B$7,L85&lt;&gt;"cancelled"),1,0)</f>
        <v>1</v>
      </c>
      <c r="X85" s="3" t="n">
        <f aca="false">V85*U85</f>
        <v>1371199773</v>
      </c>
      <c r="Y85" s="3" t="n">
        <f aca="false">M85*W85</f>
        <v>0</v>
      </c>
      <c r="Z85" s="3" t="n">
        <f aca="false">R85*F85*P85</f>
        <v>1371199773</v>
      </c>
      <c r="AA85" s="42" t="n">
        <f aca="false">T85*J85</f>
        <v>13711997730</v>
      </c>
    </row>
    <row r="86" customFormat="false" ht="25.5" hidden="false" customHeight="true" outlineLevel="0" collapsed="false">
      <c r="A86" s="89" t="s">
        <v>3099</v>
      </c>
      <c r="B86" s="89" t="s">
        <v>2666</v>
      </c>
      <c r="C86" s="89" t="s">
        <v>1981</v>
      </c>
      <c r="D86" s="89" t="s">
        <v>2738</v>
      </c>
      <c r="E86" s="89" t="s">
        <v>3100</v>
      </c>
      <c r="F86" s="88" t="n">
        <v>146087770</v>
      </c>
      <c r="G86" s="83" t="n">
        <v>46145</v>
      </c>
      <c r="H86" s="83" t="n">
        <v>46175</v>
      </c>
      <c r="I86" s="83" t="n">
        <v>46179</v>
      </c>
      <c r="J86" s="89" t="n">
        <v>30</v>
      </c>
      <c r="K86" s="89" t="s">
        <v>2704</v>
      </c>
      <c r="L86" s="89" t="s">
        <v>2957</v>
      </c>
      <c r="M86" s="4" t="n">
        <f aca="false">IF(AND(G86&lt;=D_F01!$B$7,OR(NOT(ISNUMBER(I86)),I86&gt;D_F01!$B$7),L86&lt;&gt;"cancelled"),1,0)</f>
        <v>0</v>
      </c>
      <c r="N86" s="33" t="n">
        <f aca="false">F86*M86</f>
        <v>0</v>
      </c>
      <c r="O86" s="4" t="n">
        <f aca="false">IF(M86=1,MAX(0,D_F01!$B$7-H86),0)</f>
        <v>0</v>
      </c>
      <c r="P86" s="4" t="n">
        <f aca="false">IF(AND(ISNUMBER(I86),I86&lt;=D_F01!$B$7),I86-H86,0)</f>
        <v>4</v>
      </c>
      <c r="Q86" s="4" t="n">
        <f aca="false">MAX(0,P86)</f>
        <v>4</v>
      </c>
      <c r="R86" s="4" t="n">
        <f aca="false">IF(AND(ISNUMBER(I86),I86&gt;D_F01!$B$7-D_F01!$B$25,I86&lt;=D_F01!$B$7),1,0)</f>
        <v>1</v>
      </c>
      <c r="S86" s="4" t="n">
        <f aca="false">R86*F86*Q86</f>
        <v>584351080</v>
      </c>
      <c r="T86" s="4" t="n">
        <f aca="false">R86*F86</f>
        <v>146087770</v>
      </c>
      <c r="U86" s="4" t="n">
        <f aca="false">IF(AND(H86&gt;D_F01!$B$7-D_F01!$B$25,H86&lt;=D_F01!$B$7),IF(M86=1,O86,Q86),0)</f>
        <v>4</v>
      </c>
      <c r="V86" s="4" t="n">
        <f aca="false">F86*W86</f>
        <v>146087770</v>
      </c>
      <c r="W86" s="4" t="n">
        <f aca="false">IF(AND(H86&gt;D_F01!$B$7-D_F01!$B$25,H86&lt;=D_F01!$B$7,L86&lt;&gt;"cancelled"),1,0)</f>
        <v>1</v>
      </c>
      <c r="X86" s="4" t="n">
        <f aca="false">V86*U86</f>
        <v>584351080</v>
      </c>
      <c r="Y86" s="4" t="n">
        <f aca="false">M86*W86</f>
        <v>0</v>
      </c>
      <c r="Z86" s="4" t="n">
        <f aca="false">R86*F86*P86</f>
        <v>584351080</v>
      </c>
      <c r="AA86" s="42" t="n">
        <f aca="false">T86*J86</f>
        <v>4382633100</v>
      </c>
    </row>
    <row r="87" customFormat="false" ht="25.5" hidden="false" customHeight="true" outlineLevel="0" collapsed="false">
      <c r="A87" s="82" t="s">
        <v>2146</v>
      </c>
      <c r="B87" s="82" t="s">
        <v>2666</v>
      </c>
      <c r="C87" s="82" t="s">
        <v>1977</v>
      </c>
      <c r="D87" s="82" t="s">
        <v>2732</v>
      </c>
      <c r="E87" s="82" t="s">
        <v>3101</v>
      </c>
      <c r="F87" s="87" t="n">
        <v>574833910</v>
      </c>
      <c r="G87" s="84" t="n">
        <v>46146</v>
      </c>
      <c r="H87" s="84" t="n">
        <v>46191</v>
      </c>
      <c r="I87" s="84"/>
      <c r="J87" s="82" t="n">
        <v>45</v>
      </c>
      <c r="K87" s="82" t="s">
        <v>2704</v>
      </c>
      <c r="L87" s="82" t="s">
        <v>2957</v>
      </c>
      <c r="M87" s="3" t="n">
        <f aca="false">IF(AND(G87&lt;=D_F01!$B$7,OR(NOT(ISNUMBER(I87)),I87&gt;D_F01!$B$7),L87&lt;&gt;"cancelled"),1,0)</f>
        <v>1</v>
      </c>
      <c r="N87" s="32" t="n">
        <f aca="false">F87*M87</f>
        <v>574833910</v>
      </c>
      <c r="O87" s="3" t="n">
        <f aca="false">IF(M87=1,MAX(0,D_F01!$B$7-H87),0)</f>
        <v>12</v>
      </c>
      <c r="P87" s="3" t="n">
        <f aca="false">IF(AND(ISNUMBER(I87),I87&lt;=D_F01!$B$7),I87-H87,0)</f>
        <v>0</v>
      </c>
      <c r="Q87" s="3" t="n">
        <f aca="false">MAX(0,P87)</f>
        <v>0</v>
      </c>
      <c r="R87" s="3" t="n">
        <f aca="false">IF(AND(ISNUMBER(I87),I87&gt;D_F01!$B$7-D_F01!$B$25,I87&lt;=D_F01!$B$7),1,0)</f>
        <v>0</v>
      </c>
      <c r="S87" s="3" t="n">
        <f aca="false">R87*F87*Q87</f>
        <v>0</v>
      </c>
      <c r="T87" s="3" t="n">
        <f aca="false">R87*F87</f>
        <v>0</v>
      </c>
      <c r="U87" s="3" t="n">
        <f aca="false">IF(AND(H87&gt;D_F01!$B$7-D_F01!$B$25,H87&lt;=D_F01!$B$7),IF(M87=1,O87,Q87),0)</f>
        <v>12</v>
      </c>
      <c r="V87" s="3" t="n">
        <f aca="false">F87*W87</f>
        <v>574833910</v>
      </c>
      <c r="W87" s="3" t="n">
        <f aca="false">IF(AND(H87&gt;D_F01!$B$7-D_F01!$B$25,H87&lt;=D_F01!$B$7,L87&lt;&gt;"cancelled"),1,0)</f>
        <v>1</v>
      </c>
      <c r="X87" s="3" t="n">
        <f aca="false">V87*U87</f>
        <v>6898006920</v>
      </c>
      <c r="Y87" s="3" t="n">
        <f aca="false">M87*W87</f>
        <v>1</v>
      </c>
      <c r="Z87" s="3" t="n">
        <f aca="false">R87*F87*P87</f>
        <v>0</v>
      </c>
      <c r="AA87" s="42" t="n">
        <f aca="false">T87*J87</f>
        <v>0</v>
      </c>
    </row>
    <row r="88" customFormat="false" ht="25.5" hidden="false" customHeight="true" outlineLevel="0" collapsed="false">
      <c r="A88" s="89" t="s">
        <v>3102</v>
      </c>
      <c r="B88" s="89" t="s">
        <v>2666</v>
      </c>
      <c r="C88" s="89" t="s">
        <v>1981</v>
      </c>
      <c r="D88" s="89" t="s">
        <v>2738</v>
      </c>
      <c r="E88" s="89" t="s">
        <v>3100</v>
      </c>
      <c r="F88" s="88" t="n">
        <v>186877165</v>
      </c>
      <c r="G88" s="83" t="n">
        <v>46148</v>
      </c>
      <c r="H88" s="83" t="n">
        <v>46178</v>
      </c>
      <c r="I88" s="83" t="n">
        <v>46178</v>
      </c>
      <c r="J88" s="89" t="n">
        <v>30</v>
      </c>
      <c r="K88" s="89" t="s">
        <v>2704</v>
      </c>
      <c r="L88" s="89" t="s">
        <v>2957</v>
      </c>
      <c r="M88" s="4" t="n">
        <f aca="false">IF(AND(G88&lt;=D_F01!$B$7,OR(NOT(ISNUMBER(I88)),I88&gt;D_F01!$B$7),L88&lt;&gt;"cancelled"),1,0)</f>
        <v>0</v>
      </c>
      <c r="N88" s="33" t="n">
        <f aca="false">F88*M88</f>
        <v>0</v>
      </c>
      <c r="O88" s="4" t="n">
        <f aca="false">IF(M88=1,MAX(0,D_F01!$B$7-H88),0)</f>
        <v>0</v>
      </c>
      <c r="P88" s="4" t="n">
        <f aca="false">IF(AND(ISNUMBER(I88),I88&lt;=D_F01!$B$7),I88-H88,0)</f>
        <v>0</v>
      </c>
      <c r="Q88" s="4" t="n">
        <f aca="false">MAX(0,P88)</f>
        <v>0</v>
      </c>
      <c r="R88" s="4" t="n">
        <f aca="false">IF(AND(ISNUMBER(I88),I88&gt;D_F01!$B$7-D_F01!$B$25,I88&lt;=D_F01!$B$7),1,0)</f>
        <v>1</v>
      </c>
      <c r="S88" s="4" t="n">
        <f aca="false">R88*F88*Q88</f>
        <v>0</v>
      </c>
      <c r="T88" s="4" t="n">
        <f aca="false">R88*F88</f>
        <v>186877165</v>
      </c>
      <c r="U88" s="4" t="n">
        <f aca="false">IF(AND(H88&gt;D_F01!$B$7-D_F01!$B$25,H88&lt;=D_F01!$B$7),IF(M88=1,O88,Q88),0)</f>
        <v>0</v>
      </c>
      <c r="V88" s="4" t="n">
        <f aca="false">F88*W88</f>
        <v>186877165</v>
      </c>
      <c r="W88" s="4" t="n">
        <f aca="false">IF(AND(H88&gt;D_F01!$B$7-D_F01!$B$25,H88&lt;=D_F01!$B$7,L88&lt;&gt;"cancelled"),1,0)</f>
        <v>1</v>
      </c>
      <c r="X88" s="4" t="n">
        <f aca="false">V88*U88</f>
        <v>0</v>
      </c>
      <c r="Y88" s="4" t="n">
        <f aca="false">M88*W88</f>
        <v>0</v>
      </c>
      <c r="Z88" s="4" t="n">
        <f aca="false">R88*F88*P88</f>
        <v>0</v>
      </c>
      <c r="AA88" s="42" t="n">
        <f aca="false">T88*J88</f>
        <v>5606314950</v>
      </c>
    </row>
    <row r="89" customFormat="false" ht="25.5" hidden="false" customHeight="true" outlineLevel="0" collapsed="false">
      <c r="A89" s="82" t="s">
        <v>2148</v>
      </c>
      <c r="B89" s="82" t="s">
        <v>2666</v>
      </c>
      <c r="C89" s="82" t="s">
        <v>1977</v>
      </c>
      <c r="D89" s="82" t="s">
        <v>2732</v>
      </c>
      <c r="E89" s="82" t="s">
        <v>3101</v>
      </c>
      <c r="F89" s="87" t="n">
        <v>967551008</v>
      </c>
      <c r="G89" s="84" t="n">
        <v>46149</v>
      </c>
      <c r="H89" s="84" t="n">
        <v>46194</v>
      </c>
      <c r="I89" s="84"/>
      <c r="J89" s="82" t="n">
        <v>45</v>
      </c>
      <c r="K89" s="82" t="s">
        <v>2704</v>
      </c>
      <c r="L89" s="82" t="s">
        <v>2957</v>
      </c>
      <c r="M89" s="3" t="n">
        <f aca="false">IF(AND(G89&lt;=D_F01!$B$7,OR(NOT(ISNUMBER(I89)),I89&gt;D_F01!$B$7),L89&lt;&gt;"cancelled"),1,0)</f>
        <v>1</v>
      </c>
      <c r="N89" s="32" t="n">
        <f aca="false">F89*M89</f>
        <v>967551008</v>
      </c>
      <c r="O89" s="3" t="n">
        <f aca="false">IF(M89=1,MAX(0,D_F01!$B$7-H89),0)</f>
        <v>9</v>
      </c>
      <c r="P89" s="3" t="n">
        <f aca="false">IF(AND(ISNUMBER(I89),I89&lt;=D_F01!$B$7),I89-H89,0)</f>
        <v>0</v>
      </c>
      <c r="Q89" s="3" t="n">
        <f aca="false">MAX(0,P89)</f>
        <v>0</v>
      </c>
      <c r="R89" s="3" t="n">
        <f aca="false">IF(AND(ISNUMBER(I89),I89&gt;D_F01!$B$7-D_F01!$B$25,I89&lt;=D_F01!$B$7),1,0)</f>
        <v>0</v>
      </c>
      <c r="S89" s="3" t="n">
        <f aca="false">R89*F89*Q89</f>
        <v>0</v>
      </c>
      <c r="T89" s="3" t="n">
        <f aca="false">R89*F89</f>
        <v>0</v>
      </c>
      <c r="U89" s="3" t="n">
        <f aca="false">IF(AND(H89&gt;D_F01!$B$7-D_F01!$B$25,H89&lt;=D_F01!$B$7),IF(M89=1,O89,Q89),0)</f>
        <v>9</v>
      </c>
      <c r="V89" s="3" t="n">
        <f aca="false">F89*W89</f>
        <v>967551008</v>
      </c>
      <c r="W89" s="3" t="n">
        <f aca="false">IF(AND(H89&gt;D_F01!$B$7-D_F01!$B$25,H89&lt;=D_F01!$B$7,L89&lt;&gt;"cancelled"),1,0)</f>
        <v>1</v>
      </c>
      <c r="X89" s="3" t="n">
        <f aca="false">V89*U89</f>
        <v>8707959072</v>
      </c>
      <c r="Y89" s="3" t="n">
        <f aca="false">M89*W89</f>
        <v>1</v>
      </c>
      <c r="Z89" s="3" t="n">
        <f aca="false">R89*F89*P89</f>
        <v>0</v>
      </c>
      <c r="AA89" s="42" t="n">
        <f aca="false">T89*J89</f>
        <v>0</v>
      </c>
    </row>
    <row r="90" customFormat="false" ht="25.5" hidden="false" customHeight="true" outlineLevel="0" collapsed="false">
      <c r="A90" s="89" t="s">
        <v>2150</v>
      </c>
      <c r="B90" s="89" t="s">
        <v>2666</v>
      </c>
      <c r="C90" s="89" t="s">
        <v>1977</v>
      </c>
      <c r="D90" s="89" t="s">
        <v>2732</v>
      </c>
      <c r="E90" s="89" t="s">
        <v>3103</v>
      </c>
      <c r="F90" s="88" t="n">
        <v>461323390</v>
      </c>
      <c r="G90" s="83" t="n">
        <v>46150</v>
      </c>
      <c r="H90" s="83" t="n">
        <v>46195</v>
      </c>
      <c r="I90" s="83"/>
      <c r="J90" s="89" t="n">
        <v>45</v>
      </c>
      <c r="K90" s="89" t="s">
        <v>2704</v>
      </c>
      <c r="L90" s="89" t="s">
        <v>2957</v>
      </c>
      <c r="M90" s="4" t="n">
        <f aca="false">IF(AND(G90&lt;=D_F01!$B$7,OR(NOT(ISNUMBER(I90)),I90&gt;D_F01!$B$7),L90&lt;&gt;"cancelled"),1,0)</f>
        <v>1</v>
      </c>
      <c r="N90" s="33" t="n">
        <f aca="false">F90*M90</f>
        <v>461323390</v>
      </c>
      <c r="O90" s="4" t="n">
        <f aca="false">IF(M90=1,MAX(0,D_F01!$B$7-H90),0)</f>
        <v>8</v>
      </c>
      <c r="P90" s="4" t="n">
        <f aca="false">IF(AND(ISNUMBER(I90),I90&lt;=D_F01!$B$7),I90-H90,0)</f>
        <v>0</v>
      </c>
      <c r="Q90" s="4" t="n">
        <f aca="false">MAX(0,P90)</f>
        <v>0</v>
      </c>
      <c r="R90" s="4" t="n">
        <f aca="false">IF(AND(ISNUMBER(I90),I90&gt;D_F01!$B$7-D_F01!$B$25,I90&lt;=D_F01!$B$7),1,0)</f>
        <v>0</v>
      </c>
      <c r="S90" s="4" t="n">
        <f aca="false">R90*F90*Q90</f>
        <v>0</v>
      </c>
      <c r="T90" s="4" t="n">
        <f aca="false">R90*F90</f>
        <v>0</v>
      </c>
      <c r="U90" s="4" t="n">
        <f aca="false">IF(AND(H90&gt;D_F01!$B$7-D_F01!$B$25,H90&lt;=D_F01!$B$7),IF(M90=1,O90,Q90),0)</f>
        <v>8</v>
      </c>
      <c r="V90" s="4" t="n">
        <f aca="false">F90*W90</f>
        <v>461323390</v>
      </c>
      <c r="W90" s="4" t="n">
        <f aca="false">IF(AND(H90&gt;D_F01!$B$7-D_F01!$B$25,H90&lt;=D_F01!$B$7,L90&lt;&gt;"cancelled"),1,0)</f>
        <v>1</v>
      </c>
      <c r="X90" s="4" t="n">
        <f aca="false">V90*U90</f>
        <v>3690587120</v>
      </c>
      <c r="Y90" s="4" t="n">
        <f aca="false">M90*W90</f>
        <v>1</v>
      </c>
      <c r="Z90" s="4" t="n">
        <f aca="false">R90*F90*P90</f>
        <v>0</v>
      </c>
      <c r="AA90" s="42" t="n">
        <f aca="false">T90*J90</f>
        <v>0</v>
      </c>
    </row>
    <row r="91" customFormat="false" ht="25.5" hidden="false" customHeight="true" outlineLevel="0" collapsed="false">
      <c r="A91" s="82" t="s">
        <v>3104</v>
      </c>
      <c r="B91" s="82" t="s">
        <v>2666</v>
      </c>
      <c r="C91" s="82" t="s">
        <v>1978</v>
      </c>
      <c r="D91" s="82" t="s">
        <v>2734</v>
      </c>
      <c r="E91" s="82" t="s">
        <v>3105</v>
      </c>
      <c r="F91" s="87" t="n">
        <v>285072433</v>
      </c>
      <c r="G91" s="84" t="n">
        <v>46150</v>
      </c>
      <c r="H91" s="84" t="n">
        <v>46180</v>
      </c>
      <c r="I91" s="84" t="n">
        <v>46176</v>
      </c>
      <c r="J91" s="82" t="n">
        <v>30</v>
      </c>
      <c r="K91" s="82" t="s">
        <v>2704</v>
      </c>
      <c r="L91" s="82" t="s">
        <v>2957</v>
      </c>
      <c r="M91" s="3" t="n">
        <f aca="false">IF(AND(G91&lt;=D_F01!$B$7,OR(NOT(ISNUMBER(I91)),I91&gt;D_F01!$B$7),L91&lt;&gt;"cancelled"),1,0)</f>
        <v>0</v>
      </c>
      <c r="N91" s="32" t="n">
        <f aca="false">F91*M91</f>
        <v>0</v>
      </c>
      <c r="O91" s="3" t="n">
        <f aca="false">IF(M91=1,MAX(0,D_F01!$B$7-H91),0)</f>
        <v>0</v>
      </c>
      <c r="P91" s="3" t="n">
        <f aca="false">IF(AND(ISNUMBER(I91),I91&lt;=D_F01!$B$7),I91-H91,0)</f>
        <v>-4</v>
      </c>
      <c r="Q91" s="3" t="n">
        <f aca="false">MAX(0,P91)</f>
        <v>0</v>
      </c>
      <c r="R91" s="3" t="n">
        <f aca="false">IF(AND(ISNUMBER(I91),I91&gt;D_F01!$B$7-D_F01!$B$25,I91&lt;=D_F01!$B$7),1,0)</f>
        <v>1</v>
      </c>
      <c r="S91" s="3" t="n">
        <f aca="false">R91*F91*Q91</f>
        <v>0</v>
      </c>
      <c r="T91" s="3" t="n">
        <f aca="false">R91*F91</f>
        <v>285072433</v>
      </c>
      <c r="U91" s="3" t="n">
        <f aca="false">IF(AND(H91&gt;D_F01!$B$7-D_F01!$B$25,H91&lt;=D_F01!$B$7),IF(M91=1,O91,Q91),0)</f>
        <v>0</v>
      </c>
      <c r="V91" s="3" t="n">
        <f aca="false">F91*W91</f>
        <v>285072433</v>
      </c>
      <c r="W91" s="3" t="n">
        <f aca="false">IF(AND(H91&gt;D_F01!$B$7-D_F01!$B$25,H91&lt;=D_F01!$B$7,L91&lt;&gt;"cancelled"),1,0)</f>
        <v>1</v>
      </c>
      <c r="X91" s="3" t="n">
        <f aca="false">V91*U91</f>
        <v>0</v>
      </c>
      <c r="Y91" s="3" t="n">
        <f aca="false">M91*W91</f>
        <v>0</v>
      </c>
      <c r="Z91" s="3" t="n">
        <f aca="false">R91*F91*P91</f>
        <v>-1140289732</v>
      </c>
      <c r="AA91" s="42" t="n">
        <f aca="false">T91*J91</f>
        <v>8552172990</v>
      </c>
    </row>
    <row r="92" customFormat="false" ht="39.75" hidden="false" customHeight="true" outlineLevel="0" collapsed="false">
      <c r="A92" s="89" t="s">
        <v>3106</v>
      </c>
      <c r="B92" s="89" t="s">
        <v>2666</v>
      </c>
      <c r="C92" s="89" t="s">
        <v>1980</v>
      </c>
      <c r="D92" s="89" t="s">
        <v>2737</v>
      </c>
      <c r="E92" s="89" t="s">
        <v>3107</v>
      </c>
      <c r="F92" s="88" t="n">
        <v>609973719</v>
      </c>
      <c r="G92" s="83" t="n">
        <v>46150</v>
      </c>
      <c r="H92" s="83" t="n">
        <v>46195</v>
      </c>
      <c r="I92" s="83" t="n">
        <v>46197</v>
      </c>
      <c r="J92" s="89" t="n">
        <v>45</v>
      </c>
      <c r="K92" s="89" t="s">
        <v>2704</v>
      </c>
      <c r="L92" s="89" t="s">
        <v>2957</v>
      </c>
      <c r="M92" s="4" t="n">
        <f aca="false">IF(AND(G92&lt;=D_F01!$B$7,OR(NOT(ISNUMBER(I92)),I92&gt;D_F01!$B$7),L92&lt;&gt;"cancelled"),1,0)</f>
        <v>0</v>
      </c>
      <c r="N92" s="33" t="n">
        <f aca="false">F92*M92</f>
        <v>0</v>
      </c>
      <c r="O92" s="4" t="n">
        <f aca="false">IF(M92=1,MAX(0,D_F01!$B$7-H92),0)</f>
        <v>0</v>
      </c>
      <c r="P92" s="4" t="n">
        <f aca="false">IF(AND(ISNUMBER(I92),I92&lt;=D_F01!$B$7),I92-H92,0)</f>
        <v>2</v>
      </c>
      <c r="Q92" s="4" t="n">
        <f aca="false">MAX(0,P92)</f>
        <v>2</v>
      </c>
      <c r="R92" s="4" t="n">
        <f aca="false">IF(AND(ISNUMBER(I92),I92&gt;D_F01!$B$7-D_F01!$B$25,I92&lt;=D_F01!$B$7),1,0)</f>
        <v>1</v>
      </c>
      <c r="S92" s="4" t="n">
        <f aca="false">R92*F92*Q92</f>
        <v>1219947438</v>
      </c>
      <c r="T92" s="4" t="n">
        <f aca="false">R92*F92</f>
        <v>609973719</v>
      </c>
      <c r="U92" s="4" t="n">
        <f aca="false">IF(AND(H92&gt;D_F01!$B$7-D_F01!$B$25,H92&lt;=D_F01!$B$7),IF(M92=1,O92,Q92),0)</f>
        <v>2</v>
      </c>
      <c r="V92" s="4" t="n">
        <f aca="false">F92*W92</f>
        <v>609973719</v>
      </c>
      <c r="W92" s="4" t="n">
        <f aca="false">IF(AND(H92&gt;D_F01!$B$7-D_F01!$B$25,H92&lt;=D_F01!$B$7,L92&lt;&gt;"cancelled"),1,0)</f>
        <v>1</v>
      </c>
      <c r="X92" s="4" t="n">
        <f aca="false">V92*U92</f>
        <v>1219947438</v>
      </c>
      <c r="Y92" s="4" t="n">
        <f aca="false">M92*W92</f>
        <v>0</v>
      </c>
      <c r="Z92" s="4" t="n">
        <f aca="false">R92*F92*P92</f>
        <v>1219947438</v>
      </c>
      <c r="AA92" s="42" t="n">
        <f aca="false">T92*J92</f>
        <v>27448817355</v>
      </c>
    </row>
    <row r="93" customFormat="false" ht="25.5" hidden="false" customHeight="true" outlineLevel="0" collapsed="false">
      <c r="A93" s="82" t="s">
        <v>2152</v>
      </c>
      <c r="B93" s="82" t="s">
        <v>2666</v>
      </c>
      <c r="C93" s="82" t="s">
        <v>1977</v>
      </c>
      <c r="D93" s="82" t="s">
        <v>2732</v>
      </c>
      <c r="E93" s="82" t="s">
        <v>3108</v>
      </c>
      <c r="F93" s="87" t="n">
        <v>658439641</v>
      </c>
      <c r="G93" s="84" t="n">
        <v>46153</v>
      </c>
      <c r="H93" s="84" t="n">
        <v>46198</v>
      </c>
      <c r="I93" s="84"/>
      <c r="J93" s="82" t="n">
        <v>45</v>
      </c>
      <c r="K93" s="82" t="s">
        <v>2704</v>
      </c>
      <c r="L93" s="82" t="s">
        <v>2957</v>
      </c>
      <c r="M93" s="3" t="n">
        <f aca="false">IF(AND(G93&lt;=D_F01!$B$7,OR(NOT(ISNUMBER(I93)),I93&gt;D_F01!$B$7),L93&lt;&gt;"cancelled"),1,0)</f>
        <v>1</v>
      </c>
      <c r="N93" s="32" t="n">
        <f aca="false">F93*M93</f>
        <v>658439641</v>
      </c>
      <c r="O93" s="3" t="n">
        <f aca="false">IF(M93=1,MAX(0,D_F01!$B$7-H93),0)</f>
        <v>5</v>
      </c>
      <c r="P93" s="3" t="n">
        <f aca="false">IF(AND(ISNUMBER(I93),I93&lt;=D_F01!$B$7),I93-H93,0)</f>
        <v>0</v>
      </c>
      <c r="Q93" s="3" t="n">
        <f aca="false">MAX(0,P93)</f>
        <v>0</v>
      </c>
      <c r="R93" s="3" t="n">
        <f aca="false">IF(AND(ISNUMBER(I93),I93&gt;D_F01!$B$7-D_F01!$B$25,I93&lt;=D_F01!$B$7),1,0)</f>
        <v>0</v>
      </c>
      <c r="S93" s="3" t="n">
        <f aca="false">R93*F93*Q93</f>
        <v>0</v>
      </c>
      <c r="T93" s="3" t="n">
        <f aca="false">R93*F93</f>
        <v>0</v>
      </c>
      <c r="U93" s="3" t="n">
        <f aca="false">IF(AND(H93&gt;D_F01!$B$7-D_F01!$B$25,H93&lt;=D_F01!$B$7),IF(M93=1,O93,Q93),0)</f>
        <v>5</v>
      </c>
      <c r="V93" s="3" t="n">
        <f aca="false">F93*W93</f>
        <v>658439641</v>
      </c>
      <c r="W93" s="3" t="n">
        <f aca="false">IF(AND(H93&gt;D_F01!$B$7-D_F01!$B$25,H93&lt;=D_F01!$B$7,L93&lt;&gt;"cancelled"),1,0)</f>
        <v>1</v>
      </c>
      <c r="X93" s="3" t="n">
        <f aca="false">V93*U93</f>
        <v>3292198205</v>
      </c>
      <c r="Y93" s="3" t="n">
        <f aca="false">M93*W93</f>
        <v>1</v>
      </c>
      <c r="Z93" s="3" t="n">
        <f aca="false">R93*F93*P93</f>
        <v>0</v>
      </c>
      <c r="AA93" s="42" t="n">
        <f aca="false">T93*J93</f>
        <v>0</v>
      </c>
    </row>
    <row r="94" customFormat="false" ht="25.5" hidden="false" customHeight="true" outlineLevel="0" collapsed="false">
      <c r="A94" s="89" t="s">
        <v>2154</v>
      </c>
      <c r="B94" s="89" t="s">
        <v>2666</v>
      </c>
      <c r="C94" s="89" t="s">
        <v>1977</v>
      </c>
      <c r="D94" s="89" t="s">
        <v>2732</v>
      </c>
      <c r="E94" s="89" t="s">
        <v>3109</v>
      </c>
      <c r="F94" s="88" t="n">
        <v>593405121</v>
      </c>
      <c r="G94" s="83" t="n">
        <v>46155</v>
      </c>
      <c r="H94" s="83" t="n">
        <v>46200</v>
      </c>
      <c r="I94" s="83"/>
      <c r="J94" s="89" t="n">
        <v>45</v>
      </c>
      <c r="K94" s="89" t="s">
        <v>2704</v>
      </c>
      <c r="L94" s="89" t="s">
        <v>2957</v>
      </c>
      <c r="M94" s="4" t="n">
        <f aca="false">IF(AND(G94&lt;=D_F01!$B$7,OR(NOT(ISNUMBER(I94)),I94&gt;D_F01!$B$7),L94&lt;&gt;"cancelled"),1,0)</f>
        <v>1</v>
      </c>
      <c r="N94" s="33" t="n">
        <f aca="false">F94*M94</f>
        <v>593405121</v>
      </c>
      <c r="O94" s="4" t="n">
        <f aca="false">IF(M94=1,MAX(0,D_F01!$B$7-H94),0)</f>
        <v>3</v>
      </c>
      <c r="P94" s="4" t="n">
        <f aca="false">IF(AND(ISNUMBER(I94),I94&lt;=D_F01!$B$7),I94-H94,0)</f>
        <v>0</v>
      </c>
      <c r="Q94" s="4" t="n">
        <f aca="false">MAX(0,P94)</f>
        <v>0</v>
      </c>
      <c r="R94" s="4" t="n">
        <f aca="false">IF(AND(ISNUMBER(I94),I94&gt;D_F01!$B$7-D_F01!$B$25,I94&lt;=D_F01!$B$7),1,0)</f>
        <v>0</v>
      </c>
      <c r="S94" s="4" t="n">
        <f aca="false">R94*F94*Q94</f>
        <v>0</v>
      </c>
      <c r="T94" s="4" t="n">
        <f aca="false">R94*F94</f>
        <v>0</v>
      </c>
      <c r="U94" s="4" t="n">
        <f aca="false">IF(AND(H94&gt;D_F01!$B$7-D_F01!$B$25,H94&lt;=D_F01!$B$7),IF(M94=1,O94,Q94),0)</f>
        <v>3</v>
      </c>
      <c r="V94" s="4" t="n">
        <f aca="false">F94*W94</f>
        <v>593405121</v>
      </c>
      <c r="W94" s="4" t="n">
        <f aca="false">IF(AND(H94&gt;D_F01!$B$7-D_F01!$B$25,H94&lt;=D_F01!$B$7,L94&lt;&gt;"cancelled"),1,0)</f>
        <v>1</v>
      </c>
      <c r="X94" s="4" t="n">
        <f aca="false">V94*U94</f>
        <v>1780215363</v>
      </c>
      <c r="Y94" s="4" t="n">
        <f aca="false">M94*W94</f>
        <v>1</v>
      </c>
      <c r="Z94" s="4" t="n">
        <f aca="false">R94*F94*P94</f>
        <v>0</v>
      </c>
      <c r="AA94" s="42" t="n">
        <f aca="false">T94*J94</f>
        <v>0</v>
      </c>
    </row>
    <row r="95" customFormat="false" ht="25.5" hidden="false" customHeight="true" outlineLevel="0" collapsed="false">
      <c r="A95" s="82" t="s">
        <v>3110</v>
      </c>
      <c r="B95" s="82" t="s">
        <v>2666</v>
      </c>
      <c r="C95" s="82" t="s">
        <v>1978</v>
      </c>
      <c r="D95" s="82" t="s">
        <v>2734</v>
      </c>
      <c r="E95" s="82" t="s">
        <v>3111</v>
      </c>
      <c r="F95" s="87" t="n">
        <v>801741278</v>
      </c>
      <c r="G95" s="84" t="n">
        <v>46155</v>
      </c>
      <c r="H95" s="84" t="n">
        <v>46185</v>
      </c>
      <c r="I95" s="84" t="n">
        <v>46190</v>
      </c>
      <c r="J95" s="82" t="n">
        <v>30</v>
      </c>
      <c r="K95" s="82" t="s">
        <v>2704</v>
      </c>
      <c r="L95" s="82" t="s">
        <v>2957</v>
      </c>
      <c r="M95" s="3" t="n">
        <f aca="false">IF(AND(G95&lt;=D_F01!$B$7,OR(NOT(ISNUMBER(I95)),I95&gt;D_F01!$B$7),L95&lt;&gt;"cancelled"),1,0)</f>
        <v>0</v>
      </c>
      <c r="N95" s="32" t="n">
        <f aca="false">F95*M95</f>
        <v>0</v>
      </c>
      <c r="O95" s="3" t="n">
        <f aca="false">IF(M95=1,MAX(0,D_F01!$B$7-H95),0)</f>
        <v>0</v>
      </c>
      <c r="P95" s="3" t="n">
        <f aca="false">IF(AND(ISNUMBER(I95),I95&lt;=D_F01!$B$7),I95-H95,0)</f>
        <v>5</v>
      </c>
      <c r="Q95" s="3" t="n">
        <f aca="false">MAX(0,P95)</f>
        <v>5</v>
      </c>
      <c r="R95" s="3" t="n">
        <f aca="false">IF(AND(ISNUMBER(I95),I95&gt;D_F01!$B$7-D_F01!$B$25,I95&lt;=D_F01!$B$7),1,0)</f>
        <v>1</v>
      </c>
      <c r="S95" s="3" t="n">
        <f aca="false">R95*F95*Q95</f>
        <v>4008706390</v>
      </c>
      <c r="T95" s="3" t="n">
        <f aca="false">R95*F95</f>
        <v>801741278</v>
      </c>
      <c r="U95" s="3" t="n">
        <f aca="false">IF(AND(H95&gt;D_F01!$B$7-D_F01!$B$25,H95&lt;=D_F01!$B$7),IF(M95=1,O95,Q95),0)</f>
        <v>5</v>
      </c>
      <c r="V95" s="3" t="n">
        <f aca="false">F95*W95</f>
        <v>801741278</v>
      </c>
      <c r="W95" s="3" t="n">
        <f aca="false">IF(AND(H95&gt;D_F01!$B$7-D_F01!$B$25,H95&lt;=D_F01!$B$7,L95&lt;&gt;"cancelled"),1,0)</f>
        <v>1</v>
      </c>
      <c r="X95" s="3" t="n">
        <f aca="false">V95*U95</f>
        <v>4008706390</v>
      </c>
      <c r="Y95" s="3" t="n">
        <f aca="false">M95*W95</f>
        <v>0</v>
      </c>
      <c r="Z95" s="3" t="n">
        <f aca="false">R95*F95*P95</f>
        <v>4008706390</v>
      </c>
      <c r="AA95" s="42" t="n">
        <f aca="false">T95*J95</f>
        <v>24052238340</v>
      </c>
    </row>
    <row r="96" customFormat="false" ht="25.5" hidden="false" customHeight="true" outlineLevel="0" collapsed="false">
      <c r="A96" s="89" t="s">
        <v>2156</v>
      </c>
      <c r="B96" s="89" t="s">
        <v>2666</v>
      </c>
      <c r="C96" s="89" t="s">
        <v>1977</v>
      </c>
      <c r="D96" s="89" t="s">
        <v>2732</v>
      </c>
      <c r="E96" s="89" t="s">
        <v>3112</v>
      </c>
      <c r="F96" s="88" t="n">
        <v>889855674</v>
      </c>
      <c r="G96" s="83" t="n">
        <v>46159</v>
      </c>
      <c r="H96" s="83" t="n">
        <v>46204</v>
      </c>
      <c r="I96" s="83"/>
      <c r="J96" s="89" t="n">
        <v>45</v>
      </c>
      <c r="K96" s="89" t="s">
        <v>2704</v>
      </c>
      <c r="L96" s="89" t="s">
        <v>2957</v>
      </c>
      <c r="M96" s="4" t="n">
        <f aca="false">IF(AND(G96&lt;=D_F01!$B$7,OR(NOT(ISNUMBER(I96)),I96&gt;D_F01!$B$7),L96&lt;&gt;"cancelled"),1,0)</f>
        <v>1</v>
      </c>
      <c r="N96" s="33" t="n">
        <f aca="false">F96*M96</f>
        <v>889855674</v>
      </c>
      <c r="O96" s="4" t="n">
        <f aca="false">IF(M96=1,MAX(0,D_F01!$B$7-H96),0)</f>
        <v>0</v>
      </c>
      <c r="P96" s="4" t="n">
        <f aca="false">IF(AND(ISNUMBER(I96),I96&lt;=D_F01!$B$7),I96-H96,0)</f>
        <v>0</v>
      </c>
      <c r="Q96" s="4" t="n">
        <f aca="false">MAX(0,P96)</f>
        <v>0</v>
      </c>
      <c r="R96" s="4" t="n">
        <f aca="false">IF(AND(ISNUMBER(I96),I96&gt;D_F01!$B$7-D_F01!$B$25,I96&lt;=D_F01!$B$7),1,0)</f>
        <v>0</v>
      </c>
      <c r="S96" s="4" t="n">
        <f aca="false">R96*F96*Q96</f>
        <v>0</v>
      </c>
      <c r="T96" s="4" t="n">
        <f aca="false">R96*F96</f>
        <v>0</v>
      </c>
      <c r="U96" s="4" t="n">
        <f aca="false">IF(AND(H96&gt;D_F01!$B$7-D_F01!$B$25,H96&lt;=D_F01!$B$7),IF(M96=1,O96,Q96),0)</f>
        <v>0</v>
      </c>
      <c r="V96" s="4" t="n">
        <f aca="false">F96*W96</f>
        <v>0</v>
      </c>
      <c r="W96" s="4" t="n">
        <f aca="false">IF(AND(H96&gt;D_F01!$B$7-D_F01!$B$25,H96&lt;=D_F01!$B$7,L96&lt;&gt;"cancelled"),1,0)</f>
        <v>0</v>
      </c>
      <c r="X96" s="4" t="n">
        <f aca="false">V96*U96</f>
        <v>0</v>
      </c>
      <c r="Y96" s="4" t="n">
        <f aca="false">M96*W96</f>
        <v>0</v>
      </c>
      <c r="Z96" s="4" t="n">
        <f aca="false">R96*F96*P96</f>
        <v>0</v>
      </c>
      <c r="AA96" s="42" t="n">
        <f aca="false">T96*J96</f>
        <v>0</v>
      </c>
    </row>
    <row r="97" customFormat="false" ht="25.5" hidden="false" customHeight="true" outlineLevel="0" collapsed="false">
      <c r="A97" s="82" t="s">
        <v>2158</v>
      </c>
      <c r="B97" s="82" t="s">
        <v>2666</v>
      </c>
      <c r="C97" s="82" t="s">
        <v>1977</v>
      </c>
      <c r="D97" s="82" t="s">
        <v>2732</v>
      </c>
      <c r="E97" s="82" t="s">
        <v>3112</v>
      </c>
      <c r="F97" s="87" t="n">
        <v>560298165</v>
      </c>
      <c r="G97" s="84" t="n">
        <v>46160</v>
      </c>
      <c r="H97" s="84" t="n">
        <v>46205</v>
      </c>
      <c r="I97" s="84"/>
      <c r="J97" s="82" t="n">
        <v>45</v>
      </c>
      <c r="K97" s="82" t="s">
        <v>2704</v>
      </c>
      <c r="L97" s="82" t="s">
        <v>2957</v>
      </c>
      <c r="M97" s="3" t="n">
        <f aca="false">IF(AND(G97&lt;=D_F01!$B$7,OR(NOT(ISNUMBER(I97)),I97&gt;D_F01!$B$7),L97&lt;&gt;"cancelled"),1,0)</f>
        <v>1</v>
      </c>
      <c r="N97" s="32" t="n">
        <f aca="false">F97*M97</f>
        <v>560298165</v>
      </c>
      <c r="O97" s="3" t="n">
        <f aca="false">IF(M97=1,MAX(0,D_F01!$B$7-H97),0)</f>
        <v>0</v>
      </c>
      <c r="P97" s="3" t="n">
        <f aca="false">IF(AND(ISNUMBER(I97),I97&lt;=D_F01!$B$7),I97-H97,0)</f>
        <v>0</v>
      </c>
      <c r="Q97" s="3" t="n">
        <f aca="false">MAX(0,P97)</f>
        <v>0</v>
      </c>
      <c r="R97" s="3" t="n">
        <f aca="false">IF(AND(ISNUMBER(I97),I97&gt;D_F01!$B$7-D_F01!$B$25,I97&lt;=D_F01!$B$7),1,0)</f>
        <v>0</v>
      </c>
      <c r="S97" s="3" t="n">
        <f aca="false">R97*F97*Q97</f>
        <v>0</v>
      </c>
      <c r="T97" s="3" t="n">
        <f aca="false">R97*F97</f>
        <v>0</v>
      </c>
      <c r="U97" s="3" t="n">
        <f aca="false">IF(AND(H97&gt;D_F01!$B$7-D_F01!$B$25,H97&lt;=D_F01!$B$7),IF(M97=1,O97,Q97),0)</f>
        <v>0</v>
      </c>
      <c r="V97" s="3" t="n">
        <f aca="false">F97*W97</f>
        <v>0</v>
      </c>
      <c r="W97" s="3" t="n">
        <f aca="false">IF(AND(H97&gt;D_F01!$B$7-D_F01!$B$25,H97&lt;=D_F01!$B$7,L97&lt;&gt;"cancelled"),1,0)</f>
        <v>0</v>
      </c>
      <c r="X97" s="3" t="n">
        <f aca="false">V97*U97</f>
        <v>0</v>
      </c>
      <c r="Y97" s="3" t="n">
        <f aca="false">M97*W97</f>
        <v>0</v>
      </c>
      <c r="Z97" s="3" t="n">
        <f aca="false">R97*F97*P97</f>
        <v>0</v>
      </c>
      <c r="AA97" s="42" t="n">
        <f aca="false">T97*J97</f>
        <v>0</v>
      </c>
    </row>
    <row r="98" customFormat="false" ht="25.5" hidden="false" customHeight="true" outlineLevel="0" collapsed="false">
      <c r="A98" s="89" t="s">
        <v>2160</v>
      </c>
      <c r="B98" s="89" t="s">
        <v>2666</v>
      </c>
      <c r="C98" s="89" t="s">
        <v>1977</v>
      </c>
      <c r="D98" s="89" t="s">
        <v>2732</v>
      </c>
      <c r="E98" s="89" t="s">
        <v>3113</v>
      </c>
      <c r="F98" s="88" t="n">
        <v>927740677</v>
      </c>
      <c r="G98" s="83" t="n">
        <v>46161</v>
      </c>
      <c r="H98" s="83" t="n">
        <v>46206</v>
      </c>
      <c r="I98" s="83"/>
      <c r="J98" s="89" t="n">
        <v>45</v>
      </c>
      <c r="K98" s="89" t="s">
        <v>2704</v>
      </c>
      <c r="L98" s="89" t="s">
        <v>2957</v>
      </c>
      <c r="M98" s="4" t="n">
        <f aca="false">IF(AND(G98&lt;=D_F01!$B$7,OR(NOT(ISNUMBER(I98)),I98&gt;D_F01!$B$7),L98&lt;&gt;"cancelled"),1,0)</f>
        <v>1</v>
      </c>
      <c r="N98" s="33" t="n">
        <f aca="false">F98*M98</f>
        <v>927740677</v>
      </c>
      <c r="O98" s="4" t="n">
        <f aca="false">IF(M98=1,MAX(0,D_F01!$B$7-H98),0)</f>
        <v>0</v>
      </c>
      <c r="P98" s="4" t="n">
        <f aca="false">IF(AND(ISNUMBER(I98),I98&lt;=D_F01!$B$7),I98-H98,0)</f>
        <v>0</v>
      </c>
      <c r="Q98" s="4" t="n">
        <f aca="false">MAX(0,P98)</f>
        <v>0</v>
      </c>
      <c r="R98" s="4" t="n">
        <f aca="false">IF(AND(ISNUMBER(I98),I98&gt;D_F01!$B$7-D_F01!$B$25,I98&lt;=D_F01!$B$7),1,0)</f>
        <v>0</v>
      </c>
      <c r="S98" s="4" t="n">
        <f aca="false">R98*F98*Q98</f>
        <v>0</v>
      </c>
      <c r="T98" s="4" t="n">
        <f aca="false">R98*F98</f>
        <v>0</v>
      </c>
      <c r="U98" s="4" t="n">
        <f aca="false">IF(AND(H98&gt;D_F01!$B$7-D_F01!$B$25,H98&lt;=D_F01!$B$7),IF(M98=1,O98,Q98),0)</f>
        <v>0</v>
      </c>
      <c r="V98" s="4" t="n">
        <f aca="false">F98*W98</f>
        <v>0</v>
      </c>
      <c r="W98" s="4" t="n">
        <f aca="false">IF(AND(H98&gt;D_F01!$B$7-D_F01!$B$25,H98&lt;=D_F01!$B$7,L98&lt;&gt;"cancelled"),1,0)</f>
        <v>0</v>
      </c>
      <c r="X98" s="4" t="n">
        <f aca="false">V98*U98</f>
        <v>0</v>
      </c>
      <c r="Y98" s="4" t="n">
        <f aca="false">M98*W98</f>
        <v>0</v>
      </c>
      <c r="Z98" s="4" t="n">
        <f aca="false">R98*F98*P98</f>
        <v>0</v>
      </c>
      <c r="AA98" s="42" t="n">
        <f aca="false">T98*J98</f>
        <v>0</v>
      </c>
    </row>
    <row r="99" customFormat="false" ht="25.5" hidden="false" customHeight="true" outlineLevel="0" collapsed="false">
      <c r="A99" s="82" t="s">
        <v>3114</v>
      </c>
      <c r="B99" s="82" t="s">
        <v>2666</v>
      </c>
      <c r="C99" s="82" t="s">
        <v>1978</v>
      </c>
      <c r="D99" s="82" t="s">
        <v>2734</v>
      </c>
      <c r="E99" s="82" t="s">
        <v>3115</v>
      </c>
      <c r="F99" s="87" t="n">
        <v>780984250</v>
      </c>
      <c r="G99" s="84" t="n">
        <v>46165</v>
      </c>
      <c r="H99" s="84" t="n">
        <v>46195</v>
      </c>
      <c r="I99" s="84" t="n">
        <v>46191</v>
      </c>
      <c r="J99" s="82" t="n">
        <v>30</v>
      </c>
      <c r="K99" s="82" t="s">
        <v>2704</v>
      </c>
      <c r="L99" s="82" t="s">
        <v>2957</v>
      </c>
      <c r="M99" s="3" t="n">
        <f aca="false">IF(AND(G99&lt;=D_F01!$B$7,OR(NOT(ISNUMBER(I99)),I99&gt;D_F01!$B$7),L99&lt;&gt;"cancelled"),1,0)</f>
        <v>0</v>
      </c>
      <c r="N99" s="32" t="n">
        <f aca="false">F99*M99</f>
        <v>0</v>
      </c>
      <c r="O99" s="3" t="n">
        <f aca="false">IF(M99=1,MAX(0,D_F01!$B$7-H99),0)</f>
        <v>0</v>
      </c>
      <c r="P99" s="3" t="n">
        <f aca="false">IF(AND(ISNUMBER(I99),I99&lt;=D_F01!$B$7),I99-H99,0)</f>
        <v>-4</v>
      </c>
      <c r="Q99" s="3" t="n">
        <f aca="false">MAX(0,P99)</f>
        <v>0</v>
      </c>
      <c r="R99" s="3" t="n">
        <f aca="false">IF(AND(ISNUMBER(I99),I99&gt;D_F01!$B$7-D_F01!$B$25,I99&lt;=D_F01!$B$7),1,0)</f>
        <v>1</v>
      </c>
      <c r="S99" s="3" t="n">
        <f aca="false">R99*F99*Q99</f>
        <v>0</v>
      </c>
      <c r="T99" s="3" t="n">
        <f aca="false">R99*F99</f>
        <v>780984250</v>
      </c>
      <c r="U99" s="3" t="n">
        <f aca="false">IF(AND(H99&gt;D_F01!$B$7-D_F01!$B$25,H99&lt;=D_F01!$B$7),IF(M99=1,O99,Q99),0)</f>
        <v>0</v>
      </c>
      <c r="V99" s="3" t="n">
        <f aca="false">F99*W99</f>
        <v>780984250</v>
      </c>
      <c r="W99" s="3" t="n">
        <f aca="false">IF(AND(H99&gt;D_F01!$B$7-D_F01!$B$25,H99&lt;=D_F01!$B$7,L99&lt;&gt;"cancelled"),1,0)</f>
        <v>1</v>
      </c>
      <c r="X99" s="3" t="n">
        <f aca="false">V99*U99</f>
        <v>0</v>
      </c>
      <c r="Y99" s="3" t="n">
        <f aca="false">M99*W99</f>
        <v>0</v>
      </c>
      <c r="Z99" s="3" t="n">
        <f aca="false">R99*F99*P99</f>
        <v>-3123937000</v>
      </c>
      <c r="AA99" s="42" t="n">
        <f aca="false">T99*J99</f>
        <v>23429527500</v>
      </c>
    </row>
    <row r="100" customFormat="false" ht="25.5" hidden="false" customHeight="true" outlineLevel="0" collapsed="false">
      <c r="A100" s="89" t="s">
        <v>2162</v>
      </c>
      <c r="B100" s="89" t="s">
        <v>2666</v>
      </c>
      <c r="C100" s="89" t="s">
        <v>1978</v>
      </c>
      <c r="D100" s="89" t="s">
        <v>2734</v>
      </c>
      <c r="E100" s="89" t="s">
        <v>3115</v>
      </c>
      <c r="F100" s="88" t="n">
        <v>983608872</v>
      </c>
      <c r="G100" s="83" t="n">
        <v>46166</v>
      </c>
      <c r="H100" s="83" t="n">
        <v>46196</v>
      </c>
      <c r="I100" s="83"/>
      <c r="J100" s="89" t="n">
        <v>30</v>
      </c>
      <c r="K100" s="89" t="s">
        <v>2704</v>
      </c>
      <c r="L100" s="89" t="s">
        <v>2957</v>
      </c>
      <c r="M100" s="4" t="n">
        <f aca="false">IF(AND(G100&lt;=D_F01!$B$7,OR(NOT(ISNUMBER(I100)),I100&gt;D_F01!$B$7),L100&lt;&gt;"cancelled"),1,0)</f>
        <v>1</v>
      </c>
      <c r="N100" s="33" t="n">
        <f aca="false">F100*M100</f>
        <v>983608872</v>
      </c>
      <c r="O100" s="4" t="n">
        <f aca="false">IF(M100=1,MAX(0,D_F01!$B$7-H100),0)</f>
        <v>7</v>
      </c>
      <c r="P100" s="4" t="n">
        <f aca="false">IF(AND(ISNUMBER(I100),I100&lt;=D_F01!$B$7),I100-H100,0)</f>
        <v>0</v>
      </c>
      <c r="Q100" s="4" t="n">
        <f aca="false">MAX(0,P100)</f>
        <v>0</v>
      </c>
      <c r="R100" s="4" t="n">
        <f aca="false">IF(AND(ISNUMBER(I100),I100&gt;D_F01!$B$7-D_F01!$B$25,I100&lt;=D_F01!$B$7),1,0)</f>
        <v>0</v>
      </c>
      <c r="S100" s="4" t="n">
        <f aca="false">R100*F100*Q100</f>
        <v>0</v>
      </c>
      <c r="T100" s="4" t="n">
        <f aca="false">R100*F100</f>
        <v>0</v>
      </c>
      <c r="U100" s="4" t="n">
        <f aca="false">IF(AND(H100&gt;D_F01!$B$7-D_F01!$B$25,H100&lt;=D_F01!$B$7),IF(M100=1,O100,Q100),0)</f>
        <v>7</v>
      </c>
      <c r="V100" s="4" t="n">
        <f aca="false">F100*W100</f>
        <v>983608872</v>
      </c>
      <c r="W100" s="4" t="n">
        <f aca="false">IF(AND(H100&gt;D_F01!$B$7-D_F01!$B$25,H100&lt;=D_F01!$B$7,L100&lt;&gt;"cancelled"),1,0)</f>
        <v>1</v>
      </c>
      <c r="X100" s="4" t="n">
        <f aca="false">V100*U100</f>
        <v>6885262104</v>
      </c>
      <c r="Y100" s="4" t="n">
        <f aca="false">M100*W100</f>
        <v>1</v>
      </c>
      <c r="Z100" s="4" t="n">
        <f aca="false">R100*F100*P100</f>
        <v>0</v>
      </c>
      <c r="AA100" s="42" t="n">
        <f aca="false">T100*J100</f>
        <v>0</v>
      </c>
    </row>
    <row r="101" customFormat="false" ht="25.5" hidden="false" customHeight="true" outlineLevel="0" collapsed="false">
      <c r="A101" s="82" t="s">
        <v>3116</v>
      </c>
      <c r="B101" s="82" t="s">
        <v>2666</v>
      </c>
      <c r="C101" s="82" t="s">
        <v>1981</v>
      </c>
      <c r="D101" s="82" t="s">
        <v>2738</v>
      </c>
      <c r="E101" s="82" t="s">
        <v>3117</v>
      </c>
      <c r="F101" s="87" t="n">
        <v>378581204</v>
      </c>
      <c r="G101" s="84" t="n">
        <v>46167</v>
      </c>
      <c r="H101" s="84" t="n">
        <v>46197</v>
      </c>
      <c r="I101" s="84" t="n">
        <v>46197</v>
      </c>
      <c r="J101" s="82" t="n">
        <v>30</v>
      </c>
      <c r="K101" s="82" t="s">
        <v>2704</v>
      </c>
      <c r="L101" s="82" t="s">
        <v>2957</v>
      </c>
      <c r="M101" s="3" t="n">
        <f aca="false">IF(AND(G101&lt;=D_F01!$B$7,OR(NOT(ISNUMBER(I101)),I101&gt;D_F01!$B$7),L101&lt;&gt;"cancelled"),1,0)</f>
        <v>0</v>
      </c>
      <c r="N101" s="32" t="n">
        <f aca="false">F101*M101</f>
        <v>0</v>
      </c>
      <c r="O101" s="3" t="n">
        <f aca="false">IF(M101=1,MAX(0,D_F01!$B$7-H101),0)</f>
        <v>0</v>
      </c>
      <c r="P101" s="3" t="n">
        <f aca="false">IF(AND(ISNUMBER(I101),I101&lt;=D_F01!$B$7),I101-H101,0)</f>
        <v>0</v>
      </c>
      <c r="Q101" s="3" t="n">
        <f aca="false">MAX(0,P101)</f>
        <v>0</v>
      </c>
      <c r="R101" s="3" t="n">
        <f aca="false">IF(AND(ISNUMBER(I101),I101&gt;D_F01!$B$7-D_F01!$B$25,I101&lt;=D_F01!$B$7),1,0)</f>
        <v>1</v>
      </c>
      <c r="S101" s="3" t="n">
        <f aca="false">R101*F101*Q101</f>
        <v>0</v>
      </c>
      <c r="T101" s="3" t="n">
        <f aca="false">R101*F101</f>
        <v>378581204</v>
      </c>
      <c r="U101" s="3" t="n">
        <f aca="false">IF(AND(H101&gt;D_F01!$B$7-D_F01!$B$25,H101&lt;=D_F01!$B$7),IF(M101=1,O101,Q101),0)</f>
        <v>0</v>
      </c>
      <c r="V101" s="3" t="n">
        <f aca="false">F101*W101</f>
        <v>378581204</v>
      </c>
      <c r="W101" s="3" t="n">
        <f aca="false">IF(AND(H101&gt;D_F01!$B$7-D_F01!$B$25,H101&lt;=D_F01!$B$7,L101&lt;&gt;"cancelled"),1,0)</f>
        <v>1</v>
      </c>
      <c r="X101" s="3" t="n">
        <f aca="false">V101*U101</f>
        <v>0</v>
      </c>
      <c r="Y101" s="3" t="n">
        <f aca="false">M101*W101</f>
        <v>0</v>
      </c>
      <c r="Z101" s="3" t="n">
        <f aca="false">R101*F101*P101</f>
        <v>0</v>
      </c>
      <c r="AA101" s="42" t="n">
        <f aca="false">T101*J101</f>
        <v>11357436120</v>
      </c>
    </row>
    <row r="102" customFormat="false" ht="39.75" hidden="false" customHeight="true" outlineLevel="0" collapsed="false">
      <c r="A102" s="89" t="s">
        <v>3118</v>
      </c>
      <c r="B102" s="89" t="s">
        <v>2666</v>
      </c>
      <c r="C102" s="89" t="s">
        <v>1980</v>
      </c>
      <c r="D102" s="89" t="s">
        <v>2737</v>
      </c>
      <c r="E102" s="89" t="s">
        <v>3119</v>
      </c>
      <c r="F102" s="88" t="n">
        <v>872426893</v>
      </c>
      <c r="G102" s="83" t="n">
        <v>46167</v>
      </c>
      <c r="H102" s="83" t="n">
        <v>46197</v>
      </c>
      <c r="I102" s="83" t="n">
        <v>46199</v>
      </c>
      <c r="J102" s="89" t="n">
        <v>30</v>
      </c>
      <c r="K102" s="89" t="s">
        <v>2704</v>
      </c>
      <c r="L102" s="89" t="s">
        <v>2957</v>
      </c>
      <c r="M102" s="4" t="n">
        <f aca="false">IF(AND(G102&lt;=D_F01!$B$7,OR(NOT(ISNUMBER(I102)),I102&gt;D_F01!$B$7),L102&lt;&gt;"cancelled"),1,0)</f>
        <v>0</v>
      </c>
      <c r="N102" s="33" t="n">
        <f aca="false">F102*M102</f>
        <v>0</v>
      </c>
      <c r="O102" s="4" t="n">
        <f aca="false">IF(M102=1,MAX(0,D_F01!$B$7-H102),0)</f>
        <v>0</v>
      </c>
      <c r="P102" s="4" t="n">
        <f aca="false">IF(AND(ISNUMBER(I102),I102&lt;=D_F01!$B$7),I102-H102,0)</f>
        <v>2</v>
      </c>
      <c r="Q102" s="4" t="n">
        <f aca="false">MAX(0,P102)</f>
        <v>2</v>
      </c>
      <c r="R102" s="4" t="n">
        <f aca="false">IF(AND(ISNUMBER(I102),I102&gt;D_F01!$B$7-D_F01!$B$25,I102&lt;=D_F01!$B$7),1,0)</f>
        <v>1</v>
      </c>
      <c r="S102" s="4" t="n">
        <f aca="false">R102*F102*Q102</f>
        <v>1744853786</v>
      </c>
      <c r="T102" s="4" t="n">
        <f aca="false">R102*F102</f>
        <v>872426893</v>
      </c>
      <c r="U102" s="4" t="n">
        <f aca="false">IF(AND(H102&gt;D_F01!$B$7-D_F01!$B$25,H102&lt;=D_F01!$B$7),IF(M102=1,O102,Q102),0)</f>
        <v>2</v>
      </c>
      <c r="V102" s="4" t="n">
        <f aca="false">F102*W102</f>
        <v>872426893</v>
      </c>
      <c r="W102" s="4" t="n">
        <f aca="false">IF(AND(H102&gt;D_F01!$B$7-D_F01!$B$25,H102&lt;=D_F01!$B$7,L102&lt;&gt;"cancelled"),1,0)</f>
        <v>1</v>
      </c>
      <c r="X102" s="4" t="n">
        <f aca="false">V102*U102</f>
        <v>1744853786</v>
      </c>
      <c r="Y102" s="4" t="n">
        <f aca="false">M102*W102</f>
        <v>0</v>
      </c>
      <c r="Z102" s="4" t="n">
        <f aca="false">R102*F102*P102</f>
        <v>1744853786</v>
      </c>
      <c r="AA102" s="42" t="n">
        <f aca="false">T102*J102</f>
        <v>26172806790</v>
      </c>
    </row>
    <row r="103" customFormat="false" ht="25.5" hidden="false" customHeight="true" outlineLevel="0" collapsed="false">
      <c r="A103" s="82" t="s">
        <v>2164</v>
      </c>
      <c r="B103" s="82" t="s">
        <v>2666</v>
      </c>
      <c r="C103" s="82" t="s">
        <v>1977</v>
      </c>
      <c r="D103" s="82" t="s">
        <v>2732</v>
      </c>
      <c r="E103" s="82" t="s">
        <v>3120</v>
      </c>
      <c r="F103" s="87" t="n">
        <v>833520428</v>
      </c>
      <c r="G103" s="84" t="n">
        <v>46168</v>
      </c>
      <c r="H103" s="84" t="n">
        <v>46213</v>
      </c>
      <c r="I103" s="84"/>
      <c r="J103" s="82" t="n">
        <v>45</v>
      </c>
      <c r="K103" s="82" t="s">
        <v>2704</v>
      </c>
      <c r="L103" s="82" t="s">
        <v>2957</v>
      </c>
      <c r="M103" s="3" t="n">
        <f aca="false">IF(AND(G103&lt;=D_F01!$B$7,OR(NOT(ISNUMBER(I103)),I103&gt;D_F01!$B$7),L103&lt;&gt;"cancelled"),1,0)</f>
        <v>1</v>
      </c>
      <c r="N103" s="32" t="n">
        <f aca="false">F103*M103</f>
        <v>833520428</v>
      </c>
      <c r="O103" s="3" t="n">
        <f aca="false">IF(M103=1,MAX(0,D_F01!$B$7-H103),0)</f>
        <v>0</v>
      </c>
      <c r="P103" s="3" t="n">
        <f aca="false">IF(AND(ISNUMBER(I103),I103&lt;=D_F01!$B$7),I103-H103,0)</f>
        <v>0</v>
      </c>
      <c r="Q103" s="3" t="n">
        <f aca="false">MAX(0,P103)</f>
        <v>0</v>
      </c>
      <c r="R103" s="3" t="n">
        <f aca="false">IF(AND(ISNUMBER(I103),I103&gt;D_F01!$B$7-D_F01!$B$25,I103&lt;=D_F01!$B$7),1,0)</f>
        <v>0</v>
      </c>
      <c r="S103" s="3" t="n">
        <f aca="false">R103*F103*Q103</f>
        <v>0</v>
      </c>
      <c r="T103" s="3" t="n">
        <f aca="false">R103*F103</f>
        <v>0</v>
      </c>
      <c r="U103" s="3" t="n">
        <f aca="false">IF(AND(H103&gt;D_F01!$B$7-D_F01!$B$25,H103&lt;=D_F01!$B$7),IF(M103=1,O103,Q103),0)</f>
        <v>0</v>
      </c>
      <c r="V103" s="3" t="n">
        <f aca="false">F103*W103</f>
        <v>0</v>
      </c>
      <c r="W103" s="3" t="n">
        <f aca="false">IF(AND(H103&gt;D_F01!$B$7-D_F01!$B$25,H103&lt;=D_F01!$B$7,L103&lt;&gt;"cancelled"),1,0)</f>
        <v>0</v>
      </c>
      <c r="X103" s="3" t="n">
        <f aca="false">V103*U103</f>
        <v>0</v>
      </c>
      <c r="Y103" s="3" t="n">
        <f aca="false">M103*W103</f>
        <v>0</v>
      </c>
      <c r="Z103" s="3" t="n">
        <f aca="false">R103*F103*P103</f>
        <v>0</v>
      </c>
      <c r="AA103" s="42" t="n">
        <f aca="false">T103*J103</f>
        <v>0</v>
      </c>
    </row>
    <row r="104" customFormat="false" ht="39.75" hidden="false" customHeight="true" outlineLevel="0" collapsed="false">
      <c r="A104" s="89" t="s">
        <v>2166</v>
      </c>
      <c r="B104" s="89" t="s">
        <v>2666</v>
      </c>
      <c r="C104" s="89" t="s">
        <v>1980</v>
      </c>
      <c r="D104" s="89" t="s">
        <v>2737</v>
      </c>
      <c r="E104" s="89" t="s">
        <v>3121</v>
      </c>
      <c r="F104" s="88" t="n">
        <v>1909998793</v>
      </c>
      <c r="G104" s="83" t="n">
        <v>46170</v>
      </c>
      <c r="H104" s="83" t="n">
        <v>46200</v>
      </c>
      <c r="I104" s="83"/>
      <c r="J104" s="89" t="n">
        <v>30</v>
      </c>
      <c r="K104" s="89" t="s">
        <v>2704</v>
      </c>
      <c r="L104" s="89" t="s">
        <v>2957</v>
      </c>
      <c r="M104" s="4" t="n">
        <f aca="false">IF(AND(G104&lt;=D_F01!$B$7,OR(NOT(ISNUMBER(I104)),I104&gt;D_F01!$B$7),L104&lt;&gt;"cancelled"),1,0)</f>
        <v>1</v>
      </c>
      <c r="N104" s="33" t="n">
        <f aca="false">F104*M104</f>
        <v>1909998793</v>
      </c>
      <c r="O104" s="4" t="n">
        <f aca="false">IF(M104=1,MAX(0,D_F01!$B$7-H104),0)</f>
        <v>3</v>
      </c>
      <c r="P104" s="4" t="n">
        <f aca="false">IF(AND(ISNUMBER(I104),I104&lt;=D_F01!$B$7),I104-H104,0)</f>
        <v>0</v>
      </c>
      <c r="Q104" s="4" t="n">
        <f aca="false">MAX(0,P104)</f>
        <v>0</v>
      </c>
      <c r="R104" s="4" t="n">
        <f aca="false">IF(AND(ISNUMBER(I104),I104&gt;D_F01!$B$7-D_F01!$B$25,I104&lt;=D_F01!$B$7),1,0)</f>
        <v>0</v>
      </c>
      <c r="S104" s="4" t="n">
        <f aca="false">R104*F104*Q104</f>
        <v>0</v>
      </c>
      <c r="T104" s="4" t="n">
        <f aca="false">R104*F104</f>
        <v>0</v>
      </c>
      <c r="U104" s="4" t="n">
        <f aca="false">IF(AND(H104&gt;D_F01!$B$7-D_F01!$B$25,H104&lt;=D_F01!$B$7),IF(M104=1,O104,Q104),0)</f>
        <v>3</v>
      </c>
      <c r="V104" s="4" t="n">
        <f aca="false">F104*W104</f>
        <v>1909998793</v>
      </c>
      <c r="W104" s="4" t="n">
        <f aca="false">IF(AND(H104&gt;D_F01!$B$7-D_F01!$B$25,H104&lt;=D_F01!$B$7,L104&lt;&gt;"cancelled"),1,0)</f>
        <v>1</v>
      </c>
      <c r="X104" s="4" t="n">
        <f aca="false">V104*U104</f>
        <v>5729996379</v>
      </c>
      <c r="Y104" s="4" t="n">
        <f aca="false">M104*W104</f>
        <v>1</v>
      </c>
      <c r="Z104" s="4" t="n">
        <f aca="false">R104*F104*P104</f>
        <v>0</v>
      </c>
      <c r="AA104" s="42" t="n">
        <f aca="false">T104*J104</f>
        <v>0</v>
      </c>
    </row>
    <row r="105" customFormat="false" ht="25.5" hidden="false" customHeight="true" outlineLevel="0" collapsed="false">
      <c r="A105" s="82" t="s">
        <v>3122</v>
      </c>
      <c r="B105" s="82" t="s">
        <v>2666</v>
      </c>
      <c r="C105" s="82" t="s">
        <v>1981</v>
      </c>
      <c r="D105" s="82" t="s">
        <v>2738</v>
      </c>
      <c r="E105" s="82" t="s">
        <v>3123</v>
      </c>
      <c r="F105" s="87" t="n">
        <v>147988390</v>
      </c>
      <c r="G105" s="84" t="n">
        <v>46171</v>
      </c>
      <c r="H105" s="84" t="n">
        <v>46201</v>
      </c>
      <c r="I105" s="84" t="n">
        <v>46203</v>
      </c>
      <c r="J105" s="82" t="n">
        <v>30</v>
      </c>
      <c r="K105" s="82" t="s">
        <v>2704</v>
      </c>
      <c r="L105" s="82" t="s">
        <v>2957</v>
      </c>
      <c r="M105" s="3" t="n">
        <f aca="false">IF(AND(G105&lt;=D_F01!$B$7,OR(NOT(ISNUMBER(I105)),I105&gt;D_F01!$B$7),L105&lt;&gt;"cancelled"),1,0)</f>
        <v>0</v>
      </c>
      <c r="N105" s="32" t="n">
        <f aca="false">F105*M105</f>
        <v>0</v>
      </c>
      <c r="O105" s="3" t="n">
        <f aca="false">IF(M105=1,MAX(0,D_F01!$B$7-H105),0)</f>
        <v>0</v>
      </c>
      <c r="P105" s="3" t="n">
        <f aca="false">IF(AND(ISNUMBER(I105),I105&lt;=D_F01!$B$7),I105-H105,0)</f>
        <v>2</v>
      </c>
      <c r="Q105" s="3" t="n">
        <f aca="false">MAX(0,P105)</f>
        <v>2</v>
      </c>
      <c r="R105" s="3" t="n">
        <f aca="false">IF(AND(ISNUMBER(I105),I105&gt;D_F01!$B$7-D_F01!$B$25,I105&lt;=D_F01!$B$7),1,0)</f>
        <v>1</v>
      </c>
      <c r="S105" s="3" t="n">
        <f aca="false">R105*F105*Q105</f>
        <v>295976780</v>
      </c>
      <c r="T105" s="3" t="n">
        <f aca="false">R105*F105</f>
        <v>147988390</v>
      </c>
      <c r="U105" s="3" t="n">
        <f aca="false">IF(AND(H105&gt;D_F01!$B$7-D_F01!$B$25,H105&lt;=D_F01!$B$7),IF(M105=1,O105,Q105),0)</f>
        <v>2</v>
      </c>
      <c r="V105" s="3" t="n">
        <f aca="false">F105*W105</f>
        <v>147988390</v>
      </c>
      <c r="W105" s="3" t="n">
        <f aca="false">IF(AND(H105&gt;D_F01!$B$7-D_F01!$B$25,H105&lt;=D_F01!$B$7,L105&lt;&gt;"cancelled"),1,0)</f>
        <v>1</v>
      </c>
      <c r="X105" s="3" t="n">
        <f aca="false">V105*U105</f>
        <v>295976780</v>
      </c>
      <c r="Y105" s="3" t="n">
        <f aca="false">M105*W105</f>
        <v>0</v>
      </c>
      <c r="Z105" s="3" t="n">
        <f aca="false">R105*F105*P105</f>
        <v>295976780</v>
      </c>
      <c r="AA105" s="42" t="n">
        <f aca="false">T105*J105</f>
        <v>4439651700</v>
      </c>
    </row>
    <row r="106" customFormat="false" ht="25.5" hidden="false" customHeight="true" outlineLevel="0" collapsed="false">
      <c r="A106" s="89" t="s">
        <v>2168</v>
      </c>
      <c r="B106" s="89" t="s">
        <v>2666</v>
      </c>
      <c r="C106" s="89" t="s">
        <v>1978</v>
      </c>
      <c r="D106" s="89" t="s">
        <v>2734</v>
      </c>
      <c r="E106" s="89" t="s">
        <v>3115</v>
      </c>
      <c r="F106" s="88" t="n">
        <v>1015281069</v>
      </c>
      <c r="G106" s="83" t="n">
        <v>46172</v>
      </c>
      <c r="H106" s="83" t="n">
        <v>46202</v>
      </c>
      <c r="I106" s="83"/>
      <c r="J106" s="89" t="n">
        <v>30</v>
      </c>
      <c r="K106" s="89" t="s">
        <v>2704</v>
      </c>
      <c r="L106" s="89" t="s">
        <v>2957</v>
      </c>
      <c r="M106" s="4" t="n">
        <f aca="false">IF(AND(G106&lt;=D_F01!$B$7,OR(NOT(ISNUMBER(I106)),I106&gt;D_F01!$B$7),L106&lt;&gt;"cancelled"),1,0)</f>
        <v>1</v>
      </c>
      <c r="N106" s="33" t="n">
        <f aca="false">F106*M106</f>
        <v>1015281069</v>
      </c>
      <c r="O106" s="4" t="n">
        <f aca="false">IF(M106=1,MAX(0,D_F01!$B$7-H106),0)</f>
        <v>1</v>
      </c>
      <c r="P106" s="4" t="n">
        <f aca="false">IF(AND(ISNUMBER(I106),I106&lt;=D_F01!$B$7),I106-H106,0)</f>
        <v>0</v>
      </c>
      <c r="Q106" s="4" t="n">
        <f aca="false">MAX(0,P106)</f>
        <v>0</v>
      </c>
      <c r="R106" s="4" t="n">
        <f aca="false">IF(AND(ISNUMBER(I106),I106&gt;D_F01!$B$7-D_F01!$B$25,I106&lt;=D_F01!$B$7),1,0)</f>
        <v>0</v>
      </c>
      <c r="S106" s="4" t="n">
        <f aca="false">R106*F106*Q106</f>
        <v>0</v>
      </c>
      <c r="T106" s="4" t="n">
        <f aca="false">R106*F106</f>
        <v>0</v>
      </c>
      <c r="U106" s="4" t="n">
        <f aca="false">IF(AND(H106&gt;D_F01!$B$7-D_F01!$B$25,H106&lt;=D_F01!$B$7),IF(M106=1,O106,Q106),0)</f>
        <v>1</v>
      </c>
      <c r="V106" s="4" t="n">
        <f aca="false">F106*W106</f>
        <v>1015281069</v>
      </c>
      <c r="W106" s="4" t="n">
        <f aca="false">IF(AND(H106&gt;D_F01!$B$7-D_F01!$B$25,H106&lt;=D_F01!$B$7,L106&lt;&gt;"cancelled"),1,0)</f>
        <v>1</v>
      </c>
      <c r="X106" s="4" t="n">
        <f aca="false">V106*U106</f>
        <v>1015281069</v>
      </c>
      <c r="Y106" s="4" t="n">
        <f aca="false">M106*W106</f>
        <v>1</v>
      </c>
      <c r="Z106" s="4" t="n">
        <f aca="false">R106*F106*P106</f>
        <v>0</v>
      </c>
      <c r="AA106" s="42" t="n">
        <f aca="false">T106*J106</f>
        <v>0</v>
      </c>
    </row>
    <row r="107" customFormat="false" ht="25.5" hidden="false" customHeight="true" outlineLevel="0" collapsed="false">
      <c r="A107" s="82" t="s">
        <v>2170</v>
      </c>
      <c r="B107" s="82" t="s">
        <v>2666</v>
      </c>
      <c r="C107" s="82" t="s">
        <v>1981</v>
      </c>
      <c r="D107" s="82" t="s">
        <v>2738</v>
      </c>
      <c r="E107" s="82" t="s">
        <v>3124</v>
      </c>
      <c r="F107" s="87" t="n">
        <v>320784319</v>
      </c>
      <c r="G107" s="84" t="n">
        <v>46177</v>
      </c>
      <c r="H107" s="84" t="n">
        <v>46207</v>
      </c>
      <c r="I107" s="84"/>
      <c r="J107" s="82" t="n">
        <v>30</v>
      </c>
      <c r="K107" s="82" t="s">
        <v>2704</v>
      </c>
      <c r="L107" s="82" t="s">
        <v>2957</v>
      </c>
      <c r="M107" s="3" t="n">
        <f aca="false">IF(AND(G107&lt;=D_F01!$B$7,OR(NOT(ISNUMBER(I107)),I107&gt;D_F01!$B$7),L107&lt;&gt;"cancelled"),1,0)</f>
        <v>1</v>
      </c>
      <c r="N107" s="32" t="n">
        <f aca="false">F107*M107</f>
        <v>320784319</v>
      </c>
      <c r="O107" s="3" t="n">
        <f aca="false">IF(M107=1,MAX(0,D_F01!$B$7-H107),0)</f>
        <v>0</v>
      </c>
      <c r="P107" s="3" t="n">
        <f aca="false">IF(AND(ISNUMBER(I107),I107&lt;=D_F01!$B$7),I107-H107,0)</f>
        <v>0</v>
      </c>
      <c r="Q107" s="3" t="n">
        <f aca="false">MAX(0,P107)</f>
        <v>0</v>
      </c>
      <c r="R107" s="3" t="n">
        <f aca="false">IF(AND(ISNUMBER(I107),I107&gt;D_F01!$B$7-D_F01!$B$25,I107&lt;=D_F01!$B$7),1,0)</f>
        <v>0</v>
      </c>
      <c r="S107" s="3" t="n">
        <f aca="false">R107*F107*Q107</f>
        <v>0</v>
      </c>
      <c r="T107" s="3" t="n">
        <f aca="false">R107*F107</f>
        <v>0</v>
      </c>
      <c r="U107" s="3" t="n">
        <f aca="false">IF(AND(H107&gt;D_F01!$B$7-D_F01!$B$25,H107&lt;=D_F01!$B$7),IF(M107=1,O107,Q107),0)</f>
        <v>0</v>
      </c>
      <c r="V107" s="3" t="n">
        <f aca="false">F107*W107</f>
        <v>0</v>
      </c>
      <c r="W107" s="3" t="n">
        <f aca="false">IF(AND(H107&gt;D_F01!$B$7-D_F01!$B$25,H107&lt;=D_F01!$B$7,L107&lt;&gt;"cancelled"),1,0)</f>
        <v>0</v>
      </c>
      <c r="X107" s="3" t="n">
        <f aca="false">V107*U107</f>
        <v>0</v>
      </c>
      <c r="Y107" s="3" t="n">
        <f aca="false">M107*W107</f>
        <v>0</v>
      </c>
      <c r="Z107" s="3" t="n">
        <f aca="false">R107*F107*P107</f>
        <v>0</v>
      </c>
      <c r="AA107" s="42" t="n">
        <f aca="false">T107*J107</f>
        <v>0</v>
      </c>
    </row>
    <row r="108" customFormat="false" ht="25.5" hidden="false" customHeight="true" outlineLevel="0" collapsed="false">
      <c r="A108" s="89" t="s">
        <v>2172</v>
      </c>
      <c r="B108" s="89" t="s">
        <v>2666</v>
      </c>
      <c r="C108" s="89" t="s">
        <v>1978</v>
      </c>
      <c r="D108" s="89" t="s">
        <v>2734</v>
      </c>
      <c r="E108" s="89" t="s">
        <v>3125</v>
      </c>
      <c r="F108" s="88" t="n">
        <v>799012315</v>
      </c>
      <c r="G108" s="83" t="n">
        <v>46179</v>
      </c>
      <c r="H108" s="83" t="n">
        <v>46209</v>
      </c>
      <c r="I108" s="83"/>
      <c r="J108" s="89" t="n">
        <v>30</v>
      </c>
      <c r="K108" s="89" t="s">
        <v>2704</v>
      </c>
      <c r="L108" s="89" t="s">
        <v>2957</v>
      </c>
      <c r="M108" s="4" t="n">
        <f aca="false">IF(AND(G108&lt;=D_F01!$B$7,OR(NOT(ISNUMBER(I108)),I108&gt;D_F01!$B$7),L108&lt;&gt;"cancelled"),1,0)</f>
        <v>1</v>
      </c>
      <c r="N108" s="33" t="n">
        <f aca="false">F108*M108</f>
        <v>799012315</v>
      </c>
      <c r="O108" s="4" t="n">
        <f aca="false">IF(M108=1,MAX(0,D_F01!$B$7-H108),0)</f>
        <v>0</v>
      </c>
      <c r="P108" s="4" t="n">
        <f aca="false">IF(AND(ISNUMBER(I108),I108&lt;=D_F01!$B$7),I108-H108,0)</f>
        <v>0</v>
      </c>
      <c r="Q108" s="4" t="n">
        <f aca="false">MAX(0,P108)</f>
        <v>0</v>
      </c>
      <c r="R108" s="4" t="n">
        <f aca="false">IF(AND(ISNUMBER(I108),I108&gt;D_F01!$B$7-D_F01!$B$25,I108&lt;=D_F01!$B$7),1,0)</f>
        <v>0</v>
      </c>
      <c r="S108" s="4" t="n">
        <f aca="false">R108*F108*Q108</f>
        <v>0</v>
      </c>
      <c r="T108" s="4" t="n">
        <f aca="false">R108*F108</f>
        <v>0</v>
      </c>
      <c r="U108" s="4" t="n">
        <f aca="false">IF(AND(H108&gt;D_F01!$B$7-D_F01!$B$25,H108&lt;=D_F01!$B$7),IF(M108=1,O108,Q108),0)</f>
        <v>0</v>
      </c>
      <c r="V108" s="4" t="n">
        <f aca="false">F108*W108</f>
        <v>0</v>
      </c>
      <c r="W108" s="4" t="n">
        <f aca="false">IF(AND(H108&gt;D_F01!$B$7-D_F01!$B$25,H108&lt;=D_F01!$B$7,L108&lt;&gt;"cancelled"),1,0)</f>
        <v>0</v>
      </c>
      <c r="X108" s="4" t="n">
        <f aca="false">V108*U108</f>
        <v>0</v>
      </c>
      <c r="Y108" s="4" t="n">
        <f aca="false">M108*W108</f>
        <v>0</v>
      </c>
      <c r="Z108" s="4" t="n">
        <f aca="false">R108*F108*P108</f>
        <v>0</v>
      </c>
      <c r="AA108" s="42" t="n">
        <f aca="false">T108*J108</f>
        <v>0</v>
      </c>
    </row>
    <row r="109" customFormat="false" ht="25.5" hidden="false" customHeight="true" outlineLevel="0" collapsed="false">
      <c r="A109" s="82" t="s">
        <v>2174</v>
      </c>
      <c r="B109" s="82" t="s">
        <v>2666</v>
      </c>
      <c r="C109" s="82" t="s">
        <v>1977</v>
      </c>
      <c r="D109" s="82" t="s">
        <v>2732</v>
      </c>
      <c r="E109" s="82" t="s">
        <v>3126</v>
      </c>
      <c r="F109" s="87" t="n">
        <v>1131567022</v>
      </c>
      <c r="G109" s="84" t="n">
        <v>46181</v>
      </c>
      <c r="H109" s="84" t="n">
        <v>46226</v>
      </c>
      <c r="I109" s="84"/>
      <c r="J109" s="82" t="n">
        <v>45</v>
      </c>
      <c r="K109" s="82" t="s">
        <v>2704</v>
      </c>
      <c r="L109" s="82" t="s">
        <v>2957</v>
      </c>
      <c r="M109" s="3" t="n">
        <f aca="false">IF(AND(G109&lt;=D_F01!$B$7,OR(NOT(ISNUMBER(I109)),I109&gt;D_F01!$B$7),L109&lt;&gt;"cancelled"),1,0)</f>
        <v>1</v>
      </c>
      <c r="N109" s="32" t="n">
        <f aca="false">F109*M109</f>
        <v>1131567022</v>
      </c>
      <c r="O109" s="3" t="n">
        <f aca="false">IF(M109=1,MAX(0,D_F01!$B$7-H109),0)</f>
        <v>0</v>
      </c>
      <c r="P109" s="3" t="n">
        <f aca="false">IF(AND(ISNUMBER(I109),I109&lt;=D_F01!$B$7),I109-H109,0)</f>
        <v>0</v>
      </c>
      <c r="Q109" s="3" t="n">
        <f aca="false">MAX(0,P109)</f>
        <v>0</v>
      </c>
      <c r="R109" s="3" t="n">
        <f aca="false">IF(AND(ISNUMBER(I109),I109&gt;D_F01!$B$7-D_F01!$B$25,I109&lt;=D_F01!$B$7),1,0)</f>
        <v>0</v>
      </c>
      <c r="S109" s="3" t="n">
        <f aca="false">R109*F109*Q109</f>
        <v>0</v>
      </c>
      <c r="T109" s="3" t="n">
        <f aca="false">R109*F109</f>
        <v>0</v>
      </c>
      <c r="U109" s="3" t="n">
        <f aca="false">IF(AND(H109&gt;D_F01!$B$7-D_F01!$B$25,H109&lt;=D_F01!$B$7),IF(M109=1,O109,Q109),0)</f>
        <v>0</v>
      </c>
      <c r="V109" s="3" t="n">
        <f aca="false">F109*W109</f>
        <v>0</v>
      </c>
      <c r="W109" s="3" t="n">
        <f aca="false">IF(AND(H109&gt;D_F01!$B$7-D_F01!$B$25,H109&lt;=D_F01!$B$7,L109&lt;&gt;"cancelled"),1,0)</f>
        <v>0</v>
      </c>
      <c r="X109" s="3" t="n">
        <f aca="false">V109*U109</f>
        <v>0</v>
      </c>
      <c r="Y109" s="3" t="n">
        <f aca="false">M109*W109</f>
        <v>0</v>
      </c>
      <c r="Z109" s="3" t="n">
        <f aca="false">R109*F109*P109</f>
        <v>0</v>
      </c>
      <c r="AA109" s="42" t="n">
        <f aca="false">T109*J109</f>
        <v>0</v>
      </c>
    </row>
    <row r="110" customFormat="false" ht="25.5" hidden="false" customHeight="true" outlineLevel="0" collapsed="false">
      <c r="A110" s="89" t="s">
        <v>2176</v>
      </c>
      <c r="B110" s="89" t="s">
        <v>2666</v>
      </c>
      <c r="C110" s="89" t="s">
        <v>1977</v>
      </c>
      <c r="D110" s="89" t="s">
        <v>2732</v>
      </c>
      <c r="E110" s="89" t="s">
        <v>3127</v>
      </c>
      <c r="F110" s="88" t="n">
        <v>1834295991</v>
      </c>
      <c r="G110" s="83" t="n">
        <v>46181</v>
      </c>
      <c r="H110" s="83" t="n">
        <v>46226</v>
      </c>
      <c r="I110" s="83"/>
      <c r="J110" s="89" t="n">
        <v>45</v>
      </c>
      <c r="K110" s="89" t="s">
        <v>2704</v>
      </c>
      <c r="L110" s="89" t="s">
        <v>2957</v>
      </c>
      <c r="M110" s="4" t="n">
        <f aca="false">IF(AND(G110&lt;=D_F01!$B$7,OR(NOT(ISNUMBER(I110)),I110&gt;D_F01!$B$7),L110&lt;&gt;"cancelled"),1,0)</f>
        <v>1</v>
      </c>
      <c r="N110" s="33" t="n">
        <f aca="false">F110*M110</f>
        <v>1834295991</v>
      </c>
      <c r="O110" s="4" t="n">
        <f aca="false">IF(M110=1,MAX(0,D_F01!$B$7-H110),0)</f>
        <v>0</v>
      </c>
      <c r="P110" s="4" t="n">
        <f aca="false">IF(AND(ISNUMBER(I110),I110&lt;=D_F01!$B$7),I110-H110,0)</f>
        <v>0</v>
      </c>
      <c r="Q110" s="4" t="n">
        <f aca="false">MAX(0,P110)</f>
        <v>0</v>
      </c>
      <c r="R110" s="4" t="n">
        <f aca="false">IF(AND(ISNUMBER(I110),I110&gt;D_F01!$B$7-D_F01!$B$25,I110&lt;=D_F01!$B$7),1,0)</f>
        <v>0</v>
      </c>
      <c r="S110" s="4" t="n">
        <f aca="false">R110*F110*Q110</f>
        <v>0</v>
      </c>
      <c r="T110" s="4" t="n">
        <f aca="false">R110*F110</f>
        <v>0</v>
      </c>
      <c r="U110" s="4" t="n">
        <f aca="false">IF(AND(H110&gt;D_F01!$B$7-D_F01!$B$25,H110&lt;=D_F01!$B$7),IF(M110=1,O110,Q110),0)</f>
        <v>0</v>
      </c>
      <c r="V110" s="4" t="n">
        <f aca="false">F110*W110</f>
        <v>0</v>
      </c>
      <c r="W110" s="4" t="n">
        <f aca="false">IF(AND(H110&gt;D_F01!$B$7-D_F01!$B$25,H110&lt;=D_F01!$B$7,L110&lt;&gt;"cancelled"),1,0)</f>
        <v>0</v>
      </c>
      <c r="X110" s="4" t="n">
        <f aca="false">V110*U110</f>
        <v>0</v>
      </c>
      <c r="Y110" s="4" t="n">
        <f aca="false">M110*W110</f>
        <v>0</v>
      </c>
      <c r="Z110" s="4" t="n">
        <f aca="false">R110*F110*P110</f>
        <v>0</v>
      </c>
      <c r="AA110" s="42" t="n">
        <f aca="false">T110*J110</f>
        <v>0</v>
      </c>
    </row>
    <row r="111" customFormat="false" ht="25.5" hidden="false" customHeight="true" outlineLevel="0" collapsed="false">
      <c r="A111" s="82" t="s">
        <v>2178</v>
      </c>
      <c r="B111" s="82" t="s">
        <v>2666</v>
      </c>
      <c r="C111" s="82" t="s">
        <v>1983</v>
      </c>
      <c r="D111" s="82" t="s">
        <v>2740</v>
      </c>
      <c r="E111" s="82" t="s">
        <v>3128</v>
      </c>
      <c r="F111" s="87" t="n">
        <v>329900239</v>
      </c>
      <c r="G111" s="84" t="n">
        <v>46183</v>
      </c>
      <c r="H111" s="84" t="n">
        <v>46213</v>
      </c>
      <c r="I111" s="84"/>
      <c r="J111" s="82" t="n">
        <v>30</v>
      </c>
      <c r="K111" s="82" t="s">
        <v>2704</v>
      </c>
      <c r="L111" s="82" t="s">
        <v>2957</v>
      </c>
      <c r="M111" s="3" t="n">
        <f aca="false">IF(AND(G111&lt;=D_F01!$B$7,OR(NOT(ISNUMBER(I111)),I111&gt;D_F01!$B$7),L111&lt;&gt;"cancelled"),1,0)</f>
        <v>1</v>
      </c>
      <c r="N111" s="32" t="n">
        <f aca="false">F111*M111</f>
        <v>329900239</v>
      </c>
      <c r="O111" s="3" t="n">
        <f aca="false">IF(M111=1,MAX(0,D_F01!$B$7-H111),0)</f>
        <v>0</v>
      </c>
      <c r="P111" s="3" t="n">
        <f aca="false">IF(AND(ISNUMBER(I111),I111&lt;=D_F01!$B$7),I111-H111,0)</f>
        <v>0</v>
      </c>
      <c r="Q111" s="3" t="n">
        <f aca="false">MAX(0,P111)</f>
        <v>0</v>
      </c>
      <c r="R111" s="3" t="n">
        <f aca="false">IF(AND(ISNUMBER(I111),I111&gt;D_F01!$B$7-D_F01!$B$25,I111&lt;=D_F01!$B$7),1,0)</f>
        <v>0</v>
      </c>
      <c r="S111" s="3" t="n">
        <f aca="false">R111*F111*Q111</f>
        <v>0</v>
      </c>
      <c r="T111" s="3" t="n">
        <f aca="false">R111*F111</f>
        <v>0</v>
      </c>
      <c r="U111" s="3" t="n">
        <f aca="false">IF(AND(H111&gt;D_F01!$B$7-D_F01!$B$25,H111&lt;=D_F01!$B$7),IF(M111=1,O111,Q111),0)</f>
        <v>0</v>
      </c>
      <c r="V111" s="3" t="n">
        <f aca="false">F111*W111</f>
        <v>0</v>
      </c>
      <c r="W111" s="3" t="n">
        <f aca="false">IF(AND(H111&gt;D_F01!$B$7-D_F01!$B$25,H111&lt;=D_F01!$B$7,L111&lt;&gt;"cancelled"),1,0)</f>
        <v>0</v>
      </c>
      <c r="X111" s="3" t="n">
        <f aca="false">V111*U111</f>
        <v>0</v>
      </c>
      <c r="Y111" s="3" t="n">
        <f aca="false">M111*W111</f>
        <v>0</v>
      </c>
      <c r="Z111" s="3" t="n">
        <f aca="false">R111*F111*P111</f>
        <v>0</v>
      </c>
      <c r="AA111" s="42" t="n">
        <f aca="false">T111*J111</f>
        <v>0</v>
      </c>
    </row>
    <row r="112" customFormat="false" ht="25.5" hidden="false" customHeight="true" outlineLevel="0" collapsed="false">
      <c r="A112" s="89" t="s">
        <v>2180</v>
      </c>
      <c r="B112" s="89" t="s">
        <v>2666</v>
      </c>
      <c r="C112" s="89" t="s">
        <v>1979</v>
      </c>
      <c r="D112" s="89" t="s">
        <v>2736</v>
      </c>
      <c r="E112" s="89" t="s">
        <v>3129</v>
      </c>
      <c r="F112" s="88" t="n">
        <v>415259935</v>
      </c>
      <c r="G112" s="83" t="n">
        <v>46183</v>
      </c>
      <c r="H112" s="83" t="n">
        <v>46213</v>
      </c>
      <c r="I112" s="83"/>
      <c r="J112" s="89" t="n">
        <v>30</v>
      </c>
      <c r="K112" s="89" t="s">
        <v>2704</v>
      </c>
      <c r="L112" s="89" t="s">
        <v>2957</v>
      </c>
      <c r="M112" s="4" t="n">
        <f aca="false">IF(AND(G112&lt;=D_F01!$B$7,OR(NOT(ISNUMBER(I112)),I112&gt;D_F01!$B$7),L112&lt;&gt;"cancelled"),1,0)</f>
        <v>1</v>
      </c>
      <c r="N112" s="33" t="n">
        <f aca="false">F112*M112</f>
        <v>415259935</v>
      </c>
      <c r="O112" s="4" t="n">
        <f aca="false">IF(M112=1,MAX(0,D_F01!$B$7-H112),0)</f>
        <v>0</v>
      </c>
      <c r="P112" s="4" t="n">
        <f aca="false">IF(AND(ISNUMBER(I112),I112&lt;=D_F01!$B$7),I112-H112,0)</f>
        <v>0</v>
      </c>
      <c r="Q112" s="4" t="n">
        <f aca="false">MAX(0,P112)</f>
        <v>0</v>
      </c>
      <c r="R112" s="4" t="n">
        <f aca="false">IF(AND(ISNUMBER(I112),I112&gt;D_F01!$B$7-D_F01!$B$25,I112&lt;=D_F01!$B$7),1,0)</f>
        <v>0</v>
      </c>
      <c r="S112" s="4" t="n">
        <f aca="false">R112*F112*Q112</f>
        <v>0</v>
      </c>
      <c r="T112" s="4" t="n">
        <f aca="false">R112*F112</f>
        <v>0</v>
      </c>
      <c r="U112" s="4" t="n">
        <f aca="false">IF(AND(H112&gt;D_F01!$B$7-D_F01!$B$25,H112&lt;=D_F01!$B$7),IF(M112=1,O112,Q112),0)</f>
        <v>0</v>
      </c>
      <c r="V112" s="4" t="n">
        <f aca="false">F112*W112</f>
        <v>0</v>
      </c>
      <c r="W112" s="4" t="n">
        <f aca="false">IF(AND(H112&gt;D_F01!$B$7-D_F01!$B$25,H112&lt;=D_F01!$B$7,L112&lt;&gt;"cancelled"),1,0)</f>
        <v>0</v>
      </c>
      <c r="X112" s="4" t="n">
        <f aca="false">V112*U112</f>
        <v>0</v>
      </c>
      <c r="Y112" s="4" t="n">
        <f aca="false">M112*W112</f>
        <v>0</v>
      </c>
      <c r="Z112" s="4" t="n">
        <f aca="false">R112*F112*P112</f>
        <v>0</v>
      </c>
      <c r="AA112" s="42" t="n">
        <f aca="false">T112*J112</f>
        <v>0</v>
      </c>
    </row>
    <row r="113" customFormat="false" ht="25.5" hidden="false" customHeight="true" outlineLevel="0" collapsed="false">
      <c r="A113" s="82" t="s">
        <v>2182</v>
      </c>
      <c r="B113" s="82" t="s">
        <v>2666</v>
      </c>
      <c r="C113" s="82" t="s">
        <v>1977</v>
      </c>
      <c r="D113" s="82" t="s">
        <v>2732</v>
      </c>
      <c r="E113" s="82" t="s">
        <v>3130</v>
      </c>
      <c r="F113" s="87" t="n">
        <v>585623157</v>
      </c>
      <c r="G113" s="84" t="n">
        <v>46184</v>
      </c>
      <c r="H113" s="84" t="n">
        <v>46229</v>
      </c>
      <c r="I113" s="84"/>
      <c r="J113" s="82" t="n">
        <v>45</v>
      </c>
      <c r="K113" s="82" t="s">
        <v>2704</v>
      </c>
      <c r="L113" s="82" t="s">
        <v>2957</v>
      </c>
      <c r="M113" s="3" t="n">
        <f aca="false">IF(AND(G113&lt;=D_F01!$B$7,OR(NOT(ISNUMBER(I113)),I113&gt;D_F01!$B$7),L113&lt;&gt;"cancelled"),1,0)</f>
        <v>1</v>
      </c>
      <c r="N113" s="32" t="n">
        <f aca="false">F113*M113</f>
        <v>585623157</v>
      </c>
      <c r="O113" s="3" t="n">
        <f aca="false">IF(M113=1,MAX(0,D_F01!$B$7-H113),0)</f>
        <v>0</v>
      </c>
      <c r="P113" s="3" t="n">
        <f aca="false">IF(AND(ISNUMBER(I113),I113&lt;=D_F01!$B$7),I113-H113,0)</f>
        <v>0</v>
      </c>
      <c r="Q113" s="3" t="n">
        <f aca="false">MAX(0,P113)</f>
        <v>0</v>
      </c>
      <c r="R113" s="3" t="n">
        <f aca="false">IF(AND(ISNUMBER(I113),I113&gt;D_F01!$B$7-D_F01!$B$25,I113&lt;=D_F01!$B$7),1,0)</f>
        <v>0</v>
      </c>
      <c r="S113" s="3" t="n">
        <f aca="false">R113*F113*Q113</f>
        <v>0</v>
      </c>
      <c r="T113" s="3" t="n">
        <f aca="false">R113*F113</f>
        <v>0</v>
      </c>
      <c r="U113" s="3" t="n">
        <f aca="false">IF(AND(H113&gt;D_F01!$B$7-D_F01!$B$25,H113&lt;=D_F01!$B$7),IF(M113=1,O113,Q113),0)</f>
        <v>0</v>
      </c>
      <c r="V113" s="3" t="n">
        <f aca="false">F113*W113</f>
        <v>0</v>
      </c>
      <c r="W113" s="3" t="n">
        <f aca="false">IF(AND(H113&gt;D_F01!$B$7-D_F01!$B$25,H113&lt;=D_F01!$B$7,L113&lt;&gt;"cancelled"),1,0)</f>
        <v>0</v>
      </c>
      <c r="X113" s="3" t="n">
        <f aca="false">V113*U113</f>
        <v>0</v>
      </c>
      <c r="Y113" s="3" t="n">
        <f aca="false">M113*W113</f>
        <v>0</v>
      </c>
      <c r="Z113" s="3" t="n">
        <f aca="false">R113*F113*P113</f>
        <v>0</v>
      </c>
      <c r="AA113" s="42" t="n">
        <f aca="false">T113*J113</f>
        <v>0</v>
      </c>
    </row>
    <row r="114" customFormat="false" ht="25.5" hidden="false" customHeight="true" outlineLevel="0" collapsed="false">
      <c r="A114" s="89" t="s">
        <v>2184</v>
      </c>
      <c r="B114" s="89" t="s">
        <v>2666</v>
      </c>
      <c r="C114" s="89" t="s">
        <v>1978</v>
      </c>
      <c r="D114" s="89" t="s">
        <v>2734</v>
      </c>
      <c r="E114" s="89" t="s">
        <v>3131</v>
      </c>
      <c r="F114" s="88" t="n">
        <v>946197645</v>
      </c>
      <c r="G114" s="83" t="n">
        <v>46186</v>
      </c>
      <c r="H114" s="83" t="n">
        <v>46216</v>
      </c>
      <c r="I114" s="83"/>
      <c r="J114" s="89" t="n">
        <v>30</v>
      </c>
      <c r="K114" s="89" t="s">
        <v>2704</v>
      </c>
      <c r="L114" s="89" t="s">
        <v>2957</v>
      </c>
      <c r="M114" s="4" t="n">
        <f aca="false">IF(AND(G114&lt;=D_F01!$B$7,OR(NOT(ISNUMBER(I114)),I114&gt;D_F01!$B$7),L114&lt;&gt;"cancelled"),1,0)</f>
        <v>1</v>
      </c>
      <c r="N114" s="33" t="n">
        <f aca="false">F114*M114</f>
        <v>946197645</v>
      </c>
      <c r="O114" s="4" t="n">
        <f aca="false">IF(M114=1,MAX(0,D_F01!$B$7-H114),0)</f>
        <v>0</v>
      </c>
      <c r="P114" s="4" t="n">
        <f aca="false">IF(AND(ISNUMBER(I114),I114&lt;=D_F01!$B$7),I114-H114,0)</f>
        <v>0</v>
      </c>
      <c r="Q114" s="4" t="n">
        <f aca="false">MAX(0,P114)</f>
        <v>0</v>
      </c>
      <c r="R114" s="4" t="n">
        <f aca="false">IF(AND(ISNUMBER(I114),I114&gt;D_F01!$B$7-D_F01!$B$25,I114&lt;=D_F01!$B$7),1,0)</f>
        <v>0</v>
      </c>
      <c r="S114" s="4" t="n">
        <f aca="false">R114*F114*Q114</f>
        <v>0</v>
      </c>
      <c r="T114" s="4" t="n">
        <f aca="false">R114*F114</f>
        <v>0</v>
      </c>
      <c r="U114" s="4" t="n">
        <f aca="false">IF(AND(H114&gt;D_F01!$B$7-D_F01!$B$25,H114&lt;=D_F01!$B$7),IF(M114=1,O114,Q114),0)</f>
        <v>0</v>
      </c>
      <c r="V114" s="4" t="n">
        <f aca="false">F114*W114</f>
        <v>0</v>
      </c>
      <c r="W114" s="4" t="n">
        <f aca="false">IF(AND(H114&gt;D_F01!$B$7-D_F01!$B$25,H114&lt;=D_F01!$B$7,L114&lt;&gt;"cancelled"),1,0)</f>
        <v>0</v>
      </c>
      <c r="X114" s="4" t="n">
        <f aca="false">V114*U114</f>
        <v>0</v>
      </c>
      <c r="Y114" s="4" t="n">
        <f aca="false">M114*W114</f>
        <v>0</v>
      </c>
      <c r="Z114" s="4" t="n">
        <f aca="false">R114*F114*P114</f>
        <v>0</v>
      </c>
      <c r="AA114" s="42" t="n">
        <f aca="false">T114*J114</f>
        <v>0</v>
      </c>
    </row>
    <row r="115" customFormat="false" ht="25.5" hidden="false" customHeight="true" outlineLevel="0" collapsed="false">
      <c r="A115" s="82" t="s">
        <v>2186</v>
      </c>
      <c r="B115" s="82" t="s">
        <v>2666</v>
      </c>
      <c r="C115" s="82" t="s">
        <v>1977</v>
      </c>
      <c r="D115" s="82" t="s">
        <v>2732</v>
      </c>
      <c r="E115" s="82" t="s">
        <v>3132</v>
      </c>
      <c r="F115" s="87" t="n">
        <v>952239078</v>
      </c>
      <c r="G115" s="84" t="n">
        <v>46190</v>
      </c>
      <c r="H115" s="84" t="n">
        <v>46235</v>
      </c>
      <c r="I115" s="84"/>
      <c r="J115" s="82" t="n">
        <v>45</v>
      </c>
      <c r="K115" s="82" t="s">
        <v>2704</v>
      </c>
      <c r="L115" s="82" t="s">
        <v>2957</v>
      </c>
      <c r="M115" s="3" t="n">
        <f aca="false">IF(AND(G115&lt;=D_F01!$B$7,OR(NOT(ISNUMBER(I115)),I115&gt;D_F01!$B$7),L115&lt;&gt;"cancelled"),1,0)</f>
        <v>1</v>
      </c>
      <c r="N115" s="32" t="n">
        <f aca="false">F115*M115</f>
        <v>952239078</v>
      </c>
      <c r="O115" s="3" t="n">
        <f aca="false">IF(M115=1,MAX(0,D_F01!$B$7-H115),0)</f>
        <v>0</v>
      </c>
      <c r="P115" s="3" t="n">
        <f aca="false">IF(AND(ISNUMBER(I115),I115&lt;=D_F01!$B$7),I115-H115,0)</f>
        <v>0</v>
      </c>
      <c r="Q115" s="3" t="n">
        <f aca="false">MAX(0,P115)</f>
        <v>0</v>
      </c>
      <c r="R115" s="3" t="n">
        <f aca="false">IF(AND(ISNUMBER(I115),I115&gt;D_F01!$B$7-D_F01!$B$25,I115&lt;=D_F01!$B$7),1,0)</f>
        <v>0</v>
      </c>
      <c r="S115" s="3" t="n">
        <f aca="false">R115*F115*Q115</f>
        <v>0</v>
      </c>
      <c r="T115" s="3" t="n">
        <f aca="false">R115*F115</f>
        <v>0</v>
      </c>
      <c r="U115" s="3" t="n">
        <f aca="false">IF(AND(H115&gt;D_F01!$B$7-D_F01!$B$25,H115&lt;=D_F01!$B$7),IF(M115=1,O115,Q115),0)</f>
        <v>0</v>
      </c>
      <c r="V115" s="3" t="n">
        <f aca="false">F115*W115</f>
        <v>0</v>
      </c>
      <c r="W115" s="3" t="n">
        <f aca="false">IF(AND(H115&gt;D_F01!$B$7-D_F01!$B$25,H115&lt;=D_F01!$B$7,L115&lt;&gt;"cancelled"),1,0)</f>
        <v>0</v>
      </c>
      <c r="X115" s="3" t="n">
        <f aca="false">V115*U115</f>
        <v>0</v>
      </c>
      <c r="Y115" s="3" t="n">
        <f aca="false">M115*W115</f>
        <v>0</v>
      </c>
      <c r="Z115" s="3" t="n">
        <f aca="false">R115*F115*P115</f>
        <v>0</v>
      </c>
      <c r="AA115" s="42" t="n">
        <f aca="false">T115*J115</f>
        <v>0</v>
      </c>
    </row>
    <row r="116" customFormat="false" ht="13.5" hidden="false" customHeight="false" outlineLevel="0" collapsed="false">
      <c r="A116" s="82" t="s">
        <v>2188</v>
      </c>
      <c r="B116" s="82" t="s">
        <v>2666</v>
      </c>
      <c r="C116" s="82" t="s">
        <v>1977</v>
      </c>
      <c r="D116" s="82" t="s">
        <v>2732</v>
      </c>
      <c r="E116" s="82" t="s">
        <v>3133</v>
      </c>
      <c r="F116" s="87" t="n">
        <v>742318455</v>
      </c>
      <c r="G116" s="84" t="n">
        <v>46194</v>
      </c>
      <c r="H116" s="84" t="n">
        <v>46239</v>
      </c>
      <c r="I116" s="84"/>
      <c r="J116" s="82" t="n">
        <v>45</v>
      </c>
      <c r="K116" s="82" t="s">
        <v>2704</v>
      </c>
      <c r="L116" s="82" t="s">
        <v>2957</v>
      </c>
      <c r="M116" s="3" t="n">
        <f aca="false">IF(AND(G116&lt;=D_F01!$B$7,OR(NOT(ISNUMBER(I116)),I116&gt;D_F01!$B$7),L116&lt;&gt;"cancelled"),1,0)</f>
        <v>1</v>
      </c>
      <c r="N116" s="32" t="n">
        <f aca="false">F116*M116</f>
        <v>742318455</v>
      </c>
      <c r="O116" s="3" t="n">
        <f aca="false">IF(M116=1,MAX(0,D_F01!$B$7-H116),0)</f>
        <v>0</v>
      </c>
      <c r="P116" s="3" t="n">
        <f aca="false">IF(AND(ISNUMBER(I116),I116&lt;=D_F01!$B$7),I116-H116,0)</f>
        <v>0</v>
      </c>
      <c r="Q116" s="3" t="n">
        <f aca="false">MAX(0,P116)</f>
        <v>0</v>
      </c>
      <c r="R116" s="3" t="n">
        <f aca="false">IF(AND(ISNUMBER(I116),I116&gt;D_F01!$B$7-D_F01!$B$25,I116&lt;=D_F01!$B$7),1,0)</f>
        <v>0</v>
      </c>
      <c r="S116" s="3" t="n">
        <f aca="false">R116*F116*Q116</f>
        <v>0</v>
      </c>
      <c r="T116" s="3" t="n">
        <f aca="false">R116*F116</f>
        <v>0</v>
      </c>
      <c r="U116" s="3" t="n">
        <f aca="false">IF(AND(H116&gt;D_F01!$B$7-D_F01!$B$25,H116&lt;=D_F01!$B$7),IF(M116=1,O116,Q116),0)</f>
        <v>0</v>
      </c>
      <c r="V116" s="3" t="n">
        <f aca="false">F116*W116</f>
        <v>0</v>
      </c>
      <c r="W116" s="3" t="n">
        <f aca="false">IF(AND(H116&gt;D_F01!$B$7-D_F01!$B$25,H116&lt;=D_F01!$B$7,L116&lt;&gt;"cancelled"),1,0)</f>
        <v>0</v>
      </c>
      <c r="X116" s="3" t="n">
        <f aca="false">V116*U116</f>
        <v>0</v>
      </c>
      <c r="Y116" s="3" t="n">
        <f aca="false">M116*W116</f>
        <v>0</v>
      </c>
      <c r="Z116" s="3" t="n">
        <f aca="false">R116*F116*P116</f>
        <v>0</v>
      </c>
      <c r="AA116" s="42" t="n">
        <f aca="false">T116*J116</f>
        <v>0</v>
      </c>
    </row>
    <row r="117" customFormat="false" ht="13.5" hidden="false" customHeight="false" outlineLevel="0" collapsed="false">
      <c r="A117" s="82" t="s">
        <v>2190</v>
      </c>
      <c r="B117" s="82" t="s">
        <v>2666</v>
      </c>
      <c r="C117" s="82" t="s">
        <v>1978</v>
      </c>
      <c r="D117" s="82" t="s">
        <v>2734</v>
      </c>
      <c r="E117" s="82" t="s">
        <v>3134</v>
      </c>
      <c r="F117" s="87" t="n">
        <v>1126540210</v>
      </c>
      <c r="G117" s="84" t="n">
        <v>46196</v>
      </c>
      <c r="H117" s="84" t="n">
        <v>46226</v>
      </c>
      <c r="I117" s="84"/>
      <c r="J117" s="82" t="n">
        <v>30</v>
      </c>
      <c r="K117" s="82" t="s">
        <v>2704</v>
      </c>
      <c r="L117" s="82" t="s">
        <v>2957</v>
      </c>
      <c r="M117" s="3" t="n">
        <f aca="false">IF(AND(G117&lt;=D_F01!$B$7,OR(NOT(ISNUMBER(I117)),I117&gt;D_F01!$B$7),L117&lt;&gt;"cancelled"),1,0)</f>
        <v>1</v>
      </c>
      <c r="N117" s="32" t="n">
        <f aca="false">F117*M117</f>
        <v>1126540210</v>
      </c>
      <c r="O117" s="3" t="n">
        <f aca="false">IF(M117=1,MAX(0,D_F01!$B$7-H117),0)</f>
        <v>0</v>
      </c>
      <c r="P117" s="3" t="n">
        <f aca="false">IF(AND(ISNUMBER(I117),I117&lt;=D_F01!$B$7),I117-H117,0)</f>
        <v>0</v>
      </c>
      <c r="Q117" s="3" t="n">
        <f aca="false">MAX(0,P117)</f>
        <v>0</v>
      </c>
      <c r="R117" s="3" t="n">
        <f aca="false">IF(AND(ISNUMBER(I117),I117&gt;D_F01!$B$7-D_F01!$B$25,I117&lt;=D_F01!$B$7),1,0)</f>
        <v>0</v>
      </c>
      <c r="S117" s="3" t="n">
        <f aca="false">R117*F117*Q117</f>
        <v>0</v>
      </c>
      <c r="T117" s="3" t="n">
        <f aca="false">R117*F117</f>
        <v>0</v>
      </c>
      <c r="U117" s="3" t="n">
        <f aca="false">IF(AND(H117&gt;D_F01!$B$7-D_F01!$B$25,H117&lt;=D_F01!$B$7),IF(M117=1,O117,Q117),0)</f>
        <v>0</v>
      </c>
      <c r="V117" s="3" t="n">
        <f aca="false">F117*W117</f>
        <v>0</v>
      </c>
      <c r="W117" s="3" t="n">
        <f aca="false">IF(AND(H117&gt;D_F01!$B$7-D_F01!$B$25,H117&lt;=D_F01!$B$7,L117&lt;&gt;"cancelled"),1,0)</f>
        <v>0</v>
      </c>
      <c r="X117" s="3" t="n">
        <f aca="false">V117*U117</f>
        <v>0</v>
      </c>
      <c r="Y117" s="3" t="n">
        <f aca="false">M117*W117</f>
        <v>0</v>
      </c>
      <c r="Z117" s="3" t="n">
        <f aca="false">R117*F117*P117</f>
        <v>0</v>
      </c>
      <c r="AA117" s="42" t="n">
        <f aca="false">T117*J117</f>
        <v>0</v>
      </c>
    </row>
    <row r="118" customFormat="false" ht="13.5" hidden="false" customHeight="false" outlineLevel="0" collapsed="false">
      <c r="A118" s="82" t="s">
        <v>2192</v>
      </c>
      <c r="B118" s="82" t="s">
        <v>2666</v>
      </c>
      <c r="C118" s="82" t="s">
        <v>1979</v>
      </c>
      <c r="D118" s="82" t="s">
        <v>2736</v>
      </c>
      <c r="E118" s="82" t="s">
        <v>3135</v>
      </c>
      <c r="F118" s="87" t="n">
        <v>508774632</v>
      </c>
      <c r="G118" s="84" t="n">
        <v>46197</v>
      </c>
      <c r="H118" s="84" t="n">
        <v>46227</v>
      </c>
      <c r="I118" s="84"/>
      <c r="J118" s="82" t="n">
        <v>30</v>
      </c>
      <c r="K118" s="82" t="s">
        <v>2704</v>
      </c>
      <c r="L118" s="82" t="s">
        <v>2957</v>
      </c>
      <c r="M118" s="3" t="n">
        <f aca="false">IF(AND(G118&lt;=D_F01!$B$7,OR(NOT(ISNUMBER(I118)),I118&gt;D_F01!$B$7),L118&lt;&gt;"cancelled"),1,0)</f>
        <v>1</v>
      </c>
      <c r="N118" s="32" t="n">
        <f aca="false">F118*M118</f>
        <v>508774632</v>
      </c>
      <c r="O118" s="3" t="n">
        <f aca="false">IF(M118=1,MAX(0,D_F01!$B$7-H118),0)</f>
        <v>0</v>
      </c>
      <c r="P118" s="3" t="n">
        <f aca="false">IF(AND(ISNUMBER(I118),I118&lt;=D_F01!$B$7),I118-H118,0)</f>
        <v>0</v>
      </c>
      <c r="Q118" s="3" t="n">
        <f aca="false">MAX(0,P118)</f>
        <v>0</v>
      </c>
      <c r="R118" s="3" t="n">
        <f aca="false">IF(AND(ISNUMBER(I118),I118&gt;D_F01!$B$7-D_F01!$B$25,I118&lt;=D_F01!$B$7),1,0)</f>
        <v>0</v>
      </c>
      <c r="S118" s="3" t="n">
        <f aca="false">R118*F118*Q118</f>
        <v>0</v>
      </c>
      <c r="T118" s="3" t="n">
        <f aca="false">R118*F118</f>
        <v>0</v>
      </c>
      <c r="U118" s="3" t="n">
        <f aca="false">IF(AND(H118&gt;D_F01!$B$7-D_F01!$B$25,H118&lt;=D_F01!$B$7),IF(M118=1,O118,Q118),0)</f>
        <v>0</v>
      </c>
      <c r="V118" s="3" t="n">
        <f aca="false">F118*W118</f>
        <v>0</v>
      </c>
      <c r="W118" s="3" t="n">
        <f aca="false">IF(AND(H118&gt;D_F01!$B$7-D_F01!$B$25,H118&lt;=D_F01!$B$7,L118&lt;&gt;"cancelled"),1,0)</f>
        <v>0</v>
      </c>
      <c r="X118" s="3" t="n">
        <f aca="false">V118*U118</f>
        <v>0</v>
      </c>
      <c r="Y118" s="3" t="n">
        <f aca="false">M118*W118</f>
        <v>0</v>
      </c>
      <c r="Z118" s="3" t="n">
        <f aca="false">R118*F118*P118</f>
        <v>0</v>
      </c>
      <c r="AA118" s="42" t="n">
        <f aca="false">T118*J118</f>
        <v>0</v>
      </c>
    </row>
    <row r="119" customFormat="false" ht="13.5" hidden="false" customHeight="false" outlineLevel="0" collapsed="false">
      <c r="A119" s="82" t="s">
        <v>2194</v>
      </c>
      <c r="B119" s="82" t="s">
        <v>2666</v>
      </c>
      <c r="C119" s="82" t="s">
        <v>1980</v>
      </c>
      <c r="D119" s="82" t="s">
        <v>2737</v>
      </c>
      <c r="E119" s="82" t="s">
        <v>3136</v>
      </c>
      <c r="F119" s="87" t="n">
        <v>689203917</v>
      </c>
      <c r="G119" s="84" t="n">
        <v>46199</v>
      </c>
      <c r="H119" s="84" t="n">
        <v>46229</v>
      </c>
      <c r="I119" s="84"/>
      <c r="J119" s="82" t="n">
        <v>30</v>
      </c>
      <c r="K119" s="82" t="s">
        <v>2704</v>
      </c>
      <c r="L119" s="82" t="s">
        <v>2957</v>
      </c>
      <c r="M119" s="3" t="n">
        <f aca="false">IF(AND(G119&lt;=D_F01!$B$7,OR(NOT(ISNUMBER(I119)),I119&gt;D_F01!$B$7),L119&lt;&gt;"cancelled"),1,0)</f>
        <v>1</v>
      </c>
      <c r="N119" s="32" t="n">
        <f aca="false">F119*M119</f>
        <v>689203917</v>
      </c>
      <c r="O119" s="3" t="n">
        <f aca="false">IF(M119=1,MAX(0,D_F01!$B$7-H119),0)</f>
        <v>0</v>
      </c>
      <c r="P119" s="3" t="n">
        <f aca="false">IF(AND(ISNUMBER(I119),I119&lt;=D_F01!$B$7),I119-H119,0)</f>
        <v>0</v>
      </c>
      <c r="Q119" s="3" t="n">
        <f aca="false">MAX(0,P119)</f>
        <v>0</v>
      </c>
      <c r="R119" s="3" t="n">
        <f aca="false">IF(AND(ISNUMBER(I119),I119&gt;D_F01!$B$7-D_F01!$B$25,I119&lt;=D_F01!$B$7),1,0)</f>
        <v>0</v>
      </c>
      <c r="S119" s="3" t="n">
        <f aca="false">R119*F119*Q119</f>
        <v>0</v>
      </c>
      <c r="T119" s="3" t="n">
        <f aca="false">R119*F119</f>
        <v>0</v>
      </c>
      <c r="U119" s="3" t="n">
        <f aca="false">IF(AND(H119&gt;D_F01!$B$7-D_F01!$B$25,H119&lt;=D_F01!$B$7),IF(M119=1,O119,Q119),0)</f>
        <v>0</v>
      </c>
      <c r="V119" s="3" t="n">
        <f aca="false">F119*W119</f>
        <v>0</v>
      </c>
      <c r="W119" s="3" t="n">
        <f aca="false">IF(AND(H119&gt;D_F01!$B$7-D_F01!$B$25,H119&lt;=D_F01!$B$7,L119&lt;&gt;"cancelled"),1,0)</f>
        <v>0</v>
      </c>
      <c r="X119" s="3" t="n">
        <f aca="false">V119*U119</f>
        <v>0</v>
      </c>
      <c r="Y119" s="3" t="n">
        <f aca="false">M119*W119</f>
        <v>0</v>
      </c>
      <c r="Z119" s="3" t="n">
        <f aca="false">R119*F119*P119</f>
        <v>0</v>
      </c>
      <c r="AA119" s="42" t="n">
        <f aca="false">T119*J119</f>
        <v>0</v>
      </c>
    </row>
    <row r="120" customFormat="false" ht="13.5" hidden="false" customHeight="false" outlineLevel="0" collapsed="false">
      <c r="A120" s="82" t="s">
        <v>2196</v>
      </c>
      <c r="B120" s="82" t="s">
        <v>2666</v>
      </c>
      <c r="C120" s="82" t="s">
        <v>1981</v>
      </c>
      <c r="D120" s="82" t="s">
        <v>2738</v>
      </c>
      <c r="E120" s="82" t="s">
        <v>3137</v>
      </c>
      <c r="F120" s="87" t="n">
        <v>296418085</v>
      </c>
      <c r="G120" s="84" t="n">
        <v>46200</v>
      </c>
      <c r="H120" s="84" t="n">
        <v>46230</v>
      </c>
      <c r="I120" s="84"/>
      <c r="J120" s="82" t="n">
        <v>30</v>
      </c>
      <c r="K120" s="82" t="s">
        <v>2704</v>
      </c>
      <c r="L120" s="82" t="s">
        <v>2957</v>
      </c>
      <c r="M120" s="3" t="n">
        <f aca="false">IF(AND(G120&lt;=D_F01!$B$7,OR(NOT(ISNUMBER(I120)),I120&gt;D_F01!$B$7),L120&lt;&gt;"cancelled"),1,0)</f>
        <v>1</v>
      </c>
      <c r="N120" s="32" t="n">
        <f aca="false">F120*M120</f>
        <v>296418085</v>
      </c>
      <c r="O120" s="3" t="n">
        <f aca="false">IF(M120=1,MAX(0,D_F01!$B$7-H120),0)</f>
        <v>0</v>
      </c>
      <c r="P120" s="3" t="n">
        <f aca="false">IF(AND(ISNUMBER(I120),I120&lt;=D_F01!$B$7),I120-H120,0)</f>
        <v>0</v>
      </c>
      <c r="Q120" s="3" t="n">
        <f aca="false">MAX(0,P120)</f>
        <v>0</v>
      </c>
      <c r="R120" s="3" t="n">
        <f aca="false">IF(AND(ISNUMBER(I120),I120&gt;D_F01!$B$7-D_F01!$B$25,I120&lt;=D_F01!$B$7),1,0)</f>
        <v>0</v>
      </c>
      <c r="S120" s="3" t="n">
        <f aca="false">R120*F120*Q120</f>
        <v>0</v>
      </c>
      <c r="T120" s="3" t="n">
        <f aca="false">R120*F120</f>
        <v>0</v>
      </c>
      <c r="U120" s="3" t="n">
        <f aca="false">IF(AND(H120&gt;D_F01!$B$7-D_F01!$B$25,H120&lt;=D_F01!$B$7),IF(M120=1,O120,Q120),0)</f>
        <v>0</v>
      </c>
      <c r="V120" s="3" t="n">
        <f aca="false">F120*W120</f>
        <v>0</v>
      </c>
      <c r="W120" s="3" t="n">
        <f aca="false">IF(AND(H120&gt;D_F01!$B$7-D_F01!$B$25,H120&lt;=D_F01!$B$7,L120&lt;&gt;"cancelled"),1,0)</f>
        <v>0</v>
      </c>
      <c r="X120" s="3" t="n">
        <f aca="false">V120*U120</f>
        <v>0</v>
      </c>
      <c r="Y120" s="3" t="n">
        <f aca="false">M120*W120</f>
        <v>0</v>
      </c>
      <c r="Z120" s="3" t="n">
        <f aca="false">R120*F120*P120</f>
        <v>0</v>
      </c>
      <c r="AA120" s="42" t="n">
        <f aca="false">T120*J120</f>
        <v>0</v>
      </c>
    </row>
    <row r="121" customFormat="false" ht="13.5" hidden="false" customHeight="false" outlineLevel="0" collapsed="false">
      <c r="A121" s="82" t="s">
        <v>2198</v>
      </c>
      <c r="B121" s="82" t="s">
        <v>2666</v>
      </c>
      <c r="C121" s="82" t="s">
        <v>1977</v>
      </c>
      <c r="D121" s="82" t="s">
        <v>2732</v>
      </c>
      <c r="E121" s="82" t="s">
        <v>3138</v>
      </c>
      <c r="F121" s="87" t="n">
        <v>1247860339</v>
      </c>
      <c r="G121" s="84" t="n">
        <v>46202</v>
      </c>
      <c r="H121" s="84" t="n">
        <v>46247</v>
      </c>
      <c r="I121" s="84"/>
      <c r="J121" s="82" t="n">
        <v>45</v>
      </c>
      <c r="K121" s="82" t="s">
        <v>2704</v>
      </c>
      <c r="L121" s="82" t="s">
        <v>2957</v>
      </c>
      <c r="M121" s="3" t="n">
        <f aca="false">IF(AND(G121&lt;=D_F01!$B$7,OR(NOT(ISNUMBER(I121)),I121&gt;D_F01!$B$7),L121&lt;&gt;"cancelled"),1,0)</f>
        <v>1</v>
      </c>
      <c r="N121" s="32" t="n">
        <f aca="false">F121*M121</f>
        <v>1247860339</v>
      </c>
      <c r="O121" s="3" t="n">
        <f aca="false">IF(M121=1,MAX(0,D_F01!$B$7-H121),0)</f>
        <v>0</v>
      </c>
      <c r="P121" s="3" t="n">
        <f aca="false">IF(AND(ISNUMBER(I121),I121&lt;=D_F01!$B$7),I121-H121,0)</f>
        <v>0</v>
      </c>
      <c r="Q121" s="3" t="n">
        <f aca="false">MAX(0,P121)</f>
        <v>0</v>
      </c>
      <c r="R121" s="3" t="n">
        <f aca="false">IF(AND(ISNUMBER(I121),I121&gt;D_F01!$B$7-D_F01!$B$25,I121&lt;=D_F01!$B$7),1,0)</f>
        <v>0</v>
      </c>
      <c r="S121" s="3" t="n">
        <f aca="false">R121*F121*Q121</f>
        <v>0</v>
      </c>
      <c r="T121" s="3" t="n">
        <f aca="false">R121*F121</f>
        <v>0</v>
      </c>
      <c r="U121" s="3" t="n">
        <f aca="false">IF(AND(H121&gt;D_F01!$B$7-D_F01!$B$25,H121&lt;=D_F01!$B$7),IF(M121=1,O121,Q121),0)</f>
        <v>0</v>
      </c>
      <c r="V121" s="3" t="n">
        <f aca="false">F121*W121</f>
        <v>0</v>
      </c>
      <c r="W121" s="3" t="n">
        <f aca="false">IF(AND(H121&gt;D_F01!$B$7-D_F01!$B$25,H121&lt;=D_F01!$B$7,L121&lt;&gt;"cancelled"),1,0)</f>
        <v>0</v>
      </c>
      <c r="X121" s="3" t="n">
        <f aca="false">V121*U121</f>
        <v>0</v>
      </c>
      <c r="Y121" s="3" t="n">
        <f aca="false">M121*W121</f>
        <v>0</v>
      </c>
      <c r="Z121" s="3" t="n">
        <f aca="false">R121*F121*P121</f>
        <v>0</v>
      </c>
      <c r="AA121" s="42" t="n">
        <f aca="false">T121*J121</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139"/>
  <sheetViews>
    <sheetView showFormulas="false" showGridLines="false" showRowColHeaders="true" showZeros="true" rightToLeft="false" tabSelected="false" showOutlineSymbols="true" defaultGridColor="true" view="normal" topLeftCell="A1" colorId="64" zoomScale="81" zoomScaleNormal="81" zoomScalePageLayoutView="100" workbookViewId="0">
      <pane xSplit="3" ySplit="4" topLeftCell="E115" activePane="bottomRight" state="frozen"/>
      <selection pane="topLeft" activeCell="A1" activeCellId="0" sqref="A1"/>
      <selection pane="topRight" activeCell="E1" activeCellId="0" sqref="E1"/>
      <selection pane="bottomLeft" activeCell="A115" activeCellId="0" sqref="A115"/>
      <selection pane="bottomRight" activeCell="F115" activeCellId="0" sqref="F115"/>
    </sheetView>
  </sheetViews>
  <sheetFormatPr defaultColWidth="8.6796875" defaultRowHeight="13.5" zeroHeight="false" outlineLevelRow="0" outlineLevelCol="0"/>
  <cols>
    <col collapsed="false" customWidth="true" hidden="false" outlineLevel="0" max="1" min="1" style="0" width="21"/>
    <col collapsed="false" customWidth="true" hidden="false" outlineLevel="0" max="2" min="2" style="0" width="10"/>
    <col collapsed="false" customWidth="true" hidden="false" outlineLevel="0" max="3" min="3" style="0" width="21"/>
    <col collapsed="false" customWidth="true" hidden="false" outlineLevel="0" max="4" min="4" style="0" width="37"/>
    <col collapsed="false" customWidth="true" hidden="false" outlineLevel="0" max="5" min="5" style="0" width="23"/>
    <col collapsed="false" customWidth="true" hidden="false" outlineLevel="0" max="6" min="6" style="0" width="40"/>
    <col collapsed="false" customWidth="true" hidden="false" outlineLevel="0" max="7" min="7" style="0" width="24"/>
    <col collapsed="false" customWidth="true" hidden="false" outlineLevel="0" max="10" min="8" style="0" width="17"/>
    <col collapsed="false" customWidth="true" hidden="false" outlineLevel="0" max="11" min="11" style="0" width="13"/>
    <col collapsed="false" customWidth="true" hidden="false" outlineLevel="0" max="13" min="12" style="0" width="16"/>
    <col collapsed="false" customWidth="true" hidden="false" outlineLevel="0" max="21" min="14" style="0" width="22"/>
    <col collapsed="false" customWidth="true" hidden="false" outlineLevel="0" max="24" min="22" style="0" width="25"/>
  </cols>
  <sheetData>
    <row r="2" customFormat="false" ht="17.25" hidden="false" customHeight="true" outlineLevel="0" collapsed="false">
      <c r="A2" s="1" t="s">
        <v>3139</v>
      </c>
    </row>
    <row r="4" customFormat="false" ht="33.75" hidden="false" customHeight="true" outlineLevel="0" collapsed="false">
      <c r="A4" s="2" t="s">
        <v>3140</v>
      </c>
      <c r="B4" s="2" t="s">
        <v>2665</v>
      </c>
      <c r="C4" s="2" t="s">
        <v>2743</v>
      </c>
      <c r="D4" s="2" t="s">
        <v>3141</v>
      </c>
      <c r="E4" s="2" t="s">
        <v>3142</v>
      </c>
      <c r="F4" s="2" t="s">
        <v>3143</v>
      </c>
      <c r="G4" s="2" t="s">
        <v>2934</v>
      </c>
      <c r="H4" s="2" t="s">
        <v>2935</v>
      </c>
      <c r="I4" s="2" t="s">
        <v>2936</v>
      </c>
      <c r="J4" s="2" t="s">
        <v>2937</v>
      </c>
      <c r="K4" s="2" t="s">
        <v>2938</v>
      </c>
      <c r="L4" s="2" t="s">
        <v>3144</v>
      </c>
      <c r="M4" s="2" t="s">
        <v>3145</v>
      </c>
      <c r="N4" s="2" t="s">
        <v>2941</v>
      </c>
      <c r="O4" s="2" t="s">
        <v>2942</v>
      </c>
      <c r="P4" s="2" t="s">
        <v>2112</v>
      </c>
      <c r="Q4" s="2" t="s">
        <v>2943</v>
      </c>
      <c r="R4" s="2" t="s">
        <v>2944</v>
      </c>
      <c r="S4" s="2" t="s">
        <v>3146</v>
      </c>
      <c r="T4" s="2" t="s">
        <v>3147</v>
      </c>
      <c r="U4" s="2" t="s">
        <v>3148</v>
      </c>
      <c r="V4" s="40" t="s">
        <v>3149</v>
      </c>
      <c r="W4" s="40" t="s">
        <v>3150</v>
      </c>
      <c r="X4" s="40" t="s">
        <v>3151</v>
      </c>
    </row>
    <row r="5" customFormat="false" ht="25.5" hidden="false" customHeight="true" outlineLevel="0" collapsed="false">
      <c r="A5" s="82" t="s">
        <v>3152</v>
      </c>
      <c r="B5" s="82" t="s">
        <v>2666</v>
      </c>
      <c r="C5" s="82" t="s">
        <v>2000</v>
      </c>
      <c r="D5" s="82" t="s">
        <v>2756</v>
      </c>
      <c r="E5" s="82" t="s">
        <v>3153</v>
      </c>
      <c r="F5" s="82" t="s">
        <v>3154</v>
      </c>
      <c r="G5" s="87" t="n">
        <v>349871610</v>
      </c>
      <c r="H5" s="84" t="n">
        <v>46023</v>
      </c>
      <c r="I5" s="84" t="n">
        <v>46053</v>
      </c>
      <c r="J5" s="84" t="n">
        <v>46055</v>
      </c>
      <c r="K5" s="82" t="n">
        <v>30</v>
      </c>
      <c r="L5" s="91" t="n">
        <v>0.01</v>
      </c>
      <c r="M5" s="82" t="n">
        <v>7</v>
      </c>
      <c r="N5" s="3" t="n">
        <f aca="false">IF(AND(H5&lt;=D_F01!$B$7,OR(NOT(ISNUMBER(J5)),J5&gt;D_F01!$B$7)),1,0)</f>
        <v>0</v>
      </c>
      <c r="O5" s="32" t="n">
        <f aca="false">G5*N5</f>
        <v>0</v>
      </c>
      <c r="P5" s="3" t="n">
        <f aca="false">IF(N5=1,MAX(0,D_F01!$B$7-I5),0)</f>
        <v>0</v>
      </c>
      <c r="Q5" s="3" t="n">
        <f aca="false">IF(AND(ISNUMBER(J5),J5&lt;=D_F01!$B$7),J5-I5,0)</f>
        <v>2</v>
      </c>
      <c r="R5" s="3" t="n">
        <f aca="false">MAX(0,Q5)</f>
        <v>2</v>
      </c>
      <c r="S5" s="3" t="n">
        <f aca="false">IF(AND(ISNUMBER(J5),J5&lt;=D_F01!$B$7,J5&gt;D_F01!$B$7-D_F01!$B$25),G5*R5,0)</f>
        <v>699743220</v>
      </c>
      <c r="T5" s="32" t="n">
        <f aca="false">IF(AND(ISNUMBER(J5),J5&lt;=D_F01!$B$7,J5&gt;D_F01!$B$7-D_F01!$B$25),G5,0)</f>
        <v>349871610</v>
      </c>
      <c r="U5" s="3" t="n">
        <f aca="false">IF(INDEX(D_F01!$C$51:$C$59,MATCH(C5,D_F01!$A$51:$A$59,0))="có",1,0)</f>
        <v>1</v>
      </c>
      <c r="V5" s="42" t="n">
        <f aca="false">IF(AND(N5=1,L5&gt;0,L5&lt;1,K5&gt;M5,H5+M5&gt;=D_F01!$B$7),1,0)</f>
        <v>0</v>
      </c>
      <c r="W5" s="44" t="n">
        <f aca="false">IF(V5=1,O5*L5,0)</f>
        <v>0</v>
      </c>
      <c r="X5" s="96" t="n">
        <f aca="false">IF(V5=1,L5/(1-L5)*365/(K5-M5),0)</f>
        <v>0</v>
      </c>
    </row>
    <row r="6" customFormat="false" ht="25.5" hidden="false" customHeight="true" outlineLevel="0" collapsed="false">
      <c r="A6" s="89" t="s">
        <v>3155</v>
      </c>
      <c r="B6" s="89" t="s">
        <v>2666</v>
      </c>
      <c r="C6" s="89" t="s">
        <v>1994</v>
      </c>
      <c r="D6" s="89" t="s">
        <v>2750</v>
      </c>
      <c r="E6" s="89" t="s">
        <v>3156</v>
      </c>
      <c r="F6" s="89" t="s">
        <v>3157</v>
      </c>
      <c r="G6" s="88" t="n">
        <v>212597448</v>
      </c>
      <c r="H6" s="83" t="n">
        <v>46023</v>
      </c>
      <c r="I6" s="83" t="n">
        <v>46038</v>
      </c>
      <c r="J6" s="83" t="n">
        <v>46041</v>
      </c>
      <c r="K6" s="89" t="n">
        <v>15</v>
      </c>
      <c r="L6" s="97" t="n">
        <v>0</v>
      </c>
      <c r="M6" s="89" t="n">
        <v>0</v>
      </c>
      <c r="N6" s="4" t="n">
        <f aca="false">IF(AND(H6&lt;=D_F01!$B$7,OR(NOT(ISNUMBER(J6)),J6&gt;D_F01!$B$7)),1,0)</f>
        <v>0</v>
      </c>
      <c r="O6" s="33" t="n">
        <f aca="false">G6*N6</f>
        <v>0</v>
      </c>
      <c r="P6" s="4" t="n">
        <f aca="false">IF(N6=1,MAX(0,D_F01!$B$7-I6),0)</f>
        <v>0</v>
      </c>
      <c r="Q6" s="4" t="n">
        <f aca="false">IF(AND(ISNUMBER(J6),J6&lt;=D_F01!$B$7),J6-I6,0)</f>
        <v>3</v>
      </c>
      <c r="R6" s="4" t="n">
        <f aca="false">MAX(0,Q6)</f>
        <v>3</v>
      </c>
      <c r="S6" s="4" t="n">
        <f aca="false">IF(AND(ISNUMBER(J6),J6&lt;=D_F01!$B$7,J6&gt;D_F01!$B$7-D_F01!$B$25),G6*R6,0)</f>
        <v>637792344</v>
      </c>
      <c r="T6" s="33" t="n">
        <f aca="false">IF(AND(ISNUMBER(J6),J6&lt;=D_F01!$B$7,J6&gt;D_F01!$B$7-D_F01!$B$25),G6,0)</f>
        <v>212597448</v>
      </c>
      <c r="U6" s="4" t="n">
        <f aca="false">IF(INDEX(D_F01!$C$51:$C$59,MATCH(C6,D_F01!$A$51:$A$59,0))="có",1,0)</f>
        <v>1</v>
      </c>
      <c r="V6" s="42" t="n">
        <f aca="false">IF(AND(N6=1,L6&gt;0,L6&lt;1,K6&gt;M6,H6+M6&gt;=D_F01!$B$7),1,0)</f>
        <v>0</v>
      </c>
      <c r="W6" s="44" t="n">
        <f aca="false">IF(V6=1,O6*L6,0)</f>
        <v>0</v>
      </c>
      <c r="X6" s="96" t="n">
        <f aca="false">IF(V6=1,L6/(1-L6)*365/(K6-M6),0)</f>
        <v>0</v>
      </c>
    </row>
    <row r="7" customFormat="false" ht="25.5" hidden="false" customHeight="true" outlineLevel="0" collapsed="false">
      <c r="A7" s="82" t="s">
        <v>3158</v>
      </c>
      <c r="B7" s="82" t="s">
        <v>2666</v>
      </c>
      <c r="C7" s="82" t="s">
        <v>1997</v>
      </c>
      <c r="D7" s="82" t="s">
        <v>2753</v>
      </c>
      <c r="E7" s="82" t="s">
        <v>3159</v>
      </c>
      <c r="F7" s="82" t="s">
        <v>3160</v>
      </c>
      <c r="G7" s="87" t="n">
        <v>368063574</v>
      </c>
      <c r="H7" s="84" t="n">
        <v>46023</v>
      </c>
      <c r="I7" s="84" t="n">
        <v>46038</v>
      </c>
      <c r="J7" s="84" t="n">
        <v>46038</v>
      </c>
      <c r="K7" s="82" t="n">
        <v>15</v>
      </c>
      <c r="L7" s="91" t="n">
        <v>0</v>
      </c>
      <c r="M7" s="82" t="n">
        <v>0</v>
      </c>
      <c r="N7" s="3" t="n">
        <f aca="false">IF(AND(H7&lt;=D_F01!$B$7,OR(NOT(ISNUMBER(J7)),J7&gt;D_F01!$B$7)),1,0)</f>
        <v>0</v>
      </c>
      <c r="O7" s="32" t="n">
        <f aca="false">G7*N7</f>
        <v>0</v>
      </c>
      <c r="P7" s="3" t="n">
        <f aca="false">IF(N7=1,MAX(0,D_F01!$B$7-I7),0)</f>
        <v>0</v>
      </c>
      <c r="Q7" s="3" t="n">
        <f aca="false">IF(AND(ISNUMBER(J7),J7&lt;=D_F01!$B$7),J7-I7,0)</f>
        <v>0</v>
      </c>
      <c r="R7" s="3" t="n">
        <f aca="false">MAX(0,Q7)</f>
        <v>0</v>
      </c>
      <c r="S7" s="3" t="n">
        <f aca="false">IF(AND(ISNUMBER(J7),J7&lt;=D_F01!$B$7,J7&gt;D_F01!$B$7-D_F01!$B$25),G7*R7,0)</f>
        <v>0</v>
      </c>
      <c r="T7" s="32" t="n">
        <f aca="false">IF(AND(ISNUMBER(J7),J7&lt;=D_F01!$B$7,J7&gt;D_F01!$B$7-D_F01!$B$25),G7,0)</f>
        <v>368063574</v>
      </c>
      <c r="U7" s="3" t="n">
        <f aca="false">IF(INDEX(D_F01!$C$51:$C$59,MATCH(C7,D_F01!$A$51:$A$59,0))="có",1,0)</f>
        <v>1</v>
      </c>
      <c r="V7" s="42" t="n">
        <f aca="false">IF(AND(N7=1,L7&gt;0,L7&lt;1,K7&gt;M7,H7+M7&gt;=D_F01!$B$7),1,0)</f>
        <v>0</v>
      </c>
      <c r="W7" s="44" t="n">
        <f aca="false">IF(V7=1,O7*L7,0)</f>
        <v>0</v>
      </c>
      <c r="X7" s="96" t="n">
        <f aca="false">IF(V7=1,L7/(1-L7)*365/(K7-M7),0)</f>
        <v>0</v>
      </c>
    </row>
    <row r="8" customFormat="false" ht="25.5" hidden="false" customHeight="true" outlineLevel="0" collapsed="false">
      <c r="A8" s="89" t="s">
        <v>3161</v>
      </c>
      <c r="B8" s="89" t="s">
        <v>2666</v>
      </c>
      <c r="C8" s="89" t="s">
        <v>1994</v>
      </c>
      <c r="D8" s="89" t="s">
        <v>2750</v>
      </c>
      <c r="E8" s="89" t="s">
        <v>3162</v>
      </c>
      <c r="F8" s="89" t="s">
        <v>3157</v>
      </c>
      <c r="G8" s="88" t="n">
        <v>178806438</v>
      </c>
      <c r="H8" s="83" t="n">
        <v>46023</v>
      </c>
      <c r="I8" s="83" t="n">
        <v>46038</v>
      </c>
      <c r="J8" s="83" t="n">
        <v>46041</v>
      </c>
      <c r="K8" s="89" t="n">
        <v>15</v>
      </c>
      <c r="L8" s="97" t="n">
        <v>0</v>
      </c>
      <c r="M8" s="89" t="n">
        <v>0</v>
      </c>
      <c r="N8" s="4" t="n">
        <f aca="false">IF(AND(H8&lt;=D_F01!$B$7,OR(NOT(ISNUMBER(J8)),J8&gt;D_F01!$B$7)),1,0)</f>
        <v>0</v>
      </c>
      <c r="O8" s="33" t="n">
        <f aca="false">G8*N8</f>
        <v>0</v>
      </c>
      <c r="P8" s="4" t="n">
        <f aca="false">IF(N8=1,MAX(0,D_F01!$B$7-I8),0)</f>
        <v>0</v>
      </c>
      <c r="Q8" s="4" t="n">
        <f aca="false">IF(AND(ISNUMBER(J8),J8&lt;=D_F01!$B$7),J8-I8,0)</f>
        <v>3</v>
      </c>
      <c r="R8" s="4" t="n">
        <f aca="false">MAX(0,Q8)</f>
        <v>3</v>
      </c>
      <c r="S8" s="4" t="n">
        <f aca="false">IF(AND(ISNUMBER(J8),J8&lt;=D_F01!$B$7,J8&gt;D_F01!$B$7-D_F01!$B$25),G8*R8,0)</f>
        <v>536419314</v>
      </c>
      <c r="T8" s="33" t="n">
        <f aca="false">IF(AND(ISNUMBER(J8),J8&lt;=D_F01!$B$7,J8&gt;D_F01!$B$7-D_F01!$B$25),G8,0)</f>
        <v>178806438</v>
      </c>
      <c r="U8" s="4" t="n">
        <f aca="false">IF(INDEX(D_F01!$C$51:$C$59,MATCH(C8,D_F01!$A$51:$A$59,0))="có",1,0)</f>
        <v>1</v>
      </c>
      <c r="V8" s="42" t="n">
        <f aca="false">IF(AND(N8=1,L8&gt;0,L8&lt;1,K8&gt;M8,H8+M8&gt;=D_F01!$B$7),1,0)</f>
        <v>0</v>
      </c>
      <c r="W8" s="44" t="n">
        <f aca="false">IF(V8=1,O8*L8,0)</f>
        <v>0</v>
      </c>
      <c r="X8" s="96" t="n">
        <f aca="false">IF(V8=1,L8/(1-L8)*365/(K8-M8),0)</f>
        <v>0</v>
      </c>
    </row>
    <row r="9" customFormat="false" ht="25.5" hidden="false" customHeight="true" outlineLevel="0" collapsed="false">
      <c r="A9" s="82" t="s">
        <v>3163</v>
      </c>
      <c r="B9" s="82" t="s">
        <v>2666</v>
      </c>
      <c r="C9" s="82" t="s">
        <v>1992</v>
      </c>
      <c r="D9" s="82" t="s">
        <v>3164</v>
      </c>
      <c r="E9" s="82" t="s">
        <v>3165</v>
      </c>
      <c r="F9" s="82" t="s">
        <v>3166</v>
      </c>
      <c r="G9" s="87" t="n">
        <v>372188082</v>
      </c>
      <c r="H9" s="84" t="n">
        <v>46024</v>
      </c>
      <c r="I9" s="84" t="n">
        <v>46054</v>
      </c>
      <c r="J9" s="84" t="n">
        <v>46056</v>
      </c>
      <c r="K9" s="82" t="n">
        <v>30</v>
      </c>
      <c r="L9" s="91" t="n">
        <v>0.02</v>
      </c>
      <c r="M9" s="82" t="n">
        <v>10</v>
      </c>
      <c r="N9" s="3" t="n">
        <f aca="false">IF(AND(H9&lt;=D_F01!$B$7,OR(NOT(ISNUMBER(J9)),J9&gt;D_F01!$B$7)),1,0)</f>
        <v>0</v>
      </c>
      <c r="O9" s="32" t="n">
        <f aca="false">G9*N9</f>
        <v>0</v>
      </c>
      <c r="P9" s="3" t="n">
        <f aca="false">IF(N9=1,MAX(0,D_F01!$B$7-I9),0)</f>
        <v>0</v>
      </c>
      <c r="Q9" s="3" t="n">
        <f aca="false">IF(AND(ISNUMBER(J9),J9&lt;=D_F01!$B$7),J9-I9,0)</f>
        <v>2</v>
      </c>
      <c r="R9" s="3" t="n">
        <f aca="false">MAX(0,Q9)</f>
        <v>2</v>
      </c>
      <c r="S9" s="3" t="n">
        <f aca="false">IF(AND(ISNUMBER(J9),J9&lt;=D_F01!$B$7,J9&gt;D_F01!$B$7-D_F01!$B$25),G9*R9,0)</f>
        <v>744376164</v>
      </c>
      <c r="T9" s="32" t="n">
        <f aca="false">IF(AND(ISNUMBER(J9),J9&lt;=D_F01!$B$7,J9&gt;D_F01!$B$7-D_F01!$B$25),G9,0)</f>
        <v>372188082</v>
      </c>
      <c r="U9" s="3" t="n">
        <f aca="false">IF(INDEX(D_F01!$C$51:$C$59,MATCH(C9,D_F01!$A$51:$A$59,0))="có",1,0)</f>
        <v>1</v>
      </c>
      <c r="V9" s="42" t="n">
        <f aca="false">IF(AND(N9=1,L9&gt;0,L9&lt;1,K9&gt;M9,H9+M9&gt;=D_F01!$B$7),1,0)</f>
        <v>0</v>
      </c>
      <c r="W9" s="44" t="n">
        <f aca="false">IF(V9=1,O9*L9,0)</f>
        <v>0</v>
      </c>
      <c r="X9" s="96" t="n">
        <f aca="false">IF(V9=1,L9/(1-L9)*365/(K9-M9),0)</f>
        <v>0</v>
      </c>
    </row>
    <row r="10" customFormat="false" ht="25.5" hidden="false" customHeight="true" outlineLevel="0" collapsed="false">
      <c r="A10" s="89" t="s">
        <v>3167</v>
      </c>
      <c r="B10" s="89" t="s">
        <v>2666</v>
      </c>
      <c r="C10" s="89" t="s">
        <v>1995</v>
      </c>
      <c r="D10" s="89" t="s">
        <v>2751</v>
      </c>
      <c r="E10" s="89" t="s">
        <v>3168</v>
      </c>
      <c r="F10" s="89" t="s">
        <v>3169</v>
      </c>
      <c r="G10" s="88" t="n">
        <v>183238932</v>
      </c>
      <c r="H10" s="83" t="n">
        <v>46026</v>
      </c>
      <c r="I10" s="83" t="n">
        <v>46041</v>
      </c>
      <c r="J10" s="83" t="n">
        <v>46043</v>
      </c>
      <c r="K10" s="89" t="n">
        <v>15</v>
      </c>
      <c r="L10" s="97" t="n">
        <v>0</v>
      </c>
      <c r="M10" s="89" t="n">
        <v>0</v>
      </c>
      <c r="N10" s="4" t="n">
        <f aca="false">IF(AND(H10&lt;=D_F01!$B$7,OR(NOT(ISNUMBER(J10)),J10&gt;D_F01!$B$7)),1,0)</f>
        <v>0</v>
      </c>
      <c r="O10" s="33" t="n">
        <f aca="false">G10*N10</f>
        <v>0</v>
      </c>
      <c r="P10" s="4" t="n">
        <f aca="false">IF(N10=1,MAX(0,D_F01!$B$7-I10),0)</f>
        <v>0</v>
      </c>
      <c r="Q10" s="4" t="n">
        <f aca="false">IF(AND(ISNUMBER(J10),J10&lt;=D_F01!$B$7),J10-I10,0)</f>
        <v>2</v>
      </c>
      <c r="R10" s="4" t="n">
        <f aca="false">MAX(0,Q10)</f>
        <v>2</v>
      </c>
      <c r="S10" s="4" t="n">
        <f aca="false">IF(AND(ISNUMBER(J10),J10&lt;=D_F01!$B$7,J10&gt;D_F01!$B$7-D_F01!$B$25),G10*R10,0)</f>
        <v>366477864</v>
      </c>
      <c r="T10" s="33" t="n">
        <f aca="false">IF(AND(ISNUMBER(J10),J10&lt;=D_F01!$B$7,J10&gt;D_F01!$B$7-D_F01!$B$25),G10,0)</f>
        <v>183238932</v>
      </c>
      <c r="U10" s="4" t="n">
        <f aca="false">IF(INDEX(D_F01!$C$51:$C$59,MATCH(C10,D_F01!$A$51:$A$59,0))="có",1,0)</f>
        <v>0</v>
      </c>
      <c r="V10" s="42" t="n">
        <f aca="false">IF(AND(N10=1,L10&gt;0,L10&lt;1,K10&gt;M10,H10+M10&gt;=D_F01!$B$7),1,0)</f>
        <v>0</v>
      </c>
      <c r="W10" s="44" t="n">
        <f aca="false">IF(V10=1,O10*L10,0)</f>
        <v>0</v>
      </c>
      <c r="X10" s="96" t="n">
        <f aca="false">IF(V10=1,L10/(1-L10)*365/(K10-M10),0)</f>
        <v>0</v>
      </c>
    </row>
    <row r="11" customFormat="false" ht="25.5" hidden="false" customHeight="true" outlineLevel="0" collapsed="false">
      <c r="A11" s="82" t="s">
        <v>3170</v>
      </c>
      <c r="B11" s="82" t="s">
        <v>2666</v>
      </c>
      <c r="C11" s="82" t="s">
        <v>1994</v>
      </c>
      <c r="D11" s="82" t="s">
        <v>2750</v>
      </c>
      <c r="E11" s="82" t="s">
        <v>3171</v>
      </c>
      <c r="F11" s="82" t="s">
        <v>3157</v>
      </c>
      <c r="G11" s="87" t="n">
        <v>126145062</v>
      </c>
      <c r="H11" s="84" t="n">
        <v>46029</v>
      </c>
      <c r="I11" s="84" t="n">
        <v>46044</v>
      </c>
      <c r="J11" s="84" t="n">
        <v>46045</v>
      </c>
      <c r="K11" s="82" t="n">
        <v>15</v>
      </c>
      <c r="L11" s="91" t="n">
        <v>0</v>
      </c>
      <c r="M11" s="82" t="n">
        <v>0</v>
      </c>
      <c r="N11" s="3" t="n">
        <f aca="false">IF(AND(H11&lt;=D_F01!$B$7,OR(NOT(ISNUMBER(J11)),J11&gt;D_F01!$B$7)),1,0)</f>
        <v>0</v>
      </c>
      <c r="O11" s="32" t="n">
        <f aca="false">G11*N11</f>
        <v>0</v>
      </c>
      <c r="P11" s="3" t="n">
        <f aca="false">IF(N11=1,MAX(0,D_F01!$B$7-I11),0)</f>
        <v>0</v>
      </c>
      <c r="Q11" s="3" t="n">
        <f aca="false">IF(AND(ISNUMBER(J11),J11&lt;=D_F01!$B$7),J11-I11,0)</f>
        <v>1</v>
      </c>
      <c r="R11" s="3" t="n">
        <f aca="false">MAX(0,Q11)</f>
        <v>1</v>
      </c>
      <c r="S11" s="3" t="n">
        <f aca="false">IF(AND(ISNUMBER(J11),J11&lt;=D_F01!$B$7,J11&gt;D_F01!$B$7-D_F01!$B$25),G11*R11,0)</f>
        <v>126145062</v>
      </c>
      <c r="T11" s="32" t="n">
        <f aca="false">IF(AND(ISNUMBER(J11),J11&lt;=D_F01!$B$7,J11&gt;D_F01!$B$7-D_F01!$B$25),G11,0)</f>
        <v>126145062</v>
      </c>
      <c r="U11" s="3" t="n">
        <f aca="false">IF(INDEX(D_F01!$C$51:$C$59,MATCH(C11,D_F01!$A$51:$A$59,0))="có",1,0)</f>
        <v>1</v>
      </c>
      <c r="V11" s="42" t="n">
        <f aca="false">IF(AND(N11=1,L11&gt;0,L11&lt;1,K11&gt;M11,H11+M11&gt;=D_F01!$B$7),1,0)</f>
        <v>0</v>
      </c>
      <c r="W11" s="44" t="n">
        <f aca="false">IF(V11=1,O11*L11,0)</f>
        <v>0</v>
      </c>
      <c r="X11" s="96" t="n">
        <f aca="false">IF(V11=1,L11/(1-L11)*365/(K11-M11),0)</f>
        <v>0</v>
      </c>
    </row>
    <row r="12" customFormat="false" ht="25.5" hidden="false" customHeight="true" outlineLevel="0" collapsed="false">
      <c r="A12" s="89" t="s">
        <v>3172</v>
      </c>
      <c r="B12" s="89" t="s">
        <v>2666</v>
      </c>
      <c r="C12" s="89" t="s">
        <v>1994</v>
      </c>
      <c r="D12" s="89" t="s">
        <v>2750</v>
      </c>
      <c r="E12" s="89" t="s">
        <v>3173</v>
      </c>
      <c r="F12" s="89" t="s">
        <v>3157</v>
      </c>
      <c r="G12" s="88" t="n">
        <v>186085716</v>
      </c>
      <c r="H12" s="83" t="n">
        <v>46032</v>
      </c>
      <c r="I12" s="83" t="n">
        <v>46047</v>
      </c>
      <c r="J12" s="83" t="n">
        <v>46052</v>
      </c>
      <c r="K12" s="89" t="n">
        <v>15</v>
      </c>
      <c r="L12" s="97" t="n">
        <v>0</v>
      </c>
      <c r="M12" s="89" t="n">
        <v>0</v>
      </c>
      <c r="N12" s="4" t="n">
        <f aca="false">IF(AND(H12&lt;=D_F01!$B$7,OR(NOT(ISNUMBER(J12)),J12&gt;D_F01!$B$7)),1,0)</f>
        <v>0</v>
      </c>
      <c r="O12" s="33" t="n">
        <f aca="false">G12*N12</f>
        <v>0</v>
      </c>
      <c r="P12" s="4" t="n">
        <f aca="false">IF(N12=1,MAX(0,D_F01!$B$7-I12),0)</f>
        <v>0</v>
      </c>
      <c r="Q12" s="4" t="n">
        <f aca="false">IF(AND(ISNUMBER(J12),J12&lt;=D_F01!$B$7),J12-I12,0)</f>
        <v>5</v>
      </c>
      <c r="R12" s="4" t="n">
        <f aca="false">MAX(0,Q12)</f>
        <v>5</v>
      </c>
      <c r="S12" s="4" t="n">
        <f aca="false">IF(AND(ISNUMBER(J12),J12&lt;=D_F01!$B$7,J12&gt;D_F01!$B$7-D_F01!$B$25),G12*R12,0)</f>
        <v>930428580</v>
      </c>
      <c r="T12" s="33" t="n">
        <f aca="false">IF(AND(ISNUMBER(J12),J12&lt;=D_F01!$B$7,J12&gt;D_F01!$B$7-D_F01!$B$25),G12,0)</f>
        <v>186085716</v>
      </c>
      <c r="U12" s="4" t="n">
        <f aca="false">IF(INDEX(D_F01!$C$51:$C$59,MATCH(C12,D_F01!$A$51:$A$59,0))="có",1,0)</f>
        <v>1</v>
      </c>
      <c r="V12" s="42" t="n">
        <f aca="false">IF(AND(N12=1,L12&gt;0,L12&lt;1,K12&gt;M12,H12+M12&gt;=D_F01!$B$7),1,0)</f>
        <v>0</v>
      </c>
      <c r="W12" s="44" t="n">
        <f aca="false">IF(V12=1,O12*L12,0)</f>
        <v>0</v>
      </c>
      <c r="X12" s="96" t="n">
        <f aca="false">IF(V12=1,L12/(1-L12)*365/(K12-M12),0)</f>
        <v>0</v>
      </c>
    </row>
    <row r="13" customFormat="false" ht="25.5" hidden="false" customHeight="true" outlineLevel="0" collapsed="false">
      <c r="A13" s="82" t="s">
        <v>3174</v>
      </c>
      <c r="B13" s="82" t="s">
        <v>2666</v>
      </c>
      <c r="C13" s="82" t="s">
        <v>1995</v>
      </c>
      <c r="D13" s="82" t="s">
        <v>2751</v>
      </c>
      <c r="E13" s="82" t="s">
        <v>3175</v>
      </c>
      <c r="F13" s="82" t="s">
        <v>3169</v>
      </c>
      <c r="G13" s="87" t="n">
        <v>92016936</v>
      </c>
      <c r="H13" s="84" t="n">
        <v>46032</v>
      </c>
      <c r="I13" s="84" t="n">
        <v>46047</v>
      </c>
      <c r="J13" s="84" t="n">
        <v>46048</v>
      </c>
      <c r="K13" s="82" t="n">
        <v>15</v>
      </c>
      <c r="L13" s="91" t="n">
        <v>0</v>
      </c>
      <c r="M13" s="82" t="n">
        <v>0</v>
      </c>
      <c r="N13" s="3" t="n">
        <f aca="false">IF(AND(H13&lt;=D_F01!$B$7,OR(NOT(ISNUMBER(J13)),J13&gt;D_F01!$B$7)),1,0)</f>
        <v>0</v>
      </c>
      <c r="O13" s="32" t="n">
        <f aca="false">G13*N13</f>
        <v>0</v>
      </c>
      <c r="P13" s="3" t="n">
        <f aca="false">IF(N13=1,MAX(0,D_F01!$B$7-I13),0)</f>
        <v>0</v>
      </c>
      <c r="Q13" s="3" t="n">
        <f aca="false">IF(AND(ISNUMBER(J13),J13&lt;=D_F01!$B$7),J13-I13,0)</f>
        <v>1</v>
      </c>
      <c r="R13" s="3" t="n">
        <f aca="false">MAX(0,Q13)</f>
        <v>1</v>
      </c>
      <c r="S13" s="3" t="n">
        <f aca="false">IF(AND(ISNUMBER(J13),J13&lt;=D_F01!$B$7,J13&gt;D_F01!$B$7-D_F01!$B$25),G13*R13,0)</f>
        <v>92016936</v>
      </c>
      <c r="T13" s="32" t="n">
        <f aca="false">IF(AND(ISNUMBER(J13),J13&lt;=D_F01!$B$7,J13&gt;D_F01!$B$7-D_F01!$B$25),G13,0)</f>
        <v>92016936</v>
      </c>
      <c r="U13" s="3" t="n">
        <f aca="false">IF(INDEX(D_F01!$C$51:$C$59,MATCH(C13,D_F01!$A$51:$A$59,0))="có",1,0)</f>
        <v>0</v>
      </c>
      <c r="V13" s="42" t="n">
        <f aca="false">IF(AND(N13=1,L13&gt;0,L13&lt;1,K13&gt;M13,H13+M13&gt;=D_F01!$B$7),1,0)</f>
        <v>0</v>
      </c>
      <c r="W13" s="44" t="n">
        <f aca="false">IF(V13=1,O13*L13,0)</f>
        <v>0</v>
      </c>
      <c r="X13" s="96" t="n">
        <f aca="false">IF(V13=1,L13/(1-L13)*365/(K13-M13),0)</f>
        <v>0</v>
      </c>
    </row>
    <row r="14" customFormat="false" ht="25.5" hidden="false" customHeight="true" outlineLevel="0" collapsed="false">
      <c r="A14" s="89" t="s">
        <v>3176</v>
      </c>
      <c r="B14" s="89" t="s">
        <v>2666</v>
      </c>
      <c r="C14" s="89" t="s">
        <v>1994</v>
      </c>
      <c r="D14" s="89" t="s">
        <v>2750</v>
      </c>
      <c r="E14" s="89" t="s">
        <v>3177</v>
      </c>
      <c r="F14" s="89" t="s">
        <v>3157</v>
      </c>
      <c r="G14" s="88" t="n">
        <v>92329080</v>
      </c>
      <c r="H14" s="83" t="n">
        <v>46035</v>
      </c>
      <c r="I14" s="83" t="n">
        <v>46050</v>
      </c>
      <c r="J14" s="83" t="n">
        <v>46053</v>
      </c>
      <c r="K14" s="89" t="n">
        <v>15</v>
      </c>
      <c r="L14" s="97" t="n">
        <v>0</v>
      </c>
      <c r="M14" s="89" t="n">
        <v>0</v>
      </c>
      <c r="N14" s="4" t="n">
        <f aca="false">IF(AND(H14&lt;=D_F01!$B$7,OR(NOT(ISNUMBER(J14)),J14&gt;D_F01!$B$7)),1,0)</f>
        <v>0</v>
      </c>
      <c r="O14" s="33" t="n">
        <f aca="false">G14*N14</f>
        <v>0</v>
      </c>
      <c r="P14" s="4" t="n">
        <f aca="false">IF(N14=1,MAX(0,D_F01!$B$7-I14),0)</f>
        <v>0</v>
      </c>
      <c r="Q14" s="4" t="n">
        <f aca="false">IF(AND(ISNUMBER(J14),J14&lt;=D_F01!$B$7),J14-I14,0)</f>
        <v>3</v>
      </c>
      <c r="R14" s="4" t="n">
        <f aca="false">MAX(0,Q14)</f>
        <v>3</v>
      </c>
      <c r="S14" s="4" t="n">
        <f aca="false">IF(AND(ISNUMBER(J14),J14&lt;=D_F01!$B$7,J14&gt;D_F01!$B$7-D_F01!$B$25),G14*R14,0)</f>
        <v>276987240</v>
      </c>
      <c r="T14" s="33" t="n">
        <f aca="false">IF(AND(ISNUMBER(J14),J14&lt;=D_F01!$B$7,J14&gt;D_F01!$B$7-D_F01!$B$25),G14,0)</f>
        <v>92329080</v>
      </c>
      <c r="U14" s="4" t="n">
        <f aca="false">IF(INDEX(D_F01!$C$51:$C$59,MATCH(C14,D_F01!$A$51:$A$59,0))="có",1,0)</f>
        <v>1</v>
      </c>
      <c r="V14" s="42" t="n">
        <f aca="false">IF(AND(N14=1,L14&gt;0,L14&lt;1,K14&gt;M14,H14+M14&gt;=D_F01!$B$7),1,0)</f>
        <v>0</v>
      </c>
      <c r="W14" s="44" t="n">
        <f aca="false">IF(V14=1,O14*L14,0)</f>
        <v>0</v>
      </c>
      <c r="X14" s="96" t="n">
        <f aca="false">IF(V14=1,L14/(1-L14)*365/(K14-M14),0)</f>
        <v>0</v>
      </c>
    </row>
    <row r="15" customFormat="false" ht="25.5" hidden="false" customHeight="true" outlineLevel="0" collapsed="false">
      <c r="A15" s="82" t="s">
        <v>3178</v>
      </c>
      <c r="B15" s="82" t="s">
        <v>2666</v>
      </c>
      <c r="C15" s="82" t="s">
        <v>1993</v>
      </c>
      <c r="D15" s="82" t="s">
        <v>3179</v>
      </c>
      <c r="E15" s="82" t="s">
        <v>3180</v>
      </c>
      <c r="F15" s="82" t="s">
        <v>3181</v>
      </c>
      <c r="G15" s="87" t="n">
        <v>221258502</v>
      </c>
      <c r="H15" s="84" t="n">
        <v>46036</v>
      </c>
      <c r="I15" s="84" t="n">
        <v>46081</v>
      </c>
      <c r="J15" s="84" t="n">
        <v>46106</v>
      </c>
      <c r="K15" s="82" t="n">
        <v>45</v>
      </c>
      <c r="L15" s="91" t="n">
        <v>0</v>
      </c>
      <c r="M15" s="82" t="n">
        <v>0</v>
      </c>
      <c r="N15" s="3" t="n">
        <f aca="false">IF(AND(H15&lt;=D_F01!$B$7,OR(NOT(ISNUMBER(J15)),J15&gt;D_F01!$B$7)),1,0)</f>
        <v>0</v>
      </c>
      <c r="O15" s="32" t="n">
        <f aca="false">G15*N15</f>
        <v>0</v>
      </c>
      <c r="P15" s="3" t="n">
        <f aca="false">IF(N15=1,MAX(0,D_F01!$B$7-I15),0)</f>
        <v>0</v>
      </c>
      <c r="Q15" s="3" t="n">
        <f aca="false">IF(AND(ISNUMBER(J15),J15&lt;=D_F01!$B$7),J15-I15,0)</f>
        <v>25</v>
      </c>
      <c r="R15" s="3" t="n">
        <f aca="false">MAX(0,Q15)</f>
        <v>25</v>
      </c>
      <c r="S15" s="3" t="n">
        <f aca="false">IF(AND(ISNUMBER(J15),J15&lt;=D_F01!$B$7,J15&gt;D_F01!$B$7-D_F01!$B$25),G15*R15,0)</f>
        <v>5531462550</v>
      </c>
      <c r="T15" s="32" t="n">
        <f aca="false">IF(AND(ISNUMBER(J15),J15&lt;=D_F01!$B$7,J15&gt;D_F01!$B$7-D_F01!$B$25),G15,0)</f>
        <v>221258502</v>
      </c>
      <c r="U15" s="3" t="n">
        <f aca="false">IF(INDEX(D_F01!$C$51:$C$59,MATCH(C15,D_F01!$A$51:$A$59,0))="có",1,0)</f>
        <v>0</v>
      </c>
      <c r="V15" s="42" t="n">
        <f aca="false">IF(AND(N15=1,L15&gt;0,L15&lt;1,K15&gt;M15,H15+M15&gt;=D_F01!$B$7),1,0)</f>
        <v>0</v>
      </c>
      <c r="W15" s="44" t="n">
        <f aca="false">IF(V15=1,O15*L15,0)</f>
        <v>0</v>
      </c>
      <c r="X15" s="96" t="n">
        <f aca="false">IF(V15=1,L15/(1-L15)*365/(K15-M15),0)</f>
        <v>0</v>
      </c>
    </row>
    <row r="16" customFormat="false" ht="25.5" hidden="false" customHeight="true" outlineLevel="0" collapsed="false">
      <c r="A16" s="89" t="s">
        <v>3182</v>
      </c>
      <c r="B16" s="89" t="s">
        <v>2666</v>
      </c>
      <c r="C16" s="89" t="s">
        <v>1994</v>
      </c>
      <c r="D16" s="89" t="s">
        <v>2750</v>
      </c>
      <c r="E16" s="89" t="s">
        <v>3183</v>
      </c>
      <c r="F16" s="89" t="s">
        <v>3157</v>
      </c>
      <c r="G16" s="88" t="n">
        <v>166969800</v>
      </c>
      <c r="H16" s="83" t="n">
        <v>46038</v>
      </c>
      <c r="I16" s="83" t="n">
        <v>46053</v>
      </c>
      <c r="J16" s="83" t="n">
        <v>46056</v>
      </c>
      <c r="K16" s="89" t="n">
        <v>15</v>
      </c>
      <c r="L16" s="97" t="n">
        <v>0</v>
      </c>
      <c r="M16" s="89" t="n">
        <v>0</v>
      </c>
      <c r="N16" s="4" t="n">
        <f aca="false">IF(AND(H16&lt;=D_F01!$B$7,OR(NOT(ISNUMBER(J16)),J16&gt;D_F01!$B$7)),1,0)</f>
        <v>0</v>
      </c>
      <c r="O16" s="33" t="n">
        <f aca="false">G16*N16</f>
        <v>0</v>
      </c>
      <c r="P16" s="4" t="n">
        <f aca="false">IF(N16=1,MAX(0,D_F01!$B$7-I16),0)</f>
        <v>0</v>
      </c>
      <c r="Q16" s="4" t="n">
        <f aca="false">IF(AND(ISNUMBER(J16),J16&lt;=D_F01!$B$7),J16-I16,0)</f>
        <v>3</v>
      </c>
      <c r="R16" s="4" t="n">
        <f aca="false">MAX(0,Q16)</f>
        <v>3</v>
      </c>
      <c r="S16" s="4" t="n">
        <f aca="false">IF(AND(ISNUMBER(J16),J16&lt;=D_F01!$B$7,J16&gt;D_F01!$B$7-D_F01!$B$25),G16*R16,0)</f>
        <v>500909400</v>
      </c>
      <c r="T16" s="33" t="n">
        <f aca="false">IF(AND(ISNUMBER(J16),J16&lt;=D_F01!$B$7,J16&gt;D_F01!$B$7-D_F01!$B$25),G16,0)</f>
        <v>166969800</v>
      </c>
      <c r="U16" s="4" t="n">
        <f aca="false">IF(INDEX(D_F01!$C$51:$C$59,MATCH(C16,D_F01!$A$51:$A$59,0))="có",1,0)</f>
        <v>1</v>
      </c>
      <c r="V16" s="42" t="n">
        <f aca="false">IF(AND(N16=1,L16&gt;0,L16&lt;1,K16&gt;M16,H16+M16&gt;=D_F01!$B$7),1,0)</f>
        <v>0</v>
      </c>
      <c r="W16" s="44" t="n">
        <f aca="false">IF(V16=1,O16*L16,0)</f>
        <v>0</v>
      </c>
      <c r="X16" s="96" t="n">
        <f aca="false">IF(V16=1,L16/(1-L16)*365/(K16-M16),0)</f>
        <v>0</v>
      </c>
    </row>
    <row r="17" customFormat="false" ht="25.5" hidden="false" customHeight="true" outlineLevel="0" collapsed="false">
      <c r="A17" s="82" t="s">
        <v>3184</v>
      </c>
      <c r="B17" s="82" t="s">
        <v>2666</v>
      </c>
      <c r="C17" s="82" t="s">
        <v>1995</v>
      </c>
      <c r="D17" s="82" t="s">
        <v>2751</v>
      </c>
      <c r="E17" s="82" t="s">
        <v>3185</v>
      </c>
      <c r="F17" s="82" t="s">
        <v>3169</v>
      </c>
      <c r="G17" s="87" t="n">
        <v>116202126</v>
      </c>
      <c r="H17" s="84" t="n">
        <v>46038</v>
      </c>
      <c r="I17" s="84" t="n">
        <v>46053</v>
      </c>
      <c r="J17" s="84" t="n">
        <v>46052</v>
      </c>
      <c r="K17" s="82" t="n">
        <v>15</v>
      </c>
      <c r="L17" s="91" t="n">
        <v>0</v>
      </c>
      <c r="M17" s="82" t="n">
        <v>0</v>
      </c>
      <c r="N17" s="3" t="n">
        <f aca="false">IF(AND(H17&lt;=D_F01!$B$7,OR(NOT(ISNUMBER(J17)),J17&gt;D_F01!$B$7)),1,0)</f>
        <v>0</v>
      </c>
      <c r="O17" s="32" t="n">
        <f aca="false">G17*N17</f>
        <v>0</v>
      </c>
      <c r="P17" s="3" t="n">
        <f aca="false">IF(N17=1,MAX(0,D_F01!$B$7-I17),0)</f>
        <v>0</v>
      </c>
      <c r="Q17" s="3" t="n">
        <f aca="false">IF(AND(ISNUMBER(J17),J17&lt;=D_F01!$B$7),J17-I17,0)</f>
        <v>-1</v>
      </c>
      <c r="R17" s="3" t="n">
        <f aca="false">MAX(0,Q17)</f>
        <v>0</v>
      </c>
      <c r="S17" s="3" t="n">
        <f aca="false">IF(AND(ISNUMBER(J17),J17&lt;=D_F01!$B$7,J17&gt;D_F01!$B$7-D_F01!$B$25),G17*R17,0)</f>
        <v>0</v>
      </c>
      <c r="T17" s="32" t="n">
        <f aca="false">IF(AND(ISNUMBER(J17),J17&lt;=D_F01!$B$7,J17&gt;D_F01!$B$7-D_F01!$B$25),G17,0)</f>
        <v>116202126</v>
      </c>
      <c r="U17" s="3" t="n">
        <f aca="false">IF(INDEX(D_F01!$C$51:$C$59,MATCH(C17,D_F01!$A$51:$A$59,0))="có",1,0)</f>
        <v>0</v>
      </c>
      <c r="V17" s="42" t="n">
        <f aca="false">IF(AND(N17=1,L17&gt;0,L17&lt;1,K17&gt;M17,H17+M17&gt;=D_F01!$B$7),1,0)</f>
        <v>0</v>
      </c>
      <c r="W17" s="44" t="n">
        <f aca="false">IF(V17=1,O17*L17,0)</f>
        <v>0</v>
      </c>
      <c r="X17" s="96" t="n">
        <f aca="false">IF(V17=1,L17/(1-L17)*365/(K17-M17),0)</f>
        <v>0</v>
      </c>
    </row>
    <row r="18" customFormat="false" ht="25.5" hidden="false" customHeight="true" outlineLevel="0" collapsed="false">
      <c r="A18" s="89" t="s">
        <v>3186</v>
      </c>
      <c r="B18" s="89" t="s">
        <v>2666</v>
      </c>
      <c r="C18" s="89" t="s">
        <v>1993</v>
      </c>
      <c r="D18" s="89" t="s">
        <v>3179</v>
      </c>
      <c r="E18" s="89" t="s">
        <v>3187</v>
      </c>
      <c r="F18" s="89" t="s">
        <v>3181</v>
      </c>
      <c r="G18" s="88" t="n">
        <v>316180488</v>
      </c>
      <c r="H18" s="83" t="n">
        <v>46039</v>
      </c>
      <c r="I18" s="83" t="n">
        <v>46084</v>
      </c>
      <c r="J18" s="83" t="n">
        <v>46095</v>
      </c>
      <c r="K18" s="89" t="n">
        <v>45</v>
      </c>
      <c r="L18" s="97" t="n">
        <v>0</v>
      </c>
      <c r="M18" s="89" t="n">
        <v>0</v>
      </c>
      <c r="N18" s="4" t="n">
        <f aca="false">IF(AND(H18&lt;=D_F01!$B$7,OR(NOT(ISNUMBER(J18)),J18&gt;D_F01!$B$7)),1,0)</f>
        <v>0</v>
      </c>
      <c r="O18" s="33" t="n">
        <f aca="false">G18*N18</f>
        <v>0</v>
      </c>
      <c r="P18" s="4" t="n">
        <f aca="false">IF(N18=1,MAX(0,D_F01!$B$7-I18),0)</f>
        <v>0</v>
      </c>
      <c r="Q18" s="4" t="n">
        <f aca="false">IF(AND(ISNUMBER(J18),J18&lt;=D_F01!$B$7),J18-I18,0)</f>
        <v>11</v>
      </c>
      <c r="R18" s="4" t="n">
        <f aca="false">MAX(0,Q18)</f>
        <v>11</v>
      </c>
      <c r="S18" s="4" t="n">
        <f aca="false">IF(AND(ISNUMBER(J18),J18&lt;=D_F01!$B$7,J18&gt;D_F01!$B$7-D_F01!$B$25),G18*R18,0)</f>
        <v>3477985368</v>
      </c>
      <c r="T18" s="33" t="n">
        <f aca="false">IF(AND(ISNUMBER(J18),J18&lt;=D_F01!$B$7,J18&gt;D_F01!$B$7-D_F01!$B$25),G18,0)</f>
        <v>316180488</v>
      </c>
      <c r="U18" s="4" t="n">
        <f aca="false">IF(INDEX(D_F01!$C$51:$C$59,MATCH(C18,D_F01!$A$51:$A$59,0))="có",1,0)</f>
        <v>0</v>
      </c>
      <c r="V18" s="42" t="n">
        <f aca="false">IF(AND(N18=1,L18&gt;0,L18&lt;1,K18&gt;M18,H18+M18&gt;=D_F01!$B$7),1,0)</f>
        <v>0</v>
      </c>
      <c r="W18" s="44" t="n">
        <f aca="false">IF(V18=1,O18*L18,0)</f>
        <v>0</v>
      </c>
      <c r="X18" s="96" t="n">
        <f aca="false">IF(V18=1,L18/(1-L18)*365/(K18-M18),0)</f>
        <v>0</v>
      </c>
    </row>
    <row r="19" customFormat="false" ht="25.5" hidden="false" customHeight="true" outlineLevel="0" collapsed="false">
      <c r="A19" s="82" t="s">
        <v>3188</v>
      </c>
      <c r="B19" s="82" t="s">
        <v>2666</v>
      </c>
      <c r="C19" s="82" t="s">
        <v>1995</v>
      </c>
      <c r="D19" s="82" t="s">
        <v>2751</v>
      </c>
      <c r="E19" s="82" t="s">
        <v>3189</v>
      </c>
      <c r="F19" s="82" t="s">
        <v>3169</v>
      </c>
      <c r="G19" s="87" t="n">
        <v>47866788</v>
      </c>
      <c r="H19" s="84" t="n">
        <v>46042</v>
      </c>
      <c r="I19" s="84" t="n">
        <v>46057</v>
      </c>
      <c r="J19" s="84" t="n">
        <v>46059</v>
      </c>
      <c r="K19" s="82" t="n">
        <v>15</v>
      </c>
      <c r="L19" s="91" t="n">
        <v>0</v>
      </c>
      <c r="M19" s="82" t="n">
        <v>0</v>
      </c>
      <c r="N19" s="3" t="n">
        <f aca="false">IF(AND(H19&lt;=D_F01!$B$7,OR(NOT(ISNUMBER(J19)),J19&gt;D_F01!$B$7)),1,0)</f>
        <v>0</v>
      </c>
      <c r="O19" s="32" t="n">
        <f aca="false">G19*N19</f>
        <v>0</v>
      </c>
      <c r="P19" s="3" t="n">
        <f aca="false">IF(N19=1,MAX(0,D_F01!$B$7-I19),0)</f>
        <v>0</v>
      </c>
      <c r="Q19" s="3" t="n">
        <f aca="false">IF(AND(ISNUMBER(J19),J19&lt;=D_F01!$B$7),J19-I19,0)</f>
        <v>2</v>
      </c>
      <c r="R19" s="3" t="n">
        <f aca="false">MAX(0,Q19)</f>
        <v>2</v>
      </c>
      <c r="S19" s="3" t="n">
        <f aca="false">IF(AND(ISNUMBER(J19),J19&lt;=D_F01!$B$7,J19&gt;D_F01!$B$7-D_F01!$B$25),G19*R19,0)</f>
        <v>95733576</v>
      </c>
      <c r="T19" s="32" t="n">
        <f aca="false">IF(AND(ISNUMBER(J19),J19&lt;=D_F01!$B$7,J19&gt;D_F01!$B$7-D_F01!$B$25),G19,0)</f>
        <v>47866788</v>
      </c>
      <c r="U19" s="3" t="n">
        <f aca="false">IF(INDEX(D_F01!$C$51:$C$59,MATCH(C19,D_F01!$A$51:$A$59,0))="có",1,0)</f>
        <v>0</v>
      </c>
      <c r="V19" s="42" t="n">
        <f aca="false">IF(AND(N19=1,L19&gt;0,L19&lt;1,K19&gt;M19,H19+M19&gt;=D_F01!$B$7),1,0)</f>
        <v>0</v>
      </c>
      <c r="W19" s="44" t="n">
        <f aca="false">IF(V19=1,O19*L19,0)</f>
        <v>0</v>
      </c>
      <c r="X19" s="96" t="n">
        <f aca="false">IF(V19=1,L19/(1-L19)*365/(K19-M19),0)</f>
        <v>0</v>
      </c>
    </row>
    <row r="20" customFormat="false" ht="25.5" hidden="false" customHeight="true" outlineLevel="0" collapsed="false">
      <c r="A20" s="89" t="s">
        <v>3190</v>
      </c>
      <c r="B20" s="89" t="s">
        <v>2666</v>
      </c>
      <c r="C20" s="89" t="s">
        <v>1993</v>
      </c>
      <c r="D20" s="89" t="s">
        <v>3179</v>
      </c>
      <c r="E20" s="89" t="s">
        <v>3191</v>
      </c>
      <c r="F20" s="89" t="s">
        <v>3181</v>
      </c>
      <c r="G20" s="88" t="n">
        <v>138476976</v>
      </c>
      <c r="H20" s="83" t="n">
        <v>46043</v>
      </c>
      <c r="I20" s="83" t="n">
        <v>46088</v>
      </c>
      <c r="J20" s="83" t="n">
        <v>46110</v>
      </c>
      <c r="K20" s="89" t="n">
        <v>45</v>
      </c>
      <c r="L20" s="97" t="n">
        <v>0</v>
      </c>
      <c r="M20" s="89" t="n">
        <v>0</v>
      </c>
      <c r="N20" s="4" t="n">
        <f aca="false">IF(AND(H20&lt;=D_F01!$B$7,OR(NOT(ISNUMBER(J20)),J20&gt;D_F01!$B$7)),1,0)</f>
        <v>0</v>
      </c>
      <c r="O20" s="33" t="n">
        <f aca="false">G20*N20</f>
        <v>0</v>
      </c>
      <c r="P20" s="4" t="n">
        <f aca="false">IF(N20=1,MAX(0,D_F01!$B$7-I20),0)</f>
        <v>0</v>
      </c>
      <c r="Q20" s="4" t="n">
        <f aca="false">IF(AND(ISNUMBER(J20),J20&lt;=D_F01!$B$7),J20-I20,0)</f>
        <v>22</v>
      </c>
      <c r="R20" s="4" t="n">
        <f aca="false">MAX(0,Q20)</f>
        <v>22</v>
      </c>
      <c r="S20" s="4" t="n">
        <f aca="false">IF(AND(ISNUMBER(J20),J20&lt;=D_F01!$B$7,J20&gt;D_F01!$B$7-D_F01!$B$25),G20*R20,0)</f>
        <v>3046493472</v>
      </c>
      <c r="T20" s="33" t="n">
        <f aca="false">IF(AND(ISNUMBER(J20),J20&lt;=D_F01!$B$7,J20&gt;D_F01!$B$7-D_F01!$B$25),G20,0)</f>
        <v>138476976</v>
      </c>
      <c r="U20" s="4" t="n">
        <f aca="false">IF(INDEX(D_F01!$C$51:$C$59,MATCH(C20,D_F01!$A$51:$A$59,0))="có",1,0)</f>
        <v>0</v>
      </c>
      <c r="V20" s="42" t="n">
        <f aca="false">IF(AND(N20=1,L20&gt;0,L20&lt;1,K20&gt;M20,H20+M20&gt;=D_F01!$B$7),1,0)</f>
        <v>0</v>
      </c>
      <c r="W20" s="44" t="n">
        <f aca="false">IF(V20=1,O20*L20,0)</f>
        <v>0</v>
      </c>
      <c r="X20" s="96" t="n">
        <f aca="false">IF(V20=1,L20/(1-L20)*365/(K20-M20),0)</f>
        <v>0</v>
      </c>
    </row>
    <row r="21" customFormat="false" ht="25.5" hidden="false" customHeight="true" outlineLevel="0" collapsed="false">
      <c r="A21" s="82" t="s">
        <v>3192</v>
      </c>
      <c r="B21" s="82" t="s">
        <v>2666</v>
      </c>
      <c r="C21" s="82" t="s">
        <v>1992</v>
      </c>
      <c r="D21" s="82" t="s">
        <v>3164</v>
      </c>
      <c r="E21" s="82" t="s">
        <v>3193</v>
      </c>
      <c r="F21" s="82" t="s">
        <v>3166</v>
      </c>
      <c r="G21" s="87" t="n">
        <v>663667296</v>
      </c>
      <c r="H21" s="84" t="n">
        <v>46045</v>
      </c>
      <c r="I21" s="84" t="n">
        <v>46075</v>
      </c>
      <c r="J21" s="84" t="n">
        <v>46078</v>
      </c>
      <c r="K21" s="82" t="n">
        <v>30</v>
      </c>
      <c r="L21" s="91" t="n">
        <v>0.02</v>
      </c>
      <c r="M21" s="82" t="n">
        <v>10</v>
      </c>
      <c r="N21" s="3" t="n">
        <f aca="false">IF(AND(H21&lt;=D_F01!$B$7,OR(NOT(ISNUMBER(J21)),J21&gt;D_F01!$B$7)),1,0)</f>
        <v>0</v>
      </c>
      <c r="O21" s="32" t="n">
        <f aca="false">G21*N21</f>
        <v>0</v>
      </c>
      <c r="P21" s="3" t="n">
        <f aca="false">IF(N21=1,MAX(0,D_F01!$B$7-I21),0)</f>
        <v>0</v>
      </c>
      <c r="Q21" s="3" t="n">
        <f aca="false">IF(AND(ISNUMBER(J21),J21&lt;=D_F01!$B$7),J21-I21,0)</f>
        <v>3</v>
      </c>
      <c r="R21" s="3" t="n">
        <f aca="false">MAX(0,Q21)</f>
        <v>3</v>
      </c>
      <c r="S21" s="3" t="n">
        <f aca="false">IF(AND(ISNUMBER(J21),J21&lt;=D_F01!$B$7,J21&gt;D_F01!$B$7-D_F01!$B$25),G21*R21,0)</f>
        <v>1991001888</v>
      </c>
      <c r="T21" s="32" t="n">
        <f aca="false">IF(AND(ISNUMBER(J21),J21&lt;=D_F01!$B$7,J21&gt;D_F01!$B$7-D_F01!$B$25),G21,0)</f>
        <v>663667296</v>
      </c>
      <c r="U21" s="3" t="n">
        <f aca="false">IF(INDEX(D_F01!$C$51:$C$59,MATCH(C21,D_F01!$A$51:$A$59,0))="có",1,0)</f>
        <v>1</v>
      </c>
      <c r="V21" s="42" t="n">
        <f aca="false">IF(AND(N21=1,L21&gt;0,L21&lt;1,K21&gt;M21,H21+M21&gt;=D_F01!$B$7),1,0)</f>
        <v>0</v>
      </c>
      <c r="W21" s="44" t="n">
        <f aca="false">IF(V21=1,O21*L21,0)</f>
        <v>0</v>
      </c>
      <c r="X21" s="96" t="n">
        <f aca="false">IF(V21=1,L21/(1-L21)*365/(K21-M21),0)</f>
        <v>0</v>
      </c>
    </row>
    <row r="22" customFormat="false" ht="25.5" hidden="false" customHeight="true" outlineLevel="0" collapsed="false">
      <c r="A22" s="89" t="s">
        <v>3194</v>
      </c>
      <c r="B22" s="89" t="s">
        <v>2666</v>
      </c>
      <c r="C22" s="89" t="s">
        <v>1997</v>
      </c>
      <c r="D22" s="89" t="s">
        <v>2753</v>
      </c>
      <c r="E22" s="89" t="s">
        <v>3195</v>
      </c>
      <c r="F22" s="89" t="s">
        <v>3160</v>
      </c>
      <c r="G22" s="88" t="n">
        <v>214095756</v>
      </c>
      <c r="H22" s="83" t="n">
        <v>46045</v>
      </c>
      <c r="I22" s="83" t="n">
        <v>46060</v>
      </c>
      <c r="J22" s="83" t="n">
        <v>46061</v>
      </c>
      <c r="K22" s="89" t="n">
        <v>15</v>
      </c>
      <c r="L22" s="97" t="n">
        <v>0</v>
      </c>
      <c r="M22" s="89" t="n">
        <v>0</v>
      </c>
      <c r="N22" s="4" t="n">
        <f aca="false">IF(AND(H22&lt;=D_F01!$B$7,OR(NOT(ISNUMBER(J22)),J22&gt;D_F01!$B$7)),1,0)</f>
        <v>0</v>
      </c>
      <c r="O22" s="33" t="n">
        <f aca="false">G22*N22</f>
        <v>0</v>
      </c>
      <c r="P22" s="4" t="n">
        <f aca="false">IF(N22=1,MAX(0,D_F01!$B$7-I22),0)</f>
        <v>0</v>
      </c>
      <c r="Q22" s="4" t="n">
        <f aca="false">IF(AND(ISNUMBER(J22),J22&lt;=D_F01!$B$7),J22-I22,0)</f>
        <v>1</v>
      </c>
      <c r="R22" s="4" t="n">
        <f aca="false">MAX(0,Q22)</f>
        <v>1</v>
      </c>
      <c r="S22" s="4" t="n">
        <f aca="false">IF(AND(ISNUMBER(J22),J22&lt;=D_F01!$B$7,J22&gt;D_F01!$B$7-D_F01!$B$25),G22*R22,0)</f>
        <v>214095756</v>
      </c>
      <c r="T22" s="33" t="n">
        <f aca="false">IF(AND(ISNUMBER(J22),J22&lt;=D_F01!$B$7,J22&gt;D_F01!$B$7-D_F01!$B$25),G22,0)</f>
        <v>214095756</v>
      </c>
      <c r="U22" s="4" t="n">
        <f aca="false">IF(INDEX(D_F01!$C$51:$C$59,MATCH(C22,D_F01!$A$51:$A$59,0))="có",1,0)</f>
        <v>1</v>
      </c>
      <c r="V22" s="42" t="n">
        <f aca="false">IF(AND(N22=1,L22&gt;0,L22&lt;1,K22&gt;M22,H22+M22&gt;=D_F01!$B$7),1,0)</f>
        <v>0</v>
      </c>
      <c r="W22" s="44" t="n">
        <f aca="false">IF(V22=1,O22*L22,0)</f>
        <v>0</v>
      </c>
      <c r="X22" s="96" t="n">
        <f aca="false">IF(V22=1,L22/(1-L22)*365/(K22-M22),0)</f>
        <v>0</v>
      </c>
    </row>
    <row r="23" customFormat="false" ht="25.5" hidden="false" customHeight="true" outlineLevel="0" collapsed="false">
      <c r="A23" s="82" t="s">
        <v>3196</v>
      </c>
      <c r="B23" s="82" t="s">
        <v>2666</v>
      </c>
      <c r="C23" s="82" t="s">
        <v>1994</v>
      </c>
      <c r="D23" s="82" t="s">
        <v>2750</v>
      </c>
      <c r="E23" s="82" t="s">
        <v>3197</v>
      </c>
      <c r="F23" s="82" t="s">
        <v>3157</v>
      </c>
      <c r="G23" s="87" t="n">
        <v>98909154</v>
      </c>
      <c r="H23" s="84" t="n">
        <v>46047</v>
      </c>
      <c r="I23" s="84" t="n">
        <v>46062</v>
      </c>
      <c r="J23" s="84" t="n">
        <v>46065</v>
      </c>
      <c r="K23" s="82" t="n">
        <v>15</v>
      </c>
      <c r="L23" s="91" t="n">
        <v>0</v>
      </c>
      <c r="M23" s="82" t="n">
        <v>0</v>
      </c>
      <c r="N23" s="3" t="n">
        <f aca="false">IF(AND(H23&lt;=D_F01!$B$7,OR(NOT(ISNUMBER(J23)),J23&gt;D_F01!$B$7)),1,0)</f>
        <v>0</v>
      </c>
      <c r="O23" s="32" t="n">
        <f aca="false">G23*N23</f>
        <v>0</v>
      </c>
      <c r="P23" s="3" t="n">
        <f aca="false">IF(N23=1,MAX(0,D_F01!$B$7-I23),0)</f>
        <v>0</v>
      </c>
      <c r="Q23" s="3" t="n">
        <f aca="false">IF(AND(ISNUMBER(J23),J23&lt;=D_F01!$B$7),J23-I23,0)</f>
        <v>3</v>
      </c>
      <c r="R23" s="3" t="n">
        <f aca="false">MAX(0,Q23)</f>
        <v>3</v>
      </c>
      <c r="S23" s="3" t="n">
        <f aca="false">IF(AND(ISNUMBER(J23),J23&lt;=D_F01!$B$7,J23&gt;D_F01!$B$7-D_F01!$B$25),G23*R23,0)</f>
        <v>296727462</v>
      </c>
      <c r="T23" s="32" t="n">
        <f aca="false">IF(AND(ISNUMBER(J23),J23&lt;=D_F01!$B$7,J23&gt;D_F01!$B$7-D_F01!$B$25),G23,0)</f>
        <v>98909154</v>
      </c>
      <c r="U23" s="3" t="n">
        <f aca="false">IF(INDEX(D_F01!$C$51:$C$59,MATCH(C23,D_F01!$A$51:$A$59,0))="có",1,0)</f>
        <v>1</v>
      </c>
      <c r="V23" s="42" t="n">
        <f aca="false">IF(AND(N23=1,L23&gt;0,L23&lt;1,K23&gt;M23,H23+M23&gt;=D_F01!$B$7),1,0)</f>
        <v>0</v>
      </c>
      <c r="W23" s="44" t="n">
        <f aca="false">IF(V23=1,O23*L23,0)</f>
        <v>0</v>
      </c>
      <c r="X23" s="96" t="n">
        <f aca="false">IF(V23=1,L23/(1-L23)*365/(K23-M23),0)</f>
        <v>0</v>
      </c>
    </row>
    <row r="24" customFormat="false" ht="25.5" hidden="false" customHeight="true" outlineLevel="0" collapsed="false">
      <c r="A24" s="89" t="s">
        <v>3198</v>
      </c>
      <c r="B24" s="89" t="s">
        <v>2666</v>
      </c>
      <c r="C24" s="89" t="s">
        <v>1995</v>
      </c>
      <c r="D24" s="89" t="s">
        <v>2751</v>
      </c>
      <c r="E24" s="89" t="s">
        <v>3199</v>
      </c>
      <c r="F24" s="89" t="s">
        <v>3169</v>
      </c>
      <c r="G24" s="88" t="n">
        <v>79177266</v>
      </c>
      <c r="H24" s="83" t="n">
        <v>46047</v>
      </c>
      <c r="I24" s="83" t="n">
        <v>46062</v>
      </c>
      <c r="J24" s="83" t="n">
        <v>46059</v>
      </c>
      <c r="K24" s="89" t="n">
        <v>15</v>
      </c>
      <c r="L24" s="97" t="n">
        <v>0</v>
      </c>
      <c r="M24" s="89" t="n">
        <v>0</v>
      </c>
      <c r="N24" s="4" t="n">
        <f aca="false">IF(AND(H24&lt;=D_F01!$B$7,OR(NOT(ISNUMBER(J24)),J24&gt;D_F01!$B$7)),1,0)</f>
        <v>0</v>
      </c>
      <c r="O24" s="33" t="n">
        <f aca="false">G24*N24</f>
        <v>0</v>
      </c>
      <c r="P24" s="4" t="n">
        <f aca="false">IF(N24=1,MAX(0,D_F01!$B$7-I24),0)</f>
        <v>0</v>
      </c>
      <c r="Q24" s="4" t="n">
        <f aca="false">IF(AND(ISNUMBER(J24),J24&lt;=D_F01!$B$7),J24-I24,0)</f>
        <v>-3</v>
      </c>
      <c r="R24" s="4" t="n">
        <f aca="false">MAX(0,Q24)</f>
        <v>0</v>
      </c>
      <c r="S24" s="4" t="n">
        <f aca="false">IF(AND(ISNUMBER(J24),J24&lt;=D_F01!$B$7,J24&gt;D_F01!$B$7-D_F01!$B$25),G24*R24,0)</f>
        <v>0</v>
      </c>
      <c r="T24" s="33" t="n">
        <f aca="false">IF(AND(ISNUMBER(J24),J24&lt;=D_F01!$B$7,J24&gt;D_F01!$B$7-D_F01!$B$25),G24,0)</f>
        <v>79177266</v>
      </c>
      <c r="U24" s="4" t="n">
        <f aca="false">IF(INDEX(D_F01!$C$51:$C$59,MATCH(C24,D_F01!$A$51:$A$59,0))="có",1,0)</f>
        <v>0</v>
      </c>
      <c r="V24" s="42" t="n">
        <f aca="false">IF(AND(N24=1,L24&gt;0,L24&lt;1,K24&gt;M24,H24+M24&gt;=D_F01!$B$7),1,0)</f>
        <v>0</v>
      </c>
      <c r="W24" s="44" t="n">
        <f aca="false">IF(V24=1,O24*L24,0)</f>
        <v>0</v>
      </c>
      <c r="X24" s="96" t="n">
        <f aca="false">IF(V24=1,L24/(1-L24)*365/(K24-M24),0)</f>
        <v>0</v>
      </c>
    </row>
    <row r="25" customFormat="false" ht="25.5" hidden="false" customHeight="true" outlineLevel="0" collapsed="false">
      <c r="A25" s="82" t="s">
        <v>3200</v>
      </c>
      <c r="B25" s="82" t="s">
        <v>2666</v>
      </c>
      <c r="C25" s="82" t="s">
        <v>1999</v>
      </c>
      <c r="D25" s="82" t="s">
        <v>2755</v>
      </c>
      <c r="E25" s="82" t="s">
        <v>3201</v>
      </c>
      <c r="F25" s="82" t="s">
        <v>3202</v>
      </c>
      <c r="G25" s="87" t="n">
        <v>219660306</v>
      </c>
      <c r="H25" s="84" t="n">
        <v>46048</v>
      </c>
      <c r="I25" s="84" t="n">
        <v>46078</v>
      </c>
      <c r="J25" s="84" t="n">
        <v>46079</v>
      </c>
      <c r="K25" s="82" t="n">
        <v>30</v>
      </c>
      <c r="L25" s="91" t="n">
        <v>0</v>
      </c>
      <c r="M25" s="82" t="n">
        <v>0</v>
      </c>
      <c r="N25" s="3" t="n">
        <f aca="false">IF(AND(H25&lt;=D_F01!$B$7,OR(NOT(ISNUMBER(J25)),J25&gt;D_F01!$B$7)),1,0)</f>
        <v>0</v>
      </c>
      <c r="O25" s="32" t="n">
        <f aca="false">G25*N25</f>
        <v>0</v>
      </c>
      <c r="P25" s="3" t="n">
        <f aca="false">IF(N25=1,MAX(0,D_F01!$B$7-I25),0)</f>
        <v>0</v>
      </c>
      <c r="Q25" s="3" t="n">
        <f aca="false">IF(AND(ISNUMBER(J25),J25&lt;=D_F01!$B$7),J25-I25,0)</f>
        <v>1</v>
      </c>
      <c r="R25" s="3" t="n">
        <f aca="false">MAX(0,Q25)</f>
        <v>1</v>
      </c>
      <c r="S25" s="3" t="n">
        <f aca="false">IF(AND(ISNUMBER(J25),J25&lt;=D_F01!$B$7,J25&gt;D_F01!$B$7-D_F01!$B$25),G25*R25,0)</f>
        <v>219660306</v>
      </c>
      <c r="T25" s="32" t="n">
        <f aca="false">IF(AND(ISNUMBER(J25),J25&lt;=D_F01!$B$7,J25&gt;D_F01!$B$7-D_F01!$B$25),G25,0)</f>
        <v>219660306</v>
      </c>
      <c r="U25" s="3" t="n">
        <f aca="false">IF(INDEX(D_F01!$C$51:$C$59,MATCH(C25,D_F01!$A$51:$A$59,0))="có",1,0)</f>
        <v>0</v>
      </c>
      <c r="V25" s="42" t="n">
        <f aca="false">IF(AND(N25=1,L25&gt;0,L25&lt;1,K25&gt;M25,H25+M25&gt;=D_F01!$B$7),1,0)</f>
        <v>0</v>
      </c>
      <c r="W25" s="44" t="n">
        <f aca="false">IF(V25=1,O25*L25,0)</f>
        <v>0</v>
      </c>
      <c r="X25" s="96" t="n">
        <f aca="false">IF(V25=1,L25/(1-L25)*365/(K25-M25),0)</f>
        <v>0</v>
      </c>
    </row>
    <row r="26" customFormat="false" ht="25.5" hidden="false" customHeight="true" outlineLevel="0" collapsed="false">
      <c r="A26" s="89" t="s">
        <v>3203</v>
      </c>
      <c r="B26" s="89" t="s">
        <v>2666</v>
      </c>
      <c r="C26" s="89" t="s">
        <v>1994</v>
      </c>
      <c r="D26" s="89" t="s">
        <v>2750</v>
      </c>
      <c r="E26" s="89" t="s">
        <v>3204</v>
      </c>
      <c r="F26" s="89" t="s">
        <v>3157</v>
      </c>
      <c r="G26" s="88" t="n">
        <v>128866992</v>
      </c>
      <c r="H26" s="83" t="n">
        <v>46053</v>
      </c>
      <c r="I26" s="83" t="n">
        <v>46068</v>
      </c>
      <c r="J26" s="83" t="n">
        <v>46072</v>
      </c>
      <c r="K26" s="89" t="n">
        <v>15</v>
      </c>
      <c r="L26" s="97" t="n">
        <v>0</v>
      </c>
      <c r="M26" s="89" t="n">
        <v>0</v>
      </c>
      <c r="N26" s="4" t="n">
        <f aca="false">IF(AND(H26&lt;=D_F01!$B$7,OR(NOT(ISNUMBER(J26)),J26&gt;D_F01!$B$7)),1,0)</f>
        <v>0</v>
      </c>
      <c r="O26" s="33" t="n">
        <f aca="false">G26*N26</f>
        <v>0</v>
      </c>
      <c r="P26" s="4" t="n">
        <f aca="false">IF(N26=1,MAX(0,D_F01!$B$7-I26),0)</f>
        <v>0</v>
      </c>
      <c r="Q26" s="4" t="n">
        <f aca="false">IF(AND(ISNUMBER(J26),J26&lt;=D_F01!$B$7),J26-I26,0)</f>
        <v>4</v>
      </c>
      <c r="R26" s="4" t="n">
        <f aca="false">MAX(0,Q26)</f>
        <v>4</v>
      </c>
      <c r="S26" s="4" t="n">
        <f aca="false">IF(AND(ISNUMBER(J26),J26&lt;=D_F01!$B$7,J26&gt;D_F01!$B$7-D_F01!$B$25),G26*R26,0)</f>
        <v>515467968</v>
      </c>
      <c r="T26" s="33" t="n">
        <f aca="false">IF(AND(ISNUMBER(J26),J26&lt;=D_F01!$B$7,J26&gt;D_F01!$B$7-D_F01!$B$25),G26,0)</f>
        <v>128866992</v>
      </c>
      <c r="U26" s="4" t="n">
        <f aca="false">IF(INDEX(D_F01!$C$51:$C$59,MATCH(C26,D_F01!$A$51:$A$59,0))="có",1,0)</f>
        <v>1</v>
      </c>
      <c r="V26" s="42" t="n">
        <f aca="false">IF(AND(N26=1,L26&gt;0,L26&lt;1,K26&gt;M26,H26+M26&gt;=D_F01!$B$7),1,0)</f>
        <v>0</v>
      </c>
      <c r="W26" s="44" t="n">
        <f aca="false">IF(V26=1,O26*L26,0)</f>
        <v>0</v>
      </c>
      <c r="X26" s="96" t="n">
        <f aca="false">IF(V26=1,L26/(1-L26)*365/(K26-M26),0)</f>
        <v>0</v>
      </c>
    </row>
    <row r="27" customFormat="false" ht="25.5" hidden="false" customHeight="true" outlineLevel="0" collapsed="false">
      <c r="A27" s="82" t="s">
        <v>3205</v>
      </c>
      <c r="B27" s="82" t="s">
        <v>2666</v>
      </c>
      <c r="C27" s="82" t="s">
        <v>2000</v>
      </c>
      <c r="D27" s="82" t="s">
        <v>2756</v>
      </c>
      <c r="E27" s="82" t="s">
        <v>3206</v>
      </c>
      <c r="F27" s="82" t="s">
        <v>3154</v>
      </c>
      <c r="G27" s="87" t="n">
        <v>182098554</v>
      </c>
      <c r="H27" s="84" t="n">
        <v>46054</v>
      </c>
      <c r="I27" s="84" t="n">
        <v>46084</v>
      </c>
      <c r="J27" s="84" t="n">
        <v>46088</v>
      </c>
      <c r="K27" s="82" t="n">
        <v>30</v>
      </c>
      <c r="L27" s="91" t="n">
        <v>0.01</v>
      </c>
      <c r="M27" s="82" t="n">
        <v>7</v>
      </c>
      <c r="N27" s="3" t="n">
        <f aca="false">IF(AND(H27&lt;=D_F01!$B$7,OR(NOT(ISNUMBER(J27)),J27&gt;D_F01!$B$7)),1,0)</f>
        <v>0</v>
      </c>
      <c r="O27" s="32" t="n">
        <f aca="false">G27*N27</f>
        <v>0</v>
      </c>
      <c r="P27" s="3" t="n">
        <f aca="false">IF(N27=1,MAX(0,D_F01!$B$7-I27),0)</f>
        <v>0</v>
      </c>
      <c r="Q27" s="3" t="n">
        <f aca="false">IF(AND(ISNUMBER(J27),J27&lt;=D_F01!$B$7),J27-I27,0)</f>
        <v>4</v>
      </c>
      <c r="R27" s="3" t="n">
        <f aca="false">MAX(0,Q27)</f>
        <v>4</v>
      </c>
      <c r="S27" s="3" t="n">
        <f aca="false">IF(AND(ISNUMBER(J27),J27&lt;=D_F01!$B$7,J27&gt;D_F01!$B$7-D_F01!$B$25),G27*R27,0)</f>
        <v>728394216</v>
      </c>
      <c r="T27" s="32" t="n">
        <f aca="false">IF(AND(ISNUMBER(J27),J27&lt;=D_F01!$B$7,J27&gt;D_F01!$B$7-D_F01!$B$25),G27,0)</f>
        <v>182098554</v>
      </c>
      <c r="U27" s="3" t="n">
        <f aca="false">IF(INDEX(D_F01!$C$51:$C$59,MATCH(C27,D_F01!$A$51:$A$59,0))="có",1,0)</f>
        <v>1</v>
      </c>
      <c r="V27" s="42" t="n">
        <f aca="false">IF(AND(N27=1,L27&gt;0,L27&lt;1,K27&gt;M27,H27+M27&gt;=D_F01!$B$7),1,0)</f>
        <v>0</v>
      </c>
      <c r="W27" s="44" t="n">
        <f aca="false">IF(V27=1,O27*L27,0)</f>
        <v>0</v>
      </c>
      <c r="X27" s="96" t="n">
        <f aca="false">IF(V27=1,L27/(1-L27)*365/(K27-M27),0)</f>
        <v>0</v>
      </c>
    </row>
    <row r="28" customFormat="false" ht="25.5" hidden="false" customHeight="true" outlineLevel="0" collapsed="false">
      <c r="A28" s="89" t="s">
        <v>3207</v>
      </c>
      <c r="B28" s="89" t="s">
        <v>2666</v>
      </c>
      <c r="C28" s="89" t="s">
        <v>1993</v>
      </c>
      <c r="D28" s="89" t="s">
        <v>3179</v>
      </c>
      <c r="E28" s="89" t="s">
        <v>3208</v>
      </c>
      <c r="F28" s="89" t="s">
        <v>3181</v>
      </c>
      <c r="G28" s="88" t="n">
        <v>228113262</v>
      </c>
      <c r="H28" s="83" t="n">
        <v>46055</v>
      </c>
      <c r="I28" s="83" t="n">
        <v>46100</v>
      </c>
      <c r="J28" s="83" t="n">
        <v>46117</v>
      </c>
      <c r="K28" s="89" t="n">
        <v>45</v>
      </c>
      <c r="L28" s="97" t="n">
        <v>0</v>
      </c>
      <c r="M28" s="89" t="n">
        <v>0</v>
      </c>
      <c r="N28" s="4" t="n">
        <f aca="false">IF(AND(H28&lt;=D_F01!$B$7,OR(NOT(ISNUMBER(J28)),J28&gt;D_F01!$B$7)),1,0)</f>
        <v>0</v>
      </c>
      <c r="O28" s="33" t="n">
        <f aca="false">G28*N28</f>
        <v>0</v>
      </c>
      <c r="P28" s="4" t="n">
        <f aca="false">IF(N28=1,MAX(0,D_F01!$B$7-I28),0)</f>
        <v>0</v>
      </c>
      <c r="Q28" s="4" t="n">
        <f aca="false">IF(AND(ISNUMBER(J28),J28&lt;=D_F01!$B$7),J28-I28,0)</f>
        <v>17</v>
      </c>
      <c r="R28" s="4" t="n">
        <f aca="false">MAX(0,Q28)</f>
        <v>17</v>
      </c>
      <c r="S28" s="4" t="n">
        <f aca="false">IF(AND(ISNUMBER(J28),J28&lt;=D_F01!$B$7,J28&gt;D_F01!$B$7-D_F01!$B$25),G28*R28,0)</f>
        <v>3877925454</v>
      </c>
      <c r="T28" s="33" t="n">
        <f aca="false">IF(AND(ISNUMBER(J28),J28&lt;=D_F01!$B$7,J28&gt;D_F01!$B$7-D_F01!$B$25),G28,0)</f>
        <v>228113262</v>
      </c>
      <c r="U28" s="4" t="n">
        <f aca="false">IF(INDEX(D_F01!$C$51:$C$59,MATCH(C28,D_F01!$A$51:$A$59,0))="có",1,0)</f>
        <v>0</v>
      </c>
      <c r="V28" s="42" t="n">
        <f aca="false">IF(AND(N28=1,L28&gt;0,L28&lt;1,K28&gt;M28,H28+M28&gt;=D_F01!$B$7),1,0)</f>
        <v>0</v>
      </c>
      <c r="W28" s="44" t="n">
        <f aca="false">IF(V28=1,O28*L28,0)</f>
        <v>0</v>
      </c>
      <c r="X28" s="96" t="n">
        <f aca="false">IF(V28=1,L28/(1-L28)*365/(K28-M28),0)</f>
        <v>0</v>
      </c>
    </row>
    <row r="29" customFormat="false" ht="25.5" hidden="false" customHeight="true" outlineLevel="0" collapsed="false">
      <c r="A29" s="82" t="s">
        <v>3209</v>
      </c>
      <c r="B29" s="82" t="s">
        <v>2666</v>
      </c>
      <c r="C29" s="82" t="s">
        <v>1994</v>
      </c>
      <c r="D29" s="82" t="s">
        <v>2750</v>
      </c>
      <c r="E29" s="82" t="s">
        <v>3210</v>
      </c>
      <c r="F29" s="82" t="s">
        <v>3157</v>
      </c>
      <c r="G29" s="87" t="n">
        <v>133798920</v>
      </c>
      <c r="H29" s="84" t="n">
        <v>46055</v>
      </c>
      <c r="I29" s="84" t="n">
        <v>46070</v>
      </c>
      <c r="J29" s="84" t="n">
        <v>46070</v>
      </c>
      <c r="K29" s="82" t="n">
        <v>15</v>
      </c>
      <c r="L29" s="91" t="n">
        <v>0</v>
      </c>
      <c r="M29" s="82" t="n">
        <v>0</v>
      </c>
      <c r="N29" s="3" t="n">
        <f aca="false">IF(AND(H29&lt;=D_F01!$B$7,OR(NOT(ISNUMBER(J29)),J29&gt;D_F01!$B$7)),1,0)</f>
        <v>0</v>
      </c>
      <c r="O29" s="32" t="n">
        <f aca="false">G29*N29</f>
        <v>0</v>
      </c>
      <c r="P29" s="3" t="n">
        <f aca="false">IF(N29=1,MAX(0,D_F01!$B$7-I29),0)</f>
        <v>0</v>
      </c>
      <c r="Q29" s="3" t="n">
        <f aca="false">IF(AND(ISNUMBER(J29),J29&lt;=D_F01!$B$7),J29-I29,0)</f>
        <v>0</v>
      </c>
      <c r="R29" s="3" t="n">
        <f aca="false">MAX(0,Q29)</f>
        <v>0</v>
      </c>
      <c r="S29" s="3" t="n">
        <f aca="false">IF(AND(ISNUMBER(J29),J29&lt;=D_F01!$B$7,J29&gt;D_F01!$B$7-D_F01!$B$25),G29*R29,0)</f>
        <v>0</v>
      </c>
      <c r="T29" s="32" t="n">
        <f aca="false">IF(AND(ISNUMBER(J29),J29&lt;=D_F01!$B$7,J29&gt;D_F01!$B$7-D_F01!$B$25),G29,0)</f>
        <v>133798920</v>
      </c>
      <c r="U29" s="3" t="n">
        <f aca="false">IF(INDEX(D_F01!$C$51:$C$59,MATCH(C29,D_F01!$A$51:$A$59,0))="có",1,0)</f>
        <v>1</v>
      </c>
      <c r="V29" s="42" t="n">
        <f aca="false">IF(AND(N29=1,L29&gt;0,L29&lt;1,K29&gt;M29,H29+M29&gt;=D_F01!$B$7),1,0)</f>
        <v>0</v>
      </c>
      <c r="W29" s="44" t="n">
        <f aca="false">IF(V29=1,O29*L29,0)</f>
        <v>0</v>
      </c>
      <c r="X29" s="96" t="n">
        <f aca="false">IF(V29=1,L29/(1-L29)*365/(K29-M29),0)</f>
        <v>0</v>
      </c>
    </row>
    <row r="30" customFormat="false" ht="25.5" hidden="false" customHeight="true" outlineLevel="0" collapsed="false">
      <c r="A30" s="89" t="s">
        <v>3211</v>
      </c>
      <c r="B30" s="89" t="s">
        <v>2666</v>
      </c>
      <c r="C30" s="89" t="s">
        <v>2000</v>
      </c>
      <c r="D30" s="89" t="s">
        <v>2756</v>
      </c>
      <c r="E30" s="89" t="s">
        <v>3212</v>
      </c>
      <c r="F30" s="89" t="s">
        <v>3154</v>
      </c>
      <c r="G30" s="88" t="n">
        <v>222278184</v>
      </c>
      <c r="H30" s="83" t="n">
        <v>46059</v>
      </c>
      <c r="I30" s="83" t="n">
        <v>46089</v>
      </c>
      <c r="J30" s="83" t="n">
        <v>46089</v>
      </c>
      <c r="K30" s="89" t="n">
        <v>30</v>
      </c>
      <c r="L30" s="97" t="n">
        <v>0.01</v>
      </c>
      <c r="M30" s="89" t="n">
        <v>7</v>
      </c>
      <c r="N30" s="4" t="n">
        <f aca="false">IF(AND(H30&lt;=D_F01!$B$7,OR(NOT(ISNUMBER(J30)),J30&gt;D_F01!$B$7)),1,0)</f>
        <v>0</v>
      </c>
      <c r="O30" s="33" t="n">
        <f aca="false">G30*N30</f>
        <v>0</v>
      </c>
      <c r="P30" s="4" t="n">
        <f aca="false">IF(N30=1,MAX(0,D_F01!$B$7-I30),0)</f>
        <v>0</v>
      </c>
      <c r="Q30" s="4" t="n">
        <f aca="false">IF(AND(ISNUMBER(J30),J30&lt;=D_F01!$B$7),J30-I30,0)</f>
        <v>0</v>
      </c>
      <c r="R30" s="4" t="n">
        <f aca="false">MAX(0,Q30)</f>
        <v>0</v>
      </c>
      <c r="S30" s="4" t="n">
        <f aca="false">IF(AND(ISNUMBER(J30),J30&lt;=D_F01!$B$7,J30&gt;D_F01!$B$7-D_F01!$B$25),G30*R30,0)</f>
        <v>0</v>
      </c>
      <c r="T30" s="33" t="n">
        <f aca="false">IF(AND(ISNUMBER(J30),J30&lt;=D_F01!$B$7,J30&gt;D_F01!$B$7-D_F01!$B$25),G30,0)</f>
        <v>222278184</v>
      </c>
      <c r="U30" s="4" t="n">
        <f aca="false">IF(INDEX(D_F01!$C$51:$C$59,MATCH(C30,D_F01!$A$51:$A$59,0))="có",1,0)</f>
        <v>1</v>
      </c>
      <c r="V30" s="42" t="n">
        <f aca="false">IF(AND(N30=1,L30&gt;0,L30&lt;1,K30&gt;M30,H30+M30&gt;=D_F01!$B$7),1,0)</f>
        <v>0</v>
      </c>
      <c r="W30" s="44" t="n">
        <f aca="false">IF(V30=1,O30*L30,0)</f>
        <v>0</v>
      </c>
      <c r="X30" s="96" t="n">
        <f aca="false">IF(V30=1,L30/(1-L30)*365/(K30-M30),0)</f>
        <v>0</v>
      </c>
    </row>
    <row r="31" customFormat="false" ht="25.5" hidden="false" customHeight="true" outlineLevel="0" collapsed="false">
      <c r="A31" s="82" t="s">
        <v>3213</v>
      </c>
      <c r="B31" s="82" t="s">
        <v>2666</v>
      </c>
      <c r="C31" s="82" t="s">
        <v>1992</v>
      </c>
      <c r="D31" s="82" t="s">
        <v>3164</v>
      </c>
      <c r="E31" s="82" t="s">
        <v>3214</v>
      </c>
      <c r="F31" s="82" t="s">
        <v>3166</v>
      </c>
      <c r="G31" s="87" t="n">
        <v>372483582</v>
      </c>
      <c r="H31" s="84" t="n">
        <v>46060</v>
      </c>
      <c r="I31" s="84" t="n">
        <v>46090</v>
      </c>
      <c r="J31" s="84" t="n">
        <v>46067</v>
      </c>
      <c r="K31" s="82" t="n">
        <v>30</v>
      </c>
      <c r="L31" s="91" t="n">
        <v>0.02</v>
      </c>
      <c r="M31" s="82" t="n">
        <v>10</v>
      </c>
      <c r="N31" s="3" t="n">
        <f aca="false">IF(AND(H31&lt;=D_F01!$B$7,OR(NOT(ISNUMBER(J31)),J31&gt;D_F01!$B$7)),1,0)</f>
        <v>0</v>
      </c>
      <c r="O31" s="32" t="n">
        <f aca="false">G31*N31</f>
        <v>0</v>
      </c>
      <c r="P31" s="3" t="n">
        <f aca="false">IF(N31=1,MAX(0,D_F01!$B$7-I31),0)</f>
        <v>0</v>
      </c>
      <c r="Q31" s="3" t="n">
        <f aca="false">IF(AND(ISNUMBER(J31),J31&lt;=D_F01!$B$7),J31-I31,0)</f>
        <v>-23</v>
      </c>
      <c r="R31" s="3" t="n">
        <f aca="false">MAX(0,Q31)</f>
        <v>0</v>
      </c>
      <c r="S31" s="3" t="n">
        <f aca="false">IF(AND(ISNUMBER(J31),J31&lt;=D_F01!$B$7,J31&gt;D_F01!$B$7-D_F01!$B$25),G31*R31,0)</f>
        <v>0</v>
      </c>
      <c r="T31" s="32" t="n">
        <f aca="false">IF(AND(ISNUMBER(J31),J31&lt;=D_F01!$B$7,J31&gt;D_F01!$B$7-D_F01!$B$25),G31,0)</f>
        <v>372483582</v>
      </c>
      <c r="U31" s="3" t="n">
        <f aca="false">IF(INDEX(D_F01!$C$51:$C$59,MATCH(C31,D_F01!$A$51:$A$59,0))="có",1,0)</f>
        <v>1</v>
      </c>
      <c r="V31" s="42" t="n">
        <f aca="false">IF(AND(N31=1,L31&gt;0,L31&lt;1,K31&gt;M31,H31+M31&gt;=D_F01!$B$7),1,0)</f>
        <v>0</v>
      </c>
      <c r="W31" s="44" t="n">
        <f aca="false">IF(V31=1,O31*L31,0)</f>
        <v>0</v>
      </c>
      <c r="X31" s="96" t="n">
        <f aca="false">IF(V31=1,L31/(1-L31)*365/(K31-M31),0)</f>
        <v>0</v>
      </c>
    </row>
    <row r="32" customFormat="false" ht="25.5" hidden="false" customHeight="true" outlineLevel="0" collapsed="false">
      <c r="A32" s="89" t="s">
        <v>3215</v>
      </c>
      <c r="B32" s="89" t="s">
        <v>2666</v>
      </c>
      <c r="C32" s="89" t="s">
        <v>1993</v>
      </c>
      <c r="D32" s="89" t="s">
        <v>3179</v>
      </c>
      <c r="E32" s="89" t="s">
        <v>3216</v>
      </c>
      <c r="F32" s="89" t="s">
        <v>3181</v>
      </c>
      <c r="G32" s="88" t="n">
        <v>149243982</v>
      </c>
      <c r="H32" s="83" t="n">
        <v>46061</v>
      </c>
      <c r="I32" s="83" t="n">
        <v>46106</v>
      </c>
      <c r="J32" s="83" t="n">
        <v>46128</v>
      </c>
      <c r="K32" s="89" t="n">
        <v>45</v>
      </c>
      <c r="L32" s="97" t="n">
        <v>0</v>
      </c>
      <c r="M32" s="89" t="n">
        <v>0</v>
      </c>
      <c r="N32" s="4" t="n">
        <f aca="false">IF(AND(H32&lt;=D_F01!$B$7,OR(NOT(ISNUMBER(J32)),J32&gt;D_F01!$B$7)),1,0)</f>
        <v>0</v>
      </c>
      <c r="O32" s="33" t="n">
        <f aca="false">G32*N32</f>
        <v>0</v>
      </c>
      <c r="P32" s="4" t="n">
        <f aca="false">IF(N32=1,MAX(0,D_F01!$B$7-I32),0)</f>
        <v>0</v>
      </c>
      <c r="Q32" s="4" t="n">
        <f aca="false">IF(AND(ISNUMBER(J32),J32&lt;=D_F01!$B$7),J32-I32,0)</f>
        <v>22</v>
      </c>
      <c r="R32" s="4" t="n">
        <f aca="false">MAX(0,Q32)</f>
        <v>22</v>
      </c>
      <c r="S32" s="4" t="n">
        <f aca="false">IF(AND(ISNUMBER(J32),J32&lt;=D_F01!$B$7,J32&gt;D_F01!$B$7-D_F01!$B$25),G32*R32,0)</f>
        <v>3283367604</v>
      </c>
      <c r="T32" s="33" t="n">
        <f aca="false">IF(AND(ISNUMBER(J32),J32&lt;=D_F01!$B$7,J32&gt;D_F01!$B$7-D_F01!$B$25),G32,0)</f>
        <v>149243982</v>
      </c>
      <c r="U32" s="4" t="n">
        <f aca="false">IF(INDEX(D_F01!$C$51:$C$59,MATCH(C32,D_F01!$A$51:$A$59,0))="có",1,0)</f>
        <v>0</v>
      </c>
      <c r="V32" s="42" t="n">
        <f aca="false">IF(AND(N32=1,L32&gt;0,L32&lt;1,K32&gt;M32,H32+M32&gt;=D_F01!$B$7),1,0)</f>
        <v>0</v>
      </c>
      <c r="W32" s="44" t="n">
        <f aca="false">IF(V32=1,O32*L32,0)</f>
        <v>0</v>
      </c>
      <c r="X32" s="96" t="n">
        <f aca="false">IF(V32=1,L32/(1-L32)*365/(K32-M32),0)</f>
        <v>0</v>
      </c>
    </row>
    <row r="33" customFormat="false" ht="25.5" hidden="false" customHeight="true" outlineLevel="0" collapsed="false">
      <c r="A33" s="82" t="s">
        <v>3217</v>
      </c>
      <c r="B33" s="82" t="s">
        <v>2666</v>
      </c>
      <c r="C33" s="82" t="s">
        <v>1994</v>
      </c>
      <c r="D33" s="82" t="s">
        <v>2750</v>
      </c>
      <c r="E33" s="82" t="s">
        <v>3218</v>
      </c>
      <c r="F33" s="82" t="s">
        <v>3157</v>
      </c>
      <c r="G33" s="87" t="n">
        <v>121928994</v>
      </c>
      <c r="H33" s="84" t="n">
        <v>46062</v>
      </c>
      <c r="I33" s="84" t="n">
        <v>46077</v>
      </c>
      <c r="J33" s="84" t="n">
        <v>46078</v>
      </c>
      <c r="K33" s="82" t="n">
        <v>15</v>
      </c>
      <c r="L33" s="91" t="n">
        <v>0</v>
      </c>
      <c r="M33" s="82" t="n">
        <v>0</v>
      </c>
      <c r="N33" s="3" t="n">
        <f aca="false">IF(AND(H33&lt;=D_F01!$B$7,OR(NOT(ISNUMBER(J33)),J33&gt;D_F01!$B$7)),1,0)</f>
        <v>0</v>
      </c>
      <c r="O33" s="32" t="n">
        <f aca="false">G33*N33</f>
        <v>0</v>
      </c>
      <c r="P33" s="3" t="n">
        <f aca="false">IF(N33=1,MAX(0,D_F01!$B$7-I33),0)</f>
        <v>0</v>
      </c>
      <c r="Q33" s="3" t="n">
        <f aca="false">IF(AND(ISNUMBER(J33),J33&lt;=D_F01!$B$7),J33-I33,0)</f>
        <v>1</v>
      </c>
      <c r="R33" s="3" t="n">
        <f aca="false">MAX(0,Q33)</f>
        <v>1</v>
      </c>
      <c r="S33" s="3" t="n">
        <f aca="false">IF(AND(ISNUMBER(J33),J33&lt;=D_F01!$B$7,J33&gt;D_F01!$B$7-D_F01!$B$25),G33*R33,0)</f>
        <v>121928994</v>
      </c>
      <c r="T33" s="32" t="n">
        <f aca="false">IF(AND(ISNUMBER(J33),J33&lt;=D_F01!$B$7,J33&gt;D_F01!$B$7-D_F01!$B$25),G33,0)</f>
        <v>121928994</v>
      </c>
      <c r="U33" s="3" t="n">
        <f aca="false">IF(INDEX(D_F01!$C$51:$C$59,MATCH(C33,D_F01!$A$51:$A$59,0))="có",1,0)</f>
        <v>1</v>
      </c>
      <c r="V33" s="42" t="n">
        <f aca="false">IF(AND(N33=1,L33&gt;0,L33&lt;1,K33&gt;M33,H33+M33&gt;=D_F01!$B$7),1,0)</f>
        <v>0</v>
      </c>
      <c r="W33" s="44" t="n">
        <f aca="false">IF(V33=1,O33*L33,0)</f>
        <v>0</v>
      </c>
      <c r="X33" s="96" t="n">
        <f aca="false">IF(V33=1,L33/(1-L33)*365/(K33-M33),0)</f>
        <v>0</v>
      </c>
    </row>
    <row r="34" customFormat="false" ht="25.5" hidden="false" customHeight="true" outlineLevel="0" collapsed="false">
      <c r="A34" s="89" t="s">
        <v>3219</v>
      </c>
      <c r="B34" s="89" t="s">
        <v>2666</v>
      </c>
      <c r="C34" s="89" t="s">
        <v>1995</v>
      </c>
      <c r="D34" s="89" t="s">
        <v>2751</v>
      </c>
      <c r="E34" s="89" t="s">
        <v>3220</v>
      </c>
      <c r="F34" s="89" t="s">
        <v>3169</v>
      </c>
      <c r="G34" s="88" t="n">
        <v>70308114</v>
      </c>
      <c r="H34" s="83" t="n">
        <v>46062</v>
      </c>
      <c r="I34" s="83" t="n">
        <v>46077</v>
      </c>
      <c r="J34" s="83" t="n">
        <v>46079</v>
      </c>
      <c r="K34" s="89" t="n">
        <v>15</v>
      </c>
      <c r="L34" s="97" t="n">
        <v>0</v>
      </c>
      <c r="M34" s="89" t="n">
        <v>0</v>
      </c>
      <c r="N34" s="4" t="n">
        <f aca="false">IF(AND(H34&lt;=D_F01!$B$7,OR(NOT(ISNUMBER(J34)),J34&gt;D_F01!$B$7)),1,0)</f>
        <v>0</v>
      </c>
      <c r="O34" s="33" t="n">
        <f aca="false">G34*N34</f>
        <v>0</v>
      </c>
      <c r="P34" s="4" t="n">
        <f aca="false">IF(N34=1,MAX(0,D_F01!$B$7-I34),0)</f>
        <v>0</v>
      </c>
      <c r="Q34" s="4" t="n">
        <f aca="false">IF(AND(ISNUMBER(J34),J34&lt;=D_F01!$B$7),J34-I34,0)</f>
        <v>2</v>
      </c>
      <c r="R34" s="4" t="n">
        <f aca="false">MAX(0,Q34)</f>
        <v>2</v>
      </c>
      <c r="S34" s="4" t="n">
        <f aca="false">IF(AND(ISNUMBER(J34),J34&lt;=D_F01!$B$7,J34&gt;D_F01!$B$7-D_F01!$B$25),G34*R34,0)</f>
        <v>140616228</v>
      </c>
      <c r="T34" s="33" t="n">
        <f aca="false">IF(AND(ISNUMBER(J34),J34&lt;=D_F01!$B$7,J34&gt;D_F01!$B$7-D_F01!$B$25),G34,0)</f>
        <v>70308114</v>
      </c>
      <c r="U34" s="4" t="n">
        <f aca="false">IF(INDEX(D_F01!$C$51:$C$59,MATCH(C34,D_F01!$A$51:$A$59,0))="có",1,0)</f>
        <v>0</v>
      </c>
      <c r="V34" s="42" t="n">
        <f aca="false">IF(AND(N34=1,L34&gt;0,L34&lt;1,K34&gt;M34,H34+M34&gt;=D_F01!$B$7),1,0)</f>
        <v>0</v>
      </c>
      <c r="W34" s="44" t="n">
        <f aca="false">IF(V34=1,O34*L34,0)</f>
        <v>0</v>
      </c>
      <c r="X34" s="96" t="n">
        <f aca="false">IF(V34=1,L34/(1-L34)*365/(K34-M34),0)</f>
        <v>0</v>
      </c>
    </row>
    <row r="35" customFormat="false" ht="25.5" hidden="false" customHeight="true" outlineLevel="0" collapsed="false">
      <c r="A35" s="82" t="s">
        <v>3221</v>
      </c>
      <c r="B35" s="82" t="s">
        <v>2666</v>
      </c>
      <c r="C35" s="82" t="s">
        <v>1994</v>
      </c>
      <c r="D35" s="82" t="s">
        <v>2750</v>
      </c>
      <c r="E35" s="82" t="s">
        <v>3222</v>
      </c>
      <c r="F35" s="82" t="s">
        <v>3157</v>
      </c>
      <c r="G35" s="87" t="n">
        <v>242380488</v>
      </c>
      <c r="H35" s="84" t="n">
        <v>46063</v>
      </c>
      <c r="I35" s="84" t="n">
        <v>46078</v>
      </c>
      <c r="J35" s="84" t="n">
        <v>46082</v>
      </c>
      <c r="K35" s="82" t="n">
        <v>15</v>
      </c>
      <c r="L35" s="91" t="n">
        <v>0</v>
      </c>
      <c r="M35" s="82" t="n">
        <v>0</v>
      </c>
      <c r="N35" s="3" t="n">
        <f aca="false">IF(AND(H35&lt;=D_F01!$B$7,OR(NOT(ISNUMBER(J35)),J35&gt;D_F01!$B$7)),1,0)</f>
        <v>0</v>
      </c>
      <c r="O35" s="32" t="n">
        <f aca="false">G35*N35</f>
        <v>0</v>
      </c>
      <c r="P35" s="3" t="n">
        <f aca="false">IF(N35=1,MAX(0,D_F01!$B$7-I35),0)</f>
        <v>0</v>
      </c>
      <c r="Q35" s="3" t="n">
        <f aca="false">IF(AND(ISNUMBER(J35),J35&lt;=D_F01!$B$7),J35-I35,0)</f>
        <v>4</v>
      </c>
      <c r="R35" s="3" t="n">
        <f aca="false">MAX(0,Q35)</f>
        <v>4</v>
      </c>
      <c r="S35" s="3" t="n">
        <f aca="false">IF(AND(ISNUMBER(J35),J35&lt;=D_F01!$B$7,J35&gt;D_F01!$B$7-D_F01!$B$25),G35*R35,0)</f>
        <v>969521952</v>
      </c>
      <c r="T35" s="32" t="n">
        <f aca="false">IF(AND(ISNUMBER(J35),J35&lt;=D_F01!$B$7,J35&gt;D_F01!$B$7-D_F01!$B$25),G35,0)</f>
        <v>242380488</v>
      </c>
      <c r="U35" s="3" t="n">
        <f aca="false">IF(INDEX(D_F01!$C$51:$C$59,MATCH(C35,D_F01!$A$51:$A$59,0))="có",1,0)</f>
        <v>1</v>
      </c>
      <c r="V35" s="42" t="n">
        <f aca="false">IF(AND(N35=1,L35&gt;0,L35&lt;1,K35&gt;M35,H35+M35&gt;=D_F01!$B$7),1,0)</f>
        <v>0</v>
      </c>
      <c r="W35" s="44" t="n">
        <f aca="false">IF(V35=1,O35*L35,0)</f>
        <v>0</v>
      </c>
      <c r="X35" s="96" t="n">
        <f aca="false">IF(V35=1,L35/(1-L35)*365/(K35-M35),0)</f>
        <v>0</v>
      </c>
    </row>
    <row r="36" customFormat="false" ht="25.5" hidden="false" customHeight="true" outlineLevel="0" collapsed="false">
      <c r="A36" s="89" t="s">
        <v>3223</v>
      </c>
      <c r="B36" s="89" t="s">
        <v>2666</v>
      </c>
      <c r="C36" s="89" t="s">
        <v>1992</v>
      </c>
      <c r="D36" s="89" t="s">
        <v>3164</v>
      </c>
      <c r="E36" s="89" t="s">
        <v>3224</v>
      </c>
      <c r="F36" s="89" t="s">
        <v>3166</v>
      </c>
      <c r="G36" s="88" t="n">
        <v>411181554</v>
      </c>
      <c r="H36" s="83" t="n">
        <v>46065</v>
      </c>
      <c r="I36" s="83" t="n">
        <v>46095</v>
      </c>
      <c r="J36" s="83" t="n">
        <v>46095</v>
      </c>
      <c r="K36" s="89" t="n">
        <v>30</v>
      </c>
      <c r="L36" s="97" t="n">
        <v>0.02</v>
      </c>
      <c r="M36" s="89" t="n">
        <v>10</v>
      </c>
      <c r="N36" s="4" t="n">
        <f aca="false">IF(AND(H36&lt;=D_F01!$B$7,OR(NOT(ISNUMBER(J36)),J36&gt;D_F01!$B$7)),1,0)</f>
        <v>0</v>
      </c>
      <c r="O36" s="33" t="n">
        <f aca="false">G36*N36</f>
        <v>0</v>
      </c>
      <c r="P36" s="4" t="n">
        <f aca="false">IF(N36=1,MAX(0,D_F01!$B$7-I36),0)</f>
        <v>0</v>
      </c>
      <c r="Q36" s="4" t="n">
        <f aca="false">IF(AND(ISNUMBER(J36),J36&lt;=D_F01!$B$7),J36-I36,0)</f>
        <v>0</v>
      </c>
      <c r="R36" s="4" t="n">
        <f aca="false">MAX(0,Q36)</f>
        <v>0</v>
      </c>
      <c r="S36" s="4" t="n">
        <f aca="false">IF(AND(ISNUMBER(J36),J36&lt;=D_F01!$B$7,J36&gt;D_F01!$B$7-D_F01!$B$25),G36*R36,0)</f>
        <v>0</v>
      </c>
      <c r="T36" s="33" t="n">
        <f aca="false">IF(AND(ISNUMBER(J36),J36&lt;=D_F01!$B$7,J36&gt;D_F01!$B$7-D_F01!$B$25),G36,0)</f>
        <v>411181554</v>
      </c>
      <c r="U36" s="4" t="n">
        <f aca="false">IF(INDEX(D_F01!$C$51:$C$59,MATCH(C36,D_F01!$A$51:$A$59,0))="có",1,0)</f>
        <v>1</v>
      </c>
      <c r="V36" s="42" t="n">
        <f aca="false">IF(AND(N36=1,L36&gt;0,L36&lt;1,K36&gt;M36,H36+M36&gt;=D_F01!$B$7),1,0)</f>
        <v>0</v>
      </c>
      <c r="W36" s="44" t="n">
        <f aca="false">IF(V36=1,O36*L36,0)</f>
        <v>0</v>
      </c>
      <c r="X36" s="96" t="n">
        <f aca="false">IF(V36=1,L36/(1-L36)*365/(K36-M36),0)</f>
        <v>0</v>
      </c>
    </row>
    <row r="37" customFormat="false" ht="25.5" hidden="false" customHeight="true" outlineLevel="0" collapsed="false">
      <c r="A37" s="82" t="s">
        <v>3225</v>
      </c>
      <c r="B37" s="82" t="s">
        <v>2666</v>
      </c>
      <c r="C37" s="82" t="s">
        <v>1993</v>
      </c>
      <c r="D37" s="82" t="s">
        <v>3179</v>
      </c>
      <c r="E37" s="82" t="s">
        <v>3226</v>
      </c>
      <c r="F37" s="82" t="s">
        <v>3181</v>
      </c>
      <c r="G37" s="87" t="n">
        <v>249176976</v>
      </c>
      <c r="H37" s="84" t="n">
        <v>46069</v>
      </c>
      <c r="I37" s="84" t="n">
        <v>46114</v>
      </c>
      <c r="J37" s="84" t="n">
        <v>46125</v>
      </c>
      <c r="K37" s="82" t="n">
        <v>45</v>
      </c>
      <c r="L37" s="91" t="n">
        <v>0</v>
      </c>
      <c r="M37" s="82" t="n">
        <v>0</v>
      </c>
      <c r="N37" s="3" t="n">
        <f aca="false">IF(AND(H37&lt;=D_F01!$B$7,OR(NOT(ISNUMBER(J37)),J37&gt;D_F01!$B$7)),1,0)</f>
        <v>0</v>
      </c>
      <c r="O37" s="32" t="n">
        <f aca="false">G37*N37</f>
        <v>0</v>
      </c>
      <c r="P37" s="3" t="n">
        <f aca="false">IF(N37=1,MAX(0,D_F01!$B$7-I37),0)</f>
        <v>0</v>
      </c>
      <c r="Q37" s="3" t="n">
        <f aca="false">IF(AND(ISNUMBER(J37),J37&lt;=D_F01!$B$7),J37-I37,0)</f>
        <v>11</v>
      </c>
      <c r="R37" s="3" t="n">
        <f aca="false">MAX(0,Q37)</f>
        <v>11</v>
      </c>
      <c r="S37" s="3" t="n">
        <f aca="false">IF(AND(ISNUMBER(J37),J37&lt;=D_F01!$B$7,J37&gt;D_F01!$B$7-D_F01!$B$25),G37*R37,0)</f>
        <v>2740946736</v>
      </c>
      <c r="T37" s="32" t="n">
        <f aca="false">IF(AND(ISNUMBER(J37),J37&lt;=D_F01!$B$7,J37&gt;D_F01!$B$7-D_F01!$B$25),G37,0)</f>
        <v>249176976</v>
      </c>
      <c r="U37" s="3" t="n">
        <f aca="false">IF(INDEX(D_F01!$C$51:$C$59,MATCH(C37,D_F01!$A$51:$A$59,0))="có",1,0)</f>
        <v>0</v>
      </c>
      <c r="V37" s="42" t="n">
        <f aca="false">IF(AND(N37=1,L37&gt;0,L37&lt;1,K37&gt;M37,H37+M37&gt;=D_F01!$B$7),1,0)</f>
        <v>0</v>
      </c>
      <c r="W37" s="44" t="n">
        <f aca="false">IF(V37=1,O37*L37,0)</f>
        <v>0</v>
      </c>
      <c r="X37" s="96" t="n">
        <f aca="false">IF(V37=1,L37/(1-L37)*365/(K37-M37),0)</f>
        <v>0</v>
      </c>
    </row>
    <row r="38" customFormat="false" ht="25.5" hidden="false" customHeight="true" outlineLevel="0" collapsed="false">
      <c r="A38" s="89" t="s">
        <v>3227</v>
      </c>
      <c r="B38" s="89" t="s">
        <v>2666</v>
      </c>
      <c r="C38" s="89" t="s">
        <v>1992</v>
      </c>
      <c r="D38" s="89" t="s">
        <v>3164</v>
      </c>
      <c r="E38" s="89" t="s">
        <v>3228</v>
      </c>
      <c r="F38" s="89" t="s">
        <v>3166</v>
      </c>
      <c r="G38" s="88" t="n">
        <v>1395332808</v>
      </c>
      <c r="H38" s="83" t="n">
        <v>46075</v>
      </c>
      <c r="I38" s="83" t="n">
        <v>46105</v>
      </c>
      <c r="J38" s="83" t="n">
        <v>46108</v>
      </c>
      <c r="K38" s="89" t="n">
        <v>30</v>
      </c>
      <c r="L38" s="97" t="n">
        <v>0.02</v>
      </c>
      <c r="M38" s="89" t="n">
        <v>10</v>
      </c>
      <c r="N38" s="4" t="n">
        <f aca="false">IF(AND(H38&lt;=D_F01!$B$7,OR(NOT(ISNUMBER(J38)),J38&gt;D_F01!$B$7)),1,0)</f>
        <v>0</v>
      </c>
      <c r="O38" s="33" t="n">
        <f aca="false">G38*N38</f>
        <v>0</v>
      </c>
      <c r="P38" s="4" t="n">
        <f aca="false">IF(N38=1,MAX(0,D_F01!$B$7-I38),0)</f>
        <v>0</v>
      </c>
      <c r="Q38" s="4" t="n">
        <f aca="false">IF(AND(ISNUMBER(J38),J38&lt;=D_F01!$B$7),J38-I38,0)</f>
        <v>3</v>
      </c>
      <c r="R38" s="4" t="n">
        <f aca="false">MAX(0,Q38)</f>
        <v>3</v>
      </c>
      <c r="S38" s="4" t="n">
        <f aca="false">IF(AND(ISNUMBER(J38),J38&lt;=D_F01!$B$7,J38&gt;D_F01!$B$7-D_F01!$B$25),G38*R38,0)</f>
        <v>4185998424</v>
      </c>
      <c r="T38" s="33" t="n">
        <f aca="false">IF(AND(ISNUMBER(J38),J38&lt;=D_F01!$B$7,J38&gt;D_F01!$B$7-D_F01!$B$25),G38,0)</f>
        <v>1395332808</v>
      </c>
      <c r="U38" s="4" t="n">
        <f aca="false">IF(INDEX(D_F01!$C$51:$C$59,MATCH(C38,D_F01!$A$51:$A$59,0))="có",1,0)</f>
        <v>1</v>
      </c>
      <c r="V38" s="42" t="n">
        <f aca="false">IF(AND(N38=1,L38&gt;0,L38&lt;1,K38&gt;M38,H38+M38&gt;=D_F01!$B$7),1,0)</f>
        <v>0</v>
      </c>
      <c r="W38" s="44" t="n">
        <f aca="false">IF(V38=1,O38*L38,0)</f>
        <v>0</v>
      </c>
      <c r="X38" s="96" t="n">
        <f aca="false">IF(V38=1,L38/(1-L38)*365/(K38-M38),0)</f>
        <v>0</v>
      </c>
    </row>
    <row r="39" customFormat="false" ht="25.5" hidden="false" customHeight="true" outlineLevel="0" collapsed="false">
      <c r="A39" s="82" t="s">
        <v>3229</v>
      </c>
      <c r="B39" s="82" t="s">
        <v>2666</v>
      </c>
      <c r="C39" s="82" t="s">
        <v>1995</v>
      </c>
      <c r="D39" s="82" t="s">
        <v>2751</v>
      </c>
      <c r="E39" s="82" t="s">
        <v>3230</v>
      </c>
      <c r="F39" s="82" t="s">
        <v>3169</v>
      </c>
      <c r="G39" s="87" t="n">
        <v>119065560</v>
      </c>
      <c r="H39" s="84" t="n">
        <v>46076</v>
      </c>
      <c r="I39" s="84" t="n">
        <v>46091</v>
      </c>
      <c r="J39" s="84" t="n">
        <v>46091</v>
      </c>
      <c r="K39" s="82" t="n">
        <v>15</v>
      </c>
      <c r="L39" s="91" t="n">
        <v>0</v>
      </c>
      <c r="M39" s="82" t="n">
        <v>0</v>
      </c>
      <c r="N39" s="3" t="n">
        <f aca="false">IF(AND(H39&lt;=D_F01!$B$7,OR(NOT(ISNUMBER(J39)),J39&gt;D_F01!$B$7)),1,0)</f>
        <v>0</v>
      </c>
      <c r="O39" s="32" t="n">
        <f aca="false">G39*N39</f>
        <v>0</v>
      </c>
      <c r="P39" s="3" t="n">
        <f aca="false">IF(N39=1,MAX(0,D_F01!$B$7-I39),0)</f>
        <v>0</v>
      </c>
      <c r="Q39" s="3" t="n">
        <f aca="false">IF(AND(ISNUMBER(J39),J39&lt;=D_F01!$B$7),J39-I39,0)</f>
        <v>0</v>
      </c>
      <c r="R39" s="3" t="n">
        <f aca="false">MAX(0,Q39)</f>
        <v>0</v>
      </c>
      <c r="S39" s="3" t="n">
        <f aca="false">IF(AND(ISNUMBER(J39),J39&lt;=D_F01!$B$7,J39&gt;D_F01!$B$7-D_F01!$B$25),G39*R39,0)</f>
        <v>0</v>
      </c>
      <c r="T39" s="32" t="n">
        <f aca="false">IF(AND(ISNUMBER(J39),J39&lt;=D_F01!$B$7,J39&gt;D_F01!$B$7-D_F01!$B$25),G39,0)</f>
        <v>119065560</v>
      </c>
      <c r="U39" s="3" t="n">
        <f aca="false">IF(INDEX(D_F01!$C$51:$C$59,MATCH(C39,D_F01!$A$51:$A$59,0))="có",1,0)</f>
        <v>0</v>
      </c>
      <c r="V39" s="42" t="n">
        <f aca="false">IF(AND(N39=1,L39&gt;0,L39&lt;1,K39&gt;M39,H39+M39&gt;=D_F01!$B$7),1,0)</f>
        <v>0</v>
      </c>
      <c r="W39" s="44" t="n">
        <f aca="false">IF(V39=1,O39*L39,0)</f>
        <v>0</v>
      </c>
      <c r="X39" s="96" t="n">
        <f aca="false">IF(V39=1,L39/(1-L39)*365/(K39-M39),0)</f>
        <v>0</v>
      </c>
    </row>
    <row r="40" customFormat="false" ht="25.5" hidden="false" customHeight="true" outlineLevel="0" collapsed="false">
      <c r="A40" s="89" t="s">
        <v>3231</v>
      </c>
      <c r="B40" s="89" t="s">
        <v>2666</v>
      </c>
      <c r="C40" s="89" t="s">
        <v>1997</v>
      </c>
      <c r="D40" s="89" t="s">
        <v>2753</v>
      </c>
      <c r="E40" s="89" t="s">
        <v>3232</v>
      </c>
      <c r="F40" s="89" t="s">
        <v>3160</v>
      </c>
      <c r="G40" s="88" t="n">
        <v>442783368</v>
      </c>
      <c r="H40" s="83" t="n">
        <v>46076</v>
      </c>
      <c r="I40" s="83" t="n">
        <v>46091</v>
      </c>
      <c r="J40" s="83" t="n">
        <v>46091</v>
      </c>
      <c r="K40" s="89" t="n">
        <v>15</v>
      </c>
      <c r="L40" s="97" t="n">
        <v>0</v>
      </c>
      <c r="M40" s="89" t="n">
        <v>0</v>
      </c>
      <c r="N40" s="4" t="n">
        <f aca="false">IF(AND(H40&lt;=D_F01!$B$7,OR(NOT(ISNUMBER(J40)),J40&gt;D_F01!$B$7)),1,0)</f>
        <v>0</v>
      </c>
      <c r="O40" s="33" t="n">
        <f aca="false">G40*N40</f>
        <v>0</v>
      </c>
      <c r="P40" s="4" t="n">
        <f aca="false">IF(N40=1,MAX(0,D_F01!$B$7-I40),0)</f>
        <v>0</v>
      </c>
      <c r="Q40" s="4" t="n">
        <f aca="false">IF(AND(ISNUMBER(J40),J40&lt;=D_F01!$B$7),J40-I40,0)</f>
        <v>0</v>
      </c>
      <c r="R40" s="4" t="n">
        <f aca="false">MAX(0,Q40)</f>
        <v>0</v>
      </c>
      <c r="S40" s="4" t="n">
        <f aca="false">IF(AND(ISNUMBER(J40),J40&lt;=D_F01!$B$7,J40&gt;D_F01!$B$7-D_F01!$B$25),G40*R40,0)</f>
        <v>0</v>
      </c>
      <c r="T40" s="33" t="n">
        <f aca="false">IF(AND(ISNUMBER(J40),J40&lt;=D_F01!$B$7,J40&gt;D_F01!$B$7-D_F01!$B$25),G40,0)</f>
        <v>442783368</v>
      </c>
      <c r="U40" s="4" t="n">
        <f aca="false">IF(INDEX(D_F01!$C$51:$C$59,MATCH(C40,D_F01!$A$51:$A$59,0))="có",1,0)</f>
        <v>1</v>
      </c>
      <c r="V40" s="42" t="n">
        <f aca="false">IF(AND(N40=1,L40&gt;0,L40&lt;1,K40&gt;M40,H40+M40&gt;=D_F01!$B$7),1,0)</f>
        <v>0</v>
      </c>
      <c r="W40" s="44" t="n">
        <f aca="false">IF(V40=1,O40*L40,0)</f>
        <v>0</v>
      </c>
      <c r="X40" s="96" t="n">
        <f aca="false">IF(V40=1,L40/(1-L40)*365/(K40-M40),0)</f>
        <v>0</v>
      </c>
    </row>
    <row r="41" customFormat="false" ht="25.5" hidden="false" customHeight="true" outlineLevel="0" collapsed="false">
      <c r="A41" s="82" t="s">
        <v>3233</v>
      </c>
      <c r="B41" s="82" t="s">
        <v>2666</v>
      </c>
      <c r="C41" s="82" t="s">
        <v>1995</v>
      </c>
      <c r="D41" s="82" t="s">
        <v>2751</v>
      </c>
      <c r="E41" s="82" t="s">
        <v>3234</v>
      </c>
      <c r="F41" s="82" t="s">
        <v>3169</v>
      </c>
      <c r="G41" s="87" t="n">
        <v>102729834</v>
      </c>
      <c r="H41" s="84" t="n">
        <v>46078</v>
      </c>
      <c r="I41" s="84" t="n">
        <v>46093</v>
      </c>
      <c r="J41" s="84" t="n">
        <v>46094</v>
      </c>
      <c r="K41" s="82" t="n">
        <v>15</v>
      </c>
      <c r="L41" s="91" t="n">
        <v>0</v>
      </c>
      <c r="M41" s="82" t="n">
        <v>0</v>
      </c>
      <c r="N41" s="3" t="n">
        <f aca="false">IF(AND(H41&lt;=D_F01!$B$7,OR(NOT(ISNUMBER(J41)),J41&gt;D_F01!$B$7)),1,0)</f>
        <v>0</v>
      </c>
      <c r="O41" s="32" t="n">
        <f aca="false">G41*N41</f>
        <v>0</v>
      </c>
      <c r="P41" s="3" t="n">
        <f aca="false">IF(N41=1,MAX(0,D_F01!$B$7-I41),0)</f>
        <v>0</v>
      </c>
      <c r="Q41" s="3" t="n">
        <f aca="false">IF(AND(ISNUMBER(J41),J41&lt;=D_F01!$B$7),J41-I41,0)</f>
        <v>1</v>
      </c>
      <c r="R41" s="3" t="n">
        <f aca="false">MAX(0,Q41)</f>
        <v>1</v>
      </c>
      <c r="S41" s="3" t="n">
        <f aca="false">IF(AND(ISNUMBER(J41),J41&lt;=D_F01!$B$7,J41&gt;D_F01!$B$7-D_F01!$B$25),G41*R41,0)</f>
        <v>102729834</v>
      </c>
      <c r="T41" s="32" t="n">
        <f aca="false">IF(AND(ISNUMBER(J41),J41&lt;=D_F01!$B$7,J41&gt;D_F01!$B$7-D_F01!$B$25),G41,0)</f>
        <v>102729834</v>
      </c>
      <c r="U41" s="3" t="n">
        <f aca="false">IF(INDEX(D_F01!$C$51:$C$59,MATCH(C41,D_F01!$A$51:$A$59,0))="có",1,0)</f>
        <v>0</v>
      </c>
      <c r="V41" s="42" t="n">
        <f aca="false">IF(AND(N41=1,L41&gt;0,L41&lt;1,K41&gt;M41,H41+M41&gt;=D_F01!$B$7),1,0)</f>
        <v>0</v>
      </c>
      <c r="W41" s="44" t="n">
        <f aca="false">IF(V41=1,O41*L41,0)</f>
        <v>0</v>
      </c>
      <c r="X41" s="96" t="n">
        <f aca="false">IF(V41=1,L41/(1-L41)*365/(K41-M41),0)</f>
        <v>0</v>
      </c>
    </row>
    <row r="42" customFormat="false" ht="25.5" hidden="false" customHeight="true" outlineLevel="0" collapsed="false">
      <c r="A42" s="89" t="s">
        <v>3235</v>
      </c>
      <c r="B42" s="89" t="s">
        <v>2666</v>
      </c>
      <c r="C42" s="89" t="s">
        <v>1994</v>
      </c>
      <c r="D42" s="89" t="s">
        <v>2750</v>
      </c>
      <c r="E42" s="89" t="s">
        <v>3236</v>
      </c>
      <c r="F42" s="89" t="s">
        <v>3157</v>
      </c>
      <c r="G42" s="88" t="n">
        <v>187151178</v>
      </c>
      <c r="H42" s="83" t="n">
        <v>46079</v>
      </c>
      <c r="I42" s="83" t="n">
        <v>46094</v>
      </c>
      <c r="J42" s="83" t="n">
        <v>46098</v>
      </c>
      <c r="K42" s="89" t="n">
        <v>15</v>
      </c>
      <c r="L42" s="97" t="n">
        <v>0</v>
      </c>
      <c r="M42" s="89" t="n">
        <v>0</v>
      </c>
      <c r="N42" s="4" t="n">
        <f aca="false">IF(AND(H42&lt;=D_F01!$B$7,OR(NOT(ISNUMBER(J42)),J42&gt;D_F01!$B$7)),1,0)</f>
        <v>0</v>
      </c>
      <c r="O42" s="33" t="n">
        <f aca="false">G42*N42</f>
        <v>0</v>
      </c>
      <c r="P42" s="4" t="n">
        <f aca="false">IF(N42=1,MAX(0,D_F01!$B$7-I42),0)</f>
        <v>0</v>
      </c>
      <c r="Q42" s="4" t="n">
        <f aca="false">IF(AND(ISNUMBER(J42),J42&lt;=D_F01!$B$7),J42-I42,0)</f>
        <v>4</v>
      </c>
      <c r="R42" s="4" t="n">
        <f aca="false">MAX(0,Q42)</f>
        <v>4</v>
      </c>
      <c r="S42" s="4" t="n">
        <f aca="false">IF(AND(ISNUMBER(J42),J42&lt;=D_F01!$B$7,J42&gt;D_F01!$B$7-D_F01!$B$25),G42*R42,0)</f>
        <v>748604712</v>
      </c>
      <c r="T42" s="33" t="n">
        <f aca="false">IF(AND(ISNUMBER(J42),J42&lt;=D_F01!$B$7,J42&gt;D_F01!$B$7-D_F01!$B$25),G42,0)</f>
        <v>187151178</v>
      </c>
      <c r="U42" s="4" t="n">
        <f aca="false">IF(INDEX(D_F01!$C$51:$C$59,MATCH(C42,D_F01!$A$51:$A$59,0))="có",1,0)</f>
        <v>1</v>
      </c>
      <c r="V42" s="42" t="n">
        <f aca="false">IF(AND(N42=1,L42&gt;0,L42&lt;1,K42&gt;M42,H42+M42&gt;=D_F01!$B$7),1,0)</f>
        <v>0</v>
      </c>
      <c r="W42" s="44" t="n">
        <f aca="false">IF(V42=1,O42*L42,0)</f>
        <v>0</v>
      </c>
      <c r="X42" s="96" t="n">
        <f aca="false">IF(V42=1,L42/(1-L42)*365/(K42-M42),0)</f>
        <v>0</v>
      </c>
    </row>
    <row r="43" customFormat="false" ht="25.5" hidden="false" customHeight="true" outlineLevel="0" collapsed="false">
      <c r="A43" s="82" t="s">
        <v>3237</v>
      </c>
      <c r="B43" s="82" t="s">
        <v>2666</v>
      </c>
      <c r="C43" s="82" t="s">
        <v>1995</v>
      </c>
      <c r="D43" s="82" t="s">
        <v>2751</v>
      </c>
      <c r="E43" s="82" t="s">
        <v>3238</v>
      </c>
      <c r="F43" s="82" t="s">
        <v>3169</v>
      </c>
      <c r="G43" s="87" t="n">
        <v>99279564</v>
      </c>
      <c r="H43" s="84" t="n">
        <v>46083</v>
      </c>
      <c r="I43" s="84" t="n">
        <v>46098</v>
      </c>
      <c r="J43" s="84" t="n">
        <v>46098</v>
      </c>
      <c r="K43" s="82" t="n">
        <v>15</v>
      </c>
      <c r="L43" s="91" t="n">
        <v>0</v>
      </c>
      <c r="M43" s="82" t="n">
        <v>0</v>
      </c>
      <c r="N43" s="3" t="n">
        <f aca="false">IF(AND(H43&lt;=D_F01!$B$7,OR(NOT(ISNUMBER(J43)),J43&gt;D_F01!$B$7)),1,0)</f>
        <v>0</v>
      </c>
      <c r="O43" s="32" t="n">
        <f aca="false">G43*N43</f>
        <v>0</v>
      </c>
      <c r="P43" s="3" t="n">
        <f aca="false">IF(N43=1,MAX(0,D_F01!$B$7-I43),0)</f>
        <v>0</v>
      </c>
      <c r="Q43" s="3" t="n">
        <f aca="false">IF(AND(ISNUMBER(J43),J43&lt;=D_F01!$B$7),J43-I43,0)</f>
        <v>0</v>
      </c>
      <c r="R43" s="3" t="n">
        <f aca="false">MAX(0,Q43)</f>
        <v>0</v>
      </c>
      <c r="S43" s="3" t="n">
        <f aca="false">IF(AND(ISNUMBER(J43),J43&lt;=D_F01!$B$7,J43&gt;D_F01!$B$7-D_F01!$B$25),G43*R43,0)</f>
        <v>0</v>
      </c>
      <c r="T43" s="32" t="n">
        <f aca="false">IF(AND(ISNUMBER(J43),J43&lt;=D_F01!$B$7,J43&gt;D_F01!$B$7-D_F01!$B$25),G43,0)</f>
        <v>99279564</v>
      </c>
      <c r="U43" s="3" t="n">
        <f aca="false">IF(INDEX(D_F01!$C$51:$C$59,MATCH(C43,D_F01!$A$51:$A$59,0))="có",1,0)</f>
        <v>0</v>
      </c>
      <c r="V43" s="42" t="n">
        <f aca="false">IF(AND(N43=1,L43&gt;0,L43&lt;1,K43&gt;M43,H43+M43&gt;=D_F01!$B$7),1,0)</f>
        <v>0</v>
      </c>
      <c r="W43" s="44" t="n">
        <f aca="false">IF(V43=1,O43*L43,0)</f>
        <v>0</v>
      </c>
      <c r="X43" s="96" t="n">
        <f aca="false">IF(V43=1,L43/(1-L43)*365/(K43-M43),0)</f>
        <v>0</v>
      </c>
    </row>
    <row r="44" customFormat="false" ht="25.5" hidden="false" customHeight="true" outlineLevel="0" collapsed="false">
      <c r="A44" s="89" t="s">
        <v>3239</v>
      </c>
      <c r="B44" s="89" t="s">
        <v>2666</v>
      </c>
      <c r="C44" s="89" t="s">
        <v>1996</v>
      </c>
      <c r="D44" s="89" t="s">
        <v>2752</v>
      </c>
      <c r="E44" s="89" t="s">
        <v>3240</v>
      </c>
      <c r="F44" s="89" t="s">
        <v>3241</v>
      </c>
      <c r="G44" s="88" t="n">
        <v>417903126</v>
      </c>
      <c r="H44" s="83" t="n">
        <v>46083</v>
      </c>
      <c r="I44" s="83" t="n">
        <v>46113</v>
      </c>
      <c r="J44" s="83" t="n">
        <v>46113</v>
      </c>
      <c r="K44" s="89" t="n">
        <v>30</v>
      </c>
      <c r="L44" s="97" t="n">
        <v>0</v>
      </c>
      <c r="M44" s="89" t="n">
        <v>0</v>
      </c>
      <c r="N44" s="4" t="n">
        <f aca="false">IF(AND(H44&lt;=D_F01!$B$7,OR(NOT(ISNUMBER(J44)),J44&gt;D_F01!$B$7)),1,0)</f>
        <v>0</v>
      </c>
      <c r="O44" s="33" t="n">
        <f aca="false">G44*N44</f>
        <v>0</v>
      </c>
      <c r="P44" s="4" t="n">
        <f aca="false">IF(N44=1,MAX(0,D_F01!$B$7-I44),0)</f>
        <v>0</v>
      </c>
      <c r="Q44" s="4" t="n">
        <f aca="false">IF(AND(ISNUMBER(J44),J44&lt;=D_F01!$B$7),J44-I44,0)</f>
        <v>0</v>
      </c>
      <c r="R44" s="4" t="n">
        <f aca="false">MAX(0,Q44)</f>
        <v>0</v>
      </c>
      <c r="S44" s="4" t="n">
        <f aca="false">IF(AND(ISNUMBER(J44),J44&lt;=D_F01!$B$7,J44&gt;D_F01!$B$7-D_F01!$B$25),G44*R44,0)</f>
        <v>0</v>
      </c>
      <c r="T44" s="33" t="n">
        <f aca="false">IF(AND(ISNUMBER(J44),J44&lt;=D_F01!$B$7,J44&gt;D_F01!$B$7-D_F01!$B$25),G44,0)</f>
        <v>417903126</v>
      </c>
      <c r="U44" s="4" t="n">
        <f aca="false">IF(INDEX(D_F01!$C$51:$C$59,MATCH(C44,D_F01!$A$51:$A$59,0))="có",1,0)</f>
        <v>0</v>
      </c>
      <c r="V44" s="42" t="n">
        <f aca="false">IF(AND(N44=1,L44&gt;0,L44&lt;1,K44&gt;M44,H44+M44&gt;=D_F01!$B$7),1,0)</f>
        <v>0</v>
      </c>
      <c r="W44" s="44" t="n">
        <f aca="false">IF(V44=1,O44*L44,0)</f>
        <v>0</v>
      </c>
      <c r="X44" s="96" t="n">
        <f aca="false">IF(V44=1,L44/(1-L44)*365/(K44-M44),0)</f>
        <v>0</v>
      </c>
    </row>
    <row r="45" customFormat="false" ht="25.5" hidden="false" customHeight="true" outlineLevel="0" collapsed="false">
      <c r="A45" s="82" t="s">
        <v>3242</v>
      </c>
      <c r="B45" s="82" t="s">
        <v>2666</v>
      </c>
      <c r="C45" s="82" t="s">
        <v>1993</v>
      </c>
      <c r="D45" s="82" t="s">
        <v>3179</v>
      </c>
      <c r="E45" s="82" t="s">
        <v>3243</v>
      </c>
      <c r="F45" s="82" t="s">
        <v>3181</v>
      </c>
      <c r="G45" s="87" t="n">
        <v>266066238</v>
      </c>
      <c r="H45" s="84" t="n">
        <v>46084</v>
      </c>
      <c r="I45" s="84" t="n">
        <v>46129</v>
      </c>
      <c r="J45" s="84" t="n">
        <v>46141</v>
      </c>
      <c r="K45" s="82" t="n">
        <v>45</v>
      </c>
      <c r="L45" s="91" t="n">
        <v>0</v>
      </c>
      <c r="M45" s="82" t="n">
        <v>0</v>
      </c>
      <c r="N45" s="3" t="n">
        <f aca="false">IF(AND(H45&lt;=D_F01!$B$7,OR(NOT(ISNUMBER(J45)),J45&gt;D_F01!$B$7)),1,0)</f>
        <v>0</v>
      </c>
      <c r="O45" s="32" t="n">
        <f aca="false">G45*N45</f>
        <v>0</v>
      </c>
      <c r="P45" s="3" t="n">
        <f aca="false">IF(N45=1,MAX(0,D_F01!$B$7-I45),0)</f>
        <v>0</v>
      </c>
      <c r="Q45" s="3" t="n">
        <f aca="false">IF(AND(ISNUMBER(J45),J45&lt;=D_F01!$B$7),J45-I45,0)</f>
        <v>12</v>
      </c>
      <c r="R45" s="3" t="n">
        <f aca="false">MAX(0,Q45)</f>
        <v>12</v>
      </c>
      <c r="S45" s="3" t="n">
        <f aca="false">IF(AND(ISNUMBER(J45),J45&lt;=D_F01!$B$7,J45&gt;D_F01!$B$7-D_F01!$B$25),G45*R45,0)</f>
        <v>3192794856</v>
      </c>
      <c r="T45" s="32" t="n">
        <f aca="false">IF(AND(ISNUMBER(J45),J45&lt;=D_F01!$B$7,J45&gt;D_F01!$B$7-D_F01!$B$25),G45,0)</f>
        <v>266066238</v>
      </c>
      <c r="U45" s="3" t="n">
        <f aca="false">IF(INDEX(D_F01!$C$51:$C$59,MATCH(C45,D_F01!$A$51:$A$59,0))="có",1,0)</f>
        <v>0</v>
      </c>
      <c r="V45" s="42" t="n">
        <f aca="false">IF(AND(N45=1,L45&gt;0,L45&lt;1,K45&gt;M45,H45+M45&gt;=D_F01!$B$7),1,0)</f>
        <v>0</v>
      </c>
      <c r="W45" s="44" t="n">
        <f aca="false">IF(V45=1,O45*L45,0)</f>
        <v>0</v>
      </c>
      <c r="X45" s="96" t="n">
        <f aca="false">IF(V45=1,L45/(1-L45)*365/(K45-M45),0)</f>
        <v>0</v>
      </c>
    </row>
    <row r="46" customFormat="false" ht="25.5" hidden="false" customHeight="true" outlineLevel="0" collapsed="false">
      <c r="A46" s="89" t="s">
        <v>3244</v>
      </c>
      <c r="B46" s="89" t="s">
        <v>2666</v>
      </c>
      <c r="C46" s="89" t="s">
        <v>1995</v>
      </c>
      <c r="D46" s="89" t="s">
        <v>2751</v>
      </c>
      <c r="E46" s="89" t="s">
        <v>3245</v>
      </c>
      <c r="F46" s="89" t="s">
        <v>3169</v>
      </c>
      <c r="G46" s="88" t="n">
        <v>78715284</v>
      </c>
      <c r="H46" s="83" t="n">
        <v>46084</v>
      </c>
      <c r="I46" s="83" t="n">
        <v>46099</v>
      </c>
      <c r="J46" s="83" t="n">
        <v>46099</v>
      </c>
      <c r="K46" s="89" t="n">
        <v>15</v>
      </c>
      <c r="L46" s="97" t="n">
        <v>0</v>
      </c>
      <c r="M46" s="89" t="n">
        <v>0</v>
      </c>
      <c r="N46" s="4" t="n">
        <f aca="false">IF(AND(H46&lt;=D_F01!$B$7,OR(NOT(ISNUMBER(J46)),J46&gt;D_F01!$B$7)),1,0)</f>
        <v>0</v>
      </c>
      <c r="O46" s="33" t="n">
        <f aca="false">G46*N46</f>
        <v>0</v>
      </c>
      <c r="P46" s="4" t="n">
        <f aca="false">IF(N46=1,MAX(0,D_F01!$B$7-I46),0)</f>
        <v>0</v>
      </c>
      <c r="Q46" s="4" t="n">
        <f aca="false">IF(AND(ISNUMBER(J46),J46&lt;=D_F01!$B$7),J46-I46,0)</f>
        <v>0</v>
      </c>
      <c r="R46" s="4" t="n">
        <f aca="false">MAX(0,Q46)</f>
        <v>0</v>
      </c>
      <c r="S46" s="4" t="n">
        <f aca="false">IF(AND(ISNUMBER(J46),J46&lt;=D_F01!$B$7,J46&gt;D_F01!$B$7-D_F01!$B$25),G46*R46,0)</f>
        <v>0</v>
      </c>
      <c r="T46" s="33" t="n">
        <f aca="false">IF(AND(ISNUMBER(J46),J46&lt;=D_F01!$B$7,J46&gt;D_F01!$B$7-D_F01!$B$25),G46,0)</f>
        <v>78715284</v>
      </c>
      <c r="U46" s="4" t="n">
        <f aca="false">IF(INDEX(D_F01!$C$51:$C$59,MATCH(C46,D_F01!$A$51:$A$59,0))="có",1,0)</f>
        <v>0</v>
      </c>
      <c r="V46" s="42" t="n">
        <f aca="false">IF(AND(N46=1,L46&gt;0,L46&lt;1,K46&gt;M46,H46+M46&gt;=D_F01!$B$7),1,0)</f>
        <v>0</v>
      </c>
      <c r="W46" s="44" t="n">
        <f aca="false">IF(V46=1,O46*L46,0)</f>
        <v>0</v>
      </c>
      <c r="X46" s="96" t="n">
        <f aca="false">IF(V46=1,L46/(1-L46)*365/(K46-M46),0)</f>
        <v>0</v>
      </c>
    </row>
    <row r="47" customFormat="false" ht="25.5" hidden="false" customHeight="true" outlineLevel="0" collapsed="false">
      <c r="A47" s="82" t="s">
        <v>3246</v>
      </c>
      <c r="B47" s="82" t="s">
        <v>2666</v>
      </c>
      <c r="C47" s="82" t="s">
        <v>1995</v>
      </c>
      <c r="D47" s="82" t="s">
        <v>2751</v>
      </c>
      <c r="E47" s="82" t="s">
        <v>3247</v>
      </c>
      <c r="F47" s="82" t="s">
        <v>3169</v>
      </c>
      <c r="G47" s="87" t="n">
        <v>116589186</v>
      </c>
      <c r="H47" s="84" t="n">
        <v>46087</v>
      </c>
      <c r="I47" s="84" t="n">
        <v>46102</v>
      </c>
      <c r="J47" s="84" t="n">
        <v>46101</v>
      </c>
      <c r="K47" s="82" t="n">
        <v>15</v>
      </c>
      <c r="L47" s="91" t="n">
        <v>0</v>
      </c>
      <c r="M47" s="82" t="n">
        <v>0</v>
      </c>
      <c r="N47" s="3" t="n">
        <f aca="false">IF(AND(H47&lt;=D_F01!$B$7,OR(NOT(ISNUMBER(J47)),J47&gt;D_F01!$B$7)),1,0)</f>
        <v>0</v>
      </c>
      <c r="O47" s="32" t="n">
        <f aca="false">G47*N47</f>
        <v>0</v>
      </c>
      <c r="P47" s="3" t="n">
        <f aca="false">IF(N47=1,MAX(0,D_F01!$B$7-I47),0)</f>
        <v>0</v>
      </c>
      <c r="Q47" s="3" t="n">
        <f aca="false">IF(AND(ISNUMBER(J47),J47&lt;=D_F01!$B$7),J47-I47,0)</f>
        <v>-1</v>
      </c>
      <c r="R47" s="3" t="n">
        <f aca="false">MAX(0,Q47)</f>
        <v>0</v>
      </c>
      <c r="S47" s="3" t="n">
        <f aca="false">IF(AND(ISNUMBER(J47),J47&lt;=D_F01!$B$7,J47&gt;D_F01!$B$7-D_F01!$B$25),G47*R47,0)</f>
        <v>0</v>
      </c>
      <c r="T47" s="32" t="n">
        <f aca="false">IF(AND(ISNUMBER(J47),J47&lt;=D_F01!$B$7,J47&gt;D_F01!$B$7-D_F01!$B$25),G47,0)</f>
        <v>116589186</v>
      </c>
      <c r="U47" s="3" t="n">
        <f aca="false">IF(INDEX(D_F01!$C$51:$C$59,MATCH(C47,D_F01!$A$51:$A$59,0))="có",1,0)</f>
        <v>0</v>
      </c>
      <c r="V47" s="42" t="n">
        <f aca="false">IF(AND(N47=1,L47&gt;0,L47&lt;1,K47&gt;M47,H47+M47&gt;=D_F01!$B$7),1,0)</f>
        <v>0</v>
      </c>
      <c r="W47" s="44" t="n">
        <f aca="false">IF(V47=1,O47*L47,0)</f>
        <v>0</v>
      </c>
      <c r="X47" s="96" t="n">
        <f aca="false">IF(V47=1,L47/(1-L47)*365/(K47-M47),0)</f>
        <v>0</v>
      </c>
    </row>
    <row r="48" customFormat="false" ht="25.5" hidden="false" customHeight="true" outlineLevel="0" collapsed="false">
      <c r="A48" s="89" t="s">
        <v>3248</v>
      </c>
      <c r="B48" s="89" t="s">
        <v>2666</v>
      </c>
      <c r="C48" s="89" t="s">
        <v>1992</v>
      </c>
      <c r="D48" s="89" t="s">
        <v>3164</v>
      </c>
      <c r="E48" s="89" t="s">
        <v>3249</v>
      </c>
      <c r="F48" s="89" t="s">
        <v>3166</v>
      </c>
      <c r="G48" s="88" t="n">
        <v>338451174</v>
      </c>
      <c r="H48" s="83" t="n">
        <v>46089</v>
      </c>
      <c r="I48" s="83" t="n">
        <v>46119</v>
      </c>
      <c r="J48" s="83" t="n">
        <v>46120</v>
      </c>
      <c r="K48" s="89" t="n">
        <v>30</v>
      </c>
      <c r="L48" s="97" t="n">
        <v>0.02</v>
      </c>
      <c r="M48" s="89" t="n">
        <v>10</v>
      </c>
      <c r="N48" s="4" t="n">
        <f aca="false">IF(AND(H48&lt;=D_F01!$B$7,OR(NOT(ISNUMBER(J48)),J48&gt;D_F01!$B$7)),1,0)</f>
        <v>0</v>
      </c>
      <c r="O48" s="33" t="n">
        <f aca="false">G48*N48</f>
        <v>0</v>
      </c>
      <c r="P48" s="4" t="n">
        <f aca="false">IF(N48=1,MAX(0,D_F01!$B$7-I48),0)</f>
        <v>0</v>
      </c>
      <c r="Q48" s="4" t="n">
        <f aca="false">IF(AND(ISNUMBER(J48),J48&lt;=D_F01!$B$7),J48-I48,0)</f>
        <v>1</v>
      </c>
      <c r="R48" s="4" t="n">
        <f aca="false">MAX(0,Q48)</f>
        <v>1</v>
      </c>
      <c r="S48" s="4" t="n">
        <f aca="false">IF(AND(ISNUMBER(J48),J48&lt;=D_F01!$B$7,J48&gt;D_F01!$B$7-D_F01!$B$25),G48*R48,0)</f>
        <v>338451174</v>
      </c>
      <c r="T48" s="33" t="n">
        <f aca="false">IF(AND(ISNUMBER(J48),J48&lt;=D_F01!$B$7,J48&gt;D_F01!$B$7-D_F01!$B$25),G48,0)</f>
        <v>338451174</v>
      </c>
      <c r="U48" s="4" t="n">
        <f aca="false">IF(INDEX(D_F01!$C$51:$C$59,MATCH(C48,D_F01!$A$51:$A$59,0))="có",1,0)</f>
        <v>1</v>
      </c>
      <c r="V48" s="42" t="n">
        <f aca="false">IF(AND(N48=1,L48&gt;0,L48&lt;1,K48&gt;M48,H48+M48&gt;=D_F01!$B$7),1,0)</f>
        <v>0</v>
      </c>
      <c r="W48" s="44" t="n">
        <f aca="false">IF(V48=1,O48*L48,0)</f>
        <v>0</v>
      </c>
      <c r="X48" s="96" t="n">
        <f aca="false">IF(V48=1,L48/(1-L48)*365/(K48-M48),0)</f>
        <v>0</v>
      </c>
    </row>
    <row r="49" customFormat="false" ht="25.5" hidden="false" customHeight="true" outlineLevel="0" collapsed="false">
      <c r="A49" s="82" t="s">
        <v>3250</v>
      </c>
      <c r="B49" s="82" t="s">
        <v>2666</v>
      </c>
      <c r="C49" s="82" t="s">
        <v>1994</v>
      </c>
      <c r="D49" s="82" t="s">
        <v>2750</v>
      </c>
      <c r="E49" s="82" t="s">
        <v>3251</v>
      </c>
      <c r="F49" s="82" t="s">
        <v>3157</v>
      </c>
      <c r="G49" s="87" t="n">
        <v>203432796</v>
      </c>
      <c r="H49" s="84" t="n">
        <v>46089</v>
      </c>
      <c r="I49" s="84" t="n">
        <v>46104</v>
      </c>
      <c r="J49" s="84" t="n">
        <v>46104</v>
      </c>
      <c r="K49" s="82" t="n">
        <v>15</v>
      </c>
      <c r="L49" s="91" t="n">
        <v>0</v>
      </c>
      <c r="M49" s="82" t="n">
        <v>0</v>
      </c>
      <c r="N49" s="3" t="n">
        <f aca="false">IF(AND(H49&lt;=D_F01!$B$7,OR(NOT(ISNUMBER(J49)),J49&gt;D_F01!$B$7)),1,0)</f>
        <v>0</v>
      </c>
      <c r="O49" s="32" t="n">
        <f aca="false">G49*N49</f>
        <v>0</v>
      </c>
      <c r="P49" s="3" t="n">
        <f aca="false">IF(N49=1,MAX(0,D_F01!$B$7-I49),0)</f>
        <v>0</v>
      </c>
      <c r="Q49" s="3" t="n">
        <f aca="false">IF(AND(ISNUMBER(J49),J49&lt;=D_F01!$B$7),J49-I49,0)</f>
        <v>0</v>
      </c>
      <c r="R49" s="3" t="n">
        <f aca="false">MAX(0,Q49)</f>
        <v>0</v>
      </c>
      <c r="S49" s="3" t="n">
        <f aca="false">IF(AND(ISNUMBER(J49),J49&lt;=D_F01!$B$7,J49&gt;D_F01!$B$7-D_F01!$B$25),G49*R49,0)</f>
        <v>0</v>
      </c>
      <c r="T49" s="32" t="n">
        <f aca="false">IF(AND(ISNUMBER(J49),J49&lt;=D_F01!$B$7,J49&gt;D_F01!$B$7-D_F01!$B$25),G49,0)</f>
        <v>203432796</v>
      </c>
      <c r="U49" s="3" t="n">
        <f aca="false">IF(INDEX(D_F01!$C$51:$C$59,MATCH(C49,D_F01!$A$51:$A$59,0))="có",1,0)</f>
        <v>1</v>
      </c>
      <c r="V49" s="42" t="n">
        <f aca="false">IF(AND(N49=1,L49&gt;0,L49&lt;1,K49&gt;M49,H49+M49&gt;=D_F01!$B$7),1,0)</f>
        <v>0</v>
      </c>
      <c r="W49" s="44" t="n">
        <f aca="false">IF(V49=1,O49*L49,0)</f>
        <v>0</v>
      </c>
      <c r="X49" s="96" t="n">
        <f aca="false">IF(V49=1,L49/(1-L49)*365/(K49-M49),0)</f>
        <v>0</v>
      </c>
    </row>
    <row r="50" customFormat="false" ht="25.5" hidden="false" customHeight="true" outlineLevel="0" collapsed="false">
      <c r="A50" s="89" t="s">
        <v>3252</v>
      </c>
      <c r="B50" s="89" t="s">
        <v>2666</v>
      </c>
      <c r="C50" s="89" t="s">
        <v>1992</v>
      </c>
      <c r="D50" s="89" t="s">
        <v>3164</v>
      </c>
      <c r="E50" s="89" t="s">
        <v>3253</v>
      </c>
      <c r="F50" s="89" t="s">
        <v>3166</v>
      </c>
      <c r="G50" s="88" t="n">
        <v>969958944</v>
      </c>
      <c r="H50" s="83" t="n">
        <v>46090</v>
      </c>
      <c r="I50" s="83" t="n">
        <v>46120</v>
      </c>
      <c r="J50" s="83" t="n">
        <v>46125</v>
      </c>
      <c r="K50" s="89" t="n">
        <v>30</v>
      </c>
      <c r="L50" s="97" t="n">
        <v>0.02</v>
      </c>
      <c r="M50" s="89" t="n">
        <v>10</v>
      </c>
      <c r="N50" s="4" t="n">
        <f aca="false">IF(AND(H50&lt;=D_F01!$B$7,OR(NOT(ISNUMBER(J50)),J50&gt;D_F01!$B$7)),1,0)</f>
        <v>0</v>
      </c>
      <c r="O50" s="33" t="n">
        <f aca="false">G50*N50</f>
        <v>0</v>
      </c>
      <c r="P50" s="4" t="n">
        <f aca="false">IF(N50=1,MAX(0,D_F01!$B$7-I50),0)</f>
        <v>0</v>
      </c>
      <c r="Q50" s="4" t="n">
        <f aca="false">IF(AND(ISNUMBER(J50),J50&lt;=D_F01!$B$7),J50-I50,0)</f>
        <v>5</v>
      </c>
      <c r="R50" s="4" t="n">
        <f aca="false">MAX(0,Q50)</f>
        <v>5</v>
      </c>
      <c r="S50" s="4" t="n">
        <f aca="false">IF(AND(ISNUMBER(J50),J50&lt;=D_F01!$B$7,J50&gt;D_F01!$B$7-D_F01!$B$25),G50*R50,0)</f>
        <v>4849794720</v>
      </c>
      <c r="T50" s="33" t="n">
        <f aca="false">IF(AND(ISNUMBER(J50),J50&lt;=D_F01!$B$7,J50&gt;D_F01!$B$7-D_F01!$B$25),G50,0)</f>
        <v>969958944</v>
      </c>
      <c r="U50" s="4" t="n">
        <f aca="false">IF(INDEX(D_F01!$C$51:$C$59,MATCH(C50,D_F01!$A$51:$A$59,0))="có",1,0)</f>
        <v>1</v>
      </c>
      <c r="V50" s="42" t="n">
        <f aca="false">IF(AND(N50=1,L50&gt;0,L50&lt;1,K50&gt;M50,H50+M50&gt;=D_F01!$B$7),1,0)</f>
        <v>0</v>
      </c>
      <c r="W50" s="44" t="n">
        <f aca="false">IF(V50=1,O50*L50,0)</f>
        <v>0</v>
      </c>
      <c r="X50" s="96" t="n">
        <f aca="false">IF(V50=1,L50/(1-L50)*365/(K50-M50),0)</f>
        <v>0</v>
      </c>
    </row>
    <row r="51" customFormat="false" ht="25.5" hidden="false" customHeight="true" outlineLevel="0" collapsed="false">
      <c r="A51" s="82" t="s">
        <v>3254</v>
      </c>
      <c r="B51" s="82" t="s">
        <v>2666</v>
      </c>
      <c r="C51" s="82" t="s">
        <v>1995</v>
      </c>
      <c r="D51" s="82" t="s">
        <v>2751</v>
      </c>
      <c r="E51" s="82" t="s">
        <v>3255</v>
      </c>
      <c r="F51" s="82" t="s">
        <v>3169</v>
      </c>
      <c r="G51" s="87" t="n">
        <v>56190720</v>
      </c>
      <c r="H51" s="84" t="n">
        <v>46090</v>
      </c>
      <c r="I51" s="84" t="n">
        <v>46105</v>
      </c>
      <c r="J51" s="84" t="n">
        <v>46106</v>
      </c>
      <c r="K51" s="82" t="n">
        <v>15</v>
      </c>
      <c r="L51" s="91" t="n">
        <v>0</v>
      </c>
      <c r="M51" s="82" t="n">
        <v>0</v>
      </c>
      <c r="N51" s="3" t="n">
        <f aca="false">IF(AND(H51&lt;=D_F01!$B$7,OR(NOT(ISNUMBER(J51)),J51&gt;D_F01!$B$7)),1,0)</f>
        <v>0</v>
      </c>
      <c r="O51" s="32" t="n">
        <f aca="false">G51*N51</f>
        <v>0</v>
      </c>
      <c r="P51" s="3" t="n">
        <f aca="false">IF(N51=1,MAX(0,D_F01!$B$7-I51),0)</f>
        <v>0</v>
      </c>
      <c r="Q51" s="3" t="n">
        <f aca="false">IF(AND(ISNUMBER(J51),J51&lt;=D_F01!$B$7),J51-I51,0)</f>
        <v>1</v>
      </c>
      <c r="R51" s="3" t="n">
        <f aca="false">MAX(0,Q51)</f>
        <v>1</v>
      </c>
      <c r="S51" s="3" t="n">
        <f aca="false">IF(AND(ISNUMBER(J51),J51&lt;=D_F01!$B$7,J51&gt;D_F01!$B$7-D_F01!$B$25),G51*R51,0)</f>
        <v>56190720</v>
      </c>
      <c r="T51" s="32" t="n">
        <f aca="false">IF(AND(ISNUMBER(J51),J51&lt;=D_F01!$B$7,J51&gt;D_F01!$B$7-D_F01!$B$25),G51,0)</f>
        <v>56190720</v>
      </c>
      <c r="U51" s="3" t="n">
        <f aca="false">IF(INDEX(D_F01!$C$51:$C$59,MATCH(C51,D_F01!$A$51:$A$59,0))="có",1,0)</f>
        <v>0</v>
      </c>
      <c r="V51" s="42" t="n">
        <f aca="false">IF(AND(N51=1,L51&gt;0,L51&lt;1,K51&gt;M51,H51+M51&gt;=D_F01!$B$7),1,0)</f>
        <v>0</v>
      </c>
      <c r="W51" s="44" t="n">
        <f aca="false">IF(V51=1,O51*L51,0)</f>
        <v>0</v>
      </c>
      <c r="X51" s="96" t="n">
        <f aca="false">IF(V51=1,L51/(1-L51)*365/(K51-M51),0)</f>
        <v>0</v>
      </c>
    </row>
    <row r="52" customFormat="false" ht="25.5" hidden="false" customHeight="true" outlineLevel="0" collapsed="false">
      <c r="A52" s="89" t="s">
        <v>3256</v>
      </c>
      <c r="B52" s="89" t="s">
        <v>2666</v>
      </c>
      <c r="C52" s="89" t="s">
        <v>2000</v>
      </c>
      <c r="D52" s="89" t="s">
        <v>2756</v>
      </c>
      <c r="E52" s="89" t="s">
        <v>3257</v>
      </c>
      <c r="F52" s="89" t="s">
        <v>3154</v>
      </c>
      <c r="G52" s="88" t="n">
        <v>306703686</v>
      </c>
      <c r="H52" s="83" t="n">
        <v>46090</v>
      </c>
      <c r="I52" s="83" t="n">
        <v>46120</v>
      </c>
      <c r="J52" s="83" t="n">
        <v>46125</v>
      </c>
      <c r="K52" s="89" t="n">
        <v>30</v>
      </c>
      <c r="L52" s="97" t="n">
        <v>0.01</v>
      </c>
      <c r="M52" s="89" t="n">
        <v>7</v>
      </c>
      <c r="N52" s="4" t="n">
        <f aca="false">IF(AND(H52&lt;=D_F01!$B$7,OR(NOT(ISNUMBER(J52)),J52&gt;D_F01!$B$7)),1,0)</f>
        <v>0</v>
      </c>
      <c r="O52" s="33" t="n">
        <f aca="false">G52*N52</f>
        <v>0</v>
      </c>
      <c r="P52" s="4" t="n">
        <f aca="false">IF(N52=1,MAX(0,D_F01!$B$7-I52),0)</f>
        <v>0</v>
      </c>
      <c r="Q52" s="4" t="n">
        <f aca="false">IF(AND(ISNUMBER(J52),J52&lt;=D_F01!$B$7),J52-I52,0)</f>
        <v>5</v>
      </c>
      <c r="R52" s="4" t="n">
        <f aca="false">MAX(0,Q52)</f>
        <v>5</v>
      </c>
      <c r="S52" s="4" t="n">
        <f aca="false">IF(AND(ISNUMBER(J52),J52&lt;=D_F01!$B$7,J52&gt;D_F01!$B$7-D_F01!$B$25),G52*R52,0)</f>
        <v>1533518430</v>
      </c>
      <c r="T52" s="33" t="n">
        <f aca="false">IF(AND(ISNUMBER(J52),J52&lt;=D_F01!$B$7,J52&gt;D_F01!$B$7-D_F01!$B$25),G52,0)</f>
        <v>306703686</v>
      </c>
      <c r="U52" s="4" t="n">
        <f aca="false">IF(INDEX(D_F01!$C$51:$C$59,MATCH(C52,D_F01!$A$51:$A$59,0))="có",1,0)</f>
        <v>1</v>
      </c>
      <c r="V52" s="42" t="n">
        <f aca="false">IF(AND(N52=1,L52&gt;0,L52&lt;1,K52&gt;M52,H52+M52&gt;=D_F01!$B$7),1,0)</f>
        <v>0</v>
      </c>
      <c r="W52" s="44" t="n">
        <f aca="false">IF(V52=1,O52*L52,0)</f>
        <v>0</v>
      </c>
      <c r="X52" s="96" t="n">
        <f aca="false">IF(V52=1,L52/(1-L52)*365/(K52-M52),0)</f>
        <v>0</v>
      </c>
    </row>
    <row r="53" customFormat="false" ht="25.5" hidden="false" customHeight="true" outlineLevel="0" collapsed="false">
      <c r="A53" s="82" t="s">
        <v>3258</v>
      </c>
      <c r="B53" s="82" t="s">
        <v>2666</v>
      </c>
      <c r="C53" s="82" t="s">
        <v>1999</v>
      </c>
      <c r="D53" s="82" t="s">
        <v>2755</v>
      </c>
      <c r="E53" s="82" t="s">
        <v>3259</v>
      </c>
      <c r="F53" s="82" t="s">
        <v>3202</v>
      </c>
      <c r="G53" s="87" t="n">
        <v>219660306</v>
      </c>
      <c r="H53" s="84" t="n">
        <v>46091</v>
      </c>
      <c r="I53" s="84" t="n">
        <v>46121</v>
      </c>
      <c r="J53" s="84" t="n">
        <v>46122</v>
      </c>
      <c r="K53" s="82" t="n">
        <v>30</v>
      </c>
      <c r="L53" s="91" t="n">
        <v>0</v>
      </c>
      <c r="M53" s="82" t="n">
        <v>0</v>
      </c>
      <c r="N53" s="3" t="n">
        <f aca="false">IF(AND(H53&lt;=D_F01!$B$7,OR(NOT(ISNUMBER(J53)),J53&gt;D_F01!$B$7)),1,0)</f>
        <v>0</v>
      </c>
      <c r="O53" s="32" t="n">
        <f aca="false">G53*N53</f>
        <v>0</v>
      </c>
      <c r="P53" s="3" t="n">
        <f aca="false">IF(N53=1,MAX(0,D_F01!$B$7-I53),0)</f>
        <v>0</v>
      </c>
      <c r="Q53" s="3" t="n">
        <f aca="false">IF(AND(ISNUMBER(J53),J53&lt;=D_F01!$B$7),J53-I53,0)</f>
        <v>1</v>
      </c>
      <c r="R53" s="3" t="n">
        <f aca="false">MAX(0,Q53)</f>
        <v>1</v>
      </c>
      <c r="S53" s="3" t="n">
        <f aca="false">IF(AND(ISNUMBER(J53),J53&lt;=D_F01!$B$7,J53&gt;D_F01!$B$7-D_F01!$B$25),G53*R53,0)</f>
        <v>219660306</v>
      </c>
      <c r="T53" s="32" t="n">
        <f aca="false">IF(AND(ISNUMBER(J53),J53&lt;=D_F01!$B$7,J53&gt;D_F01!$B$7-D_F01!$B$25),G53,0)</f>
        <v>219660306</v>
      </c>
      <c r="U53" s="3" t="n">
        <f aca="false">IF(INDEX(D_F01!$C$51:$C$59,MATCH(C53,D_F01!$A$51:$A$59,0))="có",1,0)</f>
        <v>0</v>
      </c>
      <c r="V53" s="42" t="n">
        <f aca="false">IF(AND(N53=1,L53&gt;0,L53&lt;1,K53&gt;M53,H53+M53&gt;=D_F01!$B$7),1,0)</f>
        <v>0</v>
      </c>
      <c r="W53" s="44" t="n">
        <f aca="false">IF(V53=1,O53*L53,0)</f>
        <v>0</v>
      </c>
      <c r="X53" s="96" t="n">
        <f aca="false">IF(V53=1,L53/(1-L53)*365/(K53-M53),0)</f>
        <v>0</v>
      </c>
    </row>
    <row r="54" customFormat="false" ht="25.5" hidden="false" customHeight="true" outlineLevel="0" collapsed="false">
      <c r="A54" s="89" t="s">
        <v>3260</v>
      </c>
      <c r="B54" s="89" t="s">
        <v>2666</v>
      </c>
      <c r="C54" s="89" t="s">
        <v>2000</v>
      </c>
      <c r="D54" s="89" t="s">
        <v>2756</v>
      </c>
      <c r="E54" s="89" t="s">
        <v>3261</v>
      </c>
      <c r="F54" s="89" t="s">
        <v>3154</v>
      </c>
      <c r="G54" s="88" t="n">
        <v>106975044</v>
      </c>
      <c r="H54" s="83" t="n">
        <v>46091</v>
      </c>
      <c r="I54" s="83" t="n">
        <v>46121</v>
      </c>
      <c r="J54" s="83" t="n">
        <v>46098</v>
      </c>
      <c r="K54" s="89" t="n">
        <v>30</v>
      </c>
      <c r="L54" s="97" t="n">
        <v>0.01</v>
      </c>
      <c r="M54" s="89" t="n">
        <v>7</v>
      </c>
      <c r="N54" s="4" t="n">
        <f aca="false">IF(AND(H54&lt;=D_F01!$B$7,OR(NOT(ISNUMBER(J54)),J54&gt;D_F01!$B$7)),1,0)</f>
        <v>0</v>
      </c>
      <c r="O54" s="33" t="n">
        <f aca="false">G54*N54</f>
        <v>0</v>
      </c>
      <c r="P54" s="4" t="n">
        <f aca="false">IF(N54=1,MAX(0,D_F01!$B$7-I54),0)</f>
        <v>0</v>
      </c>
      <c r="Q54" s="4" t="n">
        <f aca="false">IF(AND(ISNUMBER(J54),J54&lt;=D_F01!$B$7),J54-I54,0)</f>
        <v>-23</v>
      </c>
      <c r="R54" s="4" t="n">
        <f aca="false">MAX(0,Q54)</f>
        <v>0</v>
      </c>
      <c r="S54" s="4" t="n">
        <f aca="false">IF(AND(ISNUMBER(J54),J54&lt;=D_F01!$B$7,J54&gt;D_F01!$B$7-D_F01!$B$25),G54*R54,0)</f>
        <v>0</v>
      </c>
      <c r="T54" s="33" t="n">
        <f aca="false">IF(AND(ISNUMBER(J54),J54&lt;=D_F01!$B$7,J54&gt;D_F01!$B$7-D_F01!$B$25),G54,0)</f>
        <v>106975044</v>
      </c>
      <c r="U54" s="4" t="n">
        <f aca="false">IF(INDEX(D_F01!$C$51:$C$59,MATCH(C54,D_F01!$A$51:$A$59,0))="có",1,0)</f>
        <v>1</v>
      </c>
      <c r="V54" s="42" t="n">
        <f aca="false">IF(AND(N54=1,L54&gt;0,L54&lt;1,K54&gt;M54,H54+M54&gt;=D_F01!$B$7),1,0)</f>
        <v>0</v>
      </c>
      <c r="W54" s="44" t="n">
        <f aca="false">IF(V54=1,O54*L54,0)</f>
        <v>0</v>
      </c>
      <c r="X54" s="96" t="n">
        <f aca="false">IF(V54=1,L54/(1-L54)*365/(K54-M54),0)</f>
        <v>0</v>
      </c>
    </row>
    <row r="55" customFormat="false" ht="25.5" hidden="false" customHeight="true" outlineLevel="0" collapsed="false">
      <c r="A55" s="82" t="s">
        <v>3262</v>
      </c>
      <c r="B55" s="82" t="s">
        <v>2666</v>
      </c>
      <c r="C55" s="82" t="s">
        <v>1995</v>
      </c>
      <c r="D55" s="82" t="s">
        <v>2751</v>
      </c>
      <c r="E55" s="82" t="s">
        <v>3263</v>
      </c>
      <c r="F55" s="82" t="s">
        <v>3169</v>
      </c>
      <c r="G55" s="87" t="n">
        <v>108465030</v>
      </c>
      <c r="H55" s="84" t="n">
        <v>46094</v>
      </c>
      <c r="I55" s="84" t="n">
        <v>46109</v>
      </c>
      <c r="J55" s="84" t="n">
        <v>46112</v>
      </c>
      <c r="K55" s="82" t="n">
        <v>15</v>
      </c>
      <c r="L55" s="91" t="n">
        <v>0</v>
      </c>
      <c r="M55" s="82" t="n">
        <v>0</v>
      </c>
      <c r="N55" s="3" t="n">
        <f aca="false">IF(AND(H55&lt;=D_F01!$B$7,OR(NOT(ISNUMBER(J55)),J55&gt;D_F01!$B$7)),1,0)</f>
        <v>0</v>
      </c>
      <c r="O55" s="32" t="n">
        <f aca="false">G55*N55</f>
        <v>0</v>
      </c>
      <c r="P55" s="3" t="n">
        <f aca="false">IF(N55=1,MAX(0,D_F01!$B$7-I55),0)</f>
        <v>0</v>
      </c>
      <c r="Q55" s="3" t="n">
        <f aca="false">IF(AND(ISNUMBER(J55),J55&lt;=D_F01!$B$7),J55-I55,0)</f>
        <v>3</v>
      </c>
      <c r="R55" s="3" t="n">
        <f aca="false">MAX(0,Q55)</f>
        <v>3</v>
      </c>
      <c r="S55" s="3" t="n">
        <f aca="false">IF(AND(ISNUMBER(J55),J55&lt;=D_F01!$B$7,J55&gt;D_F01!$B$7-D_F01!$B$25),G55*R55,0)</f>
        <v>325395090</v>
      </c>
      <c r="T55" s="32" t="n">
        <f aca="false">IF(AND(ISNUMBER(J55),J55&lt;=D_F01!$B$7,J55&gt;D_F01!$B$7-D_F01!$B$25),G55,0)</f>
        <v>108465030</v>
      </c>
      <c r="U55" s="3" t="n">
        <f aca="false">IF(INDEX(D_F01!$C$51:$C$59,MATCH(C55,D_F01!$A$51:$A$59,0))="có",1,0)</f>
        <v>0</v>
      </c>
      <c r="V55" s="42" t="n">
        <f aca="false">IF(AND(N55=1,L55&gt;0,L55&lt;1,K55&gt;M55,H55+M55&gt;=D_F01!$B$7),1,0)</f>
        <v>0</v>
      </c>
      <c r="W55" s="44" t="n">
        <f aca="false">IF(V55=1,O55*L55,0)</f>
        <v>0</v>
      </c>
      <c r="X55" s="96" t="n">
        <f aca="false">IF(V55=1,L55/(1-L55)*365/(K55-M55),0)</f>
        <v>0</v>
      </c>
    </row>
    <row r="56" customFormat="false" ht="25.5" hidden="false" customHeight="true" outlineLevel="0" collapsed="false">
      <c r="A56" s="89" t="s">
        <v>3264</v>
      </c>
      <c r="B56" s="89" t="s">
        <v>2666</v>
      </c>
      <c r="C56" s="89" t="s">
        <v>1993</v>
      </c>
      <c r="D56" s="89" t="s">
        <v>3179</v>
      </c>
      <c r="E56" s="89" t="s">
        <v>3265</v>
      </c>
      <c r="F56" s="89" t="s">
        <v>3181</v>
      </c>
      <c r="G56" s="88" t="n">
        <v>282256290</v>
      </c>
      <c r="H56" s="83" t="n">
        <v>46095</v>
      </c>
      <c r="I56" s="83" t="n">
        <v>46140</v>
      </c>
      <c r="J56" s="83" t="n">
        <v>46153</v>
      </c>
      <c r="K56" s="89" t="n">
        <v>45</v>
      </c>
      <c r="L56" s="97" t="n">
        <v>0</v>
      </c>
      <c r="M56" s="89" t="n">
        <v>0</v>
      </c>
      <c r="N56" s="4" t="n">
        <f aca="false">IF(AND(H56&lt;=D_F01!$B$7,OR(NOT(ISNUMBER(J56)),J56&gt;D_F01!$B$7)),1,0)</f>
        <v>0</v>
      </c>
      <c r="O56" s="33" t="n">
        <f aca="false">G56*N56</f>
        <v>0</v>
      </c>
      <c r="P56" s="4" t="n">
        <f aca="false">IF(N56=1,MAX(0,D_F01!$B$7-I56),0)</f>
        <v>0</v>
      </c>
      <c r="Q56" s="4" t="n">
        <f aca="false">IF(AND(ISNUMBER(J56),J56&lt;=D_F01!$B$7),J56-I56,0)</f>
        <v>13</v>
      </c>
      <c r="R56" s="4" t="n">
        <f aca="false">MAX(0,Q56)</f>
        <v>13</v>
      </c>
      <c r="S56" s="4" t="n">
        <f aca="false">IF(AND(ISNUMBER(J56),J56&lt;=D_F01!$B$7,J56&gt;D_F01!$B$7-D_F01!$B$25),G56*R56,0)</f>
        <v>3669331770</v>
      </c>
      <c r="T56" s="33" t="n">
        <f aca="false">IF(AND(ISNUMBER(J56),J56&lt;=D_F01!$B$7,J56&gt;D_F01!$B$7-D_F01!$B$25),G56,0)</f>
        <v>282256290</v>
      </c>
      <c r="U56" s="4" t="n">
        <f aca="false">IF(INDEX(D_F01!$C$51:$C$59,MATCH(C56,D_F01!$A$51:$A$59,0))="có",1,0)</f>
        <v>0</v>
      </c>
      <c r="V56" s="42" t="n">
        <f aca="false">IF(AND(N56=1,L56&gt;0,L56&lt;1,K56&gt;M56,H56+M56&gt;=D_F01!$B$7),1,0)</f>
        <v>0</v>
      </c>
      <c r="W56" s="44" t="n">
        <f aca="false">IF(V56=1,O56*L56,0)</f>
        <v>0</v>
      </c>
      <c r="X56" s="96" t="n">
        <f aca="false">IF(V56=1,L56/(1-L56)*365/(K56-M56),0)</f>
        <v>0</v>
      </c>
    </row>
    <row r="57" customFormat="false" ht="25.5" hidden="false" customHeight="true" outlineLevel="0" collapsed="false">
      <c r="A57" s="82" t="s">
        <v>3266</v>
      </c>
      <c r="B57" s="82" t="s">
        <v>2666</v>
      </c>
      <c r="C57" s="82" t="s">
        <v>1993</v>
      </c>
      <c r="D57" s="82" t="s">
        <v>3179</v>
      </c>
      <c r="E57" s="82" t="s">
        <v>3267</v>
      </c>
      <c r="F57" s="82" t="s">
        <v>3181</v>
      </c>
      <c r="G57" s="87" t="n">
        <v>270527868</v>
      </c>
      <c r="H57" s="84" t="n">
        <v>46097</v>
      </c>
      <c r="I57" s="84" t="n">
        <v>46142</v>
      </c>
      <c r="J57" s="84" t="n">
        <v>46156</v>
      </c>
      <c r="K57" s="82" t="n">
        <v>45</v>
      </c>
      <c r="L57" s="91" t="n">
        <v>0</v>
      </c>
      <c r="M57" s="82" t="n">
        <v>0</v>
      </c>
      <c r="N57" s="3" t="n">
        <f aca="false">IF(AND(H57&lt;=D_F01!$B$7,OR(NOT(ISNUMBER(J57)),J57&gt;D_F01!$B$7)),1,0)</f>
        <v>0</v>
      </c>
      <c r="O57" s="32" t="n">
        <f aca="false">G57*N57</f>
        <v>0</v>
      </c>
      <c r="P57" s="3" t="n">
        <f aca="false">IF(N57=1,MAX(0,D_F01!$B$7-I57),0)</f>
        <v>0</v>
      </c>
      <c r="Q57" s="3" t="n">
        <f aca="false">IF(AND(ISNUMBER(J57),J57&lt;=D_F01!$B$7),J57-I57,0)</f>
        <v>14</v>
      </c>
      <c r="R57" s="3" t="n">
        <f aca="false">MAX(0,Q57)</f>
        <v>14</v>
      </c>
      <c r="S57" s="3" t="n">
        <f aca="false">IF(AND(ISNUMBER(J57),J57&lt;=D_F01!$B$7,J57&gt;D_F01!$B$7-D_F01!$B$25),G57*R57,0)</f>
        <v>3787390152</v>
      </c>
      <c r="T57" s="32" t="n">
        <f aca="false">IF(AND(ISNUMBER(J57),J57&lt;=D_F01!$B$7,J57&gt;D_F01!$B$7-D_F01!$B$25),G57,0)</f>
        <v>270527868</v>
      </c>
      <c r="U57" s="3" t="n">
        <f aca="false">IF(INDEX(D_F01!$C$51:$C$59,MATCH(C57,D_F01!$A$51:$A$59,0))="có",1,0)</f>
        <v>0</v>
      </c>
      <c r="V57" s="42" t="n">
        <f aca="false">IF(AND(N57=1,L57&gt;0,L57&lt;1,K57&gt;M57,H57+M57&gt;=D_F01!$B$7),1,0)</f>
        <v>0</v>
      </c>
      <c r="W57" s="44" t="n">
        <f aca="false">IF(V57=1,O57*L57,0)</f>
        <v>0</v>
      </c>
      <c r="X57" s="96" t="n">
        <f aca="false">IF(V57=1,L57/(1-L57)*365/(K57-M57),0)</f>
        <v>0</v>
      </c>
    </row>
    <row r="58" customFormat="false" ht="25.5" hidden="false" customHeight="true" outlineLevel="0" collapsed="false">
      <c r="A58" s="89" t="s">
        <v>3268</v>
      </c>
      <c r="B58" s="89" t="s">
        <v>2666</v>
      </c>
      <c r="C58" s="89" t="s">
        <v>1995</v>
      </c>
      <c r="D58" s="89" t="s">
        <v>2751</v>
      </c>
      <c r="E58" s="89" t="s">
        <v>3269</v>
      </c>
      <c r="F58" s="89" t="s">
        <v>3169</v>
      </c>
      <c r="G58" s="88" t="n">
        <v>113388636</v>
      </c>
      <c r="H58" s="83" t="n">
        <v>46098</v>
      </c>
      <c r="I58" s="83" t="n">
        <v>46113</v>
      </c>
      <c r="J58" s="83" t="n">
        <v>46113</v>
      </c>
      <c r="K58" s="89" t="n">
        <v>15</v>
      </c>
      <c r="L58" s="97" t="n">
        <v>0</v>
      </c>
      <c r="M58" s="89" t="n">
        <v>0</v>
      </c>
      <c r="N58" s="4" t="n">
        <f aca="false">IF(AND(H58&lt;=D_F01!$B$7,OR(NOT(ISNUMBER(J58)),J58&gt;D_F01!$B$7)),1,0)</f>
        <v>0</v>
      </c>
      <c r="O58" s="33" t="n">
        <f aca="false">G58*N58</f>
        <v>0</v>
      </c>
      <c r="P58" s="4" t="n">
        <f aca="false">IF(N58=1,MAX(0,D_F01!$B$7-I58),0)</f>
        <v>0</v>
      </c>
      <c r="Q58" s="4" t="n">
        <f aca="false">IF(AND(ISNUMBER(J58),J58&lt;=D_F01!$B$7),J58-I58,0)</f>
        <v>0</v>
      </c>
      <c r="R58" s="4" t="n">
        <f aca="false">MAX(0,Q58)</f>
        <v>0</v>
      </c>
      <c r="S58" s="4" t="n">
        <f aca="false">IF(AND(ISNUMBER(J58),J58&lt;=D_F01!$B$7,J58&gt;D_F01!$B$7-D_F01!$B$25),G58*R58,0)</f>
        <v>0</v>
      </c>
      <c r="T58" s="33" t="n">
        <f aca="false">IF(AND(ISNUMBER(J58),J58&lt;=D_F01!$B$7,J58&gt;D_F01!$B$7-D_F01!$B$25),G58,0)</f>
        <v>113388636</v>
      </c>
      <c r="U58" s="4" t="n">
        <f aca="false">IF(INDEX(D_F01!$C$51:$C$59,MATCH(C58,D_F01!$A$51:$A$59,0))="có",1,0)</f>
        <v>0</v>
      </c>
      <c r="V58" s="42" t="n">
        <f aca="false">IF(AND(N58=1,L58&gt;0,L58&lt;1,K58&gt;M58,H58+M58&gt;=D_F01!$B$7),1,0)</f>
        <v>0</v>
      </c>
      <c r="W58" s="44" t="n">
        <f aca="false">IF(V58=1,O58*L58,0)</f>
        <v>0</v>
      </c>
      <c r="X58" s="96" t="n">
        <f aca="false">IF(V58=1,L58/(1-L58)*365/(K58-M58),0)</f>
        <v>0</v>
      </c>
    </row>
    <row r="59" customFormat="false" ht="25.5" hidden="false" customHeight="true" outlineLevel="0" collapsed="false">
      <c r="A59" s="82" t="s">
        <v>3270</v>
      </c>
      <c r="B59" s="82" t="s">
        <v>2666</v>
      </c>
      <c r="C59" s="82" t="s">
        <v>1993</v>
      </c>
      <c r="D59" s="82" t="s">
        <v>3179</v>
      </c>
      <c r="E59" s="82" t="s">
        <v>3271</v>
      </c>
      <c r="F59" s="82" t="s">
        <v>3181</v>
      </c>
      <c r="G59" s="87" t="n">
        <v>474888786</v>
      </c>
      <c r="H59" s="84" t="n">
        <v>46099</v>
      </c>
      <c r="I59" s="84" t="n">
        <v>46144</v>
      </c>
      <c r="J59" s="84" t="n">
        <v>46150</v>
      </c>
      <c r="K59" s="82" t="n">
        <v>45</v>
      </c>
      <c r="L59" s="91" t="n">
        <v>0</v>
      </c>
      <c r="M59" s="82" t="n">
        <v>0</v>
      </c>
      <c r="N59" s="3" t="n">
        <f aca="false">IF(AND(H59&lt;=D_F01!$B$7,OR(NOT(ISNUMBER(J59)),J59&gt;D_F01!$B$7)),1,0)</f>
        <v>0</v>
      </c>
      <c r="O59" s="32" t="n">
        <f aca="false">G59*N59</f>
        <v>0</v>
      </c>
      <c r="P59" s="3" t="n">
        <f aca="false">IF(N59=1,MAX(0,D_F01!$B$7-I59),0)</f>
        <v>0</v>
      </c>
      <c r="Q59" s="3" t="n">
        <f aca="false">IF(AND(ISNUMBER(J59),J59&lt;=D_F01!$B$7),J59-I59,0)</f>
        <v>6</v>
      </c>
      <c r="R59" s="3" t="n">
        <f aca="false">MAX(0,Q59)</f>
        <v>6</v>
      </c>
      <c r="S59" s="3" t="n">
        <f aca="false">IF(AND(ISNUMBER(J59),J59&lt;=D_F01!$B$7,J59&gt;D_F01!$B$7-D_F01!$B$25),G59*R59,0)</f>
        <v>2849332716</v>
      </c>
      <c r="T59" s="32" t="n">
        <f aca="false">IF(AND(ISNUMBER(J59),J59&lt;=D_F01!$B$7,J59&gt;D_F01!$B$7-D_F01!$B$25),G59,0)</f>
        <v>474888786</v>
      </c>
      <c r="U59" s="3" t="n">
        <f aca="false">IF(INDEX(D_F01!$C$51:$C$59,MATCH(C59,D_F01!$A$51:$A$59,0))="có",1,0)</f>
        <v>0</v>
      </c>
      <c r="V59" s="42" t="n">
        <f aca="false">IF(AND(N59=1,L59&gt;0,L59&lt;1,K59&gt;M59,H59+M59&gt;=D_F01!$B$7),1,0)</f>
        <v>0</v>
      </c>
      <c r="W59" s="44" t="n">
        <f aca="false">IF(V59=1,O59*L59,0)</f>
        <v>0</v>
      </c>
      <c r="X59" s="96" t="n">
        <f aca="false">IF(V59=1,L59/(1-L59)*365/(K59-M59),0)</f>
        <v>0</v>
      </c>
    </row>
    <row r="60" customFormat="false" ht="25.5" hidden="false" customHeight="true" outlineLevel="0" collapsed="false">
      <c r="A60" s="89" t="s">
        <v>3272</v>
      </c>
      <c r="B60" s="89" t="s">
        <v>2666</v>
      </c>
      <c r="C60" s="89" t="s">
        <v>1996</v>
      </c>
      <c r="D60" s="89" t="s">
        <v>2752</v>
      </c>
      <c r="E60" s="89" t="s">
        <v>3273</v>
      </c>
      <c r="F60" s="89" t="s">
        <v>3241</v>
      </c>
      <c r="G60" s="88" t="n">
        <v>585513870</v>
      </c>
      <c r="H60" s="83" t="n">
        <v>46099</v>
      </c>
      <c r="I60" s="83" t="n">
        <v>46129</v>
      </c>
      <c r="J60" s="83" t="n">
        <v>46130</v>
      </c>
      <c r="K60" s="89" t="n">
        <v>30</v>
      </c>
      <c r="L60" s="97" t="n">
        <v>0</v>
      </c>
      <c r="M60" s="89" t="n">
        <v>0</v>
      </c>
      <c r="N60" s="4" t="n">
        <f aca="false">IF(AND(H60&lt;=D_F01!$B$7,OR(NOT(ISNUMBER(J60)),J60&gt;D_F01!$B$7)),1,0)</f>
        <v>0</v>
      </c>
      <c r="O60" s="33" t="n">
        <f aca="false">G60*N60</f>
        <v>0</v>
      </c>
      <c r="P60" s="4" t="n">
        <f aca="false">IF(N60=1,MAX(0,D_F01!$B$7-I60),0)</f>
        <v>0</v>
      </c>
      <c r="Q60" s="4" t="n">
        <f aca="false">IF(AND(ISNUMBER(J60),J60&lt;=D_F01!$B$7),J60-I60,0)</f>
        <v>1</v>
      </c>
      <c r="R60" s="4" t="n">
        <f aca="false">MAX(0,Q60)</f>
        <v>1</v>
      </c>
      <c r="S60" s="4" t="n">
        <f aca="false">IF(AND(ISNUMBER(J60),J60&lt;=D_F01!$B$7,J60&gt;D_F01!$B$7-D_F01!$B$25),G60*R60,0)</f>
        <v>585513870</v>
      </c>
      <c r="T60" s="33" t="n">
        <f aca="false">IF(AND(ISNUMBER(J60),J60&lt;=D_F01!$B$7,J60&gt;D_F01!$B$7-D_F01!$B$25),G60,0)</f>
        <v>585513870</v>
      </c>
      <c r="U60" s="4" t="n">
        <f aca="false">IF(INDEX(D_F01!$C$51:$C$59,MATCH(C60,D_F01!$A$51:$A$59,0))="có",1,0)</f>
        <v>0</v>
      </c>
      <c r="V60" s="42" t="n">
        <f aca="false">IF(AND(N60=1,L60&gt;0,L60&lt;1,K60&gt;M60,H60+M60&gt;=D_F01!$B$7),1,0)</f>
        <v>0</v>
      </c>
      <c r="W60" s="44" t="n">
        <f aca="false">IF(V60=1,O60*L60,0)</f>
        <v>0</v>
      </c>
      <c r="X60" s="96" t="n">
        <f aca="false">IF(V60=1,L60/(1-L60)*365/(K60-M60),0)</f>
        <v>0</v>
      </c>
    </row>
    <row r="61" customFormat="false" ht="25.5" hidden="false" customHeight="true" outlineLevel="0" collapsed="false">
      <c r="A61" s="82" t="s">
        <v>3274</v>
      </c>
      <c r="B61" s="82" t="s">
        <v>2666</v>
      </c>
      <c r="C61" s="82" t="s">
        <v>1992</v>
      </c>
      <c r="D61" s="82" t="s">
        <v>3164</v>
      </c>
      <c r="E61" s="82" t="s">
        <v>3275</v>
      </c>
      <c r="F61" s="82" t="s">
        <v>3166</v>
      </c>
      <c r="G61" s="87" t="n">
        <v>530863080</v>
      </c>
      <c r="H61" s="84" t="n">
        <v>46100</v>
      </c>
      <c r="I61" s="84" t="n">
        <v>46130</v>
      </c>
      <c r="J61" s="84" t="n">
        <v>46130</v>
      </c>
      <c r="K61" s="82" t="n">
        <v>30</v>
      </c>
      <c r="L61" s="91" t="n">
        <v>0.02</v>
      </c>
      <c r="M61" s="82" t="n">
        <v>10</v>
      </c>
      <c r="N61" s="3" t="n">
        <f aca="false">IF(AND(H61&lt;=D_F01!$B$7,OR(NOT(ISNUMBER(J61)),J61&gt;D_F01!$B$7)),1,0)</f>
        <v>0</v>
      </c>
      <c r="O61" s="32" t="n">
        <f aca="false">G61*N61</f>
        <v>0</v>
      </c>
      <c r="P61" s="3" t="n">
        <f aca="false">IF(N61=1,MAX(0,D_F01!$B$7-I61),0)</f>
        <v>0</v>
      </c>
      <c r="Q61" s="3" t="n">
        <f aca="false">IF(AND(ISNUMBER(J61),J61&lt;=D_F01!$B$7),J61-I61,0)</f>
        <v>0</v>
      </c>
      <c r="R61" s="3" t="n">
        <f aca="false">MAX(0,Q61)</f>
        <v>0</v>
      </c>
      <c r="S61" s="3" t="n">
        <f aca="false">IF(AND(ISNUMBER(J61),J61&lt;=D_F01!$B$7,J61&gt;D_F01!$B$7-D_F01!$B$25),G61*R61,0)</f>
        <v>0</v>
      </c>
      <c r="T61" s="32" t="n">
        <f aca="false">IF(AND(ISNUMBER(J61),J61&lt;=D_F01!$B$7,J61&gt;D_F01!$B$7-D_F01!$B$25),G61,0)</f>
        <v>530863080</v>
      </c>
      <c r="U61" s="3" t="n">
        <f aca="false">IF(INDEX(D_F01!$C$51:$C$59,MATCH(C61,D_F01!$A$51:$A$59,0))="có",1,0)</f>
        <v>1</v>
      </c>
      <c r="V61" s="42" t="n">
        <f aca="false">IF(AND(N61=1,L61&gt;0,L61&lt;1,K61&gt;M61,H61+M61&gt;=D_F01!$B$7),1,0)</f>
        <v>0</v>
      </c>
      <c r="W61" s="44" t="n">
        <f aca="false">IF(V61=1,O61*L61,0)</f>
        <v>0</v>
      </c>
      <c r="X61" s="96" t="n">
        <f aca="false">IF(V61=1,L61/(1-L61)*365/(K61-M61),0)</f>
        <v>0</v>
      </c>
    </row>
    <row r="62" customFormat="false" ht="25.5" hidden="false" customHeight="true" outlineLevel="0" collapsed="false">
      <c r="A62" s="89" t="s">
        <v>3276</v>
      </c>
      <c r="B62" s="89" t="s">
        <v>2666</v>
      </c>
      <c r="C62" s="89" t="s">
        <v>1993</v>
      </c>
      <c r="D62" s="89" t="s">
        <v>3179</v>
      </c>
      <c r="E62" s="89" t="s">
        <v>3277</v>
      </c>
      <c r="F62" s="89" t="s">
        <v>3181</v>
      </c>
      <c r="G62" s="88" t="n">
        <v>291649854</v>
      </c>
      <c r="H62" s="83" t="n">
        <v>46103</v>
      </c>
      <c r="I62" s="83" t="n">
        <v>46148</v>
      </c>
      <c r="J62" s="83" t="n">
        <v>46159</v>
      </c>
      <c r="K62" s="89" t="n">
        <v>45</v>
      </c>
      <c r="L62" s="97" t="n">
        <v>0</v>
      </c>
      <c r="M62" s="89" t="n">
        <v>0</v>
      </c>
      <c r="N62" s="4" t="n">
        <f aca="false">IF(AND(H62&lt;=D_F01!$B$7,OR(NOT(ISNUMBER(J62)),J62&gt;D_F01!$B$7)),1,0)</f>
        <v>0</v>
      </c>
      <c r="O62" s="33" t="n">
        <f aca="false">G62*N62</f>
        <v>0</v>
      </c>
      <c r="P62" s="4" t="n">
        <f aca="false">IF(N62=1,MAX(0,D_F01!$B$7-I62),0)</f>
        <v>0</v>
      </c>
      <c r="Q62" s="4" t="n">
        <f aca="false">IF(AND(ISNUMBER(J62),J62&lt;=D_F01!$B$7),J62-I62,0)</f>
        <v>11</v>
      </c>
      <c r="R62" s="4" t="n">
        <f aca="false">MAX(0,Q62)</f>
        <v>11</v>
      </c>
      <c r="S62" s="4" t="n">
        <f aca="false">IF(AND(ISNUMBER(J62),J62&lt;=D_F01!$B$7,J62&gt;D_F01!$B$7-D_F01!$B$25),G62*R62,0)</f>
        <v>3208148394</v>
      </c>
      <c r="T62" s="33" t="n">
        <f aca="false">IF(AND(ISNUMBER(J62),J62&lt;=D_F01!$B$7,J62&gt;D_F01!$B$7-D_F01!$B$25),G62,0)</f>
        <v>291649854</v>
      </c>
      <c r="U62" s="4" t="n">
        <f aca="false">IF(INDEX(D_F01!$C$51:$C$59,MATCH(C62,D_F01!$A$51:$A$59,0))="có",1,0)</f>
        <v>0</v>
      </c>
      <c r="V62" s="42" t="n">
        <f aca="false">IF(AND(N62=1,L62&gt;0,L62&lt;1,K62&gt;M62,H62+M62&gt;=D_F01!$B$7),1,0)</f>
        <v>0</v>
      </c>
      <c r="W62" s="44" t="n">
        <f aca="false">IF(V62=1,O62*L62,0)</f>
        <v>0</v>
      </c>
      <c r="X62" s="96" t="n">
        <f aca="false">IF(V62=1,L62/(1-L62)*365/(K62-M62),0)</f>
        <v>0</v>
      </c>
    </row>
    <row r="63" customFormat="false" ht="25.5" hidden="false" customHeight="true" outlineLevel="0" collapsed="false">
      <c r="A63" s="82" t="s">
        <v>3278</v>
      </c>
      <c r="B63" s="82" t="s">
        <v>2666</v>
      </c>
      <c r="C63" s="82" t="s">
        <v>1992</v>
      </c>
      <c r="D63" s="82" t="s">
        <v>3164</v>
      </c>
      <c r="E63" s="82" t="s">
        <v>3279</v>
      </c>
      <c r="F63" s="82" t="s">
        <v>3166</v>
      </c>
      <c r="G63" s="87" t="n">
        <v>809302848</v>
      </c>
      <c r="H63" s="84" t="n">
        <v>46105</v>
      </c>
      <c r="I63" s="84" t="n">
        <v>46135</v>
      </c>
      <c r="J63" s="84" t="n">
        <v>46139</v>
      </c>
      <c r="K63" s="82" t="n">
        <v>30</v>
      </c>
      <c r="L63" s="91" t="n">
        <v>0.02</v>
      </c>
      <c r="M63" s="82" t="n">
        <v>10</v>
      </c>
      <c r="N63" s="3" t="n">
        <f aca="false">IF(AND(H63&lt;=D_F01!$B$7,OR(NOT(ISNUMBER(J63)),J63&gt;D_F01!$B$7)),1,0)</f>
        <v>0</v>
      </c>
      <c r="O63" s="32" t="n">
        <f aca="false">G63*N63</f>
        <v>0</v>
      </c>
      <c r="P63" s="3" t="n">
        <f aca="false">IF(N63=1,MAX(0,D_F01!$B$7-I63),0)</f>
        <v>0</v>
      </c>
      <c r="Q63" s="3" t="n">
        <f aca="false">IF(AND(ISNUMBER(J63),J63&lt;=D_F01!$B$7),J63-I63,0)</f>
        <v>4</v>
      </c>
      <c r="R63" s="3" t="n">
        <f aca="false">MAX(0,Q63)</f>
        <v>4</v>
      </c>
      <c r="S63" s="3" t="n">
        <f aca="false">IF(AND(ISNUMBER(J63),J63&lt;=D_F01!$B$7,J63&gt;D_F01!$B$7-D_F01!$B$25),G63*R63,0)</f>
        <v>3237211392</v>
      </c>
      <c r="T63" s="32" t="n">
        <f aca="false">IF(AND(ISNUMBER(J63),J63&lt;=D_F01!$B$7,J63&gt;D_F01!$B$7-D_F01!$B$25),G63,0)</f>
        <v>809302848</v>
      </c>
      <c r="U63" s="3" t="n">
        <f aca="false">IF(INDEX(D_F01!$C$51:$C$59,MATCH(C63,D_F01!$A$51:$A$59,0))="có",1,0)</f>
        <v>1</v>
      </c>
      <c r="V63" s="42" t="n">
        <f aca="false">IF(AND(N63=1,L63&gt;0,L63&lt;1,K63&gt;M63,H63+M63&gt;=D_F01!$B$7),1,0)</f>
        <v>0</v>
      </c>
      <c r="W63" s="44" t="n">
        <f aca="false">IF(V63=1,O63*L63,0)</f>
        <v>0</v>
      </c>
      <c r="X63" s="96" t="n">
        <f aca="false">IF(V63=1,L63/(1-L63)*365/(K63-M63),0)</f>
        <v>0</v>
      </c>
    </row>
    <row r="64" customFormat="false" ht="25.5" hidden="false" customHeight="true" outlineLevel="0" collapsed="false">
      <c r="A64" s="89" t="s">
        <v>3280</v>
      </c>
      <c r="B64" s="89" t="s">
        <v>2666</v>
      </c>
      <c r="C64" s="89" t="s">
        <v>1997</v>
      </c>
      <c r="D64" s="89" t="s">
        <v>2753</v>
      </c>
      <c r="E64" s="89" t="s">
        <v>3281</v>
      </c>
      <c r="F64" s="89" t="s">
        <v>3160</v>
      </c>
      <c r="G64" s="88" t="n">
        <v>233973312</v>
      </c>
      <c r="H64" s="83" t="n">
        <v>46106</v>
      </c>
      <c r="I64" s="83" t="n">
        <v>46121</v>
      </c>
      <c r="J64" s="83" t="n">
        <v>46125</v>
      </c>
      <c r="K64" s="89" t="n">
        <v>15</v>
      </c>
      <c r="L64" s="97" t="n">
        <v>0</v>
      </c>
      <c r="M64" s="89" t="n">
        <v>0</v>
      </c>
      <c r="N64" s="4" t="n">
        <f aca="false">IF(AND(H64&lt;=D_F01!$B$7,OR(NOT(ISNUMBER(J64)),J64&gt;D_F01!$B$7)),1,0)</f>
        <v>0</v>
      </c>
      <c r="O64" s="33" t="n">
        <f aca="false">G64*N64</f>
        <v>0</v>
      </c>
      <c r="P64" s="4" t="n">
        <f aca="false">IF(N64=1,MAX(0,D_F01!$B$7-I64),0)</f>
        <v>0</v>
      </c>
      <c r="Q64" s="4" t="n">
        <f aca="false">IF(AND(ISNUMBER(J64),J64&lt;=D_F01!$B$7),J64-I64,0)</f>
        <v>4</v>
      </c>
      <c r="R64" s="4" t="n">
        <f aca="false">MAX(0,Q64)</f>
        <v>4</v>
      </c>
      <c r="S64" s="4" t="n">
        <f aca="false">IF(AND(ISNUMBER(J64),J64&lt;=D_F01!$B$7,J64&gt;D_F01!$B$7-D_F01!$B$25),G64*R64,0)</f>
        <v>935893248</v>
      </c>
      <c r="T64" s="33" t="n">
        <f aca="false">IF(AND(ISNUMBER(J64),J64&lt;=D_F01!$B$7,J64&gt;D_F01!$B$7-D_F01!$B$25),G64,0)</f>
        <v>233973312</v>
      </c>
      <c r="U64" s="4" t="n">
        <f aca="false">IF(INDEX(D_F01!$C$51:$C$59,MATCH(C64,D_F01!$A$51:$A$59,0))="có",1,0)</f>
        <v>1</v>
      </c>
      <c r="V64" s="42" t="n">
        <f aca="false">IF(AND(N64=1,L64&gt;0,L64&lt;1,K64&gt;M64,H64+M64&gt;=D_F01!$B$7),1,0)</f>
        <v>0</v>
      </c>
      <c r="W64" s="44" t="n">
        <f aca="false">IF(V64=1,O64*L64,0)</f>
        <v>0</v>
      </c>
      <c r="X64" s="96" t="n">
        <f aca="false">IF(V64=1,L64/(1-L64)*365/(K64-M64),0)</f>
        <v>0</v>
      </c>
    </row>
    <row r="65" customFormat="false" ht="25.5" hidden="false" customHeight="true" outlineLevel="0" collapsed="false">
      <c r="A65" s="82" t="s">
        <v>3282</v>
      </c>
      <c r="B65" s="82" t="s">
        <v>2666</v>
      </c>
      <c r="C65" s="82" t="s">
        <v>1993</v>
      </c>
      <c r="D65" s="82" t="s">
        <v>3179</v>
      </c>
      <c r="E65" s="82" t="s">
        <v>3283</v>
      </c>
      <c r="F65" s="82" t="s">
        <v>3181</v>
      </c>
      <c r="G65" s="87" t="n">
        <v>329981574</v>
      </c>
      <c r="H65" s="84" t="n">
        <v>46107</v>
      </c>
      <c r="I65" s="84" t="n">
        <v>46152</v>
      </c>
      <c r="J65" s="84" t="n">
        <v>46174</v>
      </c>
      <c r="K65" s="82" t="n">
        <v>45</v>
      </c>
      <c r="L65" s="91" t="n">
        <v>0</v>
      </c>
      <c r="M65" s="82" t="n">
        <v>0</v>
      </c>
      <c r="N65" s="3" t="n">
        <f aca="false">IF(AND(H65&lt;=D_F01!$B$7,OR(NOT(ISNUMBER(J65)),J65&gt;D_F01!$B$7)),1,0)</f>
        <v>0</v>
      </c>
      <c r="O65" s="32" t="n">
        <f aca="false">G65*N65</f>
        <v>0</v>
      </c>
      <c r="P65" s="3" t="n">
        <f aca="false">IF(N65=1,MAX(0,D_F01!$B$7-I65),0)</f>
        <v>0</v>
      </c>
      <c r="Q65" s="3" t="n">
        <f aca="false">IF(AND(ISNUMBER(J65),J65&lt;=D_F01!$B$7),J65-I65,0)</f>
        <v>22</v>
      </c>
      <c r="R65" s="3" t="n">
        <f aca="false">MAX(0,Q65)</f>
        <v>22</v>
      </c>
      <c r="S65" s="3" t="n">
        <f aca="false">IF(AND(ISNUMBER(J65),J65&lt;=D_F01!$B$7,J65&gt;D_F01!$B$7-D_F01!$B$25),G65*R65,0)</f>
        <v>7259594628</v>
      </c>
      <c r="T65" s="32" t="n">
        <f aca="false">IF(AND(ISNUMBER(J65),J65&lt;=D_F01!$B$7,J65&gt;D_F01!$B$7-D_F01!$B$25),G65,0)</f>
        <v>329981574</v>
      </c>
      <c r="U65" s="3" t="n">
        <f aca="false">IF(INDEX(D_F01!$C$51:$C$59,MATCH(C65,D_F01!$A$51:$A$59,0))="có",1,0)</f>
        <v>0</v>
      </c>
      <c r="V65" s="42" t="n">
        <f aca="false">IF(AND(N65=1,L65&gt;0,L65&lt;1,K65&gt;M65,H65+M65&gt;=D_F01!$B$7),1,0)</f>
        <v>0</v>
      </c>
      <c r="W65" s="44" t="n">
        <f aca="false">IF(V65=1,O65*L65,0)</f>
        <v>0</v>
      </c>
      <c r="X65" s="96" t="n">
        <f aca="false">IF(V65=1,L65/(1-L65)*365/(K65-M65),0)</f>
        <v>0</v>
      </c>
    </row>
    <row r="66" customFormat="false" ht="25.5" hidden="false" customHeight="true" outlineLevel="0" collapsed="false">
      <c r="A66" s="89" t="s">
        <v>3284</v>
      </c>
      <c r="B66" s="89" t="s">
        <v>2666</v>
      </c>
      <c r="C66" s="89" t="s">
        <v>2000</v>
      </c>
      <c r="D66" s="89" t="s">
        <v>2756</v>
      </c>
      <c r="E66" s="89" t="s">
        <v>3285</v>
      </c>
      <c r="F66" s="89" t="s">
        <v>3154</v>
      </c>
      <c r="G66" s="88" t="n">
        <v>198604914</v>
      </c>
      <c r="H66" s="83" t="n">
        <v>46108</v>
      </c>
      <c r="I66" s="83" t="n">
        <v>46138</v>
      </c>
      <c r="J66" s="83" t="n">
        <v>46140</v>
      </c>
      <c r="K66" s="89" t="n">
        <v>30</v>
      </c>
      <c r="L66" s="97" t="n">
        <v>0.01</v>
      </c>
      <c r="M66" s="89" t="n">
        <v>7</v>
      </c>
      <c r="N66" s="4" t="n">
        <f aca="false">IF(AND(H66&lt;=D_F01!$B$7,OR(NOT(ISNUMBER(J66)),J66&gt;D_F01!$B$7)),1,0)</f>
        <v>0</v>
      </c>
      <c r="O66" s="33" t="n">
        <f aca="false">G66*N66</f>
        <v>0</v>
      </c>
      <c r="P66" s="4" t="n">
        <f aca="false">IF(N66=1,MAX(0,D_F01!$B$7-I66),0)</f>
        <v>0</v>
      </c>
      <c r="Q66" s="4" t="n">
        <f aca="false">IF(AND(ISNUMBER(J66),J66&lt;=D_F01!$B$7),J66-I66,0)</f>
        <v>2</v>
      </c>
      <c r="R66" s="4" t="n">
        <f aca="false">MAX(0,Q66)</f>
        <v>2</v>
      </c>
      <c r="S66" s="4" t="n">
        <f aca="false">IF(AND(ISNUMBER(J66),J66&lt;=D_F01!$B$7,J66&gt;D_F01!$B$7-D_F01!$B$25),G66*R66,0)</f>
        <v>397209828</v>
      </c>
      <c r="T66" s="33" t="n">
        <f aca="false">IF(AND(ISNUMBER(J66),J66&lt;=D_F01!$B$7,J66&gt;D_F01!$B$7-D_F01!$B$25),G66,0)</f>
        <v>198604914</v>
      </c>
      <c r="U66" s="4" t="n">
        <f aca="false">IF(INDEX(D_F01!$C$51:$C$59,MATCH(C66,D_F01!$A$51:$A$59,0))="có",1,0)</f>
        <v>1</v>
      </c>
      <c r="V66" s="42" t="n">
        <f aca="false">IF(AND(N66=1,L66&gt;0,L66&lt;1,K66&gt;M66,H66+M66&gt;=D_F01!$B$7),1,0)</f>
        <v>0</v>
      </c>
      <c r="W66" s="44" t="n">
        <f aca="false">IF(V66=1,O66*L66,0)</f>
        <v>0</v>
      </c>
      <c r="X66" s="96" t="n">
        <f aca="false">IF(V66=1,L66/(1-L66)*365/(K66-M66),0)</f>
        <v>0</v>
      </c>
    </row>
    <row r="67" customFormat="false" ht="25.5" hidden="false" customHeight="true" outlineLevel="0" collapsed="false">
      <c r="A67" s="82" t="s">
        <v>3286</v>
      </c>
      <c r="B67" s="82" t="s">
        <v>2666</v>
      </c>
      <c r="C67" s="82" t="s">
        <v>1994</v>
      </c>
      <c r="D67" s="82" t="s">
        <v>2750</v>
      </c>
      <c r="E67" s="82" t="s">
        <v>3287</v>
      </c>
      <c r="F67" s="82" t="s">
        <v>3157</v>
      </c>
      <c r="G67" s="87" t="n">
        <v>190068720</v>
      </c>
      <c r="H67" s="84" t="n">
        <v>46112</v>
      </c>
      <c r="I67" s="84" t="n">
        <v>46127</v>
      </c>
      <c r="J67" s="84" t="n">
        <v>46127</v>
      </c>
      <c r="K67" s="82" t="n">
        <v>15</v>
      </c>
      <c r="L67" s="91" t="n">
        <v>0</v>
      </c>
      <c r="M67" s="82" t="n">
        <v>0</v>
      </c>
      <c r="N67" s="3" t="n">
        <f aca="false">IF(AND(H67&lt;=D_F01!$B$7,OR(NOT(ISNUMBER(J67)),J67&gt;D_F01!$B$7)),1,0)</f>
        <v>0</v>
      </c>
      <c r="O67" s="32" t="n">
        <f aca="false">G67*N67</f>
        <v>0</v>
      </c>
      <c r="P67" s="3" t="n">
        <f aca="false">IF(N67=1,MAX(0,D_F01!$B$7-I67),0)</f>
        <v>0</v>
      </c>
      <c r="Q67" s="3" t="n">
        <f aca="false">IF(AND(ISNUMBER(J67),J67&lt;=D_F01!$B$7),J67-I67,0)</f>
        <v>0</v>
      </c>
      <c r="R67" s="3" t="n">
        <f aca="false">MAX(0,Q67)</f>
        <v>0</v>
      </c>
      <c r="S67" s="3" t="n">
        <f aca="false">IF(AND(ISNUMBER(J67),J67&lt;=D_F01!$B$7,J67&gt;D_F01!$B$7-D_F01!$B$25),G67*R67,0)</f>
        <v>0</v>
      </c>
      <c r="T67" s="32" t="n">
        <f aca="false">IF(AND(ISNUMBER(J67),J67&lt;=D_F01!$B$7,J67&gt;D_F01!$B$7-D_F01!$B$25),G67,0)</f>
        <v>190068720</v>
      </c>
      <c r="U67" s="3" t="n">
        <f aca="false">IF(INDEX(D_F01!$C$51:$C$59,MATCH(C67,D_F01!$A$51:$A$59,0))="có",1,0)</f>
        <v>1</v>
      </c>
      <c r="V67" s="42" t="n">
        <f aca="false">IF(AND(N67=1,L67&gt;0,L67&lt;1,K67&gt;M67,H67+M67&gt;=D_F01!$B$7),1,0)</f>
        <v>0</v>
      </c>
      <c r="W67" s="44" t="n">
        <f aca="false">IF(V67=1,O67*L67,0)</f>
        <v>0</v>
      </c>
      <c r="X67" s="96" t="n">
        <f aca="false">IF(V67=1,L67/(1-L67)*365/(K67-M67),0)</f>
        <v>0</v>
      </c>
    </row>
    <row r="68" customFormat="false" ht="25.5" hidden="false" customHeight="true" outlineLevel="0" collapsed="false">
      <c r="A68" s="89" t="s">
        <v>3288</v>
      </c>
      <c r="B68" s="89" t="s">
        <v>2666</v>
      </c>
      <c r="C68" s="89" t="s">
        <v>2000</v>
      </c>
      <c r="D68" s="89" t="s">
        <v>2756</v>
      </c>
      <c r="E68" s="89" t="s">
        <v>3289</v>
      </c>
      <c r="F68" s="89" t="s">
        <v>3154</v>
      </c>
      <c r="G68" s="88" t="n">
        <v>229957014</v>
      </c>
      <c r="H68" s="83" t="n">
        <v>46112</v>
      </c>
      <c r="I68" s="83" t="n">
        <v>46142</v>
      </c>
      <c r="J68" s="83" t="n">
        <v>46145</v>
      </c>
      <c r="K68" s="89" t="n">
        <v>30</v>
      </c>
      <c r="L68" s="97" t="n">
        <v>0.01</v>
      </c>
      <c r="M68" s="89" t="n">
        <v>7</v>
      </c>
      <c r="N68" s="4" t="n">
        <f aca="false">IF(AND(H68&lt;=D_F01!$B$7,OR(NOT(ISNUMBER(J68)),J68&gt;D_F01!$B$7)),1,0)</f>
        <v>0</v>
      </c>
      <c r="O68" s="33" t="n">
        <f aca="false">G68*N68</f>
        <v>0</v>
      </c>
      <c r="P68" s="4" t="n">
        <f aca="false">IF(N68=1,MAX(0,D_F01!$B$7-I68),0)</f>
        <v>0</v>
      </c>
      <c r="Q68" s="4" t="n">
        <f aca="false">IF(AND(ISNUMBER(J68),J68&lt;=D_F01!$B$7),J68-I68,0)</f>
        <v>3</v>
      </c>
      <c r="R68" s="4" t="n">
        <f aca="false">MAX(0,Q68)</f>
        <v>3</v>
      </c>
      <c r="S68" s="4" t="n">
        <f aca="false">IF(AND(ISNUMBER(J68),J68&lt;=D_F01!$B$7,J68&gt;D_F01!$B$7-D_F01!$B$25),G68*R68,0)</f>
        <v>689871042</v>
      </c>
      <c r="T68" s="33" t="n">
        <f aca="false">IF(AND(ISNUMBER(J68),J68&lt;=D_F01!$B$7,J68&gt;D_F01!$B$7-D_F01!$B$25),G68,0)</f>
        <v>229957014</v>
      </c>
      <c r="U68" s="4" t="n">
        <f aca="false">IF(INDEX(D_F01!$C$51:$C$59,MATCH(C68,D_F01!$A$51:$A$59,0))="có",1,0)</f>
        <v>1</v>
      </c>
      <c r="V68" s="42" t="n">
        <f aca="false">IF(AND(N68=1,L68&gt;0,L68&lt;1,K68&gt;M68,H68+M68&gt;=D_F01!$B$7),1,0)</f>
        <v>0</v>
      </c>
      <c r="W68" s="44" t="n">
        <f aca="false">IF(V68=1,O68*L68,0)</f>
        <v>0</v>
      </c>
      <c r="X68" s="96" t="n">
        <f aca="false">IF(V68=1,L68/(1-L68)*365/(K68-M68),0)</f>
        <v>0</v>
      </c>
    </row>
    <row r="69" customFormat="false" ht="25.5" hidden="false" customHeight="true" outlineLevel="0" collapsed="false">
      <c r="A69" s="82" t="s">
        <v>3290</v>
      </c>
      <c r="B69" s="82" t="s">
        <v>2666</v>
      </c>
      <c r="C69" s="82" t="s">
        <v>1992</v>
      </c>
      <c r="D69" s="82" t="s">
        <v>3164</v>
      </c>
      <c r="E69" s="82" t="s">
        <v>3291</v>
      </c>
      <c r="F69" s="82" t="s">
        <v>3166</v>
      </c>
      <c r="G69" s="87" t="n">
        <v>408276498</v>
      </c>
      <c r="H69" s="84" t="n">
        <v>46114</v>
      </c>
      <c r="I69" s="84" t="n">
        <v>46144</v>
      </c>
      <c r="J69" s="84" t="n">
        <v>46144</v>
      </c>
      <c r="K69" s="82" t="n">
        <v>30</v>
      </c>
      <c r="L69" s="91" t="n">
        <v>0.02</v>
      </c>
      <c r="M69" s="82" t="n">
        <v>10</v>
      </c>
      <c r="N69" s="3" t="n">
        <f aca="false">IF(AND(H69&lt;=D_F01!$B$7,OR(NOT(ISNUMBER(J69)),J69&gt;D_F01!$B$7)),1,0)</f>
        <v>0</v>
      </c>
      <c r="O69" s="32" t="n">
        <f aca="false">G69*N69</f>
        <v>0</v>
      </c>
      <c r="P69" s="3" t="n">
        <f aca="false">IF(N69=1,MAX(0,D_F01!$B$7-I69),0)</f>
        <v>0</v>
      </c>
      <c r="Q69" s="3" t="n">
        <f aca="false">IF(AND(ISNUMBER(J69),J69&lt;=D_F01!$B$7),J69-I69,0)</f>
        <v>0</v>
      </c>
      <c r="R69" s="3" t="n">
        <f aca="false">MAX(0,Q69)</f>
        <v>0</v>
      </c>
      <c r="S69" s="3" t="n">
        <f aca="false">IF(AND(ISNUMBER(J69),J69&lt;=D_F01!$B$7,J69&gt;D_F01!$B$7-D_F01!$B$25),G69*R69,0)</f>
        <v>0</v>
      </c>
      <c r="T69" s="32" t="n">
        <f aca="false">IF(AND(ISNUMBER(J69),J69&lt;=D_F01!$B$7,J69&gt;D_F01!$B$7-D_F01!$B$25),G69,0)</f>
        <v>408276498</v>
      </c>
      <c r="U69" s="3" t="n">
        <f aca="false">IF(INDEX(D_F01!$C$51:$C$59,MATCH(C69,D_F01!$A$51:$A$59,0))="có",1,0)</f>
        <v>1</v>
      </c>
      <c r="V69" s="42" t="n">
        <f aca="false">IF(AND(N69=1,L69&gt;0,L69&lt;1,K69&gt;M69,H69+M69&gt;=D_F01!$B$7),1,0)</f>
        <v>0</v>
      </c>
      <c r="W69" s="44" t="n">
        <f aca="false">IF(V69=1,O69*L69,0)</f>
        <v>0</v>
      </c>
      <c r="X69" s="96" t="n">
        <f aca="false">IF(V69=1,L69/(1-L69)*365/(K69-M69),0)</f>
        <v>0</v>
      </c>
    </row>
    <row r="70" customFormat="false" ht="25.5" hidden="false" customHeight="true" outlineLevel="0" collapsed="false">
      <c r="A70" s="89" t="s">
        <v>3292</v>
      </c>
      <c r="B70" s="89" t="s">
        <v>2666</v>
      </c>
      <c r="C70" s="89" t="s">
        <v>1995</v>
      </c>
      <c r="D70" s="89" t="s">
        <v>2751</v>
      </c>
      <c r="E70" s="89" t="s">
        <v>3293</v>
      </c>
      <c r="F70" s="89" t="s">
        <v>3169</v>
      </c>
      <c r="G70" s="88" t="n">
        <v>132192402</v>
      </c>
      <c r="H70" s="83" t="n">
        <v>46114</v>
      </c>
      <c r="I70" s="83" t="n">
        <v>46129</v>
      </c>
      <c r="J70" s="83" t="n">
        <v>46130</v>
      </c>
      <c r="K70" s="89" t="n">
        <v>15</v>
      </c>
      <c r="L70" s="97" t="n">
        <v>0</v>
      </c>
      <c r="M70" s="89" t="n">
        <v>0</v>
      </c>
      <c r="N70" s="4" t="n">
        <f aca="false">IF(AND(H70&lt;=D_F01!$B$7,OR(NOT(ISNUMBER(J70)),J70&gt;D_F01!$B$7)),1,0)</f>
        <v>0</v>
      </c>
      <c r="O70" s="33" t="n">
        <f aca="false">G70*N70</f>
        <v>0</v>
      </c>
      <c r="P70" s="4" t="n">
        <f aca="false">IF(N70=1,MAX(0,D_F01!$B$7-I70),0)</f>
        <v>0</v>
      </c>
      <c r="Q70" s="4" t="n">
        <f aca="false">IF(AND(ISNUMBER(J70),J70&lt;=D_F01!$B$7),J70-I70,0)</f>
        <v>1</v>
      </c>
      <c r="R70" s="4" t="n">
        <f aca="false">MAX(0,Q70)</f>
        <v>1</v>
      </c>
      <c r="S70" s="4" t="n">
        <f aca="false">IF(AND(ISNUMBER(J70),J70&lt;=D_F01!$B$7,J70&gt;D_F01!$B$7-D_F01!$B$25),G70*R70,0)</f>
        <v>132192402</v>
      </c>
      <c r="T70" s="33" t="n">
        <f aca="false">IF(AND(ISNUMBER(J70),J70&lt;=D_F01!$B$7,J70&gt;D_F01!$B$7-D_F01!$B$25),G70,0)</f>
        <v>132192402</v>
      </c>
      <c r="U70" s="4" t="n">
        <f aca="false">IF(INDEX(D_F01!$C$51:$C$59,MATCH(C70,D_F01!$A$51:$A$59,0))="có",1,0)</f>
        <v>0</v>
      </c>
      <c r="V70" s="42" t="n">
        <f aca="false">IF(AND(N70=1,L70&gt;0,L70&lt;1,K70&gt;M70,H70+M70&gt;=D_F01!$B$7),1,0)</f>
        <v>0</v>
      </c>
      <c r="W70" s="44" t="n">
        <f aca="false">IF(V70=1,O70*L70,0)</f>
        <v>0</v>
      </c>
      <c r="X70" s="96" t="n">
        <f aca="false">IF(V70=1,L70/(1-L70)*365/(K70-M70),0)</f>
        <v>0</v>
      </c>
    </row>
    <row r="71" customFormat="false" ht="25.5" hidden="false" customHeight="true" outlineLevel="0" collapsed="false">
      <c r="A71" s="82" t="s">
        <v>3294</v>
      </c>
      <c r="B71" s="82" t="s">
        <v>2666</v>
      </c>
      <c r="C71" s="82" t="s">
        <v>1992</v>
      </c>
      <c r="D71" s="82" t="s">
        <v>3164</v>
      </c>
      <c r="E71" s="82" t="s">
        <v>3295</v>
      </c>
      <c r="F71" s="82" t="s">
        <v>3166</v>
      </c>
      <c r="G71" s="87" t="n">
        <v>796296702</v>
      </c>
      <c r="H71" s="84" t="n">
        <v>46116</v>
      </c>
      <c r="I71" s="84" t="n">
        <v>46146</v>
      </c>
      <c r="J71" s="84" t="n">
        <v>46123</v>
      </c>
      <c r="K71" s="82" t="n">
        <v>30</v>
      </c>
      <c r="L71" s="91" t="n">
        <v>0.02</v>
      </c>
      <c r="M71" s="82" t="n">
        <v>10</v>
      </c>
      <c r="N71" s="3" t="n">
        <f aca="false">IF(AND(H71&lt;=D_F01!$B$7,OR(NOT(ISNUMBER(J71)),J71&gt;D_F01!$B$7)),1,0)</f>
        <v>0</v>
      </c>
      <c r="O71" s="32" t="n">
        <f aca="false">G71*N71</f>
        <v>0</v>
      </c>
      <c r="P71" s="3" t="n">
        <f aca="false">IF(N71=1,MAX(0,D_F01!$B$7-I71),0)</f>
        <v>0</v>
      </c>
      <c r="Q71" s="3" t="n">
        <f aca="false">IF(AND(ISNUMBER(J71),J71&lt;=D_F01!$B$7),J71-I71,0)</f>
        <v>-23</v>
      </c>
      <c r="R71" s="3" t="n">
        <f aca="false">MAX(0,Q71)</f>
        <v>0</v>
      </c>
      <c r="S71" s="3" t="n">
        <f aca="false">IF(AND(ISNUMBER(J71),J71&lt;=D_F01!$B$7,J71&gt;D_F01!$B$7-D_F01!$B$25),G71*R71,0)</f>
        <v>0</v>
      </c>
      <c r="T71" s="32" t="n">
        <f aca="false">IF(AND(ISNUMBER(J71),J71&lt;=D_F01!$B$7,J71&gt;D_F01!$B$7-D_F01!$B$25),G71,0)</f>
        <v>796296702</v>
      </c>
      <c r="U71" s="3" t="n">
        <f aca="false">IF(INDEX(D_F01!$C$51:$C$59,MATCH(C71,D_F01!$A$51:$A$59,0))="có",1,0)</f>
        <v>1</v>
      </c>
      <c r="V71" s="42" t="n">
        <f aca="false">IF(AND(N71=1,L71&gt;0,L71&lt;1,K71&gt;M71,H71+M71&gt;=D_F01!$B$7),1,0)</f>
        <v>0</v>
      </c>
      <c r="W71" s="44" t="n">
        <f aca="false">IF(V71=1,O71*L71,0)</f>
        <v>0</v>
      </c>
      <c r="X71" s="96" t="n">
        <f aca="false">IF(V71=1,L71/(1-L71)*365/(K71-M71),0)</f>
        <v>0</v>
      </c>
    </row>
    <row r="72" customFormat="false" ht="25.5" hidden="false" customHeight="true" outlineLevel="0" collapsed="false">
      <c r="A72" s="89" t="s">
        <v>3296</v>
      </c>
      <c r="B72" s="89" t="s">
        <v>2666</v>
      </c>
      <c r="C72" s="89" t="s">
        <v>1996</v>
      </c>
      <c r="D72" s="89" t="s">
        <v>2752</v>
      </c>
      <c r="E72" s="89" t="s">
        <v>3297</v>
      </c>
      <c r="F72" s="89" t="s">
        <v>3241</v>
      </c>
      <c r="G72" s="88" t="n">
        <v>411044208</v>
      </c>
      <c r="H72" s="83" t="n">
        <v>46116</v>
      </c>
      <c r="I72" s="83" t="n">
        <v>46146</v>
      </c>
      <c r="J72" s="83" t="n">
        <v>46144</v>
      </c>
      <c r="K72" s="89" t="n">
        <v>30</v>
      </c>
      <c r="L72" s="97" t="n">
        <v>0</v>
      </c>
      <c r="M72" s="89" t="n">
        <v>0</v>
      </c>
      <c r="N72" s="4" t="n">
        <f aca="false">IF(AND(H72&lt;=D_F01!$B$7,OR(NOT(ISNUMBER(J72)),J72&gt;D_F01!$B$7)),1,0)</f>
        <v>0</v>
      </c>
      <c r="O72" s="33" t="n">
        <f aca="false">G72*N72</f>
        <v>0</v>
      </c>
      <c r="P72" s="4" t="n">
        <f aca="false">IF(N72=1,MAX(0,D_F01!$B$7-I72),0)</f>
        <v>0</v>
      </c>
      <c r="Q72" s="4" t="n">
        <f aca="false">IF(AND(ISNUMBER(J72),J72&lt;=D_F01!$B$7),J72-I72,0)</f>
        <v>-2</v>
      </c>
      <c r="R72" s="4" t="n">
        <f aca="false">MAX(0,Q72)</f>
        <v>0</v>
      </c>
      <c r="S72" s="4" t="n">
        <f aca="false">IF(AND(ISNUMBER(J72),J72&lt;=D_F01!$B$7,J72&gt;D_F01!$B$7-D_F01!$B$25),G72*R72,0)</f>
        <v>0</v>
      </c>
      <c r="T72" s="33" t="n">
        <f aca="false">IF(AND(ISNUMBER(J72),J72&lt;=D_F01!$B$7,J72&gt;D_F01!$B$7-D_F01!$B$25),G72,0)</f>
        <v>411044208</v>
      </c>
      <c r="U72" s="4" t="n">
        <f aca="false">IF(INDEX(D_F01!$C$51:$C$59,MATCH(C72,D_F01!$A$51:$A$59,0))="có",1,0)</f>
        <v>0</v>
      </c>
      <c r="V72" s="42" t="n">
        <f aca="false">IF(AND(N72=1,L72&gt;0,L72&lt;1,K72&gt;M72,H72+M72&gt;=D_F01!$B$7),1,0)</f>
        <v>0</v>
      </c>
      <c r="W72" s="44" t="n">
        <f aca="false">IF(V72=1,O72*L72,0)</f>
        <v>0</v>
      </c>
      <c r="X72" s="96" t="n">
        <f aca="false">IF(V72=1,L72/(1-L72)*365/(K72-M72),0)</f>
        <v>0</v>
      </c>
    </row>
    <row r="73" customFormat="false" ht="25.5" hidden="false" customHeight="true" outlineLevel="0" collapsed="false">
      <c r="A73" s="82" t="s">
        <v>3298</v>
      </c>
      <c r="B73" s="82" t="s">
        <v>2666</v>
      </c>
      <c r="C73" s="82" t="s">
        <v>1999</v>
      </c>
      <c r="D73" s="82" t="s">
        <v>2755</v>
      </c>
      <c r="E73" s="82" t="s">
        <v>3299</v>
      </c>
      <c r="F73" s="82" t="s">
        <v>3202</v>
      </c>
      <c r="G73" s="87" t="n">
        <v>219660306</v>
      </c>
      <c r="H73" s="84" t="n">
        <v>46118</v>
      </c>
      <c r="I73" s="84" t="n">
        <v>46148</v>
      </c>
      <c r="J73" s="84" t="n">
        <v>46149</v>
      </c>
      <c r="K73" s="82" t="n">
        <v>30</v>
      </c>
      <c r="L73" s="91" t="n">
        <v>0</v>
      </c>
      <c r="M73" s="82" t="n">
        <v>0</v>
      </c>
      <c r="N73" s="3" t="n">
        <f aca="false">IF(AND(H73&lt;=D_F01!$B$7,OR(NOT(ISNUMBER(J73)),J73&gt;D_F01!$B$7)),1,0)</f>
        <v>0</v>
      </c>
      <c r="O73" s="32" t="n">
        <f aca="false">G73*N73</f>
        <v>0</v>
      </c>
      <c r="P73" s="3" t="n">
        <f aca="false">IF(N73=1,MAX(0,D_F01!$B$7-I73),0)</f>
        <v>0</v>
      </c>
      <c r="Q73" s="3" t="n">
        <f aca="false">IF(AND(ISNUMBER(J73),J73&lt;=D_F01!$B$7),J73-I73,0)</f>
        <v>1</v>
      </c>
      <c r="R73" s="3" t="n">
        <f aca="false">MAX(0,Q73)</f>
        <v>1</v>
      </c>
      <c r="S73" s="3" t="n">
        <f aca="false">IF(AND(ISNUMBER(J73),J73&lt;=D_F01!$B$7,J73&gt;D_F01!$B$7-D_F01!$B$25),G73*R73,0)</f>
        <v>219660306</v>
      </c>
      <c r="T73" s="32" t="n">
        <f aca="false">IF(AND(ISNUMBER(J73),J73&lt;=D_F01!$B$7,J73&gt;D_F01!$B$7-D_F01!$B$25),G73,0)</f>
        <v>219660306</v>
      </c>
      <c r="U73" s="3" t="n">
        <f aca="false">IF(INDEX(D_F01!$C$51:$C$59,MATCH(C73,D_F01!$A$51:$A$59,0))="có",1,0)</f>
        <v>0</v>
      </c>
      <c r="V73" s="42" t="n">
        <f aca="false">IF(AND(N73=1,L73&gt;0,L73&lt;1,K73&gt;M73,H73+M73&gt;=D_F01!$B$7),1,0)</f>
        <v>0</v>
      </c>
      <c r="W73" s="44" t="n">
        <f aca="false">IF(V73=1,O73*L73,0)</f>
        <v>0</v>
      </c>
      <c r="X73" s="96" t="n">
        <f aca="false">IF(V73=1,L73/(1-L73)*365/(K73-M73),0)</f>
        <v>0</v>
      </c>
    </row>
    <row r="74" customFormat="false" ht="25.5" hidden="false" customHeight="true" outlineLevel="0" collapsed="false">
      <c r="A74" s="89" t="s">
        <v>3300</v>
      </c>
      <c r="B74" s="89" t="s">
        <v>2666</v>
      </c>
      <c r="C74" s="89" t="s">
        <v>1994</v>
      </c>
      <c r="D74" s="89" t="s">
        <v>2750</v>
      </c>
      <c r="E74" s="89" t="s">
        <v>3301</v>
      </c>
      <c r="F74" s="89" t="s">
        <v>3157</v>
      </c>
      <c r="G74" s="88" t="n">
        <v>136013088</v>
      </c>
      <c r="H74" s="83" t="n">
        <v>46119</v>
      </c>
      <c r="I74" s="83" t="n">
        <v>46134</v>
      </c>
      <c r="J74" s="83" t="n">
        <v>46136</v>
      </c>
      <c r="K74" s="89" t="n">
        <v>15</v>
      </c>
      <c r="L74" s="97" t="n">
        <v>0</v>
      </c>
      <c r="M74" s="89" t="n">
        <v>0</v>
      </c>
      <c r="N74" s="4" t="n">
        <f aca="false">IF(AND(H74&lt;=D_F01!$B$7,OR(NOT(ISNUMBER(J74)),J74&gt;D_F01!$B$7)),1,0)</f>
        <v>0</v>
      </c>
      <c r="O74" s="33" t="n">
        <f aca="false">G74*N74</f>
        <v>0</v>
      </c>
      <c r="P74" s="4" t="n">
        <f aca="false">IF(N74=1,MAX(0,D_F01!$B$7-I74),0)</f>
        <v>0</v>
      </c>
      <c r="Q74" s="4" t="n">
        <f aca="false">IF(AND(ISNUMBER(J74),J74&lt;=D_F01!$B$7),J74-I74,0)</f>
        <v>2</v>
      </c>
      <c r="R74" s="4" t="n">
        <f aca="false">MAX(0,Q74)</f>
        <v>2</v>
      </c>
      <c r="S74" s="4" t="n">
        <f aca="false">IF(AND(ISNUMBER(J74),J74&lt;=D_F01!$B$7,J74&gt;D_F01!$B$7-D_F01!$B$25),G74*R74,0)</f>
        <v>272026176</v>
      </c>
      <c r="T74" s="33" t="n">
        <f aca="false">IF(AND(ISNUMBER(J74),J74&lt;=D_F01!$B$7,J74&gt;D_F01!$B$7-D_F01!$B$25),G74,0)</f>
        <v>136013088</v>
      </c>
      <c r="U74" s="4" t="n">
        <f aca="false">IF(INDEX(D_F01!$C$51:$C$59,MATCH(C74,D_F01!$A$51:$A$59,0))="có",1,0)</f>
        <v>1</v>
      </c>
      <c r="V74" s="42" t="n">
        <f aca="false">IF(AND(N74=1,L74&gt;0,L74&lt;1,K74&gt;M74,H74+M74&gt;=D_F01!$B$7),1,0)</f>
        <v>0</v>
      </c>
      <c r="W74" s="44" t="n">
        <f aca="false">IF(V74=1,O74*L74,0)</f>
        <v>0</v>
      </c>
      <c r="X74" s="96" t="n">
        <f aca="false">IF(V74=1,L74/(1-L74)*365/(K74-M74),0)</f>
        <v>0</v>
      </c>
    </row>
    <row r="75" customFormat="false" ht="25.5" hidden="false" customHeight="true" outlineLevel="0" collapsed="false">
      <c r="A75" s="82" t="s">
        <v>3302</v>
      </c>
      <c r="B75" s="82" t="s">
        <v>2666</v>
      </c>
      <c r="C75" s="82" t="s">
        <v>1993</v>
      </c>
      <c r="D75" s="82" t="s">
        <v>3179</v>
      </c>
      <c r="E75" s="82" t="s">
        <v>3303</v>
      </c>
      <c r="F75" s="82" t="s">
        <v>3181</v>
      </c>
      <c r="G75" s="87" t="n">
        <v>383775000</v>
      </c>
      <c r="H75" s="84" t="n">
        <v>46120</v>
      </c>
      <c r="I75" s="84" t="n">
        <v>46165</v>
      </c>
      <c r="J75" s="84" t="n">
        <v>46178</v>
      </c>
      <c r="K75" s="82" t="n">
        <v>45</v>
      </c>
      <c r="L75" s="91" t="n">
        <v>0</v>
      </c>
      <c r="M75" s="82" t="n">
        <v>0</v>
      </c>
      <c r="N75" s="3" t="n">
        <f aca="false">IF(AND(H75&lt;=D_F01!$B$7,OR(NOT(ISNUMBER(J75)),J75&gt;D_F01!$B$7)),1,0)</f>
        <v>0</v>
      </c>
      <c r="O75" s="32" t="n">
        <f aca="false">G75*N75</f>
        <v>0</v>
      </c>
      <c r="P75" s="3" t="n">
        <f aca="false">IF(N75=1,MAX(0,D_F01!$B$7-I75),0)</f>
        <v>0</v>
      </c>
      <c r="Q75" s="3" t="n">
        <f aca="false">IF(AND(ISNUMBER(J75),J75&lt;=D_F01!$B$7),J75-I75,0)</f>
        <v>13</v>
      </c>
      <c r="R75" s="3" t="n">
        <f aca="false">MAX(0,Q75)</f>
        <v>13</v>
      </c>
      <c r="S75" s="3" t="n">
        <f aca="false">IF(AND(ISNUMBER(J75),J75&lt;=D_F01!$B$7,J75&gt;D_F01!$B$7-D_F01!$B$25),G75*R75,0)</f>
        <v>4989075000</v>
      </c>
      <c r="T75" s="32" t="n">
        <f aca="false">IF(AND(ISNUMBER(J75),J75&lt;=D_F01!$B$7,J75&gt;D_F01!$B$7-D_F01!$B$25),G75,0)</f>
        <v>383775000</v>
      </c>
      <c r="U75" s="3" t="n">
        <f aca="false">IF(INDEX(D_F01!$C$51:$C$59,MATCH(C75,D_F01!$A$51:$A$59,0))="có",1,0)</f>
        <v>0</v>
      </c>
      <c r="V75" s="42" t="n">
        <f aca="false">IF(AND(N75=1,L75&gt;0,L75&lt;1,K75&gt;M75,H75+M75&gt;=D_F01!$B$7),1,0)</f>
        <v>0</v>
      </c>
      <c r="W75" s="44" t="n">
        <f aca="false">IF(V75=1,O75*L75,0)</f>
        <v>0</v>
      </c>
      <c r="X75" s="96" t="n">
        <f aca="false">IF(V75=1,L75/(1-L75)*365/(K75-M75),0)</f>
        <v>0</v>
      </c>
    </row>
    <row r="76" customFormat="false" ht="25.5" hidden="false" customHeight="true" outlineLevel="0" collapsed="false">
      <c r="A76" s="89" t="s">
        <v>3304</v>
      </c>
      <c r="B76" s="89" t="s">
        <v>2666</v>
      </c>
      <c r="C76" s="89" t="s">
        <v>1992</v>
      </c>
      <c r="D76" s="89" t="s">
        <v>3164</v>
      </c>
      <c r="E76" s="89" t="s">
        <v>3305</v>
      </c>
      <c r="F76" s="89" t="s">
        <v>3166</v>
      </c>
      <c r="G76" s="88" t="n">
        <v>995176308</v>
      </c>
      <c r="H76" s="83" t="n">
        <v>46122</v>
      </c>
      <c r="I76" s="83" t="n">
        <v>46152</v>
      </c>
      <c r="J76" s="83" t="n">
        <v>46152</v>
      </c>
      <c r="K76" s="89" t="n">
        <v>30</v>
      </c>
      <c r="L76" s="97" t="n">
        <v>0.02</v>
      </c>
      <c r="M76" s="89" t="n">
        <v>10</v>
      </c>
      <c r="N76" s="4" t="n">
        <f aca="false">IF(AND(H76&lt;=D_F01!$B$7,OR(NOT(ISNUMBER(J76)),J76&gt;D_F01!$B$7)),1,0)</f>
        <v>0</v>
      </c>
      <c r="O76" s="33" t="n">
        <f aca="false">G76*N76</f>
        <v>0</v>
      </c>
      <c r="P76" s="4" t="n">
        <f aca="false">IF(N76=1,MAX(0,D_F01!$B$7-I76),0)</f>
        <v>0</v>
      </c>
      <c r="Q76" s="4" t="n">
        <f aca="false">IF(AND(ISNUMBER(J76),J76&lt;=D_F01!$B$7),J76-I76,0)</f>
        <v>0</v>
      </c>
      <c r="R76" s="4" t="n">
        <f aca="false">MAX(0,Q76)</f>
        <v>0</v>
      </c>
      <c r="S76" s="4" t="n">
        <f aca="false">IF(AND(ISNUMBER(J76),J76&lt;=D_F01!$B$7,J76&gt;D_F01!$B$7-D_F01!$B$25),G76*R76,0)</f>
        <v>0</v>
      </c>
      <c r="T76" s="33" t="n">
        <f aca="false">IF(AND(ISNUMBER(J76),J76&lt;=D_F01!$B$7,J76&gt;D_F01!$B$7-D_F01!$B$25),G76,0)</f>
        <v>995176308</v>
      </c>
      <c r="U76" s="4" t="n">
        <f aca="false">IF(INDEX(D_F01!$C$51:$C$59,MATCH(C76,D_F01!$A$51:$A$59,0))="có",1,0)</f>
        <v>1</v>
      </c>
      <c r="V76" s="42" t="n">
        <f aca="false">IF(AND(N76=1,L76&gt;0,L76&lt;1,K76&gt;M76,H76+M76&gt;=D_F01!$B$7),1,0)</f>
        <v>0</v>
      </c>
      <c r="W76" s="44" t="n">
        <f aca="false">IF(V76=1,O76*L76,0)</f>
        <v>0</v>
      </c>
      <c r="X76" s="96" t="n">
        <f aca="false">IF(V76=1,L76/(1-L76)*365/(K76-M76),0)</f>
        <v>0</v>
      </c>
    </row>
    <row r="77" customFormat="false" ht="25.5" hidden="false" customHeight="true" outlineLevel="0" collapsed="false">
      <c r="A77" s="82" t="s">
        <v>3306</v>
      </c>
      <c r="B77" s="82" t="s">
        <v>2666</v>
      </c>
      <c r="C77" s="82" t="s">
        <v>2000</v>
      </c>
      <c r="D77" s="82" t="s">
        <v>2756</v>
      </c>
      <c r="E77" s="82" t="s">
        <v>3307</v>
      </c>
      <c r="F77" s="82" t="s">
        <v>3154</v>
      </c>
      <c r="G77" s="87" t="n">
        <v>251982144</v>
      </c>
      <c r="H77" s="84" t="n">
        <v>46124</v>
      </c>
      <c r="I77" s="84" t="n">
        <v>46154</v>
      </c>
      <c r="J77" s="84" t="n">
        <v>46130</v>
      </c>
      <c r="K77" s="82" t="n">
        <v>30</v>
      </c>
      <c r="L77" s="91" t="n">
        <v>0.01</v>
      </c>
      <c r="M77" s="82" t="n">
        <v>7</v>
      </c>
      <c r="N77" s="3" t="n">
        <f aca="false">IF(AND(H77&lt;=D_F01!$B$7,OR(NOT(ISNUMBER(J77)),J77&gt;D_F01!$B$7)),1,0)</f>
        <v>0</v>
      </c>
      <c r="O77" s="32" t="n">
        <f aca="false">G77*N77</f>
        <v>0</v>
      </c>
      <c r="P77" s="3" t="n">
        <f aca="false">IF(N77=1,MAX(0,D_F01!$B$7-I77),0)</f>
        <v>0</v>
      </c>
      <c r="Q77" s="3" t="n">
        <f aca="false">IF(AND(ISNUMBER(J77),J77&lt;=D_F01!$B$7),J77-I77,0)</f>
        <v>-24</v>
      </c>
      <c r="R77" s="3" t="n">
        <f aca="false">MAX(0,Q77)</f>
        <v>0</v>
      </c>
      <c r="S77" s="3" t="n">
        <f aca="false">IF(AND(ISNUMBER(J77),J77&lt;=D_F01!$B$7,J77&gt;D_F01!$B$7-D_F01!$B$25),G77*R77,0)</f>
        <v>0</v>
      </c>
      <c r="T77" s="32" t="n">
        <f aca="false">IF(AND(ISNUMBER(J77),J77&lt;=D_F01!$B$7,J77&gt;D_F01!$B$7-D_F01!$B$25),G77,0)</f>
        <v>251982144</v>
      </c>
      <c r="U77" s="3" t="n">
        <f aca="false">IF(INDEX(D_F01!$C$51:$C$59,MATCH(C77,D_F01!$A$51:$A$59,0))="có",1,0)</f>
        <v>1</v>
      </c>
      <c r="V77" s="42" t="n">
        <f aca="false">IF(AND(N77=1,L77&gt;0,L77&lt;1,K77&gt;M77,H77+M77&gt;=D_F01!$B$7),1,0)</f>
        <v>0</v>
      </c>
      <c r="W77" s="44" t="n">
        <f aca="false">IF(V77=1,O77*L77,0)</f>
        <v>0</v>
      </c>
      <c r="X77" s="96" t="n">
        <f aca="false">IF(V77=1,L77/(1-L77)*365/(K77-M77),0)</f>
        <v>0</v>
      </c>
    </row>
    <row r="78" customFormat="false" ht="25.5" hidden="false" customHeight="true" outlineLevel="0" collapsed="false">
      <c r="A78" s="89" t="s">
        <v>3308</v>
      </c>
      <c r="B78" s="89" t="s">
        <v>2666</v>
      </c>
      <c r="C78" s="89" t="s">
        <v>1993</v>
      </c>
      <c r="D78" s="89" t="s">
        <v>3179</v>
      </c>
      <c r="E78" s="89" t="s">
        <v>3309</v>
      </c>
      <c r="F78" s="89" t="s">
        <v>3181</v>
      </c>
      <c r="G78" s="88" t="n">
        <v>643490076</v>
      </c>
      <c r="H78" s="83" t="n">
        <v>46125</v>
      </c>
      <c r="I78" s="83" t="n">
        <v>46170</v>
      </c>
      <c r="J78" s="83" t="n">
        <v>46184</v>
      </c>
      <c r="K78" s="89" t="n">
        <v>45</v>
      </c>
      <c r="L78" s="97" t="n">
        <v>0</v>
      </c>
      <c r="M78" s="89" t="n">
        <v>0</v>
      </c>
      <c r="N78" s="4" t="n">
        <f aca="false">IF(AND(H78&lt;=D_F01!$B$7,OR(NOT(ISNUMBER(J78)),J78&gt;D_F01!$B$7)),1,0)</f>
        <v>0</v>
      </c>
      <c r="O78" s="33" t="n">
        <f aca="false">G78*N78</f>
        <v>0</v>
      </c>
      <c r="P78" s="4" t="n">
        <f aca="false">IF(N78=1,MAX(0,D_F01!$B$7-I78),0)</f>
        <v>0</v>
      </c>
      <c r="Q78" s="4" t="n">
        <f aca="false">IF(AND(ISNUMBER(J78),J78&lt;=D_F01!$B$7),J78-I78,0)</f>
        <v>14</v>
      </c>
      <c r="R78" s="4" t="n">
        <f aca="false">MAX(0,Q78)</f>
        <v>14</v>
      </c>
      <c r="S78" s="4" t="n">
        <f aca="false">IF(AND(ISNUMBER(J78),J78&lt;=D_F01!$B$7,J78&gt;D_F01!$B$7-D_F01!$B$25),G78*R78,0)</f>
        <v>9008861064</v>
      </c>
      <c r="T78" s="33" t="n">
        <f aca="false">IF(AND(ISNUMBER(J78),J78&lt;=D_F01!$B$7,J78&gt;D_F01!$B$7-D_F01!$B$25),G78,0)</f>
        <v>643490076</v>
      </c>
      <c r="U78" s="4" t="n">
        <f aca="false">IF(INDEX(D_F01!$C$51:$C$59,MATCH(C78,D_F01!$A$51:$A$59,0))="có",1,0)</f>
        <v>0</v>
      </c>
      <c r="V78" s="42" t="n">
        <f aca="false">IF(AND(N78=1,L78&gt;0,L78&lt;1,K78&gt;M78,H78+M78&gt;=D_F01!$B$7),1,0)</f>
        <v>0</v>
      </c>
      <c r="W78" s="44" t="n">
        <f aca="false">IF(V78=1,O78*L78,0)</f>
        <v>0</v>
      </c>
      <c r="X78" s="96" t="n">
        <f aca="false">IF(V78=1,L78/(1-L78)*365/(K78-M78),0)</f>
        <v>0</v>
      </c>
    </row>
    <row r="79" customFormat="false" ht="25.5" hidden="false" customHeight="true" outlineLevel="0" collapsed="false">
      <c r="A79" s="82" t="s">
        <v>3310</v>
      </c>
      <c r="B79" s="82" t="s">
        <v>2666</v>
      </c>
      <c r="C79" s="82" t="s">
        <v>1994</v>
      </c>
      <c r="D79" s="82" t="s">
        <v>2750</v>
      </c>
      <c r="E79" s="82" t="s">
        <v>3311</v>
      </c>
      <c r="F79" s="82" t="s">
        <v>3157</v>
      </c>
      <c r="G79" s="87" t="n">
        <v>198213690</v>
      </c>
      <c r="H79" s="84" t="n">
        <v>46125</v>
      </c>
      <c r="I79" s="84" t="n">
        <v>46140</v>
      </c>
      <c r="J79" s="84" t="n">
        <v>46142</v>
      </c>
      <c r="K79" s="82" t="n">
        <v>15</v>
      </c>
      <c r="L79" s="91" t="n">
        <v>0</v>
      </c>
      <c r="M79" s="82" t="n">
        <v>0</v>
      </c>
      <c r="N79" s="3" t="n">
        <f aca="false">IF(AND(H79&lt;=D_F01!$B$7,OR(NOT(ISNUMBER(J79)),J79&gt;D_F01!$B$7)),1,0)</f>
        <v>0</v>
      </c>
      <c r="O79" s="32" t="n">
        <f aca="false">G79*N79</f>
        <v>0</v>
      </c>
      <c r="P79" s="3" t="n">
        <f aca="false">IF(N79=1,MAX(0,D_F01!$B$7-I79),0)</f>
        <v>0</v>
      </c>
      <c r="Q79" s="3" t="n">
        <f aca="false">IF(AND(ISNUMBER(J79),J79&lt;=D_F01!$B$7),J79-I79,0)</f>
        <v>2</v>
      </c>
      <c r="R79" s="3" t="n">
        <f aca="false">MAX(0,Q79)</f>
        <v>2</v>
      </c>
      <c r="S79" s="3" t="n">
        <f aca="false">IF(AND(ISNUMBER(J79),J79&lt;=D_F01!$B$7,J79&gt;D_F01!$B$7-D_F01!$B$25),G79*R79,0)</f>
        <v>396427380</v>
      </c>
      <c r="T79" s="32" t="n">
        <f aca="false">IF(AND(ISNUMBER(J79),J79&lt;=D_F01!$B$7,J79&gt;D_F01!$B$7-D_F01!$B$25),G79,0)</f>
        <v>198213690</v>
      </c>
      <c r="U79" s="3" t="n">
        <f aca="false">IF(INDEX(D_F01!$C$51:$C$59,MATCH(C79,D_F01!$A$51:$A$59,0))="có",1,0)</f>
        <v>1</v>
      </c>
      <c r="V79" s="42" t="n">
        <f aca="false">IF(AND(N79=1,L79&gt;0,L79&lt;1,K79&gt;M79,H79+M79&gt;=D_F01!$B$7),1,0)</f>
        <v>0</v>
      </c>
      <c r="W79" s="44" t="n">
        <f aca="false">IF(V79=1,O79*L79,0)</f>
        <v>0</v>
      </c>
      <c r="X79" s="96" t="n">
        <f aca="false">IF(V79=1,L79/(1-L79)*365/(K79-M79),0)</f>
        <v>0</v>
      </c>
    </row>
    <row r="80" customFormat="false" ht="25.5" hidden="false" customHeight="true" outlineLevel="0" collapsed="false">
      <c r="A80" s="89" t="s">
        <v>3312</v>
      </c>
      <c r="B80" s="89" t="s">
        <v>2666</v>
      </c>
      <c r="C80" s="89" t="s">
        <v>1994</v>
      </c>
      <c r="D80" s="89" t="s">
        <v>2750</v>
      </c>
      <c r="E80" s="89" t="s">
        <v>3313</v>
      </c>
      <c r="F80" s="89" t="s">
        <v>3157</v>
      </c>
      <c r="G80" s="88" t="n">
        <v>204789600</v>
      </c>
      <c r="H80" s="83" t="n">
        <v>46126</v>
      </c>
      <c r="I80" s="83" t="n">
        <v>46141</v>
      </c>
      <c r="J80" s="83" t="n">
        <v>46144</v>
      </c>
      <c r="K80" s="89" t="n">
        <v>15</v>
      </c>
      <c r="L80" s="97" t="n">
        <v>0</v>
      </c>
      <c r="M80" s="89" t="n">
        <v>0</v>
      </c>
      <c r="N80" s="4" t="n">
        <f aca="false">IF(AND(H80&lt;=D_F01!$B$7,OR(NOT(ISNUMBER(J80)),J80&gt;D_F01!$B$7)),1,0)</f>
        <v>0</v>
      </c>
      <c r="O80" s="33" t="n">
        <f aca="false">G80*N80</f>
        <v>0</v>
      </c>
      <c r="P80" s="4" t="n">
        <f aca="false">IF(N80=1,MAX(0,D_F01!$B$7-I80),0)</f>
        <v>0</v>
      </c>
      <c r="Q80" s="4" t="n">
        <f aca="false">IF(AND(ISNUMBER(J80),J80&lt;=D_F01!$B$7),J80-I80,0)</f>
        <v>3</v>
      </c>
      <c r="R80" s="4" t="n">
        <f aca="false">MAX(0,Q80)</f>
        <v>3</v>
      </c>
      <c r="S80" s="4" t="n">
        <f aca="false">IF(AND(ISNUMBER(J80),J80&lt;=D_F01!$B$7,J80&gt;D_F01!$B$7-D_F01!$B$25),G80*R80,0)</f>
        <v>614368800</v>
      </c>
      <c r="T80" s="33" t="n">
        <f aca="false">IF(AND(ISNUMBER(J80),J80&lt;=D_F01!$B$7,J80&gt;D_F01!$B$7-D_F01!$B$25),G80,0)</f>
        <v>204789600</v>
      </c>
      <c r="U80" s="4" t="n">
        <f aca="false">IF(INDEX(D_F01!$C$51:$C$59,MATCH(C80,D_F01!$A$51:$A$59,0))="có",1,0)</f>
        <v>1</v>
      </c>
      <c r="V80" s="42" t="n">
        <f aca="false">IF(AND(N80=1,L80&gt;0,L80&lt;1,K80&gt;M80,H80+M80&gt;=D_F01!$B$7),1,0)</f>
        <v>0</v>
      </c>
      <c r="W80" s="44" t="n">
        <f aca="false">IF(V80=1,O80*L80,0)</f>
        <v>0</v>
      </c>
      <c r="X80" s="96" t="n">
        <f aca="false">IF(V80=1,L80/(1-L80)*365/(K80-M80),0)</f>
        <v>0</v>
      </c>
    </row>
    <row r="81" customFormat="false" ht="25.5" hidden="false" customHeight="true" outlineLevel="0" collapsed="false">
      <c r="A81" s="82" t="s">
        <v>3314</v>
      </c>
      <c r="B81" s="82" t="s">
        <v>2666</v>
      </c>
      <c r="C81" s="82" t="s">
        <v>1994</v>
      </c>
      <c r="D81" s="82" t="s">
        <v>2750</v>
      </c>
      <c r="E81" s="82" t="s">
        <v>3315</v>
      </c>
      <c r="F81" s="82" t="s">
        <v>3157</v>
      </c>
      <c r="G81" s="87" t="n">
        <v>116472654</v>
      </c>
      <c r="H81" s="84" t="n">
        <v>46130</v>
      </c>
      <c r="I81" s="84" t="n">
        <v>46145</v>
      </c>
      <c r="J81" s="84" t="n">
        <v>46145</v>
      </c>
      <c r="K81" s="82" t="n">
        <v>15</v>
      </c>
      <c r="L81" s="91" t="n">
        <v>0</v>
      </c>
      <c r="M81" s="82" t="n">
        <v>0</v>
      </c>
      <c r="N81" s="3" t="n">
        <f aca="false">IF(AND(H81&lt;=D_F01!$B$7,OR(NOT(ISNUMBER(J81)),J81&gt;D_F01!$B$7)),1,0)</f>
        <v>0</v>
      </c>
      <c r="O81" s="32" t="n">
        <f aca="false">G81*N81</f>
        <v>0</v>
      </c>
      <c r="P81" s="3" t="n">
        <f aca="false">IF(N81=1,MAX(0,D_F01!$B$7-I81),0)</f>
        <v>0</v>
      </c>
      <c r="Q81" s="3" t="n">
        <f aca="false">IF(AND(ISNUMBER(J81),J81&lt;=D_F01!$B$7),J81-I81,0)</f>
        <v>0</v>
      </c>
      <c r="R81" s="3" t="n">
        <f aca="false">MAX(0,Q81)</f>
        <v>0</v>
      </c>
      <c r="S81" s="3" t="n">
        <f aca="false">IF(AND(ISNUMBER(J81),J81&lt;=D_F01!$B$7,J81&gt;D_F01!$B$7-D_F01!$B$25),G81*R81,0)</f>
        <v>0</v>
      </c>
      <c r="T81" s="32" t="n">
        <f aca="false">IF(AND(ISNUMBER(J81),J81&lt;=D_F01!$B$7,J81&gt;D_F01!$B$7-D_F01!$B$25),G81,0)</f>
        <v>116472654</v>
      </c>
      <c r="U81" s="3" t="n">
        <f aca="false">IF(INDEX(D_F01!$C$51:$C$59,MATCH(C81,D_F01!$A$51:$A$59,0))="có",1,0)</f>
        <v>1</v>
      </c>
      <c r="V81" s="42" t="n">
        <f aca="false">IF(AND(N81=1,L81&gt;0,L81&lt;1,K81&gt;M81,H81+M81&gt;=D_F01!$B$7),1,0)</f>
        <v>0</v>
      </c>
      <c r="W81" s="44" t="n">
        <f aca="false">IF(V81=1,O81*L81,0)</f>
        <v>0</v>
      </c>
      <c r="X81" s="96" t="n">
        <f aca="false">IF(V81=1,L81/(1-L81)*365/(K81-M81),0)</f>
        <v>0</v>
      </c>
    </row>
    <row r="82" customFormat="false" ht="25.5" hidden="false" customHeight="true" outlineLevel="0" collapsed="false">
      <c r="A82" s="89" t="s">
        <v>3316</v>
      </c>
      <c r="B82" s="89" t="s">
        <v>2666</v>
      </c>
      <c r="C82" s="89" t="s">
        <v>1995</v>
      </c>
      <c r="D82" s="89" t="s">
        <v>2751</v>
      </c>
      <c r="E82" s="89" t="s">
        <v>3317</v>
      </c>
      <c r="F82" s="89" t="s">
        <v>3169</v>
      </c>
      <c r="G82" s="88" t="n">
        <v>48786582</v>
      </c>
      <c r="H82" s="83" t="n">
        <v>46131</v>
      </c>
      <c r="I82" s="83" t="n">
        <v>46146</v>
      </c>
      <c r="J82" s="83" t="n">
        <v>46146</v>
      </c>
      <c r="K82" s="89" t="n">
        <v>15</v>
      </c>
      <c r="L82" s="97" t="n">
        <v>0</v>
      </c>
      <c r="M82" s="89" t="n">
        <v>0</v>
      </c>
      <c r="N82" s="4" t="n">
        <f aca="false">IF(AND(H82&lt;=D_F01!$B$7,OR(NOT(ISNUMBER(J82)),J82&gt;D_F01!$B$7)),1,0)</f>
        <v>0</v>
      </c>
      <c r="O82" s="33" t="n">
        <f aca="false">G82*N82</f>
        <v>0</v>
      </c>
      <c r="P82" s="4" t="n">
        <f aca="false">IF(N82=1,MAX(0,D_F01!$B$7-I82),0)</f>
        <v>0</v>
      </c>
      <c r="Q82" s="4" t="n">
        <f aca="false">IF(AND(ISNUMBER(J82),J82&lt;=D_F01!$B$7),J82-I82,0)</f>
        <v>0</v>
      </c>
      <c r="R82" s="4" t="n">
        <f aca="false">MAX(0,Q82)</f>
        <v>0</v>
      </c>
      <c r="S82" s="4" t="n">
        <f aca="false">IF(AND(ISNUMBER(J82),J82&lt;=D_F01!$B$7,J82&gt;D_F01!$B$7-D_F01!$B$25),G82*R82,0)</f>
        <v>0</v>
      </c>
      <c r="T82" s="33" t="n">
        <f aca="false">IF(AND(ISNUMBER(J82),J82&lt;=D_F01!$B$7,J82&gt;D_F01!$B$7-D_F01!$B$25),G82,0)</f>
        <v>48786582</v>
      </c>
      <c r="U82" s="4" t="n">
        <f aca="false">IF(INDEX(D_F01!$C$51:$C$59,MATCH(C82,D_F01!$A$51:$A$59,0))="có",1,0)</f>
        <v>0</v>
      </c>
      <c r="V82" s="42" t="n">
        <f aca="false">IF(AND(N82=1,L82&gt;0,L82&lt;1,K82&gt;M82,H82+M82&gt;=D_F01!$B$7),1,0)</f>
        <v>0</v>
      </c>
      <c r="W82" s="44" t="n">
        <f aca="false">IF(V82=1,O82*L82,0)</f>
        <v>0</v>
      </c>
      <c r="X82" s="96" t="n">
        <f aca="false">IF(V82=1,L82/(1-L82)*365/(K82-M82),0)</f>
        <v>0</v>
      </c>
    </row>
    <row r="83" customFormat="false" ht="25.5" hidden="false" customHeight="true" outlineLevel="0" collapsed="false">
      <c r="A83" s="82" t="s">
        <v>3318</v>
      </c>
      <c r="B83" s="82" t="s">
        <v>2666</v>
      </c>
      <c r="C83" s="82" t="s">
        <v>1993</v>
      </c>
      <c r="D83" s="82" t="s">
        <v>3179</v>
      </c>
      <c r="E83" s="82" t="s">
        <v>3319</v>
      </c>
      <c r="F83" s="82" t="s">
        <v>3181</v>
      </c>
      <c r="G83" s="87" t="n">
        <v>257401026</v>
      </c>
      <c r="H83" s="84" t="n">
        <v>46103</v>
      </c>
      <c r="I83" s="84" t="n">
        <v>46148</v>
      </c>
      <c r="J83" s="84" t="n">
        <v>46199</v>
      </c>
      <c r="K83" s="82" t="n">
        <v>45</v>
      </c>
      <c r="L83" s="91" t="n">
        <v>0</v>
      </c>
      <c r="M83" s="82" t="n">
        <v>0</v>
      </c>
      <c r="N83" s="3" t="n">
        <f aca="false">IF(AND(H83&lt;=D_F01!$B$7,OR(NOT(ISNUMBER(J83)),J83&gt;D_F01!$B$7)),1,0)</f>
        <v>0</v>
      </c>
      <c r="O83" s="32" t="n">
        <f aca="false">G83*N83</f>
        <v>0</v>
      </c>
      <c r="P83" s="3" t="n">
        <f aca="false">IF(N83=1,MAX(0,D_F01!$B$7-I83),0)</f>
        <v>0</v>
      </c>
      <c r="Q83" s="3" t="n">
        <f aca="false">IF(AND(ISNUMBER(J83),J83&lt;=D_F01!$B$7),J83-I83,0)</f>
        <v>51</v>
      </c>
      <c r="R83" s="3" t="n">
        <f aca="false">MAX(0,Q83)</f>
        <v>51</v>
      </c>
      <c r="S83" s="3" t="n">
        <f aca="false">IF(AND(ISNUMBER(J83),J83&lt;=D_F01!$B$7,J83&gt;D_F01!$B$7-D_F01!$B$25),G83*R83,0)</f>
        <v>13127452326</v>
      </c>
      <c r="T83" s="32" t="n">
        <f aca="false">IF(AND(ISNUMBER(J83),J83&lt;=D_F01!$B$7,J83&gt;D_F01!$B$7-D_F01!$B$25),G83,0)</f>
        <v>257401026</v>
      </c>
      <c r="U83" s="3" t="n">
        <f aca="false">IF(INDEX(D_F01!$C$51:$C$59,MATCH(C83,D_F01!$A$51:$A$59,0))="có",1,0)</f>
        <v>0</v>
      </c>
      <c r="V83" s="42" t="n">
        <f aca="false">IF(AND(N83=1,L83&gt;0,L83&lt;1,K83&gt;M83,H83+M83&gt;=D_F01!$B$7),1,0)</f>
        <v>0</v>
      </c>
      <c r="W83" s="44" t="n">
        <f aca="false">IF(V83=1,O83*L83,0)</f>
        <v>0</v>
      </c>
      <c r="X83" s="96" t="n">
        <f aca="false">IF(V83=1,L83/(1-L83)*365/(K83-M83),0)</f>
        <v>0</v>
      </c>
    </row>
    <row r="84" customFormat="false" ht="25.5" hidden="false" customHeight="true" outlineLevel="0" collapsed="false">
      <c r="A84" s="89" t="s">
        <v>3320</v>
      </c>
      <c r="B84" s="89" t="s">
        <v>2666</v>
      </c>
      <c r="C84" s="89" t="s">
        <v>1993</v>
      </c>
      <c r="D84" s="89" t="s">
        <v>3179</v>
      </c>
      <c r="E84" s="89" t="s">
        <v>3321</v>
      </c>
      <c r="F84" s="89" t="s">
        <v>3181</v>
      </c>
      <c r="G84" s="88" t="n">
        <v>254129718</v>
      </c>
      <c r="H84" s="83" t="n">
        <v>46135</v>
      </c>
      <c r="I84" s="83" t="n">
        <v>46180</v>
      </c>
      <c r="J84" s="83" t="n">
        <v>46200</v>
      </c>
      <c r="K84" s="89" t="n">
        <v>45</v>
      </c>
      <c r="L84" s="97" t="n">
        <v>0</v>
      </c>
      <c r="M84" s="89" t="n">
        <v>0</v>
      </c>
      <c r="N84" s="4" t="n">
        <f aca="false">IF(AND(H84&lt;=D_F01!$B$7,OR(NOT(ISNUMBER(J84)),J84&gt;D_F01!$B$7)),1,0)</f>
        <v>0</v>
      </c>
      <c r="O84" s="33" t="n">
        <f aca="false">G84*N84</f>
        <v>0</v>
      </c>
      <c r="P84" s="4" t="n">
        <f aca="false">IF(N84=1,MAX(0,D_F01!$B$7-I84),0)</f>
        <v>0</v>
      </c>
      <c r="Q84" s="4" t="n">
        <f aca="false">IF(AND(ISNUMBER(J84),J84&lt;=D_F01!$B$7),J84-I84,0)</f>
        <v>20</v>
      </c>
      <c r="R84" s="4" t="n">
        <f aca="false">MAX(0,Q84)</f>
        <v>20</v>
      </c>
      <c r="S84" s="4" t="n">
        <f aca="false">IF(AND(ISNUMBER(J84),J84&lt;=D_F01!$B$7,J84&gt;D_F01!$B$7-D_F01!$B$25),G84*R84,0)</f>
        <v>5082594360</v>
      </c>
      <c r="T84" s="33" t="n">
        <f aca="false">IF(AND(ISNUMBER(J84),J84&lt;=D_F01!$B$7,J84&gt;D_F01!$B$7-D_F01!$B$25),G84,0)</f>
        <v>254129718</v>
      </c>
      <c r="U84" s="4" t="n">
        <f aca="false">IF(INDEX(D_F01!$C$51:$C$59,MATCH(C84,D_F01!$A$51:$A$59,0))="có",1,0)</f>
        <v>0</v>
      </c>
      <c r="V84" s="42" t="n">
        <f aca="false">IF(AND(N84=1,L84&gt;0,L84&lt;1,K84&gt;M84,H84+M84&gt;=D_F01!$B$7),1,0)</f>
        <v>0</v>
      </c>
      <c r="W84" s="44" t="n">
        <f aca="false">IF(V84=1,O84*L84,0)</f>
        <v>0</v>
      </c>
      <c r="X84" s="96" t="n">
        <f aca="false">IF(V84=1,L84/(1-L84)*365/(K84-M84),0)</f>
        <v>0</v>
      </c>
    </row>
    <row r="85" customFormat="false" ht="25.5" hidden="false" customHeight="true" outlineLevel="0" collapsed="false">
      <c r="A85" s="82" t="s">
        <v>3322</v>
      </c>
      <c r="B85" s="82" t="s">
        <v>2666</v>
      </c>
      <c r="C85" s="82" t="s">
        <v>1994</v>
      </c>
      <c r="D85" s="82" t="s">
        <v>2750</v>
      </c>
      <c r="E85" s="82" t="s">
        <v>3323</v>
      </c>
      <c r="F85" s="82" t="s">
        <v>3157</v>
      </c>
      <c r="G85" s="87" t="n">
        <v>228816636</v>
      </c>
      <c r="H85" s="84" t="n">
        <v>46136</v>
      </c>
      <c r="I85" s="84" t="n">
        <v>46151</v>
      </c>
      <c r="J85" s="84" t="n">
        <v>46153</v>
      </c>
      <c r="K85" s="82" t="n">
        <v>15</v>
      </c>
      <c r="L85" s="91" t="n">
        <v>0</v>
      </c>
      <c r="M85" s="82" t="n">
        <v>0</v>
      </c>
      <c r="N85" s="3" t="n">
        <f aca="false">IF(AND(H85&lt;=D_F01!$B$7,OR(NOT(ISNUMBER(J85)),J85&gt;D_F01!$B$7)),1,0)</f>
        <v>0</v>
      </c>
      <c r="O85" s="32" t="n">
        <f aca="false">G85*N85</f>
        <v>0</v>
      </c>
      <c r="P85" s="3" t="n">
        <f aca="false">IF(N85=1,MAX(0,D_F01!$B$7-I85),0)</f>
        <v>0</v>
      </c>
      <c r="Q85" s="3" t="n">
        <f aca="false">IF(AND(ISNUMBER(J85),J85&lt;=D_F01!$B$7),J85-I85,0)</f>
        <v>2</v>
      </c>
      <c r="R85" s="3" t="n">
        <f aca="false">MAX(0,Q85)</f>
        <v>2</v>
      </c>
      <c r="S85" s="3" t="n">
        <f aca="false">IF(AND(ISNUMBER(J85),J85&lt;=D_F01!$B$7,J85&gt;D_F01!$B$7-D_F01!$B$25),G85*R85,0)</f>
        <v>457633272</v>
      </c>
      <c r="T85" s="32" t="n">
        <f aca="false">IF(AND(ISNUMBER(J85),J85&lt;=D_F01!$B$7,J85&gt;D_F01!$B$7-D_F01!$B$25),G85,0)</f>
        <v>228816636</v>
      </c>
      <c r="U85" s="3" t="n">
        <f aca="false">IF(INDEX(D_F01!$C$51:$C$59,MATCH(C85,D_F01!$A$51:$A$59,0))="có",1,0)</f>
        <v>1</v>
      </c>
      <c r="V85" s="42" t="n">
        <f aca="false">IF(AND(N85=1,L85&gt;0,L85&lt;1,K85&gt;M85,H85+M85&gt;=D_F01!$B$7),1,0)</f>
        <v>0</v>
      </c>
      <c r="W85" s="44" t="n">
        <f aca="false">IF(V85=1,O85*L85,0)</f>
        <v>0</v>
      </c>
      <c r="X85" s="96" t="n">
        <f aca="false">IF(V85=1,L85/(1-L85)*365/(K85-M85),0)</f>
        <v>0</v>
      </c>
    </row>
    <row r="86" customFormat="false" ht="25.5" hidden="false" customHeight="true" outlineLevel="0" collapsed="false">
      <c r="A86" s="89" t="s">
        <v>3324</v>
      </c>
      <c r="B86" s="89" t="s">
        <v>2666</v>
      </c>
      <c r="C86" s="89" t="s">
        <v>1996</v>
      </c>
      <c r="D86" s="89" t="s">
        <v>2752</v>
      </c>
      <c r="E86" s="89" t="s">
        <v>3325</v>
      </c>
      <c r="F86" s="89" t="s">
        <v>3241</v>
      </c>
      <c r="G86" s="88" t="n">
        <v>208256514</v>
      </c>
      <c r="H86" s="83" t="n">
        <v>46136</v>
      </c>
      <c r="I86" s="83" t="n">
        <v>46166</v>
      </c>
      <c r="J86" s="83" t="n">
        <v>46168</v>
      </c>
      <c r="K86" s="89" t="n">
        <v>30</v>
      </c>
      <c r="L86" s="97" t="n">
        <v>0</v>
      </c>
      <c r="M86" s="89" t="n">
        <v>0</v>
      </c>
      <c r="N86" s="4" t="n">
        <f aca="false">IF(AND(H86&lt;=D_F01!$B$7,OR(NOT(ISNUMBER(J86)),J86&gt;D_F01!$B$7)),1,0)</f>
        <v>0</v>
      </c>
      <c r="O86" s="33" t="n">
        <f aca="false">G86*N86</f>
        <v>0</v>
      </c>
      <c r="P86" s="4" t="n">
        <f aca="false">IF(N86=1,MAX(0,D_F01!$B$7-I86),0)</f>
        <v>0</v>
      </c>
      <c r="Q86" s="4" t="n">
        <f aca="false">IF(AND(ISNUMBER(J86),J86&lt;=D_F01!$B$7),J86-I86,0)</f>
        <v>2</v>
      </c>
      <c r="R86" s="4" t="n">
        <f aca="false">MAX(0,Q86)</f>
        <v>2</v>
      </c>
      <c r="S86" s="4" t="n">
        <f aca="false">IF(AND(ISNUMBER(J86),J86&lt;=D_F01!$B$7,J86&gt;D_F01!$B$7-D_F01!$B$25),G86*R86,0)</f>
        <v>416513028</v>
      </c>
      <c r="T86" s="33" t="n">
        <f aca="false">IF(AND(ISNUMBER(J86),J86&lt;=D_F01!$B$7,J86&gt;D_F01!$B$7-D_F01!$B$25),G86,0)</f>
        <v>208256514</v>
      </c>
      <c r="U86" s="4" t="n">
        <f aca="false">IF(INDEX(D_F01!$C$51:$C$59,MATCH(C86,D_F01!$A$51:$A$59,0))="có",1,0)</f>
        <v>0</v>
      </c>
      <c r="V86" s="42" t="n">
        <f aca="false">IF(AND(N86=1,L86&gt;0,L86&lt;1,K86&gt;M86,H86+M86&gt;=D_F01!$B$7),1,0)</f>
        <v>0</v>
      </c>
      <c r="W86" s="44" t="n">
        <f aca="false">IF(V86=1,O86*L86,0)</f>
        <v>0</v>
      </c>
      <c r="X86" s="96" t="n">
        <f aca="false">IF(V86=1,L86/(1-L86)*365/(K86-M86),0)</f>
        <v>0</v>
      </c>
    </row>
    <row r="87" customFormat="false" ht="25.5" hidden="false" customHeight="true" outlineLevel="0" collapsed="false">
      <c r="A87" s="82" t="s">
        <v>3326</v>
      </c>
      <c r="B87" s="82" t="s">
        <v>2666</v>
      </c>
      <c r="C87" s="82" t="s">
        <v>1992</v>
      </c>
      <c r="D87" s="82" t="s">
        <v>3164</v>
      </c>
      <c r="E87" s="82" t="s">
        <v>3327</v>
      </c>
      <c r="F87" s="82" t="s">
        <v>3166</v>
      </c>
      <c r="G87" s="87" t="n">
        <v>1406208024</v>
      </c>
      <c r="H87" s="84" t="n">
        <v>46137</v>
      </c>
      <c r="I87" s="84" t="n">
        <v>46167</v>
      </c>
      <c r="J87" s="84" t="n">
        <v>46147</v>
      </c>
      <c r="K87" s="82" t="n">
        <v>30</v>
      </c>
      <c r="L87" s="91" t="n">
        <v>0.02</v>
      </c>
      <c r="M87" s="82" t="n">
        <v>10</v>
      </c>
      <c r="N87" s="3" t="n">
        <f aca="false">IF(AND(H87&lt;=D_F01!$B$7,OR(NOT(ISNUMBER(J87)),J87&gt;D_F01!$B$7)),1,0)</f>
        <v>0</v>
      </c>
      <c r="O87" s="32" t="n">
        <f aca="false">G87*N87</f>
        <v>0</v>
      </c>
      <c r="P87" s="3" t="n">
        <f aca="false">IF(N87=1,MAX(0,D_F01!$B$7-I87),0)</f>
        <v>0</v>
      </c>
      <c r="Q87" s="3" t="n">
        <f aca="false">IF(AND(ISNUMBER(J87),J87&lt;=D_F01!$B$7),J87-I87,0)</f>
        <v>-20</v>
      </c>
      <c r="R87" s="3" t="n">
        <f aca="false">MAX(0,Q87)</f>
        <v>0</v>
      </c>
      <c r="S87" s="3" t="n">
        <f aca="false">IF(AND(ISNUMBER(J87),J87&lt;=D_F01!$B$7,J87&gt;D_F01!$B$7-D_F01!$B$25),G87*R87,0)</f>
        <v>0</v>
      </c>
      <c r="T87" s="32" t="n">
        <f aca="false">IF(AND(ISNUMBER(J87),J87&lt;=D_F01!$B$7,J87&gt;D_F01!$B$7-D_F01!$B$25),G87,0)</f>
        <v>1406208024</v>
      </c>
      <c r="U87" s="3" t="n">
        <f aca="false">IF(INDEX(D_F01!$C$51:$C$59,MATCH(C87,D_F01!$A$51:$A$59,0))="có",1,0)</f>
        <v>1</v>
      </c>
      <c r="V87" s="42" t="n">
        <f aca="false">IF(AND(N87=1,L87&gt;0,L87&lt;1,K87&gt;M87,H87+M87&gt;=D_F01!$B$7),1,0)</f>
        <v>0</v>
      </c>
      <c r="W87" s="44" t="n">
        <f aca="false">IF(V87=1,O87*L87,0)</f>
        <v>0</v>
      </c>
      <c r="X87" s="96" t="n">
        <f aca="false">IF(V87=1,L87/(1-L87)*365/(K87-M87),0)</f>
        <v>0</v>
      </c>
    </row>
    <row r="88" customFormat="false" ht="25.5" hidden="false" customHeight="true" outlineLevel="0" collapsed="false">
      <c r="A88" s="89" t="s">
        <v>3328</v>
      </c>
      <c r="B88" s="89" t="s">
        <v>2666</v>
      </c>
      <c r="C88" s="89" t="s">
        <v>1997</v>
      </c>
      <c r="D88" s="89" t="s">
        <v>2753</v>
      </c>
      <c r="E88" s="89" t="s">
        <v>3329</v>
      </c>
      <c r="F88" s="89" t="s">
        <v>3160</v>
      </c>
      <c r="G88" s="88" t="n">
        <v>620711628</v>
      </c>
      <c r="H88" s="83" t="n">
        <v>46137</v>
      </c>
      <c r="I88" s="83" t="n">
        <v>46152</v>
      </c>
      <c r="J88" s="83" t="n">
        <v>46155</v>
      </c>
      <c r="K88" s="89" t="n">
        <v>15</v>
      </c>
      <c r="L88" s="97" t="n">
        <v>0</v>
      </c>
      <c r="M88" s="89" t="n">
        <v>0</v>
      </c>
      <c r="N88" s="4" t="n">
        <f aca="false">IF(AND(H88&lt;=D_F01!$B$7,OR(NOT(ISNUMBER(J88)),J88&gt;D_F01!$B$7)),1,0)</f>
        <v>0</v>
      </c>
      <c r="O88" s="33" t="n">
        <f aca="false">G88*N88</f>
        <v>0</v>
      </c>
      <c r="P88" s="4" t="n">
        <f aca="false">IF(N88=1,MAX(0,D_F01!$B$7-I88),0)</f>
        <v>0</v>
      </c>
      <c r="Q88" s="4" t="n">
        <f aca="false">IF(AND(ISNUMBER(J88),J88&lt;=D_F01!$B$7),J88-I88,0)</f>
        <v>3</v>
      </c>
      <c r="R88" s="4" t="n">
        <f aca="false">MAX(0,Q88)</f>
        <v>3</v>
      </c>
      <c r="S88" s="4" t="n">
        <f aca="false">IF(AND(ISNUMBER(J88),J88&lt;=D_F01!$B$7,J88&gt;D_F01!$B$7-D_F01!$B$25),G88*R88,0)</f>
        <v>1862134884</v>
      </c>
      <c r="T88" s="33" t="n">
        <f aca="false">IF(AND(ISNUMBER(J88),J88&lt;=D_F01!$B$7,J88&gt;D_F01!$B$7-D_F01!$B$25),G88,0)</f>
        <v>620711628</v>
      </c>
      <c r="U88" s="4" t="n">
        <f aca="false">IF(INDEX(D_F01!$C$51:$C$59,MATCH(C88,D_F01!$A$51:$A$59,0))="có",1,0)</f>
        <v>1</v>
      </c>
      <c r="V88" s="42" t="n">
        <f aca="false">IF(AND(N88=1,L88&gt;0,L88&lt;1,K88&gt;M88,H88+M88&gt;=D_F01!$B$7),1,0)</f>
        <v>0</v>
      </c>
      <c r="W88" s="44" t="n">
        <f aca="false">IF(V88=1,O88*L88,0)</f>
        <v>0</v>
      </c>
      <c r="X88" s="96" t="n">
        <f aca="false">IF(V88=1,L88/(1-L88)*365/(K88-M88),0)</f>
        <v>0</v>
      </c>
    </row>
    <row r="89" customFormat="false" ht="25.5" hidden="false" customHeight="true" outlineLevel="0" collapsed="false">
      <c r="A89" s="82" t="s">
        <v>3330</v>
      </c>
      <c r="B89" s="82" t="s">
        <v>2666</v>
      </c>
      <c r="C89" s="82" t="s">
        <v>1999</v>
      </c>
      <c r="D89" s="82" t="s">
        <v>2755</v>
      </c>
      <c r="E89" s="82" t="s">
        <v>3331</v>
      </c>
      <c r="F89" s="82" t="s">
        <v>3202</v>
      </c>
      <c r="G89" s="87" t="n">
        <v>219660306</v>
      </c>
      <c r="H89" s="84" t="n">
        <v>46139</v>
      </c>
      <c r="I89" s="84" t="n">
        <v>46169</v>
      </c>
      <c r="J89" s="84" t="n">
        <v>46201</v>
      </c>
      <c r="K89" s="82" t="n">
        <v>30</v>
      </c>
      <c r="L89" s="91" t="n">
        <v>0</v>
      </c>
      <c r="M89" s="82" t="n">
        <v>0</v>
      </c>
      <c r="N89" s="3" t="n">
        <f aca="false">IF(AND(H89&lt;=D_F01!$B$7,OR(NOT(ISNUMBER(J89)),J89&gt;D_F01!$B$7)),1,0)</f>
        <v>0</v>
      </c>
      <c r="O89" s="32" t="n">
        <f aca="false">G89*N89</f>
        <v>0</v>
      </c>
      <c r="P89" s="3" t="n">
        <f aca="false">IF(N89=1,MAX(0,D_F01!$B$7-I89),0)</f>
        <v>0</v>
      </c>
      <c r="Q89" s="3" t="n">
        <f aca="false">IF(AND(ISNUMBER(J89),J89&lt;=D_F01!$B$7),J89-I89,0)</f>
        <v>32</v>
      </c>
      <c r="R89" s="3" t="n">
        <f aca="false">MAX(0,Q89)</f>
        <v>32</v>
      </c>
      <c r="S89" s="3" t="n">
        <f aca="false">IF(AND(ISNUMBER(J89),J89&lt;=D_F01!$B$7,J89&gt;D_F01!$B$7-D_F01!$B$25),G89*R89,0)</f>
        <v>7029129792</v>
      </c>
      <c r="T89" s="32" t="n">
        <f aca="false">IF(AND(ISNUMBER(J89),J89&lt;=D_F01!$B$7,J89&gt;D_F01!$B$7-D_F01!$B$25),G89,0)</f>
        <v>219660306</v>
      </c>
      <c r="U89" s="3" t="n">
        <f aca="false">IF(INDEX(D_F01!$C$51:$C$59,MATCH(C89,D_F01!$A$51:$A$59,0))="có",1,0)</f>
        <v>0</v>
      </c>
      <c r="V89" s="42" t="n">
        <f aca="false">IF(AND(N89=1,L89&gt;0,L89&lt;1,K89&gt;M89,H89+M89&gt;=D_F01!$B$7),1,0)</f>
        <v>0</v>
      </c>
      <c r="W89" s="44" t="n">
        <f aca="false">IF(V89=1,O89*L89,0)</f>
        <v>0</v>
      </c>
      <c r="X89" s="96" t="n">
        <f aca="false">IF(V89=1,L89/(1-L89)*365/(K89-M89),0)</f>
        <v>0</v>
      </c>
    </row>
    <row r="90" customFormat="false" ht="25.5" hidden="false" customHeight="true" outlineLevel="0" collapsed="false">
      <c r="A90" s="89" t="s">
        <v>3332</v>
      </c>
      <c r="B90" s="89" t="s">
        <v>2666</v>
      </c>
      <c r="C90" s="89" t="s">
        <v>1993</v>
      </c>
      <c r="D90" s="89" t="s">
        <v>3179</v>
      </c>
      <c r="E90" s="89" t="s">
        <v>3333</v>
      </c>
      <c r="F90" s="89" t="s">
        <v>3181</v>
      </c>
      <c r="G90" s="88" t="n">
        <v>516674934</v>
      </c>
      <c r="H90" s="83" t="n">
        <v>46140</v>
      </c>
      <c r="I90" s="83" t="n">
        <v>46185</v>
      </c>
      <c r="J90" s="83" t="n">
        <v>46202</v>
      </c>
      <c r="K90" s="89" t="n">
        <v>45</v>
      </c>
      <c r="L90" s="97" t="n">
        <v>0</v>
      </c>
      <c r="M90" s="89" t="n">
        <v>0</v>
      </c>
      <c r="N90" s="4" t="n">
        <f aca="false">IF(AND(H90&lt;=D_F01!$B$7,OR(NOT(ISNUMBER(J90)),J90&gt;D_F01!$B$7)),1,0)</f>
        <v>0</v>
      </c>
      <c r="O90" s="33" t="n">
        <f aca="false">G90*N90</f>
        <v>0</v>
      </c>
      <c r="P90" s="4" t="n">
        <f aca="false">IF(N90=1,MAX(0,D_F01!$B$7-I90),0)</f>
        <v>0</v>
      </c>
      <c r="Q90" s="4" t="n">
        <f aca="false">IF(AND(ISNUMBER(J90),J90&lt;=D_F01!$B$7),J90-I90,0)</f>
        <v>17</v>
      </c>
      <c r="R90" s="4" t="n">
        <f aca="false">MAX(0,Q90)</f>
        <v>17</v>
      </c>
      <c r="S90" s="4" t="n">
        <f aca="false">IF(AND(ISNUMBER(J90),J90&lt;=D_F01!$B$7,J90&gt;D_F01!$B$7-D_F01!$B$25),G90*R90,0)</f>
        <v>8783473878</v>
      </c>
      <c r="T90" s="33" t="n">
        <f aca="false">IF(AND(ISNUMBER(J90),J90&lt;=D_F01!$B$7,J90&gt;D_F01!$B$7-D_F01!$B$25),G90,0)</f>
        <v>516674934</v>
      </c>
      <c r="U90" s="4" t="n">
        <f aca="false">IF(INDEX(D_F01!$C$51:$C$59,MATCH(C90,D_F01!$A$51:$A$59,0))="có",1,0)</f>
        <v>0</v>
      </c>
      <c r="V90" s="42" t="n">
        <f aca="false">IF(AND(N90=1,L90&gt;0,L90&lt;1,K90&gt;M90,H90+M90&gt;=D_F01!$B$7),1,0)</f>
        <v>0</v>
      </c>
      <c r="W90" s="44" t="n">
        <f aca="false">IF(V90=1,O90*L90,0)</f>
        <v>0</v>
      </c>
      <c r="X90" s="96" t="n">
        <f aca="false">IF(V90=1,L90/(1-L90)*365/(K90-M90),0)</f>
        <v>0</v>
      </c>
    </row>
    <row r="91" customFormat="false" ht="25.5" hidden="false" customHeight="true" outlineLevel="0" collapsed="false">
      <c r="A91" s="82" t="s">
        <v>3334</v>
      </c>
      <c r="B91" s="82" t="s">
        <v>2666</v>
      </c>
      <c r="C91" s="82" t="s">
        <v>1995</v>
      </c>
      <c r="D91" s="82" t="s">
        <v>2751</v>
      </c>
      <c r="E91" s="82" t="s">
        <v>3335</v>
      </c>
      <c r="F91" s="82" t="s">
        <v>3169</v>
      </c>
      <c r="G91" s="87" t="n">
        <v>146014296</v>
      </c>
      <c r="H91" s="84" t="n">
        <v>46140</v>
      </c>
      <c r="I91" s="84" t="n">
        <v>46155</v>
      </c>
      <c r="J91" s="84" t="n">
        <v>46155</v>
      </c>
      <c r="K91" s="82" t="n">
        <v>15</v>
      </c>
      <c r="L91" s="91" t="n">
        <v>0</v>
      </c>
      <c r="M91" s="82" t="n">
        <v>0</v>
      </c>
      <c r="N91" s="3" t="n">
        <f aca="false">IF(AND(H91&lt;=D_F01!$B$7,OR(NOT(ISNUMBER(J91)),J91&gt;D_F01!$B$7)),1,0)</f>
        <v>0</v>
      </c>
      <c r="O91" s="32" t="n">
        <f aca="false">G91*N91</f>
        <v>0</v>
      </c>
      <c r="P91" s="3" t="n">
        <f aca="false">IF(N91=1,MAX(0,D_F01!$B$7-I91),0)</f>
        <v>0</v>
      </c>
      <c r="Q91" s="3" t="n">
        <f aca="false">IF(AND(ISNUMBER(J91),J91&lt;=D_F01!$B$7),J91-I91,0)</f>
        <v>0</v>
      </c>
      <c r="R91" s="3" t="n">
        <f aca="false">MAX(0,Q91)</f>
        <v>0</v>
      </c>
      <c r="S91" s="3" t="n">
        <f aca="false">IF(AND(ISNUMBER(J91),J91&lt;=D_F01!$B$7,J91&gt;D_F01!$B$7-D_F01!$B$25),G91*R91,0)</f>
        <v>0</v>
      </c>
      <c r="T91" s="32" t="n">
        <f aca="false">IF(AND(ISNUMBER(J91),J91&lt;=D_F01!$B$7,J91&gt;D_F01!$B$7-D_F01!$B$25),G91,0)</f>
        <v>146014296</v>
      </c>
      <c r="U91" s="3" t="n">
        <f aca="false">IF(INDEX(D_F01!$C$51:$C$59,MATCH(C91,D_F01!$A$51:$A$59,0))="có",1,0)</f>
        <v>0</v>
      </c>
      <c r="V91" s="42" t="n">
        <f aca="false">IF(AND(N91=1,L91&gt;0,L91&lt;1,K91&gt;M91,H91+M91&gt;=D_F01!$B$7),1,0)</f>
        <v>0</v>
      </c>
      <c r="W91" s="44" t="n">
        <f aca="false">IF(V91=1,O91*L91,0)</f>
        <v>0</v>
      </c>
      <c r="X91" s="96" t="n">
        <f aca="false">IF(V91=1,L91/(1-L91)*365/(K91-M91),0)</f>
        <v>0</v>
      </c>
    </row>
    <row r="92" customFormat="false" ht="25.5" hidden="false" customHeight="true" outlineLevel="0" collapsed="false">
      <c r="A92" s="89" t="s">
        <v>3336</v>
      </c>
      <c r="B92" s="89" t="s">
        <v>2666</v>
      </c>
      <c r="C92" s="89" t="s">
        <v>2000</v>
      </c>
      <c r="D92" s="89" t="s">
        <v>2756</v>
      </c>
      <c r="E92" s="89" t="s">
        <v>3337</v>
      </c>
      <c r="F92" s="89" t="s">
        <v>3154</v>
      </c>
      <c r="G92" s="88" t="n">
        <v>269495700</v>
      </c>
      <c r="H92" s="83" t="n">
        <v>46143</v>
      </c>
      <c r="I92" s="83" t="n">
        <v>46173</v>
      </c>
      <c r="J92" s="83" t="n">
        <v>46177</v>
      </c>
      <c r="K92" s="89" t="n">
        <v>30</v>
      </c>
      <c r="L92" s="97" t="n">
        <v>0.01</v>
      </c>
      <c r="M92" s="89" t="n">
        <v>7</v>
      </c>
      <c r="N92" s="4" t="n">
        <f aca="false">IF(AND(H92&lt;=D_F01!$B$7,OR(NOT(ISNUMBER(J92)),J92&gt;D_F01!$B$7)),1,0)</f>
        <v>0</v>
      </c>
      <c r="O92" s="33" t="n">
        <f aca="false">G92*N92</f>
        <v>0</v>
      </c>
      <c r="P92" s="4" t="n">
        <f aca="false">IF(N92=1,MAX(0,D_F01!$B$7-I92),0)</f>
        <v>0</v>
      </c>
      <c r="Q92" s="4" t="n">
        <f aca="false">IF(AND(ISNUMBER(J92),J92&lt;=D_F01!$B$7),J92-I92,0)</f>
        <v>4</v>
      </c>
      <c r="R92" s="4" t="n">
        <f aca="false">MAX(0,Q92)</f>
        <v>4</v>
      </c>
      <c r="S92" s="4" t="n">
        <f aca="false">IF(AND(ISNUMBER(J92),J92&lt;=D_F01!$B$7,J92&gt;D_F01!$B$7-D_F01!$B$25),G92*R92,0)</f>
        <v>1077982800</v>
      </c>
      <c r="T92" s="33" t="n">
        <f aca="false">IF(AND(ISNUMBER(J92),J92&lt;=D_F01!$B$7,J92&gt;D_F01!$B$7-D_F01!$B$25),G92,0)</f>
        <v>269495700</v>
      </c>
      <c r="U92" s="4" t="n">
        <f aca="false">IF(INDEX(D_F01!$C$51:$C$59,MATCH(C92,D_F01!$A$51:$A$59,0))="có",1,0)</f>
        <v>1</v>
      </c>
      <c r="V92" s="42" t="n">
        <f aca="false">IF(AND(N92=1,L92&gt;0,L92&lt;1,K92&gt;M92,H92+M92&gt;=D_F01!$B$7),1,0)</f>
        <v>0</v>
      </c>
      <c r="W92" s="44" t="n">
        <f aca="false">IF(V92=1,O92*L92,0)</f>
        <v>0</v>
      </c>
      <c r="X92" s="96" t="n">
        <f aca="false">IF(V92=1,L92/(1-L92)*365/(K92-M92),0)</f>
        <v>0</v>
      </c>
    </row>
    <row r="93" customFormat="false" ht="25.5" hidden="false" customHeight="true" outlineLevel="0" collapsed="false">
      <c r="A93" s="82" t="s">
        <v>3338</v>
      </c>
      <c r="B93" s="82" t="s">
        <v>2666</v>
      </c>
      <c r="C93" s="82" t="s">
        <v>1992</v>
      </c>
      <c r="D93" s="82" t="s">
        <v>3164</v>
      </c>
      <c r="E93" s="82" t="s">
        <v>3339</v>
      </c>
      <c r="F93" s="82" t="s">
        <v>3166</v>
      </c>
      <c r="G93" s="87" t="n">
        <v>309608742</v>
      </c>
      <c r="H93" s="84" t="n">
        <v>46144</v>
      </c>
      <c r="I93" s="84" t="n">
        <v>46174</v>
      </c>
      <c r="J93" s="84" t="n">
        <v>46151</v>
      </c>
      <c r="K93" s="82" t="n">
        <v>30</v>
      </c>
      <c r="L93" s="91" t="n">
        <v>0.02</v>
      </c>
      <c r="M93" s="82" t="n">
        <v>10</v>
      </c>
      <c r="N93" s="3" t="n">
        <f aca="false">IF(AND(H93&lt;=D_F01!$B$7,OR(NOT(ISNUMBER(J93)),J93&gt;D_F01!$B$7)),1,0)</f>
        <v>0</v>
      </c>
      <c r="O93" s="32" t="n">
        <f aca="false">G93*N93</f>
        <v>0</v>
      </c>
      <c r="P93" s="3" t="n">
        <f aca="false">IF(N93=1,MAX(0,D_F01!$B$7-I93),0)</f>
        <v>0</v>
      </c>
      <c r="Q93" s="3" t="n">
        <f aca="false">IF(AND(ISNUMBER(J93),J93&lt;=D_F01!$B$7),J93-I93,0)</f>
        <v>-23</v>
      </c>
      <c r="R93" s="3" t="n">
        <f aca="false">MAX(0,Q93)</f>
        <v>0</v>
      </c>
      <c r="S93" s="3" t="n">
        <f aca="false">IF(AND(ISNUMBER(J93),J93&lt;=D_F01!$B$7,J93&gt;D_F01!$B$7-D_F01!$B$25),G93*R93,0)</f>
        <v>0</v>
      </c>
      <c r="T93" s="32" t="n">
        <f aca="false">IF(AND(ISNUMBER(J93),J93&lt;=D_F01!$B$7,J93&gt;D_F01!$B$7-D_F01!$B$25),G93,0)</f>
        <v>309608742</v>
      </c>
      <c r="U93" s="3" t="n">
        <f aca="false">IF(INDEX(D_F01!$C$51:$C$59,MATCH(C93,D_F01!$A$51:$A$59,0))="có",1,0)</f>
        <v>1</v>
      </c>
      <c r="V93" s="42" t="n">
        <f aca="false">IF(AND(N93=1,L93&gt;0,L93&lt;1,K93&gt;M93,H93+M93&gt;=D_F01!$B$7),1,0)</f>
        <v>0</v>
      </c>
      <c r="W93" s="44" t="n">
        <f aca="false">IF(V93=1,O93*L93,0)</f>
        <v>0</v>
      </c>
      <c r="X93" s="96" t="n">
        <f aca="false">IF(V93=1,L93/(1-L93)*365/(K93-M93),0)</f>
        <v>0</v>
      </c>
    </row>
    <row r="94" customFormat="false" ht="25.5" hidden="false" customHeight="true" outlineLevel="0" collapsed="false">
      <c r="A94" s="89" t="s">
        <v>3340</v>
      </c>
      <c r="B94" s="89" t="s">
        <v>2666</v>
      </c>
      <c r="C94" s="89" t="s">
        <v>1994</v>
      </c>
      <c r="D94" s="89" t="s">
        <v>2750</v>
      </c>
      <c r="E94" s="89" t="s">
        <v>3341</v>
      </c>
      <c r="F94" s="89" t="s">
        <v>3157</v>
      </c>
      <c r="G94" s="88" t="n">
        <v>231205602</v>
      </c>
      <c r="H94" s="83" t="n">
        <v>46145</v>
      </c>
      <c r="I94" s="83" t="n">
        <v>46160</v>
      </c>
      <c r="J94" s="83" t="n">
        <v>46164</v>
      </c>
      <c r="K94" s="89" t="n">
        <v>15</v>
      </c>
      <c r="L94" s="97" t="n">
        <v>0</v>
      </c>
      <c r="M94" s="89" t="n">
        <v>0</v>
      </c>
      <c r="N94" s="4" t="n">
        <f aca="false">IF(AND(H94&lt;=D_F01!$B$7,OR(NOT(ISNUMBER(J94)),J94&gt;D_F01!$B$7)),1,0)</f>
        <v>0</v>
      </c>
      <c r="O94" s="33" t="n">
        <f aca="false">G94*N94</f>
        <v>0</v>
      </c>
      <c r="P94" s="4" t="n">
        <f aca="false">IF(N94=1,MAX(0,D_F01!$B$7-I94),0)</f>
        <v>0</v>
      </c>
      <c r="Q94" s="4" t="n">
        <f aca="false">IF(AND(ISNUMBER(J94),J94&lt;=D_F01!$B$7),J94-I94,0)</f>
        <v>4</v>
      </c>
      <c r="R94" s="4" t="n">
        <f aca="false">MAX(0,Q94)</f>
        <v>4</v>
      </c>
      <c r="S94" s="4" t="n">
        <f aca="false">IF(AND(ISNUMBER(J94),J94&lt;=D_F01!$B$7,J94&gt;D_F01!$B$7-D_F01!$B$25),G94*R94,0)</f>
        <v>924822408</v>
      </c>
      <c r="T94" s="33" t="n">
        <f aca="false">IF(AND(ISNUMBER(J94),J94&lt;=D_F01!$B$7,J94&gt;D_F01!$B$7-D_F01!$B$25),G94,0)</f>
        <v>231205602</v>
      </c>
      <c r="U94" s="4" t="n">
        <f aca="false">IF(INDEX(D_F01!$C$51:$C$59,MATCH(C94,D_F01!$A$51:$A$59,0))="có",1,0)</f>
        <v>1</v>
      </c>
      <c r="V94" s="42" t="n">
        <f aca="false">IF(AND(N94=1,L94&gt;0,L94&lt;1,K94&gt;M94,H94+M94&gt;=D_F01!$B$7),1,0)</f>
        <v>0</v>
      </c>
      <c r="W94" s="44" t="n">
        <f aca="false">IF(V94=1,O94*L94,0)</f>
        <v>0</v>
      </c>
      <c r="X94" s="96" t="n">
        <f aca="false">IF(V94=1,L94/(1-L94)*365/(K94-M94),0)</f>
        <v>0</v>
      </c>
    </row>
    <row r="95" customFormat="false" ht="25.5" hidden="false" customHeight="true" outlineLevel="0" collapsed="false">
      <c r="A95" s="82" t="s">
        <v>3342</v>
      </c>
      <c r="B95" s="82" t="s">
        <v>2666</v>
      </c>
      <c r="C95" s="82" t="s">
        <v>1992</v>
      </c>
      <c r="D95" s="82" t="s">
        <v>3164</v>
      </c>
      <c r="E95" s="82" t="s">
        <v>3343</v>
      </c>
      <c r="F95" s="82" t="s">
        <v>3166</v>
      </c>
      <c r="G95" s="87" t="n">
        <v>735877422</v>
      </c>
      <c r="H95" s="84" t="n">
        <v>46146</v>
      </c>
      <c r="I95" s="84" t="n">
        <v>46176</v>
      </c>
      <c r="J95" s="84" t="n">
        <v>46176</v>
      </c>
      <c r="K95" s="82" t="n">
        <v>30</v>
      </c>
      <c r="L95" s="91" t="n">
        <v>0.02</v>
      </c>
      <c r="M95" s="82" t="n">
        <v>10</v>
      </c>
      <c r="N95" s="3" t="n">
        <f aca="false">IF(AND(H95&lt;=D_F01!$B$7,OR(NOT(ISNUMBER(J95)),J95&gt;D_F01!$B$7)),1,0)</f>
        <v>0</v>
      </c>
      <c r="O95" s="32" t="n">
        <f aca="false">G95*N95</f>
        <v>0</v>
      </c>
      <c r="P95" s="3" t="n">
        <f aca="false">IF(N95=1,MAX(0,D_F01!$B$7-I95),0)</f>
        <v>0</v>
      </c>
      <c r="Q95" s="3" t="n">
        <f aca="false">IF(AND(ISNUMBER(J95),J95&lt;=D_F01!$B$7),J95-I95,0)</f>
        <v>0</v>
      </c>
      <c r="R95" s="3" t="n">
        <f aca="false">MAX(0,Q95)</f>
        <v>0</v>
      </c>
      <c r="S95" s="3" t="n">
        <f aca="false">IF(AND(ISNUMBER(J95),J95&lt;=D_F01!$B$7,J95&gt;D_F01!$B$7-D_F01!$B$25),G95*R95,0)</f>
        <v>0</v>
      </c>
      <c r="T95" s="32" t="n">
        <f aca="false">IF(AND(ISNUMBER(J95),J95&lt;=D_F01!$B$7,J95&gt;D_F01!$B$7-D_F01!$B$25),G95,0)</f>
        <v>735877422</v>
      </c>
      <c r="U95" s="3" t="n">
        <f aca="false">IF(INDEX(D_F01!$C$51:$C$59,MATCH(C95,D_F01!$A$51:$A$59,0))="có",1,0)</f>
        <v>1</v>
      </c>
      <c r="V95" s="42" t="n">
        <f aca="false">IF(AND(N95=1,L95&gt;0,L95&lt;1,K95&gt;M95,H95+M95&gt;=D_F01!$B$7),1,0)</f>
        <v>0</v>
      </c>
      <c r="W95" s="44" t="n">
        <f aca="false">IF(V95=1,O95*L95,0)</f>
        <v>0</v>
      </c>
      <c r="X95" s="96" t="n">
        <f aca="false">IF(V95=1,L95/(1-L95)*365/(K95-M95),0)</f>
        <v>0</v>
      </c>
    </row>
    <row r="96" customFormat="false" ht="25.5" hidden="false" customHeight="true" outlineLevel="0" collapsed="false">
      <c r="A96" s="89" t="s">
        <v>3344</v>
      </c>
      <c r="B96" s="89" t="s">
        <v>2666</v>
      </c>
      <c r="C96" s="89" t="s">
        <v>1993</v>
      </c>
      <c r="D96" s="89" t="s">
        <v>3179</v>
      </c>
      <c r="E96" s="89" t="s">
        <v>3345</v>
      </c>
      <c r="F96" s="89" t="s">
        <v>3181</v>
      </c>
      <c r="G96" s="88" t="n">
        <v>175148064</v>
      </c>
      <c r="H96" s="83" t="n">
        <v>46147</v>
      </c>
      <c r="I96" s="83" t="n">
        <v>46192</v>
      </c>
      <c r="J96" s="83" t="n">
        <v>46198</v>
      </c>
      <c r="K96" s="89" t="n">
        <v>45</v>
      </c>
      <c r="L96" s="97" t="n">
        <v>0</v>
      </c>
      <c r="M96" s="89" t="n">
        <v>0</v>
      </c>
      <c r="N96" s="4" t="n">
        <f aca="false">IF(AND(H96&lt;=D_F01!$B$7,OR(NOT(ISNUMBER(J96)),J96&gt;D_F01!$B$7)),1,0)</f>
        <v>0</v>
      </c>
      <c r="O96" s="33" t="n">
        <f aca="false">G96*N96</f>
        <v>0</v>
      </c>
      <c r="P96" s="4" t="n">
        <f aca="false">IF(N96=1,MAX(0,D_F01!$B$7-I96),0)</f>
        <v>0</v>
      </c>
      <c r="Q96" s="4" t="n">
        <f aca="false">IF(AND(ISNUMBER(J96),J96&lt;=D_F01!$B$7),J96-I96,0)</f>
        <v>6</v>
      </c>
      <c r="R96" s="4" t="n">
        <f aca="false">MAX(0,Q96)</f>
        <v>6</v>
      </c>
      <c r="S96" s="4" t="n">
        <f aca="false">IF(AND(ISNUMBER(J96),J96&lt;=D_F01!$B$7,J96&gt;D_F01!$B$7-D_F01!$B$25),G96*R96,0)</f>
        <v>1050888384</v>
      </c>
      <c r="T96" s="33" t="n">
        <f aca="false">IF(AND(ISNUMBER(J96),J96&lt;=D_F01!$B$7,J96&gt;D_F01!$B$7-D_F01!$B$25),G96,0)</f>
        <v>175148064</v>
      </c>
      <c r="U96" s="4" t="n">
        <f aca="false">IF(INDEX(D_F01!$C$51:$C$59,MATCH(C96,D_F01!$A$51:$A$59,0))="có",1,0)</f>
        <v>0</v>
      </c>
      <c r="V96" s="42" t="n">
        <f aca="false">IF(AND(N96=1,L96&gt;0,L96&lt;1,K96&gt;M96,H96+M96&gt;=D_F01!$B$7),1,0)</f>
        <v>0</v>
      </c>
      <c r="W96" s="44" t="n">
        <f aca="false">IF(V96=1,O96*L96,0)</f>
        <v>0</v>
      </c>
      <c r="X96" s="96" t="n">
        <f aca="false">IF(V96=1,L96/(1-L96)*365/(K96-M96),0)</f>
        <v>0</v>
      </c>
    </row>
    <row r="97" customFormat="false" ht="25.5" hidden="false" customHeight="true" outlineLevel="0" collapsed="false">
      <c r="A97" s="82" t="s">
        <v>3346</v>
      </c>
      <c r="B97" s="82" t="s">
        <v>2666</v>
      </c>
      <c r="C97" s="82" t="s">
        <v>1992</v>
      </c>
      <c r="D97" s="82" t="s">
        <v>3164</v>
      </c>
      <c r="E97" s="82" t="s">
        <v>3347</v>
      </c>
      <c r="F97" s="82" t="s">
        <v>3166</v>
      </c>
      <c r="G97" s="87" t="n">
        <v>557836788</v>
      </c>
      <c r="H97" s="84" t="n">
        <v>46148</v>
      </c>
      <c r="I97" s="84" t="n">
        <v>46178</v>
      </c>
      <c r="J97" s="84" t="n">
        <v>46185</v>
      </c>
      <c r="K97" s="82" t="n">
        <v>30</v>
      </c>
      <c r="L97" s="91" t="n">
        <v>0.02</v>
      </c>
      <c r="M97" s="82" t="n">
        <v>10</v>
      </c>
      <c r="N97" s="3" t="n">
        <f aca="false">IF(AND(H97&lt;=D_F01!$B$7,OR(NOT(ISNUMBER(J97)),J97&gt;D_F01!$B$7)),1,0)</f>
        <v>0</v>
      </c>
      <c r="O97" s="32" t="n">
        <f aca="false">G97*N97</f>
        <v>0</v>
      </c>
      <c r="P97" s="3" t="n">
        <f aca="false">IF(N97=1,MAX(0,D_F01!$B$7-I97),0)</f>
        <v>0</v>
      </c>
      <c r="Q97" s="3" t="n">
        <f aca="false">IF(AND(ISNUMBER(J97),J97&lt;=D_F01!$B$7),J97-I97,0)</f>
        <v>7</v>
      </c>
      <c r="R97" s="3" t="n">
        <f aca="false">MAX(0,Q97)</f>
        <v>7</v>
      </c>
      <c r="S97" s="3" t="n">
        <f aca="false">IF(AND(ISNUMBER(J97),J97&lt;=D_F01!$B$7,J97&gt;D_F01!$B$7-D_F01!$B$25),G97*R97,0)</f>
        <v>3904857516</v>
      </c>
      <c r="T97" s="32" t="n">
        <f aca="false">IF(AND(ISNUMBER(J97),J97&lt;=D_F01!$B$7,J97&gt;D_F01!$B$7-D_F01!$B$25),G97,0)</f>
        <v>557836788</v>
      </c>
      <c r="U97" s="3" t="n">
        <f aca="false">IF(INDEX(D_F01!$C$51:$C$59,MATCH(C97,D_F01!$A$51:$A$59,0))="có",1,0)</f>
        <v>1</v>
      </c>
      <c r="V97" s="42" t="n">
        <f aca="false">IF(AND(N97=1,L97&gt;0,L97&lt;1,K97&gt;M97,H97+M97&gt;=D_F01!$B$7),1,0)</f>
        <v>0</v>
      </c>
      <c r="W97" s="44" t="n">
        <f aca="false">IF(V97=1,O97*L97,0)</f>
        <v>0</v>
      </c>
      <c r="X97" s="96" t="n">
        <f aca="false">IF(V97=1,L97/(1-L97)*365/(K97-M97),0)</f>
        <v>0</v>
      </c>
    </row>
    <row r="98" customFormat="false" ht="25.5" hidden="false" customHeight="true" outlineLevel="0" collapsed="false">
      <c r="A98" s="89" t="s">
        <v>3348</v>
      </c>
      <c r="B98" s="89" t="s">
        <v>2666</v>
      </c>
      <c r="C98" s="89" t="s">
        <v>1998</v>
      </c>
      <c r="D98" s="89" t="s">
        <v>2754</v>
      </c>
      <c r="E98" s="89" t="s">
        <v>3349</v>
      </c>
      <c r="F98" s="89" t="s">
        <v>3350</v>
      </c>
      <c r="G98" s="88" t="n">
        <v>799875996</v>
      </c>
      <c r="H98" s="83" t="n">
        <v>46150</v>
      </c>
      <c r="I98" s="83" t="n">
        <v>46180</v>
      </c>
      <c r="J98" s="83" t="n">
        <v>46178</v>
      </c>
      <c r="K98" s="89" t="n">
        <v>30</v>
      </c>
      <c r="L98" s="97" t="n">
        <v>0</v>
      </c>
      <c r="M98" s="89" t="n">
        <v>0</v>
      </c>
      <c r="N98" s="4" t="n">
        <f aca="false">IF(AND(H98&lt;=D_F01!$B$7,OR(NOT(ISNUMBER(J98)),J98&gt;D_F01!$B$7)),1,0)</f>
        <v>0</v>
      </c>
      <c r="O98" s="33" t="n">
        <f aca="false">G98*N98</f>
        <v>0</v>
      </c>
      <c r="P98" s="4" t="n">
        <f aca="false">IF(N98=1,MAX(0,D_F01!$B$7-I98),0)</f>
        <v>0</v>
      </c>
      <c r="Q98" s="4" t="n">
        <f aca="false">IF(AND(ISNUMBER(J98),J98&lt;=D_F01!$B$7),J98-I98,0)</f>
        <v>-2</v>
      </c>
      <c r="R98" s="4" t="n">
        <f aca="false">MAX(0,Q98)</f>
        <v>0</v>
      </c>
      <c r="S98" s="4" t="n">
        <f aca="false">IF(AND(ISNUMBER(J98),J98&lt;=D_F01!$B$7,J98&gt;D_F01!$B$7-D_F01!$B$25),G98*R98,0)</f>
        <v>0</v>
      </c>
      <c r="T98" s="33" t="n">
        <f aca="false">IF(AND(ISNUMBER(J98),J98&lt;=D_F01!$B$7,J98&gt;D_F01!$B$7-D_F01!$B$25),G98,0)</f>
        <v>799875996</v>
      </c>
      <c r="U98" s="4" t="n">
        <f aca="false">IF(INDEX(D_F01!$C$51:$C$59,MATCH(C98,D_F01!$A$51:$A$59,0))="có",1,0)</f>
        <v>0</v>
      </c>
      <c r="V98" s="42" t="n">
        <f aca="false">IF(AND(N98=1,L98&gt;0,L98&lt;1,K98&gt;M98,H98+M98&gt;=D_F01!$B$7),1,0)</f>
        <v>0</v>
      </c>
      <c r="W98" s="44" t="n">
        <f aca="false">IF(V98=1,O98*L98,0)</f>
        <v>0</v>
      </c>
      <c r="X98" s="96" t="n">
        <f aca="false">IF(V98=1,L98/(1-L98)*365/(K98-M98),0)</f>
        <v>0</v>
      </c>
    </row>
    <row r="99" customFormat="false" ht="25.5" hidden="false" customHeight="true" outlineLevel="0" collapsed="false">
      <c r="A99" s="82" t="s">
        <v>3351</v>
      </c>
      <c r="B99" s="82" t="s">
        <v>2666</v>
      </c>
      <c r="C99" s="82" t="s">
        <v>1992</v>
      </c>
      <c r="D99" s="82" t="s">
        <v>3164</v>
      </c>
      <c r="E99" s="82" t="s">
        <v>3352</v>
      </c>
      <c r="F99" s="82" t="s">
        <v>3166</v>
      </c>
      <c r="G99" s="87" t="n">
        <v>615009732</v>
      </c>
      <c r="H99" s="84" t="n">
        <v>46151</v>
      </c>
      <c r="I99" s="84" t="n">
        <v>46181</v>
      </c>
      <c r="J99" s="84" t="n">
        <v>46184</v>
      </c>
      <c r="K99" s="82" t="n">
        <v>30</v>
      </c>
      <c r="L99" s="91" t="n">
        <v>0.02</v>
      </c>
      <c r="M99" s="82" t="n">
        <v>10</v>
      </c>
      <c r="N99" s="3" t="n">
        <f aca="false">IF(AND(H99&lt;=D_F01!$B$7,OR(NOT(ISNUMBER(J99)),J99&gt;D_F01!$B$7)),1,0)</f>
        <v>0</v>
      </c>
      <c r="O99" s="32" t="n">
        <f aca="false">G99*N99</f>
        <v>0</v>
      </c>
      <c r="P99" s="3" t="n">
        <f aca="false">IF(N99=1,MAX(0,D_F01!$B$7-I99),0)</f>
        <v>0</v>
      </c>
      <c r="Q99" s="3" t="n">
        <f aca="false">IF(AND(ISNUMBER(J99),J99&lt;=D_F01!$B$7),J99-I99,0)</f>
        <v>3</v>
      </c>
      <c r="R99" s="3" t="n">
        <f aca="false">MAX(0,Q99)</f>
        <v>3</v>
      </c>
      <c r="S99" s="3" t="n">
        <f aca="false">IF(AND(ISNUMBER(J99),J99&lt;=D_F01!$B$7,J99&gt;D_F01!$B$7-D_F01!$B$25),G99*R99,0)</f>
        <v>1845029196</v>
      </c>
      <c r="T99" s="32" t="n">
        <f aca="false">IF(AND(ISNUMBER(J99),J99&lt;=D_F01!$B$7,J99&gt;D_F01!$B$7-D_F01!$B$25),G99,0)</f>
        <v>615009732</v>
      </c>
      <c r="U99" s="3" t="n">
        <f aca="false">IF(INDEX(D_F01!$C$51:$C$59,MATCH(C99,D_F01!$A$51:$A$59,0))="có",1,0)</f>
        <v>1</v>
      </c>
      <c r="V99" s="42" t="n">
        <f aca="false">IF(AND(N99=1,L99&gt;0,L99&lt;1,K99&gt;M99,H99+M99&gt;=D_F01!$B$7),1,0)</f>
        <v>0</v>
      </c>
      <c r="W99" s="44" t="n">
        <f aca="false">IF(V99=1,O99*L99,0)</f>
        <v>0</v>
      </c>
      <c r="X99" s="96" t="n">
        <f aca="false">IF(V99=1,L99/(1-L99)*365/(K99-M99),0)</f>
        <v>0</v>
      </c>
    </row>
    <row r="100" customFormat="false" ht="25.5" hidden="false" customHeight="true" outlineLevel="0" collapsed="false">
      <c r="A100" s="89" t="s">
        <v>3353</v>
      </c>
      <c r="B100" s="89" t="s">
        <v>2666</v>
      </c>
      <c r="C100" s="89" t="s">
        <v>2000</v>
      </c>
      <c r="D100" s="89" t="s">
        <v>2756</v>
      </c>
      <c r="E100" s="89" t="s">
        <v>3354</v>
      </c>
      <c r="F100" s="89" t="s">
        <v>3154</v>
      </c>
      <c r="G100" s="88" t="n">
        <v>338630136</v>
      </c>
      <c r="H100" s="83" t="n">
        <v>46152</v>
      </c>
      <c r="I100" s="83" t="n">
        <v>46182</v>
      </c>
      <c r="J100" s="83" t="n">
        <v>46184</v>
      </c>
      <c r="K100" s="89" t="n">
        <v>30</v>
      </c>
      <c r="L100" s="97" t="n">
        <v>0.01</v>
      </c>
      <c r="M100" s="89" t="n">
        <v>7</v>
      </c>
      <c r="N100" s="4" t="n">
        <f aca="false">IF(AND(H100&lt;=D_F01!$B$7,OR(NOT(ISNUMBER(J100)),J100&gt;D_F01!$B$7)),1,0)</f>
        <v>0</v>
      </c>
      <c r="O100" s="33" t="n">
        <f aca="false">G100*N100</f>
        <v>0</v>
      </c>
      <c r="P100" s="4" t="n">
        <f aca="false">IF(N100=1,MAX(0,D_F01!$B$7-I100),0)</f>
        <v>0</v>
      </c>
      <c r="Q100" s="4" t="n">
        <f aca="false">IF(AND(ISNUMBER(J100),J100&lt;=D_F01!$B$7),J100-I100,0)</f>
        <v>2</v>
      </c>
      <c r="R100" s="4" t="n">
        <f aca="false">MAX(0,Q100)</f>
        <v>2</v>
      </c>
      <c r="S100" s="4" t="n">
        <f aca="false">IF(AND(ISNUMBER(J100),J100&lt;=D_F01!$B$7,J100&gt;D_F01!$B$7-D_F01!$B$25),G100*R100,0)</f>
        <v>677260272</v>
      </c>
      <c r="T100" s="33" t="n">
        <f aca="false">IF(AND(ISNUMBER(J100),J100&lt;=D_F01!$B$7,J100&gt;D_F01!$B$7-D_F01!$B$25),G100,0)</f>
        <v>338630136</v>
      </c>
      <c r="U100" s="4" t="n">
        <f aca="false">IF(INDEX(D_F01!$C$51:$C$59,MATCH(C100,D_F01!$A$51:$A$59,0))="có",1,0)</f>
        <v>1</v>
      </c>
      <c r="V100" s="42" t="n">
        <f aca="false">IF(AND(N100=1,L100&gt;0,L100&lt;1,K100&gt;M100,H100+M100&gt;=D_F01!$B$7),1,0)</f>
        <v>0</v>
      </c>
      <c r="W100" s="44" t="n">
        <f aca="false">IF(V100=1,O100*L100,0)</f>
        <v>0</v>
      </c>
      <c r="X100" s="96" t="n">
        <f aca="false">IF(V100=1,L100/(1-L100)*365/(K100-M100),0)</f>
        <v>0</v>
      </c>
    </row>
    <row r="101" customFormat="false" ht="25.5" hidden="false" customHeight="true" outlineLevel="0" collapsed="false">
      <c r="A101" s="82" t="s">
        <v>3355</v>
      </c>
      <c r="B101" s="82" t="s">
        <v>2666</v>
      </c>
      <c r="C101" s="82" t="s">
        <v>1994</v>
      </c>
      <c r="D101" s="82" t="s">
        <v>2750</v>
      </c>
      <c r="E101" s="82" t="s">
        <v>3356</v>
      </c>
      <c r="F101" s="82" t="s">
        <v>3157</v>
      </c>
      <c r="G101" s="87" t="n">
        <v>159873648</v>
      </c>
      <c r="H101" s="84" t="n">
        <v>46153</v>
      </c>
      <c r="I101" s="84" t="n">
        <v>46168</v>
      </c>
      <c r="J101" s="84" t="n">
        <v>46170</v>
      </c>
      <c r="K101" s="82" t="n">
        <v>15</v>
      </c>
      <c r="L101" s="91" t="n">
        <v>0</v>
      </c>
      <c r="M101" s="82" t="n">
        <v>0</v>
      </c>
      <c r="N101" s="3" t="n">
        <f aca="false">IF(AND(H101&lt;=D_F01!$B$7,OR(NOT(ISNUMBER(J101)),J101&gt;D_F01!$B$7)),1,0)</f>
        <v>0</v>
      </c>
      <c r="O101" s="32" t="n">
        <f aca="false">G101*N101</f>
        <v>0</v>
      </c>
      <c r="P101" s="3" t="n">
        <f aca="false">IF(N101=1,MAX(0,D_F01!$B$7-I101),0)</f>
        <v>0</v>
      </c>
      <c r="Q101" s="3" t="n">
        <f aca="false">IF(AND(ISNUMBER(J101),J101&lt;=D_F01!$B$7),J101-I101,0)</f>
        <v>2</v>
      </c>
      <c r="R101" s="3" t="n">
        <f aca="false">MAX(0,Q101)</f>
        <v>2</v>
      </c>
      <c r="S101" s="3" t="n">
        <f aca="false">IF(AND(ISNUMBER(J101),J101&lt;=D_F01!$B$7,J101&gt;D_F01!$B$7-D_F01!$B$25),G101*R101,0)</f>
        <v>319747296</v>
      </c>
      <c r="T101" s="32" t="n">
        <f aca="false">IF(AND(ISNUMBER(J101),J101&lt;=D_F01!$B$7,J101&gt;D_F01!$B$7-D_F01!$B$25),G101,0)</f>
        <v>159873648</v>
      </c>
      <c r="U101" s="3" t="n">
        <f aca="false">IF(INDEX(D_F01!$C$51:$C$59,MATCH(C101,D_F01!$A$51:$A$59,0))="có",1,0)</f>
        <v>1</v>
      </c>
      <c r="V101" s="42" t="n">
        <f aca="false">IF(AND(N101=1,L101&gt;0,L101&lt;1,K101&gt;M101,H101+M101&gt;=D_F01!$B$7),1,0)</f>
        <v>0</v>
      </c>
      <c r="W101" s="44" t="n">
        <f aca="false">IF(V101=1,O101*L101,0)</f>
        <v>0</v>
      </c>
      <c r="X101" s="96" t="n">
        <f aca="false">IF(V101=1,L101/(1-L101)*365/(K101-M101),0)</f>
        <v>0</v>
      </c>
    </row>
    <row r="102" customFormat="false" ht="25.5" hidden="false" customHeight="true" outlineLevel="0" collapsed="false">
      <c r="A102" s="89" t="s">
        <v>3357</v>
      </c>
      <c r="B102" s="89" t="s">
        <v>2666</v>
      </c>
      <c r="C102" s="89" t="s">
        <v>1995</v>
      </c>
      <c r="D102" s="89" t="s">
        <v>2751</v>
      </c>
      <c r="E102" s="89" t="s">
        <v>3358</v>
      </c>
      <c r="F102" s="89" t="s">
        <v>3169</v>
      </c>
      <c r="G102" s="88" t="n">
        <v>100149420</v>
      </c>
      <c r="H102" s="83" t="n">
        <v>46154</v>
      </c>
      <c r="I102" s="83" t="n">
        <v>46169</v>
      </c>
      <c r="J102" s="83" t="n">
        <v>46170</v>
      </c>
      <c r="K102" s="89" t="n">
        <v>15</v>
      </c>
      <c r="L102" s="97" t="n">
        <v>0</v>
      </c>
      <c r="M102" s="89" t="n">
        <v>0</v>
      </c>
      <c r="N102" s="4" t="n">
        <f aca="false">IF(AND(H102&lt;=D_F01!$B$7,OR(NOT(ISNUMBER(J102)),J102&gt;D_F01!$B$7)),1,0)</f>
        <v>0</v>
      </c>
      <c r="O102" s="33" t="n">
        <f aca="false">G102*N102</f>
        <v>0</v>
      </c>
      <c r="P102" s="4" t="n">
        <f aca="false">IF(N102=1,MAX(0,D_F01!$B$7-I102),0)</f>
        <v>0</v>
      </c>
      <c r="Q102" s="4" t="n">
        <f aca="false">IF(AND(ISNUMBER(J102),J102&lt;=D_F01!$B$7),J102-I102,0)</f>
        <v>1</v>
      </c>
      <c r="R102" s="4" t="n">
        <f aca="false">MAX(0,Q102)</f>
        <v>1</v>
      </c>
      <c r="S102" s="4" t="n">
        <f aca="false">IF(AND(ISNUMBER(J102),J102&lt;=D_F01!$B$7,J102&gt;D_F01!$B$7-D_F01!$B$25),G102*R102,0)</f>
        <v>100149420</v>
      </c>
      <c r="T102" s="33" t="n">
        <f aca="false">IF(AND(ISNUMBER(J102),J102&lt;=D_F01!$B$7,J102&gt;D_F01!$B$7-D_F01!$B$25),G102,0)</f>
        <v>100149420</v>
      </c>
      <c r="U102" s="4" t="n">
        <f aca="false">IF(INDEX(D_F01!$C$51:$C$59,MATCH(C102,D_F01!$A$51:$A$59,0))="có",1,0)</f>
        <v>0</v>
      </c>
      <c r="V102" s="42" t="n">
        <f aca="false">IF(AND(N102=1,L102&gt;0,L102&lt;1,K102&gt;M102,H102+M102&gt;=D_F01!$B$7),1,0)</f>
        <v>0</v>
      </c>
      <c r="W102" s="44" t="n">
        <f aca="false">IF(V102=1,O102*L102,0)</f>
        <v>0</v>
      </c>
      <c r="X102" s="96" t="n">
        <f aca="false">IF(V102=1,L102/(1-L102)*365/(K102-M102),0)</f>
        <v>0</v>
      </c>
    </row>
    <row r="103" customFormat="false" ht="25.5" hidden="false" customHeight="true" outlineLevel="0" collapsed="false">
      <c r="A103" s="82" t="s">
        <v>3359</v>
      </c>
      <c r="B103" s="82" t="s">
        <v>2666</v>
      </c>
      <c r="C103" s="82" t="s">
        <v>2000</v>
      </c>
      <c r="D103" s="82" t="s">
        <v>2756</v>
      </c>
      <c r="E103" s="82" t="s">
        <v>3360</v>
      </c>
      <c r="F103" s="82" t="s">
        <v>3154</v>
      </c>
      <c r="G103" s="87" t="n">
        <v>233548788</v>
      </c>
      <c r="H103" s="84" t="n">
        <v>46154</v>
      </c>
      <c r="I103" s="84" t="n">
        <v>46184</v>
      </c>
      <c r="J103" s="84" t="n">
        <v>46186</v>
      </c>
      <c r="K103" s="82" t="n">
        <v>30</v>
      </c>
      <c r="L103" s="91" t="n">
        <v>0.01</v>
      </c>
      <c r="M103" s="82" t="n">
        <v>7</v>
      </c>
      <c r="N103" s="3" t="n">
        <f aca="false">IF(AND(H103&lt;=D_F01!$B$7,OR(NOT(ISNUMBER(J103)),J103&gt;D_F01!$B$7)),1,0)</f>
        <v>0</v>
      </c>
      <c r="O103" s="32" t="n">
        <f aca="false">G103*N103</f>
        <v>0</v>
      </c>
      <c r="P103" s="3" t="n">
        <f aca="false">IF(N103=1,MAX(0,D_F01!$B$7-I103),0)</f>
        <v>0</v>
      </c>
      <c r="Q103" s="3" t="n">
        <f aca="false">IF(AND(ISNUMBER(J103),J103&lt;=D_F01!$B$7),J103-I103,0)</f>
        <v>2</v>
      </c>
      <c r="R103" s="3" t="n">
        <f aca="false">MAX(0,Q103)</f>
        <v>2</v>
      </c>
      <c r="S103" s="3" t="n">
        <f aca="false">IF(AND(ISNUMBER(J103),J103&lt;=D_F01!$B$7,J103&gt;D_F01!$B$7-D_F01!$B$25),G103*R103,0)</f>
        <v>467097576</v>
      </c>
      <c r="T103" s="32" t="n">
        <f aca="false">IF(AND(ISNUMBER(J103),J103&lt;=D_F01!$B$7,J103&gt;D_F01!$B$7-D_F01!$B$25),G103,0)</f>
        <v>233548788</v>
      </c>
      <c r="U103" s="3" t="n">
        <f aca="false">IF(INDEX(D_F01!$C$51:$C$59,MATCH(C103,D_F01!$A$51:$A$59,0))="có",1,0)</f>
        <v>1</v>
      </c>
      <c r="V103" s="42" t="n">
        <f aca="false">IF(AND(N103=1,L103&gt;0,L103&lt;1,K103&gt;M103,H103+M103&gt;=D_F01!$B$7),1,0)</f>
        <v>0</v>
      </c>
      <c r="W103" s="44" t="n">
        <f aca="false">IF(V103=1,O103*L103,0)</f>
        <v>0</v>
      </c>
      <c r="X103" s="96" t="n">
        <f aca="false">IF(V103=1,L103/(1-L103)*365/(K103-M103),0)</f>
        <v>0</v>
      </c>
    </row>
    <row r="104" customFormat="false" ht="25.5" hidden="false" customHeight="true" outlineLevel="0" collapsed="false">
      <c r="A104" s="89" t="s">
        <v>3361</v>
      </c>
      <c r="B104" s="89" t="s">
        <v>2666</v>
      </c>
      <c r="C104" s="89" t="s">
        <v>1994</v>
      </c>
      <c r="D104" s="89" t="s">
        <v>2750</v>
      </c>
      <c r="E104" s="89" t="s">
        <v>3362</v>
      </c>
      <c r="F104" s="89" t="s">
        <v>3157</v>
      </c>
      <c r="G104" s="88" t="n">
        <v>141327918</v>
      </c>
      <c r="H104" s="83" t="n">
        <v>46156</v>
      </c>
      <c r="I104" s="83" t="n">
        <v>46171</v>
      </c>
      <c r="J104" s="83" t="n">
        <v>46177</v>
      </c>
      <c r="K104" s="89" t="n">
        <v>15</v>
      </c>
      <c r="L104" s="97" t="n">
        <v>0</v>
      </c>
      <c r="M104" s="89" t="n">
        <v>0</v>
      </c>
      <c r="N104" s="4" t="n">
        <f aca="false">IF(AND(H104&lt;=D_F01!$B$7,OR(NOT(ISNUMBER(J104)),J104&gt;D_F01!$B$7)),1,0)</f>
        <v>0</v>
      </c>
      <c r="O104" s="33" t="n">
        <f aca="false">G104*N104</f>
        <v>0</v>
      </c>
      <c r="P104" s="4" t="n">
        <f aca="false">IF(N104=1,MAX(0,D_F01!$B$7-I104),0)</f>
        <v>0</v>
      </c>
      <c r="Q104" s="4" t="n">
        <f aca="false">IF(AND(ISNUMBER(J104),J104&lt;=D_F01!$B$7),J104-I104,0)</f>
        <v>6</v>
      </c>
      <c r="R104" s="4" t="n">
        <f aca="false">MAX(0,Q104)</f>
        <v>6</v>
      </c>
      <c r="S104" s="4" t="n">
        <f aca="false">IF(AND(ISNUMBER(J104),J104&lt;=D_F01!$B$7,J104&gt;D_F01!$B$7-D_F01!$B$25),G104*R104,0)</f>
        <v>847967508</v>
      </c>
      <c r="T104" s="33" t="n">
        <f aca="false">IF(AND(ISNUMBER(J104),J104&lt;=D_F01!$B$7,J104&gt;D_F01!$B$7-D_F01!$B$25),G104,0)</f>
        <v>141327918</v>
      </c>
      <c r="U104" s="4" t="n">
        <f aca="false">IF(INDEX(D_F01!$C$51:$C$59,MATCH(C104,D_F01!$A$51:$A$59,0))="có",1,0)</f>
        <v>1</v>
      </c>
      <c r="V104" s="42" t="n">
        <f aca="false">IF(AND(N104=1,L104&gt;0,L104&lt;1,K104&gt;M104,H104+M104&gt;=D_F01!$B$7),1,0)</f>
        <v>0</v>
      </c>
      <c r="W104" s="44" t="n">
        <f aca="false">IF(V104=1,O104*L104,0)</f>
        <v>0</v>
      </c>
      <c r="X104" s="96" t="n">
        <f aca="false">IF(V104=1,L104/(1-L104)*365/(K104-M104),0)</f>
        <v>0</v>
      </c>
    </row>
    <row r="105" customFormat="false" ht="25.5" hidden="false" customHeight="true" outlineLevel="0" collapsed="false">
      <c r="A105" s="82" t="s">
        <v>3363</v>
      </c>
      <c r="B105" s="82" t="s">
        <v>2666</v>
      </c>
      <c r="C105" s="82" t="s">
        <v>1995</v>
      </c>
      <c r="D105" s="82" t="s">
        <v>2751</v>
      </c>
      <c r="E105" s="82" t="s">
        <v>3364</v>
      </c>
      <c r="F105" s="82" t="s">
        <v>3169</v>
      </c>
      <c r="G105" s="87" t="n">
        <v>73637688</v>
      </c>
      <c r="H105" s="84" t="n">
        <v>46156</v>
      </c>
      <c r="I105" s="84" t="n">
        <v>46171</v>
      </c>
      <c r="J105" s="84" t="n">
        <v>46169</v>
      </c>
      <c r="K105" s="82" t="n">
        <v>15</v>
      </c>
      <c r="L105" s="91" t="n">
        <v>0</v>
      </c>
      <c r="M105" s="82" t="n">
        <v>0</v>
      </c>
      <c r="N105" s="3" t="n">
        <f aca="false">IF(AND(H105&lt;=D_F01!$B$7,OR(NOT(ISNUMBER(J105)),J105&gt;D_F01!$B$7)),1,0)</f>
        <v>0</v>
      </c>
      <c r="O105" s="32" t="n">
        <f aca="false">G105*N105</f>
        <v>0</v>
      </c>
      <c r="P105" s="3" t="n">
        <f aca="false">IF(N105=1,MAX(0,D_F01!$B$7-I105),0)</f>
        <v>0</v>
      </c>
      <c r="Q105" s="3" t="n">
        <f aca="false">IF(AND(ISNUMBER(J105),J105&lt;=D_F01!$B$7),J105-I105,0)</f>
        <v>-2</v>
      </c>
      <c r="R105" s="3" t="n">
        <f aca="false">MAX(0,Q105)</f>
        <v>0</v>
      </c>
      <c r="S105" s="3" t="n">
        <f aca="false">IF(AND(ISNUMBER(J105),J105&lt;=D_F01!$B$7,J105&gt;D_F01!$B$7-D_F01!$B$25),G105*R105,0)</f>
        <v>0</v>
      </c>
      <c r="T105" s="32" t="n">
        <f aca="false">IF(AND(ISNUMBER(J105),J105&lt;=D_F01!$B$7,J105&gt;D_F01!$B$7-D_F01!$B$25),G105,0)</f>
        <v>73637688</v>
      </c>
      <c r="U105" s="3" t="n">
        <f aca="false">IF(INDEX(D_F01!$C$51:$C$59,MATCH(C105,D_F01!$A$51:$A$59,0))="có",1,0)</f>
        <v>0</v>
      </c>
      <c r="V105" s="42" t="n">
        <f aca="false">IF(AND(N105=1,L105&gt;0,L105&lt;1,K105&gt;M105,H105+M105&gt;=D_F01!$B$7),1,0)</f>
        <v>0</v>
      </c>
      <c r="W105" s="44" t="n">
        <f aca="false">IF(V105=1,O105*L105,0)</f>
        <v>0</v>
      </c>
      <c r="X105" s="96" t="n">
        <f aca="false">IF(V105=1,L105/(1-L105)*365/(K105-M105),0)</f>
        <v>0</v>
      </c>
    </row>
    <row r="106" customFormat="false" ht="25.5" hidden="false" customHeight="true" outlineLevel="0" collapsed="false">
      <c r="A106" s="89" t="s">
        <v>3365</v>
      </c>
      <c r="B106" s="89" t="s">
        <v>2666</v>
      </c>
      <c r="C106" s="89" t="s">
        <v>1995</v>
      </c>
      <c r="D106" s="89" t="s">
        <v>2751</v>
      </c>
      <c r="E106" s="89" t="s">
        <v>3366</v>
      </c>
      <c r="F106" s="89" t="s">
        <v>3169</v>
      </c>
      <c r="G106" s="88" t="n">
        <v>91313562</v>
      </c>
      <c r="H106" s="83" t="n">
        <v>46158</v>
      </c>
      <c r="I106" s="83" t="n">
        <v>46173</v>
      </c>
      <c r="J106" s="83" t="n">
        <v>46175</v>
      </c>
      <c r="K106" s="89" t="n">
        <v>15</v>
      </c>
      <c r="L106" s="97" t="n">
        <v>0</v>
      </c>
      <c r="M106" s="89" t="n">
        <v>0</v>
      </c>
      <c r="N106" s="4" t="n">
        <f aca="false">IF(AND(H106&lt;=D_F01!$B$7,OR(NOT(ISNUMBER(J106)),J106&gt;D_F01!$B$7)),1,0)</f>
        <v>0</v>
      </c>
      <c r="O106" s="33" t="n">
        <f aca="false">G106*N106</f>
        <v>0</v>
      </c>
      <c r="P106" s="4" t="n">
        <f aca="false">IF(N106=1,MAX(0,D_F01!$B$7-I106),0)</f>
        <v>0</v>
      </c>
      <c r="Q106" s="4" t="n">
        <f aca="false">IF(AND(ISNUMBER(J106),J106&lt;=D_F01!$B$7),J106-I106,0)</f>
        <v>2</v>
      </c>
      <c r="R106" s="4" t="n">
        <f aca="false">MAX(0,Q106)</f>
        <v>2</v>
      </c>
      <c r="S106" s="4" t="n">
        <f aca="false">IF(AND(ISNUMBER(J106),J106&lt;=D_F01!$B$7,J106&gt;D_F01!$B$7-D_F01!$B$25),G106*R106,0)</f>
        <v>182627124</v>
      </c>
      <c r="T106" s="33" t="n">
        <f aca="false">IF(AND(ISNUMBER(J106),J106&lt;=D_F01!$B$7,J106&gt;D_F01!$B$7-D_F01!$B$25),G106,0)</f>
        <v>91313562</v>
      </c>
      <c r="U106" s="4" t="n">
        <f aca="false">IF(INDEX(D_F01!$C$51:$C$59,MATCH(C106,D_F01!$A$51:$A$59,0))="có",1,0)</f>
        <v>0</v>
      </c>
      <c r="V106" s="42" t="n">
        <f aca="false">IF(AND(N106=1,L106&gt;0,L106&lt;1,K106&gt;M106,H106+M106&gt;=D_F01!$B$7),1,0)</f>
        <v>0</v>
      </c>
      <c r="W106" s="44" t="n">
        <f aca="false">IF(V106=1,O106*L106,0)</f>
        <v>0</v>
      </c>
      <c r="X106" s="96" t="n">
        <f aca="false">IF(V106=1,L106/(1-L106)*365/(K106-M106),0)</f>
        <v>0</v>
      </c>
    </row>
    <row r="107" customFormat="false" ht="25.5" hidden="false" customHeight="true" outlineLevel="0" collapsed="false">
      <c r="A107" s="82" t="s">
        <v>3367</v>
      </c>
      <c r="B107" s="82" t="s">
        <v>2666</v>
      </c>
      <c r="C107" s="82" t="s">
        <v>1996</v>
      </c>
      <c r="D107" s="82" t="s">
        <v>2752</v>
      </c>
      <c r="E107" s="82" t="s">
        <v>3368</v>
      </c>
      <c r="F107" s="82" t="s">
        <v>3241</v>
      </c>
      <c r="G107" s="87" t="n">
        <v>1010022042</v>
      </c>
      <c r="H107" s="84" t="n">
        <v>46158</v>
      </c>
      <c r="I107" s="84" t="n">
        <v>46188</v>
      </c>
      <c r="J107" s="84" t="n">
        <v>46189</v>
      </c>
      <c r="K107" s="82" t="n">
        <v>30</v>
      </c>
      <c r="L107" s="91" t="n">
        <v>0</v>
      </c>
      <c r="M107" s="82" t="n">
        <v>0</v>
      </c>
      <c r="N107" s="3" t="n">
        <f aca="false">IF(AND(H107&lt;=D_F01!$B$7,OR(NOT(ISNUMBER(J107)),J107&gt;D_F01!$B$7)),1,0)</f>
        <v>0</v>
      </c>
      <c r="O107" s="32" t="n">
        <f aca="false">G107*N107</f>
        <v>0</v>
      </c>
      <c r="P107" s="3" t="n">
        <f aca="false">IF(N107=1,MAX(0,D_F01!$B$7-I107),0)</f>
        <v>0</v>
      </c>
      <c r="Q107" s="3" t="n">
        <f aca="false">IF(AND(ISNUMBER(J107),J107&lt;=D_F01!$B$7),J107-I107,0)</f>
        <v>1</v>
      </c>
      <c r="R107" s="3" t="n">
        <f aca="false">MAX(0,Q107)</f>
        <v>1</v>
      </c>
      <c r="S107" s="3" t="n">
        <f aca="false">IF(AND(ISNUMBER(J107),J107&lt;=D_F01!$B$7,J107&gt;D_F01!$B$7-D_F01!$B$25),G107*R107,0)</f>
        <v>1010022042</v>
      </c>
      <c r="T107" s="32" t="n">
        <f aca="false">IF(AND(ISNUMBER(J107),J107&lt;=D_F01!$B$7,J107&gt;D_F01!$B$7-D_F01!$B$25),G107,0)</f>
        <v>1010022042</v>
      </c>
      <c r="U107" s="3" t="n">
        <f aca="false">IF(INDEX(D_F01!$C$51:$C$59,MATCH(C107,D_F01!$A$51:$A$59,0))="có",1,0)</f>
        <v>0</v>
      </c>
      <c r="V107" s="42" t="n">
        <f aca="false">IF(AND(N107=1,L107&gt;0,L107&lt;1,K107&gt;M107,H107+M107&gt;=D_F01!$B$7),1,0)</f>
        <v>0</v>
      </c>
      <c r="W107" s="44" t="n">
        <f aca="false">IF(V107=1,O107*L107,0)</f>
        <v>0</v>
      </c>
      <c r="X107" s="96" t="n">
        <f aca="false">IF(V107=1,L107/(1-L107)*365/(K107-M107),0)</f>
        <v>0</v>
      </c>
    </row>
    <row r="108" customFormat="false" ht="25.5" hidden="false" customHeight="true" outlineLevel="0" collapsed="false">
      <c r="A108" s="89" t="s">
        <v>3369</v>
      </c>
      <c r="B108" s="89" t="s">
        <v>2666</v>
      </c>
      <c r="C108" s="89" t="s">
        <v>1992</v>
      </c>
      <c r="D108" s="89" t="s">
        <v>3164</v>
      </c>
      <c r="E108" s="89" t="s">
        <v>3370</v>
      </c>
      <c r="F108" s="89" t="s">
        <v>3166</v>
      </c>
      <c r="G108" s="88" t="n">
        <v>493821570</v>
      </c>
      <c r="H108" s="83" t="n">
        <v>46160</v>
      </c>
      <c r="I108" s="83" t="n">
        <v>46190</v>
      </c>
      <c r="J108" s="83" t="n">
        <v>46170</v>
      </c>
      <c r="K108" s="89" t="n">
        <v>30</v>
      </c>
      <c r="L108" s="97" t="n">
        <v>0.02</v>
      </c>
      <c r="M108" s="89" t="n">
        <v>10</v>
      </c>
      <c r="N108" s="4" t="n">
        <f aca="false">IF(AND(H108&lt;=D_F01!$B$7,OR(NOT(ISNUMBER(J108)),J108&gt;D_F01!$B$7)),1,0)</f>
        <v>0</v>
      </c>
      <c r="O108" s="33" t="n">
        <f aca="false">G108*N108</f>
        <v>0</v>
      </c>
      <c r="P108" s="4" t="n">
        <f aca="false">IF(N108=1,MAX(0,D_F01!$B$7-I108),0)</f>
        <v>0</v>
      </c>
      <c r="Q108" s="4" t="n">
        <f aca="false">IF(AND(ISNUMBER(J108),J108&lt;=D_F01!$B$7),J108-I108,0)</f>
        <v>-20</v>
      </c>
      <c r="R108" s="4" t="n">
        <f aca="false">MAX(0,Q108)</f>
        <v>0</v>
      </c>
      <c r="S108" s="4" t="n">
        <f aca="false">IF(AND(ISNUMBER(J108),J108&lt;=D_F01!$B$7,J108&gt;D_F01!$B$7-D_F01!$B$25),G108*R108,0)</f>
        <v>0</v>
      </c>
      <c r="T108" s="33" t="n">
        <f aca="false">IF(AND(ISNUMBER(J108),J108&lt;=D_F01!$B$7,J108&gt;D_F01!$B$7-D_F01!$B$25),G108,0)</f>
        <v>493821570</v>
      </c>
      <c r="U108" s="4" t="n">
        <f aca="false">IF(INDEX(D_F01!$C$51:$C$59,MATCH(C108,D_F01!$A$51:$A$59,0))="có",1,0)</f>
        <v>1</v>
      </c>
      <c r="V108" s="42" t="n">
        <f aca="false">IF(AND(N108=1,L108&gt;0,L108&lt;1,K108&gt;M108,H108+M108&gt;=D_F01!$B$7),1,0)</f>
        <v>0</v>
      </c>
      <c r="W108" s="44" t="n">
        <f aca="false">IF(V108=1,O108*L108,0)</f>
        <v>0</v>
      </c>
      <c r="X108" s="96" t="n">
        <f aca="false">IF(V108=1,L108/(1-L108)*365/(K108-M108),0)</f>
        <v>0</v>
      </c>
    </row>
    <row r="109" customFormat="false" ht="25.5" hidden="false" customHeight="true" outlineLevel="0" collapsed="false">
      <c r="A109" s="82" t="s">
        <v>2200</v>
      </c>
      <c r="B109" s="82" t="s">
        <v>2666</v>
      </c>
      <c r="C109" s="82" t="s">
        <v>1993</v>
      </c>
      <c r="D109" s="82" t="s">
        <v>3179</v>
      </c>
      <c r="E109" s="82" t="s">
        <v>3371</v>
      </c>
      <c r="F109" s="82" t="s">
        <v>3181</v>
      </c>
      <c r="G109" s="87" t="n">
        <v>432157866</v>
      </c>
      <c r="H109" s="84" t="n">
        <v>46163</v>
      </c>
      <c r="I109" s="84" t="n">
        <v>46208</v>
      </c>
      <c r="J109" s="84"/>
      <c r="K109" s="82" t="n">
        <v>45</v>
      </c>
      <c r="L109" s="91" t="n">
        <v>0</v>
      </c>
      <c r="M109" s="82" t="n">
        <v>0</v>
      </c>
      <c r="N109" s="3" t="n">
        <f aca="false">IF(AND(H109&lt;=D_F01!$B$7,OR(NOT(ISNUMBER(J109)),J109&gt;D_F01!$B$7)),1,0)</f>
        <v>1</v>
      </c>
      <c r="O109" s="32" t="n">
        <f aca="false">G109*N109</f>
        <v>432157866</v>
      </c>
      <c r="P109" s="3" t="n">
        <f aca="false">IF(N109=1,MAX(0,D_F01!$B$7-I109),0)</f>
        <v>0</v>
      </c>
      <c r="Q109" s="3" t="n">
        <f aca="false">IF(AND(ISNUMBER(J109),J109&lt;=D_F01!$B$7),J109-I109,0)</f>
        <v>0</v>
      </c>
      <c r="R109" s="3" t="n">
        <f aca="false">MAX(0,Q109)</f>
        <v>0</v>
      </c>
      <c r="S109" s="3" t="n">
        <f aca="false">IF(AND(ISNUMBER(J109),J109&lt;=D_F01!$B$7,J109&gt;D_F01!$B$7-D_F01!$B$25),G109*R109,0)</f>
        <v>0</v>
      </c>
      <c r="T109" s="3" t="n">
        <f aca="false">IF(AND(ISNUMBER(J109),J109&lt;=D_F01!$B$7,J109&gt;D_F01!$B$7-D_F01!$B$25),G109,0)</f>
        <v>0</v>
      </c>
      <c r="U109" s="3" t="n">
        <f aca="false">IF(INDEX(D_F01!$C$51:$C$59,MATCH(C109,D_F01!$A$51:$A$59,0))="có",1,0)</f>
        <v>0</v>
      </c>
      <c r="V109" s="42" t="n">
        <f aca="false">IF(AND(N109=1,L109&gt;0,L109&lt;1,K109&gt;M109,H109+M109&gt;=D_F01!$B$7),1,0)</f>
        <v>0</v>
      </c>
      <c r="W109" s="44" t="n">
        <f aca="false">IF(V109=1,O109*L109,0)</f>
        <v>0</v>
      </c>
      <c r="X109" s="96" t="n">
        <f aca="false">IF(V109=1,L109/(1-L109)*365/(K109-M109),0)</f>
        <v>0</v>
      </c>
    </row>
    <row r="110" customFormat="false" ht="25.5" hidden="false" customHeight="true" outlineLevel="0" collapsed="false">
      <c r="A110" s="89" t="s">
        <v>2205</v>
      </c>
      <c r="B110" s="89" t="s">
        <v>2666</v>
      </c>
      <c r="C110" s="89" t="s">
        <v>1993</v>
      </c>
      <c r="D110" s="89" t="s">
        <v>3179</v>
      </c>
      <c r="E110" s="89" t="s">
        <v>3372</v>
      </c>
      <c r="F110" s="89" t="s">
        <v>3181</v>
      </c>
      <c r="G110" s="88" t="n">
        <v>376724622</v>
      </c>
      <c r="H110" s="83" t="n">
        <v>46167</v>
      </c>
      <c r="I110" s="83" t="n">
        <v>46212</v>
      </c>
      <c r="J110" s="83"/>
      <c r="K110" s="89" t="n">
        <v>45</v>
      </c>
      <c r="L110" s="97" t="n">
        <v>0</v>
      </c>
      <c r="M110" s="89" t="n">
        <v>0</v>
      </c>
      <c r="N110" s="4" t="n">
        <f aca="false">IF(AND(H110&lt;=D_F01!$B$7,OR(NOT(ISNUMBER(J110)),J110&gt;D_F01!$B$7)),1,0)</f>
        <v>1</v>
      </c>
      <c r="O110" s="33" t="n">
        <f aca="false">G110*N110</f>
        <v>376724622</v>
      </c>
      <c r="P110" s="4" t="n">
        <f aca="false">IF(N110=1,MAX(0,D_F01!$B$7-I110),0)</f>
        <v>0</v>
      </c>
      <c r="Q110" s="4" t="n">
        <f aca="false">IF(AND(ISNUMBER(J110),J110&lt;=D_F01!$B$7),J110-I110,0)</f>
        <v>0</v>
      </c>
      <c r="R110" s="4" t="n">
        <f aca="false">MAX(0,Q110)</f>
        <v>0</v>
      </c>
      <c r="S110" s="4" t="n">
        <f aca="false">IF(AND(ISNUMBER(J110),J110&lt;=D_F01!$B$7,J110&gt;D_F01!$B$7-D_F01!$B$25),G110*R110,0)</f>
        <v>0</v>
      </c>
      <c r="T110" s="4" t="n">
        <f aca="false">IF(AND(ISNUMBER(J110),J110&lt;=D_F01!$B$7,J110&gt;D_F01!$B$7-D_F01!$B$25),G110,0)</f>
        <v>0</v>
      </c>
      <c r="U110" s="4" t="n">
        <f aca="false">IF(INDEX(D_F01!$C$51:$C$59,MATCH(C110,D_F01!$A$51:$A$59,0))="có",1,0)</f>
        <v>0</v>
      </c>
      <c r="V110" s="42" t="n">
        <f aca="false">IF(AND(N110=1,L110&gt;0,L110&lt;1,K110&gt;M110,H110+M110&gt;=D_F01!$B$7),1,0)</f>
        <v>0</v>
      </c>
      <c r="W110" s="44" t="n">
        <f aca="false">IF(V110=1,O110*L110,0)</f>
        <v>0</v>
      </c>
      <c r="X110" s="96" t="n">
        <f aca="false">IF(V110=1,L110/(1-L110)*365/(K110-M110),0)</f>
        <v>0</v>
      </c>
    </row>
    <row r="111" customFormat="false" ht="25.5" hidden="false" customHeight="true" outlineLevel="0" collapsed="false">
      <c r="A111" s="82" t="s">
        <v>3373</v>
      </c>
      <c r="B111" s="82" t="s">
        <v>2666</v>
      </c>
      <c r="C111" s="82" t="s">
        <v>1997</v>
      </c>
      <c r="D111" s="82" t="s">
        <v>2753</v>
      </c>
      <c r="E111" s="82" t="s">
        <v>3374</v>
      </c>
      <c r="F111" s="82" t="s">
        <v>3160</v>
      </c>
      <c r="G111" s="87" t="n">
        <v>97306794</v>
      </c>
      <c r="H111" s="84" t="n">
        <v>46168</v>
      </c>
      <c r="I111" s="84" t="n">
        <v>46183</v>
      </c>
      <c r="J111" s="84" t="n">
        <v>46186</v>
      </c>
      <c r="K111" s="82" t="n">
        <v>15</v>
      </c>
      <c r="L111" s="91" t="n">
        <v>0</v>
      </c>
      <c r="M111" s="82" t="n">
        <v>0</v>
      </c>
      <c r="N111" s="3" t="n">
        <f aca="false">IF(AND(H111&lt;=D_F01!$B$7,OR(NOT(ISNUMBER(J111)),J111&gt;D_F01!$B$7)),1,0)</f>
        <v>0</v>
      </c>
      <c r="O111" s="32" t="n">
        <f aca="false">G111*N111</f>
        <v>0</v>
      </c>
      <c r="P111" s="3" t="n">
        <f aca="false">IF(N111=1,MAX(0,D_F01!$B$7-I111),0)</f>
        <v>0</v>
      </c>
      <c r="Q111" s="3" t="n">
        <f aca="false">IF(AND(ISNUMBER(J111),J111&lt;=D_F01!$B$7),J111-I111,0)</f>
        <v>3</v>
      </c>
      <c r="R111" s="3" t="n">
        <f aca="false">MAX(0,Q111)</f>
        <v>3</v>
      </c>
      <c r="S111" s="3" t="n">
        <f aca="false">IF(AND(ISNUMBER(J111),J111&lt;=D_F01!$B$7,J111&gt;D_F01!$B$7-D_F01!$B$25),G111*R111,0)</f>
        <v>291920382</v>
      </c>
      <c r="T111" s="32" t="n">
        <f aca="false">IF(AND(ISNUMBER(J111),J111&lt;=D_F01!$B$7,J111&gt;D_F01!$B$7-D_F01!$B$25),G111,0)</f>
        <v>97306794</v>
      </c>
      <c r="U111" s="3" t="n">
        <f aca="false">IF(INDEX(D_F01!$C$51:$C$59,MATCH(C111,D_F01!$A$51:$A$59,0))="có",1,0)</f>
        <v>1</v>
      </c>
      <c r="V111" s="42" t="n">
        <f aca="false">IF(AND(N111=1,L111&gt;0,L111&lt;1,K111&gt;M111,H111+M111&gt;=D_F01!$B$7),1,0)</f>
        <v>0</v>
      </c>
      <c r="W111" s="44" t="n">
        <f aca="false">IF(V111=1,O111*L111,0)</f>
        <v>0</v>
      </c>
      <c r="X111" s="96" t="n">
        <f aca="false">IF(V111=1,L111/(1-L111)*365/(K111-M111),0)</f>
        <v>0</v>
      </c>
    </row>
    <row r="112" customFormat="false" ht="25.5" hidden="false" customHeight="true" outlineLevel="0" collapsed="false">
      <c r="A112" s="89" t="s">
        <v>3375</v>
      </c>
      <c r="B112" s="89" t="s">
        <v>2666</v>
      </c>
      <c r="C112" s="89" t="s">
        <v>2000</v>
      </c>
      <c r="D112" s="89" t="s">
        <v>2756</v>
      </c>
      <c r="E112" s="89" t="s">
        <v>3376</v>
      </c>
      <c r="F112" s="89" t="s">
        <v>3154</v>
      </c>
      <c r="G112" s="88" t="n">
        <v>154388172</v>
      </c>
      <c r="H112" s="83" t="n">
        <v>46168</v>
      </c>
      <c r="I112" s="83" t="n">
        <v>46198</v>
      </c>
      <c r="J112" s="83" t="n">
        <v>46174</v>
      </c>
      <c r="K112" s="89" t="n">
        <v>30</v>
      </c>
      <c r="L112" s="97" t="n">
        <v>0.01</v>
      </c>
      <c r="M112" s="89" t="n">
        <v>7</v>
      </c>
      <c r="N112" s="4" t="n">
        <f aca="false">IF(AND(H112&lt;=D_F01!$B$7,OR(NOT(ISNUMBER(J112)),J112&gt;D_F01!$B$7)),1,0)</f>
        <v>0</v>
      </c>
      <c r="O112" s="33" t="n">
        <f aca="false">G112*N112</f>
        <v>0</v>
      </c>
      <c r="P112" s="4" t="n">
        <f aca="false">IF(N112=1,MAX(0,D_F01!$B$7-I112),0)</f>
        <v>0</v>
      </c>
      <c r="Q112" s="4" t="n">
        <f aca="false">IF(AND(ISNUMBER(J112),J112&lt;=D_F01!$B$7),J112-I112,0)</f>
        <v>-24</v>
      </c>
      <c r="R112" s="4" t="n">
        <f aca="false">MAX(0,Q112)</f>
        <v>0</v>
      </c>
      <c r="S112" s="4" t="n">
        <f aca="false">IF(AND(ISNUMBER(J112),J112&lt;=D_F01!$B$7,J112&gt;D_F01!$B$7-D_F01!$B$25),G112*R112,0)</f>
        <v>0</v>
      </c>
      <c r="T112" s="33" t="n">
        <f aca="false">IF(AND(ISNUMBER(J112),J112&lt;=D_F01!$B$7,J112&gt;D_F01!$B$7-D_F01!$B$25),G112,0)</f>
        <v>154388172</v>
      </c>
      <c r="U112" s="4" t="n">
        <f aca="false">IF(INDEX(D_F01!$C$51:$C$59,MATCH(C112,D_F01!$A$51:$A$59,0))="có",1,0)</f>
        <v>1</v>
      </c>
      <c r="V112" s="42" t="n">
        <f aca="false">IF(AND(N112=1,L112&gt;0,L112&lt;1,K112&gt;M112,H112+M112&gt;=D_F01!$B$7),1,0)</f>
        <v>0</v>
      </c>
      <c r="W112" s="44" t="n">
        <f aca="false">IF(V112=1,O112*L112,0)</f>
        <v>0</v>
      </c>
      <c r="X112" s="96" t="n">
        <f aca="false">IF(V112=1,L112/(1-L112)*365/(K112-M112),0)</f>
        <v>0</v>
      </c>
    </row>
    <row r="113" customFormat="false" ht="25.5" hidden="false" customHeight="true" outlineLevel="0" collapsed="false">
      <c r="A113" s="82" t="s">
        <v>2207</v>
      </c>
      <c r="B113" s="82" t="s">
        <v>2666</v>
      </c>
      <c r="C113" s="82" t="s">
        <v>1993</v>
      </c>
      <c r="D113" s="82" t="s">
        <v>3179</v>
      </c>
      <c r="E113" s="82" t="s">
        <v>3377</v>
      </c>
      <c r="F113" s="82" t="s">
        <v>3181</v>
      </c>
      <c r="G113" s="87" t="n">
        <v>176055378</v>
      </c>
      <c r="H113" s="84" t="n">
        <v>46171</v>
      </c>
      <c r="I113" s="84" t="n">
        <v>46216</v>
      </c>
      <c r="J113" s="84"/>
      <c r="K113" s="82" t="n">
        <v>45</v>
      </c>
      <c r="L113" s="91" t="n">
        <v>0</v>
      </c>
      <c r="M113" s="82" t="n">
        <v>0</v>
      </c>
      <c r="N113" s="3" t="n">
        <f aca="false">IF(AND(H113&lt;=D_F01!$B$7,OR(NOT(ISNUMBER(J113)),J113&gt;D_F01!$B$7)),1,0)</f>
        <v>1</v>
      </c>
      <c r="O113" s="32" t="n">
        <f aca="false">G113*N113</f>
        <v>176055378</v>
      </c>
      <c r="P113" s="3" t="n">
        <f aca="false">IF(N113=1,MAX(0,D_F01!$B$7-I113),0)</f>
        <v>0</v>
      </c>
      <c r="Q113" s="3" t="n">
        <f aca="false">IF(AND(ISNUMBER(J113),J113&lt;=D_F01!$B$7),J113-I113,0)</f>
        <v>0</v>
      </c>
      <c r="R113" s="3" t="n">
        <f aca="false">MAX(0,Q113)</f>
        <v>0</v>
      </c>
      <c r="S113" s="3" t="n">
        <f aca="false">IF(AND(ISNUMBER(J113),J113&lt;=D_F01!$B$7,J113&gt;D_F01!$B$7-D_F01!$B$25),G113*R113,0)</f>
        <v>0</v>
      </c>
      <c r="T113" s="3" t="n">
        <f aca="false">IF(AND(ISNUMBER(J113),J113&lt;=D_F01!$B$7,J113&gt;D_F01!$B$7-D_F01!$B$25),G113,0)</f>
        <v>0</v>
      </c>
      <c r="U113" s="3" t="n">
        <f aca="false">IF(INDEX(D_F01!$C$51:$C$59,MATCH(C113,D_F01!$A$51:$A$59,0))="có",1,0)</f>
        <v>0</v>
      </c>
      <c r="V113" s="42" t="n">
        <f aca="false">IF(AND(N113=1,L113&gt;0,L113&lt;1,K113&gt;M113,H113+M113&gt;=D_F01!$B$7),1,0)</f>
        <v>0</v>
      </c>
      <c r="W113" s="44" t="n">
        <f aca="false">IF(V113=1,O113*L113,0)</f>
        <v>0</v>
      </c>
      <c r="X113" s="96" t="n">
        <f aca="false">IF(V113=1,L113/(1-L113)*365/(K113-M113),0)</f>
        <v>0</v>
      </c>
    </row>
    <row r="114" customFormat="false" ht="25.5" hidden="false" customHeight="true" outlineLevel="0" collapsed="false">
      <c r="A114" s="89" t="s">
        <v>3378</v>
      </c>
      <c r="B114" s="89" t="s">
        <v>2666</v>
      </c>
      <c r="C114" s="89" t="s">
        <v>1995</v>
      </c>
      <c r="D114" s="89" t="s">
        <v>2751</v>
      </c>
      <c r="E114" s="89" t="s">
        <v>3379</v>
      </c>
      <c r="F114" s="89" t="s">
        <v>3169</v>
      </c>
      <c r="G114" s="88" t="n">
        <v>62196438</v>
      </c>
      <c r="H114" s="83" t="n">
        <v>46172</v>
      </c>
      <c r="I114" s="83" t="n">
        <v>46187</v>
      </c>
      <c r="J114" s="83" t="n">
        <v>46186</v>
      </c>
      <c r="K114" s="89" t="n">
        <v>15</v>
      </c>
      <c r="L114" s="97" t="n">
        <v>0</v>
      </c>
      <c r="M114" s="89" t="n">
        <v>0</v>
      </c>
      <c r="N114" s="4" t="n">
        <f aca="false">IF(AND(H114&lt;=D_F01!$B$7,OR(NOT(ISNUMBER(J114)),J114&gt;D_F01!$B$7)),1,0)</f>
        <v>0</v>
      </c>
      <c r="O114" s="33" t="n">
        <f aca="false">G114*N114</f>
        <v>0</v>
      </c>
      <c r="P114" s="4" t="n">
        <f aca="false">IF(N114=1,MAX(0,D_F01!$B$7-I114),0)</f>
        <v>0</v>
      </c>
      <c r="Q114" s="4" t="n">
        <f aca="false">IF(AND(ISNUMBER(J114),J114&lt;=D_F01!$B$7),J114-I114,0)</f>
        <v>-1</v>
      </c>
      <c r="R114" s="4" t="n">
        <f aca="false">MAX(0,Q114)</f>
        <v>0</v>
      </c>
      <c r="S114" s="4" t="n">
        <f aca="false">IF(AND(ISNUMBER(J114),J114&lt;=D_F01!$B$7,J114&gt;D_F01!$B$7-D_F01!$B$25),G114*R114,0)</f>
        <v>0</v>
      </c>
      <c r="T114" s="33" t="n">
        <f aca="false">IF(AND(ISNUMBER(J114),J114&lt;=D_F01!$B$7,J114&gt;D_F01!$B$7-D_F01!$B$25),G114,0)</f>
        <v>62196438</v>
      </c>
      <c r="U114" s="4" t="n">
        <f aca="false">IF(INDEX(D_F01!$C$51:$C$59,MATCH(C114,D_F01!$A$51:$A$59,0))="có",1,0)</f>
        <v>0</v>
      </c>
      <c r="V114" s="42" t="n">
        <f aca="false">IF(AND(N114=1,L114&gt;0,L114&lt;1,K114&gt;M114,H114+M114&gt;=D_F01!$B$7),1,0)</f>
        <v>0</v>
      </c>
      <c r="W114" s="44" t="n">
        <f aca="false">IF(V114=1,O114*L114,0)</f>
        <v>0</v>
      </c>
      <c r="X114" s="96" t="n">
        <f aca="false">IF(V114=1,L114/(1-L114)*365/(K114-M114),0)</f>
        <v>0</v>
      </c>
    </row>
    <row r="115" customFormat="false" ht="25.5" hidden="false" customHeight="true" outlineLevel="0" collapsed="false">
      <c r="A115" s="82" t="s">
        <v>3380</v>
      </c>
      <c r="B115" s="82" t="s">
        <v>2666</v>
      </c>
      <c r="C115" s="82" t="s">
        <v>1994</v>
      </c>
      <c r="D115" s="82" t="s">
        <v>2750</v>
      </c>
      <c r="E115" s="82" t="s">
        <v>3381</v>
      </c>
      <c r="F115" s="82" t="s">
        <v>3157</v>
      </c>
      <c r="G115" s="87" t="n">
        <v>116264556</v>
      </c>
      <c r="H115" s="84" t="n">
        <v>46173</v>
      </c>
      <c r="I115" s="84" t="n">
        <v>46188</v>
      </c>
      <c r="J115" s="84" t="n">
        <v>46189</v>
      </c>
      <c r="K115" s="82" t="n">
        <v>15</v>
      </c>
      <c r="L115" s="91" t="n">
        <v>0</v>
      </c>
      <c r="M115" s="82" t="n">
        <v>0</v>
      </c>
      <c r="N115" s="3" t="n">
        <f aca="false">IF(AND(H115&lt;=D_F01!$B$7,OR(NOT(ISNUMBER(J115)),J115&gt;D_F01!$B$7)),1,0)</f>
        <v>0</v>
      </c>
      <c r="O115" s="32" t="n">
        <f aca="false">G115*N115</f>
        <v>0</v>
      </c>
      <c r="P115" s="3" t="n">
        <f aca="false">IF(N115=1,MAX(0,D_F01!$B$7-I115),0)</f>
        <v>0</v>
      </c>
      <c r="Q115" s="3" t="n">
        <f aca="false">IF(AND(ISNUMBER(J115),J115&lt;=D_F01!$B$7),J115-I115,0)</f>
        <v>1</v>
      </c>
      <c r="R115" s="3" t="n">
        <f aca="false">MAX(0,Q115)</f>
        <v>1</v>
      </c>
      <c r="S115" s="3" t="n">
        <f aca="false">IF(AND(ISNUMBER(J115),J115&lt;=D_F01!$B$7,J115&gt;D_F01!$B$7-D_F01!$B$25),G115*R115,0)</f>
        <v>116264556</v>
      </c>
      <c r="T115" s="32" t="n">
        <f aca="false">IF(AND(ISNUMBER(J115),J115&lt;=D_F01!$B$7,J115&gt;D_F01!$B$7-D_F01!$B$25),G115,0)</f>
        <v>116264556</v>
      </c>
      <c r="U115" s="3" t="n">
        <f aca="false">IF(INDEX(D_F01!$C$51:$C$59,MATCH(C115,D_F01!$A$51:$A$59,0))="có",1,0)</f>
        <v>1</v>
      </c>
      <c r="V115" s="42" t="n">
        <f aca="false">IF(AND(N115=1,L115&gt;0,L115&lt;1,K115&gt;M115,H115+M115&gt;=D_F01!$B$7),1,0)</f>
        <v>0</v>
      </c>
      <c r="W115" s="44" t="n">
        <f aca="false">IF(V115=1,O115*L115,0)</f>
        <v>0</v>
      </c>
      <c r="X115" s="96" t="n">
        <f aca="false">IF(V115=1,L115/(1-L115)*365/(K115-M115),0)</f>
        <v>0</v>
      </c>
    </row>
    <row r="116" customFormat="false" ht="25.5" hidden="false" customHeight="true" outlineLevel="0" collapsed="false">
      <c r="A116" s="89" t="s">
        <v>3382</v>
      </c>
      <c r="B116" s="89" t="s">
        <v>2666</v>
      </c>
      <c r="C116" s="89" t="s">
        <v>1999</v>
      </c>
      <c r="D116" s="89" t="s">
        <v>2755</v>
      </c>
      <c r="E116" s="89" t="s">
        <v>3383</v>
      </c>
      <c r="F116" s="89" t="s">
        <v>3202</v>
      </c>
      <c r="G116" s="88" t="n">
        <v>307523598</v>
      </c>
      <c r="H116" s="83" t="n">
        <v>46173</v>
      </c>
      <c r="I116" s="83" t="n">
        <v>46203</v>
      </c>
      <c r="J116" s="83" t="n">
        <v>46203</v>
      </c>
      <c r="K116" s="89" t="n">
        <v>30</v>
      </c>
      <c r="L116" s="97" t="n">
        <v>0</v>
      </c>
      <c r="M116" s="89" t="n">
        <v>0</v>
      </c>
      <c r="N116" s="4" t="n">
        <f aca="false">IF(AND(H116&lt;=D_F01!$B$7,OR(NOT(ISNUMBER(J116)),J116&gt;D_F01!$B$7)),1,0)</f>
        <v>0</v>
      </c>
      <c r="O116" s="33" t="n">
        <f aca="false">G116*N116</f>
        <v>0</v>
      </c>
      <c r="P116" s="4" t="n">
        <f aca="false">IF(N116=1,MAX(0,D_F01!$B$7-I116),0)</f>
        <v>0</v>
      </c>
      <c r="Q116" s="4" t="n">
        <f aca="false">IF(AND(ISNUMBER(J116),J116&lt;=D_F01!$B$7),J116-I116,0)</f>
        <v>0</v>
      </c>
      <c r="R116" s="4" t="n">
        <f aca="false">MAX(0,Q116)</f>
        <v>0</v>
      </c>
      <c r="S116" s="4" t="n">
        <f aca="false">IF(AND(ISNUMBER(J116),J116&lt;=D_F01!$B$7,J116&gt;D_F01!$B$7-D_F01!$B$25),G116*R116,0)</f>
        <v>0</v>
      </c>
      <c r="T116" s="33" t="n">
        <f aca="false">IF(AND(ISNUMBER(J116),J116&lt;=D_F01!$B$7,J116&gt;D_F01!$B$7-D_F01!$B$25),G116,0)</f>
        <v>307523598</v>
      </c>
      <c r="U116" s="4" t="n">
        <f aca="false">IF(INDEX(D_F01!$C$51:$C$59,MATCH(C116,D_F01!$A$51:$A$59,0))="có",1,0)</f>
        <v>0</v>
      </c>
      <c r="V116" s="42" t="n">
        <f aca="false">IF(AND(N116=1,L116&gt;0,L116&lt;1,K116&gt;M116,H116+M116&gt;=D_F01!$B$7),1,0)</f>
        <v>0</v>
      </c>
      <c r="W116" s="44" t="n">
        <f aca="false">IF(V116=1,O116*L116,0)</f>
        <v>0</v>
      </c>
      <c r="X116" s="96" t="n">
        <f aca="false">IF(V116=1,L116/(1-L116)*365/(K116-M116),0)</f>
        <v>0</v>
      </c>
    </row>
    <row r="117" customFormat="false" ht="25.5" hidden="false" customHeight="true" outlineLevel="0" collapsed="false">
      <c r="A117" s="82" t="s">
        <v>3384</v>
      </c>
      <c r="B117" s="82" t="s">
        <v>2666</v>
      </c>
      <c r="C117" s="82" t="s">
        <v>1995</v>
      </c>
      <c r="D117" s="82" t="s">
        <v>2751</v>
      </c>
      <c r="E117" s="82" t="s">
        <v>3385</v>
      </c>
      <c r="F117" s="82" t="s">
        <v>3169</v>
      </c>
      <c r="G117" s="87" t="n">
        <v>115219902</v>
      </c>
      <c r="H117" s="84" t="n">
        <v>46174</v>
      </c>
      <c r="I117" s="84" t="n">
        <v>46189</v>
      </c>
      <c r="J117" s="84" t="n">
        <v>46188</v>
      </c>
      <c r="K117" s="82" t="n">
        <v>15</v>
      </c>
      <c r="L117" s="91" t="n">
        <v>0</v>
      </c>
      <c r="M117" s="82" t="n">
        <v>0</v>
      </c>
      <c r="N117" s="3" t="n">
        <f aca="false">IF(AND(H117&lt;=D_F01!$B$7,OR(NOT(ISNUMBER(J117)),J117&gt;D_F01!$B$7)),1,0)</f>
        <v>0</v>
      </c>
      <c r="O117" s="32" t="n">
        <f aca="false">G117*N117</f>
        <v>0</v>
      </c>
      <c r="P117" s="3" t="n">
        <f aca="false">IF(N117=1,MAX(0,D_F01!$B$7-I117),0)</f>
        <v>0</v>
      </c>
      <c r="Q117" s="3" t="n">
        <f aca="false">IF(AND(ISNUMBER(J117),J117&lt;=D_F01!$B$7),J117-I117,0)</f>
        <v>-1</v>
      </c>
      <c r="R117" s="3" t="n">
        <f aca="false">MAX(0,Q117)</f>
        <v>0</v>
      </c>
      <c r="S117" s="3" t="n">
        <f aca="false">IF(AND(ISNUMBER(J117),J117&lt;=D_F01!$B$7,J117&gt;D_F01!$B$7-D_F01!$B$25),G117*R117,0)</f>
        <v>0</v>
      </c>
      <c r="T117" s="32" t="n">
        <f aca="false">IF(AND(ISNUMBER(J117),J117&lt;=D_F01!$B$7,J117&gt;D_F01!$B$7-D_F01!$B$25),G117,0)</f>
        <v>115219902</v>
      </c>
      <c r="U117" s="3" t="n">
        <f aca="false">IF(INDEX(D_F01!$C$51:$C$59,MATCH(C117,D_F01!$A$51:$A$59,0))="có",1,0)</f>
        <v>0</v>
      </c>
      <c r="V117" s="42" t="n">
        <f aca="false">IF(AND(N117=1,L117&gt;0,L117&lt;1,K117&gt;M117,H117+M117&gt;=D_F01!$B$7),1,0)</f>
        <v>0</v>
      </c>
      <c r="W117" s="44" t="n">
        <f aca="false">IF(V117=1,O117*L117,0)</f>
        <v>0</v>
      </c>
      <c r="X117" s="96" t="n">
        <f aca="false">IF(V117=1,L117/(1-L117)*365/(K117-M117),0)</f>
        <v>0</v>
      </c>
    </row>
    <row r="118" customFormat="false" ht="25.5" hidden="false" customHeight="true" outlineLevel="0" collapsed="false">
      <c r="A118" s="89" t="s">
        <v>2209</v>
      </c>
      <c r="B118" s="89" t="s">
        <v>2666</v>
      </c>
      <c r="C118" s="89" t="s">
        <v>1992</v>
      </c>
      <c r="D118" s="89" t="s">
        <v>3164</v>
      </c>
      <c r="E118" s="89" t="s">
        <v>3386</v>
      </c>
      <c r="F118" s="89" t="s">
        <v>3166</v>
      </c>
      <c r="G118" s="88" t="n">
        <v>371409792</v>
      </c>
      <c r="H118" s="83" t="n">
        <v>46176</v>
      </c>
      <c r="I118" s="83" t="n">
        <v>46206</v>
      </c>
      <c r="J118" s="83"/>
      <c r="K118" s="89" t="n">
        <v>30</v>
      </c>
      <c r="L118" s="97" t="n">
        <v>0.02</v>
      </c>
      <c r="M118" s="89" t="n">
        <v>10</v>
      </c>
      <c r="N118" s="4" t="n">
        <f aca="false">IF(AND(H118&lt;=D_F01!$B$7,OR(NOT(ISNUMBER(J118)),J118&gt;D_F01!$B$7)),1,0)</f>
        <v>1</v>
      </c>
      <c r="O118" s="33" t="n">
        <f aca="false">G118*N118</f>
        <v>371409792</v>
      </c>
      <c r="P118" s="4" t="n">
        <f aca="false">IF(N118=1,MAX(0,D_F01!$B$7-I118),0)</f>
        <v>0</v>
      </c>
      <c r="Q118" s="4" t="n">
        <f aca="false">IF(AND(ISNUMBER(J118),J118&lt;=D_F01!$B$7),J118-I118,0)</f>
        <v>0</v>
      </c>
      <c r="R118" s="4" t="n">
        <f aca="false">MAX(0,Q118)</f>
        <v>0</v>
      </c>
      <c r="S118" s="4" t="n">
        <f aca="false">IF(AND(ISNUMBER(J118),J118&lt;=D_F01!$B$7,J118&gt;D_F01!$B$7-D_F01!$B$25),G118*R118,0)</f>
        <v>0</v>
      </c>
      <c r="T118" s="4" t="n">
        <f aca="false">IF(AND(ISNUMBER(J118),J118&lt;=D_F01!$B$7,J118&gt;D_F01!$B$7-D_F01!$B$25),G118,0)</f>
        <v>0</v>
      </c>
      <c r="U118" s="4" t="n">
        <f aca="false">IF(INDEX(D_F01!$C$51:$C$59,MATCH(C118,D_F01!$A$51:$A$59,0))="có",1,0)</f>
        <v>1</v>
      </c>
      <c r="V118" s="42" t="n">
        <f aca="false">IF(AND(N118=1,L118&gt;0,L118&lt;1,K118&gt;M118,H118+M118&gt;=D_F01!$B$7),1,0)</f>
        <v>0</v>
      </c>
      <c r="W118" s="44" t="n">
        <f aca="false">IF(V118=1,O118*L118,0)</f>
        <v>0</v>
      </c>
      <c r="X118" s="96" t="n">
        <f aca="false">IF(V118=1,L118/(1-L118)*365/(K118-M118),0)</f>
        <v>0</v>
      </c>
    </row>
    <row r="119" customFormat="false" ht="25.5" hidden="false" customHeight="true" outlineLevel="0" collapsed="false">
      <c r="A119" s="82" t="s">
        <v>2211</v>
      </c>
      <c r="B119" s="82" t="s">
        <v>2666</v>
      </c>
      <c r="C119" s="82" t="s">
        <v>1998</v>
      </c>
      <c r="D119" s="82" t="s">
        <v>2754</v>
      </c>
      <c r="E119" s="82" t="s">
        <v>3387</v>
      </c>
      <c r="F119" s="82" t="s">
        <v>3350</v>
      </c>
      <c r="G119" s="87" t="n">
        <v>979364994</v>
      </c>
      <c r="H119" s="84" t="n">
        <v>46088</v>
      </c>
      <c r="I119" s="84" t="n">
        <v>46118</v>
      </c>
      <c r="J119" s="84"/>
      <c r="K119" s="82" t="n">
        <v>30</v>
      </c>
      <c r="L119" s="91" t="n">
        <v>0</v>
      </c>
      <c r="M119" s="82" t="n">
        <v>0</v>
      </c>
      <c r="N119" s="3" t="n">
        <f aca="false">IF(AND(H119&lt;=D_F01!$B$7,OR(NOT(ISNUMBER(J119)),J119&gt;D_F01!$B$7)),1,0)</f>
        <v>1</v>
      </c>
      <c r="O119" s="32" t="n">
        <f aca="false">G119*N119</f>
        <v>979364994</v>
      </c>
      <c r="P119" s="3" t="n">
        <f aca="false">IF(N119=1,MAX(0,D_F01!$B$7-I119),0)</f>
        <v>85</v>
      </c>
      <c r="Q119" s="3" t="n">
        <f aca="false">IF(AND(ISNUMBER(J119),J119&lt;=D_F01!$B$7),J119-I119,0)</f>
        <v>0</v>
      </c>
      <c r="R119" s="3" t="n">
        <f aca="false">MAX(0,Q119)</f>
        <v>0</v>
      </c>
      <c r="S119" s="3" t="n">
        <f aca="false">IF(AND(ISNUMBER(J119),J119&lt;=D_F01!$B$7,J119&gt;D_F01!$B$7-D_F01!$B$25),G119*R119,0)</f>
        <v>0</v>
      </c>
      <c r="T119" s="3" t="n">
        <f aca="false">IF(AND(ISNUMBER(J119),J119&lt;=D_F01!$B$7,J119&gt;D_F01!$B$7-D_F01!$B$25),G119,0)</f>
        <v>0</v>
      </c>
      <c r="U119" s="3" t="n">
        <f aca="false">IF(INDEX(D_F01!$C$51:$C$59,MATCH(C119,D_F01!$A$51:$A$59,0))="có",1,0)</f>
        <v>0</v>
      </c>
      <c r="V119" s="42" t="n">
        <f aca="false">IF(AND(N119=1,L119&gt;0,L119&lt;1,K119&gt;M119,H119+M119&gt;=D_F01!$B$7),1,0)</f>
        <v>0</v>
      </c>
      <c r="W119" s="44" t="n">
        <f aca="false">IF(V119=1,O119*L119,0)</f>
        <v>0</v>
      </c>
      <c r="X119" s="96" t="n">
        <f aca="false">IF(V119=1,L119/(1-L119)*365/(K119-M119),0)</f>
        <v>0</v>
      </c>
    </row>
    <row r="120" customFormat="false" ht="25.5" hidden="false" customHeight="true" outlineLevel="0" collapsed="false">
      <c r="A120" s="89" t="s">
        <v>3388</v>
      </c>
      <c r="B120" s="89" t="s">
        <v>2666</v>
      </c>
      <c r="C120" s="89" t="s">
        <v>1994</v>
      </c>
      <c r="D120" s="89" t="s">
        <v>2750</v>
      </c>
      <c r="E120" s="89" t="s">
        <v>3389</v>
      </c>
      <c r="F120" s="89" t="s">
        <v>3157</v>
      </c>
      <c r="G120" s="88" t="n">
        <v>160768470</v>
      </c>
      <c r="H120" s="83" t="n">
        <v>46179</v>
      </c>
      <c r="I120" s="83" t="n">
        <v>46194</v>
      </c>
      <c r="J120" s="83" t="n">
        <v>46195</v>
      </c>
      <c r="K120" s="89" t="n">
        <v>15</v>
      </c>
      <c r="L120" s="97" t="n">
        <v>0</v>
      </c>
      <c r="M120" s="89" t="n">
        <v>0</v>
      </c>
      <c r="N120" s="4" t="n">
        <f aca="false">IF(AND(H120&lt;=D_F01!$B$7,OR(NOT(ISNUMBER(J120)),J120&gt;D_F01!$B$7)),1,0)</f>
        <v>0</v>
      </c>
      <c r="O120" s="33" t="n">
        <f aca="false">G120*N120</f>
        <v>0</v>
      </c>
      <c r="P120" s="4" t="n">
        <f aca="false">IF(N120=1,MAX(0,D_F01!$B$7-I120),0)</f>
        <v>0</v>
      </c>
      <c r="Q120" s="4" t="n">
        <f aca="false">IF(AND(ISNUMBER(J120),J120&lt;=D_F01!$B$7),J120-I120,0)</f>
        <v>1</v>
      </c>
      <c r="R120" s="4" t="n">
        <f aca="false">MAX(0,Q120)</f>
        <v>1</v>
      </c>
      <c r="S120" s="4" t="n">
        <f aca="false">IF(AND(ISNUMBER(J120),J120&lt;=D_F01!$B$7,J120&gt;D_F01!$B$7-D_F01!$B$25),G120*R120,0)</f>
        <v>160768470</v>
      </c>
      <c r="T120" s="33" t="n">
        <f aca="false">IF(AND(ISNUMBER(J120),J120&lt;=D_F01!$B$7,J120&gt;D_F01!$B$7-D_F01!$B$25),G120,0)</f>
        <v>160768470</v>
      </c>
      <c r="U120" s="4" t="n">
        <f aca="false">IF(INDEX(D_F01!$C$51:$C$59,MATCH(C120,D_F01!$A$51:$A$59,0))="có",1,0)</f>
        <v>1</v>
      </c>
      <c r="V120" s="42" t="n">
        <f aca="false">IF(AND(N120=1,L120&gt;0,L120&lt;1,K120&gt;M120,H120+M120&gt;=D_F01!$B$7),1,0)</f>
        <v>0</v>
      </c>
      <c r="W120" s="44" t="n">
        <f aca="false">IF(V120=1,O120*L120,0)</f>
        <v>0</v>
      </c>
      <c r="X120" s="96" t="n">
        <f aca="false">IF(V120=1,L120/(1-L120)*365/(K120-M120),0)</f>
        <v>0</v>
      </c>
    </row>
    <row r="121" customFormat="false" ht="25.5" hidden="false" customHeight="true" outlineLevel="0" collapsed="false">
      <c r="A121" s="82" t="s">
        <v>2213</v>
      </c>
      <c r="B121" s="82" t="s">
        <v>2666</v>
      </c>
      <c r="C121" s="82" t="s">
        <v>1996</v>
      </c>
      <c r="D121" s="82" t="s">
        <v>2752</v>
      </c>
      <c r="E121" s="82" t="s">
        <v>3390</v>
      </c>
      <c r="F121" s="82" t="s">
        <v>3241</v>
      </c>
      <c r="G121" s="87" t="n">
        <v>925742208</v>
      </c>
      <c r="H121" s="84" t="n">
        <v>46179</v>
      </c>
      <c r="I121" s="84" t="n">
        <v>46209</v>
      </c>
      <c r="J121" s="84"/>
      <c r="K121" s="82" t="n">
        <v>30</v>
      </c>
      <c r="L121" s="91" t="n">
        <v>0</v>
      </c>
      <c r="M121" s="82" t="n">
        <v>0</v>
      </c>
      <c r="N121" s="3" t="n">
        <f aca="false">IF(AND(H121&lt;=D_F01!$B$7,OR(NOT(ISNUMBER(J121)),J121&gt;D_F01!$B$7)),1,0)</f>
        <v>1</v>
      </c>
      <c r="O121" s="32" t="n">
        <f aca="false">G121*N121</f>
        <v>925742208</v>
      </c>
      <c r="P121" s="3" t="n">
        <f aca="false">IF(N121=1,MAX(0,D_F01!$B$7-I121),0)</f>
        <v>0</v>
      </c>
      <c r="Q121" s="3" t="n">
        <f aca="false">IF(AND(ISNUMBER(J121),J121&lt;=D_F01!$B$7),J121-I121,0)</f>
        <v>0</v>
      </c>
      <c r="R121" s="3" t="n">
        <f aca="false">MAX(0,Q121)</f>
        <v>0</v>
      </c>
      <c r="S121" s="3" t="n">
        <f aca="false">IF(AND(ISNUMBER(J121),J121&lt;=D_F01!$B$7,J121&gt;D_F01!$B$7-D_F01!$B$25),G121*R121,0)</f>
        <v>0</v>
      </c>
      <c r="T121" s="3" t="n">
        <f aca="false">IF(AND(ISNUMBER(J121),J121&lt;=D_F01!$B$7,J121&gt;D_F01!$B$7-D_F01!$B$25),G121,0)</f>
        <v>0</v>
      </c>
      <c r="U121" s="3" t="n">
        <f aca="false">IF(INDEX(D_F01!$C$51:$C$59,MATCH(C121,D_F01!$A$51:$A$59,0))="có",1,0)</f>
        <v>0</v>
      </c>
      <c r="V121" s="42" t="n">
        <f aca="false">IF(AND(N121=1,L121&gt;0,L121&lt;1,K121&gt;M121,H121+M121&gt;=D_F01!$B$7),1,0)</f>
        <v>0</v>
      </c>
      <c r="W121" s="44" t="n">
        <f aca="false">IF(V121=1,O121*L121,0)</f>
        <v>0</v>
      </c>
      <c r="X121" s="96" t="n">
        <f aca="false">IF(V121=1,L121/(1-L121)*365/(K121-M121),0)</f>
        <v>0</v>
      </c>
    </row>
    <row r="122" customFormat="false" ht="25.5" hidden="false" customHeight="true" outlineLevel="0" collapsed="false">
      <c r="A122" s="89" t="s">
        <v>3391</v>
      </c>
      <c r="B122" s="89" t="s">
        <v>2666</v>
      </c>
      <c r="C122" s="89" t="s">
        <v>1992</v>
      </c>
      <c r="D122" s="89" t="s">
        <v>3164</v>
      </c>
      <c r="E122" s="89" t="s">
        <v>3392</v>
      </c>
      <c r="F122" s="89" t="s">
        <v>3166</v>
      </c>
      <c r="G122" s="88" t="n">
        <v>374943300</v>
      </c>
      <c r="H122" s="83" t="n">
        <v>46181</v>
      </c>
      <c r="I122" s="83" t="n">
        <v>46211</v>
      </c>
      <c r="J122" s="83" t="n">
        <v>46188</v>
      </c>
      <c r="K122" s="89" t="n">
        <v>30</v>
      </c>
      <c r="L122" s="97" t="n">
        <v>0.02</v>
      </c>
      <c r="M122" s="89" t="n">
        <v>10</v>
      </c>
      <c r="N122" s="4" t="n">
        <f aca="false">IF(AND(H122&lt;=D_F01!$B$7,OR(NOT(ISNUMBER(J122)),J122&gt;D_F01!$B$7)),1,0)</f>
        <v>0</v>
      </c>
      <c r="O122" s="33" t="n">
        <f aca="false">G122*N122</f>
        <v>0</v>
      </c>
      <c r="P122" s="4" t="n">
        <f aca="false">IF(N122=1,MAX(0,D_F01!$B$7-I122),0)</f>
        <v>0</v>
      </c>
      <c r="Q122" s="4" t="n">
        <f aca="false">IF(AND(ISNUMBER(J122),J122&lt;=D_F01!$B$7),J122-I122,0)</f>
        <v>-23</v>
      </c>
      <c r="R122" s="4" t="n">
        <f aca="false">MAX(0,Q122)</f>
        <v>0</v>
      </c>
      <c r="S122" s="4" t="n">
        <f aca="false">IF(AND(ISNUMBER(J122),J122&lt;=D_F01!$B$7,J122&gt;D_F01!$B$7-D_F01!$B$25),G122*R122,0)</f>
        <v>0</v>
      </c>
      <c r="T122" s="33" t="n">
        <f aca="false">IF(AND(ISNUMBER(J122),J122&lt;=D_F01!$B$7,J122&gt;D_F01!$B$7-D_F01!$B$25),G122,0)</f>
        <v>374943300</v>
      </c>
      <c r="U122" s="4" t="n">
        <f aca="false">IF(INDEX(D_F01!$C$51:$C$59,MATCH(C122,D_F01!$A$51:$A$59,0))="có",1,0)</f>
        <v>1</v>
      </c>
      <c r="V122" s="42" t="n">
        <f aca="false">IF(AND(N122=1,L122&gt;0,L122&lt;1,K122&gt;M122,H122+M122&gt;=D_F01!$B$7),1,0)</f>
        <v>0</v>
      </c>
      <c r="W122" s="44" t="n">
        <f aca="false">IF(V122=1,O122*L122,0)</f>
        <v>0</v>
      </c>
      <c r="X122" s="96" t="n">
        <f aca="false">IF(V122=1,L122/(1-L122)*365/(K122-M122),0)</f>
        <v>0</v>
      </c>
    </row>
    <row r="123" customFormat="false" ht="25.5" hidden="false" customHeight="true" outlineLevel="0" collapsed="false">
      <c r="A123" s="82" t="s">
        <v>3393</v>
      </c>
      <c r="B123" s="82" t="s">
        <v>2666</v>
      </c>
      <c r="C123" s="82" t="s">
        <v>1994</v>
      </c>
      <c r="D123" s="82" t="s">
        <v>2750</v>
      </c>
      <c r="E123" s="82" t="s">
        <v>3394</v>
      </c>
      <c r="F123" s="82" t="s">
        <v>3157</v>
      </c>
      <c r="G123" s="87" t="n">
        <v>67128372</v>
      </c>
      <c r="H123" s="84" t="n">
        <v>46185</v>
      </c>
      <c r="I123" s="84" t="n">
        <v>46200</v>
      </c>
      <c r="J123" s="84" t="n">
        <v>46200</v>
      </c>
      <c r="K123" s="82" t="n">
        <v>15</v>
      </c>
      <c r="L123" s="91" t="n">
        <v>0</v>
      </c>
      <c r="M123" s="82" t="n">
        <v>0</v>
      </c>
      <c r="N123" s="3" t="n">
        <f aca="false">IF(AND(H123&lt;=D_F01!$B$7,OR(NOT(ISNUMBER(J123)),J123&gt;D_F01!$B$7)),1,0)</f>
        <v>0</v>
      </c>
      <c r="O123" s="32" t="n">
        <f aca="false">G123*N123</f>
        <v>0</v>
      </c>
      <c r="P123" s="3" t="n">
        <f aca="false">IF(N123=1,MAX(0,D_F01!$B$7-I123),0)</f>
        <v>0</v>
      </c>
      <c r="Q123" s="3" t="n">
        <f aca="false">IF(AND(ISNUMBER(J123),J123&lt;=D_F01!$B$7),J123-I123,0)</f>
        <v>0</v>
      </c>
      <c r="R123" s="3" t="n">
        <f aca="false">MAX(0,Q123)</f>
        <v>0</v>
      </c>
      <c r="S123" s="3" t="n">
        <f aca="false">IF(AND(ISNUMBER(J123),J123&lt;=D_F01!$B$7,J123&gt;D_F01!$B$7-D_F01!$B$25),G123*R123,0)</f>
        <v>0</v>
      </c>
      <c r="T123" s="32" t="n">
        <f aca="false">IF(AND(ISNUMBER(J123),J123&lt;=D_F01!$B$7,J123&gt;D_F01!$B$7-D_F01!$B$25),G123,0)</f>
        <v>67128372</v>
      </c>
      <c r="U123" s="3" t="n">
        <f aca="false">IF(INDEX(D_F01!$C$51:$C$59,MATCH(C123,D_F01!$A$51:$A$59,0))="có",1,0)</f>
        <v>1</v>
      </c>
      <c r="V123" s="42" t="n">
        <f aca="false">IF(AND(N123=1,L123&gt;0,L123&lt;1,K123&gt;M123,H123+M123&gt;=D_F01!$B$7),1,0)</f>
        <v>0</v>
      </c>
      <c r="W123" s="44" t="n">
        <f aca="false">IF(V123=1,O123*L123,0)</f>
        <v>0</v>
      </c>
      <c r="X123" s="96" t="n">
        <f aca="false">IF(V123=1,L123/(1-L123)*365/(K123-M123),0)</f>
        <v>0</v>
      </c>
    </row>
    <row r="124" customFormat="false" ht="25.5" hidden="false" customHeight="true" outlineLevel="0" collapsed="false">
      <c r="A124" s="89" t="s">
        <v>2215</v>
      </c>
      <c r="B124" s="89" t="s">
        <v>2666</v>
      </c>
      <c r="C124" s="89" t="s">
        <v>2000</v>
      </c>
      <c r="D124" s="89" t="s">
        <v>2756</v>
      </c>
      <c r="E124" s="89" t="s">
        <v>3395</v>
      </c>
      <c r="F124" s="89" t="s">
        <v>3154</v>
      </c>
      <c r="G124" s="88" t="n">
        <v>346608630</v>
      </c>
      <c r="H124" s="83" t="n">
        <v>46187</v>
      </c>
      <c r="I124" s="83" t="n">
        <v>46217</v>
      </c>
      <c r="J124" s="83"/>
      <c r="K124" s="89" t="n">
        <v>30</v>
      </c>
      <c r="L124" s="97" t="n">
        <v>0.01</v>
      </c>
      <c r="M124" s="89" t="n">
        <v>7</v>
      </c>
      <c r="N124" s="4" t="n">
        <f aca="false">IF(AND(H124&lt;=D_F01!$B$7,OR(NOT(ISNUMBER(J124)),J124&gt;D_F01!$B$7)),1,0)</f>
        <v>1</v>
      </c>
      <c r="O124" s="33" t="n">
        <f aca="false">G124*N124</f>
        <v>346608630</v>
      </c>
      <c r="P124" s="4" t="n">
        <f aca="false">IF(N124=1,MAX(0,D_F01!$B$7-I124),0)</f>
        <v>0</v>
      </c>
      <c r="Q124" s="4" t="n">
        <f aca="false">IF(AND(ISNUMBER(J124),J124&lt;=D_F01!$B$7),J124-I124,0)</f>
        <v>0</v>
      </c>
      <c r="R124" s="4" t="n">
        <f aca="false">MAX(0,Q124)</f>
        <v>0</v>
      </c>
      <c r="S124" s="4" t="n">
        <f aca="false">IF(AND(ISNUMBER(J124),J124&lt;=D_F01!$B$7,J124&gt;D_F01!$B$7-D_F01!$B$25),G124*R124,0)</f>
        <v>0</v>
      </c>
      <c r="T124" s="4" t="n">
        <f aca="false">IF(AND(ISNUMBER(J124),J124&lt;=D_F01!$B$7,J124&gt;D_F01!$B$7-D_F01!$B$25),G124,0)</f>
        <v>0</v>
      </c>
      <c r="U124" s="4" t="n">
        <f aca="false">IF(INDEX(D_F01!$C$51:$C$59,MATCH(C124,D_F01!$A$51:$A$59,0))="có",1,0)</f>
        <v>1</v>
      </c>
      <c r="V124" s="42" t="n">
        <f aca="false">IF(AND(N124=1,L124&gt;0,L124&lt;1,K124&gt;M124,H124+M124&gt;=D_F01!$B$7),1,0)</f>
        <v>0</v>
      </c>
      <c r="W124" s="44" t="n">
        <f aca="false">IF(V124=1,O124*L124,0)</f>
        <v>0</v>
      </c>
      <c r="X124" s="96" t="n">
        <f aca="false">IF(V124=1,L124/(1-L124)*365/(K124-M124),0)</f>
        <v>0</v>
      </c>
    </row>
    <row r="125" customFormat="false" ht="25.5" hidden="false" customHeight="true" outlineLevel="0" collapsed="false">
      <c r="A125" s="82" t="s">
        <v>2217</v>
      </c>
      <c r="B125" s="82" t="s">
        <v>2666</v>
      </c>
      <c r="C125" s="82" t="s">
        <v>1992</v>
      </c>
      <c r="D125" s="82" t="s">
        <v>3164</v>
      </c>
      <c r="E125" s="82" t="s">
        <v>3396</v>
      </c>
      <c r="F125" s="82" t="s">
        <v>3166</v>
      </c>
      <c r="G125" s="87" t="n">
        <v>733629960</v>
      </c>
      <c r="H125" s="84" t="n">
        <v>46188</v>
      </c>
      <c r="I125" s="84" t="n">
        <v>46218</v>
      </c>
      <c r="J125" s="84"/>
      <c r="K125" s="82" t="n">
        <v>30</v>
      </c>
      <c r="L125" s="91" t="n">
        <v>0.02</v>
      </c>
      <c r="M125" s="82" t="n">
        <v>10</v>
      </c>
      <c r="N125" s="3" t="n">
        <f aca="false">IF(AND(H125&lt;=D_F01!$B$7,OR(NOT(ISNUMBER(J125)),J125&gt;D_F01!$B$7)),1,0)</f>
        <v>1</v>
      </c>
      <c r="O125" s="32" t="n">
        <f aca="false">G125*N125</f>
        <v>733629960</v>
      </c>
      <c r="P125" s="3" t="n">
        <f aca="false">IF(N125=1,MAX(0,D_F01!$B$7-I125),0)</f>
        <v>0</v>
      </c>
      <c r="Q125" s="3" t="n">
        <f aca="false">IF(AND(ISNUMBER(J125),J125&lt;=D_F01!$B$7),J125-I125,0)</f>
        <v>0</v>
      </c>
      <c r="R125" s="3" t="n">
        <f aca="false">MAX(0,Q125)</f>
        <v>0</v>
      </c>
      <c r="S125" s="3" t="n">
        <f aca="false">IF(AND(ISNUMBER(J125),J125&lt;=D_F01!$B$7,J125&gt;D_F01!$B$7-D_F01!$B$25),G125*R125,0)</f>
        <v>0</v>
      </c>
      <c r="T125" s="3" t="n">
        <f aca="false">IF(AND(ISNUMBER(J125),J125&lt;=D_F01!$B$7,J125&gt;D_F01!$B$7-D_F01!$B$25),G125,0)</f>
        <v>0</v>
      </c>
      <c r="U125" s="3" t="n">
        <f aca="false">IF(INDEX(D_F01!$C$51:$C$59,MATCH(C125,D_F01!$A$51:$A$59,0))="có",1,0)</f>
        <v>1</v>
      </c>
      <c r="V125" s="42" t="n">
        <f aca="false">IF(AND(N125=1,L125&gt;0,L125&lt;1,K125&gt;M125,H125+M125&gt;=D_F01!$B$7),1,0)</f>
        <v>0</v>
      </c>
      <c r="W125" s="44" t="n">
        <f aca="false">IF(V125=1,O125*L125,0)</f>
        <v>0</v>
      </c>
      <c r="X125" s="96" t="n">
        <f aca="false">IF(V125=1,L125/(1-L125)*365/(K125-M125),0)</f>
        <v>0</v>
      </c>
    </row>
    <row r="126" customFormat="false" ht="25.5" hidden="false" customHeight="true" outlineLevel="0" collapsed="false">
      <c r="A126" s="89" t="s">
        <v>2219</v>
      </c>
      <c r="B126" s="89" t="s">
        <v>2666</v>
      </c>
      <c r="C126" s="89" t="s">
        <v>1995</v>
      </c>
      <c r="D126" s="89" t="s">
        <v>2751</v>
      </c>
      <c r="E126" s="89" t="s">
        <v>3397</v>
      </c>
      <c r="F126" s="89" t="s">
        <v>3169</v>
      </c>
      <c r="G126" s="88" t="n">
        <v>81445536</v>
      </c>
      <c r="H126" s="83" t="n">
        <v>46189</v>
      </c>
      <c r="I126" s="83" t="n">
        <v>46204</v>
      </c>
      <c r="J126" s="83"/>
      <c r="K126" s="89" t="n">
        <v>15</v>
      </c>
      <c r="L126" s="97" t="n">
        <v>0</v>
      </c>
      <c r="M126" s="89" t="n">
        <v>0</v>
      </c>
      <c r="N126" s="4" t="n">
        <f aca="false">IF(AND(H126&lt;=D_F01!$B$7,OR(NOT(ISNUMBER(J126)),J126&gt;D_F01!$B$7)),1,0)</f>
        <v>1</v>
      </c>
      <c r="O126" s="33" t="n">
        <f aca="false">G126*N126</f>
        <v>81445536</v>
      </c>
      <c r="P126" s="4" t="n">
        <f aca="false">IF(N126=1,MAX(0,D_F01!$B$7-I126),0)</f>
        <v>0</v>
      </c>
      <c r="Q126" s="4" t="n">
        <f aca="false">IF(AND(ISNUMBER(J126),J126&lt;=D_F01!$B$7),J126-I126,0)</f>
        <v>0</v>
      </c>
      <c r="R126" s="4" t="n">
        <f aca="false">MAX(0,Q126)</f>
        <v>0</v>
      </c>
      <c r="S126" s="4" t="n">
        <f aca="false">IF(AND(ISNUMBER(J126),J126&lt;=D_F01!$B$7,J126&gt;D_F01!$B$7-D_F01!$B$25),G126*R126,0)</f>
        <v>0</v>
      </c>
      <c r="T126" s="4" t="n">
        <f aca="false">IF(AND(ISNUMBER(J126),J126&lt;=D_F01!$B$7,J126&gt;D_F01!$B$7-D_F01!$B$25),G126,0)</f>
        <v>0</v>
      </c>
      <c r="U126" s="4" t="n">
        <f aca="false">IF(INDEX(D_F01!$C$51:$C$59,MATCH(C126,D_F01!$A$51:$A$59,0))="có",1,0)</f>
        <v>0</v>
      </c>
      <c r="V126" s="42" t="n">
        <f aca="false">IF(AND(N126=1,L126&gt;0,L126&lt;1,K126&gt;M126,H126+M126&gt;=D_F01!$B$7),1,0)</f>
        <v>0</v>
      </c>
      <c r="W126" s="44" t="n">
        <f aca="false">IF(V126=1,O126*L126,0)</f>
        <v>0</v>
      </c>
      <c r="X126" s="96" t="n">
        <f aca="false">IF(V126=1,L126/(1-L126)*365/(K126-M126),0)</f>
        <v>0</v>
      </c>
    </row>
    <row r="127" customFormat="false" ht="25.5" hidden="false" customHeight="true" outlineLevel="0" collapsed="false">
      <c r="A127" s="82" t="s">
        <v>2221</v>
      </c>
      <c r="B127" s="82" t="s">
        <v>2666</v>
      </c>
      <c r="C127" s="82" t="s">
        <v>1992</v>
      </c>
      <c r="D127" s="82" t="s">
        <v>3164</v>
      </c>
      <c r="E127" s="82" t="s">
        <v>3398</v>
      </c>
      <c r="F127" s="82" t="s">
        <v>3166</v>
      </c>
      <c r="G127" s="87" t="n">
        <v>572395350</v>
      </c>
      <c r="H127" s="84" t="n">
        <v>46191</v>
      </c>
      <c r="I127" s="84" t="n">
        <v>46221</v>
      </c>
      <c r="J127" s="84"/>
      <c r="K127" s="82" t="n">
        <v>30</v>
      </c>
      <c r="L127" s="91" t="n">
        <v>0.02</v>
      </c>
      <c r="M127" s="82" t="n">
        <v>10</v>
      </c>
      <c r="N127" s="3" t="n">
        <f aca="false">IF(AND(H127&lt;=D_F01!$B$7,OR(NOT(ISNUMBER(J127)),J127&gt;D_F01!$B$7)),1,0)</f>
        <v>1</v>
      </c>
      <c r="O127" s="32" t="n">
        <f aca="false">G127*N127</f>
        <v>572395350</v>
      </c>
      <c r="P127" s="3" t="n">
        <f aca="false">IF(N127=1,MAX(0,D_F01!$B$7-I127),0)</f>
        <v>0</v>
      </c>
      <c r="Q127" s="3" t="n">
        <f aca="false">IF(AND(ISNUMBER(J127),J127&lt;=D_F01!$B$7),J127-I127,0)</f>
        <v>0</v>
      </c>
      <c r="R127" s="3" t="n">
        <f aca="false">MAX(0,Q127)</f>
        <v>0</v>
      </c>
      <c r="S127" s="3" t="n">
        <f aca="false">IF(AND(ISNUMBER(J127),J127&lt;=D_F01!$B$7,J127&gt;D_F01!$B$7-D_F01!$B$25),G127*R127,0)</f>
        <v>0</v>
      </c>
      <c r="T127" s="3" t="n">
        <f aca="false">IF(AND(ISNUMBER(J127),J127&lt;=D_F01!$B$7,J127&gt;D_F01!$B$7-D_F01!$B$25),G127,0)</f>
        <v>0</v>
      </c>
      <c r="U127" s="3" t="n">
        <f aca="false">IF(INDEX(D_F01!$C$51:$C$59,MATCH(C127,D_F01!$A$51:$A$59,0))="có",1,0)</f>
        <v>1</v>
      </c>
      <c r="V127" s="42" t="n">
        <f aca="false">IF(AND(N127=1,L127&gt;0,L127&lt;1,K127&gt;M127,H127+M127&gt;=D_F01!$B$7),1,0)</f>
        <v>0</v>
      </c>
      <c r="W127" s="44" t="n">
        <f aca="false">IF(V127=1,O127*L127,0)</f>
        <v>0</v>
      </c>
      <c r="X127" s="96" t="n">
        <f aca="false">IF(V127=1,L127/(1-L127)*365/(K127-M127),0)</f>
        <v>0</v>
      </c>
    </row>
    <row r="128" customFormat="false" ht="25.5" hidden="false" customHeight="true" outlineLevel="0" collapsed="false">
      <c r="A128" s="89" t="s">
        <v>2223</v>
      </c>
      <c r="B128" s="89" t="s">
        <v>2666</v>
      </c>
      <c r="C128" s="89" t="s">
        <v>1995</v>
      </c>
      <c r="D128" s="89" t="s">
        <v>2751</v>
      </c>
      <c r="E128" s="89" t="s">
        <v>3399</v>
      </c>
      <c r="F128" s="89" t="s">
        <v>3169</v>
      </c>
      <c r="G128" s="88" t="n">
        <v>138127368</v>
      </c>
      <c r="H128" s="83" t="n">
        <v>46191</v>
      </c>
      <c r="I128" s="83" t="n">
        <v>46206</v>
      </c>
      <c r="J128" s="83"/>
      <c r="K128" s="89" t="n">
        <v>15</v>
      </c>
      <c r="L128" s="97" t="n">
        <v>0</v>
      </c>
      <c r="M128" s="89" t="n">
        <v>0</v>
      </c>
      <c r="N128" s="4" t="n">
        <f aca="false">IF(AND(H128&lt;=D_F01!$B$7,OR(NOT(ISNUMBER(J128)),J128&gt;D_F01!$B$7)),1,0)</f>
        <v>1</v>
      </c>
      <c r="O128" s="33" t="n">
        <f aca="false">G128*N128</f>
        <v>138127368</v>
      </c>
      <c r="P128" s="4" t="n">
        <f aca="false">IF(N128=1,MAX(0,D_F01!$B$7-I128),0)</f>
        <v>0</v>
      </c>
      <c r="Q128" s="4" t="n">
        <f aca="false">IF(AND(ISNUMBER(J128),J128&lt;=D_F01!$B$7),J128-I128,0)</f>
        <v>0</v>
      </c>
      <c r="R128" s="4" t="n">
        <f aca="false">MAX(0,Q128)</f>
        <v>0</v>
      </c>
      <c r="S128" s="4" t="n">
        <f aca="false">IF(AND(ISNUMBER(J128),J128&lt;=D_F01!$B$7,J128&gt;D_F01!$B$7-D_F01!$B$25),G128*R128,0)</f>
        <v>0</v>
      </c>
      <c r="T128" s="4" t="n">
        <f aca="false">IF(AND(ISNUMBER(J128),J128&lt;=D_F01!$B$7,J128&gt;D_F01!$B$7-D_F01!$B$25),G128,0)</f>
        <v>0</v>
      </c>
      <c r="U128" s="4" t="n">
        <f aca="false">IF(INDEX(D_F01!$C$51:$C$59,MATCH(C128,D_F01!$A$51:$A$59,0))="có",1,0)</f>
        <v>0</v>
      </c>
      <c r="V128" s="42" t="n">
        <f aca="false">IF(AND(N128=1,L128&gt;0,L128&lt;1,K128&gt;M128,H128+M128&gt;=D_F01!$B$7),1,0)</f>
        <v>0</v>
      </c>
      <c r="W128" s="44" t="n">
        <f aca="false">IF(V128=1,O128*L128,0)</f>
        <v>0</v>
      </c>
      <c r="X128" s="96" t="n">
        <f aca="false">IF(V128=1,L128/(1-L128)*365/(K128-M128),0)</f>
        <v>0</v>
      </c>
    </row>
    <row r="129" customFormat="false" ht="25.5" hidden="false" customHeight="true" outlineLevel="0" collapsed="false">
      <c r="A129" s="82" t="s">
        <v>2225</v>
      </c>
      <c r="B129" s="82" t="s">
        <v>2666</v>
      </c>
      <c r="C129" s="82" t="s">
        <v>1993</v>
      </c>
      <c r="D129" s="82" t="s">
        <v>3179</v>
      </c>
      <c r="E129" s="82" t="s">
        <v>3400</v>
      </c>
      <c r="F129" s="82" t="s">
        <v>3181</v>
      </c>
      <c r="G129" s="87" t="n">
        <v>288199584</v>
      </c>
      <c r="H129" s="84" t="n">
        <v>46192</v>
      </c>
      <c r="I129" s="84" t="n">
        <v>46237</v>
      </c>
      <c r="J129" s="84"/>
      <c r="K129" s="82" t="n">
        <v>45</v>
      </c>
      <c r="L129" s="91" t="n">
        <v>0</v>
      </c>
      <c r="M129" s="82" t="n">
        <v>0</v>
      </c>
      <c r="N129" s="3" t="n">
        <f aca="false">IF(AND(H129&lt;=D_F01!$B$7,OR(NOT(ISNUMBER(J129)),J129&gt;D_F01!$B$7)),1,0)</f>
        <v>1</v>
      </c>
      <c r="O129" s="32" t="n">
        <f aca="false">G129*N129</f>
        <v>288199584</v>
      </c>
      <c r="P129" s="3" t="n">
        <f aca="false">IF(N129=1,MAX(0,D_F01!$B$7-I129),0)</f>
        <v>0</v>
      </c>
      <c r="Q129" s="3" t="n">
        <f aca="false">IF(AND(ISNUMBER(J129),J129&lt;=D_F01!$B$7),J129-I129,0)</f>
        <v>0</v>
      </c>
      <c r="R129" s="3" t="n">
        <f aca="false">MAX(0,Q129)</f>
        <v>0</v>
      </c>
      <c r="S129" s="3" t="n">
        <f aca="false">IF(AND(ISNUMBER(J129),J129&lt;=D_F01!$B$7,J129&gt;D_F01!$B$7-D_F01!$B$25),G129*R129,0)</f>
        <v>0</v>
      </c>
      <c r="T129" s="3" t="n">
        <f aca="false">IF(AND(ISNUMBER(J129),J129&lt;=D_F01!$B$7,J129&gt;D_F01!$B$7-D_F01!$B$25),G129,0)</f>
        <v>0</v>
      </c>
      <c r="U129" s="3" t="n">
        <f aca="false">IF(INDEX(D_F01!$C$51:$C$59,MATCH(C129,D_F01!$A$51:$A$59,0))="có",1,0)</f>
        <v>0</v>
      </c>
      <c r="V129" s="42" t="n">
        <f aca="false">IF(AND(N129=1,L129&gt;0,L129&lt;1,K129&gt;M129,H129+M129&gt;=D_F01!$B$7),1,0)</f>
        <v>0</v>
      </c>
      <c r="W129" s="44" t="n">
        <f aca="false">IF(V129=1,O129*L129,0)</f>
        <v>0</v>
      </c>
      <c r="X129" s="96" t="n">
        <f aca="false">IF(V129=1,L129/(1-L129)*365/(K129-M129),0)</f>
        <v>0</v>
      </c>
    </row>
    <row r="130" customFormat="false" ht="25.5" hidden="false" customHeight="true" outlineLevel="0" collapsed="false">
      <c r="A130" s="89" t="s">
        <v>2227</v>
      </c>
      <c r="B130" s="89" t="s">
        <v>2666</v>
      </c>
      <c r="C130" s="89" t="s">
        <v>1994</v>
      </c>
      <c r="D130" s="89" t="s">
        <v>2750</v>
      </c>
      <c r="E130" s="89" t="s">
        <v>3401</v>
      </c>
      <c r="F130" s="89" t="s">
        <v>3157</v>
      </c>
      <c r="G130" s="88" t="n">
        <v>318914898</v>
      </c>
      <c r="H130" s="83" t="n">
        <v>46193</v>
      </c>
      <c r="I130" s="83" t="n">
        <v>46208</v>
      </c>
      <c r="J130" s="83"/>
      <c r="K130" s="89" t="n">
        <v>15</v>
      </c>
      <c r="L130" s="97" t="n">
        <v>0</v>
      </c>
      <c r="M130" s="89" t="n">
        <v>0</v>
      </c>
      <c r="N130" s="4" t="n">
        <f aca="false">IF(AND(H130&lt;=D_F01!$B$7,OR(NOT(ISNUMBER(J130)),J130&gt;D_F01!$B$7)),1,0)</f>
        <v>1</v>
      </c>
      <c r="O130" s="33" t="n">
        <f aca="false">G130*N130</f>
        <v>318914898</v>
      </c>
      <c r="P130" s="4" t="n">
        <f aca="false">IF(N130=1,MAX(0,D_F01!$B$7-I130),0)</f>
        <v>0</v>
      </c>
      <c r="Q130" s="4" t="n">
        <f aca="false">IF(AND(ISNUMBER(J130),J130&lt;=D_F01!$B$7),J130-I130,0)</f>
        <v>0</v>
      </c>
      <c r="R130" s="4" t="n">
        <f aca="false">MAX(0,Q130)</f>
        <v>0</v>
      </c>
      <c r="S130" s="4" t="n">
        <f aca="false">IF(AND(ISNUMBER(J130),J130&lt;=D_F01!$B$7,J130&gt;D_F01!$B$7-D_F01!$B$25),G130*R130,0)</f>
        <v>0</v>
      </c>
      <c r="T130" s="4" t="n">
        <f aca="false">IF(AND(ISNUMBER(J130),J130&lt;=D_F01!$B$7,J130&gt;D_F01!$B$7-D_F01!$B$25),G130,0)</f>
        <v>0</v>
      </c>
      <c r="U130" s="4" t="n">
        <f aca="false">IF(INDEX(D_F01!$C$51:$C$59,MATCH(C130,D_F01!$A$51:$A$59,0))="có",1,0)</f>
        <v>1</v>
      </c>
      <c r="V130" s="42" t="n">
        <f aca="false">IF(AND(N130=1,L130&gt;0,L130&lt;1,K130&gt;M130,H130+M130&gt;=D_F01!$B$7),1,0)</f>
        <v>0</v>
      </c>
      <c r="W130" s="44" t="n">
        <f aca="false">IF(V130=1,O130*L130,0)</f>
        <v>0</v>
      </c>
      <c r="X130" s="96" t="n">
        <f aca="false">IF(V130=1,L130/(1-L130)*365/(K130-M130),0)</f>
        <v>0</v>
      </c>
    </row>
    <row r="131" customFormat="false" ht="25.5" hidden="false" customHeight="true" outlineLevel="0" collapsed="false">
      <c r="A131" s="82" t="s">
        <v>2229</v>
      </c>
      <c r="B131" s="82" t="s">
        <v>2666</v>
      </c>
      <c r="C131" s="82" t="s">
        <v>2000</v>
      </c>
      <c r="D131" s="82" t="s">
        <v>2756</v>
      </c>
      <c r="E131" s="82" t="s">
        <v>3402</v>
      </c>
      <c r="F131" s="82" t="s">
        <v>3154</v>
      </c>
      <c r="G131" s="87" t="n">
        <v>169641786</v>
      </c>
      <c r="H131" s="84" t="n">
        <v>46193</v>
      </c>
      <c r="I131" s="84" t="n">
        <v>46223</v>
      </c>
      <c r="J131" s="84"/>
      <c r="K131" s="82" t="n">
        <v>30</v>
      </c>
      <c r="L131" s="91" t="n">
        <v>0.01</v>
      </c>
      <c r="M131" s="82" t="n">
        <v>7</v>
      </c>
      <c r="N131" s="3" t="n">
        <f aca="false">IF(AND(H131&lt;=D_F01!$B$7,OR(NOT(ISNUMBER(J131)),J131&gt;D_F01!$B$7)),1,0)</f>
        <v>1</v>
      </c>
      <c r="O131" s="32" t="n">
        <f aca="false">G131*N131</f>
        <v>169641786</v>
      </c>
      <c r="P131" s="3" t="n">
        <f aca="false">IF(N131=1,MAX(0,D_F01!$B$7-I131),0)</f>
        <v>0</v>
      </c>
      <c r="Q131" s="3" t="n">
        <f aca="false">IF(AND(ISNUMBER(J131),J131&lt;=D_F01!$B$7),J131-I131,0)</f>
        <v>0</v>
      </c>
      <c r="R131" s="3" t="n">
        <f aca="false">MAX(0,Q131)</f>
        <v>0</v>
      </c>
      <c r="S131" s="3" t="n">
        <f aca="false">IF(AND(ISNUMBER(J131),J131&lt;=D_F01!$B$7,J131&gt;D_F01!$B$7-D_F01!$B$25),G131*R131,0)</f>
        <v>0</v>
      </c>
      <c r="T131" s="3" t="n">
        <f aca="false">IF(AND(ISNUMBER(J131),J131&lt;=D_F01!$B$7,J131&gt;D_F01!$B$7-D_F01!$B$25),G131,0)</f>
        <v>0</v>
      </c>
      <c r="U131" s="3" t="n">
        <f aca="false">IF(INDEX(D_F01!$C$51:$C$59,MATCH(C131,D_F01!$A$51:$A$59,0))="có",1,0)</f>
        <v>1</v>
      </c>
      <c r="V131" s="42" t="n">
        <f aca="false">IF(AND(N131=1,L131&gt;0,L131&lt;1,K131&gt;M131,H131+M131&gt;=D_F01!$B$7),1,0)</f>
        <v>0</v>
      </c>
      <c r="W131" s="44" t="n">
        <f aca="false">IF(V131=1,O131*L131,0)</f>
        <v>0</v>
      </c>
      <c r="X131" s="96" t="n">
        <f aca="false">IF(V131=1,L131/(1-L131)*365/(K131-M131),0)</f>
        <v>0</v>
      </c>
    </row>
    <row r="132" customFormat="false" ht="13.5" hidden="false" customHeight="false" outlineLevel="0" collapsed="false">
      <c r="A132" s="82" t="s">
        <v>2231</v>
      </c>
      <c r="B132" s="82" t="s">
        <v>2666</v>
      </c>
      <c r="C132" s="82" t="s">
        <v>1992</v>
      </c>
      <c r="D132" s="82" t="s">
        <v>3164</v>
      </c>
      <c r="E132" s="82" t="s">
        <v>3403</v>
      </c>
      <c r="F132" s="82" t="s">
        <v>3166</v>
      </c>
      <c r="G132" s="87" t="n">
        <v>468512740</v>
      </c>
      <c r="H132" s="84" t="n">
        <v>46194</v>
      </c>
      <c r="I132" s="84" t="n">
        <v>46224</v>
      </c>
      <c r="J132" s="84"/>
      <c r="K132" s="82" t="n">
        <v>30</v>
      </c>
      <c r="L132" s="91" t="n">
        <v>0.02</v>
      </c>
      <c r="M132" s="82" t="n">
        <v>10</v>
      </c>
      <c r="N132" s="3" t="n">
        <f aca="false">IF(AND(H132&lt;=D_F01!$B$7,OR(NOT(ISNUMBER(J132)),J132&gt;D_F01!$B$7)),1,0)</f>
        <v>1</v>
      </c>
      <c r="O132" s="32" t="n">
        <f aca="false">G132*N132</f>
        <v>468512740</v>
      </c>
      <c r="P132" s="3" t="n">
        <f aca="false">IF(N132=1,MAX(0,D_F01!$B$7-I132),0)</f>
        <v>0</v>
      </c>
      <c r="Q132" s="3" t="n">
        <f aca="false">IF(AND(ISNUMBER(J132),J132&lt;=D_F01!$B$7),J132-I132,0)</f>
        <v>0</v>
      </c>
      <c r="R132" s="3" t="n">
        <f aca="false">MAX(0,Q132)</f>
        <v>0</v>
      </c>
      <c r="S132" s="3" t="n">
        <f aca="false">IF(AND(ISNUMBER(J132),J132&lt;=D_F01!$B$7,J132&gt;D_F01!$B$7-D_F01!$B$25),G132*R132,0)</f>
        <v>0</v>
      </c>
      <c r="T132" s="3" t="n">
        <f aca="false">IF(AND(ISNUMBER(J132),J132&lt;=D_F01!$B$7,J132&gt;D_F01!$B$7-D_F01!$B$25),G132,0)</f>
        <v>0</v>
      </c>
      <c r="U132" s="3" t="n">
        <f aca="false">IF(INDEX(D_F01!$C$51:$C$59,MATCH(C132,D_F01!$A$51:$A$59,0))="có",1,0)</f>
        <v>1</v>
      </c>
      <c r="V132" s="42" t="n">
        <f aca="false">IF(AND(N132=1,L132&gt;0,L132&lt;1,K132&gt;M132,H132+M132&gt;=D_F01!$B$7),1,0)</f>
        <v>1</v>
      </c>
      <c r="W132" s="44" t="n">
        <f aca="false">IF(V132=1,O132*L132,0)</f>
        <v>9370254.8</v>
      </c>
      <c r="X132" s="96" t="n">
        <f aca="false">IF(V132=1,L132/(1-L132)*365/(K132-M132),0)</f>
        <v>0.372448979591837</v>
      </c>
    </row>
    <row r="133" customFormat="false" ht="13.5" hidden="false" customHeight="false" outlineLevel="0" collapsed="false">
      <c r="A133" s="82" t="s">
        <v>2233</v>
      </c>
      <c r="B133" s="82" t="s">
        <v>2666</v>
      </c>
      <c r="C133" s="82" t="s">
        <v>1994</v>
      </c>
      <c r="D133" s="82" t="s">
        <v>2750</v>
      </c>
      <c r="E133" s="82" t="s">
        <v>3404</v>
      </c>
      <c r="F133" s="82" t="s">
        <v>3157</v>
      </c>
      <c r="G133" s="87" t="n">
        <v>143226918</v>
      </c>
      <c r="H133" s="84" t="n">
        <v>46195</v>
      </c>
      <c r="I133" s="84" t="n">
        <v>46210</v>
      </c>
      <c r="J133" s="84"/>
      <c r="K133" s="82" t="n">
        <v>15</v>
      </c>
      <c r="L133" s="91" t="n">
        <v>0</v>
      </c>
      <c r="M133" s="82" t="n">
        <v>0</v>
      </c>
      <c r="N133" s="3" t="n">
        <f aca="false">IF(AND(H133&lt;=D_F01!$B$7,OR(NOT(ISNUMBER(J133)),J133&gt;D_F01!$B$7)),1,0)</f>
        <v>1</v>
      </c>
      <c r="O133" s="32" t="n">
        <f aca="false">G133*N133</f>
        <v>143226918</v>
      </c>
      <c r="P133" s="3" t="n">
        <f aca="false">IF(N133=1,MAX(0,D_F01!$B$7-I133),0)</f>
        <v>0</v>
      </c>
      <c r="Q133" s="3" t="n">
        <f aca="false">IF(AND(ISNUMBER(J133),J133&lt;=D_F01!$B$7),J133-I133,0)</f>
        <v>0</v>
      </c>
      <c r="R133" s="3" t="n">
        <f aca="false">MAX(0,Q133)</f>
        <v>0</v>
      </c>
      <c r="S133" s="3" t="n">
        <f aca="false">IF(AND(ISNUMBER(J133),J133&lt;=D_F01!$B$7,J133&gt;D_F01!$B$7-D_F01!$B$25),G133*R133,0)</f>
        <v>0</v>
      </c>
      <c r="T133" s="3" t="n">
        <f aca="false">IF(AND(ISNUMBER(J133),J133&lt;=D_F01!$B$7,J133&gt;D_F01!$B$7-D_F01!$B$25),G133,0)</f>
        <v>0</v>
      </c>
      <c r="U133" s="3" t="n">
        <f aca="false">IF(INDEX(D_F01!$C$51:$C$59,MATCH(C133,D_F01!$A$51:$A$59,0))="có",1,0)</f>
        <v>1</v>
      </c>
      <c r="V133" s="42" t="n">
        <f aca="false">IF(AND(N133=1,L133&gt;0,L133&lt;1,K133&gt;M133,H133+M133&gt;=D_F01!$B$7),1,0)</f>
        <v>0</v>
      </c>
      <c r="W133" s="44" t="n">
        <f aca="false">IF(V133=1,O133*L133,0)</f>
        <v>0</v>
      </c>
      <c r="X133" s="96" t="n">
        <f aca="false">IF(V133=1,L133/(1-L133)*365/(K133-M133),0)</f>
        <v>0</v>
      </c>
    </row>
    <row r="134" customFormat="false" ht="23.85" hidden="false" customHeight="false" outlineLevel="0" collapsed="false">
      <c r="A134" s="82" t="s">
        <v>2235</v>
      </c>
      <c r="B134" s="82" t="s">
        <v>2666</v>
      </c>
      <c r="C134" s="82" t="s">
        <v>2000</v>
      </c>
      <c r="D134" s="82" t="s">
        <v>2756</v>
      </c>
      <c r="E134" s="82" t="s">
        <v>3405</v>
      </c>
      <c r="F134" s="82" t="s">
        <v>3154</v>
      </c>
      <c r="G134" s="87" t="n">
        <v>312945067</v>
      </c>
      <c r="H134" s="84" t="n">
        <v>46196</v>
      </c>
      <c r="I134" s="84" t="n">
        <v>46226</v>
      </c>
      <c r="J134" s="84"/>
      <c r="K134" s="82" t="n">
        <v>30</v>
      </c>
      <c r="L134" s="91" t="n">
        <v>0.01</v>
      </c>
      <c r="M134" s="82" t="n">
        <v>7</v>
      </c>
      <c r="N134" s="3" t="n">
        <f aca="false">IF(AND(H134&lt;=D_F01!$B$7,OR(NOT(ISNUMBER(J134)),J134&gt;D_F01!$B$7)),1,0)</f>
        <v>1</v>
      </c>
      <c r="O134" s="32" t="n">
        <f aca="false">G134*N134</f>
        <v>312945067</v>
      </c>
      <c r="P134" s="3" t="n">
        <f aca="false">IF(N134=1,MAX(0,D_F01!$B$7-I134),0)</f>
        <v>0</v>
      </c>
      <c r="Q134" s="3" t="n">
        <f aca="false">IF(AND(ISNUMBER(J134),J134&lt;=D_F01!$B$7),J134-I134,0)</f>
        <v>0</v>
      </c>
      <c r="R134" s="3" t="n">
        <f aca="false">MAX(0,Q134)</f>
        <v>0</v>
      </c>
      <c r="S134" s="3" t="n">
        <f aca="false">IF(AND(ISNUMBER(J134),J134&lt;=D_F01!$B$7,J134&gt;D_F01!$B$7-D_F01!$B$25),G134*R134,0)</f>
        <v>0</v>
      </c>
      <c r="T134" s="3" t="n">
        <f aca="false">IF(AND(ISNUMBER(J134),J134&lt;=D_F01!$B$7,J134&gt;D_F01!$B$7-D_F01!$B$25),G134,0)</f>
        <v>0</v>
      </c>
      <c r="U134" s="3" t="n">
        <f aca="false">IF(INDEX(D_F01!$C$51:$C$59,MATCH(C134,D_F01!$A$51:$A$59,0))="có",1,0)</f>
        <v>1</v>
      </c>
      <c r="V134" s="42" t="n">
        <f aca="false">IF(AND(N134=1,L134&gt;0,L134&lt;1,K134&gt;M134,H134+M134&gt;=D_F01!$B$7),1,0)</f>
        <v>1</v>
      </c>
      <c r="W134" s="44" t="n">
        <f aca="false">IF(V134=1,O134*L134,0)</f>
        <v>3129450.67</v>
      </c>
      <c r="X134" s="96" t="n">
        <f aca="false">IF(V134=1,L134/(1-L134)*365/(K134-M134),0)</f>
        <v>0.160298638559508</v>
      </c>
    </row>
    <row r="135" customFormat="false" ht="13.5" hidden="false" customHeight="false" outlineLevel="0" collapsed="false">
      <c r="A135" s="82" t="s">
        <v>2237</v>
      </c>
      <c r="B135" s="82" t="s">
        <v>2666</v>
      </c>
      <c r="C135" s="82" t="s">
        <v>1995</v>
      </c>
      <c r="D135" s="82" t="s">
        <v>2751</v>
      </c>
      <c r="E135" s="82" t="s">
        <v>3406</v>
      </c>
      <c r="F135" s="82" t="s">
        <v>3169</v>
      </c>
      <c r="G135" s="87" t="n">
        <v>94380226</v>
      </c>
      <c r="H135" s="84" t="n">
        <v>46197</v>
      </c>
      <c r="I135" s="84" t="n">
        <v>46212</v>
      </c>
      <c r="J135" s="84"/>
      <c r="K135" s="82" t="n">
        <v>15</v>
      </c>
      <c r="L135" s="91" t="n">
        <v>0</v>
      </c>
      <c r="M135" s="82" t="n">
        <v>0</v>
      </c>
      <c r="N135" s="3" t="n">
        <f aca="false">IF(AND(H135&lt;=D_F01!$B$7,OR(NOT(ISNUMBER(J135)),J135&gt;D_F01!$B$7)),1,0)</f>
        <v>1</v>
      </c>
      <c r="O135" s="32" t="n">
        <f aca="false">G135*N135</f>
        <v>94380226</v>
      </c>
      <c r="P135" s="3" t="n">
        <f aca="false">IF(N135=1,MAX(0,D_F01!$B$7-I135),0)</f>
        <v>0</v>
      </c>
      <c r="Q135" s="3" t="n">
        <f aca="false">IF(AND(ISNUMBER(J135),J135&lt;=D_F01!$B$7),J135-I135,0)</f>
        <v>0</v>
      </c>
      <c r="R135" s="3" t="n">
        <f aca="false">MAX(0,Q135)</f>
        <v>0</v>
      </c>
      <c r="S135" s="3" t="n">
        <f aca="false">IF(AND(ISNUMBER(J135),J135&lt;=D_F01!$B$7,J135&gt;D_F01!$B$7-D_F01!$B$25),G135*R135,0)</f>
        <v>0</v>
      </c>
      <c r="T135" s="3" t="n">
        <f aca="false">IF(AND(ISNUMBER(J135),J135&lt;=D_F01!$B$7,J135&gt;D_F01!$B$7-D_F01!$B$25),G135,0)</f>
        <v>0</v>
      </c>
      <c r="U135" s="3" t="n">
        <f aca="false">IF(INDEX(D_F01!$C$51:$C$59,MATCH(C135,D_F01!$A$51:$A$59,0))="có",1,0)</f>
        <v>0</v>
      </c>
      <c r="V135" s="42" t="n">
        <f aca="false">IF(AND(N135=1,L135&gt;0,L135&lt;1,K135&gt;M135,H135+M135&gt;=D_F01!$B$7),1,0)</f>
        <v>0</v>
      </c>
      <c r="W135" s="44" t="n">
        <f aca="false">IF(V135=1,O135*L135,0)</f>
        <v>0</v>
      </c>
      <c r="X135" s="96" t="n">
        <f aca="false">IF(V135=1,L135/(1-L135)*365/(K135-M135),0)</f>
        <v>0</v>
      </c>
    </row>
    <row r="136" customFormat="false" ht="13.5" hidden="false" customHeight="false" outlineLevel="0" collapsed="false">
      <c r="A136" s="82" t="s">
        <v>2239</v>
      </c>
      <c r="B136" s="82" t="s">
        <v>2666</v>
      </c>
      <c r="C136" s="82" t="s">
        <v>1993</v>
      </c>
      <c r="D136" s="82" t="s">
        <v>3179</v>
      </c>
      <c r="E136" s="82" t="s">
        <v>3407</v>
      </c>
      <c r="F136" s="82" t="s">
        <v>3181</v>
      </c>
      <c r="G136" s="87" t="n">
        <v>351774590</v>
      </c>
      <c r="H136" s="84" t="n">
        <v>46198</v>
      </c>
      <c r="I136" s="84" t="n">
        <v>46243</v>
      </c>
      <c r="J136" s="84"/>
      <c r="K136" s="82" t="n">
        <v>45</v>
      </c>
      <c r="L136" s="91" t="n">
        <v>0</v>
      </c>
      <c r="M136" s="82" t="n">
        <v>0</v>
      </c>
      <c r="N136" s="3" t="n">
        <f aca="false">IF(AND(H136&lt;=D_F01!$B$7,OR(NOT(ISNUMBER(J136)),J136&gt;D_F01!$B$7)),1,0)</f>
        <v>1</v>
      </c>
      <c r="O136" s="32" t="n">
        <f aca="false">G136*N136</f>
        <v>351774590</v>
      </c>
      <c r="P136" s="3" t="n">
        <f aca="false">IF(N136=1,MAX(0,D_F01!$B$7-I136),0)</f>
        <v>0</v>
      </c>
      <c r="Q136" s="3" t="n">
        <f aca="false">IF(AND(ISNUMBER(J136),J136&lt;=D_F01!$B$7),J136-I136,0)</f>
        <v>0</v>
      </c>
      <c r="R136" s="3" t="n">
        <f aca="false">MAX(0,Q136)</f>
        <v>0</v>
      </c>
      <c r="S136" s="3" t="n">
        <f aca="false">IF(AND(ISNUMBER(J136),J136&lt;=D_F01!$B$7,J136&gt;D_F01!$B$7-D_F01!$B$25),G136*R136,0)</f>
        <v>0</v>
      </c>
      <c r="T136" s="3" t="n">
        <f aca="false">IF(AND(ISNUMBER(J136),J136&lt;=D_F01!$B$7,J136&gt;D_F01!$B$7-D_F01!$B$25),G136,0)</f>
        <v>0</v>
      </c>
      <c r="U136" s="3" t="n">
        <f aca="false">IF(INDEX(D_F01!$C$51:$C$59,MATCH(C136,D_F01!$A$51:$A$59,0))="có",1,0)</f>
        <v>0</v>
      </c>
      <c r="V136" s="42" t="n">
        <f aca="false">IF(AND(N136=1,L136&gt;0,L136&lt;1,K136&gt;M136,H136+M136&gt;=D_F01!$B$7),1,0)</f>
        <v>0</v>
      </c>
      <c r="W136" s="44" t="n">
        <f aca="false">IF(V136=1,O136*L136,0)</f>
        <v>0</v>
      </c>
      <c r="X136" s="96" t="n">
        <f aca="false">IF(V136=1,L136/(1-L136)*365/(K136-M136),0)</f>
        <v>0</v>
      </c>
    </row>
    <row r="137" customFormat="false" ht="13.5" hidden="false" customHeight="false" outlineLevel="0" collapsed="false">
      <c r="A137" s="82" t="s">
        <v>2241</v>
      </c>
      <c r="B137" s="82" t="s">
        <v>2666</v>
      </c>
      <c r="C137" s="82" t="s">
        <v>1997</v>
      </c>
      <c r="D137" s="82" t="s">
        <v>2753</v>
      </c>
      <c r="E137" s="82" t="s">
        <v>3408</v>
      </c>
      <c r="F137" s="82" t="s">
        <v>3160</v>
      </c>
      <c r="G137" s="87" t="n">
        <v>389201455</v>
      </c>
      <c r="H137" s="84" t="n">
        <v>46199</v>
      </c>
      <c r="I137" s="84" t="n">
        <v>46214</v>
      </c>
      <c r="J137" s="84"/>
      <c r="K137" s="82" t="n">
        <v>15</v>
      </c>
      <c r="L137" s="91" t="n">
        <v>0</v>
      </c>
      <c r="M137" s="82" t="n">
        <v>0</v>
      </c>
      <c r="N137" s="3" t="n">
        <f aca="false">IF(AND(H137&lt;=D_F01!$B$7,OR(NOT(ISNUMBER(J137)),J137&gt;D_F01!$B$7)),1,0)</f>
        <v>1</v>
      </c>
      <c r="O137" s="32" t="n">
        <f aca="false">G137*N137</f>
        <v>389201455</v>
      </c>
      <c r="P137" s="3" t="n">
        <f aca="false">IF(N137=1,MAX(0,D_F01!$B$7-I137),0)</f>
        <v>0</v>
      </c>
      <c r="Q137" s="3" t="n">
        <f aca="false">IF(AND(ISNUMBER(J137),J137&lt;=D_F01!$B$7),J137-I137,0)</f>
        <v>0</v>
      </c>
      <c r="R137" s="3" t="n">
        <f aca="false">MAX(0,Q137)</f>
        <v>0</v>
      </c>
      <c r="S137" s="3" t="n">
        <f aca="false">IF(AND(ISNUMBER(J137),J137&lt;=D_F01!$B$7,J137&gt;D_F01!$B$7-D_F01!$B$25),G137*R137,0)</f>
        <v>0</v>
      </c>
      <c r="T137" s="3" t="n">
        <f aca="false">IF(AND(ISNUMBER(J137),J137&lt;=D_F01!$B$7,J137&gt;D_F01!$B$7-D_F01!$B$25),G137,0)</f>
        <v>0</v>
      </c>
      <c r="U137" s="3" t="n">
        <f aca="false">IF(INDEX(D_F01!$C$51:$C$59,MATCH(C137,D_F01!$A$51:$A$59,0))="có",1,0)</f>
        <v>1</v>
      </c>
      <c r="V137" s="42" t="n">
        <f aca="false">IF(AND(N137=1,L137&gt;0,L137&lt;1,K137&gt;M137,H137+M137&gt;=D_F01!$B$7),1,0)</f>
        <v>0</v>
      </c>
      <c r="W137" s="44" t="n">
        <f aca="false">IF(V137=1,O137*L137,0)</f>
        <v>0</v>
      </c>
      <c r="X137" s="96" t="n">
        <f aca="false">IF(V137=1,L137/(1-L137)*365/(K137-M137),0)</f>
        <v>0</v>
      </c>
    </row>
    <row r="138" customFormat="false" ht="13.5" hidden="false" customHeight="false" outlineLevel="0" collapsed="false">
      <c r="A138" s="82" t="s">
        <v>2243</v>
      </c>
      <c r="B138" s="82" t="s">
        <v>2666</v>
      </c>
      <c r="C138" s="82" t="s">
        <v>1992</v>
      </c>
      <c r="D138" s="82" t="s">
        <v>3164</v>
      </c>
      <c r="E138" s="82" t="s">
        <v>3409</v>
      </c>
      <c r="F138" s="82" t="s">
        <v>3166</v>
      </c>
      <c r="G138" s="87" t="n">
        <v>604118372</v>
      </c>
      <c r="H138" s="84" t="n">
        <v>46200</v>
      </c>
      <c r="I138" s="84" t="n">
        <v>46230</v>
      </c>
      <c r="J138" s="84"/>
      <c r="K138" s="82" t="n">
        <v>30</v>
      </c>
      <c r="L138" s="91" t="n">
        <v>0.02</v>
      </c>
      <c r="M138" s="82" t="n">
        <v>10</v>
      </c>
      <c r="N138" s="3" t="n">
        <f aca="false">IF(AND(H138&lt;=D_F01!$B$7,OR(NOT(ISNUMBER(J138)),J138&gt;D_F01!$B$7)),1,0)</f>
        <v>1</v>
      </c>
      <c r="O138" s="32" t="n">
        <f aca="false">G138*N138</f>
        <v>604118372</v>
      </c>
      <c r="P138" s="3" t="n">
        <f aca="false">IF(N138=1,MAX(0,D_F01!$B$7-I138),0)</f>
        <v>0</v>
      </c>
      <c r="Q138" s="3" t="n">
        <f aca="false">IF(AND(ISNUMBER(J138),J138&lt;=D_F01!$B$7),J138-I138,0)</f>
        <v>0</v>
      </c>
      <c r="R138" s="3" t="n">
        <f aca="false">MAX(0,Q138)</f>
        <v>0</v>
      </c>
      <c r="S138" s="3" t="n">
        <f aca="false">IF(AND(ISNUMBER(J138),J138&lt;=D_F01!$B$7,J138&gt;D_F01!$B$7-D_F01!$B$25),G138*R138,0)</f>
        <v>0</v>
      </c>
      <c r="T138" s="3" t="n">
        <f aca="false">IF(AND(ISNUMBER(J138),J138&lt;=D_F01!$B$7,J138&gt;D_F01!$B$7-D_F01!$B$25),G138,0)</f>
        <v>0</v>
      </c>
      <c r="U138" s="3" t="n">
        <f aca="false">IF(INDEX(D_F01!$C$51:$C$59,MATCH(C138,D_F01!$A$51:$A$59,0))="có",1,0)</f>
        <v>1</v>
      </c>
      <c r="V138" s="42" t="n">
        <f aca="false">IF(AND(N138=1,L138&gt;0,L138&lt;1,K138&gt;M138,H138+M138&gt;=D_F01!$B$7),1,0)</f>
        <v>1</v>
      </c>
      <c r="W138" s="44" t="n">
        <f aca="false">IF(V138=1,O138*L138,0)</f>
        <v>12082367.44</v>
      </c>
      <c r="X138" s="96" t="n">
        <f aca="false">IF(V138=1,L138/(1-L138)*365/(K138-M138),0)</f>
        <v>0.372448979591837</v>
      </c>
    </row>
    <row r="139" customFormat="false" ht="13.5" hidden="false" customHeight="false" outlineLevel="0" collapsed="false">
      <c r="A139" s="82" t="s">
        <v>2245</v>
      </c>
      <c r="B139" s="82" t="s">
        <v>2666</v>
      </c>
      <c r="C139" s="82" t="s">
        <v>1995</v>
      </c>
      <c r="D139" s="82" t="s">
        <v>2751</v>
      </c>
      <c r="E139" s="82" t="s">
        <v>3410</v>
      </c>
      <c r="F139" s="82" t="s">
        <v>3169</v>
      </c>
      <c r="G139" s="87" t="n">
        <v>118460731</v>
      </c>
      <c r="H139" s="84" t="n">
        <v>46202</v>
      </c>
      <c r="I139" s="84" t="n">
        <v>46217</v>
      </c>
      <c r="J139" s="84"/>
      <c r="K139" s="82" t="n">
        <v>15</v>
      </c>
      <c r="L139" s="91" t="n">
        <v>0</v>
      </c>
      <c r="M139" s="82" t="n">
        <v>0</v>
      </c>
      <c r="N139" s="3" t="n">
        <f aca="false">IF(AND(H139&lt;=D_F01!$B$7,OR(NOT(ISNUMBER(J139)),J139&gt;D_F01!$B$7)),1,0)</f>
        <v>1</v>
      </c>
      <c r="O139" s="32" t="n">
        <f aca="false">G139*N139</f>
        <v>118460731</v>
      </c>
      <c r="P139" s="3" t="n">
        <f aca="false">IF(N139=1,MAX(0,D_F01!$B$7-I139),0)</f>
        <v>0</v>
      </c>
      <c r="Q139" s="3" t="n">
        <f aca="false">IF(AND(ISNUMBER(J139),J139&lt;=D_F01!$B$7),J139-I139,0)</f>
        <v>0</v>
      </c>
      <c r="R139" s="3" t="n">
        <f aca="false">MAX(0,Q139)</f>
        <v>0</v>
      </c>
      <c r="S139" s="3" t="n">
        <f aca="false">IF(AND(ISNUMBER(J139),J139&lt;=D_F01!$B$7,J139&gt;D_F01!$B$7-D_F01!$B$25),G139*R139,0)</f>
        <v>0</v>
      </c>
      <c r="T139" s="3" t="n">
        <f aca="false">IF(AND(ISNUMBER(J139),J139&lt;=D_F01!$B$7,J139&gt;D_F01!$B$7-D_F01!$B$25),G139,0)</f>
        <v>0</v>
      </c>
      <c r="U139" s="3" t="n">
        <f aca="false">IF(INDEX(D_F01!$C$51:$C$59,MATCH(C139,D_F01!$A$51:$A$59,0))="có",1,0)</f>
        <v>0</v>
      </c>
      <c r="V139" s="42" t="n">
        <f aca="false">IF(AND(N139=1,L139&gt;0,L139&lt;1,K139&gt;M139,H139+M139&gt;=D_F01!$B$7),1,0)</f>
        <v>0</v>
      </c>
      <c r="W139" s="44" t="n">
        <f aca="false">IF(V139=1,O139*L139,0)</f>
        <v>0</v>
      </c>
      <c r="X139" s="96" t="n">
        <f aca="false">IF(V139=1,L139/(1-L139)*365/(K139-M139),0)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T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26" activePane="bottomRight" state="frozen"/>
      <selection pane="topLeft" activeCell="A1" activeCellId="0" sqref="A1"/>
      <selection pane="topRight" activeCell="D1" activeCellId="0" sqref="D1"/>
      <selection pane="bottomLeft" activeCell="A26" activeCellId="0" sqref="A26"/>
      <selection pane="bottomRight" activeCell="D5" activeCellId="0" sqref="D5"/>
    </sheetView>
  </sheetViews>
  <sheetFormatPr defaultColWidth="8.6796875" defaultRowHeight="13.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45"/>
    <col collapsed="false" customWidth="true" hidden="false" outlineLevel="0" max="4" min="4" style="0" width="12"/>
    <col collapsed="false" customWidth="true" hidden="false" outlineLevel="0" max="6" min="5" style="0" width="21"/>
    <col collapsed="false" customWidth="true" hidden="false" outlineLevel="0" max="7" min="7" style="0" width="23"/>
    <col collapsed="false" customWidth="true" hidden="false" outlineLevel="0" max="8" min="8" style="0" width="22"/>
    <col collapsed="false" customWidth="true" hidden="false" outlineLevel="0" max="9" min="9" style="0" width="17"/>
    <col collapsed="false" customWidth="true" hidden="false" outlineLevel="0" max="10" min="10" style="0" width="20"/>
    <col collapsed="false" customWidth="true" hidden="false" outlineLevel="0" max="11" min="11" style="0" width="13"/>
    <col collapsed="false" customWidth="true" hidden="false" outlineLevel="0" max="12" min="12" style="0" width="23"/>
    <col collapsed="false" customWidth="true" hidden="false" outlineLevel="0" max="13" min="13" style="0" width="20"/>
    <col collapsed="false" customWidth="true" hidden="false" outlineLevel="0" max="14" min="14" style="0" width="18"/>
    <col collapsed="false" customWidth="true" hidden="false" outlineLevel="0" max="16" min="15" style="0" width="24"/>
    <col collapsed="false" customWidth="true" hidden="false" outlineLevel="0" max="17" min="17" style="0" width="18"/>
    <col collapsed="false" customWidth="true" hidden="false" outlineLevel="0" max="18" min="18" style="0" width="14"/>
    <col collapsed="false" customWidth="true" hidden="false" outlineLevel="0" max="19" min="19" style="0" width="16"/>
    <col collapsed="false" customWidth="true" hidden="false" outlineLevel="0" max="20" min="20" style="0" width="18"/>
  </cols>
  <sheetData>
    <row r="2" customFormat="false" ht="17.25" hidden="false" customHeight="true" outlineLevel="0" collapsed="false">
      <c r="A2" s="1" t="s">
        <v>3411</v>
      </c>
    </row>
    <row r="4" customFormat="false" ht="33.75" hidden="false" customHeight="true" outlineLevel="0" collapsed="false">
      <c r="A4" s="2" t="s">
        <v>3412</v>
      </c>
      <c r="B4" s="2" t="s">
        <v>2665</v>
      </c>
      <c r="C4" s="2" t="s">
        <v>3413</v>
      </c>
      <c r="D4" s="2" t="s">
        <v>3414</v>
      </c>
      <c r="E4" s="2" t="s">
        <v>3415</v>
      </c>
      <c r="F4" s="2" t="s">
        <v>3416</v>
      </c>
      <c r="G4" s="2" t="s">
        <v>3417</v>
      </c>
      <c r="H4" s="2" t="s">
        <v>3418</v>
      </c>
      <c r="I4" s="2" t="s">
        <v>3419</v>
      </c>
      <c r="J4" s="2" t="s">
        <v>3420</v>
      </c>
      <c r="K4" s="2" t="s">
        <v>3421</v>
      </c>
      <c r="L4" s="2" t="s">
        <v>3422</v>
      </c>
      <c r="M4" s="2" t="s">
        <v>3423</v>
      </c>
      <c r="N4" s="2" t="s">
        <v>3424</v>
      </c>
      <c r="O4" s="2" t="s">
        <v>3425</v>
      </c>
      <c r="P4" s="2" t="s">
        <v>3426</v>
      </c>
      <c r="Q4" s="2" t="s">
        <v>3427</v>
      </c>
      <c r="R4" s="2" t="s">
        <v>3428</v>
      </c>
      <c r="S4" s="2" t="s">
        <v>3429</v>
      </c>
      <c r="T4" s="2" t="s">
        <v>3430</v>
      </c>
    </row>
    <row r="5" customFormat="false" ht="25.5" hidden="false" customHeight="true" outlineLevel="0" collapsed="false">
      <c r="A5" s="82" t="s">
        <v>3431</v>
      </c>
      <c r="B5" s="82" t="s">
        <v>2666</v>
      </c>
      <c r="C5" s="82" t="s">
        <v>3432</v>
      </c>
      <c r="D5" s="82" t="s">
        <v>3433</v>
      </c>
      <c r="E5" s="82" t="s">
        <v>2666</v>
      </c>
      <c r="F5" s="82" t="s">
        <v>1992</v>
      </c>
      <c r="G5" s="82" t="s">
        <v>3434</v>
      </c>
      <c r="H5" s="82" t="s">
        <v>3435</v>
      </c>
      <c r="I5" s="84" t="n">
        <v>46161</v>
      </c>
      <c r="J5" s="82" t="n">
        <v>13500</v>
      </c>
      <c r="K5" s="82" t="s">
        <v>3436</v>
      </c>
      <c r="L5" s="98" t="n">
        <v>162645.56</v>
      </c>
      <c r="M5" s="82" t="s">
        <v>2733</v>
      </c>
      <c r="N5" s="3" t="n">
        <f aca="false">D_F01!$B$7-I5</f>
        <v>42</v>
      </c>
      <c r="O5" s="32" t="n">
        <f aca="false">J5*L5</f>
        <v>2195715060</v>
      </c>
      <c r="P5" s="32" t="n">
        <f aca="false">IF(E5="F01",O5,0)</f>
        <v>2195715060</v>
      </c>
      <c r="Q5" s="26" t="n">
        <f aca="false">IF(OR(D5="NVL",D5="HH"),Nguong!$B$31,Nguong!$B$32)</f>
        <v>60</v>
      </c>
      <c r="R5" s="3" t="n">
        <f aca="false">IF(AND(E5="F01",N5&gt;Q5),1,0)</f>
        <v>0</v>
      </c>
      <c r="S5" s="3" t="n">
        <f aca="false">IF(AND(E5="F01",OR(R5=1,H5="Đã hủy")),1,0)</f>
        <v>0</v>
      </c>
      <c r="T5" s="3" t="n">
        <f aca="false">P5/D_F01!$B$10*D_F01!$B$8</f>
        <v>6.96081104090429</v>
      </c>
    </row>
    <row r="6" customFormat="false" ht="25.5" hidden="false" customHeight="true" outlineLevel="0" collapsed="false">
      <c r="A6" s="89" t="s">
        <v>3437</v>
      </c>
      <c r="B6" s="89" t="s">
        <v>2666</v>
      </c>
      <c r="C6" s="89" t="s">
        <v>3438</v>
      </c>
      <c r="D6" s="89" t="s">
        <v>3433</v>
      </c>
      <c r="E6" s="89" t="s">
        <v>2666</v>
      </c>
      <c r="F6" s="89" t="s">
        <v>1992</v>
      </c>
      <c r="G6" s="89" t="s">
        <v>3434</v>
      </c>
      <c r="H6" s="89" t="s">
        <v>3435</v>
      </c>
      <c r="I6" s="83" t="n">
        <v>46168</v>
      </c>
      <c r="J6" s="89" t="n">
        <v>9750</v>
      </c>
      <c r="K6" s="89" t="s">
        <v>3436</v>
      </c>
      <c r="L6" s="99" t="n">
        <v>53368.07</v>
      </c>
      <c r="M6" s="89" t="s">
        <v>2733</v>
      </c>
      <c r="N6" s="4" t="n">
        <f aca="false">D_F01!$B$7-I6</f>
        <v>35</v>
      </c>
      <c r="O6" s="33" t="n">
        <f aca="false">J6*L6</f>
        <v>520338682.5</v>
      </c>
      <c r="P6" s="33" t="n">
        <f aca="false">IF(E6="F01",O6,0)</f>
        <v>520338682.5</v>
      </c>
      <c r="Q6" s="27" t="n">
        <f aca="false">IF(OR(D6="NVL",D6="HH"),Nguong!$B$31,Nguong!$B$32)</f>
        <v>60</v>
      </c>
      <c r="R6" s="4" t="n">
        <f aca="false">IF(AND(E6="F01",N6&gt;Q6),1,0)</f>
        <v>0</v>
      </c>
      <c r="S6" s="4" t="n">
        <f aca="false">IF(AND(E6="F01",OR(R6=1,H6="Đã hủy")),1,0)</f>
        <v>0</v>
      </c>
      <c r="T6" s="4" t="n">
        <f aca="false">P6/D_F01!$B$10*D_F01!$B$8</f>
        <v>1.64956706456966</v>
      </c>
    </row>
    <row r="7" customFormat="false" ht="25.5" hidden="false" customHeight="true" outlineLevel="0" collapsed="false">
      <c r="A7" s="82" t="s">
        <v>3439</v>
      </c>
      <c r="B7" s="82" t="s">
        <v>2666</v>
      </c>
      <c r="C7" s="82" t="s">
        <v>3440</v>
      </c>
      <c r="D7" s="82" t="s">
        <v>3433</v>
      </c>
      <c r="E7" s="82" t="s">
        <v>2666</v>
      </c>
      <c r="F7" s="82" t="s">
        <v>1992</v>
      </c>
      <c r="G7" s="82"/>
      <c r="H7" s="82" t="s">
        <v>3441</v>
      </c>
      <c r="I7" s="84" t="n">
        <v>46022</v>
      </c>
      <c r="J7" s="82" t="n">
        <v>6300</v>
      </c>
      <c r="K7" s="82" t="s">
        <v>3436</v>
      </c>
      <c r="L7" s="98" t="n">
        <v>124525.51</v>
      </c>
      <c r="M7" s="82" t="s">
        <v>2733</v>
      </c>
      <c r="N7" s="3" t="n">
        <f aca="false">D_F01!$B$7-I7</f>
        <v>181</v>
      </c>
      <c r="O7" s="32" t="n">
        <f aca="false">J7*L7</f>
        <v>784510713</v>
      </c>
      <c r="P7" s="32" t="n">
        <f aca="false">IF(E7="F01",O7,0)</f>
        <v>784510713</v>
      </c>
      <c r="Q7" s="26" t="n">
        <f aca="false">IF(OR(D7="NVL",D7="HH"),Nguong!$B$31,Nguong!$B$32)</f>
        <v>60</v>
      </c>
      <c r="R7" s="3" t="n">
        <f aca="false">IF(AND(E7="F01",N7&gt;Q7),1,0)</f>
        <v>1</v>
      </c>
      <c r="S7" s="3" t="n">
        <f aca="false">IF(AND(E7="F01",OR(R7=1,H7="Đã hủy")),1,0)</f>
        <v>1</v>
      </c>
      <c r="T7" s="3" t="n">
        <f aca="false">P7/D_F01!$B$10*D_F01!$B$8</f>
        <v>2.48703984056934</v>
      </c>
    </row>
    <row r="8" customFormat="false" ht="25.5" hidden="false" customHeight="true" outlineLevel="0" collapsed="false">
      <c r="A8" s="89" t="s">
        <v>3442</v>
      </c>
      <c r="B8" s="89" t="s">
        <v>2666</v>
      </c>
      <c r="C8" s="89" t="s">
        <v>3443</v>
      </c>
      <c r="D8" s="89" t="s">
        <v>3433</v>
      </c>
      <c r="E8" s="89" t="s">
        <v>2666</v>
      </c>
      <c r="F8" s="89" t="s">
        <v>1998</v>
      </c>
      <c r="G8" s="89"/>
      <c r="H8" s="89" t="s">
        <v>3441</v>
      </c>
      <c r="I8" s="83" t="n">
        <v>45965</v>
      </c>
      <c r="J8" s="89" t="n">
        <v>180</v>
      </c>
      <c r="K8" s="89" t="s">
        <v>3436</v>
      </c>
      <c r="L8" s="99" t="n">
        <v>273193.71</v>
      </c>
      <c r="M8" s="89" t="s">
        <v>2733</v>
      </c>
      <c r="N8" s="4" t="n">
        <f aca="false">D_F01!$B$7-I8</f>
        <v>238</v>
      </c>
      <c r="O8" s="33" t="n">
        <f aca="false">J8*L8</f>
        <v>49174867.8</v>
      </c>
      <c r="P8" s="33" t="n">
        <f aca="false">IF(E8="F01",O8,0)</f>
        <v>49174867.8</v>
      </c>
      <c r="Q8" s="27" t="n">
        <f aca="false">IF(OR(D8="NVL",D8="HH"),Nguong!$B$31,Nguong!$B$32)</f>
        <v>60</v>
      </c>
      <c r="R8" s="4" t="n">
        <f aca="false">IF(AND(E8="F01",N8&gt;Q8),1,0)</f>
        <v>1</v>
      </c>
      <c r="S8" s="4" t="n">
        <f aca="false">IF(AND(E8="F01",OR(R8=1,H8="Đã hủy")),1,0)</f>
        <v>1</v>
      </c>
      <c r="T8" s="4" t="n">
        <f aca="false">P8/D_F01!$B$10*D_F01!$B$8</f>
        <v>0.155893161618725</v>
      </c>
    </row>
    <row r="9" customFormat="false" ht="25.5" hidden="false" customHeight="true" outlineLevel="0" collapsed="false">
      <c r="A9" s="82" t="s">
        <v>3444</v>
      </c>
      <c r="B9" s="82" t="s">
        <v>2666</v>
      </c>
      <c r="C9" s="82" t="s">
        <v>3445</v>
      </c>
      <c r="D9" s="82" t="s">
        <v>3433</v>
      </c>
      <c r="E9" s="82" t="s">
        <v>2666</v>
      </c>
      <c r="F9" s="82" t="s">
        <v>1994</v>
      </c>
      <c r="G9" s="82" t="s">
        <v>3434</v>
      </c>
      <c r="H9" s="82" t="s">
        <v>3435</v>
      </c>
      <c r="I9" s="84" t="n">
        <v>46165</v>
      </c>
      <c r="J9" s="82" t="n">
        <v>780000</v>
      </c>
      <c r="K9" s="82" t="s">
        <v>3446</v>
      </c>
      <c r="L9" s="98" t="n">
        <v>1562.92</v>
      </c>
      <c r="M9" s="82" t="s">
        <v>2733</v>
      </c>
      <c r="N9" s="3" t="n">
        <f aca="false">D_F01!$B$7-I9</f>
        <v>38</v>
      </c>
      <c r="O9" s="32" t="n">
        <f aca="false">J9*L9</f>
        <v>1219077600</v>
      </c>
      <c r="P9" s="32" t="n">
        <f aca="false">IF(E9="F01",O9,0)</f>
        <v>1219077600</v>
      </c>
      <c r="Q9" s="26" t="n">
        <f aca="false">IF(OR(D9="NVL",D9="HH"),Nguong!$B$31,Nguong!$B$32)</f>
        <v>60</v>
      </c>
      <c r="R9" s="3" t="n">
        <f aca="false">IF(AND(E9="F01",N9&gt;Q9),1,0)</f>
        <v>0</v>
      </c>
      <c r="S9" s="3" t="n">
        <f aca="false">IF(AND(E9="F01",OR(R9=1,H9="Đã hủy")),1,0)</f>
        <v>0</v>
      </c>
      <c r="T9" s="3" t="n">
        <f aca="false">P9/D_F01!$B$10*D_F01!$B$8</f>
        <v>3.86469491073177</v>
      </c>
    </row>
    <row r="10" customFormat="false" ht="25.5" hidden="false" customHeight="true" outlineLevel="0" collapsed="false">
      <c r="A10" s="89" t="s">
        <v>3447</v>
      </c>
      <c r="B10" s="89" t="s">
        <v>2666</v>
      </c>
      <c r="C10" s="89" t="s">
        <v>3448</v>
      </c>
      <c r="D10" s="89" t="s">
        <v>3433</v>
      </c>
      <c r="E10" s="89" t="s">
        <v>2666</v>
      </c>
      <c r="F10" s="89" t="s">
        <v>2000</v>
      </c>
      <c r="G10" s="89" t="s">
        <v>3449</v>
      </c>
      <c r="H10" s="89" t="s">
        <v>3450</v>
      </c>
      <c r="I10" s="83" t="n">
        <v>46075</v>
      </c>
      <c r="J10" s="89" t="n">
        <v>322500</v>
      </c>
      <c r="K10" s="89" t="s">
        <v>3446</v>
      </c>
      <c r="L10" s="99" t="n">
        <v>2541.34</v>
      </c>
      <c r="M10" s="89" t="s">
        <v>2733</v>
      </c>
      <c r="N10" s="4" t="n">
        <f aca="false">D_F01!$B$7-I10</f>
        <v>128</v>
      </c>
      <c r="O10" s="33" t="n">
        <f aca="false">J10*L10</f>
        <v>819582150</v>
      </c>
      <c r="P10" s="33" t="n">
        <f aca="false">IF(E10="F01",O10,0)</f>
        <v>819582150</v>
      </c>
      <c r="Q10" s="27" t="n">
        <f aca="false">IF(OR(D10="NVL",D10="HH"),Nguong!$B$31,Nguong!$B$32)</f>
        <v>60</v>
      </c>
      <c r="R10" s="4" t="n">
        <f aca="false">IF(AND(E10="F01",N10&gt;Q10),1,0)</f>
        <v>1</v>
      </c>
      <c r="S10" s="4" t="n">
        <f aca="false">IF(AND(E10="F01",OR(R10=1,H10="Đã hủy")),1,0)</f>
        <v>1</v>
      </c>
      <c r="T10" s="4" t="n">
        <f aca="false">P10/D_F01!$B$10*D_F01!$B$8</f>
        <v>2.59822259389525</v>
      </c>
    </row>
    <row r="11" customFormat="false" ht="25.5" hidden="false" customHeight="true" outlineLevel="0" collapsed="false">
      <c r="A11" s="82" t="s">
        <v>3451</v>
      </c>
      <c r="B11" s="82" t="s">
        <v>2666</v>
      </c>
      <c r="C11" s="82" t="s">
        <v>3452</v>
      </c>
      <c r="D11" s="82" t="s">
        <v>3433</v>
      </c>
      <c r="E11" s="82" t="s">
        <v>2666</v>
      </c>
      <c r="F11" s="82" t="s">
        <v>1993</v>
      </c>
      <c r="G11" s="82"/>
      <c r="H11" s="82" t="s">
        <v>3441</v>
      </c>
      <c r="I11" s="84" t="n">
        <v>46173</v>
      </c>
      <c r="J11" s="82" t="n">
        <v>465000</v>
      </c>
      <c r="K11" s="82" t="s">
        <v>3453</v>
      </c>
      <c r="L11" s="98" t="n">
        <v>1588.34</v>
      </c>
      <c r="M11" s="82" t="s">
        <v>2735</v>
      </c>
      <c r="N11" s="3" t="n">
        <f aca="false">D_F01!$B$7-I11</f>
        <v>30</v>
      </c>
      <c r="O11" s="32" t="n">
        <f aca="false">J11*L11</f>
        <v>738578100</v>
      </c>
      <c r="P11" s="32" t="n">
        <f aca="false">IF(E11="F01",O11,0)</f>
        <v>738578100</v>
      </c>
      <c r="Q11" s="26" t="n">
        <f aca="false">IF(OR(D11="NVL",D11="HH"),Nguong!$B$31,Nguong!$B$32)</f>
        <v>60</v>
      </c>
      <c r="R11" s="3" t="n">
        <f aca="false">IF(AND(E11="F01",N11&gt;Q11),1,0)</f>
        <v>0</v>
      </c>
      <c r="S11" s="3" t="n">
        <f aca="false">IF(AND(E11="F01",OR(R11=1,H11="Đã hủy")),1,0)</f>
        <v>0</v>
      </c>
      <c r="T11" s="3" t="n">
        <f aca="false">P11/D_F01!$B$10*D_F01!$B$8</f>
        <v>2.34142520890216</v>
      </c>
    </row>
    <row r="12" customFormat="false" ht="25.5" hidden="false" customHeight="true" outlineLevel="0" collapsed="false">
      <c r="A12" s="89" t="s">
        <v>3454</v>
      </c>
      <c r="B12" s="89" t="s">
        <v>2666</v>
      </c>
      <c r="C12" s="89" t="s">
        <v>3455</v>
      </c>
      <c r="D12" s="89" t="s">
        <v>3433</v>
      </c>
      <c r="E12" s="89" t="s">
        <v>2666</v>
      </c>
      <c r="F12" s="89" t="s">
        <v>2000</v>
      </c>
      <c r="G12" s="89" t="s">
        <v>3456</v>
      </c>
      <c r="H12" s="89" t="s">
        <v>3457</v>
      </c>
      <c r="I12" s="83" t="n">
        <v>46109</v>
      </c>
      <c r="J12" s="89" t="n">
        <v>67500</v>
      </c>
      <c r="K12" s="89" t="s">
        <v>3446</v>
      </c>
      <c r="L12" s="99" t="n">
        <v>2541.34</v>
      </c>
      <c r="M12" s="89" t="s">
        <v>2733</v>
      </c>
      <c r="N12" s="4" t="n">
        <f aca="false">D_F01!$B$7-I12</f>
        <v>94</v>
      </c>
      <c r="O12" s="33" t="n">
        <f aca="false">J12*L12</f>
        <v>171540450</v>
      </c>
      <c r="P12" s="33" t="n">
        <f aca="false">IF(E12="F01",O12,0)</f>
        <v>171540450</v>
      </c>
      <c r="Q12" s="27" t="n">
        <f aca="false">IF(OR(D12="NVL",D12="HH"),Nguong!$B$31,Nguong!$B$32)</f>
        <v>60</v>
      </c>
      <c r="R12" s="4" t="n">
        <f aca="false">IF(AND(E12="F01",N12&gt;Q12),1,0)</f>
        <v>1</v>
      </c>
      <c r="S12" s="4" t="n">
        <f aca="false">IF(AND(E12="F01",OR(R12=1,H12="Đã hủy")),1,0)</f>
        <v>1</v>
      </c>
      <c r="T12" s="4" t="n">
        <f aca="false">P12/D_F01!$B$10*D_F01!$B$8</f>
        <v>0.543814031280402</v>
      </c>
    </row>
    <row r="13" customFormat="false" ht="25.5" hidden="false" customHeight="true" outlineLevel="0" collapsed="false">
      <c r="A13" s="82" t="s">
        <v>3458</v>
      </c>
      <c r="B13" s="82" t="s">
        <v>2666</v>
      </c>
      <c r="C13" s="82" t="s">
        <v>3459</v>
      </c>
      <c r="D13" s="82" t="s">
        <v>3460</v>
      </c>
      <c r="E13" s="82" t="s">
        <v>2666</v>
      </c>
      <c r="F13" s="82"/>
      <c r="G13" s="82" t="s">
        <v>3434</v>
      </c>
      <c r="H13" s="82" t="s">
        <v>3435</v>
      </c>
      <c r="I13" s="84" t="n">
        <v>46194</v>
      </c>
      <c r="J13" s="82" t="n">
        <v>21000</v>
      </c>
      <c r="K13" s="82" t="s">
        <v>3446</v>
      </c>
      <c r="L13" s="98" t="n">
        <v>52097.41</v>
      </c>
      <c r="M13" s="82" t="s">
        <v>2733</v>
      </c>
      <c r="N13" s="3" t="n">
        <f aca="false">D_F01!$B$7-I13</f>
        <v>9</v>
      </c>
      <c r="O13" s="32" t="n">
        <f aca="false">J13*L13</f>
        <v>1094045610</v>
      </c>
      <c r="P13" s="32" t="n">
        <f aca="false">IF(E13="F01",O13,0)</f>
        <v>1094045610</v>
      </c>
      <c r="Q13" s="26" t="n">
        <f aca="false">IF(OR(D13="NVL",D13="HH"),Nguong!$B$31,Nguong!$B$32)</f>
        <v>30</v>
      </c>
      <c r="R13" s="3" t="n">
        <f aca="false">IF(AND(E13="F01",N13&gt;Q13),1,0)</f>
        <v>0</v>
      </c>
      <c r="S13" s="3" t="n">
        <f aca="false">IF(AND(E13="F01",OR(R13=1,H13="Đã hủy")),1,0)</f>
        <v>0</v>
      </c>
      <c r="T13" s="3" t="n">
        <f aca="false">P13/D_F01!$B$10*D_F01!$B$8</f>
        <v>3.46832104951763</v>
      </c>
    </row>
    <row r="14" customFormat="false" ht="25.5" hidden="false" customHeight="true" outlineLevel="0" collapsed="false">
      <c r="A14" s="89" t="s">
        <v>3461</v>
      </c>
      <c r="B14" s="89" t="s">
        <v>2666</v>
      </c>
      <c r="C14" s="89" t="s">
        <v>3462</v>
      </c>
      <c r="D14" s="89" t="s">
        <v>3460</v>
      </c>
      <c r="E14" s="89" t="s">
        <v>2666</v>
      </c>
      <c r="F14" s="89"/>
      <c r="G14" s="89" t="s">
        <v>3463</v>
      </c>
      <c r="H14" s="89" t="s">
        <v>3435</v>
      </c>
      <c r="I14" s="83" t="n">
        <v>46156</v>
      </c>
      <c r="J14" s="89" t="n">
        <v>5700</v>
      </c>
      <c r="K14" s="89" t="s">
        <v>3446</v>
      </c>
      <c r="L14" s="99" t="n">
        <v>66074.76</v>
      </c>
      <c r="M14" s="89" t="s">
        <v>2733</v>
      </c>
      <c r="N14" s="4" t="n">
        <f aca="false">D_F01!$B$7-I14</f>
        <v>47</v>
      </c>
      <c r="O14" s="33" t="n">
        <f aca="false">J14*L14</f>
        <v>376626132</v>
      </c>
      <c r="P14" s="33" t="n">
        <f aca="false">IF(E14="F01",O14,0)</f>
        <v>376626132</v>
      </c>
      <c r="Q14" s="27" t="n">
        <f aca="false">IF(OR(D14="NVL",D14="HH"),Nguong!$B$31,Nguong!$B$32)</f>
        <v>30</v>
      </c>
      <c r="R14" s="4" t="n">
        <f aca="false">IF(AND(E14="F01",N14&gt;Q14),1,0)</f>
        <v>1</v>
      </c>
      <c r="S14" s="4" t="n">
        <f aca="false">IF(AND(E14="F01",OR(R14=1,H14="Đã hủy")),1,0)</f>
        <v>1</v>
      </c>
      <c r="T14" s="4" t="n">
        <f aca="false">P14/D_F01!$B$10*D_F01!$B$8</f>
        <v>1.19397247196486</v>
      </c>
    </row>
    <row r="15" customFormat="false" ht="25.5" hidden="false" customHeight="true" outlineLevel="0" collapsed="false">
      <c r="A15" s="82" t="s">
        <v>3464</v>
      </c>
      <c r="B15" s="82" t="s">
        <v>2666</v>
      </c>
      <c r="C15" s="82" t="s">
        <v>3465</v>
      </c>
      <c r="D15" s="82" t="s">
        <v>3460</v>
      </c>
      <c r="E15" s="82" t="s">
        <v>2666</v>
      </c>
      <c r="F15" s="82"/>
      <c r="G15" s="82" t="s">
        <v>3466</v>
      </c>
      <c r="H15" s="82" t="s">
        <v>3435</v>
      </c>
      <c r="I15" s="84" t="n">
        <v>46192</v>
      </c>
      <c r="J15" s="82" t="n">
        <v>14250</v>
      </c>
      <c r="K15" s="82" t="s">
        <v>3446</v>
      </c>
      <c r="L15" s="98" t="n">
        <v>45744.06</v>
      </c>
      <c r="M15" s="82" t="s">
        <v>2733</v>
      </c>
      <c r="N15" s="3" t="n">
        <f aca="false">D_F01!$B$7-I15</f>
        <v>11</v>
      </c>
      <c r="O15" s="32" t="n">
        <f aca="false">J15*L15</f>
        <v>651852855</v>
      </c>
      <c r="P15" s="32" t="n">
        <f aca="false">IF(E15="F01",O15,0)</f>
        <v>651852855</v>
      </c>
      <c r="Q15" s="26" t="n">
        <f aca="false">IF(OR(D15="NVL",D15="HH"),Nguong!$B$31,Nguong!$B$32)</f>
        <v>30</v>
      </c>
      <c r="R15" s="3" t="n">
        <f aca="false">IF(AND(E15="F01",N15&gt;Q15),1,0)</f>
        <v>0</v>
      </c>
      <c r="S15" s="3" t="n">
        <f aca="false">IF(AND(E15="F01",OR(R15=1,H15="Đã hủy")),1,0)</f>
        <v>0</v>
      </c>
      <c r="T15" s="3" t="n">
        <f aca="false">P15/D_F01!$B$10*D_F01!$B$8</f>
        <v>2.06649060836199</v>
      </c>
    </row>
    <row r="16" customFormat="false" ht="25.5" hidden="false" customHeight="true" outlineLevel="0" collapsed="false">
      <c r="A16" s="89" t="s">
        <v>3467</v>
      </c>
      <c r="B16" s="89" t="s">
        <v>2666</v>
      </c>
      <c r="C16" s="89" t="s">
        <v>3468</v>
      </c>
      <c r="D16" s="89" t="s">
        <v>3469</v>
      </c>
      <c r="E16" s="89" t="s">
        <v>2666</v>
      </c>
      <c r="F16" s="89"/>
      <c r="G16" s="89" t="s">
        <v>3470</v>
      </c>
      <c r="H16" s="89" t="s">
        <v>3435</v>
      </c>
      <c r="I16" s="83" t="n">
        <v>46187</v>
      </c>
      <c r="J16" s="89" t="n">
        <v>9600</v>
      </c>
      <c r="K16" s="89" t="s">
        <v>3453</v>
      </c>
      <c r="L16" s="99" t="n">
        <v>73698.77</v>
      </c>
      <c r="M16" s="89" t="s">
        <v>2733</v>
      </c>
      <c r="N16" s="4" t="n">
        <f aca="false">D_F01!$B$7-I16</f>
        <v>16</v>
      </c>
      <c r="O16" s="33" t="n">
        <f aca="false">J16*L16</f>
        <v>707508192</v>
      </c>
      <c r="P16" s="33" t="n">
        <f aca="false">IF(E16="F01",O16,0)</f>
        <v>707508192</v>
      </c>
      <c r="Q16" s="27" t="n">
        <f aca="false">IF(OR(D16="NVL",D16="HH"),Nguong!$B$31,Nguong!$B$32)</f>
        <v>30</v>
      </c>
      <c r="R16" s="4" t="n">
        <f aca="false">IF(AND(E16="F01",N16&gt;Q16),1,0)</f>
        <v>0</v>
      </c>
      <c r="S16" s="4" t="n">
        <f aca="false">IF(AND(E16="F01",OR(R16=1,H16="Đã hủy")),1,0)</f>
        <v>0</v>
      </c>
      <c r="T16" s="4" t="n">
        <f aca="false">P16/D_F01!$B$10*D_F01!$B$8</f>
        <v>2.24292802109024</v>
      </c>
    </row>
    <row r="17" customFormat="false" ht="25.5" hidden="false" customHeight="true" outlineLevel="0" collapsed="false">
      <c r="A17" s="82" t="s">
        <v>3471</v>
      </c>
      <c r="B17" s="82" t="s">
        <v>2666</v>
      </c>
      <c r="C17" s="82" t="s">
        <v>3472</v>
      </c>
      <c r="D17" s="82" t="s">
        <v>3469</v>
      </c>
      <c r="E17" s="82" t="s">
        <v>2666</v>
      </c>
      <c r="F17" s="82"/>
      <c r="G17" s="82" t="s">
        <v>3473</v>
      </c>
      <c r="H17" s="82" t="s">
        <v>3435</v>
      </c>
      <c r="I17" s="84" t="n">
        <v>46160</v>
      </c>
      <c r="J17" s="82" t="n">
        <v>16500</v>
      </c>
      <c r="K17" s="82" t="s">
        <v>3453</v>
      </c>
      <c r="L17" s="98" t="n">
        <v>82593.45</v>
      </c>
      <c r="M17" s="82" t="s">
        <v>2733</v>
      </c>
      <c r="N17" s="3" t="n">
        <f aca="false">D_F01!$B$7-I17</f>
        <v>43</v>
      </c>
      <c r="O17" s="32" t="n">
        <f aca="false">J17*L17</f>
        <v>1362791925</v>
      </c>
      <c r="P17" s="32" t="n">
        <f aca="false">IF(E17="F01",O17,0)</f>
        <v>1362791925</v>
      </c>
      <c r="Q17" s="26" t="n">
        <f aca="false">IF(OR(D17="NVL",D17="HH"),Nguong!$B$31,Nguong!$B$32)</f>
        <v>30</v>
      </c>
      <c r="R17" s="3" t="n">
        <f aca="false">IF(AND(E17="F01",N17&gt;Q17),1,0)</f>
        <v>1</v>
      </c>
      <c r="S17" s="3" t="n">
        <f aca="false">IF(AND(E17="F01",OR(R17=1,H17="Đã hủy")),1,0)</f>
        <v>1</v>
      </c>
      <c r="T17" s="3" t="n">
        <f aca="false">P17/D_F01!$B$10*D_F01!$B$8</f>
        <v>4.32029512882022</v>
      </c>
    </row>
    <row r="18" customFormat="false" ht="25.5" hidden="false" customHeight="true" outlineLevel="0" collapsed="false">
      <c r="A18" s="89" t="s">
        <v>3474</v>
      </c>
      <c r="B18" s="89" t="s">
        <v>2666</v>
      </c>
      <c r="C18" s="89" t="s">
        <v>3475</v>
      </c>
      <c r="D18" s="89" t="s">
        <v>3469</v>
      </c>
      <c r="E18" s="89" t="s">
        <v>2666</v>
      </c>
      <c r="F18" s="89"/>
      <c r="G18" s="89" t="s">
        <v>3476</v>
      </c>
      <c r="H18" s="89" t="s">
        <v>3435</v>
      </c>
      <c r="I18" s="83" t="n">
        <v>46102</v>
      </c>
      <c r="J18" s="89" t="n">
        <v>1800</v>
      </c>
      <c r="K18" s="89" t="s">
        <v>3453</v>
      </c>
      <c r="L18" s="99" t="n">
        <v>49556.07</v>
      </c>
      <c r="M18" s="89" t="s">
        <v>2733</v>
      </c>
      <c r="N18" s="4" t="n">
        <f aca="false">D_F01!$B$7-I18</f>
        <v>101</v>
      </c>
      <c r="O18" s="33" t="n">
        <f aca="false">J18*L18</f>
        <v>89200926</v>
      </c>
      <c r="P18" s="33" t="n">
        <f aca="false">IF(E18="F01",O18,0)</f>
        <v>89200926</v>
      </c>
      <c r="Q18" s="27" t="n">
        <f aca="false">IF(OR(D18="NVL",D18="HH"),Nguong!$B$31,Nguong!$B$32)</f>
        <v>30</v>
      </c>
      <c r="R18" s="4" t="n">
        <f aca="false">IF(AND(E18="F01",N18&gt;Q18),1,0)</f>
        <v>1</v>
      </c>
      <c r="S18" s="4" t="n">
        <f aca="false">IF(AND(E18="F01",OR(R18=1,H18="Đã hủy")),1,0)</f>
        <v>1</v>
      </c>
      <c r="T18" s="4" t="n">
        <f aca="false">P18/D_F01!$B$10*D_F01!$B$8</f>
        <v>0.282782953886415</v>
      </c>
    </row>
    <row r="19" customFormat="false" ht="25.5" hidden="false" customHeight="true" outlineLevel="0" collapsed="false">
      <c r="A19" s="82" t="s">
        <v>3477</v>
      </c>
      <c r="B19" s="82" t="s">
        <v>2666</v>
      </c>
      <c r="C19" s="82" t="s">
        <v>3478</v>
      </c>
      <c r="D19" s="82" t="s">
        <v>3479</v>
      </c>
      <c r="E19" s="82" t="s">
        <v>2666</v>
      </c>
      <c r="F19" s="82" t="s">
        <v>1992</v>
      </c>
      <c r="G19" s="82"/>
      <c r="H19" s="82" t="s">
        <v>3441</v>
      </c>
      <c r="I19" s="84" t="n">
        <v>46121</v>
      </c>
      <c r="J19" s="82" t="n">
        <v>4500</v>
      </c>
      <c r="K19" s="82" t="s">
        <v>3436</v>
      </c>
      <c r="L19" s="98" t="n">
        <v>96570.8</v>
      </c>
      <c r="M19" s="82" t="s">
        <v>2733</v>
      </c>
      <c r="N19" s="3" t="n">
        <f aca="false">D_F01!$B$7-I19</f>
        <v>82</v>
      </c>
      <c r="O19" s="32" t="n">
        <f aca="false">J19*L19</f>
        <v>434568600</v>
      </c>
      <c r="P19" s="32" t="n">
        <f aca="false">IF(E19="F01",O19,0)</f>
        <v>434568600</v>
      </c>
      <c r="Q19" s="26" t="n">
        <f aca="false">IF(OR(D19="NVL",D19="HH"),Nguong!$B$31,Nguong!$B$32)</f>
        <v>60</v>
      </c>
      <c r="R19" s="3" t="n">
        <f aca="false">IF(AND(E19="F01",N19&gt;Q19),1,0)</f>
        <v>1</v>
      </c>
      <c r="S19" s="3" t="n">
        <f aca="false">IF(AND(E19="F01",OR(R19=1,H19="Đã hủy")),1,0)</f>
        <v>1</v>
      </c>
      <c r="T19" s="3" t="n">
        <f aca="false">P19/D_F01!$B$10*D_F01!$B$8</f>
        <v>1.37766050068005</v>
      </c>
    </row>
    <row r="20" customFormat="false" ht="25.5" hidden="false" customHeight="true" outlineLevel="0" collapsed="false">
      <c r="A20" s="89" t="s">
        <v>3480</v>
      </c>
      <c r="B20" s="89" t="s">
        <v>2666</v>
      </c>
      <c r="C20" s="89" t="s">
        <v>3481</v>
      </c>
      <c r="D20" s="89" t="s">
        <v>3479</v>
      </c>
      <c r="E20" s="89" t="s">
        <v>2666</v>
      </c>
      <c r="F20" s="89" t="s">
        <v>2000</v>
      </c>
      <c r="G20" s="89" t="s">
        <v>3482</v>
      </c>
      <c r="H20" s="89" t="s">
        <v>3435</v>
      </c>
      <c r="I20" s="83" t="n">
        <v>46175</v>
      </c>
      <c r="J20" s="89" t="n">
        <v>90000</v>
      </c>
      <c r="K20" s="89" t="s">
        <v>3446</v>
      </c>
      <c r="L20" s="99" t="n">
        <v>3176.67</v>
      </c>
      <c r="M20" s="89" t="s">
        <v>2733</v>
      </c>
      <c r="N20" s="4" t="n">
        <f aca="false">D_F01!$B$7-I20</f>
        <v>28</v>
      </c>
      <c r="O20" s="33" t="n">
        <f aca="false">J20*L20</f>
        <v>285900300</v>
      </c>
      <c r="P20" s="33" t="n">
        <f aca="false">IF(E20="F01",O20,0)</f>
        <v>285900300</v>
      </c>
      <c r="Q20" s="27" t="n">
        <f aca="false">IF(OR(D20="NVL",D20="HH"),Nguong!$B$31,Nguong!$B$32)</f>
        <v>60</v>
      </c>
      <c r="R20" s="4" t="n">
        <f aca="false">IF(AND(E20="F01",N20&gt;Q20),1,0)</f>
        <v>0</v>
      </c>
      <c r="S20" s="4" t="n">
        <f aca="false">IF(AND(E20="F01",OR(R20=1,H20="Đã hủy")),1,0)</f>
        <v>0</v>
      </c>
      <c r="T20" s="4" t="n">
        <f aca="false">P20/D_F01!$B$10*D_F01!$B$8</f>
        <v>0.90635529221986</v>
      </c>
    </row>
    <row r="21" customFormat="false" ht="25.5" hidden="false" customHeight="true" outlineLevel="0" collapsed="false">
      <c r="A21" s="82" t="s">
        <v>3483</v>
      </c>
      <c r="B21" s="82" t="s">
        <v>2666</v>
      </c>
      <c r="C21" s="82" t="s">
        <v>3484</v>
      </c>
      <c r="D21" s="82" t="s">
        <v>3433</v>
      </c>
      <c r="E21" s="82" t="s">
        <v>2666</v>
      </c>
      <c r="F21" s="82" t="s">
        <v>1992</v>
      </c>
      <c r="G21" s="82" t="s">
        <v>3485</v>
      </c>
      <c r="H21" s="82" t="s">
        <v>3435</v>
      </c>
      <c r="I21" s="84" t="n">
        <v>46173</v>
      </c>
      <c r="J21" s="82" t="n">
        <v>30000</v>
      </c>
      <c r="K21" s="82" t="s">
        <v>3436</v>
      </c>
      <c r="L21" s="98" t="n">
        <v>130000</v>
      </c>
      <c r="M21" s="82" t="s">
        <v>2733</v>
      </c>
      <c r="N21" s="3" t="n">
        <f aca="false">D_F01!$B$7-I21</f>
        <v>30</v>
      </c>
      <c r="O21" s="32" t="n">
        <f aca="false">J21*L21</f>
        <v>3900000000</v>
      </c>
      <c r="P21" s="32" t="n">
        <f aca="false">IF(E21="F01",O21,0)</f>
        <v>3900000000</v>
      </c>
      <c r="Q21" s="26" t="n">
        <f aca="false">IF(OR(D21="NVL",D21="HH"),Nguong!$B$31,Nguong!$B$32)</f>
        <v>60</v>
      </c>
      <c r="R21" s="3" t="n">
        <f aca="false">IF(AND(E21="F01",N21&gt;Q21),1,0)</f>
        <v>0</v>
      </c>
      <c r="S21" s="3" t="n">
        <f aca="false">IF(AND(E21="F01",OR(R21=1,H21="Đã hủy")),1,0)</f>
        <v>0</v>
      </c>
      <c r="T21" s="3" t="n">
        <f aca="false">P21/D_F01!$B$10*D_F01!$B$8</f>
        <v>12.3637003516871</v>
      </c>
    </row>
    <row r="22" customFormat="false" ht="25.5" hidden="false" customHeight="true" outlineLevel="0" collapsed="false">
      <c r="A22" s="89" t="s">
        <v>3486</v>
      </c>
      <c r="B22" s="89" t="s">
        <v>2666</v>
      </c>
      <c r="C22" s="89" t="s">
        <v>3487</v>
      </c>
      <c r="D22" s="89" t="s">
        <v>3433</v>
      </c>
      <c r="E22" s="89" t="s">
        <v>2666</v>
      </c>
      <c r="F22" s="89" t="s">
        <v>1992</v>
      </c>
      <c r="G22" s="89" t="s">
        <v>3488</v>
      </c>
      <c r="H22" s="89" t="s">
        <v>3435</v>
      </c>
      <c r="I22" s="83" t="n">
        <v>46178</v>
      </c>
      <c r="J22" s="89" t="n">
        <v>9000</v>
      </c>
      <c r="K22" s="89" t="s">
        <v>3436</v>
      </c>
      <c r="L22" s="99" t="n">
        <v>120000</v>
      </c>
      <c r="M22" s="89" t="s">
        <v>2733</v>
      </c>
      <c r="N22" s="4" t="n">
        <f aca="false">D_F01!$B$7-I22</f>
        <v>25</v>
      </c>
      <c r="O22" s="33" t="n">
        <f aca="false">J22*L22</f>
        <v>1080000000</v>
      </c>
      <c r="P22" s="33" t="n">
        <f aca="false">IF(E22="F01",O22,0)</f>
        <v>1080000000</v>
      </c>
      <c r="Q22" s="27" t="n">
        <f aca="false">IF(OR(D22="NVL",D22="HH"),Nguong!$B$31,Nguong!$B$32)</f>
        <v>60</v>
      </c>
      <c r="R22" s="4" t="n">
        <f aca="false">IF(AND(E22="F01",N22&gt;Q22),1,0)</f>
        <v>0</v>
      </c>
      <c r="S22" s="4" t="n">
        <f aca="false">IF(AND(E22="F01",OR(R22=1,H22="Đã hủy")),1,0)</f>
        <v>0</v>
      </c>
      <c r="T22" s="4" t="n">
        <f aca="false">P22/D_F01!$B$10*D_F01!$B$8</f>
        <v>3.42379394354413</v>
      </c>
    </row>
    <row r="23" customFormat="false" ht="25.5" hidden="false" customHeight="true" outlineLevel="0" collapsed="false">
      <c r="A23" s="82" t="s">
        <v>3489</v>
      </c>
      <c r="B23" s="82" t="s">
        <v>2666</v>
      </c>
      <c r="C23" s="82" t="s">
        <v>3490</v>
      </c>
      <c r="D23" s="82" t="s">
        <v>3433</v>
      </c>
      <c r="E23" s="82" t="s">
        <v>2666</v>
      </c>
      <c r="F23" s="82" t="s">
        <v>2000</v>
      </c>
      <c r="G23" s="82" t="s">
        <v>3482</v>
      </c>
      <c r="H23" s="82" t="s">
        <v>3435</v>
      </c>
      <c r="I23" s="84" t="n">
        <v>46181</v>
      </c>
      <c r="J23" s="82" t="n">
        <v>51000</v>
      </c>
      <c r="K23" s="82" t="s">
        <v>3446</v>
      </c>
      <c r="L23" s="98" t="n">
        <v>2500</v>
      </c>
      <c r="M23" s="82" t="s">
        <v>2733</v>
      </c>
      <c r="N23" s="3" t="n">
        <f aca="false">D_F01!$B$7-I23</f>
        <v>22</v>
      </c>
      <c r="O23" s="32" t="n">
        <f aca="false">J23*L23</f>
        <v>127500000</v>
      </c>
      <c r="P23" s="32" t="n">
        <f aca="false">IF(E23="F01",O23,0)</f>
        <v>127500000</v>
      </c>
      <c r="Q23" s="26" t="n">
        <f aca="false">IF(OR(D23="NVL",D23="HH"),Nguong!$B$31,Nguong!$B$32)</f>
        <v>60</v>
      </c>
      <c r="R23" s="3" t="n">
        <f aca="false">IF(AND(E23="F01",N23&gt;Q23),1,0)</f>
        <v>0</v>
      </c>
      <c r="S23" s="3" t="n">
        <f aca="false">IF(AND(E23="F01",OR(R23=1,H23="Đã hủy")),1,0)</f>
        <v>0</v>
      </c>
      <c r="T23" s="3" t="n">
        <f aca="false">P23/D_F01!$B$10*D_F01!$B$8</f>
        <v>0.404197896112848</v>
      </c>
    </row>
    <row r="24" customFormat="false" ht="25.5" hidden="false" customHeight="true" outlineLevel="0" collapsed="false">
      <c r="A24" s="89" t="s">
        <v>3491</v>
      </c>
      <c r="B24" s="89" t="s">
        <v>2666</v>
      </c>
      <c r="C24" s="89" t="s">
        <v>3492</v>
      </c>
      <c r="D24" s="89" t="s">
        <v>3433</v>
      </c>
      <c r="E24" s="89" t="s">
        <v>2666</v>
      </c>
      <c r="F24" s="89" t="s">
        <v>1994</v>
      </c>
      <c r="G24" s="89" t="s">
        <v>3485</v>
      </c>
      <c r="H24" s="89" t="s">
        <v>3435</v>
      </c>
      <c r="I24" s="83" t="n">
        <v>46179</v>
      </c>
      <c r="J24" s="89" t="n">
        <v>18000</v>
      </c>
      <c r="K24" s="89" t="s">
        <v>3493</v>
      </c>
      <c r="L24" s="99" t="n">
        <v>19060.03</v>
      </c>
      <c r="M24" s="89" t="s">
        <v>2733</v>
      </c>
      <c r="N24" s="4" t="n">
        <f aca="false">D_F01!$B$7-I24</f>
        <v>24</v>
      </c>
      <c r="O24" s="33" t="n">
        <f aca="false">J24*L24</f>
        <v>343080540</v>
      </c>
      <c r="P24" s="33" t="n">
        <f aca="false">IF(E24="F01",O24,0)</f>
        <v>343080540</v>
      </c>
      <c r="Q24" s="27" t="n">
        <f aca="false">IF(OR(D24="NVL",D24="HH"),Nguong!$B$31,Nguong!$B$32)</f>
        <v>60</v>
      </c>
      <c r="R24" s="4" t="n">
        <f aca="false">IF(AND(E24="F01",N24&gt;Q24),1,0)</f>
        <v>0</v>
      </c>
      <c r="S24" s="4" t="n">
        <f aca="false">IF(AND(E24="F01",OR(R24=1,H24="Đã hủy")),1,0)</f>
        <v>0</v>
      </c>
      <c r="T24" s="4" t="n">
        <f aca="false">P24/D_F01!$B$10*D_F01!$B$8</f>
        <v>1.08762692129616</v>
      </c>
    </row>
    <row r="25" customFormat="false" ht="39.75" hidden="false" customHeight="true" outlineLevel="0" collapsed="false">
      <c r="A25" s="82" t="s">
        <v>3494</v>
      </c>
      <c r="B25" s="82" t="s">
        <v>2666</v>
      </c>
      <c r="C25" s="82" t="s">
        <v>3495</v>
      </c>
      <c r="D25" s="82" t="s">
        <v>3433</v>
      </c>
      <c r="E25" s="82" t="s">
        <v>2666</v>
      </c>
      <c r="F25" s="82" t="s">
        <v>1992</v>
      </c>
      <c r="G25" s="82" t="s">
        <v>3434</v>
      </c>
      <c r="H25" s="82" t="s">
        <v>3435</v>
      </c>
      <c r="I25" s="84" t="n">
        <v>46148</v>
      </c>
      <c r="J25" s="82" t="n">
        <v>9000</v>
      </c>
      <c r="K25" s="82" t="s">
        <v>3436</v>
      </c>
      <c r="L25" s="98" t="n">
        <v>44473.39</v>
      </c>
      <c r="M25" s="82" t="s">
        <v>2733</v>
      </c>
      <c r="N25" s="3" t="n">
        <f aca="false">D_F01!$B$7-I25</f>
        <v>55</v>
      </c>
      <c r="O25" s="32" t="n">
        <f aca="false">J25*L25</f>
        <v>400260510</v>
      </c>
      <c r="P25" s="32" t="n">
        <f aca="false">IF(E25="F01",O25,0)</f>
        <v>400260510</v>
      </c>
      <c r="Q25" s="26" t="n">
        <f aca="false">IF(OR(D25="NVL",D25="HH"),Nguong!$B$31,Nguong!$B$32)</f>
        <v>60</v>
      </c>
      <c r="R25" s="3" t="n">
        <f aca="false">IF(AND(E25="F01",N25&gt;Q25),1,0)</f>
        <v>0</v>
      </c>
      <c r="S25" s="3" t="n">
        <f aca="false">IF(AND(E25="F01",OR(R25=1,H25="Đã hủy")),1,0)</f>
        <v>0</v>
      </c>
      <c r="T25" s="3" t="n">
        <f aca="false">P25/D_F01!$B$10*D_F01!$B$8</f>
        <v>1.26889769442397</v>
      </c>
    </row>
    <row r="26" customFormat="false" ht="25.5" hidden="false" customHeight="true" outlineLevel="0" collapsed="false">
      <c r="A26" s="89" t="s">
        <v>3496</v>
      </c>
      <c r="B26" s="89" t="s">
        <v>2666</v>
      </c>
      <c r="C26" s="89" t="s">
        <v>3497</v>
      </c>
      <c r="D26" s="89" t="s">
        <v>3433</v>
      </c>
      <c r="E26" s="89" t="s">
        <v>2666</v>
      </c>
      <c r="F26" s="89" t="s">
        <v>1992</v>
      </c>
      <c r="G26" s="89" t="s">
        <v>3498</v>
      </c>
      <c r="H26" s="89" t="s">
        <v>3499</v>
      </c>
      <c r="I26" s="83" t="n">
        <v>46053</v>
      </c>
      <c r="J26" s="89" t="n">
        <v>3000</v>
      </c>
      <c r="K26" s="89" t="s">
        <v>3436</v>
      </c>
      <c r="L26" s="99" t="n">
        <v>114360.16</v>
      </c>
      <c r="M26" s="89" t="s">
        <v>2733</v>
      </c>
      <c r="N26" s="4" t="n">
        <f aca="false">D_F01!$B$7-I26</f>
        <v>150</v>
      </c>
      <c r="O26" s="33" t="n">
        <f aca="false">J26*L26</f>
        <v>343080480</v>
      </c>
      <c r="P26" s="33" t="n">
        <f aca="false">IF(E26="F01",O26,0)</f>
        <v>343080480</v>
      </c>
      <c r="Q26" s="27" t="n">
        <f aca="false">IF(OR(D26="NVL",D26="HH"),Nguong!$B$31,Nguong!$B$32)</f>
        <v>60</v>
      </c>
      <c r="R26" s="4" t="n">
        <f aca="false">IF(AND(E26="F01",N26&gt;Q26),1,0)</f>
        <v>1</v>
      </c>
      <c r="S26" s="4" t="n">
        <f aca="false">IF(AND(E26="F01",OR(R26=1,H26="Đã hủy")),1,0)</f>
        <v>1</v>
      </c>
      <c r="T26" s="4" t="n">
        <f aca="false">P26/D_F01!$B$10*D_F01!$B$8</f>
        <v>1.08762673108538</v>
      </c>
    </row>
    <row r="27" customFormat="false" ht="25.5" hidden="false" customHeight="true" outlineLevel="0" collapsed="false">
      <c r="A27" s="82" t="s">
        <v>3500</v>
      </c>
      <c r="B27" s="82" t="s">
        <v>2666</v>
      </c>
      <c r="C27" s="82" t="s">
        <v>3501</v>
      </c>
      <c r="D27" s="82" t="s">
        <v>3433</v>
      </c>
      <c r="E27" s="82" t="s">
        <v>2666</v>
      </c>
      <c r="F27" s="82" t="s">
        <v>2000</v>
      </c>
      <c r="G27" s="82" t="s">
        <v>3485</v>
      </c>
      <c r="H27" s="82" t="s">
        <v>3435</v>
      </c>
      <c r="I27" s="84" t="n">
        <v>46173</v>
      </c>
      <c r="J27" s="82" t="n">
        <v>1200</v>
      </c>
      <c r="K27" s="82" t="s">
        <v>3502</v>
      </c>
      <c r="L27" s="98" t="n">
        <v>152480.21</v>
      </c>
      <c r="M27" s="82" t="s">
        <v>2733</v>
      </c>
      <c r="N27" s="3" t="n">
        <f aca="false">D_F01!$B$7-I27</f>
        <v>30</v>
      </c>
      <c r="O27" s="32" t="n">
        <f aca="false">J27*L27</f>
        <v>182976252</v>
      </c>
      <c r="P27" s="32" t="n">
        <f aca="false">IF(E27="F01",O27,0)</f>
        <v>182976252</v>
      </c>
      <c r="Q27" s="26" t="n">
        <f aca="false">IF(OR(D27="NVL",D27="HH"),Nguong!$B$31,Nguong!$B$32)</f>
        <v>60</v>
      </c>
      <c r="R27" s="3" t="n">
        <f aca="false">IF(AND(E27="F01",N27&gt;Q27),1,0)</f>
        <v>0</v>
      </c>
      <c r="S27" s="3" t="n">
        <f aca="false">IF(AND(E27="F01",OR(R27=1,H27="Đã hủy")),1,0)</f>
        <v>0</v>
      </c>
      <c r="T27" s="3" t="n">
        <f aca="false">P27/D_F01!$B$10*D_F01!$B$8</f>
        <v>0.580067577231485</v>
      </c>
    </row>
    <row r="28" customFormat="false" ht="25.5" hidden="false" customHeight="true" outlineLevel="0" collapsed="false">
      <c r="A28" s="89" t="s">
        <v>3503</v>
      </c>
      <c r="B28" s="89" t="s">
        <v>2666</v>
      </c>
      <c r="C28" s="89" t="s">
        <v>3504</v>
      </c>
      <c r="D28" s="89" t="s">
        <v>3460</v>
      </c>
      <c r="E28" s="89" t="s">
        <v>2666</v>
      </c>
      <c r="F28" s="89"/>
      <c r="G28" s="89" t="s">
        <v>3505</v>
      </c>
      <c r="H28" s="89" t="s">
        <v>3435</v>
      </c>
      <c r="I28" s="83" t="n">
        <v>46195</v>
      </c>
      <c r="J28" s="89" t="n">
        <v>7500</v>
      </c>
      <c r="K28" s="89" t="s">
        <v>3453</v>
      </c>
      <c r="L28" s="99" t="n">
        <v>120713.5</v>
      </c>
      <c r="M28" s="89" t="s">
        <v>2733</v>
      </c>
      <c r="N28" s="4" t="n">
        <f aca="false">D_F01!$B$7-I28</f>
        <v>8</v>
      </c>
      <c r="O28" s="33" t="n">
        <f aca="false">J28*L28</f>
        <v>905351250</v>
      </c>
      <c r="P28" s="33" t="n">
        <f aca="false">IF(E28="F01",O28,0)</f>
        <v>905351250</v>
      </c>
      <c r="Q28" s="27" t="n">
        <f aca="false">IF(OR(D28="NVL",D28="HH"),Nguong!$B$31,Nguong!$B$32)</f>
        <v>30</v>
      </c>
      <c r="R28" s="4" t="n">
        <f aca="false">IF(AND(E28="F01",N28&gt;Q28),1,0)</f>
        <v>0</v>
      </c>
      <c r="S28" s="4" t="n">
        <f aca="false">IF(AND(E28="F01",OR(R28=1,H28="Đã hủy")),1,0)</f>
        <v>0</v>
      </c>
      <c r="T28" s="4" t="n">
        <f aca="false">P28/D_F01!$B$10*D_F01!$B$8</f>
        <v>2.87012604308343</v>
      </c>
    </row>
    <row r="29" customFormat="false" ht="25.5" hidden="false" customHeight="true" outlineLevel="0" collapsed="false">
      <c r="A29" s="82" t="s">
        <v>3506</v>
      </c>
      <c r="B29" s="82" t="s">
        <v>2666</v>
      </c>
      <c r="C29" s="82" t="s">
        <v>3507</v>
      </c>
      <c r="D29" s="82" t="s">
        <v>3460</v>
      </c>
      <c r="E29" s="82" t="s">
        <v>2666</v>
      </c>
      <c r="F29" s="82"/>
      <c r="G29" s="82" t="s">
        <v>3505</v>
      </c>
      <c r="H29" s="82" t="s">
        <v>3435</v>
      </c>
      <c r="I29" s="84" t="n">
        <v>46178</v>
      </c>
      <c r="J29" s="82" t="n">
        <v>4500</v>
      </c>
      <c r="K29" s="82" t="s">
        <v>3453</v>
      </c>
      <c r="L29" s="98" t="n">
        <v>139773.53</v>
      </c>
      <c r="M29" s="82" t="s">
        <v>2733</v>
      </c>
      <c r="N29" s="3" t="n">
        <f aca="false">D_F01!$B$7-I29</f>
        <v>25</v>
      </c>
      <c r="O29" s="32" t="n">
        <f aca="false">J29*L29</f>
        <v>628980885</v>
      </c>
      <c r="P29" s="32" t="n">
        <f aca="false">IF(E29="F01",O29,0)</f>
        <v>628980885</v>
      </c>
      <c r="Q29" s="26" t="n">
        <f aca="false">IF(OR(D29="NVL",D29="HH"),Nguong!$B$31,Nguong!$B$32)</f>
        <v>30</v>
      </c>
      <c r="R29" s="3" t="n">
        <f aca="false">IF(AND(E29="F01",N29&gt;Q29),1,0)</f>
        <v>0</v>
      </c>
      <c r="S29" s="3" t="n">
        <f aca="false">IF(AND(E29="F01",OR(R29=1,H29="Đã hủy")),1,0)</f>
        <v>0</v>
      </c>
      <c r="T29" s="3" t="n">
        <f aca="false">P29/D_F01!$B$10*D_F01!$B$8</f>
        <v>1.9939823561741</v>
      </c>
    </row>
    <row r="30" customFormat="false" ht="25.5" hidden="false" customHeight="true" outlineLevel="0" collapsed="false">
      <c r="A30" s="89" t="s">
        <v>3508</v>
      </c>
      <c r="B30" s="89" t="s">
        <v>2666</v>
      </c>
      <c r="C30" s="89" t="s">
        <v>3509</v>
      </c>
      <c r="D30" s="89" t="s">
        <v>3469</v>
      </c>
      <c r="E30" s="89" t="s">
        <v>2666</v>
      </c>
      <c r="F30" s="89"/>
      <c r="G30" s="89" t="s">
        <v>3510</v>
      </c>
      <c r="H30" s="89" t="s">
        <v>3435</v>
      </c>
      <c r="I30" s="83" t="n">
        <v>46191</v>
      </c>
      <c r="J30" s="89" t="n">
        <v>3000</v>
      </c>
      <c r="K30" s="89" t="s">
        <v>3453</v>
      </c>
      <c r="L30" s="99" t="n">
        <v>190600.26</v>
      </c>
      <c r="M30" s="89" t="s">
        <v>2733</v>
      </c>
      <c r="N30" s="4" t="n">
        <f aca="false">D_F01!$B$7-I30</f>
        <v>12</v>
      </c>
      <c r="O30" s="33" t="n">
        <f aca="false">J30*L30</f>
        <v>571800780</v>
      </c>
      <c r="P30" s="33" t="n">
        <f aca="false">IF(E30="F01",O30,0)</f>
        <v>571800780</v>
      </c>
      <c r="Q30" s="27" t="n">
        <f aca="false">IF(OR(D30="NVL",D30="HH"),Nguong!$B$31,Nguong!$B$32)</f>
        <v>30</v>
      </c>
      <c r="R30" s="4" t="n">
        <f aca="false">IF(AND(E30="F01",N30&gt;Q30),1,0)</f>
        <v>0</v>
      </c>
      <c r="S30" s="4" t="n">
        <f aca="false">IF(AND(E30="F01",OR(R30=1,H30="Đã hủy")),1,0)</f>
        <v>0</v>
      </c>
      <c r="T30" s="4" t="n">
        <f aca="false">P30/D_F01!$B$10*D_F01!$B$8</f>
        <v>1.81271115507204</v>
      </c>
    </row>
    <row r="31" customFormat="false" ht="25.5" hidden="false" customHeight="true" outlineLevel="0" collapsed="false">
      <c r="A31" s="82" t="s">
        <v>2505</v>
      </c>
      <c r="B31" s="82" t="s">
        <v>2666</v>
      </c>
      <c r="C31" s="82" t="s">
        <v>3511</v>
      </c>
      <c r="D31" s="82" t="s">
        <v>3469</v>
      </c>
      <c r="E31" s="82" t="s">
        <v>2666</v>
      </c>
      <c r="F31" s="82"/>
      <c r="G31" s="82" t="s">
        <v>3512</v>
      </c>
      <c r="H31" s="82" t="s">
        <v>3499</v>
      </c>
      <c r="I31" s="84" t="n">
        <v>46043</v>
      </c>
      <c r="J31" s="82" t="n">
        <v>3000</v>
      </c>
      <c r="K31" s="82" t="s">
        <v>3453</v>
      </c>
      <c r="L31" s="98" t="n">
        <v>203306.95</v>
      </c>
      <c r="M31" s="82" t="s">
        <v>2733</v>
      </c>
      <c r="N31" s="3" t="n">
        <f aca="false">D_F01!$B$7-I31</f>
        <v>160</v>
      </c>
      <c r="O31" s="32" t="n">
        <f aca="false">J31*L31</f>
        <v>609920850</v>
      </c>
      <c r="P31" s="32" t="n">
        <f aca="false">IF(E31="F01",O31,0)</f>
        <v>609920850</v>
      </c>
      <c r="Q31" s="26" t="n">
        <f aca="false">IF(OR(D31="NVL",D31="HH"),Nguong!$B$31,Nguong!$B$32)</f>
        <v>30</v>
      </c>
      <c r="R31" s="3" t="n">
        <f aca="false">IF(AND(E31="F01",N31&gt;Q31),1,0)</f>
        <v>1</v>
      </c>
      <c r="S31" s="3" t="n">
        <f aca="false">IF(AND(E31="F01",OR(R31=1,H31="Đã hủy")),1,0)</f>
        <v>1</v>
      </c>
      <c r="T31" s="3" t="n">
        <f aca="false">P31/D_F01!$B$10*D_F01!$B$8</f>
        <v>1.93355862247341</v>
      </c>
    </row>
    <row r="32" customFormat="false" ht="25.5" hidden="false" customHeight="true" outlineLevel="0" collapsed="false">
      <c r="A32" s="89" t="s">
        <v>3513</v>
      </c>
      <c r="B32" s="89" t="s">
        <v>2666</v>
      </c>
      <c r="C32" s="89" t="s">
        <v>3514</v>
      </c>
      <c r="D32" s="89" t="s">
        <v>3469</v>
      </c>
      <c r="E32" s="89" t="s">
        <v>2666</v>
      </c>
      <c r="F32" s="89"/>
      <c r="G32" s="89" t="s">
        <v>3515</v>
      </c>
      <c r="H32" s="89" t="s">
        <v>3435</v>
      </c>
      <c r="I32" s="83" t="n">
        <v>46197</v>
      </c>
      <c r="J32" s="89" t="n">
        <v>4500</v>
      </c>
      <c r="K32" s="89" t="s">
        <v>3453</v>
      </c>
      <c r="L32" s="99" t="n">
        <v>228720.32</v>
      </c>
      <c r="M32" s="89" t="s">
        <v>2733</v>
      </c>
      <c r="N32" s="4" t="n">
        <f aca="false">D_F01!$B$7-I32</f>
        <v>6</v>
      </c>
      <c r="O32" s="33" t="n">
        <f aca="false">J32*L32</f>
        <v>1029241440</v>
      </c>
      <c r="P32" s="33" t="n">
        <f aca="false">IF(E32="F01",O32,0)</f>
        <v>1029241440</v>
      </c>
      <c r="Q32" s="27" t="n">
        <f aca="false">IF(OR(D32="NVL",D32="HH"),Nguong!$B$31,Nguong!$B$32)</f>
        <v>30</v>
      </c>
      <c r="R32" s="4" t="n">
        <f aca="false">IF(AND(E32="F01",N32&gt;Q32),1,0)</f>
        <v>0</v>
      </c>
      <c r="S32" s="4" t="n">
        <f aca="false">IF(AND(E32="F01",OR(R32=1,H32="Đã hủy")),1,0)</f>
        <v>0</v>
      </c>
      <c r="T32" s="4" t="n">
        <f aca="false">P32/D_F01!$B$10*D_F01!$B$8</f>
        <v>3.26288019325614</v>
      </c>
    </row>
    <row r="33" customFormat="false" ht="25.5" hidden="false" customHeight="true" outlineLevel="0" collapsed="false">
      <c r="A33" s="82" t="s">
        <v>3516</v>
      </c>
      <c r="B33" s="82" t="s">
        <v>2666</v>
      </c>
      <c r="C33" s="82" t="s">
        <v>3517</v>
      </c>
      <c r="D33" s="82" t="s">
        <v>3479</v>
      </c>
      <c r="E33" s="82" t="s">
        <v>2666</v>
      </c>
      <c r="F33" s="82" t="s">
        <v>1999</v>
      </c>
      <c r="G33" s="82" t="s">
        <v>3518</v>
      </c>
      <c r="H33" s="82" t="s">
        <v>3435</v>
      </c>
      <c r="I33" s="84" t="n">
        <v>46175</v>
      </c>
      <c r="J33" s="82" t="n">
        <v>3750</v>
      </c>
      <c r="K33" s="82" t="s">
        <v>3453</v>
      </c>
      <c r="L33" s="98" t="n">
        <v>76240.11</v>
      </c>
      <c r="M33" s="82" t="s">
        <v>2733</v>
      </c>
      <c r="N33" s="3" t="n">
        <f aca="false">D_F01!$B$7-I33</f>
        <v>28</v>
      </c>
      <c r="O33" s="32" t="n">
        <f aca="false">J33*L33</f>
        <v>285900412.5</v>
      </c>
      <c r="P33" s="32" t="n">
        <f aca="false">IF(E33="F01",O33,0)</f>
        <v>285900412.5</v>
      </c>
      <c r="Q33" s="26" t="n">
        <f aca="false">IF(OR(D33="NVL",D33="HH"),Nguong!$B$31,Nguong!$B$32)</f>
        <v>60</v>
      </c>
      <c r="R33" s="3" t="n">
        <f aca="false">IF(AND(E33="F01",N33&gt;Q33),1,0)</f>
        <v>0</v>
      </c>
      <c r="S33" s="3" t="n">
        <f aca="false">IF(AND(E33="F01",OR(R33=1,H33="Đã hủy")),1,0)</f>
        <v>0</v>
      </c>
      <c r="T33" s="3" t="n">
        <f aca="false">P33/D_F01!$B$10*D_F01!$B$8</f>
        <v>0.906355648865062</v>
      </c>
    </row>
    <row r="34" customFormat="false" ht="25.5" hidden="false" customHeight="true" outlineLevel="0" collapsed="false">
      <c r="A34" s="89" t="s">
        <v>3519</v>
      </c>
      <c r="B34" s="89" t="s">
        <v>2666</v>
      </c>
      <c r="C34" s="89" t="s">
        <v>3520</v>
      </c>
      <c r="D34" s="89" t="s">
        <v>3479</v>
      </c>
      <c r="E34" s="89" t="s">
        <v>2666</v>
      </c>
      <c r="F34" s="89" t="s">
        <v>1999</v>
      </c>
      <c r="G34" s="89" t="s">
        <v>3521</v>
      </c>
      <c r="H34" s="89" t="s">
        <v>3499</v>
      </c>
      <c r="I34" s="83" t="n">
        <v>45983</v>
      </c>
      <c r="J34" s="89" t="n">
        <v>900</v>
      </c>
      <c r="K34" s="89" t="s">
        <v>3453</v>
      </c>
      <c r="L34" s="99" t="n">
        <v>127066.84</v>
      </c>
      <c r="M34" s="89" t="s">
        <v>2733</v>
      </c>
      <c r="N34" s="4" t="n">
        <f aca="false">D_F01!$B$7-I34</f>
        <v>220</v>
      </c>
      <c r="O34" s="33" t="n">
        <f aca="false">J34*L34</f>
        <v>114360156</v>
      </c>
      <c r="P34" s="33" t="n">
        <f aca="false">IF(E34="F01",O34,0)</f>
        <v>114360156</v>
      </c>
      <c r="Q34" s="27" t="n">
        <f aca="false">IF(OR(D34="NVL",D34="HH"),Nguong!$B$31,Nguong!$B$32)</f>
        <v>60</v>
      </c>
      <c r="R34" s="4" t="n">
        <f aca="false">IF(AND(E34="F01",N34&gt;Q34),1,0)</f>
        <v>1</v>
      </c>
      <c r="S34" s="4" t="n">
        <f aca="false">IF(AND(E34="F01",OR(R34=1,H34="Đã hủy")),1,0)</f>
        <v>1</v>
      </c>
      <c r="T34" s="4" t="n">
        <f aca="false">P34/D_F01!$B$10*D_F01!$B$8</f>
        <v>0.362542231014409</v>
      </c>
    </row>
    <row r="35" customFormat="false" ht="25.5" hidden="false" customHeight="true" outlineLevel="0" collapsed="false">
      <c r="A35" s="82" t="s">
        <v>3522</v>
      </c>
      <c r="B35" s="82" t="s">
        <v>2666</v>
      </c>
      <c r="C35" s="82" t="s">
        <v>3523</v>
      </c>
      <c r="D35" s="82" t="s">
        <v>3469</v>
      </c>
      <c r="E35" s="82" t="s">
        <v>2666</v>
      </c>
      <c r="F35" s="82"/>
      <c r="G35" s="82" t="s">
        <v>3524</v>
      </c>
      <c r="H35" s="82" t="s">
        <v>3435</v>
      </c>
      <c r="I35" s="84" t="n">
        <v>46175</v>
      </c>
      <c r="J35" s="82" t="n">
        <v>2250</v>
      </c>
      <c r="K35" s="82" t="s">
        <v>3453</v>
      </c>
      <c r="L35" s="98" t="n">
        <v>177893.58</v>
      </c>
      <c r="M35" s="82" t="s">
        <v>2733</v>
      </c>
      <c r="N35" s="3" t="n">
        <f aca="false">D_F01!$B$7-I35</f>
        <v>28</v>
      </c>
      <c r="O35" s="32" t="n">
        <f aca="false">J35*L35</f>
        <v>400260555</v>
      </c>
      <c r="P35" s="32" t="n">
        <f aca="false">IF(E35="F01",O35,0)</f>
        <v>400260555</v>
      </c>
      <c r="Q35" s="26" t="n">
        <f aca="false">IF(OR(D35="NVL",D35="HH"),Nguong!$B$31,Nguong!$B$32)</f>
        <v>30</v>
      </c>
      <c r="R35" s="3" t="n">
        <f aca="false">IF(AND(E35="F01",N35&gt;Q35),1,0)</f>
        <v>0</v>
      </c>
      <c r="S35" s="3" t="n">
        <f aca="false">IF(AND(E35="F01",OR(R35=1,H35="Đã hủy")),1,0)</f>
        <v>0</v>
      </c>
      <c r="T35" s="3" t="n">
        <f aca="false">P35/D_F01!$B$10*D_F01!$B$8</f>
        <v>1.26889783708205</v>
      </c>
    </row>
    <row r="36" customFormat="false" ht="25.5" hidden="false" customHeight="true" outlineLevel="0" collapsed="false">
      <c r="A36" s="89" t="s">
        <v>3525</v>
      </c>
      <c r="B36" s="89" t="s">
        <v>2666</v>
      </c>
      <c r="C36" s="89" t="s">
        <v>3526</v>
      </c>
      <c r="D36" s="89" t="s">
        <v>3433</v>
      </c>
      <c r="E36" s="89" t="s">
        <v>2666</v>
      </c>
      <c r="F36" s="89" t="s">
        <v>1992</v>
      </c>
      <c r="G36" s="89" t="s">
        <v>3527</v>
      </c>
      <c r="H36" s="89" t="s">
        <v>3435</v>
      </c>
      <c r="I36" s="83" t="n">
        <v>46133</v>
      </c>
      <c r="J36" s="89" t="n">
        <v>4500</v>
      </c>
      <c r="K36" s="89" t="s">
        <v>3436</v>
      </c>
      <c r="L36" s="99" t="n">
        <v>63533.42</v>
      </c>
      <c r="M36" s="89" t="s">
        <v>2733</v>
      </c>
      <c r="N36" s="4" t="n">
        <f aca="false">D_F01!$B$7-I36</f>
        <v>70</v>
      </c>
      <c r="O36" s="33" t="n">
        <f aca="false">J36*L36</f>
        <v>285900390</v>
      </c>
      <c r="P36" s="33" t="n">
        <f aca="false">IF(E36="F01",O36,0)</f>
        <v>285900390</v>
      </c>
      <c r="Q36" s="27" t="n">
        <f aca="false">IF(OR(D36="NVL",D36="HH"),Nguong!$B$31,Nguong!$B$32)</f>
        <v>60</v>
      </c>
      <c r="R36" s="4" t="n">
        <f aca="false">IF(AND(E36="F01",N36&gt;Q36),1,0)</f>
        <v>1</v>
      </c>
      <c r="S36" s="4" t="n">
        <f aca="false">IF(AND(E36="F01",OR(R36=1,H36="Đã hủy")),1,0)</f>
        <v>1</v>
      </c>
      <c r="T36" s="4" t="n">
        <f aca="false">P36/D_F01!$B$10*D_F01!$B$8</f>
        <v>0.906355577536022</v>
      </c>
    </row>
    <row r="37" customFormat="false" ht="25.5" hidden="false" customHeight="true" outlineLevel="0" collapsed="false">
      <c r="A37" s="82" t="s">
        <v>3528</v>
      </c>
      <c r="B37" s="82" t="s">
        <v>2666</v>
      </c>
      <c r="C37" s="82" t="s">
        <v>3529</v>
      </c>
      <c r="D37" s="82" t="s">
        <v>3469</v>
      </c>
      <c r="E37" s="82" t="s">
        <v>2666</v>
      </c>
      <c r="F37" s="82"/>
      <c r="G37" s="82" t="s">
        <v>3530</v>
      </c>
      <c r="H37" s="82" t="s">
        <v>3435</v>
      </c>
      <c r="I37" s="84" t="n">
        <v>46183</v>
      </c>
      <c r="J37" s="82" t="n">
        <v>1800</v>
      </c>
      <c r="K37" s="82" t="s">
        <v>3453</v>
      </c>
      <c r="L37" s="98" t="n">
        <v>216013.63</v>
      </c>
      <c r="M37" s="82" t="s">
        <v>2733</v>
      </c>
      <c r="N37" s="3" t="n">
        <f aca="false">D_F01!$B$7-I37</f>
        <v>20</v>
      </c>
      <c r="O37" s="32" t="n">
        <f aca="false">J37*L37</f>
        <v>388824534</v>
      </c>
      <c r="P37" s="32" t="n">
        <f aca="false">IF(E37="F01",O37,0)</f>
        <v>388824534</v>
      </c>
      <c r="Q37" s="26" t="n">
        <f aca="false">IF(OR(D37="NVL",D37="HH"),Nguong!$B$31,Nguong!$B$32)</f>
        <v>30</v>
      </c>
      <c r="R37" s="3" t="n">
        <f aca="false">IF(AND(E37="F01",N37&gt;Q37),1,0)</f>
        <v>0</v>
      </c>
      <c r="S37" s="3" t="n">
        <f aca="false">IF(AND(E37="F01",OR(R37=1,H37="Đã hủy")),1,0)</f>
        <v>0</v>
      </c>
      <c r="T37" s="3" t="n">
        <f aca="false">P37/D_F01!$B$10*D_F01!$B$8</f>
        <v>1.23264359686164</v>
      </c>
    </row>
    <row r="38" customFormat="false" ht="13.5" hidden="false" customHeight="false" outlineLevel="0" collapsed="false">
      <c r="A38" s="82" t="s">
        <v>3531</v>
      </c>
      <c r="B38" s="82" t="s">
        <v>2666</v>
      </c>
      <c r="C38" s="82" t="s">
        <v>3532</v>
      </c>
      <c r="D38" s="82" t="s">
        <v>3433</v>
      </c>
      <c r="E38" s="82" t="s">
        <v>2666</v>
      </c>
      <c r="F38" s="82" t="s">
        <v>1992</v>
      </c>
      <c r="G38" s="82" t="s">
        <v>3533</v>
      </c>
      <c r="H38" s="82" t="s">
        <v>3435</v>
      </c>
      <c r="I38" s="84" t="n">
        <v>46197</v>
      </c>
      <c r="J38" s="82" t="n">
        <v>9000</v>
      </c>
      <c r="K38" s="82" t="s">
        <v>3436</v>
      </c>
      <c r="L38" s="98" t="n">
        <v>128000</v>
      </c>
      <c r="M38" s="82" t="s">
        <v>2733</v>
      </c>
      <c r="N38" s="3" t="n">
        <f aca="false">D_F01!$B$7-I38</f>
        <v>6</v>
      </c>
      <c r="O38" s="32" t="n">
        <f aca="false">J38*L38</f>
        <v>1152000000</v>
      </c>
      <c r="P38" s="32" t="n">
        <f aca="false">IF(E38="F01",O38,0)</f>
        <v>1152000000</v>
      </c>
      <c r="Q38" s="26" t="n">
        <f aca="false">IF(OR(D38="NVL",D38="HH"),Nguong!$B$31,Nguong!$B$32)</f>
        <v>60</v>
      </c>
      <c r="R38" s="3" t="n">
        <f aca="false">IF(AND(E38="F01",N38&gt;Q38),1,0)</f>
        <v>0</v>
      </c>
      <c r="S38" s="3" t="n">
        <f aca="false">IF(AND(E38="F01",OR(R38=1,H38="Đã hủy")),1,0)</f>
        <v>0</v>
      </c>
      <c r="T38" s="3" t="n">
        <f aca="false">P38/D_F01!$B$10*D_F01!$B$8</f>
        <v>3.65204687311373</v>
      </c>
    </row>
    <row r="39" customFormat="false" ht="13.5" hidden="false" customHeight="false" outlineLevel="0" collapsed="false">
      <c r="A39" s="82" t="s">
        <v>3534</v>
      </c>
      <c r="B39" s="82" t="s">
        <v>2666</v>
      </c>
      <c r="C39" s="82" t="s">
        <v>3535</v>
      </c>
      <c r="D39" s="82" t="s">
        <v>3433</v>
      </c>
      <c r="E39" s="82" t="s">
        <v>2666</v>
      </c>
      <c r="F39" s="82" t="s">
        <v>2000</v>
      </c>
      <c r="G39" s="82" t="s">
        <v>3533</v>
      </c>
      <c r="H39" s="82" t="s">
        <v>3435</v>
      </c>
      <c r="I39" s="84" t="n">
        <v>46200</v>
      </c>
      <c r="J39" s="82" t="n">
        <v>42000</v>
      </c>
      <c r="K39" s="82" t="s">
        <v>3446</v>
      </c>
      <c r="L39" s="98" t="n">
        <v>2450</v>
      </c>
      <c r="M39" s="82" t="s">
        <v>2733</v>
      </c>
      <c r="N39" s="3" t="n">
        <f aca="false">D_F01!$B$7-I39</f>
        <v>3</v>
      </c>
      <c r="O39" s="32" t="n">
        <f aca="false">J39*L39</f>
        <v>102900000</v>
      </c>
      <c r="P39" s="32" t="n">
        <f aca="false">IF(E39="F01",O39,0)</f>
        <v>102900000</v>
      </c>
      <c r="Q39" s="26" t="n">
        <f aca="false">IF(OR(D39="NVL",D39="HH"),Nguong!$B$31,Nguong!$B$32)</f>
        <v>60</v>
      </c>
      <c r="R39" s="3" t="n">
        <f aca="false">IF(AND(E39="F01",N39&gt;Q39),1,0)</f>
        <v>0</v>
      </c>
      <c r="S39" s="3" t="n">
        <f aca="false">IF(AND(E39="F01",OR(R39=1,H39="Đã hủy")),1,0)</f>
        <v>0</v>
      </c>
      <c r="T39" s="3" t="n">
        <f aca="false">P39/D_F01!$B$10*D_F01!$B$8</f>
        <v>0.326211478509899</v>
      </c>
    </row>
    <row r="40" customFormat="false" ht="13.5" hidden="false" customHeight="false" outlineLevel="0" collapsed="false">
      <c r="A40" s="82" t="s">
        <v>3536</v>
      </c>
      <c r="B40" s="82" t="s">
        <v>2666</v>
      </c>
      <c r="C40" s="82" t="s">
        <v>3537</v>
      </c>
      <c r="D40" s="82" t="s">
        <v>3460</v>
      </c>
      <c r="E40" s="82" t="s">
        <v>2666</v>
      </c>
      <c r="F40" s="82"/>
      <c r="G40" s="82" t="s">
        <v>3538</v>
      </c>
      <c r="H40" s="82" t="s">
        <v>3435</v>
      </c>
      <c r="I40" s="84" t="n">
        <v>46202</v>
      </c>
      <c r="J40" s="82" t="n">
        <v>6000</v>
      </c>
      <c r="K40" s="82" t="s">
        <v>3453</v>
      </c>
      <c r="L40" s="98" t="n">
        <v>118500</v>
      </c>
      <c r="M40" s="82" t="s">
        <v>2733</v>
      </c>
      <c r="N40" s="3" t="n">
        <f aca="false">D_F01!$B$7-I40</f>
        <v>1</v>
      </c>
      <c r="O40" s="32" t="n">
        <f aca="false">J40*L40</f>
        <v>711000000</v>
      </c>
      <c r="P40" s="32" t="n">
        <f aca="false">IF(E40="F01",O40,0)</f>
        <v>711000000</v>
      </c>
      <c r="Q40" s="26" t="n">
        <f aca="false">IF(OR(D40="NVL",D40="HH"),Nguong!$B$31,Nguong!$B$32)</f>
        <v>30</v>
      </c>
      <c r="R40" s="3" t="n">
        <f aca="false">IF(AND(E40="F01",N40&gt;Q40),1,0)</f>
        <v>0</v>
      </c>
      <c r="S40" s="3" t="n">
        <f aca="false">IF(AND(E40="F01",OR(R40=1,H40="Đã hủy")),1,0)</f>
        <v>0</v>
      </c>
      <c r="T40" s="3" t="n">
        <f aca="false">P40/D_F01!$B$10*D_F01!$B$8</f>
        <v>2.25399767949988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2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H44" activePane="bottomRight" state="frozen"/>
      <selection pane="topLeft" activeCell="A1" activeCellId="0" sqref="A1"/>
      <selection pane="topRight" activeCell="H1" activeCellId="0" sqref="H1"/>
      <selection pane="bottomLeft" activeCell="A44" activeCellId="0" sqref="A44"/>
      <selection pane="bottomRight" activeCell="I52" activeCellId="0" sqref="I52"/>
    </sheetView>
  </sheetViews>
  <sheetFormatPr defaultColWidth="8.6796875" defaultRowHeight="13.5" zeroHeight="false" outlineLevelRow="0" outlineLevelCol="0"/>
  <cols>
    <col collapsed="false" customWidth="true" hidden="false" outlineLevel="0" max="1" min="1" style="0" width="24"/>
    <col collapsed="false" customWidth="true" hidden="false" outlineLevel="0" max="3" min="2" style="0" width="12"/>
    <col collapsed="false" customWidth="true" hidden="false" outlineLevel="0" max="4" min="4" style="0" width="25"/>
    <col collapsed="false" customWidth="true" hidden="false" outlineLevel="0" max="5" min="5" style="0" width="18"/>
    <col collapsed="false" customWidth="true" hidden="false" outlineLevel="0" max="6" min="6" style="0" width="24"/>
    <col collapsed="false" customWidth="true" hidden="false" outlineLevel="0" max="7" min="7" style="0" width="18"/>
    <col collapsed="false" customWidth="true" hidden="false" outlineLevel="0" max="8" min="8" style="0" width="25"/>
    <col collapsed="false" customWidth="true" hidden="false" outlineLevel="0" max="9" min="9" style="0" width="34"/>
    <col collapsed="false" customWidth="true" hidden="false" outlineLevel="0" max="10" min="10" style="0" width="14"/>
    <col collapsed="false" customWidth="true" hidden="false" outlineLevel="0" max="11" min="11" style="0" width="28"/>
    <col collapsed="false" customWidth="true" hidden="false" outlineLevel="0" max="12" min="12" style="0" width="18"/>
  </cols>
  <sheetData>
    <row r="2" customFormat="false" ht="17.25" hidden="false" customHeight="true" outlineLevel="0" collapsed="false">
      <c r="A2" s="1" t="s">
        <v>3539</v>
      </c>
    </row>
    <row r="4" customFormat="false" ht="33.75" hidden="false" customHeight="true" outlineLevel="0" collapsed="false">
      <c r="A4" s="2" t="s">
        <v>2106</v>
      </c>
      <c r="B4" s="2" t="s">
        <v>3540</v>
      </c>
      <c r="C4" s="2" t="s">
        <v>2109</v>
      </c>
      <c r="D4" s="2" t="s">
        <v>2121</v>
      </c>
      <c r="E4" s="2" t="s">
        <v>3541</v>
      </c>
      <c r="F4" s="2" t="s">
        <v>3542</v>
      </c>
      <c r="G4" s="2" t="s">
        <v>3543</v>
      </c>
      <c r="H4" s="2" t="s">
        <v>3544</v>
      </c>
      <c r="I4" s="2" t="s">
        <v>3545</v>
      </c>
      <c r="J4" s="2" t="s">
        <v>2122</v>
      </c>
      <c r="K4" s="2" t="s">
        <v>3546</v>
      </c>
      <c r="L4" s="2" t="s">
        <v>2123</v>
      </c>
    </row>
    <row r="5" customFormat="false" ht="25.5" hidden="false" customHeight="true" outlineLevel="0" collapsed="false">
      <c r="A5" s="82" t="s">
        <v>2246</v>
      </c>
      <c r="B5" s="82" t="s">
        <v>2666</v>
      </c>
      <c r="C5" s="82" t="s">
        <v>2201</v>
      </c>
      <c r="D5" s="82" t="s">
        <v>2250</v>
      </c>
      <c r="E5" s="84" t="n">
        <v>46231</v>
      </c>
      <c r="F5" s="87" t="n">
        <v>1500000000</v>
      </c>
      <c r="G5" s="82" t="s">
        <v>3547</v>
      </c>
      <c r="H5" s="82"/>
      <c r="I5" s="82" t="s">
        <v>2247</v>
      </c>
      <c r="J5" s="82" t="n">
        <v>1</v>
      </c>
      <c r="K5" s="82" t="s">
        <v>1593</v>
      </c>
      <c r="L5" s="84" t="n">
        <v>46203</v>
      </c>
    </row>
    <row r="6" customFormat="false" ht="25.5" hidden="false" customHeight="true" outlineLevel="0" collapsed="false">
      <c r="A6" s="89" t="s">
        <v>2251</v>
      </c>
      <c r="B6" s="89" t="s">
        <v>2666</v>
      </c>
      <c r="C6" s="89" t="s">
        <v>2201</v>
      </c>
      <c r="D6" s="89" t="s">
        <v>2250</v>
      </c>
      <c r="E6" s="83" t="n">
        <v>46262</v>
      </c>
      <c r="F6" s="88" t="n">
        <v>1500000000</v>
      </c>
      <c r="G6" s="89" t="s">
        <v>3547</v>
      </c>
      <c r="H6" s="89"/>
      <c r="I6" s="89" t="s">
        <v>2247</v>
      </c>
      <c r="J6" s="89" t="n">
        <v>1</v>
      </c>
      <c r="K6" s="89" t="s">
        <v>1593</v>
      </c>
      <c r="L6" s="83" t="n">
        <v>46203</v>
      </c>
    </row>
    <row r="7" customFormat="false" ht="25.5" hidden="false" customHeight="true" outlineLevel="0" collapsed="false">
      <c r="A7" s="82" t="s">
        <v>2252</v>
      </c>
      <c r="B7" s="82" t="s">
        <v>2666</v>
      </c>
      <c r="C7" s="82" t="s">
        <v>2201</v>
      </c>
      <c r="D7" s="82" t="s">
        <v>2250</v>
      </c>
      <c r="E7" s="84" t="n">
        <v>46293</v>
      </c>
      <c r="F7" s="87" t="n">
        <v>1500000000</v>
      </c>
      <c r="G7" s="82" t="s">
        <v>3547</v>
      </c>
      <c r="H7" s="82"/>
      <c r="I7" s="82" t="s">
        <v>2247</v>
      </c>
      <c r="J7" s="82" t="n">
        <v>1</v>
      </c>
      <c r="K7" s="82" t="s">
        <v>1593</v>
      </c>
      <c r="L7" s="84" t="n">
        <v>46203</v>
      </c>
    </row>
    <row r="8" customFormat="false" ht="25.5" hidden="false" customHeight="true" outlineLevel="0" collapsed="false">
      <c r="A8" s="89" t="s">
        <v>2253</v>
      </c>
      <c r="B8" s="89" t="s">
        <v>2666</v>
      </c>
      <c r="C8" s="89" t="s">
        <v>2201</v>
      </c>
      <c r="D8" s="89" t="s">
        <v>2255</v>
      </c>
      <c r="E8" s="83" t="n">
        <v>46223</v>
      </c>
      <c r="F8" s="88" t="n">
        <v>240000000</v>
      </c>
      <c r="G8" s="89" t="s">
        <v>3547</v>
      </c>
      <c r="H8" s="89"/>
      <c r="I8" s="89" t="s">
        <v>2254</v>
      </c>
      <c r="J8" s="89" t="n">
        <v>1</v>
      </c>
      <c r="K8" s="89" t="s">
        <v>1593</v>
      </c>
      <c r="L8" s="83" t="n">
        <v>46203</v>
      </c>
    </row>
    <row r="9" customFormat="false" ht="25.5" hidden="false" customHeight="true" outlineLevel="0" collapsed="false">
      <c r="A9" s="82" t="s">
        <v>2256</v>
      </c>
      <c r="B9" s="82" t="s">
        <v>2666</v>
      </c>
      <c r="C9" s="82" t="s">
        <v>2201</v>
      </c>
      <c r="D9" s="82" t="s">
        <v>2255</v>
      </c>
      <c r="E9" s="84" t="n">
        <v>46254</v>
      </c>
      <c r="F9" s="87" t="n">
        <v>240000000</v>
      </c>
      <c r="G9" s="82" t="s">
        <v>3547</v>
      </c>
      <c r="H9" s="82"/>
      <c r="I9" s="82" t="s">
        <v>2254</v>
      </c>
      <c r="J9" s="82" t="n">
        <v>1</v>
      </c>
      <c r="K9" s="82" t="s">
        <v>1593</v>
      </c>
      <c r="L9" s="84" t="n">
        <v>46203</v>
      </c>
    </row>
    <row r="10" customFormat="false" ht="25.5" hidden="false" customHeight="true" outlineLevel="0" collapsed="false">
      <c r="A10" s="89" t="s">
        <v>2257</v>
      </c>
      <c r="B10" s="89" t="s">
        <v>2666</v>
      </c>
      <c r="C10" s="89" t="s">
        <v>2201</v>
      </c>
      <c r="D10" s="89" t="s">
        <v>2255</v>
      </c>
      <c r="E10" s="83" t="n">
        <v>46283</v>
      </c>
      <c r="F10" s="88" t="n">
        <v>240000000</v>
      </c>
      <c r="G10" s="89" t="s">
        <v>3547</v>
      </c>
      <c r="H10" s="89"/>
      <c r="I10" s="89" t="s">
        <v>2254</v>
      </c>
      <c r="J10" s="89" t="n">
        <v>1</v>
      </c>
      <c r="K10" s="89" t="s">
        <v>1593</v>
      </c>
      <c r="L10" s="83" t="n">
        <v>46203</v>
      </c>
    </row>
    <row r="11" customFormat="false" ht="25.5" hidden="false" customHeight="true" outlineLevel="0" collapsed="false">
      <c r="A11" s="82" t="s">
        <v>2258</v>
      </c>
      <c r="B11" s="82" t="s">
        <v>2666</v>
      </c>
      <c r="C11" s="82" t="s">
        <v>2201</v>
      </c>
      <c r="D11" s="82" t="s">
        <v>2260</v>
      </c>
      <c r="E11" s="84" t="n">
        <v>46204</v>
      </c>
      <c r="F11" s="87" t="n">
        <v>180000000</v>
      </c>
      <c r="G11" s="82" t="s">
        <v>3547</v>
      </c>
      <c r="H11" s="82"/>
      <c r="I11" s="82" t="s">
        <v>2259</v>
      </c>
      <c r="J11" s="82" t="n">
        <v>1</v>
      </c>
      <c r="K11" s="82" t="s">
        <v>1593</v>
      </c>
      <c r="L11" s="84" t="n">
        <v>46203</v>
      </c>
    </row>
    <row r="12" customFormat="false" ht="25.5" hidden="false" customHeight="true" outlineLevel="0" collapsed="false">
      <c r="A12" s="89" t="s">
        <v>2261</v>
      </c>
      <c r="B12" s="89" t="s">
        <v>2666</v>
      </c>
      <c r="C12" s="89" t="s">
        <v>2201</v>
      </c>
      <c r="D12" s="89" t="s">
        <v>2260</v>
      </c>
      <c r="E12" s="83" t="n">
        <v>46235</v>
      </c>
      <c r="F12" s="88" t="n">
        <v>180000000</v>
      </c>
      <c r="G12" s="89" t="s">
        <v>3547</v>
      </c>
      <c r="H12" s="89"/>
      <c r="I12" s="89" t="s">
        <v>2259</v>
      </c>
      <c r="J12" s="89" t="n">
        <v>1</v>
      </c>
      <c r="K12" s="89" t="s">
        <v>1593</v>
      </c>
      <c r="L12" s="83" t="n">
        <v>46203</v>
      </c>
    </row>
    <row r="13" customFormat="false" ht="25.5" hidden="false" customHeight="true" outlineLevel="0" collapsed="false">
      <c r="A13" s="82" t="s">
        <v>2262</v>
      </c>
      <c r="B13" s="82" t="s">
        <v>2666</v>
      </c>
      <c r="C13" s="82" t="s">
        <v>2201</v>
      </c>
      <c r="D13" s="82" t="s">
        <v>2260</v>
      </c>
      <c r="E13" s="84" t="n">
        <v>46266</v>
      </c>
      <c r="F13" s="87" t="n">
        <v>180000000</v>
      </c>
      <c r="G13" s="82" t="s">
        <v>3547</v>
      </c>
      <c r="H13" s="82"/>
      <c r="I13" s="82" t="s">
        <v>2259</v>
      </c>
      <c r="J13" s="82" t="n">
        <v>1</v>
      </c>
      <c r="K13" s="82" t="s">
        <v>1593</v>
      </c>
      <c r="L13" s="84" t="n">
        <v>46203</v>
      </c>
    </row>
    <row r="14" customFormat="false" ht="25.5" hidden="false" customHeight="true" outlineLevel="0" collapsed="false">
      <c r="A14" s="89" t="s">
        <v>2263</v>
      </c>
      <c r="B14" s="89" t="s">
        <v>2666</v>
      </c>
      <c r="C14" s="89" t="s">
        <v>2201</v>
      </c>
      <c r="D14" s="89" t="s">
        <v>2265</v>
      </c>
      <c r="E14" s="83" t="n">
        <v>46249</v>
      </c>
      <c r="F14" s="88" t="n">
        <v>1000000000</v>
      </c>
      <c r="G14" s="89" t="s">
        <v>3547</v>
      </c>
      <c r="H14" s="89"/>
      <c r="I14" s="89" t="s">
        <v>2264</v>
      </c>
      <c r="J14" s="89" t="n">
        <v>1</v>
      </c>
      <c r="K14" s="89" t="s">
        <v>1593</v>
      </c>
      <c r="L14" s="83" t="n">
        <v>46203</v>
      </c>
    </row>
    <row r="15" customFormat="false" ht="25.5" hidden="false" customHeight="true" outlineLevel="0" collapsed="false">
      <c r="A15" s="82" t="s">
        <v>2266</v>
      </c>
      <c r="B15" s="82" t="s">
        <v>2666</v>
      </c>
      <c r="C15" s="82" t="s">
        <v>2201</v>
      </c>
      <c r="D15" s="82" t="s">
        <v>2267</v>
      </c>
      <c r="E15" s="84" t="n">
        <v>46249</v>
      </c>
      <c r="F15" s="87" t="n">
        <v>8000000</v>
      </c>
      <c r="G15" s="82" t="s">
        <v>3547</v>
      </c>
      <c r="H15" s="82"/>
      <c r="I15" s="82" t="s">
        <v>2264</v>
      </c>
      <c r="J15" s="82" t="n">
        <v>1</v>
      </c>
      <c r="K15" s="82" t="s">
        <v>1593</v>
      </c>
      <c r="L15" s="84" t="n">
        <v>46203</v>
      </c>
    </row>
    <row r="16" customFormat="false" ht="25.5" hidden="false" customHeight="true" outlineLevel="0" collapsed="false">
      <c r="A16" s="82" t="s">
        <v>3548</v>
      </c>
      <c r="B16" s="82" t="s">
        <v>2666</v>
      </c>
      <c r="C16" s="82" t="s">
        <v>2201</v>
      </c>
      <c r="D16" s="100" t="str">
        <f aca="false">D_purchases!F17</f>
        <v>Vận tải</v>
      </c>
      <c r="E16" s="101" t="n">
        <f aca="false">IF(ISNUMBER(D_purchases!J17),D_purchases!J17,D_purchases!I17)</f>
        <v>46052</v>
      </c>
      <c r="F16" s="86" t="n">
        <f aca="false">D_purchases!G17</f>
        <v>116202126</v>
      </c>
      <c r="G16" s="100" t="str">
        <f aca="false">IF(ISNUMBER(D_purchases!J17),"confirmed","estimated")</f>
        <v>confirmed</v>
      </c>
      <c r="H16" s="82" t="str">
        <f aca="false">D_purchases!A17</f>
        <v>BILL-F01-0013</v>
      </c>
      <c r="I16" s="82" t="str">
        <f aca="false">D_purchases!D17</f>
        <v>Vận tải nội địa NCC5</v>
      </c>
      <c r="J16" s="82" t="n">
        <f aca="false">D_purchases!U17</f>
        <v>0</v>
      </c>
      <c r="K16" s="82" t="s">
        <v>3549</v>
      </c>
      <c r="L16" s="84" t="n">
        <f aca="false">D_F01!$B$7</f>
        <v>46203</v>
      </c>
    </row>
    <row r="17" customFormat="false" ht="25.5" hidden="false" customHeight="true" outlineLevel="0" collapsed="false">
      <c r="A17" s="82" t="s">
        <v>3550</v>
      </c>
      <c r="B17" s="82" t="s">
        <v>2666</v>
      </c>
      <c r="C17" s="82" t="s">
        <v>2201</v>
      </c>
      <c r="D17" s="100" t="str">
        <f aca="false">D_purchases!F19</f>
        <v>Vận tải</v>
      </c>
      <c r="E17" s="101" t="n">
        <f aca="false">IF(ISNUMBER(D_purchases!J19),D_purchases!J19,D_purchases!I19)</f>
        <v>46059</v>
      </c>
      <c r="F17" s="86" t="n">
        <f aca="false">D_purchases!G19</f>
        <v>47866788</v>
      </c>
      <c r="G17" s="100" t="str">
        <f aca="false">IF(ISNUMBER(D_purchases!J19),"confirmed","estimated")</f>
        <v>confirmed</v>
      </c>
      <c r="H17" s="82" t="str">
        <f aca="false">D_purchases!A19</f>
        <v>BILL-F01-0015</v>
      </c>
      <c r="I17" s="82" t="str">
        <f aca="false">D_purchases!D19</f>
        <v>Vận tải nội địa NCC5</v>
      </c>
      <c r="J17" s="82" t="n">
        <f aca="false">D_purchases!U19</f>
        <v>0</v>
      </c>
      <c r="K17" s="82" t="s">
        <v>3549</v>
      </c>
      <c r="L17" s="84" t="n">
        <f aca="false">D_F01!$B$7</f>
        <v>46203</v>
      </c>
    </row>
    <row r="18" customFormat="false" ht="25.5" hidden="false" customHeight="true" outlineLevel="0" collapsed="false">
      <c r="A18" s="82" t="s">
        <v>3551</v>
      </c>
      <c r="B18" s="82" t="s">
        <v>2666</v>
      </c>
      <c r="C18" s="82" t="s">
        <v>2201</v>
      </c>
      <c r="D18" s="100" t="str">
        <f aca="false">D_purchases!F22</f>
        <v>Tiện ích (điện)</v>
      </c>
      <c r="E18" s="101" t="n">
        <f aca="false">IF(ISNUMBER(D_purchases!J22),D_purchases!J22,D_purchases!I22)</f>
        <v>46061</v>
      </c>
      <c r="F18" s="86" t="n">
        <f aca="false">D_purchases!G22</f>
        <v>214095756</v>
      </c>
      <c r="G18" s="100" t="str">
        <f aca="false">IF(ISNUMBER(D_purchases!J22),"confirmed","estimated")</f>
        <v>confirmed</v>
      </c>
      <c r="H18" s="82" t="str">
        <f aca="false">D_purchases!A22</f>
        <v>BILL-F01-0018</v>
      </c>
      <c r="I18" s="82" t="str">
        <f aca="false">D_purchases!D22</f>
        <v>Điện lực khu công nghiệp</v>
      </c>
      <c r="J18" s="82" t="n">
        <f aca="false">D_purchases!U22</f>
        <v>1</v>
      </c>
      <c r="K18" s="82" t="s">
        <v>3549</v>
      </c>
      <c r="L18" s="84" t="n">
        <f aca="false">D_F01!$B$7</f>
        <v>46203</v>
      </c>
    </row>
    <row r="19" customFormat="false" ht="25.5" hidden="false" customHeight="true" outlineLevel="0" collapsed="false">
      <c r="A19" s="82" t="s">
        <v>3552</v>
      </c>
      <c r="B19" s="82" t="s">
        <v>2666</v>
      </c>
      <c r="C19" s="82" t="s">
        <v>2201</v>
      </c>
      <c r="D19" s="100" t="str">
        <f aca="false">D_purchases!F24</f>
        <v>Vận tải</v>
      </c>
      <c r="E19" s="101" t="n">
        <f aca="false">IF(ISNUMBER(D_purchases!J24),D_purchases!J24,D_purchases!I24)</f>
        <v>46059</v>
      </c>
      <c r="F19" s="86" t="n">
        <f aca="false">D_purchases!G24</f>
        <v>79177266</v>
      </c>
      <c r="G19" s="100" t="str">
        <f aca="false">IF(ISNUMBER(D_purchases!J24),"confirmed","estimated")</f>
        <v>confirmed</v>
      </c>
      <c r="H19" s="82" t="str">
        <f aca="false">D_purchases!A24</f>
        <v>BILL-F01-0020</v>
      </c>
      <c r="I19" s="82" t="str">
        <f aca="false">D_purchases!D24</f>
        <v>Vận tải nội địa NCC5</v>
      </c>
      <c r="J19" s="82" t="n">
        <f aca="false">D_purchases!U24</f>
        <v>0</v>
      </c>
      <c r="K19" s="82" t="s">
        <v>3549</v>
      </c>
      <c r="L19" s="84" t="n">
        <f aca="false">D_F01!$B$7</f>
        <v>46203</v>
      </c>
    </row>
    <row r="20" customFormat="false" ht="25.5" hidden="false" customHeight="true" outlineLevel="0" collapsed="false">
      <c r="A20" s="82" t="s">
        <v>3553</v>
      </c>
      <c r="B20" s="82" t="s">
        <v>2666</v>
      </c>
      <c r="C20" s="82" t="s">
        <v>2201</v>
      </c>
      <c r="D20" s="100" t="str">
        <f aca="false">D_purchases!F34</f>
        <v>Vận tải</v>
      </c>
      <c r="E20" s="101" t="n">
        <f aca="false">IF(ISNUMBER(D_purchases!J34),D_purchases!J34,D_purchases!I34)</f>
        <v>46079</v>
      </c>
      <c r="F20" s="86" t="n">
        <f aca="false">D_purchases!G34</f>
        <v>70308114</v>
      </c>
      <c r="G20" s="100" t="str">
        <f aca="false">IF(ISNUMBER(D_purchases!J34),"confirmed","estimated")</f>
        <v>confirmed</v>
      </c>
      <c r="H20" s="82" t="str">
        <f aca="false">D_purchases!A34</f>
        <v>BILL-F01-0030</v>
      </c>
      <c r="I20" s="82" t="str">
        <f aca="false">D_purchases!D34</f>
        <v>Vận tải nội địa NCC5</v>
      </c>
      <c r="J20" s="82" t="n">
        <f aca="false">D_purchases!U34</f>
        <v>0</v>
      </c>
      <c r="K20" s="82" t="s">
        <v>3549</v>
      </c>
      <c r="L20" s="84" t="n">
        <f aca="false">D_F01!$B$7</f>
        <v>46203</v>
      </c>
    </row>
    <row r="21" customFormat="false" ht="25.5" hidden="false" customHeight="true" outlineLevel="0" collapsed="false">
      <c r="A21" s="82" t="s">
        <v>3554</v>
      </c>
      <c r="B21" s="82" t="s">
        <v>2666</v>
      </c>
      <c r="C21" s="82" t="s">
        <v>2201</v>
      </c>
      <c r="D21" s="100" t="str">
        <f aca="false">D_purchases!F39</f>
        <v>Vận tải</v>
      </c>
      <c r="E21" s="101" t="n">
        <f aca="false">IF(ISNUMBER(D_purchases!J39),D_purchases!J39,D_purchases!I39)</f>
        <v>46091</v>
      </c>
      <c r="F21" s="86" t="n">
        <f aca="false">D_purchases!G39</f>
        <v>119065560</v>
      </c>
      <c r="G21" s="100" t="str">
        <f aca="false">IF(ISNUMBER(D_purchases!J39),"confirmed","estimated")</f>
        <v>confirmed</v>
      </c>
      <c r="H21" s="82" t="str">
        <f aca="false">D_purchases!A39</f>
        <v>BILL-F01-0035</v>
      </c>
      <c r="I21" s="82" t="str">
        <f aca="false">D_purchases!D39</f>
        <v>Vận tải nội địa NCC5</v>
      </c>
      <c r="J21" s="82" t="n">
        <f aca="false">D_purchases!U39</f>
        <v>0</v>
      </c>
      <c r="K21" s="82" t="s">
        <v>3549</v>
      </c>
      <c r="L21" s="84" t="n">
        <f aca="false">D_F01!$B$7</f>
        <v>46203</v>
      </c>
    </row>
    <row r="22" customFormat="false" ht="25.5" hidden="false" customHeight="true" outlineLevel="0" collapsed="false">
      <c r="A22" s="82" t="s">
        <v>3555</v>
      </c>
      <c r="B22" s="82" t="s">
        <v>2666</v>
      </c>
      <c r="C22" s="82" t="s">
        <v>2201</v>
      </c>
      <c r="D22" s="100" t="str">
        <f aca="false">D_purchases!F40</f>
        <v>Tiện ích (điện)</v>
      </c>
      <c r="E22" s="101" t="n">
        <f aca="false">IF(ISNUMBER(D_purchases!J40),D_purchases!J40,D_purchases!I40)</f>
        <v>46091</v>
      </c>
      <c r="F22" s="86" t="n">
        <f aca="false">D_purchases!G40</f>
        <v>442783368</v>
      </c>
      <c r="G22" s="100" t="str">
        <f aca="false">IF(ISNUMBER(D_purchases!J40),"confirmed","estimated")</f>
        <v>confirmed</v>
      </c>
      <c r="H22" s="82" t="str">
        <f aca="false">D_purchases!A40</f>
        <v>BILL-F01-0036</v>
      </c>
      <c r="I22" s="82" t="str">
        <f aca="false">D_purchases!D40</f>
        <v>Điện lực khu công nghiệp</v>
      </c>
      <c r="J22" s="82" t="n">
        <f aca="false">D_purchases!U40</f>
        <v>1</v>
      </c>
      <c r="K22" s="82" t="s">
        <v>3549</v>
      </c>
      <c r="L22" s="84" t="n">
        <f aca="false">D_F01!$B$7</f>
        <v>46203</v>
      </c>
    </row>
    <row r="23" customFormat="false" ht="25.5" hidden="false" customHeight="true" outlineLevel="0" collapsed="false">
      <c r="A23" s="82" t="s">
        <v>3556</v>
      </c>
      <c r="B23" s="82" t="s">
        <v>2666</v>
      </c>
      <c r="C23" s="82" t="s">
        <v>2201</v>
      </c>
      <c r="D23" s="100" t="str">
        <f aca="false">D_purchases!F41</f>
        <v>Vận tải</v>
      </c>
      <c r="E23" s="101" t="n">
        <f aca="false">IF(ISNUMBER(D_purchases!J41),D_purchases!J41,D_purchases!I41)</f>
        <v>46094</v>
      </c>
      <c r="F23" s="86" t="n">
        <f aca="false">D_purchases!G41</f>
        <v>102729834</v>
      </c>
      <c r="G23" s="100" t="str">
        <f aca="false">IF(ISNUMBER(D_purchases!J41),"confirmed","estimated")</f>
        <v>confirmed</v>
      </c>
      <c r="H23" s="82" t="str">
        <f aca="false">D_purchases!A41</f>
        <v>BILL-F01-0037</v>
      </c>
      <c r="I23" s="82" t="str">
        <f aca="false">D_purchases!D41</f>
        <v>Vận tải nội địa NCC5</v>
      </c>
      <c r="J23" s="82" t="n">
        <f aca="false">D_purchases!U41</f>
        <v>0</v>
      </c>
      <c r="K23" s="82" t="s">
        <v>3549</v>
      </c>
      <c r="L23" s="84" t="n">
        <f aca="false">D_F01!$B$7</f>
        <v>46203</v>
      </c>
    </row>
    <row r="24" customFormat="false" ht="25.5" hidden="false" customHeight="true" outlineLevel="0" collapsed="false">
      <c r="A24" s="82" t="s">
        <v>3557</v>
      </c>
      <c r="B24" s="82" t="s">
        <v>2666</v>
      </c>
      <c r="C24" s="82" t="s">
        <v>2201</v>
      </c>
      <c r="D24" s="100" t="str">
        <f aca="false">D_purchases!F43</f>
        <v>Vận tải</v>
      </c>
      <c r="E24" s="101" t="n">
        <f aca="false">IF(ISNUMBER(D_purchases!J43),D_purchases!J43,D_purchases!I43)</f>
        <v>46098</v>
      </c>
      <c r="F24" s="86" t="n">
        <f aca="false">D_purchases!G43</f>
        <v>99279564</v>
      </c>
      <c r="G24" s="100" t="str">
        <f aca="false">IF(ISNUMBER(D_purchases!J43),"confirmed","estimated")</f>
        <v>confirmed</v>
      </c>
      <c r="H24" s="82" t="str">
        <f aca="false">D_purchases!A43</f>
        <v>BILL-F01-0039</v>
      </c>
      <c r="I24" s="82" t="str">
        <f aca="false">D_purchases!D43</f>
        <v>Vận tải nội địa NCC5</v>
      </c>
      <c r="J24" s="82" t="n">
        <f aca="false">D_purchases!U43</f>
        <v>0</v>
      </c>
      <c r="K24" s="82" t="s">
        <v>3549</v>
      </c>
      <c r="L24" s="84" t="n">
        <f aca="false">D_F01!$B$7</f>
        <v>46203</v>
      </c>
    </row>
    <row r="25" customFormat="false" ht="25.5" hidden="false" customHeight="true" outlineLevel="0" collapsed="false">
      <c r="A25" s="82" t="s">
        <v>3558</v>
      </c>
      <c r="B25" s="82" t="s">
        <v>2666</v>
      </c>
      <c r="C25" s="82" t="s">
        <v>2201</v>
      </c>
      <c r="D25" s="100" t="str">
        <f aca="false">D_purchases!F46</f>
        <v>Vận tải</v>
      </c>
      <c r="E25" s="101" t="n">
        <f aca="false">IF(ISNUMBER(D_purchases!J46),D_purchases!J46,D_purchases!I46)</f>
        <v>46099</v>
      </c>
      <c r="F25" s="86" t="n">
        <f aca="false">D_purchases!G46</f>
        <v>78715284</v>
      </c>
      <c r="G25" s="100" t="str">
        <f aca="false">IF(ISNUMBER(D_purchases!J46),"confirmed","estimated")</f>
        <v>confirmed</v>
      </c>
      <c r="H25" s="82" t="str">
        <f aca="false">D_purchases!A46</f>
        <v>BILL-F01-0042</v>
      </c>
      <c r="I25" s="82" t="str">
        <f aca="false">D_purchases!D46</f>
        <v>Vận tải nội địa NCC5</v>
      </c>
      <c r="J25" s="82" t="n">
        <f aca="false">D_purchases!U46</f>
        <v>0</v>
      </c>
      <c r="K25" s="82" t="s">
        <v>3549</v>
      </c>
      <c r="L25" s="84" t="n">
        <f aca="false">D_F01!$B$7</f>
        <v>46203</v>
      </c>
    </row>
    <row r="26" customFormat="false" ht="25.5" hidden="false" customHeight="true" outlineLevel="0" collapsed="false">
      <c r="A26" s="82" t="s">
        <v>3559</v>
      </c>
      <c r="B26" s="82" t="s">
        <v>2666</v>
      </c>
      <c r="C26" s="82" t="s">
        <v>2201</v>
      </c>
      <c r="D26" s="100" t="str">
        <f aca="false">D_purchases!F47</f>
        <v>Vận tải</v>
      </c>
      <c r="E26" s="101" t="n">
        <f aca="false">IF(ISNUMBER(D_purchases!J47),D_purchases!J47,D_purchases!I47)</f>
        <v>46101</v>
      </c>
      <c r="F26" s="86" t="n">
        <f aca="false">D_purchases!G47</f>
        <v>116589186</v>
      </c>
      <c r="G26" s="100" t="str">
        <f aca="false">IF(ISNUMBER(D_purchases!J47),"confirmed","estimated")</f>
        <v>confirmed</v>
      </c>
      <c r="H26" s="82" t="str">
        <f aca="false">D_purchases!A47</f>
        <v>BILL-F01-0043</v>
      </c>
      <c r="I26" s="82" t="str">
        <f aca="false">D_purchases!D47</f>
        <v>Vận tải nội địa NCC5</v>
      </c>
      <c r="J26" s="82" t="n">
        <f aca="false">D_purchases!U47</f>
        <v>0</v>
      </c>
      <c r="K26" s="82" t="s">
        <v>3549</v>
      </c>
      <c r="L26" s="84" t="n">
        <f aca="false">D_F01!$B$7</f>
        <v>46203</v>
      </c>
    </row>
    <row r="27" customFormat="false" ht="25.5" hidden="false" customHeight="true" outlineLevel="0" collapsed="false">
      <c r="A27" s="82" t="s">
        <v>3560</v>
      </c>
      <c r="B27" s="82" t="s">
        <v>2666</v>
      </c>
      <c r="C27" s="82" t="s">
        <v>2201</v>
      </c>
      <c r="D27" s="100" t="str">
        <f aca="false">D_purchases!F51</f>
        <v>Vận tải</v>
      </c>
      <c r="E27" s="101" t="n">
        <f aca="false">IF(ISNUMBER(D_purchases!J51),D_purchases!J51,D_purchases!I51)</f>
        <v>46106</v>
      </c>
      <c r="F27" s="86" t="n">
        <f aca="false">D_purchases!G51</f>
        <v>56190720</v>
      </c>
      <c r="G27" s="100" t="str">
        <f aca="false">IF(ISNUMBER(D_purchases!J51),"confirmed","estimated")</f>
        <v>confirmed</v>
      </c>
      <c r="H27" s="82" t="str">
        <f aca="false">D_purchases!A51</f>
        <v>BILL-F01-0047</v>
      </c>
      <c r="I27" s="82" t="str">
        <f aca="false">D_purchases!D51</f>
        <v>Vận tải nội địa NCC5</v>
      </c>
      <c r="J27" s="82" t="n">
        <f aca="false">D_purchases!U51</f>
        <v>0</v>
      </c>
      <c r="K27" s="82" t="s">
        <v>3549</v>
      </c>
      <c r="L27" s="84" t="n">
        <f aca="false">D_F01!$B$7</f>
        <v>46203</v>
      </c>
    </row>
    <row r="28" customFormat="false" ht="25.5" hidden="false" customHeight="true" outlineLevel="0" collapsed="false">
      <c r="A28" s="82" t="s">
        <v>3561</v>
      </c>
      <c r="B28" s="82" t="s">
        <v>2666</v>
      </c>
      <c r="C28" s="82" t="s">
        <v>2201</v>
      </c>
      <c r="D28" s="100" t="str">
        <f aca="false">D_purchases!F55</f>
        <v>Vận tải</v>
      </c>
      <c r="E28" s="101" t="n">
        <f aca="false">IF(ISNUMBER(D_purchases!J55),D_purchases!J55,D_purchases!I55)</f>
        <v>46112</v>
      </c>
      <c r="F28" s="86" t="n">
        <f aca="false">D_purchases!G55</f>
        <v>108465030</v>
      </c>
      <c r="G28" s="100" t="str">
        <f aca="false">IF(ISNUMBER(D_purchases!J55),"confirmed","estimated")</f>
        <v>confirmed</v>
      </c>
      <c r="H28" s="82" t="str">
        <f aca="false">D_purchases!A55</f>
        <v>BILL-F01-0051</v>
      </c>
      <c r="I28" s="82" t="str">
        <f aca="false">D_purchases!D55</f>
        <v>Vận tải nội địa NCC5</v>
      </c>
      <c r="J28" s="82" t="n">
        <f aca="false">D_purchases!U55</f>
        <v>0</v>
      </c>
      <c r="K28" s="82" t="s">
        <v>3549</v>
      </c>
      <c r="L28" s="84" t="n">
        <f aca="false">D_F01!$B$7</f>
        <v>46203</v>
      </c>
    </row>
    <row r="29" customFormat="false" ht="25.5" hidden="false" customHeight="true" outlineLevel="0" collapsed="false">
      <c r="A29" s="82" t="s">
        <v>3562</v>
      </c>
      <c r="B29" s="82" t="s">
        <v>2666</v>
      </c>
      <c r="C29" s="82" t="s">
        <v>2201</v>
      </c>
      <c r="D29" s="100" t="str">
        <f aca="false">D_purchases!F58</f>
        <v>Vận tải</v>
      </c>
      <c r="E29" s="101" t="n">
        <f aca="false">IF(ISNUMBER(D_purchases!J58),D_purchases!J58,D_purchases!I58)</f>
        <v>46113</v>
      </c>
      <c r="F29" s="86" t="n">
        <f aca="false">D_purchases!G58</f>
        <v>113388636</v>
      </c>
      <c r="G29" s="100" t="str">
        <f aca="false">IF(ISNUMBER(D_purchases!J58),"confirmed","estimated")</f>
        <v>confirmed</v>
      </c>
      <c r="H29" s="82" t="str">
        <f aca="false">D_purchases!A58</f>
        <v>BILL-F01-0054</v>
      </c>
      <c r="I29" s="82" t="str">
        <f aca="false">D_purchases!D58</f>
        <v>Vận tải nội địa NCC5</v>
      </c>
      <c r="J29" s="82" t="n">
        <f aca="false">D_purchases!U58</f>
        <v>0</v>
      </c>
      <c r="K29" s="82" t="s">
        <v>3549</v>
      </c>
      <c r="L29" s="84" t="n">
        <f aca="false">D_F01!$B$7</f>
        <v>46203</v>
      </c>
    </row>
    <row r="30" customFormat="false" ht="25.5" hidden="false" customHeight="true" outlineLevel="0" collapsed="false">
      <c r="A30" s="82" t="s">
        <v>3563</v>
      </c>
      <c r="B30" s="82" t="s">
        <v>2666</v>
      </c>
      <c r="C30" s="82" t="s">
        <v>2201</v>
      </c>
      <c r="D30" s="100" t="str">
        <f aca="false">D_purchases!F64</f>
        <v>Tiện ích (điện)</v>
      </c>
      <c r="E30" s="101" t="n">
        <f aca="false">IF(ISNUMBER(D_purchases!J64),D_purchases!J64,D_purchases!I64)</f>
        <v>46125</v>
      </c>
      <c r="F30" s="86" t="n">
        <f aca="false">D_purchases!G64</f>
        <v>233973312</v>
      </c>
      <c r="G30" s="100" t="str">
        <f aca="false">IF(ISNUMBER(D_purchases!J64),"confirmed","estimated")</f>
        <v>confirmed</v>
      </c>
      <c r="H30" s="82" t="str">
        <f aca="false">D_purchases!A64</f>
        <v>BILL-F01-0060</v>
      </c>
      <c r="I30" s="82" t="str">
        <f aca="false">D_purchases!D64</f>
        <v>Điện lực khu công nghiệp</v>
      </c>
      <c r="J30" s="82" t="n">
        <f aca="false">D_purchases!U64</f>
        <v>1</v>
      </c>
      <c r="K30" s="82" t="s">
        <v>3549</v>
      </c>
      <c r="L30" s="84" t="n">
        <f aca="false">D_F01!$B$7</f>
        <v>46203</v>
      </c>
    </row>
    <row r="31" customFormat="false" ht="25.5" hidden="false" customHeight="true" outlineLevel="0" collapsed="false">
      <c r="A31" s="82" t="s">
        <v>3564</v>
      </c>
      <c r="B31" s="82" t="s">
        <v>2666</v>
      </c>
      <c r="C31" s="82" t="s">
        <v>2201</v>
      </c>
      <c r="D31" s="100" t="str">
        <f aca="false">D_purchases!F70</f>
        <v>Vận tải</v>
      </c>
      <c r="E31" s="101" t="n">
        <f aca="false">IF(ISNUMBER(D_purchases!J70),D_purchases!J70,D_purchases!I70)</f>
        <v>46130</v>
      </c>
      <c r="F31" s="86" t="n">
        <f aca="false">D_purchases!G70</f>
        <v>132192402</v>
      </c>
      <c r="G31" s="100" t="str">
        <f aca="false">IF(ISNUMBER(D_purchases!J70),"confirmed","estimated")</f>
        <v>confirmed</v>
      </c>
      <c r="H31" s="82" t="str">
        <f aca="false">D_purchases!A70</f>
        <v>BILL-F01-0066</v>
      </c>
      <c r="I31" s="82" t="str">
        <f aca="false">D_purchases!D70</f>
        <v>Vận tải nội địa NCC5</v>
      </c>
      <c r="J31" s="82" t="n">
        <f aca="false">D_purchases!U70</f>
        <v>0</v>
      </c>
      <c r="K31" s="82" t="s">
        <v>3549</v>
      </c>
      <c r="L31" s="84" t="n">
        <f aca="false">D_F01!$B$7</f>
        <v>46203</v>
      </c>
    </row>
    <row r="32" customFormat="false" ht="25.5" hidden="false" customHeight="true" outlineLevel="0" collapsed="false">
      <c r="A32" s="82" t="s">
        <v>3565</v>
      </c>
      <c r="B32" s="82" t="s">
        <v>2666</v>
      </c>
      <c r="C32" s="82" t="s">
        <v>2201</v>
      </c>
      <c r="D32" s="100" t="str">
        <f aca="false">D_purchases!F82</f>
        <v>Vận tải</v>
      </c>
      <c r="E32" s="101" t="n">
        <f aca="false">IF(ISNUMBER(D_purchases!J82),D_purchases!J82,D_purchases!I82)</f>
        <v>46146</v>
      </c>
      <c r="F32" s="86" t="n">
        <f aca="false">D_purchases!G82</f>
        <v>48786582</v>
      </c>
      <c r="G32" s="100" t="str">
        <f aca="false">IF(ISNUMBER(D_purchases!J82),"confirmed","estimated")</f>
        <v>confirmed</v>
      </c>
      <c r="H32" s="82" t="str">
        <f aca="false">D_purchases!A82</f>
        <v>BILL-F01-0078</v>
      </c>
      <c r="I32" s="82" t="str">
        <f aca="false">D_purchases!D82</f>
        <v>Vận tải nội địa NCC5</v>
      </c>
      <c r="J32" s="82" t="n">
        <f aca="false">D_purchases!U82</f>
        <v>0</v>
      </c>
      <c r="K32" s="82" t="s">
        <v>3549</v>
      </c>
      <c r="L32" s="84" t="n">
        <f aca="false">D_F01!$B$7</f>
        <v>46203</v>
      </c>
    </row>
    <row r="33" customFormat="false" ht="25.5" hidden="false" customHeight="true" outlineLevel="0" collapsed="false">
      <c r="A33" s="82" t="s">
        <v>3566</v>
      </c>
      <c r="B33" s="82" t="s">
        <v>2666</v>
      </c>
      <c r="C33" s="82" t="s">
        <v>2201</v>
      </c>
      <c r="D33" s="100" t="str">
        <f aca="false">D_purchases!F88</f>
        <v>Tiện ích (điện)</v>
      </c>
      <c r="E33" s="101" t="n">
        <f aca="false">IF(ISNUMBER(D_purchases!J88),D_purchases!J88,D_purchases!I88)</f>
        <v>46155</v>
      </c>
      <c r="F33" s="86" t="n">
        <f aca="false">D_purchases!G88</f>
        <v>620711628</v>
      </c>
      <c r="G33" s="100" t="str">
        <f aca="false">IF(ISNUMBER(D_purchases!J88),"confirmed","estimated")</f>
        <v>confirmed</v>
      </c>
      <c r="H33" s="82" t="str">
        <f aca="false">D_purchases!A88</f>
        <v>BILL-F01-0084</v>
      </c>
      <c r="I33" s="82" t="str">
        <f aca="false">D_purchases!D88</f>
        <v>Điện lực khu công nghiệp</v>
      </c>
      <c r="J33" s="82" t="n">
        <f aca="false">D_purchases!U88</f>
        <v>1</v>
      </c>
      <c r="K33" s="82" t="s">
        <v>3549</v>
      </c>
      <c r="L33" s="84" t="n">
        <f aca="false">D_F01!$B$7</f>
        <v>46203</v>
      </c>
    </row>
    <row r="34" customFormat="false" ht="25.5" hidden="false" customHeight="true" outlineLevel="0" collapsed="false">
      <c r="A34" s="82" t="s">
        <v>3567</v>
      </c>
      <c r="B34" s="82" t="s">
        <v>2666</v>
      </c>
      <c r="C34" s="82" t="s">
        <v>2201</v>
      </c>
      <c r="D34" s="100" t="str">
        <f aca="false">D_purchases!F91</f>
        <v>Vận tải</v>
      </c>
      <c r="E34" s="101" t="n">
        <f aca="false">IF(ISNUMBER(D_purchases!J91),D_purchases!J91,D_purchases!I91)</f>
        <v>46155</v>
      </c>
      <c r="F34" s="86" t="n">
        <f aca="false">D_purchases!G91</f>
        <v>146014296</v>
      </c>
      <c r="G34" s="100" t="str">
        <f aca="false">IF(ISNUMBER(D_purchases!J91),"confirmed","estimated")</f>
        <v>confirmed</v>
      </c>
      <c r="H34" s="82" t="str">
        <f aca="false">D_purchases!A91</f>
        <v>BILL-F01-0087</v>
      </c>
      <c r="I34" s="82" t="str">
        <f aca="false">D_purchases!D91</f>
        <v>Vận tải nội địa NCC5</v>
      </c>
      <c r="J34" s="82" t="n">
        <f aca="false">D_purchases!U91</f>
        <v>0</v>
      </c>
      <c r="K34" s="82" t="s">
        <v>3549</v>
      </c>
      <c r="L34" s="84" t="n">
        <f aca="false">D_F01!$B$7</f>
        <v>46203</v>
      </c>
    </row>
    <row r="35" customFormat="false" ht="25.5" hidden="false" customHeight="true" outlineLevel="0" collapsed="false">
      <c r="A35" s="82" t="s">
        <v>3568</v>
      </c>
      <c r="B35" s="82" t="s">
        <v>2666</v>
      </c>
      <c r="C35" s="82" t="s">
        <v>2201</v>
      </c>
      <c r="D35" s="100" t="str">
        <f aca="false">D_purchases!F102</f>
        <v>Vận tải</v>
      </c>
      <c r="E35" s="101" t="n">
        <f aca="false">IF(ISNUMBER(D_purchases!J102),D_purchases!J102,D_purchases!I102)</f>
        <v>46170</v>
      </c>
      <c r="F35" s="86" t="n">
        <f aca="false">D_purchases!G102</f>
        <v>100149420</v>
      </c>
      <c r="G35" s="100" t="str">
        <f aca="false">IF(ISNUMBER(D_purchases!J102),"confirmed","estimated")</f>
        <v>confirmed</v>
      </c>
      <c r="H35" s="82" t="str">
        <f aca="false">D_purchases!A102</f>
        <v>BILL-F01-0098</v>
      </c>
      <c r="I35" s="82" t="str">
        <f aca="false">D_purchases!D102</f>
        <v>Vận tải nội địa NCC5</v>
      </c>
      <c r="J35" s="82" t="n">
        <f aca="false">D_purchases!U102</f>
        <v>0</v>
      </c>
      <c r="K35" s="82" t="s">
        <v>3549</v>
      </c>
      <c r="L35" s="84" t="n">
        <f aca="false">D_F01!$B$7</f>
        <v>46203</v>
      </c>
    </row>
    <row r="36" customFormat="false" ht="25.5" hidden="false" customHeight="true" outlineLevel="0" collapsed="false">
      <c r="A36" s="82" t="s">
        <v>3569</v>
      </c>
      <c r="B36" s="82" t="s">
        <v>2666</v>
      </c>
      <c r="C36" s="82" t="s">
        <v>2201</v>
      </c>
      <c r="D36" s="100" t="str">
        <f aca="false">D_purchases!F105</f>
        <v>Vận tải</v>
      </c>
      <c r="E36" s="101" t="n">
        <f aca="false">IF(ISNUMBER(D_purchases!J105),D_purchases!J105,D_purchases!I105)</f>
        <v>46169</v>
      </c>
      <c r="F36" s="86" t="n">
        <f aca="false">D_purchases!G105</f>
        <v>73637688</v>
      </c>
      <c r="G36" s="100" t="str">
        <f aca="false">IF(ISNUMBER(D_purchases!J105),"confirmed","estimated")</f>
        <v>confirmed</v>
      </c>
      <c r="H36" s="82" t="str">
        <f aca="false">D_purchases!A105</f>
        <v>BILL-F01-0101</v>
      </c>
      <c r="I36" s="82" t="str">
        <f aca="false">D_purchases!D105</f>
        <v>Vận tải nội địa NCC5</v>
      </c>
      <c r="J36" s="82" t="n">
        <f aca="false">D_purchases!U105</f>
        <v>0</v>
      </c>
      <c r="K36" s="82" t="s">
        <v>3549</v>
      </c>
      <c r="L36" s="84" t="n">
        <f aca="false">D_F01!$B$7</f>
        <v>46203</v>
      </c>
    </row>
    <row r="37" customFormat="false" ht="25.5" hidden="false" customHeight="true" outlineLevel="0" collapsed="false">
      <c r="A37" s="82" t="s">
        <v>3570</v>
      </c>
      <c r="B37" s="82" t="s">
        <v>2666</v>
      </c>
      <c r="C37" s="82" t="s">
        <v>2201</v>
      </c>
      <c r="D37" s="100" t="str">
        <f aca="false">D_purchases!F106</f>
        <v>Vận tải</v>
      </c>
      <c r="E37" s="101" t="n">
        <f aca="false">IF(ISNUMBER(D_purchases!J106),D_purchases!J106,D_purchases!I106)</f>
        <v>46175</v>
      </c>
      <c r="F37" s="86" t="n">
        <f aca="false">D_purchases!G106</f>
        <v>91313562</v>
      </c>
      <c r="G37" s="100" t="str">
        <f aca="false">IF(ISNUMBER(D_purchases!J106),"confirmed","estimated")</f>
        <v>confirmed</v>
      </c>
      <c r="H37" s="82" t="str">
        <f aca="false">D_purchases!A106</f>
        <v>BILL-F01-0102</v>
      </c>
      <c r="I37" s="82" t="str">
        <f aca="false">D_purchases!D106</f>
        <v>Vận tải nội địa NCC5</v>
      </c>
      <c r="J37" s="82" t="n">
        <f aca="false">D_purchases!U106</f>
        <v>0</v>
      </c>
      <c r="K37" s="82" t="s">
        <v>3549</v>
      </c>
      <c r="L37" s="84" t="n">
        <f aca="false">D_F01!$B$7</f>
        <v>46203</v>
      </c>
    </row>
    <row r="38" customFormat="false" ht="25.5" hidden="false" customHeight="true" outlineLevel="0" collapsed="false">
      <c r="A38" s="82" t="s">
        <v>3571</v>
      </c>
      <c r="B38" s="82" t="s">
        <v>2666</v>
      </c>
      <c r="C38" s="82" t="s">
        <v>2201</v>
      </c>
      <c r="D38" s="100" t="str">
        <f aca="false">D_purchases!F111</f>
        <v>Tiện ích (điện)</v>
      </c>
      <c r="E38" s="101" t="n">
        <f aca="false">IF(ISNUMBER(D_purchases!J111),D_purchases!J111,D_purchases!I111)</f>
        <v>46186</v>
      </c>
      <c r="F38" s="86" t="n">
        <f aca="false">D_purchases!G111</f>
        <v>97306794</v>
      </c>
      <c r="G38" s="100" t="str">
        <f aca="false">IF(ISNUMBER(D_purchases!J111),"confirmed","estimated")</f>
        <v>confirmed</v>
      </c>
      <c r="H38" s="82" t="str">
        <f aca="false">D_purchases!A111</f>
        <v>BILL-F01-0107</v>
      </c>
      <c r="I38" s="82" t="str">
        <f aca="false">D_purchases!D111</f>
        <v>Điện lực khu công nghiệp</v>
      </c>
      <c r="J38" s="82" t="n">
        <f aca="false">D_purchases!U111</f>
        <v>1</v>
      </c>
      <c r="K38" s="82" t="s">
        <v>3549</v>
      </c>
      <c r="L38" s="84" t="n">
        <f aca="false">D_F01!$B$7</f>
        <v>46203</v>
      </c>
    </row>
    <row r="39" customFormat="false" ht="25.5" hidden="false" customHeight="true" outlineLevel="0" collapsed="false">
      <c r="A39" s="82" t="s">
        <v>3572</v>
      </c>
      <c r="B39" s="82" t="s">
        <v>2666</v>
      </c>
      <c r="C39" s="82" t="s">
        <v>2201</v>
      </c>
      <c r="D39" s="100" t="str">
        <f aca="false">D_purchases!F114</f>
        <v>Vận tải</v>
      </c>
      <c r="E39" s="101" t="n">
        <f aca="false">IF(ISNUMBER(D_purchases!J114),D_purchases!J114,D_purchases!I114)</f>
        <v>46186</v>
      </c>
      <c r="F39" s="86" t="n">
        <f aca="false">D_purchases!G114</f>
        <v>62196438</v>
      </c>
      <c r="G39" s="100" t="str">
        <f aca="false">IF(ISNUMBER(D_purchases!J114),"confirmed","estimated")</f>
        <v>confirmed</v>
      </c>
      <c r="H39" s="82" t="str">
        <f aca="false">D_purchases!A114</f>
        <v>BILL-F01-0110</v>
      </c>
      <c r="I39" s="82" t="str">
        <f aca="false">D_purchases!D114</f>
        <v>Vận tải nội địa NCC5</v>
      </c>
      <c r="J39" s="82" t="n">
        <f aca="false">D_purchases!U114</f>
        <v>0</v>
      </c>
      <c r="K39" s="82" t="s">
        <v>3549</v>
      </c>
      <c r="L39" s="84" t="n">
        <f aca="false">D_F01!$B$7</f>
        <v>46203</v>
      </c>
    </row>
    <row r="40" customFormat="false" ht="25.5" hidden="false" customHeight="true" outlineLevel="0" collapsed="false">
      <c r="A40" s="82" t="s">
        <v>3573</v>
      </c>
      <c r="B40" s="82" t="s">
        <v>2666</v>
      </c>
      <c r="C40" s="82" t="s">
        <v>2201</v>
      </c>
      <c r="D40" s="100" t="str">
        <f aca="false">D_purchases!F117</f>
        <v>Vận tải</v>
      </c>
      <c r="E40" s="101" t="n">
        <f aca="false">IF(ISNUMBER(D_purchases!J117),D_purchases!J117,D_purchases!I117)</f>
        <v>46188</v>
      </c>
      <c r="F40" s="86" t="n">
        <f aca="false">D_purchases!G117</f>
        <v>115219902</v>
      </c>
      <c r="G40" s="100" t="str">
        <f aca="false">IF(ISNUMBER(D_purchases!J117),"confirmed","estimated")</f>
        <v>confirmed</v>
      </c>
      <c r="H40" s="82" t="str">
        <f aca="false">D_purchases!A117</f>
        <v>BILL-F01-0113</v>
      </c>
      <c r="I40" s="82" t="str">
        <f aca="false">D_purchases!D117</f>
        <v>Vận tải nội địa NCC5</v>
      </c>
      <c r="J40" s="82" t="n">
        <f aca="false">D_purchases!U117</f>
        <v>0</v>
      </c>
      <c r="K40" s="82" t="s">
        <v>3549</v>
      </c>
      <c r="L40" s="84" t="n">
        <f aca="false">D_F01!$B$7</f>
        <v>46203</v>
      </c>
    </row>
    <row r="41" customFormat="false" ht="25.5" hidden="false" customHeight="true" outlineLevel="0" collapsed="false">
      <c r="A41" s="82" t="s">
        <v>3574</v>
      </c>
      <c r="B41" s="82" t="s">
        <v>2666</v>
      </c>
      <c r="C41" s="82" t="s">
        <v>2201</v>
      </c>
      <c r="D41" s="100" t="str">
        <f aca="false">D_purchases!F126</f>
        <v>Vận tải</v>
      </c>
      <c r="E41" s="101" t="n">
        <f aca="false">IF(ISNUMBER(D_purchases!J126),D_purchases!J126,D_purchases!I126)</f>
        <v>46204</v>
      </c>
      <c r="F41" s="86" t="n">
        <f aca="false">D_purchases!G126</f>
        <v>81445536</v>
      </c>
      <c r="G41" s="100" t="str">
        <f aca="false">IF(ISNUMBER(D_purchases!J126),"confirmed","estimated")</f>
        <v>estimated</v>
      </c>
      <c r="H41" s="82" t="str">
        <f aca="false">D_purchases!A126</f>
        <v>BILL-F01-0122</v>
      </c>
      <c r="I41" s="82" t="str">
        <f aca="false">D_purchases!D126</f>
        <v>Vận tải nội địa NCC5</v>
      </c>
      <c r="J41" s="82" t="n">
        <f aca="false">D_purchases!U126</f>
        <v>0</v>
      </c>
      <c r="K41" s="82" t="s">
        <v>3549</v>
      </c>
      <c r="L41" s="84" t="n">
        <f aca="false">D_F01!$B$7</f>
        <v>46203</v>
      </c>
    </row>
    <row r="42" customFormat="false" ht="25.5" hidden="false" customHeight="true" outlineLevel="0" collapsed="false">
      <c r="A42" s="82" t="s">
        <v>3575</v>
      </c>
      <c r="B42" s="82" t="s">
        <v>2666</v>
      </c>
      <c r="C42" s="82" t="s">
        <v>2201</v>
      </c>
      <c r="D42" s="100" t="str">
        <f aca="false">D_purchases!F128</f>
        <v>Vận tải</v>
      </c>
      <c r="E42" s="101" t="n">
        <f aca="false">IF(ISNUMBER(D_purchases!J128),D_purchases!J128,D_purchases!I128)</f>
        <v>46206</v>
      </c>
      <c r="F42" s="86" t="n">
        <f aca="false">D_purchases!G128</f>
        <v>138127368</v>
      </c>
      <c r="G42" s="100" t="str">
        <f aca="false">IF(ISNUMBER(D_purchases!J128),"confirmed","estimated")</f>
        <v>estimated</v>
      </c>
      <c r="H42" s="82" t="str">
        <f aca="false">D_purchases!A128</f>
        <v>BILL-F01-0124</v>
      </c>
      <c r="I42" s="82" t="str">
        <f aca="false">D_purchases!D128</f>
        <v>Vận tải nội địa NCC5</v>
      </c>
      <c r="J42" s="82" t="n">
        <f aca="false">D_purchases!U128</f>
        <v>0</v>
      </c>
      <c r="K42" s="82" t="s">
        <v>3549</v>
      </c>
      <c r="L42" s="84" t="n">
        <f aca="false">D_F01!$B$7</f>
        <v>46203</v>
      </c>
    </row>
    <row r="43" customFormat="false" ht="25.5" hidden="false" customHeight="true" outlineLevel="0" collapsed="false">
      <c r="A43" s="82" t="s">
        <v>3576</v>
      </c>
      <c r="B43" s="82" t="s">
        <v>2666</v>
      </c>
      <c r="C43" s="82" t="s">
        <v>2201</v>
      </c>
      <c r="D43" s="100" t="str">
        <f aca="false">D_purchases!F135</f>
        <v>Vận tải</v>
      </c>
      <c r="E43" s="101" t="n">
        <f aca="false">IF(ISNUMBER(D_purchases!J135),D_purchases!J135,D_purchases!I135)</f>
        <v>46212</v>
      </c>
      <c r="F43" s="86" t="n">
        <f aca="false">D_purchases!G135</f>
        <v>94380226</v>
      </c>
      <c r="G43" s="100" t="str">
        <f aca="false">IF(ISNUMBER(D_purchases!J135),"confirmed","estimated")</f>
        <v>estimated</v>
      </c>
      <c r="H43" s="82" t="str">
        <f aca="false">D_purchases!A135</f>
        <v>BILL-F01-0131</v>
      </c>
      <c r="I43" s="82" t="str">
        <f aca="false">D_purchases!D135</f>
        <v>Vận tải nội địa NCC5</v>
      </c>
      <c r="J43" s="82" t="n">
        <f aca="false">D_purchases!U135</f>
        <v>0</v>
      </c>
      <c r="K43" s="82" t="s">
        <v>3549</v>
      </c>
      <c r="L43" s="84" t="n">
        <f aca="false">D_F01!$B$7</f>
        <v>46203</v>
      </c>
    </row>
    <row r="44" customFormat="false" ht="25.5" hidden="false" customHeight="true" outlineLevel="0" collapsed="false">
      <c r="A44" s="82" t="s">
        <v>3577</v>
      </c>
      <c r="B44" s="82" t="s">
        <v>2666</v>
      </c>
      <c r="C44" s="82" t="s">
        <v>2201</v>
      </c>
      <c r="D44" s="100" t="str">
        <f aca="false">D_purchases!F137</f>
        <v>Tiện ích (điện)</v>
      </c>
      <c r="E44" s="101" t="n">
        <f aca="false">IF(ISNUMBER(D_purchases!J137),D_purchases!J137,D_purchases!I137)</f>
        <v>46214</v>
      </c>
      <c r="F44" s="86" t="n">
        <f aca="false">D_purchases!G137</f>
        <v>389201455</v>
      </c>
      <c r="G44" s="100" t="str">
        <f aca="false">IF(ISNUMBER(D_purchases!J137),"confirmed","estimated")</f>
        <v>estimated</v>
      </c>
      <c r="H44" s="82" t="str">
        <f aca="false">D_purchases!A137</f>
        <v>BILL-F01-0133</v>
      </c>
      <c r="I44" s="82" t="str">
        <f aca="false">D_purchases!D137</f>
        <v>Điện lực khu công nghiệp</v>
      </c>
      <c r="J44" s="82" t="n">
        <f aca="false">D_purchases!U137</f>
        <v>1</v>
      </c>
      <c r="K44" s="82" t="s">
        <v>3549</v>
      </c>
      <c r="L44" s="84" t="n">
        <f aca="false">D_F01!$B$7</f>
        <v>46203</v>
      </c>
    </row>
    <row r="45" customFormat="false" ht="25.5" hidden="false" customHeight="true" outlineLevel="0" collapsed="false">
      <c r="A45" s="82" t="s">
        <v>3578</v>
      </c>
      <c r="B45" s="82" t="s">
        <v>2666</v>
      </c>
      <c r="C45" s="82" t="s">
        <v>2201</v>
      </c>
      <c r="D45" s="100" t="str">
        <f aca="false">D_purchases!F139</f>
        <v>Vận tải</v>
      </c>
      <c r="E45" s="101" t="n">
        <f aca="false">IF(ISNUMBER(D_purchases!J139),D_purchases!J139,D_purchases!I139)</f>
        <v>46217</v>
      </c>
      <c r="F45" s="86" t="n">
        <f aca="false">D_purchases!G139</f>
        <v>118460731</v>
      </c>
      <c r="G45" s="100" t="str">
        <f aca="false">IF(ISNUMBER(D_purchases!J139),"confirmed","estimated")</f>
        <v>estimated</v>
      </c>
      <c r="H45" s="82" t="str">
        <f aca="false">D_purchases!A139</f>
        <v>BILL-F01-0135</v>
      </c>
      <c r="I45" s="82" t="str">
        <f aca="false">D_purchases!D139</f>
        <v>Vận tải nội địa NCC5</v>
      </c>
      <c r="J45" s="82" t="n">
        <f aca="false">D_purchases!U139</f>
        <v>0</v>
      </c>
      <c r="K45" s="82" t="s">
        <v>3549</v>
      </c>
      <c r="L45" s="84" t="n">
        <f aca="false">D_F01!$B$7</f>
        <v>46203</v>
      </c>
    </row>
    <row r="47" customFormat="false" ht="25.5" hidden="false" customHeight="true" outlineLevel="0" collapsed="false">
      <c r="A47" s="1" t="s">
        <v>3579</v>
      </c>
      <c r="B47" s="1"/>
      <c r="C47" s="1"/>
      <c r="D47" s="1"/>
      <c r="E47" s="1"/>
      <c r="F47" s="1"/>
      <c r="G47" s="1"/>
      <c r="H47" s="1"/>
    </row>
    <row r="48" customFormat="false" ht="25.5" hidden="false" customHeight="true" outlineLevel="0" collapsed="false">
      <c r="A48" s="1"/>
      <c r="B48" s="1"/>
      <c r="C48" s="1"/>
      <c r="D48" s="1"/>
      <c r="E48" s="1"/>
      <c r="F48" s="1"/>
      <c r="G48" s="1"/>
      <c r="H48" s="1"/>
    </row>
    <row r="49" customFormat="false" ht="13.5" hidden="false" customHeight="false" outlineLevel="0" collapsed="false">
      <c r="A49" s="0" t="s">
        <v>3580</v>
      </c>
    </row>
    <row r="51" customFormat="false" ht="33.75" hidden="false" customHeight="true" outlineLevel="0" collapsed="false">
      <c r="A51" s="2" t="s">
        <v>2931</v>
      </c>
      <c r="B51" s="2" t="s">
        <v>2118</v>
      </c>
      <c r="C51" s="2" t="s">
        <v>2123</v>
      </c>
      <c r="D51" s="2" t="s">
        <v>3581</v>
      </c>
    </row>
    <row r="52" customFormat="false" ht="39.75" hidden="false" customHeight="true" outlineLevel="0" collapsed="false">
      <c r="A52" s="3" t="s">
        <v>2162</v>
      </c>
      <c r="B52" s="39" t="n">
        <v>46207</v>
      </c>
      <c r="C52" s="39" t="n">
        <v>46203</v>
      </c>
      <c r="D52" s="3" t="s">
        <v>1593</v>
      </c>
    </row>
    <row r="55" customFormat="false" ht="13.5" hidden="false" customHeight="true" outlineLevel="0" collapsed="false">
      <c r="A55" s="3" t="s">
        <v>3582</v>
      </c>
      <c r="B55" s="3"/>
      <c r="C55" s="3"/>
      <c r="D55" s="3"/>
      <c r="E55" s="3"/>
      <c r="F55" s="3"/>
      <c r="G55" s="3"/>
      <c r="H55" s="3"/>
    </row>
    <row r="56" customFormat="false" ht="13.5" hidden="false" customHeight="false" outlineLevel="0" collapsed="false">
      <c r="A56" s="3"/>
      <c r="B56" s="3"/>
      <c r="C56" s="3"/>
      <c r="D56" s="3"/>
      <c r="E56" s="3"/>
      <c r="F56" s="3"/>
      <c r="G56" s="3"/>
      <c r="H56" s="3"/>
    </row>
    <row r="57" customFormat="false" ht="13.5" hidden="false" customHeight="false" outlineLevel="0" collapsed="false">
      <c r="A57" s="3"/>
      <c r="B57" s="3"/>
      <c r="C57" s="3"/>
      <c r="D57" s="3"/>
      <c r="E57" s="3"/>
      <c r="F57" s="3"/>
      <c r="G57" s="3"/>
      <c r="H57" s="3"/>
    </row>
    <row r="60" customFormat="false" ht="36" hidden="false" customHeight="true" outlineLevel="0" collapsed="false">
      <c r="A60" s="2" t="s">
        <v>3583</v>
      </c>
      <c r="B60" s="2" t="s">
        <v>3584</v>
      </c>
      <c r="C60" s="2" t="s">
        <v>3585</v>
      </c>
      <c r="D60" s="2" t="s">
        <v>3586</v>
      </c>
    </row>
    <row r="62" customFormat="false" ht="36" hidden="false" customHeight="true" outlineLevel="0" collapsed="false">
      <c r="A62" s="82" t="s">
        <v>3587</v>
      </c>
      <c r="B62" s="82" t="n">
        <f aca="false">D_F01!B11-SUM(E65:E245)</f>
        <v>4523270445</v>
      </c>
      <c r="C62" s="82" t="s">
        <v>170</v>
      </c>
      <c r="D62" s="82" t="s">
        <v>3588</v>
      </c>
    </row>
    <row r="64" customFormat="false" ht="36" hidden="false" customHeight="true" outlineLevel="0" collapsed="false">
      <c r="A64" s="2" t="s">
        <v>434</v>
      </c>
      <c r="B64" s="2" t="s">
        <v>3589</v>
      </c>
      <c r="C64" s="2" t="s">
        <v>3590</v>
      </c>
      <c r="D64" s="2" t="s">
        <v>3591</v>
      </c>
      <c r="E64" s="2" t="s">
        <v>3592</v>
      </c>
      <c r="F64" s="2" t="s">
        <v>3593</v>
      </c>
      <c r="G64" s="2" t="s">
        <v>3594</v>
      </c>
      <c r="H64" s="2" t="s">
        <v>1476</v>
      </c>
    </row>
    <row r="65" customFormat="false" ht="36" hidden="false" customHeight="true" outlineLevel="0" collapsed="false">
      <c r="A65" s="84" t="n">
        <v>46023</v>
      </c>
      <c r="B65" s="86" t="n">
        <f aca="false">SUMIF(D_sales!I$5:I$121,A65,D_sales!F$5:F$121)</f>
        <v>0</v>
      </c>
      <c r="C65" s="86" t="n">
        <f aca="false">SUMIF(D_purchases!J$5:J$139,A65,D_purchases!G$5:G$139)</f>
        <v>0</v>
      </c>
      <c r="D65" s="87" t="n">
        <v>180000000</v>
      </c>
      <c r="E65" s="32" t="n">
        <f aca="false">B65-C65-D65</f>
        <v>-180000000</v>
      </c>
      <c r="F65" s="32" t="n">
        <f aca="false">G65+E65</f>
        <v>4343270445</v>
      </c>
      <c r="G65" s="32" t="n">
        <f aca="false">$B$62</f>
        <v>4523270445</v>
      </c>
      <c r="H65" s="82" t="s">
        <v>3595</v>
      </c>
    </row>
    <row r="66" customFormat="false" ht="36" hidden="false" customHeight="true" outlineLevel="0" collapsed="false">
      <c r="A66" s="84" t="n">
        <v>46024</v>
      </c>
      <c r="B66" s="86" t="n">
        <f aca="false">SUMIF(D_sales!I$5:I$121,A66,D_sales!F$5:F$121)</f>
        <v>0</v>
      </c>
      <c r="C66" s="86" t="n">
        <f aca="false">SUMIF(D_purchases!J$5:J$139,A66,D_purchases!G$5:G$139)</f>
        <v>0</v>
      </c>
      <c r="D66" s="87" t="n">
        <v>45000000</v>
      </c>
      <c r="E66" s="32" t="n">
        <f aca="false">B66-C66-D66</f>
        <v>-45000000</v>
      </c>
      <c r="F66" s="32" t="n">
        <f aca="false">G66+E66</f>
        <v>4298270445</v>
      </c>
      <c r="G66" s="32" t="n">
        <f aca="false">F65</f>
        <v>4343270445</v>
      </c>
      <c r="H66" s="82" t="s">
        <v>3595</v>
      </c>
    </row>
    <row r="67" customFormat="false" ht="36" hidden="false" customHeight="true" outlineLevel="0" collapsed="false">
      <c r="A67" s="84" t="n">
        <v>46025</v>
      </c>
      <c r="B67" s="86" t="n">
        <f aca="false">SUMIF(D_sales!I$5:I$121,A67,D_sales!F$5:F$121)</f>
        <v>0</v>
      </c>
      <c r="C67" s="86" t="n">
        <f aca="false">SUMIF(D_purchases!J$5:J$139,A67,D_purchases!G$5:G$139)</f>
        <v>0</v>
      </c>
      <c r="D67" s="87" t="n">
        <v>0</v>
      </c>
      <c r="E67" s="32" t="n">
        <f aca="false">B67-C67-D67</f>
        <v>0</v>
      </c>
      <c r="F67" s="32" t="n">
        <f aca="false">G67+E67</f>
        <v>4298270445</v>
      </c>
      <c r="G67" s="32" t="n">
        <f aca="false">F66</f>
        <v>4298270445</v>
      </c>
      <c r="H67" s="82" t="s">
        <v>3595</v>
      </c>
    </row>
    <row r="68" customFormat="false" ht="36" hidden="false" customHeight="true" outlineLevel="0" collapsed="false">
      <c r="A68" s="84" t="n">
        <v>46026</v>
      </c>
      <c r="B68" s="86" t="n">
        <f aca="false">SUMIF(D_sales!I$5:I$121,A68,D_sales!F$5:F$121)</f>
        <v>0</v>
      </c>
      <c r="C68" s="86" t="n">
        <f aca="false">SUMIF(D_purchases!J$5:J$139,A68,D_purchases!G$5:G$139)</f>
        <v>0</v>
      </c>
      <c r="D68" s="87" t="n">
        <v>0</v>
      </c>
      <c r="E68" s="32" t="n">
        <f aca="false">B68-C68-D68</f>
        <v>0</v>
      </c>
      <c r="F68" s="32" t="n">
        <f aca="false">G68+E68</f>
        <v>4298270445</v>
      </c>
      <c r="G68" s="32" t="n">
        <f aca="false">F67</f>
        <v>4298270445</v>
      </c>
      <c r="H68" s="82" t="s">
        <v>3595</v>
      </c>
    </row>
    <row r="69" customFormat="false" ht="36" hidden="false" customHeight="true" outlineLevel="0" collapsed="false">
      <c r="A69" s="84" t="n">
        <v>46027</v>
      </c>
      <c r="B69" s="86" t="n">
        <f aca="false">SUMIF(D_sales!I$5:I$121,A69,D_sales!F$5:F$121)</f>
        <v>0</v>
      </c>
      <c r="C69" s="86" t="n">
        <f aca="false">SUMIF(D_purchases!J$5:J$139,A69,D_purchases!G$5:G$139)</f>
        <v>0</v>
      </c>
      <c r="D69" s="87" t="n">
        <v>0</v>
      </c>
      <c r="E69" s="32" t="n">
        <f aca="false">B69-C69-D69</f>
        <v>0</v>
      </c>
      <c r="F69" s="32" t="n">
        <f aca="false">G69+E69</f>
        <v>4298270445</v>
      </c>
      <c r="G69" s="32" t="n">
        <f aca="false">F68</f>
        <v>4298270445</v>
      </c>
      <c r="H69" s="82" t="s">
        <v>3595</v>
      </c>
    </row>
    <row r="70" customFormat="false" ht="36" hidden="false" customHeight="true" outlineLevel="0" collapsed="false">
      <c r="A70" s="84" t="n">
        <v>46028</v>
      </c>
      <c r="B70" s="86" t="n">
        <f aca="false">SUMIF(D_sales!I$5:I$121,A70,D_sales!F$5:F$121)</f>
        <v>0</v>
      </c>
      <c r="C70" s="86" t="n">
        <f aca="false">SUMIF(D_purchases!J$5:J$139,A70,D_purchases!G$5:G$139)</f>
        <v>0</v>
      </c>
      <c r="D70" s="87" t="n">
        <v>0</v>
      </c>
      <c r="E70" s="32" t="n">
        <f aca="false">B70-C70-D70</f>
        <v>0</v>
      </c>
      <c r="F70" s="32" t="n">
        <f aca="false">G70+E70</f>
        <v>4298270445</v>
      </c>
      <c r="G70" s="32" t="n">
        <f aca="false">F69</f>
        <v>4298270445</v>
      </c>
      <c r="H70" s="82" t="s">
        <v>3595</v>
      </c>
    </row>
    <row r="71" customFormat="false" ht="36" hidden="false" customHeight="true" outlineLevel="0" collapsed="false">
      <c r="A71" s="84" t="n">
        <v>46029</v>
      </c>
      <c r="B71" s="86" t="n">
        <f aca="false">SUMIF(D_sales!I$5:I$121,A71,D_sales!F$5:F$121)</f>
        <v>0</v>
      </c>
      <c r="C71" s="86" t="n">
        <f aca="false">SUMIF(D_purchases!J$5:J$139,A71,D_purchases!G$5:G$139)</f>
        <v>0</v>
      </c>
      <c r="D71" s="87" t="n">
        <v>0</v>
      </c>
      <c r="E71" s="32" t="n">
        <f aca="false">B71-C71-D71</f>
        <v>0</v>
      </c>
      <c r="F71" s="32" t="n">
        <f aca="false">G71+E71</f>
        <v>4298270445</v>
      </c>
      <c r="G71" s="32" t="n">
        <f aca="false">F70</f>
        <v>4298270445</v>
      </c>
      <c r="H71" s="82" t="s">
        <v>3595</v>
      </c>
    </row>
    <row r="72" customFormat="false" ht="36" hidden="false" customHeight="true" outlineLevel="0" collapsed="false">
      <c r="A72" s="84" t="n">
        <v>46030</v>
      </c>
      <c r="B72" s="86" t="n">
        <f aca="false">SUMIF(D_sales!I$5:I$121,A72,D_sales!F$5:F$121)</f>
        <v>0</v>
      </c>
      <c r="C72" s="86" t="n">
        <f aca="false">SUMIF(D_purchases!J$5:J$139,A72,D_purchases!G$5:G$139)</f>
        <v>0</v>
      </c>
      <c r="D72" s="87" t="n">
        <v>0</v>
      </c>
      <c r="E72" s="32" t="n">
        <f aca="false">B72-C72-D72</f>
        <v>0</v>
      </c>
      <c r="F72" s="32" t="n">
        <f aca="false">G72+E72</f>
        <v>4298270445</v>
      </c>
      <c r="G72" s="32" t="n">
        <f aca="false">F71</f>
        <v>4298270445</v>
      </c>
      <c r="H72" s="82" t="s">
        <v>3595</v>
      </c>
    </row>
    <row r="73" customFormat="false" ht="36" hidden="false" customHeight="true" outlineLevel="0" collapsed="false">
      <c r="A73" s="84" t="n">
        <v>46031</v>
      </c>
      <c r="B73" s="86" t="n">
        <f aca="false">SUMIF(D_sales!I$5:I$121,A73,D_sales!F$5:F$121)</f>
        <v>0</v>
      </c>
      <c r="C73" s="86" t="n">
        <f aca="false">SUMIF(D_purchases!J$5:J$139,A73,D_purchases!G$5:G$139)</f>
        <v>0</v>
      </c>
      <c r="D73" s="87" t="n">
        <v>45000000</v>
      </c>
      <c r="E73" s="32" t="n">
        <f aca="false">B73-C73-D73</f>
        <v>-45000000</v>
      </c>
      <c r="F73" s="32" t="n">
        <f aca="false">G73+E73</f>
        <v>4253270445</v>
      </c>
      <c r="G73" s="32" t="n">
        <f aca="false">F72</f>
        <v>4298270445</v>
      </c>
      <c r="H73" s="82" t="s">
        <v>3595</v>
      </c>
    </row>
    <row r="74" customFormat="false" ht="36" hidden="false" customHeight="true" outlineLevel="0" collapsed="false">
      <c r="A74" s="84" t="n">
        <v>46032</v>
      </c>
      <c r="B74" s="86" t="n">
        <f aca="false">SUMIF(D_sales!I$5:I$121,A74,D_sales!F$5:F$121)</f>
        <v>0</v>
      </c>
      <c r="C74" s="86" t="n">
        <f aca="false">SUMIF(D_purchases!J$5:J$139,A74,D_purchases!G$5:G$139)</f>
        <v>0</v>
      </c>
      <c r="D74" s="87" t="n">
        <v>0</v>
      </c>
      <c r="E74" s="32" t="n">
        <f aca="false">B74-C74-D74</f>
        <v>0</v>
      </c>
      <c r="F74" s="32" t="n">
        <f aca="false">G74+E74</f>
        <v>4253270445</v>
      </c>
      <c r="G74" s="32" t="n">
        <f aca="false">F73</f>
        <v>4253270445</v>
      </c>
      <c r="H74" s="82" t="s">
        <v>3595</v>
      </c>
    </row>
    <row r="75" customFormat="false" ht="36" hidden="false" customHeight="true" outlineLevel="0" collapsed="false">
      <c r="A75" s="84" t="n">
        <v>46033</v>
      </c>
      <c r="B75" s="86" t="n">
        <f aca="false">SUMIF(D_sales!I$5:I$121,A75,D_sales!F$5:F$121)</f>
        <v>0</v>
      </c>
      <c r="C75" s="86" t="n">
        <f aca="false">SUMIF(D_purchases!J$5:J$139,A75,D_purchases!G$5:G$139)</f>
        <v>0</v>
      </c>
      <c r="D75" s="87" t="n">
        <v>0</v>
      </c>
      <c r="E75" s="32" t="n">
        <f aca="false">B75-C75-D75</f>
        <v>0</v>
      </c>
      <c r="F75" s="32" t="n">
        <f aca="false">G75+E75</f>
        <v>4253270445</v>
      </c>
      <c r="G75" s="32" t="n">
        <f aca="false">F74</f>
        <v>4253270445</v>
      </c>
      <c r="H75" s="82" t="s">
        <v>3595</v>
      </c>
    </row>
    <row r="76" customFormat="false" ht="36" hidden="false" customHeight="true" outlineLevel="0" collapsed="false">
      <c r="A76" s="84" t="n">
        <v>46034</v>
      </c>
      <c r="B76" s="86" t="n">
        <f aca="false">SUMIF(D_sales!I$5:I$121,A76,D_sales!F$5:F$121)</f>
        <v>0</v>
      </c>
      <c r="C76" s="86" t="n">
        <f aca="false">SUMIF(D_purchases!J$5:J$139,A76,D_purchases!G$5:G$139)</f>
        <v>0</v>
      </c>
      <c r="D76" s="87" t="n">
        <v>0</v>
      </c>
      <c r="E76" s="32" t="n">
        <f aca="false">B76-C76-D76</f>
        <v>0</v>
      </c>
      <c r="F76" s="32" t="n">
        <f aca="false">G76+E76</f>
        <v>4253270445</v>
      </c>
      <c r="G76" s="32" t="n">
        <f aca="false">F75</f>
        <v>4253270445</v>
      </c>
      <c r="H76" s="82" t="s">
        <v>3595</v>
      </c>
    </row>
    <row r="77" customFormat="false" ht="36" hidden="false" customHeight="true" outlineLevel="0" collapsed="false">
      <c r="A77" s="84" t="n">
        <v>46035</v>
      </c>
      <c r="B77" s="86" t="n">
        <f aca="false">SUMIF(D_sales!I$5:I$121,A77,D_sales!F$5:F$121)</f>
        <v>0</v>
      </c>
      <c r="C77" s="86" t="n">
        <f aca="false">SUMIF(D_purchases!J$5:J$139,A77,D_purchases!G$5:G$139)</f>
        <v>0</v>
      </c>
      <c r="D77" s="87" t="n">
        <v>0</v>
      </c>
      <c r="E77" s="32" t="n">
        <f aca="false">B77-C77-D77</f>
        <v>0</v>
      </c>
      <c r="F77" s="32" t="n">
        <f aca="false">G77+E77</f>
        <v>4253270445</v>
      </c>
      <c r="G77" s="32" t="n">
        <f aca="false">F76</f>
        <v>4253270445</v>
      </c>
      <c r="H77" s="82" t="s">
        <v>3595</v>
      </c>
    </row>
    <row r="78" customFormat="false" ht="36" hidden="false" customHeight="true" outlineLevel="0" collapsed="false">
      <c r="A78" s="84" t="n">
        <v>46036</v>
      </c>
      <c r="B78" s="86" t="n">
        <f aca="false">SUMIF(D_sales!I$5:I$121,A78,D_sales!F$5:F$121)</f>
        <v>0</v>
      </c>
      <c r="C78" s="86" t="n">
        <f aca="false">SUMIF(D_purchases!J$5:J$139,A78,D_purchases!G$5:G$139)</f>
        <v>0</v>
      </c>
      <c r="D78" s="87" t="n">
        <v>0</v>
      </c>
      <c r="E78" s="32" t="n">
        <f aca="false">B78-C78-D78</f>
        <v>0</v>
      </c>
      <c r="F78" s="32" t="n">
        <f aca="false">G78+E78</f>
        <v>4253270445</v>
      </c>
      <c r="G78" s="32" t="n">
        <f aca="false">F77</f>
        <v>4253270445</v>
      </c>
      <c r="H78" s="82" t="s">
        <v>3595</v>
      </c>
    </row>
    <row r="79" customFormat="false" ht="36" hidden="false" customHeight="true" outlineLevel="0" collapsed="false">
      <c r="A79" s="84" t="n">
        <v>46037</v>
      </c>
      <c r="B79" s="86" t="n">
        <f aca="false">SUMIF(D_sales!I$5:I$121,A79,D_sales!F$5:F$121)</f>
        <v>0</v>
      </c>
      <c r="C79" s="86" t="n">
        <f aca="false">SUMIF(D_purchases!J$5:J$139,A79,D_purchases!G$5:G$139)</f>
        <v>0</v>
      </c>
      <c r="D79" s="87" t="n">
        <v>0</v>
      </c>
      <c r="E79" s="32" t="n">
        <f aca="false">B79-C79-D79</f>
        <v>0</v>
      </c>
      <c r="F79" s="32" t="n">
        <f aca="false">G79+E79</f>
        <v>4253270445</v>
      </c>
      <c r="G79" s="32" t="n">
        <f aca="false">F78</f>
        <v>4253270445</v>
      </c>
      <c r="H79" s="82" t="s">
        <v>3595</v>
      </c>
    </row>
    <row r="80" customFormat="false" ht="36" hidden="false" customHeight="true" outlineLevel="0" collapsed="false">
      <c r="A80" s="84" t="n">
        <v>46038</v>
      </c>
      <c r="B80" s="86" t="n">
        <f aca="false">SUMIF(D_sales!I$5:I$121,A80,D_sales!F$5:F$121)</f>
        <v>0</v>
      </c>
      <c r="C80" s="86" t="n">
        <f aca="false">SUMIF(D_purchases!J$5:J$139,A80,D_purchases!G$5:G$139)</f>
        <v>368063574</v>
      </c>
      <c r="D80" s="87" t="n">
        <v>45000000</v>
      </c>
      <c r="E80" s="32" t="n">
        <f aca="false">B80-C80-D80</f>
        <v>-413063574</v>
      </c>
      <c r="F80" s="32" t="n">
        <f aca="false">G80+E80</f>
        <v>3840206871</v>
      </c>
      <c r="G80" s="32" t="n">
        <f aca="false">F79</f>
        <v>4253270445</v>
      </c>
      <c r="H80" s="82" t="s">
        <v>3595</v>
      </c>
    </row>
    <row r="81" customFormat="false" ht="36" hidden="false" customHeight="true" outlineLevel="0" collapsed="false">
      <c r="A81" s="84" t="n">
        <v>46039</v>
      </c>
      <c r="B81" s="86" t="n">
        <f aca="false">SUMIF(D_sales!I$5:I$121,A81,D_sales!F$5:F$121)</f>
        <v>0</v>
      </c>
      <c r="C81" s="86" t="n">
        <f aca="false">SUMIF(D_purchases!J$5:J$139,A81,D_purchases!G$5:G$139)</f>
        <v>0</v>
      </c>
      <c r="D81" s="87" t="n">
        <v>0</v>
      </c>
      <c r="E81" s="32" t="n">
        <f aca="false">B81-C81-D81</f>
        <v>0</v>
      </c>
      <c r="F81" s="32" t="n">
        <f aca="false">G81+E81</f>
        <v>3840206871</v>
      </c>
      <c r="G81" s="32" t="n">
        <f aca="false">F80</f>
        <v>3840206871</v>
      </c>
      <c r="H81" s="82" t="s">
        <v>3595</v>
      </c>
    </row>
    <row r="82" customFormat="false" ht="36" hidden="false" customHeight="true" outlineLevel="0" collapsed="false">
      <c r="A82" s="84" t="n">
        <v>46040</v>
      </c>
      <c r="B82" s="86" t="n">
        <f aca="false">SUMIF(D_sales!I$5:I$121,A82,D_sales!F$5:F$121)</f>
        <v>0</v>
      </c>
      <c r="C82" s="86" t="n">
        <f aca="false">SUMIF(D_purchases!J$5:J$139,A82,D_purchases!G$5:G$139)</f>
        <v>0</v>
      </c>
      <c r="D82" s="87" t="n">
        <v>0</v>
      </c>
      <c r="E82" s="32" t="n">
        <f aca="false">B82-C82-D82</f>
        <v>0</v>
      </c>
      <c r="F82" s="32" t="n">
        <f aca="false">G82+E82</f>
        <v>3840206871</v>
      </c>
      <c r="G82" s="32" t="n">
        <f aca="false">F81</f>
        <v>3840206871</v>
      </c>
      <c r="H82" s="82" t="s">
        <v>3595</v>
      </c>
    </row>
    <row r="83" customFormat="false" ht="36" hidden="false" customHeight="true" outlineLevel="0" collapsed="false">
      <c r="A83" s="84" t="n">
        <v>46041</v>
      </c>
      <c r="B83" s="86" t="n">
        <f aca="false">SUMIF(D_sales!I$5:I$121,A83,D_sales!F$5:F$121)</f>
        <v>0</v>
      </c>
      <c r="C83" s="86" t="n">
        <f aca="false">SUMIF(D_purchases!J$5:J$139,A83,D_purchases!G$5:G$139)</f>
        <v>391403886</v>
      </c>
      <c r="D83" s="87" t="n">
        <v>0</v>
      </c>
      <c r="E83" s="32" t="n">
        <f aca="false">B83-C83-D83</f>
        <v>-391403886</v>
      </c>
      <c r="F83" s="32" t="n">
        <f aca="false">G83+E83</f>
        <v>3448802985</v>
      </c>
      <c r="G83" s="32" t="n">
        <f aca="false">F82</f>
        <v>3840206871</v>
      </c>
      <c r="H83" s="82" t="s">
        <v>3595</v>
      </c>
    </row>
    <row r="84" customFormat="false" ht="36" hidden="false" customHeight="true" outlineLevel="0" collapsed="false">
      <c r="A84" s="84" t="n">
        <v>46042</v>
      </c>
      <c r="B84" s="86" t="n">
        <f aca="false">SUMIF(D_sales!I$5:I$121,A84,D_sales!F$5:F$121)</f>
        <v>0</v>
      </c>
      <c r="C84" s="86" t="n">
        <f aca="false">SUMIF(D_purchases!J$5:J$139,A84,D_purchases!G$5:G$139)</f>
        <v>0</v>
      </c>
      <c r="D84" s="87" t="n">
        <v>0</v>
      </c>
      <c r="E84" s="32" t="n">
        <f aca="false">B84-C84-D84</f>
        <v>0</v>
      </c>
      <c r="F84" s="32" t="n">
        <f aca="false">G84+E84</f>
        <v>3448802985</v>
      </c>
      <c r="G84" s="32" t="n">
        <f aca="false">F83</f>
        <v>3448802985</v>
      </c>
      <c r="H84" s="82" t="s">
        <v>3595</v>
      </c>
    </row>
    <row r="85" customFormat="false" ht="36" hidden="false" customHeight="true" outlineLevel="0" collapsed="false">
      <c r="A85" s="84" t="n">
        <v>46043</v>
      </c>
      <c r="B85" s="86" t="n">
        <f aca="false">SUMIF(D_sales!I$5:I$121,A85,D_sales!F$5:F$121)</f>
        <v>0</v>
      </c>
      <c r="C85" s="86" t="n">
        <f aca="false">SUMIF(D_purchases!J$5:J$139,A85,D_purchases!G$5:G$139)</f>
        <v>183238932</v>
      </c>
      <c r="D85" s="87" t="n">
        <v>0</v>
      </c>
      <c r="E85" s="32" t="n">
        <f aca="false">B85-C85-D85</f>
        <v>-183238932</v>
      </c>
      <c r="F85" s="32" t="n">
        <f aca="false">G85+E85</f>
        <v>3265564053</v>
      </c>
      <c r="G85" s="32" t="n">
        <f aca="false">F84</f>
        <v>3448802985</v>
      </c>
      <c r="H85" s="82" t="s">
        <v>3595</v>
      </c>
    </row>
    <row r="86" customFormat="false" ht="36" hidden="false" customHeight="true" outlineLevel="0" collapsed="false">
      <c r="A86" s="84" t="n">
        <v>46044</v>
      </c>
      <c r="B86" s="86" t="n">
        <f aca="false">SUMIF(D_sales!I$5:I$121,A86,D_sales!F$5:F$121)</f>
        <v>0</v>
      </c>
      <c r="C86" s="86" t="n">
        <f aca="false">SUMIF(D_purchases!J$5:J$139,A86,D_purchases!G$5:G$139)</f>
        <v>0</v>
      </c>
      <c r="D86" s="87" t="n">
        <v>0</v>
      </c>
      <c r="E86" s="32" t="n">
        <f aca="false">B86-C86-D86</f>
        <v>0</v>
      </c>
      <c r="F86" s="32" t="n">
        <f aca="false">G86+E86</f>
        <v>3265564053</v>
      </c>
      <c r="G86" s="32" t="n">
        <f aca="false">F85</f>
        <v>3265564053</v>
      </c>
      <c r="H86" s="82" t="s">
        <v>3595</v>
      </c>
    </row>
    <row r="87" customFormat="false" ht="36" hidden="false" customHeight="true" outlineLevel="0" collapsed="false">
      <c r="A87" s="84" t="n">
        <v>46045</v>
      </c>
      <c r="B87" s="86" t="n">
        <f aca="false">SUMIF(D_sales!I$5:I$121,A87,D_sales!F$5:F$121)</f>
        <v>0</v>
      </c>
      <c r="C87" s="86" t="n">
        <f aca="false">SUMIF(D_purchases!J$5:J$139,A87,D_purchases!G$5:G$139)</f>
        <v>126145062</v>
      </c>
      <c r="D87" s="87" t="n">
        <v>45000000</v>
      </c>
      <c r="E87" s="32" t="n">
        <f aca="false">B87-C87-D87</f>
        <v>-171145062</v>
      </c>
      <c r="F87" s="32" t="n">
        <f aca="false">G87+E87</f>
        <v>3094418991</v>
      </c>
      <c r="G87" s="32" t="n">
        <f aca="false">F86</f>
        <v>3265564053</v>
      </c>
      <c r="H87" s="82" t="s">
        <v>3595</v>
      </c>
    </row>
    <row r="88" customFormat="false" ht="36" hidden="false" customHeight="true" outlineLevel="0" collapsed="false">
      <c r="A88" s="84" t="n">
        <v>46046</v>
      </c>
      <c r="B88" s="86" t="n">
        <f aca="false">SUMIF(D_sales!I$5:I$121,A88,D_sales!F$5:F$121)</f>
        <v>0</v>
      </c>
      <c r="C88" s="86" t="n">
        <f aca="false">SUMIF(D_purchases!J$5:J$139,A88,D_purchases!G$5:G$139)</f>
        <v>0</v>
      </c>
      <c r="D88" s="87" t="n">
        <v>0</v>
      </c>
      <c r="E88" s="32" t="n">
        <f aca="false">B88-C88-D88</f>
        <v>0</v>
      </c>
      <c r="F88" s="32" t="n">
        <f aca="false">G88+E88</f>
        <v>3094418991</v>
      </c>
      <c r="G88" s="32" t="n">
        <f aca="false">F87</f>
        <v>3094418991</v>
      </c>
      <c r="H88" s="82" t="s">
        <v>3595</v>
      </c>
    </row>
    <row r="89" customFormat="false" ht="36" hidden="false" customHeight="true" outlineLevel="0" collapsed="false">
      <c r="A89" s="84" t="n">
        <v>46047</v>
      </c>
      <c r="B89" s="86" t="n">
        <f aca="false">SUMIF(D_sales!I$5:I$121,A89,D_sales!F$5:F$121)</f>
        <v>0</v>
      </c>
      <c r="C89" s="86" t="n">
        <f aca="false">SUMIF(D_purchases!J$5:J$139,A89,D_purchases!G$5:G$139)</f>
        <v>0</v>
      </c>
      <c r="D89" s="87" t="n">
        <v>0</v>
      </c>
      <c r="E89" s="32" t="n">
        <f aca="false">B89-C89-D89</f>
        <v>0</v>
      </c>
      <c r="F89" s="32" t="n">
        <f aca="false">G89+E89</f>
        <v>3094418991</v>
      </c>
      <c r="G89" s="32" t="n">
        <f aca="false">F88</f>
        <v>3094418991</v>
      </c>
      <c r="H89" s="82" t="s">
        <v>3595</v>
      </c>
    </row>
    <row r="90" customFormat="false" ht="36" hidden="false" customHeight="true" outlineLevel="0" collapsed="false">
      <c r="A90" s="84" t="n">
        <v>46048</v>
      </c>
      <c r="B90" s="86" t="n">
        <f aca="false">SUMIF(D_sales!I$5:I$121,A90,D_sales!F$5:F$121)</f>
        <v>0</v>
      </c>
      <c r="C90" s="86" t="n">
        <f aca="false">SUMIF(D_purchases!J$5:J$139,A90,D_purchases!G$5:G$139)</f>
        <v>92016936</v>
      </c>
      <c r="D90" s="87" t="n">
        <v>0</v>
      </c>
      <c r="E90" s="32" t="n">
        <f aca="false">B90-C90-D90</f>
        <v>-92016936</v>
      </c>
      <c r="F90" s="32" t="n">
        <f aca="false">G90+E90</f>
        <v>3002402055</v>
      </c>
      <c r="G90" s="32" t="n">
        <f aca="false">F89</f>
        <v>3094418991</v>
      </c>
      <c r="H90" s="82" t="s">
        <v>3595</v>
      </c>
    </row>
    <row r="91" customFormat="false" ht="36" hidden="false" customHeight="true" outlineLevel="0" collapsed="false">
      <c r="A91" s="84" t="n">
        <v>46049</v>
      </c>
      <c r="B91" s="86" t="n">
        <f aca="false">SUMIF(D_sales!I$5:I$121,A91,D_sales!F$5:F$121)</f>
        <v>0</v>
      </c>
      <c r="C91" s="86" t="n">
        <f aca="false">SUMIF(D_purchases!J$5:J$139,A91,D_purchases!G$5:G$139)</f>
        <v>0</v>
      </c>
      <c r="D91" s="87" t="n">
        <v>0</v>
      </c>
      <c r="E91" s="32" t="n">
        <f aca="false">B91-C91-D91</f>
        <v>0</v>
      </c>
      <c r="F91" s="32" t="n">
        <f aca="false">G91+E91</f>
        <v>3002402055</v>
      </c>
      <c r="G91" s="32" t="n">
        <f aca="false">F90</f>
        <v>3002402055</v>
      </c>
      <c r="H91" s="82" t="s">
        <v>3595</v>
      </c>
    </row>
    <row r="92" customFormat="false" ht="36" hidden="false" customHeight="true" outlineLevel="0" collapsed="false">
      <c r="A92" s="84" t="n">
        <v>46050</v>
      </c>
      <c r="B92" s="86" t="n">
        <f aca="false">SUMIF(D_sales!I$5:I$121,A92,D_sales!F$5:F$121)</f>
        <v>0</v>
      </c>
      <c r="C92" s="86" t="n">
        <f aca="false">SUMIF(D_purchases!J$5:J$139,A92,D_purchases!G$5:G$139)</f>
        <v>0</v>
      </c>
      <c r="D92" s="87" t="n">
        <v>1500000000</v>
      </c>
      <c r="E92" s="32" t="n">
        <f aca="false">B92-C92-D92</f>
        <v>-1500000000</v>
      </c>
      <c r="F92" s="32" t="n">
        <f aca="false">G92+E92</f>
        <v>1502402055</v>
      </c>
      <c r="G92" s="32" t="n">
        <f aca="false">F91</f>
        <v>3002402055</v>
      </c>
      <c r="H92" s="82" t="s">
        <v>3595</v>
      </c>
    </row>
    <row r="93" customFormat="false" ht="36" hidden="false" customHeight="true" outlineLevel="0" collapsed="false">
      <c r="A93" s="84" t="n">
        <v>46051</v>
      </c>
      <c r="B93" s="86" t="n">
        <f aca="false">SUMIF(D_sales!I$5:I$121,A93,D_sales!F$5:F$121)</f>
        <v>0</v>
      </c>
      <c r="C93" s="86" t="n">
        <f aca="false">SUMIF(D_purchases!J$5:J$139,A93,D_purchases!G$5:G$139)</f>
        <v>0</v>
      </c>
      <c r="D93" s="87" t="n">
        <v>0</v>
      </c>
      <c r="E93" s="32" t="n">
        <f aca="false">B93-C93-D93</f>
        <v>0</v>
      </c>
      <c r="F93" s="32" t="n">
        <f aca="false">G93+E93</f>
        <v>1502402055</v>
      </c>
      <c r="G93" s="32" t="n">
        <f aca="false">F92</f>
        <v>1502402055</v>
      </c>
      <c r="H93" s="82" t="s">
        <v>3595</v>
      </c>
    </row>
    <row r="94" customFormat="false" ht="36" hidden="false" customHeight="true" outlineLevel="0" collapsed="false">
      <c r="A94" s="84" t="n">
        <v>46052</v>
      </c>
      <c r="B94" s="86" t="n">
        <f aca="false">SUMIF(D_sales!I$5:I$121,A94,D_sales!F$5:F$121)</f>
        <v>192744810</v>
      </c>
      <c r="C94" s="86" t="n">
        <f aca="false">SUMIF(D_purchases!J$5:J$139,A94,D_purchases!G$5:G$139)</f>
        <v>302287842</v>
      </c>
      <c r="D94" s="87" t="n">
        <v>45000000</v>
      </c>
      <c r="E94" s="32" t="n">
        <f aca="false">B94-C94-D94</f>
        <v>-154543032</v>
      </c>
      <c r="F94" s="32" t="n">
        <f aca="false">G94+E94</f>
        <v>1347859023</v>
      </c>
      <c r="G94" s="32" t="n">
        <f aca="false">F93</f>
        <v>1502402055</v>
      </c>
      <c r="H94" s="82" t="s">
        <v>3595</v>
      </c>
    </row>
    <row r="95" customFormat="false" ht="36" hidden="false" customHeight="true" outlineLevel="0" collapsed="false">
      <c r="A95" s="84" t="n">
        <v>46053</v>
      </c>
      <c r="B95" s="86" t="n">
        <f aca="false">SUMIF(D_sales!I$5:I$121,A95,D_sales!F$5:F$121)</f>
        <v>157165425</v>
      </c>
      <c r="C95" s="86" t="n">
        <f aca="false">SUMIF(D_purchases!J$5:J$139,A95,D_purchases!G$5:G$139)</f>
        <v>92329080</v>
      </c>
      <c r="D95" s="87" t="n">
        <v>0</v>
      </c>
      <c r="E95" s="32" t="n">
        <f aca="false">B95-C95-D95</f>
        <v>64836345</v>
      </c>
      <c r="F95" s="32" t="n">
        <f aca="false">G95+E95</f>
        <v>1412695368</v>
      </c>
      <c r="G95" s="32" t="n">
        <f aca="false">F94</f>
        <v>1347859023</v>
      </c>
      <c r="H95" s="82" t="s">
        <v>3595</v>
      </c>
    </row>
    <row r="96" customFormat="false" ht="36" hidden="false" customHeight="true" outlineLevel="0" collapsed="false">
      <c r="A96" s="84" t="n">
        <v>46054</v>
      </c>
      <c r="B96" s="86" t="n">
        <f aca="false">SUMIF(D_sales!I$5:I$121,A96,D_sales!F$5:F$121)</f>
        <v>190695283</v>
      </c>
      <c r="C96" s="86" t="n">
        <f aca="false">SUMIF(D_purchases!J$5:J$139,A96,D_purchases!G$5:G$139)</f>
        <v>0</v>
      </c>
      <c r="D96" s="87" t="n">
        <v>180000000</v>
      </c>
      <c r="E96" s="32" t="n">
        <f aca="false">B96-C96-D96</f>
        <v>10695283</v>
      </c>
      <c r="F96" s="32" t="n">
        <f aca="false">G96+E96</f>
        <v>1423390651</v>
      </c>
      <c r="G96" s="32" t="n">
        <f aca="false">F95</f>
        <v>1412695368</v>
      </c>
      <c r="H96" s="82" t="s">
        <v>3595</v>
      </c>
    </row>
    <row r="97" customFormat="false" ht="36" hidden="false" customHeight="true" outlineLevel="0" collapsed="false">
      <c r="A97" s="84" t="n">
        <v>46055</v>
      </c>
      <c r="B97" s="86" t="n">
        <f aca="false">SUMIF(D_sales!I$5:I$121,A97,D_sales!F$5:F$121)</f>
        <v>386967703</v>
      </c>
      <c r="C97" s="86" t="n">
        <f aca="false">SUMIF(D_purchases!J$5:J$139,A97,D_purchases!G$5:G$139)</f>
        <v>349871610</v>
      </c>
      <c r="D97" s="87" t="n">
        <v>0</v>
      </c>
      <c r="E97" s="32" t="n">
        <f aca="false">B97-C97-D97</f>
        <v>37096093</v>
      </c>
      <c r="F97" s="32" t="n">
        <f aca="false">G97+E97</f>
        <v>1460486744</v>
      </c>
      <c r="G97" s="32" t="n">
        <f aca="false">F96</f>
        <v>1423390651</v>
      </c>
      <c r="H97" s="82" t="s">
        <v>3595</v>
      </c>
    </row>
    <row r="98" customFormat="false" ht="36" hidden="false" customHeight="true" outlineLevel="0" collapsed="false">
      <c r="A98" s="84" t="n">
        <v>46056</v>
      </c>
      <c r="B98" s="86" t="n">
        <f aca="false">SUMIF(D_sales!I$5:I$121,A98,D_sales!F$5:F$121)</f>
        <v>590643317</v>
      </c>
      <c r="C98" s="86" t="n">
        <f aca="false">SUMIF(D_purchases!J$5:J$139,A98,D_purchases!G$5:G$139)</f>
        <v>539157882</v>
      </c>
      <c r="D98" s="87" t="n">
        <v>0</v>
      </c>
      <c r="E98" s="32" t="n">
        <f aca="false">B98-C98-D98</f>
        <v>51485435</v>
      </c>
      <c r="F98" s="32" t="n">
        <f aca="false">G98+E98</f>
        <v>1511972179</v>
      </c>
      <c r="G98" s="32" t="n">
        <f aca="false">F97</f>
        <v>1460486744</v>
      </c>
      <c r="H98" s="82" t="s">
        <v>3595</v>
      </c>
    </row>
    <row r="99" customFormat="false" ht="36" hidden="false" customHeight="true" outlineLevel="0" collapsed="false">
      <c r="A99" s="84" t="n">
        <v>46057</v>
      </c>
      <c r="B99" s="86" t="n">
        <f aca="false">SUMIF(D_sales!I$5:I$121,A99,D_sales!F$5:F$121)</f>
        <v>389773829</v>
      </c>
      <c r="C99" s="86" t="n">
        <f aca="false">SUMIF(D_purchases!J$5:J$139,A99,D_purchases!G$5:G$139)</f>
        <v>0</v>
      </c>
      <c r="D99" s="87" t="n">
        <v>0</v>
      </c>
      <c r="E99" s="32" t="n">
        <f aca="false">B99-C99-D99</f>
        <v>389773829</v>
      </c>
      <c r="F99" s="32" t="n">
        <f aca="false">G99+E99</f>
        <v>1901746008</v>
      </c>
      <c r="G99" s="32" t="n">
        <f aca="false">F98</f>
        <v>1511972179</v>
      </c>
      <c r="H99" s="82" t="s">
        <v>3595</v>
      </c>
    </row>
    <row r="100" customFormat="false" ht="36" hidden="false" customHeight="true" outlineLevel="0" collapsed="false">
      <c r="A100" s="84" t="n">
        <v>46058</v>
      </c>
      <c r="B100" s="86" t="n">
        <f aca="false">SUMIF(D_sales!I$5:I$121,A100,D_sales!F$5:F$121)</f>
        <v>0</v>
      </c>
      <c r="C100" s="86" t="n">
        <f aca="false">SUMIF(D_purchases!J$5:J$139,A100,D_purchases!G$5:G$139)</f>
        <v>0</v>
      </c>
      <c r="D100" s="87" t="n">
        <v>0</v>
      </c>
      <c r="E100" s="32" t="n">
        <f aca="false">B100-C100-D100</f>
        <v>0</v>
      </c>
      <c r="F100" s="32" t="n">
        <f aca="false">G100+E100</f>
        <v>1901746008</v>
      </c>
      <c r="G100" s="32" t="n">
        <f aca="false">F99</f>
        <v>1901746008</v>
      </c>
      <c r="H100" s="82" t="s">
        <v>3595</v>
      </c>
    </row>
    <row r="101" customFormat="false" ht="36" hidden="false" customHeight="true" outlineLevel="0" collapsed="false">
      <c r="A101" s="84" t="n">
        <v>46059</v>
      </c>
      <c r="B101" s="86" t="n">
        <f aca="false">SUMIF(D_sales!I$5:I$121,A101,D_sales!F$5:F$121)</f>
        <v>806035066</v>
      </c>
      <c r="C101" s="86" t="n">
        <f aca="false">SUMIF(D_purchases!J$5:J$139,A101,D_purchases!G$5:G$139)</f>
        <v>127044054</v>
      </c>
      <c r="D101" s="87" t="n">
        <v>45000000</v>
      </c>
      <c r="E101" s="32" t="n">
        <f aca="false">B101-C101-D101</f>
        <v>633991012</v>
      </c>
      <c r="F101" s="32" t="n">
        <f aca="false">G101+E101</f>
        <v>2535737020</v>
      </c>
      <c r="G101" s="32" t="n">
        <f aca="false">F100</f>
        <v>1901746008</v>
      </c>
      <c r="H101" s="82" t="s">
        <v>3595</v>
      </c>
    </row>
    <row r="102" customFormat="false" ht="36" hidden="false" customHeight="true" outlineLevel="0" collapsed="false">
      <c r="A102" s="84" t="n">
        <v>46060</v>
      </c>
      <c r="B102" s="86" t="n">
        <f aca="false">SUMIF(D_sales!I$5:I$121,A102,D_sales!F$5:F$121)</f>
        <v>0</v>
      </c>
      <c r="C102" s="86" t="n">
        <f aca="false">SUMIF(D_purchases!J$5:J$139,A102,D_purchases!G$5:G$139)</f>
        <v>0</v>
      </c>
      <c r="D102" s="87" t="n">
        <v>0</v>
      </c>
      <c r="E102" s="32" t="n">
        <f aca="false">B102-C102-D102</f>
        <v>0</v>
      </c>
      <c r="F102" s="32" t="n">
        <f aca="false">G102+E102</f>
        <v>2535737020</v>
      </c>
      <c r="G102" s="32" t="n">
        <f aca="false">F101</f>
        <v>2535737020</v>
      </c>
      <c r="H102" s="82" t="s">
        <v>3595</v>
      </c>
    </row>
    <row r="103" customFormat="false" ht="36" hidden="false" customHeight="true" outlineLevel="0" collapsed="false">
      <c r="A103" s="84" t="n">
        <v>46061</v>
      </c>
      <c r="B103" s="86" t="n">
        <f aca="false">SUMIF(D_sales!I$5:I$121,A103,D_sales!F$5:F$121)</f>
        <v>0</v>
      </c>
      <c r="C103" s="86" t="n">
        <f aca="false">SUMIF(D_purchases!J$5:J$139,A103,D_purchases!G$5:G$139)</f>
        <v>214095756</v>
      </c>
      <c r="D103" s="87" t="n">
        <v>0</v>
      </c>
      <c r="E103" s="32" t="n">
        <f aca="false">B103-C103-D103</f>
        <v>-214095756</v>
      </c>
      <c r="F103" s="32" t="n">
        <f aca="false">G103+E103</f>
        <v>2321641264</v>
      </c>
      <c r="G103" s="32" t="n">
        <f aca="false">F102</f>
        <v>2535737020</v>
      </c>
      <c r="H103" s="82" t="s">
        <v>3595</v>
      </c>
    </row>
    <row r="104" customFormat="false" ht="36" hidden="false" customHeight="true" outlineLevel="0" collapsed="false">
      <c r="A104" s="84" t="n">
        <v>46062</v>
      </c>
      <c r="B104" s="86" t="n">
        <f aca="false">SUMIF(D_sales!I$5:I$121,A104,D_sales!F$5:F$121)</f>
        <v>0</v>
      </c>
      <c r="C104" s="86" t="n">
        <f aca="false">SUMIF(D_purchases!J$5:J$139,A104,D_purchases!G$5:G$139)</f>
        <v>0</v>
      </c>
      <c r="D104" s="87" t="n">
        <v>0</v>
      </c>
      <c r="E104" s="32" t="n">
        <f aca="false">B104-C104-D104</f>
        <v>0</v>
      </c>
      <c r="F104" s="32" t="n">
        <f aca="false">G104+E104</f>
        <v>2321641264</v>
      </c>
      <c r="G104" s="32" t="n">
        <f aca="false">F103</f>
        <v>2321641264</v>
      </c>
      <c r="H104" s="82" t="s">
        <v>3595</v>
      </c>
    </row>
    <row r="105" customFormat="false" ht="36" hidden="false" customHeight="true" outlineLevel="0" collapsed="false">
      <c r="A105" s="84" t="n">
        <v>46063</v>
      </c>
      <c r="B105" s="86" t="n">
        <f aca="false">SUMIF(D_sales!I$5:I$121,A105,D_sales!F$5:F$121)</f>
        <v>478356759</v>
      </c>
      <c r="C105" s="86" t="n">
        <f aca="false">SUMIF(D_purchases!J$5:J$139,A105,D_purchases!G$5:G$139)</f>
        <v>0</v>
      </c>
      <c r="D105" s="87" t="n">
        <v>0</v>
      </c>
      <c r="E105" s="32" t="n">
        <f aca="false">B105-C105-D105</f>
        <v>478356759</v>
      </c>
      <c r="F105" s="32" t="n">
        <f aca="false">G105+E105</f>
        <v>2799998023</v>
      </c>
      <c r="G105" s="32" t="n">
        <f aca="false">F104</f>
        <v>2321641264</v>
      </c>
      <c r="H105" s="82" t="s">
        <v>3595</v>
      </c>
    </row>
    <row r="106" customFormat="false" ht="36" hidden="false" customHeight="true" outlineLevel="0" collapsed="false">
      <c r="A106" s="84" t="n">
        <v>46064</v>
      </c>
      <c r="B106" s="86" t="n">
        <f aca="false">SUMIF(D_sales!I$5:I$121,A106,D_sales!F$5:F$121)</f>
        <v>536381962</v>
      </c>
      <c r="C106" s="86" t="n">
        <f aca="false">SUMIF(D_purchases!J$5:J$139,A106,D_purchases!G$5:G$139)</f>
        <v>0</v>
      </c>
      <c r="D106" s="87" t="n">
        <v>0</v>
      </c>
      <c r="E106" s="32" t="n">
        <f aca="false">B106-C106-D106</f>
        <v>536381962</v>
      </c>
      <c r="F106" s="32" t="n">
        <f aca="false">G106+E106</f>
        <v>3336379985</v>
      </c>
      <c r="G106" s="32" t="n">
        <f aca="false">F105</f>
        <v>2799998023</v>
      </c>
      <c r="H106" s="82" t="s">
        <v>3595</v>
      </c>
    </row>
    <row r="107" customFormat="false" ht="36" hidden="false" customHeight="true" outlineLevel="0" collapsed="false">
      <c r="A107" s="84" t="n">
        <v>46065</v>
      </c>
      <c r="B107" s="86" t="n">
        <f aca="false">SUMIF(D_sales!I$5:I$121,A107,D_sales!F$5:F$121)</f>
        <v>0</v>
      </c>
      <c r="C107" s="86" t="n">
        <f aca="false">SUMIF(D_purchases!J$5:J$139,A107,D_purchases!G$5:G$139)</f>
        <v>98909154</v>
      </c>
      <c r="D107" s="87" t="n">
        <v>0</v>
      </c>
      <c r="E107" s="32" t="n">
        <f aca="false">B107-C107-D107</f>
        <v>-98909154</v>
      </c>
      <c r="F107" s="32" t="n">
        <f aca="false">G107+E107</f>
        <v>3237470831</v>
      </c>
      <c r="G107" s="32" t="n">
        <f aca="false">F106</f>
        <v>3336379985</v>
      </c>
      <c r="H107" s="82" t="s">
        <v>3595</v>
      </c>
    </row>
    <row r="108" customFormat="false" ht="36" hidden="false" customHeight="true" outlineLevel="0" collapsed="false">
      <c r="A108" s="84" t="n">
        <v>46066</v>
      </c>
      <c r="B108" s="86" t="n">
        <f aca="false">SUMIF(D_sales!I$5:I$121,A108,D_sales!F$5:F$121)</f>
        <v>0</v>
      </c>
      <c r="C108" s="86" t="n">
        <f aca="false">SUMIF(D_purchases!J$5:J$139,A108,D_purchases!G$5:G$139)</f>
        <v>0</v>
      </c>
      <c r="D108" s="87" t="n">
        <v>45000000</v>
      </c>
      <c r="E108" s="32" t="n">
        <f aca="false">B108-C108-D108</f>
        <v>-45000000</v>
      </c>
      <c r="F108" s="32" t="n">
        <f aca="false">G108+E108</f>
        <v>3192470831</v>
      </c>
      <c r="G108" s="32" t="n">
        <f aca="false">F107</f>
        <v>3237470831</v>
      </c>
      <c r="H108" s="82" t="s">
        <v>3595</v>
      </c>
    </row>
    <row r="109" customFormat="false" ht="36" hidden="false" customHeight="true" outlineLevel="0" collapsed="false">
      <c r="A109" s="84" t="n">
        <v>46067</v>
      </c>
      <c r="B109" s="86" t="n">
        <f aca="false">SUMIF(D_sales!I$5:I$121,A109,D_sales!F$5:F$121)</f>
        <v>191803048</v>
      </c>
      <c r="C109" s="86" t="n">
        <f aca="false">SUMIF(D_purchases!J$5:J$139,A109,D_purchases!G$5:G$139)</f>
        <v>372483582</v>
      </c>
      <c r="D109" s="87" t="n">
        <v>0</v>
      </c>
      <c r="E109" s="32" t="n">
        <f aca="false">B109-C109-D109</f>
        <v>-180680534</v>
      </c>
      <c r="F109" s="32" t="n">
        <f aca="false">G109+E109</f>
        <v>3011790297</v>
      </c>
      <c r="G109" s="32" t="n">
        <f aca="false">F108</f>
        <v>3192470831</v>
      </c>
      <c r="H109" s="82" t="s">
        <v>3595</v>
      </c>
    </row>
    <row r="110" customFormat="false" ht="36" hidden="false" customHeight="true" outlineLevel="0" collapsed="false">
      <c r="A110" s="84" t="n">
        <v>46068</v>
      </c>
      <c r="B110" s="86" t="n">
        <f aca="false">SUMIF(D_sales!I$5:I$121,A110,D_sales!F$5:F$121)</f>
        <v>0</v>
      </c>
      <c r="C110" s="86" t="n">
        <f aca="false">SUMIF(D_purchases!J$5:J$139,A110,D_purchases!G$5:G$139)</f>
        <v>0</v>
      </c>
      <c r="D110" s="87" t="n">
        <v>0</v>
      </c>
      <c r="E110" s="32" t="n">
        <f aca="false">B110-C110-D110</f>
        <v>0</v>
      </c>
      <c r="F110" s="32" t="n">
        <f aca="false">G110+E110</f>
        <v>3011790297</v>
      </c>
      <c r="G110" s="32" t="n">
        <f aca="false">F109</f>
        <v>3011790297</v>
      </c>
      <c r="H110" s="82" t="s">
        <v>3595</v>
      </c>
    </row>
    <row r="111" customFormat="false" ht="36" hidden="false" customHeight="true" outlineLevel="0" collapsed="false">
      <c r="A111" s="84" t="n">
        <v>46069</v>
      </c>
      <c r="B111" s="86" t="n">
        <f aca="false">SUMIF(D_sales!I$5:I$121,A111,D_sales!F$5:F$121)</f>
        <v>0</v>
      </c>
      <c r="C111" s="86" t="n">
        <f aca="false">SUMIF(D_purchases!J$5:J$139,A111,D_purchases!G$5:G$139)</f>
        <v>0</v>
      </c>
      <c r="D111" s="87" t="n">
        <v>0</v>
      </c>
      <c r="E111" s="32" t="n">
        <f aca="false">B111-C111-D111</f>
        <v>0</v>
      </c>
      <c r="F111" s="32" t="n">
        <f aca="false">G111+E111</f>
        <v>3011790297</v>
      </c>
      <c r="G111" s="32" t="n">
        <f aca="false">F110</f>
        <v>3011790297</v>
      </c>
      <c r="H111" s="82" t="s">
        <v>3595</v>
      </c>
    </row>
    <row r="112" customFormat="false" ht="36" hidden="false" customHeight="true" outlineLevel="0" collapsed="false">
      <c r="A112" s="84" t="n">
        <v>46070</v>
      </c>
      <c r="B112" s="86" t="n">
        <f aca="false">SUMIF(D_sales!I$5:I$121,A112,D_sales!F$5:F$121)</f>
        <v>0</v>
      </c>
      <c r="C112" s="86" t="n">
        <f aca="false">SUMIF(D_purchases!J$5:J$139,A112,D_purchases!G$5:G$139)</f>
        <v>133798920</v>
      </c>
      <c r="D112" s="87" t="n">
        <v>0</v>
      </c>
      <c r="E112" s="32" t="n">
        <f aca="false">B112-C112-D112</f>
        <v>-133798920</v>
      </c>
      <c r="F112" s="32" t="n">
        <f aca="false">G112+E112</f>
        <v>2877991377</v>
      </c>
      <c r="G112" s="32" t="n">
        <f aca="false">F111</f>
        <v>3011790297</v>
      </c>
      <c r="H112" s="82" t="s">
        <v>3595</v>
      </c>
    </row>
    <row r="113" customFormat="false" ht="36" hidden="false" customHeight="true" outlineLevel="0" collapsed="false">
      <c r="A113" s="84" t="n">
        <v>46071</v>
      </c>
      <c r="B113" s="86" t="n">
        <f aca="false">SUMIF(D_sales!I$5:I$121,A113,D_sales!F$5:F$121)</f>
        <v>2052887369</v>
      </c>
      <c r="C113" s="86" t="n">
        <f aca="false">SUMIF(D_purchases!J$5:J$139,A113,D_purchases!G$5:G$139)</f>
        <v>0</v>
      </c>
      <c r="D113" s="87" t="n">
        <v>0</v>
      </c>
      <c r="E113" s="32" t="n">
        <f aca="false">B113-C113-D113</f>
        <v>2052887369</v>
      </c>
      <c r="F113" s="32" t="n">
        <f aca="false">G113+E113</f>
        <v>4930878746</v>
      </c>
      <c r="G113" s="32" t="n">
        <f aca="false">F112</f>
        <v>2877991377</v>
      </c>
      <c r="H113" s="82" t="s">
        <v>3595</v>
      </c>
    </row>
    <row r="114" customFormat="false" ht="36" hidden="false" customHeight="true" outlineLevel="0" collapsed="false">
      <c r="A114" s="84" t="n">
        <v>46072</v>
      </c>
      <c r="B114" s="86" t="n">
        <f aca="false">SUMIF(D_sales!I$5:I$121,A114,D_sales!F$5:F$121)</f>
        <v>0</v>
      </c>
      <c r="C114" s="86" t="n">
        <f aca="false">SUMIF(D_purchases!J$5:J$139,A114,D_purchases!G$5:G$139)</f>
        <v>128866992</v>
      </c>
      <c r="D114" s="87" t="n">
        <v>0</v>
      </c>
      <c r="E114" s="32" t="n">
        <f aca="false">B114-C114-D114</f>
        <v>-128866992</v>
      </c>
      <c r="F114" s="32" t="n">
        <f aca="false">G114+E114</f>
        <v>4802011754</v>
      </c>
      <c r="G114" s="32" t="n">
        <f aca="false">F113</f>
        <v>4930878746</v>
      </c>
      <c r="H114" s="82" t="s">
        <v>3595</v>
      </c>
    </row>
    <row r="115" customFormat="false" ht="36" hidden="false" customHeight="true" outlineLevel="0" collapsed="false">
      <c r="A115" s="84" t="n">
        <v>46073</v>
      </c>
      <c r="B115" s="86" t="n">
        <f aca="false">SUMIF(D_sales!I$5:I$121,A115,D_sales!F$5:F$121)</f>
        <v>0</v>
      </c>
      <c r="C115" s="86" t="n">
        <f aca="false">SUMIF(D_purchases!J$5:J$139,A115,D_purchases!G$5:G$139)</f>
        <v>0</v>
      </c>
      <c r="D115" s="87" t="n">
        <v>45000000</v>
      </c>
      <c r="E115" s="32" t="n">
        <f aca="false">B115-C115-D115</f>
        <v>-45000000</v>
      </c>
      <c r="F115" s="32" t="n">
        <f aca="false">G115+E115</f>
        <v>4757011754</v>
      </c>
      <c r="G115" s="32" t="n">
        <f aca="false">F114</f>
        <v>4802011754</v>
      </c>
      <c r="H115" s="82" t="s">
        <v>3595</v>
      </c>
    </row>
    <row r="116" customFormat="false" ht="36" hidden="false" customHeight="true" outlineLevel="0" collapsed="false">
      <c r="A116" s="84" t="n">
        <v>46074</v>
      </c>
      <c r="B116" s="86" t="n">
        <f aca="false">SUMIF(D_sales!I$5:I$121,A116,D_sales!F$5:F$121)</f>
        <v>0</v>
      </c>
      <c r="C116" s="86" t="n">
        <f aca="false">SUMIF(D_purchases!J$5:J$139,A116,D_purchases!G$5:G$139)</f>
        <v>0</v>
      </c>
      <c r="D116" s="87" t="n">
        <v>0</v>
      </c>
      <c r="E116" s="32" t="n">
        <f aca="false">B116-C116-D116</f>
        <v>0</v>
      </c>
      <c r="F116" s="32" t="n">
        <f aca="false">G116+E116</f>
        <v>4757011754</v>
      </c>
      <c r="G116" s="32" t="n">
        <f aca="false">F115</f>
        <v>4757011754</v>
      </c>
      <c r="H116" s="82" t="s">
        <v>3595</v>
      </c>
    </row>
    <row r="117" customFormat="false" ht="36" hidden="false" customHeight="true" outlineLevel="0" collapsed="false">
      <c r="A117" s="84" t="n">
        <v>46075</v>
      </c>
      <c r="B117" s="86" t="n">
        <f aca="false">SUMIF(D_sales!I$5:I$121,A117,D_sales!F$5:F$121)</f>
        <v>2028382448</v>
      </c>
      <c r="C117" s="86" t="n">
        <f aca="false">SUMIF(D_purchases!J$5:J$139,A117,D_purchases!G$5:G$139)</f>
        <v>0</v>
      </c>
      <c r="D117" s="87" t="n">
        <v>0</v>
      </c>
      <c r="E117" s="32" t="n">
        <f aca="false">B117-C117-D117</f>
        <v>2028382448</v>
      </c>
      <c r="F117" s="32" t="n">
        <f aca="false">G117+E117</f>
        <v>6785394202</v>
      </c>
      <c r="G117" s="32" t="n">
        <f aca="false">F116</f>
        <v>4757011754</v>
      </c>
      <c r="H117" s="82" t="s">
        <v>3595</v>
      </c>
    </row>
    <row r="118" customFormat="false" ht="36" hidden="false" customHeight="true" outlineLevel="0" collapsed="false">
      <c r="A118" s="84" t="n">
        <v>46076</v>
      </c>
      <c r="B118" s="86" t="n">
        <f aca="false">SUMIF(D_sales!I$5:I$121,A118,D_sales!F$5:F$121)</f>
        <v>880303239</v>
      </c>
      <c r="C118" s="86" t="n">
        <f aca="false">SUMIF(D_purchases!J$5:J$139,A118,D_purchases!G$5:G$139)</f>
        <v>0</v>
      </c>
      <c r="D118" s="87" t="n">
        <v>0</v>
      </c>
      <c r="E118" s="32" t="n">
        <f aca="false">B118-C118-D118</f>
        <v>880303239</v>
      </c>
      <c r="F118" s="32" t="n">
        <f aca="false">G118+E118</f>
        <v>7665697441</v>
      </c>
      <c r="G118" s="32" t="n">
        <f aca="false">F117</f>
        <v>6785394202</v>
      </c>
      <c r="H118" s="82" t="s">
        <v>3595</v>
      </c>
    </row>
    <row r="119" customFormat="false" ht="36" hidden="false" customHeight="true" outlineLevel="0" collapsed="false">
      <c r="A119" s="84" t="n">
        <v>46077</v>
      </c>
      <c r="B119" s="86" t="n">
        <f aca="false">SUMIF(D_sales!I$5:I$121,A119,D_sales!F$5:F$121)</f>
        <v>0</v>
      </c>
      <c r="C119" s="86" t="n">
        <f aca="false">SUMIF(D_purchases!J$5:J$139,A119,D_purchases!G$5:G$139)</f>
        <v>0</v>
      </c>
      <c r="D119" s="87" t="n">
        <v>0</v>
      </c>
      <c r="E119" s="32" t="n">
        <f aca="false">B119-C119-D119</f>
        <v>0</v>
      </c>
      <c r="F119" s="32" t="n">
        <f aca="false">G119+E119</f>
        <v>7665697441</v>
      </c>
      <c r="G119" s="32" t="n">
        <f aca="false">F118</f>
        <v>7665697441</v>
      </c>
      <c r="H119" s="82" t="s">
        <v>3595</v>
      </c>
    </row>
    <row r="120" customFormat="false" ht="36" hidden="false" customHeight="true" outlineLevel="0" collapsed="false">
      <c r="A120" s="84" t="n">
        <v>46078</v>
      </c>
      <c r="B120" s="86" t="n">
        <f aca="false">SUMIF(D_sales!I$5:I$121,A120,D_sales!F$5:F$121)</f>
        <v>511956850</v>
      </c>
      <c r="C120" s="86" t="n">
        <f aca="false">SUMIF(D_purchases!J$5:J$139,A120,D_purchases!G$5:G$139)</f>
        <v>785596290</v>
      </c>
      <c r="D120" s="87" t="n">
        <v>0</v>
      </c>
      <c r="E120" s="32" t="n">
        <f aca="false">B120-C120-D120</f>
        <v>-273639440</v>
      </c>
      <c r="F120" s="32" t="n">
        <f aca="false">G120+E120</f>
        <v>7392058001</v>
      </c>
      <c r="G120" s="32" t="n">
        <f aca="false">F119</f>
        <v>7665697441</v>
      </c>
      <c r="H120" s="82" t="s">
        <v>3595</v>
      </c>
    </row>
    <row r="121" customFormat="false" ht="36" hidden="false" customHeight="true" outlineLevel="0" collapsed="false">
      <c r="A121" s="84" t="n">
        <v>46079</v>
      </c>
      <c r="B121" s="86" t="n">
        <f aca="false">SUMIF(D_sales!I$5:I$121,A121,D_sales!F$5:F$121)</f>
        <v>0</v>
      </c>
      <c r="C121" s="86" t="n">
        <f aca="false">SUMIF(D_purchases!J$5:J$139,A121,D_purchases!G$5:G$139)</f>
        <v>289968420</v>
      </c>
      <c r="D121" s="87" t="n">
        <v>0</v>
      </c>
      <c r="E121" s="32" t="n">
        <f aca="false">B121-C121-D121</f>
        <v>-289968420</v>
      </c>
      <c r="F121" s="32" t="n">
        <f aca="false">G121+E121</f>
        <v>7102089581</v>
      </c>
      <c r="G121" s="32" t="n">
        <f aca="false">F120</f>
        <v>7392058001</v>
      </c>
      <c r="H121" s="82" t="s">
        <v>3595</v>
      </c>
    </row>
    <row r="122" customFormat="false" ht="36" hidden="false" customHeight="true" outlineLevel="0" collapsed="false">
      <c r="A122" s="84" t="n">
        <v>46080</v>
      </c>
      <c r="B122" s="86" t="n">
        <f aca="false">SUMIF(D_sales!I$5:I$121,A122,D_sales!F$5:F$121)</f>
        <v>1269990873</v>
      </c>
      <c r="C122" s="86" t="n">
        <f aca="false">SUMIF(D_purchases!J$5:J$139,A122,D_purchases!G$5:G$139)</f>
        <v>0</v>
      </c>
      <c r="D122" s="87" t="n">
        <v>45000000</v>
      </c>
      <c r="E122" s="32" t="n">
        <f aca="false">B122-C122-D122</f>
        <v>1224990873</v>
      </c>
      <c r="F122" s="32" t="n">
        <f aca="false">G122+E122</f>
        <v>8327080454</v>
      </c>
      <c r="G122" s="32" t="n">
        <f aca="false">F121</f>
        <v>7102089581</v>
      </c>
      <c r="H122" s="82" t="s">
        <v>3595</v>
      </c>
    </row>
    <row r="123" customFormat="false" ht="36" hidden="false" customHeight="true" outlineLevel="0" collapsed="false">
      <c r="A123" s="84" t="n">
        <v>46081</v>
      </c>
      <c r="B123" s="86" t="n">
        <f aca="false">SUMIF(D_sales!I$5:I$121,A123,D_sales!F$5:F$121)</f>
        <v>0</v>
      </c>
      <c r="C123" s="86" t="n">
        <f aca="false">SUMIF(D_purchases!J$5:J$139,A123,D_purchases!G$5:G$139)</f>
        <v>0</v>
      </c>
      <c r="D123" s="87" t="n">
        <v>1500000000</v>
      </c>
      <c r="E123" s="32" t="n">
        <f aca="false">B123-C123-D123</f>
        <v>-1500000000</v>
      </c>
      <c r="F123" s="32" t="n">
        <f aca="false">G123+E123</f>
        <v>6827080454</v>
      </c>
      <c r="G123" s="32" t="n">
        <f aca="false">F122</f>
        <v>8327080454</v>
      </c>
      <c r="H123" s="82" t="s">
        <v>3595</v>
      </c>
    </row>
    <row r="124" customFormat="false" ht="36" hidden="false" customHeight="true" outlineLevel="0" collapsed="false">
      <c r="A124" s="84" t="n">
        <v>46082</v>
      </c>
      <c r="B124" s="86" t="n">
        <f aca="false">SUMIF(D_sales!I$5:I$121,A124,D_sales!F$5:F$121)</f>
        <v>0</v>
      </c>
      <c r="C124" s="86" t="n">
        <f aca="false">SUMIF(D_purchases!J$5:J$139,A124,D_purchases!G$5:G$139)</f>
        <v>242380488</v>
      </c>
      <c r="D124" s="87" t="n">
        <v>180000000</v>
      </c>
      <c r="E124" s="32" t="n">
        <f aca="false">B124-C124-D124</f>
        <v>-422380488</v>
      </c>
      <c r="F124" s="32" t="n">
        <f aca="false">G124+E124</f>
        <v>6404699966</v>
      </c>
      <c r="G124" s="32" t="n">
        <f aca="false">F123</f>
        <v>6827080454</v>
      </c>
      <c r="H124" s="82" t="s">
        <v>3595</v>
      </c>
    </row>
    <row r="125" customFormat="false" ht="36" hidden="false" customHeight="true" outlineLevel="0" collapsed="false">
      <c r="A125" s="84" t="n">
        <v>46083</v>
      </c>
      <c r="B125" s="86" t="n">
        <f aca="false">SUMIF(D_sales!I$5:I$121,A125,D_sales!F$5:F$121)</f>
        <v>0</v>
      </c>
      <c r="C125" s="86" t="n">
        <f aca="false">SUMIF(D_purchases!J$5:J$139,A125,D_purchases!G$5:G$139)</f>
        <v>0</v>
      </c>
      <c r="D125" s="87" t="n">
        <v>0</v>
      </c>
      <c r="E125" s="32" t="n">
        <f aca="false">B125-C125-D125</f>
        <v>0</v>
      </c>
      <c r="F125" s="32" t="n">
        <f aca="false">G125+E125</f>
        <v>6404699966</v>
      </c>
      <c r="G125" s="32" t="n">
        <f aca="false">F124</f>
        <v>6404699966</v>
      </c>
      <c r="H125" s="82" t="s">
        <v>3595</v>
      </c>
    </row>
    <row r="126" customFormat="false" ht="36" hidden="false" customHeight="true" outlineLevel="0" collapsed="false">
      <c r="A126" s="84" t="n">
        <v>46084</v>
      </c>
      <c r="B126" s="86" t="n">
        <f aca="false">SUMIF(D_sales!I$5:I$121,A126,D_sales!F$5:F$121)</f>
        <v>130971719</v>
      </c>
      <c r="C126" s="86" t="n">
        <f aca="false">SUMIF(D_purchases!J$5:J$139,A126,D_purchases!G$5:G$139)</f>
        <v>0</v>
      </c>
      <c r="D126" s="87" t="n">
        <v>0</v>
      </c>
      <c r="E126" s="32" t="n">
        <f aca="false">B126-C126-D126</f>
        <v>130971719</v>
      </c>
      <c r="F126" s="32" t="n">
        <f aca="false">G126+E126</f>
        <v>6535671685</v>
      </c>
      <c r="G126" s="32" t="n">
        <f aca="false">F125</f>
        <v>6404699966</v>
      </c>
      <c r="H126" s="82" t="s">
        <v>3595</v>
      </c>
    </row>
    <row r="127" customFormat="false" ht="36" hidden="false" customHeight="true" outlineLevel="0" collapsed="false">
      <c r="A127" s="84" t="n">
        <v>46085</v>
      </c>
      <c r="B127" s="86" t="n">
        <f aca="false">SUMIF(D_sales!I$5:I$121,A127,D_sales!F$5:F$121)</f>
        <v>0</v>
      </c>
      <c r="C127" s="86" t="n">
        <f aca="false">SUMIF(D_purchases!J$5:J$139,A127,D_purchases!G$5:G$139)</f>
        <v>0</v>
      </c>
      <c r="D127" s="87" t="n">
        <v>0</v>
      </c>
      <c r="E127" s="32" t="n">
        <f aca="false">B127-C127-D127</f>
        <v>0</v>
      </c>
      <c r="F127" s="32" t="n">
        <f aca="false">G127+E127</f>
        <v>6535671685</v>
      </c>
      <c r="G127" s="32" t="n">
        <f aca="false">F126</f>
        <v>6535671685</v>
      </c>
      <c r="H127" s="82" t="s">
        <v>3595</v>
      </c>
    </row>
    <row r="128" customFormat="false" ht="36" hidden="false" customHeight="true" outlineLevel="0" collapsed="false">
      <c r="A128" s="84" t="n">
        <v>46086</v>
      </c>
      <c r="B128" s="86" t="n">
        <f aca="false">SUMIF(D_sales!I$5:I$121,A128,D_sales!F$5:F$121)</f>
        <v>0</v>
      </c>
      <c r="C128" s="86" t="n">
        <f aca="false">SUMIF(D_purchases!J$5:J$139,A128,D_purchases!G$5:G$139)</f>
        <v>0</v>
      </c>
      <c r="D128" s="87" t="n">
        <v>0</v>
      </c>
      <c r="E128" s="32" t="n">
        <f aca="false">B128-C128-D128</f>
        <v>0</v>
      </c>
      <c r="F128" s="32" t="n">
        <f aca="false">G128+E128</f>
        <v>6535671685</v>
      </c>
      <c r="G128" s="32" t="n">
        <f aca="false">F127</f>
        <v>6535671685</v>
      </c>
      <c r="H128" s="82" t="s">
        <v>3595</v>
      </c>
    </row>
    <row r="129" customFormat="false" ht="36" hidden="false" customHeight="true" outlineLevel="0" collapsed="false">
      <c r="A129" s="84" t="n">
        <v>46087</v>
      </c>
      <c r="B129" s="86" t="n">
        <f aca="false">SUMIF(D_sales!I$5:I$121,A129,D_sales!F$5:F$121)</f>
        <v>0</v>
      </c>
      <c r="C129" s="86" t="n">
        <f aca="false">SUMIF(D_purchases!J$5:J$139,A129,D_purchases!G$5:G$139)</f>
        <v>0</v>
      </c>
      <c r="D129" s="87" t="n">
        <v>45000000</v>
      </c>
      <c r="E129" s="32" t="n">
        <f aca="false">B129-C129-D129</f>
        <v>-45000000</v>
      </c>
      <c r="F129" s="32" t="n">
        <f aca="false">G129+E129</f>
        <v>6490671685</v>
      </c>
      <c r="G129" s="32" t="n">
        <f aca="false">F128</f>
        <v>6535671685</v>
      </c>
      <c r="H129" s="82" t="s">
        <v>3595</v>
      </c>
    </row>
    <row r="130" customFormat="false" ht="36" hidden="false" customHeight="true" outlineLevel="0" collapsed="false">
      <c r="A130" s="84" t="n">
        <v>46088</v>
      </c>
      <c r="B130" s="86" t="n">
        <f aca="false">SUMIF(D_sales!I$5:I$121,A130,D_sales!F$5:F$121)</f>
        <v>0</v>
      </c>
      <c r="C130" s="86" t="n">
        <f aca="false">SUMIF(D_purchases!J$5:J$139,A130,D_purchases!G$5:G$139)</f>
        <v>182098554</v>
      </c>
      <c r="D130" s="87" t="n">
        <v>0</v>
      </c>
      <c r="E130" s="32" t="n">
        <f aca="false">B130-C130-D130</f>
        <v>-182098554</v>
      </c>
      <c r="F130" s="32" t="n">
        <f aca="false">G130+E130</f>
        <v>6308573131</v>
      </c>
      <c r="G130" s="32" t="n">
        <f aca="false">F129</f>
        <v>6490671685</v>
      </c>
      <c r="H130" s="82" t="s">
        <v>3595</v>
      </c>
    </row>
    <row r="131" customFormat="false" ht="36" hidden="false" customHeight="true" outlineLevel="0" collapsed="false">
      <c r="A131" s="84" t="n">
        <v>46089</v>
      </c>
      <c r="B131" s="86" t="n">
        <f aca="false">SUMIF(D_sales!I$5:I$121,A131,D_sales!F$5:F$121)</f>
        <v>1261949198</v>
      </c>
      <c r="C131" s="86" t="n">
        <f aca="false">SUMIF(D_purchases!J$5:J$139,A131,D_purchases!G$5:G$139)</f>
        <v>222278184</v>
      </c>
      <c r="D131" s="87" t="n">
        <v>0</v>
      </c>
      <c r="E131" s="32" t="n">
        <f aca="false">B131-C131-D131</f>
        <v>1039671014</v>
      </c>
      <c r="F131" s="32" t="n">
        <f aca="false">G131+E131</f>
        <v>7348244145</v>
      </c>
      <c r="G131" s="32" t="n">
        <f aca="false">F130</f>
        <v>6308573131</v>
      </c>
      <c r="H131" s="82" t="s">
        <v>3595</v>
      </c>
    </row>
    <row r="132" customFormat="false" ht="36" hidden="false" customHeight="true" outlineLevel="0" collapsed="false">
      <c r="A132" s="84" t="n">
        <v>46090</v>
      </c>
      <c r="B132" s="86" t="n">
        <f aca="false">SUMIF(D_sales!I$5:I$121,A132,D_sales!F$5:F$121)</f>
        <v>331691162</v>
      </c>
      <c r="C132" s="86" t="n">
        <f aca="false">SUMIF(D_purchases!J$5:J$139,A132,D_purchases!G$5:G$139)</f>
        <v>0</v>
      </c>
      <c r="D132" s="87" t="n">
        <v>0</v>
      </c>
      <c r="E132" s="32" t="n">
        <f aca="false">B132-C132-D132</f>
        <v>331691162</v>
      </c>
      <c r="F132" s="32" t="n">
        <f aca="false">G132+E132</f>
        <v>7679935307</v>
      </c>
      <c r="G132" s="32" t="n">
        <f aca="false">F131</f>
        <v>7348244145</v>
      </c>
      <c r="H132" s="82" t="s">
        <v>3595</v>
      </c>
    </row>
    <row r="133" customFormat="false" ht="36" hidden="false" customHeight="true" outlineLevel="0" collapsed="false">
      <c r="A133" s="84" t="n">
        <v>46091</v>
      </c>
      <c r="B133" s="86" t="n">
        <f aca="false">SUMIF(D_sales!I$5:I$121,A133,D_sales!F$5:F$121)</f>
        <v>0</v>
      </c>
      <c r="C133" s="86" t="n">
        <f aca="false">SUMIF(D_purchases!J$5:J$139,A133,D_purchases!G$5:G$139)</f>
        <v>561848928</v>
      </c>
      <c r="D133" s="87" t="n">
        <v>0</v>
      </c>
      <c r="E133" s="32" t="n">
        <f aca="false">B133-C133-D133</f>
        <v>-561848928</v>
      </c>
      <c r="F133" s="32" t="n">
        <f aca="false">G133+E133</f>
        <v>7118086379</v>
      </c>
      <c r="G133" s="32" t="n">
        <f aca="false">F132</f>
        <v>7679935307</v>
      </c>
      <c r="H133" s="82" t="s">
        <v>3595</v>
      </c>
    </row>
    <row r="134" customFormat="false" ht="36" hidden="false" customHeight="true" outlineLevel="0" collapsed="false">
      <c r="A134" s="84" t="n">
        <v>46092</v>
      </c>
      <c r="B134" s="86" t="n">
        <f aca="false">SUMIF(D_sales!I$5:I$121,A134,D_sales!F$5:F$121)</f>
        <v>0</v>
      </c>
      <c r="C134" s="86" t="n">
        <f aca="false">SUMIF(D_purchases!J$5:J$139,A134,D_purchases!G$5:G$139)</f>
        <v>0</v>
      </c>
      <c r="D134" s="87" t="n">
        <v>0</v>
      </c>
      <c r="E134" s="32" t="n">
        <f aca="false">B134-C134-D134</f>
        <v>0</v>
      </c>
      <c r="F134" s="32" t="n">
        <f aca="false">G134+E134</f>
        <v>7118086379</v>
      </c>
      <c r="G134" s="32" t="n">
        <f aca="false">F133</f>
        <v>7118086379</v>
      </c>
      <c r="H134" s="82" t="s">
        <v>3595</v>
      </c>
    </row>
    <row r="135" customFormat="false" ht="36" hidden="false" customHeight="true" outlineLevel="0" collapsed="false">
      <c r="A135" s="84" t="n">
        <v>46093</v>
      </c>
      <c r="B135" s="86" t="n">
        <f aca="false">SUMIF(D_sales!I$5:I$121,A135,D_sales!F$5:F$121)</f>
        <v>1008669955</v>
      </c>
      <c r="C135" s="86" t="n">
        <f aca="false">SUMIF(D_purchases!J$5:J$139,A135,D_purchases!G$5:G$139)</f>
        <v>0</v>
      </c>
      <c r="D135" s="87" t="n">
        <v>0</v>
      </c>
      <c r="E135" s="32" t="n">
        <f aca="false">B135-C135-D135</f>
        <v>1008669955</v>
      </c>
      <c r="F135" s="32" t="n">
        <f aca="false">G135+E135</f>
        <v>8126756334</v>
      </c>
      <c r="G135" s="32" t="n">
        <f aca="false">F134</f>
        <v>7118086379</v>
      </c>
      <c r="H135" s="82" t="s">
        <v>3595</v>
      </c>
    </row>
    <row r="136" customFormat="false" ht="36" hidden="false" customHeight="true" outlineLevel="0" collapsed="false">
      <c r="A136" s="84" t="n">
        <v>46094</v>
      </c>
      <c r="B136" s="86" t="n">
        <f aca="false">SUMIF(D_sales!I$5:I$121,A136,D_sales!F$5:F$121)</f>
        <v>0</v>
      </c>
      <c r="C136" s="86" t="n">
        <f aca="false">SUMIF(D_purchases!J$5:J$139,A136,D_purchases!G$5:G$139)</f>
        <v>102729834</v>
      </c>
      <c r="D136" s="87" t="n">
        <v>45000000</v>
      </c>
      <c r="E136" s="32" t="n">
        <f aca="false">B136-C136-D136</f>
        <v>-147729834</v>
      </c>
      <c r="F136" s="32" t="n">
        <f aca="false">G136+E136</f>
        <v>7979026500</v>
      </c>
      <c r="G136" s="32" t="n">
        <f aca="false">F135</f>
        <v>8126756334</v>
      </c>
      <c r="H136" s="82" t="s">
        <v>3595</v>
      </c>
    </row>
    <row r="137" customFormat="false" ht="36" hidden="false" customHeight="true" outlineLevel="0" collapsed="false">
      <c r="A137" s="84" t="n">
        <v>46095</v>
      </c>
      <c r="B137" s="86" t="n">
        <f aca="false">SUMIF(D_sales!I$5:I$121,A137,D_sales!F$5:F$121)</f>
        <v>0</v>
      </c>
      <c r="C137" s="86" t="n">
        <f aca="false">SUMIF(D_purchases!J$5:J$139,A137,D_purchases!G$5:G$139)</f>
        <v>727362042</v>
      </c>
      <c r="D137" s="87" t="n">
        <v>0</v>
      </c>
      <c r="E137" s="32" t="n">
        <f aca="false">B137-C137-D137</f>
        <v>-727362042</v>
      </c>
      <c r="F137" s="32" t="n">
        <f aca="false">G137+E137</f>
        <v>7251664458</v>
      </c>
      <c r="G137" s="32" t="n">
        <f aca="false">F136</f>
        <v>7979026500</v>
      </c>
      <c r="H137" s="82" t="s">
        <v>3595</v>
      </c>
    </row>
    <row r="138" customFormat="false" ht="36" hidden="false" customHeight="true" outlineLevel="0" collapsed="false">
      <c r="A138" s="84" t="n">
        <v>46096</v>
      </c>
      <c r="B138" s="86" t="n">
        <f aca="false">SUMIF(D_sales!I$5:I$121,A138,D_sales!F$5:F$121)</f>
        <v>0</v>
      </c>
      <c r="C138" s="86" t="n">
        <f aca="false">SUMIF(D_purchases!J$5:J$139,A138,D_purchases!G$5:G$139)</f>
        <v>0</v>
      </c>
      <c r="D138" s="87" t="n">
        <v>0</v>
      </c>
      <c r="E138" s="32" t="n">
        <f aca="false">B138-C138-D138</f>
        <v>0</v>
      </c>
      <c r="F138" s="32" t="n">
        <f aca="false">G138+E138</f>
        <v>7251664458</v>
      </c>
      <c r="G138" s="32" t="n">
        <f aca="false">F137</f>
        <v>7251664458</v>
      </c>
      <c r="H138" s="82" t="s">
        <v>3595</v>
      </c>
    </row>
    <row r="139" customFormat="false" ht="36" hidden="false" customHeight="true" outlineLevel="0" collapsed="false">
      <c r="A139" s="84" t="n">
        <v>46097</v>
      </c>
      <c r="B139" s="86" t="n">
        <f aca="false">SUMIF(D_sales!I$5:I$121,A139,D_sales!F$5:F$121)</f>
        <v>964139058</v>
      </c>
      <c r="C139" s="86" t="n">
        <f aca="false">SUMIF(D_purchases!J$5:J$139,A139,D_purchases!G$5:G$139)</f>
        <v>0</v>
      </c>
      <c r="D139" s="87" t="n">
        <v>0</v>
      </c>
      <c r="E139" s="32" t="n">
        <f aca="false">B139-C139-D139</f>
        <v>964139058</v>
      </c>
      <c r="F139" s="32" t="n">
        <f aca="false">G139+E139</f>
        <v>8215803516</v>
      </c>
      <c r="G139" s="32" t="n">
        <f aca="false">F138</f>
        <v>7251664458</v>
      </c>
      <c r="H139" s="82" t="s">
        <v>3595</v>
      </c>
    </row>
    <row r="140" customFormat="false" ht="36" hidden="false" customHeight="true" outlineLevel="0" collapsed="false">
      <c r="A140" s="84" t="n">
        <v>46098</v>
      </c>
      <c r="B140" s="86" t="n">
        <f aca="false">SUMIF(D_sales!I$5:I$121,A140,D_sales!F$5:F$121)</f>
        <v>0</v>
      </c>
      <c r="C140" s="86" t="n">
        <f aca="false">SUMIF(D_purchases!J$5:J$139,A140,D_purchases!G$5:G$139)</f>
        <v>393405786</v>
      </c>
      <c r="D140" s="87" t="n">
        <v>0</v>
      </c>
      <c r="E140" s="32" t="n">
        <f aca="false">B140-C140-D140</f>
        <v>-393405786</v>
      </c>
      <c r="F140" s="32" t="n">
        <f aca="false">G140+E140</f>
        <v>7822397730</v>
      </c>
      <c r="G140" s="32" t="n">
        <f aca="false">F139</f>
        <v>8215803516</v>
      </c>
      <c r="H140" s="82" t="s">
        <v>3595</v>
      </c>
    </row>
    <row r="141" customFormat="false" ht="36" hidden="false" customHeight="true" outlineLevel="0" collapsed="false">
      <c r="A141" s="84" t="n">
        <v>46099</v>
      </c>
      <c r="B141" s="86" t="n">
        <f aca="false">SUMIF(D_sales!I$5:I$121,A141,D_sales!F$5:F$121)</f>
        <v>721388374</v>
      </c>
      <c r="C141" s="86" t="n">
        <f aca="false">SUMIF(D_purchases!J$5:J$139,A141,D_purchases!G$5:G$139)</f>
        <v>78715284</v>
      </c>
      <c r="D141" s="87" t="n">
        <v>0</v>
      </c>
      <c r="E141" s="32" t="n">
        <f aca="false">B141-C141-D141</f>
        <v>642673090</v>
      </c>
      <c r="F141" s="32" t="n">
        <f aca="false">G141+E141</f>
        <v>8465070820</v>
      </c>
      <c r="G141" s="32" t="n">
        <f aca="false">F140</f>
        <v>7822397730</v>
      </c>
      <c r="H141" s="82" t="s">
        <v>3595</v>
      </c>
    </row>
    <row r="142" customFormat="false" ht="36" hidden="false" customHeight="true" outlineLevel="0" collapsed="false">
      <c r="A142" s="84" t="n">
        <v>46100</v>
      </c>
      <c r="B142" s="86" t="n">
        <f aca="false">SUMIF(D_sales!I$5:I$121,A142,D_sales!F$5:F$121)</f>
        <v>0</v>
      </c>
      <c r="C142" s="86" t="n">
        <f aca="false">SUMIF(D_purchases!J$5:J$139,A142,D_purchases!G$5:G$139)</f>
        <v>0</v>
      </c>
      <c r="D142" s="87" t="n">
        <v>0</v>
      </c>
      <c r="E142" s="32" t="n">
        <f aca="false">B142-C142-D142</f>
        <v>0</v>
      </c>
      <c r="F142" s="32" t="n">
        <f aca="false">G142+E142</f>
        <v>8465070820</v>
      </c>
      <c r="G142" s="32" t="n">
        <f aca="false">F141</f>
        <v>8465070820</v>
      </c>
      <c r="H142" s="82" t="s">
        <v>3595</v>
      </c>
    </row>
    <row r="143" customFormat="false" ht="36" hidden="false" customHeight="true" outlineLevel="0" collapsed="false">
      <c r="A143" s="84" t="n">
        <v>46101</v>
      </c>
      <c r="B143" s="86" t="n">
        <f aca="false">SUMIF(D_sales!I$5:I$121,A143,D_sales!F$5:F$121)</f>
        <v>0</v>
      </c>
      <c r="C143" s="86" t="n">
        <f aca="false">SUMIF(D_purchases!J$5:J$139,A143,D_purchases!G$5:G$139)</f>
        <v>116589186</v>
      </c>
      <c r="D143" s="87" t="n">
        <v>45000000</v>
      </c>
      <c r="E143" s="32" t="n">
        <f aca="false">B143-C143-D143</f>
        <v>-161589186</v>
      </c>
      <c r="F143" s="32" t="n">
        <f aca="false">G143+E143</f>
        <v>8303481634</v>
      </c>
      <c r="G143" s="32" t="n">
        <f aca="false">F142</f>
        <v>8465070820</v>
      </c>
      <c r="H143" s="82" t="s">
        <v>3595</v>
      </c>
    </row>
    <row r="144" customFormat="false" ht="36" hidden="false" customHeight="true" outlineLevel="0" collapsed="false">
      <c r="A144" s="84" t="n">
        <v>46102</v>
      </c>
      <c r="B144" s="86" t="n">
        <f aca="false">SUMIF(D_sales!I$5:I$121,A144,D_sales!F$5:F$121)</f>
        <v>0</v>
      </c>
      <c r="C144" s="86" t="n">
        <f aca="false">SUMIF(D_purchases!J$5:J$139,A144,D_purchases!G$5:G$139)</f>
        <v>0</v>
      </c>
      <c r="D144" s="87" t="n">
        <v>0</v>
      </c>
      <c r="E144" s="32" t="n">
        <f aca="false">B144-C144-D144</f>
        <v>0</v>
      </c>
      <c r="F144" s="32" t="n">
        <f aca="false">G144+E144</f>
        <v>8303481634</v>
      </c>
      <c r="G144" s="32" t="n">
        <f aca="false">F143</f>
        <v>8303481634</v>
      </c>
      <c r="H144" s="82" t="s">
        <v>3595</v>
      </c>
    </row>
    <row r="145" customFormat="false" ht="36" hidden="false" customHeight="true" outlineLevel="0" collapsed="false">
      <c r="A145" s="84" t="n">
        <v>46103</v>
      </c>
      <c r="B145" s="86" t="n">
        <f aca="false">SUMIF(D_sales!I$5:I$121,A145,D_sales!F$5:F$121)</f>
        <v>144066976</v>
      </c>
      <c r="C145" s="86" t="n">
        <f aca="false">SUMIF(D_purchases!J$5:J$139,A145,D_purchases!G$5:G$139)</f>
        <v>0</v>
      </c>
      <c r="D145" s="87" t="n">
        <v>0</v>
      </c>
      <c r="E145" s="32" t="n">
        <f aca="false">B145-C145-D145</f>
        <v>144066976</v>
      </c>
      <c r="F145" s="32" t="n">
        <f aca="false">G145+E145</f>
        <v>8447548610</v>
      </c>
      <c r="G145" s="32" t="n">
        <f aca="false">F144</f>
        <v>8303481634</v>
      </c>
      <c r="H145" s="82" t="s">
        <v>3595</v>
      </c>
    </row>
    <row r="146" customFormat="false" ht="36" hidden="false" customHeight="true" outlineLevel="0" collapsed="false">
      <c r="A146" s="84" t="n">
        <v>46104</v>
      </c>
      <c r="B146" s="86" t="n">
        <f aca="false">SUMIF(D_sales!I$5:I$121,A146,D_sales!F$5:F$121)</f>
        <v>0</v>
      </c>
      <c r="C146" s="86" t="n">
        <f aca="false">SUMIF(D_purchases!J$5:J$139,A146,D_purchases!G$5:G$139)</f>
        <v>203432796</v>
      </c>
      <c r="D146" s="87" t="n">
        <v>0</v>
      </c>
      <c r="E146" s="32" t="n">
        <f aca="false">B146-C146-D146</f>
        <v>-203432796</v>
      </c>
      <c r="F146" s="32" t="n">
        <f aca="false">G146+E146</f>
        <v>8244115814</v>
      </c>
      <c r="G146" s="32" t="n">
        <f aca="false">F145</f>
        <v>8447548610</v>
      </c>
      <c r="H146" s="82" t="s">
        <v>3595</v>
      </c>
    </row>
    <row r="147" customFormat="false" ht="36" hidden="false" customHeight="true" outlineLevel="0" collapsed="false">
      <c r="A147" s="84" t="n">
        <v>46105</v>
      </c>
      <c r="B147" s="86" t="n">
        <f aca="false">SUMIF(D_sales!I$5:I$121,A147,D_sales!F$5:F$121)</f>
        <v>0</v>
      </c>
      <c r="C147" s="86" t="n">
        <f aca="false">SUMIF(D_purchases!J$5:J$139,A147,D_purchases!G$5:G$139)</f>
        <v>0</v>
      </c>
      <c r="D147" s="87" t="n">
        <v>0</v>
      </c>
      <c r="E147" s="32" t="n">
        <f aca="false">B147-C147-D147</f>
        <v>0</v>
      </c>
      <c r="F147" s="32" t="n">
        <f aca="false">G147+E147</f>
        <v>8244115814</v>
      </c>
      <c r="G147" s="32" t="n">
        <f aca="false">F146</f>
        <v>8244115814</v>
      </c>
      <c r="H147" s="82" t="s">
        <v>3595</v>
      </c>
    </row>
    <row r="148" customFormat="false" ht="36" hidden="false" customHeight="true" outlineLevel="0" collapsed="false">
      <c r="A148" s="84" t="n">
        <v>46106</v>
      </c>
      <c r="B148" s="86" t="n">
        <f aca="false">SUMIF(D_sales!I$5:I$121,A148,D_sales!F$5:F$121)</f>
        <v>440185140</v>
      </c>
      <c r="C148" s="86" t="n">
        <f aca="false">SUMIF(D_purchases!J$5:J$139,A148,D_purchases!G$5:G$139)</f>
        <v>277449222</v>
      </c>
      <c r="D148" s="87" t="n">
        <v>0</v>
      </c>
      <c r="E148" s="32" t="n">
        <f aca="false">B148-C148-D148</f>
        <v>162735918</v>
      </c>
      <c r="F148" s="32" t="n">
        <f aca="false">G148+E148</f>
        <v>8406851732</v>
      </c>
      <c r="G148" s="32" t="n">
        <f aca="false">F147</f>
        <v>8244115814</v>
      </c>
      <c r="H148" s="82" t="s">
        <v>3595</v>
      </c>
    </row>
    <row r="149" customFormat="false" ht="36" hidden="false" customHeight="true" outlineLevel="0" collapsed="false">
      <c r="A149" s="84" t="n">
        <v>46107</v>
      </c>
      <c r="B149" s="86" t="n">
        <f aca="false">SUMIF(D_sales!I$5:I$121,A149,D_sales!F$5:F$121)</f>
        <v>779646623</v>
      </c>
      <c r="C149" s="86" t="n">
        <f aca="false">SUMIF(D_purchases!J$5:J$139,A149,D_purchases!G$5:G$139)</f>
        <v>0</v>
      </c>
      <c r="D149" s="87" t="n">
        <v>0</v>
      </c>
      <c r="E149" s="32" t="n">
        <f aca="false">B149-C149-D149</f>
        <v>779646623</v>
      </c>
      <c r="F149" s="32" t="n">
        <f aca="false">G149+E149</f>
        <v>9186498355</v>
      </c>
      <c r="G149" s="32" t="n">
        <f aca="false">F148</f>
        <v>8406851732</v>
      </c>
      <c r="H149" s="82" t="s">
        <v>3595</v>
      </c>
    </row>
    <row r="150" customFormat="false" ht="36" hidden="false" customHeight="true" outlineLevel="0" collapsed="false">
      <c r="A150" s="84" t="n">
        <v>46108</v>
      </c>
      <c r="B150" s="86" t="n">
        <f aca="false">SUMIF(D_sales!I$5:I$121,A150,D_sales!F$5:F$121)</f>
        <v>0</v>
      </c>
      <c r="C150" s="86" t="n">
        <f aca="false">SUMIF(D_purchases!J$5:J$139,A150,D_purchases!G$5:G$139)</f>
        <v>1395332808</v>
      </c>
      <c r="D150" s="87" t="n">
        <v>45000000</v>
      </c>
      <c r="E150" s="32" t="n">
        <f aca="false">B150-C150-D150</f>
        <v>-1440332808</v>
      </c>
      <c r="F150" s="32" t="n">
        <f aca="false">G150+E150</f>
        <v>7746165547</v>
      </c>
      <c r="G150" s="32" t="n">
        <f aca="false">F149</f>
        <v>9186498355</v>
      </c>
      <c r="H150" s="82" t="s">
        <v>3595</v>
      </c>
    </row>
    <row r="151" customFormat="false" ht="36" hidden="false" customHeight="true" outlineLevel="0" collapsed="false">
      <c r="A151" s="84" t="n">
        <v>46109</v>
      </c>
      <c r="B151" s="86" t="n">
        <f aca="false">SUMIF(D_sales!I$5:I$121,A151,D_sales!F$5:F$121)</f>
        <v>579824246</v>
      </c>
      <c r="C151" s="86" t="n">
        <f aca="false">SUMIF(D_purchases!J$5:J$139,A151,D_purchases!G$5:G$139)</f>
        <v>0</v>
      </c>
      <c r="D151" s="87" t="n">
        <v>1500000000</v>
      </c>
      <c r="E151" s="32" t="n">
        <f aca="false">B151-C151-D151</f>
        <v>-920175754</v>
      </c>
      <c r="F151" s="32" t="n">
        <f aca="false">G151+E151</f>
        <v>6825989793</v>
      </c>
      <c r="G151" s="32" t="n">
        <f aca="false">F150</f>
        <v>7746165547</v>
      </c>
      <c r="H151" s="82" t="s">
        <v>3595</v>
      </c>
    </row>
    <row r="152" customFormat="false" ht="36" hidden="false" customHeight="true" outlineLevel="0" collapsed="false">
      <c r="A152" s="84" t="n">
        <v>46110</v>
      </c>
      <c r="B152" s="86" t="n">
        <f aca="false">SUMIF(D_sales!I$5:I$121,A152,D_sales!F$5:F$121)</f>
        <v>0</v>
      </c>
      <c r="C152" s="86" t="n">
        <f aca="false">SUMIF(D_purchases!J$5:J$139,A152,D_purchases!G$5:G$139)</f>
        <v>138476976</v>
      </c>
      <c r="D152" s="87" t="n">
        <v>0</v>
      </c>
      <c r="E152" s="32" t="n">
        <f aca="false">B152-C152-D152</f>
        <v>-138476976</v>
      </c>
      <c r="F152" s="32" t="n">
        <f aca="false">G152+E152</f>
        <v>6687512817</v>
      </c>
      <c r="G152" s="32" t="n">
        <f aca="false">F151</f>
        <v>6825989793</v>
      </c>
      <c r="H152" s="82" t="s">
        <v>3595</v>
      </c>
    </row>
    <row r="153" customFormat="false" ht="36" hidden="false" customHeight="true" outlineLevel="0" collapsed="false">
      <c r="A153" s="84" t="n">
        <v>46111</v>
      </c>
      <c r="B153" s="86" t="n">
        <f aca="false">SUMIF(D_sales!I$5:I$121,A153,D_sales!F$5:F$121)</f>
        <v>0</v>
      </c>
      <c r="C153" s="86" t="n">
        <f aca="false">SUMIF(D_purchases!J$5:J$139,A153,D_purchases!G$5:G$139)</f>
        <v>0</v>
      </c>
      <c r="D153" s="87" t="n">
        <v>0</v>
      </c>
      <c r="E153" s="32" t="n">
        <f aca="false">B153-C153-D153</f>
        <v>0</v>
      </c>
      <c r="F153" s="32" t="n">
        <f aca="false">G153+E153</f>
        <v>6687512817</v>
      </c>
      <c r="G153" s="32" t="n">
        <f aca="false">F152</f>
        <v>6687512817</v>
      </c>
      <c r="H153" s="82" t="s">
        <v>3595</v>
      </c>
    </row>
    <row r="154" customFormat="false" ht="36" hidden="false" customHeight="true" outlineLevel="0" collapsed="false">
      <c r="A154" s="84" t="n">
        <v>46112</v>
      </c>
      <c r="B154" s="86" t="n">
        <f aca="false">SUMIF(D_sales!I$5:I$121,A154,D_sales!F$5:F$121)</f>
        <v>0</v>
      </c>
      <c r="C154" s="86" t="n">
        <f aca="false">SUMIF(D_purchases!J$5:J$139,A154,D_purchases!G$5:G$139)</f>
        <v>108465030</v>
      </c>
      <c r="D154" s="87" t="n">
        <v>0</v>
      </c>
      <c r="E154" s="32" t="n">
        <f aca="false">B154-C154-D154</f>
        <v>-108465030</v>
      </c>
      <c r="F154" s="32" t="n">
        <f aca="false">G154+E154</f>
        <v>6579047787</v>
      </c>
      <c r="G154" s="32" t="n">
        <f aca="false">F153</f>
        <v>6687512817</v>
      </c>
      <c r="H154" s="82" t="s">
        <v>3595</v>
      </c>
    </row>
    <row r="155" customFormat="false" ht="36" hidden="false" customHeight="true" outlineLevel="0" collapsed="false">
      <c r="A155" s="84" t="n">
        <v>46113</v>
      </c>
      <c r="B155" s="86" t="n">
        <f aca="false">SUMIF(D_sales!I$5:I$121,A155,D_sales!F$5:F$121)</f>
        <v>0</v>
      </c>
      <c r="C155" s="86" t="n">
        <f aca="false">SUMIF(D_purchases!J$5:J$139,A155,D_purchases!G$5:G$139)</f>
        <v>531291762</v>
      </c>
      <c r="D155" s="87" t="n">
        <v>180000000</v>
      </c>
      <c r="E155" s="32" t="n">
        <f aca="false">B155-C155-D155</f>
        <v>-711291762</v>
      </c>
      <c r="F155" s="32" t="n">
        <f aca="false">G155+E155</f>
        <v>5867756025</v>
      </c>
      <c r="G155" s="32" t="n">
        <f aca="false">F154</f>
        <v>6579047787</v>
      </c>
      <c r="H155" s="82" t="s">
        <v>3595</v>
      </c>
    </row>
    <row r="156" customFormat="false" ht="36" hidden="false" customHeight="true" outlineLevel="0" collapsed="false">
      <c r="A156" s="84" t="n">
        <v>46114</v>
      </c>
      <c r="B156" s="86" t="n">
        <f aca="false">SUMIF(D_sales!I$5:I$121,A156,D_sales!F$5:F$121)</f>
        <v>0</v>
      </c>
      <c r="C156" s="86" t="n">
        <f aca="false">SUMIF(D_purchases!J$5:J$139,A156,D_purchases!G$5:G$139)</f>
        <v>0</v>
      </c>
      <c r="D156" s="87" t="n">
        <v>0</v>
      </c>
      <c r="E156" s="32" t="n">
        <f aca="false">B156-C156-D156</f>
        <v>0</v>
      </c>
      <c r="F156" s="32" t="n">
        <f aca="false">G156+E156</f>
        <v>5867756025</v>
      </c>
      <c r="G156" s="32" t="n">
        <f aca="false">F155</f>
        <v>5867756025</v>
      </c>
      <c r="H156" s="82" t="s">
        <v>3595</v>
      </c>
    </row>
    <row r="157" customFormat="false" ht="36" hidden="false" customHeight="true" outlineLevel="0" collapsed="false">
      <c r="A157" s="84" t="n">
        <v>46115</v>
      </c>
      <c r="B157" s="86" t="n">
        <f aca="false">SUMIF(D_sales!I$5:I$121,A157,D_sales!F$5:F$121)</f>
        <v>981665377</v>
      </c>
      <c r="C157" s="86" t="n">
        <f aca="false">SUMIF(D_purchases!J$5:J$139,A157,D_purchases!G$5:G$139)</f>
        <v>0</v>
      </c>
      <c r="D157" s="87" t="n">
        <v>45000000</v>
      </c>
      <c r="E157" s="32" t="n">
        <f aca="false">B157-C157-D157</f>
        <v>936665377</v>
      </c>
      <c r="F157" s="32" t="n">
        <f aca="false">G157+E157</f>
        <v>6804421402</v>
      </c>
      <c r="G157" s="32" t="n">
        <f aca="false">F156</f>
        <v>5867756025</v>
      </c>
      <c r="H157" s="82" t="s">
        <v>3595</v>
      </c>
    </row>
    <row r="158" customFormat="false" ht="36" hidden="false" customHeight="true" outlineLevel="0" collapsed="false">
      <c r="A158" s="84" t="n">
        <v>46116</v>
      </c>
      <c r="B158" s="86" t="n">
        <f aca="false">SUMIF(D_sales!I$5:I$121,A158,D_sales!F$5:F$121)</f>
        <v>1358739809</v>
      </c>
      <c r="C158" s="86" t="n">
        <f aca="false">SUMIF(D_purchases!J$5:J$139,A158,D_purchases!G$5:G$139)</f>
        <v>0</v>
      </c>
      <c r="D158" s="87" t="n">
        <v>0</v>
      </c>
      <c r="E158" s="32" t="n">
        <f aca="false">B158-C158-D158</f>
        <v>1358739809</v>
      </c>
      <c r="F158" s="32" t="n">
        <f aca="false">G158+E158</f>
        <v>8163161211</v>
      </c>
      <c r="G158" s="32" t="n">
        <f aca="false">F157</f>
        <v>6804421402</v>
      </c>
      <c r="H158" s="82" t="s">
        <v>3595</v>
      </c>
    </row>
    <row r="159" customFormat="false" ht="36" hidden="false" customHeight="true" outlineLevel="0" collapsed="false">
      <c r="A159" s="84" t="n">
        <v>46117</v>
      </c>
      <c r="B159" s="86" t="n">
        <f aca="false">SUMIF(D_sales!I$5:I$121,A159,D_sales!F$5:F$121)</f>
        <v>1276726855</v>
      </c>
      <c r="C159" s="86" t="n">
        <f aca="false">SUMIF(D_purchases!J$5:J$139,A159,D_purchases!G$5:G$139)</f>
        <v>228113262</v>
      </c>
      <c r="D159" s="87" t="n">
        <v>0</v>
      </c>
      <c r="E159" s="32" t="n">
        <f aca="false">B159-C159-D159</f>
        <v>1048613593</v>
      </c>
      <c r="F159" s="32" t="n">
        <f aca="false">G159+E159</f>
        <v>9211774804</v>
      </c>
      <c r="G159" s="32" t="n">
        <f aca="false">F158</f>
        <v>8163161211</v>
      </c>
      <c r="H159" s="82" t="s">
        <v>3595</v>
      </c>
    </row>
    <row r="160" customFormat="false" ht="36" hidden="false" customHeight="true" outlineLevel="0" collapsed="false">
      <c r="A160" s="84" t="n">
        <v>46118</v>
      </c>
      <c r="B160" s="86" t="n">
        <f aca="false">SUMIF(D_sales!I$5:I$121,A160,D_sales!F$5:F$121)</f>
        <v>0</v>
      </c>
      <c r="C160" s="86" t="n">
        <f aca="false">SUMIF(D_purchases!J$5:J$139,A160,D_purchases!G$5:G$139)</f>
        <v>0</v>
      </c>
      <c r="D160" s="87" t="n">
        <v>0</v>
      </c>
      <c r="E160" s="32" t="n">
        <f aca="false">B160-C160-D160</f>
        <v>0</v>
      </c>
      <c r="F160" s="32" t="n">
        <f aca="false">G160+E160</f>
        <v>9211774804</v>
      </c>
      <c r="G160" s="32" t="n">
        <f aca="false">F159</f>
        <v>9211774804</v>
      </c>
      <c r="H160" s="82" t="s">
        <v>3595</v>
      </c>
    </row>
    <row r="161" customFormat="false" ht="36" hidden="false" customHeight="true" outlineLevel="0" collapsed="false">
      <c r="A161" s="84" t="n">
        <v>46119</v>
      </c>
      <c r="B161" s="86" t="n">
        <f aca="false">SUMIF(D_sales!I$5:I$121,A161,D_sales!F$5:F$121)</f>
        <v>287332657</v>
      </c>
      <c r="C161" s="86" t="n">
        <f aca="false">SUMIF(D_purchases!J$5:J$139,A161,D_purchases!G$5:G$139)</f>
        <v>0</v>
      </c>
      <c r="D161" s="87" t="n">
        <v>0</v>
      </c>
      <c r="E161" s="32" t="n">
        <f aca="false">B161-C161-D161</f>
        <v>287332657</v>
      </c>
      <c r="F161" s="32" t="n">
        <f aca="false">G161+E161</f>
        <v>9499107461</v>
      </c>
      <c r="G161" s="32" t="n">
        <f aca="false">F160</f>
        <v>9211774804</v>
      </c>
      <c r="H161" s="82" t="s">
        <v>3595</v>
      </c>
    </row>
    <row r="162" customFormat="false" ht="36" hidden="false" customHeight="true" outlineLevel="0" collapsed="false">
      <c r="A162" s="84" t="n">
        <v>46120</v>
      </c>
      <c r="B162" s="86" t="n">
        <f aca="false">SUMIF(D_sales!I$5:I$121,A162,D_sales!F$5:F$121)</f>
        <v>0</v>
      </c>
      <c r="C162" s="86" t="n">
        <f aca="false">SUMIF(D_purchases!J$5:J$139,A162,D_purchases!G$5:G$139)</f>
        <v>338451174</v>
      </c>
      <c r="D162" s="87" t="n">
        <v>0</v>
      </c>
      <c r="E162" s="32" t="n">
        <f aca="false">B162-C162-D162</f>
        <v>-338451174</v>
      </c>
      <c r="F162" s="32" t="n">
        <f aca="false">G162+E162</f>
        <v>9160656287</v>
      </c>
      <c r="G162" s="32" t="n">
        <f aca="false">F161</f>
        <v>9499107461</v>
      </c>
      <c r="H162" s="82" t="s">
        <v>3595</v>
      </c>
    </row>
    <row r="163" customFormat="false" ht="36" hidden="false" customHeight="true" outlineLevel="0" collapsed="false">
      <c r="A163" s="84" t="n">
        <v>46121</v>
      </c>
      <c r="B163" s="86" t="n">
        <f aca="false">SUMIF(D_sales!I$5:I$121,A163,D_sales!F$5:F$121)</f>
        <v>0</v>
      </c>
      <c r="C163" s="86" t="n">
        <f aca="false">SUMIF(D_purchases!J$5:J$139,A163,D_purchases!G$5:G$139)</f>
        <v>0</v>
      </c>
      <c r="D163" s="87" t="n">
        <v>0</v>
      </c>
      <c r="E163" s="32" t="n">
        <f aca="false">B163-C163-D163</f>
        <v>0</v>
      </c>
      <c r="F163" s="32" t="n">
        <f aca="false">G163+E163</f>
        <v>9160656287</v>
      </c>
      <c r="G163" s="32" t="n">
        <f aca="false">F162</f>
        <v>9160656287</v>
      </c>
      <c r="H163" s="82" t="s">
        <v>3595</v>
      </c>
    </row>
    <row r="164" customFormat="false" ht="36" hidden="false" customHeight="true" outlineLevel="0" collapsed="false">
      <c r="A164" s="84" t="n">
        <v>46122</v>
      </c>
      <c r="B164" s="86" t="n">
        <f aca="false">SUMIF(D_sales!I$5:I$121,A164,D_sales!F$5:F$121)</f>
        <v>1241520983</v>
      </c>
      <c r="C164" s="86" t="n">
        <f aca="false">SUMIF(D_purchases!J$5:J$139,A164,D_purchases!G$5:G$139)</f>
        <v>219660306</v>
      </c>
      <c r="D164" s="87" t="n">
        <v>45000000</v>
      </c>
      <c r="E164" s="32" t="n">
        <f aca="false">B164-C164-D164</f>
        <v>976860677</v>
      </c>
      <c r="F164" s="32" t="n">
        <f aca="false">G164+E164</f>
        <v>10137516964</v>
      </c>
      <c r="G164" s="32" t="n">
        <f aca="false">F163</f>
        <v>9160656287</v>
      </c>
      <c r="H164" s="82" t="s">
        <v>3595</v>
      </c>
    </row>
    <row r="165" customFormat="false" ht="36" hidden="false" customHeight="true" outlineLevel="0" collapsed="false">
      <c r="A165" s="84" t="n">
        <v>46123</v>
      </c>
      <c r="B165" s="86" t="n">
        <f aca="false">SUMIF(D_sales!I$5:I$121,A165,D_sales!F$5:F$121)</f>
        <v>1470090988</v>
      </c>
      <c r="C165" s="86" t="n">
        <f aca="false">SUMIF(D_purchases!J$5:J$139,A165,D_purchases!G$5:G$139)</f>
        <v>796296702</v>
      </c>
      <c r="D165" s="87" t="n">
        <v>0</v>
      </c>
      <c r="E165" s="32" t="n">
        <f aca="false">B165-C165-D165</f>
        <v>673794286</v>
      </c>
      <c r="F165" s="32" t="n">
        <f aca="false">G165+E165</f>
        <v>10811311250</v>
      </c>
      <c r="G165" s="32" t="n">
        <f aca="false">F164</f>
        <v>10137516964</v>
      </c>
      <c r="H165" s="82" t="s">
        <v>3595</v>
      </c>
    </row>
    <row r="166" customFormat="false" ht="36" hidden="false" customHeight="true" outlineLevel="0" collapsed="false">
      <c r="A166" s="84" t="n">
        <v>46124</v>
      </c>
      <c r="B166" s="86" t="n">
        <f aca="false">SUMIF(D_sales!I$5:I$121,A166,D_sales!F$5:F$121)</f>
        <v>371992118</v>
      </c>
      <c r="C166" s="86" t="n">
        <f aca="false">SUMIF(D_purchases!J$5:J$139,A166,D_purchases!G$5:G$139)</f>
        <v>0</v>
      </c>
      <c r="D166" s="87" t="n">
        <v>0</v>
      </c>
      <c r="E166" s="32" t="n">
        <f aca="false">B166-C166-D166</f>
        <v>371992118</v>
      </c>
      <c r="F166" s="32" t="n">
        <f aca="false">G166+E166</f>
        <v>11183303368</v>
      </c>
      <c r="G166" s="32" t="n">
        <f aca="false">F165</f>
        <v>10811311250</v>
      </c>
      <c r="H166" s="82" t="s">
        <v>3595</v>
      </c>
    </row>
    <row r="167" customFormat="false" ht="36" hidden="false" customHeight="true" outlineLevel="0" collapsed="false">
      <c r="A167" s="84" t="n">
        <v>46125</v>
      </c>
      <c r="B167" s="86" t="n">
        <f aca="false">SUMIF(D_sales!I$5:I$121,A167,D_sales!F$5:F$121)</f>
        <v>0</v>
      </c>
      <c r="C167" s="86" t="n">
        <f aca="false">SUMIF(D_purchases!J$5:J$139,A167,D_purchases!G$5:G$139)</f>
        <v>1759812918</v>
      </c>
      <c r="D167" s="87" t="n">
        <v>0</v>
      </c>
      <c r="E167" s="32" t="n">
        <f aca="false">B167-C167-D167</f>
        <v>-1759812918</v>
      </c>
      <c r="F167" s="32" t="n">
        <f aca="false">G167+E167</f>
        <v>9423490450</v>
      </c>
      <c r="G167" s="32" t="n">
        <f aca="false">F166</f>
        <v>11183303368</v>
      </c>
      <c r="H167" s="82" t="s">
        <v>3595</v>
      </c>
    </row>
    <row r="168" customFormat="false" ht="36" hidden="false" customHeight="true" outlineLevel="0" collapsed="false">
      <c r="A168" s="84" t="n">
        <v>46126</v>
      </c>
      <c r="B168" s="86" t="n">
        <f aca="false">SUMIF(D_sales!I$5:I$121,A168,D_sales!F$5:F$121)</f>
        <v>0</v>
      </c>
      <c r="C168" s="86" t="n">
        <f aca="false">SUMIF(D_purchases!J$5:J$139,A168,D_purchases!G$5:G$139)</f>
        <v>0</v>
      </c>
      <c r="D168" s="87" t="n">
        <v>0</v>
      </c>
      <c r="E168" s="32" t="n">
        <f aca="false">B168-C168-D168</f>
        <v>0</v>
      </c>
      <c r="F168" s="32" t="n">
        <f aca="false">G168+E168</f>
        <v>9423490450</v>
      </c>
      <c r="G168" s="32" t="n">
        <f aca="false">F167</f>
        <v>9423490450</v>
      </c>
      <c r="H168" s="82" t="s">
        <v>3595</v>
      </c>
    </row>
    <row r="169" customFormat="false" ht="36" hidden="false" customHeight="true" outlineLevel="0" collapsed="false">
      <c r="A169" s="84" t="n">
        <v>46127</v>
      </c>
      <c r="B169" s="86" t="n">
        <f aca="false">SUMIF(D_sales!I$5:I$121,A169,D_sales!F$5:F$121)</f>
        <v>407185222</v>
      </c>
      <c r="C169" s="86" t="n">
        <f aca="false">SUMIF(D_purchases!J$5:J$139,A169,D_purchases!G$5:G$139)</f>
        <v>190068720</v>
      </c>
      <c r="D169" s="87" t="n">
        <v>0</v>
      </c>
      <c r="E169" s="32" t="n">
        <f aca="false">B169-C169-D169</f>
        <v>217116502</v>
      </c>
      <c r="F169" s="32" t="n">
        <f aca="false">G169+E169</f>
        <v>9640606952</v>
      </c>
      <c r="G169" s="32" t="n">
        <f aca="false">F168</f>
        <v>9423490450</v>
      </c>
      <c r="H169" s="82" t="s">
        <v>3595</v>
      </c>
    </row>
    <row r="170" customFormat="false" ht="36" hidden="false" customHeight="true" outlineLevel="0" collapsed="false">
      <c r="A170" s="84" t="n">
        <v>46128</v>
      </c>
      <c r="B170" s="86" t="n">
        <f aca="false">SUMIF(D_sales!I$5:I$121,A170,D_sales!F$5:F$121)</f>
        <v>209715649</v>
      </c>
      <c r="C170" s="86" t="n">
        <f aca="false">SUMIF(D_purchases!J$5:J$139,A170,D_purchases!G$5:G$139)</f>
        <v>149243982</v>
      </c>
      <c r="D170" s="87" t="n">
        <v>0</v>
      </c>
      <c r="E170" s="32" t="n">
        <f aca="false">B170-C170-D170</f>
        <v>60471667</v>
      </c>
      <c r="F170" s="32" t="n">
        <f aca="false">G170+E170</f>
        <v>9701078619</v>
      </c>
      <c r="G170" s="32" t="n">
        <f aca="false">F169</f>
        <v>9640606952</v>
      </c>
      <c r="H170" s="82" t="s">
        <v>3595</v>
      </c>
    </row>
    <row r="171" customFormat="false" ht="36" hidden="false" customHeight="true" outlineLevel="0" collapsed="false">
      <c r="A171" s="84" t="n">
        <v>46129</v>
      </c>
      <c r="B171" s="86" t="n">
        <f aca="false">SUMIF(D_sales!I$5:I$121,A171,D_sales!F$5:F$121)</f>
        <v>202261376</v>
      </c>
      <c r="C171" s="86" t="n">
        <f aca="false">SUMIF(D_purchases!J$5:J$139,A171,D_purchases!G$5:G$139)</f>
        <v>0</v>
      </c>
      <c r="D171" s="87" t="n">
        <v>45000000</v>
      </c>
      <c r="E171" s="32" t="n">
        <f aca="false">B171-C171-D171</f>
        <v>157261376</v>
      </c>
      <c r="F171" s="32" t="n">
        <f aca="false">G171+E171</f>
        <v>9858339995</v>
      </c>
      <c r="G171" s="32" t="n">
        <f aca="false">F170</f>
        <v>9701078619</v>
      </c>
      <c r="H171" s="82" t="s">
        <v>3595</v>
      </c>
    </row>
    <row r="172" customFormat="false" ht="36" hidden="false" customHeight="true" outlineLevel="0" collapsed="false">
      <c r="A172" s="84" t="n">
        <v>46130</v>
      </c>
      <c r="B172" s="86" t="n">
        <f aca="false">SUMIF(D_sales!I$5:I$121,A172,D_sales!F$5:F$121)</f>
        <v>366488408</v>
      </c>
      <c r="C172" s="86" t="n">
        <f aca="false">SUMIF(D_purchases!J$5:J$139,A172,D_purchases!G$5:G$139)</f>
        <v>1500551496</v>
      </c>
      <c r="D172" s="87" t="n">
        <v>0</v>
      </c>
      <c r="E172" s="32" t="n">
        <f aca="false">B172-C172-D172</f>
        <v>-1134063088</v>
      </c>
      <c r="F172" s="32" t="n">
        <f aca="false">G172+E172</f>
        <v>8724276907</v>
      </c>
      <c r="G172" s="32" t="n">
        <f aca="false">F171</f>
        <v>9858339995</v>
      </c>
      <c r="H172" s="82" t="s">
        <v>3595</v>
      </c>
    </row>
    <row r="173" customFormat="false" ht="36" hidden="false" customHeight="true" outlineLevel="0" collapsed="false">
      <c r="A173" s="84" t="n">
        <v>46131</v>
      </c>
      <c r="B173" s="86" t="n">
        <f aca="false">SUMIF(D_sales!I$5:I$121,A173,D_sales!F$5:F$121)</f>
        <v>1690606554</v>
      </c>
      <c r="C173" s="86" t="n">
        <f aca="false">SUMIF(D_purchases!J$5:J$139,A173,D_purchases!G$5:G$139)</f>
        <v>0</v>
      </c>
      <c r="D173" s="87" t="n">
        <v>0</v>
      </c>
      <c r="E173" s="32" t="n">
        <f aca="false">B173-C173-D173</f>
        <v>1690606554</v>
      </c>
      <c r="F173" s="32" t="n">
        <f aca="false">G173+E173</f>
        <v>10414883461</v>
      </c>
      <c r="G173" s="32" t="n">
        <f aca="false">F172</f>
        <v>8724276907</v>
      </c>
      <c r="H173" s="82" t="s">
        <v>3595</v>
      </c>
    </row>
    <row r="174" customFormat="false" ht="36" hidden="false" customHeight="true" outlineLevel="0" collapsed="false">
      <c r="A174" s="84" t="n">
        <v>46132</v>
      </c>
      <c r="B174" s="86" t="n">
        <f aca="false">SUMIF(D_sales!I$5:I$121,A174,D_sales!F$5:F$121)</f>
        <v>785380189</v>
      </c>
      <c r="C174" s="86" t="n">
        <f aca="false">SUMIF(D_purchases!J$5:J$139,A174,D_purchases!G$5:G$139)</f>
        <v>0</v>
      </c>
      <c r="D174" s="87" t="n">
        <v>0</v>
      </c>
      <c r="E174" s="32" t="n">
        <f aca="false">B174-C174-D174</f>
        <v>785380189</v>
      </c>
      <c r="F174" s="32" t="n">
        <f aca="false">G174+E174</f>
        <v>11200263650</v>
      </c>
      <c r="G174" s="32" t="n">
        <f aca="false">F173</f>
        <v>10414883461</v>
      </c>
      <c r="H174" s="82" t="s">
        <v>3595</v>
      </c>
    </row>
    <row r="175" customFormat="false" ht="36" hidden="false" customHeight="true" outlineLevel="0" collapsed="false">
      <c r="A175" s="84" t="n">
        <v>46133</v>
      </c>
      <c r="B175" s="86" t="n">
        <f aca="false">SUMIF(D_sales!I$5:I$121,A175,D_sales!F$5:F$121)</f>
        <v>0</v>
      </c>
      <c r="C175" s="86" t="n">
        <f aca="false">SUMIF(D_purchases!J$5:J$139,A175,D_purchases!G$5:G$139)</f>
        <v>0</v>
      </c>
      <c r="D175" s="87" t="n">
        <v>0</v>
      </c>
      <c r="E175" s="32" t="n">
        <f aca="false">B175-C175-D175</f>
        <v>0</v>
      </c>
      <c r="F175" s="32" t="n">
        <f aca="false">G175+E175</f>
        <v>11200263650</v>
      </c>
      <c r="G175" s="32" t="n">
        <f aca="false">F174</f>
        <v>11200263650</v>
      </c>
      <c r="H175" s="82" t="s">
        <v>3595</v>
      </c>
    </row>
    <row r="176" customFormat="false" ht="36" hidden="false" customHeight="true" outlineLevel="0" collapsed="false">
      <c r="A176" s="84" t="n">
        <v>46134</v>
      </c>
      <c r="B176" s="86" t="n">
        <f aca="false">SUMIF(D_sales!I$5:I$121,A176,D_sales!F$5:F$121)</f>
        <v>0</v>
      </c>
      <c r="C176" s="86" t="n">
        <f aca="false">SUMIF(D_purchases!J$5:J$139,A176,D_purchases!G$5:G$139)</f>
        <v>0</v>
      </c>
      <c r="D176" s="87" t="n">
        <v>0</v>
      </c>
      <c r="E176" s="32" t="n">
        <f aca="false">B176-C176-D176</f>
        <v>0</v>
      </c>
      <c r="F176" s="32" t="n">
        <f aca="false">G176+E176</f>
        <v>11200263650</v>
      </c>
      <c r="G176" s="32" t="n">
        <f aca="false">F175</f>
        <v>11200263650</v>
      </c>
      <c r="H176" s="82" t="s">
        <v>3595</v>
      </c>
    </row>
    <row r="177" customFormat="false" ht="36" hidden="false" customHeight="true" outlineLevel="0" collapsed="false">
      <c r="A177" s="84" t="n">
        <v>46135</v>
      </c>
      <c r="B177" s="86" t="n">
        <f aca="false">SUMIF(D_sales!I$5:I$121,A177,D_sales!F$5:F$121)</f>
        <v>0</v>
      </c>
      <c r="C177" s="86" t="n">
        <f aca="false">SUMIF(D_purchases!J$5:J$139,A177,D_purchases!G$5:G$139)</f>
        <v>0</v>
      </c>
      <c r="D177" s="87" t="n">
        <v>0</v>
      </c>
      <c r="E177" s="32" t="n">
        <f aca="false">B177-C177-D177</f>
        <v>0</v>
      </c>
      <c r="F177" s="32" t="n">
        <f aca="false">G177+E177</f>
        <v>11200263650</v>
      </c>
      <c r="G177" s="32" t="n">
        <f aca="false">F176</f>
        <v>11200263650</v>
      </c>
      <c r="H177" s="82" t="s">
        <v>3595</v>
      </c>
    </row>
    <row r="178" customFormat="false" ht="36" hidden="false" customHeight="true" outlineLevel="0" collapsed="false">
      <c r="A178" s="84" t="n">
        <v>46136</v>
      </c>
      <c r="B178" s="86" t="n">
        <f aca="false">SUMIF(D_sales!I$5:I$121,A178,D_sales!F$5:F$121)</f>
        <v>0</v>
      </c>
      <c r="C178" s="86" t="n">
        <f aca="false">SUMIF(D_purchases!J$5:J$139,A178,D_purchases!G$5:G$139)</f>
        <v>136013088</v>
      </c>
      <c r="D178" s="87" t="n">
        <v>45000000</v>
      </c>
      <c r="E178" s="32" t="n">
        <f aca="false">B178-C178-D178</f>
        <v>-181013088</v>
      </c>
      <c r="F178" s="32" t="n">
        <f aca="false">G178+E178</f>
        <v>11019250562</v>
      </c>
      <c r="G178" s="32" t="n">
        <f aca="false">F177</f>
        <v>11200263650</v>
      </c>
      <c r="H178" s="82" t="s">
        <v>3595</v>
      </c>
    </row>
    <row r="179" customFormat="false" ht="36" hidden="false" customHeight="true" outlineLevel="0" collapsed="false">
      <c r="A179" s="84" t="n">
        <v>46137</v>
      </c>
      <c r="B179" s="86" t="n">
        <f aca="false">SUMIF(D_sales!I$5:I$121,A179,D_sales!F$5:F$121)</f>
        <v>633970674</v>
      </c>
      <c r="C179" s="86" t="n">
        <f aca="false">SUMIF(D_purchases!J$5:J$139,A179,D_purchases!G$5:G$139)</f>
        <v>0</v>
      </c>
      <c r="D179" s="87" t="n">
        <v>0</v>
      </c>
      <c r="E179" s="32" t="n">
        <f aca="false">B179-C179-D179</f>
        <v>633970674</v>
      </c>
      <c r="F179" s="32" t="n">
        <f aca="false">G179+E179</f>
        <v>11653221236</v>
      </c>
      <c r="G179" s="32" t="n">
        <f aca="false">F178</f>
        <v>11019250562</v>
      </c>
      <c r="H179" s="82" t="s">
        <v>3595</v>
      </c>
    </row>
    <row r="180" customFormat="false" ht="36" hidden="false" customHeight="true" outlineLevel="0" collapsed="false">
      <c r="A180" s="84" t="n">
        <v>46138</v>
      </c>
      <c r="B180" s="86" t="n">
        <f aca="false">SUMIF(D_sales!I$5:I$121,A180,D_sales!F$5:F$121)</f>
        <v>0</v>
      </c>
      <c r="C180" s="86" t="n">
        <f aca="false">SUMIF(D_purchases!J$5:J$139,A180,D_purchases!G$5:G$139)</f>
        <v>0</v>
      </c>
      <c r="D180" s="87" t="n">
        <v>0</v>
      </c>
      <c r="E180" s="32" t="n">
        <f aca="false">B180-C180-D180</f>
        <v>0</v>
      </c>
      <c r="F180" s="32" t="n">
        <f aca="false">G180+E180</f>
        <v>11653221236</v>
      </c>
      <c r="G180" s="32" t="n">
        <f aca="false">F179</f>
        <v>11653221236</v>
      </c>
      <c r="H180" s="82" t="s">
        <v>3595</v>
      </c>
    </row>
    <row r="181" customFormat="false" ht="36" hidden="false" customHeight="true" outlineLevel="0" collapsed="false">
      <c r="A181" s="84" t="n">
        <v>46139</v>
      </c>
      <c r="B181" s="86" t="n">
        <f aca="false">SUMIF(D_sales!I$5:I$121,A181,D_sales!F$5:F$121)</f>
        <v>1005525432</v>
      </c>
      <c r="C181" s="86" t="n">
        <f aca="false">SUMIF(D_purchases!J$5:J$139,A181,D_purchases!G$5:G$139)</f>
        <v>809302848</v>
      </c>
      <c r="D181" s="87" t="n">
        <v>0</v>
      </c>
      <c r="E181" s="32" t="n">
        <f aca="false">B181-C181-D181</f>
        <v>196222584</v>
      </c>
      <c r="F181" s="32" t="n">
        <f aca="false">G181+E181</f>
        <v>11849443820</v>
      </c>
      <c r="G181" s="32" t="n">
        <f aca="false">F180</f>
        <v>11653221236</v>
      </c>
      <c r="H181" s="82" t="s">
        <v>3595</v>
      </c>
    </row>
    <row r="182" customFormat="false" ht="36" hidden="false" customHeight="true" outlineLevel="0" collapsed="false">
      <c r="A182" s="84" t="n">
        <v>46140</v>
      </c>
      <c r="B182" s="86" t="n">
        <f aca="false">SUMIF(D_sales!I$5:I$121,A182,D_sales!F$5:F$121)</f>
        <v>687172149</v>
      </c>
      <c r="C182" s="86" t="n">
        <f aca="false">SUMIF(D_purchases!J$5:J$139,A182,D_purchases!G$5:G$139)</f>
        <v>198604914</v>
      </c>
      <c r="D182" s="87" t="n">
        <v>1500000000</v>
      </c>
      <c r="E182" s="32" t="n">
        <f aca="false">B182-C182-D182</f>
        <v>-1011432765</v>
      </c>
      <c r="F182" s="32" t="n">
        <f aca="false">G182+E182</f>
        <v>10838011055</v>
      </c>
      <c r="G182" s="32" t="n">
        <f aca="false">F181</f>
        <v>11849443820</v>
      </c>
      <c r="H182" s="82" t="s">
        <v>3595</v>
      </c>
    </row>
    <row r="183" customFormat="false" ht="36" hidden="false" customHeight="true" outlineLevel="0" collapsed="false">
      <c r="A183" s="84" t="n">
        <v>46141</v>
      </c>
      <c r="B183" s="86" t="n">
        <f aca="false">SUMIF(D_sales!I$5:I$121,A183,D_sales!F$5:F$121)</f>
        <v>885893145</v>
      </c>
      <c r="C183" s="86" t="n">
        <f aca="false">SUMIF(D_purchases!J$5:J$139,A183,D_purchases!G$5:G$139)</f>
        <v>266066238</v>
      </c>
      <c r="D183" s="87" t="n">
        <v>0</v>
      </c>
      <c r="E183" s="32" t="n">
        <f aca="false">B183-C183-D183</f>
        <v>619826907</v>
      </c>
      <c r="F183" s="32" t="n">
        <f aca="false">G183+E183</f>
        <v>11457837962</v>
      </c>
      <c r="G183" s="32" t="n">
        <f aca="false">F182</f>
        <v>10838011055</v>
      </c>
      <c r="H183" s="82" t="s">
        <v>3595</v>
      </c>
    </row>
    <row r="184" customFormat="false" ht="36" hidden="false" customHeight="true" outlineLevel="0" collapsed="false">
      <c r="A184" s="84" t="n">
        <v>46142</v>
      </c>
      <c r="B184" s="86" t="n">
        <f aca="false">SUMIF(D_sales!I$5:I$121,A184,D_sales!F$5:F$121)</f>
        <v>0</v>
      </c>
      <c r="C184" s="86" t="n">
        <f aca="false">SUMIF(D_purchases!J$5:J$139,A184,D_purchases!G$5:G$139)</f>
        <v>198213690</v>
      </c>
      <c r="D184" s="87" t="n">
        <v>0</v>
      </c>
      <c r="E184" s="32" t="n">
        <f aca="false">B184-C184-D184</f>
        <v>-198213690</v>
      </c>
      <c r="F184" s="32" t="n">
        <f aca="false">G184+E184</f>
        <v>11259624272</v>
      </c>
      <c r="G184" s="32" t="n">
        <f aca="false">F183</f>
        <v>11457837962</v>
      </c>
      <c r="H184" s="82" t="s">
        <v>3595</v>
      </c>
    </row>
    <row r="185" customFormat="false" ht="36" hidden="false" customHeight="true" outlineLevel="0" collapsed="false">
      <c r="A185" s="84" t="n">
        <v>46143</v>
      </c>
      <c r="B185" s="86" t="n">
        <f aca="false">SUMIF(D_sales!I$5:I$121,A185,D_sales!F$5:F$121)</f>
        <v>0</v>
      </c>
      <c r="C185" s="86" t="n">
        <f aca="false">SUMIF(D_purchases!J$5:J$139,A185,D_purchases!G$5:G$139)</f>
        <v>0</v>
      </c>
      <c r="D185" s="87" t="n">
        <v>180000000</v>
      </c>
      <c r="E185" s="32" t="n">
        <f aca="false">B185-C185-D185</f>
        <v>-180000000</v>
      </c>
      <c r="F185" s="32" t="n">
        <f aca="false">G185+E185</f>
        <v>11079624272</v>
      </c>
      <c r="G185" s="32" t="n">
        <f aca="false">F184</f>
        <v>11259624272</v>
      </c>
      <c r="H185" s="82" t="s">
        <v>3595</v>
      </c>
    </row>
    <row r="186" customFormat="false" ht="36" hidden="false" customHeight="true" outlineLevel="0" collapsed="false">
      <c r="A186" s="84" t="n">
        <v>46144</v>
      </c>
      <c r="B186" s="86" t="n">
        <f aca="false">SUMIF(D_sales!I$5:I$121,A186,D_sales!F$5:F$121)</f>
        <v>0</v>
      </c>
      <c r="C186" s="86" t="n">
        <f aca="false">SUMIF(D_purchases!J$5:J$139,A186,D_purchases!G$5:G$139)</f>
        <v>1024110306</v>
      </c>
      <c r="D186" s="87" t="n">
        <v>0</v>
      </c>
      <c r="E186" s="32" t="n">
        <f aca="false">B186-C186-D186</f>
        <v>-1024110306</v>
      </c>
      <c r="F186" s="32" t="n">
        <f aca="false">G186+E186</f>
        <v>10055513966</v>
      </c>
      <c r="G186" s="32" t="n">
        <f aca="false">F185</f>
        <v>11079624272</v>
      </c>
      <c r="H186" s="82" t="s">
        <v>3595</v>
      </c>
    </row>
    <row r="187" customFormat="false" ht="36" hidden="false" customHeight="true" outlineLevel="0" collapsed="false">
      <c r="A187" s="84" t="n">
        <v>46145</v>
      </c>
      <c r="B187" s="86" t="n">
        <f aca="false">SUMIF(D_sales!I$5:I$121,A187,D_sales!F$5:F$121)</f>
        <v>0</v>
      </c>
      <c r="C187" s="86" t="n">
        <f aca="false">SUMIF(D_purchases!J$5:J$139,A187,D_purchases!G$5:G$139)</f>
        <v>346429668</v>
      </c>
      <c r="D187" s="87" t="n">
        <v>0</v>
      </c>
      <c r="E187" s="32" t="n">
        <f aca="false">B187-C187-D187</f>
        <v>-346429668</v>
      </c>
      <c r="F187" s="32" t="n">
        <f aca="false">G187+E187</f>
        <v>9709084298</v>
      </c>
      <c r="G187" s="32" t="n">
        <f aca="false">F186</f>
        <v>10055513966</v>
      </c>
      <c r="H187" s="82" t="s">
        <v>3595</v>
      </c>
    </row>
    <row r="188" customFormat="false" ht="36" hidden="false" customHeight="true" outlineLevel="0" collapsed="false">
      <c r="A188" s="84" t="n">
        <v>46146</v>
      </c>
      <c r="B188" s="86" t="n">
        <f aca="false">SUMIF(D_sales!I$5:I$121,A188,D_sales!F$5:F$121)</f>
        <v>0</v>
      </c>
      <c r="C188" s="86" t="n">
        <f aca="false">SUMIF(D_purchases!J$5:J$139,A188,D_purchases!G$5:G$139)</f>
        <v>48786582</v>
      </c>
      <c r="D188" s="87" t="n">
        <v>0</v>
      </c>
      <c r="E188" s="32" t="n">
        <f aca="false">B188-C188-D188</f>
        <v>-48786582</v>
      </c>
      <c r="F188" s="32" t="n">
        <f aca="false">G188+E188</f>
        <v>9660297716</v>
      </c>
      <c r="G188" s="32" t="n">
        <f aca="false">F187</f>
        <v>9709084298</v>
      </c>
      <c r="H188" s="82" t="s">
        <v>3595</v>
      </c>
    </row>
    <row r="189" customFormat="false" ht="36" hidden="false" customHeight="true" outlineLevel="0" collapsed="false">
      <c r="A189" s="84" t="n">
        <v>46147</v>
      </c>
      <c r="B189" s="86" t="n">
        <f aca="false">SUMIF(D_sales!I$5:I$121,A189,D_sales!F$5:F$121)</f>
        <v>192891659</v>
      </c>
      <c r="C189" s="86" t="n">
        <f aca="false">SUMIF(D_purchases!J$5:J$139,A189,D_purchases!G$5:G$139)</f>
        <v>1406208024</v>
      </c>
      <c r="D189" s="87" t="n">
        <v>0</v>
      </c>
      <c r="E189" s="32" t="n">
        <f aca="false">B189-C189-D189</f>
        <v>-1213316365</v>
      </c>
      <c r="F189" s="32" t="n">
        <f aca="false">G189+E189</f>
        <v>8446981351</v>
      </c>
      <c r="G189" s="32" t="n">
        <f aca="false">F188</f>
        <v>9660297716</v>
      </c>
      <c r="H189" s="82" t="s">
        <v>3595</v>
      </c>
    </row>
    <row r="190" customFormat="false" ht="36" hidden="false" customHeight="true" outlineLevel="0" collapsed="false">
      <c r="A190" s="84" t="n">
        <v>46148</v>
      </c>
      <c r="B190" s="86" t="n">
        <f aca="false">SUMIF(D_sales!I$5:I$121,A190,D_sales!F$5:F$121)</f>
        <v>1182474209</v>
      </c>
      <c r="C190" s="86" t="n">
        <f aca="false">SUMIF(D_purchases!J$5:J$139,A190,D_purchases!G$5:G$139)</f>
        <v>0</v>
      </c>
      <c r="D190" s="87" t="n">
        <v>0</v>
      </c>
      <c r="E190" s="32" t="n">
        <f aca="false">B190-C190-D190</f>
        <v>1182474209</v>
      </c>
      <c r="F190" s="32" t="n">
        <f aca="false">G190+E190</f>
        <v>9629455560</v>
      </c>
      <c r="G190" s="32" t="n">
        <f aca="false">F189</f>
        <v>8446981351</v>
      </c>
      <c r="H190" s="82" t="s">
        <v>3595</v>
      </c>
    </row>
    <row r="191" customFormat="false" ht="36" hidden="false" customHeight="true" outlineLevel="0" collapsed="false">
      <c r="A191" s="84" t="n">
        <v>46149</v>
      </c>
      <c r="B191" s="86" t="n">
        <f aca="false">SUMIF(D_sales!I$5:I$121,A191,D_sales!F$5:F$121)</f>
        <v>0</v>
      </c>
      <c r="C191" s="86" t="n">
        <f aca="false">SUMIF(D_purchases!J$5:J$139,A191,D_purchases!G$5:G$139)</f>
        <v>219660306</v>
      </c>
      <c r="D191" s="87" t="n">
        <v>0</v>
      </c>
      <c r="E191" s="32" t="n">
        <f aca="false">B191-C191-D191</f>
        <v>-219660306</v>
      </c>
      <c r="F191" s="32" t="n">
        <f aca="false">G191+E191</f>
        <v>9409795254</v>
      </c>
      <c r="G191" s="32" t="n">
        <f aca="false">F190</f>
        <v>9629455560</v>
      </c>
      <c r="H191" s="82" t="s">
        <v>3595</v>
      </c>
    </row>
    <row r="192" customFormat="false" ht="36" hidden="false" customHeight="true" outlineLevel="0" collapsed="false">
      <c r="A192" s="84" t="n">
        <v>46150</v>
      </c>
      <c r="B192" s="86" t="n">
        <f aca="false">SUMIF(D_sales!I$5:I$121,A192,D_sales!F$5:F$121)</f>
        <v>682239879</v>
      </c>
      <c r="C192" s="86" t="n">
        <f aca="false">SUMIF(D_purchases!J$5:J$139,A192,D_purchases!G$5:G$139)</f>
        <v>474888786</v>
      </c>
      <c r="D192" s="87" t="n">
        <v>45000000</v>
      </c>
      <c r="E192" s="32" t="n">
        <f aca="false">B192-C192-D192</f>
        <v>162351093</v>
      </c>
      <c r="F192" s="32" t="n">
        <f aca="false">G192+E192</f>
        <v>9572146347</v>
      </c>
      <c r="G192" s="32" t="n">
        <f aca="false">F191</f>
        <v>9409795254</v>
      </c>
      <c r="H192" s="82" t="s">
        <v>3595</v>
      </c>
    </row>
    <row r="193" customFormat="false" ht="36" hidden="false" customHeight="true" outlineLevel="0" collapsed="false">
      <c r="A193" s="84" t="n">
        <v>46151</v>
      </c>
      <c r="B193" s="86" t="n">
        <f aca="false">SUMIF(D_sales!I$5:I$121,A193,D_sales!F$5:F$121)</f>
        <v>0</v>
      </c>
      <c r="C193" s="86" t="n">
        <f aca="false">SUMIF(D_purchases!J$5:J$139,A193,D_purchases!G$5:G$139)</f>
        <v>309608742</v>
      </c>
      <c r="D193" s="87" t="n">
        <v>0</v>
      </c>
      <c r="E193" s="32" t="n">
        <f aca="false">B193-C193-D193</f>
        <v>-309608742</v>
      </c>
      <c r="F193" s="32" t="n">
        <f aca="false">G193+E193</f>
        <v>9262537605</v>
      </c>
      <c r="G193" s="32" t="n">
        <f aca="false">F192</f>
        <v>9572146347</v>
      </c>
      <c r="H193" s="82" t="s">
        <v>3595</v>
      </c>
    </row>
    <row r="194" customFormat="false" ht="36" hidden="false" customHeight="true" outlineLevel="0" collapsed="false">
      <c r="A194" s="84" t="n">
        <v>46152</v>
      </c>
      <c r="B194" s="86" t="n">
        <f aca="false">SUMIF(D_sales!I$5:I$121,A194,D_sales!F$5:F$121)</f>
        <v>199860685</v>
      </c>
      <c r="C194" s="86" t="n">
        <f aca="false">SUMIF(D_purchases!J$5:J$139,A194,D_purchases!G$5:G$139)</f>
        <v>995176308</v>
      </c>
      <c r="D194" s="87" t="n">
        <v>0</v>
      </c>
      <c r="E194" s="32" t="n">
        <f aca="false">B194-C194-D194</f>
        <v>-795315623</v>
      </c>
      <c r="F194" s="32" t="n">
        <f aca="false">G194+E194</f>
        <v>8467221982</v>
      </c>
      <c r="G194" s="32" t="n">
        <f aca="false">F193</f>
        <v>9262537605</v>
      </c>
      <c r="H194" s="82" t="s">
        <v>3595</v>
      </c>
    </row>
    <row r="195" customFormat="false" ht="36" hidden="false" customHeight="true" outlineLevel="0" collapsed="false">
      <c r="A195" s="84" t="n">
        <v>46153</v>
      </c>
      <c r="B195" s="86" t="n">
        <f aca="false">SUMIF(D_sales!I$5:I$121,A195,D_sales!F$5:F$121)</f>
        <v>0</v>
      </c>
      <c r="C195" s="86" t="n">
        <f aca="false">SUMIF(D_purchases!J$5:J$139,A195,D_purchases!G$5:G$139)</f>
        <v>511072926</v>
      </c>
      <c r="D195" s="87" t="n">
        <v>0</v>
      </c>
      <c r="E195" s="32" t="n">
        <f aca="false">B195-C195-D195</f>
        <v>-511072926</v>
      </c>
      <c r="F195" s="32" t="n">
        <f aca="false">G195+E195</f>
        <v>7956149056</v>
      </c>
      <c r="G195" s="32" t="n">
        <f aca="false">F194</f>
        <v>8467221982</v>
      </c>
      <c r="H195" s="82" t="s">
        <v>3595</v>
      </c>
    </row>
    <row r="196" customFormat="false" ht="36" hidden="false" customHeight="true" outlineLevel="0" collapsed="false">
      <c r="A196" s="84" t="n">
        <v>46154</v>
      </c>
      <c r="B196" s="86" t="n">
        <f aca="false">SUMIF(D_sales!I$5:I$121,A196,D_sales!F$5:F$121)</f>
        <v>0</v>
      </c>
      <c r="C196" s="86" t="n">
        <f aca="false">SUMIF(D_purchases!J$5:J$139,A196,D_purchases!G$5:G$139)</f>
        <v>0</v>
      </c>
      <c r="D196" s="87" t="n">
        <v>0</v>
      </c>
      <c r="E196" s="32" t="n">
        <f aca="false">B196-C196-D196</f>
        <v>0</v>
      </c>
      <c r="F196" s="32" t="n">
        <f aca="false">G196+E196</f>
        <v>7956149056</v>
      </c>
      <c r="G196" s="32" t="n">
        <f aca="false">F195</f>
        <v>7956149056</v>
      </c>
      <c r="H196" s="82" t="s">
        <v>3595</v>
      </c>
    </row>
    <row r="197" customFormat="false" ht="36" hidden="false" customHeight="true" outlineLevel="0" collapsed="false">
      <c r="A197" s="84" t="n">
        <v>46155</v>
      </c>
      <c r="B197" s="86" t="n">
        <f aca="false">SUMIF(D_sales!I$5:I$121,A197,D_sales!F$5:F$121)</f>
        <v>0</v>
      </c>
      <c r="C197" s="86" t="n">
        <f aca="false">SUMIF(D_purchases!J$5:J$139,A197,D_purchases!G$5:G$139)</f>
        <v>766725924</v>
      </c>
      <c r="D197" s="87" t="n">
        <v>0</v>
      </c>
      <c r="E197" s="32" t="n">
        <f aca="false">B197-C197-D197</f>
        <v>-766725924</v>
      </c>
      <c r="F197" s="32" t="n">
        <f aca="false">G197+E197</f>
        <v>7189423132</v>
      </c>
      <c r="G197" s="32" t="n">
        <f aca="false">F196</f>
        <v>7956149056</v>
      </c>
      <c r="H197" s="82" t="s">
        <v>3595</v>
      </c>
    </row>
    <row r="198" customFormat="false" ht="36" hidden="false" customHeight="true" outlineLevel="0" collapsed="false">
      <c r="A198" s="84" t="n">
        <v>46156</v>
      </c>
      <c r="B198" s="86" t="n">
        <f aca="false">SUMIF(D_sales!I$5:I$121,A198,D_sales!F$5:F$121)</f>
        <v>682718740</v>
      </c>
      <c r="C198" s="86" t="n">
        <f aca="false">SUMIF(D_purchases!J$5:J$139,A198,D_purchases!G$5:G$139)</f>
        <v>270527868</v>
      </c>
      <c r="D198" s="87" t="n">
        <v>0</v>
      </c>
      <c r="E198" s="32" t="n">
        <f aca="false">B198-C198-D198</f>
        <v>412190872</v>
      </c>
      <c r="F198" s="32" t="n">
        <f aca="false">G198+E198</f>
        <v>7601614004</v>
      </c>
      <c r="G198" s="32" t="n">
        <f aca="false">F197</f>
        <v>7189423132</v>
      </c>
      <c r="H198" s="82" t="s">
        <v>3595</v>
      </c>
    </row>
    <row r="199" customFormat="false" ht="36" hidden="false" customHeight="true" outlineLevel="0" collapsed="false">
      <c r="A199" s="84" t="n">
        <v>46157</v>
      </c>
      <c r="B199" s="86" t="n">
        <f aca="false">SUMIF(D_sales!I$5:I$121,A199,D_sales!F$5:F$121)</f>
        <v>103909680</v>
      </c>
      <c r="C199" s="86" t="n">
        <f aca="false">SUMIF(D_purchases!J$5:J$139,A199,D_purchases!G$5:G$139)</f>
        <v>0</v>
      </c>
      <c r="D199" s="87" t="n">
        <v>45000000</v>
      </c>
      <c r="E199" s="32" t="n">
        <f aca="false">B199-C199-D199</f>
        <v>58909680</v>
      </c>
      <c r="F199" s="32" t="n">
        <f aca="false">G199+E199</f>
        <v>7660523684</v>
      </c>
      <c r="G199" s="32" t="n">
        <f aca="false">F198</f>
        <v>7601614004</v>
      </c>
      <c r="H199" s="82" t="s">
        <v>3595</v>
      </c>
    </row>
    <row r="200" customFormat="false" ht="36" hidden="false" customHeight="true" outlineLevel="0" collapsed="false">
      <c r="A200" s="84" t="n">
        <v>46158</v>
      </c>
      <c r="B200" s="86" t="n">
        <f aca="false">SUMIF(D_sales!I$5:I$121,A200,D_sales!F$5:F$121)</f>
        <v>0</v>
      </c>
      <c r="C200" s="86" t="n">
        <f aca="false">SUMIF(D_purchases!J$5:J$139,A200,D_purchases!G$5:G$139)</f>
        <v>0</v>
      </c>
      <c r="D200" s="87" t="n">
        <v>0</v>
      </c>
      <c r="E200" s="32" t="n">
        <f aca="false">B200-C200-D200</f>
        <v>0</v>
      </c>
      <c r="F200" s="32" t="n">
        <f aca="false">G200+E200</f>
        <v>7660523684</v>
      </c>
      <c r="G200" s="32" t="n">
        <f aca="false">F199</f>
        <v>7660523684</v>
      </c>
      <c r="H200" s="82" t="s">
        <v>3595</v>
      </c>
    </row>
    <row r="201" customFormat="false" ht="36" hidden="false" customHeight="true" outlineLevel="0" collapsed="false">
      <c r="A201" s="84" t="n">
        <v>46159</v>
      </c>
      <c r="B201" s="86" t="n">
        <f aca="false">SUMIF(D_sales!I$5:I$121,A201,D_sales!F$5:F$121)</f>
        <v>0</v>
      </c>
      <c r="C201" s="86" t="n">
        <f aca="false">SUMIF(D_purchases!J$5:J$139,A201,D_purchases!G$5:G$139)</f>
        <v>291649854</v>
      </c>
      <c r="D201" s="87" t="n">
        <v>0</v>
      </c>
      <c r="E201" s="32" t="n">
        <f aca="false">B201-C201-D201</f>
        <v>-291649854</v>
      </c>
      <c r="F201" s="32" t="n">
        <f aca="false">G201+E201</f>
        <v>7368873830</v>
      </c>
      <c r="G201" s="32" t="n">
        <f aca="false">F200</f>
        <v>7660523684</v>
      </c>
      <c r="H201" s="82" t="s">
        <v>3595</v>
      </c>
    </row>
    <row r="202" customFormat="false" ht="36" hidden="false" customHeight="true" outlineLevel="0" collapsed="false">
      <c r="A202" s="84" t="n">
        <v>46160</v>
      </c>
      <c r="B202" s="86" t="n">
        <f aca="false">SUMIF(D_sales!I$5:I$121,A202,D_sales!F$5:F$121)</f>
        <v>0</v>
      </c>
      <c r="C202" s="86" t="n">
        <f aca="false">SUMIF(D_purchases!J$5:J$139,A202,D_purchases!G$5:G$139)</f>
        <v>0</v>
      </c>
      <c r="D202" s="87" t="n">
        <v>0</v>
      </c>
      <c r="E202" s="32" t="n">
        <f aca="false">B202-C202-D202</f>
        <v>0</v>
      </c>
      <c r="F202" s="32" t="n">
        <f aca="false">G202+E202</f>
        <v>7368873830</v>
      </c>
      <c r="G202" s="32" t="n">
        <f aca="false">F201</f>
        <v>7368873830</v>
      </c>
      <c r="H202" s="82" t="s">
        <v>3595</v>
      </c>
    </row>
    <row r="203" customFormat="false" ht="36" hidden="false" customHeight="true" outlineLevel="0" collapsed="false">
      <c r="A203" s="84" t="n">
        <v>46161</v>
      </c>
      <c r="B203" s="86" t="n">
        <f aca="false">SUMIF(D_sales!I$5:I$121,A203,D_sales!F$5:F$121)</f>
        <v>0</v>
      </c>
      <c r="C203" s="86" t="n">
        <f aca="false">SUMIF(D_purchases!J$5:J$139,A203,D_purchases!G$5:G$139)</f>
        <v>0</v>
      </c>
      <c r="D203" s="87" t="n">
        <v>0</v>
      </c>
      <c r="E203" s="32" t="n">
        <f aca="false">B203-C203-D203</f>
        <v>0</v>
      </c>
      <c r="F203" s="32" t="n">
        <f aca="false">G203+E203</f>
        <v>7368873830</v>
      </c>
      <c r="G203" s="32" t="n">
        <f aca="false">F202</f>
        <v>7368873830</v>
      </c>
      <c r="H203" s="82" t="s">
        <v>3595</v>
      </c>
    </row>
    <row r="204" customFormat="false" ht="36" hidden="false" customHeight="true" outlineLevel="0" collapsed="false">
      <c r="A204" s="84" t="n">
        <v>46162</v>
      </c>
      <c r="B204" s="86" t="n">
        <f aca="false">SUMIF(D_sales!I$5:I$121,A204,D_sales!F$5:F$121)</f>
        <v>960735951</v>
      </c>
      <c r="C204" s="86" t="n">
        <f aca="false">SUMIF(D_purchases!J$5:J$139,A204,D_purchases!G$5:G$139)</f>
        <v>0</v>
      </c>
      <c r="D204" s="87" t="n">
        <v>0</v>
      </c>
      <c r="E204" s="32" t="n">
        <f aca="false">B204-C204-D204</f>
        <v>960735951</v>
      </c>
      <c r="F204" s="32" t="n">
        <f aca="false">G204+E204</f>
        <v>8329609781</v>
      </c>
      <c r="G204" s="32" t="n">
        <f aca="false">F203</f>
        <v>7368873830</v>
      </c>
      <c r="H204" s="82" t="s">
        <v>3595</v>
      </c>
    </row>
    <row r="205" customFormat="false" ht="36" hidden="false" customHeight="true" outlineLevel="0" collapsed="false">
      <c r="A205" s="84" t="n">
        <v>46163</v>
      </c>
      <c r="B205" s="86" t="n">
        <f aca="false">SUMIF(D_sales!I$5:I$121,A205,D_sales!F$5:F$121)</f>
        <v>0</v>
      </c>
      <c r="C205" s="86" t="n">
        <f aca="false">SUMIF(D_purchases!J$5:J$139,A205,D_purchases!G$5:G$139)</f>
        <v>0</v>
      </c>
      <c r="D205" s="87" t="n">
        <v>0</v>
      </c>
      <c r="E205" s="32" t="n">
        <f aca="false">B205-C205-D205</f>
        <v>0</v>
      </c>
      <c r="F205" s="32" t="n">
        <f aca="false">G205+E205</f>
        <v>8329609781</v>
      </c>
      <c r="G205" s="32" t="n">
        <f aca="false">F204</f>
        <v>8329609781</v>
      </c>
      <c r="H205" s="82" t="s">
        <v>3595</v>
      </c>
    </row>
    <row r="206" customFormat="false" ht="36" hidden="false" customHeight="true" outlineLevel="0" collapsed="false">
      <c r="A206" s="84" t="n">
        <v>46164</v>
      </c>
      <c r="B206" s="86" t="n">
        <f aca="false">SUMIF(D_sales!I$5:I$121,A206,D_sales!F$5:F$121)</f>
        <v>302550865</v>
      </c>
      <c r="C206" s="86" t="n">
        <f aca="false">SUMIF(D_purchases!J$5:J$139,A206,D_purchases!G$5:G$139)</f>
        <v>231205602</v>
      </c>
      <c r="D206" s="87" t="n">
        <v>45000000</v>
      </c>
      <c r="E206" s="32" t="n">
        <f aca="false">B206-C206-D206</f>
        <v>26345263</v>
      </c>
      <c r="F206" s="32" t="n">
        <f aca="false">G206+E206</f>
        <v>8355955044</v>
      </c>
      <c r="G206" s="32" t="n">
        <f aca="false">F205</f>
        <v>8329609781</v>
      </c>
      <c r="H206" s="82" t="s">
        <v>3595</v>
      </c>
    </row>
    <row r="207" customFormat="false" ht="36" hidden="false" customHeight="true" outlineLevel="0" collapsed="false">
      <c r="A207" s="84" t="n">
        <v>46165</v>
      </c>
      <c r="B207" s="86" t="n">
        <f aca="false">SUMIF(D_sales!I$5:I$121,A207,D_sales!F$5:F$121)</f>
        <v>526760046</v>
      </c>
      <c r="C207" s="86" t="n">
        <f aca="false">SUMIF(D_purchases!J$5:J$139,A207,D_purchases!G$5:G$139)</f>
        <v>0</v>
      </c>
      <c r="D207" s="87" t="n">
        <v>0</v>
      </c>
      <c r="E207" s="32" t="n">
        <f aca="false">B207-C207-D207</f>
        <v>526760046</v>
      </c>
      <c r="F207" s="32" t="n">
        <f aca="false">G207+E207</f>
        <v>8882715090</v>
      </c>
      <c r="G207" s="32" t="n">
        <f aca="false">F206</f>
        <v>8355955044</v>
      </c>
      <c r="H207" s="82" t="s">
        <v>3595</v>
      </c>
    </row>
    <row r="208" customFormat="false" ht="36" hidden="false" customHeight="true" outlineLevel="0" collapsed="false">
      <c r="A208" s="84" t="n">
        <v>46166</v>
      </c>
      <c r="B208" s="86" t="n">
        <f aca="false">SUMIF(D_sales!I$5:I$121,A208,D_sales!F$5:F$121)</f>
        <v>0</v>
      </c>
      <c r="C208" s="86" t="n">
        <f aca="false">SUMIF(D_purchases!J$5:J$139,A208,D_purchases!G$5:G$139)</f>
        <v>0</v>
      </c>
      <c r="D208" s="87" t="n">
        <v>0</v>
      </c>
      <c r="E208" s="32" t="n">
        <f aca="false">B208-C208-D208</f>
        <v>0</v>
      </c>
      <c r="F208" s="32" t="n">
        <f aca="false">G208+E208</f>
        <v>8882715090</v>
      </c>
      <c r="G208" s="32" t="n">
        <f aca="false">F207</f>
        <v>8882715090</v>
      </c>
      <c r="H208" s="82" t="s">
        <v>3595</v>
      </c>
    </row>
    <row r="209" customFormat="false" ht="36" hidden="false" customHeight="true" outlineLevel="0" collapsed="false">
      <c r="A209" s="84" t="n">
        <v>46167</v>
      </c>
      <c r="B209" s="86" t="n">
        <f aca="false">SUMIF(D_sales!I$5:I$121,A209,D_sales!F$5:F$121)</f>
        <v>638733746</v>
      </c>
      <c r="C209" s="86" t="n">
        <f aca="false">SUMIF(D_purchases!J$5:J$139,A209,D_purchases!G$5:G$139)</f>
        <v>0</v>
      </c>
      <c r="D209" s="87" t="n">
        <v>0</v>
      </c>
      <c r="E209" s="32" t="n">
        <f aca="false">B209-C209-D209</f>
        <v>638733746</v>
      </c>
      <c r="F209" s="32" t="n">
        <f aca="false">G209+E209</f>
        <v>9521448836</v>
      </c>
      <c r="G209" s="32" t="n">
        <f aca="false">F208</f>
        <v>8882715090</v>
      </c>
      <c r="H209" s="82" t="s">
        <v>3595</v>
      </c>
    </row>
    <row r="210" customFormat="false" ht="36" hidden="false" customHeight="true" outlineLevel="0" collapsed="false">
      <c r="A210" s="84" t="n">
        <v>46168</v>
      </c>
      <c r="B210" s="86" t="n">
        <f aca="false">SUMIF(D_sales!I$5:I$121,A210,D_sales!F$5:F$121)</f>
        <v>600552551</v>
      </c>
      <c r="C210" s="86" t="n">
        <f aca="false">SUMIF(D_purchases!J$5:J$139,A210,D_purchases!G$5:G$139)</f>
        <v>208256514</v>
      </c>
      <c r="D210" s="87" t="n">
        <v>0</v>
      </c>
      <c r="E210" s="32" t="n">
        <f aca="false">B210-C210-D210</f>
        <v>392296037</v>
      </c>
      <c r="F210" s="32" t="n">
        <f aca="false">G210+E210</f>
        <v>9913744873</v>
      </c>
      <c r="G210" s="32" t="n">
        <f aca="false">F209</f>
        <v>9521448836</v>
      </c>
      <c r="H210" s="82" t="s">
        <v>3595</v>
      </c>
    </row>
    <row r="211" customFormat="false" ht="36" hidden="false" customHeight="true" outlineLevel="0" collapsed="false">
      <c r="A211" s="84" t="n">
        <v>46169</v>
      </c>
      <c r="B211" s="86" t="n">
        <f aca="false">SUMIF(D_sales!I$5:I$121,A211,D_sales!F$5:F$121)</f>
        <v>0</v>
      </c>
      <c r="C211" s="86" t="n">
        <f aca="false">SUMIF(D_purchases!J$5:J$139,A211,D_purchases!G$5:G$139)</f>
        <v>73637688</v>
      </c>
      <c r="D211" s="87" t="n">
        <v>0</v>
      </c>
      <c r="E211" s="32" t="n">
        <f aca="false">B211-C211-D211</f>
        <v>-73637688</v>
      </c>
      <c r="F211" s="32" t="n">
        <f aca="false">G211+E211</f>
        <v>9840107185</v>
      </c>
      <c r="G211" s="32" t="n">
        <f aca="false">F210</f>
        <v>9913744873</v>
      </c>
      <c r="H211" s="82" t="s">
        <v>3595</v>
      </c>
    </row>
    <row r="212" customFormat="false" ht="36" hidden="false" customHeight="true" outlineLevel="0" collapsed="false">
      <c r="A212" s="84" t="n">
        <v>46170</v>
      </c>
      <c r="B212" s="86" t="n">
        <f aca="false">SUMIF(D_sales!I$5:I$121,A212,D_sales!F$5:F$121)</f>
        <v>0</v>
      </c>
      <c r="C212" s="86" t="n">
        <f aca="false">SUMIF(D_purchases!J$5:J$139,A212,D_purchases!G$5:G$139)</f>
        <v>753844638</v>
      </c>
      <c r="D212" s="87" t="n">
        <v>1500000000</v>
      </c>
      <c r="E212" s="32" t="n">
        <f aca="false">B212-C212-D212</f>
        <v>-2253844638</v>
      </c>
      <c r="F212" s="32" t="n">
        <f aca="false">G212+E212</f>
        <v>7586262547</v>
      </c>
      <c r="G212" s="32" t="n">
        <f aca="false">F211</f>
        <v>9840107185</v>
      </c>
      <c r="H212" s="82" t="s">
        <v>3595</v>
      </c>
    </row>
    <row r="213" customFormat="false" ht="36" hidden="false" customHeight="true" outlineLevel="0" collapsed="false">
      <c r="A213" s="84" t="n">
        <v>46171</v>
      </c>
      <c r="B213" s="86" t="n">
        <f aca="false">SUMIF(D_sales!I$5:I$121,A213,D_sales!F$5:F$121)</f>
        <v>0</v>
      </c>
      <c r="C213" s="86" t="n">
        <f aca="false">SUMIF(D_purchases!J$5:J$139,A213,D_purchases!G$5:G$139)</f>
        <v>0</v>
      </c>
      <c r="D213" s="87" t="n">
        <v>45000000</v>
      </c>
      <c r="E213" s="32" t="n">
        <f aca="false">B213-C213-D213</f>
        <v>-45000000</v>
      </c>
      <c r="F213" s="32" t="n">
        <f aca="false">G213+E213</f>
        <v>7541262547</v>
      </c>
      <c r="G213" s="32" t="n">
        <f aca="false">F212</f>
        <v>7586262547</v>
      </c>
      <c r="H213" s="82" t="s">
        <v>3595</v>
      </c>
    </row>
    <row r="214" customFormat="false" ht="36" hidden="false" customHeight="true" outlineLevel="0" collapsed="false">
      <c r="A214" s="84" t="n">
        <v>46172</v>
      </c>
      <c r="B214" s="86" t="n">
        <f aca="false">SUMIF(D_sales!I$5:I$121,A214,D_sales!F$5:F$121)</f>
        <v>0</v>
      </c>
      <c r="C214" s="86" t="n">
        <f aca="false">SUMIF(D_purchases!J$5:J$139,A214,D_purchases!G$5:G$139)</f>
        <v>0</v>
      </c>
      <c r="D214" s="87" t="n">
        <v>0</v>
      </c>
      <c r="E214" s="32" t="n">
        <f aca="false">B214-C214-D214</f>
        <v>0</v>
      </c>
      <c r="F214" s="32" t="n">
        <f aca="false">G214+E214</f>
        <v>7541262547</v>
      </c>
      <c r="G214" s="32" t="n">
        <f aca="false">F213</f>
        <v>7541262547</v>
      </c>
      <c r="H214" s="82" t="s">
        <v>3595</v>
      </c>
    </row>
    <row r="215" customFormat="false" ht="36" hidden="false" customHeight="true" outlineLevel="0" collapsed="false">
      <c r="A215" s="84" t="n">
        <v>46173</v>
      </c>
      <c r="B215" s="86" t="n">
        <f aca="false">SUMIF(D_sales!I$5:I$121,A215,D_sales!F$5:F$121)</f>
        <v>0</v>
      </c>
      <c r="C215" s="86" t="n">
        <f aca="false">SUMIF(D_purchases!J$5:J$139,A215,D_purchases!G$5:G$139)</f>
        <v>0</v>
      </c>
      <c r="D215" s="87" t="n">
        <v>0</v>
      </c>
      <c r="E215" s="32" t="n">
        <f aca="false">B215-C215-D215</f>
        <v>0</v>
      </c>
      <c r="F215" s="32" t="n">
        <f aca="false">G215+E215</f>
        <v>7541262547</v>
      </c>
      <c r="G215" s="32" t="n">
        <f aca="false">F214</f>
        <v>7541262547</v>
      </c>
      <c r="H215" s="82" t="s">
        <v>3595</v>
      </c>
    </row>
    <row r="216" customFormat="false" ht="36" hidden="false" customHeight="true" outlineLevel="0" collapsed="false">
      <c r="A216" s="84" t="n">
        <v>46174</v>
      </c>
      <c r="B216" s="86" t="n">
        <f aca="false">SUMIF(D_sales!I$5:I$121,A216,D_sales!F$5:F$121)</f>
        <v>0</v>
      </c>
      <c r="C216" s="86" t="n">
        <f aca="false">SUMIF(D_purchases!J$5:J$139,A216,D_purchases!G$5:G$139)</f>
        <v>484369746</v>
      </c>
      <c r="D216" s="87" t="n">
        <v>180000000</v>
      </c>
      <c r="E216" s="32" t="n">
        <f aca="false">B216-C216-D216</f>
        <v>-664369746</v>
      </c>
      <c r="F216" s="32" t="n">
        <f aca="false">G216+E216</f>
        <v>6876892801</v>
      </c>
      <c r="G216" s="32" t="n">
        <f aca="false">F215</f>
        <v>7541262547</v>
      </c>
      <c r="H216" s="82" t="s">
        <v>3595</v>
      </c>
    </row>
    <row r="217" customFormat="false" ht="36" hidden="false" customHeight="true" outlineLevel="0" collapsed="false">
      <c r="A217" s="84" t="n">
        <v>46175</v>
      </c>
      <c r="B217" s="86" t="n">
        <f aca="false">SUMIF(D_sales!I$5:I$121,A217,D_sales!F$5:F$121)</f>
        <v>0</v>
      </c>
      <c r="C217" s="86" t="n">
        <f aca="false">SUMIF(D_purchases!J$5:J$139,A217,D_purchases!G$5:G$139)</f>
        <v>91313562</v>
      </c>
      <c r="D217" s="87" t="n">
        <v>0</v>
      </c>
      <c r="E217" s="32" t="n">
        <f aca="false">B217-C217-D217</f>
        <v>-91313562</v>
      </c>
      <c r="F217" s="32" t="n">
        <f aca="false">G217+E217</f>
        <v>6785579239</v>
      </c>
      <c r="G217" s="32" t="n">
        <f aca="false">F216</f>
        <v>6876892801</v>
      </c>
      <c r="H217" s="82" t="s">
        <v>3595</v>
      </c>
    </row>
    <row r="218" customFormat="false" ht="36" hidden="false" customHeight="true" outlineLevel="0" collapsed="false">
      <c r="A218" s="84" t="n">
        <v>46176</v>
      </c>
      <c r="B218" s="86" t="n">
        <f aca="false">SUMIF(D_sales!I$5:I$121,A218,D_sales!F$5:F$121)</f>
        <v>724938332</v>
      </c>
      <c r="C218" s="86" t="n">
        <f aca="false">SUMIF(D_purchases!J$5:J$139,A218,D_purchases!G$5:G$139)</f>
        <v>735877422</v>
      </c>
      <c r="D218" s="87" t="n">
        <v>0</v>
      </c>
      <c r="E218" s="32" t="n">
        <f aca="false">B218-C218-D218</f>
        <v>-10939090</v>
      </c>
      <c r="F218" s="32" t="n">
        <f aca="false">G218+E218</f>
        <v>6774640149</v>
      </c>
      <c r="G218" s="32" t="n">
        <f aca="false">F217</f>
        <v>6785579239</v>
      </c>
      <c r="H218" s="82" t="s">
        <v>3595</v>
      </c>
    </row>
    <row r="219" customFormat="false" ht="36" hidden="false" customHeight="true" outlineLevel="0" collapsed="false">
      <c r="A219" s="84" t="n">
        <v>46177</v>
      </c>
      <c r="B219" s="86" t="n">
        <f aca="false">SUMIF(D_sales!I$5:I$121,A219,D_sales!F$5:F$121)</f>
        <v>235685885</v>
      </c>
      <c r="C219" s="86" t="n">
        <f aca="false">SUMIF(D_purchases!J$5:J$139,A219,D_purchases!G$5:G$139)</f>
        <v>410823618</v>
      </c>
      <c r="D219" s="87" t="n">
        <v>0</v>
      </c>
      <c r="E219" s="32" t="n">
        <f aca="false">B219-C219-D219</f>
        <v>-175137733</v>
      </c>
      <c r="F219" s="32" t="n">
        <f aca="false">G219+E219</f>
        <v>6599502416</v>
      </c>
      <c r="G219" s="32" t="n">
        <f aca="false">F218</f>
        <v>6774640149</v>
      </c>
      <c r="H219" s="82" t="s">
        <v>3595</v>
      </c>
    </row>
    <row r="220" customFormat="false" ht="36" hidden="false" customHeight="true" outlineLevel="0" collapsed="false">
      <c r="A220" s="84" t="n">
        <v>46178</v>
      </c>
      <c r="B220" s="86" t="n">
        <f aca="false">SUMIF(D_sales!I$5:I$121,A220,D_sales!F$5:F$121)</f>
        <v>643943756</v>
      </c>
      <c r="C220" s="86" t="n">
        <f aca="false">SUMIF(D_purchases!J$5:J$139,A220,D_purchases!G$5:G$139)</f>
        <v>1183650996</v>
      </c>
      <c r="D220" s="87" t="n">
        <v>45000000</v>
      </c>
      <c r="E220" s="32" t="n">
        <f aca="false">B220-C220-D220</f>
        <v>-584707240</v>
      </c>
      <c r="F220" s="32" t="n">
        <f aca="false">G220+E220</f>
        <v>6014795176</v>
      </c>
      <c r="G220" s="32" t="n">
        <f aca="false">F219</f>
        <v>6599502416</v>
      </c>
      <c r="H220" s="82" t="s">
        <v>3595</v>
      </c>
    </row>
    <row r="221" customFormat="false" ht="36" hidden="false" customHeight="true" outlineLevel="0" collapsed="false">
      <c r="A221" s="84" t="n">
        <v>46179</v>
      </c>
      <c r="B221" s="86" t="n">
        <f aca="false">SUMIF(D_sales!I$5:I$121,A221,D_sales!F$5:F$121)</f>
        <v>146087770</v>
      </c>
      <c r="C221" s="86" t="n">
        <f aca="false">SUMIF(D_purchases!J$5:J$139,A221,D_purchases!G$5:G$139)</f>
        <v>0</v>
      </c>
      <c r="D221" s="87" t="n">
        <v>0</v>
      </c>
      <c r="E221" s="32" t="n">
        <f aca="false">B221-C221-D221</f>
        <v>146087770</v>
      </c>
      <c r="F221" s="32" t="n">
        <f aca="false">G221+E221</f>
        <v>6160882946</v>
      </c>
      <c r="G221" s="32" t="n">
        <f aca="false">F220</f>
        <v>6014795176</v>
      </c>
      <c r="H221" s="82" t="s">
        <v>3595</v>
      </c>
    </row>
    <row r="222" customFormat="false" ht="36" hidden="false" customHeight="true" outlineLevel="0" collapsed="false">
      <c r="A222" s="84" t="n">
        <v>46180</v>
      </c>
      <c r="B222" s="86" t="n">
        <f aca="false">SUMIF(D_sales!I$5:I$121,A222,D_sales!F$5:F$121)</f>
        <v>0</v>
      </c>
      <c r="C222" s="86" t="n">
        <f aca="false">SUMIF(D_purchases!J$5:J$139,A222,D_purchases!G$5:G$139)</f>
        <v>0</v>
      </c>
      <c r="D222" s="87" t="n">
        <v>0</v>
      </c>
      <c r="E222" s="32" t="n">
        <f aca="false">B222-C222-D222</f>
        <v>0</v>
      </c>
      <c r="F222" s="32" t="n">
        <f aca="false">G222+E222</f>
        <v>6160882946</v>
      </c>
      <c r="G222" s="32" t="n">
        <f aca="false">F221</f>
        <v>6160882946</v>
      </c>
      <c r="H222" s="82" t="s">
        <v>3595</v>
      </c>
    </row>
    <row r="223" customFormat="false" ht="36" hidden="false" customHeight="true" outlineLevel="0" collapsed="false">
      <c r="A223" s="84" t="n">
        <v>46181</v>
      </c>
      <c r="B223" s="86" t="n">
        <f aca="false">SUMIF(D_sales!I$5:I$121,A223,D_sales!F$5:F$121)</f>
        <v>0</v>
      </c>
      <c r="C223" s="86" t="n">
        <f aca="false">SUMIF(D_purchases!J$5:J$139,A223,D_purchases!G$5:G$139)</f>
        <v>0</v>
      </c>
      <c r="D223" s="87" t="n">
        <v>0</v>
      </c>
      <c r="E223" s="32" t="n">
        <f aca="false">B223-C223-D223</f>
        <v>0</v>
      </c>
      <c r="F223" s="32" t="n">
        <f aca="false">G223+E223</f>
        <v>6160882946</v>
      </c>
      <c r="G223" s="32" t="n">
        <f aca="false">F222</f>
        <v>6160882946</v>
      </c>
      <c r="H223" s="82" t="s">
        <v>3595</v>
      </c>
    </row>
    <row r="224" customFormat="false" ht="36" hidden="false" customHeight="true" outlineLevel="0" collapsed="false">
      <c r="A224" s="84" t="n">
        <v>46182</v>
      </c>
      <c r="B224" s="86" t="n">
        <f aca="false">SUMIF(D_sales!I$5:I$121,A224,D_sales!F$5:F$121)</f>
        <v>0</v>
      </c>
      <c r="C224" s="86" t="n">
        <f aca="false">SUMIF(D_purchases!J$5:J$139,A224,D_purchases!G$5:G$139)</f>
        <v>0</v>
      </c>
      <c r="D224" s="87" t="n">
        <v>0</v>
      </c>
      <c r="E224" s="32" t="n">
        <f aca="false">B224-C224-D224</f>
        <v>0</v>
      </c>
      <c r="F224" s="32" t="n">
        <f aca="false">G224+E224</f>
        <v>6160882946</v>
      </c>
      <c r="G224" s="32" t="n">
        <f aca="false">F223</f>
        <v>6160882946</v>
      </c>
      <c r="H224" s="82" t="s">
        <v>3595</v>
      </c>
    </row>
    <row r="225" customFormat="false" ht="36" hidden="false" customHeight="true" outlineLevel="0" collapsed="false">
      <c r="A225" s="84" t="n">
        <v>46183</v>
      </c>
      <c r="B225" s="86" t="n">
        <f aca="false">SUMIF(D_sales!I$5:I$121,A225,D_sales!F$5:F$121)</f>
        <v>0</v>
      </c>
      <c r="C225" s="86" t="n">
        <f aca="false">SUMIF(D_purchases!J$5:J$139,A225,D_purchases!G$5:G$139)</f>
        <v>0</v>
      </c>
      <c r="D225" s="87" t="n">
        <v>0</v>
      </c>
      <c r="E225" s="32" t="n">
        <f aca="false">B225-C225-D225</f>
        <v>0</v>
      </c>
      <c r="F225" s="32" t="n">
        <f aca="false">G225+E225</f>
        <v>6160882946</v>
      </c>
      <c r="G225" s="32" t="n">
        <f aca="false">F224</f>
        <v>6160882946</v>
      </c>
      <c r="H225" s="82" t="s">
        <v>3595</v>
      </c>
    </row>
    <row r="226" customFormat="false" ht="36" hidden="false" customHeight="true" outlineLevel="0" collapsed="false">
      <c r="A226" s="84" t="n">
        <v>46184</v>
      </c>
      <c r="B226" s="86" t="n">
        <f aca="false">SUMIF(D_sales!I$5:I$121,A226,D_sales!F$5:F$121)</f>
        <v>0</v>
      </c>
      <c r="C226" s="86" t="n">
        <f aca="false">SUMIF(D_purchases!J$5:J$139,A226,D_purchases!G$5:G$139)</f>
        <v>1597129944</v>
      </c>
      <c r="D226" s="87" t="n">
        <v>0</v>
      </c>
      <c r="E226" s="32" t="n">
        <f aca="false">B226-C226-D226</f>
        <v>-1597129944</v>
      </c>
      <c r="F226" s="32" t="n">
        <f aca="false">G226+E226</f>
        <v>4563753002</v>
      </c>
      <c r="G226" s="32" t="n">
        <f aca="false">F225</f>
        <v>6160882946</v>
      </c>
      <c r="H226" s="82" t="s">
        <v>3595</v>
      </c>
    </row>
    <row r="227" customFormat="false" ht="36" hidden="false" customHeight="true" outlineLevel="0" collapsed="false">
      <c r="A227" s="84" t="n">
        <v>46185</v>
      </c>
      <c r="B227" s="86" t="n">
        <f aca="false">SUMIF(D_sales!I$5:I$121,A227,D_sales!F$5:F$121)</f>
        <v>548321567</v>
      </c>
      <c r="C227" s="86" t="n">
        <f aca="false">SUMIF(D_purchases!J$5:J$139,A227,D_purchases!G$5:G$139)</f>
        <v>557836788</v>
      </c>
      <c r="D227" s="87" t="n">
        <v>45000000</v>
      </c>
      <c r="E227" s="32" t="n">
        <f aca="false">B227-C227-D227</f>
        <v>-54515221</v>
      </c>
      <c r="F227" s="32" t="n">
        <f aca="false">G227+E227</f>
        <v>4509237781</v>
      </c>
      <c r="G227" s="32" t="n">
        <f aca="false">F226</f>
        <v>4563753002</v>
      </c>
      <c r="H227" s="82" t="s">
        <v>3595</v>
      </c>
    </row>
    <row r="228" customFormat="false" ht="36" hidden="false" customHeight="true" outlineLevel="0" collapsed="false">
      <c r="A228" s="84" t="n">
        <v>46186</v>
      </c>
      <c r="B228" s="86" t="n">
        <f aca="false">SUMIF(D_sales!I$5:I$121,A228,D_sales!F$5:F$121)</f>
        <v>0</v>
      </c>
      <c r="C228" s="86" t="n">
        <f aca="false">SUMIF(D_purchases!J$5:J$139,A228,D_purchases!G$5:G$139)</f>
        <v>393052020</v>
      </c>
      <c r="D228" s="87" t="n">
        <v>0</v>
      </c>
      <c r="E228" s="32" t="n">
        <f aca="false">B228-C228-D228</f>
        <v>-393052020</v>
      </c>
      <c r="F228" s="32" t="n">
        <f aca="false">G228+E228</f>
        <v>4116185761</v>
      </c>
      <c r="G228" s="32" t="n">
        <f aca="false">F227</f>
        <v>4509237781</v>
      </c>
      <c r="H228" s="82" t="s">
        <v>3595</v>
      </c>
    </row>
    <row r="229" customFormat="false" ht="36" hidden="false" customHeight="true" outlineLevel="0" collapsed="false">
      <c r="A229" s="84" t="n">
        <v>46187</v>
      </c>
      <c r="B229" s="86" t="n">
        <f aca="false">SUMIF(D_sales!I$5:I$121,A229,D_sales!F$5:F$121)</f>
        <v>0</v>
      </c>
      <c r="C229" s="86" t="n">
        <f aca="false">SUMIF(D_purchases!J$5:J$139,A229,D_purchases!G$5:G$139)</f>
        <v>0</v>
      </c>
      <c r="D229" s="87" t="n">
        <v>0</v>
      </c>
      <c r="E229" s="32" t="n">
        <f aca="false">B229-C229-D229</f>
        <v>0</v>
      </c>
      <c r="F229" s="32" t="n">
        <f aca="false">G229+E229</f>
        <v>4116185761</v>
      </c>
      <c r="G229" s="32" t="n">
        <f aca="false">F228</f>
        <v>4116185761</v>
      </c>
      <c r="H229" s="82" t="s">
        <v>3595</v>
      </c>
    </row>
    <row r="230" customFormat="false" ht="36" hidden="false" customHeight="true" outlineLevel="0" collapsed="false">
      <c r="A230" s="84" t="n">
        <v>46188</v>
      </c>
      <c r="B230" s="86" t="n">
        <f aca="false">SUMIF(D_sales!I$5:I$121,A230,D_sales!F$5:F$121)</f>
        <v>0</v>
      </c>
      <c r="C230" s="86" t="n">
        <f aca="false">SUMIF(D_purchases!J$5:J$139,A230,D_purchases!G$5:G$139)</f>
        <v>490163202</v>
      </c>
      <c r="D230" s="87" t="n">
        <v>0</v>
      </c>
      <c r="E230" s="32" t="n">
        <f aca="false">B230-C230-D230</f>
        <v>-490163202</v>
      </c>
      <c r="F230" s="32" t="n">
        <f aca="false">G230+E230</f>
        <v>3626022559</v>
      </c>
      <c r="G230" s="32" t="n">
        <f aca="false">F229</f>
        <v>4116185761</v>
      </c>
      <c r="H230" s="82" t="s">
        <v>3595</v>
      </c>
    </row>
    <row r="231" customFormat="false" ht="36" hidden="false" customHeight="true" outlineLevel="0" collapsed="false">
      <c r="A231" s="84" t="n">
        <v>46189</v>
      </c>
      <c r="B231" s="86" t="n">
        <f aca="false">SUMIF(D_sales!I$5:I$121,A231,D_sales!F$5:F$121)</f>
        <v>0</v>
      </c>
      <c r="C231" s="86" t="n">
        <f aca="false">SUMIF(D_purchases!J$5:J$139,A231,D_purchases!G$5:G$139)</f>
        <v>1126286598</v>
      </c>
      <c r="D231" s="87" t="n">
        <v>0</v>
      </c>
      <c r="E231" s="32" t="n">
        <f aca="false">B231-C231-D231</f>
        <v>-1126286598</v>
      </c>
      <c r="F231" s="32" t="n">
        <f aca="false">G231+E231</f>
        <v>2499735961</v>
      </c>
      <c r="G231" s="32" t="n">
        <f aca="false">F230</f>
        <v>3626022559</v>
      </c>
      <c r="H231" s="82" t="s">
        <v>3595</v>
      </c>
    </row>
    <row r="232" customFormat="false" ht="36" hidden="false" customHeight="true" outlineLevel="0" collapsed="false">
      <c r="A232" s="84" t="n">
        <v>46190</v>
      </c>
      <c r="B232" s="86" t="n">
        <f aca="false">SUMIF(D_sales!I$5:I$121,A232,D_sales!F$5:F$121)</f>
        <v>1564279789</v>
      </c>
      <c r="C232" s="86" t="n">
        <f aca="false">SUMIF(D_purchases!J$5:J$139,A232,D_purchases!G$5:G$139)</f>
        <v>0</v>
      </c>
      <c r="D232" s="87" t="n">
        <v>0</v>
      </c>
      <c r="E232" s="32" t="n">
        <f aca="false">B232-C232-D232</f>
        <v>1564279789</v>
      </c>
      <c r="F232" s="32" t="n">
        <f aca="false">G232+E232</f>
        <v>4064015750</v>
      </c>
      <c r="G232" s="32" t="n">
        <f aca="false">F231</f>
        <v>2499735961</v>
      </c>
      <c r="H232" s="82" t="s">
        <v>3595</v>
      </c>
    </row>
    <row r="233" customFormat="false" ht="36" hidden="false" customHeight="true" outlineLevel="0" collapsed="false">
      <c r="A233" s="84" t="n">
        <v>46191</v>
      </c>
      <c r="B233" s="86" t="n">
        <f aca="false">SUMIF(D_sales!I$5:I$121,A233,D_sales!F$5:F$121)</f>
        <v>780984250</v>
      </c>
      <c r="C233" s="86" t="n">
        <f aca="false">SUMIF(D_purchases!J$5:J$139,A233,D_purchases!G$5:G$139)</f>
        <v>0</v>
      </c>
      <c r="D233" s="87" t="n">
        <v>0</v>
      </c>
      <c r="E233" s="32" t="n">
        <f aca="false">B233-C233-D233</f>
        <v>780984250</v>
      </c>
      <c r="F233" s="32" t="n">
        <f aca="false">G233+E233</f>
        <v>4845000000</v>
      </c>
      <c r="G233" s="32" t="n">
        <f aca="false">F232</f>
        <v>4064015750</v>
      </c>
      <c r="H233" s="82" t="s">
        <v>3595</v>
      </c>
    </row>
    <row r="234" customFormat="false" ht="36" hidden="false" customHeight="true" outlineLevel="0" collapsed="false">
      <c r="A234" s="84" t="n">
        <v>46192</v>
      </c>
      <c r="B234" s="86" t="n">
        <f aca="false">SUMIF(D_sales!I$5:I$121,A234,D_sales!F$5:F$121)</f>
        <v>0</v>
      </c>
      <c r="C234" s="86" t="n">
        <f aca="false">SUMIF(D_purchases!J$5:J$139,A234,D_purchases!G$5:G$139)</f>
        <v>0</v>
      </c>
      <c r="D234" s="87" t="n">
        <v>45000000</v>
      </c>
      <c r="E234" s="32" t="n">
        <f aca="false">B234-C234-D234</f>
        <v>-45000000</v>
      </c>
      <c r="F234" s="32" t="n">
        <f aca="false">G234+E234</f>
        <v>4800000000</v>
      </c>
      <c r="G234" s="32" t="n">
        <f aca="false">F233</f>
        <v>4845000000</v>
      </c>
      <c r="H234" s="82" t="s">
        <v>3595</v>
      </c>
    </row>
    <row r="235" customFormat="false" ht="36" hidden="false" customHeight="true" outlineLevel="0" collapsed="false">
      <c r="A235" s="84" t="n">
        <v>46193</v>
      </c>
      <c r="B235" s="86" t="n">
        <f aca="false">SUMIF(D_sales!I$5:I$121,A235,D_sales!F$5:F$121)</f>
        <v>0</v>
      </c>
      <c r="C235" s="86" t="n">
        <f aca="false">SUMIF(D_purchases!J$5:J$139,A235,D_purchases!G$5:G$139)</f>
        <v>0</v>
      </c>
      <c r="D235" s="87" t="n">
        <v>0</v>
      </c>
      <c r="E235" s="32" t="n">
        <f aca="false">B235-C235-D235</f>
        <v>0</v>
      </c>
      <c r="F235" s="32" t="n">
        <f aca="false">G235+E235</f>
        <v>4800000000</v>
      </c>
      <c r="G235" s="32" t="n">
        <f aca="false">F234</f>
        <v>4800000000</v>
      </c>
      <c r="H235" s="82" t="s">
        <v>3595</v>
      </c>
    </row>
    <row r="236" customFormat="false" ht="23.85" hidden="false" customHeight="false" outlineLevel="0" collapsed="false">
      <c r="A236" s="84" t="n">
        <v>46194</v>
      </c>
      <c r="B236" s="86" t="n">
        <f aca="false">SUMIF(D_sales!I$5:I$121,A236,D_sales!F$5:F$121)</f>
        <v>0</v>
      </c>
      <c r="C236" s="86" t="n">
        <f aca="false">SUMIF(D_purchases!J$5:J$139,A236,D_purchases!G$5:G$139)</f>
        <v>0</v>
      </c>
      <c r="D236" s="87" t="n">
        <v>0</v>
      </c>
      <c r="E236" s="32" t="n">
        <f aca="false">B236-C236-D236</f>
        <v>0</v>
      </c>
      <c r="F236" s="32" t="n">
        <f aca="false">G236+E236</f>
        <v>4800000000</v>
      </c>
      <c r="G236" s="32" t="n">
        <f aca="false">F235</f>
        <v>4800000000</v>
      </c>
      <c r="H236" s="82" t="s">
        <v>3595</v>
      </c>
    </row>
    <row r="237" customFormat="false" ht="23.85" hidden="false" customHeight="false" outlineLevel="0" collapsed="false">
      <c r="A237" s="84" t="n">
        <v>46195</v>
      </c>
      <c r="B237" s="86" t="n">
        <f aca="false">SUMIF(D_sales!I$5:I$121,A237,D_sales!F$5:F$121)</f>
        <v>686281337</v>
      </c>
      <c r="C237" s="86" t="n">
        <f aca="false">SUMIF(D_purchases!J$5:J$139,A237,D_purchases!G$5:G$139)</f>
        <v>160768470</v>
      </c>
      <c r="D237" s="87" t="n">
        <v>0</v>
      </c>
      <c r="E237" s="32" t="n">
        <f aca="false">B237-C237-D237</f>
        <v>525512867</v>
      </c>
      <c r="F237" s="32" t="n">
        <f aca="false">G237+E237</f>
        <v>5325512867</v>
      </c>
      <c r="G237" s="32" t="n">
        <f aca="false">F236</f>
        <v>4800000000</v>
      </c>
      <c r="H237" s="82" t="s">
        <v>3595</v>
      </c>
    </row>
    <row r="238" customFormat="false" ht="23.85" hidden="false" customHeight="false" outlineLevel="0" collapsed="false">
      <c r="A238" s="84" t="n">
        <v>46196</v>
      </c>
      <c r="B238" s="86" t="n">
        <f aca="false">SUMIF(D_sales!I$5:I$121,A238,D_sales!F$5:F$121)</f>
        <v>0</v>
      </c>
      <c r="C238" s="86" t="n">
        <f aca="false">SUMIF(D_purchases!J$5:J$139,A238,D_purchases!G$5:G$139)</f>
        <v>0</v>
      </c>
      <c r="D238" s="87" t="n">
        <v>0</v>
      </c>
      <c r="E238" s="32" t="n">
        <f aca="false">B238-C238-D238</f>
        <v>0</v>
      </c>
      <c r="F238" s="32" t="n">
        <f aca="false">G238+E238</f>
        <v>5325512867</v>
      </c>
      <c r="G238" s="32" t="n">
        <f aca="false">F237</f>
        <v>5325512867</v>
      </c>
      <c r="H238" s="82" t="s">
        <v>3595</v>
      </c>
    </row>
    <row r="239" customFormat="false" ht="23.85" hidden="false" customHeight="false" outlineLevel="0" collapsed="false">
      <c r="A239" s="84" t="n">
        <v>46197</v>
      </c>
      <c r="B239" s="86" t="n">
        <f aca="false">SUMIF(D_sales!I$5:I$121,A239,D_sales!F$5:F$121)</f>
        <v>988554923</v>
      </c>
      <c r="C239" s="86" t="n">
        <f aca="false">SUMIF(D_purchases!J$5:J$139,A239,D_purchases!G$5:G$139)</f>
        <v>0</v>
      </c>
      <c r="D239" s="87" t="n">
        <v>0</v>
      </c>
      <c r="E239" s="32" t="n">
        <f aca="false">B239-C239-D239</f>
        <v>988554923</v>
      </c>
      <c r="F239" s="32" t="n">
        <f aca="false">G239+E239</f>
        <v>6314067790</v>
      </c>
      <c r="G239" s="32" t="n">
        <f aca="false">F238</f>
        <v>5325512867</v>
      </c>
      <c r="H239" s="82" t="s">
        <v>3595</v>
      </c>
    </row>
    <row r="240" customFormat="false" ht="23.85" hidden="false" customHeight="false" outlineLevel="0" collapsed="false">
      <c r="A240" s="84" t="n">
        <v>46198</v>
      </c>
      <c r="B240" s="86" t="n">
        <f aca="false">SUMIF(D_sales!I$5:I$121,A240,D_sales!F$5:F$121)</f>
        <v>410108918</v>
      </c>
      <c r="C240" s="86" t="n">
        <f aca="false">SUMIF(D_purchases!J$5:J$139,A240,D_purchases!G$5:G$139)</f>
        <v>175148064</v>
      </c>
      <c r="D240" s="87" t="n">
        <v>0</v>
      </c>
      <c r="E240" s="32" t="n">
        <f aca="false">B240-C240-D240</f>
        <v>234960854</v>
      </c>
      <c r="F240" s="32" t="n">
        <f aca="false">G240+E240</f>
        <v>6549028644</v>
      </c>
      <c r="G240" s="32" t="n">
        <f aca="false">F239</f>
        <v>6314067790</v>
      </c>
      <c r="H240" s="82" t="s">
        <v>3595</v>
      </c>
    </row>
    <row r="241" customFormat="false" ht="23.85" hidden="false" customHeight="false" outlineLevel="0" collapsed="false">
      <c r="A241" s="84" t="n">
        <v>46199</v>
      </c>
      <c r="B241" s="86" t="n">
        <f aca="false">SUMIF(D_sales!I$5:I$121,A241,D_sales!F$5:F$121)</f>
        <v>872426893</v>
      </c>
      <c r="C241" s="86" t="n">
        <f aca="false">SUMIF(D_purchases!J$5:J$139,A241,D_purchases!G$5:G$139)</f>
        <v>257401026</v>
      </c>
      <c r="D241" s="87" t="n">
        <v>45000000</v>
      </c>
      <c r="E241" s="32" t="n">
        <f aca="false">B241-C241-D241</f>
        <v>570025867</v>
      </c>
      <c r="F241" s="32" t="n">
        <f aca="false">G241+E241</f>
        <v>7119054511</v>
      </c>
      <c r="G241" s="32" t="n">
        <f aca="false">F240</f>
        <v>6549028644</v>
      </c>
      <c r="H241" s="82" t="s">
        <v>3595</v>
      </c>
    </row>
    <row r="242" customFormat="false" ht="23.85" hidden="false" customHeight="false" outlineLevel="0" collapsed="false">
      <c r="A242" s="84" t="n">
        <v>46200</v>
      </c>
      <c r="B242" s="86" t="n">
        <f aca="false">SUMIF(D_sales!I$5:I$121,A242,D_sales!F$5:F$121)</f>
        <v>0</v>
      </c>
      <c r="C242" s="86" t="n">
        <f aca="false">SUMIF(D_purchases!J$5:J$139,A242,D_purchases!G$5:G$139)</f>
        <v>321258090</v>
      </c>
      <c r="D242" s="87" t="n">
        <v>0</v>
      </c>
      <c r="E242" s="32" t="n">
        <f aca="false">B242-C242-D242</f>
        <v>-321258090</v>
      </c>
      <c r="F242" s="32" t="n">
        <f aca="false">G242+E242</f>
        <v>6797796421</v>
      </c>
      <c r="G242" s="32" t="n">
        <f aca="false">F241</f>
        <v>7119054511</v>
      </c>
      <c r="H242" s="82" t="s">
        <v>3595</v>
      </c>
    </row>
    <row r="243" customFormat="false" ht="23.85" hidden="false" customHeight="false" outlineLevel="0" collapsed="false">
      <c r="A243" s="84" t="n">
        <v>46201</v>
      </c>
      <c r="B243" s="86" t="n">
        <f aca="false">SUMIF(D_sales!I$5:I$121,A243,D_sales!F$5:F$121)</f>
        <v>0</v>
      </c>
      <c r="C243" s="86" t="n">
        <f aca="false">SUMIF(D_purchases!J$5:J$139,A243,D_purchases!G$5:G$139)</f>
        <v>219660306</v>
      </c>
      <c r="D243" s="87" t="n">
        <v>1500000000</v>
      </c>
      <c r="E243" s="32" t="n">
        <f aca="false">B243-C243-D243</f>
        <v>-1719660306</v>
      </c>
      <c r="F243" s="32" t="n">
        <f aca="false">G243+E243</f>
        <v>5078136115</v>
      </c>
      <c r="G243" s="32" t="n">
        <f aca="false">F242</f>
        <v>6797796421</v>
      </c>
      <c r="H243" s="82" t="s">
        <v>3595</v>
      </c>
    </row>
    <row r="244" customFormat="false" ht="23.85" hidden="false" customHeight="false" outlineLevel="0" collapsed="false">
      <c r="A244" s="84" t="n">
        <v>46202</v>
      </c>
      <c r="B244" s="86" t="n">
        <f aca="false">SUMIF(D_sales!I$5:I$121,A244,D_sales!F$5:F$121)</f>
        <v>0</v>
      </c>
      <c r="C244" s="86" t="n">
        <f aca="false">SUMIF(D_purchases!J$5:J$139,A244,D_purchases!G$5:G$139)</f>
        <v>516674934</v>
      </c>
      <c r="D244" s="87" t="n">
        <v>0</v>
      </c>
      <c r="E244" s="32" t="n">
        <f aca="false">B244-C244-D244</f>
        <v>-516674934</v>
      </c>
      <c r="F244" s="32" t="n">
        <f aca="false">G244+E244</f>
        <v>4561461181</v>
      </c>
      <c r="G244" s="32" t="n">
        <f aca="false">F243</f>
        <v>5078136115</v>
      </c>
      <c r="H244" s="82" t="s">
        <v>3595</v>
      </c>
    </row>
    <row r="245" customFormat="false" ht="23.85" hidden="false" customHeight="false" outlineLevel="0" collapsed="false">
      <c r="A245" s="84" t="n">
        <v>46203</v>
      </c>
      <c r="B245" s="86" t="n">
        <f aca="false">SUMIF(D_sales!I$5:I$121,A245,D_sales!F$5:F$121)</f>
        <v>147988390</v>
      </c>
      <c r="C245" s="86" t="n">
        <f aca="false">SUMIF(D_purchases!J$5:J$139,A245,D_purchases!G$5:G$139)</f>
        <v>307523598</v>
      </c>
      <c r="D245" s="87" t="n">
        <v>0</v>
      </c>
      <c r="E245" s="32" t="n">
        <f aca="false">B245-C245-D245</f>
        <v>-159535208</v>
      </c>
      <c r="F245" s="32" t="n">
        <f aca="false">G245+E245</f>
        <v>4401925973</v>
      </c>
      <c r="G245" s="32" t="n">
        <f aca="false">F244</f>
        <v>4561461181</v>
      </c>
      <c r="H245" s="82" t="s">
        <v>3595</v>
      </c>
    </row>
  </sheetData>
  <mergeCells count="2">
    <mergeCell ref="A47:H48"/>
    <mergeCell ref="A55:H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38" activePane="bottomLeft" state="frozen"/>
      <selection pane="topLeft" activeCell="A1" activeCellId="0" sqref="A1"/>
      <selection pane="bottomLeft" activeCell="A1" activeCellId="0" sqref="A1"/>
    </sheetView>
  </sheetViews>
  <sheetFormatPr defaultColWidth="8.6796875" defaultRowHeight="13.5" zeroHeight="false" outlineLevelRow="0" outlineLevelCol="0"/>
  <cols>
    <col collapsed="false" customWidth="true" hidden="false" outlineLevel="0" max="1" min="1" style="0" width="18"/>
    <col collapsed="false" customWidth="true" hidden="false" outlineLevel="0" max="2" min="2" style="0" width="55"/>
    <col collapsed="false" customWidth="true" hidden="false" outlineLevel="0" max="3" min="3" style="0" width="27"/>
    <col collapsed="false" customWidth="true" hidden="false" outlineLevel="0" max="4" min="4" style="0" width="106"/>
  </cols>
  <sheetData>
    <row r="2" customFormat="false" ht="17.25" hidden="false" customHeight="true" outlineLevel="0" collapsed="false">
      <c r="A2" s="1" t="s">
        <v>3596</v>
      </c>
    </row>
    <row r="4" customFormat="false" ht="33.75" hidden="false" customHeight="true" outlineLevel="0" collapsed="false">
      <c r="A4" s="2" t="s">
        <v>3597</v>
      </c>
      <c r="B4" s="2" t="s">
        <v>3598</v>
      </c>
      <c r="C4" s="2" t="s">
        <v>3599</v>
      </c>
      <c r="D4" s="2" t="s">
        <v>3600</v>
      </c>
    </row>
    <row r="5" customFormat="false" ht="39.75" hidden="false" customHeight="true" outlineLevel="0" collapsed="false">
      <c r="A5" s="3" t="s">
        <v>3601</v>
      </c>
      <c r="B5" s="3" t="s">
        <v>3602</v>
      </c>
      <c r="C5" s="3" t="s">
        <v>3603</v>
      </c>
      <c r="D5" s="3" t="s">
        <v>3604</v>
      </c>
    </row>
    <row r="6" customFormat="false" ht="25.5" hidden="false" customHeight="true" outlineLevel="0" collapsed="false">
      <c r="A6" s="4" t="s">
        <v>3601</v>
      </c>
      <c r="B6" s="4" t="s">
        <v>3605</v>
      </c>
      <c r="C6" s="4" t="s">
        <v>3606</v>
      </c>
      <c r="D6" s="4" t="s">
        <v>3607</v>
      </c>
    </row>
    <row r="7" customFormat="false" ht="25.5" hidden="false" customHeight="true" outlineLevel="0" collapsed="false">
      <c r="A7" s="3" t="s">
        <v>3601</v>
      </c>
      <c r="B7" s="3" t="s">
        <v>3608</v>
      </c>
      <c r="C7" s="3" t="s">
        <v>3609</v>
      </c>
      <c r="D7" s="3" t="s">
        <v>3610</v>
      </c>
    </row>
    <row r="8" customFormat="false" ht="25.5" hidden="false" customHeight="true" outlineLevel="0" collapsed="false">
      <c r="A8" s="4" t="s">
        <v>3611</v>
      </c>
      <c r="B8" s="4" t="s">
        <v>3612</v>
      </c>
      <c r="C8" s="4" t="s">
        <v>3613</v>
      </c>
      <c r="D8" s="4" t="s">
        <v>3614</v>
      </c>
    </row>
    <row r="9" customFormat="false" ht="25.5" hidden="false" customHeight="true" outlineLevel="0" collapsed="false">
      <c r="A9" s="3" t="s">
        <v>3611</v>
      </c>
      <c r="B9" s="3" t="s">
        <v>3615</v>
      </c>
      <c r="C9" s="3" t="s">
        <v>170</v>
      </c>
      <c r="D9" s="3" t="s">
        <v>3616</v>
      </c>
    </row>
    <row r="10" customFormat="false" ht="25.5" hidden="false" customHeight="true" outlineLevel="0" collapsed="false">
      <c r="A10" s="4" t="s">
        <v>3611</v>
      </c>
      <c r="B10" s="4" t="s">
        <v>3617</v>
      </c>
      <c r="C10" s="4" t="s">
        <v>279</v>
      </c>
      <c r="D10" s="4" t="s">
        <v>3618</v>
      </c>
    </row>
    <row r="11" customFormat="false" ht="37.5" hidden="false" customHeight="true" outlineLevel="0" collapsed="false">
      <c r="A11" s="3" t="s">
        <v>3611</v>
      </c>
      <c r="B11" s="3" t="s">
        <v>3619</v>
      </c>
      <c r="C11" s="3" t="s">
        <v>3620</v>
      </c>
      <c r="D11" s="3" t="s">
        <v>3621</v>
      </c>
    </row>
    <row r="12" customFormat="false" ht="25.5" hidden="false" customHeight="true" outlineLevel="0" collapsed="false">
      <c r="A12" s="4" t="s">
        <v>3611</v>
      </c>
      <c r="B12" s="4" t="s">
        <v>3622</v>
      </c>
      <c r="C12" s="4" t="s">
        <v>3623</v>
      </c>
      <c r="D12" s="4" t="s">
        <v>3624</v>
      </c>
    </row>
    <row r="13" customFormat="false" ht="39.75" hidden="false" customHeight="true" outlineLevel="0" collapsed="false">
      <c r="A13" s="3" t="s">
        <v>3611</v>
      </c>
      <c r="B13" s="3" t="s">
        <v>3625</v>
      </c>
      <c r="C13" s="3" t="s">
        <v>3609</v>
      </c>
      <c r="D13" s="3" t="s">
        <v>3626</v>
      </c>
    </row>
    <row r="14" customFormat="false" ht="39.75" hidden="false" customHeight="true" outlineLevel="0" collapsed="false">
      <c r="A14" s="4" t="s">
        <v>3611</v>
      </c>
      <c r="B14" s="4" t="s">
        <v>3627</v>
      </c>
      <c r="C14" s="4" t="s">
        <v>3609</v>
      </c>
      <c r="D14" s="4" t="s">
        <v>3628</v>
      </c>
    </row>
    <row r="15" customFormat="false" ht="39.75" hidden="false" customHeight="true" outlineLevel="0" collapsed="false">
      <c r="A15" s="3" t="s">
        <v>3611</v>
      </c>
      <c r="B15" s="3" t="s">
        <v>3629</v>
      </c>
      <c r="C15" s="3" t="s">
        <v>3609</v>
      </c>
      <c r="D15" s="3" t="s">
        <v>3630</v>
      </c>
    </row>
    <row r="16" customFormat="false" ht="25.5" hidden="false" customHeight="true" outlineLevel="0" collapsed="false">
      <c r="A16" s="4" t="s">
        <v>3611</v>
      </c>
      <c r="B16" s="4" t="s">
        <v>3631</v>
      </c>
      <c r="C16" s="4" t="s">
        <v>3609</v>
      </c>
      <c r="D16" s="4" t="s">
        <v>3632</v>
      </c>
    </row>
    <row r="17" customFormat="false" ht="25.5" hidden="false" customHeight="true" outlineLevel="0" collapsed="false">
      <c r="A17" s="3" t="s">
        <v>3611</v>
      </c>
      <c r="B17" s="3" t="s">
        <v>3633</v>
      </c>
      <c r="C17" s="3" t="s">
        <v>3634</v>
      </c>
      <c r="D17" s="3" t="s">
        <v>3635</v>
      </c>
    </row>
    <row r="18" customFormat="false" ht="25.5" hidden="false" customHeight="true" outlineLevel="0" collapsed="false">
      <c r="A18" s="4" t="s">
        <v>3636</v>
      </c>
      <c r="B18" s="4" t="s">
        <v>3637</v>
      </c>
      <c r="C18" s="4" t="s">
        <v>3638</v>
      </c>
      <c r="D18" s="4" t="s">
        <v>3639</v>
      </c>
    </row>
    <row r="19" customFormat="false" ht="37.5" hidden="false" customHeight="true" outlineLevel="0" collapsed="false">
      <c r="A19" s="3" t="s">
        <v>3636</v>
      </c>
      <c r="B19" s="3" t="s">
        <v>3640</v>
      </c>
      <c r="C19" s="3" t="s">
        <v>3641</v>
      </c>
      <c r="D19" s="3" t="s">
        <v>3642</v>
      </c>
    </row>
    <row r="20" customFormat="false" ht="39.75" hidden="false" customHeight="true" outlineLevel="0" collapsed="false">
      <c r="A20" s="4" t="s">
        <v>3636</v>
      </c>
      <c r="B20" s="4" t="s">
        <v>3643</v>
      </c>
      <c r="C20" s="4" t="s">
        <v>3609</v>
      </c>
      <c r="D20" s="4" t="s">
        <v>3644</v>
      </c>
    </row>
    <row r="21" customFormat="false" ht="25.5" hidden="false" customHeight="true" outlineLevel="0" collapsed="false">
      <c r="A21" s="3" t="s">
        <v>3636</v>
      </c>
      <c r="B21" s="3" t="s">
        <v>3645</v>
      </c>
      <c r="C21" s="3" t="s">
        <v>3609</v>
      </c>
      <c r="D21" s="3" t="s">
        <v>3646</v>
      </c>
    </row>
    <row r="22" customFormat="false" ht="39.75" hidden="false" customHeight="true" outlineLevel="0" collapsed="false">
      <c r="A22" s="4" t="s">
        <v>3636</v>
      </c>
      <c r="B22" s="4" t="s">
        <v>3647</v>
      </c>
      <c r="C22" s="4" t="s">
        <v>3648</v>
      </c>
      <c r="D22" s="4" t="s">
        <v>3649</v>
      </c>
    </row>
    <row r="23" customFormat="false" ht="25.5" hidden="false" customHeight="true" outlineLevel="0" collapsed="false">
      <c r="A23" s="3" t="s">
        <v>3636</v>
      </c>
      <c r="B23" s="3" t="s">
        <v>3650</v>
      </c>
      <c r="C23" s="3" t="s">
        <v>170</v>
      </c>
      <c r="D23" s="3" t="s">
        <v>3651</v>
      </c>
    </row>
    <row r="24" customFormat="false" ht="25.5" hidden="false" customHeight="true" outlineLevel="0" collapsed="false">
      <c r="A24" s="4" t="s">
        <v>3636</v>
      </c>
      <c r="B24" s="4" t="s">
        <v>3652</v>
      </c>
      <c r="C24" s="4" t="s">
        <v>3609</v>
      </c>
      <c r="D24" s="4" t="s">
        <v>3653</v>
      </c>
    </row>
    <row r="25" customFormat="false" ht="25.5" hidden="false" customHeight="true" outlineLevel="0" collapsed="false">
      <c r="A25" s="3" t="s">
        <v>3636</v>
      </c>
      <c r="B25" s="3" t="s">
        <v>3654</v>
      </c>
      <c r="C25" s="3" t="s">
        <v>3609</v>
      </c>
      <c r="D25" s="3" t="s">
        <v>3655</v>
      </c>
    </row>
    <row r="26" customFormat="false" ht="37.5" hidden="false" customHeight="true" outlineLevel="0" collapsed="false">
      <c r="A26" s="4" t="s">
        <v>3636</v>
      </c>
      <c r="B26" s="4" t="s">
        <v>3656</v>
      </c>
      <c r="C26" s="4" t="s">
        <v>3657</v>
      </c>
      <c r="D26" s="4" t="s">
        <v>3658</v>
      </c>
    </row>
    <row r="27" customFormat="false" ht="25.5" hidden="false" customHeight="true" outlineLevel="0" collapsed="false">
      <c r="A27" s="3" t="s">
        <v>3636</v>
      </c>
      <c r="B27" s="3" t="s">
        <v>3633</v>
      </c>
      <c r="C27" s="3" t="s">
        <v>3634</v>
      </c>
      <c r="D27" s="3" t="s">
        <v>3659</v>
      </c>
    </row>
    <row r="28" customFormat="false" ht="39.75" hidden="false" customHeight="true" outlineLevel="0" collapsed="false">
      <c r="A28" s="4" t="s">
        <v>3636</v>
      </c>
      <c r="B28" s="4" t="s">
        <v>3660</v>
      </c>
      <c r="C28" s="4" t="s">
        <v>3620</v>
      </c>
      <c r="D28" s="4" t="s">
        <v>3661</v>
      </c>
    </row>
    <row r="29" customFormat="false" ht="51.75" hidden="false" customHeight="true" outlineLevel="0" collapsed="false">
      <c r="A29" s="3" t="s">
        <v>3662</v>
      </c>
      <c r="B29" s="3" t="s">
        <v>3663</v>
      </c>
      <c r="C29" s="3" t="s">
        <v>3664</v>
      </c>
      <c r="D29" s="3" t="s">
        <v>3665</v>
      </c>
    </row>
    <row r="30" customFormat="false" ht="39.75" hidden="false" customHeight="true" outlineLevel="0" collapsed="false">
      <c r="A30" s="4" t="s">
        <v>3662</v>
      </c>
      <c r="B30" s="4" t="s">
        <v>3666</v>
      </c>
      <c r="C30" s="4" t="s">
        <v>3667</v>
      </c>
      <c r="D30" s="4" t="s">
        <v>3668</v>
      </c>
    </row>
    <row r="31" customFormat="false" ht="47.25" hidden="false" customHeight="true" outlineLevel="0" collapsed="false">
      <c r="A31" s="3" t="s">
        <v>3662</v>
      </c>
      <c r="B31" s="3" t="s">
        <v>3669</v>
      </c>
      <c r="C31" s="3" t="s">
        <v>3609</v>
      </c>
      <c r="D31" s="3" t="s">
        <v>3670</v>
      </c>
    </row>
    <row r="32" customFormat="false" ht="47.25" hidden="false" customHeight="true" outlineLevel="0" collapsed="false">
      <c r="A32" s="4" t="s">
        <v>3662</v>
      </c>
      <c r="B32" s="4" t="s">
        <v>3671</v>
      </c>
      <c r="C32" s="4" t="s">
        <v>3672</v>
      </c>
      <c r="D32" s="4" t="s">
        <v>3673</v>
      </c>
    </row>
    <row r="33" customFormat="false" ht="33.75" hidden="false" customHeight="true" outlineLevel="0" collapsed="false">
      <c r="A33" s="2" t="s">
        <v>3597</v>
      </c>
      <c r="B33" s="2" t="s">
        <v>3674</v>
      </c>
      <c r="C33" s="2" t="s">
        <v>3675</v>
      </c>
      <c r="D33" s="2" t="s">
        <v>1566</v>
      </c>
    </row>
    <row r="34" customFormat="false" ht="99.75" hidden="false" customHeight="true" outlineLevel="0" collapsed="false">
      <c r="A34" s="3" t="s">
        <v>3611</v>
      </c>
      <c r="B34" s="3" t="str">
        <f aca="false">"At 20 June 2026, your closing-balance CCC is "&amp;TEXT(F01_UC1!B15,"0.0")&amp;" days (DSO "&amp;TEXT(F01_UC1!B12,"0.0")&amp;" + DIO "&amp;TEXT(F01_UC1!B13,"0.0")&amp;" - DPO "&amp;TEXT(F01_UC1!B14,"0.0")&amp;"). Receivables are VND "&amp;TEXT(F01_UC1!B8/1000000000,"0.00")&amp;" billion and owned inventory is VND "&amp;TEXT(F01_UC1!B9/1000000000,"0.00")&amp;" billion, offset by VND "&amp;TEXT(F01_UC1!B10/1000000000,"0.00")&amp;" billion of trade payables. Net trade working capital is VND "&amp;TEXT(F01_UC1!B16/1000000000,"0.00")&amp;" billion."</f>
        <v>At 20 June 2026, your closing-balance CCC is 117.6 days (DSO 64.8 + DIO 79.5 - DPO 26.6). Receivables are VND 24.92 billion and owned inventory is VND 25.06 billion, offset by VND 8.39 billion of trade payables. Net trade working capital is VND 41.59 billion.</v>
      </c>
      <c r="C34" s="3" t="s">
        <v>3676</v>
      </c>
      <c r="D34" s="3" t="s">
        <v>3677</v>
      </c>
    </row>
    <row r="35" customFormat="false" ht="99.75" hidden="false" customHeight="true" outlineLevel="0" collapsed="false">
      <c r="A35" s="4" t="s">
        <v>3611</v>
      </c>
      <c r="B35" s="4" t="str">
        <f aca="false">F01_UC1!B41&amp;" holds VND "&amp;TEXT(F01_UC1!C41/1000000000,"0.00")&amp;" billion of receivables, including VND "&amp;TEXT(F01_UC1!F41/1000000,"0")&amp;" million overdue, up to "&amp;TEXT(F01_UC1!J41,"0")&amp;" days. Its DSO contribution is "&amp;TEXT(F01_UC1!E41,"0.0")&amp;" days. These are outstanding and overdue balances; not every open invoice is late."</f>
        <v>Khách mua FOB Lớn K1 holds VND 13.89 billion of receivables, including VND 4188 million overdue, up to 21 days. Its DSO contribution is 36.1 days. These are outstanding and overdue balances; not every open invoice is late.</v>
      </c>
      <c r="C35" s="4" t="s">
        <v>3678</v>
      </c>
      <c r="D35" s="4" t="s">
        <v>3679</v>
      </c>
    </row>
    <row r="36" customFormat="false" ht="120" hidden="false" customHeight="true" outlineLevel="0" collapsed="false">
      <c r="A36" s="3" t="s">
        <v>3611</v>
      </c>
      <c r="B36" s="3" t="str">
        <f aca="false">"Inventory held beyond the demo age limit or linked to cancelled orders totals VND "&amp;TEXT(F01_UC1!B19/1000000,"0")&amp;" million. Customer-owned stock of VND "&amp;TEXT(F01_UC1!B20/1000000000,"0.00")&amp;" billion is excluded. Overdue supplier payables total VND "&amp;TEXT(F01_UC1!B18/1000000,"0")&amp;" million, so the DPO offset cannot by itself be called efficient supplier financing."</f>
        <v>Inventory held beyond the demo age limit or linked to cancelled orders totals VND 5441 million. Customer-owned stock of VND 0.00 billion is excluded. Overdue supplier payables total VND 979 million, so the DPO offset cannot by itself be called efficient supplier financing.</v>
      </c>
      <c r="C36" s="3" t="s">
        <v>3680</v>
      </c>
      <c r="D36" s="3" t="s">
        <v>3681</v>
      </c>
    </row>
    <row r="37" customFormat="false" ht="109.5" hidden="false" customHeight="true" outlineLevel="0" collapsed="false">
      <c r="A37" s="4" t="s">
        <v>3636</v>
      </c>
      <c r="B37" s="4" t="str">
        <f aca="false">"Under the selected "&amp;F01_UC2!B5&amp;" scenario, using synthetic cash and schedules, the lowest end-of-day cash balance is VND "&amp;TEXT(F01_UC2!B12/1000000,"0")&amp;" million on "&amp;TEXT(F01_UC2!B13,"dd mmm yyyy")&amp;". The largest gap against the VND "&amp;TEXT(F01_UC2!B10/1000000,"0")&amp;" million target reserve is VND "&amp;TEXT(F01_UC2!B14/1000000,"0")&amp;" million. Required opening cash is VND "&amp;TEXT(F01_UC2!B17/1000000,"0")&amp;" million; the additional amount above current cash is VND "&amp;TEXT(F01_UC2!B19/1000000,"0")&amp;" million."</f>
        <v>Under the selected Base scenario, using synthetic cash and schedules, the lowest end-of-day cash balance is VND 4140 million on 02 Jul 2026. The largest gap against the VND 6856 million target reserve is VND 2715 million. Required opening cash is VND 7117 million; the additional amount above current cash is VND 2715 million.</v>
      </c>
      <c r="C37" s="4" t="s">
        <v>3682</v>
      </c>
      <c r="D37" s="4" t="s">
        <v>3683</v>
      </c>
    </row>
    <row r="38" customFormat="false" ht="159.75" hidden="false" customHeight="true" outlineLevel="0" collapsed="false">
      <c r="A38" s="3" t="s">
        <v>3636</v>
      </c>
      <c r="B38" s="3" t="s">
        <v>3684</v>
      </c>
      <c r="C38" s="3" t="s">
        <v>3685</v>
      </c>
      <c r="D38" s="3" t="s">
        <v>3686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59"/>
  <sheetViews>
    <sheetView showFormulas="false" showGridLines="false" showRowColHeaders="true" showZeros="true" rightToLeft="false" tabSelected="false" showOutlineSymbols="true" defaultGridColor="true" view="normal" topLeftCell="A119" colorId="64" zoomScale="90" zoomScaleNormal="90" zoomScalePageLayoutView="100" workbookViewId="0">
      <selection pane="topLeft" activeCell="A141" activeCellId="0" sqref="A141"/>
    </sheetView>
  </sheetViews>
  <sheetFormatPr defaultColWidth="8.6796875" defaultRowHeight="13.5" zeroHeight="false" outlineLevelRow="0" outlineLevelCol="0"/>
  <cols>
    <col collapsed="false" customWidth="true" hidden="false" outlineLevel="0" max="1" min="1" style="0" width="21"/>
    <col collapsed="false" customWidth="true" hidden="false" outlineLevel="0" max="2" min="2" style="0" width="53"/>
    <col collapsed="false" customWidth="true" hidden="false" outlineLevel="0" max="4" min="3" style="0" width="28"/>
    <col collapsed="false" customWidth="true" hidden="false" outlineLevel="0" max="5" min="5" style="0" width="25"/>
    <col collapsed="false" customWidth="true" hidden="false" outlineLevel="0" max="6" min="6" style="0" width="22"/>
    <col collapsed="false" customWidth="true" hidden="false" outlineLevel="0" max="7" min="7" style="0" width="80"/>
  </cols>
  <sheetData>
    <row r="2" customFormat="false" ht="17.25" hidden="false" customHeight="true" outlineLevel="0" collapsed="false">
      <c r="A2" s="1" t="s">
        <v>3687</v>
      </c>
    </row>
    <row r="4" customFormat="false" ht="33.75" hidden="false" customHeight="true" outlineLevel="0" collapsed="false">
      <c r="A4" s="2" t="s">
        <v>154</v>
      </c>
      <c r="B4" s="2" t="s">
        <v>3688</v>
      </c>
      <c r="C4" s="2" t="s">
        <v>3689</v>
      </c>
      <c r="D4" s="2" t="s">
        <v>3690</v>
      </c>
      <c r="E4" s="2" t="s">
        <v>3691</v>
      </c>
      <c r="F4" s="2" t="s">
        <v>3692</v>
      </c>
      <c r="G4" s="2" t="s">
        <v>4</v>
      </c>
    </row>
    <row r="5" customFormat="false" ht="25.5" hidden="false" customHeight="true" outlineLevel="0" collapsed="false">
      <c r="A5" s="3" t="s">
        <v>3693</v>
      </c>
      <c r="B5" s="3" t="s">
        <v>2672</v>
      </c>
      <c r="C5" s="35" t="n">
        <f aca="false">D_F01!B8</f>
        <v>181</v>
      </c>
      <c r="D5" s="35" t="n">
        <v>181</v>
      </c>
      <c r="E5" s="102" t="n">
        <f aca="false">C5-D5</f>
        <v>0</v>
      </c>
      <c r="F5" s="3" t="str">
        <f aca="false">IF(ABS(E5)&lt;0.01,"OK","LỆCH")</f>
        <v>OK</v>
      </c>
      <c r="G5" s="3" t="s">
        <v>3694</v>
      </c>
    </row>
    <row r="6" customFormat="false" ht="25.5" hidden="false" customHeight="true" outlineLevel="0" collapsed="false">
      <c r="A6" s="4" t="s">
        <v>3695</v>
      </c>
      <c r="B6" s="4" t="s">
        <v>3696</v>
      </c>
      <c r="C6" s="103" t="n">
        <f aca="false">F01_UC1!B5</f>
        <v>69627509083</v>
      </c>
      <c r="D6" s="103" t="n">
        <v>69627509083</v>
      </c>
      <c r="E6" s="103" t="n">
        <f aca="false">C6-D6</f>
        <v>0</v>
      </c>
      <c r="F6" s="4" t="str">
        <f aca="false">IF(ABS(E6)&lt;0.01,"OK","LỆCH")</f>
        <v>OK</v>
      </c>
      <c r="G6" s="4" t="s">
        <v>3697</v>
      </c>
    </row>
    <row r="7" customFormat="false" ht="25.5" hidden="false" customHeight="true" outlineLevel="0" collapsed="false">
      <c r="A7" s="3" t="s">
        <v>3698</v>
      </c>
      <c r="B7" s="3" t="s">
        <v>3699</v>
      </c>
      <c r="C7" s="102" t="n">
        <f aca="false">F01_UC1!B6</f>
        <v>57094557448.06</v>
      </c>
      <c r="D7" s="102" t="n">
        <v>57094557448.06</v>
      </c>
      <c r="E7" s="102" t="n">
        <f aca="false">C7-D7</f>
        <v>0</v>
      </c>
      <c r="F7" s="3" t="str">
        <f aca="false">IF(ABS(E7)&lt;0.01,"OK","LỆCH")</f>
        <v>OK</v>
      </c>
      <c r="G7" s="3" t="s">
        <v>3697</v>
      </c>
    </row>
    <row r="8" customFormat="false" ht="25.5" hidden="false" customHeight="true" outlineLevel="0" collapsed="false">
      <c r="A8" s="4" t="s">
        <v>3700</v>
      </c>
      <c r="B8" s="4" t="s">
        <v>3701</v>
      </c>
      <c r="C8" s="103" t="n">
        <f aca="false">F01_UC1!B7</f>
        <v>181</v>
      </c>
      <c r="D8" s="103" t="n">
        <v>181</v>
      </c>
      <c r="E8" s="103" t="n">
        <f aca="false">C8-D8</f>
        <v>0</v>
      </c>
      <c r="F8" s="4" t="str">
        <f aca="false">IF(ABS(E8)&lt;0.01,"OK","LỆCH")</f>
        <v>OK</v>
      </c>
      <c r="G8" s="4" t="s">
        <v>3697</v>
      </c>
    </row>
    <row r="9" customFormat="false" ht="25.5" hidden="false" customHeight="true" outlineLevel="0" collapsed="false">
      <c r="A9" s="3" t="s">
        <v>3702</v>
      </c>
      <c r="B9" s="3" t="s">
        <v>3703</v>
      </c>
      <c r="C9" s="102" t="n">
        <f aca="false">F01_UC1!B8</f>
        <v>24915591245</v>
      </c>
      <c r="D9" s="102" t="n">
        <v>24915591245</v>
      </c>
      <c r="E9" s="102" t="n">
        <f aca="false">C9-D9</f>
        <v>0</v>
      </c>
      <c r="F9" s="3" t="str">
        <f aca="false">IF(ABS(E9)&lt;0.01,"OK","LỆCH")</f>
        <v>OK</v>
      </c>
      <c r="G9" s="3" t="s">
        <v>3697</v>
      </c>
    </row>
    <row r="10" customFormat="false" ht="25.5" hidden="false" customHeight="true" outlineLevel="0" collapsed="false">
      <c r="A10" s="4" t="s">
        <v>3704</v>
      </c>
      <c r="B10" s="4" t="s">
        <v>3705</v>
      </c>
      <c r="C10" s="103" t="n">
        <f aca="false">F01_UC1!B9</f>
        <v>25064351197.8</v>
      </c>
      <c r="D10" s="103" t="n">
        <v>25064351197.8</v>
      </c>
      <c r="E10" s="103" t="n">
        <f aca="false">C10-D10</f>
        <v>0</v>
      </c>
      <c r="F10" s="4" t="str">
        <f aca="false">IF(ABS(E10)&lt;0.01,"OK","LỆCH")</f>
        <v>OK</v>
      </c>
      <c r="G10" s="4" t="s">
        <v>3697</v>
      </c>
    </row>
    <row r="11" customFormat="false" ht="25.5" hidden="false" customHeight="true" outlineLevel="0" collapsed="false">
      <c r="A11" s="3" t="s">
        <v>3706</v>
      </c>
      <c r="B11" s="3" t="s">
        <v>3707</v>
      </c>
      <c r="C11" s="102" t="n">
        <f aca="false">F01_UC1!B10</f>
        <v>8393038071</v>
      </c>
      <c r="D11" s="102" t="n">
        <v>8393038071</v>
      </c>
      <c r="E11" s="102" t="n">
        <f aca="false">C11-D11</f>
        <v>0</v>
      </c>
      <c r="F11" s="3" t="str">
        <f aca="false">IF(ABS(E11)&lt;0.01,"OK","LỆCH")</f>
        <v>OK</v>
      </c>
      <c r="G11" s="3" t="s">
        <v>3697</v>
      </c>
    </row>
    <row r="12" customFormat="false" ht="25.5" hidden="false" customHeight="true" outlineLevel="0" collapsed="false">
      <c r="A12" s="4" t="s">
        <v>3708</v>
      </c>
      <c r="B12" s="4" t="s">
        <v>3709</v>
      </c>
      <c r="C12" s="103" t="n">
        <f aca="false">F01_UC1!B11</f>
        <v>42021300381</v>
      </c>
      <c r="D12" s="103" t="n">
        <v>42021300381</v>
      </c>
      <c r="E12" s="103" t="n">
        <f aca="false">C12-D12</f>
        <v>0</v>
      </c>
      <c r="F12" s="4" t="str">
        <f aca="false">IF(ABS(E12)&lt;0.01,"OK","LỆCH")</f>
        <v>OK</v>
      </c>
      <c r="G12" s="4" t="s">
        <v>3697</v>
      </c>
    </row>
    <row r="13" customFormat="false" ht="25.5" hidden="false" customHeight="true" outlineLevel="0" collapsed="false">
      <c r="A13" s="3" t="s">
        <v>3710</v>
      </c>
      <c r="B13" s="3" t="s">
        <v>3711</v>
      </c>
      <c r="C13" s="104" t="n">
        <f aca="false">F01_UC1!B12</f>
        <v>64.7692567885655</v>
      </c>
      <c r="D13" s="104" t="n">
        <v>64.7692567885655</v>
      </c>
      <c r="E13" s="102" t="n">
        <f aca="false">C13-D13</f>
        <v>0</v>
      </c>
      <c r="F13" s="3" t="str">
        <f aca="false">IF(ABS(E13)&lt;0.01,"OK","LỆCH")</f>
        <v>OK</v>
      </c>
      <c r="G13" s="3" t="s">
        <v>3697</v>
      </c>
    </row>
    <row r="14" customFormat="false" ht="25.5" hidden="false" customHeight="true" outlineLevel="0" collapsed="false">
      <c r="A14" s="4" t="s">
        <v>3712</v>
      </c>
      <c r="B14" s="4" t="s">
        <v>3713</v>
      </c>
      <c r="C14" s="105" t="n">
        <f aca="false">F01_UC1!B13</f>
        <v>79.4584942869358</v>
      </c>
      <c r="D14" s="105" t="n">
        <v>79.4584942869358</v>
      </c>
      <c r="E14" s="103" t="n">
        <f aca="false">C14-D14</f>
        <v>0</v>
      </c>
      <c r="F14" s="4" t="str">
        <f aca="false">IF(ABS(E14)&lt;0.01,"OK","LỆCH")</f>
        <v>OK</v>
      </c>
      <c r="G14" s="4" t="s">
        <v>3697</v>
      </c>
    </row>
    <row r="15" customFormat="false" ht="25.5" hidden="false" customHeight="true" outlineLevel="0" collapsed="false">
      <c r="A15" s="3" t="s">
        <v>3714</v>
      </c>
      <c r="B15" s="3" t="s">
        <v>3715</v>
      </c>
      <c r="C15" s="104" t="n">
        <f aca="false">F01_UC1!B14</f>
        <v>26.6074378846529</v>
      </c>
      <c r="D15" s="104" t="n">
        <v>26.6074378846529</v>
      </c>
      <c r="E15" s="102" t="n">
        <f aca="false">C15-D15</f>
        <v>0</v>
      </c>
      <c r="F15" s="3" t="str">
        <f aca="false">IF(ABS(E15)&lt;0.01,"OK","LỆCH")</f>
        <v>OK</v>
      </c>
      <c r="G15" s="3" t="s">
        <v>3697</v>
      </c>
    </row>
    <row r="16" customFormat="false" ht="25.5" hidden="false" customHeight="true" outlineLevel="0" collapsed="false">
      <c r="A16" s="4" t="s">
        <v>3716</v>
      </c>
      <c r="B16" s="4" t="s">
        <v>3717</v>
      </c>
      <c r="C16" s="105" t="n">
        <f aca="false">F01_UC1!B15</f>
        <v>117.620313190848</v>
      </c>
      <c r="D16" s="105" t="n">
        <v>117.620313190848</v>
      </c>
      <c r="E16" s="103" t="n">
        <f aca="false">C16-D16</f>
        <v>0</v>
      </c>
      <c r="F16" s="4" t="str">
        <f aca="false">IF(ABS(E16)&lt;0.01,"OK","LỆCH")</f>
        <v>OK</v>
      </c>
      <c r="G16" s="4" t="s">
        <v>3697</v>
      </c>
    </row>
    <row r="17" customFormat="false" ht="25.5" hidden="false" customHeight="true" outlineLevel="0" collapsed="false">
      <c r="A17" s="3" t="s">
        <v>3718</v>
      </c>
      <c r="B17" s="3" t="s">
        <v>3719</v>
      </c>
      <c r="C17" s="102" t="n">
        <f aca="false">F01_UC1!B16</f>
        <v>41586904371.8</v>
      </c>
      <c r="D17" s="102" t="n">
        <v>41586904371.8</v>
      </c>
      <c r="E17" s="102" t="n">
        <f aca="false">C17-D17</f>
        <v>0</v>
      </c>
      <c r="F17" s="3" t="str">
        <f aca="false">IF(ABS(E17)&lt;0.01,"OK","LỆCH")</f>
        <v>OK</v>
      </c>
      <c r="G17" s="3" t="s">
        <v>3697</v>
      </c>
    </row>
    <row r="18" customFormat="false" ht="25.5" hidden="false" customHeight="true" outlineLevel="0" collapsed="false">
      <c r="A18" s="4" t="s">
        <v>3720</v>
      </c>
      <c r="B18" s="4" t="s">
        <v>3721</v>
      </c>
      <c r="C18" s="103" t="n">
        <f aca="false">F01_UC1!B17</f>
        <v>9778180962</v>
      </c>
      <c r="D18" s="103" t="n">
        <v>9778180962</v>
      </c>
      <c r="E18" s="103" t="n">
        <f aca="false">C18-D18</f>
        <v>0</v>
      </c>
      <c r="F18" s="4" t="str">
        <f aca="false">IF(ABS(E18)&lt;0.01,"OK","LỆCH")</f>
        <v>OK</v>
      </c>
      <c r="G18" s="4" t="s">
        <v>3697</v>
      </c>
    </row>
    <row r="19" customFormat="false" ht="25.5" hidden="false" customHeight="true" outlineLevel="0" collapsed="false">
      <c r="A19" s="3" t="s">
        <v>3722</v>
      </c>
      <c r="B19" s="3" t="s">
        <v>3723</v>
      </c>
      <c r="C19" s="102" t="n">
        <f aca="false">F01_UC1!B18</f>
        <v>979364994</v>
      </c>
      <c r="D19" s="102" t="n">
        <v>979364994</v>
      </c>
      <c r="E19" s="102" t="n">
        <f aca="false">C19-D19</f>
        <v>0</v>
      </c>
      <c r="F19" s="3" t="str">
        <f aca="false">IF(ABS(E19)&lt;0.01,"OK","LỆCH")</f>
        <v>OK</v>
      </c>
      <c r="G19" s="3" t="s">
        <v>3697</v>
      </c>
    </row>
    <row r="20" customFormat="false" ht="25.5" hidden="false" customHeight="true" outlineLevel="0" collapsed="false">
      <c r="A20" s="4" t="s">
        <v>3724</v>
      </c>
      <c r="B20" s="4" t="s">
        <v>3725</v>
      </c>
      <c r="C20" s="103" t="n">
        <f aca="false">F01_UC1!B19</f>
        <v>5441257639.8</v>
      </c>
      <c r="D20" s="103" t="n">
        <v>5441257639.8</v>
      </c>
      <c r="E20" s="103" t="n">
        <f aca="false">C20-D20</f>
        <v>0</v>
      </c>
      <c r="F20" s="4" t="str">
        <f aca="false">IF(ABS(E20)&lt;0.01,"OK","LỆCH")</f>
        <v>OK</v>
      </c>
      <c r="G20" s="4" t="s">
        <v>3697</v>
      </c>
    </row>
    <row r="21" customFormat="false" ht="25.5" hidden="false" customHeight="true" outlineLevel="0" collapsed="false">
      <c r="A21" s="3" t="s">
        <v>3726</v>
      </c>
      <c r="B21" s="3" t="s">
        <v>3727</v>
      </c>
      <c r="C21" s="102" t="n">
        <f aca="false">F01_UC1!B20</f>
        <v>0</v>
      </c>
      <c r="D21" s="102" t="n">
        <v>0</v>
      </c>
      <c r="E21" s="102" t="n">
        <f aca="false">C21-D21</f>
        <v>0</v>
      </c>
      <c r="F21" s="3" t="str">
        <f aca="false">IF(ABS(E21)&lt;0.01,"OK","LỆCH")</f>
        <v>OK</v>
      </c>
      <c r="G21" s="3" t="s">
        <v>3697</v>
      </c>
    </row>
    <row r="22" customFormat="false" ht="25.5" hidden="false" customHeight="true" outlineLevel="0" collapsed="false">
      <c r="A22" s="4" t="s">
        <v>3728</v>
      </c>
      <c r="B22" s="4" t="s">
        <v>3729</v>
      </c>
      <c r="C22" s="103" t="n">
        <f aca="false">F01_UC1!B21</f>
        <v>59381868415.8</v>
      </c>
      <c r="D22" s="103" t="n">
        <v>59381868415.8</v>
      </c>
      <c r="E22" s="103" t="n">
        <f aca="false">C22-D22</f>
        <v>0</v>
      </c>
      <c r="F22" s="4" t="str">
        <f aca="false">IF(ABS(E22)&lt;0.01,"OK","LỆCH")</f>
        <v>OK</v>
      </c>
      <c r="G22" s="4" t="s">
        <v>3697</v>
      </c>
    </row>
    <row r="23" customFormat="false" ht="25.5" hidden="false" customHeight="true" outlineLevel="0" collapsed="false">
      <c r="A23" s="3" t="s">
        <v>3730</v>
      </c>
      <c r="B23" s="3" t="s">
        <v>3731</v>
      </c>
      <c r="C23" s="102" t="n">
        <f aca="false">F01_UC1!B22</f>
        <v>1</v>
      </c>
      <c r="D23" s="102" t="n">
        <v>1</v>
      </c>
      <c r="E23" s="102" t="n">
        <f aca="false">C23-D23</f>
        <v>0</v>
      </c>
      <c r="F23" s="3" t="str">
        <f aca="false">IF(ABS(E23)&lt;0.01,"OK","LỆCH")</f>
        <v>OK</v>
      </c>
      <c r="G23" s="3" t="s">
        <v>3697</v>
      </c>
    </row>
    <row r="24" customFormat="false" ht="25.5" hidden="false" customHeight="true" outlineLevel="0" collapsed="false">
      <c r="A24" s="4" t="s">
        <v>3732</v>
      </c>
      <c r="B24" s="4" t="s">
        <v>3733</v>
      </c>
      <c r="C24" s="103" t="n">
        <f aca="false">F01_UC1!B23</f>
        <v>0</v>
      </c>
      <c r="D24" s="103" t="n">
        <v>0</v>
      </c>
      <c r="E24" s="103" t="n">
        <f aca="false">C24-D24</f>
        <v>0</v>
      </c>
      <c r="F24" s="4" t="str">
        <f aca="false">IF(ABS(E24)&lt;0.01,"OK","LỆCH")</f>
        <v>OK</v>
      </c>
      <c r="G24" s="4" t="s">
        <v>3697</v>
      </c>
    </row>
    <row r="25" customFormat="false" ht="25.5" hidden="false" customHeight="true" outlineLevel="0" collapsed="false">
      <c r="A25" s="3" t="s">
        <v>3734</v>
      </c>
      <c r="B25" s="3" t="s">
        <v>3735</v>
      </c>
      <c r="C25" s="102" t="n">
        <f aca="false">F01_UC1!B24</f>
        <v>133127509083</v>
      </c>
      <c r="D25" s="102" t="n">
        <v>133127509083</v>
      </c>
      <c r="E25" s="102" t="n">
        <f aca="false">C25-D25</f>
        <v>0</v>
      </c>
      <c r="F25" s="3" t="str">
        <f aca="false">IF(ABS(E25)&lt;0.01,"OK","LỆCH")</f>
        <v>OK</v>
      </c>
      <c r="G25" s="3" t="s">
        <v>3697</v>
      </c>
    </row>
    <row r="26" customFormat="false" ht="25.5" hidden="false" customHeight="true" outlineLevel="0" collapsed="false">
      <c r="A26" s="4" t="s">
        <v>3736</v>
      </c>
      <c r="B26" s="4" t="s">
        <v>3737</v>
      </c>
      <c r="C26" s="106" t="n">
        <f aca="false">F01_UC1!B25</f>
        <v>0.0480886784188882</v>
      </c>
      <c r="D26" s="106" t="n">
        <v>0.0480886784188882</v>
      </c>
      <c r="E26" s="103" t="n">
        <f aca="false">C26-D26</f>
        <v>0</v>
      </c>
      <c r="F26" s="4" t="str">
        <f aca="false">IF(ABS(E26)&lt;0.01,"OK","LỆCH")</f>
        <v>OK</v>
      </c>
      <c r="G26" s="4" t="s">
        <v>3697</v>
      </c>
    </row>
    <row r="27" customFormat="false" ht="25.5" hidden="false" customHeight="true" outlineLevel="0" collapsed="false">
      <c r="A27" s="3" t="s">
        <v>3738</v>
      </c>
      <c r="B27" s="3" t="s">
        <v>3739</v>
      </c>
      <c r="C27" s="102" t="n">
        <f aca="false">F01_UC1!B26</f>
        <v>0</v>
      </c>
      <c r="D27" s="102" t="n">
        <v>0</v>
      </c>
      <c r="E27" s="102" t="n">
        <f aca="false">C27-D27</f>
        <v>0</v>
      </c>
      <c r="F27" s="3" t="str">
        <f aca="false">IF(ABS(E27)&lt;0.01,"OK","LỆCH")</f>
        <v>OK</v>
      </c>
      <c r="G27" s="3" t="s">
        <v>3697</v>
      </c>
    </row>
    <row r="28" customFormat="false" ht="25.5" hidden="false" customHeight="true" outlineLevel="0" collapsed="false">
      <c r="A28" s="4" t="s">
        <v>3740</v>
      </c>
      <c r="B28" s="4" t="s">
        <v>3741</v>
      </c>
      <c r="C28" s="103" t="n">
        <f aca="false">F01_UC1!B27</f>
        <v>2524331212.83056</v>
      </c>
      <c r="D28" s="103" t="n">
        <v>2524331212.83056</v>
      </c>
      <c r="E28" s="103" t="n">
        <f aca="false">C28-D28</f>
        <v>0</v>
      </c>
      <c r="F28" s="4" t="str">
        <f aca="false">IF(ABS(E28)&lt;0.01,"OK","LỆCH")</f>
        <v>OK</v>
      </c>
      <c r="G28" s="4" t="s">
        <v>3697</v>
      </c>
    </row>
    <row r="29" customFormat="false" ht="25.5" hidden="false" customHeight="true" outlineLevel="0" collapsed="false">
      <c r="A29" s="3" t="s">
        <v>3742</v>
      </c>
      <c r="B29" s="3" t="s">
        <v>3743</v>
      </c>
      <c r="C29" s="102" t="n">
        <f aca="false">F01_UC1!B28</f>
        <v>0</v>
      </c>
      <c r="D29" s="102" t="n">
        <v>0</v>
      </c>
      <c r="E29" s="102" t="n">
        <f aca="false">C29-D29</f>
        <v>0</v>
      </c>
      <c r="F29" s="3" t="str">
        <f aca="false">IF(ABS(E29)&lt;0.01,"OK","LỆCH")</f>
        <v>OK</v>
      </c>
      <c r="G29" s="3" t="s">
        <v>3697</v>
      </c>
    </row>
    <row r="30" customFormat="false" ht="25.5" hidden="false" customHeight="true" outlineLevel="0" collapsed="false">
      <c r="A30" s="4" t="s">
        <v>3744</v>
      </c>
      <c r="B30" s="4" t="s">
        <v>3745</v>
      </c>
      <c r="C30" s="106" t="n">
        <f aca="false">F01_UC1!B29</f>
        <v>0.0425101344934929</v>
      </c>
      <c r="D30" s="106" t="n">
        <v>0.0425101344934929</v>
      </c>
      <c r="E30" s="103" t="n">
        <f aca="false">C30-D30</f>
        <v>0</v>
      </c>
      <c r="F30" s="4" t="str">
        <f aca="false">IF(ABS(E30)&lt;0.01,"OK","LỆCH")</f>
        <v>OK</v>
      </c>
      <c r="G30" s="4" t="s">
        <v>3697</v>
      </c>
    </row>
    <row r="31" customFormat="false" ht="25.5" hidden="false" customHeight="true" outlineLevel="0" collapsed="false">
      <c r="A31" s="3" t="s">
        <v>3746</v>
      </c>
      <c r="B31" s="3" t="s">
        <v>3747</v>
      </c>
      <c r="C31" s="102" t="str">
        <f aca="false">F01_UC1!B30</f>
        <v>W1</v>
      </c>
      <c r="D31" s="102" t="s">
        <v>146</v>
      </c>
      <c r="E31" s="102" t="n">
        <f aca="false">IF(C31=D31,0,1)</f>
        <v>0</v>
      </c>
      <c r="F31" s="3" t="str">
        <f aca="false">IF(ABS(E31)&lt;0.01,"OK","LỆCH")</f>
        <v>OK</v>
      </c>
      <c r="G31" s="3" t="s">
        <v>3697</v>
      </c>
    </row>
    <row r="32" customFormat="false" ht="25.5" hidden="false" customHeight="true" outlineLevel="0" collapsed="false">
      <c r="A32" s="4" t="s">
        <v>3748</v>
      </c>
      <c r="B32" s="4" t="s">
        <v>3749</v>
      </c>
      <c r="C32" s="103" t="n">
        <f aca="false">F01_UC1!B31</f>
        <v>2524331212.83056</v>
      </c>
      <c r="D32" s="103" t="n">
        <v>2524331212.83056</v>
      </c>
      <c r="E32" s="103" t="n">
        <f aca="false">C32-D32</f>
        <v>0</v>
      </c>
      <c r="F32" s="4" t="str">
        <f aca="false">IF(ABS(E32)&lt;0.01,"OK","LỆCH")</f>
        <v>OK</v>
      </c>
      <c r="G32" s="4" t="s">
        <v>3697</v>
      </c>
    </row>
    <row r="33" customFormat="false" ht="25.5" hidden="false" customHeight="true" outlineLevel="0" collapsed="false">
      <c r="A33" s="3" t="s">
        <v>3750</v>
      </c>
      <c r="B33" s="3" t="s">
        <v>3751</v>
      </c>
      <c r="C33" s="102" t="n">
        <f aca="false">SUM(D_sales!T5:T121)</f>
        <v>44711917838</v>
      </c>
      <c r="D33" s="102" t="n">
        <v>44711917838</v>
      </c>
      <c r="E33" s="102" t="n">
        <f aca="false">C33-D33</f>
        <v>0</v>
      </c>
      <c r="F33" s="3" t="str">
        <f aca="false">IF(ABS(E33)&lt;0.01,"OK","LỆCH")</f>
        <v>OK</v>
      </c>
      <c r="G33" s="3" t="s">
        <v>3752</v>
      </c>
    </row>
    <row r="34" customFormat="false" ht="25.5" hidden="false" customHeight="true" outlineLevel="0" collapsed="false">
      <c r="A34" s="4" t="s">
        <v>3753</v>
      </c>
      <c r="B34" s="4" t="s">
        <v>3754</v>
      </c>
      <c r="C34" s="103" t="n">
        <f aca="false">F01_UC1!B20</f>
        <v>0</v>
      </c>
      <c r="D34" s="103" t="n">
        <v>0</v>
      </c>
      <c r="E34" s="103" t="n">
        <f aca="false">C34-D34</f>
        <v>0</v>
      </c>
      <c r="F34" s="4" t="str">
        <f aca="false">IF(ABS(E34)&lt;0.01,"OK","LỆCH")</f>
        <v>OK</v>
      </c>
      <c r="G34" s="4" t="s">
        <v>3752</v>
      </c>
    </row>
    <row r="35" customFormat="false" ht="25.5" hidden="false" customHeight="true" outlineLevel="0" collapsed="false">
      <c r="A35" s="3" t="s">
        <v>3755</v>
      </c>
      <c r="B35" s="3" t="s">
        <v>3756</v>
      </c>
      <c r="C35" s="102" t="n">
        <f aca="false">Nguong!B46-Nguong!B15</f>
        <v>0</v>
      </c>
      <c r="D35" s="102" t="n">
        <v>0</v>
      </c>
      <c r="E35" s="102" t="n">
        <f aca="false">C35-D35</f>
        <v>0</v>
      </c>
      <c r="F35" s="3" t="str">
        <f aca="false">IF(ABS(E35)&lt;0.01,"OK","LỆCH")</f>
        <v>OK</v>
      </c>
      <c r="G35" s="3" t="s">
        <v>3752</v>
      </c>
    </row>
    <row r="36" customFormat="false" ht="25.5" hidden="false" customHeight="true" outlineLevel="0" collapsed="false">
      <c r="A36" s="4" t="s">
        <v>3757</v>
      </c>
      <c r="B36" s="4" t="s">
        <v>3758</v>
      </c>
      <c r="C36" s="103" t="n">
        <f aca="false">Nguong!B48-Nguong!B18</f>
        <v>0</v>
      </c>
      <c r="D36" s="103" t="n">
        <v>0</v>
      </c>
      <c r="E36" s="103" t="n">
        <f aca="false">C36-D36</f>
        <v>0</v>
      </c>
      <c r="F36" s="4" t="str">
        <f aca="false">IF(ABS(E36)&lt;0.01,"OK","LỆCH")</f>
        <v>OK</v>
      </c>
      <c r="G36" s="4" t="s">
        <v>3752</v>
      </c>
    </row>
    <row r="37" customFormat="false" ht="25.5" hidden="false" customHeight="true" outlineLevel="0" collapsed="false">
      <c r="A37" s="3" t="s">
        <v>3759</v>
      </c>
      <c r="B37" s="3" t="s">
        <v>3760</v>
      </c>
      <c r="C37" s="102" t="n">
        <f aca="false">Nguong!B52-Nguong!B22</f>
        <v>0</v>
      </c>
      <c r="D37" s="102" t="n">
        <v>0</v>
      </c>
      <c r="E37" s="102" t="n">
        <f aca="false">C37-D37</f>
        <v>0</v>
      </c>
      <c r="F37" s="3" t="str">
        <f aca="false">IF(ABS(E37)&lt;0.01,"OK","LỆCH")</f>
        <v>OK</v>
      </c>
      <c r="G37" s="3" t="s">
        <v>3752</v>
      </c>
    </row>
    <row r="38" customFormat="false" ht="25.5" hidden="false" customHeight="true" outlineLevel="0" collapsed="false">
      <c r="A38" s="4" t="s">
        <v>3761</v>
      </c>
      <c r="B38" s="4" t="s">
        <v>3762</v>
      </c>
      <c r="C38" s="103" t="n">
        <f aca="false">SUM(F01_UC1!E41:E49)-F01_UC1!B12</f>
        <v>0</v>
      </c>
      <c r="D38" s="103" t="n">
        <v>0</v>
      </c>
      <c r="E38" s="103" t="n">
        <f aca="false">C38-D38</f>
        <v>0</v>
      </c>
      <c r="F38" s="4" t="str">
        <f aca="false">IF(ABS(E38)&lt;0.01,"OK","LỆCH")</f>
        <v>OK</v>
      </c>
      <c r="G38" s="4" t="s">
        <v>3752</v>
      </c>
    </row>
    <row r="39" customFormat="false" ht="25.5" hidden="false" customHeight="true" outlineLevel="0" collapsed="false">
      <c r="A39" s="3" t="s">
        <v>3763</v>
      </c>
      <c r="B39" s="3" t="s">
        <v>3764</v>
      </c>
      <c r="C39" s="102" t="n">
        <f aca="false">SUM(F01_UC1!I54:I62)-F01_UC1!B14</f>
        <v>0</v>
      </c>
      <c r="D39" s="102" t="n">
        <v>0</v>
      </c>
      <c r="E39" s="102" t="n">
        <f aca="false">C39-D39</f>
        <v>0</v>
      </c>
      <c r="F39" s="3" t="str">
        <f aca="false">IF(ABS(E39)&lt;0.01,"OK","LỆCH")</f>
        <v>OK</v>
      </c>
      <c r="G39" s="3" t="s">
        <v>3752</v>
      </c>
    </row>
    <row r="40" customFormat="false" ht="25.5" hidden="false" customHeight="true" outlineLevel="0" collapsed="false">
      <c r="A40" s="4" t="s">
        <v>3765</v>
      </c>
      <c r="B40" s="4" t="s">
        <v>3766</v>
      </c>
      <c r="C40" s="103" t="n">
        <f aca="false">SUM(F01_UC1!I67:I102)-F01_UC1!B13</f>
        <v>0</v>
      </c>
      <c r="D40" s="103" t="n">
        <v>0</v>
      </c>
      <c r="E40" s="103" t="n">
        <f aca="false">C40-D40</f>
        <v>0</v>
      </c>
      <c r="F40" s="4" t="str">
        <f aca="false">IF(ABS(E40)&lt;0.01,"OK","LỆCH")</f>
        <v>OK</v>
      </c>
      <c r="G40" s="4" t="s">
        <v>3752</v>
      </c>
    </row>
    <row r="41" customFormat="false" ht="25.5" hidden="false" customHeight="true" outlineLevel="0" collapsed="false">
      <c r="A41" s="3" t="s">
        <v>3767</v>
      </c>
      <c r="B41" s="3" t="s">
        <v>3768</v>
      </c>
      <c r="C41" s="102" t="n">
        <f aca="false">SUM(F01_UC1!F41:F49)-F01_UC1!B17</f>
        <v>0</v>
      </c>
      <c r="D41" s="102" t="n">
        <v>0</v>
      </c>
      <c r="E41" s="102" t="n">
        <f aca="false">C41-D41</f>
        <v>0</v>
      </c>
      <c r="F41" s="3" t="str">
        <f aca="false">IF(ABS(E41)&lt;0.01,"OK","LỆCH")</f>
        <v>OK</v>
      </c>
      <c r="G41" s="3" t="s">
        <v>3752</v>
      </c>
    </row>
    <row r="42" customFormat="false" ht="25.5" hidden="false" customHeight="true" outlineLevel="0" collapsed="false">
      <c r="A42" s="4" t="s">
        <v>3769</v>
      </c>
      <c r="B42" s="4" t="s">
        <v>3770</v>
      </c>
      <c r="C42" s="103" t="n">
        <f aca="false">SUM(F01_UC1!D54:D62)-F01_UC1!B18</f>
        <v>0</v>
      </c>
      <c r="D42" s="103" t="n">
        <v>0</v>
      </c>
      <c r="E42" s="103" t="n">
        <f aca="false">C42-D42</f>
        <v>0</v>
      </c>
      <c r="F42" s="4" t="str">
        <f aca="false">IF(ABS(E42)&lt;0.01,"OK","LỆCH")</f>
        <v>OK</v>
      </c>
      <c r="G42" s="4" t="s">
        <v>3752</v>
      </c>
    </row>
    <row r="43" customFormat="false" ht="25.5" hidden="false" customHeight="true" outlineLevel="0" collapsed="false">
      <c r="A43" s="3" t="s">
        <v>3771</v>
      </c>
      <c r="B43" s="3" t="s">
        <v>3772</v>
      </c>
      <c r="C43" s="102" t="n">
        <f aca="false">SUM(F01_UC2!D29:D41)-SUM(F01_UC2!B70:B160)</f>
        <v>0</v>
      </c>
      <c r="D43" s="102" t="n">
        <v>0</v>
      </c>
      <c r="E43" s="102" t="n">
        <f aca="false">C43-D43</f>
        <v>0</v>
      </c>
      <c r="F43" s="3" t="str">
        <f aca="false">IF(ABS(E43)&lt;0.01,"OK","LỆCH")</f>
        <v>OK</v>
      </c>
      <c r="G43" s="3" t="s">
        <v>3752</v>
      </c>
    </row>
    <row r="44" customFormat="false" ht="25.5" hidden="false" customHeight="true" outlineLevel="0" collapsed="false">
      <c r="A44" s="4" t="s">
        <v>3773</v>
      </c>
      <c r="B44" s="4" t="s">
        <v>3774</v>
      </c>
      <c r="C44" s="103" t="n">
        <f aca="false">F01_UC2!G160-F01_UC2!B8-SUM(F01_UC2!F70:F160)</f>
        <v>0</v>
      </c>
      <c r="D44" s="103" t="n">
        <v>0</v>
      </c>
      <c r="E44" s="103" t="n">
        <f aca="false">C44-D44</f>
        <v>0</v>
      </c>
      <c r="F44" s="4" t="str">
        <f aca="false">IF(ABS(E44)&lt;0.01,"OK","LỆCH")</f>
        <v>OK</v>
      </c>
      <c r="G44" s="4" t="s">
        <v>3752</v>
      </c>
    </row>
    <row r="48" customFormat="false" ht="33.75" hidden="false" customHeight="true" outlineLevel="0" collapsed="false">
      <c r="A48" s="2" t="s">
        <v>2013</v>
      </c>
      <c r="B48" s="2" t="s">
        <v>3775</v>
      </c>
      <c r="C48" s="2" t="s">
        <v>3776</v>
      </c>
      <c r="D48" s="2" t="s">
        <v>3777</v>
      </c>
      <c r="E48" s="2" t="s">
        <v>3778</v>
      </c>
      <c r="F48" s="2" t="s">
        <v>2413</v>
      </c>
    </row>
    <row r="49" customFormat="false" ht="54" hidden="false" customHeight="true" outlineLevel="0" collapsed="false">
      <c r="A49" s="3" t="s">
        <v>3779</v>
      </c>
      <c r="B49" s="3" t="n">
        <v>4140480437</v>
      </c>
      <c r="C49" s="3" t="n">
        <v>2715485453.22435</v>
      </c>
      <c r="D49" s="3" t="n">
        <v>7117411426.22435</v>
      </c>
      <c r="E49" s="3" t="s">
        <v>3780</v>
      </c>
      <c r="F49" s="3" t="s">
        <v>3781</v>
      </c>
    </row>
    <row r="50" customFormat="false" ht="54" hidden="false" customHeight="true" outlineLevel="0" collapsed="false">
      <c r="A50" s="4" t="s">
        <v>3782</v>
      </c>
      <c r="B50" s="4" t="n">
        <v>5429047955</v>
      </c>
      <c r="C50" s="4" t="n">
        <v>1426917935.22435</v>
      </c>
      <c r="D50" s="4" t="n">
        <v>6855965890.22435</v>
      </c>
      <c r="E50" s="4" t="s">
        <v>3780</v>
      </c>
      <c r="F50" s="4" t="s">
        <v>3781</v>
      </c>
    </row>
    <row r="51" customFormat="false" ht="54" hidden="false" customHeight="true" outlineLevel="0" collapsed="false">
      <c r="A51" s="3" t="s">
        <v>3783</v>
      </c>
      <c r="B51" s="3" t="n">
        <v>2651578283</v>
      </c>
      <c r="C51" s="3" t="n">
        <v>4204387607.22435</v>
      </c>
      <c r="D51" s="3" t="n">
        <v>8606313580.22435</v>
      </c>
      <c r="E51" s="3" t="s">
        <v>3780</v>
      </c>
      <c r="F51" s="3" t="s">
        <v>3781</v>
      </c>
    </row>
    <row r="52" customFormat="false" ht="54" hidden="false" customHeight="true" outlineLevel="0" collapsed="false">
      <c r="A52" s="4" t="s">
        <v>3784</v>
      </c>
      <c r="B52" s="4" t="n">
        <v>2247303131</v>
      </c>
      <c r="C52" s="4" t="n">
        <v>4608662759.22435</v>
      </c>
      <c r="D52" s="4" t="n">
        <v>9010588732.22435</v>
      </c>
      <c r="E52" s="4" t="s">
        <v>3780</v>
      </c>
      <c r="F52" s="4" t="s">
        <v>3781</v>
      </c>
    </row>
    <row r="53" customFormat="false" ht="54" hidden="false" customHeight="true" outlineLevel="0" collapsed="false">
      <c r="A53" s="3" t="s">
        <v>3785</v>
      </c>
      <c r="B53" s="3" t="n">
        <v>143736069.934506</v>
      </c>
      <c r="C53" s="3" t="n">
        <v>6712229820.28984</v>
      </c>
      <c r="D53" s="3" t="n">
        <v>11114155793.2898</v>
      </c>
      <c r="E53" s="3" t="s">
        <v>3780</v>
      </c>
      <c r="F53" s="3" t="s">
        <v>3781</v>
      </c>
    </row>
    <row r="58" customFormat="false" ht="33.75" hidden="false" customHeight="true" outlineLevel="0" collapsed="false">
      <c r="A58" s="2" t="s">
        <v>154</v>
      </c>
      <c r="B58" s="2" t="s">
        <v>3786</v>
      </c>
      <c r="C58" s="2" t="s">
        <v>3787</v>
      </c>
      <c r="D58" s="2" t="s">
        <v>3788</v>
      </c>
    </row>
    <row r="59" customFormat="false" ht="67.5" hidden="false" customHeight="true" outlineLevel="0" collapsed="false">
      <c r="A59" s="3" t="s">
        <v>3789</v>
      </c>
      <c r="B59" s="3" t="s">
        <v>3790</v>
      </c>
      <c r="C59" s="3" t="s">
        <v>3791</v>
      </c>
      <c r="D59" s="3" t="s">
        <v>3792</v>
      </c>
    </row>
    <row r="60" customFormat="false" ht="39.75" hidden="false" customHeight="true" outlineLevel="0" collapsed="false">
      <c r="A60" s="4" t="s">
        <v>3793</v>
      </c>
      <c r="B60" s="4" t="s">
        <v>3794</v>
      </c>
      <c r="C60" s="4" t="s">
        <v>3795</v>
      </c>
      <c r="D60" s="4" t="s">
        <v>3792</v>
      </c>
    </row>
    <row r="61" customFormat="false" ht="54" hidden="false" customHeight="true" outlineLevel="0" collapsed="false">
      <c r="A61" s="3" t="s">
        <v>3796</v>
      </c>
      <c r="B61" s="3" t="s">
        <v>3797</v>
      </c>
      <c r="C61" s="3" t="s">
        <v>3798</v>
      </c>
      <c r="D61" s="3" t="s">
        <v>3792</v>
      </c>
    </row>
    <row r="62" customFormat="false" ht="39.75" hidden="false" customHeight="true" outlineLevel="0" collapsed="false">
      <c r="A62" s="4" t="s">
        <v>3799</v>
      </c>
      <c r="B62" s="4" t="s">
        <v>3800</v>
      </c>
      <c r="C62" s="4" t="s">
        <v>3801</v>
      </c>
      <c r="D62" s="4" t="s">
        <v>3792</v>
      </c>
    </row>
    <row r="63" customFormat="false" ht="54" hidden="false" customHeight="true" outlineLevel="0" collapsed="false">
      <c r="A63" s="3" t="s">
        <v>3802</v>
      </c>
      <c r="B63" s="3" t="s">
        <v>3803</v>
      </c>
      <c r="C63" s="3" t="s">
        <v>3804</v>
      </c>
      <c r="D63" s="3" t="s">
        <v>3792</v>
      </c>
    </row>
    <row r="64" customFormat="false" ht="54" hidden="false" customHeight="true" outlineLevel="0" collapsed="false">
      <c r="A64" s="4" t="s">
        <v>3805</v>
      </c>
      <c r="B64" s="4" t="s">
        <v>3806</v>
      </c>
      <c r="C64" s="4" t="s">
        <v>3807</v>
      </c>
      <c r="D64" s="4" t="s">
        <v>3792</v>
      </c>
    </row>
    <row r="65" customFormat="false" ht="54" hidden="false" customHeight="true" outlineLevel="0" collapsed="false">
      <c r="A65" s="3" t="s">
        <v>3808</v>
      </c>
      <c r="B65" s="3" t="s">
        <v>3809</v>
      </c>
      <c r="C65" s="3" t="s">
        <v>3810</v>
      </c>
      <c r="D65" s="3" t="s">
        <v>3792</v>
      </c>
    </row>
    <row r="66" customFormat="false" ht="39.75" hidden="false" customHeight="true" outlineLevel="0" collapsed="false">
      <c r="A66" s="4" t="s">
        <v>3811</v>
      </c>
      <c r="B66" s="4" t="s">
        <v>3812</v>
      </c>
      <c r="C66" s="4" t="s">
        <v>3813</v>
      </c>
      <c r="D66" s="4" t="s">
        <v>3792</v>
      </c>
    </row>
    <row r="67" customFormat="false" ht="39.75" hidden="false" customHeight="true" outlineLevel="0" collapsed="false">
      <c r="A67" s="3" t="s">
        <v>3814</v>
      </c>
      <c r="B67" s="3" t="s">
        <v>3815</v>
      </c>
      <c r="C67" s="3" t="s">
        <v>3816</v>
      </c>
      <c r="D67" s="3" t="s">
        <v>3792</v>
      </c>
    </row>
    <row r="68" customFormat="false" ht="54" hidden="false" customHeight="true" outlineLevel="0" collapsed="false">
      <c r="A68" s="4" t="s">
        <v>3817</v>
      </c>
      <c r="B68" s="4" t="s">
        <v>3818</v>
      </c>
      <c r="C68" s="4" t="s">
        <v>3819</v>
      </c>
      <c r="D68" s="4" t="s">
        <v>3820</v>
      </c>
    </row>
    <row r="69" customFormat="false" ht="39.75" hidden="false" customHeight="true" outlineLevel="0" collapsed="false">
      <c r="A69" s="3" t="s">
        <v>3821</v>
      </c>
      <c r="B69" s="3" t="s">
        <v>3822</v>
      </c>
      <c r="C69" s="3" t="s">
        <v>3823</v>
      </c>
      <c r="D69" s="3" t="s">
        <v>3824</v>
      </c>
    </row>
    <row r="70" customFormat="false" ht="39.75" hidden="false" customHeight="true" outlineLevel="0" collapsed="false">
      <c r="A70" s="4" t="s">
        <v>3825</v>
      </c>
      <c r="B70" s="4" t="s">
        <v>3826</v>
      </c>
      <c r="C70" s="4" t="s">
        <v>3827</v>
      </c>
      <c r="D70" s="4" t="s">
        <v>3792</v>
      </c>
    </row>
    <row r="71" customFormat="false" ht="54" hidden="false" customHeight="true" outlineLevel="0" collapsed="false">
      <c r="A71" s="3" t="s">
        <v>3828</v>
      </c>
      <c r="B71" s="3" t="s">
        <v>3829</v>
      </c>
      <c r="C71" s="3" t="s">
        <v>3830</v>
      </c>
      <c r="D71" s="3" t="s">
        <v>3831</v>
      </c>
    </row>
    <row r="72" customFormat="false" ht="39.75" hidden="false" customHeight="true" outlineLevel="0" collapsed="false">
      <c r="A72" s="4" t="s">
        <v>3832</v>
      </c>
      <c r="B72" s="4" t="s">
        <v>3833</v>
      </c>
      <c r="C72" s="4" t="s">
        <v>3834</v>
      </c>
      <c r="D72" s="4" t="s">
        <v>3835</v>
      </c>
    </row>
    <row r="73" customFormat="false" ht="39.75" hidden="false" customHeight="true" outlineLevel="0" collapsed="false">
      <c r="A73" s="3" t="s">
        <v>3836</v>
      </c>
      <c r="B73" s="3" t="s">
        <v>3837</v>
      </c>
      <c r="C73" s="3" t="s">
        <v>3838</v>
      </c>
      <c r="D73" s="3" t="s">
        <v>3792</v>
      </c>
    </row>
    <row r="74" customFormat="false" ht="39.75" hidden="false" customHeight="true" outlineLevel="0" collapsed="false">
      <c r="A74" s="4" t="s">
        <v>3839</v>
      </c>
      <c r="B74" s="4" t="s">
        <v>3840</v>
      </c>
      <c r="C74" s="4" t="s">
        <v>3841</v>
      </c>
      <c r="D74" s="4" t="s">
        <v>3792</v>
      </c>
    </row>
    <row r="75" customFormat="false" ht="54" hidden="false" customHeight="true" outlineLevel="0" collapsed="false">
      <c r="A75" s="3" t="s">
        <v>3842</v>
      </c>
      <c r="B75" s="3" t="s">
        <v>3843</v>
      </c>
      <c r="C75" s="3" t="s">
        <v>3844</v>
      </c>
      <c r="D75" s="3" t="s">
        <v>3792</v>
      </c>
    </row>
    <row r="76" customFormat="false" ht="39.75" hidden="false" customHeight="true" outlineLevel="0" collapsed="false">
      <c r="A76" s="4" t="s">
        <v>3845</v>
      </c>
      <c r="B76" s="4" t="s">
        <v>3846</v>
      </c>
      <c r="C76" s="4" t="s">
        <v>3847</v>
      </c>
      <c r="D76" s="4" t="s">
        <v>3792</v>
      </c>
    </row>
    <row r="77" customFormat="false" ht="54" hidden="false" customHeight="true" outlineLevel="0" collapsed="false">
      <c r="A77" s="3" t="s">
        <v>3848</v>
      </c>
      <c r="B77" s="3" t="s">
        <v>3849</v>
      </c>
      <c r="C77" s="3" t="s">
        <v>3850</v>
      </c>
      <c r="D77" s="3" t="s">
        <v>3792</v>
      </c>
    </row>
    <row r="78" customFormat="false" ht="39.75" hidden="false" customHeight="true" outlineLevel="0" collapsed="false">
      <c r="A78" s="4" t="s">
        <v>3851</v>
      </c>
      <c r="B78" s="4" t="s">
        <v>3852</v>
      </c>
      <c r="C78" s="4" t="s">
        <v>3853</v>
      </c>
      <c r="D78" s="4" t="s">
        <v>3792</v>
      </c>
    </row>
    <row r="83" customFormat="false" ht="33.75" hidden="false" customHeight="true" outlineLevel="0" collapsed="false">
      <c r="A83" s="2" t="s">
        <v>3854</v>
      </c>
      <c r="B83" s="2" t="s">
        <v>3855</v>
      </c>
      <c r="C83" s="2" t="s">
        <v>3856</v>
      </c>
      <c r="D83" s="2" t="s">
        <v>3857</v>
      </c>
      <c r="E83" s="2" t="s">
        <v>2092</v>
      </c>
      <c r="F83" s="2" t="s">
        <v>3858</v>
      </c>
      <c r="G83" s="2" t="s">
        <v>3859</v>
      </c>
    </row>
    <row r="84" customFormat="false" ht="25.5" hidden="false" customHeight="true" outlineLevel="0" collapsed="false">
      <c r="A84" s="3" t="s">
        <v>2926</v>
      </c>
      <c r="B84" s="3" t="n">
        <v>400000000</v>
      </c>
      <c r="C84" s="3" t="n">
        <v>250000000</v>
      </c>
      <c r="D84" s="3" t="n">
        <v>500000000</v>
      </c>
      <c r="E84" s="3" t="n">
        <f aca="false">IF(B84&lt;C84,D84-B84,0)/D84</f>
        <v>0</v>
      </c>
      <c r="F84" s="3" t="n">
        <f aca="false">IF(B84&lt;C84,3,0)</f>
        <v>0</v>
      </c>
      <c r="G84" s="3" t="n">
        <v>0</v>
      </c>
    </row>
    <row r="85" customFormat="false" ht="25.5" hidden="false" customHeight="true" outlineLevel="0" collapsed="false">
      <c r="A85" s="4" t="s">
        <v>2927</v>
      </c>
      <c r="B85" s="4" t="n">
        <v>250000000</v>
      </c>
      <c r="C85" s="4" t="n">
        <v>250000000</v>
      </c>
      <c r="D85" s="4" t="n">
        <v>500000000</v>
      </c>
      <c r="E85" s="4" t="n">
        <f aca="false">IF(B85&lt;C85,D85-B85,0)/D85</f>
        <v>0</v>
      </c>
      <c r="F85" s="4" t="n">
        <f aca="false">IF(B85&lt;C85,3,0)</f>
        <v>0</v>
      </c>
      <c r="G85" s="4" t="n">
        <v>0</v>
      </c>
    </row>
    <row r="86" customFormat="false" ht="25.5" hidden="false" customHeight="true" outlineLevel="0" collapsed="false">
      <c r="A86" s="3" t="s">
        <v>3860</v>
      </c>
      <c r="B86" s="3" t="n">
        <v>249000000</v>
      </c>
      <c r="C86" s="3" t="n">
        <v>250000000</v>
      </c>
      <c r="D86" s="3" t="n">
        <v>500000000</v>
      </c>
      <c r="E86" s="3" t="n">
        <f aca="false">IF(B86&lt;C86,D86-B86,0)/D86</f>
        <v>0.502</v>
      </c>
      <c r="F86" s="3" t="n">
        <f aca="false">IF(B86&lt;C86,3,0)</f>
        <v>3</v>
      </c>
      <c r="G86" s="3" t="n">
        <v>3</v>
      </c>
    </row>
    <row r="87" customFormat="false" ht="25.5" hidden="false" customHeight="true" outlineLevel="0" collapsed="false">
      <c r="A87" s="4" t="s">
        <v>3861</v>
      </c>
      <c r="B87" s="4" t="n">
        <v>0</v>
      </c>
      <c r="C87" s="4" t="n">
        <v>250000000</v>
      </c>
      <c r="D87" s="4" t="n">
        <v>500000000</v>
      </c>
      <c r="E87" s="4" t="n">
        <f aca="false">IF(B87&lt;C87,D87-B87,0)/D87</f>
        <v>1</v>
      </c>
      <c r="F87" s="4" t="n">
        <f aca="false">IF(B87&lt;C87,3,0)</f>
        <v>3</v>
      </c>
      <c r="G87" s="4" t="n">
        <v>3</v>
      </c>
    </row>
    <row r="88" customFormat="false" ht="25.5" hidden="false" customHeight="true" outlineLevel="0" collapsed="false">
      <c r="A88" s="3" t="s">
        <v>3862</v>
      </c>
      <c r="B88" s="3" t="n">
        <v>-1</v>
      </c>
      <c r="C88" s="3" t="n">
        <v>250000000</v>
      </c>
      <c r="D88" s="3" t="n">
        <v>500000000</v>
      </c>
      <c r="E88" s="3" t="n">
        <f aca="false">IF(B88&lt;C88,D88-B88,0)/D88</f>
        <v>1.000000002</v>
      </c>
      <c r="F88" s="3" t="n">
        <f aca="false">IF(B88&lt;C88,3,0)</f>
        <v>3</v>
      </c>
      <c r="G88" s="3" t="n">
        <v>3</v>
      </c>
    </row>
    <row r="89" customFormat="false" ht="25.5" hidden="false" customHeight="true" outlineLevel="0" collapsed="false">
      <c r="A89" s="4" t="s">
        <v>3863</v>
      </c>
      <c r="B89" s="4" t="n">
        <v>500000000</v>
      </c>
      <c r="C89" s="4" t="n">
        <v>250000000</v>
      </c>
      <c r="D89" s="4" t="n">
        <v>500000000</v>
      </c>
      <c r="E89" s="4" t="n">
        <f aca="false">IF(B89&lt;C89,D89-B89,0)/D89</f>
        <v>0</v>
      </c>
      <c r="F89" s="4" t="n">
        <f aca="false">IF(B89&lt;C89,3,0)</f>
        <v>0</v>
      </c>
      <c r="G89" s="4" t="n">
        <v>0</v>
      </c>
    </row>
    <row r="90" customFormat="false" ht="25.5" hidden="false" customHeight="true" outlineLevel="0" collapsed="false">
      <c r="A90" s="3" t="s">
        <v>3864</v>
      </c>
      <c r="B90" s="3" t="n">
        <v>600000000</v>
      </c>
      <c r="C90" s="3" t="n">
        <v>250000000</v>
      </c>
      <c r="D90" s="3" t="n">
        <v>500000000</v>
      </c>
      <c r="E90" s="3" t="n">
        <f aca="false">IF(B90&lt;C90,D90-B90,0)/D90</f>
        <v>0</v>
      </c>
      <c r="F90" s="3" t="n">
        <f aca="false">IF(B90&lt;C90,3,0)</f>
        <v>0</v>
      </c>
      <c r="G90" s="3" t="n">
        <v>0</v>
      </c>
    </row>
    <row r="91" customFormat="false" ht="25.5" hidden="false" customHeight="true" outlineLevel="0" collapsed="false">
      <c r="A91" s="4" t="s">
        <v>3865</v>
      </c>
      <c r="B91" s="4" t="n">
        <v>350000000</v>
      </c>
      <c r="C91" s="4" t="n">
        <v>400000000</v>
      </c>
      <c r="D91" s="4" t="n">
        <v>500000000</v>
      </c>
      <c r="E91" s="4" t="n">
        <f aca="false">IF(B91&lt;C91,D91-B91,0)/D91</f>
        <v>0.3</v>
      </c>
      <c r="F91" s="4" t="n">
        <f aca="false">IF(B91&lt;C91,3,0)</f>
        <v>3</v>
      </c>
      <c r="G91" s="4" t="n">
        <v>3</v>
      </c>
    </row>
    <row r="95" customFormat="false" ht="33.75" hidden="false" customHeight="true" outlineLevel="0" collapsed="false">
      <c r="A95" s="2" t="s">
        <v>1892</v>
      </c>
      <c r="B95" s="2" t="s">
        <v>2317</v>
      </c>
      <c r="C95" s="2" t="s">
        <v>3866</v>
      </c>
      <c r="D95" s="2" t="s">
        <v>3867</v>
      </c>
    </row>
    <row r="96" customFormat="false" ht="25.5" hidden="false" customHeight="true" outlineLevel="0" collapsed="false">
      <c r="A96" s="3" t="s">
        <v>1720</v>
      </c>
      <c r="B96" s="3" t="s">
        <v>3780</v>
      </c>
      <c r="C96" s="3" t="str">
        <f aca="false">"M"&amp;(VALUE(RIGHT(A96,1))*2+IF(B96="TH01",1,2))</f>
        <v>M1</v>
      </c>
      <c r="D96" s="3" t="s">
        <v>1721</v>
      </c>
    </row>
    <row r="97" customFormat="false" ht="25.5" hidden="false" customHeight="true" outlineLevel="0" collapsed="false">
      <c r="A97" s="4" t="s">
        <v>1720</v>
      </c>
      <c r="B97" s="4" t="s">
        <v>3868</v>
      </c>
      <c r="C97" s="4" t="str">
        <f aca="false">"M"&amp;(VALUE(RIGHT(A97,1))*2+IF(B97="TH01",1,2))</f>
        <v>M2</v>
      </c>
      <c r="D97" s="4" t="s">
        <v>1722</v>
      </c>
    </row>
    <row r="98" customFormat="false" ht="25.5" hidden="false" customHeight="true" outlineLevel="0" collapsed="false">
      <c r="A98" s="3" t="s">
        <v>146</v>
      </c>
      <c r="B98" s="3" t="s">
        <v>3780</v>
      </c>
      <c r="C98" s="3" t="str">
        <f aca="false">"M"&amp;(VALUE(RIGHT(A98,1))*2+IF(B98="TH01",1,2))</f>
        <v>M3</v>
      </c>
      <c r="D98" s="3" t="s">
        <v>1724</v>
      </c>
    </row>
    <row r="99" customFormat="false" ht="25.5" hidden="false" customHeight="true" outlineLevel="0" collapsed="false">
      <c r="A99" s="4" t="s">
        <v>146</v>
      </c>
      <c r="B99" s="4" t="s">
        <v>3868</v>
      </c>
      <c r="C99" s="4" t="str">
        <f aca="false">"M"&amp;(VALUE(RIGHT(A99,1))*2+IF(B99="TH01",1,2))</f>
        <v>M4</v>
      </c>
      <c r="D99" s="4" t="s">
        <v>1725</v>
      </c>
    </row>
    <row r="100" customFormat="false" ht="25.5" hidden="false" customHeight="true" outlineLevel="0" collapsed="false">
      <c r="A100" s="3" t="s">
        <v>1726</v>
      </c>
      <c r="B100" s="3" t="s">
        <v>3780</v>
      </c>
      <c r="C100" s="3" t="str">
        <f aca="false">"M"&amp;(VALUE(RIGHT(A100,1))*2+IF(B100="TH01",1,2))</f>
        <v>M5</v>
      </c>
      <c r="D100" s="3" t="s">
        <v>1727</v>
      </c>
    </row>
    <row r="101" customFormat="false" ht="25.5" hidden="false" customHeight="true" outlineLevel="0" collapsed="false">
      <c r="A101" s="4" t="s">
        <v>1726</v>
      </c>
      <c r="B101" s="4" t="s">
        <v>3868</v>
      </c>
      <c r="C101" s="4" t="str">
        <f aca="false">"M"&amp;(VALUE(RIGHT(A101,1))*2+IF(B101="TH01",1,2))</f>
        <v>M6</v>
      </c>
      <c r="D101" s="4" t="s">
        <v>1728</v>
      </c>
    </row>
    <row r="102" customFormat="false" ht="25.5" hidden="false" customHeight="true" outlineLevel="0" collapsed="false">
      <c r="A102" s="3"/>
      <c r="B102" s="3"/>
      <c r="C102" s="3"/>
      <c r="D102" s="3"/>
    </row>
    <row r="103" customFormat="false" ht="25.5" hidden="false" customHeight="true" outlineLevel="0" collapsed="false">
      <c r="A103" s="4"/>
      <c r="B103" s="4"/>
      <c r="C103" s="4"/>
      <c r="D103" s="4"/>
    </row>
    <row r="104" customFormat="false" ht="25.5" hidden="false" customHeight="true" outlineLevel="0" collapsed="false">
      <c r="A104" s="3"/>
      <c r="B104" s="3"/>
      <c r="C104" s="3"/>
      <c r="D104" s="3"/>
    </row>
    <row r="109" customFormat="false" ht="33.75" hidden="false" customHeight="true" outlineLevel="0" collapsed="false">
      <c r="A109" s="2" t="s">
        <v>3854</v>
      </c>
      <c r="B109" s="2" t="s">
        <v>2461</v>
      </c>
      <c r="C109" s="2" t="s">
        <v>1745</v>
      </c>
      <c r="D109" s="2" t="s">
        <v>3869</v>
      </c>
      <c r="E109" s="2" t="s">
        <v>3870</v>
      </c>
      <c r="F109" s="2" t="s">
        <v>3871</v>
      </c>
      <c r="G109" s="3" t="s">
        <v>1749</v>
      </c>
    </row>
    <row r="110" customFormat="false" ht="25.5" hidden="false" customHeight="true" outlineLevel="0" collapsed="false">
      <c r="A110" s="3" t="s">
        <v>3872</v>
      </c>
      <c r="B110" s="3" t="n">
        <v>249000000</v>
      </c>
      <c r="C110" s="3" t="n">
        <v>250000000</v>
      </c>
      <c r="D110" s="3" t="n">
        <v>1500000000</v>
      </c>
      <c r="E110" s="3" t="str">
        <f aca="false">IF(B110&lt;C110,"TH01",IF(D110&gt;G110,"TH02","Trong vùng L–H"))</f>
        <v>TH01</v>
      </c>
      <c r="F110" s="3" t="s">
        <v>3780</v>
      </c>
      <c r="G110" s="3" t="n">
        <v>1000000000</v>
      </c>
    </row>
    <row r="111" customFormat="false" ht="25.5" hidden="false" customHeight="true" outlineLevel="0" collapsed="false">
      <c r="A111" s="4" t="s">
        <v>3873</v>
      </c>
      <c r="B111" s="4" t="n">
        <v>300000000</v>
      </c>
      <c r="C111" s="4" t="n">
        <v>250000000</v>
      </c>
      <c r="D111" s="4" t="n">
        <v>900000000</v>
      </c>
      <c r="E111" s="4" t="str">
        <f aca="false">IF(B111&lt;C111,"TH01",IF(D111&gt;G111,"TH02","Trong vùng L–H"))</f>
        <v>Trong vùng L–H</v>
      </c>
      <c r="F111" s="4" t="s">
        <v>3874</v>
      </c>
      <c r="G111" s="3" t="n">
        <v>1000000000</v>
      </c>
    </row>
    <row r="112" customFormat="false" ht="25.5" hidden="false" customHeight="true" outlineLevel="0" collapsed="false">
      <c r="A112" s="3" t="s">
        <v>3875</v>
      </c>
      <c r="B112" s="3" t="n">
        <v>300000000</v>
      </c>
      <c r="C112" s="3" t="n">
        <v>250000000</v>
      </c>
      <c r="D112" s="3" t="n">
        <v>1100000000</v>
      </c>
      <c r="E112" s="3" t="str">
        <f aca="false">IF(B112&lt;C112,"TH01",IF(D112&gt;G112,"TH02","Trong vùng L–H"))</f>
        <v>TH02</v>
      </c>
      <c r="F112" s="3" t="s">
        <v>3868</v>
      </c>
      <c r="G112" s="3" t="n">
        <v>1000000000</v>
      </c>
    </row>
    <row r="116" customFormat="false" ht="33.75" hidden="false" customHeight="true" outlineLevel="0" collapsed="false">
      <c r="A116" s="2" t="s">
        <v>3876</v>
      </c>
      <c r="B116" s="2" t="s">
        <v>3877</v>
      </c>
      <c r="C116" s="2" t="s">
        <v>3878</v>
      </c>
      <c r="D116" s="2" t="s">
        <v>3879</v>
      </c>
    </row>
    <row r="117" customFormat="false" ht="25.5" hidden="false" customHeight="true" outlineLevel="0" collapsed="false">
      <c r="A117" s="3" t="n">
        <v>1</v>
      </c>
      <c r="B117" s="3" t="n">
        <v>750000000</v>
      </c>
      <c r="C117" s="3" t="n">
        <v>1000000000</v>
      </c>
      <c r="D117" s="3" t="n">
        <f aca="false">IF(B117&gt;C117,0+1,0)</f>
        <v>0</v>
      </c>
    </row>
    <row r="118" customFormat="false" ht="25.5" hidden="false" customHeight="true" outlineLevel="0" collapsed="false">
      <c r="A118" s="4" t="n">
        <v>2</v>
      </c>
      <c r="B118" s="4" t="n">
        <v>750000000</v>
      </c>
      <c r="C118" s="4" t="n">
        <v>1000000000</v>
      </c>
      <c r="D118" s="4" t="n">
        <f aca="false">IF(B118&gt;C118,D117+1,0)</f>
        <v>0</v>
      </c>
    </row>
    <row r="119" customFormat="false" ht="25.5" hidden="false" customHeight="true" outlineLevel="0" collapsed="false">
      <c r="A119" s="3" t="n">
        <v>3</v>
      </c>
      <c r="B119" s="3" t="n">
        <v>750000000</v>
      </c>
      <c r="C119" s="3" t="n">
        <v>1000000000</v>
      </c>
      <c r="D119" s="3" t="n">
        <f aca="false">IF(B119&gt;C119,D118+1,0)</f>
        <v>0</v>
      </c>
    </row>
    <row r="120" customFormat="false" ht="25.5" hidden="false" customHeight="true" outlineLevel="0" collapsed="false">
      <c r="A120" s="4" t="n">
        <v>4</v>
      </c>
      <c r="B120" s="4" t="n">
        <v>750000000</v>
      </c>
      <c r="C120" s="4" t="n">
        <v>1000000000</v>
      </c>
      <c r="D120" s="4" t="n">
        <f aca="false">IF(B120&gt;C120,D119+1,0)</f>
        <v>0</v>
      </c>
    </row>
    <row r="121" customFormat="false" ht="25.5" hidden="false" customHeight="true" outlineLevel="0" collapsed="false">
      <c r="A121" s="3" t="n">
        <v>5</v>
      </c>
      <c r="B121" s="3" t="n">
        <v>750000000</v>
      </c>
      <c r="C121" s="3" t="n">
        <v>1000000000</v>
      </c>
      <c r="D121" s="3" t="n">
        <f aca="false">IF(B121&gt;C121,D120+1,0)</f>
        <v>0</v>
      </c>
    </row>
    <row r="122" customFormat="false" ht="25.5" hidden="false" customHeight="true" outlineLevel="0" collapsed="false">
      <c r="A122" s="4" t="n">
        <v>6</v>
      </c>
      <c r="B122" s="4" t="n">
        <v>750000000</v>
      </c>
      <c r="C122" s="4" t="n">
        <v>1000000000</v>
      </c>
      <c r="D122" s="4" t="n">
        <f aca="false">IF(B122&gt;C122,D121+1,0)</f>
        <v>0</v>
      </c>
    </row>
    <row r="123" customFormat="false" ht="25.5" hidden="false" customHeight="true" outlineLevel="0" collapsed="false">
      <c r="A123" s="3" t="n">
        <v>7</v>
      </c>
      <c r="B123" s="3" t="n">
        <v>750000000</v>
      </c>
      <c r="C123" s="3" t="n">
        <v>1000000000</v>
      </c>
      <c r="D123" s="3" t="n">
        <f aca="false">IF(B123&gt;C123,D122+1,0)</f>
        <v>0</v>
      </c>
    </row>
    <row r="124" customFormat="false" ht="25.5" hidden="false" customHeight="true" outlineLevel="0" collapsed="false">
      <c r="A124" s="4" t="n">
        <v>8</v>
      </c>
      <c r="B124" s="4" t="n">
        <v>750000000</v>
      </c>
      <c r="C124" s="4" t="n">
        <v>1000000000</v>
      </c>
      <c r="D124" s="4" t="n">
        <f aca="false">IF(B124&gt;C124,D123+1,0)</f>
        <v>0</v>
      </c>
    </row>
    <row r="125" customFormat="false" ht="25.5" hidden="false" customHeight="true" outlineLevel="0" collapsed="false">
      <c r="A125" s="3" t="n">
        <v>9</v>
      </c>
      <c r="B125" s="3" t="n">
        <v>1100000000</v>
      </c>
      <c r="C125" s="3" t="n">
        <v>1000000000</v>
      </c>
      <c r="D125" s="3" t="n">
        <f aca="false">IF(B125&gt;C125,D124+1,0)</f>
        <v>1</v>
      </c>
    </row>
    <row r="126" customFormat="false" ht="25.5" hidden="false" customHeight="true" outlineLevel="0" collapsed="false">
      <c r="A126" s="4" t="n">
        <v>10</v>
      </c>
      <c r="B126" s="4" t="n">
        <v>1100000000</v>
      </c>
      <c r="C126" s="4" t="n">
        <v>1000000000</v>
      </c>
      <c r="D126" s="4" t="n">
        <f aca="false">IF(B126&gt;C126,D125+1,0)</f>
        <v>2</v>
      </c>
    </row>
    <row r="127" customFormat="false" ht="25.5" hidden="false" customHeight="true" outlineLevel="0" collapsed="false">
      <c r="A127" s="3" t="n">
        <v>11</v>
      </c>
      <c r="B127" s="3" t="n">
        <v>1100000000</v>
      </c>
      <c r="C127" s="3" t="n">
        <v>1000000000</v>
      </c>
      <c r="D127" s="3" t="n">
        <f aca="false">IF(B127&gt;C127,D126+1,0)</f>
        <v>3</v>
      </c>
    </row>
    <row r="128" customFormat="false" ht="25.5" hidden="false" customHeight="true" outlineLevel="0" collapsed="false">
      <c r="A128" s="4" t="n">
        <v>12</v>
      </c>
      <c r="B128" s="4" t="n">
        <v>1100000000</v>
      </c>
      <c r="C128" s="4" t="n">
        <v>1000000000</v>
      </c>
      <c r="D128" s="4" t="n">
        <f aca="false">IF(B128&gt;C128,D127+1,0)</f>
        <v>4</v>
      </c>
    </row>
    <row r="129" customFormat="false" ht="25.5" hidden="false" customHeight="true" outlineLevel="0" collapsed="false">
      <c r="A129" s="3" t="n">
        <v>13</v>
      </c>
      <c r="B129" s="3" t="n">
        <v>1100000000</v>
      </c>
      <c r="C129" s="3" t="n">
        <v>1000000000</v>
      </c>
      <c r="D129" s="3" t="n">
        <f aca="false">IF(B129&gt;C129,D128+1,0)</f>
        <v>5</v>
      </c>
    </row>
    <row r="130" customFormat="false" ht="25.5" hidden="false" customHeight="true" outlineLevel="0" collapsed="false">
      <c r="A130" s="4" t="n">
        <v>14</v>
      </c>
      <c r="B130" s="4" t="n">
        <v>1100000000</v>
      </c>
      <c r="C130" s="4" t="n">
        <v>1000000000</v>
      </c>
      <c r="D130" s="4" t="n">
        <f aca="false">IF(B130&gt;C130,D129+1,0)</f>
        <v>6</v>
      </c>
    </row>
    <row r="131" customFormat="false" ht="25.5" hidden="false" customHeight="true" outlineLevel="0" collapsed="false">
      <c r="A131" s="3" t="n">
        <v>15</v>
      </c>
      <c r="B131" s="3" t="n">
        <v>1100000000</v>
      </c>
      <c r="C131" s="3" t="n">
        <v>1000000000</v>
      </c>
      <c r="D131" s="3" t="n">
        <f aca="false">IF(B131&gt;C131,D130+1,0)</f>
        <v>7</v>
      </c>
    </row>
    <row r="132" customFormat="false" ht="25.5" hidden="false" customHeight="true" outlineLevel="0" collapsed="false">
      <c r="A132" s="4" t="n">
        <v>16</v>
      </c>
      <c r="B132" s="4" t="n">
        <v>1100000000</v>
      </c>
      <c r="C132" s="4" t="n">
        <v>1000000000</v>
      </c>
      <c r="D132" s="4" t="n">
        <f aca="false">IF(B132&gt;C132,D131+1,0)</f>
        <v>8</v>
      </c>
    </row>
    <row r="133" customFormat="false" ht="25.5" hidden="false" customHeight="true" outlineLevel="0" collapsed="false">
      <c r="A133" s="3" t="n">
        <v>17</v>
      </c>
      <c r="B133" s="3" t="n">
        <v>1100000000</v>
      </c>
      <c r="C133" s="3" t="n">
        <v>1000000000</v>
      </c>
      <c r="D133" s="3" t="n">
        <f aca="false">IF(B133&gt;C133,D132+1,0)</f>
        <v>9</v>
      </c>
    </row>
    <row r="134" customFormat="false" ht="25.5" hidden="false" customHeight="true" outlineLevel="0" collapsed="false">
      <c r="A134" s="4" t="n">
        <v>18</v>
      </c>
      <c r="B134" s="4" t="n">
        <v>1100000000</v>
      </c>
      <c r="C134" s="4" t="n">
        <v>1000000000</v>
      </c>
      <c r="D134" s="4" t="n">
        <f aca="false">IF(B134&gt;C134,D133+1,0)</f>
        <v>10</v>
      </c>
    </row>
    <row r="135" customFormat="false" ht="25.5" hidden="false" customHeight="true" outlineLevel="0" collapsed="false">
      <c r="A135" s="3" t="n">
        <v>19</v>
      </c>
      <c r="B135" s="3" t="n">
        <v>1100000000</v>
      </c>
      <c r="C135" s="3" t="n">
        <v>1000000000</v>
      </c>
      <c r="D135" s="3" t="n">
        <f aca="false">IF(B135&gt;C135,D134+1,0)</f>
        <v>11</v>
      </c>
    </row>
    <row r="136" customFormat="false" ht="25.5" hidden="false" customHeight="true" outlineLevel="0" collapsed="false">
      <c r="A136" s="4" t="n">
        <v>20</v>
      </c>
      <c r="B136" s="4" t="n">
        <v>1100000000</v>
      </c>
      <c r="C136" s="4" t="n">
        <v>1000000000</v>
      </c>
      <c r="D136" s="4" t="n">
        <f aca="false">IF(B136&gt;C136,D135+1,0)</f>
        <v>12</v>
      </c>
    </row>
    <row r="137" customFormat="false" ht="25.5" hidden="false" customHeight="true" outlineLevel="0" collapsed="false">
      <c r="A137" s="3" t="n">
        <v>21</v>
      </c>
      <c r="B137" s="3" t="n">
        <v>1100000000</v>
      </c>
      <c r="C137" s="3" t="n">
        <v>1000000000</v>
      </c>
      <c r="D137" s="3" t="n">
        <f aca="false">IF(B137&gt;C137,D136+1,0)</f>
        <v>13</v>
      </c>
    </row>
    <row r="138" customFormat="false" ht="25.5" hidden="false" customHeight="true" outlineLevel="0" collapsed="false">
      <c r="A138" s="4" t="n">
        <v>22</v>
      </c>
      <c r="B138" s="4" t="n">
        <v>1100000000</v>
      </c>
      <c r="C138" s="4" t="n">
        <v>1000000000</v>
      </c>
      <c r="D138" s="4" t="n">
        <f aca="false">IF(B138&gt;C138,D137+1,0)</f>
        <v>14</v>
      </c>
    </row>
    <row r="141" customFormat="false" ht="13.5" hidden="false" customHeight="false" outlineLevel="0" collapsed="false">
      <c r="A141" s="0" t="s">
        <v>3880</v>
      </c>
      <c r="B141" s="0" t="n">
        <f aca="false">MAX(D117:D138)</f>
        <v>14</v>
      </c>
      <c r="C141" s="0" t="n">
        <v>14</v>
      </c>
    </row>
    <row r="145" customFormat="false" ht="36" hidden="false" customHeight="true" outlineLevel="0" collapsed="false">
      <c r="A145" s="2" t="s">
        <v>154</v>
      </c>
      <c r="B145" s="2" t="s">
        <v>3881</v>
      </c>
      <c r="C145" s="2" t="s">
        <v>3689</v>
      </c>
      <c r="D145" s="2" t="s">
        <v>2642</v>
      </c>
      <c r="E145" s="2" t="s">
        <v>3882</v>
      </c>
      <c r="F145" s="2" t="s">
        <v>3692</v>
      </c>
      <c r="G145" s="2" t="s">
        <v>4</v>
      </c>
    </row>
    <row r="146" customFormat="false" ht="36" hidden="false" customHeight="true" outlineLevel="0" collapsed="false">
      <c r="A146" s="3" t="s">
        <v>3883</v>
      </c>
      <c r="B146" s="3" t="s">
        <v>3884</v>
      </c>
      <c r="C146" s="35" t="n">
        <f aca="false">D_F01!B15-MAX(Nguong!B5*D_F01!B21,Nguong!B6)</f>
        <v>0</v>
      </c>
      <c r="D146" s="35" t="n">
        <v>0</v>
      </c>
      <c r="E146" s="102" t="n">
        <f aca="false">C146-D146</f>
        <v>0</v>
      </c>
      <c r="F146" s="3" t="str">
        <f aca="false">IF(ABS(E146)&lt;0.01,"OK","LỆCH")</f>
        <v>OK</v>
      </c>
      <c r="G146" s="3" t="s">
        <v>3885</v>
      </c>
    </row>
    <row r="147" customFormat="false" ht="36" hidden="false" customHeight="true" outlineLevel="0" collapsed="false">
      <c r="A147" s="3" t="s">
        <v>3886</v>
      </c>
      <c r="B147" s="3" t="s">
        <v>3887</v>
      </c>
      <c r="C147" s="35" t="n">
        <f aca="false">D_F01!B17-(3*D_F01!B16-2*D_F01!B15)</f>
        <v>0</v>
      </c>
      <c r="D147" s="35" t="n">
        <v>0</v>
      </c>
      <c r="E147" s="102" t="n">
        <f aca="false">C147-D147</f>
        <v>0</v>
      </c>
      <c r="F147" s="3" t="str">
        <f aca="false">IF(ABS(E147)&lt;0.01,"OK","LỆCH")</f>
        <v>OK</v>
      </c>
      <c r="G147" s="3" t="s">
        <v>3885</v>
      </c>
    </row>
    <row r="148" customFormat="false" ht="36" hidden="false" customHeight="true" outlineLevel="0" collapsed="false">
      <c r="A148" s="3" t="s">
        <v>3888</v>
      </c>
      <c r="B148" s="3" t="s">
        <v>3889</v>
      </c>
      <c r="C148" s="35" t="n">
        <f aca="false">IF(Nguong!B84="firm_daily",1,0)</f>
        <v>1</v>
      </c>
      <c r="D148" s="35" t="n">
        <v>1</v>
      </c>
      <c r="E148" s="102" t="n">
        <f aca="false">C148-D148</f>
        <v>0</v>
      </c>
      <c r="F148" s="3" t="str">
        <f aca="false">IF(ABS(E148)&lt;0.01,"OK","LỆCH")</f>
        <v>OK</v>
      </c>
      <c r="G148" s="3" t="s">
        <v>3885</v>
      </c>
    </row>
    <row r="149" customFormat="false" ht="36" hidden="false" customHeight="true" outlineLevel="0" collapsed="false">
      <c r="A149" s="3" t="s">
        <v>3890</v>
      </c>
      <c r="B149" s="3" t="s">
        <v>3891</v>
      </c>
      <c r="C149" s="35" t="n">
        <f aca="false">D_flows!F245-(D_F01!B11-D_F01!B12)</f>
        <v>0</v>
      </c>
      <c r="D149" s="35" t="n">
        <v>0</v>
      </c>
      <c r="E149" s="102" t="n">
        <f aca="false">C149-D149</f>
        <v>0</v>
      </c>
      <c r="F149" s="3" t="str">
        <f aca="false">IF(ABS(E149)&lt;0.01,"OK","LỆCH")</f>
        <v>OK</v>
      </c>
      <c r="G149" s="3" t="s">
        <v>3885</v>
      </c>
    </row>
    <row r="150" customFormat="false" ht="36" hidden="false" customHeight="true" outlineLevel="0" collapsed="false">
      <c r="A150" s="3" t="s">
        <v>3892</v>
      </c>
      <c r="B150" s="3" t="s">
        <v>3893</v>
      </c>
      <c r="C150" s="35" t="n">
        <f aca="false">F01_UC1!B20</f>
        <v>0</v>
      </c>
      <c r="D150" s="35" t="n">
        <v>0</v>
      </c>
      <c r="E150" s="102" t="n">
        <f aca="false">C150-D150</f>
        <v>0</v>
      </c>
      <c r="F150" s="3" t="str">
        <f aca="false">IF(ABS(E150)&lt;0.01,"OK","LỆCH")</f>
        <v>OK</v>
      </c>
      <c r="G150" s="3" t="s">
        <v>3885</v>
      </c>
    </row>
    <row r="151" customFormat="false" ht="36" hidden="false" customHeight="true" outlineLevel="0" collapsed="false">
      <c r="A151" s="3" t="s">
        <v>3894</v>
      </c>
      <c r="B151" s="3" t="s">
        <v>3895</v>
      </c>
      <c r="C151" s="35" t="n">
        <f aca="false">D_F01!B9-SUM(D_sales!F5:F121)</f>
        <v>0</v>
      </c>
      <c r="D151" s="35" t="n">
        <v>0</v>
      </c>
      <c r="E151" s="102" t="n">
        <f aca="false">C151-D151</f>
        <v>0</v>
      </c>
      <c r="F151" s="3" t="str">
        <f aca="false">IF(ABS(E151)&lt;0.01,"OK","LỆCH")</f>
        <v>OK</v>
      </c>
      <c r="G151" s="3" t="s">
        <v>3885</v>
      </c>
    </row>
    <row r="152" customFormat="false" ht="36" hidden="false" customHeight="true" outlineLevel="0" collapsed="false">
      <c r="A152" s="3" t="s">
        <v>3896</v>
      </c>
      <c r="B152" s="3" t="s">
        <v>3897</v>
      </c>
      <c r="C152" s="35" t="n">
        <f aca="false">COUNTIF(D_inventory!E5:E40,"F01")</f>
        <v>36</v>
      </c>
      <c r="D152" s="35" t="n">
        <v>36</v>
      </c>
      <c r="E152" s="102" t="n">
        <f aca="false">C152-D152</f>
        <v>0</v>
      </c>
      <c r="F152" s="3" t="str">
        <f aca="false">IF(ABS(E152)&lt;0.01,"OK","LỆCH")</f>
        <v>OK</v>
      </c>
      <c r="G152" s="3" t="s">
        <v>3885</v>
      </c>
    </row>
    <row r="153" customFormat="false" ht="36" hidden="false" customHeight="true" outlineLevel="0" collapsed="false">
      <c r="A153" s="3" t="s">
        <v>3898</v>
      </c>
      <c r="B153" s="3" t="s">
        <v>3899</v>
      </c>
      <c r="C153" s="35" t="n">
        <f aca="false">SUMPRODUCT((F01_UC2!G70:G160&lt;F01_UC2!B9)*1)-COUNTIF(F01_UC2!H70:H160,"&gt;0")</f>
        <v>0</v>
      </c>
      <c r="D153" s="35" t="n">
        <v>0</v>
      </c>
      <c r="E153" s="102" t="n">
        <f aca="false">C153-D153</f>
        <v>0</v>
      </c>
      <c r="F153" s="3" t="str">
        <f aca="false">IF(ABS(E153)&lt;0.01,"OK","LỆCH")</f>
        <v>OK</v>
      </c>
      <c r="G153" s="3" t="s">
        <v>3885</v>
      </c>
    </row>
    <row r="154" customFormat="false" ht="36" hidden="false" customHeight="true" outlineLevel="0" collapsed="false">
      <c r="A154" s="3" t="s">
        <v>3900</v>
      </c>
      <c r="B154" s="3" t="s">
        <v>3901</v>
      </c>
      <c r="C154" s="35" t="n">
        <f aca="false">SUM(F01_UC2!E312:E341)</f>
        <v>0</v>
      </c>
      <c r="D154" s="35" t="n">
        <v>0</v>
      </c>
      <c r="E154" s="102" t="n">
        <f aca="false">C154-D154</f>
        <v>0</v>
      </c>
      <c r="F154" s="3" t="str">
        <f aca="false">IF(ABS(E154)&lt;0.01,"OK","LỆCH")</f>
        <v>OK</v>
      </c>
      <c r="G154" s="3" t="s">
        <v>3885</v>
      </c>
    </row>
    <row r="156" customFormat="false" ht="36" hidden="false" customHeight="true" outlineLevel="0" collapsed="false">
      <c r="A156" s="3" t="s">
        <v>3902</v>
      </c>
      <c r="B156" s="3" t="s">
        <v>3903</v>
      </c>
      <c r="C156" s="35" t="n">
        <f aca="false">IF((D_F01!B15)&lt;D_F01!B15,1,0)</f>
        <v>0</v>
      </c>
      <c r="D156" s="35" t="n">
        <v>0</v>
      </c>
      <c r="E156" s="102" t="n">
        <f aca="false">C156-D156</f>
        <v>0</v>
      </c>
      <c r="F156" s="3" t="str">
        <f aca="false">IF(E156=0,"OK","LỆCH")</f>
        <v>OK</v>
      </c>
    </row>
    <row r="157" customFormat="false" ht="36" hidden="false" customHeight="true" outlineLevel="0" collapsed="false">
      <c r="A157" s="3" t="s">
        <v>3904</v>
      </c>
      <c r="B157" s="3" t="s">
        <v>3905</v>
      </c>
      <c r="C157" s="35" t="n">
        <f aca="false">IF((D_F01!B15-1)&lt;D_F01!B15,1,0)</f>
        <v>1</v>
      </c>
      <c r="D157" s="35" t="n">
        <v>1</v>
      </c>
      <c r="E157" s="102" t="n">
        <f aca="false">C157-D157</f>
        <v>0</v>
      </c>
      <c r="F157" s="3" t="str">
        <f aca="false">IF(E157=0,"OK","LỆCH")</f>
        <v>OK</v>
      </c>
    </row>
    <row r="158" customFormat="false" ht="36" hidden="false" customHeight="true" outlineLevel="0" collapsed="false">
      <c r="A158" s="3" t="s">
        <v>3906</v>
      </c>
      <c r="B158" s="3" t="s">
        <v>3907</v>
      </c>
      <c r="C158" s="35" t="n">
        <f aca="false">IF((D_F01!B17)&gt;D_F01!B17,1,0)</f>
        <v>0</v>
      </c>
      <c r="D158" s="35" t="n">
        <v>0</v>
      </c>
      <c r="E158" s="102" t="n">
        <f aca="false">C158-D158</f>
        <v>0</v>
      </c>
      <c r="F158" s="3" t="str">
        <f aca="false">IF(E158=0,"OK","LỆCH")</f>
        <v>OK</v>
      </c>
    </row>
    <row r="159" customFormat="false" ht="36" hidden="false" customHeight="true" outlineLevel="0" collapsed="false">
      <c r="A159" s="3" t="s">
        <v>3908</v>
      </c>
      <c r="B159" s="3" t="s">
        <v>3909</v>
      </c>
      <c r="C159" s="35" t="n">
        <f aca="false">IF((D_F01!B17+1)&gt;D_F01!B17,1,0)</f>
        <v>1</v>
      </c>
      <c r="D159" s="35" t="n">
        <v>1</v>
      </c>
      <c r="E159" s="102" t="n">
        <f aca="false">C159-D159</f>
        <v>0</v>
      </c>
      <c r="F159" s="3" t="str">
        <f aca="false">IF(E159=0,"OK","LỆCH")</f>
        <v>OK</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2026-10-19T02:26:24Z</dcterms:created>
  <dc:creator>openpyxl</dc:creator>
  <dc:description/>
  <dc:language>en-US</dc:language>
  <cp:lastModifiedBy>Thanh Thủy Vũ</cp:lastModifiedBy>
  <dcterms:modified xsi:type="dcterms:W3CDTF">2026-10-20T04:51:22Z</dcterms:modified>
  <cp:revision>0</cp:revision>
  <dc:subject/>
  <dc:title>Đặc tả công thức ver 11</dc:title>
</cp:coreProperties>
</file>

<file path=docProps/custom.xml><?xml version="1.0" encoding="utf-8"?>
<Properties xmlns="http://schemas.openxmlformats.org/officeDocument/2006/custom-properties" xmlns:vt="http://schemas.openxmlformats.org/officeDocument/2006/docPropsVTypes"/>
</file>