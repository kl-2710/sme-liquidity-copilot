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e Thu\Downloads\"/>
    </mc:Choice>
  </mc:AlternateContent>
  <xr:revisionPtr revIDLastSave="0" documentId="13_ncr:1_{EC143FEA-AF41-49EE-9281-083F396F22BF}" xr6:coauthVersionLast="47" xr6:coauthVersionMax="47" xr10:uidLastSave="{00000000-0000-0000-0000-000000000000}"/>
  <bookViews>
    <workbookView xWindow="-108" yWindow="-108" windowWidth="23256" windowHeight="13896" tabRatio="850" activeTab="4" xr2:uid="{00000000-000D-0000-FFFF-FFFF00000000}"/>
  </bookViews>
  <sheets>
    <sheet name="Read_me" sheetId="1" r:id="rId1"/>
    <sheet name="UC1_Cong_thuc" sheetId="2" r:id="rId2"/>
    <sheet name="UC2_Cong_thuc" sheetId="3" r:id="rId3"/>
    <sheet name="UC3_Cong_thuc" sheetId="14" r:id="rId4"/>
    <sheet name="UC4_Cong_thuc" sheetId="17" r:id="rId5"/>
    <sheet name="UC4_Huong_dan" sheetId="18" r:id="rId6"/>
    <sheet name="Nguong" sheetId="4" r:id="rId7"/>
    <sheet name="F01_UC1" sheetId="5" r:id="rId8"/>
    <sheet name="F01_UC2" sheetId="6" r:id="rId9"/>
    <sheet name="F01_UC03" sheetId="16" r:id="rId10"/>
    <sheet name="F01_UC4" sheetId="19" r:id="rId11"/>
    <sheet name="D_F01" sheetId="7" r:id="rId12"/>
    <sheet name="D_UC03" sheetId="15" r:id="rId13"/>
    <sheet name="D_sales" sheetId="8" r:id="rId14"/>
    <sheet name="D_purchases" sheetId="9" r:id="rId15"/>
    <sheet name="D_inventory" sheetId="10" r:id="rId16"/>
    <sheet name="D_flows" sheetId="11" r:id="rId17"/>
    <sheet name="Output_contract" sheetId="12" r:id="rId18"/>
    <sheet name="Kiem_thu" sheetId="13" r:id="rId1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24" i="13" l="1"/>
  <c r="D125" i="13" s="1"/>
  <c r="D126" i="13" s="1"/>
  <c r="D127" i="13" s="1"/>
  <c r="D128" i="13" s="1"/>
  <c r="D129" i="13" s="1"/>
  <c r="D130" i="13" s="1"/>
  <c r="D131" i="13" s="1"/>
  <c r="D132" i="13" s="1"/>
  <c r="D133" i="13" s="1"/>
  <c r="D134" i="13" s="1"/>
  <c r="D135" i="13" s="1"/>
  <c r="D136" i="13" s="1"/>
  <c r="D137" i="13" s="1"/>
  <c r="D138" i="13" s="1"/>
  <c r="D123" i="13"/>
  <c r="D122" i="13"/>
  <c r="D121" i="13"/>
  <c r="D120" i="13"/>
  <c r="D119" i="13"/>
  <c r="D118" i="13"/>
  <c r="B141" i="13" s="1"/>
  <c r="D117" i="13"/>
  <c r="E112" i="13"/>
  <c r="E111" i="13"/>
  <c r="E110" i="13"/>
  <c r="C104" i="13"/>
  <c r="C103" i="13"/>
  <c r="C102" i="13"/>
  <c r="C101" i="13"/>
  <c r="C100" i="13"/>
  <c r="C99" i="13"/>
  <c r="C98" i="13"/>
  <c r="C97" i="13"/>
  <c r="C96" i="13"/>
  <c r="E91" i="13"/>
  <c r="F91" i="13" s="1"/>
  <c r="F90" i="13"/>
  <c r="E90" i="13"/>
  <c r="E89" i="13"/>
  <c r="F89" i="13" s="1"/>
  <c r="E88" i="13"/>
  <c r="F88" i="13" s="1"/>
  <c r="F87" i="13"/>
  <c r="E87" i="13"/>
  <c r="E86" i="13"/>
  <c r="F86" i="13" s="1"/>
  <c r="F85" i="13"/>
  <c r="E85" i="13"/>
  <c r="E84" i="13"/>
  <c r="F84" i="13" s="1"/>
  <c r="C5" i="13"/>
  <c r="E5" i="13" s="1"/>
  <c r="F5" i="13" s="1"/>
  <c r="L45" i="11"/>
  <c r="I45" i="11"/>
  <c r="H45" i="11"/>
  <c r="G45" i="11"/>
  <c r="F45" i="11"/>
  <c r="E45" i="11"/>
  <c r="D45" i="11"/>
  <c r="L44" i="11"/>
  <c r="J44" i="11"/>
  <c r="I44" i="11"/>
  <c r="H44" i="11"/>
  <c r="G44" i="11"/>
  <c r="F44" i="11"/>
  <c r="E44" i="11"/>
  <c r="D44" i="11"/>
  <c r="L43" i="11"/>
  <c r="I43" i="11"/>
  <c r="H43" i="11"/>
  <c r="G43" i="11"/>
  <c r="F43" i="11"/>
  <c r="E43" i="11"/>
  <c r="D43" i="11"/>
  <c r="L42" i="11"/>
  <c r="I42" i="11"/>
  <c r="H42" i="11"/>
  <c r="G42" i="11"/>
  <c r="F42" i="11"/>
  <c r="E42" i="11"/>
  <c r="D42" i="11"/>
  <c r="L41" i="11"/>
  <c r="I41" i="11"/>
  <c r="H41" i="11"/>
  <c r="G41" i="11"/>
  <c r="F41" i="11"/>
  <c r="E41" i="11"/>
  <c r="D41" i="11"/>
  <c r="L40" i="11"/>
  <c r="J40" i="11"/>
  <c r="I40" i="11"/>
  <c r="H40" i="11"/>
  <c r="G40" i="11"/>
  <c r="F40" i="11"/>
  <c r="E40" i="11"/>
  <c r="D40" i="11"/>
  <c r="L39" i="11"/>
  <c r="I39" i="11"/>
  <c r="H39" i="11"/>
  <c r="G39" i="11"/>
  <c r="F39" i="11"/>
  <c r="E39" i="11"/>
  <c r="D39" i="11"/>
  <c r="L38" i="11"/>
  <c r="J38" i="11"/>
  <c r="I38" i="11"/>
  <c r="C334" i="6" s="1"/>
  <c r="H38" i="11"/>
  <c r="G38" i="11"/>
  <c r="F38" i="11"/>
  <c r="E38" i="11"/>
  <c r="D38" i="11"/>
  <c r="L37" i="11"/>
  <c r="I37" i="11"/>
  <c r="H37" i="11"/>
  <c r="G37" i="11"/>
  <c r="F37" i="11"/>
  <c r="E37" i="11"/>
  <c r="D37" i="11"/>
  <c r="L36" i="11"/>
  <c r="J36" i="11"/>
  <c r="I36" i="11"/>
  <c r="H36" i="11"/>
  <c r="B332" i="6" s="1"/>
  <c r="G36" i="11"/>
  <c r="F36" i="11"/>
  <c r="E36" i="11"/>
  <c r="D36" i="11"/>
  <c r="L35" i="11"/>
  <c r="I35" i="11"/>
  <c r="H35" i="11"/>
  <c r="G35" i="11"/>
  <c r="F35" i="11"/>
  <c r="E35" i="11"/>
  <c r="D35" i="11"/>
  <c r="L34" i="11"/>
  <c r="J34" i="11"/>
  <c r="I34" i="11"/>
  <c r="H34" i="11"/>
  <c r="G34" i="11"/>
  <c r="F34" i="11"/>
  <c r="E34" i="11"/>
  <c r="D34" i="11"/>
  <c r="L33" i="11"/>
  <c r="R329" i="6" s="1"/>
  <c r="I33" i="11"/>
  <c r="H33" i="11"/>
  <c r="G33" i="11"/>
  <c r="F33" i="11"/>
  <c r="E33" i="11"/>
  <c r="D33" i="11"/>
  <c r="L32" i="11"/>
  <c r="J32" i="11"/>
  <c r="I32" i="11"/>
  <c r="H32" i="11"/>
  <c r="G32" i="11"/>
  <c r="F32" i="11"/>
  <c r="E32" i="11"/>
  <c r="D32" i="11"/>
  <c r="L31" i="11"/>
  <c r="I31" i="11"/>
  <c r="H31" i="11"/>
  <c r="G31" i="11"/>
  <c r="F31" i="11"/>
  <c r="E31" i="11"/>
  <c r="D31" i="11"/>
  <c r="L30" i="11"/>
  <c r="J30" i="11"/>
  <c r="I30" i="11"/>
  <c r="H30" i="11"/>
  <c r="G30" i="11"/>
  <c r="F30" i="11"/>
  <c r="E30" i="11"/>
  <c r="D30" i="11"/>
  <c r="L29" i="11"/>
  <c r="I29" i="11"/>
  <c r="H29" i="11"/>
  <c r="B325" i="6" s="1"/>
  <c r="G29" i="11"/>
  <c r="F29" i="11"/>
  <c r="E29" i="11"/>
  <c r="D29" i="11"/>
  <c r="L28" i="11"/>
  <c r="J28" i="11"/>
  <c r="I28" i="11"/>
  <c r="H28" i="11"/>
  <c r="G28" i="11"/>
  <c r="F28" i="11"/>
  <c r="E28" i="11"/>
  <c r="D28" i="11"/>
  <c r="L27" i="11"/>
  <c r="I27" i="11"/>
  <c r="H27" i="11"/>
  <c r="G27" i="11"/>
  <c r="F27" i="11"/>
  <c r="E27" i="11"/>
  <c r="D27" i="11"/>
  <c r="L26" i="11"/>
  <c r="J26" i="11"/>
  <c r="I26" i="11"/>
  <c r="H26" i="11"/>
  <c r="G26" i="11"/>
  <c r="F26" i="11"/>
  <c r="E26" i="11"/>
  <c r="D26" i="11"/>
  <c r="L25" i="11"/>
  <c r="I25" i="11"/>
  <c r="H25" i="11"/>
  <c r="G25" i="11"/>
  <c r="F25" i="11"/>
  <c r="E25" i="11"/>
  <c r="D25" i="11"/>
  <c r="L24" i="11"/>
  <c r="I24" i="11"/>
  <c r="H24" i="11"/>
  <c r="G24" i="11"/>
  <c r="F24" i="11"/>
  <c r="E24" i="11"/>
  <c r="D24" i="11"/>
  <c r="L23" i="11"/>
  <c r="I23" i="11"/>
  <c r="H23" i="11"/>
  <c r="G23" i="11"/>
  <c r="F23" i="11"/>
  <c r="E23" i="11"/>
  <c r="D23" i="11"/>
  <c r="L22" i="11"/>
  <c r="I22" i="11"/>
  <c r="H22" i="11"/>
  <c r="G22" i="11"/>
  <c r="F22" i="11"/>
  <c r="E22" i="11"/>
  <c r="D22" i="11"/>
  <c r="L21" i="11"/>
  <c r="I21" i="11"/>
  <c r="H21" i="11"/>
  <c r="G21" i="11"/>
  <c r="F21" i="11"/>
  <c r="E21" i="11"/>
  <c r="D21" i="11"/>
  <c r="L20" i="11"/>
  <c r="I20" i="11"/>
  <c r="H20" i="11"/>
  <c r="G20" i="11"/>
  <c r="F20" i="11"/>
  <c r="E20" i="11"/>
  <c r="D20" i="11"/>
  <c r="L19" i="11"/>
  <c r="R315" i="6" s="1"/>
  <c r="I19" i="11"/>
  <c r="H19" i="11"/>
  <c r="G19" i="11"/>
  <c r="F19" i="11"/>
  <c r="E19" i="11"/>
  <c r="D19" i="11"/>
  <c r="L18" i="11"/>
  <c r="I18" i="11"/>
  <c r="H18" i="11"/>
  <c r="G18" i="11"/>
  <c r="F18" i="11"/>
  <c r="E18" i="11"/>
  <c r="D18" i="11"/>
  <c r="L17" i="11"/>
  <c r="I17" i="11"/>
  <c r="H17" i="11"/>
  <c r="G17" i="11"/>
  <c r="F17" i="11"/>
  <c r="E17" i="11"/>
  <c r="D17" i="11"/>
  <c r="L16" i="11"/>
  <c r="J16" i="11"/>
  <c r="I16" i="11"/>
  <c r="H16" i="11"/>
  <c r="G16" i="11"/>
  <c r="F16" i="11"/>
  <c r="E16" i="11"/>
  <c r="D16" i="11"/>
  <c r="Q37" i="10"/>
  <c r="O37" i="10"/>
  <c r="P37" i="10" s="1"/>
  <c r="N37" i="10"/>
  <c r="R37" i="10" s="1"/>
  <c r="S37" i="10" s="1"/>
  <c r="Q36" i="10"/>
  <c r="R36" i="10" s="1"/>
  <c r="S36" i="10" s="1"/>
  <c r="P36" i="10"/>
  <c r="O36" i="10"/>
  <c r="N36" i="10"/>
  <c r="R35" i="10"/>
  <c r="S35" i="10" s="1"/>
  <c r="Q35" i="10"/>
  <c r="O35" i="10"/>
  <c r="P35" i="10" s="1"/>
  <c r="N35" i="10"/>
  <c r="Q34" i="10"/>
  <c r="O34" i="10"/>
  <c r="P34" i="10" s="1"/>
  <c r="N34" i="10"/>
  <c r="R34" i="10" s="1"/>
  <c r="S34" i="10" s="1"/>
  <c r="Q33" i="10"/>
  <c r="P33" i="10"/>
  <c r="O33" i="10"/>
  <c r="N33" i="10"/>
  <c r="R33" i="10" s="1"/>
  <c r="S33" i="10" s="1"/>
  <c r="T32" i="10"/>
  <c r="Q32" i="10"/>
  <c r="P32" i="10"/>
  <c r="O32" i="10"/>
  <c r="N32" i="10"/>
  <c r="R32" i="10" s="1"/>
  <c r="S32" i="10" s="1"/>
  <c r="Q31" i="10"/>
  <c r="O31" i="10"/>
  <c r="P31" i="10" s="1"/>
  <c r="N31" i="10"/>
  <c r="R31" i="10" s="1"/>
  <c r="S31" i="10" s="1"/>
  <c r="R30" i="10"/>
  <c r="S30" i="10" s="1"/>
  <c r="Q30" i="10"/>
  <c r="O30" i="10"/>
  <c r="P30" i="10" s="1"/>
  <c r="N30" i="10"/>
  <c r="Q29" i="10"/>
  <c r="R29" i="10" s="1"/>
  <c r="S29" i="10" s="1"/>
  <c r="P29" i="10"/>
  <c r="O29" i="10"/>
  <c r="N29" i="10"/>
  <c r="S28" i="10"/>
  <c r="R28" i="10"/>
  <c r="Q28" i="10"/>
  <c r="P28" i="10"/>
  <c r="O28" i="10"/>
  <c r="N28" i="10"/>
  <c r="Q27" i="10"/>
  <c r="O27" i="10"/>
  <c r="P27" i="10" s="1"/>
  <c r="T27" i="10" s="1"/>
  <c r="N27" i="10"/>
  <c r="Q26" i="10"/>
  <c r="P26" i="10"/>
  <c r="O26" i="10"/>
  <c r="N26" i="10"/>
  <c r="Q25" i="10"/>
  <c r="O25" i="10"/>
  <c r="P25" i="10" s="1"/>
  <c r="N25" i="10"/>
  <c r="R25" i="10" s="1"/>
  <c r="S25" i="10" s="1"/>
  <c r="Q24" i="10"/>
  <c r="O24" i="10"/>
  <c r="P24" i="10" s="1"/>
  <c r="N24" i="10"/>
  <c r="R24" i="10" s="1"/>
  <c r="S24" i="10" s="1"/>
  <c r="Q23" i="10"/>
  <c r="P23" i="10"/>
  <c r="T23" i="10" s="1"/>
  <c r="O23" i="10"/>
  <c r="N23" i="10"/>
  <c r="R23" i="10" s="1"/>
  <c r="S23" i="10" s="1"/>
  <c r="R22" i="10"/>
  <c r="S22" i="10" s="1"/>
  <c r="Q22" i="10"/>
  <c r="P22" i="10"/>
  <c r="O22" i="10"/>
  <c r="N22" i="10"/>
  <c r="Q21" i="10"/>
  <c r="P21" i="10"/>
  <c r="O21" i="10"/>
  <c r="N21" i="10"/>
  <c r="R21" i="10" s="1"/>
  <c r="S21" i="10" s="1"/>
  <c r="R20" i="10"/>
  <c r="S20" i="10" s="1"/>
  <c r="Q20" i="10"/>
  <c r="P20" i="10"/>
  <c r="T20" i="10" s="1"/>
  <c r="O20" i="10"/>
  <c r="N20" i="10"/>
  <c r="R19" i="10"/>
  <c r="S19" i="10" s="1"/>
  <c r="Q19" i="10"/>
  <c r="O19" i="10"/>
  <c r="P19" i="10" s="1"/>
  <c r="N19" i="10"/>
  <c r="Q18" i="10"/>
  <c r="P18" i="10"/>
  <c r="D80" i="5" s="1"/>
  <c r="O18" i="10"/>
  <c r="N18" i="10"/>
  <c r="R18" i="10" s="1"/>
  <c r="S18" i="10" s="1"/>
  <c r="Q17" i="10"/>
  <c r="P17" i="10"/>
  <c r="O17" i="10"/>
  <c r="N17" i="10"/>
  <c r="R17" i="10" s="1"/>
  <c r="S17" i="10" s="1"/>
  <c r="T16" i="10"/>
  <c r="Q16" i="10"/>
  <c r="P16" i="10"/>
  <c r="O16" i="10"/>
  <c r="N16" i="10"/>
  <c r="R16" i="10" s="1"/>
  <c r="S16" i="10" s="1"/>
  <c r="Q15" i="10"/>
  <c r="O15" i="10"/>
  <c r="P15" i="10" s="1"/>
  <c r="N15" i="10"/>
  <c r="R15" i="10" s="1"/>
  <c r="S15" i="10" s="1"/>
  <c r="R14" i="10"/>
  <c r="S14" i="10" s="1"/>
  <c r="Q14" i="10"/>
  <c r="O14" i="10"/>
  <c r="P14" i="10" s="1"/>
  <c r="N14" i="10"/>
  <c r="Q13" i="10"/>
  <c r="P13" i="10"/>
  <c r="T13" i="10" s="1"/>
  <c r="O13" i="10"/>
  <c r="N13" i="10"/>
  <c r="S12" i="10"/>
  <c r="R12" i="10"/>
  <c r="Q12" i="10"/>
  <c r="P12" i="10"/>
  <c r="O12" i="10"/>
  <c r="N12" i="10"/>
  <c r="Q11" i="10"/>
  <c r="P11" i="10"/>
  <c r="O11" i="10"/>
  <c r="N11" i="10"/>
  <c r="Q10" i="10"/>
  <c r="P10" i="10"/>
  <c r="T10" i="10" s="1"/>
  <c r="O10" i="10"/>
  <c r="N10" i="10"/>
  <c r="R10" i="10" s="1"/>
  <c r="S10" i="10" s="1"/>
  <c r="Q9" i="10"/>
  <c r="O9" i="10"/>
  <c r="P9" i="10" s="1"/>
  <c r="N9" i="10"/>
  <c r="R9" i="10" s="1"/>
  <c r="S9" i="10" s="1"/>
  <c r="Q8" i="10"/>
  <c r="O8" i="10"/>
  <c r="P8" i="10" s="1"/>
  <c r="N8" i="10"/>
  <c r="R8" i="10" s="1"/>
  <c r="S8" i="10" s="1"/>
  <c r="S7" i="10"/>
  <c r="Q7" i="10"/>
  <c r="P7" i="10"/>
  <c r="O7" i="10"/>
  <c r="N7" i="10"/>
  <c r="R7" i="10" s="1"/>
  <c r="R6" i="10"/>
  <c r="S6" i="10" s="1"/>
  <c r="Q6" i="10"/>
  <c r="P6" i="10"/>
  <c r="O6" i="10"/>
  <c r="N6" i="10"/>
  <c r="Q5" i="10"/>
  <c r="P5" i="10"/>
  <c r="O5" i="10"/>
  <c r="N5" i="10"/>
  <c r="R5" i="10" s="1"/>
  <c r="S5" i="10" s="1"/>
  <c r="V131" i="9"/>
  <c r="U131" i="9"/>
  <c r="T131" i="9"/>
  <c r="S131" i="9"/>
  <c r="R131" i="9"/>
  <c r="Q131" i="9"/>
  <c r="P131" i="9"/>
  <c r="O131" i="9"/>
  <c r="E274" i="6" s="1"/>
  <c r="N131" i="9"/>
  <c r="W130" i="9"/>
  <c r="U130" i="9"/>
  <c r="T130" i="9"/>
  <c r="S130" i="9"/>
  <c r="Q130" i="9"/>
  <c r="R130" i="9" s="1"/>
  <c r="P130" i="9"/>
  <c r="O130" i="9"/>
  <c r="N130" i="9"/>
  <c r="V130" i="9" s="1"/>
  <c r="X130" i="9" s="1"/>
  <c r="V129" i="9"/>
  <c r="X129" i="9" s="1"/>
  <c r="U129" i="9"/>
  <c r="T129" i="9"/>
  <c r="S129" i="9"/>
  <c r="R129" i="9"/>
  <c r="Q129" i="9"/>
  <c r="P129" i="9"/>
  <c r="G272" i="6" s="1"/>
  <c r="O129" i="9"/>
  <c r="N129" i="9"/>
  <c r="W128" i="9"/>
  <c r="V128" i="9"/>
  <c r="X128" i="9" s="1"/>
  <c r="U128" i="9"/>
  <c r="J45" i="11" s="1"/>
  <c r="T128" i="9"/>
  <c r="S128" i="9"/>
  <c r="Q128" i="9"/>
  <c r="R128" i="9" s="1"/>
  <c r="P128" i="9"/>
  <c r="O128" i="9"/>
  <c r="N128" i="9"/>
  <c r="V127" i="9"/>
  <c r="U127" i="9"/>
  <c r="T127" i="9"/>
  <c r="S127" i="9"/>
  <c r="Q127" i="9"/>
  <c r="R127" i="9" s="1"/>
  <c r="P127" i="9"/>
  <c r="O127" i="9"/>
  <c r="N127" i="9"/>
  <c r="V126" i="9"/>
  <c r="U126" i="9"/>
  <c r="T126" i="9"/>
  <c r="S126" i="9"/>
  <c r="Q126" i="9"/>
  <c r="R126" i="9" s="1"/>
  <c r="P126" i="9"/>
  <c r="O126" i="9"/>
  <c r="N126" i="9"/>
  <c r="V125" i="9"/>
  <c r="X125" i="9" s="1"/>
  <c r="U125" i="9"/>
  <c r="T125" i="9"/>
  <c r="S125" i="9"/>
  <c r="Q125" i="9"/>
  <c r="R125" i="9" s="1"/>
  <c r="N125" i="9"/>
  <c r="W124" i="9"/>
  <c r="V124" i="9"/>
  <c r="X124" i="9" s="1"/>
  <c r="U124" i="9"/>
  <c r="T124" i="9"/>
  <c r="S124" i="9"/>
  <c r="R124" i="9"/>
  <c r="Q124" i="9"/>
  <c r="P124" i="9"/>
  <c r="O124" i="9"/>
  <c r="N124" i="9"/>
  <c r="U123" i="9"/>
  <c r="T123" i="9"/>
  <c r="S123" i="9"/>
  <c r="R123" i="9"/>
  <c r="Q123" i="9"/>
  <c r="N123" i="9"/>
  <c r="X122" i="9"/>
  <c r="W122" i="9"/>
  <c r="V122" i="9"/>
  <c r="U122" i="9"/>
  <c r="T122" i="9"/>
  <c r="R122" i="9"/>
  <c r="S122" i="9" s="1"/>
  <c r="Q122" i="9"/>
  <c r="P122" i="9"/>
  <c r="O122" i="9"/>
  <c r="N122" i="9"/>
  <c r="V121" i="9"/>
  <c r="U121" i="9"/>
  <c r="T121" i="9"/>
  <c r="S121" i="9"/>
  <c r="R121" i="9"/>
  <c r="Q121" i="9"/>
  <c r="N121" i="9"/>
  <c r="P121" i="9" s="1"/>
  <c r="U120" i="9"/>
  <c r="T120" i="9"/>
  <c r="S120" i="9"/>
  <c r="Q120" i="9"/>
  <c r="R120" i="9" s="1"/>
  <c r="O120" i="9"/>
  <c r="N120" i="9"/>
  <c r="U119" i="9"/>
  <c r="T119" i="9"/>
  <c r="S119" i="9"/>
  <c r="Q119" i="9"/>
  <c r="R119" i="9" s="1"/>
  <c r="N119" i="9"/>
  <c r="U118" i="9"/>
  <c r="T118" i="9"/>
  <c r="S118" i="9"/>
  <c r="R118" i="9"/>
  <c r="Q118" i="9"/>
  <c r="P118" i="9"/>
  <c r="N118" i="9"/>
  <c r="V117" i="9"/>
  <c r="U117" i="9"/>
  <c r="J43" i="11" s="1"/>
  <c r="T117" i="9"/>
  <c r="R117" i="9"/>
  <c r="S117" i="9" s="1"/>
  <c r="Q117" i="9"/>
  <c r="O117" i="9"/>
  <c r="N117" i="9"/>
  <c r="P117" i="9" s="1"/>
  <c r="V116" i="9"/>
  <c r="U116" i="9"/>
  <c r="T116" i="9"/>
  <c r="S116" i="9"/>
  <c r="R116" i="9"/>
  <c r="Q116" i="9"/>
  <c r="P116" i="9"/>
  <c r="O116" i="9"/>
  <c r="N116" i="9"/>
  <c r="V115" i="9"/>
  <c r="U115" i="9"/>
  <c r="T115" i="9"/>
  <c r="Q115" i="9"/>
  <c r="R115" i="9" s="1"/>
  <c r="S115" i="9" s="1"/>
  <c r="P115" i="9"/>
  <c r="O115" i="9"/>
  <c r="N115" i="9"/>
  <c r="V114" i="9"/>
  <c r="U114" i="9"/>
  <c r="J42" i="11" s="1"/>
  <c r="T114" i="9"/>
  <c r="S114" i="9"/>
  <c r="Q114" i="9"/>
  <c r="R114" i="9" s="1"/>
  <c r="P114" i="9"/>
  <c r="O114" i="9"/>
  <c r="N114" i="9"/>
  <c r="U113" i="9"/>
  <c r="T113" i="9"/>
  <c r="S113" i="9"/>
  <c r="R113" i="9"/>
  <c r="Q113" i="9"/>
  <c r="N113" i="9"/>
  <c r="V112" i="9"/>
  <c r="U112" i="9"/>
  <c r="T112" i="9"/>
  <c r="Q112" i="9"/>
  <c r="R112" i="9" s="1"/>
  <c r="S112" i="9" s="1"/>
  <c r="P112" i="9"/>
  <c r="N112" i="9"/>
  <c r="O112" i="9" s="1"/>
  <c r="V111" i="9"/>
  <c r="U111" i="9"/>
  <c r="J41" i="11" s="1"/>
  <c r="T111" i="9"/>
  <c r="Q111" i="9"/>
  <c r="R111" i="9" s="1"/>
  <c r="S111" i="9" s="1"/>
  <c r="P111" i="9"/>
  <c r="O111" i="9"/>
  <c r="N111" i="9"/>
  <c r="V110" i="9"/>
  <c r="W110" i="9" s="1"/>
  <c r="U110" i="9"/>
  <c r="T110" i="9"/>
  <c r="S110" i="9"/>
  <c r="Q110" i="9"/>
  <c r="R110" i="9" s="1"/>
  <c r="P110" i="9"/>
  <c r="O110" i="9"/>
  <c r="N110" i="9"/>
  <c r="V109" i="9"/>
  <c r="U109" i="9"/>
  <c r="T109" i="9"/>
  <c r="S109" i="9"/>
  <c r="Q109" i="9"/>
  <c r="R109" i="9" s="1"/>
  <c r="O109" i="9"/>
  <c r="N109" i="9"/>
  <c r="P109" i="9" s="1"/>
  <c r="U108" i="9"/>
  <c r="T108" i="9"/>
  <c r="R108" i="9"/>
  <c r="S108" i="9" s="1"/>
  <c r="Q108" i="9"/>
  <c r="N108" i="9"/>
  <c r="U107" i="9"/>
  <c r="T107" i="9"/>
  <c r="R107" i="9"/>
  <c r="S107" i="9" s="1"/>
  <c r="Q107" i="9"/>
  <c r="P107" i="9"/>
  <c r="N107" i="9"/>
  <c r="U106" i="9"/>
  <c r="T106" i="9"/>
  <c r="S106" i="9"/>
  <c r="R106" i="9"/>
  <c r="Q106" i="9"/>
  <c r="O106" i="9"/>
  <c r="N106" i="9"/>
  <c r="V106" i="9" s="1"/>
  <c r="U105" i="9"/>
  <c r="J39" i="11" s="1"/>
  <c r="T105" i="9"/>
  <c r="S105" i="9"/>
  <c r="R105" i="9"/>
  <c r="Q105" i="9"/>
  <c r="N105" i="9"/>
  <c r="U104" i="9"/>
  <c r="T104" i="9"/>
  <c r="S104" i="9"/>
  <c r="Q104" i="9"/>
  <c r="R104" i="9" s="1"/>
  <c r="O104" i="9"/>
  <c r="N104" i="9"/>
  <c r="U103" i="9"/>
  <c r="T103" i="9"/>
  <c r="S103" i="9"/>
  <c r="Q103" i="9"/>
  <c r="R103" i="9" s="1"/>
  <c r="N103" i="9"/>
  <c r="U102" i="9"/>
  <c r="T102" i="9"/>
  <c r="S102" i="9"/>
  <c r="R102" i="9"/>
  <c r="Q102" i="9"/>
  <c r="O102" i="9"/>
  <c r="N102" i="9"/>
  <c r="V102" i="9" s="1"/>
  <c r="W101" i="9"/>
  <c r="V101" i="9"/>
  <c r="X101" i="9" s="1"/>
  <c r="U101" i="9"/>
  <c r="T101" i="9"/>
  <c r="R101" i="9"/>
  <c r="S101" i="9" s="1"/>
  <c r="Q101" i="9"/>
  <c r="P101" i="9"/>
  <c r="N101" i="9"/>
  <c r="O101" i="9" s="1"/>
  <c r="V100" i="9"/>
  <c r="U100" i="9"/>
  <c r="T100" i="9"/>
  <c r="R100" i="9"/>
  <c r="S100" i="9" s="1"/>
  <c r="Q100" i="9"/>
  <c r="P100" i="9"/>
  <c r="O100" i="9"/>
  <c r="N100" i="9"/>
  <c r="X99" i="9"/>
  <c r="V99" i="9"/>
  <c r="W99" i="9" s="1"/>
  <c r="U99" i="9"/>
  <c r="T99" i="9"/>
  <c r="Q99" i="9"/>
  <c r="R99" i="9" s="1"/>
  <c r="S99" i="9" s="1"/>
  <c r="P99" i="9"/>
  <c r="O99" i="9"/>
  <c r="N99" i="9"/>
  <c r="V98" i="9"/>
  <c r="U98" i="9"/>
  <c r="T98" i="9"/>
  <c r="S98" i="9"/>
  <c r="Q98" i="9"/>
  <c r="R98" i="9" s="1"/>
  <c r="P98" i="9"/>
  <c r="O98" i="9"/>
  <c r="N98" i="9"/>
  <c r="U97" i="9"/>
  <c r="T97" i="9"/>
  <c r="R97" i="9"/>
  <c r="S97" i="9" s="1"/>
  <c r="Q97" i="9"/>
  <c r="N97" i="9"/>
  <c r="V96" i="9"/>
  <c r="X96" i="9" s="1"/>
  <c r="U96" i="9"/>
  <c r="T96" i="9"/>
  <c r="S96" i="9"/>
  <c r="R96" i="9"/>
  <c r="Q96" i="9"/>
  <c r="P96" i="9"/>
  <c r="N96" i="9"/>
  <c r="O96" i="9" s="1"/>
  <c r="X95" i="9"/>
  <c r="W95" i="9"/>
  <c r="V95" i="9"/>
  <c r="U95" i="9"/>
  <c r="T95" i="9"/>
  <c r="Q95" i="9"/>
  <c r="R95" i="9" s="1"/>
  <c r="S95" i="9" s="1"/>
  <c r="P95" i="9"/>
  <c r="O95" i="9"/>
  <c r="N95" i="9"/>
  <c r="V94" i="9"/>
  <c r="X94" i="9" s="1"/>
  <c r="U94" i="9"/>
  <c r="T94" i="9"/>
  <c r="Q94" i="9"/>
  <c r="R94" i="9" s="1"/>
  <c r="S94" i="9" s="1"/>
  <c r="P94" i="9"/>
  <c r="O94" i="9"/>
  <c r="N94" i="9"/>
  <c r="V93" i="9"/>
  <c r="X93" i="9" s="1"/>
  <c r="U93" i="9"/>
  <c r="T93" i="9"/>
  <c r="Q93" i="9"/>
  <c r="R93" i="9" s="1"/>
  <c r="S93" i="9" s="1"/>
  <c r="O93" i="9"/>
  <c r="N93" i="9"/>
  <c r="P93" i="9" s="1"/>
  <c r="U92" i="9"/>
  <c r="T92" i="9"/>
  <c r="Q92" i="9"/>
  <c r="R92" i="9" s="1"/>
  <c r="S92" i="9" s="1"/>
  <c r="N92" i="9"/>
  <c r="U91" i="9"/>
  <c r="J37" i="11" s="1"/>
  <c r="T91" i="9"/>
  <c r="R91" i="9"/>
  <c r="S91" i="9" s="1"/>
  <c r="Q91" i="9"/>
  <c r="P91" i="9"/>
  <c r="N91" i="9"/>
  <c r="U90" i="9"/>
  <c r="T90" i="9"/>
  <c r="S90" i="9"/>
  <c r="R90" i="9"/>
  <c r="Q90" i="9"/>
  <c r="N90" i="9"/>
  <c r="X89" i="9"/>
  <c r="V89" i="9"/>
  <c r="W89" i="9" s="1"/>
  <c r="U89" i="9"/>
  <c r="T89" i="9"/>
  <c r="S89" i="9"/>
  <c r="R89" i="9"/>
  <c r="Q89" i="9"/>
  <c r="O89" i="9"/>
  <c r="N89" i="9"/>
  <c r="P89" i="9" s="1"/>
  <c r="U88" i="9"/>
  <c r="T88" i="9"/>
  <c r="Q88" i="9"/>
  <c r="R88" i="9" s="1"/>
  <c r="S88" i="9" s="1"/>
  <c r="O88" i="9"/>
  <c r="N88" i="9"/>
  <c r="X87" i="9"/>
  <c r="U87" i="9"/>
  <c r="T87" i="9"/>
  <c r="S87" i="9"/>
  <c r="Q87" i="9"/>
  <c r="R87" i="9" s="1"/>
  <c r="P87" i="9"/>
  <c r="O87" i="9"/>
  <c r="N87" i="9"/>
  <c r="V87" i="9" s="1"/>
  <c r="W87" i="9" s="1"/>
  <c r="U86" i="9"/>
  <c r="T86" i="9"/>
  <c r="S86" i="9"/>
  <c r="R86" i="9"/>
  <c r="Q86" i="9"/>
  <c r="P86" i="9"/>
  <c r="O86" i="9"/>
  <c r="N86" i="9"/>
  <c r="V86" i="9" s="1"/>
  <c r="W85" i="9"/>
  <c r="V85" i="9"/>
  <c r="X85" i="9" s="1"/>
  <c r="U85" i="9"/>
  <c r="T85" i="9"/>
  <c r="R85" i="9"/>
  <c r="S85" i="9" s="1"/>
  <c r="Q85" i="9"/>
  <c r="P85" i="9"/>
  <c r="O85" i="9"/>
  <c r="N85" i="9"/>
  <c r="V84" i="9"/>
  <c r="U84" i="9"/>
  <c r="T84" i="9"/>
  <c r="S84" i="9"/>
  <c r="Q84" i="9"/>
  <c r="R84" i="9" s="1"/>
  <c r="P84" i="9"/>
  <c r="O84" i="9"/>
  <c r="E254" i="6" s="1"/>
  <c r="N84" i="9"/>
  <c r="X83" i="9"/>
  <c r="V83" i="9"/>
  <c r="W83" i="9" s="1"/>
  <c r="U83" i="9"/>
  <c r="T83" i="9"/>
  <c r="S83" i="9"/>
  <c r="Q83" i="9"/>
  <c r="R83" i="9" s="1"/>
  <c r="P83" i="9"/>
  <c r="O83" i="9"/>
  <c r="N83" i="9"/>
  <c r="W82" i="9"/>
  <c r="V82" i="9"/>
  <c r="X82" i="9" s="1"/>
  <c r="U82" i="9"/>
  <c r="J35" i="11" s="1"/>
  <c r="T82" i="9"/>
  <c r="S82" i="9"/>
  <c r="Q82" i="9"/>
  <c r="R82" i="9" s="1"/>
  <c r="P82" i="9"/>
  <c r="O82" i="9"/>
  <c r="N82" i="9"/>
  <c r="U81" i="9"/>
  <c r="T81" i="9"/>
  <c r="Q81" i="9"/>
  <c r="R81" i="9" s="1"/>
  <c r="S81" i="9" s="1"/>
  <c r="P81" i="9"/>
  <c r="N81" i="9"/>
  <c r="V80" i="9"/>
  <c r="X80" i="9" s="1"/>
  <c r="U80" i="9"/>
  <c r="T80" i="9"/>
  <c r="Q80" i="9"/>
  <c r="R80" i="9" s="1"/>
  <c r="S80" i="9" s="1"/>
  <c r="N80" i="9"/>
  <c r="X79" i="9"/>
  <c r="W79" i="9"/>
  <c r="V79" i="9"/>
  <c r="U79" i="9"/>
  <c r="T79" i="9"/>
  <c r="Q79" i="9"/>
  <c r="R79" i="9" s="1"/>
  <c r="S79" i="9" s="1"/>
  <c r="P79" i="9"/>
  <c r="O79" i="9"/>
  <c r="N79" i="9"/>
  <c r="X78" i="9"/>
  <c r="W78" i="9"/>
  <c r="V78" i="9"/>
  <c r="U78" i="9"/>
  <c r="T78" i="9"/>
  <c r="S78" i="9"/>
  <c r="Q78" i="9"/>
  <c r="R78" i="9" s="1"/>
  <c r="O78" i="9"/>
  <c r="N78" i="9"/>
  <c r="P78" i="9" s="1"/>
  <c r="X77" i="9"/>
  <c r="W77" i="9"/>
  <c r="V77" i="9"/>
  <c r="U77" i="9"/>
  <c r="T77" i="9"/>
  <c r="R77" i="9"/>
  <c r="S77" i="9" s="1"/>
  <c r="Q77" i="9"/>
  <c r="N77" i="9"/>
  <c r="P77" i="9" s="1"/>
  <c r="U76" i="9"/>
  <c r="T76" i="9"/>
  <c r="Q76" i="9"/>
  <c r="R76" i="9" s="1"/>
  <c r="S76" i="9" s="1"/>
  <c r="N76" i="9"/>
  <c r="U75" i="9"/>
  <c r="T75" i="9"/>
  <c r="R75" i="9"/>
  <c r="S75" i="9" s="1"/>
  <c r="Q75" i="9"/>
  <c r="N75" i="9"/>
  <c r="X74" i="9"/>
  <c r="U74" i="9"/>
  <c r="T74" i="9"/>
  <c r="R74" i="9"/>
  <c r="S74" i="9" s="1"/>
  <c r="Q74" i="9"/>
  <c r="P74" i="9"/>
  <c r="O74" i="9"/>
  <c r="N74" i="9"/>
  <c r="V74" i="9" s="1"/>
  <c r="W74" i="9" s="1"/>
  <c r="V73" i="9"/>
  <c r="U73" i="9"/>
  <c r="T73" i="9"/>
  <c r="R73" i="9"/>
  <c r="S73" i="9" s="1"/>
  <c r="Q73" i="9"/>
  <c r="O73" i="9"/>
  <c r="N73" i="9"/>
  <c r="P73" i="9" s="1"/>
  <c r="U72" i="9"/>
  <c r="T72" i="9"/>
  <c r="Q72" i="9"/>
  <c r="R72" i="9" s="1"/>
  <c r="S72" i="9" s="1"/>
  <c r="N72" i="9"/>
  <c r="X71" i="9"/>
  <c r="U71" i="9"/>
  <c r="T71" i="9"/>
  <c r="Q71" i="9"/>
  <c r="R71" i="9" s="1"/>
  <c r="S71" i="9" s="1"/>
  <c r="P71" i="9"/>
  <c r="N71" i="9"/>
  <c r="V71" i="9" s="1"/>
  <c r="W71" i="9" s="1"/>
  <c r="U70" i="9"/>
  <c r="T70" i="9"/>
  <c r="S70" i="9"/>
  <c r="R70" i="9"/>
  <c r="Q70" i="9"/>
  <c r="O70" i="9"/>
  <c r="N70" i="9"/>
  <c r="V70" i="9" s="1"/>
  <c r="U69" i="9"/>
  <c r="T69" i="9"/>
  <c r="R69" i="9"/>
  <c r="S69" i="9" s="1"/>
  <c r="Q69" i="9"/>
  <c r="P69" i="9"/>
  <c r="N69" i="9"/>
  <c r="V69" i="9" s="1"/>
  <c r="X69" i="9" s="1"/>
  <c r="V68" i="9"/>
  <c r="U68" i="9"/>
  <c r="T68" i="9"/>
  <c r="R68" i="9"/>
  <c r="S68" i="9" s="1"/>
  <c r="Q68" i="9"/>
  <c r="P68" i="9"/>
  <c r="O68" i="9"/>
  <c r="N68" i="9"/>
  <c r="V67" i="9"/>
  <c r="W67" i="9" s="1"/>
  <c r="U67" i="9"/>
  <c r="T67" i="9"/>
  <c r="Q67" i="9"/>
  <c r="R67" i="9" s="1"/>
  <c r="S67" i="9" s="1"/>
  <c r="P67" i="9"/>
  <c r="O67" i="9"/>
  <c r="N67" i="9"/>
  <c r="X66" i="9"/>
  <c r="W66" i="9"/>
  <c r="V66" i="9"/>
  <c r="U66" i="9"/>
  <c r="T66" i="9"/>
  <c r="Q66" i="9"/>
  <c r="R66" i="9" s="1"/>
  <c r="S66" i="9" s="1"/>
  <c r="P66" i="9"/>
  <c r="O66" i="9"/>
  <c r="N66" i="9"/>
  <c r="U65" i="9"/>
  <c r="T65" i="9"/>
  <c r="Q65" i="9"/>
  <c r="R65" i="9" s="1"/>
  <c r="S65" i="9" s="1"/>
  <c r="N65" i="9"/>
  <c r="V64" i="9"/>
  <c r="U64" i="9"/>
  <c r="J33" i="11" s="1"/>
  <c r="T64" i="9"/>
  <c r="R64" i="9"/>
  <c r="S64" i="9" s="1"/>
  <c r="Q64" i="9"/>
  <c r="N64" i="9"/>
  <c r="O64" i="9" s="1"/>
  <c r="X63" i="9"/>
  <c r="V63" i="9"/>
  <c r="W63" i="9" s="1"/>
  <c r="U63" i="9"/>
  <c r="T63" i="9"/>
  <c r="R63" i="9"/>
  <c r="S63" i="9" s="1"/>
  <c r="Q63" i="9"/>
  <c r="P63" i="9"/>
  <c r="O63" i="9"/>
  <c r="N63" i="9"/>
  <c r="X62" i="9"/>
  <c r="W62" i="9"/>
  <c r="V62" i="9"/>
  <c r="U62" i="9"/>
  <c r="T62" i="9"/>
  <c r="R62" i="9"/>
  <c r="S62" i="9" s="1"/>
  <c r="Q62" i="9"/>
  <c r="O62" i="9"/>
  <c r="N62" i="9"/>
  <c r="P62" i="9" s="1"/>
  <c r="W61" i="9"/>
  <c r="V61" i="9"/>
  <c r="X61" i="9" s="1"/>
  <c r="U61" i="9"/>
  <c r="T61" i="9"/>
  <c r="Q61" i="9"/>
  <c r="R61" i="9" s="1"/>
  <c r="S61" i="9" s="1"/>
  <c r="O61" i="9"/>
  <c r="N61" i="9"/>
  <c r="P61" i="9" s="1"/>
  <c r="U60" i="9"/>
  <c r="T60" i="9"/>
  <c r="Q60" i="9"/>
  <c r="R60" i="9" s="1"/>
  <c r="S60" i="9" s="1"/>
  <c r="N60" i="9"/>
  <c r="U59" i="9"/>
  <c r="T59" i="9"/>
  <c r="R59" i="9"/>
  <c r="S59" i="9" s="1"/>
  <c r="Q59" i="9"/>
  <c r="N59" i="9"/>
  <c r="U58" i="9"/>
  <c r="T58" i="9"/>
  <c r="R58" i="9"/>
  <c r="S58" i="9" s="1"/>
  <c r="Q58" i="9"/>
  <c r="N58" i="9"/>
  <c r="V57" i="9"/>
  <c r="U57" i="9"/>
  <c r="T57" i="9"/>
  <c r="R57" i="9"/>
  <c r="S57" i="9" s="1"/>
  <c r="Q57" i="9"/>
  <c r="O57" i="9"/>
  <c r="N57" i="9"/>
  <c r="P57" i="9" s="1"/>
  <c r="U56" i="9"/>
  <c r="T56" i="9"/>
  <c r="Q56" i="9"/>
  <c r="R56" i="9" s="1"/>
  <c r="S56" i="9" s="1"/>
  <c r="O56" i="9"/>
  <c r="N56" i="9"/>
  <c r="X55" i="9"/>
  <c r="U55" i="9"/>
  <c r="J31" i="11" s="1"/>
  <c r="T55" i="9"/>
  <c r="Q55" i="9"/>
  <c r="R55" i="9" s="1"/>
  <c r="S55" i="9" s="1"/>
  <c r="P55" i="9"/>
  <c r="O55" i="9"/>
  <c r="N55" i="9"/>
  <c r="V55" i="9" s="1"/>
  <c r="W55" i="9" s="1"/>
  <c r="U54" i="9"/>
  <c r="T54" i="9"/>
  <c r="S54" i="9"/>
  <c r="R54" i="9"/>
  <c r="Q54" i="9"/>
  <c r="P54" i="9"/>
  <c r="O54" i="9"/>
  <c r="N54" i="9"/>
  <c r="V54" i="9" s="1"/>
  <c r="V53" i="9"/>
  <c r="U53" i="9"/>
  <c r="T53" i="9"/>
  <c r="R53" i="9"/>
  <c r="S53" i="9" s="1"/>
  <c r="Q53" i="9"/>
  <c r="P53" i="9"/>
  <c r="O53" i="9"/>
  <c r="N53" i="9"/>
  <c r="V52" i="9"/>
  <c r="U52" i="9"/>
  <c r="T52" i="9"/>
  <c r="R52" i="9"/>
  <c r="S52" i="9" s="1"/>
  <c r="Q52" i="9"/>
  <c r="P52" i="9"/>
  <c r="O52" i="9"/>
  <c r="N52" i="9"/>
  <c r="X51" i="9"/>
  <c r="V51" i="9"/>
  <c r="W51" i="9" s="1"/>
  <c r="U51" i="9"/>
  <c r="T51" i="9"/>
  <c r="Q51" i="9"/>
  <c r="R51" i="9" s="1"/>
  <c r="S51" i="9" s="1"/>
  <c r="P51" i="9"/>
  <c r="O51" i="9"/>
  <c r="N51" i="9"/>
  <c r="W50" i="9"/>
  <c r="V50" i="9"/>
  <c r="X50" i="9" s="1"/>
  <c r="U50" i="9"/>
  <c r="T50" i="9"/>
  <c r="Q50" i="9"/>
  <c r="R50" i="9" s="1"/>
  <c r="S50" i="9" s="1"/>
  <c r="P50" i="9"/>
  <c r="O50" i="9"/>
  <c r="N50" i="9"/>
  <c r="U49" i="9"/>
  <c r="T49" i="9"/>
  <c r="Q49" i="9"/>
  <c r="R49" i="9" s="1"/>
  <c r="S49" i="9" s="1"/>
  <c r="N49" i="9"/>
  <c r="V48" i="9"/>
  <c r="U48" i="9"/>
  <c r="T48" i="9"/>
  <c r="Q48" i="9"/>
  <c r="R48" i="9" s="1"/>
  <c r="S48" i="9" s="1"/>
  <c r="N48" i="9"/>
  <c r="O48" i="9" s="1"/>
  <c r="X47" i="9"/>
  <c r="W47" i="9"/>
  <c r="V47" i="9"/>
  <c r="U47" i="9"/>
  <c r="J29" i="11" s="1"/>
  <c r="T47" i="9"/>
  <c r="Q47" i="9"/>
  <c r="R47" i="9" s="1"/>
  <c r="S47" i="9" s="1"/>
  <c r="P47" i="9"/>
  <c r="O47" i="9"/>
  <c r="N47" i="9"/>
  <c r="W46" i="9"/>
  <c r="V46" i="9"/>
  <c r="X46" i="9" s="1"/>
  <c r="U46" i="9"/>
  <c r="T46" i="9"/>
  <c r="Q46" i="9"/>
  <c r="R46" i="9" s="1"/>
  <c r="S46" i="9" s="1"/>
  <c r="O46" i="9"/>
  <c r="N46" i="9"/>
  <c r="P46" i="9" s="1"/>
  <c r="U45" i="9"/>
  <c r="T45" i="9"/>
  <c r="R45" i="9"/>
  <c r="S45" i="9" s="1"/>
  <c r="Q45" i="9"/>
  <c r="O45" i="9"/>
  <c r="N45" i="9"/>
  <c r="U44" i="9"/>
  <c r="T44" i="9"/>
  <c r="S44" i="9"/>
  <c r="R44" i="9"/>
  <c r="Q44" i="9"/>
  <c r="N44" i="9"/>
  <c r="U43" i="9"/>
  <c r="J27" i="11" s="1"/>
  <c r="T43" i="9"/>
  <c r="R43" i="9"/>
  <c r="S43" i="9" s="1"/>
  <c r="Q43" i="9"/>
  <c r="P43" i="9"/>
  <c r="N43" i="9"/>
  <c r="U42" i="9"/>
  <c r="T42" i="9"/>
  <c r="S42" i="9"/>
  <c r="R42" i="9"/>
  <c r="Q42" i="9"/>
  <c r="N42" i="9"/>
  <c r="X41" i="9"/>
  <c r="V41" i="9"/>
  <c r="W41" i="9" s="1"/>
  <c r="U41" i="9"/>
  <c r="T41" i="9"/>
  <c r="R41" i="9"/>
  <c r="S41" i="9" s="1"/>
  <c r="Q41" i="9"/>
  <c r="O41" i="9"/>
  <c r="N41" i="9"/>
  <c r="P41" i="9" s="1"/>
  <c r="U40" i="9"/>
  <c r="J25" i="11" s="1"/>
  <c r="T40" i="9"/>
  <c r="S40" i="9"/>
  <c r="Q40" i="9"/>
  <c r="R40" i="9" s="1"/>
  <c r="N40" i="9"/>
  <c r="X39" i="9"/>
  <c r="W39" i="9"/>
  <c r="U39" i="9"/>
  <c r="J24" i="11" s="1"/>
  <c r="T39" i="9"/>
  <c r="S39" i="9"/>
  <c r="Q39" i="9"/>
  <c r="R39" i="9" s="1"/>
  <c r="P39" i="9"/>
  <c r="O39" i="9"/>
  <c r="N39" i="9"/>
  <c r="V39" i="9" s="1"/>
  <c r="U38" i="9"/>
  <c r="T38" i="9"/>
  <c r="S38" i="9"/>
  <c r="R38" i="9"/>
  <c r="Q38" i="9"/>
  <c r="O38" i="9"/>
  <c r="N38" i="9"/>
  <c r="V38" i="9" s="1"/>
  <c r="U37" i="9"/>
  <c r="T37" i="9"/>
  <c r="R37" i="9"/>
  <c r="S37" i="9" s="1"/>
  <c r="Q37" i="9"/>
  <c r="P37" i="9"/>
  <c r="N37" i="9"/>
  <c r="V37" i="9" s="1"/>
  <c r="X36" i="9"/>
  <c r="V36" i="9"/>
  <c r="W36" i="9" s="1"/>
  <c r="U36" i="9"/>
  <c r="T36" i="9"/>
  <c r="R36" i="9"/>
  <c r="S36" i="9" s="1"/>
  <c r="Q36" i="9"/>
  <c r="P36" i="9"/>
  <c r="O36" i="9"/>
  <c r="N36" i="9"/>
  <c r="X35" i="9"/>
  <c r="V35" i="9"/>
  <c r="W35" i="9" s="1"/>
  <c r="U35" i="9"/>
  <c r="T35" i="9"/>
  <c r="S35" i="9"/>
  <c r="Q35" i="9"/>
  <c r="R35" i="9" s="1"/>
  <c r="P35" i="9"/>
  <c r="O35" i="9"/>
  <c r="N35" i="9"/>
  <c r="U34" i="9"/>
  <c r="J23" i="11" s="1"/>
  <c r="T34" i="9"/>
  <c r="S34" i="9"/>
  <c r="Q34" i="9"/>
  <c r="R34" i="9" s="1"/>
  <c r="N34" i="9"/>
  <c r="U33" i="9"/>
  <c r="T33" i="9"/>
  <c r="Q33" i="9"/>
  <c r="R33" i="9" s="1"/>
  <c r="S33" i="9" s="1"/>
  <c r="N33" i="9"/>
  <c r="W32" i="9"/>
  <c r="V32" i="9"/>
  <c r="X32" i="9" s="1"/>
  <c r="U32" i="9"/>
  <c r="T32" i="9"/>
  <c r="Q32" i="9"/>
  <c r="R32" i="9" s="1"/>
  <c r="S32" i="9" s="1"/>
  <c r="P32" i="9"/>
  <c r="N32" i="9"/>
  <c r="O32" i="9" s="1"/>
  <c r="X31" i="9"/>
  <c r="V31" i="9"/>
  <c r="W31" i="9" s="1"/>
  <c r="U31" i="9"/>
  <c r="T31" i="9"/>
  <c r="R31" i="9"/>
  <c r="S31" i="9" s="1"/>
  <c r="Q31" i="9"/>
  <c r="P31" i="9"/>
  <c r="O31" i="9"/>
  <c r="N31" i="9"/>
  <c r="X30" i="9"/>
  <c r="V30" i="9"/>
  <c r="W30" i="9" s="1"/>
  <c r="U30" i="9"/>
  <c r="T30" i="9"/>
  <c r="S30" i="9"/>
  <c r="R30" i="9"/>
  <c r="Q30" i="9"/>
  <c r="O30" i="9"/>
  <c r="N30" i="9"/>
  <c r="P30" i="9" s="1"/>
  <c r="V29" i="9"/>
  <c r="U29" i="9"/>
  <c r="T29" i="9"/>
  <c r="R29" i="9"/>
  <c r="S29" i="9" s="1"/>
  <c r="Q29" i="9"/>
  <c r="O29" i="9"/>
  <c r="N29" i="9"/>
  <c r="P29" i="9" s="1"/>
  <c r="U28" i="9"/>
  <c r="T28" i="9"/>
  <c r="R28" i="9"/>
  <c r="S28" i="9" s="1"/>
  <c r="Q28" i="9"/>
  <c r="P28" i="9"/>
  <c r="N28" i="9"/>
  <c r="U27" i="9"/>
  <c r="T27" i="9"/>
  <c r="R27" i="9"/>
  <c r="S27" i="9" s="1"/>
  <c r="Q27" i="9"/>
  <c r="P27" i="9"/>
  <c r="N27" i="9"/>
  <c r="U26" i="9"/>
  <c r="T26" i="9"/>
  <c r="S26" i="9"/>
  <c r="R26" i="9"/>
  <c r="Q26" i="9"/>
  <c r="P26" i="9"/>
  <c r="O26" i="9"/>
  <c r="N26" i="9"/>
  <c r="V26" i="9" s="1"/>
  <c r="U25" i="9"/>
  <c r="T25" i="9"/>
  <c r="S25" i="9"/>
  <c r="R25" i="9"/>
  <c r="Q25" i="9"/>
  <c r="N25" i="9"/>
  <c r="X24" i="9"/>
  <c r="V24" i="9"/>
  <c r="W24" i="9" s="1"/>
  <c r="U24" i="9"/>
  <c r="J22" i="11" s="1"/>
  <c r="T24" i="9"/>
  <c r="S24" i="9"/>
  <c r="Q24" i="9"/>
  <c r="R24" i="9" s="1"/>
  <c r="O24" i="9"/>
  <c r="N24" i="9"/>
  <c r="P24" i="9" s="1"/>
  <c r="U23" i="9"/>
  <c r="T23" i="9"/>
  <c r="S23" i="9"/>
  <c r="Q23" i="9"/>
  <c r="R23" i="9" s="1"/>
  <c r="N23" i="9"/>
  <c r="W22" i="9"/>
  <c r="U22" i="9"/>
  <c r="J21" i="11" s="1"/>
  <c r="Q317" i="6" s="1"/>
  <c r="T22" i="9"/>
  <c r="R22" i="9"/>
  <c r="S22" i="9" s="1"/>
  <c r="Q22" i="9"/>
  <c r="N22" i="9"/>
  <c r="V22" i="9" s="1"/>
  <c r="X22" i="9" s="1"/>
  <c r="U21" i="9"/>
  <c r="T21" i="9"/>
  <c r="R21" i="9"/>
  <c r="S21" i="9" s="1"/>
  <c r="Q21" i="9"/>
  <c r="N21" i="9"/>
  <c r="V20" i="9"/>
  <c r="U20" i="9"/>
  <c r="T20" i="9"/>
  <c r="Q20" i="9"/>
  <c r="R20" i="9" s="1"/>
  <c r="S20" i="9" s="1"/>
  <c r="P20" i="9"/>
  <c r="O20" i="9"/>
  <c r="N20" i="9"/>
  <c r="X19" i="9"/>
  <c r="V19" i="9"/>
  <c r="W19" i="9" s="1"/>
  <c r="U19" i="9"/>
  <c r="J20" i="11" s="1"/>
  <c r="T19" i="9"/>
  <c r="S19" i="9"/>
  <c r="Q19" i="9"/>
  <c r="R19" i="9" s="1"/>
  <c r="P19" i="9"/>
  <c r="O19" i="9"/>
  <c r="N19" i="9"/>
  <c r="X18" i="9"/>
  <c r="W18" i="9"/>
  <c r="U18" i="9"/>
  <c r="T18" i="9"/>
  <c r="S18" i="9"/>
  <c r="Q18" i="9"/>
  <c r="R18" i="9" s="1"/>
  <c r="P18" i="9"/>
  <c r="N18" i="9"/>
  <c r="V18" i="9" s="1"/>
  <c r="W17" i="9"/>
  <c r="V17" i="9"/>
  <c r="X17" i="9" s="1"/>
  <c r="U17" i="9"/>
  <c r="J19" i="11" s="1"/>
  <c r="Q315" i="6" s="1"/>
  <c r="T17" i="9"/>
  <c r="R17" i="9"/>
  <c r="S17" i="9" s="1"/>
  <c r="Q17" i="9"/>
  <c r="P17" i="9"/>
  <c r="N17" i="9"/>
  <c r="O17" i="9" s="1"/>
  <c r="U16" i="9"/>
  <c r="T16" i="9"/>
  <c r="R16" i="9"/>
  <c r="S16" i="9" s="1"/>
  <c r="Q16" i="9"/>
  <c r="N16" i="9"/>
  <c r="V15" i="9"/>
  <c r="U15" i="9"/>
  <c r="T15" i="9"/>
  <c r="R15" i="9"/>
  <c r="S15" i="9" s="1"/>
  <c r="Q15" i="9"/>
  <c r="P15" i="9"/>
  <c r="O15" i="9"/>
  <c r="N15" i="9"/>
  <c r="X14" i="9"/>
  <c r="V14" i="9"/>
  <c r="W14" i="9" s="1"/>
  <c r="U14" i="9"/>
  <c r="T14" i="9"/>
  <c r="S14" i="9"/>
  <c r="R14" i="9"/>
  <c r="Q14" i="9"/>
  <c r="O14" i="9"/>
  <c r="N14" i="9"/>
  <c r="P14" i="9" s="1"/>
  <c r="X13" i="9"/>
  <c r="W13" i="9"/>
  <c r="V13" i="9"/>
  <c r="U13" i="9"/>
  <c r="J18" i="11" s="1"/>
  <c r="T13" i="9"/>
  <c r="R13" i="9"/>
  <c r="S13" i="9" s="1"/>
  <c r="Q13" i="9"/>
  <c r="O13" i="9"/>
  <c r="N13" i="9"/>
  <c r="P13" i="9" s="1"/>
  <c r="U12" i="9"/>
  <c r="T12" i="9"/>
  <c r="S12" i="9"/>
  <c r="R12" i="9"/>
  <c r="Q12" i="9"/>
  <c r="P12" i="9"/>
  <c r="N12" i="9"/>
  <c r="U11" i="9"/>
  <c r="T11" i="9"/>
  <c r="S11" i="9"/>
  <c r="R11" i="9"/>
  <c r="Q11" i="9"/>
  <c r="N11" i="9"/>
  <c r="U10" i="9"/>
  <c r="J17" i="11" s="1"/>
  <c r="T10" i="9"/>
  <c r="S10" i="9"/>
  <c r="R10" i="9"/>
  <c r="Q10" i="9"/>
  <c r="N10" i="9"/>
  <c r="U9" i="9"/>
  <c r="T9" i="9"/>
  <c r="Q9" i="9"/>
  <c r="R9" i="9" s="1"/>
  <c r="S9" i="9" s="1"/>
  <c r="N9" i="9"/>
  <c r="V8" i="9"/>
  <c r="U8" i="9"/>
  <c r="T8" i="9"/>
  <c r="Q8" i="9"/>
  <c r="R8" i="9" s="1"/>
  <c r="S8" i="9" s="1"/>
  <c r="O8" i="9"/>
  <c r="N8" i="9"/>
  <c r="P8" i="9" s="1"/>
  <c r="U7" i="9"/>
  <c r="T7" i="9"/>
  <c r="Q7" i="9"/>
  <c r="R7" i="9" s="1"/>
  <c r="S7" i="9" s="1"/>
  <c r="N7" i="9"/>
  <c r="W6" i="9"/>
  <c r="U6" i="9"/>
  <c r="T6" i="9"/>
  <c r="R6" i="9"/>
  <c r="S6" i="9" s="1"/>
  <c r="Q6" i="9"/>
  <c r="P6" i="9"/>
  <c r="O6" i="9"/>
  <c r="N6" i="9"/>
  <c r="V6" i="9" s="1"/>
  <c r="X6" i="9" s="1"/>
  <c r="U5" i="9"/>
  <c r="T5" i="9"/>
  <c r="R5" i="9"/>
  <c r="S5" i="9" s="1"/>
  <c r="Q5" i="9"/>
  <c r="N5" i="9"/>
  <c r="W115" i="8"/>
  <c r="V115" i="8" s="1"/>
  <c r="X115" i="8" s="1"/>
  <c r="U115" i="8"/>
  <c r="T115" i="8"/>
  <c r="AA115" i="8" s="1"/>
  <c r="R115" i="8"/>
  <c r="P115" i="8"/>
  <c r="Q115" i="8" s="1"/>
  <c r="M115" i="8"/>
  <c r="Z114" i="8"/>
  <c r="W114" i="8"/>
  <c r="V114" i="8" s="1"/>
  <c r="X114" i="8" s="1"/>
  <c r="U114" i="8"/>
  <c r="R114" i="8"/>
  <c r="Q114" i="8"/>
  <c r="P114" i="8"/>
  <c r="M114" i="8"/>
  <c r="AA113" i="8"/>
  <c r="Z113" i="8"/>
  <c r="Y113" i="8"/>
  <c r="W113" i="8"/>
  <c r="V113" i="8" s="1"/>
  <c r="U113" i="8"/>
  <c r="S113" i="8"/>
  <c r="R113" i="8"/>
  <c r="T113" i="8" s="1"/>
  <c r="P113" i="8"/>
  <c r="Q113" i="8" s="1"/>
  <c r="N113" i="8"/>
  <c r="M113" i="8"/>
  <c r="O113" i="8" s="1"/>
  <c r="W112" i="8"/>
  <c r="V112" i="8"/>
  <c r="X112" i="8" s="1"/>
  <c r="U112" i="8"/>
  <c r="R112" i="8"/>
  <c r="P112" i="8"/>
  <c r="Q112" i="8" s="1"/>
  <c r="O112" i="8"/>
  <c r="M112" i="8"/>
  <c r="N112" i="8" s="1"/>
  <c r="X111" i="8"/>
  <c r="W111" i="8"/>
  <c r="V111" i="8" s="1"/>
  <c r="U111" i="8"/>
  <c r="T111" i="8"/>
  <c r="AA111" i="8" s="1"/>
  <c r="R111" i="8"/>
  <c r="Q111" i="8"/>
  <c r="S111" i="8" s="1"/>
  <c r="P111" i="8"/>
  <c r="Z111" i="8" s="1"/>
  <c r="O111" i="8"/>
  <c r="N111" i="8"/>
  <c r="M111" i="8"/>
  <c r="AA110" i="8"/>
  <c r="Y110" i="8"/>
  <c r="W110" i="8"/>
  <c r="V110" i="8" s="1"/>
  <c r="X110" i="8" s="1"/>
  <c r="U110" i="8"/>
  <c r="T110" i="8"/>
  <c r="S110" i="8"/>
  <c r="R110" i="8"/>
  <c r="P110" i="8"/>
  <c r="Q110" i="8" s="1"/>
  <c r="O110" i="8"/>
  <c r="N110" i="8"/>
  <c r="M110" i="8"/>
  <c r="Z109" i="8"/>
  <c r="W109" i="8"/>
  <c r="V109" i="8" s="1"/>
  <c r="X109" i="8" s="1"/>
  <c r="U109" i="8"/>
  <c r="R109" i="8"/>
  <c r="T109" i="8" s="1"/>
  <c r="AA109" i="8" s="1"/>
  <c r="Q109" i="8"/>
  <c r="P109" i="8"/>
  <c r="O109" i="8"/>
  <c r="N109" i="8"/>
  <c r="M109" i="8"/>
  <c r="W108" i="8"/>
  <c r="U108" i="8"/>
  <c r="R108" i="8"/>
  <c r="P108" i="8"/>
  <c r="Q108" i="8" s="1"/>
  <c r="M108" i="8"/>
  <c r="O108" i="8" s="1"/>
  <c r="Z107" i="8"/>
  <c r="W107" i="8"/>
  <c r="V107" i="8" s="1"/>
  <c r="X107" i="8" s="1"/>
  <c r="U107" i="8"/>
  <c r="T107" i="8"/>
  <c r="AA107" i="8" s="1"/>
  <c r="S107" i="8"/>
  <c r="R107" i="8"/>
  <c r="Q107" i="8"/>
  <c r="P107" i="8"/>
  <c r="O107" i="8"/>
  <c r="N107" i="8"/>
  <c r="M107" i="8"/>
  <c r="Y107" i="8" s="1"/>
  <c r="W106" i="8"/>
  <c r="V106" i="8" s="1"/>
  <c r="X106" i="8" s="1"/>
  <c r="U106" i="8"/>
  <c r="R106" i="8"/>
  <c r="Q106" i="8"/>
  <c r="P106" i="8"/>
  <c r="M106" i="8"/>
  <c r="AA105" i="8"/>
  <c r="Z105" i="8"/>
  <c r="W105" i="8"/>
  <c r="V105" i="8"/>
  <c r="X105" i="8" s="1"/>
  <c r="U105" i="8"/>
  <c r="T105" i="8"/>
  <c r="R105" i="8"/>
  <c r="S105" i="8" s="1"/>
  <c r="Q105" i="8"/>
  <c r="P105" i="8"/>
  <c r="O105" i="8"/>
  <c r="M105" i="8"/>
  <c r="AA104" i="8"/>
  <c r="Y104" i="8"/>
  <c r="W104" i="8"/>
  <c r="V104" i="8" s="1"/>
  <c r="X104" i="8" s="1"/>
  <c r="U104" i="8"/>
  <c r="T104" i="8"/>
  <c r="R104" i="8"/>
  <c r="P104" i="8"/>
  <c r="N104" i="8"/>
  <c r="M104" i="8"/>
  <c r="O104" i="8" s="1"/>
  <c r="G241" i="6" s="1"/>
  <c r="Z103" i="8"/>
  <c r="X103" i="8"/>
  <c r="W103" i="8"/>
  <c r="V103" i="8"/>
  <c r="U103" i="8"/>
  <c r="T103" i="8"/>
  <c r="AA103" i="8" s="1"/>
  <c r="R103" i="8"/>
  <c r="P103" i="8"/>
  <c r="Q103" i="8" s="1"/>
  <c r="S103" i="8" s="1"/>
  <c r="O103" i="8"/>
  <c r="N103" i="8"/>
  <c r="M103" i="8"/>
  <c r="Y103" i="8" s="1"/>
  <c r="Z102" i="8"/>
  <c r="X102" i="8"/>
  <c r="W102" i="8"/>
  <c r="V102" i="8" s="1"/>
  <c r="U102" i="8"/>
  <c r="S102" i="8"/>
  <c r="R102" i="8"/>
  <c r="T102" i="8" s="1"/>
  <c r="AA102" i="8" s="1"/>
  <c r="Q102" i="8"/>
  <c r="P102" i="8"/>
  <c r="N102" i="8"/>
  <c r="E239" i="6" s="1"/>
  <c r="M102" i="8"/>
  <c r="Z101" i="8"/>
  <c r="Y101" i="8"/>
  <c r="X101" i="8"/>
  <c r="W101" i="8"/>
  <c r="V101" i="8"/>
  <c r="U101" i="8"/>
  <c r="R101" i="8"/>
  <c r="Q101" i="8"/>
  <c r="P101" i="8"/>
  <c r="M101" i="8"/>
  <c r="Z100" i="8"/>
  <c r="W100" i="8"/>
  <c r="U100" i="8"/>
  <c r="R100" i="8"/>
  <c r="T100" i="8" s="1"/>
  <c r="AA100" i="8" s="1"/>
  <c r="Q100" i="8"/>
  <c r="S100" i="8" s="1"/>
  <c r="P100" i="8"/>
  <c r="O100" i="8"/>
  <c r="M100" i="8"/>
  <c r="N100" i="8" s="1"/>
  <c r="Y99" i="8"/>
  <c r="W99" i="8"/>
  <c r="V99" i="8" s="1"/>
  <c r="X99" i="8" s="1"/>
  <c r="U99" i="8"/>
  <c r="T99" i="8"/>
  <c r="AA99" i="8" s="1"/>
  <c r="R99" i="8"/>
  <c r="P99" i="8"/>
  <c r="O99" i="8"/>
  <c r="N99" i="8"/>
  <c r="M99" i="8"/>
  <c r="Z98" i="8"/>
  <c r="Y98" i="8"/>
  <c r="W98" i="8"/>
  <c r="V98" i="8" s="1"/>
  <c r="U98" i="8"/>
  <c r="T98" i="8"/>
  <c r="AA98" i="8" s="1"/>
  <c r="S98" i="8"/>
  <c r="R98" i="8"/>
  <c r="Q98" i="8"/>
  <c r="P98" i="8"/>
  <c r="O98" i="8"/>
  <c r="M98" i="8"/>
  <c r="N98" i="8" s="1"/>
  <c r="Y97" i="8"/>
  <c r="W97" i="8"/>
  <c r="V97" i="8" s="1"/>
  <c r="X97" i="8" s="1"/>
  <c r="U97" i="8"/>
  <c r="T97" i="8"/>
  <c r="AA97" i="8" s="1"/>
  <c r="R97" i="8"/>
  <c r="Z97" i="8" s="1"/>
  <c r="P97" i="8"/>
  <c r="Q97" i="8" s="1"/>
  <c r="S97" i="8" s="1"/>
  <c r="N97" i="8"/>
  <c r="M97" i="8"/>
  <c r="O97" i="8" s="1"/>
  <c r="W96" i="8"/>
  <c r="V96" i="8"/>
  <c r="U96" i="8"/>
  <c r="T96" i="8"/>
  <c r="AA96" i="8" s="1"/>
  <c r="S96" i="8"/>
  <c r="R96" i="8"/>
  <c r="Z96" i="8" s="1"/>
  <c r="Q96" i="8"/>
  <c r="P96" i="8"/>
  <c r="M96" i="8"/>
  <c r="W95" i="8"/>
  <c r="V95" i="8" s="1"/>
  <c r="X95" i="8" s="1"/>
  <c r="R95" i="8"/>
  <c r="Q95" i="8"/>
  <c r="U95" i="8" s="1"/>
  <c r="P95" i="8"/>
  <c r="N95" i="8"/>
  <c r="M95" i="8"/>
  <c r="O95" i="8" s="1"/>
  <c r="W94" i="8"/>
  <c r="V94" i="8"/>
  <c r="U94" i="8"/>
  <c r="S94" i="8"/>
  <c r="R94" i="8"/>
  <c r="Z94" i="8" s="1"/>
  <c r="Q94" i="8"/>
  <c r="P94" i="8"/>
  <c r="O94" i="8"/>
  <c r="M94" i="8"/>
  <c r="N94" i="8" s="1"/>
  <c r="Y93" i="8"/>
  <c r="W93" i="8"/>
  <c r="V93" i="8"/>
  <c r="U93" i="8"/>
  <c r="X93" i="8" s="1"/>
  <c r="R93" i="8"/>
  <c r="Z93" i="8" s="1"/>
  <c r="Q93" i="8"/>
  <c r="S93" i="8" s="1"/>
  <c r="P93" i="8"/>
  <c r="O93" i="8"/>
  <c r="N93" i="8"/>
  <c r="M93" i="8"/>
  <c r="W92" i="8"/>
  <c r="V92" i="8" s="1"/>
  <c r="X92" i="8" s="1"/>
  <c r="U92" i="8"/>
  <c r="T92" i="8"/>
  <c r="AA92" i="8" s="1"/>
  <c r="R92" i="8"/>
  <c r="Q92" i="8"/>
  <c r="S92" i="8" s="1"/>
  <c r="P92" i="8"/>
  <c r="M92" i="8"/>
  <c r="W91" i="8"/>
  <c r="V91" i="8" s="1"/>
  <c r="S91" i="8"/>
  <c r="R91" i="8"/>
  <c r="Q91" i="8"/>
  <c r="P91" i="8"/>
  <c r="M91" i="8"/>
  <c r="W90" i="8"/>
  <c r="V90" i="8" s="1"/>
  <c r="X90" i="8" s="1"/>
  <c r="U90" i="8"/>
  <c r="R90" i="8"/>
  <c r="Q90" i="8"/>
  <c r="P90" i="8"/>
  <c r="O90" i="8"/>
  <c r="N90" i="8"/>
  <c r="M90" i="8"/>
  <c r="AA89" i="8"/>
  <c r="Z89" i="8"/>
  <c r="W89" i="8"/>
  <c r="V89" i="8"/>
  <c r="X89" i="8" s="1"/>
  <c r="U89" i="8"/>
  <c r="T89" i="8"/>
  <c r="R89" i="8"/>
  <c r="S89" i="8" s="1"/>
  <c r="Q89" i="8"/>
  <c r="P89" i="8"/>
  <c r="M89" i="8"/>
  <c r="AA88" i="8"/>
  <c r="Z88" i="8"/>
  <c r="W88" i="8"/>
  <c r="V88" i="8" s="1"/>
  <c r="T88" i="8"/>
  <c r="R88" i="8"/>
  <c r="P88" i="8"/>
  <c r="Q88" i="8" s="1"/>
  <c r="S88" i="8" s="1"/>
  <c r="M88" i="8"/>
  <c r="Z87" i="8"/>
  <c r="Y87" i="8"/>
  <c r="W87" i="8"/>
  <c r="V87" i="8"/>
  <c r="T87" i="8"/>
  <c r="AA87" i="8" s="1"/>
  <c r="R87" i="8"/>
  <c r="S87" i="8" s="1"/>
  <c r="Q87" i="8"/>
  <c r="P87" i="8"/>
  <c r="O87" i="8"/>
  <c r="N87" i="8"/>
  <c r="M87" i="8"/>
  <c r="Z86" i="8"/>
  <c r="Y86" i="8"/>
  <c r="W86" i="8"/>
  <c r="V86" i="8" s="1"/>
  <c r="S86" i="8"/>
  <c r="R86" i="8"/>
  <c r="T86" i="8" s="1"/>
  <c r="AA86" i="8" s="1"/>
  <c r="Q86" i="8"/>
  <c r="P86" i="8"/>
  <c r="M86" i="8"/>
  <c r="Z85" i="8"/>
  <c r="Y85" i="8"/>
  <c r="W85" i="8"/>
  <c r="V85" i="8"/>
  <c r="R85" i="8"/>
  <c r="P85" i="8"/>
  <c r="Q85" i="8" s="1"/>
  <c r="M85" i="8"/>
  <c r="AA84" i="8"/>
  <c r="Z84" i="8"/>
  <c r="W84" i="8"/>
  <c r="V84" i="8" s="1"/>
  <c r="R84" i="8"/>
  <c r="T84" i="8" s="1"/>
  <c r="Q84" i="8"/>
  <c r="P84" i="8"/>
  <c r="O84" i="8"/>
  <c r="M84" i="8"/>
  <c r="N84" i="8" s="1"/>
  <c r="AA83" i="8"/>
  <c r="Y83" i="8"/>
  <c r="W83" i="8"/>
  <c r="V83" i="8"/>
  <c r="U83" i="8"/>
  <c r="T83" i="8"/>
  <c r="R83" i="8"/>
  <c r="P83" i="8"/>
  <c r="O83" i="8"/>
  <c r="N83" i="8"/>
  <c r="M83" i="8"/>
  <c r="Z82" i="8"/>
  <c r="W82" i="8"/>
  <c r="U82" i="8"/>
  <c r="T82" i="8"/>
  <c r="AA82" i="8" s="1"/>
  <c r="S82" i="8"/>
  <c r="R82" i="8"/>
  <c r="Q82" i="8"/>
  <c r="P82" i="8"/>
  <c r="O82" i="8"/>
  <c r="M82" i="8"/>
  <c r="N82" i="8" s="1"/>
  <c r="W81" i="8"/>
  <c r="V81" i="8" s="1"/>
  <c r="X81" i="8" s="1"/>
  <c r="S81" i="8"/>
  <c r="R81" i="8"/>
  <c r="Z81" i="8" s="1"/>
  <c r="P81" i="8"/>
  <c r="Q81" i="8" s="1"/>
  <c r="U81" i="8" s="1"/>
  <c r="N81" i="8"/>
  <c r="M81" i="8"/>
  <c r="O81" i="8" s="1"/>
  <c r="W80" i="8"/>
  <c r="V80" i="8" s="1"/>
  <c r="T80" i="8"/>
  <c r="AA80" i="8" s="1"/>
  <c r="S80" i="8"/>
  <c r="R80" i="8"/>
  <c r="Z80" i="8" s="1"/>
  <c r="Q80" i="8"/>
  <c r="P80" i="8"/>
  <c r="M80" i="8"/>
  <c r="W79" i="8"/>
  <c r="V79" i="8"/>
  <c r="X79" i="8" s="1"/>
  <c r="T79" i="8"/>
  <c r="AA79" i="8" s="1"/>
  <c r="R79" i="8"/>
  <c r="Q79" i="8"/>
  <c r="P79" i="8"/>
  <c r="N79" i="8"/>
  <c r="M79" i="8"/>
  <c r="O79" i="8" s="1"/>
  <c r="U79" i="8" s="1"/>
  <c r="AA78" i="8"/>
  <c r="W78" i="8"/>
  <c r="V78" i="8"/>
  <c r="U78" i="8"/>
  <c r="T78" i="8"/>
  <c r="R78" i="8"/>
  <c r="Q78" i="8"/>
  <c r="S78" i="8" s="1"/>
  <c r="P78" i="8"/>
  <c r="O78" i="8"/>
  <c r="M78" i="8"/>
  <c r="N78" i="8" s="1"/>
  <c r="Y77" i="8"/>
  <c r="W77" i="8"/>
  <c r="V77" i="8"/>
  <c r="T77" i="8"/>
  <c r="AA77" i="8" s="1"/>
  <c r="S77" i="8"/>
  <c r="R77" i="8"/>
  <c r="Q77" i="8"/>
  <c r="U77" i="8" s="1"/>
  <c r="X77" i="8" s="1"/>
  <c r="P77" i="8"/>
  <c r="Z77" i="8" s="1"/>
  <c r="O77" i="8"/>
  <c r="N77" i="8"/>
  <c r="M77" i="8"/>
  <c r="W76" i="8"/>
  <c r="V76" i="8" s="1"/>
  <c r="R76" i="8"/>
  <c r="P76" i="8"/>
  <c r="Q76" i="8" s="1"/>
  <c r="O76" i="8"/>
  <c r="M76" i="8"/>
  <c r="W75" i="8"/>
  <c r="V75" i="8"/>
  <c r="R75" i="8"/>
  <c r="Q75" i="8"/>
  <c r="S75" i="8" s="1"/>
  <c r="P75" i="8"/>
  <c r="O75" i="8"/>
  <c r="G224" i="6" s="1"/>
  <c r="M75" i="8"/>
  <c r="W74" i="8"/>
  <c r="V74" i="8" s="1"/>
  <c r="R74" i="8"/>
  <c r="P74" i="8"/>
  <c r="Q74" i="8" s="1"/>
  <c r="M74" i="8"/>
  <c r="AA73" i="8"/>
  <c r="Z73" i="8"/>
  <c r="W73" i="8"/>
  <c r="V73" i="8"/>
  <c r="T73" i="8"/>
  <c r="R73" i="8"/>
  <c r="S73" i="8" s="1"/>
  <c r="P73" i="8"/>
  <c r="Q73" i="8" s="1"/>
  <c r="M73" i="8"/>
  <c r="O73" i="8" s="1"/>
  <c r="G223" i="6" s="1"/>
  <c r="AA72" i="8"/>
  <c r="Z72" i="8"/>
  <c r="Y72" i="8"/>
  <c r="W72" i="8"/>
  <c r="V72" i="8" s="1"/>
  <c r="T72" i="8"/>
  <c r="R72" i="8"/>
  <c r="P72" i="8"/>
  <c r="Q72" i="8" s="1"/>
  <c r="S72" i="8" s="1"/>
  <c r="M72" i="8"/>
  <c r="Z71" i="8"/>
  <c r="Y71" i="8"/>
  <c r="X71" i="8"/>
  <c r="W71" i="8"/>
  <c r="V71" i="8"/>
  <c r="T71" i="8"/>
  <c r="R71" i="8"/>
  <c r="S71" i="8" s="1"/>
  <c r="P71" i="8"/>
  <c r="Q71" i="8" s="1"/>
  <c r="O71" i="8"/>
  <c r="N71" i="8"/>
  <c r="M71" i="8"/>
  <c r="U71" i="8" s="1"/>
  <c r="Z70" i="8"/>
  <c r="W70" i="8"/>
  <c r="V70" i="8" s="1"/>
  <c r="S70" i="8"/>
  <c r="R70" i="8"/>
  <c r="T70" i="8" s="1"/>
  <c r="AA70" i="8" s="1"/>
  <c r="Q70" i="8"/>
  <c r="P70" i="8"/>
  <c r="M70" i="8"/>
  <c r="Y69" i="8"/>
  <c r="W69" i="8"/>
  <c r="V69" i="8" s="1"/>
  <c r="R69" i="8"/>
  <c r="P69" i="8"/>
  <c r="Q69" i="8" s="1"/>
  <c r="M69" i="8"/>
  <c r="Z68" i="8"/>
  <c r="Y68" i="8"/>
  <c r="W68" i="8"/>
  <c r="V68" i="8" s="1"/>
  <c r="X68" i="8" s="1"/>
  <c r="U68" i="8"/>
  <c r="R68" i="8"/>
  <c r="T68" i="8" s="1"/>
  <c r="AA68" i="8" s="1"/>
  <c r="Q68" i="8"/>
  <c r="S68" i="8" s="1"/>
  <c r="P68" i="8"/>
  <c r="O68" i="8"/>
  <c r="M68" i="8"/>
  <c r="N68" i="8" s="1"/>
  <c r="Z67" i="8"/>
  <c r="Y67" i="8"/>
  <c r="W67" i="8"/>
  <c r="V67" i="8"/>
  <c r="U67" i="8"/>
  <c r="X67" i="8" s="1"/>
  <c r="T67" i="8"/>
  <c r="AA67" i="8" s="1"/>
  <c r="R67" i="8"/>
  <c r="P67" i="8"/>
  <c r="Q67" i="8" s="1"/>
  <c r="O67" i="8"/>
  <c r="N67" i="8"/>
  <c r="M67" i="8"/>
  <c r="Z66" i="8"/>
  <c r="Y66" i="8"/>
  <c r="W66" i="8"/>
  <c r="V66" i="8"/>
  <c r="X66" i="8" s="1"/>
  <c r="U66" i="8"/>
  <c r="T66" i="8"/>
  <c r="AA66" i="8" s="1"/>
  <c r="S66" i="8"/>
  <c r="R66" i="8"/>
  <c r="Q66" i="8"/>
  <c r="P66" i="8"/>
  <c r="O66" i="8"/>
  <c r="M66" i="8"/>
  <c r="N66" i="8" s="1"/>
  <c r="Y65" i="8"/>
  <c r="W65" i="8"/>
  <c r="V65" i="8"/>
  <c r="X65" i="8" s="1"/>
  <c r="R65" i="8"/>
  <c r="P65" i="8"/>
  <c r="Q65" i="8" s="1"/>
  <c r="U65" i="8" s="1"/>
  <c r="N65" i="8"/>
  <c r="M65" i="8"/>
  <c r="O65" i="8" s="1"/>
  <c r="W64" i="8"/>
  <c r="V64" i="8" s="1"/>
  <c r="X64" i="8" s="1"/>
  <c r="U64" i="8"/>
  <c r="R64" i="8"/>
  <c r="Q64" i="8"/>
  <c r="P64" i="8"/>
  <c r="M64" i="8"/>
  <c r="W63" i="8"/>
  <c r="V63" i="8" s="1"/>
  <c r="U63" i="8"/>
  <c r="T63" i="8"/>
  <c r="AA63" i="8" s="1"/>
  <c r="R63" i="8"/>
  <c r="P63" i="8"/>
  <c r="Q63" i="8" s="1"/>
  <c r="S63" i="8" s="1"/>
  <c r="M63" i="8"/>
  <c r="O63" i="8" s="1"/>
  <c r="W62" i="8"/>
  <c r="V62" i="8"/>
  <c r="U62" i="8"/>
  <c r="S62" i="8"/>
  <c r="R62" i="8"/>
  <c r="Z62" i="8" s="1"/>
  <c r="Q62" i="8"/>
  <c r="P62" i="8"/>
  <c r="O62" i="8"/>
  <c r="M62" i="8"/>
  <c r="N62" i="8" s="1"/>
  <c r="Z61" i="8"/>
  <c r="Y61" i="8"/>
  <c r="W61" i="8"/>
  <c r="V61" i="8"/>
  <c r="S61" i="8"/>
  <c r="R61" i="8"/>
  <c r="T61" i="8" s="1"/>
  <c r="AA61" i="8" s="1"/>
  <c r="Q61" i="8"/>
  <c r="U61" i="8" s="1"/>
  <c r="X61" i="8" s="1"/>
  <c r="P61" i="8"/>
  <c r="O61" i="8"/>
  <c r="N61" i="8"/>
  <c r="M61" i="8"/>
  <c r="W60" i="8"/>
  <c r="V60" i="8" s="1"/>
  <c r="T60" i="8"/>
  <c r="AA60" i="8" s="1"/>
  <c r="R60" i="8"/>
  <c r="P60" i="8"/>
  <c r="Q60" i="8" s="1"/>
  <c r="S60" i="8" s="1"/>
  <c r="M60" i="8"/>
  <c r="W59" i="8"/>
  <c r="V59" i="8"/>
  <c r="S59" i="8"/>
  <c r="R59" i="8"/>
  <c r="Q59" i="8"/>
  <c r="P59" i="8"/>
  <c r="O59" i="8"/>
  <c r="M59" i="8"/>
  <c r="W58" i="8"/>
  <c r="V58" i="8" s="1"/>
  <c r="R58" i="8"/>
  <c r="Q58" i="8"/>
  <c r="P58" i="8"/>
  <c r="M58" i="8"/>
  <c r="Z57" i="8"/>
  <c r="W57" i="8"/>
  <c r="V57" i="8"/>
  <c r="T57" i="8"/>
  <c r="AA57" i="8" s="1"/>
  <c r="R57" i="8"/>
  <c r="P57" i="8"/>
  <c r="Q57" i="8" s="1"/>
  <c r="M57" i="8"/>
  <c r="AA56" i="8"/>
  <c r="Z56" i="8"/>
  <c r="W56" i="8"/>
  <c r="V56" i="8"/>
  <c r="T56" i="8"/>
  <c r="S56" i="8"/>
  <c r="R56" i="8"/>
  <c r="P56" i="8"/>
  <c r="Q56" i="8" s="1"/>
  <c r="M56" i="8"/>
  <c r="Y55" i="8"/>
  <c r="W55" i="8"/>
  <c r="V55" i="8"/>
  <c r="T55" i="8"/>
  <c r="AA55" i="8" s="1"/>
  <c r="R55" i="8"/>
  <c r="P55" i="8"/>
  <c r="Q55" i="8" s="1"/>
  <c r="M55" i="8"/>
  <c r="Z54" i="8"/>
  <c r="W54" i="8"/>
  <c r="V54" i="8" s="1"/>
  <c r="S54" i="8"/>
  <c r="R54" i="8"/>
  <c r="T54" i="8" s="1"/>
  <c r="AA54" i="8" s="1"/>
  <c r="Q54" i="8"/>
  <c r="U54" i="8" s="1"/>
  <c r="P54" i="8"/>
  <c r="N54" i="8"/>
  <c r="M54" i="8"/>
  <c r="O54" i="8" s="1"/>
  <c r="W53" i="8"/>
  <c r="V53" i="8" s="1"/>
  <c r="S53" i="8"/>
  <c r="R53" i="8"/>
  <c r="Q53" i="8"/>
  <c r="P53" i="8"/>
  <c r="M53" i="8"/>
  <c r="Y52" i="8"/>
  <c r="W52" i="8"/>
  <c r="V52" i="8" s="1"/>
  <c r="U52" i="8"/>
  <c r="R52" i="8"/>
  <c r="P52" i="8"/>
  <c r="Q52" i="8" s="1"/>
  <c r="O52" i="8"/>
  <c r="M52" i="8"/>
  <c r="N52" i="8" s="1"/>
  <c r="AA51" i="8"/>
  <c r="Z51" i="8"/>
  <c r="Y51" i="8"/>
  <c r="X51" i="8"/>
  <c r="W51" i="8"/>
  <c r="V51" i="8"/>
  <c r="T51" i="8"/>
  <c r="R51" i="8"/>
  <c r="Q51" i="8"/>
  <c r="U51" i="8" s="1"/>
  <c r="P51" i="8"/>
  <c r="O51" i="8"/>
  <c r="N51" i="8"/>
  <c r="M51" i="8"/>
  <c r="Z50" i="8"/>
  <c r="W50" i="8"/>
  <c r="Y50" i="8" s="1"/>
  <c r="U50" i="8"/>
  <c r="T50" i="8"/>
  <c r="AA50" i="8" s="1"/>
  <c r="S50" i="8"/>
  <c r="R50" i="8"/>
  <c r="Q50" i="8"/>
  <c r="P50" i="8"/>
  <c r="O50" i="8"/>
  <c r="M50" i="8"/>
  <c r="N50" i="8" s="1"/>
  <c r="W49" i="8"/>
  <c r="V49" i="8"/>
  <c r="X49" i="8" s="1"/>
  <c r="U49" i="8"/>
  <c r="T49" i="8"/>
  <c r="AA49" i="8" s="1"/>
  <c r="R49" i="8"/>
  <c r="Z49" i="8" s="1"/>
  <c r="P49" i="8"/>
  <c r="Q49" i="8" s="1"/>
  <c r="O49" i="8"/>
  <c r="N49" i="8"/>
  <c r="M49" i="8"/>
  <c r="Y49" i="8" s="1"/>
  <c r="W48" i="8"/>
  <c r="V48" i="8"/>
  <c r="X48" i="8" s="1"/>
  <c r="S48" i="8"/>
  <c r="R48" i="8"/>
  <c r="Q48" i="8"/>
  <c r="U48" i="8" s="1"/>
  <c r="P48" i="8"/>
  <c r="O48" i="8"/>
  <c r="N48" i="8"/>
  <c r="M48" i="8"/>
  <c r="AA47" i="8"/>
  <c r="W47" i="8"/>
  <c r="V47" i="8" s="1"/>
  <c r="T47" i="8"/>
  <c r="R47" i="8"/>
  <c r="P47" i="8"/>
  <c r="N47" i="8"/>
  <c r="M47" i="8"/>
  <c r="Y46" i="8"/>
  <c r="W46" i="8"/>
  <c r="V46" i="8"/>
  <c r="R46" i="8"/>
  <c r="P46" i="8"/>
  <c r="Q46" i="8" s="1"/>
  <c r="U46" i="8" s="1"/>
  <c r="O46" i="8"/>
  <c r="M46" i="8"/>
  <c r="N46" i="8" s="1"/>
  <c r="AA45" i="8"/>
  <c r="Z45" i="8"/>
  <c r="Y45" i="8"/>
  <c r="X45" i="8"/>
  <c r="W45" i="8"/>
  <c r="V45" i="8" s="1"/>
  <c r="U45" i="8"/>
  <c r="S45" i="8"/>
  <c r="R45" i="8"/>
  <c r="T45" i="8" s="1"/>
  <c r="Q45" i="8"/>
  <c r="P45" i="8"/>
  <c r="O45" i="8"/>
  <c r="N45" i="8"/>
  <c r="M45" i="8"/>
  <c r="Y44" i="8"/>
  <c r="W44" i="8"/>
  <c r="V44" i="8" s="1"/>
  <c r="R44" i="8"/>
  <c r="P44" i="8"/>
  <c r="Q44" i="8" s="1"/>
  <c r="O44" i="8"/>
  <c r="N44" i="8"/>
  <c r="M44" i="8"/>
  <c r="Y43" i="8"/>
  <c r="W43" i="8"/>
  <c r="V43" i="8" s="1"/>
  <c r="R43" i="8"/>
  <c r="P43" i="8"/>
  <c r="Q43" i="8" s="1"/>
  <c r="S43" i="8" s="1"/>
  <c r="O43" i="8"/>
  <c r="N43" i="8"/>
  <c r="M43" i="8"/>
  <c r="W42" i="8"/>
  <c r="V42" i="8"/>
  <c r="R42" i="8"/>
  <c r="Q42" i="8"/>
  <c r="P42" i="8"/>
  <c r="O42" i="8"/>
  <c r="N42" i="8"/>
  <c r="M42" i="8"/>
  <c r="AA41" i="8"/>
  <c r="Z41" i="8"/>
  <c r="W41" i="8"/>
  <c r="V41" i="8"/>
  <c r="X41" i="8" s="1"/>
  <c r="T41" i="8"/>
  <c r="R41" i="8"/>
  <c r="Q41" i="8"/>
  <c r="U41" i="8" s="1"/>
  <c r="P41" i="8"/>
  <c r="O41" i="8"/>
  <c r="M41" i="8"/>
  <c r="Y41" i="8" s="1"/>
  <c r="AA40" i="8"/>
  <c r="Z40" i="8"/>
  <c r="Y40" i="8"/>
  <c r="W40" i="8"/>
  <c r="V40" i="8" s="1"/>
  <c r="U40" i="8"/>
  <c r="T40" i="8"/>
  <c r="S40" i="8"/>
  <c r="R40" i="8"/>
  <c r="P40" i="8"/>
  <c r="Q40" i="8" s="1"/>
  <c r="N40" i="8"/>
  <c r="M40" i="8"/>
  <c r="O40" i="8" s="1"/>
  <c r="AA39" i="8"/>
  <c r="Z39" i="8"/>
  <c r="W39" i="8"/>
  <c r="V39" i="8"/>
  <c r="X39" i="8" s="1"/>
  <c r="U39" i="8"/>
  <c r="T39" i="8"/>
  <c r="R39" i="8"/>
  <c r="P39" i="8"/>
  <c r="Q39" i="8" s="1"/>
  <c r="S39" i="8" s="1"/>
  <c r="O39" i="8"/>
  <c r="N39" i="8"/>
  <c r="M39" i="8"/>
  <c r="Y39" i="8" s="1"/>
  <c r="Y38" i="8"/>
  <c r="W38" i="8"/>
  <c r="V38" i="8" s="1"/>
  <c r="X38" i="8" s="1"/>
  <c r="U38" i="8"/>
  <c r="T38" i="8"/>
  <c r="AA38" i="8" s="1"/>
  <c r="R38" i="8"/>
  <c r="Z38" i="8" s="1"/>
  <c r="Q38" i="8"/>
  <c r="P38" i="8"/>
  <c r="M38" i="8"/>
  <c r="W37" i="8"/>
  <c r="V37" i="8"/>
  <c r="R37" i="8"/>
  <c r="P37" i="8"/>
  <c r="Q37" i="8" s="1"/>
  <c r="M37" i="8"/>
  <c r="AA36" i="8"/>
  <c r="Z36" i="8"/>
  <c r="W36" i="8"/>
  <c r="V36" i="8" s="1"/>
  <c r="X36" i="8" s="1"/>
  <c r="R36" i="8"/>
  <c r="T36" i="8" s="1"/>
  <c r="Q36" i="8"/>
  <c r="U36" i="8" s="1"/>
  <c r="P36" i="8"/>
  <c r="O36" i="8"/>
  <c r="M36" i="8"/>
  <c r="N36" i="8" s="1"/>
  <c r="Y35" i="8"/>
  <c r="W35" i="8"/>
  <c r="V35" i="8" s="1"/>
  <c r="T35" i="8"/>
  <c r="AA35" i="8" s="1"/>
  <c r="R35" i="8"/>
  <c r="P35" i="8"/>
  <c r="O35" i="8"/>
  <c r="N35" i="8"/>
  <c r="M35" i="8"/>
  <c r="W34" i="8"/>
  <c r="V34" i="8" s="1"/>
  <c r="T34" i="8"/>
  <c r="AA34" i="8" s="1"/>
  <c r="R34" i="8"/>
  <c r="Q34" i="8"/>
  <c r="S34" i="8" s="1"/>
  <c r="P34" i="8"/>
  <c r="Z34" i="8" s="1"/>
  <c r="M34" i="8"/>
  <c r="Y33" i="8"/>
  <c r="W33" i="8"/>
  <c r="V33" i="8"/>
  <c r="R33" i="8"/>
  <c r="P33" i="8"/>
  <c r="Q33" i="8" s="1"/>
  <c r="N33" i="8"/>
  <c r="M33" i="8"/>
  <c r="O33" i="8" s="1"/>
  <c r="X32" i="8"/>
  <c r="W32" i="8"/>
  <c r="V32" i="8" s="1"/>
  <c r="R32" i="8"/>
  <c r="Q32" i="8"/>
  <c r="U32" i="8" s="1"/>
  <c r="P32" i="8"/>
  <c r="O32" i="8"/>
  <c r="N32" i="8"/>
  <c r="M32" i="8"/>
  <c r="W31" i="8"/>
  <c r="V31" i="8" s="1"/>
  <c r="R31" i="8"/>
  <c r="Q31" i="8"/>
  <c r="P31" i="8"/>
  <c r="M31" i="8"/>
  <c r="Z30" i="8"/>
  <c r="Y30" i="8"/>
  <c r="W30" i="8"/>
  <c r="V30" i="8"/>
  <c r="T30" i="8"/>
  <c r="AA30" i="8" s="1"/>
  <c r="R30" i="8"/>
  <c r="Q30" i="8"/>
  <c r="P30" i="8"/>
  <c r="M30" i="8"/>
  <c r="Y29" i="8"/>
  <c r="W29" i="8"/>
  <c r="V29" i="8" s="1"/>
  <c r="U29" i="8"/>
  <c r="X29" i="8" s="1"/>
  <c r="T29" i="8"/>
  <c r="AA29" i="8" s="1"/>
  <c r="S29" i="8"/>
  <c r="R29" i="8"/>
  <c r="Z29" i="8" s="1"/>
  <c r="P29" i="8"/>
  <c r="Q29" i="8" s="1"/>
  <c r="M29" i="8"/>
  <c r="W28" i="8"/>
  <c r="V28" i="8" s="1"/>
  <c r="T28" i="8"/>
  <c r="AA28" i="8" s="1"/>
  <c r="S28" i="8"/>
  <c r="R28" i="8"/>
  <c r="Z28" i="8" s="1"/>
  <c r="P28" i="8"/>
  <c r="Q28" i="8" s="1"/>
  <c r="M28" i="8"/>
  <c r="AA27" i="8"/>
  <c r="W27" i="8"/>
  <c r="V27" i="8"/>
  <c r="S27" i="8"/>
  <c r="R27" i="8"/>
  <c r="T27" i="8" s="1"/>
  <c r="Q27" i="8"/>
  <c r="P27" i="8"/>
  <c r="N27" i="8"/>
  <c r="M27" i="8"/>
  <c r="Z26" i="8"/>
  <c r="Y26" i="8"/>
  <c r="W26" i="8"/>
  <c r="V26" i="8"/>
  <c r="R26" i="8"/>
  <c r="P26" i="8"/>
  <c r="Q26" i="8" s="1"/>
  <c r="M26" i="8"/>
  <c r="W25" i="8"/>
  <c r="T25" i="8"/>
  <c r="AA25" i="8" s="1"/>
  <c r="R25" i="8"/>
  <c r="Q25" i="8"/>
  <c r="P25" i="8"/>
  <c r="Z25" i="8" s="1"/>
  <c r="O25" i="8"/>
  <c r="M25" i="8"/>
  <c r="N25" i="8" s="1"/>
  <c r="Y24" i="8"/>
  <c r="W24" i="8"/>
  <c r="V24" i="8" s="1"/>
  <c r="T24" i="8"/>
  <c r="AA24" i="8" s="1"/>
  <c r="R24" i="8"/>
  <c r="P24" i="8"/>
  <c r="O24" i="8"/>
  <c r="N24" i="8"/>
  <c r="M24" i="8"/>
  <c r="Z23" i="8"/>
  <c r="Y23" i="8"/>
  <c r="W23" i="8"/>
  <c r="V23" i="8" s="1"/>
  <c r="X23" i="8" s="1"/>
  <c r="U23" i="8"/>
  <c r="S23" i="8"/>
  <c r="R23" i="8"/>
  <c r="T23" i="8" s="1"/>
  <c r="AA23" i="8" s="1"/>
  <c r="Q23" i="8"/>
  <c r="P23" i="8"/>
  <c r="M23" i="8"/>
  <c r="Y22" i="8"/>
  <c r="W22" i="8"/>
  <c r="V22" i="8" s="1"/>
  <c r="U22" i="8"/>
  <c r="R22" i="8"/>
  <c r="Q22" i="8"/>
  <c r="P22" i="8"/>
  <c r="N22" i="8"/>
  <c r="M22" i="8"/>
  <c r="O22" i="8" s="1"/>
  <c r="W21" i="8"/>
  <c r="V21" i="8"/>
  <c r="T21" i="8"/>
  <c r="AA21" i="8" s="1"/>
  <c r="R21" i="8"/>
  <c r="P21" i="8"/>
  <c r="Z21" i="8" s="1"/>
  <c r="M21" i="8"/>
  <c r="W20" i="8"/>
  <c r="V20" i="8" s="1"/>
  <c r="R20" i="8"/>
  <c r="P20" i="8"/>
  <c r="Q20" i="8" s="1"/>
  <c r="U20" i="8" s="1"/>
  <c r="O20" i="8"/>
  <c r="M20" i="8"/>
  <c r="N20" i="8" s="1"/>
  <c r="Z19" i="8"/>
  <c r="W19" i="8"/>
  <c r="V19" i="8"/>
  <c r="S19" i="8"/>
  <c r="R19" i="8"/>
  <c r="T19" i="8" s="1"/>
  <c r="AA19" i="8" s="1"/>
  <c r="Q19" i="8"/>
  <c r="P19" i="8"/>
  <c r="O19" i="8"/>
  <c r="M19" i="8"/>
  <c r="AA18" i="8"/>
  <c r="Z18" i="8"/>
  <c r="Y18" i="8"/>
  <c r="W18" i="8"/>
  <c r="V18" i="8" s="1"/>
  <c r="X18" i="8" s="1"/>
  <c r="U18" i="8"/>
  <c r="R18" i="8"/>
  <c r="T18" i="8" s="1"/>
  <c r="Q18" i="8"/>
  <c r="S18" i="8" s="1"/>
  <c r="P18" i="8"/>
  <c r="N18" i="8"/>
  <c r="M18" i="8"/>
  <c r="O18" i="8" s="1"/>
  <c r="Y17" i="8"/>
  <c r="W17" i="8"/>
  <c r="V17" i="8" s="1"/>
  <c r="T17" i="8"/>
  <c r="AA17" i="8" s="1"/>
  <c r="R17" i="8"/>
  <c r="Z17" i="8" s="1"/>
  <c r="Q17" i="8"/>
  <c r="P17" i="8"/>
  <c r="O17" i="8"/>
  <c r="M17" i="8"/>
  <c r="W16" i="8"/>
  <c r="Y16" i="8" s="1"/>
  <c r="V16" i="8"/>
  <c r="R16" i="8"/>
  <c r="Q16" i="8"/>
  <c r="U16" i="8" s="1"/>
  <c r="P16" i="8"/>
  <c r="O16" i="8"/>
  <c r="N16" i="8"/>
  <c r="M16" i="8"/>
  <c r="W15" i="8"/>
  <c r="V15" i="8" s="1"/>
  <c r="R15" i="8"/>
  <c r="Q15" i="8"/>
  <c r="P15" i="8"/>
  <c r="O15" i="8"/>
  <c r="M15" i="8"/>
  <c r="Z14" i="8"/>
  <c r="W14" i="8"/>
  <c r="V14" i="8"/>
  <c r="T14" i="8"/>
  <c r="AA14" i="8" s="1"/>
  <c r="R14" i="8"/>
  <c r="S14" i="8" s="1"/>
  <c r="Q14" i="8"/>
  <c r="P14" i="8"/>
  <c r="O14" i="8"/>
  <c r="N14" i="8"/>
  <c r="M14" i="8"/>
  <c r="AA13" i="8"/>
  <c r="Y13" i="8"/>
  <c r="W13" i="8"/>
  <c r="V13" i="8"/>
  <c r="U13" i="8"/>
  <c r="T13" i="8"/>
  <c r="R13" i="8"/>
  <c r="P13" i="8"/>
  <c r="Q13" i="8" s="1"/>
  <c r="S13" i="8" s="1"/>
  <c r="O13" i="8"/>
  <c r="N13" i="8"/>
  <c r="M13" i="8"/>
  <c r="W12" i="8"/>
  <c r="V12" i="8" s="1"/>
  <c r="R12" i="8"/>
  <c r="P12" i="8"/>
  <c r="Q12" i="8" s="1"/>
  <c r="M12" i="8"/>
  <c r="W11" i="8"/>
  <c r="R11" i="8"/>
  <c r="Q11" i="8"/>
  <c r="U11" i="8" s="1"/>
  <c r="P11" i="8"/>
  <c r="N11" i="8"/>
  <c r="M11" i="8"/>
  <c r="O11" i="8" s="1"/>
  <c r="W10" i="8"/>
  <c r="V10" i="8"/>
  <c r="U10" i="8"/>
  <c r="X10" i="8" s="1"/>
  <c r="T10" i="8"/>
  <c r="AA10" i="8" s="1"/>
  <c r="R10" i="8"/>
  <c r="P10" i="8"/>
  <c r="Q10" i="8" s="1"/>
  <c r="S10" i="8" s="1"/>
  <c r="M10" i="8"/>
  <c r="AA9" i="8"/>
  <c r="Z9" i="8"/>
  <c r="W9" i="8"/>
  <c r="V9" i="8" s="1"/>
  <c r="U9" i="8"/>
  <c r="X9" i="8" s="1"/>
  <c r="T9" i="8"/>
  <c r="R9" i="8"/>
  <c r="Q9" i="8"/>
  <c r="S9" i="8" s="1"/>
  <c r="P9" i="8"/>
  <c r="O9" i="8"/>
  <c r="M9" i="8"/>
  <c r="N9" i="8" s="1"/>
  <c r="W8" i="8"/>
  <c r="R8" i="8"/>
  <c r="M49" i="5" s="1"/>
  <c r="Q8" i="8"/>
  <c r="P8" i="8"/>
  <c r="O8" i="8"/>
  <c r="N8" i="8"/>
  <c r="M8" i="8"/>
  <c r="U8" i="8" s="1"/>
  <c r="Z7" i="8"/>
  <c r="Y7" i="8"/>
  <c r="W7" i="8"/>
  <c r="V7" i="8"/>
  <c r="U7" i="8"/>
  <c r="S7" i="8"/>
  <c r="R7" i="8"/>
  <c r="T7" i="8" s="1"/>
  <c r="AA7" i="8" s="1"/>
  <c r="Q7" i="8"/>
  <c r="P7" i="8"/>
  <c r="O7" i="8"/>
  <c r="N7" i="8"/>
  <c r="M7" i="8"/>
  <c r="W6" i="8"/>
  <c r="V6" i="8" s="1"/>
  <c r="X6" i="8" s="1"/>
  <c r="T6" i="8"/>
  <c r="AA6" i="8" s="1"/>
  <c r="R6" i="8"/>
  <c r="P6" i="8"/>
  <c r="Q6" i="8" s="1"/>
  <c r="U6" i="8" s="1"/>
  <c r="O6" i="8"/>
  <c r="M6" i="8"/>
  <c r="N6" i="8" s="1"/>
  <c r="W5" i="8"/>
  <c r="V5" i="8" s="1"/>
  <c r="T5" i="8"/>
  <c r="R5" i="8"/>
  <c r="P5" i="8"/>
  <c r="Z5" i="8" s="1"/>
  <c r="O5" i="8"/>
  <c r="N5" i="8"/>
  <c r="M5" i="8"/>
  <c r="F33" i="15"/>
  <c r="P30" i="15"/>
  <c r="P29" i="15"/>
  <c r="P28" i="15"/>
  <c r="P27" i="15"/>
  <c r="P26" i="15"/>
  <c r="F23" i="15"/>
  <c r="E92" i="16" s="1"/>
  <c r="B35" i="7"/>
  <c r="B20" i="7"/>
  <c r="B17" i="7"/>
  <c r="B15" i="7"/>
  <c r="B8" i="7"/>
  <c r="T6" i="10" s="1"/>
  <c r="K109" i="16"/>
  <c r="Y105" i="16"/>
  <c r="T105" i="16"/>
  <c r="J105" i="16"/>
  <c r="G105" i="16"/>
  <c r="E105" i="16"/>
  <c r="D105" i="16"/>
  <c r="C105" i="16"/>
  <c r="B105" i="16"/>
  <c r="F105" i="16" s="1"/>
  <c r="A105" i="16"/>
  <c r="T104" i="16"/>
  <c r="R104" i="16"/>
  <c r="J104" i="16"/>
  <c r="E104" i="16"/>
  <c r="D104" i="16"/>
  <c r="C104" i="16"/>
  <c r="B104" i="16"/>
  <c r="A104" i="16"/>
  <c r="T103" i="16"/>
  <c r="J103" i="16"/>
  <c r="R103" i="16" s="1"/>
  <c r="G103" i="16"/>
  <c r="F103" i="16"/>
  <c r="E103" i="16"/>
  <c r="D103" i="16"/>
  <c r="C103" i="16"/>
  <c r="B103" i="16"/>
  <c r="A103" i="16"/>
  <c r="Y102" i="16"/>
  <c r="T102" i="16"/>
  <c r="R102" i="16"/>
  <c r="J102" i="16"/>
  <c r="E102" i="16"/>
  <c r="D102" i="16"/>
  <c r="C102" i="16"/>
  <c r="B102" i="16"/>
  <c r="A102" i="16"/>
  <c r="T101" i="16"/>
  <c r="R101" i="16"/>
  <c r="J101" i="16"/>
  <c r="F101" i="16"/>
  <c r="D101" i="16"/>
  <c r="C101" i="16"/>
  <c r="B101" i="16"/>
  <c r="A101" i="16"/>
  <c r="T100" i="16"/>
  <c r="R100" i="16"/>
  <c r="J100" i="16"/>
  <c r="F100" i="16"/>
  <c r="D100" i="16"/>
  <c r="C100" i="16"/>
  <c r="B100" i="16"/>
  <c r="A100" i="16"/>
  <c r="T99" i="16"/>
  <c r="J99" i="16"/>
  <c r="R99" i="16" s="1"/>
  <c r="H99" i="16"/>
  <c r="F99" i="16"/>
  <c r="D99" i="16"/>
  <c r="C99" i="16"/>
  <c r="B99" i="16"/>
  <c r="A99" i="16"/>
  <c r="T98" i="16"/>
  <c r="R98" i="16"/>
  <c r="J98" i="16"/>
  <c r="H98" i="16"/>
  <c r="F98" i="16"/>
  <c r="D98" i="16"/>
  <c r="C98" i="16"/>
  <c r="B98" i="16"/>
  <c r="A98" i="16"/>
  <c r="T97" i="16"/>
  <c r="J97" i="16"/>
  <c r="R97" i="16" s="1"/>
  <c r="H97" i="16"/>
  <c r="F97" i="16"/>
  <c r="D97" i="16"/>
  <c r="C97" i="16"/>
  <c r="B97" i="16"/>
  <c r="A97" i="16"/>
  <c r="Y96" i="16"/>
  <c r="T96" i="16"/>
  <c r="J96" i="16"/>
  <c r="R96" i="16" s="1"/>
  <c r="F96" i="16"/>
  <c r="D96" i="16"/>
  <c r="C96" i="16"/>
  <c r="B96" i="16"/>
  <c r="A96" i="16"/>
  <c r="T95" i="16"/>
  <c r="J95" i="16"/>
  <c r="D95" i="16"/>
  <c r="C95" i="16"/>
  <c r="B95" i="16"/>
  <c r="A95" i="16"/>
  <c r="Y94" i="16"/>
  <c r="T94" i="16"/>
  <c r="J94" i="16"/>
  <c r="F94" i="16"/>
  <c r="D94" i="16"/>
  <c r="C94" i="16"/>
  <c r="B94" i="16"/>
  <c r="A94" i="16"/>
  <c r="T93" i="16"/>
  <c r="R93" i="16"/>
  <c r="J93" i="16"/>
  <c r="D93" i="16"/>
  <c r="C93" i="16"/>
  <c r="B93" i="16"/>
  <c r="A93" i="16"/>
  <c r="T92" i="16"/>
  <c r="J92" i="16"/>
  <c r="G92" i="16"/>
  <c r="D92" i="16"/>
  <c r="C92" i="16"/>
  <c r="B92" i="16"/>
  <c r="F92" i="16" s="1"/>
  <c r="A92" i="16"/>
  <c r="B44" i="16"/>
  <c r="S93" i="16" s="1"/>
  <c r="B31" i="16"/>
  <c r="R341" i="6"/>
  <c r="Q341" i="6"/>
  <c r="P341" i="6"/>
  <c r="N341" i="6"/>
  <c r="K341" i="6"/>
  <c r="F341" i="6"/>
  <c r="D341" i="6"/>
  <c r="C341" i="6"/>
  <c r="B341" i="6"/>
  <c r="A341" i="6"/>
  <c r="R340" i="6"/>
  <c r="Q340" i="6"/>
  <c r="P340" i="6"/>
  <c r="L340" i="6"/>
  <c r="J340" i="6"/>
  <c r="F340" i="6"/>
  <c r="N340" i="6" s="1"/>
  <c r="D340" i="6"/>
  <c r="C340" i="6"/>
  <c r="B340" i="6"/>
  <c r="A340" i="6"/>
  <c r="R339" i="6"/>
  <c r="Q339" i="6"/>
  <c r="P339" i="6"/>
  <c r="N339" i="6"/>
  <c r="K339" i="6"/>
  <c r="F339" i="6"/>
  <c r="D339" i="6"/>
  <c r="C339" i="6"/>
  <c r="B339" i="6"/>
  <c r="A339" i="6"/>
  <c r="R338" i="6"/>
  <c r="Q338" i="6"/>
  <c r="P338" i="6"/>
  <c r="N338" i="6"/>
  <c r="L338" i="6"/>
  <c r="J338" i="6"/>
  <c r="F338" i="6"/>
  <c r="K338" i="6" s="1"/>
  <c r="D338" i="6"/>
  <c r="C338" i="6"/>
  <c r="B338" i="6"/>
  <c r="A338" i="6"/>
  <c r="R337" i="6"/>
  <c r="Q337" i="6"/>
  <c r="P337" i="6"/>
  <c r="K337" i="6"/>
  <c r="F337" i="6"/>
  <c r="D337" i="6"/>
  <c r="C337" i="6"/>
  <c r="B337" i="6"/>
  <c r="A337" i="6"/>
  <c r="R336" i="6"/>
  <c r="Q336" i="6"/>
  <c r="P336" i="6"/>
  <c r="N336" i="6"/>
  <c r="L336" i="6"/>
  <c r="K336" i="6"/>
  <c r="J336" i="6"/>
  <c r="F336" i="6"/>
  <c r="D336" i="6"/>
  <c r="C336" i="6"/>
  <c r="B336" i="6"/>
  <c r="A336" i="6"/>
  <c r="R335" i="6"/>
  <c r="Q335" i="6"/>
  <c r="P335" i="6"/>
  <c r="O335" i="6"/>
  <c r="N335" i="6"/>
  <c r="L335" i="6"/>
  <c r="K335" i="6"/>
  <c r="F335" i="6"/>
  <c r="D335" i="6"/>
  <c r="C335" i="6"/>
  <c r="B335" i="6"/>
  <c r="A335" i="6"/>
  <c r="R334" i="6"/>
  <c r="Q334" i="6"/>
  <c r="P334" i="6"/>
  <c r="N334" i="6"/>
  <c r="J334" i="6"/>
  <c r="F334" i="6"/>
  <c r="D334" i="6"/>
  <c r="B334" i="6"/>
  <c r="A334" i="6"/>
  <c r="R333" i="6"/>
  <c r="Q333" i="6"/>
  <c r="P333" i="6"/>
  <c r="F333" i="6"/>
  <c r="D333" i="6"/>
  <c r="C333" i="6"/>
  <c r="B333" i="6"/>
  <c r="A333" i="6"/>
  <c r="R332" i="6"/>
  <c r="Q332" i="6"/>
  <c r="P332" i="6"/>
  <c r="N332" i="6"/>
  <c r="L332" i="6"/>
  <c r="K332" i="6"/>
  <c r="J332" i="6"/>
  <c r="F332" i="6"/>
  <c r="D332" i="6"/>
  <c r="C332" i="6"/>
  <c r="A332" i="6"/>
  <c r="R331" i="6"/>
  <c r="Q331" i="6"/>
  <c r="P331" i="6"/>
  <c r="F331" i="6"/>
  <c r="D331" i="6"/>
  <c r="C331" i="6"/>
  <c r="B331" i="6"/>
  <c r="A331" i="6"/>
  <c r="R330" i="6"/>
  <c r="Q330" i="6"/>
  <c r="P330" i="6"/>
  <c r="L330" i="6"/>
  <c r="K330" i="6"/>
  <c r="J330" i="6"/>
  <c r="F330" i="6"/>
  <c r="D330" i="6"/>
  <c r="C330" i="6"/>
  <c r="B330" i="6"/>
  <c r="A330" i="6"/>
  <c r="Q329" i="6"/>
  <c r="P329" i="6"/>
  <c r="N329" i="6"/>
  <c r="F329" i="6"/>
  <c r="D329" i="6"/>
  <c r="C329" i="6"/>
  <c r="B329" i="6"/>
  <c r="A329" i="6"/>
  <c r="R328" i="6"/>
  <c r="Q328" i="6"/>
  <c r="P328" i="6"/>
  <c r="N328" i="6"/>
  <c r="L328" i="6"/>
  <c r="J328" i="6"/>
  <c r="F328" i="6"/>
  <c r="K328" i="6" s="1"/>
  <c r="D328" i="6"/>
  <c r="C328" i="6"/>
  <c r="B328" i="6"/>
  <c r="A328" i="6"/>
  <c r="R327" i="6"/>
  <c r="Q327" i="6"/>
  <c r="P327" i="6"/>
  <c r="N327" i="6"/>
  <c r="L327" i="6"/>
  <c r="K327" i="6"/>
  <c r="F327" i="6"/>
  <c r="D327" i="6"/>
  <c r="C327" i="6"/>
  <c r="B327" i="6"/>
  <c r="A327" i="6"/>
  <c r="R326" i="6"/>
  <c r="Q326" i="6"/>
  <c r="P326" i="6"/>
  <c r="N326" i="6"/>
  <c r="L326" i="6"/>
  <c r="K326" i="6"/>
  <c r="J326" i="6"/>
  <c r="F326" i="6"/>
  <c r="D326" i="6"/>
  <c r="C326" i="6"/>
  <c r="B326" i="6"/>
  <c r="A326" i="6"/>
  <c r="R325" i="6"/>
  <c r="Q325" i="6"/>
  <c r="P325" i="6"/>
  <c r="F325" i="6"/>
  <c r="D325" i="6"/>
  <c r="C325" i="6"/>
  <c r="A325" i="6"/>
  <c r="R324" i="6"/>
  <c r="Q324" i="6"/>
  <c r="P324" i="6"/>
  <c r="L324" i="6"/>
  <c r="K324" i="6"/>
  <c r="J324" i="6"/>
  <c r="F324" i="6"/>
  <c r="N324" i="6" s="1"/>
  <c r="D324" i="6"/>
  <c r="C324" i="6"/>
  <c r="B324" i="6"/>
  <c r="A324" i="6"/>
  <c r="R323" i="6"/>
  <c r="Q323" i="6"/>
  <c r="P323" i="6"/>
  <c r="N323" i="6"/>
  <c r="F323" i="6"/>
  <c r="D323" i="6"/>
  <c r="C323" i="6"/>
  <c r="B323" i="6"/>
  <c r="A323" i="6"/>
  <c r="R322" i="6"/>
  <c r="Q322" i="6"/>
  <c r="P322" i="6"/>
  <c r="F322" i="6"/>
  <c r="D322" i="6"/>
  <c r="C322" i="6"/>
  <c r="B322" i="6"/>
  <c r="A322" i="6"/>
  <c r="R321" i="6"/>
  <c r="Q321" i="6"/>
  <c r="P321" i="6"/>
  <c r="N321" i="6"/>
  <c r="F321" i="6"/>
  <c r="D321" i="6"/>
  <c r="C321" i="6"/>
  <c r="B321" i="6"/>
  <c r="A321" i="6"/>
  <c r="R320" i="6"/>
  <c r="Q320" i="6"/>
  <c r="P320" i="6"/>
  <c r="N320" i="6"/>
  <c r="L320" i="6"/>
  <c r="K320" i="6"/>
  <c r="J320" i="6"/>
  <c r="F320" i="6"/>
  <c r="D320" i="6"/>
  <c r="C320" i="6"/>
  <c r="B320" i="6"/>
  <c r="A320" i="6"/>
  <c r="R319" i="6"/>
  <c r="Q319" i="6"/>
  <c r="P319" i="6"/>
  <c r="N319" i="6"/>
  <c r="L319" i="6"/>
  <c r="K319" i="6"/>
  <c r="F319" i="6"/>
  <c r="D319" i="6"/>
  <c r="C319" i="6"/>
  <c r="B319" i="6"/>
  <c r="A319" i="6"/>
  <c r="R318" i="6"/>
  <c r="Q318" i="6"/>
  <c r="P318" i="6"/>
  <c r="N318" i="6"/>
  <c r="L318" i="6"/>
  <c r="K318" i="6"/>
  <c r="J318" i="6"/>
  <c r="F318" i="6"/>
  <c r="D318" i="6"/>
  <c r="C318" i="6"/>
  <c r="B318" i="6"/>
  <c r="A318" i="6"/>
  <c r="R317" i="6"/>
  <c r="P317" i="6"/>
  <c r="N317" i="6"/>
  <c r="K317" i="6"/>
  <c r="J317" i="6"/>
  <c r="F317" i="6"/>
  <c r="D317" i="6"/>
  <c r="C317" i="6"/>
  <c r="B317" i="6"/>
  <c r="A317" i="6"/>
  <c r="R316" i="6"/>
  <c r="Q316" i="6"/>
  <c r="P316" i="6"/>
  <c r="L316" i="6"/>
  <c r="F316" i="6"/>
  <c r="D316" i="6"/>
  <c r="C316" i="6"/>
  <c r="B316" i="6"/>
  <c r="A316" i="6"/>
  <c r="P315" i="6"/>
  <c r="J315" i="6"/>
  <c r="F315" i="6"/>
  <c r="D315" i="6"/>
  <c r="C315" i="6"/>
  <c r="B315" i="6"/>
  <c r="A315" i="6"/>
  <c r="R314" i="6"/>
  <c r="Q314" i="6"/>
  <c r="P314" i="6"/>
  <c r="L314" i="6"/>
  <c r="K314" i="6"/>
  <c r="J314" i="6"/>
  <c r="F314" i="6"/>
  <c r="D314" i="6"/>
  <c r="C314" i="6"/>
  <c r="B314" i="6"/>
  <c r="A314" i="6"/>
  <c r="R313" i="6"/>
  <c r="Q313" i="6"/>
  <c r="P313" i="6"/>
  <c r="J313" i="6"/>
  <c r="F313" i="6"/>
  <c r="D313" i="6"/>
  <c r="C313" i="6"/>
  <c r="B313" i="6"/>
  <c r="A313" i="6"/>
  <c r="R312" i="6"/>
  <c r="Q312" i="6"/>
  <c r="P312" i="6"/>
  <c r="N312" i="6"/>
  <c r="L312" i="6"/>
  <c r="F312" i="6"/>
  <c r="K312" i="6" s="1"/>
  <c r="D312" i="6"/>
  <c r="C312" i="6"/>
  <c r="B312" i="6"/>
  <c r="A312" i="6"/>
  <c r="F311" i="6"/>
  <c r="J311" i="6" s="1"/>
  <c r="E311" i="6"/>
  <c r="E310" i="6"/>
  <c r="E309" i="6"/>
  <c r="E308" i="6"/>
  <c r="E307" i="6"/>
  <c r="E306" i="6"/>
  <c r="E305" i="6"/>
  <c r="E304" i="6"/>
  <c r="E303" i="6"/>
  <c r="F302" i="6"/>
  <c r="E302" i="6"/>
  <c r="E301" i="6"/>
  <c r="E300" i="6"/>
  <c r="E299" i="6"/>
  <c r="E298" i="6"/>
  <c r="E297" i="6"/>
  <c r="E296" i="6"/>
  <c r="E295" i="6"/>
  <c r="E294" i="6"/>
  <c r="E293" i="6"/>
  <c r="E292" i="6"/>
  <c r="E291" i="6"/>
  <c r="E290" i="6"/>
  <c r="E289" i="6"/>
  <c r="E288" i="6"/>
  <c r="E287" i="6"/>
  <c r="E286" i="6"/>
  <c r="N285" i="6"/>
  <c r="M285" i="6"/>
  <c r="K285" i="6"/>
  <c r="F285" i="6"/>
  <c r="L285" i="6" s="1"/>
  <c r="E285" i="6"/>
  <c r="N284" i="6"/>
  <c r="M284" i="6"/>
  <c r="L284" i="6"/>
  <c r="J284" i="6"/>
  <c r="F284" i="6"/>
  <c r="K284" i="6" s="1"/>
  <c r="E284" i="6"/>
  <c r="N283" i="6"/>
  <c r="M283" i="6"/>
  <c r="L283" i="6"/>
  <c r="K283" i="6"/>
  <c r="J283" i="6"/>
  <c r="F283" i="6"/>
  <c r="E283" i="6"/>
  <c r="M282" i="6"/>
  <c r="J282" i="6"/>
  <c r="F282" i="6"/>
  <c r="E282" i="6"/>
  <c r="M281" i="6"/>
  <c r="F281" i="6"/>
  <c r="E281" i="6"/>
  <c r="M280" i="6"/>
  <c r="L280" i="6"/>
  <c r="J280" i="6"/>
  <c r="F280" i="6"/>
  <c r="E280" i="6"/>
  <c r="N279" i="6"/>
  <c r="M279" i="6"/>
  <c r="F279" i="6"/>
  <c r="E279" i="6"/>
  <c r="M278" i="6"/>
  <c r="F278" i="6"/>
  <c r="E278" i="6"/>
  <c r="N277" i="6"/>
  <c r="M277" i="6"/>
  <c r="L277" i="6"/>
  <c r="K277" i="6"/>
  <c r="J277" i="6"/>
  <c r="F277" i="6"/>
  <c r="E277" i="6"/>
  <c r="N276" i="6"/>
  <c r="M276" i="6"/>
  <c r="F276" i="6"/>
  <c r="E276" i="6"/>
  <c r="N275" i="6"/>
  <c r="M275" i="6"/>
  <c r="J275" i="6"/>
  <c r="F275" i="6"/>
  <c r="L275" i="6" s="1"/>
  <c r="E275" i="6"/>
  <c r="Q274" i="6"/>
  <c r="G274" i="6"/>
  <c r="F274" i="6"/>
  <c r="Q273" i="6"/>
  <c r="G273" i="6"/>
  <c r="F273" i="6"/>
  <c r="E273" i="6"/>
  <c r="Q272" i="6"/>
  <c r="F272" i="6"/>
  <c r="E272" i="6"/>
  <c r="Q271" i="6"/>
  <c r="O271" i="6" s="1"/>
  <c r="G271" i="6"/>
  <c r="F271" i="6"/>
  <c r="E271" i="6"/>
  <c r="Q270" i="6"/>
  <c r="G270" i="6"/>
  <c r="F270" i="6"/>
  <c r="E270" i="6"/>
  <c r="Q269" i="6"/>
  <c r="G269" i="6"/>
  <c r="F269" i="6"/>
  <c r="E269" i="6"/>
  <c r="Q268" i="6"/>
  <c r="F268" i="6"/>
  <c r="Q267" i="6"/>
  <c r="G267" i="6"/>
  <c r="F267" i="6"/>
  <c r="E267" i="6"/>
  <c r="Q266" i="6"/>
  <c r="F266" i="6"/>
  <c r="Q265" i="6"/>
  <c r="G265" i="6"/>
  <c r="F265" i="6"/>
  <c r="Q264" i="6"/>
  <c r="F264" i="6"/>
  <c r="E264" i="6"/>
  <c r="Q263" i="6"/>
  <c r="F263" i="6"/>
  <c r="Q262" i="6"/>
  <c r="G262" i="6"/>
  <c r="F262" i="6"/>
  <c r="Q261" i="6"/>
  <c r="G261" i="6"/>
  <c r="F261" i="6"/>
  <c r="E261" i="6"/>
  <c r="Q260" i="6"/>
  <c r="F260" i="6"/>
  <c r="Q259" i="6"/>
  <c r="G259" i="6"/>
  <c r="F259" i="6"/>
  <c r="E259" i="6"/>
  <c r="Q258" i="6"/>
  <c r="G258" i="6"/>
  <c r="F258" i="6"/>
  <c r="E258" i="6"/>
  <c r="Q257" i="6"/>
  <c r="O257" i="6"/>
  <c r="N257" i="6"/>
  <c r="L257" i="6"/>
  <c r="K257" i="6"/>
  <c r="J257" i="6"/>
  <c r="G257" i="6"/>
  <c r="F257" i="6"/>
  <c r="E257" i="6"/>
  <c r="Q256" i="6"/>
  <c r="F256" i="6"/>
  <c r="Q255" i="6"/>
  <c r="O255" i="6"/>
  <c r="N255" i="6"/>
  <c r="L255" i="6"/>
  <c r="K255" i="6"/>
  <c r="G255" i="6"/>
  <c r="J255" i="6" s="1"/>
  <c r="F255" i="6"/>
  <c r="E255" i="6"/>
  <c r="Q254" i="6"/>
  <c r="G254" i="6"/>
  <c r="F254" i="6"/>
  <c r="Q253" i="6"/>
  <c r="J253" i="6"/>
  <c r="G253" i="6"/>
  <c r="F253" i="6"/>
  <c r="E253" i="6"/>
  <c r="F252" i="6"/>
  <c r="F251" i="6"/>
  <c r="O250" i="6"/>
  <c r="G250" i="6"/>
  <c r="F250" i="6"/>
  <c r="E250" i="6"/>
  <c r="O249" i="6"/>
  <c r="G249" i="6"/>
  <c r="F249" i="6"/>
  <c r="E249" i="6"/>
  <c r="F248" i="6"/>
  <c r="E248" i="6"/>
  <c r="O247" i="6"/>
  <c r="G247" i="6"/>
  <c r="F247" i="6"/>
  <c r="E247" i="6"/>
  <c r="O246" i="6"/>
  <c r="G246" i="6"/>
  <c r="F246" i="6"/>
  <c r="E246" i="6"/>
  <c r="G245" i="6"/>
  <c r="F245" i="6"/>
  <c r="G244" i="6"/>
  <c r="F244" i="6"/>
  <c r="E244" i="6"/>
  <c r="F243" i="6"/>
  <c r="G242" i="6"/>
  <c r="F242" i="6"/>
  <c r="F241" i="6"/>
  <c r="E241" i="6"/>
  <c r="G240" i="6"/>
  <c r="F240" i="6"/>
  <c r="E240" i="6"/>
  <c r="F239" i="6"/>
  <c r="F238" i="6"/>
  <c r="O237" i="6"/>
  <c r="M237" i="6"/>
  <c r="L237" i="6"/>
  <c r="K237" i="6"/>
  <c r="N237" i="6" s="1"/>
  <c r="J237" i="6"/>
  <c r="G237" i="6"/>
  <c r="F237" i="6"/>
  <c r="E237" i="6"/>
  <c r="G236" i="6"/>
  <c r="F236" i="6"/>
  <c r="E236" i="6"/>
  <c r="G235" i="6"/>
  <c r="F235" i="6"/>
  <c r="E235" i="6"/>
  <c r="F234" i="6"/>
  <c r="G233" i="6"/>
  <c r="F233" i="6"/>
  <c r="E233" i="6"/>
  <c r="G232" i="6"/>
  <c r="F232" i="6"/>
  <c r="E232" i="6"/>
  <c r="F231" i="6"/>
  <c r="G230" i="6"/>
  <c r="F230" i="6"/>
  <c r="E230" i="6"/>
  <c r="F229" i="6"/>
  <c r="G228" i="6"/>
  <c r="F228" i="6"/>
  <c r="E228" i="6"/>
  <c r="G227" i="6"/>
  <c r="F227" i="6"/>
  <c r="E227" i="6"/>
  <c r="F226" i="6"/>
  <c r="G225" i="6"/>
  <c r="F225" i="6"/>
  <c r="E225" i="6"/>
  <c r="F224" i="6"/>
  <c r="F223" i="6"/>
  <c r="F222" i="6"/>
  <c r="F221" i="6"/>
  <c r="O220" i="6"/>
  <c r="G220" i="6"/>
  <c r="F220" i="6"/>
  <c r="E220" i="6"/>
  <c r="Q160" i="6"/>
  <c r="Q158" i="6"/>
  <c r="Q157" i="6"/>
  <c r="Q154" i="6"/>
  <c r="Q153" i="6"/>
  <c r="A153" i="6"/>
  <c r="Q151" i="6"/>
  <c r="Q150" i="6"/>
  <c r="Q146" i="6"/>
  <c r="Q145" i="6"/>
  <c r="A142" i="6"/>
  <c r="Q141" i="6"/>
  <c r="Q140" i="6"/>
  <c r="Q134" i="6"/>
  <c r="Q133" i="6"/>
  <c r="Q132" i="6"/>
  <c r="Q127" i="6"/>
  <c r="Q126" i="6"/>
  <c r="Q120" i="6"/>
  <c r="Q119" i="6"/>
  <c r="Q118" i="6"/>
  <c r="Q116" i="6"/>
  <c r="Q115" i="6"/>
  <c r="Q112" i="6"/>
  <c r="Q111" i="6"/>
  <c r="Q109" i="6"/>
  <c r="Q108" i="6"/>
  <c r="Q104" i="6"/>
  <c r="Q102" i="6"/>
  <c r="A102" i="6"/>
  <c r="Q100" i="6"/>
  <c r="A100" i="6"/>
  <c r="Q96" i="6"/>
  <c r="Q95" i="6"/>
  <c r="Q94" i="6"/>
  <c r="A86" i="6"/>
  <c r="Q83" i="6"/>
  <c r="A83" i="6"/>
  <c r="Q82" i="6"/>
  <c r="Q80" i="6"/>
  <c r="Q75" i="6"/>
  <c r="A75" i="6"/>
  <c r="Q70" i="6"/>
  <c r="E70" i="6"/>
  <c r="A70" i="6"/>
  <c r="B53" i="6"/>
  <c r="B52" i="6"/>
  <c r="B51" i="6"/>
  <c r="C51" i="6" s="1"/>
  <c r="D51" i="6" s="1"/>
  <c r="C50" i="6"/>
  <c r="B50" i="6"/>
  <c r="B49" i="6"/>
  <c r="C49" i="6" s="1"/>
  <c r="C48" i="6"/>
  <c r="B48" i="6"/>
  <c r="B47" i="6"/>
  <c r="C47" i="6" s="1"/>
  <c r="B40" i="6"/>
  <c r="L35" i="6"/>
  <c r="A56" i="16" s="1"/>
  <c r="B35" i="6"/>
  <c r="L34" i="6"/>
  <c r="A55" i="16" s="1"/>
  <c r="L33" i="6"/>
  <c r="A54" i="16" s="1"/>
  <c r="B33" i="6"/>
  <c r="L32" i="6"/>
  <c r="A53" i="16" s="1"/>
  <c r="L31" i="6"/>
  <c r="A52" i="16" s="1"/>
  <c r="B31" i="6"/>
  <c r="L30" i="6"/>
  <c r="A51" i="16" s="1"/>
  <c r="M29" i="6"/>
  <c r="L29" i="6"/>
  <c r="A50" i="16" s="1"/>
  <c r="B26" i="6"/>
  <c r="B11" i="6"/>
  <c r="B10" i="6"/>
  <c r="B9" i="6"/>
  <c r="B8" i="6"/>
  <c r="B7" i="6"/>
  <c r="B6" i="6"/>
  <c r="E326" i="6" s="1"/>
  <c r="B5" i="6"/>
  <c r="H99" i="5"/>
  <c r="G99" i="5"/>
  <c r="F99" i="5"/>
  <c r="E99" i="5"/>
  <c r="D99" i="5"/>
  <c r="C99" i="5"/>
  <c r="B99" i="5"/>
  <c r="A99" i="5"/>
  <c r="H98" i="5"/>
  <c r="G98" i="5"/>
  <c r="F98" i="5"/>
  <c r="E98" i="5"/>
  <c r="D98" i="5"/>
  <c r="C98" i="5"/>
  <c r="J98" i="5" s="1"/>
  <c r="B98" i="5"/>
  <c r="A98" i="5"/>
  <c r="H97" i="5"/>
  <c r="G97" i="5"/>
  <c r="F97" i="5"/>
  <c r="E97" i="5"/>
  <c r="D97" i="5"/>
  <c r="C97" i="5"/>
  <c r="B97" i="5"/>
  <c r="A97" i="5"/>
  <c r="H96" i="5"/>
  <c r="G96" i="5"/>
  <c r="F96" i="5"/>
  <c r="E96" i="5"/>
  <c r="D96" i="5"/>
  <c r="C96" i="5"/>
  <c r="B96" i="5"/>
  <c r="A96" i="5"/>
  <c r="H95" i="5"/>
  <c r="G95" i="5"/>
  <c r="F95" i="5"/>
  <c r="E95" i="5"/>
  <c r="D95" i="5"/>
  <c r="C95" i="5"/>
  <c r="B95" i="5"/>
  <c r="A95" i="5"/>
  <c r="I94" i="5"/>
  <c r="H94" i="5"/>
  <c r="G94" i="5"/>
  <c r="F94" i="5"/>
  <c r="E94" i="5"/>
  <c r="D94" i="5"/>
  <c r="C94" i="5"/>
  <c r="B94" i="5"/>
  <c r="A94" i="5"/>
  <c r="H93" i="5"/>
  <c r="G93" i="5"/>
  <c r="F93" i="5"/>
  <c r="E93" i="5"/>
  <c r="D93" i="5"/>
  <c r="C93" i="5"/>
  <c r="B93" i="5"/>
  <c r="A93" i="5"/>
  <c r="H92" i="5"/>
  <c r="G92" i="5"/>
  <c r="F92" i="5"/>
  <c r="E92" i="5"/>
  <c r="D92" i="5"/>
  <c r="C92" i="5"/>
  <c r="B92" i="5"/>
  <c r="A92" i="5"/>
  <c r="H91" i="5"/>
  <c r="G91" i="5"/>
  <c r="F91" i="5"/>
  <c r="E91" i="5"/>
  <c r="D91" i="5"/>
  <c r="C91" i="5"/>
  <c r="B91" i="5"/>
  <c r="A91" i="5"/>
  <c r="H90" i="5"/>
  <c r="G90" i="5"/>
  <c r="F90" i="5"/>
  <c r="E90" i="5"/>
  <c r="D90" i="5"/>
  <c r="C90" i="5"/>
  <c r="B90" i="5"/>
  <c r="A90" i="5"/>
  <c r="I89" i="5"/>
  <c r="H89" i="5"/>
  <c r="F89" i="5"/>
  <c r="E89" i="5"/>
  <c r="D89" i="5"/>
  <c r="C89" i="5"/>
  <c r="B89" i="5"/>
  <c r="A89" i="5"/>
  <c r="H88" i="5"/>
  <c r="F88" i="5"/>
  <c r="E88" i="5"/>
  <c r="D88" i="5"/>
  <c r="C88" i="5"/>
  <c r="B88" i="5"/>
  <c r="A88" i="5"/>
  <c r="H87" i="5"/>
  <c r="G87" i="5"/>
  <c r="F87" i="5"/>
  <c r="E87" i="5"/>
  <c r="D87" i="5"/>
  <c r="C87" i="5"/>
  <c r="B87" i="5"/>
  <c r="A87" i="5"/>
  <c r="H86" i="5"/>
  <c r="G86" i="5"/>
  <c r="F86" i="5"/>
  <c r="E86" i="5"/>
  <c r="D86" i="5"/>
  <c r="C86" i="5"/>
  <c r="B86" i="5"/>
  <c r="A86" i="5"/>
  <c r="J85" i="5"/>
  <c r="I85" i="5"/>
  <c r="H85" i="5"/>
  <c r="G85" i="5"/>
  <c r="F85" i="5"/>
  <c r="E85" i="5"/>
  <c r="D85" i="5"/>
  <c r="C85" i="5"/>
  <c r="B85" i="5"/>
  <c r="A85" i="5"/>
  <c r="H84" i="5"/>
  <c r="G84" i="5"/>
  <c r="F84" i="5"/>
  <c r="E84" i="5"/>
  <c r="D84" i="5"/>
  <c r="C84" i="5"/>
  <c r="J84" i="5" s="1"/>
  <c r="B84" i="5"/>
  <c r="A84" i="5"/>
  <c r="J83" i="5"/>
  <c r="H83" i="5"/>
  <c r="G83" i="5"/>
  <c r="F83" i="5"/>
  <c r="E83" i="5"/>
  <c r="D83" i="5"/>
  <c r="C83" i="5"/>
  <c r="B83" i="5"/>
  <c r="A83" i="5"/>
  <c r="I82" i="5"/>
  <c r="H82" i="5"/>
  <c r="G82" i="5"/>
  <c r="F82" i="5"/>
  <c r="E82" i="5"/>
  <c r="D82" i="5"/>
  <c r="C82" i="5"/>
  <c r="B82" i="5"/>
  <c r="A82" i="5"/>
  <c r="H81" i="5"/>
  <c r="G81" i="5"/>
  <c r="F81" i="5"/>
  <c r="E81" i="5"/>
  <c r="D81" i="5"/>
  <c r="C81" i="5"/>
  <c r="B81" i="5"/>
  <c r="A81" i="5"/>
  <c r="H80" i="5"/>
  <c r="G80" i="5"/>
  <c r="F80" i="5"/>
  <c r="E80" i="5"/>
  <c r="C80" i="5"/>
  <c r="B80" i="5"/>
  <c r="A80" i="5"/>
  <c r="H79" i="5"/>
  <c r="G79" i="5"/>
  <c r="F79" i="5"/>
  <c r="E79" i="5"/>
  <c r="J94" i="5" s="1"/>
  <c r="D79" i="5"/>
  <c r="C79" i="5"/>
  <c r="B79" i="5"/>
  <c r="A79" i="5"/>
  <c r="I78" i="5"/>
  <c r="H78" i="5"/>
  <c r="G78" i="5"/>
  <c r="F78" i="5"/>
  <c r="E78" i="5"/>
  <c r="D78" i="5"/>
  <c r="C78" i="5"/>
  <c r="B78" i="5"/>
  <c r="A78" i="5"/>
  <c r="H77" i="5"/>
  <c r="G77" i="5"/>
  <c r="F77" i="5"/>
  <c r="E77" i="5"/>
  <c r="D77" i="5"/>
  <c r="C77" i="5"/>
  <c r="B77" i="5"/>
  <c r="A77" i="5"/>
  <c r="H76" i="5"/>
  <c r="G76" i="5"/>
  <c r="F76" i="5"/>
  <c r="E76" i="5"/>
  <c r="D76" i="5"/>
  <c r="C76" i="5"/>
  <c r="B76" i="5"/>
  <c r="A76" i="5"/>
  <c r="I75" i="5"/>
  <c r="H75" i="5"/>
  <c r="E75" i="5"/>
  <c r="D75" i="5"/>
  <c r="C75" i="5"/>
  <c r="B75" i="5"/>
  <c r="A75" i="5"/>
  <c r="H74" i="5"/>
  <c r="G74" i="5"/>
  <c r="F74" i="5"/>
  <c r="E74" i="5"/>
  <c r="D74" i="5"/>
  <c r="C74" i="5"/>
  <c r="B74" i="5"/>
  <c r="A74" i="5"/>
  <c r="H73" i="5"/>
  <c r="F73" i="5"/>
  <c r="E73" i="5"/>
  <c r="D73" i="5"/>
  <c r="C73" i="5"/>
  <c r="B73" i="5"/>
  <c r="A73" i="5"/>
  <c r="I72" i="5"/>
  <c r="H72" i="5"/>
  <c r="G72" i="5"/>
  <c r="F72" i="5"/>
  <c r="E72" i="5"/>
  <c r="D72" i="5"/>
  <c r="C72" i="5"/>
  <c r="J80" i="5" s="1"/>
  <c r="B72" i="5"/>
  <c r="A72" i="5"/>
  <c r="H71" i="5"/>
  <c r="G71" i="5"/>
  <c r="F71" i="5"/>
  <c r="E71" i="5"/>
  <c r="D71" i="5"/>
  <c r="C71" i="5"/>
  <c r="B71" i="5"/>
  <c r="A71" i="5"/>
  <c r="H70" i="5"/>
  <c r="G70" i="5"/>
  <c r="F70" i="5"/>
  <c r="E70" i="5"/>
  <c r="D70" i="5"/>
  <c r="C70" i="5"/>
  <c r="B70" i="5"/>
  <c r="A70" i="5"/>
  <c r="H69" i="5"/>
  <c r="G69" i="5"/>
  <c r="F69" i="5"/>
  <c r="E69" i="5"/>
  <c r="D69" i="5"/>
  <c r="C69" i="5"/>
  <c r="B69" i="5"/>
  <c r="A69" i="5"/>
  <c r="I68" i="5"/>
  <c r="H68" i="5"/>
  <c r="F68" i="5"/>
  <c r="E68" i="5"/>
  <c r="D68" i="5"/>
  <c r="C68" i="5"/>
  <c r="B68" i="5"/>
  <c r="A68" i="5"/>
  <c r="H67" i="5"/>
  <c r="G67" i="5"/>
  <c r="F67" i="5"/>
  <c r="E67" i="5"/>
  <c r="J89" i="5" s="1"/>
  <c r="D67" i="5"/>
  <c r="C67" i="5"/>
  <c r="B67" i="5"/>
  <c r="A67" i="5"/>
  <c r="O49" i="5"/>
  <c r="J49" i="5"/>
  <c r="I49" i="5"/>
  <c r="H49" i="5"/>
  <c r="G49" i="5"/>
  <c r="F49" i="5"/>
  <c r="O48" i="5"/>
  <c r="M48" i="5"/>
  <c r="O47" i="5"/>
  <c r="N47" i="5"/>
  <c r="M47" i="5"/>
  <c r="L47" i="5"/>
  <c r="K47" i="5"/>
  <c r="I47" i="5"/>
  <c r="H47" i="5"/>
  <c r="G47" i="5"/>
  <c r="F47" i="5"/>
  <c r="C47" i="5"/>
  <c r="E47" i="5" s="1"/>
  <c r="O46" i="5"/>
  <c r="M46" i="5"/>
  <c r="J46" i="5"/>
  <c r="I46" i="5"/>
  <c r="H46" i="5"/>
  <c r="G46" i="5"/>
  <c r="F46" i="5"/>
  <c r="O45" i="5"/>
  <c r="M45" i="5"/>
  <c r="O44" i="5"/>
  <c r="M44" i="5"/>
  <c r="O43" i="5"/>
  <c r="M43" i="5"/>
  <c r="O42" i="5"/>
  <c r="M42" i="5"/>
  <c r="O41" i="5"/>
  <c r="M41" i="5"/>
  <c r="B32" i="5"/>
  <c r="B11" i="5"/>
  <c r="C12" i="13" s="1"/>
  <c r="E12" i="13" s="1"/>
  <c r="F12" i="13" s="1"/>
  <c r="B7" i="5"/>
  <c r="C8" i="13" s="1"/>
  <c r="E8" i="13" s="1"/>
  <c r="F8" i="13" s="1"/>
  <c r="B6" i="5"/>
  <c r="C7" i="13" s="1"/>
  <c r="E7" i="13" s="1"/>
  <c r="F7" i="13" s="1"/>
  <c r="B5" i="5"/>
  <c r="B69" i="4"/>
  <c r="B68" i="4"/>
  <c r="B67" i="4"/>
  <c r="B66" i="4"/>
  <c r="B61" i="4"/>
  <c r="B60" i="4"/>
  <c r="J42" i="4"/>
  <c r="B55" i="4" s="1"/>
  <c r="J41" i="4"/>
  <c r="J40" i="4"/>
  <c r="J39" i="4"/>
  <c r="S102" i="16" l="1"/>
  <c r="S105" i="16"/>
  <c r="S104" i="16"/>
  <c r="O223" i="6"/>
  <c r="J74" i="5"/>
  <c r="N281" i="6"/>
  <c r="S281" i="6" s="1"/>
  <c r="L281" i="6"/>
  <c r="K281" i="6"/>
  <c r="J281" i="6"/>
  <c r="L274" i="6"/>
  <c r="K274" i="6"/>
  <c r="N274" i="6" s="1"/>
  <c r="S274" i="6" s="1"/>
  <c r="J274" i="6"/>
  <c r="O274" i="6"/>
  <c r="J45" i="5"/>
  <c r="I45" i="5"/>
  <c r="W8" i="9"/>
  <c r="X8" i="9"/>
  <c r="J91" i="5"/>
  <c r="AA71" i="8"/>
  <c r="N46" i="5"/>
  <c r="J70" i="5"/>
  <c r="S277" i="6"/>
  <c r="S327" i="6"/>
  <c r="O267" i="6"/>
  <c r="K267" i="6"/>
  <c r="N267" i="6" s="1"/>
  <c r="S267" i="6" s="1"/>
  <c r="J75" i="5"/>
  <c r="C40" i="6"/>
  <c r="O232" i="6"/>
  <c r="J95" i="5"/>
  <c r="C33" i="6"/>
  <c r="C6" i="13"/>
  <c r="E6" i="13" s="1"/>
  <c r="F6" i="13" s="1"/>
  <c r="B24" i="5"/>
  <c r="J99" i="5"/>
  <c r="B50" i="16"/>
  <c r="N29" i="6"/>
  <c r="S326" i="6"/>
  <c r="S276" i="6"/>
  <c r="S338" i="6"/>
  <c r="S255" i="6"/>
  <c r="S318" i="6"/>
  <c r="S336" i="6"/>
  <c r="S332" i="6"/>
  <c r="S340" i="6"/>
  <c r="B50" i="4"/>
  <c r="B51" i="4"/>
  <c r="Y73" i="8"/>
  <c r="U73" i="8"/>
  <c r="N73" i="8"/>
  <c r="E223" i="6" s="1"/>
  <c r="J96" i="5"/>
  <c r="J93" i="5"/>
  <c r="J259" i="6"/>
  <c r="K259" i="6"/>
  <c r="N259" i="6" s="1"/>
  <c r="S259" i="6" s="1"/>
  <c r="J272" i="6"/>
  <c r="L272" i="6"/>
  <c r="O272" i="6"/>
  <c r="K272" i="6"/>
  <c r="N272" i="6" s="1"/>
  <c r="S272" i="6" s="1"/>
  <c r="K278" i="6"/>
  <c r="L278" i="6"/>
  <c r="N278" i="6"/>
  <c r="S278" i="6" s="1"/>
  <c r="J278" i="6"/>
  <c r="S334" i="6"/>
  <c r="B46" i="4"/>
  <c r="C35" i="13" s="1"/>
  <c r="E35" i="13" s="1"/>
  <c r="F35" i="13" s="1"/>
  <c r="B47" i="4"/>
  <c r="B49" i="4"/>
  <c r="B48" i="4"/>
  <c r="C36" i="13" s="1"/>
  <c r="E36" i="13" s="1"/>
  <c r="F36" i="13" s="1"/>
  <c r="J73" i="5"/>
  <c r="T8" i="8"/>
  <c r="S8" i="8"/>
  <c r="Z8" i="8"/>
  <c r="V8" i="8"/>
  <c r="X8" i="8" s="1"/>
  <c r="Y8" i="8"/>
  <c r="C52" i="6"/>
  <c r="B54" i="6"/>
  <c r="C54" i="6" s="1"/>
  <c r="S25" i="8"/>
  <c r="U25" i="8"/>
  <c r="Q83" i="8"/>
  <c r="S83" i="8" s="1"/>
  <c r="Z83" i="8"/>
  <c r="J88" i="5"/>
  <c r="C31" i="6"/>
  <c r="O228" i="6"/>
  <c r="L311" i="6"/>
  <c r="N311" i="6"/>
  <c r="S311" i="6" s="1"/>
  <c r="K311" i="6"/>
  <c r="J97" i="5"/>
  <c r="J77" i="5"/>
  <c r="J92" i="5"/>
  <c r="J78" i="5"/>
  <c r="J76" i="5"/>
  <c r="J86" i="5"/>
  <c r="J81" i="5"/>
  <c r="J67" i="5"/>
  <c r="J69" i="5"/>
  <c r="C35" i="6"/>
  <c r="J72" i="5"/>
  <c r="R13" i="10"/>
  <c r="F75" i="5"/>
  <c r="J71" i="5"/>
  <c r="J82" i="5"/>
  <c r="J79" i="5"/>
  <c r="F300" i="6"/>
  <c r="E340" i="6"/>
  <c r="F306" i="6"/>
  <c r="F290" i="6"/>
  <c r="O338" i="6"/>
  <c r="E328" i="6"/>
  <c r="F310" i="6"/>
  <c r="F305" i="6"/>
  <c r="J305" i="6" s="1"/>
  <c r="F292" i="6"/>
  <c r="F287" i="6"/>
  <c r="J287" i="6" s="1"/>
  <c r="O312" i="6"/>
  <c r="F296" i="6"/>
  <c r="E336" i="6"/>
  <c r="O320" i="6"/>
  <c r="O313" i="6"/>
  <c r="E312" i="6"/>
  <c r="O326" i="6"/>
  <c r="F298" i="6"/>
  <c r="F295" i="6"/>
  <c r="J295" i="6" s="1"/>
  <c r="A156" i="6"/>
  <c r="E313" i="6"/>
  <c r="F309" i="6"/>
  <c r="J309" i="6" s="1"/>
  <c r="F289" i="6"/>
  <c r="J289" i="6" s="1"/>
  <c r="F286" i="6"/>
  <c r="A155" i="6"/>
  <c r="O340" i="6"/>
  <c r="F301" i="6"/>
  <c r="J301" i="6" s="1"/>
  <c r="A129" i="6"/>
  <c r="A113" i="6"/>
  <c r="A97" i="6"/>
  <c r="A81" i="6"/>
  <c r="O321" i="6"/>
  <c r="E320" i="6"/>
  <c r="O337" i="6"/>
  <c r="O329" i="6"/>
  <c r="F308" i="6"/>
  <c r="F304" i="6"/>
  <c r="L259" i="6"/>
  <c r="F288" i="6"/>
  <c r="A157" i="6"/>
  <c r="A149" i="6"/>
  <c r="A139" i="6"/>
  <c r="A123" i="6"/>
  <c r="E329" i="6"/>
  <c r="F303" i="6"/>
  <c r="J303" i="6" s="1"/>
  <c r="A150" i="6"/>
  <c r="A138" i="6"/>
  <c r="A122" i="6"/>
  <c r="A106" i="6"/>
  <c r="A90" i="6"/>
  <c r="A74" i="6"/>
  <c r="F291" i="6"/>
  <c r="J291" i="6" s="1"/>
  <c r="A159" i="6"/>
  <c r="A115" i="6"/>
  <c r="A103" i="6"/>
  <c r="A89" i="6"/>
  <c r="A73" i="6"/>
  <c r="O317" i="6"/>
  <c r="A116" i="6"/>
  <c r="A105" i="6"/>
  <c r="A76" i="6"/>
  <c r="A71" i="6"/>
  <c r="B39" i="6"/>
  <c r="B32" i="6"/>
  <c r="E332" i="6"/>
  <c r="A124" i="6"/>
  <c r="A117" i="6"/>
  <c r="A92" i="6"/>
  <c r="A78" i="6"/>
  <c r="B30" i="6"/>
  <c r="F299" i="6"/>
  <c r="J299" i="6" s="1"/>
  <c r="A160" i="6"/>
  <c r="A132" i="6"/>
  <c r="O328" i="6"/>
  <c r="A125" i="6"/>
  <c r="A118" i="6"/>
  <c r="A108" i="6"/>
  <c r="A94" i="6"/>
  <c r="A80" i="6"/>
  <c r="M34" i="6"/>
  <c r="E314" i="6"/>
  <c r="F294" i="6"/>
  <c r="A146" i="6"/>
  <c r="A140" i="6"/>
  <c r="A133" i="6"/>
  <c r="A109" i="6"/>
  <c r="A95" i="6"/>
  <c r="M33" i="6"/>
  <c r="O316" i="6"/>
  <c r="L262" i="6"/>
  <c r="A152" i="6"/>
  <c r="A114" i="6"/>
  <c r="A101" i="6"/>
  <c r="A87" i="6"/>
  <c r="B41" i="6"/>
  <c r="B36" i="6"/>
  <c r="A77" i="6"/>
  <c r="B37" i="6"/>
  <c r="B34" i="6"/>
  <c r="F293" i="6"/>
  <c r="J293" i="6" s="1"/>
  <c r="A148" i="6"/>
  <c r="A135" i="6"/>
  <c r="A131" i="6"/>
  <c r="A82" i="6"/>
  <c r="A72" i="6"/>
  <c r="A141" i="6"/>
  <c r="A137" i="6"/>
  <c r="F307" i="6"/>
  <c r="J307" i="6" s="1"/>
  <c r="A143" i="6"/>
  <c r="A99" i="6"/>
  <c r="A145" i="6"/>
  <c r="A120" i="6"/>
  <c r="A104" i="6"/>
  <c r="E338" i="6"/>
  <c r="A154" i="6"/>
  <c r="A147" i="6"/>
  <c r="M30" i="6"/>
  <c r="O319" i="6"/>
  <c r="A128" i="6"/>
  <c r="A110" i="6"/>
  <c r="M32" i="6"/>
  <c r="B29" i="6"/>
  <c r="O339" i="6"/>
  <c r="E322" i="6"/>
  <c r="A134" i="6"/>
  <c r="A107" i="6"/>
  <c r="A91" i="6"/>
  <c r="A88" i="6"/>
  <c r="J265" i="6"/>
  <c r="O336" i="6"/>
  <c r="A151" i="6"/>
  <c r="A144" i="6"/>
  <c r="A85" i="6"/>
  <c r="J273" i="6"/>
  <c r="A96" i="6"/>
  <c r="F297" i="6"/>
  <c r="J297" i="6" s="1"/>
  <c r="A112" i="6"/>
  <c r="A93" i="6"/>
  <c r="A121" i="6"/>
  <c r="M35" i="6"/>
  <c r="B38" i="6"/>
  <c r="M31" i="6"/>
  <c r="A126" i="6"/>
  <c r="A84" i="6"/>
  <c r="A130" i="6"/>
  <c r="A127" i="6"/>
  <c r="A79" i="6"/>
  <c r="A158" i="6"/>
  <c r="A136" i="6"/>
  <c r="A98" i="6"/>
  <c r="A111" i="6"/>
  <c r="H241" i="6"/>
  <c r="H231" i="6"/>
  <c r="D49" i="6"/>
  <c r="H239" i="6"/>
  <c r="A119" i="6"/>
  <c r="O236" i="6"/>
  <c r="E315" i="6"/>
  <c r="S323" i="6"/>
  <c r="AA5" i="8"/>
  <c r="Y60" i="8"/>
  <c r="O60" i="8"/>
  <c r="G222" i="6" s="1"/>
  <c r="N60" i="8"/>
  <c r="E222" i="6" s="1"/>
  <c r="O241" i="6"/>
  <c r="G248" i="6"/>
  <c r="J47" i="5"/>
  <c r="O115" i="8"/>
  <c r="G252" i="6" s="1"/>
  <c r="Y115" i="8"/>
  <c r="N115" i="8"/>
  <c r="E252" i="6" s="1"/>
  <c r="S317" i="6"/>
  <c r="J90" i="5"/>
  <c r="Z64" i="8"/>
  <c r="S64" i="8"/>
  <c r="T64" i="8"/>
  <c r="AA64" i="8" s="1"/>
  <c r="X69" i="8"/>
  <c r="O269" i="6"/>
  <c r="K269" i="6"/>
  <c r="N269" i="6" s="1"/>
  <c r="S269" i="6" s="1"/>
  <c r="L269" i="6"/>
  <c r="J269" i="6"/>
  <c r="B52" i="4"/>
  <c r="C37" i="13" s="1"/>
  <c r="E37" i="13" s="1"/>
  <c r="F37" i="13" s="1"/>
  <c r="J68" i="5"/>
  <c r="E333" i="6"/>
  <c r="T12" i="8"/>
  <c r="S12" i="8"/>
  <c r="Z12" i="8"/>
  <c r="V25" i="8"/>
  <c r="X25" i="8" s="1"/>
  <c r="Y25" i="8"/>
  <c r="B46" i="6"/>
  <c r="C46" i="6" s="1"/>
  <c r="S275" i="6"/>
  <c r="B53" i="4"/>
  <c r="O235" i="6"/>
  <c r="O10" i="8"/>
  <c r="N10" i="8"/>
  <c r="Y10" i="8"/>
  <c r="B54" i="4"/>
  <c r="J87" i="5"/>
  <c r="H251" i="6"/>
  <c r="H243" i="6"/>
  <c r="H237" i="6"/>
  <c r="H245" i="6"/>
  <c r="K322" i="6"/>
  <c r="O322" i="6"/>
  <c r="N322" i="6"/>
  <c r="S322" i="6" s="1"/>
  <c r="L322" i="6"/>
  <c r="K254" i="6"/>
  <c r="N254" i="6" s="1"/>
  <c r="S254" i="6" s="1"/>
  <c r="L254" i="6"/>
  <c r="O254" i="6"/>
  <c r="J254" i="6"/>
  <c r="C49" i="5"/>
  <c r="E49" i="5" s="1"/>
  <c r="D47" i="6"/>
  <c r="O270" i="6"/>
  <c r="L270" i="6"/>
  <c r="K270" i="6"/>
  <c r="N270" i="6" s="1"/>
  <c r="S270" i="6" s="1"/>
  <c r="J270" i="6"/>
  <c r="S319" i="6"/>
  <c r="J322" i="6"/>
  <c r="X48" i="9"/>
  <c r="W48" i="9"/>
  <c r="T18" i="10"/>
  <c r="I80" i="5" s="1"/>
  <c r="B9" i="5"/>
  <c r="S283" i="6"/>
  <c r="R95" i="16"/>
  <c r="O33" i="9"/>
  <c r="V33" i="9"/>
  <c r="P33" i="9"/>
  <c r="G68" i="5"/>
  <c r="K262" i="6"/>
  <c r="N262" i="6" s="1"/>
  <c r="S262" i="6" s="1"/>
  <c r="O318" i="6"/>
  <c r="B32" i="16"/>
  <c r="Q156" i="6"/>
  <c r="Q155" i="6"/>
  <c r="Q129" i="6"/>
  <c r="Q113" i="6"/>
  <c r="Q97" i="6"/>
  <c r="Q81" i="6"/>
  <c r="Q147" i="6"/>
  <c r="Q139" i="6"/>
  <c r="Q123" i="6"/>
  <c r="Q148" i="6"/>
  <c r="Q138" i="6"/>
  <c r="Q122" i="6"/>
  <c r="Q106" i="6"/>
  <c r="Q90" i="6"/>
  <c r="Q74" i="6"/>
  <c r="Q143" i="6"/>
  <c r="Q136" i="6"/>
  <c r="Q101" i="6"/>
  <c r="Q87" i="6"/>
  <c r="Q73" i="6"/>
  <c r="Q137" i="6"/>
  <c r="Q103" i="6"/>
  <c r="Q89" i="6"/>
  <c r="Q71" i="6"/>
  <c r="Q152" i="6"/>
  <c r="Q144" i="6"/>
  <c r="Q130" i="6"/>
  <c r="Q105" i="6"/>
  <c r="Q76" i="6"/>
  <c r="Q159" i="6"/>
  <c r="Q149" i="6"/>
  <c r="Q131" i="6"/>
  <c r="Q92" i="6"/>
  <c r="Q78" i="6"/>
  <c r="Q124" i="6"/>
  <c r="Q117" i="6"/>
  <c r="Q107" i="6"/>
  <c r="Q93" i="6"/>
  <c r="Q79" i="6"/>
  <c r="Q142" i="6"/>
  <c r="Q135" i="6"/>
  <c r="Q99" i="6"/>
  <c r="Q85" i="6"/>
  <c r="Q72" i="6"/>
  <c r="Q77" i="6"/>
  <c r="Q84" i="6"/>
  <c r="Q121" i="6"/>
  <c r="Q125" i="6"/>
  <c r="O233" i="6"/>
  <c r="S257" i="6"/>
  <c r="O315" i="6"/>
  <c r="N315" i="6"/>
  <c r="S315" i="6" s="1"/>
  <c r="L315" i="6"/>
  <c r="E334" i="6"/>
  <c r="S335" i="6"/>
  <c r="N56" i="8"/>
  <c r="U56" i="8"/>
  <c r="X56" i="8" s="1"/>
  <c r="Y56" i="8"/>
  <c r="O56" i="8"/>
  <c r="Y31" i="8"/>
  <c r="U31" i="8"/>
  <c r="N31" i="8"/>
  <c r="Q91" i="6"/>
  <c r="Q98" i="6"/>
  <c r="O230" i="6"/>
  <c r="K275" i="6"/>
  <c r="K315" i="6"/>
  <c r="K334" i="6"/>
  <c r="R94" i="16"/>
  <c r="O31" i="8"/>
  <c r="Z33" i="8"/>
  <c r="T33" i="8"/>
  <c r="AA33" i="8" s="1"/>
  <c r="S33" i="8"/>
  <c r="H244" i="6"/>
  <c r="H238" i="6"/>
  <c r="H242" i="6"/>
  <c r="D50" i="6"/>
  <c r="Q86" i="6"/>
  <c r="Q110" i="6"/>
  <c r="S312" i="6"/>
  <c r="L323" i="6"/>
  <c r="K323" i="6"/>
  <c r="J323" i="6"/>
  <c r="E323" i="6"/>
  <c r="O323" i="6"/>
  <c r="L334" i="6"/>
  <c r="O331" i="6"/>
  <c r="N331" i="6"/>
  <c r="S331" i="6" s="1"/>
  <c r="L331" i="6"/>
  <c r="K331" i="6"/>
  <c r="J331" i="6"/>
  <c r="E331" i="6"/>
  <c r="O334" i="6"/>
  <c r="H249" i="6"/>
  <c r="H221" i="6"/>
  <c r="C53" i="6"/>
  <c r="Q88" i="6"/>
  <c r="Q114" i="6"/>
  <c r="Q128" i="6"/>
  <c r="H222" i="6"/>
  <c r="K258" i="6"/>
  <c r="N258" i="6" s="1"/>
  <c r="S258" i="6" s="1"/>
  <c r="J258" i="6"/>
  <c r="Y11" i="8"/>
  <c r="V11" i="8"/>
  <c r="X11" i="8" s="1"/>
  <c r="U14" i="8"/>
  <c r="X14" i="8" s="1"/>
  <c r="Y14" i="8"/>
  <c r="J47" i="6" s="1"/>
  <c r="X86" i="8"/>
  <c r="D48" i="6"/>
  <c r="O225" i="6"/>
  <c r="S279" i="6"/>
  <c r="S285" i="6"/>
  <c r="Y12" i="8"/>
  <c r="O12" i="8"/>
  <c r="N12" i="8"/>
  <c r="U12" i="8"/>
  <c r="X12" i="8" s="1"/>
  <c r="S237" i="6"/>
  <c r="O245" i="6"/>
  <c r="S320" i="6"/>
  <c r="S339" i="6"/>
  <c r="Y58" i="8"/>
  <c r="U58" i="8"/>
  <c r="O58" i="8"/>
  <c r="N58" i="8"/>
  <c r="O97" i="9"/>
  <c r="V97" i="9"/>
  <c r="P97" i="9"/>
  <c r="O240" i="6"/>
  <c r="O242" i="6"/>
  <c r="L258" i="6"/>
  <c r="O258" i="6"/>
  <c r="N314" i="6"/>
  <c r="S314" i="6" s="1"/>
  <c r="O314" i="6"/>
  <c r="E321" i="6"/>
  <c r="J327" i="6"/>
  <c r="O327" i="6"/>
  <c r="E327" i="6"/>
  <c r="E330" i="6"/>
  <c r="Q5" i="8"/>
  <c r="S5" i="8" s="1"/>
  <c r="Z10" i="8"/>
  <c r="S321" i="6"/>
  <c r="O333" i="6"/>
  <c r="N333" i="6"/>
  <c r="S333" i="6" s="1"/>
  <c r="L333" i="6"/>
  <c r="K333" i="6"/>
  <c r="N88" i="8"/>
  <c r="Y88" i="8"/>
  <c r="U88" i="8"/>
  <c r="X88" i="8" s="1"/>
  <c r="K273" i="6"/>
  <c r="N273" i="6" s="1"/>
  <c r="S273" i="6" s="1"/>
  <c r="O273" i="6"/>
  <c r="L273" i="6"/>
  <c r="J285" i="6"/>
  <c r="J333" i="6"/>
  <c r="T16" i="8"/>
  <c r="AA16" i="8" s="1"/>
  <c r="Z16" i="8"/>
  <c r="S16" i="8"/>
  <c r="O224" i="6"/>
  <c r="O88" i="8"/>
  <c r="G45" i="5" s="1"/>
  <c r="Y92" i="8"/>
  <c r="O92" i="8"/>
  <c r="G231" i="6" s="1"/>
  <c r="N92" i="8"/>
  <c r="E231" i="6" s="1"/>
  <c r="K261" i="6"/>
  <c r="N261" i="6" s="1"/>
  <c r="S261" i="6" s="1"/>
  <c r="J261" i="6"/>
  <c r="X7" i="8"/>
  <c r="Z20" i="8"/>
  <c r="T20" i="8"/>
  <c r="S20" i="8"/>
  <c r="U69" i="8"/>
  <c r="O69" i="8"/>
  <c r="N69" i="8"/>
  <c r="Y84" i="8"/>
  <c r="O262" i="6"/>
  <c r="J262" i="6"/>
  <c r="L265" i="6"/>
  <c r="K265" i="6"/>
  <c r="N265" i="6" s="1"/>
  <c r="S265" i="6" s="1"/>
  <c r="O265" i="6"/>
  <c r="J316" i="6"/>
  <c r="N316" i="6"/>
  <c r="S316" i="6" s="1"/>
  <c r="K316" i="6"/>
  <c r="E316" i="6"/>
  <c r="L339" i="6"/>
  <c r="J339" i="6"/>
  <c r="E339" i="6"/>
  <c r="U27" i="8"/>
  <c r="X27" i="8" s="1"/>
  <c r="O27" i="8"/>
  <c r="Y27" i="8"/>
  <c r="Q35" i="8"/>
  <c r="U35" i="8" s="1"/>
  <c r="X35" i="8" s="1"/>
  <c r="Z35" i="8"/>
  <c r="T46" i="8"/>
  <c r="AA46" i="8" s="1"/>
  <c r="S46" i="8"/>
  <c r="Z46" i="8"/>
  <c r="T69" i="8"/>
  <c r="AA69" i="8" s="1"/>
  <c r="S69" i="8"/>
  <c r="Z69" i="8"/>
  <c r="O261" i="6"/>
  <c r="L261" i="6"/>
  <c r="L317" i="6"/>
  <c r="E317" i="6"/>
  <c r="O332" i="6"/>
  <c r="R92" i="16"/>
  <c r="O119" i="9"/>
  <c r="V119" i="9"/>
  <c r="P119" i="9"/>
  <c r="O244" i="6"/>
  <c r="O253" i="6"/>
  <c r="L253" i="6"/>
  <c r="K253" i="6"/>
  <c r="N253" i="6" s="1"/>
  <c r="S253" i="6" s="1"/>
  <c r="O259" i="6"/>
  <c r="K276" i="6"/>
  <c r="L276" i="6"/>
  <c r="J276" i="6"/>
  <c r="O325" i="6"/>
  <c r="E325" i="6"/>
  <c r="N325" i="6"/>
  <c r="S325" i="6" s="1"/>
  <c r="L325" i="6"/>
  <c r="K325" i="6"/>
  <c r="J325" i="6"/>
  <c r="V50" i="8"/>
  <c r="X50" i="8" s="1"/>
  <c r="X85" i="8"/>
  <c r="V11" i="9"/>
  <c r="O11" i="9"/>
  <c r="P11" i="9"/>
  <c r="W121" i="9"/>
  <c r="X121" i="9"/>
  <c r="J271" i="6"/>
  <c r="K271" i="6"/>
  <c r="N271" i="6" s="1"/>
  <c r="S271" i="6" s="1"/>
  <c r="S284" i="6"/>
  <c r="S329" i="6"/>
  <c r="S341" i="6"/>
  <c r="S100" i="16"/>
  <c r="Z76" i="8"/>
  <c r="T76" i="8"/>
  <c r="AA76" i="8" s="1"/>
  <c r="S76" i="8"/>
  <c r="Y91" i="8"/>
  <c r="U91" i="8"/>
  <c r="X91" i="8" s="1"/>
  <c r="N91" i="8"/>
  <c r="O91" i="8"/>
  <c r="O227" i="6"/>
  <c r="L271" i="6"/>
  <c r="L279" i="6"/>
  <c r="K279" i="6"/>
  <c r="J279" i="6"/>
  <c r="K282" i="6"/>
  <c r="N282" i="6"/>
  <c r="S282" i="6" s="1"/>
  <c r="L282" i="6"/>
  <c r="J321" i="6"/>
  <c r="L321" i="6"/>
  <c r="K321" i="6"/>
  <c r="F102" i="16"/>
  <c r="G102" i="16" s="1"/>
  <c r="S92" i="16"/>
  <c r="Z11" i="8"/>
  <c r="T11" i="8"/>
  <c r="S11" i="8"/>
  <c r="X13" i="8"/>
  <c r="X22" i="8"/>
  <c r="X40" i="8"/>
  <c r="Z74" i="8"/>
  <c r="T74" i="8"/>
  <c r="AA74" i="8" s="1"/>
  <c r="S74" i="8"/>
  <c r="U86" i="8"/>
  <c r="O86" i="8"/>
  <c r="N86" i="8"/>
  <c r="P25" i="9"/>
  <c r="V25" i="9"/>
  <c r="O25" i="9"/>
  <c r="C61" i="5" s="1"/>
  <c r="I61" i="5" s="1"/>
  <c r="S103" i="16"/>
  <c r="S101" i="16"/>
  <c r="S99" i="16"/>
  <c r="S97" i="16"/>
  <c r="S96" i="16"/>
  <c r="S95" i="16"/>
  <c r="S98" i="16"/>
  <c r="S94" i="16"/>
  <c r="X30" i="8"/>
  <c r="Z32" i="8"/>
  <c r="T32" i="8"/>
  <c r="AA32" i="8" s="1"/>
  <c r="S32" i="8"/>
  <c r="U37" i="8"/>
  <c r="O37" i="8"/>
  <c r="N37" i="8"/>
  <c r="Y37" i="8"/>
  <c r="X74" i="8"/>
  <c r="P9" i="9"/>
  <c r="V9" i="9"/>
  <c r="V60" i="9"/>
  <c r="P60" i="9"/>
  <c r="O60" i="9"/>
  <c r="S328" i="6"/>
  <c r="E335" i="6"/>
  <c r="J335" i="6"/>
  <c r="R105" i="16"/>
  <c r="T15" i="8"/>
  <c r="AA15" i="8" s="1"/>
  <c r="S15" i="8"/>
  <c r="Z15" i="8"/>
  <c r="S17" i="8"/>
  <c r="O23" i="8"/>
  <c r="N23" i="8"/>
  <c r="Z44" i="8"/>
  <c r="T44" i="8"/>
  <c r="S44" i="8"/>
  <c r="Y82" i="8"/>
  <c r="V82" i="8"/>
  <c r="X82" i="8" s="1"/>
  <c r="S84" i="8"/>
  <c r="U84" i="8"/>
  <c r="X84" i="8" s="1"/>
  <c r="T93" i="8"/>
  <c r="AA93" i="8" s="1"/>
  <c r="Y100" i="8"/>
  <c r="V100" i="8"/>
  <c r="X100" i="8" s="1"/>
  <c r="O9" i="9"/>
  <c r="X15" i="9"/>
  <c r="W15" i="9"/>
  <c r="E319" i="6"/>
  <c r="U19" i="8"/>
  <c r="Y19" i="8"/>
  <c r="X20" i="8"/>
  <c r="Q24" i="8"/>
  <c r="S24" i="8" s="1"/>
  <c r="Z24" i="8"/>
  <c r="V92" i="9"/>
  <c r="P92" i="9"/>
  <c r="O92" i="9"/>
  <c r="X98" i="9"/>
  <c r="W98" i="9"/>
  <c r="V103" i="9"/>
  <c r="P103" i="9"/>
  <c r="O103" i="9"/>
  <c r="L313" i="6"/>
  <c r="N313" i="6"/>
  <c r="S313" i="6" s="1"/>
  <c r="K313" i="6"/>
  <c r="E318" i="6"/>
  <c r="J319" i="6"/>
  <c r="F104" i="16"/>
  <c r="G104" i="16" s="1"/>
  <c r="N19" i="8"/>
  <c r="U28" i="8"/>
  <c r="Y28" i="8"/>
  <c r="O28" i="8"/>
  <c r="N28" i="8"/>
  <c r="S49" i="8"/>
  <c r="X62" i="8"/>
  <c r="U70" i="8"/>
  <c r="X70" i="8" s="1"/>
  <c r="O70" i="8"/>
  <c r="Y70" i="8"/>
  <c r="N70" i="8"/>
  <c r="X73" i="8"/>
  <c r="W94" i="9"/>
  <c r="X112" i="9"/>
  <c r="W112" i="9"/>
  <c r="W127" i="9"/>
  <c r="X127" i="9"/>
  <c r="E324" i="6"/>
  <c r="N330" i="6"/>
  <c r="S330" i="6" s="1"/>
  <c r="O330" i="6"/>
  <c r="J337" i="6"/>
  <c r="E337" i="6"/>
  <c r="N337" i="6"/>
  <c r="S337" i="6" s="1"/>
  <c r="L337" i="6"/>
  <c r="V90" i="9"/>
  <c r="O90" i="9"/>
  <c r="E256" i="6" s="1"/>
  <c r="O113" i="9"/>
  <c r="E260" i="6" s="1"/>
  <c r="V113" i="9"/>
  <c r="P113" i="9"/>
  <c r="G260" i="6" s="1"/>
  <c r="S324" i="6"/>
  <c r="Q21" i="8"/>
  <c r="T52" i="8"/>
  <c r="AA52" i="8" s="1"/>
  <c r="S52" i="8"/>
  <c r="Z52" i="8"/>
  <c r="N72" i="8"/>
  <c r="O72" i="8"/>
  <c r="U72" i="8"/>
  <c r="Y89" i="8"/>
  <c r="O89" i="8"/>
  <c r="G229" i="6" s="1"/>
  <c r="N89" i="8"/>
  <c r="E229" i="6" s="1"/>
  <c r="X37" i="9"/>
  <c r="W37" i="9"/>
  <c r="W57" i="9"/>
  <c r="X57" i="9"/>
  <c r="P90" i="9"/>
  <c r="G256" i="6" s="1"/>
  <c r="X28" i="8"/>
  <c r="X46" i="8"/>
  <c r="Y57" i="8"/>
  <c r="J49" i="6" s="1"/>
  <c r="U57" i="8"/>
  <c r="X57" i="8" s="1"/>
  <c r="O57" i="8"/>
  <c r="N57" i="8"/>
  <c r="O42" i="9"/>
  <c r="V42" i="9"/>
  <c r="K280" i="6"/>
  <c r="N280" i="6"/>
  <c r="S280" i="6" s="1"/>
  <c r="O324" i="6"/>
  <c r="L329" i="6"/>
  <c r="K329" i="6"/>
  <c r="J329" i="6"/>
  <c r="F93" i="16"/>
  <c r="F95" i="16"/>
  <c r="X16" i="8"/>
  <c r="O29" i="8"/>
  <c r="N29" i="8"/>
  <c r="T43" i="8"/>
  <c r="AA43" i="8" s="1"/>
  <c r="Z43" i="8"/>
  <c r="U53" i="8"/>
  <c r="O53" i="8"/>
  <c r="N53" i="8"/>
  <c r="Y53" i="8"/>
  <c r="X94" i="8"/>
  <c r="X96" i="8"/>
  <c r="P42" i="9"/>
  <c r="L267" i="6"/>
  <c r="Y15" i="8"/>
  <c r="U15" i="8"/>
  <c r="X15" i="8" s="1"/>
  <c r="X31" i="8"/>
  <c r="Z95" i="8"/>
  <c r="S95" i="8"/>
  <c r="T95" i="8"/>
  <c r="AA95" i="8" s="1"/>
  <c r="Q104" i="8"/>
  <c r="S104" i="8" s="1"/>
  <c r="Z104" i="8"/>
  <c r="J267" i="6"/>
  <c r="J312" i="6"/>
  <c r="O341" i="6"/>
  <c r="Z6" i="8"/>
  <c r="S6" i="8"/>
  <c r="N15" i="8"/>
  <c r="U30" i="8"/>
  <c r="O30" i="8"/>
  <c r="N30" i="8"/>
  <c r="Z37" i="8"/>
  <c r="T37" i="8"/>
  <c r="AA37" i="8" s="1"/>
  <c r="S37" i="8"/>
  <c r="S57" i="8"/>
  <c r="Y81" i="8"/>
  <c r="O34" i="8"/>
  <c r="Y34" i="8"/>
  <c r="U34" i="8"/>
  <c r="X34" i="8" s="1"/>
  <c r="X37" i="8"/>
  <c r="X53" i="8"/>
  <c r="Y74" i="8"/>
  <c r="U74" i="8"/>
  <c r="N74" i="8"/>
  <c r="Y106" i="8"/>
  <c r="O106" i="8"/>
  <c r="G243" i="6" s="1"/>
  <c r="V7" i="9"/>
  <c r="P7" i="9"/>
  <c r="O7" i="9"/>
  <c r="P10" i="9"/>
  <c r="O10" i="9"/>
  <c r="V10" i="9"/>
  <c r="W115" i="9"/>
  <c r="X115" i="9"/>
  <c r="Y5" i="8"/>
  <c r="J51" i="6" s="1"/>
  <c r="N34" i="8"/>
  <c r="O74" i="8"/>
  <c r="X83" i="8"/>
  <c r="N106" i="8"/>
  <c r="E243" i="6" s="1"/>
  <c r="W20" i="9"/>
  <c r="X20" i="9"/>
  <c r="W73" i="9"/>
  <c r="X73" i="9"/>
  <c r="X68" i="9"/>
  <c r="W68" i="9"/>
  <c r="E341" i="6"/>
  <c r="Y6" i="8"/>
  <c r="J48" i="6" s="1"/>
  <c r="T31" i="8"/>
  <c r="K41" i="5" s="1"/>
  <c r="S31" i="8"/>
  <c r="Y42" i="8"/>
  <c r="U42" i="8"/>
  <c r="X52" i="8"/>
  <c r="X98" i="8"/>
  <c r="Z108" i="8"/>
  <c r="S108" i="8"/>
  <c r="T108" i="8"/>
  <c r="AA108" i="8" s="1"/>
  <c r="X113" i="8"/>
  <c r="O49" i="9"/>
  <c r="V49" i="9"/>
  <c r="X64" i="9"/>
  <c r="W64" i="9"/>
  <c r="Z65" i="8"/>
  <c r="T65" i="8"/>
  <c r="AA65" i="8" s="1"/>
  <c r="S65" i="8"/>
  <c r="Y105" i="8"/>
  <c r="N105" i="8"/>
  <c r="E242" i="6" s="1"/>
  <c r="V5" i="9"/>
  <c r="P5" i="9"/>
  <c r="O5" i="9"/>
  <c r="V23" i="9"/>
  <c r="P23" i="9"/>
  <c r="X29" i="9"/>
  <c r="W29" i="9"/>
  <c r="P40" i="9"/>
  <c r="V40" i="9"/>
  <c r="O40" i="9"/>
  <c r="P49" i="9"/>
  <c r="V58" i="9"/>
  <c r="P58" i="9"/>
  <c r="O65" i="9"/>
  <c r="P65" i="9"/>
  <c r="V65" i="9"/>
  <c r="W80" i="9"/>
  <c r="X110" i="9"/>
  <c r="J341" i="6"/>
  <c r="O26" i="8"/>
  <c r="N26" i="8"/>
  <c r="O38" i="8"/>
  <c r="N38" i="8"/>
  <c r="Z48" i="8"/>
  <c r="T48" i="8"/>
  <c r="AA48" i="8" s="1"/>
  <c r="X54" i="8"/>
  <c r="O102" i="8"/>
  <c r="G239" i="6" s="1"/>
  <c r="Y102" i="8"/>
  <c r="V108" i="8"/>
  <c r="X108" i="8" s="1"/>
  <c r="Y108" i="8"/>
  <c r="O23" i="9"/>
  <c r="P34" i="9"/>
  <c r="O34" i="9"/>
  <c r="V34" i="9"/>
  <c r="O58" i="9"/>
  <c r="P72" i="9"/>
  <c r="V72" i="9"/>
  <c r="O72" i="9"/>
  <c r="O81" i="9"/>
  <c r="V81" i="9"/>
  <c r="P120" i="9"/>
  <c r="G264" i="6" s="1"/>
  <c r="V120" i="9"/>
  <c r="K340" i="6"/>
  <c r="L341" i="6"/>
  <c r="Z13" i="8"/>
  <c r="K46" i="5" s="1"/>
  <c r="U17" i="8"/>
  <c r="X17" i="8" s="1"/>
  <c r="N17" i="8"/>
  <c r="C41" i="5" s="1"/>
  <c r="S30" i="8"/>
  <c r="Z31" i="8"/>
  <c r="O47" i="8"/>
  <c r="Y47" i="8"/>
  <c r="O55" i="8"/>
  <c r="N55" i="8"/>
  <c r="E221" i="6" s="1"/>
  <c r="Z58" i="8"/>
  <c r="T58" i="8"/>
  <c r="AA58" i="8" s="1"/>
  <c r="S58" i="8"/>
  <c r="X63" i="8"/>
  <c r="Z90" i="8"/>
  <c r="T90" i="8"/>
  <c r="AA90" i="8" s="1"/>
  <c r="S90" i="8"/>
  <c r="P45" i="9"/>
  <c r="V45" i="9"/>
  <c r="X53" i="9"/>
  <c r="W53" i="9"/>
  <c r="X70" i="9"/>
  <c r="W70" i="9"/>
  <c r="X117" i="9"/>
  <c r="W117" i="9"/>
  <c r="T30" i="10"/>
  <c r="I92" i="5" s="1"/>
  <c r="T34" i="10"/>
  <c r="I96" i="5" s="1"/>
  <c r="T31" i="10"/>
  <c r="I93" i="5" s="1"/>
  <c r="T24" i="10"/>
  <c r="I86" i="5" s="1"/>
  <c r="T21" i="10"/>
  <c r="I83" i="5" s="1"/>
  <c r="T37" i="10"/>
  <c r="I99" i="5" s="1"/>
  <c r="T22" i="10"/>
  <c r="I84" i="5" s="1"/>
  <c r="T8" i="10"/>
  <c r="I70" i="5" s="1"/>
  <c r="T5" i="10"/>
  <c r="I67" i="5" s="1"/>
  <c r="T15" i="10"/>
  <c r="I77" i="5" s="1"/>
  <c r="Z22" i="8"/>
  <c r="S22" i="8"/>
  <c r="T26" i="8"/>
  <c r="AA26" i="8" s="1"/>
  <c r="S26" i="8"/>
  <c r="Z42" i="8"/>
  <c r="T42" i="8"/>
  <c r="S42" i="8"/>
  <c r="U76" i="8"/>
  <c r="X76" i="8" s="1"/>
  <c r="Y76" i="8"/>
  <c r="S112" i="8"/>
  <c r="Z112" i="8"/>
  <c r="V21" i="9"/>
  <c r="P21" i="9"/>
  <c r="Y9" i="8"/>
  <c r="X19" i="8"/>
  <c r="O21" i="8"/>
  <c r="B17" i="5" s="1"/>
  <c r="N21" i="8"/>
  <c r="C42" i="5" s="1"/>
  <c r="Y21" i="8"/>
  <c r="T22" i="8"/>
  <c r="AA22" i="8" s="1"/>
  <c r="U26" i="8"/>
  <c r="X26" i="8" s="1"/>
  <c r="Z27" i="8"/>
  <c r="U33" i="8"/>
  <c r="X33" i="8" s="1"/>
  <c r="S36" i="8"/>
  <c r="S38" i="8"/>
  <c r="X42" i="8"/>
  <c r="Z47" i="8"/>
  <c r="Q47" i="8"/>
  <c r="Z53" i="8"/>
  <c r="T53" i="8"/>
  <c r="AA53" i="8" s="1"/>
  <c r="Z55" i="8"/>
  <c r="S55" i="8"/>
  <c r="Y59" i="8"/>
  <c r="U59" i="8"/>
  <c r="X59" i="8" s="1"/>
  <c r="N59" i="8"/>
  <c r="S67" i="8"/>
  <c r="N76" i="8"/>
  <c r="O96" i="8"/>
  <c r="G234" i="6" s="1"/>
  <c r="N96" i="8"/>
  <c r="E234" i="6" s="1"/>
  <c r="Y96" i="8"/>
  <c r="Q99" i="8"/>
  <c r="S99" i="8" s="1"/>
  <c r="Z99" i="8"/>
  <c r="T112" i="8"/>
  <c r="AA112" i="8" s="1"/>
  <c r="O21" i="9"/>
  <c r="P70" i="9"/>
  <c r="P105" i="9"/>
  <c r="O105" i="9"/>
  <c r="V105" i="9"/>
  <c r="Y32" i="8"/>
  <c r="Y36" i="8"/>
  <c r="U43" i="8"/>
  <c r="X43" i="8" s="1"/>
  <c r="Y48" i="8"/>
  <c r="T62" i="8"/>
  <c r="AA62" i="8" s="1"/>
  <c r="X72" i="8"/>
  <c r="X78" i="8"/>
  <c r="Y90" i="8"/>
  <c r="T94" i="8"/>
  <c r="AA94" i="8" s="1"/>
  <c r="W69" i="9"/>
  <c r="X86" i="9"/>
  <c r="W86" i="9"/>
  <c r="P88" i="9"/>
  <c r="V88" i="9"/>
  <c r="P102" i="9"/>
  <c r="T9" i="10"/>
  <c r="I71" i="5" s="1"/>
  <c r="X58" i="8"/>
  <c r="Y75" i="8"/>
  <c r="U75" i="8"/>
  <c r="X75" i="8" s="1"/>
  <c r="Z79" i="8"/>
  <c r="Z92" i="8"/>
  <c r="P56" i="9"/>
  <c r="V56" i="9"/>
  <c r="X109" i="9"/>
  <c r="W109" i="9"/>
  <c r="Y20" i="8"/>
  <c r="N41" i="8"/>
  <c r="C46" i="5" s="1"/>
  <c r="E46" i="5" s="1"/>
  <c r="Y54" i="8"/>
  <c r="Z60" i="8"/>
  <c r="Z63" i="8"/>
  <c r="N75" i="8"/>
  <c r="E224" i="6" s="1"/>
  <c r="S79" i="8"/>
  <c r="U85" i="8"/>
  <c r="O85" i="8"/>
  <c r="N85" i="8"/>
  <c r="T114" i="8"/>
  <c r="AA114" i="8" s="1"/>
  <c r="S114" i="8"/>
  <c r="X26" i="9"/>
  <c r="W26" i="9"/>
  <c r="V28" i="9"/>
  <c r="O28" i="9"/>
  <c r="X54" i="9"/>
  <c r="W54" i="9"/>
  <c r="W96" i="9"/>
  <c r="X111" i="9"/>
  <c r="W111" i="9"/>
  <c r="V118" i="9"/>
  <c r="O118" i="9"/>
  <c r="E262" i="6" s="1"/>
  <c r="M39" i="6" s="1"/>
  <c r="M40" i="6" s="1"/>
  <c r="M41" i="6" s="1"/>
  <c r="T85" i="8"/>
  <c r="AA85" i="8" s="1"/>
  <c r="S85" i="8"/>
  <c r="O101" i="8"/>
  <c r="G238" i="6" s="1"/>
  <c r="N101" i="8"/>
  <c r="E238" i="6" s="1"/>
  <c r="Z106" i="8"/>
  <c r="T106" i="8"/>
  <c r="AA106" i="8" s="1"/>
  <c r="S106" i="8"/>
  <c r="V12" i="9"/>
  <c r="O12" i="9"/>
  <c r="X38" i="9"/>
  <c r="W38" i="9"/>
  <c r="X106" i="9"/>
  <c r="W106" i="9"/>
  <c r="S41" i="8"/>
  <c r="L46" i="5" s="1"/>
  <c r="U44" i="8"/>
  <c r="X44" i="8" s="1"/>
  <c r="S51" i="8"/>
  <c r="Z75" i="8"/>
  <c r="T75" i="8"/>
  <c r="AA75" i="8" s="1"/>
  <c r="Z78" i="8"/>
  <c r="T81" i="8"/>
  <c r="AA81" i="8" s="1"/>
  <c r="U87" i="8"/>
  <c r="X87" i="8" s="1"/>
  <c r="P38" i="9"/>
  <c r="P104" i="9"/>
  <c r="V104" i="9"/>
  <c r="P106" i="9"/>
  <c r="T26" i="10"/>
  <c r="I88" i="5" s="1"/>
  <c r="T33" i="10"/>
  <c r="I95" i="5" s="1"/>
  <c r="S35" i="8"/>
  <c r="O80" i="8"/>
  <c r="N80" i="8"/>
  <c r="E226" i="6" s="1"/>
  <c r="Y80" i="8"/>
  <c r="T101" i="8"/>
  <c r="AA101" i="8" s="1"/>
  <c r="S101" i="8"/>
  <c r="V76" i="9"/>
  <c r="P76" i="9"/>
  <c r="O76" i="9"/>
  <c r="W93" i="9"/>
  <c r="Z59" i="8"/>
  <c r="T59" i="8"/>
  <c r="AA59" i="8" s="1"/>
  <c r="O64" i="8"/>
  <c r="N64" i="8"/>
  <c r="Y64" i="8"/>
  <c r="Z91" i="8"/>
  <c r="T91" i="8"/>
  <c r="AA91" i="8" s="1"/>
  <c r="O16" i="9"/>
  <c r="V16" i="9"/>
  <c r="P16" i="9"/>
  <c r="O80" i="9"/>
  <c r="P80" i="9"/>
  <c r="X102" i="9"/>
  <c r="W102" i="9"/>
  <c r="X114" i="9"/>
  <c r="W114" i="9"/>
  <c r="R27" i="10"/>
  <c r="N114" i="8"/>
  <c r="E251" i="6" s="1"/>
  <c r="Y114" i="8"/>
  <c r="Z115" i="8"/>
  <c r="V44" i="9"/>
  <c r="P44" i="9"/>
  <c r="O44" i="9"/>
  <c r="X52" i="9"/>
  <c r="W52" i="9"/>
  <c r="X84" i="9"/>
  <c r="W84" i="9"/>
  <c r="V108" i="9"/>
  <c r="P108" i="9"/>
  <c r="O108" i="9"/>
  <c r="R11" i="10"/>
  <c r="T17" i="10"/>
  <c r="I79" i="5" s="1"/>
  <c r="Y63" i="8"/>
  <c r="Y79" i="8"/>
  <c r="Y95" i="8"/>
  <c r="Y109" i="8"/>
  <c r="Z110" i="8"/>
  <c r="Y112" i="8"/>
  <c r="O114" i="8"/>
  <c r="G251" i="6" s="1"/>
  <c r="S115" i="8"/>
  <c r="O18" i="9"/>
  <c r="O37" i="9"/>
  <c r="O69" i="9"/>
  <c r="X100" i="9"/>
  <c r="W100" i="9"/>
  <c r="T14" i="10"/>
  <c r="I76" i="5" s="1"/>
  <c r="T28" i="10"/>
  <c r="I90" i="5" s="1"/>
  <c r="Y62" i="8"/>
  <c r="Y78" i="8"/>
  <c r="Y94" i="8"/>
  <c r="X116" i="9"/>
  <c r="W116" i="9"/>
  <c r="T7" i="10"/>
  <c r="I69" i="5" s="1"/>
  <c r="T11" i="10"/>
  <c r="I73" i="5" s="1"/>
  <c r="T35" i="10"/>
  <c r="I97" i="5" s="1"/>
  <c r="V27" i="9"/>
  <c r="O27" i="9"/>
  <c r="O71" i="9"/>
  <c r="X131" i="9"/>
  <c r="W131" i="9"/>
  <c r="Y111" i="8"/>
  <c r="V75" i="9"/>
  <c r="O75" i="9"/>
  <c r="V123" i="9"/>
  <c r="O123" i="9"/>
  <c r="E266" i="6" s="1"/>
  <c r="T25" i="10"/>
  <c r="I87" i="5" s="1"/>
  <c r="N63" i="8"/>
  <c r="O22" i="9"/>
  <c r="V59" i="9"/>
  <c r="O59" i="9"/>
  <c r="P64" i="9"/>
  <c r="P75" i="9"/>
  <c r="V91" i="9"/>
  <c r="O91" i="9"/>
  <c r="P123" i="9"/>
  <c r="G266" i="6" s="1"/>
  <c r="X126" i="9"/>
  <c r="W126" i="9"/>
  <c r="T12" i="10"/>
  <c r="I74" i="5" s="1"/>
  <c r="N108" i="8"/>
  <c r="E245" i="6" s="1"/>
  <c r="S109" i="8"/>
  <c r="P22" i="9"/>
  <c r="V43" i="9"/>
  <c r="O43" i="9"/>
  <c r="P48" i="9"/>
  <c r="P59" i="9"/>
  <c r="X67" i="9"/>
  <c r="O77" i="9"/>
  <c r="V107" i="9"/>
  <c r="O107" i="9"/>
  <c r="P125" i="9"/>
  <c r="G268" i="6" s="1"/>
  <c r="O125" i="9"/>
  <c r="E268" i="6" s="1"/>
  <c r="T19" i="10"/>
  <c r="I81" i="5" s="1"/>
  <c r="R26" i="10"/>
  <c r="T29" i="10"/>
  <c r="I91" i="5" s="1"/>
  <c r="T36" i="10"/>
  <c r="I98" i="5" s="1"/>
  <c r="O121" i="9"/>
  <c r="E265" i="6" s="1"/>
  <c r="W129" i="9"/>
  <c r="E49" i="6" l="1"/>
  <c r="X231" i="6" s="1"/>
  <c r="K231" i="6" s="1"/>
  <c r="N231" i="6" s="1"/>
  <c r="S231" i="6" s="1"/>
  <c r="C18" i="13"/>
  <c r="E18" i="13" s="1"/>
  <c r="F18" i="13" s="1"/>
  <c r="C55" i="5"/>
  <c r="I55" i="5" s="1"/>
  <c r="C54" i="5"/>
  <c r="I54" i="5" s="1"/>
  <c r="H220" i="6"/>
  <c r="I220" i="6" s="1"/>
  <c r="D53" i="6"/>
  <c r="J53" i="6"/>
  <c r="C41" i="6"/>
  <c r="X239" i="6"/>
  <c r="K239" i="6" s="1"/>
  <c r="N239" i="6" s="1"/>
  <c r="S239" i="6" s="1"/>
  <c r="O239" i="6"/>
  <c r="U21" i="8"/>
  <c r="S21" i="8"/>
  <c r="B8" i="5"/>
  <c r="X44" i="9"/>
  <c r="W44" i="9"/>
  <c r="K58" i="5"/>
  <c r="X21" i="9"/>
  <c r="W21" i="9"/>
  <c r="N303" i="6"/>
  <c r="S303" i="6" s="1"/>
  <c r="L303" i="6"/>
  <c r="K303" i="6"/>
  <c r="G49" i="6"/>
  <c r="X43" i="9"/>
  <c r="W43" i="9"/>
  <c r="W104" i="9"/>
  <c r="X104" i="9"/>
  <c r="J260" i="6"/>
  <c r="O260" i="6"/>
  <c r="L260" i="6"/>
  <c r="K260" i="6"/>
  <c r="N260" i="6" s="1"/>
  <c r="S260" i="6" s="1"/>
  <c r="G44" i="5"/>
  <c r="J44" i="5"/>
  <c r="H44" i="5"/>
  <c r="I44" i="5"/>
  <c r="F44" i="5"/>
  <c r="F42" i="5"/>
  <c r="F27" i="15" s="1"/>
  <c r="E96" i="16" s="1"/>
  <c r="G96" i="16" s="1"/>
  <c r="C29" i="6"/>
  <c r="L287" i="6"/>
  <c r="N287" i="6"/>
  <c r="S287" i="6" s="1"/>
  <c r="K287" i="6"/>
  <c r="S27" i="10"/>
  <c r="G89" i="5"/>
  <c r="W56" i="9"/>
  <c r="X56" i="9"/>
  <c r="E59" i="5"/>
  <c r="G59" i="5"/>
  <c r="H59" i="5"/>
  <c r="F59" i="5"/>
  <c r="D59" i="5"/>
  <c r="X113" i="9"/>
  <c r="W113" i="9"/>
  <c r="AA20" i="8"/>
  <c r="N43" i="5" s="1"/>
  <c r="L43" i="5"/>
  <c r="K43" i="5"/>
  <c r="X97" i="9"/>
  <c r="W97" i="9"/>
  <c r="G48" i="5"/>
  <c r="F48" i="5"/>
  <c r="H48" i="5"/>
  <c r="J48" i="5"/>
  <c r="I48" i="5"/>
  <c r="I241" i="6"/>
  <c r="N32" i="6"/>
  <c r="B53" i="16"/>
  <c r="O268" i="6"/>
  <c r="L268" i="6"/>
  <c r="K268" i="6"/>
  <c r="N268" i="6" s="1"/>
  <c r="S268" i="6" s="1"/>
  <c r="J268" i="6"/>
  <c r="X65" i="9"/>
  <c r="W65" i="9"/>
  <c r="F54" i="5"/>
  <c r="E54" i="5"/>
  <c r="D54" i="5"/>
  <c r="H54" i="5"/>
  <c r="G54" i="5"/>
  <c r="C10" i="13"/>
  <c r="E10" i="13" s="1"/>
  <c r="F10" i="13" s="1"/>
  <c r="B13" i="5"/>
  <c r="B20" i="5"/>
  <c r="X107" i="9"/>
  <c r="W107" i="9"/>
  <c r="W88" i="9"/>
  <c r="X88" i="9"/>
  <c r="G55" i="5"/>
  <c r="F55" i="5"/>
  <c r="E55" i="5"/>
  <c r="D55" i="5"/>
  <c r="H55" i="5"/>
  <c r="AA31" i="8"/>
  <c r="L41" i="5"/>
  <c r="O222" i="6"/>
  <c r="B55" i="16"/>
  <c r="N34" i="6"/>
  <c r="B47" i="16"/>
  <c r="C25" i="13"/>
  <c r="E25" i="13" s="1"/>
  <c r="F25" i="13" s="1"/>
  <c r="B25" i="5"/>
  <c r="C26" i="13" s="1"/>
  <c r="E26" i="13" s="1"/>
  <c r="F26" i="13" s="1"/>
  <c r="J54" i="6"/>
  <c r="D54" i="6"/>
  <c r="F54" i="6"/>
  <c r="X59" i="9"/>
  <c r="W59" i="9"/>
  <c r="C56" i="5"/>
  <c r="I56" i="5" s="1"/>
  <c r="C38" i="6"/>
  <c r="F45" i="5"/>
  <c r="U47" i="8"/>
  <c r="X47" i="8" s="1"/>
  <c r="S47" i="8"/>
  <c r="L256" i="6"/>
  <c r="K256" i="6"/>
  <c r="N256" i="6" s="1"/>
  <c r="S256" i="6" s="1"/>
  <c r="J256" i="6"/>
  <c r="O256" i="6"/>
  <c r="G50" i="6"/>
  <c r="X12" i="9"/>
  <c r="W12" i="9"/>
  <c r="C59" i="5"/>
  <c r="I59" i="5" s="1"/>
  <c r="C48" i="5"/>
  <c r="E48" i="5" s="1"/>
  <c r="X123" i="9"/>
  <c r="W123" i="9"/>
  <c r="W72" i="9"/>
  <c r="X72" i="9"/>
  <c r="X7" i="9"/>
  <c r="W7" i="9"/>
  <c r="L59" i="5" s="1"/>
  <c r="K59" i="5"/>
  <c r="AA44" i="8"/>
  <c r="N45" i="5" s="1"/>
  <c r="K45" i="5"/>
  <c r="L45" i="5"/>
  <c r="E60" i="5"/>
  <c r="G60" i="5"/>
  <c r="F60" i="5"/>
  <c r="D60" i="5"/>
  <c r="G263" i="6"/>
  <c r="H60" i="5"/>
  <c r="I242" i="6"/>
  <c r="X33" i="9"/>
  <c r="W33" i="9"/>
  <c r="O252" i="6"/>
  <c r="K297" i="6"/>
  <c r="N297" i="6"/>
  <c r="S297" i="6" s="1"/>
  <c r="L297" i="6"/>
  <c r="B54" i="16"/>
  <c r="N33" i="6"/>
  <c r="L305" i="6"/>
  <c r="N305" i="6"/>
  <c r="S305" i="6" s="1"/>
  <c r="K305" i="6"/>
  <c r="S13" i="10"/>
  <c r="G75" i="5"/>
  <c r="E42" i="5"/>
  <c r="C58" i="5"/>
  <c r="I58" i="5" s="1"/>
  <c r="H45" i="5"/>
  <c r="N41" i="5"/>
  <c r="I239" i="6"/>
  <c r="X10" i="9"/>
  <c r="W10" i="9"/>
  <c r="K57" i="5"/>
  <c r="H248" i="6"/>
  <c r="I248" i="6" s="1"/>
  <c r="J52" i="6"/>
  <c r="H227" i="6"/>
  <c r="D52" i="6"/>
  <c r="G52" i="6"/>
  <c r="C57" i="5"/>
  <c r="I57" i="5" s="1"/>
  <c r="X11" i="9"/>
  <c r="W11" i="9"/>
  <c r="X49" i="9"/>
  <c r="W49" i="9"/>
  <c r="W28" i="9"/>
  <c r="L55" i="5" s="1"/>
  <c r="X28" i="9"/>
  <c r="K55" i="5"/>
  <c r="I42" i="5"/>
  <c r="I231" i="6"/>
  <c r="S11" i="10"/>
  <c r="G73" i="5"/>
  <c r="O234" i="6"/>
  <c r="AA42" i="8"/>
  <c r="N48" i="5"/>
  <c r="L48" i="5"/>
  <c r="K48" i="5"/>
  <c r="U55" i="8"/>
  <c r="G221" i="6"/>
  <c r="I221" i="6" s="1"/>
  <c r="O243" i="6"/>
  <c r="C43" i="5"/>
  <c r="E43" i="5" s="1"/>
  <c r="X42" i="9"/>
  <c r="W42" i="9"/>
  <c r="J50" i="6"/>
  <c r="W119" i="9"/>
  <c r="L60" i="5" s="1"/>
  <c r="X119" i="9"/>
  <c r="K60" i="5"/>
  <c r="E50" i="6"/>
  <c r="I238" i="6"/>
  <c r="N299" i="6"/>
  <c r="S299" i="6" s="1"/>
  <c r="L299" i="6"/>
  <c r="K299" i="6"/>
  <c r="N289" i="6"/>
  <c r="S289" i="6" s="1"/>
  <c r="L289" i="6"/>
  <c r="K289" i="6"/>
  <c r="C37" i="6"/>
  <c r="L56" i="5"/>
  <c r="X91" i="9"/>
  <c r="W91" i="9"/>
  <c r="X16" i="9"/>
  <c r="W16" i="9"/>
  <c r="X45" i="9"/>
  <c r="W45" i="9"/>
  <c r="F49" i="6"/>
  <c r="O251" i="6"/>
  <c r="F58" i="5"/>
  <c r="G58" i="5"/>
  <c r="E58" i="5"/>
  <c r="D58" i="5"/>
  <c r="H58" i="5"/>
  <c r="H56" i="5"/>
  <c r="D56" i="5"/>
  <c r="G56" i="5"/>
  <c r="F56" i="5"/>
  <c r="E56" i="5"/>
  <c r="I251" i="6"/>
  <c r="B52" i="16"/>
  <c r="N31" i="6"/>
  <c r="W120" i="9"/>
  <c r="X120" i="9"/>
  <c r="W25" i="9"/>
  <c r="L61" i="5" s="1"/>
  <c r="X25" i="9"/>
  <c r="K61" i="5"/>
  <c r="C45" i="5"/>
  <c r="E45" i="5" s="1"/>
  <c r="F50" i="6"/>
  <c r="W40" i="9"/>
  <c r="X40" i="9"/>
  <c r="C44" i="5"/>
  <c r="L301" i="6"/>
  <c r="N301" i="6"/>
  <c r="S301" i="6" s="1"/>
  <c r="K301" i="6"/>
  <c r="O229" i="6"/>
  <c r="C30" i="6"/>
  <c r="N309" i="6"/>
  <c r="S309" i="6" s="1"/>
  <c r="L309" i="6"/>
  <c r="K309" i="6"/>
  <c r="AA8" i="8"/>
  <c r="N49" i="5" s="1"/>
  <c r="L49" i="5"/>
  <c r="K49" i="5"/>
  <c r="S26" i="10"/>
  <c r="G88" i="5"/>
  <c r="X76" i="9"/>
  <c r="W76" i="9"/>
  <c r="O238" i="6"/>
  <c r="X238" i="6"/>
  <c r="K238" i="6" s="1"/>
  <c r="N238" i="6" s="1"/>
  <c r="S238" i="6" s="1"/>
  <c r="X34" i="9"/>
  <c r="W34" i="9"/>
  <c r="W125" i="9"/>
  <c r="C62" i="5"/>
  <c r="I62" i="5" s="1"/>
  <c r="B10" i="5"/>
  <c r="U24" i="8"/>
  <c r="X24" i="8" s="1"/>
  <c r="B51" i="16"/>
  <c r="N30" i="6"/>
  <c r="C50" i="16"/>
  <c r="R29" i="6"/>
  <c r="E41" i="5"/>
  <c r="F26" i="15"/>
  <c r="E95" i="16" s="1"/>
  <c r="G95" i="16" s="1"/>
  <c r="X118" i="9"/>
  <c r="W118" i="9"/>
  <c r="W105" i="9"/>
  <c r="X105" i="9"/>
  <c r="H42" i="5"/>
  <c r="G42" i="5"/>
  <c r="X27" i="9"/>
  <c r="W27" i="9"/>
  <c r="U80" i="8"/>
  <c r="X80" i="8" s="1"/>
  <c r="G226" i="6"/>
  <c r="W103" i="9"/>
  <c r="X103" i="9"/>
  <c r="AA11" i="8"/>
  <c r="N42" i="5"/>
  <c r="K42" i="5"/>
  <c r="L42" i="5"/>
  <c r="I243" i="6"/>
  <c r="C39" i="6"/>
  <c r="X58" i="9"/>
  <c r="W58" i="9"/>
  <c r="G61" i="5"/>
  <c r="F61" i="5"/>
  <c r="H61" i="5"/>
  <c r="D61" i="5"/>
  <c r="E61" i="5"/>
  <c r="H57" i="5"/>
  <c r="G57" i="5"/>
  <c r="F57" i="5"/>
  <c r="E57" i="5"/>
  <c r="D57" i="5"/>
  <c r="X92" i="9"/>
  <c r="W92" i="9"/>
  <c r="C33" i="13"/>
  <c r="E33" i="13" s="1"/>
  <c r="F33" i="13" s="1"/>
  <c r="X75" i="9"/>
  <c r="W75" i="9"/>
  <c r="X23" i="9"/>
  <c r="W23" i="9"/>
  <c r="J43" i="5"/>
  <c r="G43" i="5"/>
  <c r="F43" i="5"/>
  <c r="I43" i="5"/>
  <c r="H43" i="5"/>
  <c r="J41" i="5"/>
  <c r="F41" i="5"/>
  <c r="C41" i="13" s="1"/>
  <c r="E41" i="13" s="1"/>
  <c r="F41" i="13" s="1"/>
  <c r="H41" i="5"/>
  <c r="G41" i="5"/>
  <c r="I41" i="5"/>
  <c r="X90" i="9"/>
  <c r="W90" i="9"/>
  <c r="E263" i="6"/>
  <c r="C60" i="5"/>
  <c r="I60" i="5" s="1"/>
  <c r="I244" i="6"/>
  <c r="O248" i="6"/>
  <c r="X108" i="9"/>
  <c r="W108" i="9"/>
  <c r="E62" i="5"/>
  <c r="H62" i="5"/>
  <c r="G62" i="5"/>
  <c r="F62" i="5"/>
  <c r="D62" i="5"/>
  <c r="B18" i="5"/>
  <c r="X60" i="9"/>
  <c r="W60" i="9"/>
  <c r="K293" i="6"/>
  <c r="N293" i="6"/>
  <c r="S293" i="6" s="1"/>
  <c r="L293" i="6"/>
  <c r="N291" i="6"/>
  <c r="S291" i="6" s="1"/>
  <c r="L291" i="6"/>
  <c r="K291" i="6"/>
  <c r="K56" i="5"/>
  <c r="H236" i="6"/>
  <c r="I236" i="6" s="1"/>
  <c r="H252" i="6"/>
  <c r="I252" i="6" s="1"/>
  <c r="H246" i="6"/>
  <c r="H223" i="6"/>
  <c r="H224" i="6"/>
  <c r="H250" i="6"/>
  <c r="I250" i="6" s="1"/>
  <c r="H247" i="6"/>
  <c r="I247" i="6" s="1"/>
  <c r="H234" i="6"/>
  <c r="I234" i="6" s="1"/>
  <c r="H235" i="6"/>
  <c r="H233" i="6"/>
  <c r="H225" i="6"/>
  <c r="D46" i="6"/>
  <c r="H240" i="6"/>
  <c r="I240" i="6" s="1"/>
  <c r="H228" i="6"/>
  <c r="I228" i="6" s="1"/>
  <c r="H230" i="6"/>
  <c r="I230" i="6" s="1"/>
  <c r="H229" i="6"/>
  <c r="I229" i="6" s="1"/>
  <c r="J46" i="6"/>
  <c r="G46" i="6"/>
  <c r="H226" i="6"/>
  <c r="H232" i="6"/>
  <c r="I232" i="6" s="1"/>
  <c r="O231" i="6"/>
  <c r="I237" i="6"/>
  <c r="C36" i="6"/>
  <c r="C32" i="6"/>
  <c r="J42" i="5"/>
  <c r="U60" i="8"/>
  <c r="X60" i="8" s="1"/>
  <c r="AA12" i="8"/>
  <c r="L44" i="5"/>
  <c r="N44" i="5"/>
  <c r="K44" i="5"/>
  <c r="J264" i="6"/>
  <c r="O264" i="6"/>
  <c r="L264" i="6"/>
  <c r="K264" i="6"/>
  <c r="N264" i="6" s="1"/>
  <c r="S264" i="6" s="1"/>
  <c r="B56" i="16"/>
  <c r="N35" i="6"/>
  <c r="N307" i="6"/>
  <c r="S307" i="6" s="1"/>
  <c r="L307" i="6"/>
  <c r="K307" i="6"/>
  <c r="X81" i="9"/>
  <c r="W81" i="9"/>
  <c r="L266" i="6"/>
  <c r="O266" i="6"/>
  <c r="K266" i="6"/>
  <c r="N266" i="6" s="1"/>
  <c r="S266" i="6" s="1"/>
  <c r="J266" i="6"/>
  <c r="X5" i="9"/>
  <c r="W5" i="9"/>
  <c r="K62" i="5"/>
  <c r="U5" i="8"/>
  <c r="F46" i="6" s="1"/>
  <c r="W9" i="9"/>
  <c r="X9" i="9"/>
  <c r="K54" i="5"/>
  <c r="I245" i="6"/>
  <c r="C34" i="6"/>
  <c r="L295" i="6"/>
  <c r="K295" i="6"/>
  <c r="N295" i="6"/>
  <c r="S295" i="6" s="1"/>
  <c r="V221" i="6" l="1"/>
  <c r="U221" i="6"/>
  <c r="T221" i="6"/>
  <c r="U252" i="6"/>
  <c r="V252" i="6"/>
  <c r="T252" i="6"/>
  <c r="V243" i="6"/>
  <c r="U243" i="6"/>
  <c r="H50" i="6"/>
  <c r="I50" i="6"/>
  <c r="X244" i="6"/>
  <c r="K244" i="6" s="1"/>
  <c r="N244" i="6" s="1"/>
  <c r="S244" i="6" s="1"/>
  <c r="X242" i="6"/>
  <c r="K242" i="6" s="1"/>
  <c r="N242" i="6" s="1"/>
  <c r="S242" i="6" s="1"/>
  <c r="V248" i="6"/>
  <c r="U248" i="6"/>
  <c r="T248" i="6"/>
  <c r="C88" i="6"/>
  <c r="C77" i="6"/>
  <c r="L62" i="5"/>
  <c r="U236" i="6"/>
  <c r="T236" i="6"/>
  <c r="V236" i="6"/>
  <c r="G53" i="6"/>
  <c r="V220" i="6"/>
  <c r="U220" i="6"/>
  <c r="Y220" i="6"/>
  <c r="L220" i="6" s="1"/>
  <c r="T220" i="6"/>
  <c r="W220" i="6"/>
  <c r="J220" i="6" s="1"/>
  <c r="X220" i="6"/>
  <c r="K220" i="6" s="1"/>
  <c r="N220" i="6" s="1"/>
  <c r="V239" i="6"/>
  <c r="U239" i="6"/>
  <c r="T239" i="6"/>
  <c r="T228" i="6"/>
  <c r="X228" i="6" s="1"/>
  <c r="K228" i="6" s="1"/>
  <c r="N228" i="6" s="1"/>
  <c r="S228" i="6" s="1"/>
  <c r="U228" i="6"/>
  <c r="V228" i="6"/>
  <c r="U237" i="6"/>
  <c r="V237" i="6"/>
  <c r="T237" i="6"/>
  <c r="C137" i="6"/>
  <c r="F28" i="15"/>
  <c r="E97" i="16" s="1"/>
  <c r="G97" i="16" s="1"/>
  <c r="C51" i="16"/>
  <c r="R30" i="6"/>
  <c r="C151" i="6"/>
  <c r="C106" i="6"/>
  <c r="I225" i="6"/>
  <c r="C144" i="6"/>
  <c r="C153" i="6"/>
  <c r="O226" i="6"/>
  <c r="F29" i="15"/>
  <c r="E98" i="16" s="1"/>
  <c r="G98" i="16" s="1"/>
  <c r="C100" i="6"/>
  <c r="B19" i="5"/>
  <c r="C101" i="6"/>
  <c r="C119" i="6"/>
  <c r="C155" i="6"/>
  <c r="V241" i="6"/>
  <c r="T241" i="6"/>
  <c r="U241" i="6"/>
  <c r="L58" i="5"/>
  <c r="U230" i="6"/>
  <c r="T230" i="6"/>
  <c r="V230" i="6"/>
  <c r="C56" i="16"/>
  <c r="R35" i="6"/>
  <c r="V240" i="6"/>
  <c r="T240" i="6"/>
  <c r="U240" i="6"/>
  <c r="C112" i="6"/>
  <c r="C81" i="6"/>
  <c r="C147" i="6"/>
  <c r="C160" i="6"/>
  <c r="I233" i="6"/>
  <c r="C135" i="6"/>
  <c r="B35" i="12"/>
  <c r="C152" i="6"/>
  <c r="C128" i="6"/>
  <c r="U231" i="6"/>
  <c r="T231" i="6"/>
  <c r="V231" i="6"/>
  <c r="U242" i="6"/>
  <c r="V242" i="6"/>
  <c r="T242" i="6"/>
  <c r="C34" i="13"/>
  <c r="E34" i="13" s="1"/>
  <c r="F34" i="13" s="1"/>
  <c r="C21" i="13"/>
  <c r="E21" i="13" s="1"/>
  <c r="F21" i="13" s="1"/>
  <c r="C74" i="6"/>
  <c r="C79" i="6"/>
  <c r="I235" i="6"/>
  <c r="D50" i="16"/>
  <c r="S29" i="6"/>
  <c r="C70" i="6"/>
  <c r="C134" i="6"/>
  <c r="C54" i="16"/>
  <c r="R33" i="6"/>
  <c r="G54" i="6"/>
  <c r="C40" i="13"/>
  <c r="E40" i="13" s="1"/>
  <c r="F40" i="13" s="1"/>
  <c r="C14" i="13"/>
  <c r="E14" i="13" s="1"/>
  <c r="F14" i="13" s="1"/>
  <c r="B28" i="5"/>
  <c r="B23" i="5"/>
  <c r="C149" i="6"/>
  <c r="C93" i="6"/>
  <c r="C53" i="16"/>
  <c r="R32" i="6"/>
  <c r="V245" i="6"/>
  <c r="U245" i="6"/>
  <c r="T245" i="6"/>
  <c r="J263" i="6"/>
  <c r="O263" i="6"/>
  <c r="L263" i="6"/>
  <c r="K263" i="6"/>
  <c r="N263" i="6" s="1"/>
  <c r="C125" i="6" s="1"/>
  <c r="U234" i="6"/>
  <c r="T234" i="6"/>
  <c r="V234" i="6"/>
  <c r="V247" i="6"/>
  <c r="U247" i="6"/>
  <c r="T247" i="6"/>
  <c r="C55" i="16"/>
  <c r="R34" i="6"/>
  <c r="I49" i="6"/>
  <c r="H49" i="6"/>
  <c r="X241" i="6"/>
  <c r="K241" i="6" s="1"/>
  <c r="N241" i="6" s="1"/>
  <c r="S241" i="6" s="1"/>
  <c r="U250" i="6"/>
  <c r="T250" i="6"/>
  <c r="V250" i="6"/>
  <c r="C109" i="6"/>
  <c r="C146" i="6"/>
  <c r="L54" i="5"/>
  <c r="C118" i="6"/>
  <c r="I224" i="6"/>
  <c r="C19" i="13"/>
  <c r="E19" i="13" s="1"/>
  <c r="F19" i="13" s="1"/>
  <c r="C42" i="13"/>
  <c r="E42" i="13" s="1"/>
  <c r="F42" i="13" s="1"/>
  <c r="B43" i="16"/>
  <c r="C145" i="6"/>
  <c r="C136" i="6"/>
  <c r="C91" i="6"/>
  <c r="C90" i="6"/>
  <c r="C111" i="6"/>
  <c r="X55" i="8"/>
  <c r="E48" i="6" s="1"/>
  <c r="G48" i="6"/>
  <c r="F48" i="6"/>
  <c r="F52" i="6"/>
  <c r="C141" i="6"/>
  <c r="C80" i="6"/>
  <c r="F25" i="15"/>
  <c r="E94" i="16" s="1"/>
  <c r="G94" i="16" s="1"/>
  <c r="F24" i="15"/>
  <c r="E93" i="16" s="1"/>
  <c r="G93" i="16" s="1"/>
  <c r="C132" i="6"/>
  <c r="I249" i="6"/>
  <c r="F53" i="6"/>
  <c r="F30" i="15"/>
  <c r="E99" i="16" s="1"/>
  <c r="G99" i="16" s="1"/>
  <c r="E44" i="5"/>
  <c r="R31" i="6"/>
  <c r="C52" i="16"/>
  <c r="L57" i="5"/>
  <c r="C129" i="6"/>
  <c r="C114" i="6"/>
  <c r="I223" i="6"/>
  <c r="U244" i="6"/>
  <c r="T244" i="6"/>
  <c r="V244" i="6"/>
  <c r="C83" i="6"/>
  <c r="U238" i="6"/>
  <c r="V238" i="6"/>
  <c r="T238" i="6"/>
  <c r="I227" i="6"/>
  <c r="C97" i="6"/>
  <c r="C110" i="6"/>
  <c r="U229" i="6"/>
  <c r="T229" i="6"/>
  <c r="V229" i="6"/>
  <c r="F31" i="15"/>
  <c r="E100" i="16" s="1"/>
  <c r="G100" i="16" s="1"/>
  <c r="F32" i="15"/>
  <c r="E101" i="16" s="1"/>
  <c r="U232" i="6"/>
  <c r="T232" i="6"/>
  <c r="V232" i="6"/>
  <c r="W221" i="6"/>
  <c r="J221" i="6" s="1"/>
  <c r="Y221" i="6"/>
  <c r="L221" i="6" s="1"/>
  <c r="X221" i="6"/>
  <c r="K221" i="6" s="1"/>
  <c r="N221" i="6" s="1"/>
  <c r="S221" i="6" s="1"/>
  <c r="O221" i="6"/>
  <c r="C82" i="6"/>
  <c r="C73" i="6"/>
  <c r="C9" i="13"/>
  <c r="E9" i="13" s="1"/>
  <c r="F9" i="13" s="1"/>
  <c r="D44" i="5"/>
  <c r="D45" i="5"/>
  <c r="D48" i="5"/>
  <c r="D41" i="5"/>
  <c r="B16" i="5"/>
  <c r="C17" i="13" s="1"/>
  <c r="E17" i="13" s="1"/>
  <c r="F17" i="13" s="1"/>
  <c r="D49" i="5"/>
  <c r="B12" i="5"/>
  <c r="D42" i="5"/>
  <c r="D43" i="5"/>
  <c r="D47" i="5"/>
  <c r="D46" i="5"/>
  <c r="B21" i="5"/>
  <c r="X5" i="8"/>
  <c r="F51" i="6"/>
  <c r="G51" i="6"/>
  <c r="I226" i="6"/>
  <c r="I246" i="6"/>
  <c r="C92" i="6"/>
  <c r="C126" i="6"/>
  <c r="C159" i="6"/>
  <c r="C11" i="13"/>
  <c r="E11" i="13" s="1"/>
  <c r="F11" i="13" s="1"/>
  <c r="B14" i="5"/>
  <c r="C98" i="6"/>
  <c r="V251" i="6"/>
  <c r="U251" i="6"/>
  <c r="T251" i="6"/>
  <c r="C124" i="6"/>
  <c r="I222" i="6"/>
  <c r="C72" i="6"/>
  <c r="X21" i="8"/>
  <c r="E47" i="6" s="1"/>
  <c r="F47" i="6"/>
  <c r="G47" i="6"/>
  <c r="I99" i="16" l="1"/>
  <c r="C150" i="6"/>
  <c r="C131" i="6"/>
  <c r="S220" i="6"/>
  <c r="V246" i="6"/>
  <c r="U246" i="6"/>
  <c r="T246" i="6"/>
  <c r="C24" i="13"/>
  <c r="E24" i="13" s="1"/>
  <c r="F24" i="13" s="1"/>
  <c r="B38" i="16"/>
  <c r="W241" i="6"/>
  <c r="J241" i="6" s="1"/>
  <c r="W231" i="6"/>
  <c r="J231" i="6" s="1"/>
  <c r="W239" i="6"/>
  <c r="J239" i="6" s="1"/>
  <c r="B36" i="12"/>
  <c r="C20" i="13"/>
  <c r="E20" i="13" s="1"/>
  <c r="F20" i="13" s="1"/>
  <c r="I47" i="6"/>
  <c r="X237" i="6"/>
  <c r="H47" i="6"/>
  <c r="X245" i="6"/>
  <c r="K245" i="6" s="1"/>
  <c r="N245" i="6" s="1"/>
  <c r="S245" i="6" s="1"/>
  <c r="X243" i="6"/>
  <c r="K243" i="6" s="1"/>
  <c r="N243" i="6" s="1"/>
  <c r="S243" i="6" s="1"/>
  <c r="X251" i="6"/>
  <c r="K251" i="6" s="1"/>
  <c r="N251" i="6" s="1"/>
  <c r="S251" i="6" s="1"/>
  <c r="C29" i="13"/>
  <c r="E29" i="13" s="1"/>
  <c r="F29" i="13" s="1"/>
  <c r="B42" i="16"/>
  <c r="C156" i="6"/>
  <c r="D51" i="16"/>
  <c r="S30" i="6"/>
  <c r="Y228" i="6"/>
  <c r="L228" i="6" s="1"/>
  <c r="C139" i="6"/>
  <c r="Y242" i="6"/>
  <c r="L242" i="6" s="1"/>
  <c r="Y244" i="6"/>
  <c r="L244" i="6" s="1"/>
  <c r="Y238" i="6"/>
  <c r="L238" i="6" s="1"/>
  <c r="D55" i="16"/>
  <c r="S34" i="6"/>
  <c r="D53" i="16"/>
  <c r="S32" i="6"/>
  <c r="V226" i="6"/>
  <c r="T226" i="6"/>
  <c r="W226" i="6" s="1"/>
  <c r="J226" i="6" s="1"/>
  <c r="U226" i="6"/>
  <c r="I98" i="16"/>
  <c r="U233" i="6"/>
  <c r="T233" i="6"/>
  <c r="V233" i="6"/>
  <c r="X226" i="6"/>
  <c r="K226" i="6" s="1"/>
  <c r="N226" i="6" s="1"/>
  <c r="S226" i="6" s="1"/>
  <c r="W228" i="6"/>
  <c r="J228" i="6" s="1"/>
  <c r="W242" i="6"/>
  <c r="J242" i="6" s="1"/>
  <c r="W244" i="6"/>
  <c r="J244" i="6" s="1"/>
  <c r="W238" i="6"/>
  <c r="J238" i="6" s="1"/>
  <c r="D52" i="16"/>
  <c r="S31" i="6"/>
  <c r="T225" i="6"/>
  <c r="W225" i="6" s="1"/>
  <c r="J225" i="6" s="1"/>
  <c r="U225" i="6"/>
  <c r="V225" i="6"/>
  <c r="X225" i="6"/>
  <c r="K225" i="6" s="1"/>
  <c r="N225" i="6" s="1"/>
  <c r="S225" i="6" s="1"/>
  <c r="Y225" i="6"/>
  <c r="L225" i="6" s="1"/>
  <c r="C38" i="13"/>
  <c r="E38" i="13" s="1"/>
  <c r="F38" i="13" s="1"/>
  <c r="C13" i="13"/>
  <c r="E13" i="13" s="1"/>
  <c r="F13" i="13" s="1"/>
  <c r="B15" i="5"/>
  <c r="B27" i="5"/>
  <c r="B22" i="5"/>
  <c r="U223" i="6"/>
  <c r="W223" i="6" s="1"/>
  <c r="J223" i="6" s="1"/>
  <c r="T223" i="6"/>
  <c r="V223" i="6"/>
  <c r="Y223" i="6"/>
  <c r="L223" i="6" s="1"/>
  <c r="X223" i="6"/>
  <c r="K223" i="6" s="1"/>
  <c r="N223" i="6" s="1"/>
  <c r="S223" i="6" s="1"/>
  <c r="V222" i="6"/>
  <c r="U222" i="6"/>
  <c r="T222" i="6"/>
  <c r="X222" i="6"/>
  <c r="K222" i="6" s="1"/>
  <c r="N222" i="6" s="1"/>
  <c r="S222" i="6" s="1"/>
  <c r="W222" i="6"/>
  <c r="J222" i="6" s="1"/>
  <c r="Y222" i="6"/>
  <c r="L222" i="6" s="1"/>
  <c r="E51" i="6"/>
  <c r="J302" i="6"/>
  <c r="E52" i="6"/>
  <c r="J288" i="6"/>
  <c r="J300" i="6"/>
  <c r="J298" i="6"/>
  <c r="J304" i="6"/>
  <c r="E46" i="6"/>
  <c r="J310" i="6"/>
  <c r="J308" i="6"/>
  <c r="J296" i="6"/>
  <c r="J292" i="6"/>
  <c r="E54" i="6"/>
  <c r="J306" i="6"/>
  <c r="J290" i="6"/>
  <c r="E53" i="6"/>
  <c r="J286" i="6"/>
  <c r="J294" i="6"/>
  <c r="S263" i="6"/>
  <c r="C85" i="6"/>
  <c r="C142" i="6"/>
  <c r="C87" i="6"/>
  <c r="C75" i="6"/>
  <c r="C138" i="6"/>
  <c r="C113" i="6"/>
  <c r="E35" i="6" s="1"/>
  <c r="C117" i="6"/>
  <c r="C123" i="6"/>
  <c r="C102" i="6"/>
  <c r="C96" i="6"/>
  <c r="C99" i="6"/>
  <c r="E33" i="6" s="1"/>
  <c r="C121" i="6"/>
  <c r="C158" i="6"/>
  <c r="C105" i="6"/>
  <c r="E34" i="6" s="1"/>
  <c r="C120" i="6"/>
  <c r="E36" i="6" s="1"/>
  <c r="C95" i="6"/>
  <c r="C148" i="6"/>
  <c r="E40" i="6" s="1"/>
  <c r="C122" i="6"/>
  <c r="C104" i="6"/>
  <c r="C89" i="6"/>
  <c r="C76" i="6"/>
  <c r="C133" i="6"/>
  <c r="C127" i="6"/>
  <c r="E37" i="6" s="1"/>
  <c r="C86" i="6"/>
  <c r="C108" i="6"/>
  <c r="C115" i="6"/>
  <c r="C154" i="6"/>
  <c r="C130" i="6"/>
  <c r="C116" i="6"/>
  <c r="C143" i="6"/>
  <c r="C84" i="6"/>
  <c r="C157" i="6"/>
  <c r="C71" i="6"/>
  <c r="E29" i="6" s="1"/>
  <c r="C103" i="6"/>
  <c r="C94" i="6"/>
  <c r="E32" i="6" s="1"/>
  <c r="I97" i="16"/>
  <c r="C107" i="6"/>
  <c r="T249" i="6"/>
  <c r="V249" i="6"/>
  <c r="U249" i="6"/>
  <c r="D56" i="16"/>
  <c r="S35" i="6"/>
  <c r="U235" i="6"/>
  <c r="T235" i="6"/>
  <c r="V235" i="6"/>
  <c r="T224" i="6"/>
  <c r="X224" i="6" s="1"/>
  <c r="K224" i="6" s="1"/>
  <c r="N224" i="6" s="1"/>
  <c r="W224" i="6"/>
  <c r="J224" i="6" s="1"/>
  <c r="V224" i="6"/>
  <c r="U224" i="6"/>
  <c r="U227" i="6"/>
  <c r="T227" i="6"/>
  <c r="W227" i="6" s="1"/>
  <c r="J227" i="6" s="1"/>
  <c r="V227" i="6"/>
  <c r="D54" i="16"/>
  <c r="S33" i="6"/>
  <c r="Y226" i="6"/>
  <c r="L226" i="6" s="1"/>
  <c r="C78" i="6"/>
  <c r="E30" i="6" s="1"/>
  <c r="C22" i="13"/>
  <c r="E22" i="13" s="1"/>
  <c r="F22" i="13" s="1"/>
  <c r="B29" i="5"/>
  <c r="C30" i="13" s="1"/>
  <c r="E30" i="13" s="1"/>
  <c r="F30" i="13" s="1"/>
  <c r="C39" i="13"/>
  <c r="E39" i="13" s="1"/>
  <c r="F39" i="13" s="1"/>
  <c r="C15" i="13"/>
  <c r="E15" i="13" s="1"/>
  <c r="F15" i="13" s="1"/>
  <c r="B26" i="5"/>
  <c r="Y241" i="6"/>
  <c r="L241" i="6" s="1"/>
  <c r="Y231" i="6"/>
  <c r="L231" i="6" s="1"/>
  <c r="Y239" i="6"/>
  <c r="L239" i="6" s="1"/>
  <c r="G101" i="16"/>
  <c r="I101" i="16"/>
  <c r="I48" i="6"/>
  <c r="Y249" i="6" s="1"/>
  <c r="L249" i="6" s="1"/>
  <c r="H48" i="6"/>
  <c r="W249" i="6" s="1"/>
  <c r="J249" i="6" s="1"/>
  <c r="X249" i="6"/>
  <c r="K249" i="6" s="1"/>
  <c r="N249" i="6" s="1"/>
  <c r="S249" i="6" s="1"/>
  <c r="C140" i="6"/>
  <c r="T243" i="6"/>
  <c r="S224" i="6" l="1"/>
  <c r="K302" i="6"/>
  <c r="N302" i="6"/>
  <c r="S302" i="6" s="1"/>
  <c r="L302" i="6"/>
  <c r="K286" i="6"/>
  <c r="N286" i="6"/>
  <c r="S286" i="6" s="1"/>
  <c r="L286" i="6"/>
  <c r="E41" i="6"/>
  <c r="N306" i="6"/>
  <c r="S306" i="6" s="1"/>
  <c r="L306" i="6"/>
  <c r="K306" i="6"/>
  <c r="I53" i="6"/>
  <c r="H53" i="6"/>
  <c r="Y227" i="6"/>
  <c r="L227" i="6" s="1"/>
  <c r="X227" i="6"/>
  <c r="K227" i="6" s="1"/>
  <c r="N227" i="6" s="1"/>
  <c r="S227" i="6" s="1"/>
  <c r="K292" i="6"/>
  <c r="N292" i="6"/>
  <c r="S292" i="6" s="1"/>
  <c r="L292" i="6"/>
  <c r="B124" i="6"/>
  <c r="F124" i="6" s="1"/>
  <c r="B34" i="12"/>
  <c r="C16" i="13"/>
  <c r="E16" i="13" s="1"/>
  <c r="F16" i="13" s="1"/>
  <c r="K308" i="6"/>
  <c r="N308" i="6"/>
  <c r="S308" i="6" s="1"/>
  <c r="L308" i="6"/>
  <c r="C28" i="13"/>
  <c r="E28" i="13" s="1"/>
  <c r="F28" i="13" s="1"/>
  <c r="B41" i="16"/>
  <c r="B31" i="5"/>
  <c r="C32" i="13" s="1"/>
  <c r="E32" i="13" s="1"/>
  <c r="F32" i="13" s="1"/>
  <c r="L290" i="6"/>
  <c r="K290" i="6"/>
  <c r="N290" i="6"/>
  <c r="S290" i="6" s="1"/>
  <c r="H54" i="6"/>
  <c r="I54" i="6"/>
  <c r="K296" i="6"/>
  <c r="L296" i="6"/>
  <c r="N296" i="6"/>
  <c r="S296" i="6" s="1"/>
  <c r="C27" i="13"/>
  <c r="E27" i="13" s="1"/>
  <c r="F27" i="13" s="1"/>
  <c r="B39" i="16"/>
  <c r="Y224" i="6"/>
  <c r="L224" i="6" s="1"/>
  <c r="E38" i="6"/>
  <c r="N310" i="6"/>
  <c r="S310" i="6" s="1"/>
  <c r="L310" i="6"/>
  <c r="K310" i="6"/>
  <c r="N300" i="6"/>
  <c r="S300" i="6" s="1"/>
  <c r="L300" i="6"/>
  <c r="K300" i="6"/>
  <c r="N288" i="6"/>
  <c r="S288" i="6" s="1"/>
  <c r="K288" i="6"/>
  <c r="L288" i="6"/>
  <c r="Y237" i="6"/>
  <c r="Y245" i="6"/>
  <c r="L245" i="6" s="1"/>
  <c r="Y251" i="6"/>
  <c r="L251" i="6" s="1"/>
  <c r="Y243" i="6"/>
  <c r="L243" i="6" s="1"/>
  <c r="E39" i="6"/>
  <c r="I52" i="6"/>
  <c r="Y248" i="6" s="1"/>
  <c r="L248" i="6" s="1"/>
  <c r="H52" i="6"/>
  <c r="W248" i="6" s="1"/>
  <c r="J248" i="6" s="1"/>
  <c r="X248" i="6"/>
  <c r="K248" i="6" s="1"/>
  <c r="N248" i="6" s="1"/>
  <c r="S248" i="6" s="1"/>
  <c r="N294" i="6"/>
  <c r="S294" i="6" s="1"/>
  <c r="L294" i="6"/>
  <c r="K294" i="6"/>
  <c r="N304" i="6"/>
  <c r="S304" i="6" s="1"/>
  <c r="L304" i="6"/>
  <c r="K304" i="6"/>
  <c r="C23" i="13"/>
  <c r="E23" i="13" s="1"/>
  <c r="F23" i="13" s="1"/>
  <c r="B37" i="16"/>
  <c r="E31" i="6"/>
  <c r="I51" i="6"/>
  <c r="H51" i="6"/>
  <c r="H46" i="6"/>
  <c r="X233" i="6"/>
  <c r="K233" i="6" s="1"/>
  <c r="N233" i="6" s="1"/>
  <c r="S233" i="6" s="1"/>
  <c r="I46" i="6"/>
  <c r="X250" i="6"/>
  <c r="K250" i="6" s="1"/>
  <c r="N250" i="6" s="1"/>
  <c r="S250" i="6" s="1"/>
  <c r="X246" i="6"/>
  <c r="K246" i="6" s="1"/>
  <c r="N246" i="6" s="1"/>
  <c r="S246" i="6" s="1"/>
  <c r="X247" i="6"/>
  <c r="K247" i="6" s="1"/>
  <c r="N247" i="6" s="1"/>
  <c r="S247" i="6" s="1"/>
  <c r="X240" i="6"/>
  <c r="K240" i="6" s="1"/>
  <c r="N240" i="6" s="1"/>
  <c r="S240" i="6" s="1"/>
  <c r="X236" i="6"/>
  <c r="K236" i="6" s="1"/>
  <c r="N236" i="6" s="1"/>
  <c r="S236" i="6" s="1"/>
  <c r="X235" i="6"/>
  <c r="K235" i="6" s="1"/>
  <c r="N235" i="6" s="1"/>
  <c r="S235" i="6" s="1"/>
  <c r="X230" i="6"/>
  <c r="K230" i="6" s="1"/>
  <c r="N230" i="6" s="1"/>
  <c r="S230" i="6" s="1"/>
  <c r="X232" i="6"/>
  <c r="K232" i="6" s="1"/>
  <c r="N232" i="6" s="1"/>
  <c r="S232" i="6" s="1"/>
  <c r="X234" i="6"/>
  <c r="K234" i="6" s="1"/>
  <c r="N234" i="6" s="1"/>
  <c r="S234" i="6" s="1"/>
  <c r="X252" i="6"/>
  <c r="K252" i="6" s="1"/>
  <c r="N252" i="6" s="1"/>
  <c r="S252" i="6" s="1"/>
  <c r="X229" i="6"/>
  <c r="K229" i="6" s="1"/>
  <c r="N229" i="6" s="1"/>
  <c r="S229" i="6" s="1"/>
  <c r="B30" i="5"/>
  <c r="N298" i="6"/>
  <c r="S298" i="6" s="1"/>
  <c r="L298" i="6"/>
  <c r="K298" i="6"/>
  <c r="W237" i="6"/>
  <c r="W245" i="6"/>
  <c r="J245" i="6" s="1"/>
  <c r="W243" i="6"/>
  <c r="J243" i="6" s="1"/>
  <c r="W251" i="6"/>
  <c r="J251" i="6" s="1"/>
  <c r="B126" i="6" l="1"/>
  <c r="B150" i="6"/>
  <c r="F150" i="6" s="1"/>
  <c r="B137" i="6"/>
  <c r="F137" i="6" s="1"/>
  <c r="B121" i="6"/>
  <c r="F121" i="6" s="1"/>
  <c r="B132" i="6"/>
  <c r="F132" i="6" s="1"/>
  <c r="B141" i="6"/>
  <c r="F141" i="6" s="1"/>
  <c r="B135" i="6"/>
  <c r="F135" i="6" s="1"/>
  <c r="Y250" i="6"/>
  <c r="L250" i="6" s="1"/>
  <c r="Y247" i="6"/>
  <c r="L247" i="6" s="1"/>
  <c r="Y240" i="6"/>
  <c r="L240" i="6" s="1"/>
  <c r="Y236" i="6"/>
  <c r="L236" i="6" s="1"/>
  <c r="Y233" i="6"/>
  <c r="L233" i="6" s="1"/>
  <c r="Y230" i="6"/>
  <c r="L230" i="6" s="1"/>
  <c r="Y235" i="6"/>
  <c r="L235" i="6" s="1"/>
  <c r="Y246" i="6"/>
  <c r="L246" i="6" s="1"/>
  <c r="Y232" i="6"/>
  <c r="L232" i="6" s="1"/>
  <c r="Y252" i="6"/>
  <c r="L252" i="6" s="1"/>
  <c r="Y229" i="6"/>
  <c r="L229" i="6" s="1"/>
  <c r="Y234" i="6"/>
  <c r="L234" i="6" s="1"/>
  <c r="B77" i="6"/>
  <c r="B91" i="6"/>
  <c r="B146" i="6"/>
  <c r="F146" i="6" s="1"/>
  <c r="B108" i="6"/>
  <c r="F108" i="6" s="1"/>
  <c r="B40" i="16"/>
  <c r="B90" i="6"/>
  <c r="F90" i="6" s="1"/>
  <c r="B93" i="6"/>
  <c r="F93" i="6" s="1"/>
  <c r="B160" i="6"/>
  <c r="F160" i="6" s="1"/>
  <c r="B157" i="6"/>
  <c r="F157" i="6" s="1"/>
  <c r="B123" i="6"/>
  <c r="F123" i="6" s="1"/>
  <c r="B101" i="6"/>
  <c r="F101" i="6" s="1"/>
  <c r="B110" i="6"/>
  <c r="F110" i="6" s="1"/>
  <c r="B147" i="6"/>
  <c r="B73" i="6"/>
  <c r="F73" i="6" s="1"/>
  <c r="B81" i="6"/>
  <c r="F81" i="6" s="1"/>
  <c r="B118" i="6"/>
  <c r="F118" i="6" s="1"/>
  <c r="B76" i="6"/>
  <c r="F76" i="6" s="1"/>
  <c r="B145" i="6"/>
  <c r="F145" i="6" s="1"/>
  <c r="B111" i="6"/>
  <c r="F111" i="6" s="1"/>
  <c r="B156" i="6"/>
  <c r="F156" i="6" s="1"/>
  <c r="C31" i="13"/>
  <c r="E31" i="13" s="1"/>
  <c r="F31" i="13" s="1"/>
  <c r="B34" i="16"/>
  <c r="B8" i="16" s="1"/>
  <c r="B159" i="6"/>
  <c r="F159" i="6" s="1"/>
  <c r="B148" i="6"/>
  <c r="F148" i="6" s="1"/>
  <c r="B103" i="6"/>
  <c r="F103" i="6" s="1"/>
  <c r="B114" i="6"/>
  <c r="F114" i="6" s="1"/>
  <c r="B72" i="6"/>
  <c r="F72" i="6" s="1"/>
  <c r="B96" i="6"/>
  <c r="F96" i="6" s="1"/>
  <c r="B94" i="6"/>
  <c r="F94" i="6" s="1"/>
  <c r="B129" i="6"/>
  <c r="F129" i="6" s="1"/>
  <c r="B125" i="6"/>
  <c r="F125" i="6" s="1"/>
  <c r="B88" i="6"/>
  <c r="F88" i="6" s="1"/>
  <c r="B133" i="6"/>
  <c r="B87" i="6"/>
  <c r="F87" i="6" s="1"/>
  <c r="B115" i="6"/>
  <c r="F115" i="6" s="1"/>
  <c r="B155" i="6"/>
  <c r="F155" i="6" s="1"/>
  <c r="B158" i="6"/>
  <c r="F158" i="6" s="1"/>
  <c r="B71" i="6"/>
  <c r="F71" i="6" s="1"/>
  <c r="B127" i="6"/>
  <c r="F127" i="6" s="1"/>
  <c r="B142" i="6"/>
  <c r="F142" i="6" s="1"/>
  <c r="B95" i="6"/>
  <c r="F95" i="6" s="1"/>
  <c r="B151" i="6"/>
  <c r="F151" i="6" s="1"/>
  <c r="B105" i="6"/>
  <c r="B119" i="6"/>
  <c r="B100" i="6"/>
  <c r="F100" i="6" s="1"/>
  <c r="B120" i="6"/>
  <c r="F120" i="6" s="1"/>
  <c r="B98" i="6"/>
  <c r="B140" i="6"/>
  <c r="B89" i="6"/>
  <c r="F89" i="6" s="1"/>
  <c r="B144" i="6"/>
  <c r="F144" i="6" s="1"/>
  <c r="B136" i="6"/>
  <c r="F136" i="6" s="1"/>
  <c r="W250" i="6"/>
  <c r="J250" i="6" s="1"/>
  <c r="W230" i="6"/>
  <c r="J230" i="6" s="1"/>
  <c r="W233" i="6"/>
  <c r="J233" i="6" s="1"/>
  <c r="W236" i="6"/>
  <c r="J236" i="6" s="1"/>
  <c r="W232" i="6"/>
  <c r="J232" i="6" s="1"/>
  <c r="W247" i="6"/>
  <c r="J247" i="6" s="1"/>
  <c r="W235" i="6"/>
  <c r="J235" i="6" s="1"/>
  <c r="W246" i="6"/>
  <c r="J246" i="6" s="1"/>
  <c r="W240" i="6"/>
  <c r="J240" i="6" s="1"/>
  <c r="W252" i="6"/>
  <c r="J252" i="6" s="1"/>
  <c r="W234" i="6"/>
  <c r="J234" i="6" s="1"/>
  <c r="W229" i="6"/>
  <c r="J229" i="6" s="1"/>
  <c r="B134" i="6"/>
  <c r="F134" i="6" s="1"/>
  <c r="B75" i="6"/>
  <c r="F75" i="6" s="1"/>
  <c r="B85" i="6"/>
  <c r="F85" i="6" s="1"/>
  <c r="B84" i="6"/>
  <c r="B113" i="6"/>
  <c r="F113" i="6" s="1"/>
  <c r="B154" i="6"/>
  <c r="B152" i="6"/>
  <c r="F152" i="6" s="1"/>
  <c r="B86" i="6"/>
  <c r="F86" i="6" s="1"/>
  <c r="B102" i="6"/>
  <c r="F102" i="6" s="1"/>
  <c r="B106" i="6"/>
  <c r="F106" i="6" s="1"/>
  <c r="B107" i="6"/>
  <c r="F107" i="6" s="1"/>
  <c r="B99" i="6"/>
  <c r="F99" i="6" s="1"/>
  <c r="B97" i="6"/>
  <c r="F97" i="6" s="1"/>
  <c r="B128" i="6"/>
  <c r="F128" i="6" s="1"/>
  <c r="B116" i="6"/>
  <c r="F116" i="6" s="1"/>
  <c r="B122" i="6"/>
  <c r="F122" i="6" s="1"/>
  <c r="B131" i="6"/>
  <c r="F131" i="6" s="1"/>
  <c r="B80" i="6"/>
  <c r="F80" i="6" s="1"/>
  <c r="B112" i="6"/>
  <c r="B92" i="6"/>
  <c r="F92" i="6" s="1"/>
  <c r="B117" i="6"/>
  <c r="F117" i="6" s="1"/>
  <c r="B79" i="6"/>
  <c r="F79" i="6" s="1"/>
  <c r="B130" i="6"/>
  <c r="F130" i="6" s="1"/>
  <c r="B138" i="6"/>
  <c r="F138" i="6" s="1"/>
  <c r="B78" i="6"/>
  <c r="F78" i="6" s="1"/>
  <c r="B70" i="6"/>
  <c r="B149" i="6"/>
  <c r="F149" i="6" s="1"/>
  <c r="B143" i="6"/>
  <c r="F143" i="6" s="1"/>
  <c r="B139" i="6"/>
  <c r="F139" i="6" s="1"/>
  <c r="B104" i="6"/>
  <c r="F104" i="6" s="1"/>
  <c r="B109" i="6"/>
  <c r="F109" i="6" s="1"/>
  <c r="B83" i="6"/>
  <c r="F83" i="6" s="1"/>
  <c r="B82" i="6"/>
  <c r="F82" i="6" s="1"/>
  <c r="B153" i="6"/>
  <c r="F153" i="6" s="1"/>
  <c r="B74" i="6"/>
  <c r="F74" i="6" s="1"/>
  <c r="F147" i="6" l="1"/>
  <c r="D40" i="6"/>
  <c r="F154" i="6"/>
  <c r="D41" i="6"/>
  <c r="F84" i="6"/>
  <c r="D31" i="6"/>
  <c r="F112" i="6"/>
  <c r="D35" i="6"/>
  <c r="F133" i="6"/>
  <c r="D38" i="6"/>
  <c r="F91" i="6"/>
  <c r="D32" i="6"/>
  <c r="F119" i="6"/>
  <c r="D36" i="6"/>
  <c r="F70" i="6"/>
  <c r="D29" i="6"/>
  <c r="C43" i="13" s="1"/>
  <c r="E43" i="13" s="1"/>
  <c r="F43" i="13" s="1"/>
  <c r="F140" i="6"/>
  <c r="D39" i="6"/>
  <c r="F77" i="6"/>
  <c r="D30" i="6"/>
  <c r="F105" i="6"/>
  <c r="D34" i="6"/>
  <c r="F98" i="6"/>
  <c r="D33" i="6"/>
  <c r="F126" i="6"/>
  <c r="D37" i="6"/>
  <c r="D159" i="6" l="1"/>
  <c r="D153" i="6"/>
  <c r="D152" i="6"/>
  <c r="D146" i="6"/>
  <c r="D142" i="6"/>
  <c r="D126" i="6"/>
  <c r="D110" i="6"/>
  <c r="D94" i="6"/>
  <c r="D78" i="6"/>
  <c r="D136" i="6"/>
  <c r="D120" i="6"/>
  <c r="D135" i="6"/>
  <c r="D119" i="6"/>
  <c r="D103" i="6"/>
  <c r="D87" i="6"/>
  <c r="D156" i="6"/>
  <c r="D149" i="6"/>
  <c r="D138" i="6"/>
  <c r="D131" i="6"/>
  <c r="D105" i="6"/>
  <c r="D91" i="6"/>
  <c r="D77" i="6"/>
  <c r="D70" i="6"/>
  <c r="D139" i="6"/>
  <c r="D132" i="6"/>
  <c r="D107" i="6"/>
  <c r="D93" i="6"/>
  <c r="D150" i="6"/>
  <c r="D140" i="6"/>
  <c r="D133" i="6"/>
  <c r="D109" i="6"/>
  <c r="D80" i="6"/>
  <c r="D157" i="6"/>
  <c r="D141" i="6"/>
  <c r="D134" i="6"/>
  <c r="D96" i="6"/>
  <c r="D82" i="6"/>
  <c r="D154" i="6"/>
  <c r="D111" i="6"/>
  <c r="D97" i="6"/>
  <c r="D83" i="6"/>
  <c r="D137" i="6"/>
  <c r="D130" i="6"/>
  <c r="D89" i="6"/>
  <c r="D75" i="6"/>
  <c r="D72" i="6"/>
  <c r="D106" i="6"/>
  <c r="D99" i="6"/>
  <c r="D160" i="6"/>
  <c r="D155" i="6"/>
  <c r="D143" i="6"/>
  <c r="D147" i="6"/>
  <c r="D145" i="6"/>
  <c r="D118" i="6"/>
  <c r="D104" i="6"/>
  <c r="D73" i="6"/>
  <c r="D114" i="6"/>
  <c r="D95" i="6"/>
  <c r="D88" i="6"/>
  <c r="D151" i="6"/>
  <c r="D148" i="6"/>
  <c r="D144" i="6"/>
  <c r="D125" i="6"/>
  <c r="D85" i="6"/>
  <c r="D112" i="6"/>
  <c r="D74" i="6"/>
  <c r="D92" i="6"/>
  <c r="D124" i="6"/>
  <c r="D121" i="6"/>
  <c r="D115" i="6"/>
  <c r="D90" i="6"/>
  <c r="D127" i="6"/>
  <c r="D101" i="6"/>
  <c r="D98" i="6"/>
  <c r="D79" i="6"/>
  <c r="D76" i="6"/>
  <c r="D71" i="6"/>
  <c r="D81" i="6"/>
  <c r="D158" i="6"/>
  <c r="D84" i="6"/>
  <c r="D117" i="6"/>
  <c r="D100" i="6"/>
  <c r="D86" i="6"/>
  <c r="D129" i="6"/>
  <c r="D102" i="6"/>
  <c r="G70" i="6"/>
  <c r="D122" i="6"/>
  <c r="D113" i="6"/>
  <c r="D116" i="6"/>
  <c r="D128" i="6"/>
  <c r="D123" i="6"/>
  <c r="D108" i="6"/>
  <c r="N70" i="6" l="1"/>
  <c r="M70" i="6"/>
  <c r="E71" i="6"/>
  <c r="G71" i="6" s="1"/>
  <c r="I70" i="6"/>
  <c r="H70" i="6"/>
  <c r="O70" i="6"/>
  <c r="L70" i="6"/>
  <c r="B16" i="6"/>
  <c r="P70" i="6" l="1"/>
  <c r="M71" i="6"/>
  <c r="L71" i="6"/>
  <c r="P71" i="6" s="1"/>
  <c r="I71" i="6"/>
  <c r="E72" i="6"/>
  <c r="G72" i="6" s="1"/>
  <c r="N71" i="6"/>
  <c r="H71" i="6"/>
  <c r="J71" i="6" s="1"/>
  <c r="K71" i="6" s="1"/>
  <c r="J70" i="6"/>
  <c r="K70" i="6" s="1"/>
  <c r="B18" i="6"/>
  <c r="B17" i="6"/>
  <c r="B19" i="6" s="1"/>
  <c r="N72" i="6" l="1"/>
  <c r="L72" i="6"/>
  <c r="E73" i="6"/>
  <c r="G73" i="6" s="1"/>
  <c r="O72" i="6"/>
  <c r="I72" i="6"/>
  <c r="M72" i="6"/>
  <c r="H72" i="6"/>
  <c r="O71" i="6"/>
  <c r="P72" i="6" l="1"/>
  <c r="J72" i="6"/>
  <c r="K72" i="6" s="1"/>
  <c r="M73" i="6"/>
  <c r="I73" i="6"/>
  <c r="E74" i="6"/>
  <c r="G74" i="6" s="1"/>
  <c r="N73" i="6"/>
  <c r="L73" i="6"/>
  <c r="H73" i="6"/>
  <c r="J73" i="6" s="1"/>
  <c r="K73" i="6" s="1"/>
  <c r="P73" i="6" l="1"/>
  <c r="N74" i="6"/>
  <c r="L74" i="6"/>
  <c r="E75" i="6"/>
  <c r="G75" i="6" s="1"/>
  <c r="M74" i="6"/>
  <c r="I74" i="6"/>
  <c r="H74" i="6"/>
  <c r="J74" i="6" s="1"/>
  <c r="K74" i="6" s="1"/>
  <c r="O73" i="6"/>
  <c r="G29" i="6" l="1"/>
  <c r="H29" i="6" s="1"/>
  <c r="O75" i="6"/>
  <c r="M75" i="6"/>
  <c r="L75" i="6"/>
  <c r="E76" i="6"/>
  <c r="G76" i="6" s="1"/>
  <c r="N75" i="6"/>
  <c r="I75" i="6"/>
  <c r="H75" i="6"/>
  <c r="J75" i="6" s="1"/>
  <c r="K75" i="6" s="1"/>
  <c r="O74" i="6"/>
  <c r="P74" i="6"/>
  <c r="E77" i="6" l="1"/>
  <c r="G77" i="6" s="1"/>
  <c r="O76" i="6"/>
  <c r="N76" i="6"/>
  <c r="M76" i="6"/>
  <c r="L76" i="6"/>
  <c r="I76" i="6"/>
  <c r="H76" i="6"/>
  <c r="J76" i="6" s="1"/>
  <c r="K76" i="6" s="1"/>
  <c r="F29" i="6"/>
  <c r="P75" i="6"/>
  <c r="I29" i="6" l="1"/>
  <c r="P76" i="6"/>
  <c r="N77" i="6"/>
  <c r="E78" i="6"/>
  <c r="G78" i="6" s="1"/>
  <c r="O77" i="6" s="1"/>
  <c r="I77" i="6"/>
  <c r="H77" i="6"/>
  <c r="J77" i="6" s="1"/>
  <c r="M77" i="6"/>
  <c r="L77" i="6"/>
  <c r="K77" i="6"/>
  <c r="P77" i="6" l="1"/>
  <c r="M78" i="6"/>
  <c r="E79" i="6"/>
  <c r="G79" i="6" s="1"/>
  <c r="O78" i="6" s="1"/>
  <c r="L78" i="6"/>
  <c r="K78" i="6"/>
  <c r="I78" i="6"/>
  <c r="N78" i="6"/>
  <c r="H78" i="6"/>
  <c r="J78" i="6" s="1"/>
  <c r="P78" i="6" l="1"/>
  <c r="I79" i="6"/>
  <c r="E80" i="6"/>
  <c r="G80" i="6" s="1"/>
  <c r="O79" i="6"/>
  <c r="M79" i="6"/>
  <c r="N79" i="6"/>
  <c r="L79" i="6" s="1"/>
  <c r="P79" i="6" s="1"/>
  <c r="H79" i="6"/>
  <c r="J79" i="6" s="1"/>
  <c r="K79" i="6" s="1"/>
  <c r="E81" i="6" l="1"/>
  <c r="G81" i="6" s="1"/>
  <c r="I80" i="6"/>
  <c r="O80" i="6"/>
  <c r="N80" i="6"/>
  <c r="L80" i="6" s="1"/>
  <c r="P80" i="6" s="1"/>
  <c r="M80" i="6"/>
  <c r="H80" i="6"/>
  <c r="J80" i="6" s="1"/>
  <c r="K80" i="6" s="1"/>
  <c r="I81" i="6" l="1"/>
  <c r="N81" i="6"/>
  <c r="L81" i="6" s="1"/>
  <c r="P81" i="6" s="1"/>
  <c r="M81" i="6"/>
  <c r="E82" i="6"/>
  <c r="G82" i="6" s="1"/>
  <c r="O81" i="6"/>
  <c r="H81" i="6"/>
  <c r="J81" i="6" s="1"/>
  <c r="K81" i="6" s="1"/>
  <c r="I82" i="6" l="1"/>
  <c r="E83" i="6"/>
  <c r="G83" i="6" s="1"/>
  <c r="M82" i="6"/>
  <c r="O82" i="6"/>
  <c r="N82" i="6"/>
  <c r="L82" i="6"/>
  <c r="P82" i="6" s="1"/>
  <c r="H82" i="6"/>
  <c r="J82" i="6" s="1"/>
  <c r="K82" i="6" s="1"/>
  <c r="L83" i="6" l="1"/>
  <c r="P83" i="6" s="1"/>
  <c r="E84" i="6"/>
  <c r="G84" i="6" s="1"/>
  <c r="N83" i="6"/>
  <c r="M83" i="6"/>
  <c r="I83" i="6"/>
  <c r="H83" i="6"/>
  <c r="J83" i="6" s="1"/>
  <c r="K83" i="6" s="1"/>
  <c r="I30" i="6" s="1"/>
  <c r="F30" i="6"/>
  <c r="N84" i="6" l="1"/>
  <c r="M84" i="6"/>
  <c r="I84" i="6"/>
  <c r="E85" i="6"/>
  <c r="G85" i="6" s="1"/>
  <c r="O84" i="6"/>
  <c r="L84" i="6"/>
  <c r="P84" i="6" s="1"/>
  <c r="H84" i="6"/>
  <c r="J84" i="6" s="1"/>
  <c r="K84" i="6" s="1"/>
  <c r="O83" i="6"/>
  <c r="M85" i="6" l="1"/>
  <c r="E86" i="6"/>
  <c r="G86" i="6" s="1"/>
  <c r="L85" i="6"/>
  <c r="P85" i="6" s="1"/>
  <c r="I85" i="6"/>
  <c r="N85" i="6"/>
  <c r="H85" i="6"/>
  <c r="J85" i="6" s="1"/>
  <c r="K85" i="6" s="1"/>
  <c r="L86" i="6" l="1"/>
  <c r="P86" i="6" s="1"/>
  <c r="N86" i="6"/>
  <c r="I86" i="6"/>
  <c r="E87" i="6"/>
  <c r="G87" i="6" s="1"/>
  <c r="O86" i="6"/>
  <c r="M86" i="6"/>
  <c r="H86" i="6"/>
  <c r="J86" i="6" s="1"/>
  <c r="K86" i="6" s="1"/>
  <c r="O85" i="6"/>
  <c r="M87" i="6" l="1"/>
  <c r="I87" i="6"/>
  <c r="N87" i="6"/>
  <c r="L87" i="6"/>
  <c r="P87" i="6" s="1"/>
  <c r="H87" i="6"/>
  <c r="J87" i="6" s="1"/>
  <c r="K87" i="6" s="1"/>
  <c r="E88" i="6"/>
  <c r="G88" i="6" s="1"/>
  <c r="N88" i="6" l="1"/>
  <c r="L88" i="6"/>
  <c r="P88" i="6" s="1"/>
  <c r="I88" i="6"/>
  <c r="M88" i="6"/>
  <c r="E89" i="6"/>
  <c r="G89" i="6" s="1"/>
  <c r="O88" i="6" s="1"/>
  <c r="H88" i="6"/>
  <c r="J88" i="6" s="1"/>
  <c r="K88" i="6" s="1"/>
  <c r="O87" i="6"/>
  <c r="I89" i="6" l="1"/>
  <c r="M89" i="6"/>
  <c r="L89" i="6"/>
  <c r="P89" i="6" s="1"/>
  <c r="E90" i="6"/>
  <c r="G90" i="6" s="1"/>
  <c r="H89" i="6"/>
  <c r="J89" i="6" s="1"/>
  <c r="K89" i="6" s="1"/>
  <c r="N89" i="6"/>
  <c r="N90" i="6" l="1"/>
  <c r="M90" i="6"/>
  <c r="L90" i="6"/>
  <c r="P90" i="6" s="1"/>
  <c r="I90" i="6"/>
  <c r="E91" i="6"/>
  <c r="G91" i="6" s="1"/>
  <c r="H90" i="6"/>
  <c r="J90" i="6" s="1"/>
  <c r="K90" i="6" s="1"/>
  <c r="I31" i="6" s="1"/>
  <c r="F31" i="6"/>
  <c r="O89" i="6"/>
  <c r="E92" i="6" l="1"/>
  <c r="G92" i="6" s="1"/>
  <c r="O91" i="6"/>
  <c r="N91" i="6"/>
  <c r="L91" i="6"/>
  <c r="P91" i="6" s="1"/>
  <c r="M91" i="6"/>
  <c r="H91" i="6"/>
  <c r="J91" i="6" s="1"/>
  <c r="I91" i="6"/>
  <c r="K91" i="6"/>
  <c r="O90" i="6"/>
  <c r="E93" i="6" l="1"/>
  <c r="G93" i="6" s="1"/>
  <c r="O92" i="6"/>
  <c r="I92" i="6"/>
  <c r="N92" i="6"/>
  <c r="M92" i="6"/>
  <c r="L92" i="6"/>
  <c r="P92" i="6" s="1"/>
  <c r="H92" i="6"/>
  <c r="J92" i="6" s="1"/>
  <c r="K92" i="6" s="1"/>
  <c r="N93" i="6" l="1"/>
  <c r="I93" i="6"/>
  <c r="E94" i="6"/>
  <c r="G94" i="6" s="1"/>
  <c r="M93" i="6"/>
  <c r="L93" i="6"/>
  <c r="P93" i="6" s="1"/>
  <c r="H93" i="6"/>
  <c r="J93" i="6" s="1"/>
  <c r="K93" i="6" s="1"/>
  <c r="O93" i="6"/>
  <c r="M94" i="6" l="1"/>
  <c r="E95" i="6"/>
  <c r="G95" i="6" s="1"/>
  <c r="O94" i="6"/>
  <c r="N94" i="6"/>
  <c r="L94" i="6"/>
  <c r="P94" i="6" s="1"/>
  <c r="I94" i="6"/>
  <c r="H94" i="6"/>
  <c r="J94" i="6" s="1"/>
  <c r="K94" i="6" s="1"/>
  <c r="L95" i="6" l="1"/>
  <c r="P95" i="6" s="1"/>
  <c r="I95" i="6"/>
  <c r="N95" i="6"/>
  <c r="E96" i="6"/>
  <c r="G96" i="6" s="1"/>
  <c r="M95" i="6"/>
  <c r="H95" i="6"/>
  <c r="J95" i="6" s="1"/>
  <c r="K95" i="6" s="1"/>
  <c r="E97" i="6" l="1"/>
  <c r="G97" i="6" s="1"/>
  <c r="M96" i="6"/>
  <c r="I96" i="6"/>
  <c r="N96" i="6"/>
  <c r="O96" i="6"/>
  <c r="L96" i="6"/>
  <c r="P96" i="6" s="1"/>
  <c r="H96" i="6"/>
  <c r="J96" i="6" s="1"/>
  <c r="K96" i="6" s="1"/>
  <c r="O95" i="6"/>
  <c r="L97" i="6" l="1"/>
  <c r="P97" i="6" s="1"/>
  <c r="I97" i="6"/>
  <c r="E98" i="6"/>
  <c r="G98" i="6" s="1"/>
  <c r="N97" i="6"/>
  <c r="M97" i="6"/>
  <c r="H97" i="6"/>
  <c r="J97" i="6" s="1"/>
  <c r="K97" i="6" s="1"/>
  <c r="I32" i="6" s="1"/>
  <c r="O97" i="6"/>
  <c r="F32" i="6"/>
  <c r="I98" i="6" l="1"/>
  <c r="M98" i="6"/>
  <c r="E99" i="6"/>
  <c r="G99" i="6" s="1"/>
  <c r="L98" i="6"/>
  <c r="P98" i="6" s="1"/>
  <c r="N98" i="6"/>
  <c r="H98" i="6"/>
  <c r="J98" i="6" s="1"/>
  <c r="K98" i="6" s="1"/>
  <c r="N99" i="6" l="1"/>
  <c r="L99" i="6"/>
  <c r="P99" i="6" s="1"/>
  <c r="E100" i="6"/>
  <c r="G100" i="6" s="1"/>
  <c r="O99" i="6" s="1"/>
  <c r="I99" i="6"/>
  <c r="M99" i="6"/>
  <c r="H99" i="6"/>
  <c r="J99" i="6" s="1"/>
  <c r="K99" i="6" s="1"/>
  <c r="O98" i="6"/>
  <c r="N100" i="6" l="1"/>
  <c r="M100" i="6"/>
  <c r="I100" i="6"/>
  <c r="L100" i="6"/>
  <c r="P100" i="6" s="1"/>
  <c r="E101" i="6"/>
  <c r="G101" i="6" s="1"/>
  <c r="H100" i="6"/>
  <c r="J100" i="6" s="1"/>
  <c r="K100" i="6" s="1"/>
  <c r="M101" i="6" l="1"/>
  <c r="E102" i="6"/>
  <c r="G102" i="6" s="1"/>
  <c r="O101" i="6" s="1"/>
  <c r="L101" i="6"/>
  <c r="P101" i="6" s="1"/>
  <c r="I101" i="6"/>
  <c r="N101" i="6"/>
  <c r="H101" i="6"/>
  <c r="J101" i="6" s="1"/>
  <c r="K101" i="6" s="1"/>
  <c r="O100" i="6"/>
  <c r="L102" i="6" l="1"/>
  <c r="P102" i="6" s="1"/>
  <c r="N102" i="6"/>
  <c r="M102" i="6"/>
  <c r="I102" i="6"/>
  <c r="E103" i="6"/>
  <c r="G103" i="6" s="1"/>
  <c r="O102" i="6" s="1"/>
  <c r="H102" i="6"/>
  <c r="J102" i="6" s="1"/>
  <c r="K102" i="6" s="1"/>
  <c r="M103" i="6" l="1"/>
  <c r="L103" i="6"/>
  <c r="P103" i="6" s="1"/>
  <c r="E104" i="6"/>
  <c r="G104" i="6" s="1"/>
  <c r="N103" i="6"/>
  <c r="I103" i="6"/>
  <c r="H103" i="6"/>
  <c r="J103" i="6" s="1"/>
  <c r="K103" i="6" s="1"/>
  <c r="N104" i="6" l="1"/>
  <c r="M104" i="6"/>
  <c r="I104" i="6"/>
  <c r="L104" i="6"/>
  <c r="P104" i="6" s="1"/>
  <c r="E105" i="6"/>
  <c r="G105" i="6" s="1"/>
  <c r="O104" i="6"/>
  <c r="H104" i="6"/>
  <c r="J104" i="6" s="1"/>
  <c r="K104" i="6" s="1"/>
  <c r="I33" i="6" s="1"/>
  <c r="F33" i="6"/>
  <c r="O103" i="6"/>
  <c r="I105" i="6" l="1"/>
  <c r="E106" i="6"/>
  <c r="G106" i="6" s="1"/>
  <c r="O105" i="6"/>
  <c r="N105" i="6"/>
  <c r="M105" i="6"/>
  <c r="L105" i="6"/>
  <c r="P105" i="6" s="1"/>
  <c r="H105" i="6"/>
  <c r="J105" i="6" s="1"/>
  <c r="K105" i="6" s="1"/>
  <c r="E107" i="6" l="1"/>
  <c r="G107" i="6" s="1"/>
  <c r="M106" i="6"/>
  <c r="N106" i="6"/>
  <c r="L106" i="6"/>
  <c r="P106" i="6" s="1"/>
  <c r="I106" i="6"/>
  <c r="H106" i="6"/>
  <c r="J106" i="6" s="1"/>
  <c r="K106" i="6" s="1"/>
  <c r="E108" i="6" l="1"/>
  <c r="G108" i="6" s="1"/>
  <c r="I107" i="6"/>
  <c r="O107" i="6"/>
  <c r="N107" i="6"/>
  <c r="M107" i="6"/>
  <c r="H107" i="6"/>
  <c r="J107" i="6" s="1"/>
  <c r="K107" i="6" s="1"/>
  <c r="L107" i="6"/>
  <c r="P107" i="6" s="1"/>
  <c r="O106" i="6"/>
  <c r="E109" i="6" l="1"/>
  <c r="G109" i="6" s="1"/>
  <c r="O108" i="6"/>
  <c r="I108" i="6"/>
  <c r="N108" i="6"/>
  <c r="L108" i="6"/>
  <c r="P108" i="6" s="1"/>
  <c r="M108" i="6"/>
  <c r="H108" i="6"/>
  <c r="J108" i="6" s="1"/>
  <c r="K108" i="6" s="1"/>
  <c r="N109" i="6" l="1"/>
  <c r="I109" i="6"/>
  <c r="M109" i="6"/>
  <c r="L109" i="6"/>
  <c r="P109" i="6" s="1"/>
  <c r="H109" i="6"/>
  <c r="J109" i="6" s="1"/>
  <c r="K109" i="6" s="1"/>
  <c r="E110" i="6"/>
  <c r="G110" i="6" s="1"/>
  <c r="M110" i="6" l="1"/>
  <c r="E111" i="6"/>
  <c r="G111" i="6" s="1"/>
  <c r="N110" i="6"/>
  <c r="L110" i="6" s="1"/>
  <c r="P110" i="6" s="1"/>
  <c r="I110" i="6"/>
  <c r="O110" i="6"/>
  <c r="H110" i="6"/>
  <c r="J110" i="6" s="1"/>
  <c r="K110" i="6" s="1"/>
  <c r="O109" i="6"/>
  <c r="I111" i="6" l="1"/>
  <c r="E112" i="6"/>
  <c r="G112" i="6" s="1"/>
  <c r="N111" i="6"/>
  <c r="L111" i="6" s="1"/>
  <c r="P111" i="6" s="1"/>
  <c r="H111" i="6"/>
  <c r="J111" i="6" s="1"/>
  <c r="K111" i="6" s="1"/>
  <c r="I34" i="6" s="1"/>
  <c r="O111" i="6"/>
  <c r="M111" i="6"/>
  <c r="F34" i="6"/>
  <c r="G34" i="6"/>
  <c r="H34" i="6" s="1"/>
  <c r="M112" i="6" l="1"/>
  <c r="N112" i="6"/>
  <c r="L112" i="6"/>
  <c r="P112" i="6" s="1"/>
  <c r="I112" i="6"/>
  <c r="E113" i="6"/>
  <c r="G113" i="6" s="1"/>
  <c r="H112" i="6"/>
  <c r="J112" i="6" s="1"/>
  <c r="K112" i="6" s="1"/>
  <c r="M113" i="6" l="1"/>
  <c r="I113" i="6"/>
  <c r="N113" i="6"/>
  <c r="E114" i="6"/>
  <c r="G114" i="6" s="1"/>
  <c r="L113" i="6"/>
  <c r="P113" i="6" s="1"/>
  <c r="H113" i="6"/>
  <c r="J113" i="6" s="1"/>
  <c r="K113" i="6" s="1"/>
  <c r="O112" i="6"/>
  <c r="I114" i="6" l="1"/>
  <c r="M114" i="6"/>
  <c r="N114" i="6"/>
  <c r="E115" i="6"/>
  <c r="G115" i="6" s="1"/>
  <c r="L114" i="6"/>
  <c r="P114" i="6" s="1"/>
  <c r="H114" i="6"/>
  <c r="J114" i="6" s="1"/>
  <c r="K114" i="6" s="1"/>
  <c r="O113" i="6"/>
  <c r="I115" i="6" l="1"/>
  <c r="M115" i="6"/>
  <c r="E116" i="6"/>
  <c r="G116" i="6" s="1"/>
  <c r="O115" i="6" s="1"/>
  <c r="N115" i="6"/>
  <c r="L115" i="6" s="1"/>
  <c r="P115" i="6" s="1"/>
  <c r="H115" i="6"/>
  <c r="J115" i="6" s="1"/>
  <c r="K115" i="6" s="1"/>
  <c r="O114" i="6"/>
  <c r="N116" i="6" l="1"/>
  <c r="L116" i="6" s="1"/>
  <c r="P116" i="6" s="1"/>
  <c r="E117" i="6"/>
  <c r="G117" i="6" s="1"/>
  <c r="O116" i="6"/>
  <c r="M116" i="6"/>
  <c r="I116" i="6"/>
  <c r="H116" i="6"/>
  <c r="J116" i="6" s="1"/>
  <c r="K116" i="6" s="1"/>
  <c r="M117" i="6" l="1"/>
  <c r="E118" i="6"/>
  <c r="G118" i="6" s="1"/>
  <c r="I117" i="6"/>
  <c r="O117" i="6"/>
  <c r="N117" i="6"/>
  <c r="L117" i="6"/>
  <c r="P117" i="6" s="1"/>
  <c r="H117" i="6"/>
  <c r="J117" i="6" s="1"/>
  <c r="K117" i="6" s="1"/>
  <c r="L118" i="6" l="1"/>
  <c r="P118" i="6" s="1"/>
  <c r="E119" i="6"/>
  <c r="G119" i="6" s="1"/>
  <c r="I118" i="6"/>
  <c r="N118" i="6"/>
  <c r="M118" i="6"/>
  <c r="O118" i="6"/>
  <c r="H118" i="6"/>
  <c r="J118" i="6" s="1"/>
  <c r="K118" i="6" s="1"/>
  <c r="I35" i="6" s="1"/>
  <c r="F35" i="6"/>
  <c r="I119" i="6" l="1"/>
  <c r="N119" i="6"/>
  <c r="L119" i="6" s="1"/>
  <c r="P119" i="6" s="1"/>
  <c r="M119" i="6"/>
  <c r="E120" i="6"/>
  <c r="G120" i="6" s="1"/>
  <c r="H119" i="6"/>
  <c r="J119" i="6" s="1"/>
  <c r="K119" i="6" s="1"/>
  <c r="N120" i="6" l="1"/>
  <c r="L120" i="6" s="1"/>
  <c r="P120" i="6" s="1"/>
  <c r="I120" i="6"/>
  <c r="M120" i="6"/>
  <c r="E121" i="6"/>
  <c r="G121" i="6" s="1"/>
  <c r="H120" i="6"/>
  <c r="J120" i="6" s="1"/>
  <c r="K120" i="6" s="1"/>
  <c r="O119" i="6"/>
  <c r="I121" i="6" l="1"/>
  <c r="N121" i="6"/>
  <c r="L121" i="6" s="1"/>
  <c r="P121" i="6" s="1"/>
  <c r="E122" i="6"/>
  <c r="G122" i="6" s="1"/>
  <c r="M121" i="6"/>
  <c r="O121" i="6"/>
  <c r="H121" i="6"/>
  <c r="J121" i="6" s="1"/>
  <c r="K121" i="6" s="1"/>
  <c r="O120" i="6"/>
  <c r="N122" i="6" l="1"/>
  <c r="L122" i="6" s="1"/>
  <c r="P122" i="6" s="1"/>
  <c r="M122" i="6"/>
  <c r="E123" i="6"/>
  <c r="G123" i="6" s="1"/>
  <c r="O122" i="6"/>
  <c r="I122" i="6"/>
  <c r="H122" i="6"/>
  <c r="J122" i="6" s="1"/>
  <c r="K122" i="6" s="1"/>
  <c r="E124" i="6" l="1"/>
  <c r="G124" i="6" s="1"/>
  <c r="O123" i="6" s="1"/>
  <c r="N123" i="6"/>
  <c r="M123" i="6"/>
  <c r="H123" i="6"/>
  <c r="J123" i="6" s="1"/>
  <c r="L123" i="6"/>
  <c r="P123" i="6" s="1"/>
  <c r="K123" i="6"/>
  <c r="I123" i="6"/>
  <c r="E125" i="6" l="1"/>
  <c r="G125" i="6" s="1"/>
  <c r="O124" i="6" s="1"/>
  <c r="M124" i="6"/>
  <c r="L124" i="6"/>
  <c r="P124" i="6" s="1"/>
  <c r="I124" i="6"/>
  <c r="N124" i="6"/>
  <c r="H124" i="6"/>
  <c r="J124" i="6" s="1"/>
  <c r="K124" i="6" s="1"/>
  <c r="N125" i="6" l="1"/>
  <c r="E126" i="6"/>
  <c r="G126" i="6" s="1"/>
  <c r="M125" i="6"/>
  <c r="L125" i="6"/>
  <c r="P125" i="6" s="1"/>
  <c r="I125" i="6"/>
  <c r="H125" i="6"/>
  <c r="J125" i="6" s="1"/>
  <c r="K125" i="6" s="1"/>
  <c r="I36" i="6" s="1"/>
  <c r="F36" i="6"/>
  <c r="G36" i="6"/>
  <c r="H36" i="6" s="1"/>
  <c r="N126" i="6" l="1"/>
  <c r="L126" i="6" s="1"/>
  <c r="P126" i="6" s="1"/>
  <c r="M126" i="6"/>
  <c r="E127" i="6"/>
  <c r="G127" i="6" s="1"/>
  <c r="O126" i="6"/>
  <c r="I126" i="6"/>
  <c r="H126" i="6"/>
  <c r="J126" i="6" s="1"/>
  <c r="K126" i="6" s="1"/>
  <c r="O125" i="6"/>
  <c r="M127" i="6" l="1"/>
  <c r="L127" i="6"/>
  <c r="P127" i="6" s="1"/>
  <c r="N127" i="6"/>
  <c r="E128" i="6"/>
  <c r="G128" i="6" s="1"/>
  <c r="O127" i="6"/>
  <c r="I127" i="6"/>
  <c r="H127" i="6"/>
  <c r="J127" i="6" s="1"/>
  <c r="K127" i="6" s="1"/>
  <c r="L128" i="6" l="1"/>
  <c r="P128" i="6" s="1"/>
  <c r="N128" i="6"/>
  <c r="I128" i="6"/>
  <c r="E129" i="6"/>
  <c r="G129" i="6" s="1"/>
  <c r="M128" i="6"/>
  <c r="H128" i="6"/>
  <c r="J128" i="6" s="1"/>
  <c r="K128" i="6" s="1"/>
  <c r="N129" i="6" l="1"/>
  <c r="M129" i="6"/>
  <c r="L129" i="6"/>
  <c r="P129" i="6" s="1"/>
  <c r="I129" i="6"/>
  <c r="E130" i="6"/>
  <c r="G130" i="6" s="1"/>
  <c r="H129" i="6"/>
  <c r="J129" i="6" s="1"/>
  <c r="K129" i="6" s="1"/>
  <c r="O129" i="6"/>
  <c r="O128" i="6"/>
  <c r="I130" i="6" l="1"/>
  <c r="N130" i="6"/>
  <c r="M130" i="6"/>
  <c r="L130" i="6"/>
  <c r="P130" i="6" s="1"/>
  <c r="E131" i="6"/>
  <c r="G131" i="6" s="1"/>
  <c r="H130" i="6"/>
  <c r="J130" i="6" s="1"/>
  <c r="K130" i="6" s="1"/>
  <c r="I131" i="6" l="1"/>
  <c r="E132" i="6"/>
  <c r="G132" i="6" s="1"/>
  <c r="N131" i="6"/>
  <c r="L131" i="6"/>
  <c r="P131" i="6" s="1"/>
  <c r="M131" i="6"/>
  <c r="H131" i="6"/>
  <c r="J131" i="6" s="1"/>
  <c r="K131" i="6" s="1"/>
  <c r="O130" i="6"/>
  <c r="N132" i="6" l="1"/>
  <c r="L132" i="6"/>
  <c r="P132" i="6" s="1"/>
  <c r="M132" i="6"/>
  <c r="E133" i="6"/>
  <c r="G133" i="6" s="1"/>
  <c r="I132" i="6"/>
  <c r="H132" i="6"/>
  <c r="J132" i="6" s="1"/>
  <c r="K132" i="6" s="1"/>
  <c r="I37" i="6" s="1"/>
  <c r="F37" i="6"/>
  <c r="G37" i="6"/>
  <c r="H37" i="6" s="1"/>
  <c r="O131" i="6"/>
  <c r="M133" i="6" l="1"/>
  <c r="E134" i="6"/>
  <c r="G134" i="6" s="1"/>
  <c r="O133" i="6"/>
  <c r="N133" i="6"/>
  <c r="L133" i="6" s="1"/>
  <c r="P133" i="6" s="1"/>
  <c r="I133" i="6"/>
  <c r="H133" i="6"/>
  <c r="J133" i="6" s="1"/>
  <c r="K133" i="6" s="1"/>
  <c r="O132" i="6"/>
  <c r="E135" i="6" l="1"/>
  <c r="G135" i="6" s="1"/>
  <c r="M134" i="6"/>
  <c r="O134" i="6"/>
  <c r="N134" i="6"/>
  <c r="L134" i="6" s="1"/>
  <c r="P134" i="6" s="1"/>
  <c r="I134" i="6"/>
  <c r="H134" i="6"/>
  <c r="J134" i="6" s="1"/>
  <c r="K134" i="6" s="1"/>
  <c r="M135" i="6" l="1"/>
  <c r="I135" i="6"/>
  <c r="N135" i="6"/>
  <c r="E136" i="6"/>
  <c r="G136" i="6" s="1"/>
  <c r="O135" i="6" s="1"/>
  <c r="L135" i="6"/>
  <c r="P135" i="6" s="1"/>
  <c r="H135" i="6"/>
  <c r="J135" i="6" s="1"/>
  <c r="K135" i="6" s="1"/>
  <c r="M136" i="6" l="1"/>
  <c r="I136" i="6"/>
  <c r="E137" i="6"/>
  <c r="G137" i="6" s="1"/>
  <c r="N136" i="6"/>
  <c r="L136" i="6" s="1"/>
  <c r="P136" i="6" s="1"/>
  <c r="H136" i="6"/>
  <c r="J136" i="6" s="1"/>
  <c r="K136" i="6" s="1"/>
  <c r="I137" i="6" l="1"/>
  <c r="N137" i="6"/>
  <c r="M137" i="6"/>
  <c r="L137" i="6"/>
  <c r="P137" i="6" s="1"/>
  <c r="H137" i="6"/>
  <c r="J137" i="6" s="1"/>
  <c r="K137" i="6" s="1"/>
  <c r="E138" i="6"/>
  <c r="G138" i="6" s="1"/>
  <c r="O136" i="6"/>
  <c r="N138" i="6" l="1"/>
  <c r="E139" i="6"/>
  <c r="G139" i="6" s="1"/>
  <c r="L138" i="6"/>
  <c r="P138" i="6" s="1"/>
  <c r="I138" i="6"/>
  <c r="M138" i="6"/>
  <c r="H138" i="6"/>
  <c r="J138" i="6" s="1"/>
  <c r="K138" i="6" s="1"/>
  <c r="O137" i="6"/>
  <c r="I139" i="6" l="1"/>
  <c r="H139" i="6"/>
  <c r="J139" i="6" s="1"/>
  <c r="E140" i="6"/>
  <c r="G140" i="6" s="1"/>
  <c r="O139" i="6"/>
  <c r="N139" i="6"/>
  <c r="M139" i="6"/>
  <c r="L139" i="6"/>
  <c r="P139" i="6" s="1"/>
  <c r="K139" i="6"/>
  <c r="I38" i="6" s="1"/>
  <c r="F38" i="6"/>
  <c r="O138" i="6"/>
  <c r="E141" i="6" l="1"/>
  <c r="G141" i="6" s="1"/>
  <c r="O140" i="6"/>
  <c r="I140" i="6"/>
  <c r="N140" i="6"/>
  <c r="M140" i="6"/>
  <c r="L140" i="6"/>
  <c r="P140" i="6" s="1"/>
  <c r="H140" i="6"/>
  <c r="J140" i="6" s="1"/>
  <c r="K140" i="6" s="1"/>
  <c r="N141" i="6" l="1"/>
  <c r="I141" i="6"/>
  <c r="M141" i="6"/>
  <c r="H141" i="6"/>
  <c r="J141" i="6" s="1"/>
  <c r="K141" i="6" s="1"/>
  <c r="E142" i="6"/>
  <c r="G142" i="6" s="1"/>
  <c r="L141" i="6"/>
  <c r="P141" i="6" s="1"/>
  <c r="N142" i="6" l="1"/>
  <c r="M142" i="6"/>
  <c r="I142" i="6"/>
  <c r="E143" i="6"/>
  <c r="G143" i="6" s="1"/>
  <c r="O142" i="6" s="1"/>
  <c r="L142" i="6"/>
  <c r="P142" i="6" s="1"/>
  <c r="H142" i="6"/>
  <c r="J142" i="6" s="1"/>
  <c r="K142" i="6" s="1"/>
  <c r="O141" i="6"/>
  <c r="M143" i="6" l="1"/>
  <c r="I143" i="6"/>
  <c r="E144" i="6"/>
  <c r="G144" i="6" s="1"/>
  <c r="O143" i="6" s="1"/>
  <c r="N143" i="6"/>
  <c r="L143" i="6" s="1"/>
  <c r="P143" i="6" s="1"/>
  <c r="H143" i="6"/>
  <c r="J143" i="6" s="1"/>
  <c r="K143" i="6" s="1"/>
  <c r="M144" i="6" l="1"/>
  <c r="N144" i="6"/>
  <c r="L144" i="6" s="1"/>
  <c r="P144" i="6" s="1"/>
  <c r="E145" i="6"/>
  <c r="G145" i="6" s="1"/>
  <c r="O144" i="6" s="1"/>
  <c r="I144" i="6"/>
  <c r="H144" i="6"/>
  <c r="J144" i="6" s="1"/>
  <c r="K144" i="6" s="1"/>
  <c r="N145" i="6" l="1"/>
  <c r="L145" i="6" s="1"/>
  <c r="P145" i="6" s="1"/>
  <c r="E146" i="6"/>
  <c r="G146" i="6" s="1"/>
  <c r="I145" i="6"/>
  <c r="H145" i="6"/>
  <c r="J145" i="6" s="1"/>
  <c r="K145" i="6" s="1"/>
  <c r="M145" i="6"/>
  <c r="E147" i="6" l="1"/>
  <c r="G147" i="6" s="1"/>
  <c r="O146" i="6"/>
  <c r="I146" i="6"/>
  <c r="M146" i="6"/>
  <c r="N146" i="6"/>
  <c r="L146" i="6"/>
  <c r="P146" i="6" s="1"/>
  <c r="H146" i="6"/>
  <c r="J146" i="6" s="1"/>
  <c r="K146" i="6" s="1"/>
  <c r="I39" i="6" s="1"/>
  <c r="F39" i="6"/>
  <c r="G39" i="6"/>
  <c r="H39" i="6" s="1"/>
  <c r="O145" i="6"/>
  <c r="I147" i="6" l="1"/>
  <c r="M147" i="6"/>
  <c r="N147" i="6"/>
  <c r="E148" i="6"/>
  <c r="G148" i="6" s="1"/>
  <c r="O147" i="6" s="1"/>
  <c r="L147" i="6"/>
  <c r="P147" i="6" s="1"/>
  <c r="H147" i="6"/>
  <c r="J147" i="6" s="1"/>
  <c r="K147" i="6" s="1"/>
  <c r="I148" i="6" l="1"/>
  <c r="N148" i="6"/>
  <c r="M148" i="6"/>
  <c r="L148" i="6"/>
  <c r="P148" i="6" s="1"/>
  <c r="E149" i="6"/>
  <c r="G149" i="6" s="1"/>
  <c r="H148" i="6"/>
  <c r="J148" i="6" s="1"/>
  <c r="K148" i="6" s="1"/>
  <c r="I149" i="6" l="1"/>
  <c r="E150" i="6"/>
  <c r="G150" i="6" s="1"/>
  <c r="O149" i="6"/>
  <c r="M149" i="6"/>
  <c r="N149" i="6"/>
  <c r="L149" i="6" s="1"/>
  <c r="P149" i="6" s="1"/>
  <c r="H149" i="6"/>
  <c r="J149" i="6" s="1"/>
  <c r="K149" i="6" s="1"/>
  <c r="O148" i="6"/>
  <c r="E151" i="6" l="1"/>
  <c r="G151" i="6" s="1"/>
  <c r="M150" i="6"/>
  <c r="I150" i="6"/>
  <c r="O150" i="6"/>
  <c r="N150" i="6"/>
  <c r="L150" i="6"/>
  <c r="P150" i="6" s="1"/>
  <c r="H150" i="6"/>
  <c r="J150" i="6" s="1"/>
  <c r="K150" i="6" s="1"/>
  <c r="E152" i="6" l="1"/>
  <c r="G152" i="6" s="1"/>
  <c r="N151" i="6"/>
  <c r="L151" i="6" s="1"/>
  <c r="P151" i="6" s="1"/>
  <c r="I151" i="6"/>
  <c r="O151" i="6"/>
  <c r="M151" i="6"/>
  <c r="H151" i="6"/>
  <c r="J151" i="6" s="1"/>
  <c r="K151" i="6" s="1"/>
  <c r="N152" i="6" l="1"/>
  <c r="M152" i="6"/>
  <c r="L152" i="6"/>
  <c r="P152" i="6" s="1"/>
  <c r="I152" i="6"/>
  <c r="E153" i="6"/>
  <c r="G153" i="6" s="1"/>
  <c r="H152" i="6"/>
  <c r="J152" i="6" s="1"/>
  <c r="K152" i="6" s="1"/>
  <c r="I153" i="6" l="1"/>
  <c r="E154" i="6"/>
  <c r="G154" i="6" s="1"/>
  <c r="M153" i="6"/>
  <c r="L153" i="6"/>
  <c r="P153" i="6" s="1"/>
  <c r="O153" i="6"/>
  <c r="N153" i="6"/>
  <c r="H153" i="6"/>
  <c r="J153" i="6" s="1"/>
  <c r="K153" i="6" s="1"/>
  <c r="I40" i="6" s="1"/>
  <c r="F40" i="6"/>
  <c r="O152" i="6"/>
  <c r="I154" i="6" l="1"/>
  <c r="N154" i="6"/>
  <c r="L154" i="6" s="1"/>
  <c r="P154" i="6" s="1"/>
  <c r="E155" i="6"/>
  <c r="G155" i="6" s="1"/>
  <c r="O154" i="6"/>
  <c r="M154" i="6"/>
  <c r="H154" i="6"/>
  <c r="J154" i="6" s="1"/>
  <c r="K154" i="6" s="1"/>
  <c r="E156" i="6" l="1"/>
  <c r="G156" i="6" s="1"/>
  <c r="N155" i="6"/>
  <c r="M155" i="6"/>
  <c r="O155" i="6"/>
  <c r="L155" i="6"/>
  <c r="P155" i="6" s="1"/>
  <c r="I155" i="6"/>
  <c r="H155" i="6"/>
  <c r="J155" i="6" s="1"/>
  <c r="K155" i="6" s="1"/>
  <c r="E157" i="6" l="1"/>
  <c r="G157" i="6" s="1"/>
  <c r="N156" i="6"/>
  <c r="L156" i="6"/>
  <c r="P156" i="6" s="1"/>
  <c r="I156" i="6"/>
  <c r="M156" i="6"/>
  <c r="H156" i="6"/>
  <c r="J156" i="6" s="1"/>
  <c r="K156" i="6" s="1"/>
  <c r="E158" i="6" l="1"/>
  <c r="G158" i="6" s="1"/>
  <c r="O157" i="6" s="1"/>
  <c r="I157" i="6"/>
  <c r="M157" i="6"/>
  <c r="N157" i="6"/>
  <c r="L157" i="6"/>
  <c r="P157" i="6" s="1"/>
  <c r="H157" i="6"/>
  <c r="J157" i="6" s="1"/>
  <c r="K157" i="6" s="1"/>
  <c r="O156" i="6"/>
  <c r="N158" i="6" l="1"/>
  <c r="E159" i="6"/>
  <c r="G159" i="6" s="1"/>
  <c r="L158" i="6"/>
  <c r="P158" i="6" s="1"/>
  <c r="I158" i="6"/>
  <c r="M158" i="6"/>
  <c r="H158" i="6"/>
  <c r="J158" i="6" s="1"/>
  <c r="K158" i="6" s="1"/>
  <c r="N159" i="6" l="1"/>
  <c r="M159" i="6"/>
  <c r="L159" i="6"/>
  <c r="P159" i="6" s="1"/>
  <c r="E160" i="6"/>
  <c r="G160" i="6" s="1"/>
  <c r="I159" i="6"/>
  <c r="O159" i="6"/>
  <c r="H159" i="6"/>
  <c r="J159" i="6" s="1"/>
  <c r="K159" i="6" s="1"/>
  <c r="O158" i="6"/>
  <c r="C44" i="13" l="1"/>
  <c r="E44" i="13" s="1"/>
  <c r="F44" i="13" s="1"/>
  <c r="M160" i="6"/>
  <c r="I160" i="6"/>
  <c r="B15" i="6" s="1"/>
  <c r="O160" i="6"/>
  <c r="N160" i="6"/>
  <c r="L160" i="6" s="1"/>
  <c r="H160" i="6"/>
  <c r="F41" i="6"/>
  <c r="O29" i="6"/>
  <c r="B67" i="16"/>
  <c r="B21" i="6"/>
  <c r="B23" i="6"/>
  <c r="B12" i="6"/>
  <c r="B20" i="6"/>
  <c r="B65" i="16" s="1"/>
  <c r="G30" i="6"/>
  <c r="H30" i="6" s="1"/>
  <c r="G31" i="6"/>
  <c r="H31" i="6" s="1"/>
  <c r="O30" i="6"/>
  <c r="G32" i="6"/>
  <c r="H32" i="6" s="1"/>
  <c r="O31" i="6"/>
  <c r="G33" i="6"/>
  <c r="H33" i="6" s="1"/>
  <c r="O32" i="6"/>
  <c r="G35" i="6"/>
  <c r="H35" i="6" s="1"/>
  <c r="O33" i="6"/>
  <c r="G38" i="6"/>
  <c r="H38" i="6" s="1"/>
  <c r="O34" i="6"/>
  <c r="G40" i="6"/>
  <c r="H40" i="6" s="1"/>
  <c r="O35" i="6"/>
  <c r="G41" i="6"/>
  <c r="H41" i="6" s="1"/>
  <c r="P160" i="6" l="1"/>
  <c r="A184" i="6"/>
  <c r="A183" i="6"/>
  <c r="A181" i="6"/>
  <c r="A199" i="6"/>
  <c r="A175" i="6"/>
  <c r="A191" i="6"/>
  <c r="A198" i="6"/>
  <c r="A201" i="6"/>
  <c r="A187" i="6"/>
  <c r="A193" i="6"/>
  <c r="A174" i="6"/>
  <c r="A211" i="6"/>
  <c r="A185" i="6"/>
  <c r="A192" i="6"/>
  <c r="A200" i="6"/>
  <c r="A207" i="6"/>
  <c r="A176" i="6"/>
  <c r="A168" i="6"/>
  <c r="A209" i="6"/>
  <c r="A202" i="6"/>
  <c r="A196" i="6"/>
  <c r="A178" i="6"/>
  <c r="A210" i="6"/>
  <c r="A205" i="6"/>
  <c r="A195" i="6"/>
  <c r="A173" i="6"/>
  <c r="A171" i="6"/>
  <c r="A170" i="6"/>
  <c r="A206" i="6"/>
  <c r="A203" i="6"/>
  <c r="A188" i="6"/>
  <c r="A167" i="6"/>
  <c r="A166" i="6"/>
  <c r="A179" i="6"/>
  <c r="A180" i="6"/>
  <c r="A182" i="6"/>
  <c r="A197" i="6"/>
  <c r="A204" i="6"/>
  <c r="A189" i="6"/>
  <c r="A169" i="6"/>
  <c r="A177" i="6"/>
  <c r="A186" i="6"/>
  <c r="A208" i="6"/>
  <c r="A194" i="6"/>
  <c r="A190" i="6"/>
  <c r="A172" i="6"/>
  <c r="B13" i="6"/>
  <c r="B37" i="12" s="1"/>
  <c r="E50" i="16"/>
  <c r="F50" i="16" s="1"/>
  <c r="P29" i="6"/>
  <c r="E55" i="16"/>
  <c r="F55" i="16" s="1"/>
  <c r="P34" i="6"/>
  <c r="E53" i="16"/>
  <c r="F53" i="16" s="1"/>
  <c r="P32" i="6"/>
  <c r="B13" i="16"/>
  <c r="B73" i="16"/>
  <c r="E56" i="16"/>
  <c r="F56" i="16" s="1"/>
  <c r="G56" i="16" s="1"/>
  <c r="H56" i="16" s="1"/>
  <c r="P35" i="6"/>
  <c r="E54" i="16"/>
  <c r="F54" i="16" s="1"/>
  <c r="G54" i="16" s="1"/>
  <c r="H54" i="16" s="1"/>
  <c r="P33" i="6"/>
  <c r="J160" i="6"/>
  <c r="K160" i="6" s="1"/>
  <c r="B14" i="6"/>
  <c r="E52" i="16"/>
  <c r="F52" i="16" s="1"/>
  <c r="G52" i="16" s="1"/>
  <c r="H52" i="16" s="1"/>
  <c r="P31" i="6"/>
  <c r="B33" i="16"/>
  <c r="B24" i="6"/>
  <c r="B35" i="16" s="1"/>
  <c r="B6" i="16" s="1"/>
  <c r="E51" i="16"/>
  <c r="F51" i="16" s="1"/>
  <c r="G51" i="16" s="1"/>
  <c r="H51" i="16" s="1"/>
  <c r="P30" i="6"/>
  <c r="F188" i="6" l="1"/>
  <c r="E188" i="6"/>
  <c r="I188" i="6"/>
  <c r="H188" i="6"/>
  <c r="D188" i="6"/>
  <c r="C188" i="6"/>
  <c r="B188" i="6"/>
  <c r="G188" i="6"/>
  <c r="F206" i="6"/>
  <c r="E206" i="6"/>
  <c r="D206" i="6"/>
  <c r="C206" i="6"/>
  <c r="I206" i="6"/>
  <c r="H206" i="6"/>
  <c r="G206" i="6"/>
  <c r="B206" i="6"/>
  <c r="G201" i="6"/>
  <c r="E201" i="6"/>
  <c r="C201" i="6"/>
  <c r="H201" i="6"/>
  <c r="I201" i="6"/>
  <c r="F201" i="6"/>
  <c r="D201" i="6"/>
  <c r="B201" i="6"/>
  <c r="H192" i="6"/>
  <c r="B192" i="6"/>
  <c r="C192" i="6"/>
  <c r="E192" i="6"/>
  <c r="G192" i="6"/>
  <c r="F192" i="6"/>
  <c r="I192" i="6"/>
  <c r="D192" i="6"/>
  <c r="I211" i="6"/>
  <c r="H211" i="6"/>
  <c r="G211" i="6"/>
  <c r="F211" i="6"/>
  <c r="D211" i="6"/>
  <c r="B211" i="6"/>
  <c r="E211" i="6"/>
  <c r="C211" i="6"/>
  <c r="I193" i="6"/>
  <c r="H193" i="6"/>
  <c r="F193" i="6"/>
  <c r="E193" i="6"/>
  <c r="D193" i="6"/>
  <c r="C193" i="6"/>
  <c r="G193" i="6"/>
  <c r="B193" i="6"/>
  <c r="G169" i="6"/>
  <c r="D169" i="6"/>
  <c r="C169" i="6"/>
  <c r="H169" i="6" s="1"/>
  <c r="E169" i="6"/>
  <c r="F169" i="6" s="1"/>
  <c r="B169" i="6"/>
  <c r="I169" i="6"/>
  <c r="I191" i="6"/>
  <c r="D191" i="6"/>
  <c r="C191" i="6"/>
  <c r="B191" i="6"/>
  <c r="G191" i="6"/>
  <c r="E191" i="6"/>
  <c r="H191" i="6"/>
  <c r="F191" i="6"/>
  <c r="I177" i="6"/>
  <c r="H177" i="6"/>
  <c r="F177" i="6"/>
  <c r="E177" i="6"/>
  <c r="D177" i="6"/>
  <c r="C177" i="6"/>
  <c r="G177" i="6"/>
  <c r="B177" i="6"/>
  <c r="F210" i="6"/>
  <c r="B210" i="6"/>
  <c r="E210" i="6"/>
  <c r="I210" i="6"/>
  <c r="H210" i="6"/>
  <c r="D210" i="6"/>
  <c r="C210" i="6"/>
  <c r="G210" i="6"/>
  <c r="E197" i="6"/>
  <c r="D197" i="6"/>
  <c r="I197" i="6"/>
  <c r="H197" i="6"/>
  <c r="G197" i="6"/>
  <c r="C197" i="6"/>
  <c r="B197" i="6"/>
  <c r="F197" i="6"/>
  <c r="D196" i="6"/>
  <c r="E196" i="6"/>
  <c r="I196" i="6"/>
  <c r="H196" i="6"/>
  <c r="G196" i="6"/>
  <c r="F196" i="6"/>
  <c r="C196" i="6"/>
  <c r="B196" i="6"/>
  <c r="H175" i="6"/>
  <c r="G175" i="6"/>
  <c r="F175" i="6"/>
  <c r="D175" i="6"/>
  <c r="B175" i="6"/>
  <c r="C175" i="6"/>
  <c r="I175" i="6"/>
  <c r="E175" i="6"/>
  <c r="I41" i="6"/>
  <c r="J29" i="6"/>
  <c r="Q29" i="6"/>
  <c r="B22" i="6"/>
  <c r="J30" i="6"/>
  <c r="J31" i="6"/>
  <c r="Q30" i="6"/>
  <c r="J32" i="6"/>
  <c r="J33" i="6"/>
  <c r="Q31" i="6"/>
  <c r="J34" i="6"/>
  <c r="J35" i="6"/>
  <c r="Q32" i="6"/>
  <c r="J36" i="6"/>
  <c r="Q33" i="6"/>
  <c r="J37" i="6"/>
  <c r="J38" i="6"/>
  <c r="J39" i="6"/>
  <c r="Q34" i="6"/>
  <c r="J40" i="6"/>
  <c r="J41" i="6"/>
  <c r="Q35" i="6"/>
  <c r="H170" i="6"/>
  <c r="G170" i="6"/>
  <c r="B170" i="6"/>
  <c r="D170" i="6"/>
  <c r="F170" i="6"/>
  <c r="I170" i="6"/>
  <c r="E170" i="6"/>
  <c r="C170" i="6"/>
  <c r="C173" i="6"/>
  <c r="G173" i="6"/>
  <c r="F173" i="6"/>
  <c r="D173" i="6"/>
  <c r="I173" i="6"/>
  <c r="E173" i="6"/>
  <c r="B173" i="6"/>
  <c r="H173" i="6"/>
  <c r="K102" i="16"/>
  <c r="U102" i="16" s="1"/>
  <c r="B74" i="16"/>
  <c r="K98" i="16"/>
  <c r="U98" i="16" s="1"/>
  <c r="K104" i="16"/>
  <c r="U104" i="16" s="1"/>
  <c r="K100" i="16"/>
  <c r="U100" i="16" s="1"/>
  <c r="K99" i="16"/>
  <c r="U99" i="16" s="1"/>
  <c r="K96" i="16"/>
  <c r="U96" i="16" s="1"/>
  <c r="B14" i="16"/>
  <c r="K101" i="16"/>
  <c r="U101" i="16" s="1"/>
  <c r="K92" i="16"/>
  <c r="U92" i="16" s="1"/>
  <c r="K93" i="16"/>
  <c r="U93" i="16" s="1"/>
  <c r="K105" i="16"/>
  <c r="U105" i="16" s="1"/>
  <c r="K94" i="16"/>
  <c r="U94" i="16" s="1"/>
  <c r="K95" i="16"/>
  <c r="U95" i="16" s="1"/>
  <c r="K97" i="16"/>
  <c r="U97" i="16" s="1"/>
  <c r="K103" i="16"/>
  <c r="U103" i="16" s="1"/>
  <c r="B198" i="6"/>
  <c r="F198" i="6"/>
  <c r="E198" i="6"/>
  <c r="C198" i="6"/>
  <c r="H198" i="6"/>
  <c r="G198" i="6"/>
  <c r="D198" i="6"/>
  <c r="I198" i="6"/>
  <c r="H202" i="6"/>
  <c r="G202" i="6"/>
  <c r="D202" i="6"/>
  <c r="C202" i="6"/>
  <c r="B202" i="6"/>
  <c r="I202" i="6"/>
  <c r="F202" i="6"/>
  <c r="E202" i="6"/>
  <c r="I199" i="6"/>
  <c r="C199" i="6"/>
  <c r="B199" i="6"/>
  <c r="H199" i="6"/>
  <c r="E199" i="6"/>
  <c r="D199" i="6"/>
  <c r="G199" i="6"/>
  <c r="F199" i="6"/>
  <c r="D190" i="6"/>
  <c r="C190" i="6"/>
  <c r="I190" i="6"/>
  <c r="H190" i="6"/>
  <c r="G190" i="6"/>
  <c r="F190" i="6"/>
  <c r="E190" i="6"/>
  <c r="B190" i="6"/>
  <c r="E171" i="6"/>
  <c r="F171" i="6"/>
  <c r="D171" i="6"/>
  <c r="I171" i="6"/>
  <c r="B171" i="6"/>
  <c r="H171" i="6"/>
  <c r="G171" i="6"/>
  <c r="C171" i="6"/>
  <c r="E187" i="6"/>
  <c r="G187" i="6"/>
  <c r="I187" i="6"/>
  <c r="F187" i="6"/>
  <c r="D187" i="6"/>
  <c r="B187" i="6"/>
  <c r="C187" i="6"/>
  <c r="H187" i="6"/>
  <c r="G204" i="6"/>
  <c r="F204" i="6"/>
  <c r="E204" i="6"/>
  <c r="H204" i="6"/>
  <c r="D204" i="6"/>
  <c r="C204" i="6"/>
  <c r="B204" i="6"/>
  <c r="I204" i="6"/>
  <c r="B63" i="16"/>
  <c r="B66" i="16" s="1"/>
  <c r="G55" i="16"/>
  <c r="H55" i="16" s="1"/>
  <c r="D180" i="6"/>
  <c r="C180" i="6"/>
  <c r="B180" i="6"/>
  <c r="H180" i="6"/>
  <c r="F180" i="6"/>
  <c r="E180" i="6"/>
  <c r="G180" i="6"/>
  <c r="I180" i="6"/>
  <c r="I209" i="6"/>
  <c r="H209" i="6"/>
  <c r="F209" i="6"/>
  <c r="E209" i="6"/>
  <c r="D209" i="6"/>
  <c r="C209" i="6"/>
  <c r="B209" i="6"/>
  <c r="G209" i="6"/>
  <c r="E181" i="6"/>
  <c r="D181" i="6"/>
  <c r="B181" i="6"/>
  <c r="F181" i="6"/>
  <c r="I181" i="6"/>
  <c r="G181" i="6"/>
  <c r="H181" i="6"/>
  <c r="C181" i="6"/>
  <c r="F172" i="6"/>
  <c r="E172" i="6"/>
  <c r="C172" i="6"/>
  <c r="H172" i="6"/>
  <c r="D172" i="6"/>
  <c r="B172" i="6"/>
  <c r="G172" i="6"/>
  <c r="I172" i="6"/>
  <c r="M37" i="6"/>
  <c r="G179" i="6"/>
  <c r="F179" i="6"/>
  <c r="I179" i="6"/>
  <c r="C179" i="6"/>
  <c r="B179" i="6"/>
  <c r="D179" i="6"/>
  <c r="E179" i="6"/>
  <c r="H179" i="6"/>
  <c r="B168" i="6"/>
  <c r="G168" i="6"/>
  <c r="E168" i="6"/>
  <c r="D168" i="6"/>
  <c r="F168" i="6"/>
  <c r="C168" i="6"/>
  <c r="I168" i="6" s="1"/>
  <c r="I183" i="6"/>
  <c r="C183" i="6"/>
  <c r="B183" i="6"/>
  <c r="D183" i="6"/>
  <c r="H183" i="6"/>
  <c r="F183" i="6"/>
  <c r="G183" i="6"/>
  <c r="E183" i="6"/>
  <c r="I200" i="6"/>
  <c r="G200" i="6"/>
  <c r="C200" i="6"/>
  <c r="B200" i="6"/>
  <c r="H200" i="6"/>
  <c r="F200" i="6"/>
  <c r="E200" i="6"/>
  <c r="D200" i="6"/>
  <c r="G185" i="6"/>
  <c r="E185" i="6"/>
  <c r="I185" i="6"/>
  <c r="H185" i="6"/>
  <c r="F185" i="6"/>
  <c r="D185" i="6"/>
  <c r="C185" i="6"/>
  <c r="B185" i="6"/>
  <c r="H208" i="6"/>
  <c r="D208" i="6"/>
  <c r="C208" i="6"/>
  <c r="B208" i="6"/>
  <c r="F208" i="6"/>
  <c r="I208" i="6"/>
  <c r="E208" i="6"/>
  <c r="G208" i="6"/>
  <c r="H186" i="6"/>
  <c r="G186" i="6"/>
  <c r="I186" i="6"/>
  <c r="F186" i="6"/>
  <c r="D186" i="6"/>
  <c r="B186" i="6"/>
  <c r="C186" i="6"/>
  <c r="E186" i="6"/>
  <c r="C205" i="6"/>
  <c r="D205" i="6"/>
  <c r="E205" i="6"/>
  <c r="G205" i="6"/>
  <c r="F205" i="6"/>
  <c r="B205" i="6"/>
  <c r="I205" i="6"/>
  <c r="H205" i="6"/>
  <c r="G53" i="16"/>
  <c r="H53" i="16" s="1"/>
  <c r="B59" i="16" s="1"/>
  <c r="B36" i="16"/>
  <c r="B7" i="16"/>
  <c r="B62" i="16"/>
  <c r="B166" i="6"/>
  <c r="G166" i="6"/>
  <c r="E166" i="6"/>
  <c r="F166" i="6" s="1"/>
  <c r="C166" i="6"/>
  <c r="I166" i="6" s="1"/>
  <c r="D166" i="6"/>
  <c r="H176" i="6"/>
  <c r="B176" i="6"/>
  <c r="G176" i="6"/>
  <c r="C176" i="6"/>
  <c r="I176" i="6"/>
  <c r="F176" i="6"/>
  <c r="E176" i="6"/>
  <c r="D176" i="6"/>
  <c r="I184" i="6"/>
  <c r="F184" i="6"/>
  <c r="E184" i="6"/>
  <c r="B184" i="6"/>
  <c r="C184" i="6"/>
  <c r="H184" i="6"/>
  <c r="G184" i="6"/>
  <c r="D184" i="6"/>
  <c r="E203" i="6"/>
  <c r="H203" i="6"/>
  <c r="G203" i="6"/>
  <c r="F203" i="6"/>
  <c r="D203" i="6"/>
  <c r="I203" i="6"/>
  <c r="C203" i="6"/>
  <c r="B203" i="6"/>
  <c r="F194" i="6"/>
  <c r="C194" i="6"/>
  <c r="H194" i="6"/>
  <c r="E194" i="6"/>
  <c r="D194" i="6"/>
  <c r="B194" i="6"/>
  <c r="I194" i="6"/>
  <c r="G194" i="6"/>
  <c r="D174" i="6"/>
  <c r="C174" i="6"/>
  <c r="F174" i="6"/>
  <c r="I174" i="6"/>
  <c r="H174" i="6"/>
  <c r="G174" i="6"/>
  <c r="B174" i="6"/>
  <c r="E174" i="6"/>
  <c r="G195" i="6"/>
  <c r="F195" i="6"/>
  <c r="I195" i="6"/>
  <c r="H195" i="6"/>
  <c r="E195" i="6"/>
  <c r="D195" i="6"/>
  <c r="C195" i="6"/>
  <c r="B195" i="6"/>
  <c r="C189" i="6"/>
  <c r="H189" i="6"/>
  <c r="D189" i="6"/>
  <c r="F189" i="6"/>
  <c r="B189" i="6"/>
  <c r="I189" i="6"/>
  <c r="G189" i="6"/>
  <c r="E189" i="6"/>
  <c r="F178" i="6"/>
  <c r="I178" i="6"/>
  <c r="B178" i="6"/>
  <c r="E178" i="6"/>
  <c r="C178" i="6"/>
  <c r="H178" i="6"/>
  <c r="D178" i="6"/>
  <c r="G178" i="6"/>
  <c r="B182" i="6"/>
  <c r="E182" i="6"/>
  <c r="D182" i="6"/>
  <c r="I182" i="6"/>
  <c r="H182" i="6"/>
  <c r="G182" i="6"/>
  <c r="F182" i="6"/>
  <c r="C182" i="6"/>
  <c r="I167" i="6"/>
  <c r="C167" i="6"/>
  <c r="B167" i="6"/>
  <c r="G167" i="6"/>
  <c r="E167" i="6"/>
  <c r="H167" i="6"/>
  <c r="F167" i="6"/>
  <c r="D167" i="6"/>
  <c r="G207" i="6"/>
  <c r="C207" i="6"/>
  <c r="B207" i="6"/>
  <c r="I207" i="6"/>
  <c r="F207" i="6"/>
  <c r="E207" i="6"/>
  <c r="D207" i="6"/>
  <c r="H207" i="6"/>
  <c r="B58" i="16" l="1"/>
  <c r="B60" i="16" s="1"/>
  <c r="H168" i="6"/>
  <c r="B15" i="16"/>
  <c r="Q92" i="16"/>
  <c r="H166" i="6"/>
  <c r="B79" i="16"/>
  <c r="B81" i="16"/>
  <c r="B84" i="16" s="1"/>
  <c r="B80" i="16"/>
  <c r="B83" i="16" s="1"/>
  <c r="B85" i="16" l="1"/>
  <c r="B87" i="16" s="1"/>
  <c r="B82" i="16"/>
  <c r="B71" i="16"/>
  <c r="B70" i="16"/>
  <c r="B64" i="16"/>
  <c r="B72" i="16" s="1"/>
  <c r="B69" i="16"/>
  <c r="B68" i="16"/>
  <c r="B10" i="16"/>
  <c r="B61" i="16"/>
  <c r="B12" i="16"/>
  <c r="B11" i="16" l="1"/>
  <c r="Z97" i="16"/>
  <c r="B17" i="16"/>
  <c r="Z104" i="16"/>
  <c r="H104" i="16"/>
  <c r="I104" i="16" s="1"/>
  <c r="P104" i="16" s="1"/>
  <c r="Z95" i="16"/>
  <c r="H102" i="16"/>
  <c r="I102" i="16" s="1"/>
  <c r="P102" i="16" s="1"/>
  <c r="Z93" i="16"/>
  <c r="Z100" i="16"/>
  <c r="H93" i="16"/>
  <c r="I93" i="16" s="1"/>
  <c r="P93" i="16" s="1"/>
  <c r="H100" i="16"/>
  <c r="I100" i="16" s="1"/>
  <c r="P100" i="16" s="1"/>
  <c r="H92" i="16"/>
  <c r="I92" i="16" s="1"/>
  <c r="H105" i="16"/>
  <c r="I105" i="16" s="1"/>
  <c r="Z105" i="16"/>
  <c r="H101" i="16"/>
  <c r="Z92" i="16"/>
  <c r="H103" i="16"/>
  <c r="I103" i="16" s="1"/>
  <c r="Z99" i="16"/>
  <c r="Z94" i="16"/>
  <c r="Z101" i="16"/>
  <c r="Z103" i="16"/>
  <c r="L103" i="16"/>
  <c r="H95" i="16"/>
  <c r="I95" i="16" s="1"/>
  <c r="P95" i="16" s="1"/>
  <c r="Z96" i="16"/>
  <c r="Z102" i="16"/>
  <c r="H96" i="16"/>
  <c r="I96" i="16" s="1"/>
  <c r="P96" i="16" s="1"/>
  <c r="H94" i="16"/>
  <c r="I94" i="16" s="1"/>
  <c r="P94" i="16" s="1"/>
  <c r="Z98" i="16"/>
  <c r="L92" i="16"/>
  <c r="L105" i="16"/>
  <c r="L104" i="16"/>
  <c r="L102" i="16"/>
  <c r="L96" i="16"/>
  <c r="L95" i="16"/>
  <c r="L93" i="16"/>
  <c r="L97" i="16"/>
  <c r="L100" i="16"/>
  <c r="L99" i="16"/>
  <c r="L98" i="16"/>
  <c r="L94" i="16"/>
  <c r="L101" i="16"/>
  <c r="B76" i="16"/>
  <c r="B75" i="16"/>
  <c r="B16" i="16"/>
  <c r="P103" i="16"/>
  <c r="P92" i="16"/>
  <c r="P105" i="16"/>
  <c r="P97" i="16"/>
  <c r="P98" i="16"/>
  <c r="P99" i="16"/>
  <c r="P101" i="16"/>
  <c r="O105" i="16" l="1"/>
  <c r="O94" i="16"/>
  <c r="O98" i="16"/>
  <c r="O101" i="16"/>
  <c r="O100" i="16"/>
  <c r="O93" i="16"/>
  <c r="O104" i="16"/>
  <c r="O99" i="16"/>
  <c r="O92" i="16"/>
  <c r="O103" i="16"/>
  <c r="O97" i="16"/>
  <c r="O96" i="16"/>
  <c r="O95" i="16"/>
  <c r="O102" i="16"/>
  <c r="B86" i="16" l="1"/>
  <c r="B88" i="16" s="1"/>
  <c r="B9" i="16" l="1"/>
  <c r="M98" i="16"/>
  <c r="M96" i="16"/>
  <c r="N96" i="16" s="1"/>
  <c r="M105" i="16"/>
  <c r="N105" i="16" s="1"/>
  <c r="M103" i="16"/>
  <c r="M94" i="16"/>
  <c r="N94" i="16" s="1"/>
  <c r="M95" i="16"/>
  <c r="M97" i="16"/>
  <c r="M101" i="16"/>
  <c r="M99" i="16"/>
  <c r="M92" i="16"/>
  <c r="M93" i="16"/>
  <c r="M102" i="16"/>
  <c r="N102" i="16" s="1"/>
  <c r="M100" i="16"/>
  <c r="M104" i="16"/>
  <c r="Q93" i="16"/>
  <c r="Q96" i="16"/>
  <c r="Q104" i="16"/>
  <c r="Q99" i="16"/>
  <c r="Q105" i="16"/>
  <c r="Q102" i="16"/>
  <c r="Q95" i="16"/>
  <c r="Q103" i="16"/>
  <c r="Q100" i="16"/>
  <c r="Q101" i="16"/>
  <c r="Q98" i="16"/>
  <c r="Q94" i="16"/>
  <c r="Q97" i="16"/>
  <c r="N93" i="16" l="1"/>
  <c r="Y93" i="16"/>
  <c r="Y97" i="16"/>
  <c r="N97" i="16"/>
  <c r="Y100" i="16"/>
  <c r="N100" i="16"/>
  <c r="N101" i="16"/>
  <c r="Y101" i="16"/>
  <c r="N103" i="16"/>
  <c r="Y103" i="16"/>
  <c r="N104" i="16"/>
  <c r="Y104" i="16"/>
  <c r="W105" i="16"/>
  <c r="X105" i="16"/>
  <c r="Y92" i="16"/>
  <c r="N92" i="16"/>
  <c r="X96" i="16"/>
  <c r="W96" i="16"/>
  <c r="X102" i="16"/>
  <c r="W102" i="16"/>
  <c r="N95" i="16"/>
  <c r="Y95" i="16"/>
  <c r="N98" i="16"/>
  <c r="Y98" i="16"/>
  <c r="N99" i="16"/>
  <c r="Y99" i="16"/>
  <c r="X94" i="16"/>
  <c r="W94" i="16"/>
  <c r="W92" i="16" l="1"/>
  <c r="B130" i="16"/>
  <c r="W103" i="16"/>
  <c r="W101" i="16"/>
  <c r="W97" i="16"/>
  <c r="W104" i="16"/>
  <c r="W99" i="16"/>
  <c r="W98" i="16"/>
  <c r="W100" i="16"/>
  <c r="W95" i="16"/>
  <c r="W93" i="16"/>
  <c r="X93" i="16" s="1"/>
  <c r="X99" i="16" l="1"/>
  <c r="X104" i="16"/>
  <c r="X97" i="16"/>
  <c r="X98" i="16"/>
  <c r="X101" i="16"/>
  <c r="X95" i="16"/>
  <c r="X100" i="16"/>
  <c r="X103" i="16"/>
  <c r="X92" i="16"/>
  <c r="B116" i="16" l="1"/>
  <c r="B109" i="16"/>
  <c r="B117" i="16"/>
  <c r="B119" i="16"/>
  <c r="B120" i="16"/>
  <c r="B121" i="16"/>
  <c r="B118" i="16"/>
  <c r="B111" i="16"/>
  <c r="B115" i="16"/>
  <c r="B113" i="16"/>
  <c r="B114" i="16"/>
  <c r="B110" i="16"/>
  <c r="B122" i="16"/>
  <c r="B112" i="16"/>
  <c r="E122" i="16" l="1"/>
  <c r="H122" i="16"/>
  <c r="F122" i="16"/>
  <c r="D122" i="16"/>
  <c r="C122" i="16"/>
  <c r="R122" i="16"/>
  <c r="O122" i="16"/>
  <c r="Q122" i="16"/>
  <c r="G122" i="16"/>
  <c r="F112" i="16"/>
  <c r="O112" i="16"/>
  <c r="R112" i="16"/>
  <c r="Q112" i="16"/>
  <c r="H112" i="16"/>
  <c r="G112" i="16"/>
  <c r="E112" i="16"/>
  <c r="D112" i="16"/>
  <c r="C112" i="16"/>
  <c r="H110" i="16"/>
  <c r="Q110" i="16"/>
  <c r="G110" i="16"/>
  <c r="F110" i="16"/>
  <c r="R110" i="16"/>
  <c r="O110" i="16"/>
  <c r="E110" i="16"/>
  <c r="D110" i="16"/>
  <c r="N110" i="16" s="1"/>
  <c r="C110" i="16"/>
  <c r="E113" i="16"/>
  <c r="Q113" i="16"/>
  <c r="O113" i="16"/>
  <c r="H113" i="16"/>
  <c r="D113" i="16"/>
  <c r="N113" i="16" s="1"/>
  <c r="C113" i="16"/>
  <c r="R113" i="16"/>
  <c r="F113" i="16"/>
  <c r="G113" i="16"/>
  <c r="E118" i="16"/>
  <c r="D118" i="16"/>
  <c r="C118" i="16"/>
  <c r="R118" i="16"/>
  <c r="Q118" i="16"/>
  <c r="O118" i="16"/>
  <c r="H118" i="16"/>
  <c r="G118" i="16"/>
  <c r="F118" i="16"/>
  <c r="O119" i="16"/>
  <c r="H119" i="16"/>
  <c r="F119" i="16"/>
  <c r="E119" i="16"/>
  <c r="D119" i="16"/>
  <c r="R119" i="16"/>
  <c r="Q119" i="16"/>
  <c r="G119" i="16"/>
  <c r="C119" i="16"/>
  <c r="D114" i="16"/>
  <c r="R114" i="16"/>
  <c r="Q114" i="16"/>
  <c r="H114" i="16"/>
  <c r="O114" i="16"/>
  <c r="F114" i="16"/>
  <c r="C114" i="16"/>
  <c r="G114" i="16"/>
  <c r="E114" i="16"/>
  <c r="C115" i="16"/>
  <c r="R115" i="16"/>
  <c r="Q115" i="16"/>
  <c r="O115" i="16"/>
  <c r="H115" i="16"/>
  <c r="E115" i="16"/>
  <c r="D115" i="16"/>
  <c r="G115" i="16"/>
  <c r="F115" i="16"/>
  <c r="G111" i="16"/>
  <c r="H111" i="16"/>
  <c r="C111" i="16"/>
  <c r="O111" i="16"/>
  <c r="D111" i="16"/>
  <c r="R111" i="16"/>
  <c r="Q111" i="16"/>
  <c r="F111" i="16"/>
  <c r="E111" i="16"/>
  <c r="F121" i="16"/>
  <c r="H121" i="16"/>
  <c r="G121" i="16"/>
  <c r="D121" i="16"/>
  <c r="C121" i="16"/>
  <c r="E121" i="16"/>
  <c r="R121" i="16"/>
  <c r="Q121" i="16"/>
  <c r="O121" i="16"/>
  <c r="G120" i="16"/>
  <c r="H120" i="16"/>
  <c r="F120" i="16"/>
  <c r="E120" i="16"/>
  <c r="C120" i="16"/>
  <c r="O120" i="16"/>
  <c r="D120" i="16"/>
  <c r="R120" i="16"/>
  <c r="Q120" i="16"/>
  <c r="Q117" i="16"/>
  <c r="D117" i="16"/>
  <c r="C117" i="16"/>
  <c r="R117" i="16"/>
  <c r="O117" i="16"/>
  <c r="H117" i="16"/>
  <c r="E117" i="16"/>
  <c r="F117" i="16"/>
  <c r="G117" i="16"/>
  <c r="R109" i="16"/>
  <c r="G109" i="16"/>
  <c r="F109" i="16"/>
  <c r="E109" i="16"/>
  <c r="H109" i="16"/>
  <c r="O109" i="16"/>
  <c r="D109" i="16"/>
  <c r="N109" i="16" s="1"/>
  <c r="C109" i="16"/>
  <c r="Q109" i="16"/>
  <c r="R116" i="16"/>
  <c r="C116" i="16"/>
  <c r="O116" i="16"/>
  <c r="G116" i="16"/>
  <c r="F116" i="16"/>
  <c r="Q116" i="16"/>
  <c r="E116" i="16"/>
  <c r="D116" i="16"/>
  <c r="H116" i="16"/>
  <c r="N114" i="16" l="1"/>
  <c r="N118" i="16"/>
  <c r="I122" i="16"/>
  <c r="J122" i="16" s="1"/>
  <c r="I120" i="16"/>
  <c r="J120" i="16" s="1"/>
  <c r="I118" i="16"/>
  <c r="J118" i="16"/>
  <c r="I121" i="16"/>
  <c r="J121" i="16" s="1"/>
  <c r="I119" i="16"/>
  <c r="J119" i="16" s="1"/>
  <c r="I109" i="16"/>
  <c r="J109" i="16" s="1"/>
  <c r="B18" i="16"/>
  <c r="N119" i="16"/>
  <c r="L109" i="16" l="1"/>
  <c r="M109" i="16" s="1"/>
  <c r="P109" i="16"/>
  <c r="M119" i="16"/>
  <c r="L119" i="16"/>
  <c r="N122" i="16"/>
  <c r="N120" i="16"/>
  <c r="N121" i="16"/>
  <c r="M120" i="16"/>
  <c r="L120" i="16"/>
  <c r="L122" i="16"/>
  <c r="M122" i="16"/>
  <c r="M121" i="16"/>
  <c r="L121" i="16"/>
  <c r="M118" i="16"/>
  <c r="L118" i="16"/>
  <c r="K110" i="16" l="1"/>
  <c r="I110" i="16" s="1"/>
  <c r="J110" i="16" s="1"/>
  <c r="L110" i="16" l="1"/>
  <c r="P110" i="16"/>
  <c r="N111" i="16"/>
  <c r="I111" i="16"/>
  <c r="J111" i="16" s="1"/>
  <c r="I114" i="16" s="1"/>
  <c r="J114" i="16" s="1"/>
  <c r="M114" i="16" l="1"/>
  <c r="L114" i="16"/>
  <c r="P111" i="16"/>
  <c r="M111" i="16"/>
  <c r="L111" i="16"/>
  <c r="N112" i="16"/>
  <c r="I112" i="16" s="1"/>
  <c r="J112" i="16" s="1"/>
  <c r="K112" i="16"/>
  <c r="K111" i="16"/>
  <c r="M110" i="16"/>
  <c r="P112" i="16" l="1"/>
  <c r="M112" i="16"/>
  <c r="L112" i="16"/>
  <c r="N115" i="16"/>
  <c r="K113" i="16" l="1"/>
  <c r="I113" i="16" s="1"/>
  <c r="J113" i="16" s="1"/>
  <c r="P113" i="16" l="1"/>
  <c r="P114" i="16" s="1"/>
  <c r="L113" i="16"/>
  <c r="M113" i="16"/>
  <c r="K115" i="16" l="1"/>
  <c r="I115" i="16" s="1"/>
  <c r="J115" i="16" s="1"/>
  <c r="K114" i="16"/>
  <c r="L115" i="16" l="1"/>
  <c r="M115" i="16"/>
  <c r="P115" i="16"/>
  <c r="N116" i="16"/>
  <c r="I116" i="16" l="1"/>
  <c r="J116" i="16" s="1"/>
  <c r="K116" i="16"/>
  <c r="P116" i="16" l="1"/>
  <c r="M116" i="16"/>
  <c r="L116" i="16"/>
  <c r="K117" i="16" s="1"/>
  <c r="N117" i="16"/>
  <c r="I117" i="16" s="1"/>
  <c r="J117" i="16" s="1"/>
  <c r="P117" i="16" l="1"/>
  <c r="P118" i="16" s="1"/>
  <c r="P119" i="16" s="1"/>
  <c r="P120" i="16" s="1"/>
  <c r="P121" i="16" s="1"/>
  <c r="P122" i="16" s="1"/>
  <c r="B132" i="16" s="1"/>
  <c r="B19" i="16" s="1"/>
  <c r="M117" i="16"/>
  <c r="B126" i="16" s="1"/>
  <c r="B21" i="16" s="1"/>
  <c r="L117" i="16"/>
  <c r="B131" i="16"/>
  <c r="B24" i="16" s="1"/>
  <c r="B129" i="16"/>
  <c r="K118" i="16" l="1"/>
  <c r="B125" i="16"/>
  <c r="K121" i="16"/>
  <c r="K122" i="16"/>
  <c r="K120" i="16"/>
  <c r="K119" i="16"/>
  <c r="B127" i="16" l="1"/>
  <c r="B22" i="16" s="1"/>
  <c r="B20" i="16"/>
  <c r="B128" i="16"/>
  <c r="B23" i="16" l="1"/>
  <c r="B25" i="16"/>
  <c r="B328" i="19"/>
  <c r="B327" i="19"/>
  <c r="B326" i="19"/>
  <c r="B325" i="19"/>
  <c r="I319" i="19"/>
  <c r="H319" i="19"/>
  <c r="G319" i="19"/>
  <c r="F319" i="19"/>
  <c r="E319" i="19"/>
  <c r="D319" i="19"/>
  <c r="C319" i="19"/>
  <c r="B319" i="19"/>
  <c r="I318" i="19"/>
  <c r="H318" i="19"/>
  <c r="G318" i="19"/>
  <c r="F318" i="19"/>
  <c r="E318" i="19"/>
  <c r="D318" i="19"/>
  <c r="C318" i="19"/>
  <c r="B318" i="19"/>
  <c r="I317" i="19"/>
  <c r="H317" i="19"/>
  <c r="G317" i="19"/>
  <c r="F317" i="19"/>
  <c r="E317" i="19"/>
  <c r="D317" i="19"/>
  <c r="C317" i="19"/>
  <c r="B317" i="19"/>
  <c r="I316" i="19"/>
  <c r="H316" i="19"/>
  <c r="G316" i="19"/>
  <c r="F316" i="19"/>
  <c r="E316" i="19"/>
  <c r="D316" i="19"/>
  <c r="C316" i="19"/>
  <c r="B316" i="19"/>
  <c r="I315" i="19"/>
  <c r="H315" i="19"/>
  <c r="G315" i="19"/>
  <c r="F315" i="19"/>
  <c r="E315" i="19"/>
  <c r="D315" i="19"/>
  <c r="C315" i="19"/>
  <c r="B315" i="19"/>
  <c r="I314" i="19"/>
  <c r="H314" i="19"/>
  <c r="G314" i="19"/>
  <c r="F314" i="19"/>
  <c r="E314" i="19"/>
  <c r="D314" i="19"/>
  <c r="C314" i="19"/>
  <c r="B314" i="19"/>
  <c r="I313" i="19"/>
  <c r="H313" i="19"/>
  <c r="G313" i="19"/>
  <c r="F313" i="19"/>
  <c r="E313" i="19"/>
  <c r="D313" i="19"/>
  <c r="C313" i="19"/>
  <c r="B313" i="19"/>
  <c r="I312" i="19"/>
  <c r="H312" i="19"/>
  <c r="G312" i="19"/>
  <c r="F312" i="19"/>
  <c r="E312" i="19"/>
  <c r="D312" i="19"/>
  <c r="C312" i="19"/>
  <c r="B312" i="19"/>
  <c r="I311" i="19"/>
  <c r="H311" i="19"/>
  <c r="G311" i="19"/>
  <c r="F311" i="19"/>
  <c r="E311" i="19"/>
  <c r="D311" i="19"/>
  <c r="C311" i="19"/>
  <c r="B311" i="19"/>
  <c r="I310" i="19"/>
  <c r="H310" i="19"/>
  <c r="G310" i="19"/>
  <c r="F310" i="19"/>
  <c r="E310" i="19"/>
  <c r="D310" i="19"/>
  <c r="C310" i="19"/>
  <c r="B310" i="19"/>
  <c r="I309" i="19"/>
  <c r="H309" i="19"/>
  <c r="G309" i="19"/>
  <c r="F309" i="19"/>
  <c r="E309" i="19"/>
  <c r="D309" i="19"/>
  <c r="C309" i="19"/>
  <c r="B309" i="19"/>
  <c r="I308" i="19"/>
  <c r="H308" i="19"/>
  <c r="G308" i="19"/>
  <c r="F308" i="19"/>
  <c r="E308" i="19"/>
  <c r="D308" i="19"/>
  <c r="C308" i="19"/>
  <c r="B308" i="19"/>
  <c r="I307" i="19"/>
  <c r="H307" i="19"/>
  <c r="G307" i="19"/>
  <c r="F307" i="19"/>
  <c r="E307" i="19"/>
  <c r="D307" i="19"/>
  <c r="C307" i="19"/>
  <c r="B307" i="19"/>
  <c r="S272" i="19"/>
  <c r="R272" i="19"/>
  <c r="Q272" i="19"/>
  <c r="P272" i="19"/>
  <c r="O272" i="19"/>
  <c r="N272" i="19"/>
  <c r="M272" i="19"/>
  <c r="L272" i="19"/>
  <c r="K272" i="19"/>
  <c r="J272" i="19"/>
  <c r="I272" i="19"/>
  <c r="H272" i="19"/>
  <c r="G272" i="19"/>
  <c r="F272" i="19"/>
  <c r="E272" i="19"/>
  <c r="D272" i="19"/>
  <c r="C272" i="19"/>
  <c r="B272" i="19"/>
  <c r="A272" i="19"/>
  <c r="S271" i="19"/>
  <c r="R271" i="19"/>
  <c r="Q271" i="19"/>
  <c r="P271" i="19"/>
  <c r="O271" i="19"/>
  <c r="N271" i="19"/>
  <c r="M271" i="19"/>
  <c r="L271" i="19"/>
  <c r="K271" i="19"/>
  <c r="J271" i="19"/>
  <c r="I271" i="19"/>
  <c r="H271" i="19"/>
  <c r="G271" i="19"/>
  <c r="F271" i="19"/>
  <c r="E271" i="19"/>
  <c r="D271" i="19"/>
  <c r="C271" i="19"/>
  <c r="B271" i="19"/>
  <c r="A271" i="19"/>
  <c r="S270" i="19"/>
  <c r="R270" i="19"/>
  <c r="Q270" i="19"/>
  <c r="P270" i="19"/>
  <c r="O270" i="19"/>
  <c r="N270" i="19"/>
  <c r="M270" i="19"/>
  <c r="L270" i="19"/>
  <c r="K270" i="19"/>
  <c r="J270" i="19"/>
  <c r="I270" i="19"/>
  <c r="H270" i="19"/>
  <c r="G270" i="19"/>
  <c r="F270" i="19"/>
  <c r="E270" i="19"/>
  <c r="D270" i="19"/>
  <c r="C270" i="19"/>
  <c r="B270" i="19"/>
  <c r="A270" i="19"/>
  <c r="S269" i="19"/>
  <c r="R269" i="19"/>
  <c r="Q269" i="19"/>
  <c r="P269" i="19"/>
  <c r="O269" i="19"/>
  <c r="N269" i="19"/>
  <c r="M269" i="19"/>
  <c r="L269" i="19"/>
  <c r="K269" i="19"/>
  <c r="J269" i="19"/>
  <c r="I269" i="19"/>
  <c r="H269" i="19"/>
  <c r="G269" i="19"/>
  <c r="F269" i="19"/>
  <c r="E269" i="19"/>
  <c r="D269" i="19"/>
  <c r="C269" i="19"/>
  <c r="B269" i="19"/>
  <c r="A269" i="19"/>
  <c r="S268" i="19"/>
  <c r="R268" i="19"/>
  <c r="Q268" i="19"/>
  <c r="P268" i="19"/>
  <c r="O268" i="19"/>
  <c r="N268" i="19"/>
  <c r="M268" i="19"/>
  <c r="L268" i="19"/>
  <c r="K268" i="19"/>
  <c r="J268" i="19"/>
  <c r="I268" i="19"/>
  <c r="H268" i="19"/>
  <c r="G268" i="19"/>
  <c r="F268" i="19"/>
  <c r="E268" i="19"/>
  <c r="D268" i="19"/>
  <c r="C268" i="19"/>
  <c r="B268" i="19"/>
  <c r="A268" i="19"/>
  <c r="S267" i="19"/>
  <c r="R267" i="19"/>
  <c r="Q267" i="19"/>
  <c r="P267" i="19"/>
  <c r="O267" i="19"/>
  <c r="N267" i="19"/>
  <c r="M267" i="19"/>
  <c r="L267" i="19"/>
  <c r="K267" i="19"/>
  <c r="J267" i="19"/>
  <c r="I267" i="19"/>
  <c r="H267" i="19"/>
  <c r="G267" i="19"/>
  <c r="F267" i="19"/>
  <c r="E267" i="19"/>
  <c r="D267" i="19"/>
  <c r="C267" i="19"/>
  <c r="B267" i="19"/>
  <c r="A267" i="19"/>
  <c r="S266" i="19"/>
  <c r="R266" i="19"/>
  <c r="Q266" i="19"/>
  <c r="P266" i="19"/>
  <c r="O266" i="19"/>
  <c r="N266" i="19"/>
  <c r="M266" i="19"/>
  <c r="L266" i="19"/>
  <c r="K266" i="19"/>
  <c r="J266" i="19"/>
  <c r="I266" i="19"/>
  <c r="H266" i="19"/>
  <c r="G266" i="19"/>
  <c r="F266" i="19"/>
  <c r="E266" i="19"/>
  <c r="D266" i="19"/>
  <c r="C266" i="19"/>
  <c r="B266" i="19"/>
  <c r="A266" i="19"/>
  <c r="S265" i="19"/>
  <c r="R265" i="19"/>
  <c r="Q265" i="19"/>
  <c r="P265" i="19"/>
  <c r="O265" i="19"/>
  <c r="N265" i="19"/>
  <c r="M265" i="19"/>
  <c r="L265" i="19"/>
  <c r="K265" i="19"/>
  <c r="J265" i="19"/>
  <c r="I265" i="19"/>
  <c r="H265" i="19"/>
  <c r="G265" i="19"/>
  <c r="F265" i="19"/>
  <c r="E265" i="19"/>
  <c r="D265" i="19"/>
  <c r="C265" i="19"/>
  <c r="B265" i="19"/>
  <c r="A265" i="19"/>
  <c r="S264" i="19"/>
  <c r="R264" i="19"/>
  <c r="Q264" i="19"/>
  <c r="P264" i="19"/>
  <c r="O264" i="19"/>
  <c r="N264" i="19"/>
  <c r="M264" i="19"/>
  <c r="L264" i="19"/>
  <c r="K264" i="19"/>
  <c r="J264" i="19"/>
  <c r="I264" i="19"/>
  <c r="H264" i="19"/>
  <c r="G264" i="19"/>
  <c r="F264" i="19"/>
  <c r="E264" i="19"/>
  <c r="D264" i="19"/>
  <c r="C264" i="19"/>
  <c r="B264" i="19"/>
  <c r="A264" i="19"/>
  <c r="S263" i="19"/>
  <c r="R263" i="19"/>
  <c r="Q263" i="19"/>
  <c r="P263" i="19"/>
  <c r="O263" i="19"/>
  <c r="N263" i="19"/>
  <c r="M263" i="19"/>
  <c r="L263" i="19"/>
  <c r="K263" i="19"/>
  <c r="J263" i="19"/>
  <c r="I263" i="19"/>
  <c r="H263" i="19"/>
  <c r="G263" i="19"/>
  <c r="F263" i="19"/>
  <c r="E263" i="19"/>
  <c r="D263" i="19"/>
  <c r="C263" i="19"/>
  <c r="B263" i="19"/>
  <c r="A263" i="19"/>
  <c r="S262" i="19"/>
  <c r="R262" i="19"/>
  <c r="Q262" i="19"/>
  <c r="P262" i="19"/>
  <c r="O262" i="19"/>
  <c r="N262" i="19"/>
  <c r="M262" i="19"/>
  <c r="L262" i="19"/>
  <c r="K262" i="19"/>
  <c r="J262" i="19"/>
  <c r="I262" i="19"/>
  <c r="H262" i="19"/>
  <c r="G262" i="19"/>
  <c r="F262" i="19"/>
  <c r="E262" i="19"/>
  <c r="D262" i="19"/>
  <c r="C262" i="19"/>
  <c r="B262" i="19"/>
  <c r="A262" i="19"/>
  <c r="S261" i="19"/>
  <c r="R261" i="19"/>
  <c r="Q261" i="19"/>
  <c r="P261" i="19"/>
  <c r="O261" i="19"/>
  <c r="N261" i="19"/>
  <c r="M261" i="19"/>
  <c r="L261" i="19"/>
  <c r="K261" i="19"/>
  <c r="J261" i="19"/>
  <c r="I261" i="19"/>
  <c r="H261" i="19"/>
  <c r="G261" i="19"/>
  <c r="F261" i="19"/>
  <c r="E261" i="19"/>
  <c r="D261" i="19"/>
  <c r="C261" i="19"/>
  <c r="B261" i="19"/>
  <c r="A261" i="19"/>
  <c r="S260" i="19"/>
  <c r="R260" i="19"/>
  <c r="Q260" i="19"/>
  <c r="P260" i="19"/>
  <c r="O260" i="19"/>
  <c r="N260" i="19"/>
  <c r="M260" i="19"/>
  <c r="L260" i="19"/>
  <c r="K260" i="19"/>
  <c r="J260" i="19"/>
  <c r="I260" i="19"/>
  <c r="H260" i="19"/>
  <c r="G260" i="19"/>
  <c r="F260" i="19"/>
  <c r="E260" i="19"/>
  <c r="D260" i="19"/>
  <c r="C260" i="19"/>
  <c r="B260" i="19"/>
  <c r="A260" i="19"/>
  <c r="S259" i="19"/>
  <c r="R259" i="19"/>
  <c r="Q259" i="19"/>
  <c r="P259" i="19"/>
  <c r="O259" i="19"/>
  <c r="N259" i="19"/>
  <c r="M259" i="19"/>
  <c r="L259" i="19"/>
  <c r="K259" i="19"/>
  <c r="J259" i="19"/>
  <c r="I259" i="19"/>
  <c r="H259" i="19"/>
  <c r="G259" i="19"/>
  <c r="F259" i="19"/>
  <c r="E259" i="19"/>
  <c r="D259" i="19"/>
  <c r="C259" i="19"/>
  <c r="B259" i="19"/>
  <c r="A259" i="19"/>
  <c r="S258" i="19"/>
  <c r="R258" i="19"/>
  <c r="Q258" i="19"/>
  <c r="P258" i="19"/>
  <c r="O258" i="19"/>
  <c r="N258" i="19"/>
  <c r="M258" i="19"/>
  <c r="L258" i="19"/>
  <c r="K258" i="19"/>
  <c r="J258" i="19"/>
  <c r="I258" i="19"/>
  <c r="H258" i="19"/>
  <c r="G258" i="19"/>
  <c r="F258" i="19"/>
  <c r="E258" i="19"/>
  <c r="D258" i="19"/>
  <c r="C258" i="19"/>
  <c r="B258" i="19"/>
  <c r="A258" i="19"/>
  <c r="S257" i="19"/>
  <c r="R257" i="19"/>
  <c r="Q257" i="19"/>
  <c r="P257" i="19"/>
  <c r="O257" i="19"/>
  <c r="N257" i="19"/>
  <c r="M257" i="19"/>
  <c r="L257" i="19"/>
  <c r="K257" i="19"/>
  <c r="J257" i="19"/>
  <c r="I257" i="19"/>
  <c r="H257" i="19"/>
  <c r="G257" i="19"/>
  <c r="F257" i="19"/>
  <c r="E257" i="19"/>
  <c r="D257" i="19"/>
  <c r="C257" i="19"/>
  <c r="B257" i="19"/>
  <c r="A257" i="19"/>
  <c r="S256" i="19"/>
  <c r="R256" i="19"/>
  <c r="Q256" i="19"/>
  <c r="P256" i="19"/>
  <c r="O256" i="19"/>
  <c r="N256" i="19"/>
  <c r="M256" i="19"/>
  <c r="L256" i="19"/>
  <c r="K256" i="19"/>
  <c r="J256" i="19"/>
  <c r="I256" i="19"/>
  <c r="H256" i="19"/>
  <c r="G256" i="19"/>
  <c r="F256" i="19"/>
  <c r="E256" i="19"/>
  <c r="D256" i="19"/>
  <c r="C256" i="19"/>
  <c r="B256" i="19"/>
  <c r="A256" i="19"/>
  <c r="S255" i="19"/>
  <c r="R255" i="19"/>
  <c r="Q255" i="19"/>
  <c r="P255" i="19"/>
  <c r="O255" i="19"/>
  <c r="N255" i="19"/>
  <c r="M255" i="19"/>
  <c r="L255" i="19"/>
  <c r="K255" i="19"/>
  <c r="J255" i="19"/>
  <c r="I255" i="19"/>
  <c r="H255" i="19"/>
  <c r="G255" i="19"/>
  <c r="F255" i="19"/>
  <c r="E255" i="19"/>
  <c r="D255" i="19"/>
  <c r="C255" i="19"/>
  <c r="B255" i="19"/>
  <c r="A255" i="19"/>
  <c r="S254" i="19"/>
  <c r="R254" i="19"/>
  <c r="Q254" i="19"/>
  <c r="P254" i="19"/>
  <c r="O254" i="19"/>
  <c r="N254" i="19"/>
  <c r="M254" i="19"/>
  <c r="L254" i="19"/>
  <c r="K254" i="19"/>
  <c r="J254" i="19"/>
  <c r="I254" i="19"/>
  <c r="H254" i="19"/>
  <c r="G254" i="19"/>
  <c r="F254" i="19"/>
  <c r="E254" i="19"/>
  <c r="D254" i="19"/>
  <c r="C254" i="19"/>
  <c r="B254" i="19"/>
  <c r="A254" i="19"/>
  <c r="S253" i="19"/>
  <c r="R253" i="19"/>
  <c r="Q253" i="19"/>
  <c r="P253" i="19"/>
  <c r="O253" i="19"/>
  <c r="N253" i="19"/>
  <c r="M253" i="19"/>
  <c r="L253" i="19"/>
  <c r="K253" i="19"/>
  <c r="J253" i="19"/>
  <c r="I253" i="19"/>
  <c r="H253" i="19"/>
  <c r="G253" i="19"/>
  <c r="F253" i="19"/>
  <c r="E253" i="19"/>
  <c r="D253" i="19"/>
  <c r="C253" i="19"/>
  <c r="B253" i="19"/>
  <c r="A253" i="19"/>
  <c r="S252" i="19"/>
  <c r="R252" i="19"/>
  <c r="Q252" i="19"/>
  <c r="P252" i="19"/>
  <c r="O252" i="19"/>
  <c r="N252" i="19"/>
  <c r="M252" i="19"/>
  <c r="L252" i="19"/>
  <c r="K252" i="19"/>
  <c r="J252" i="19"/>
  <c r="I252" i="19"/>
  <c r="H252" i="19"/>
  <c r="G252" i="19"/>
  <c r="F252" i="19"/>
  <c r="E252" i="19"/>
  <c r="D252" i="19"/>
  <c r="C252" i="19"/>
  <c r="B252" i="19"/>
  <c r="A252" i="19"/>
  <c r="S251" i="19"/>
  <c r="R251" i="19"/>
  <c r="Q251" i="19"/>
  <c r="P251" i="19"/>
  <c r="O251" i="19"/>
  <c r="N251" i="19"/>
  <c r="M251" i="19"/>
  <c r="L251" i="19"/>
  <c r="K251" i="19"/>
  <c r="J251" i="19"/>
  <c r="I251" i="19"/>
  <c r="H251" i="19"/>
  <c r="G251" i="19"/>
  <c r="F251" i="19"/>
  <c r="E251" i="19"/>
  <c r="D251" i="19"/>
  <c r="C251" i="19"/>
  <c r="B251" i="19"/>
  <c r="A251" i="19"/>
  <c r="S250" i="19"/>
  <c r="R250" i="19"/>
  <c r="Q250" i="19"/>
  <c r="P250" i="19"/>
  <c r="O250" i="19"/>
  <c r="N250" i="19"/>
  <c r="M250" i="19"/>
  <c r="L250" i="19"/>
  <c r="K250" i="19"/>
  <c r="J250" i="19"/>
  <c r="I250" i="19"/>
  <c r="H250" i="19"/>
  <c r="G250" i="19"/>
  <c r="F250" i="19"/>
  <c r="E250" i="19"/>
  <c r="D250" i="19"/>
  <c r="C250" i="19"/>
  <c r="B250" i="19"/>
  <c r="A250" i="19"/>
  <c r="S249" i="19"/>
  <c r="R249" i="19"/>
  <c r="Q249" i="19"/>
  <c r="P249" i="19"/>
  <c r="O249" i="19"/>
  <c r="N249" i="19"/>
  <c r="M249" i="19"/>
  <c r="L249" i="19"/>
  <c r="K249" i="19"/>
  <c r="J249" i="19"/>
  <c r="I249" i="19"/>
  <c r="H249" i="19"/>
  <c r="G249" i="19"/>
  <c r="F249" i="19"/>
  <c r="E249" i="19"/>
  <c r="D249" i="19"/>
  <c r="C249" i="19"/>
  <c r="B249" i="19"/>
  <c r="A249" i="19"/>
  <c r="S248" i="19"/>
  <c r="R248" i="19"/>
  <c r="Q248" i="19"/>
  <c r="P248" i="19"/>
  <c r="O248" i="19"/>
  <c r="N248" i="19"/>
  <c r="M248" i="19"/>
  <c r="L248" i="19"/>
  <c r="K248" i="19"/>
  <c r="J248" i="19"/>
  <c r="I248" i="19"/>
  <c r="H248" i="19"/>
  <c r="G248" i="19"/>
  <c r="F248" i="19"/>
  <c r="E248" i="19"/>
  <c r="D248" i="19"/>
  <c r="C248" i="19"/>
  <c r="B248" i="19"/>
  <c r="A248" i="19"/>
  <c r="S247" i="19"/>
  <c r="R247" i="19"/>
  <c r="Q247" i="19"/>
  <c r="P247" i="19"/>
  <c r="O247" i="19"/>
  <c r="N247" i="19"/>
  <c r="M247" i="19"/>
  <c r="L247" i="19"/>
  <c r="K247" i="19"/>
  <c r="J247" i="19"/>
  <c r="I247" i="19"/>
  <c r="H247" i="19"/>
  <c r="G247" i="19"/>
  <c r="F247" i="19"/>
  <c r="E247" i="19"/>
  <c r="D247" i="19"/>
  <c r="C247" i="19"/>
  <c r="B247" i="19"/>
  <c r="A247" i="19"/>
  <c r="S246" i="19"/>
  <c r="R246" i="19"/>
  <c r="Q246" i="19"/>
  <c r="P246" i="19"/>
  <c r="O246" i="19"/>
  <c r="N246" i="19"/>
  <c r="M246" i="19"/>
  <c r="L246" i="19"/>
  <c r="K246" i="19"/>
  <c r="J246" i="19"/>
  <c r="I246" i="19"/>
  <c r="H246" i="19"/>
  <c r="G246" i="19"/>
  <c r="F246" i="19"/>
  <c r="E246" i="19"/>
  <c r="D246" i="19"/>
  <c r="C246" i="19"/>
  <c r="B246" i="19"/>
  <c r="A246" i="19"/>
  <c r="S245" i="19"/>
  <c r="R245" i="19"/>
  <c r="Q245" i="19"/>
  <c r="P245" i="19"/>
  <c r="O245" i="19"/>
  <c r="N245" i="19"/>
  <c r="M245" i="19"/>
  <c r="L245" i="19"/>
  <c r="K245" i="19"/>
  <c r="J245" i="19"/>
  <c r="I245" i="19"/>
  <c r="H245" i="19"/>
  <c r="G245" i="19"/>
  <c r="F245" i="19"/>
  <c r="E245" i="19"/>
  <c r="D245" i="19"/>
  <c r="C245" i="19"/>
  <c r="B245" i="19"/>
  <c r="A245" i="19"/>
  <c r="S244" i="19"/>
  <c r="R244" i="19"/>
  <c r="Q244" i="19"/>
  <c r="P244" i="19"/>
  <c r="O244" i="19"/>
  <c r="N244" i="19"/>
  <c r="M244" i="19"/>
  <c r="L244" i="19"/>
  <c r="K244" i="19"/>
  <c r="J244" i="19"/>
  <c r="I244" i="19"/>
  <c r="H244" i="19"/>
  <c r="G244" i="19"/>
  <c r="F244" i="19"/>
  <c r="E244" i="19"/>
  <c r="D244" i="19"/>
  <c r="C244" i="19"/>
  <c r="B244" i="19"/>
  <c r="A244" i="19"/>
  <c r="S243" i="19"/>
  <c r="R243" i="19"/>
  <c r="Q243" i="19"/>
  <c r="P243" i="19"/>
  <c r="O243" i="19"/>
  <c r="N243" i="19"/>
  <c r="M243" i="19"/>
  <c r="L243" i="19"/>
  <c r="K243" i="19"/>
  <c r="J243" i="19"/>
  <c r="I243" i="19"/>
  <c r="H243" i="19"/>
  <c r="G243" i="19"/>
  <c r="F243" i="19"/>
  <c r="E243" i="19"/>
  <c r="D243" i="19"/>
  <c r="C243" i="19"/>
  <c r="B243" i="19"/>
  <c r="A243" i="19"/>
  <c r="S242" i="19"/>
  <c r="R242" i="19"/>
  <c r="Q242" i="19"/>
  <c r="P242" i="19"/>
  <c r="O242" i="19"/>
  <c r="N242" i="19"/>
  <c r="M242" i="19"/>
  <c r="L242" i="19"/>
  <c r="K242" i="19"/>
  <c r="J242" i="19"/>
  <c r="I242" i="19"/>
  <c r="H242" i="19"/>
  <c r="G242" i="19"/>
  <c r="F242" i="19"/>
  <c r="E242" i="19"/>
  <c r="D242" i="19"/>
  <c r="C242" i="19"/>
  <c r="B242" i="19"/>
  <c r="A242" i="19"/>
  <c r="S241" i="19"/>
  <c r="R241" i="19"/>
  <c r="Q241" i="19"/>
  <c r="P241" i="19"/>
  <c r="O241" i="19"/>
  <c r="N241" i="19"/>
  <c r="M241" i="19"/>
  <c r="L241" i="19"/>
  <c r="K241" i="19"/>
  <c r="J241" i="19"/>
  <c r="I241" i="19"/>
  <c r="H241" i="19"/>
  <c r="G241" i="19"/>
  <c r="F241" i="19"/>
  <c r="E241" i="19"/>
  <c r="D241" i="19"/>
  <c r="C241" i="19"/>
  <c r="B241" i="19"/>
  <c r="A241" i="19"/>
  <c r="S240" i="19"/>
  <c r="R240" i="19"/>
  <c r="Q240" i="19"/>
  <c r="P240" i="19"/>
  <c r="O240" i="19"/>
  <c r="N240" i="19"/>
  <c r="M240" i="19"/>
  <c r="L240" i="19"/>
  <c r="K240" i="19"/>
  <c r="J240" i="19"/>
  <c r="I240" i="19"/>
  <c r="H240" i="19"/>
  <c r="G240" i="19"/>
  <c r="F240" i="19"/>
  <c r="E240" i="19"/>
  <c r="D240" i="19"/>
  <c r="C240" i="19"/>
  <c r="B240" i="19"/>
  <c r="A240" i="19"/>
  <c r="S239" i="19"/>
  <c r="R239" i="19"/>
  <c r="Q239" i="19"/>
  <c r="P239" i="19"/>
  <c r="O239" i="19"/>
  <c r="N239" i="19"/>
  <c r="M239" i="19"/>
  <c r="L239" i="19"/>
  <c r="K239" i="19"/>
  <c r="J239" i="19"/>
  <c r="I239" i="19"/>
  <c r="H239" i="19"/>
  <c r="G239" i="19"/>
  <c r="F239" i="19"/>
  <c r="E239" i="19"/>
  <c r="D239" i="19"/>
  <c r="C239" i="19"/>
  <c r="B239" i="19"/>
  <c r="A239" i="19"/>
  <c r="S238" i="19"/>
  <c r="R238" i="19"/>
  <c r="Q238" i="19"/>
  <c r="P238" i="19"/>
  <c r="O238" i="19"/>
  <c r="N238" i="19"/>
  <c r="M238" i="19"/>
  <c r="L238" i="19"/>
  <c r="K238" i="19"/>
  <c r="J238" i="19"/>
  <c r="I238" i="19"/>
  <c r="H238" i="19"/>
  <c r="G238" i="19"/>
  <c r="F238" i="19"/>
  <c r="E238" i="19"/>
  <c r="D238" i="19"/>
  <c r="C238" i="19"/>
  <c r="B238" i="19"/>
  <c r="A238" i="19"/>
  <c r="S237" i="19"/>
  <c r="R237" i="19"/>
  <c r="Q237" i="19"/>
  <c r="P237" i="19"/>
  <c r="O237" i="19"/>
  <c r="N237" i="19"/>
  <c r="M237" i="19"/>
  <c r="L237" i="19"/>
  <c r="K237" i="19"/>
  <c r="J237" i="19"/>
  <c r="I237" i="19"/>
  <c r="H237" i="19"/>
  <c r="G237" i="19"/>
  <c r="F237" i="19"/>
  <c r="E237" i="19"/>
  <c r="D237" i="19"/>
  <c r="C237" i="19"/>
  <c r="B237" i="19"/>
  <c r="A237" i="19"/>
  <c r="S236" i="19"/>
  <c r="R236" i="19"/>
  <c r="Q236" i="19"/>
  <c r="P236" i="19"/>
  <c r="O236" i="19"/>
  <c r="N236" i="19"/>
  <c r="M236" i="19"/>
  <c r="L236" i="19"/>
  <c r="K236" i="19"/>
  <c r="J236" i="19"/>
  <c r="I236" i="19"/>
  <c r="H236" i="19"/>
  <c r="G236" i="19"/>
  <c r="F236" i="19"/>
  <c r="E236" i="19"/>
  <c r="D236" i="19"/>
  <c r="C236" i="19"/>
  <c r="B236" i="19"/>
  <c r="A236" i="19"/>
  <c r="S235" i="19"/>
  <c r="R235" i="19"/>
  <c r="Q235" i="19"/>
  <c r="P235" i="19"/>
  <c r="O235" i="19"/>
  <c r="N235" i="19"/>
  <c r="M235" i="19"/>
  <c r="L235" i="19"/>
  <c r="K235" i="19"/>
  <c r="J235" i="19"/>
  <c r="I235" i="19"/>
  <c r="H235" i="19"/>
  <c r="G235" i="19"/>
  <c r="F235" i="19"/>
  <c r="E235" i="19"/>
  <c r="D235" i="19"/>
  <c r="C235" i="19"/>
  <c r="B235" i="19"/>
  <c r="A235" i="19"/>
  <c r="S234" i="19"/>
  <c r="R234" i="19"/>
  <c r="Q234" i="19"/>
  <c r="P234" i="19"/>
  <c r="O234" i="19"/>
  <c r="N234" i="19"/>
  <c r="M234" i="19"/>
  <c r="L234" i="19"/>
  <c r="K234" i="19"/>
  <c r="J234" i="19"/>
  <c r="I234" i="19"/>
  <c r="H234" i="19"/>
  <c r="G234" i="19"/>
  <c r="F234" i="19"/>
  <c r="E234" i="19"/>
  <c r="D234" i="19"/>
  <c r="C234" i="19"/>
  <c r="B234" i="19"/>
  <c r="A234" i="19"/>
  <c r="S233" i="19"/>
  <c r="R233" i="19"/>
  <c r="Q233" i="19"/>
  <c r="P233" i="19"/>
  <c r="O233" i="19"/>
  <c r="N233" i="19"/>
  <c r="M233" i="19"/>
  <c r="L233" i="19"/>
  <c r="K233" i="19"/>
  <c r="J233" i="19"/>
  <c r="I233" i="19"/>
  <c r="H233" i="19"/>
  <c r="G233" i="19"/>
  <c r="F233" i="19"/>
  <c r="E233" i="19"/>
  <c r="D233" i="19"/>
  <c r="C233" i="19"/>
  <c r="B233" i="19"/>
  <c r="A233" i="19"/>
  <c r="S232" i="19"/>
  <c r="R232" i="19"/>
  <c r="Q232" i="19"/>
  <c r="P232" i="19"/>
  <c r="O232" i="19"/>
  <c r="N232" i="19"/>
  <c r="M232" i="19"/>
  <c r="L232" i="19"/>
  <c r="K232" i="19"/>
  <c r="J232" i="19"/>
  <c r="I232" i="19"/>
  <c r="H232" i="19"/>
  <c r="G232" i="19"/>
  <c r="F232" i="19"/>
  <c r="E232" i="19"/>
  <c r="D232" i="19"/>
  <c r="C232" i="19"/>
  <c r="B232" i="19"/>
  <c r="A232" i="19"/>
  <c r="S231" i="19"/>
  <c r="R231" i="19"/>
  <c r="Q231" i="19"/>
  <c r="P231" i="19"/>
  <c r="O231" i="19"/>
  <c r="N231" i="19"/>
  <c r="M231" i="19"/>
  <c r="L231" i="19"/>
  <c r="K231" i="19"/>
  <c r="J231" i="19"/>
  <c r="I231" i="19"/>
  <c r="H231" i="19"/>
  <c r="G231" i="19"/>
  <c r="F231" i="19"/>
  <c r="E231" i="19"/>
  <c r="D231" i="19"/>
  <c r="C231" i="19"/>
  <c r="B231" i="19"/>
  <c r="A231" i="19"/>
  <c r="S230" i="19"/>
  <c r="R230" i="19"/>
  <c r="Q230" i="19"/>
  <c r="P230" i="19"/>
  <c r="O230" i="19"/>
  <c r="N230" i="19"/>
  <c r="M230" i="19"/>
  <c r="L230" i="19"/>
  <c r="K230" i="19"/>
  <c r="J230" i="19"/>
  <c r="I230" i="19"/>
  <c r="H230" i="19"/>
  <c r="G230" i="19"/>
  <c r="F230" i="19"/>
  <c r="E230" i="19"/>
  <c r="D230" i="19"/>
  <c r="C230" i="19"/>
  <c r="B230" i="19"/>
  <c r="A230" i="19"/>
  <c r="S229" i="19"/>
  <c r="R229" i="19"/>
  <c r="Q229" i="19"/>
  <c r="P229" i="19"/>
  <c r="O229" i="19"/>
  <c r="N229" i="19"/>
  <c r="M229" i="19"/>
  <c r="L229" i="19"/>
  <c r="K229" i="19"/>
  <c r="J229" i="19"/>
  <c r="I229" i="19"/>
  <c r="H229" i="19"/>
  <c r="G229" i="19"/>
  <c r="F229" i="19"/>
  <c r="E229" i="19"/>
  <c r="D229" i="19"/>
  <c r="C229" i="19"/>
  <c r="B229" i="19"/>
  <c r="A229" i="19"/>
  <c r="S228" i="19"/>
  <c r="R228" i="19"/>
  <c r="Q228" i="19"/>
  <c r="P228" i="19"/>
  <c r="O228" i="19"/>
  <c r="N228" i="19"/>
  <c r="M228" i="19"/>
  <c r="L228" i="19"/>
  <c r="K228" i="19"/>
  <c r="J228" i="19"/>
  <c r="I228" i="19"/>
  <c r="H228" i="19"/>
  <c r="G228" i="19"/>
  <c r="F228" i="19"/>
  <c r="E228" i="19"/>
  <c r="D228" i="19"/>
  <c r="C228" i="19"/>
  <c r="B228" i="19"/>
  <c r="A228" i="19"/>
  <c r="S227" i="19"/>
  <c r="R227" i="19"/>
  <c r="Q227" i="19"/>
  <c r="P227" i="19"/>
  <c r="O227" i="19"/>
  <c r="N227" i="19"/>
  <c r="M227" i="19"/>
  <c r="L227" i="19"/>
  <c r="K227" i="19"/>
  <c r="J227" i="19"/>
  <c r="I227" i="19"/>
  <c r="H227" i="19"/>
  <c r="G227" i="19"/>
  <c r="F227" i="19"/>
  <c r="E227" i="19"/>
  <c r="D227" i="19"/>
  <c r="C227" i="19"/>
  <c r="B227" i="19"/>
  <c r="A227" i="19"/>
  <c r="S226" i="19"/>
  <c r="R226" i="19"/>
  <c r="Q226" i="19"/>
  <c r="P226" i="19"/>
  <c r="O226" i="19"/>
  <c r="N226" i="19"/>
  <c r="M226" i="19"/>
  <c r="L226" i="19"/>
  <c r="K226" i="19"/>
  <c r="J226" i="19"/>
  <c r="I226" i="19"/>
  <c r="H226" i="19"/>
  <c r="G226" i="19"/>
  <c r="F226" i="19"/>
  <c r="E226" i="19"/>
  <c r="D226" i="19"/>
  <c r="C226" i="19"/>
  <c r="B226" i="19"/>
  <c r="A226" i="19"/>
  <c r="S225" i="19"/>
  <c r="R225" i="19"/>
  <c r="Q225" i="19"/>
  <c r="P225" i="19"/>
  <c r="O225" i="19"/>
  <c r="N225" i="19"/>
  <c r="M225" i="19"/>
  <c r="L225" i="19"/>
  <c r="K225" i="19"/>
  <c r="J225" i="19"/>
  <c r="I225" i="19"/>
  <c r="H225" i="19"/>
  <c r="G225" i="19"/>
  <c r="F225" i="19"/>
  <c r="E225" i="19"/>
  <c r="D225" i="19"/>
  <c r="C225" i="19"/>
  <c r="B225" i="19"/>
  <c r="A225" i="19"/>
  <c r="S224" i="19"/>
  <c r="R224" i="19"/>
  <c r="Q224" i="19"/>
  <c r="P224" i="19"/>
  <c r="O224" i="19"/>
  <c r="N224" i="19"/>
  <c r="M224" i="19"/>
  <c r="L224" i="19"/>
  <c r="K224" i="19"/>
  <c r="J224" i="19"/>
  <c r="I224" i="19"/>
  <c r="H224" i="19"/>
  <c r="G224" i="19"/>
  <c r="F224" i="19"/>
  <c r="E224" i="19"/>
  <c r="D224" i="19"/>
  <c r="C224" i="19"/>
  <c r="B224" i="19"/>
  <c r="A224" i="19"/>
  <c r="S223" i="19"/>
  <c r="R223" i="19"/>
  <c r="Q223" i="19"/>
  <c r="P223" i="19"/>
  <c r="O223" i="19"/>
  <c r="N223" i="19"/>
  <c r="M223" i="19"/>
  <c r="L223" i="19"/>
  <c r="K223" i="19"/>
  <c r="J223" i="19"/>
  <c r="I223" i="19"/>
  <c r="H223" i="19"/>
  <c r="G223" i="19"/>
  <c r="F223" i="19"/>
  <c r="E223" i="19"/>
  <c r="D223" i="19"/>
  <c r="C223" i="19"/>
  <c r="B223" i="19"/>
  <c r="A223" i="19"/>
  <c r="S222" i="19"/>
  <c r="R222" i="19"/>
  <c r="Q222" i="19"/>
  <c r="P222" i="19"/>
  <c r="O222" i="19"/>
  <c r="N222" i="19"/>
  <c r="M222" i="19"/>
  <c r="L222" i="19"/>
  <c r="K222" i="19"/>
  <c r="J222" i="19"/>
  <c r="I222" i="19"/>
  <c r="H222" i="19"/>
  <c r="G222" i="19"/>
  <c r="F222" i="19"/>
  <c r="E222" i="19"/>
  <c r="D222" i="19"/>
  <c r="C222" i="19"/>
  <c r="B222" i="19"/>
  <c r="A222" i="19"/>
  <c r="S221" i="19"/>
  <c r="R221" i="19"/>
  <c r="Q221" i="19"/>
  <c r="P221" i="19"/>
  <c r="O221" i="19"/>
  <c r="N221" i="19"/>
  <c r="M221" i="19"/>
  <c r="L221" i="19"/>
  <c r="K221" i="19"/>
  <c r="J221" i="19"/>
  <c r="I221" i="19"/>
  <c r="H221" i="19"/>
  <c r="G221" i="19"/>
  <c r="F221" i="19"/>
  <c r="E221" i="19"/>
  <c r="D221" i="19"/>
  <c r="C221" i="19"/>
  <c r="B221" i="19"/>
  <c r="A221" i="19"/>
  <c r="S220" i="19"/>
  <c r="R220" i="19"/>
  <c r="Q220" i="19"/>
  <c r="P220" i="19"/>
  <c r="O220" i="19"/>
  <c r="N220" i="19"/>
  <c r="M220" i="19"/>
  <c r="L220" i="19"/>
  <c r="K220" i="19"/>
  <c r="J220" i="19"/>
  <c r="I220" i="19"/>
  <c r="H220" i="19"/>
  <c r="G220" i="19"/>
  <c r="F220" i="19"/>
  <c r="E220" i="19"/>
  <c r="D220" i="19"/>
  <c r="C220" i="19"/>
  <c r="B220" i="19"/>
  <c r="A220" i="19"/>
  <c r="S219" i="19"/>
  <c r="R219" i="19"/>
  <c r="Q219" i="19"/>
  <c r="P219" i="19"/>
  <c r="O219" i="19"/>
  <c r="N219" i="19"/>
  <c r="M219" i="19"/>
  <c r="L219" i="19"/>
  <c r="K219" i="19"/>
  <c r="J219" i="19"/>
  <c r="I219" i="19"/>
  <c r="H219" i="19"/>
  <c r="G219" i="19"/>
  <c r="F219" i="19"/>
  <c r="E219" i="19"/>
  <c r="D219" i="19"/>
  <c r="C219" i="19"/>
  <c r="B219" i="19"/>
  <c r="A219" i="19"/>
  <c r="S218" i="19"/>
  <c r="R218" i="19"/>
  <c r="Q218" i="19"/>
  <c r="P218" i="19"/>
  <c r="O218" i="19"/>
  <c r="N218" i="19"/>
  <c r="M218" i="19"/>
  <c r="L218" i="19"/>
  <c r="K218" i="19"/>
  <c r="J218" i="19"/>
  <c r="I218" i="19"/>
  <c r="H218" i="19"/>
  <c r="G218" i="19"/>
  <c r="F218" i="19"/>
  <c r="E218" i="19"/>
  <c r="D218" i="19"/>
  <c r="C218" i="19"/>
  <c r="B218" i="19"/>
  <c r="A218" i="19"/>
  <c r="S217" i="19"/>
  <c r="R217" i="19"/>
  <c r="Q217" i="19"/>
  <c r="P217" i="19"/>
  <c r="O217" i="19"/>
  <c r="N217" i="19"/>
  <c r="M217" i="19"/>
  <c r="L217" i="19"/>
  <c r="K217" i="19"/>
  <c r="J217" i="19"/>
  <c r="I217" i="19"/>
  <c r="H217" i="19"/>
  <c r="G217" i="19"/>
  <c r="F217" i="19"/>
  <c r="E217" i="19"/>
  <c r="D217" i="19"/>
  <c r="C217" i="19"/>
  <c r="B217" i="19"/>
  <c r="A217" i="19"/>
  <c r="S216" i="19"/>
  <c r="R216" i="19"/>
  <c r="Q216" i="19"/>
  <c r="P216" i="19"/>
  <c r="O216" i="19"/>
  <c r="N216" i="19"/>
  <c r="M216" i="19"/>
  <c r="L216" i="19"/>
  <c r="K216" i="19"/>
  <c r="J216" i="19"/>
  <c r="I216" i="19"/>
  <c r="H216" i="19"/>
  <c r="G216" i="19"/>
  <c r="F216" i="19"/>
  <c r="E216" i="19"/>
  <c r="D216" i="19"/>
  <c r="C216" i="19"/>
  <c r="B216" i="19"/>
  <c r="A216" i="19"/>
  <c r="S215" i="19"/>
  <c r="R215" i="19"/>
  <c r="Q215" i="19"/>
  <c r="P215" i="19"/>
  <c r="O215" i="19"/>
  <c r="N215" i="19"/>
  <c r="M215" i="19"/>
  <c r="L215" i="19"/>
  <c r="K215" i="19"/>
  <c r="J215" i="19"/>
  <c r="I215" i="19"/>
  <c r="H215" i="19"/>
  <c r="G215" i="19"/>
  <c r="F215" i="19"/>
  <c r="E215" i="19"/>
  <c r="D215" i="19"/>
  <c r="C215" i="19"/>
  <c r="B215" i="19"/>
  <c r="A215" i="19"/>
  <c r="S214" i="19"/>
  <c r="R214" i="19"/>
  <c r="Q214" i="19"/>
  <c r="P214" i="19"/>
  <c r="O214" i="19"/>
  <c r="N214" i="19"/>
  <c r="M214" i="19"/>
  <c r="L214" i="19"/>
  <c r="K214" i="19"/>
  <c r="J214" i="19"/>
  <c r="I214" i="19"/>
  <c r="H214" i="19"/>
  <c r="G214" i="19"/>
  <c r="F214" i="19"/>
  <c r="E214" i="19"/>
  <c r="D214" i="19"/>
  <c r="C214" i="19"/>
  <c r="B214" i="19"/>
  <c r="A214" i="19"/>
  <c r="S213" i="19"/>
  <c r="R213" i="19"/>
  <c r="Q213" i="19"/>
  <c r="P213" i="19"/>
  <c r="O213" i="19"/>
  <c r="N213" i="19"/>
  <c r="M213" i="19"/>
  <c r="L213" i="19"/>
  <c r="K213" i="19"/>
  <c r="J213" i="19"/>
  <c r="I213" i="19"/>
  <c r="H213" i="19"/>
  <c r="G213" i="19"/>
  <c r="F213" i="19"/>
  <c r="E213" i="19"/>
  <c r="D213" i="19"/>
  <c r="C213" i="19"/>
  <c r="B213" i="19"/>
  <c r="A213" i="19"/>
  <c r="S212" i="19"/>
  <c r="R212" i="19"/>
  <c r="Q212" i="19"/>
  <c r="P212" i="19"/>
  <c r="O212" i="19"/>
  <c r="N212" i="19"/>
  <c r="M212" i="19"/>
  <c r="L212" i="19"/>
  <c r="K212" i="19"/>
  <c r="J212" i="19"/>
  <c r="I212" i="19"/>
  <c r="H212" i="19"/>
  <c r="G212" i="19"/>
  <c r="F212" i="19"/>
  <c r="E212" i="19"/>
  <c r="D212" i="19"/>
  <c r="C212" i="19"/>
  <c r="B212" i="19"/>
  <c r="A212" i="19"/>
  <c r="S211" i="19"/>
  <c r="R211" i="19"/>
  <c r="Q211" i="19"/>
  <c r="P211" i="19"/>
  <c r="O211" i="19"/>
  <c r="N211" i="19"/>
  <c r="M211" i="19"/>
  <c r="L211" i="19"/>
  <c r="K211" i="19"/>
  <c r="J211" i="19"/>
  <c r="I211" i="19"/>
  <c r="H211" i="19"/>
  <c r="G211" i="19"/>
  <c r="F211" i="19"/>
  <c r="E211" i="19"/>
  <c r="D211" i="19"/>
  <c r="C211" i="19"/>
  <c r="B211" i="19"/>
  <c r="A211" i="19"/>
  <c r="S210" i="19"/>
  <c r="R210" i="19"/>
  <c r="Q210" i="19"/>
  <c r="P210" i="19"/>
  <c r="O210" i="19"/>
  <c r="N210" i="19"/>
  <c r="M210" i="19"/>
  <c r="L210" i="19"/>
  <c r="K210" i="19"/>
  <c r="J210" i="19"/>
  <c r="I210" i="19"/>
  <c r="H210" i="19"/>
  <c r="G210" i="19"/>
  <c r="F210" i="19"/>
  <c r="E210" i="19"/>
  <c r="D210" i="19"/>
  <c r="C210" i="19"/>
  <c r="B210" i="19"/>
  <c r="A210" i="19"/>
  <c r="S209" i="19"/>
  <c r="R209" i="19"/>
  <c r="Q209" i="19"/>
  <c r="P209" i="19"/>
  <c r="O209" i="19"/>
  <c r="N209" i="19"/>
  <c r="M209" i="19"/>
  <c r="L209" i="19"/>
  <c r="K209" i="19"/>
  <c r="J209" i="19"/>
  <c r="I209" i="19"/>
  <c r="H209" i="19"/>
  <c r="G209" i="19"/>
  <c r="F209" i="19"/>
  <c r="E209" i="19"/>
  <c r="D209" i="19"/>
  <c r="C209" i="19"/>
  <c r="B209" i="19"/>
  <c r="A209" i="19"/>
  <c r="S208" i="19"/>
  <c r="R208" i="19"/>
  <c r="Q208" i="19"/>
  <c r="P208" i="19"/>
  <c r="O208" i="19"/>
  <c r="N208" i="19"/>
  <c r="M208" i="19"/>
  <c r="L208" i="19"/>
  <c r="K208" i="19"/>
  <c r="J208" i="19"/>
  <c r="I208" i="19"/>
  <c r="H208" i="19"/>
  <c r="G208" i="19"/>
  <c r="F208" i="19"/>
  <c r="E208" i="19"/>
  <c r="D208" i="19"/>
  <c r="C208" i="19"/>
  <c r="B208" i="19"/>
  <c r="A208" i="19"/>
  <c r="S207" i="19"/>
  <c r="R207" i="19"/>
  <c r="Q207" i="19"/>
  <c r="P207" i="19"/>
  <c r="O207" i="19"/>
  <c r="N207" i="19"/>
  <c r="M207" i="19"/>
  <c r="L207" i="19"/>
  <c r="K207" i="19"/>
  <c r="J207" i="19"/>
  <c r="I207" i="19"/>
  <c r="H207" i="19"/>
  <c r="G207" i="19"/>
  <c r="F207" i="19"/>
  <c r="E207" i="19"/>
  <c r="D207" i="19"/>
  <c r="C207" i="19"/>
  <c r="B207" i="19"/>
  <c r="A207" i="19"/>
  <c r="S206" i="19"/>
  <c r="R206" i="19"/>
  <c r="Q206" i="19"/>
  <c r="P206" i="19"/>
  <c r="O206" i="19"/>
  <c r="N206" i="19"/>
  <c r="M206" i="19"/>
  <c r="L206" i="19"/>
  <c r="K206" i="19"/>
  <c r="J206" i="19"/>
  <c r="I206" i="19"/>
  <c r="H206" i="19"/>
  <c r="G206" i="19"/>
  <c r="F206" i="19"/>
  <c r="E206" i="19"/>
  <c r="D206" i="19"/>
  <c r="C206" i="19"/>
  <c r="B206" i="19"/>
  <c r="A206" i="19"/>
  <c r="S205" i="19"/>
  <c r="R205" i="19"/>
  <c r="Q205" i="19"/>
  <c r="P205" i="19"/>
  <c r="O205" i="19"/>
  <c r="N205" i="19"/>
  <c r="M205" i="19"/>
  <c r="L205" i="19"/>
  <c r="K205" i="19"/>
  <c r="J205" i="19"/>
  <c r="I205" i="19"/>
  <c r="H205" i="19"/>
  <c r="G205" i="19"/>
  <c r="F205" i="19"/>
  <c r="E205" i="19"/>
  <c r="D205" i="19"/>
  <c r="C205" i="19"/>
  <c r="B205" i="19"/>
  <c r="A205" i="19"/>
  <c r="S204" i="19"/>
  <c r="R204" i="19"/>
  <c r="Q204" i="19"/>
  <c r="P204" i="19"/>
  <c r="O204" i="19"/>
  <c r="N204" i="19"/>
  <c r="M204" i="19"/>
  <c r="L204" i="19"/>
  <c r="K204" i="19"/>
  <c r="J204" i="19"/>
  <c r="I204" i="19"/>
  <c r="H204" i="19"/>
  <c r="G204" i="19"/>
  <c r="F204" i="19"/>
  <c r="E204" i="19"/>
  <c r="D204" i="19"/>
  <c r="C204" i="19"/>
  <c r="B204" i="19"/>
  <c r="A204" i="19"/>
  <c r="S203" i="19"/>
  <c r="R203" i="19"/>
  <c r="Q203" i="19"/>
  <c r="P203" i="19"/>
  <c r="O203" i="19"/>
  <c r="N203" i="19"/>
  <c r="M203" i="19"/>
  <c r="L203" i="19"/>
  <c r="K203" i="19"/>
  <c r="J203" i="19"/>
  <c r="I203" i="19"/>
  <c r="H203" i="19"/>
  <c r="G203" i="19"/>
  <c r="F203" i="19"/>
  <c r="E203" i="19"/>
  <c r="D203" i="19"/>
  <c r="C203" i="19"/>
  <c r="B203" i="19"/>
  <c r="A203" i="19"/>
  <c r="S202" i="19"/>
  <c r="R202" i="19"/>
  <c r="Q202" i="19"/>
  <c r="P202" i="19"/>
  <c r="O202" i="19"/>
  <c r="N202" i="19"/>
  <c r="M202" i="19"/>
  <c r="L202" i="19"/>
  <c r="K202" i="19"/>
  <c r="J202" i="19"/>
  <c r="I202" i="19"/>
  <c r="H202" i="19"/>
  <c r="G202" i="19"/>
  <c r="F202" i="19"/>
  <c r="E202" i="19"/>
  <c r="D202" i="19"/>
  <c r="C202" i="19"/>
  <c r="B202" i="19"/>
  <c r="A202" i="19"/>
  <c r="S201" i="19"/>
  <c r="R201" i="19"/>
  <c r="Q201" i="19"/>
  <c r="P201" i="19"/>
  <c r="O201" i="19"/>
  <c r="N201" i="19"/>
  <c r="M201" i="19"/>
  <c r="L201" i="19"/>
  <c r="K201" i="19"/>
  <c r="J201" i="19"/>
  <c r="I201" i="19"/>
  <c r="H201" i="19"/>
  <c r="G201" i="19"/>
  <c r="F201" i="19"/>
  <c r="E201" i="19"/>
  <c r="D201" i="19"/>
  <c r="C201" i="19"/>
  <c r="B201" i="19"/>
  <c r="A201" i="19"/>
  <c r="S200" i="19"/>
  <c r="R200" i="19"/>
  <c r="Q200" i="19"/>
  <c r="P200" i="19"/>
  <c r="O200" i="19"/>
  <c r="N200" i="19"/>
  <c r="M200" i="19"/>
  <c r="L200" i="19"/>
  <c r="K200" i="19"/>
  <c r="J200" i="19"/>
  <c r="I200" i="19"/>
  <c r="H200" i="19"/>
  <c r="G200" i="19"/>
  <c r="F200" i="19"/>
  <c r="E200" i="19"/>
  <c r="D200" i="19"/>
  <c r="C200" i="19"/>
  <c r="B200" i="19"/>
  <c r="A200" i="19"/>
  <c r="S199" i="19"/>
  <c r="R199" i="19"/>
  <c r="Q199" i="19"/>
  <c r="P199" i="19"/>
  <c r="O199" i="19"/>
  <c r="N199" i="19"/>
  <c r="M199" i="19"/>
  <c r="L199" i="19"/>
  <c r="K199" i="19"/>
  <c r="J199" i="19"/>
  <c r="I199" i="19"/>
  <c r="H199" i="19"/>
  <c r="G199" i="19"/>
  <c r="F199" i="19"/>
  <c r="E199" i="19"/>
  <c r="D199" i="19"/>
  <c r="C199" i="19"/>
  <c r="B199" i="19"/>
  <c r="A199" i="19"/>
  <c r="S198" i="19"/>
  <c r="R198" i="19"/>
  <c r="Q198" i="19"/>
  <c r="P198" i="19"/>
  <c r="O198" i="19"/>
  <c r="N198" i="19"/>
  <c r="M198" i="19"/>
  <c r="L198" i="19"/>
  <c r="K198" i="19"/>
  <c r="J198" i="19"/>
  <c r="I198" i="19"/>
  <c r="H198" i="19"/>
  <c r="G198" i="19"/>
  <c r="F198" i="19"/>
  <c r="E198" i="19"/>
  <c r="D198" i="19"/>
  <c r="C198" i="19"/>
  <c r="B198" i="19"/>
  <c r="A198" i="19"/>
  <c r="S197" i="19"/>
  <c r="R197" i="19"/>
  <c r="Q197" i="19"/>
  <c r="P197" i="19"/>
  <c r="O197" i="19"/>
  <c r="N197" i="19"/>
  <c r="M197" i="19"/>
  <c r="L197" i="19"/>
  <c r="K197" i="19"/>
  <c r="J197" i="19"/>
  <c r="I197" i="19"/>
  <c r="H197" i="19"/>
  <c r="G197" i="19"/>
  <c r="F197" i="19"/>
  <c r="E197" i="19"/>
  <c r="D197" i="19"/>
  <c r="C197" i="19"/>
  <c r="B197" i="19"/>
  <c r="A197" i="19"/>
  <c r="S196" i="19"/>
  <c r="R196" i="19"/>
  <c r="Q196" i="19"/>
  <c r="P196" i="19"/>
  <c r="O196" i="19"/>
  <c r="N196" i="19"/>
  <c r="M196" i="19"/>
  <c r="L196" i="19"/>
  <c r="K196" i="19"/>
  <c r="J196" i="19"/>
  <c r="I196" i="19"/>
  <c r="H196" i="19"/>
  <c r="G196" i="19"/>
  <c r="F196" i="19"/>
  <c r="E196" i="19"/>
  <c r="D196" i="19"/>
  <c r="C196" i="19"/>
  <c r="B196" i="19"/>
  <c r="A196" i="19"/>
  <c r="S195" i="19"/>
  <c r="R195" i="19"/>
  <c r="Q195" i="19"/>
  <c r="P195" i="19"/>
  <c r="O195" i="19"/>
  <c r="N195" i="19"/>
  <c r="M195" i="19"/>
  <c r="L195" i="19"/>
  <c r="K195" i="19"/>
  <c r="J195" i="19"/>
  <c r="I195" i="19"/>
  <c r="H195" i="19"/>
  <c r="G195" i="19"/>
  <c r="F195" i="19"/>
  <c r="E195" i="19"/>
  <c r="D195" i="19"/>
  <c r="C195" i="19"/>
  <c r="B195" i="19"/>
  <c r="A195" i="19"/>
  <c r="S194" i="19"/>
  <c r="R194" i="19"/>
  <c r="Q194" i="19"/>
  <c r="P194" i="19"/>
  <c r="O194" i="19"/>
  <c r="N194" i="19"/>
  <c r="M194" i="19"/>
  <c r="L194" i="19"/>
  <c r="K194" i="19"/>
  <c r="J194" i="19"/>
  <c r="I194" i="19"/>
  <c r="H194" i="19"/>
  <c r="G194" i="19"/>
  <c r="F194" i="19"/>
  <c r="E194" i="19"/>
  <c r="D194" i="19"/>
  <c r="C194" i="19"/>
  <c r="B194" i="19"/>
  <c r="A194" i="19"/>
  <c r="S193" i="19"/>
  <c r="R193" i="19"/>
  <c r="Q193" i="19"/>
  <c r="P193" i="19"/>
  <c r="O193" i="19"/>
  <c r="N193" i="19"/>
  <c r="M193" i="19"/>
  <c r="L193" i="19"/>
  <c r="K193" i="19"/>
  <c r="J193" i="19"/>
  <c r="I193" i="19"/>
  <c r="H193" i="19"/>
  <c r="G193" i="19"/>
  <c r="F193" i="19"/>
  <c r="E193" i="19"/>
  <c r="D193" i="19"/>
  <c r="C193" i="19"/>
  <c r="B193" i="19"/>
  <c r="A193" i="19"/>
  <c r="S192" i="19"/>
  <c r="R192" i="19"/>
  <c r="Q192" i="19"/>
  <c r="P192" i="19"/>
  <c r="O192" i="19"/>
  <c r="N192" i="19"/>
  <c r="M192" i="19"/>
  <c r="L192" i="19"/>
  <c r="K192" i="19"/>
  <c r="J192" i="19"/>
  <c r="I192" i="19"/>
  <c r="H192" i="19"/>
  <c r="G192" i="19"/>
  <c r="F192" i="19"/>
  <c r="E192" i="19"/>
  <c r="D192" i="19"/>
  <c r="C192" i="19"/>
  <c r="B192" i="19"/>
  <c r="A192" i="19"/>
  <c r="S191" i="19"/>
  <c r="R191" i="19"/>
  <c r="Q191" i="19"/>
  <c r="P191" i="19"/>
  <c r="O191" i="19"/>
  <c r="N191" i="19"/>
  <c r="M191" i="19"/>
  <c r="L191" i="19"/>
  <c r="K191" i="19"/>
  <c r="J191" i="19"/>
  <c r="I191" i="19"/>
  <c r="H191" i="19"/>
  <c r="G191" i="19"/>
  <c r="F191" i="19"/>
  <c r="E191" i="19"/>
  <c r="D191" i="19"/>
  <c r="C191" i="19"/>
  <c r="B191" i="19"/>
  <c r="A191" i="19"/>
  <c r="S190" i="19"/>
  <c r="R190" i="19"/>
  <c r="Q190" i="19"/>
  <c r="P190" i="19"/>
  <c r="O190" i="19"/>
  <c r="N190" i="19"/>
  <c r="M190" i="19"/>
  <c r="L190" i="19"/>
  <c r="K190" i="19"/>
  <c r="J190" i="19"/>
  <c r="I190" i="19"/>
  <c r="H190" i="19"/>
  <c r="G190" i="19"/>
  <c r="F190" i="19"/>
  <c r="E190" i="19"/>
  <c r="D190" i="19"/>
  <c r="C190" i="19"/>
  <c r="B190" i="19"/>
  <c r="A190" i="19"/>
  <c r="S189" i="19"/>
  <c r="R189" i="19"/>
  <c r="Q189" i="19"/>
  <c r="P189" i="19"/>
  <c r="O189" i="19"/>
  <c r="N189" i="19"/>
  <c r="M189" i="19"/>
  <c r="L189" i="19"/>
  <c r="K189" i="19"/>
  <c r="J189" i="19"/>
  <c r="I189" i="19"/>
  <c r="H189" i="19"/>
  <c r="G189" i="19"/>
  <c r="F189" i="19"/>
  <c r="E189" i="19"/>
  <c r="D189" i="19"/>
  <c r="C189" i="19"/>
  <c r="B189" i="19"/>
  <c r="A189" i="19"/>
  <c r="S188" i="19"/>
  <c r="R188" i="19"/>
  <c r="Q188" i="19"/>
  <c r="P188" i="19"/>
  <c r="O188" i="19"/>
  <c r="N188" i="19"/>
  <c r="M188" i="19"/>
  <c r="L188" i="19"/>
  <c r="K188" i="19"/>
  <c r="J188" i="19"/>
  <c r="I188" i="19"/>
  <c r="H188" i="19"/>
  <c r="G188" i="19"/>
  <c r="F188" i="19"/>
  <c r="E188" i="19"/>
  <c r="D188" i="19"/>
  <c r="C188" i="19"/>
  <c r="B188" i="19"/>
  <c r="A188" i="19"/>
  <c r="S187" i="19"/>
  <c r="R187" i="19"/>
  <c r="Q187" i="19"/>
  <c r="P187" i="19"/>
  <c r="O187" i="19"/>
  <c r="N187" i="19"/>
  <c r="M187" i="19"/>
  <c r="L187" i="19"/>
  <c r="K187" i="19"/>
  <c r="J187" i="19"/>
  <c r="I187" i="19"/>
  <c r="H187" i="19"/>
  <c r="G187" i="19"/>
  <c r="F187" i="19"/>
  <c r="E187" i="19"/>
  <c r="D187" i="19"/>
  <c r="C187" i="19"/>
  <c r="B187" i="19"/>
  <c r="A187" i="19"/>
  <c r="S186" i="19"/>
  <c r="R186" i="19"/>
  <c r="Q186" i="19"/>
  <c r="P186" i="19"/>
  <c r="O186" i="19"/>
  <c r="N186" i="19"/>
  <c r="M186" i="19"/>
  <c r="L186" i="19"/>
  <c r="K186" i="19"/>
  <c r="J186" i="19"/>
  <c r="I186" i="19"/>
  <c r="H186" i="19"/>
  <c r="G186" i="19"/>
  <c r="F186" i="19"/>
  <c r="E186" i="19"/>
  <c r="D186" i="19"/>
  <c r="C186" i="19"/>
  <c r="B186" i="19"/>
  <c r="A186" i="19"/>
  <c r="S185" i="19"/>
  <c r="R185" i="19"/>
  <c r="Q185" i="19"/>
  <c r="P185" i="19"/>
  <c r="O185" i="19"/>
  <c r="N185" i="19"/>
  <c r="M185" i="19"/>
  <c r="L185" i="19"/>
  <c r="K185" i="19"/>
  <c r="J185" i="19"/>
  <c r="I185" i="19"/>
  <c r="H185" i="19"/>
  <c r="G185" i="19"/>
  <c r="F185" i="19"/>
  <c r="E185" i="19"/>
  <c r="D185" i="19"/>
  <c r="C185" i="19"/>
  <c r="B185" i="19"/>
  <c r="A185" i="19"/>
  <c r="S184" i="19"/>
  <c r="R184" i="19"/>
  <c r="Q184" i="19"/>
  <c r="P184" i="19"/>
  <c r="O184" i="19"/>
  <c r="N184" i="19"/>
  <c r="M184" i="19"/>
  <c r="L184" i="19"/>
  <c r="K184" i="19"/>
  <c r="J184" i="19"/>
  <c r="I184" i="19"/>
  <c r="H184" i="19"/>
  <c r="G184" i="19"/>
  <c r="F184" i="19"/>
  <c r="E184" i="19"/>
  <c r="D184" i="19"/>
  <c r="C184" i="19"/>
  <c r="B184" i="19"/>
  <c r="A184" i="19"/>
  <c r="S183" i="19"/>
  <c r="R183" i="19"/>
  <c r="Q183" i="19"/>
  <c r="P183" i="19"/>
  <c r="O183" i="19"/>
  <c r="N183" i="19"/>
  <c r="M183" i="19"/>
  <c r="L183" i="19"/>
  <c r="K183" i="19"/>
  <c r="J183" i="19"/>
  <c r="I183" i="19"/>
  <c r="H183" i="19"/>
  <c r="G183" i="19"/>
  <c r="F183" i="19"/>
  <c r="E183" i="19"/>
  <c r="D183" i="19"/>
  <c r="C183" i="19"/>
  <c r="B183" i="19"/>
  <c r="A183" i="19"/>
  <c r="S182" i="19"/>
  <c r="R182" i="19"/>
  <c r="Q182" i="19"/>
  <c r="P182" i="19"/>
  <c r="O182" i="19"/>
  <c r="N182" i="19"/>
  <c r="M182" i="19"/>
  <c r="L182" i="19"/>
  <c r="K182" i="19"/>
  <c r="J182" i="19"/>
  <c r="I182" i="19"/>
  <c r="H182" i="19"/>
  <c r="G182" i="19"/>
  <c r="F182" i="19"/>
  <c r="E182" i="19"/>
  <c r="D182" i="19"/>
  <c r="C182" i="19"/>
  <c r="B182" i="19"/>
  <c r="A182" i="19"/>
  <c r="S181" i="19"/>
  <c r="R181" i="19"/>
  <c r="Q181" i="19"/>
  <c r="P181" i="19"/>
  <c r="O181" i="19"/>
  <c r="N181" i="19"/>
  <c r="M181" i="19"/>
  <c r="L181" i="19"/>
  <c r="K181" i="19"/>
  <c r="J181" i="19"/>
  <c r="I181" i="19"/>
  <c r="H181" i="19"/>
  <c r="G181" i="19"/>
  <c r="F181" i="19"/>
  <c r="E181" i="19"/>
  <c r="D181" i="19"/>
  <c r="C181" i="19"/>
  <c r="B181" i="19"/>
  <c r="A181" i="19"/>
  <c r="S180" i="19"/>
  <c r="R180" i="19"/>
  <c r="Q180" i="19"/>
  <c r="P180" i="19"/>
  <c r="O180" i="19"/>
  <c r="N180" i="19"/>
  <c r="M180" i="19"/>
  <c r="L180" i="19"/>
  <c r="K180" i="19"/>
  <c r="J180" i="19"/>
  <c r="I180" i="19"/>
  <c r="H180" i="19"/>
  <c r="G180" i="19"/>
  <c r="F180" i="19"/>
  <c r="E180" i="19"/>
  <c r="D180" i="19"/>
  <c r="C180" i="19"/>
  <c r="B180" i="19"/>
  <c r="A180" i="19"/>
  <c r="S179" i="19"/>
  <c r="R179" i="19"/>
  <c r="Q179" i="19"/>
  <c r="P179" i="19"/>
  <c r="O179" i="19"/>
  <c r="N179" i="19"/>
  <c r="M179" i="19"/>
  <c r="L179" i="19"/>
  <c r="K179" i="19"/>
  <c r="J179" i="19"/>
  <c r="I179" i="19"/>
  <c r="H179" i="19"/>
  <c r="G179" i="19"/>
  <c r="F179" i="19"/>
  <c r="E179" i="19"/>
  <c r="D179" i="19"/>
  <c r="C179" i="19"/>
  <c r="B179" i="19"/>
  <c r="A179" i="19"/>
  <c r="S178" i="19"/>
  <c r="R178" i="19"/>
  <c r="Q178" i="19"/>
  <c r="P178" i="19"/>
  <c r="O178" i="19"/>
  <c r="N178" i="19"/>
  <c r="M178" i="19"/>
  <c r="L178" i="19"/>
  <c r="K178" i="19"/>
  <c r="J178" i="19"/>
  <c r="I178" i="19"/>
  <c r="H178" i="19"/>
  <c r="G178" i="19"/>
  <c r="F178" i="19"/>
  <c r="E178" i="19"/>
  <c r="D178" i="19"/>
  <c r="C178" i="19"/>
  <c r="B178" i="19"/>
  <c r="A178" i="19"/>
  <c r="S177" i="19"/>
  <c r="R177" i="19"/>
  <c r="Q177" i="19"/>
  <c r="P177" i="19"/>
  <c r="O177" i="19"/>
  <c r="N177" i="19"/>
  <c r="M177" i="19"/>
  <c r="L177" i="19"/>
  <c r="K177" i="19"/>
  <c r="J177" i="19"/>
  <c r="I177" i="19"/>
  <c r="H177" i="19"/>
  <c r="G177" i="19"/>
  <c r="F177" i="19"/>
  <c r="E177" i="19"/>
  <c r="D177" i="19"/>
  <c r="C177" i="19"/>
  <c r="B177" i="19"/>
  <c r="A177" i="19"/>
  <c r="S176" i="19"/>
  <c r="R176" i="19"/>
  <c r="Q176" i="19"/>
  <c r="P176" i="19"/>
  <c r="O176" i="19"/>
  <c r="N176" i="19"/>
  <c r="M176" i="19"/>
  <c r="L176" i="19"/>
  <c r="K176" i="19"/>
  <c r="J176" i="19"/>
  <c r="I176" i="19"/>
  <c r="H176" i="19"/>
  <c r="G176" i="19"/>
  <c r="F176" i="19"/>
  <c r="E176" i="19"/>
  <c r="D176" i="19"/>
  <c r="C176" i="19"/>
  <c r="B176" i="19"/>
  <c r="A176" i="19"/>
  <c r="S175" i="19"/>
  <c r="R175" i="19"/>
  <c r="Q175" i="19"/>
  <c r="P175" i="19"/>
  <c r="O175" i="19"/>
  <c r="N175" i="19"/>
  <c r="M175" i="19"/>
  <c r="L175" i="19"/>
  <c r="K175" i="19"/>
  <c r="J175" i="19"/>
  <c r="I175" i="19"/>
  <c r="H175" i="19"/>
  <c r="G175" i="19"/>
  <c r="F175" i="19"/>
  <c r="E175" i="19"/>
  <c r="D175" i="19"/>
  <c r="C175" i="19"/>
  <c r="B175" i="19"/>
  <c r="A175" i="19"/>
  <c r="S174" i="19"/>
  <c r="R174" i="19"/>
  <c r="Q174" i="19"/>
  <c r="P174" i="19"/>
  <c r="O174" i="19"/>
  <c r="N174" i="19"/>
  <c r="M174" i="19"/>
  <c r="L174" i="19"/>
  <c r="K174" i="19"/>
  <c r="J174" i="19"/>
  <c r="I174" i="19"/>
  <c r="H174" i="19"/>
  <c r="G174" i="19"/>
  <c r="F174" i="19"/>
  <c r="E174" i="19"/>
  <c r="D174" i="19"/>
  <c r="C174" i="19"/>
  <c r="B174" i="19"/>
  <c r="A174" i="19"/>
  <c r="S173" i="19"/>
  <c r="R173" i="19"/>
  <c r="Q173" i="19"/>
  <c r="P173" i="19"/>
  <c r="O173" i="19"/>
  <c r="N173" i="19"/>
  <c r="M173" i="19"/>
  <c r="L173" i="19"/>
  <c r="K173" i="19"/>
  <c r="J173" i="19"/>
  <c r="I173" i="19"/>
  <c r="H173" i="19"/>
  <c r="G173" i="19"/>
  <c r="F173" i="19"/>
  <c r="E173" i="19"/>
  <c r="D173" i="19"/>
  <c r="C173" i="19"/>
  <c r="B173" i="19"/>
  <c r="A173" i="19"/>
  <c r="S172" i="19"/>
  <c r="R172" i="19"/>
  <c r="Q172" i="19"/>
  <c r="P172" i="19"/>
  <c r="O172" i="19"/>
  <c r="N172" i="19"/>
  <c r="M172" i="19"/>
  <c r="L172" i="19"/>
  <c r="K172" i="19"/>
  <c r="J172" i="19"/>
  <c r="I172" i="19"/>
  <c r="H172" i="19"/>
  <c r="G172" i="19"/>
  <c r="F172" i="19"/>
  <c r="E172" i="19"/>
  <c r="D172" i="19"/>
  <c r="C172" i="19"/>
  <c r="B172" i="19"/>
  <c r="A172" i="19"/>
  <c r="S171" i="19"/>
  <c r="R171" i="19"/>
  <c r="Q171" i="19"/>
  <c r="P171" i="19"/>
  <c r="O171" i="19"/>
  <c r="N171" i="19"/>
  <c r="M171" i="19"/>
  <c r="L171" i="19"/>
  <c r="K171" i="19"/>
  <c r="J171" i="19"/>
  <c r="I171" i="19"/>
  <c r="H171" i="19"/>
  <c r="G171" i="19"/>
  <c r="F171" i="19"/>
  <c r="E171" i="19"/>
  <c r="D171" i="19"/>
  <c r="C171" i="19"/>
  <c r="B171" i="19"/>
  <c r="A171" i="19"/>
  <c r="S170" i="19"/>
  <c r="R170" i="19"/>
  <c r="Q170" i="19"/>
  <c r="P170" i="19"/>
  <c r="O170" i="19"/>
  <c r="N170" i="19"/>
  <c r="M170" i="19"/>
  <c r="L170" i="19"/>
  <c r="K170" i="19"/>
  <c r="J170" i="19"/>
  <c r="I170" i="19"/>
  <c r="H170" i="19"/>
  <c r="G170" i="19"/>
  <c r="F170" i="19"/>
  <c r="E170" i="19"/>
  <c r="D170" i="19"/>
  <c r="C170" i="19"/>
  <c r="B170" i="19"/>
  <c r="A170" i="19"/>
  <c r="S169" i="19"/>
  <c r="R169" i="19"/>
  <c r="Q169" i="19"/>
  <c r="P169" i="19"/>
  <c r="O169" i="19"/>
  <c r="N169" i="19"/>
  <c r="M169" i="19"/>
  <c r="L169" i="19"/>
  <c r="K169" i="19"/>
  <c r="J169" i="19"/>
  <c r="I169" i="19"/>
  <c r="H169" i="19"/>
  <c r="G169" i="19"/>
  <c r="F169" i="19"/>
  <c r="E169" i="19"/>
  <c r="D169" i="19"/>
  <c r="C169" i="19"/>
  <c r="B169" i="19"/>
  <c r="A169" i="19"/>
  <c r="S168" i="19"/>
  <c r="R168" i="19"/>
  <c r="Q168" i="19"/>
  <c r="P168" i="19"/>
  <c r="O168" i="19"/>
  <c r="N168" i="19"/>
  <c r="M168" i="19"/>
  <c r="L168" i="19"/>
  <c r="K168" i="19"/>
  <c r="J168" i="19"/>
  <c r="I168" i="19"/>
  <c r="H168" i="19"/>
  <c r="G168" i="19"/>
  <c r="F168" i="19"/>
  <c r="E168" i="19"/>
  <c r="D168" i="19"/>
  <c r="C168" i="19"/>
  <c r="B168" i="19"/>
  <c r="A168" i="19"/>
  <c r="S167" i="19"/>
  <c r="R167" i="19"/>
  <c r="Q167" i="19"/>
  <c r="P167" i="19"/>
  <c r="O167" i="19"/>
  <c r="N167" i="19"/>
  <c r="M167" i="19"/>
  <c r="L167" i="19"/>
  <c r="K167" i="19"/>
  <c r="J167" i="19"/>
  <c r="I167" i="19"/>
  <c r="H167" i="19"/>
  <c r="G167" i="19"/>
  <c r="F167" i="19"/>
  <c r="E167" i="19"/>
  <c r="D167" i="19"/>
  <c r="C167" i="19"/>
  <c r="B167" i="19"/>
  <c r="A167" i="19"/>
  <c r="S166" i="19"/>
  <c r="R166" i="19"/>
  <c r="Q166" i="19"/>
  <c r="P166" i="19"/>
  <c r="O166" i="19"/>
  <c r="N166" i="19"/>
  <c r="M166" i="19"/>
  <c r="L166" i="19"/>
  <c r="K166" i="19"/>
  <c r="J166" i="19"/>
  <c r="I166" i="19"/>
  <c r="H166" i="19"/>
  <c r="G166" i="19"/>
  <c r="F166" i="19"/>
  <c r="E166" i="19"/>
  <c r="D166" i="19"/>
  <c r="C166" i="19"/>
  <c r="B166" i="19"/>
  <c r="A166" i="19"/>
  <c r="S165" i="19"/>
  <c r="R165" i="19"/>
  <c r="Q165" i="19"/>
  <c r="P165" i="19"/>
  <c r="O165" i="19"/>
  <c r="N165" i="19"/>
  <c r="M165" i="19"/>
  <c r="L165" i="19"/>
  <c r="K165" i="19"/>
  <c r="J165" i="19"/>
  <c r="I165" i="19"/>
  <c r="H165" i="19"/>
  <c r="G165" i="19"/>
  <c r="F165" i="19"/>
  <c r="E165" i="19"/>
  <c r="D165" i="19"/>
  <c r="C165" i="19"/>
  <c r="B165" i="19"/>
  <c r="A165" i="19"/>
  <c r="S164" i="19"/>
  <c r="R164" i="19"/>
  <c r="Q164" i="19"/>
  <c r="P164" i="19"/>
  <c r="O164" i="19"/>
  <c r="N164" i="19"/>
  <c r="M164" i="19"/>
  <c r="L164" i="19"/>
  <c r="K164" i="19"/>
  <c r="J164" i="19"/>
  <c r="I164" i="19"/>
  <c r="H164" i="19"/>
  <c r="G164" i="19"/>
  <c r="F164" i="19"/>
  <c r="E164" i="19"/>
  <c r="D164" i="19"/>
  <c r="C164" i="19"/>
  <c r="B164" i="19"/>
  <c r="A164" i="19"/>
  <c r="S163" i="19"/>
  <c r="R163" i="19"/>
  <c r="Q163" i="19"/>
  <c r="P163" i="19"/>
  <c r="O163" i="19"/>
  <c r="N163" i="19"/>
  <c r="M163" i="19"/>
  <c r="L163" i="19"/>
  <c r="K163" i="19"/>
  <c r="J163" i="19"/>
  <c r="I163" i="19"/>
  <c r="H163" i="19"/>
  <c r="G163" i="19"/>
  <c r="F163" i="19"/>
  <c r="E163" i="19"/>
  <c r="D163" i="19"/>
  <c r="C163" i="19"/>
  <c r="B163" i="19"/>
  <c r="A163" i="19"/>
  <c r="S162" i="19"/>
  <c r="R162" i="19"/>
  <c r="Q162" i="19"/>
  <c r="P162" i="19"/>
  <c r="O162" i="19"/>
  <c r="N162" i="19"/>
  <c r="M162" i="19"/>
  <c r="L162" i="19"/>
  <c r="K162" i="19"/>
  <c r="J162" i="19"/>
  <c r="I162" i="19"/>
  <c r="H162" i="19"/>
  <c r="G162" i="19"/>
  <c r="F162" i="19"/>
  <c r="E162" i="19"/>
  <c r="D162" i="19"/>
  <c r="C162" i="19"/>
  <c r="B162" i="19"/>
  <c r="A162" i="19"/>
  <c r="S161" i="19"/>
  <c r="R161" i="19"/>
  <c r="Q161" i="19"/>
  <c r="P161" i="19"/>
  <c r="O161" i="19"/>
  <c r="N161" i="19"/>
  <c r="M161" i="19"/>
  <c r="L161" i="19"/>
  <c r="K161" i="19"/>
  <c r="J161" i="19"/>
  <c r="I161" i="19"/>
  <c r="H161" i="19"/>
  <c r="G161" i="19"/>
  <c r="F161" i="19"/>
  <c r="E161" i="19"/>
  <c r="D161" i="19"/>
  <c r="C161" i="19"/>
  <c r="B161" i="19"/>
  <c r="A161" i="19"/>
  <c r="S160" i="19"/>
  <c r="R160" i="19"/>
  <c r="Q160" i="19"/>
  <c r="P160" i="19"/>
  <c r="O160" i="19"/>
  <c r="N160" i="19"/>
  <c r="M160" i="19"/>
  <c r="L160" i="19"/>
  <c r="K160" i="19"/>
  <c r="J160" i="19"/>
  <c r="I160" i="19"/>
  <c r="H160" i="19"/>
  <c r="G160" i="19"/>
  <c r="F160" i="19"/>
  <c r="E160" i="19"/>
  <c r="D160" i="19"/>
  <c r="C160" i="19"/>
  <c r="B160" i="19"/>
  <c r="A160" i="19"/>
  <c r="S159" i="19"/>
  <c r="R159" i="19"/>
  <c r="Q159" i="19"/>
  <c r="P159" i="19"/>
  <c r="O159" i="19"/>
  <c r="N159" i="19"/>
  <c r="M159" i="19"/>
  <c r="L159" i="19"/>
  <c r="K159" i="19"/>
  <c r="J159" i="19"/>
  <c r="I159" i="19"/>
  <c r="H159" i="19"/>
  <c r="G159" i="19"/>
  <c r="F159" i="19"/>
  <c r="E159" i="19"/>
  <c r="D159" i="19"/>
  <c r="C159" i="19"/>
  <c r="B159" i="19"/>
  <c r="A159" i="19"/>
  <c r="S158" i="19"/>
  <c r="R158" i="19"/>
  <c r="Q158" i="19"/>
  <c r="P158" i="19"/>
  <c r="O158" i="19"/>
  <c r="N158" i="19"/>
  <c r="M158" i="19"/>
  <c r="L158" i="19"/>
  <c r="K158" i="19"/>
  <c r="J158" i="19"/>
  <c r="I158" i="19"/>
  <c r="H158" i="19"/>
  <c r="G158" i="19"/>
  <c r="F158" i="19"/>
  <c r="E158" i="19"/>
  <c r="D158" i="19"/>
  <c r="C158" i="19"/>
  <c r="B158" i="19"/>
  <c r="A158" i="19"/>
  <c r="S157" i="19"/>
  <c r="R157" i="19"/>
  <c r="Q157" i="19"/>
  <c r="P157" i="19"/>
  <c r="O157" i="19"/>
  <c r="N157" i="19"/>
  <c r="M157" i="19"/>
  <c r="L157" i="19"/>
  <c r="K157" i="19"/>
  <c r="J157" i="19"/>
  <c r="I157" i="19"/>
  <c r="H157" i="19"/>
  <c r="G157" i="19"/>
  <c r="F157" i="19"/>
  <c r="E157" i="19"/>
  <c r="D157" i="19"/>
  <c r="C157" i="19"/>
  <c r="B157" i="19"/>
  <c r="A157" i="19"/>
  <c r="S156" i="19"/>
  <c r="R156" i="19"/>
  <c r="Q156" i="19"/>
  <c r="P156" i="19"/>
  <c r="O156" i="19"/>
  <c r="N156" i="19"/>
  <c r="M156" i="19"/>
  <c r="L156" i="19"/>
  <c r="K156" i="19"/>
  <c r="J156" i="19"/>
  <c r="I156" i="19"/>
  <c r="H156" i="19"/>
  <c r="G156" i="19"/>
  <c r="F156" i="19"/>
  <c r="E156" i="19"/>
  <c r="D156" i="19"/>
  <c r="C156" i="19"/>
  <c r="B156" i="19"/>
  <c r="A156" i="19"/>
  <c r="S155" i="19"/>
  <c r="R155" i="19"/>
  <c r="Q155" i="19"/>
  <c r="P155" i="19"/>
  <c r="O155" i="19"/>
  <c r="N155" i="19"/>
  <c r="M155" i="19"/>
  <c r="L155" i="19"/>
  <c r="K155" i="19"/>
  <c r="J155" i="19"/>
  <c r="I155" i="19"/>
  <c r="H155" i="19"/>
  <c r="G155" i="19"/>
  <c r="F155" i="19"/>
  <c r="E155" i="19"/>
  <c r="D155" i="19"/>
  <c r="C155" i="19"/>
  <c r="B155" i="19"/>
  <c r="A155" i="19"/>
  <c r="S154" i="19"/>
  <c r="R154" i="19"/>
  <c r="Q154" i="19"/>
  <c r="P154" i="19"/>
  <c r="O154" i="19"/>
  <c r="N154" i="19"/>
  <c r="M154" i="19"/>
  <c r="L154" i="19"/>
  <c r="K154" i="19"/>
  <c r="J154" i="19"/>
  <c r="I154" i="19"/>
  <c r="H154" i="19"/>
  <c r="G154" i="19"/>
  <c r="F154" i="19"/>
  <c r="E154" i="19"/>
  <c r="D154" i="19"/>
  <c r="C154" i="19"/>
  <c r="B154" i="19"/>
  <c r="A154" i="19"/>
  <c r="S153" i="19"/>
  <c r="R153" i="19"/>
  <c r="Q153" i="19"/>
  <c r="P153" i="19"/>
  <c r="O153" i="19"/>
  <c r="N153" i="19"/>
  <c r="M153" i="19"/>
  <c r="L153" i="19"/>
  <c r="K153" i="19"/>
  <c r="J153" i="19"/>
  <c r="I153" i="19"/>
  <c r="H153" i="19"/>
  <c r="G153" i="19"/>
  <c r="F153" i="19"/>
  <c r="E153" i="19"/>
  <c r="D153" i="19"/>
  <c r="C153" i="19"/>
  <c r="B153" i="19"/>
  <c r="A153" i="19"/>
  <c r="S152" i="19"/>
  <c r="R152" i="19"/>
  <c r="Q152" i="19"/>
  <c r="P152" i="19"/>
  <c r="O152" i="19"/>
  <c r="N152" i="19"/>
  <c r="M152" i="19"/>
  <c r="L152" i="19"/>
  <c r="K152" i="19"/>
  <c r="J152" i="19"/>
  <c r="I152" i="19"/>
  <c r="H152" i="19"/>
  <c r="G152" i="19"/>
  <c r="F152" i="19"/>
  <c r="E152" i="19"/>
  <c r="D152" i="19"/>
  <c r="C152" i="19"/>
  <c r="B152" i="19"/>
  <c r="A152" i="19"/>
  <c r="S151" i="19"/>
  <c r="R151" i="19"/>
  <c r="Q151" i="19"/>
  <c r="P151" i="19"/>
  <c r="O151" i="19"/>
  <c r="N151" i="19"/>
  <c r="M151" i="19"/>
  <c r="L151" i="19"/>
  <c r="K151" i="19"/>
  <c r="J151" i="19"/>
  <c r="I151" i="19"/>
  <c r="H151" i="19"/>
  <c r="G151" i="19"/>
  <c r="F151" i="19"/>
  <c r="E151" i="19"/>
  <c r="D151" i="19"/>
  <c r="C151" i="19"/>
  <c r="B151" i="19"/>
  <c r="A151" i="19"/>
  <c r="O141" i="19"/>
  <c r="N141" i="19"/>
  <c r="M141" i="19"/>
  <c r="L141" i="19"/>
  <c r="K141" i="19"/>
  <c r="J141" i="19"/>
  <c r="I141" i="19"/>
  <c r="H141" i="19"/>
  <c r="G141" i="19"/>
  <c r="F141" i="19"/>
  <c r="E141" i="19"/>
  <c r="D141" i="19"/>
  <c r="C141" i="19"/>
  <c r="B141" i="19"/>
  <c r="A141" i="19"/>
  <c r="O140" i="19"/>
  <c r="N140" i="19"/>
  <c r="M140" i="19"/>
  <c r="L140" i="19"/>
  <c r="K140" i="19"/>
  <c r="J140" i="19"/>
  <c r="I140" i="19"/>
  <c r="H140" i="19"/>
  <c r="G140" i="19"/>
  <c r="F140" i="19"/>
  <c r="E140" i="19"/>
  <c r="D140" i="19"/>
  <c r="C140" i="19"/>
  <c r="B140" i="19"/>
  <c r="A140" i="19"/>
  <c r="O139" i="19"/>
  <c r="N139" i="19"/>
  <c r="M139" i="19"/>
  <c r="L139" i="19"/>
  <c r="K139" i="19"/>
  <c r="J139" i="19"/>
  <c r="I139" i="19"/>
  <c r="H139" i="19"/>
  <c r="G139" i="19"/>
  <c r="F139" i="19"/>
  <c r="E139" i="19"/>
  <c r="D139" i="19"/>
  <c r="C139" i="19"/>
  <c r="B139" i="19"/>
  <c r="A139" i="19"/>
  <c r="O138" i="19"/>
  <c r="N138" i="19"/>
  <c r="M138" i="19"/>
  <c r="L138" i="19"/>
  <c r="K138" i="19"/>
  <c r="J138" i="19"/>
  <c r="I138" i="19"/>
  <c r="H138" i="19"/>
  <c r="G138" i="19"/>
  <c r="F138" i="19"/>
  <c r="E138" i="19"/>
  <c r="D138" i="19"/>
  <c r="C138" i="19"/>
  <c r="B138" i="19"/>
  <c r="A138" i="19"/>
  <c r="O137" i="19"/>
  <c r="N137" i="19"/>
  <c r="M137" i="19"/>
  <c r="L137" i="19"/>
  <c r="K137" i="19"/>
  <c r="J137" i="19"/>
  <c r="I137" i="19"/>
  <c r="H137" i="19"/>
  <c r="G137" i="19"/>
  <c r="F137" i="19"/>
  <c r="E137" i="19"/>
  <c r="D137" i="19"/>
  <c r="C137" i="19"/>
  <c r="B137" i="19"/>
  <c r="A137" i="19"/>
  <c r="O136" i="19"/>
  <c r="N136" i="19"/>
  <c r="M136" i="19"/>
  <c r="L136" i="19"/>
  <c r="K136" i="19"/>
  <c r="J136" i="19"/>
  <c r="I136" i="19"/>
  <c r="H136" i="19"/>
  <c r="G136" i="19"/>
  <c r="F136" i="19"/>
  <c r="E136" i="19"/>
  <c r="D136" i="19"/>
  <c r="C136" i="19"/>
  <c r="B136" i="19"/>
  <c r="A136" i="19"/>
  <c r="O135" i="19"/>
  <c r="N135" i="19"/>
  <c r="M135" i="19"/>
  <c r="L135" i="19"/>
  <c r="K135" i="19"/>
  <c r="J135" i="19"/>
  <c r="I135" i="19"/>
  <c r="H135" i="19"/>
  <c r="G135" i="19"/>
  <c r="F135" i="19"/>
  <c r="E135" i="19"/>
  <c r="D135" i="19"/>
  <c r="C135" i="19"/>
  <c r="B135" i="19"/>
  <c r="A135" i="19"/>
  <c r="O134" i="19"/>
  <c r="N134" i="19"/>
  <c r="M134" i="19"/>
  <c r="L134" i="19"/>
  <c r="K134" i="19"/>
  <c r="J134" i="19"/>
  <c r="I134" i="19"/>
  <c r="H134" i="19"/>
  <c r="G134" i="19"/>
  <c r="F134" i="19"/>
  <c r="E134" i="19"/>
  <c r="D134" i="19"/>
  <c r="C134" i="19"/>
  <c r="B134" i="19"/>
  <c r="A134" i="19"/>
  <c r="O133" i="19"/>
  <c r="N133" i="19"/>
  <c r="M133" i="19"/>
  <c r="L133" i="19"/>
  <c r="K133" i="19"/>
  <c r="J133" i="19"/>
  <c r="I133" i="19"/>
  <c r="H133" i="19"/>
  <c r="G133" i="19"/>
  <c r="F133" i="19"/>
  <c r="E133" i="19"/>
  <c r="D133" i="19"/>
  <c r="C133" i="19"/>
  <c r="B133" i="19"/>
  <c r="A133" i="19"/>
  <c r="O132" i="19"/>
  <c r="N132" i="19"/>
  <c r="M132" i="19"/>
  <c r="L132" i="19"/>
  <c r="K132" i="19"/>
  <c r="J132" i="19"/>
  <c r="I132" i="19"/>
  <c r="H132" i="19"/>
  <c r="G132" i="19"/>
  <c r="F132" i="19"/>
  <c r="E132" i="19"/>
  <c r="D132" i="19"/>
  <c r="C132" i="19"/>
  <c r="B132" i="19"/>
  <c r="A132" i="19"/>
  <c r="O131" i="19"/>
  <c r="N131" i="19"/>
  <c r="M131" i="19"/>
  <c r="L131" i="19"/>
  <c r="K131" i="19"/>
  <c r="J131" i="19"/>
  <c r="I131" i="19"/>
  <c r="H131" i="19"/>
  <c r="G131" i="19"/>
  <c r="F131" i="19"/>
  <c r="E131" i="19"/>
  <c r="D131" i="19"/>
  <c r="C131" i="19"/>
  <c r="B131" i="19"/>
  <c r="A131" i="19"/>
  <c r="O130" i="19"/>
  <c r="N130" i="19"/>
  <c r="M130" i="19"/>
  <c r="L130" i="19"/>
  <c r="K130" i="19"/>
  <c r="J130" i="19"/>
  <c r="I130" i="19"/>
  <c r="H130" i="19"/>
  <c r="G130" i="19"/>
  <c r="F130" i="19"/>
  <c r="E130" i="19"/>
  <c r="D130" i="19"/>
  <c r="C130" i="19"/>
  <c r="B130" i="19"/>
  <c r="A130" i="19"/>
  <c r="O129" i="19"/>
  <c r="N129" i="19"/>
  <c r="M129" i="19"/>
  <c r="L129" i="19"/>
  <c r="K129" i="19"/>
  <c r="J129" i="19"/>
  <c r="I129" i="19"/>
  <c r="H129" i="19"/>
  <c r="G129" i="19"/>
  <c r="F129" i="19"/>
  <c r="E129" i="19"/>
  <c r="D129" i="19"/>
  <c r="C129" i="19"/>
  <c r="B129" i="19"/>
  <c r="A129" i="19"/>
  <c r="O128" i="19"/>
  <c r="N128" i="19"/>
  <c r="M128" i="19"/>
  <c r="L128" i="19"/>
  <c r="K128" i="19"/>
  <c r="J128" i="19"/>
  <c r="I128" i="19"/>
  <c r="H128" i="19"/>
  <c r="G128" i="19"/>
  <c r="F128" i="19"/>
  <c r="E128" i="19"/>
  <c r="D128" i="19"/>
  <c r="C128" i="19"/>
  <c r="B128" i="19"/>
  <c r="A128" i="19"/>
  <c r="O127" i="19"/>
  <c r="N127" i="19"/>
  <c r="M127" i="19"/>
  <c r="L127" i="19"/>
  <c r="K127" i="19"/>
  <c r="J127" i="19"/>
  <c r="I127" i="19"/>
  <c r="H127" i="19"/>
  <c r="G127" i="19"/>
  <c r="F127" i="19"/>
  <c r="E127" i="19"/>
  <c r="D127" i="19"/>
  <c r="C127" i="19"/>
  <c r="B127" i="19"/>
  <c r="A127" i="19"/>
  <c r="O126" i="19"/>
  <c r="N126" i="19"/>
  <c r="M126" i="19"/>
  <c r="L126" i="19"/>
  <c r="K126" i="19"/>
  <c r="J126" i="19"/>
  <c r="I126" i="19"/>
  <c r="H126" i="19"/>
  <c r="G126" i="19"/>
  <c r="F126" i="19"/>
  <c r="E126" i="19"/>
  <c r="D126" i="19"/>
  <c r="C126" i="19"/>
  <c r="B126" i="19"/>
  <c r="A126" i="19"/>
  <c r="O125" i="19"/>
  <c r="N125" i="19"/>
  <c r="M125" i="19"/>
  <c r="L125" i="19"/>
  <c r="K125" i="19"/>
  <c r="J125" i="19"/>
  <c r="I125" i="19"/>
  <c r="H125" i="19"/>
  <c r="G125" i="19"/>
  <c r="F125" i="19"/>
  <c r="E125" i="19"/>
  <c r="D125" i="19"/>
  <c r="C125" i="19"/>
  <c r="B125" i="19"/>
  <c r="A125" i="19"/>
  <c r="O124" i="19"/>
  <c r="N124" i="19"/>
  <c r="M124" i="19"/>
  <c r="L124" i="19"/>
  <c r="K124" i="19"/>
  <c r="J124" i="19"/>
  <c r="I124" i="19"/>
  <c r="H124" i="19"/>
  <c r="G124" i="19"/>
  <c r="F124" i="19"/>
  <c r="E124" i="19"/>
  <c r="D124" i="19"/>
  <c r="C124" i="19"/>
  <c r="B124" i="19"/>
  <c r="A124" i="19"/>
  <c r="O123" i="19"/>
  <c r="N123" i="19"/>
  <c r="M123" i="19"/>
  <c r="L123" i="19"/>
  <c r="K123" i="19"/>
  <c r="J123" i="19"/>
  <c r="I123" i="19"/>
  <c r="H123" i="19"/>
  <c r="G123" i="19"/>
  <c r="F123" i="19"/>
  <c r="E123" i="19"/>
  <c r="D123" i="19"/>
  <c r="C123" i="19"/>
  <c r="B123" i="19"/>
  <c r="A123" i="19"/>
  <c r="O122" i="19"/>
  <c r="N122" i="19"/>
  <c r="M122" i="19"/>
  <c r="L122" i="19"/>
  <c r="K122" i="19"/>
  <c r="J122" i="19"/>
  <c r="I122" i="19"/>
  <c r="H122" i="19"/>
  <c r="G122" i="19"/>
  <c r="F122" i="19"/>
  <c r="E122" i="19"/>
  <c r="D122" i="19"/>
  <c r="C122" i="19"/>
  <c r="B122" i="19"/>
  <c r="A122" i="19"/>
  <c r="O121" i="19"/>
  <c r="N121" i="19"/>
  <c r="M121" i="19"/>
  <c r="L121" i="19"/>
  <c r="K121" i="19"/>
  <c r="J121" i="19"/>
  <c r="I121" i="19"/>
  <c r="H121" i="19"/>
  <c r="G121" i="19"/>
  <c r="F121" i="19"/>
  <c r="E121" i="19"/>
  <c r="D121" i="19"/>
  <c r="C121" i="19"/>
  <c r="B121" i="19"/>
  <c r="A121" i="19"/>
  <c r="O120" i="19"/>
  <c r="N120" i="19"/>
  <c r="M120" i="19"/>
  <c r="L120" i="19"/>
  <c r="K120" i="19"/>
  <c r="J120" i="19"/>
  <c r="I120" i="19"/>
  <c r="H120" i="19"/>
  <c r="G120" i="19"/>
  <c r="F120" i="19"/>
  <c r="E120" i="19"/>
  <c r="D120" i="19"/>
  <c r="C120" i="19"/>
  <c r="B120" i="19"/>
  <c r="A120" i="19"/>
  <c r="O119" i="19"/>
  <c r="N119" i="19"/>
  <c r="M119" i="19"/>
  <c r="L119" i="19"/>
  <c r="K119" i="19"/>
  <c r="J119" i="19"/>
  <c r="I119" i="19"/>
  <c r="H119" i="19"/>
  <c r="G119" i="19"/>
  <c r="F119" i="19"/>
  <c r="E119" i="19"/>
  <c r="D119" i="19"/>
  <c r="C119" i="19"/>
  <c r="B119" i="19"/>
  <c r="A119" i="19"/>
  <c r="O118" i="19"/>
  <c r="N118" i="19"/>
  <c r="M118" i="19"/>
  <c r="L118" i="19"/>
  <c r="K118" i="19"/>
  <c r="J118" i="19"/>
  <c r="I118" i="19"/>
  <c r="H118" i="19"/>
  <c r="G118" i="19"/>
  <c r="F118" i="19"/>
  <c r="E118" i="19"/>
  <c r="D118" i="19"/>
  <c r="C118" i="19"/>
  <c r="B118" i="19"/>
  <c r="A118" i="19"/>
  <c r="O117" i="19"/>
  <c r="N117" i="19"/>
  <c r="M117" i="19"/>
  <c r="L117" i="19"/>
  <c r="K117" i="19"/>
  <c r="J117" i="19"/>
  <c r="I117" i="19"/>
  <c r="H117" i="19"/>
  <c r="G117" i="19"/>
  <c r="F117" i="19"/>
  <c r="E117" i="19"/>
  <c r="D117" i="19"/>
  <c r="C117" i="19"/>
  <c r="B117" i="19"/>
  <c r="A117" i="19"/>
  <c r="O116" i="19"/>
  <c r="N116" i="19"/>
  <c r="M116" i="19"/>
  <c r="L116" i="19"/>
  <c r="K116" i="19"/>
  <c r="J116" i="19"/>
  <c r="I116" i="19"/>
  <c r="H116" i="19"/>
  <c r="G116" i="19"/>
  <c r="F116" i="19"/>
  <c r="E116" i="19"/>
  <c r="D116" i="19"/>
  <c r="C116" i="19"/>
  <c r="B116" i="19"/>
  <c r="A116" i="19"/>
  <c r="O115" i="19"/>
  <c r="N115" i="19"/>
  <c r="M115" i="19"/>
  <c r="L115" i="19"/>
  <c r="K115" i="19"/>
  <c r="J115" i="19"/>
  <c r="I115" i="19"/>
  <c r="H115" i="19"/>
  <c r="G115" i="19"/>
  <c r="F115" i="19"/>
  <c r="E115" i="19"/>
  <c r="D115" i="19"/>
  <c r="C115" i="19"/>
  <c r="B115" i="19"/>
  <c r="A115" i="19"/>
  <c r="O114" i="19"/>
  <c r="N114" i="19"/>
  <c r="M114" i="19"/>
  <c r="L114" i="19"/>
  <c r="K114" i="19"/>
  <c r="J114" i="19"/>
  <c r="I114" i="19"/>
  <c r="H114" i="19"/>
  <c r="G114" i="19"/>
  <c r="F114" i="19"/>
  <c r="E114" i="19"/>
  <c r="D114" i="19"/>
  <c r="C114" i="19"/>
  <c r="B114" i="19"/>
  <c r="A114" i="19"/>
  <c r="O113" i="19"/>
  <c r="N113" i="19"/>
  <c r="M113" i="19"/>
  <c r="L113" i="19"/>
  <c r="K113" i="19"/>
  <c r="J113" i="19"/>
  <c r="I113" i="19"/>
  <c r="H113" i="19"/>
  <c r="G113" i="19"/>
  <c r="F113" i="19"/>
  <c r="E113" i="19"/>
  <c r="D113" i="19"/>
  <c r="C113" i="19"/>
  <c r="B113" i="19"/>
  <c r="A113" i="19"/>
  <c r="O112" i="19"/>
  <c r="N112" i="19"/>
  <c r="M112" i="19"/>
  <c r="L112" i="19"/>
  <c r="K112" i="19"/>
  <c r="J112" i="19"/>
  <c r="I112" i="19"/>
  <c r="H112" i="19"/>
  <c r="G112" i="19"/>
  <c r="F112" i="19"/>
  <c r="E112" i="19"/>
  <c r="D112" i="19"/>
  <c r="C112" i="19"/>
  <c r="B112" i="19"/>
  <c r="A112" i="19"/>
  <c r="O111" i="19"/>
  <c r="N111" i="19"/>
  <c r="M111" i="19"/>
  <c r="L111" i="19"/>
  <c r="K111" i="19"/>
  <c r="J111" i="19"/>
  <c r="I111" i="19"/>
  <c r="H111" i="19"/>
  <c r="G111" i="19"/>
  <c r="F111" i="19"/>
  <c r="E111" i="19"/>
  <c r="D111" i="19"/>
  <c r="C111" i="19"/>
  <c r="B111" i="19"/>
  <c r="A111" i="19"/>
  <c r="O110" i="19"/>
  <c r="N110" i="19"/>
  <c r="M110" i="19"/>
  <c r="L110" i="19"/>
  <c r="K110" i="19"/>
  <c r="J110" i="19"/>
  <c r="I110" i="19"/>
  <c r="H110" i="19"/>
  <c r="G110" i="19"/>
  <c r="F110" i="19"/>
  <c r="E110" i="19"/>
  <c r="D110" i="19"/>
  <c r="C110" i="19"/>
  <c r="B110" i="19"/>
  <c r="A110" i="19"/>
  <c r="O109" i="19"/>
  <c r="N109" i="19"/>
  <c r="M109" i="19"/>
  <c r="L109" i="19"/>
  <c r="K109" i="19"/>
  <c r="J109" i="19"/>
  <c r="I109" i="19"/>
  <c r="H109" i="19"/>
  <c r="G109" i="19"/>
  <c r="F109" i="19"/>
  <c r="E109" i="19"/>
  <c r="D109" i="19"/>
  <c r="C109" i="19"/>
  <c r="B109" i="19"/>
  <c r="A109" i="19"/>
  <c r="O108" i="19"/>
  <c r="N108" i="19"/>
  <c r="M108" i="19"/>
  <c r="L108" i="19"/>
  <c r="K108" i="19"/>
  <c r="J108" i="19"/>
  <c r="I108" i="19"/>
  <c r="H108" i="19"/>
  <c r="G108" i="19"/>
  <c r="F108" i="19"/>
  <c r="E108" i="19"/>
  <c r="D108" i="19"/>
  <c r="C108" i="19"/>
  <c r="B108" i="19"/>
  <c r="A108" i="19"/>
  <c r="O107" i="19"/>
  <c r="N107" i="19"/>
  <c r="M107" i="19"/>
  <c r="L107" i="19"/>
  <c r="K107" i="19"/>
  <c r="J107" i="19"/>
  <c r="I107" i="19"/>
  <c r="H107" i="19"/>
  <c r="G107" i="19"/>
  <c r="F107" i="19"/>
  <c r="E107" i="19"/>
  <c r="D107" i="19"/>
  <c r="C107" i="19"/>
  <c r="B107" i="19"/>
  <c r="A107" i="19"/>
  <c r="O106" i="19"/>
  <c r="N106" i="19"/>
  <c r="M106" i="19"/>
  <c r="L106" i="19"/>
  <c r="K106" i="19"/>
  <c r="J106" i="19"/>
  <c r="I106" i="19"/>
  <c r="H106" i="19"/>
  <c r="G106" i="19"/>
  <c r="F106" i="19"/>
  <c r="E106" i="19"/>
  <c r="D106" i="19"/>
  <c r="C106" i="19"/>
  <c r="B106" i="19"/>
  <c r="A106" i="19"/>
  <c r="O105" i="19"/>
  <c r="N105" i="19"/>
  <c r="M105" i="19"/>
  <c r="L105" i="19"/>
  <c r="K105" i="19"/>
  <c r="J105" i="19"/>
  <c r="I105" i="19"/>
  <c r="H105" i="19"/>
  <c r="G105" i="19"/>
  <c r="F105" i="19"/>
  <c r="E105" i="19"/>
  <c r="D105" i="19"/>
  <c r="C105" i="19"/>
  <c r="B105" i="19"/>
  <c r="A105" i="19"/>
  <c r="O104" i="19"/>
  <c r="N104" i="19"/>
  <c r="M104" i="19"/>
  <c r="L104" i="19"/>
  <c r="K104" i="19"/>
  <c r="J104" i="19"/>
  <c r="I104" i="19"/>
  <c r="H104" i="19"/>
  <c r="G104" i="19"/>
  <c r="F104" i="19"/>
  <c r="E104" i="19"/>
  <c r="D104" i="19"/>
  <c r="C104" i="19"/>
  <c r="B104" i="19"/>
  <c r="A104" i="19"/>
  <c r="O103" i="19"/>
  <c r="N103" i="19"/>
  <c r="M103" i="19"/>
  <c r="L103" i="19"/>
  <c r="K103" i="19"/>
  <c r="J103" i="19"/>
  <c r="I103" i="19"/>
  <c r="H103" i="19"/>
  <c r="G103" i="19"/>
  <c r="F103" i="19"/>
  <c r="E103" i="19"/>
  <c r="D103" i="19"/>
  <c r="C103" i="19"/>
  <c r="B103" i="19"/>
  <c r="A103" i="19"/>
  <c r="O102" i="19"/>
  <c r="N102" i="19"/>
  <c r="M102" i="19"/>
  <c r="L102" i="19"/>
  <c r="K102" i="19"/>
  <c r="J102" i="19"/>
  <c r="I102" i="19"/>
  <c r="H102" i="19"/>
  <c r="G102" i="19"/>
  <c r="F102" i="19"/>
  <c r="E102" i="19"/>
  <c r="D102" i="19"/>
  <c r="C102" i="19"/>
  <c r="B102" i="19"/>
  <c r="A102" i="19"/>
  <c r="O101" i="19"/>
  <c r="N101" i="19"/>
  <c r="M101" i="19"/>
  <c r="L101" i="19"/>
  <c r="K101" i="19"/>
  <c r="J101" i="19"/>
  <c r="I101" i="19"/>
  <c r="H101" i="19"/>
  <c r="G101" i="19"/>
  <c r="F101" i="19"/>
  <c r="E101" i="19"/>
  <c r="D101" i="19"/>
  <c r="C101" i="19"/>
  <c r="B101" i="19"/>
  <c r="A101" i="19"/>
  <c r="O100" i="19"/>
  <c r="N100" i="19"/>
  <c r="M100" i="19"/>
  <c r="L100" i="19"/>
  <c r="K100" i="19"/>
  <c r="J100" i="19"/>
  <c r="I100" i="19"/>
  <c r="H100" i="19"/>
  <c r="G100" i="19"/>
  <c r="F100" i="19"/>
  <c r="E100" i="19"/>
  <c r="D100" i="19"/>
  <c r="C100" i="19"/>
  <c r="B100" i="19"/>
  <c r="A100" i="19"/>
  <c r="O99" i="19"/>
  <c r="N99" i="19"/>
  <c r="M99" i="19"/>
  <c r="L99" i="19"/>
  <c r="K99" i="19"/>
  <c r="J99" i="19"/>
  <c r="I99" i="19"/>
  <c r="H99" i="19"/>
  <c r="G99" i="19"/>
  <c r="F99" i="19"/>
  <c r="E99" i="19"/>
  <c r="D99" i="19"/>
  <c r="C99" i="19"/>
  <c r="B99" i="19"/>
  <c r="A99" i="19"/>
  <c r="O98" i="19"/>
  <c r="N98" i="19"/>
  <c r="M98" i="19"/>
  <c r="L98" i="19"/>
  <c r="K98" i="19"/>
  <c r="J98" i="19"/>
  <c r="I98" i="19"/>
  <c r="H98" i="19"/>
  <c r="G98" i="19"/>
  <c r="F98" i="19"/>
  <c r="E98" i="19"/>
  <c r="D98" i="19"/>
  <c r="C98" i="19"/>
  <c r="B98" i="19"/>
  <c r="A98" i="19"/>
  <c r="O97" i="19"/>
  <c r="N97" i="19"/>
  <c r="M97" i="19"/>
  <c r="L97" i="19"/>
  <c r="K97" i="19"/>
  <c r="J97" i="19"/>
  <c r="I97" i="19"/>
  <c r="H97" i="19"/>
  <c r="G97" i="19"/>
  <c r="F97" i="19"/>
  <c r="E97" i="19"/>
  <c r="D97" i="19"/>
  <c r="C97" i="19"/>
  <c r="B97" i="19"/>
  <c r="A97" i="19"/>
  <c r="O96" i="19"/>
  <c r="N96" i="19"/>
  <c r="M96" i="19"/>
  <c r="L96" i="19"/>
  <c r="K96" i="19"/>
  <c r="J96" i="19"/>
  <c r="I96" i="19"/>
  <c r="H96" i="19"/>
  <c r="G96" i="19"/>
  <c r="F96" i="19"/>
  <c r="E96" i="19"/>
  <c r="D96" i="19"/>
  <c r="C96" i="19"/>
  <c r="B96" i="19"/>
  <c r="A96" i="19"/>
  <c r="O95" i="19"/>
  <c r="N95" i="19"/>
  <c r="M95" i="19"/>
  <c r="L95" i="19"/>
  <c r="K95" i="19"/>
  <c r="J95" i="19"/>
  <c r="I95" i="19"/>
  <c r="H95" i="19"/>
  <c r="G95" i="19"/>
  <c r="F95" i="19"/>
  <c r="E95" i="19"/>
  <c r="D95" i="19"/>
  <c r="C95" i="19"/>
  <c r="B95" i="19"/>
  <c r="A95" i="19"/>
  <c r="O94" i="19"/>
  <c r="N94" i="19"/>
  <c r="M94" i="19"/>
  <c r="L94" i="19"/>
  <c r="K94" i="19"/>
  <c r="J94" i="19"/>
  <c r="I94" i="19"/>
  <c r="H94" i="19"/>
  <c r="G94" i="19"/>
  <c r="F94" i="19"/>
  <c r="E94" i="19"/>
  <c r="D94" i="19"/>
  <c r="C94" i="19"/>
  <c r="B94" i="19"/>
  <c r="A94" i="19"/>
  <c r="O93" i="19"/>
  <c r="N93" i="19"/>
  <c r="M93" i="19"/>
  <c r="L93" i="19"/>
  <c r="K93" i="19"/>
  <c r="J93" i="19"/>
  <c r="I93" i="19"/>
  <c r="H93" i="19"/>
  <c r="G93" i="19"/>
  <c r="F93" i="19"/>
  <c r="E93" i="19"/>
  <c r="D93" i="19"/>
  <c r="C93" i="19"/>
  <c r="B93" i="19"/>
  <c r="A93" i="19"/>
  <c r="O92" i="19"/>
  <c r="N92" i="19"/>
  <c r="M92" i="19"/>
  <c r="L92" i="19"/>
  <c r="K92" i="19"/>
  <c r="J92" i="19"/>
  <c r="I92" i="19"/>
  <c r="H92" i="19"/>
  <c r="G92" i="19"/>
  <c r="F92" i="19"/>
  <c r="E92" i="19"/>
  <c r="D92" i="19"/>
  <c r="C92" i="19"/>
  <c r="B92" i="19"/>
  <c r="A92" i="19"/>
  <c r="O91" i="19"/>
  <c r="N91" i="19"/>
  <c r="M91" i="19"/>
  <c r="L91" i="19"/>
  <c r="K91" i="19"/>
  <c r="J91" i="19"/>
  <c r="I91" i="19"/>
  <c r="H91" i="19"/>
  <c r="G91" i="19"/>
  <c r="F91" i="19"/>
  <c r="E91" i="19"/>
  <c r="D91" i="19"/>
  <c r="C91" i="19"/>
  <c r="B91" i="19"/>
  <c r="A91" i="19"/>
  <c r="O90" i="19"/>
  <c r="N90" i="19"/>
  <c r="M90" i="19"/>
  <c r="L90" i="19"/>
  <c r="K90" i="19"/>
  <c r="J90" i="19"/>
  <c r="I90" i="19"/>
  <c r="H90" i="19"/>
  <c r="G90" i="19"/>
  <c r="F90" i="19"/>
  <c r="E90" i="19"/>
  <c r="D90" i="19"/>
  <c r="C90" i="19"/>
  <c r="B90" i="19"/>
  <c r="A90" i="19"/>
  <c r="O89" i="19"/>
  <c r="N89" i="19"/>
  <c r="M89" i="19"/>
  <c r="L89" i="19"/>
  <c r="K89" i="19"/>
  <c r="J89" i="19"/>
  <c r="I89" i="19"/>
  <c r="H89" i="19"/>
  <c r="G89" i="19"/>
  <c r="F89" i="19"/>
  <c r="E89" i="19"/>
  <c r="D89" i="19"/>
  <c r="C89" i="19"/>
  <c r="B89" i="19"/>
  <c r="A89" i="19"/>
  <c r="O88" i="19"/>
  <c r="N88" i="19"/>
  <c r="M88" i="19"/>
  <c r="L88" i="19"/>
  <c r="K88" i="19"/>
  <c r="J88" i="19"/>
  <c r="I88" i="19"/>
  <c r="H88" i="19"/>
  <c r="G88" i="19"/>
  <c r="F88" i="19"/>
  <c r="E88" i="19"/>
  <c r="D88" i="19"/>
  <c r="C88" i="19"/>
  <c r="B88" i="19"/>
  <c r="A88" i="19"/>
  <c r="O87" i="19"/>
  <c r="N87" i="19"/>
  <c r="M87" i="19"/>
  <c r="L87" i="19"/>
  <c r="K87" i="19"/>
  <c r="J87" i="19"/>
  <c r="I87" i="19"/>
  <c r="H87" i="19"/>
  <c r="G87" i="19"/>
  <c r="F87" i="19"/>
  <c r="E87" i="19"/>
  <c r="D87" i="19"/>
  <c r="C87" i="19"/>
  <c r="B87" i="19"/>
  <c r="A87" i="19"/>
  <c r="O86" i="19"/>
  <c r="N86" i="19"/>
  <c r="M86" i="19"/>
  <c r="L86" i="19"/>
  <c r="K86" i="19"/>
  <c r="J86" i="19"/>
  <c r="I86" i="19"/>
  <c r="H86" i="19"/>
  <c r="G86" i="19"/>
  <c r="F86" i="19"/>
  <c r="E86" i="19"/>
  <c r="D86" i="19"/>
  <c r="C86" i="19"/>
  <c r="B86" i="19"/>
  <c r="A86" i="19"/>
  <c r="O85" i="19"/>
  <c r="N85" i="19"/>
  <c r="M85" i="19"/>
  <c r="L85" i="19"/>
  <c r="K85" i="19"/>
  <c r="J85" i="19"/>
  <c r="I85" i="19"/>
  <c r="H85" i="19"/>
  <c r="G85" i="19"/>
  <c r="F85" i="19"/>
  <c r="E85" i="19"/>
  <c r="D85" i="19"/>
  <c r="C85" i="19"/>
  <c r="B85" i="19"/>
  <c r="A85" i="19"/>
  <c r="O84" i="19"/>
  <c r="N84" i="19"/>
  <c r="M84" i="19"/>
  <c r="L84" i="19"/>
  <c r="K84" i="19"/>
  <c r="J84" i="19"/>
  <c r="I84" i="19"/>
  <c r="H84" i="19"/>
  <c r="G84" i="19"/>
  <c r="F84" i="19"/>
  <c r="E84" i="19"/>
  <c r="D84" i="19"/>
  <c r="C84" i="19"/>
  <c r="B84" i="19"/>
  <c r="A84" i="19"/>
  <c r="O83" i="19"/>
  <c r="N83" i="19"/>
  <c r="M83" i="19"/>
  <c r="L83" i="19"/>
  <c r="K83" i="19"/>
  <c r="J83" i="19"/>
  <c r="I83" i="19"/>
  <c r="H83" i="19"/>
  <c r="G83" i="19"/>
  <c r="F83" i="19"/>
  <c r="E83" i="19"/>
  <c r="D83" i="19"/>
  <c r="C83" i="19"/>
  <c r="B83" i="19"/>
  <c r="A83" i="19"/>
  <c r="O82" i="19"/>
  <c r="N82" i="19"/>
  <c r="M82" i="19"/>
  <c r="L82" i="19"/>
  <c r="K82" i="19"/>
  <c r="J82" i="19"/>
  <c r="I82" i="19"/>
  <c r="H82" i="19"/>
  <c r="G82" i="19"/>
  <c r="F82" i="19"/>
  <c r="E82" i="19"/>
  <c r="D82" i="19"/>
  <c r="C82" i="19"/>
  <c r="B82" i="19"/>
  <c r="A82" i="19"/>
  <c r="O81" i="19"/>
  <c r="N81" i="19"/>
  <c r="M81" i="19"/>
  <c r="L81" i="19"/>
  <c r="K81" i="19"/>
  <c r="J81" i="19"/>
  <c r="I81" i="19"/>
  <c r="H81" i="19"/>
  <c r="G81" i="19"/>
  <c r="F81" i="19"/>
  <c r="E81" i="19"/>
  <c r="D81" i="19"/>
  <c r="C81" i="19"/>
  <c r="B81" i="19"/>
  <c r="A81" i="19"/>
  <c r="O80" i="19"/>
  <c r="N80" i="19"/>
  <c r="M80" i="19"/>
  <c r="L80" i="19"/>
  <c r="K80" i="19"/>
  <c r="J80" i="19"/>
  <c r="I80" i="19"/>
  <c r="H80" i="19"/>
  <c r="G80" i="19"/>
  <c r="F80" i="19"/>
  <c r="E80" i="19"/>
  <c r="D80" i="19"/>
  <c r="C80" i="19"/>
  <c r="B80" i="19"/>
  <c r="A80" i="19"/>
  <c r="O79" i="19"/>
  <c r="N79" i="19"/>
  <c r="M79" i="19"/>
  <c r="L79" i="19"/>
  <c r="K79" i="19"/>
  <c r="J79" i="19"/>
  <c r="I79" i="19"/>
  <c r="H79" i="19"/>
  <c r="G79" i="19"/>
  <c r="F79" i="19"/>
  <c r="E79" i="19"/>
  <c r="D79" i="19"/>
  <c r="C79" i="19"/>
  <c r="B79" i="19"/>
  <c r="A79" i="19"/>
  <c r="O78" i="19"/>
  <c r="N78" i="19"/>
  <c r="M78" i="19"/>
  <c r="L78" i="19"/>
  <c r="K78" i="19"/>
  <c r="J78" i="19"/>
  <c r="I78" i="19"/>
  <c r="H78" i="19"/>
  <c r="G78" i="19"/>
  <c r="F78" i="19"/>
  <c r="E78" i="19"/>
  <c r="D78" i="19"/>
  <c r="C78" i="19"/>
  <c r="B78" i="19"/>
  <c r="A78" i="19"/>
  <c r="O77" i="19"/>
  <c r="N77" i="19"/>
  <c r="M77" i="19"/>
  <c r="L77" i="19"/>
  <c r="K77" i="19"/>
  <c r="J77" i="19"/>
  <c r="I77" i="19"/>
  <c r="H77" i="19"/>
  <c r="G77" i="19"/>
  <c r="F77" i="19"/>
  <c r="E77" i="19"/>
  <c r="D77" i="19"/>
  <c r="C77" i="19"/>
  <c r="B77" i="19"/>
  <c r="A77" i="19"/>
  <c r="O76" i="19"/>
  <c r="N76" i="19"/>
  <c r="M76" i="19"/>
  <c r="L76" i="19"/>
  <c r="K76" i="19"/>
  <c r="J76" i="19"/>
  <c r="I76" i="19"/>
  <c r="H76" i="19"/>
  <c r="G76" i="19"/>
  <c r="F76" i="19"/>
  <c r="E76" i="19"/>
  <c r="D76" i="19"/>
  <c r="C76" i="19"/>
  <c r="B76" i="19"/>
  <c r="A76" i="19"/>
  <c r="O75" i="19"/>
  <c r="N75" i="19"/>
  <c r="M75" i="19"/>
  <c r="L75" i="19"/>
  <c r="K75" i="19"/>
  <c r="J75" i="19"/>
  <c r="I75" i="19"/>
  <c r="H75" i="19"/>
  <c r="G75" i="19"/>
  <c r="F75" i="19"/>
  <c r="E75" i="19"/>
  <c r="D75" i="19"/>
  <c r="C75" i="19"/>
  <c r="B75" i="19"/>
  <c r="A75" i="19"/>
  <c r="O74" i="19"/>
  <c r="N74" i="19"/>
  <c r="M74" i="19"/>
  <c r="L74" i="19"/>
  <c r="K74" i="19"/>
  <c r="J74" i="19"/>
  <c r="I74" i="19"/>
  <c r="H74" i="19"/>
  <c r="G74" i="19"/>
  <c r="F74" i="19"/>
  <c r="E74" i="19"/>
  <c r="D74" i="19"/>
  <c r="C74" i="19"/>
  <c r="B74" i="19"/>
  <c r="A74" i="19"/>
  <c r="O73" i="19"/>
  <c r="N73" i="19"/>
  <c r="M73" i="19"/>
  <c r="L73" i="19"/>
  <c r="K73" i="19"/>
  <c r="J73" i="19"/>
  <c r="I73" i="19"/>
  <c r="H73" i="19"/>
  <c r="G73" i="19"/>
  <c r="F73" i="19"/>
  <c r="E73" i="19"/>
  <c r="D73" i="19"/>
  <c r="C73" i="19"/>
  <c r="B73" i="19"/>
  <c r="A73" i="19"/>
  <c r="O72" i="19"/>
  <c r="N72" i="19"/>
  <c r="M72" i="19"/>
  <c r="L72" i="19"/>
  <c r="K72" i="19"/>
  <c r="J72" i="19"/>
  <c r="I72" i="19"/>
  <c r="H72" i="19"/>
  <c r="G72" i="19"/>
  <c r="F72" i="19"/>
  <c r="E72" i="19"/>
  <c r="D72" i="19"/>
  <c r="C72" i="19"/>
  <c r="B72" i="19"/>
  <c r="A72" i="19"/>
  <c r="O71" i="19"/>
  <c r="N71" i="19"/>
  <c r="M71" i="19"/>
  <c r="L71" i="19"/>
  <c r="K71" i="19"/>
  <c r="J71" i="19"/>
  <c r="I71" i="19"/>
  <c r="H71" i="19"/>
  <c r="G71" i="19"/>
  <c r="F71" i="19"/>
  <c r="E71" i="19"/>
  <c r="D71" i="19"/>
  <c r="C71" i="19"/>
  <c r="B71" i="19"/>
  <c r="A71" i="19"/>
  <c r="O70" i="19"/>
  <c r="N70" i="19"/>
  <c r="M70" i="19"/>
  <c r="L70" i="19"/>
  <c r="K70" i="19"/>
  <c r="J70" i="19"/>
  <c r="I70" i="19"/>
  <c r="H70" i="19"/>
  <c r="G70" i="19"/>
  <c r="F70" i="19"/>
  <c r="E70" i="19"/>
  <c r="D70" i="19"/>
  <c r="C70" i="19"/>
  <c r="B70" i="19"/>
  <c r="A70" i="19"/>
  <c r="O69" i="19"/>
  <c r="N69" i="19"/>
  <c r="M69" i="19"/>
  <c r="L69" i="19"/>
  <c r="K69" i="19"/>
  <c r="J69" i="19"/>
  <c r="I69" i="19"/>
  <c r="H69" i="19"/>
  <c r="G69" i="19"/>
  <c r="F69" i="19"/>
  <c r="E69" i="19"/>
  <c r="D69" i="19"/>
  <c r="C69" i="19"/>
  <c r="B69" i="19"/>
  <c r="A69" i="19"/>
  <c r="O68" i="19"/>
  <c r="N68" i="19"/>
  <c r="M68" i="19"/>
  <c r="L68" i="19"/>
  <c r="K68" i="19"/>
  <c r="J68" i="19"/>
  <c r="I68" i="19"/>
  <c r="H68" i="19"/>
  <c r="G68" i="19"/>
  <c r="F68" i="19"/>
  <c r="E68" i="19"/>
  <c r="D68" i="19"/>
  <c r="C68" i="19"/>
  <c r="B68" i="19"/>
  <c r="A68" i="19"/>
  <c r="O67" i="19"/>
  <c r="N67" i="19"/>
  <c r="M67" i="19"/>
  <c r="L67" i="19"/>
  <c r="K67" i="19"/>
  <c r="J67" i="19"/>
  <c r="I67" i="19"/>
  <c r="H67" i="19"/>
  <c r="G67" i="19"/>
  <c r="F67" i="19"/>
  <c r="E67" i="19"/>
  <c r="D67" i="19"/>
  <c r="C67" i="19"/>
  <c r="B67" i="19"/>
  <c r="A67" i="19"/>
  <c r="O66" i="19"/>
  <c r="N66" i="19"/>
  <c r="M66" i="19"/>
  <c r="L66" i="19"/>
  <c r="K66" i="19"/>
  <c r="J66" i="19"/>
  <c r="I66" i="19"/>
  <c r="H66" i="19"/>
  <c r="G66" i="19"/>
  <c r="F66" i="19"/>
  <c r="E66" i="19"/>
  <c r="D66" i="19"/>
  <c r="C66" i="19"/>
  <c r="B66" i="19"/>
  <c r="A66" i="19"/>
  <c r="O65" i="19"/>
  <c r="N65" i="19"/>
  <c r="M65" i="19"/>
  <c r="L65" i="19"/>
  <c r="K65" i="19"/>
  <c r="J65" i="19"/>
  <c r="I65" i="19"/>
  <c r="H65" i="19"/>
  <c r="G65" i="19"/>
  <c r="F65" i="19"/>
  <c r="E65" i="19"/>
  <c r="D65" i="19"/>
  <c r="C65" i="19"/>
  <c r="B65" i="19"/>
  <c r="A65" i="19"/>
  <c r="O64" i="19"/>
  <c r="N64" i="19"/>
  <c r="M64" i="19"/>
  <c r="L64" i="19"/>
  <c r="K64" i="19"/>
  <c r="J64" i="19"/>
  <c r="I64" i="19"/>
  <c r="H64" i="19"/>
  <c r="G64" i="19"/>
  <c r="F64" i="19"/>
  <c r="E64" i="19"/>
  <c r="D64" i="19"/>
  <c r="C64" i="19"/>
  <c r="B64" i="19"/>
  <c r="A64" i="19"/>
  <c r="O63" i="19"/>
  <c r="N63" i="19"/>
  <c r="M63" i="19"/>
  <c r="L63" i="19"/>
  <c r="K63" i="19"/>
  <c r="J63" i="19"/>
  <c r="I63" i="19"/>
  <c r="H63" i="19"/>
  <c r="G63" i="19"/>
  <c r="F63" i="19"/>
  <c r="E63" i="19"/>
  <c r="D63" i="19"/>
  <c r="C63" i="19"/>
  <c r="B63" i="19"/>
  <c r="A63" i="19"/>
  <c r="O62" i="19"/>
  <c r="N62" i="19"/>
  <c r="M62" i="19"/>
  <c r="L62" i="19"/>
  <c r="K62" i="19"/>
  <c r="J62" i="19"/>
  <c r="I62" i="19"/>
  <c r="H62" i="19"/>
  <c r="G62" i="19"/>
  <c r="F62" i="19"/>
  <c r="E62" i="19"/>
  <c r="D62" i="19"/>
  <c r="C62" i="19"/>
  <c r="B62" i="19"/>
  <c r="A62" i="19"/>
  <c r="O61" i="19"/>
  <c r="N61" i="19"/>
  <c r="M61" i="19"/>
  <c r="L61" i="19"/>
  <c r="K61" i="19"/>
  <c r="J61" i="19"/>
  <c r="I61" i="19"/>
  <c r="H61" i="19"/>
  <c r="G61" i="19"/>
  <c r="F61" i="19"/>
  <c r="E61" i="19"/>
  <c r="D61" i="19"/>
  <c r="C61" i="19"/>
  <c r="B61" i="19"/>
  <c r="A61" i="19"/>
  <c r="O60" i="19"/>
  <c r="N60" i="19"/>
  <c r="M60" i="19"/>
  <c r="L60" i="19"/>
  <c r="K60" i="19"/>
  <c r="J60" i="19"/>
  <c r="I60" i="19"/>
  <c r="H60" i="19"/>
  <c r="G60" i="19"/>
  <c r="F60" i="19"/>
  <c r="E60" i="19"/>
  <c r="D60" i="19"/>
  <c r="C60" i="19"/>
  <c r="B60" i="19"/>
  <c r="A60" i="19"/>
  <c r="O59" i="19"/>
  <c r="N59" i="19"/>
  <c r="M59" i="19"/>
  <c r="L59" i="19"/>
  <c r="K59" i="19"/>
  <c r="J59" i="19"/>
  <c r="I59" i="19"/>
  <c r="H59" i="19"/>
  <c r="G59" i="19"/>
  <c r="F59" i="19"/>
  <c r="E59" i="19"/>
  <c r="D59" i="19"/>
  <c r="C59" i="19"/>
  <c r="B59" i="19"/>
  <c r="A59" i="19"/>
  <c r="O58" i="19"/>
  <c r="N58" i="19"/>
  <c r="M58" i="19"/>
  <c r="L58" i="19"/>
  <c r="K58" i="19"/>
  <c r="J58" i="19"/>
  <c r="I58" i="19"/>
  <c r="H58" i="19"/>
  <c r="G58" i="19"/>
  <c r="F58" i="19"/>
  <c r="E58" i="19"/>
  <c r="D58" i="19"/>
  <c r="C58" i="19"/>
  <c r="B58" i="19"/>
  <c r="A58" i="19"/>
  <c r="O57" i="19"/>
  <c r="N57" i="19"/>
  <c r="M57" i="19"/>
  <c r="L57" i="19"/>
  <c r="K57" i="19"/>
  <c r="J57" i="19"/>
  <c r="I57" i="19"/>
  <c r="H57" i="19"/>
  <c r="G57" i="19"/>
  <c r="F57" i="19"/>
  <c r="E57" i="19"/>
  <c r="D57" i="19"/>
  <c r="C57" i="19"/>
  <c r="B57" i="19"/>
  <c r="A57" i="19"/>
  <c r="O56" i="19"/>
  <c r="N56" i="19"/>
  <c r="M56" i="19"/>
  <c r="L56" i="19"/>
  <c r="K56" i="19"/>
  <c r="J56" i="19"/>
  <c r="I56" i="19"/>
  <c r="H56" i="19"/>
  <c r="G56" i="19"/>
  <c r="F56" i="19"/>
  <c r="E56" i="19"/>
  <c r="D56" i="19"/>
  <c r="C56" i="19"/>
  <c r="B56" i="19"/>
  <c r="A56" i="19"/>
  <c r="O55" i="19"/>
  <c r="N55" i="19"/>
  <c r="M55" i="19"/>
  <c r="L55" i="19"/>
  <c r="K55" i="19"/>
  <c r="J55" i="19"/>
  <c r="I55" i="19"/>
  <c r="H55" i="19"/>
  <c r="G55" i="19"/>
  <c r="F55" i="19"/>
  <c r="E55" i="19"/>
  <c r="D55" i="19"/>
  <c r="C55" i="19"/>
  <c r="B55" i="19"/>
  <c r="A55" i="19"/>
  <c r="O54" i="19"/>
  <c r="N54" i="19"/>
  <c r="M54" i="19"/>
  <c r="L54" i="19"/>
  <c r="K54" i="19"/>
  <c r="J54" i="19"/>
  <c r="I54" i="19"/>
  <c r="H54" i="19"/>
  <c r="G54" i="19"/>
  <c r="F54" i="19"/>
  <c r="E54" i="19"/>
  <c r="D54" i="19"/>
  <c r="C54" i="19"/>
  <c r="B54" i="19"/>
  <c r="A54" i="19"/>
  <c r="O53" i="19"/>
  <c r="N53" i="19"/>
  <c r="M53" i="19"/>
  <c r="L53" i="19"/>
  <c r="K53" i="19"/>
  <c r="J53" i="19"/>
  <c r="I53" i="19"/>
  <c r="H53" i="19"/>
  <c r="G53" i="19"/>
  <c r="F53" i="19"/>
  <c r="E53" i="19"/>
  <c r="D53" i="19"/>
  <c r="C53" i="19"/>
  <c r="B53" i="19"/>
  <c r="A53" i="19"/>
  <c r="O52" i="19"/>
  <c r="N52" i="19"/>
  <c r="M52" i="19"/>
  <c r="L52" i="19"/>
  <c r="K52" i="19"/>
  <c r="J52" i="19"/>
  <c r="I52" i="19"/>
  <c r="H52" i="19"/>
  <c r="G52" i="19"/>
  <c r="F52" i="19"/>
  <c r="E52" i="19"/>
  <c r="D52" i="19"/>
  <c r="C52" i="19"/>
  <c r="B52" i="19"/>
  <c r="A52" i="19"/>
  <c r="O51" i="19"/>
  <c r="N51" i="19"/>
  <c r="M51" i="19"/>
  <c r="L51" i="19"/>
  <c r="K51" i="19"/>
  <c r="J51" i="19"/>
  <c r="I51" i="19"/>
  <c r="H51" i="19"/>
  <c r="G51" i="19"/>
  <c r="F51" i="19"/>
  <c r="E51" i="19"/>
  <c r="D51" i="19"/>
  <c r="C51" i="19"/>
  <c r="B51" i="19"/>
  <c r="A51" i="19"/>
  <c r="B48" i="19"/>
  <c r="B47" i="19"/>
  <c r="B46" i="19"/>
  <c r="B45" i="19"/>
  <c r="G39" i="19"/>
  <c r="F39" i="19"/>
  <c r="B39" i="19"/>
  <c r="G38" i="19"/>
  <c r="B38" i="19"/>
  <c r="G37" i="19"/>
  <c r="B37" i="19"/>
  <c r="G36" i="19"/>
  <c r="B36" i="19"/>
  <c r="G35" i="19"/>
  <c r="F35" i="19"/>
  <c r="B35" i="19"/>
  <c r="G34" i="19"/>
  <c r="B34" i="19"/>
  <c r="G33" i="19"/>
  <c r="B33" i="19"/>
  <c r="G32" i="19"/>
  <c r="F32" i="19"/>
  <c r="B32" i="19"/>
  <c r="G31" i="19"/>
  <c r="B31" i="19"/>
  <c r="G30" i="19"/>
  <c r="B30" i="19"/>
  <c r="G29" i="19"/>
  <c r="B29" i="19"/>
  <c r="G28" i="19"/>
  <c r="F28" i="19"/>
  <c r="B28" i="19"/>
  <c r="G27" i="19"/>
  <c r="F27" i="19"/>
  <c r="G26" i="19"/>
  <c r="F26" i="19"/>
  <c r="B26" i="19"/>
  <c r="G25" i="19"/>
  <c r="G24" i="19"/>
  <c r="G23" i="19"/>
  <c r="G22" i="19"/>
  <c r="G21" i="19"/>
  <c r="G20" i="19"/>
  <c r="G19" i="19"/>
  <c r="G18" i="19"/>
  <c r="C18" i="19"/>
  <c r="G17" i="19"/>
  <c r="G16" i="19"/>
  <c r="G15" i="19"/>
  <c r="G14" i="19"/>
  <c r="F14" i="19"/>
  <c r="G13" i="19"/>
  <c r="F13" i="19"/>
  <c r="C13" i="19"/>
  <c r="G12" i="19"/>
  <c r="F12" i="19"/>
  <c r="G11" i="19"/>
  <c r="F11" i="19"/>
  <c r="G10" i="19"/>
  <c r="F10" i="19"/>
  <c r="G9" i="19"/>
  <c r="F9" i="19"/>
  <c r="G8" i="19"/>
  <c r="F8" i="19"/>
  <c r="G7" i="19"/>
  <c r="F7" i="19"/>
  <c r="C7" i="19"/>
  <c r="G6" i="19"/>
  <c r="F6" i="19"/>
  <c r="B6" i="19"/>
  <c r="G5" i="19"/>
  <c r="F5" i="19"/>
</calcChain>
</file>

<file path=xl/sharedStrings.xml><?xml version="1.0" encoding="utf-8"?>
<sst xmlns="http://schemas.openxmlformats.org/spreadsheetml/2006/main" count="6451" uniqueCount="3596">
  <si>
    <t>Hướng dẫn đọc và phạm vi dữ liệu</t>
  </si>
  <si>
    <t>Mục</t>
  </si>
  <si>
    <t>Nội dung</t>
  </si>
  <si>
    <t>Đọc / kiểm tra ở đâu</t>
  </si>
  <si>
    <t>Phạm vi</t>
  </si>
  <si>
    <t>Kỳ UC01</t>
  </si>
  <si>
    <t>01/01–20/06/2026, N=171 ngày. Ngày chốt chung 20/06/2026.</t>
  </si>
  <si>
    <t>D_F01; F01_UC1</t>
  </si>
  <si>
    <t>Kỳ UC02</t>
  </si>
  <si>
    <t>21/06–19/09/2026, 13 tuần/91 ngày. Không lấy 171 ngày làm kỳ dự báo.</t>
  </si>
  <si>
    <t>F01_UC2</t>
  </si>
  <si>
    <t>Cách đọc</t>
  </si>
  <si>
    <t>Các sheet D_* là đầu vào dùng chung, không có F02/F03.</t>
  </si>
  <si>
    <t>Cách viết công thức</t>
  </si>
  <si>
    <t>Mỗi dòng có tên biến, phép tính, phạm vi, đơn vị và ngoại lệ. Dấu Σ là cộng các dòng thỏa điều kiện; MAX(0;x) là chỉ giữ phần dương.</t>
  </si>
  <si>
    <t>Không dùng công thức dài thay định nghĩa nghiệp vụ.</t>
  </si>
  <si>
    <t>Dữ liệu được giữ</t>
  </si>
  <si>
    <t>Giữ mã và số tiền của 111 hóa đơn bán, 127 hóa đơn mua, 33 lô; doanh thu 30 tỷ và giá vốn 24 tỷ từ bản F01 sáu tháng đã xây.</t>
  </si>
  <si>
    <t>D_sales, D_purchases, D_inventory</t>
  </si>
  <si>
    <t>Điều chỉnh ngày</t>
  </si>
  <si>
    <t>Lùi ngày chốt từ 30/09 về 20/06 (102 ngày); lùi các ngày giao dịch tương ứng. Hóa đơn lùi trước 01/01 được đưa về 01/01, giữ chênh lệch due/paid theo hợp đồng. Tồn đầu kỳ có ngày nhập trước 01/01 vẫn được giữ.</t>
  </si>
  <si>
    <t>Số ngày quá hạn / lưu kho tại chốt giữ khi không bị giới hạn đầu kỳ; lưu vết tại D_F01.</t>
  </si>
  <si>
    <t>Không giữ kết quả cũ bằng ép số</t>
  </si>
  <si>
    <t>Số tiền giữ nguyên, N đổi 183→171 nên DSO/DIO/DPO/CCC và W có thể đổi. Không chỉnh số dư để ép về W2.</t>
  </si>
  <si>
    <t>Ví dụ mới được tính độc lập trong Kiem_thu.</t>
  </si>
  <si>
    <t>Bổ sung để chạy UC02</t>
  </si>
  <si>
    <t>Lịch lương, thuế, thuê xưởng, trả nợ và một lịch thu xác nhận đều là giả lập biết tại ngày chốt; không có trong dữ liệu gốc.</t>
  </si>
  <si>
    <t>D_flows có source_type, source_ref, known_at và cờ essential.</t>
  </si>
  <si>
    <t>Nguồn ưu tiên</t>
  </si>
  <si>
    <t>Giá trị và công thức W theo Ngưỡng SMEs(2).xlsx; nghiệp vụ forecast theo SRS v1.0; mã công thức kế thừa v4.</t>
  </si>
  <si>
    <t>Nguong ghi nguồn theo sheet/ô; không thay ngưỡng bằng số đã làm tròn trong SRS.</t>
  </si>
  <si>
    <t>Khác cơ sở ngành</t>
  </si>
  <si>
    <t>Ngành dùng năm và số dư bình quân; F01 dùng 171 ngày và số dư cuối kỳ. So sánh có nhãn provisional, chỉ định hướng.</t>
  </si>
  <si>
    <t>Không đổi ngưỡng ngày theo tỷ lệ 171/365. Quy đổi vốn vượt dùng Rev/N hoặc COGS/N.</t>
  </si>
  <si>
    <t>Tỷ lệ tiền theo năm</t>
  </si>
  <si>
    <t>UC01 demo dùng RevAnnualProxy = Rev×365/171 để chuẩn hóa tỷ lệ tiền. Đây không phải doanh thu TTM thực.</t>
  </si>
  <si>
    <t>Nếu vận hành thiếu TTM thì tín hiệu tiền mỏng chưa đủ bằng chứng; không dùng proxy để tự sinh dự trữ UC02.</t>
  </si>
  <si>
    <t>Mức dự trữ UC02</t>
  </si>
  <si>
    <t>F01 Rtarget=500 triệu kế thừa demo; Rmin=250 triệu, Rupper=1 tỷ theo fallback SRS. Cả ba đều cần chủ DN xác nhận trước vận hành.</t>
  </si>
  <si>
    <t>D_F01; thay các giá trị này sẽ đổi cảnh báo.</t>
  </si>
  <si>
    <t>Chuẩn ngành và biến điều tiết</t>
  </si>
  <si>
    <t>Nguong lưu P10/P25/P50/P75/P90, trung vị nhóm/ngành, p-value và hệ số; các ngưỡng DN được tính lại bằng công thức.</t>
  </si>
  <si>
    <t>Không tính lại kiểm định từ mẫu giao dịch F01. Số 5% là chính sách, không là chuẩn pháp lý bắt buộc.</t>
  </si>
  <si>
    <t>W và chi tiết quá hạn</t>
  </si>
  <si>
    <t>File SMEs B4 phân lớp W bằng DSO, DIO, DPO thấp+tiền mỏng và mức trọng yếu. Các tín hiệu từng hóa đơn/lô được hiển thị riêng.</t>
  </si>
  <si>
    <t>SRS mô tả “bất kỳ tín hiệu” rộng hơn; bản này chọn B4 làm quy tắc W duy nhất để không trộn hai cách phân lớp.</t>
  </si>
  <si>
    <t>Độ trễ có kiểm duyệt</t>
  </si>
  <si>
    <t>Theo SRS: mẫu mở đã quá hạn là cận dưới, không phải số ngày trễ thanh toán đã quan sát xong. UC01 chỉ dùng hóa đơn đã thu để tả hành vi.</t>
  </si>
  <si>
    <t>UC02 dùng riêng bộ mẫu theo due_date; ghi số censored và cấp dự phòng.</t>
  </si>
  <si>
    <t>Phân vị và trung bình</t>
  </si>
  <si>
    <t>P25 và P75 tính theo số mẫu, trung bình có trọng số theo tiền. Không mặc định P25≤Mean≤P75 luôn đúng.</t>
  </si>
  <si>
    <t>Để có dải nhất quán: Opt=MIN(P25;Mean), Cons=MAX(P75;Mean), theo yêu cầu thứ tự SRS.</t>
  </si>
  <si>
    <t>Lịch trả quá hạn</t>
  </si>
  <si>
    <t>Rải ngày chi theo offset trong SRS là chính sách mô phỏng; không thể hiểu là nhà cung cấp đã đồng ý giãn nợ.</t>
  </si>
  <si>
    <t>Lịch đã duyệt luôn ưu tiên; NCC thiết yếu không tự kéo dài lịch khoản chưa đến hạn.</t>
  </si>
  <si>
    <t>Dư 14 ngày</t>
  </si>
  <si>
    <t>TH03 kiểm tra chuỗi 14 ngày liên tiếp thực sự; không dùng một khối cố định làm điều kiện tương đương.</t>
  </si>
  <si>
    <t>TH01 ưu tiên nếu có ngày dưới Rtarget. M1 chỉ là chưa thấy tín hiệu WC, chưa chứng minh nguyên nhân thiếu.</t>
  </si>
  <si>
    <t>Năm kịch bản</t>
  </si>
  <si>
    <t>Chọn Base, Optimistic, Conservative, Stress7 hoặc Continuing tại D_F01. Một bộ tính dùng lại cho mọi lựa chọn.</t>
  </si>
  <si>
    <t>TH và ô ma trận được chốt bằng Base trong hệ thống. Workbook hiển thị TH kịch bản đang chọn và mốc Base đối chiếu tĩnh có nhãn.</t>
  </si>
  <si>
    <t>Phạm vi workbook</t>
  </si>
  <si>
    <t>Các bảng công thức là đặc tả đầy đủ; bảng tính F01 là bộ dữ liệu kiểm thử minh họa các phép tính chính và 5 kịch bản. Không thay backend có Decimal, phân bổ thu từng phần và kiểm soát quyền.</t>
  </si>
  <si>
    <t>Các ca dữ liệu lỗi, phân bổ từng phần, snapshot, quyền được ghi acceptance trong Kiem_thu; không tuyên bố đã chạy backend.</t>
  </si>
  <si>
    <t>Tiền không được cộng trùng</t>
  </si>
  <si>
    <t>TWC, MoneyAtRisk, phải thu quá hạn và tồn lâu đều là số dư/ước lượng; không cộng thêm vào thu UC02.</t>
  </si>
  <si>
    <t>Chỉ event có ngày, hướng và nguồn mới đi vào dòng tiền.</t>
  </si>
  <si>
    <t>Đầu ra AI</t>
  </si>
  <si>
    <t>UC01 nêu tiền ở đâu, bao nhiêu, bao lâu; UC02 nêu thời điểm, quy mô thiếu/dư và các khoản thu chi góp phần. Không khuyến nghị vay, bán hàng hay lập kế hoạch thu nợ trong UC01.</t>
  </si>
  <si>
    <t>Output_contract; mọi số trong câu phải có fact_id của cùng run.</t>
  </si>
  <si>
    <t>Cập nhật dữ liệu</t>
  </si>
  <si>
    <t>Chỉ sửa ô đầu vào màu xanh; công thức màu đen/xanh lá. Thêm bản ghi ngoài vùng đã khai báo phải mở rộng bảng và kiểm tra lại phạm vi.</t>
  </si>
  <si>
    <t>Các ca tham chiếu Kiem_thu là snapshot phát hành, thay dữ liệu sẽ có LỆCH cần lập lại expected.</t>
  </si>
  <si>
    <t>Nguồn tệp</t>
  </si>
  <si>
    <t>Dac_ta_cong_thuc_TV1_TV2_v4(1).xlsx; Ngưỡng SMEs(2).xlsx; SRS_SME_Liquidity_Copilot_UC01_UC02_v1.0.docx; F01_Du_lieu_gia_lap_6_thang_theo_nguong_SMEs.xlsx.</t>
  </si>
  <si>
    <t>Đọc trực tiếp ba tệp đính kèm và dữ liệu F01 đã tạo; không dùng bộ 3 doanh nghiệp cũ.</t>
  </si>
  <si>
    <t>Kết cấu thay đổi</t>
  </si>
  <si>
    <t>Gộp 17 sheet v4 thành 13 sheet: quy ước tại Read_me/D_F01; ngưỡng TV1/TV2 tại Nguong; hai output tại Output_contract; các phép tính tại F01_UC1/F01_UC2.</t>
  </si>
  <si>
    <t>Dữ liệu F01 nằm trong chính workbook, không cần nạp bộ 3 doanh nghiệp cũ.</t>
  </si>
  <si>
    <t>Khi đổi kỳ lần nữa</t>
  </si>
  <si>
    <t>Không chỉ sửa ngày chốt trong một ô: phải cập nhật đồng bộ ngày giao dịch, lịch xác nhận, nguồn dự trữ, snapshot và kết quả độc lập. Các ví dụ và expected hiện gắn kỳ 01/01–20/06/2026.</t>
  </si>
  <si>
    <t>Đổi kỳ là tạo snapshot mới, không là kịch bản thu chậm.</t>
  </si>
  <si>
    <t>Độ phủ lịch sử</t>
  </si>
  <si>
    <t>Cửa sổ mục tiêu là 180 ngày nhưng bộ giao dịch hiện có 171 ngày. Chưa có 9 ngày cuối năm 2025; không coi những ngày thiếu là không phát sinh. Độ trễ chỉ tính trên mẫu quan sát hiện có và phải mang trạng thái provisional.</t>
  </si>
  <si>
    <t>Bổ sung lịch sử để vận hành chính thức; UC01 vẫn dùng doanh thu/giá vốn đúng 171 ngày.</t>
  </si>
  <si>
    <t>Đáy kịch bản có thể trùng</t>
  </si>
  <si>
    <t>Trong snapshot này, bốn kịch bản run-off có cùng số dư thấp nhất vì các khoản thu đều về trước đợt chi tạo đáy cuối kỳ. Lịch thu và số dư giữa kỳ vẫn khác. Không chỉnh dữ liệu để ép các giá trị đáy khác nhau.</t>
  </si>
  <si>
    <t>Xem diễn biến theo ngày, tuần và từng sự kiện, không chỉ so một con số MinCash.</t>
  </si>
  <si>
    <t>Khả năng mở và tính lại</t>
  </si>
  <si>
    <t>Phần bảng tính minh họa cần phần mềm hỗ trợ hàm FILTER và mảng động. Kết quả được tính và đối chiếu độc lập trong workbook; chưa nghiệm thu trên từng phiên bản Excel/Google Sheets. Bảng đặc tả vẫn đọc được như văn bản.</t>
  </si>
  <si>
    <t>Đặc tả là hợp đồng cho developer; bộ minh họa không thay thế backend có Decimal, phân bổ từng phần và kiểm soát quyền.</t>
  </si>
  <si>
    <t>UC01 Chẩn đoán vốn lưu động</t>
  </si>
  <si>
    <t>Mã</t>
  </si>
  <si>
    <t>Nhóm công thức</t>
  </si>
  <si>
    <t>Chỉ tiêu</t>
  </si>
  <si>
    <t>Ý nghĩa dễ hiểu</t>
  </si>
  <si>
    <t>Công thức từng bước</t>
  </si>
  <si>
    <t>Dữ liệu đầu vào</t>
  </si>
  <si>
    <t>Phạm vi / điều kiện</t>
  </si>
  <si>
    <t>Đơn vị / hiển thị</t>
  </si>
  <si>
    <t>Ngoại lệ / kiểm soát</t>
  </si>
  <si>
    <t>T1-01</t>
  </si>
  <si>
    <t>01. Số dư và chu kỳ</t>
  </si>
  <si>
    <t>Doanh thu kỳ (Rev)</t>
  </si>
  <si>
    <t>Quy mô bán hàng trong N ngày</t>
  </si>
  <si>
    <t>Rev = financials.revenue_vnd</t>
  </si>
  <si>
    <t>financials.revenue_vnd; workbook D_F01!B9</t>
  </si>
  <si>
    <t>firm_id của phiên; firm_id = F01; ngày chốt 20/06/2026. Kỳ phát sinh 01/01–20/06 nếu áp dụng.</t>
  </si>
  <si>
    <t>VND</t>
  </si>
  <si>
    <t>Rev=0: chỉ tiêu phụ thuộc not_applicable. Thiếu Rev: missing_data. Demo dùng tổng doanh thu như proxy bán chịu.</t>
  </si>
  <si>
    <t>T1-02</t>
  </si>
  <si>
    <t>Giá vốn kỳ (COGS)</t>
  </si>
  <si>
    <t>Chi phí làm ra hàng đã bán, gồm cả lương công nhân</t>
  </si>
  <si>
    <t>COGS = financials.cogs_vnd</t>
  </si>
  <si>
    <t>financials.cogs_vnd; workbook D_F01!B10</t>
  </si>
  <si>
    <t>COGS=0: tỷ số phụ thuộc not_applicable. Thiếu COGS: missing_data.</t>
  </si>
  <si>
    <t>T1-03</t>
  </si>
  <si>
    <t>Phải thu (AR)</t>
  </si>
  <si>
    <t>Tiền khách còn nợ</t>
  </si>
  <si>
    <t>AR = Σ OpenAmount của hóa đơn bán</t>
  </si>
  <si>
    <t>sales_invoices.Amount</t>
  </si>
  <si>
    <t>Hóa đơn mở tại AsOf; firm_id = F01; ngày chốt 20/06/2026. Kỳ phát sinh 01/01–20/06 nếu áp dụng.</t>
  </si>
  <si>
    <t>Không có hóa đơn mở → AR = 0 (hợp lệ)</t>
  </si>
  <si>
    <t>T1-04</t>
  </si>
  <si>
    <t>Tồn kho (INV)</t>
  </si>
  <si>
    <t>Tiền nằm trong kho dưới dạng hàng</t>
  </si>
  <si>
    <t>INV = Σ Qty × UnitCost của lô thuộc F01</t>
  </si>
  <si>
    <t>inventory.qty, unit_cost_vnd, inventory_type</t>
  </si>
  <si>
    <t>inventory_type ≠ HGC; firm_id = F01; ngày chốt 20/06/2026. Kỳ phát sinh 01/01–20/06 nếu áp dụng.</t>
  </si>
  <si>
    <t>Thiếu loại/quyền sở hữu: chưa xác định, không tự coi NVL. Demo HGC loại; cost chưa NRV có nhãn.</t>
  </si>
  <si>
    <t>T1-05</t>
  </si>
  <si>
    <t>Phải trả (AP)</t>
  </si>
  <si>
    <t>Số tiền doanh nghiệp còn nợ nhà cung cấp</t>
  </si>
  <si>
    <t>AP = Σ OpenAmount của hóa đơn mua</t>
  </si>
  <si>
    <t>purchase_invoices.Amount</t>
  </si>
  <si>
    <t>Không có hóa đơn mở → AP = 0 (hợp lệ)</t>
  </si>
  <si>
    <t>T1-06</t>
  </si>
  <si>
    <t>Mua hàng trong kỳ (PUR)</t>
  </si>
  <si>
    <t>Giá trị mua chịu từ nhà cung cấp trong N ngày</t>
  </si>
  <si>
    <t>PUR = Σ Amount hóa đơn mua phát hành trong kỳ</t>
  </si>
  <si>
    <t>purchase_invoices.Amount, issue_date</t>
  </si>
  <si>
    <t>AsOf − N + 1 ≤ issue_date ≤ AsOf; firm_id = F01; ngày chốt 20/06/2026. Kỳ phát sinh 01/01–20/06 nếu áp dụng.</t>
  </si>
  <si>
    <t>PUR = 0 → bỏ T1-11</t>
  </si>
  <si>
    <t>T1-07</t>
  </si>
  <si>
    <t>DSO</t>
  </si>
  <si>
    <t>Phải thu quy đổi thành số ngày theo doanh thu kỳ; không là ngày tiền chắc chắn về.</t>
  </si>
  <si>
    <t>DSO = AR / Rev × N</t>
  </si>
  <si>
    <t>T1-03, T1-01</t>
  </si>
  <si>
    <t>–; firm_id = F01; ngày chốt 20/06/2026. Kỳ phát sinh 01/01–20/06 nếu áp dụng.</t>
  </si>
  <si>
    <t>ngày; 1 số lẻ khi xuất</t>
  </si>
  <si>
    <t>Rev=0: not_applicable. Thiếu trường: missing_data.</t>
  </si>
  <si>
    <t>T1-08</t>
  </si>
  <si>
    <t>DIO</t>
  </si>
  <si>
    <t>Tồn kho quy đổi theo giá vốn kỳ; khác số ngày một lô đã lưu kho.</t>
  </si>
  <si>
    <t>DIO = INV / COGS × N</t>
  </si>
  <si>
    <t>T1-04, T1-02</t>
  </si>
  <si>
    <t>ngày; 1 số lẻ</t>
  </si>
  <si>
    <t>COGS=0: not_applicable. Thiếu trường: missing_data.</t>
  </si>
  <si>
    <t>T1-09</t>
  </si>
  <si>
    <t>DPO</t>
  </si>
  <si>
    <t>Phải trả cuối kỳ quy đổi theo giá vốn kỳ; không phải kỳ hạn hợp đồng thực tế.</t>
  </si>
  <si>
    <t>DPO = AP / COGS × N</t>
  </si>
  <si>
    <t>T1-05, T1-02</t>
  </si>
  <si>
    <t>T1-10</t>
  </si>
  <si>
    <t>CCC</t>
  </si>
  <si>
    <t>DSO + DIO − DPO theo cùng phương pháp và kỳ.</t>
  </si>
  <si>
    <t>CCC = DSO + DIO − DPO</t>
  </si>
  <si>
    <t>T1-07..T1-09 (chưa làm tròn)</t>
  </si>
  <si>
    <t>ngày; làm tròn bước cuối</t>
  </si>
  <si>
    <t>Metric phụ thuộc không khả dụng: CCC null cùng reason; giữ phần tính được.</t>
  </si>
  <si>
    <t>T1-11</t>
  </si>
  <si>
    <t>DPO trên mua hàng (chẩn đoán)</t>
  </si>
  <si>
    <t>Phải trả cuối kỳ quy đổi theo giá trị mua hàng; vẫn không phải kỳ hạn hợp đồng.</t>
  </si>
  <si>
    <t>DPO_mua = AP / PUR × N</t>
  </si>
  <si>
    <t>T1-05, T1-06</t>
  </si>
  <si>
    <t>PUR = 0 → null</t>
  </si>
  <si>
    <t>T1-20</t>
  </si>
  <si>
    <t>02. Quy đổi ra tiền</t>
  </si>
  <si>
    <t>Doanh thu bình quân ngày</t>
  </si>
  <si>
    <t>Mỗi ngày bán được bao nhiêu</t>
  </si>
  <si>
    <t>Rev / N</t>
  </si>
  <si>
    <t>—</t>
  </si>
  <si>
    <t>T1-21</t>
  </si>
  <si>
    <t>Giá vốn bình quân ngày</t>
  </si>
  <si>
    <t>Mỗi ngày tiêu tốn bao nhiêu cho sản xuất</t>
  </si>
  <si>
    <t>COGS / N</t>
  </si>
  <si>
    <t>T1-22</t>
  </si>
  <si>
    <t>Vốn lưu động thương mại ròng (TWC)</t>
  </si>
  <si>
    <t>Vốn thương mại thuần tại chốt: phải thu + tồn sở hữu − phải trả; không là tiền mặt.</t>
  </si>
  <si>
    <t>TWC = AR + INV − AP</t>
  </si>
  <si>
    <t>T1-03..T1-05</t>
  </si>
  <si>
    <t>T1-23</t>
  </si>
  <si>
    <t>Vốn tương đương một ngày cải thiện</t>
  </si>
  <si>
    <t>Vốn tương đương1 ngày theo lưu lượng kỳ; không bảo đảm thu ngay.</t>
  </si>
  <si>
    <t>Bằng T1-20 (DSO) hoặc T1-21 (DIO, DPO)</t>
  </si>
  <si>
    <t>T1-20, T1-21</t>
  </si>
  <si>
    <t>VND / ngày</t>
  </si>
  <si>
    <t>Dùng cho tác vụ 4 (what-if)</t>
  </si>
  <si>
    <t>T1-30</t>
  </si>
  <si>
    <t>03. Phải thu theo khách hàng</t>
  </si>
  <si>
    <t>Phải thu theo khách (AR_k)</t>
  </si>
  <si>
    <t>Mỗi khách đang nợ bao nhiêu</t>
  </si>
  <si>
    <t>AR_k = Σ Amount của khách k</t>
  </si>
  <si>
    <t>sales_invoices.buyer, Amount</t>
  </si>
  <si>
    <t>Hóa đơn mở; firm_id = F01; ngày chốt 20/06/2026. Kỳ phát sinh 01/01–20/06 nếu áp dụng.</t>
  </si>
  <si>
    <t>T1-31</t>
  </si>
  <si>
    <t>Tỷ trọng phải thu</t>
  </si>
  <si>
    <t>Mức phụ thuộc vào từng khách</t>
  </si>
  <si>
    <t>AR_k / AR</t>
  </si>
  <si>
    <t>T1-30, T1-03</t>
  </si>
  <si>
    <t>%</t>
  </si>
  <si>
    <t>AR=0: not_applicable; không gán tỷ trọng 0.</t>
  </si>
  <si>
    <t>T1-32</t>
  </si>
  <si>
    <t>Đóng góp DSO của khách</t>
  </si>
  <si>
    <t>Phần DSO gắn với số tiền khách còn nợ; tổng đóng góp của mọi khách bằng DSO.</t>
  </si>
  <si>
    <t>AR_k / Rev × N</t>
  </si>
  <si>
    <t>T1-30, T1-01</t>
  </si>
  <si>
    <t>ngày</t>
  </si>
  <si>
    <t>Dùng để xếp hạng khách</t>
  </si>
  <si>
    <t>T1-33</t>
  </si>
  <si>
    <t>Số ngày quá hạn của hóa đơn mở</t>
  </si>
  <si>
    <t>Hóa đơn đã quá hạn bao lâu</t>
  </si>
  <si>
    <t>DPD = MAX(0; AsOf − DueDate)</t>
  </si>
  <si>
    <t>sales_invoices.due_date</t>
  </si>
  <si>
    <t>dpd ≤ 0 là chưa đến hạn</t>
  </si>
  <si>
    <t>T1-34</t>
  </si>
  <si>
    <t>Tuổi nợ phải thu</t>
  </si>
  <si>
    <t>Phải thu nằm ở nhóm nào</t>
  </si>
  <si>
    <t>5 nhóm: chưa đến hạn; quá hạn1–30;31–60;&gt;60 ngày; chưa rõ hạn</t>
  </si>
  <si>
    <t>Tổng5 nhóm=AR; due thiếu vào chưa rõ hạn.</t>
  </si>
  <si>
    <t>T1-35</t>
  </si>
  <si>
    <t>Tỷ lệ quá hạn</t>
  </si>
  <si>
    <t>Bao nhiêu phần phải thu đã quá hạn</t>
  </si>
  <si>
    <t>OverdueRatio = Σ AR [due_date &lt;AsOf] / AR</t>
  </si>
  <si>
    <t>AR0: not_applicable. Chưa rõ hạn không tự coi quá hạn.</t>
  </si>
  <si>
    <t>T1-36</t>
  </si>
  <si>
    <t>Số ngày trễ bình quân có trọng số</t>
  </si>
  <si>
    <t>Khách thường trả trễ bao nhiêu ngày, khoản lớn tính nặng hơn</t>
  </si>
  <si>
    <t>SignedDelay = PaidDate − DueDate
DelaySigned = Σ PaidAmount × SignedDelay / Σ PaidAmount</t>
  </si>
  <si>
    <t>sales_invoices.paid_date, due_date, Amount</t>
  </si>
  <si>
    <t>paid_date trong (AsOf − lookback, AsOf]; firm_id = F01; ngày chốt 20/06/2026. Kỳ phát sinh 01/01–20/06 nếu áp dụng.</t>
  </si>
  <si>
    <t>Khách chưa có lịch sử → null, không gắn cờ Lịch sử F01 hiện có 171/180 ngày: phần thiếu phải được ghi rõ nếu dùng cửa sổ 180 ngày.</t>
  </si>
  <si>
    <t>T1-37</t>
  </si>
  <si>
    <t>Kỳ hạn bình quân được cấp cho khách</t>
  </si>
  <si>
    <t>Doanh nghiệp cho khách nợ bao lâu theo hợp đồng</t>
  </si>
  <si>
    <t>CreditDays = DueDate − IssueDate
AverageTerms = Σ PaidAmount × CreditDays / Σ PaidAmount</t>
  </si>
  <si>
    <t>sales_invoices</t>
  </si>
  <si>
    <t>Như T1-36; firm_id = F01; ngày chốt 20/06/2026. Kỳ phát sinh 01/01–20/06 nếu áp dụng.</t>
  </si>
  <si>
    <t>— Lịch sử F01 hiện có 171/180 ngày: phần thiếu phải được ghi rõ nếu dùng cửa sổ 180 ngày.</t>
  </si>
  <si>
    <t>T1-38</t>
  </si>
  <si>
    <t>Dấu hiệu cần chú ý</t>
  </si>
  <si>
    <t>Chỉ ra khách có mức tập trung, trễ hoặc quá hạn vượt ngưỡng.</t>
  </si>
  <si>
    <t>InvoiceFlag = theo Rho &gt;0,5 hoặc &gt;1 (T1-93)
Tập trung AR và DelaySigned/Positive: mô tả số liệu, chỉ gán cảnh báo nếu có ngưỡng owner_policy đã duyệt.</t>
  </si>
  <si>
    <t>T1-31, T1-33, T1-36, T1-93; Nguong</t>
  </si>
  <si>
    <t>Có / Không + lý do</t>
  </si>
  <si>
    <t>Không tự đặt ngưỡng tập trung hay trễ lịch sử khi file nguồn chưa cấu hình. Cờ chi tiết không tự nâng W ngành.</t>
  </si>
  <si>
    <t>T1-40</t>
  </si>
  <si>
    <t>04. Tồn kho theo lô</t>
  </si>
  <si>
    <t>Giá trị tồn kho theo dòng</t>
  </si>
  <si>
    <t>Tiền nằm ở từng dòng hàng</t>
  </si>
  <si>
    <t>qty × unit_cost_vnd</t>
  </si>
  <si>
    <t>inventory</t>
  </si>
  <si>
    <t>T1-41</t>
  </si>
  <si>
    <t>Đóng góp DIO của dòng hàng</t>
  </si>
  <si>
    <t>Dòng hàng làm DIO dài thêm bao nhiêu ngày (Σ = DIO)</t>
  </si>
  <si>
    <t>value / COGS × N</t>
  </si>
  <si>
    <t>T1-40, T1-02</t>
  </si>
  <si>
    <t>Dùng để xếp hạng dòng hàng</t>
  </si>
  <si>
    <t>T1-42</t>
  </si>
  <si>
    <t>Cơ cấu tồn kho theo loại</t>
  </si>
  <si>
    <t>Tiền kẹt ở nguyên liệu, hàng đang may hay thành phẩm</t>
  </si>
  <si>
    <t>Σ value theo inventory_type</t>
  </si>
  <si>
    <t>T1-43</t>
  </si>
  <si>
    <t>Cờ tồn lâu</t>
  </si>
  <si>
    <t>Hàng đã lưu kho lâu hơn ngưỡng; chưa kết luận không bán được.</t>
  </si>
  <si>
    <t>days_in_stock &gt; ngưỡng của loại (NVL, BTP, TP)</t>
  </si>
  <si>
    <t>inventory.days_in_stock, Nguong</t>
  </si>
  <si>
    <t>Có / Không</t>
  </si>
  <si>
    <t>T1-44</t>
  </si>
  <si>
    <t>Giá trị và tỷ trọng hàng tồn lâu</t>
  </si>
  <si>
    <t>Giá trị ghi sổ và tỷ trọng hàng tồn lâu; chưa phải tổn thất.</t>
  </si>
  <si>
    <t>Σ value có cờ; / INV</t>
  </si>
  <si>
    <t>T1-40, T1-43</t>
  </si>
  <si>
    <t>VND; %</t>
  </si>
  <si>
    <t>T1-50</t>
  </si>
  <si>
    <t>05. Phải trả theo nhà cung cấp</t>
  </si>
  <si>
    <t>Phải trả theo nhà cung cấp</t>
  </si>
  <si>
    <t>Mình còn nợ từng NCC bao nhiêu</t>
  </si>
  <si>
    <t>AP_s = Σ Amount của NCC s</t>
  </si>
  <si>
    <t>purchase_invoices</t>
  </si>
  <si>
    <t>T1-51</t>
  </si>
  <si>
    <t>Đóng góp DPO của NCC</t>
  </si>
  <si>
    <t>Phần DPO gắn với phải trả của nhà cung cấp; chưa kết luận tài trợ hiệu quả khi có nợ quá hạn.</t>
  </si>
  <si>
    <t>AP_s / COGS × N</t>
  </si>
  <si>
    <t>T1-50, T1-02</t>
  </si>
  <si>
    <t>T1-52</t>
  </si>
  <si>
    <t>Kỳ hạn bình quân NCC cấp</t>
  </si>
  <si>
    <t>NCC cho mình nợ bao lâu theo hợp đồng</t>
  </si>
  <si>
    <t>Σ(amount × (due_date − issue_date)) / Σ amount</t>
  </si>
  <si>
    <t>issue_date trong kỳ; firm_id = F01; ngày chốt 20/06/2026. Kỳ phát sinh 01/01–20/06 nếu áp dụng.</t>
  </si>
  <si>
    <t>T1-53</t>
  </si>
  <si>
    <t>Cờ kỳ hạn ngắn</t>
  </si>
  <si>
    <t>Kỳ hạn thấp hơn ngưỡng cấu hình; chưa chứng minh nhà cung cấp siết nợ.</t>
  </si>
  <si>
    <t>ShortTermsFlag = AverageSupplierTerms &lt; ShortTermsPolicy, chỉ khi chính sách đã được duyệt</t>
  </si>
  <si>
    <t>T1-52, Nguong</t>
  </si>
  <si>
    <t>Chưa cấu hình ShortTermsPolicy: chỉ hiển thị kỳ hạn, không gán cờ. Ngưỡng DPO thấp của ngành không phải ngưỡng kỳ hạn hợp đồng.</t>
  </si>
  <si>
    <t>T1-54</t>
  </si>
  <si>
    <t>Cơ hội chiết khấu thanh toán sớm</t>
  </si>
  <si>
    <t>Trả sớm được giảm giá bao nhiêu, tương đương lãi suất năm bao nhiêu</t>
  </si>
  <si>
    <t>Tiết kiệm = amount × pct; Lãi suất ngầm định = pct / (1 − pct) × 365 / (kỳ hạn − số ngày chiết khấu)</t>
  </si>
  <si>
    <t>purchase_invoices.early_discount_pct, discount_days</t>
  </si>
  <si>
    <t>Hóa đơn mở và issue_date + discount_days ≥ AsOf; firm_id = F01; ngày chốt 20/06/2026. Kỳ phát sinh 01/01–20/06 nếu áp dụng.</t>
  </si>
  <si>
    <t>VND; %/năm</t>
  </si>
  <si>
    <t>Chỉ hiển thị cơ hội tại ngày chốt; không khuyến nghị trả sớm trong UC01. Cần kỳ hạn &gt; số ngày chiết khấu và điều kiện hợp đồng còn hiệu lực.</t>
  </si>
  <si>
    <t>T1-60</t>
  </si>
  <si>
    <t>06. Tham chiếu và chất lượng</t>
  </si>
  <si>
    <t>So tham chiếu ngành</t>
  </si>
  <si>
    <t>Đặt chỉ số theo nhóm ngành và công bố khác cơ sở tính; DPO thấp chỉ là tín hiệu khi đồng thời tiền mỏng.</t>
  </si>
  <si>
    <t>Trong khoảng / cao hơn / thấp hơn khoảng tham chiếu; với DPO, thấp hơn là bất lợi</t>
  </si>
  <si>
    <t>Nguong bảng tham chiếu</t>
  </si>
  <si>
    <t>Nhãn</t>
  </si>
  <si>
    <t>Luôn kèm câu nói rõ khác phương pháp</t>
  </si>
  <si>
    <t>T1-61</t>
  </si>
  <si>
    <t>DQ-01 Đối chiếu doanh thu</t>
  </si>
  <si>
    <t>Sổ bán hàng có khớp báo cáo không</t>
  </si>
  <si>
    <t>RevenueDiff = Σ SalesAmount phát hành trong kỳ − Rev
RevenueDiffRatio = RevenueDiff / Rev</t>
  </si>
  <si>
    <t>sales_invoices, financials</t>
  </si>
  <si>
    <t>Rev=0: tỷ lệ không áp dụng. Công bố chênh lệch; không tự chọn tolerance khi chưa cấu hình. Fixture đối soát số học đến 1 VND.</t>
  </si>
  <si>
    <t>T1-62</t>
  </si>
  <si>
    <t>DQ-02 Hóa đơn bất thường</t>
  </si>
  <si>
    <t>Lỗi nhập liệu</t>
  </si>
  <si>
    <t>Đếm: due_date &lt; issue_date; paid_date &lt; issue_date; amount ≤ 0</t>
  </si>
  <si>
    <t>sales_invoices, purchase_invoices</t>
  </si>
  <si>
    <t>số dòng</t>
  </si>
  <si>
    <t>&gt; 0 → lỗi, không tính, báo dòng lỗi</t>
  </si>
  <si>
    <t>T1-63</t>
  </si>
  <si>
    <t>DQ-03 Hàng bị loại trừ</t>
  </si>
  <si>
    <t>Minh bạch phần tồn kho không tính</t>
  </si>
  <si>
    <t>Đếm dòng inventory_type = HGC và giá trị</t>
  </si>
  <si>
    <t>số dòng; VND</t>
  </si>
  <si>
    <t>Chỉ thông tin</t>
  </si>
  <si>
    <t>T1-70</t>
  </si>
  <si>
    <t>07. Cấu trúc chẩn đoán</t>
  </si>
  <si>
    <t>Nguyên nhân phải nêu</t>
  </si>
  <si>
    <t>Danh sách điểm nghẽn có số tiền, thời gian và nguồn; không kế hoạch hành động.</t>
  </si>
  <si>
    <t>Top khách theo đóng góp DSO và quá hạn; top tồn lâu; top AP quá hạn. Xếp hạng riêng từng tiêu chí.</t>
  </si>
  <si>
    <t>Lớp C, D, E</t>
  </si>
  <si>
    <t>Danh sách</t>
  </si>
  <si>
    <t>Không có cờ nào → vẫn nêu top N, nói rõ không có dấu hiệu bất thường</t>
  </si>
  <si>
    <t>T1-36b</t>
  </si>
  <si>
    <t>Trễ thu bình quân dương</t>
  </si>
  <si>
    <t>Tách trễ khỏi việc trả sớm; TV2 dùng số này.</t>
  </si>
  <si>
    <t>DelayPositive = Σ amount × MAX(0; paid−due) / Σ amount</t>
  </si>
  <si>
    <t>receipts; D_sales</t>
  </si>
  <si>
    <t>180 ngày đến chốt; cùng khách; firm_id = F01; ngày chốt 20/06/2026. Kỳ phát sinh 01/01–20/06 nếu áp dụng.</t>
  </si>
  <si>
    <t>Ngày;1 số lẻ</t>
  </si>
  <si>
    <t>Không có lịch sử: null; không thay DelaySigned của T1-36. Lịch sử F01 hiện có 171/180 ngày: phần thiếu phải được ghi rõ nếu dùng cửa sổ 180 ngày.</t>
  </si>
  <si>
    <t>T1-55</t>
  </si>
  <si>
    <t>Tuổi nợ phải trả</t>
  </si>
  <si>
    <t>Nợ nhà cung cấp bao nhiêu và quá hạn bao lâu.</t>
  </si>
  <si>
    <t>DPD = MAX(0; AsOf−due_date)
OverdueAP = Σ residual [due_date &lt;AsOf]</t>
  </si>
  <si>
    <t>purchase_invoices; residual</t>
  </si>
  <si>
    <t>Hóa đơn mở; firm; supplier; firm_id = F01; ngày chốt 20/06/2026. Kỳ phát sinh 01/01–20/06 nếu áp dụng.</t>
  </si>
  <si>
    <t>VND; ngày;5 nhóm</t>
  </si>
  <si>
    <t>Không suy ngừng cung ứng. Due thiếu: unknown aging, không mất khỏi AP.</t>
  </si>
  <si>
    <t>T1-80</t>
  </si>
  <si>
    <t>08. Ngưỡng và phân lớp W</t>
  </si>
  <si>
    <t>Số ngày kỳ</t>
  </si>
  <si>
    <t>Đếm đủ cả ngày đầu và ngày cuối.</t>
  </si>
  <si>
    <t>N = PeriodEnd − PeriodStart + 1
N = 20/06/2026 − 01/01/2026 + 1 = 171</t>
  </si>
  <si>
    <t>D_F01.Start, AsOf</t>
  </si>
  <si>
    <t>Không dùng 180, 183 hoặc 365 thay 171.</t>
  </si>
  <si>
    <t>Ngày</t>
  </si>
  <si>
    <t>Không làm tròn giữa các bước; truy vết nguồn và phiên bản.</t>
  </si>
  <si>
    <t>T1-81</t>
  </si>
  <si>
    <t>Hệ số điều tiết</t>
  </si>
  <si>
    <t>Dùng dữ liệu ngành để điều chỉnh theo mô hình, quy mô, mùa vụ.</t>
  </si>
  <si>
    <t>RawFactor = MedianGroup / MedianIndustry
Factor = 1 nếu p ≥ 0,05
Nếu p &lt; 0,05: Factor = MIN(3; MAX(0,1; RawFactor))</t>
  </si>
  <si>
    <t>Nguong: phân vị, trung vị, p-value từ B1/B2 của file SMEs</t>
  </si>
  <si>
    <t>Mô hình CMT lấy từ hồ sơ, không suy từ DIO.</t>
  </si>
  <si>
    <t>Hệ số</t>
  </si>
  <si>
    <t>T1-82</t>
  </si>
  <si>
    <t>Ngưỡng doanh nghiệp</t>
  </si>
  <si>
    <t>Mức ngành sau điều chỉnh; không tự đặt lại khi đổi kỳ.</t>
  </si>
  <si>
    <t>Threshold = IndustryPercentile × ModelFactor × SizeFactor × SeasonFactor
SeasonFactor chỉ áp dụng DSO, DIO trong nguồn</t>
  </si>
  <si>
    <t>Nguong; B3_NguongKhoanMuc</t>
  </si>
  <si>
    <t>Giữ đủ độ chính xác; CMT nhỏ–vừa, hệ số quy mô = 1.</t>
  </si>
  <si>
    <t>Ngày / tỷ lệ</t>
  </si>
  <si>
    <t>T1-83</t>
  </si>
  <si>
    <t>Mức phải thu</t>
  </si>
  <si>
    <t>Phân biệt chưa vượt, theo dõi và nghiêm trọng.</t>
  </si>
  <si>
    <t>ARLevel = 2 nếu DSO &gt; DSOSevere
Nếu không: 1 nếu DSO &gt; DSOWatch; còn lại 0</t>
  </si>
  <si>
    <t>DSO, Nguong</t>
  </si>
  <si>
    <t>Đúng ngưỡng không được tính là vượt.</t>
  </si>
  <si>
    <t>0/1/2</t>
  </si>
  <si>
    <t>T1-84</t>
  </si>
  <si>
    <t>Mức tồn kho</t>
  </si>
  <si>
    <t>Áp dụng tương tự phải thu.</t>
  </si>
  <si>
    <t>INVLevel = 2 nếu DIO &gt; DIOSevere
Nếu không: 1 nếu DIO &gt; DIOWatch; còn lại 0</t>
  </si>
  <si>
    <t>DIO, Nguong</t>
  </si>
  <si>
    <t>Không dùng ngày lưu kho của một lô thay DIO.</t>
  </si>
  <si>
    <t>T1-85</t>
  </si>
  <si>
    <t>Chuẩn hóa tỷ lệ tiền cho kỳ ngắn</t>
  </si>
  <si>
    <t>Tránh đem tỷ lệ trên doanh thu 171 ngày so thẳng với tỷ lệ ngành theo năm.</t>
  </si>
  <si>
    <t>RevAnnualProxy = Rev × 365 / N
CashRatioProxy = (Cash + ShortInvestments) / RevAnnualProxy</t>
  </si>
  <si>
    <t>D_F01.Revenue, Cash, ShortInvestments</t>
  </si>
  <si>
    <t>Chỉ proxy demo. Doanh thu TTM thật ưu tiên; nếu thiếu trong vận hành thì R-AP-1 chưa đủ bằng chứng. Không dùng proxy này để suy Rtarget UC02.</t>
  </si>
  <si>
    <t>Tỷ lệ</t>
  </si>
  <si>
    <t>T1-86</t>
  </si>
  <si>
    <t>Tín hiệu phải trả</t>
  </si>
  <si>
    <t>DPO thấp chỉ là tín hiệu khi đồng thời tiền mỏng.</t>
  </si>
  <si>
    <t>APSignal = 1 nếu DPO &lt; DPOLow VÀ CashRatio &lt; CashThin
DPO &gt; DPOHigh: chỉ thông tin</t>
  </si>
  <si>
    <t>T1-09, T1-85, Nguong</t>
  </si>
  <si>
    <t>Quá hạn NCC được nêu riêng; không tự coi DPO cao là hiệu quả.</t>
  </si>
  <si>
    <t>0/1</t>
  </si>
  <si>
    <t>T1-87</t>
  </si>
  <si>
    <t>Vốn phải thu vượt ngưỡng</t>
  </si>
  <si>
    <t>Ước phần số dư vượt mức theo dõi.</t>
  </si>
  <si>
    <t>ExcessAR = MAX(0; DSO − DSOWatch) × Rev / N</t>
  </si>
  <si>
    <t>T1-07, Nguong, Rev, N</t>
  </si>
  <si>
    <t>Đổi kỳ thì mẫu số dùng đúng N = 171.</t>
  </si>
  <si>
    <t>T1-88</t>
  </si>
  <si>
    <t>Vốn tồn kho vượt ngưỡng</t>
  </si>
  <si>
    <t>Ước phần tồn sở hữu vượt mức theo dõi.</t>
  </si>
  <si>
    <t>ExcessINV = MAX(0; DIO − DIOWatch) × COGS / N</t>
  </si>
  <si>
    <t>T1-08, Nguong, COGS, N</t>
  </si>
  <si>
    <t>Không bao gồm tồn thuộc khách hàng.</t>
  </si>
  <si>
    <t>T1-89</t>
  </si>
  <si>
    <t>Tỷ lệ trọng yếu</t>
  </si>
  <si>
    <t>So phần vượt lớn nhất với quy mô tài sản ngắn hạn.</t>
  </si>
  <si>
    <t>MaterialityRatio = MAX(ExcessAR; ExcessINV) / CurrentAssets</t>
  </si>
  <si>
    <t>D_F01.CurrentAssets, T1-87, T1-88</t>
  </si>
  <si>
    <t>Không cộng AR quá hạn lần nữa vào ExcessAR. TSNH ≤0 hoặc thiếu: unknown.</t>
  </si>
  <si>
    <t>T1-90</t>
  </si>
  <si>
    <t>Phân lớp W</t>
  </si>
  <si>
    <t>Tuân theo B4_PhanLopW của file SMEs.</t>
  </si>
  <si>
    <t>Thiếu dữ liệu cốt lõi → unknown
W2 nếu SevereForcesW2 = 1 và MAX(ARLevel; INVLevel) = 2
Hoặc W2 nếu MAX(ARLevel; INVLevel) ≥ 1 và MaterialityRatio ≥ 5%
W1 nếu còn tín hiệu AR/INV hoặc APSignal = 1
Còn lại W0</t>
  </si>
  <si>
    <t>T1-83…89; Nguong</t>
  </si>
  <si>
    <t>Mức 5% và cờ =1 là owner_policy của nguồn, chưa là quy định bắt buộc. Chi tiết quá hạn không tự thay logic W ngành.</t>
  </si>
  <si>
    <t>W0/W1/W2/unknown</t>
  </si>
  <si>
    <t>T1-91</t>
  </si>
  <si>
    <t>Vốn vượt ngưỡng tổng cộng</t>
  </si>
  <si>
    <t>Chỉ số bàn giao để giải thích, không phải tiền sẽ thu.</t>
  </si>
  <si>
    <t>MoneyAtRisk = ExcessAR + ExcessINV</t>
  </si>
  <si>
    <t>T1-87, T1-88</t>
  </si>
  <si>
    <t>Không cộng vào Cash0, dòng thu hoặc gap của UC02.</t>
  </si>
  <si>
    <t>T1-92</t>
  </si>
  <si>
    <t>09. Chi tiết và liên kết</t>
  </si>
  <si>
    <t>Tồn chậm hoặc đơn hủy</t>
  </si>
  <si>
    <t>Chỉ cộng một lần khi lô thỏa cả hai điều kiện.</t>
  </si>
  <si>
    <t>SlowOrCancelled = IsOwned AND (Age &gt; SlowDays OR Cancelled)
StuckInventory = Σ BookValue có cờ này</t>
  </si>
  <si>
    <t>D_inventory</t>
  </si>
  <si>
    <t>Age = AsOf − ReceivedDate; Age có thể dài hơn kỳ do tồn đầu kỳ.</t>
  </si>
  <si>
    <t>T1-93</t>
  </si>
  <si>
    <t>Chỉ số quá hạn theo hợp đồng</t>
  </si>
  <si>
    <t>Quá hạn so với kỳ hạn đã cấp.</t>
  </si>
  <si>
    <t>Rho = DPD / CreditDays
Theo dõi nếu Rho &gt; 0,5; nghiêm trọng nếu &gt;1</t>
  </si>
  <si>
    <t>D_sales, D_purchases</t>
  </si>
  <si>
    <t>CreditDays ≤0: không chia; phân loại riêng khoản phải trả ngay.</t>
  </si>
  <si>
    <t>Lần</t>
  </si>
  <si>
    <t>T1-94</t>
  </si>
  <si>
    <t>Tồn lâu nhất và vốn lớn nhất</t>
  </si>
  <si>
    <t>Hai cách xếp hạng khác nhau, phải nêu đúng.</t>
  </si>
  <si>
    <t>LongestHeld = sắp Age giảm dần
LargestInventory = sắp OwnedValue giảm dần
LargestAR = sắp AR_k giảm dần; sâu quá hạn = sắp DPD giảm dần</t>
  </si>
  <si>
    <t>F01_UC1: bảng khách, NCC, từng lô</t>
  </si>
  <si>
    <t>Đồng hạng dùng entity_id/lot_id tăng dần để kết quả ổn định.</t>
  </si>
  <si>
    <t>T1-95</t>
  </si>
  <si>
    <t>Quan hệ đối tác</t>
  </si>
  <si>
    <t>Đặc điểm quan hệ khác mức độ rủi ro thanh toán.</t>
  </si>
  <si>
    <t>Mới nếu RelationshipAge ≤60
Thường xuyên nếu InvoiceCount ≥12 VÀ ActiveMonths ≥4
Còn lại Vãng lai</t>
  </si>
  <si>
    <t>D_sales; hồ sơ đối tác</t>
  </si>
  <si>
    <t>Quy tắc demo, không phải ngưỡng ngành. Ít lịch sử không đồng nghĩa khách xấu.</t>
  </si>
  <si>
    <t>UC02 Dự báo tiền và cảnh báo</t>
  </si>
  <si>
    <t>T2-01</t>
  </si>
  <si>
    <t>01. Tiền đầu kỳ và nghĩa vụ</t>
  </si>
  <si>
    <t>Tiền khả dụng đầu dự báo</t>
  </si>
  <si>
    <t>Tiền doanh nghiệp có thể chi ngay sau ngày chốt.</t>
  </si>
  <si>
    <t>Cash0 = cash_AsOf_vnd − restricted_vnd</t>
  </si>
  <si>
    <t>cash_snapshot.cash_vnd, restricted_vnd</t>
  </si>
  <si>
    <t>Đúng doanh nghiệp, ngày chốt, tiền tệ.</t>
  </si>
  <si>
    <t>VND; raw</t>
  </si>
  <si>
    <t>Thiếu Cash0: chỉ dùng proxy được xác định và gắn nhãn trong chính sách → provisional. Nếu không có proxy hợp lệ → missing_data; không tự điền 0. Tiền bị hạn chế phải tách riêng.</t>
  </si>
  <si>
    <t>T2-02</t>
  </si>
  <si>
    <t>Phải thu dùng lập lịch tiền</t>
  </si>
  <si>
    <t>Chỉ dự báo phần khách chưa trả.</t>
  </si>
  <si>
    <t>AR_cash = gross_invoice − receipts_to_AsOf − credits_to_AsOf</t>
  </si>
  <si>
    <t>sales_invoices; receipt_allocations; credit_notes</t>
  </si>
  <si>
    <t>Đã ghi nhận đến ngày chốt; chọn phần dư dương.</t>
  </si>
  <si>
    <t>VND gồm thuế</t>
  </si>
  <si>
    <t>Demo net/noVAT, trả toàn bộ một lần. Dư âm tách ứng trước. Không tự dùng VAT 10%.</t>
  </si>
  <si>
    <t>T2-03</t>
  </si>
  <si>
    <t>Phải trả dùng lập lịch tiền</t>
  </si>
  <si>
    <t>Chỉ dự báo phần nghĩa vụ chưa trả.</t>
  </si>
  <si>
    <t>AP_cash = gross_invoice − payments_to_AsOf − credits_to_AsOf</t>
  </si>
  <si>
    <t>purchase_invoices; payment_allocations</t>
  </si>
  <si>
    <t>Đúng phạm vi thương mại và ngày chốt.</t>
  </si>
  <si>
    <t>Lương, thuế, nợ vay vào plan riêng. Một nghĩa vụ chỉ tính một lần.</t>
  </si>
  <si>
    <t>T2-04</t>
  </si>
  <si>
    <t>02. Lập lịch và tính số dư</t>
  </si>
  <si>
    <t>Ước ngày thu theo lịch sử từng khách. Khoản lớn có trọng số lớn.</t>
  </si>
  <si>
    <t>CompletedLate = MAX(0; PaidDate − DueDate)
OpenLowerBound = MAX(0; AsOf − DueDate)
ModelDelay = CompletedLate hoặc OpenLowerBound
DelayBase = Σ ModelAmount × ModelDelay / Σ ModelAmount</t>
  </si>
  <si>
    <t>receipt_allocations; due_date</t>
  </si>
  <si>
    <t>DueDate trong (AsOf − 180; AsOf]; mẫu mở có cờ censored, mẫu trả xong có cờ completed. Chọn khách khi ≥5 mẫu; nếu không dùng toàn F01 ≥5; cuối cùng mặc định 7 ngày.</t>
  </si>
  <si>
    <t>Ngày; giữ raw</t>
  </si>
  <si>
    <t>Theo SRS 2.7.11.1: mẫu mở chỉ là cận dưới. Không gọi trung bình hỗn hợp là ngày thanh toán thực tế. UC01 vẫn dùng riêng mẫu đã thanh toán.</t>
  </si>
  <si>
    <t>T2-05</t>
  </si>
  <si>
    <t>Ngày thu dự kiến</t>
  </si>
  <si>
    <t>Ưu tiên lịch xác nhận, sau đó mới ước tính.</t>
  </si>
  <si>
    <t>Ngày thu = ConfirmedDate nếu lịch được biết tại AsOf
Chưa quá hạn: MAX(Start; DueDate + CEILING(DelayScenario; 1))
Đã quá hạn: xem T2-19; không tự gom mọi khoản về Start.</t>
  </si>
  <si>
    <t>receipt_schedule; T2-04; due_date</t>
  </si>
  <si>
    <t>Lịch biết tại ngày chốt; portions không vượt dư.</t>
  </si>
  <si>
    <t>Ngày lịch</t>
  </si>
  <si>
    <t>Ngày đã qua chuyển về Start chỉ theo policy có nhãn. Thiếu ngày: unscheduled. Không dùng paid_date tương lai.</t>
  </si>
  <si>
    <t>T2-06</t>
  </si>
  <si>
    <t>Ngày chi dự kiến</t>
  </si>
  <si>
    <t>Giữ nghĩa vụ đến hạn và nói rõ giả định khoản quá hạn.</t>
  </si>
  <si>
    <t>Ngày chi = ApprovedDate nếu có
Chưa quá hạn: DueDate + lịch sử trễ theo chính sách
NCC thiết yếu / Conservative: DueDate
Quá hạn: AsOf + OffsetScenario + MOD(Rank; 5)</t>
  </si>
  <si>
    <t>payment_schedule; purchase_invoices</t>
  </si>
  <si>
    <t>Lịch đã duyệt, biết tại ngày chốt.</t>
  </si>
  <si>
    <t>Đây là chính sách mô phỏng theo SRS, không phải gia hạn đã được NCC chấp thuận. Lịch được duyệt ưu tiên. Offset: Conservative 1, Base 5, Optimistic 10 ngày.</t>
  </si>
  <si>
    <t>T2-07</t>
  </si>
  <si>
    <t>Tiền vào ngày hoặc tuần</t>
  </si>
  <si>
    <t>Cộng khoản thu được xếp vào đúng kỳ.</t>
  </si>
  <si>
    <t>In = Σ Amount [direction = IN; date ∈ kỳ]</t>
  </si>
  <si>
    <t>cash_events</t>
  </si>
  <si>
    <t>Cùng firm, run, case, currency; không trùng nguồn.</t>
  </si>
  <si>
    <t>Thu hóa đơn và thu khác có căn cứ. Không lấy Rev/N làm tiền thu, không tự coi tồn kho sẽ bán được.</t>
  </si>
  <si>
    <t>T2-08</t>
  </si>
  <si>
    <t>Tiền ra ngày hoặc tuần</t>
  </si>
  <si>
    <t>Trả nhà cung cấp và các khoản chi có lịch.</t>
  </si>
  <si>
    <t>Out = Σ Amount [direction = OUT; date ∈ kỳ]</t>
  </si>
  <si>
    <t>cash_events; planned_events</t>
  </si>
  <si>
    <t>Cùng scope và kỳ; một phần nghĩa vụ một lần.</t>
  </si>
  <si>
    <t>Không cộng COGS như tiền chi. Gốc/lãi vay, lương, thuế, đầu tư cần lịch riêng.</t>
  </si>
  <si>
    <t>T2-09</t>
  </si>
  <si>
    <t>Số dư tiền</t>
  </si>
  <si>
    <t>Một phép tính cho ngày và tuần, liên kết kỳ trước sang kỳ sau.</t>
  </si>
  <si>
    <t>CashEnd = CashStart + In − Out
CashStart_next = CashEnd</t>
  </si>
  <si>
    <t>T2-01; T2-07; T2-08</t>
  </si>
  <si>
    <t>Ngày đầu bằng Cash0; tuần cộng cùng event ledger.</t>
  </si>
  <si>
    <t>VND; giữ số âm</t>
  </si>
  <si>
    <t>Ví dụ đầu100 triệu, thu100, chi150 → cuối50; vẫn có thể âm giữa tuần. Không ép số âm về0.</t>
  </si>
  <si>
    <t>T2-10</t>
  </si>
  <si>
    <t>03. Cảnh báo thiếu tiền</t>
  </si>
  <si>
    <t>Thiếu so mức dự phòng</t>
  </si>
  <si>
    <t>Khoản bù để đạt mức tiền doanh nghiệp muốn giữ.</t>
  </si>
  <si>
    <t>GapBuffer_d = MAX(0; Rtarget_d − CashEnd_d)</t>
  </si>
  <si>
    <t>buffer_vnd; T2-09</t>
  </si>
  <si>
    <t>Dự phòng đã xác nhận; ghi rõ ngày/cuối tuần.</t>
  </si>
  <si>
    <t>Tiền còn350 triệu, buffer500 → thiếu150; chưa phải tiền âm.</t>
  </si>
  <si>
    <t>T2-11</t>
  </si>
  <si>
    <t>Thiếu để không âm</t>
  </si>
  <si>
    <t>Khoản bù để số dư dự kiến trở lại0.</t>
  </si>
  <si>
    <t>GapZero = MAX(0; −CashEnd)</t>
  </si>
  <si>
    <t>Cùng ngày/tuần đang xét.</t>
  </si>
  <si>
    <t>Tiền−50 triệu → thiếu50 để không âm. Không cộng với GapBuffer.</t>
  </si>
  <si>
    <t>T2-12</t>
  </si>
  <si>
    <t>Tỷ lệ thiếu</t>
  </si>
  <si>
    <t>Dùng phân màu vàng, cam, đỏ.</t>
  </si>
  <si>
    <t>GapRatio_d = GapBuffer_d / Rtarget_d</t>
  </si>
  <si>
    <t>T2-10; buffer_vnd</t>
  </si>
  <si>
    <t>Buffer &gt;0; phân loại bằng raw chưa làm tròn.</t>
  </si>
  <si>
    <t>Tỷ lệ; hiển thị1 số lẻ%</t>
  </si>
  <si>
    <t>Buffer0: null/not_applicable. Thiếu/âm Buffer không thay0. Ngưỡng ở Nguong.</t>
  </si>
  <si>
    <t>T2-13</t>
  </si>
  <si>
    <t>Tiền thấp nhất trong tuần</t>
  </si>
  <si>
    <t>Bắt ngày thiếu dù cuối tuần có thể còn đủ tiền.</t>
  </si>
  <si>
    <t>MinDaily = MIN(CashEnd_d trong tuần)</t>
  </si>
  <si>
    <t>daily[]</t>
  </si>
  <si>
    <t>Đủ ngày; khi bằng nhau chọn ngày đầu.</t>
  </si>
  <si>
    <t>VND và ngày</t>
  </si>
  <si>
    <t>weekly_only: null. Cuối ngày không phản ánh thiếu trong từng giờ.</t>
  </si>
  <si>
    <t>T2-14</t>
  </si>
  <si>
    <t>Thời điểm thiếu đầu tiên</t>
  </si>
  <si>
    <t>Tách ngày đầu dưới dự phòng và ngày đầu tiền âm.</t>
  </si>
  <si>
    <t>FirstBuffer = MIN(date with CashEnd &lt; Buffer)
FirstNegative = MIN(date with CashEnd &lt;0)</t>
  </si>
  <si>
    <t>daily[] hoặc weekly[]</t>
  </si>
  <si>
    <t>So theo grain riêng; initial tại ngày chốt tách riêng.</t>
  </si>
  <si>
    <t>Ngày/tuần; nullable</t>
  </si>
  <si>
    <t>Không breach: null, không0. Đã thiếu tại chốt không gọi ngày đầu dự báo là bắt đầu vấn đề.</t>
  </si>
  <si>
    <t>T2-15</t>
  </si>
  <si>
    <t>Mức thiếu lớn nhất</t>
  </si>
  <si>
    <t>Cho biết quy mô thiếu nặng nhất trong kỳ.</t>
  </si>
  <si>
    <t>PeakBuffer = MAX(GapBuffer)
PeakZero = MAX(GapZero)</t>
  </si>
  <si>
    <t>T2-10; T2-11</t>
  </si>
  <si>
    <t>Cùng grain/basis; tie lấy ngày đầu.</t>
  </si>
  <si>
    <t>Không SUM thiếu lặp qua tuần. Chưa phải khoản vay tối ưu.</t>
  </si>
  <si>
    <t>T2-16</t>
  </si>
  <si>
    <t>04. Giải thích và kịch bản</t>
  </si>
  <si>
    <t>Thu–chi giải thích số dư</t>
  </si>
  <si>
    <t>Nêu chi đến trước, thu dự kiến đến sau.</t>
  </si>
  <si>
    <t>Cash_d = Cash0 + Σ In_to_d − Σ Out_to_d</t>
  </si>
  <si>
    <t>cash_events; critical_date</t>
  </si>
  <si>
    <t>Phân rã lũy kế khớp số dư; các event có nguồn.</t>
  </si>
  <si>
    <t>Khoản chi lớn là đóng góp, chưa chứng minh nguyên nhân gốc. Thu dự kiến không là cam kết.</t>
  </si>
  <si>
    <t>T2-17</t>
  </si>
  <si>
    <t>Phụ thuộc nguồn thu từng khách</t>
  </si>
  <si>
    <t>Dự báo phụ thuộc khách nào và bao nhiêu.</t>
  </si>
  <si>
    <t>ReceiptShare_k = In_k / TotalIn</t>
  </si>
  <si>
    <t>cash_events direction IN</t>
  </si>
  <si>
    <t>Cùng horizon; chỉ thu khách, mẫu số toàn thu theo phạm vi khai báo.</t>
  </si>
  <si>
    <t>Tỷ lệ;1 số lẻ%</t>
  </si>
  <si>
    <t>Khác AR share của TV1. Tổng thu0 → không áp dụng.</t>
  </si>
  <si>
    <t>T2-18</t>
  </si>
  <si>
    <t>Thu chậm hơn</t>
  </si>
  <si>
    <t>Kiểm độ nhạy bằng chạy lại ngày thu.</t>
  </si>
  <si>
    <t>StressDate = BaseDate + 7 ngày, chỉ với thu ước tính
Giữ lịch thu đã xác nhận và lịch chi Base
Chạy lại số dư, gap, màu, đợt thiếu.</t>
  </si>
  <si>
    <t>case config; estimated receipts</t>
  </si>
  <si>
    <t>Cùng Cash0, buffer, cutoff, horizon; chỉ lịch ước tính được phép.</t>
  </si>
  <si>
    <t>Ngày; VND</t>
  </si>
  <si>
    <t>Không tự dịch confirmed schedule, ngày chi hoặc raw history. Đây không là xác suất xảy ra.</t>
  </si>
  <si>
    <t>T2-19</t>
  </si>
  <si>
    <t>Thu khoản đã quá hạn</t>
  </si>
  <si>
    <t>Không cộng tiếp toàn bộ số ngày trễ như một khoảng chờ mới.</t>
  </si>
  <si>
    <t>Eligible = mẫu ModelDelay ≥ DPD, cùng cấp dự phòng
Nếu ≥3 mẫu: dùng thống kê có điều kiện
Nếu thiếu: TotalDelay = DPD + ResidualDays
ResidualDays: Opt 3; Base 10; Cons 21
ReceiptDate = MAX(Start; DueDate + CEILING(TotalDelay;1))</t>
  </si>
  <si>
    <t>D_sales; bảng mẫu độ trễ; scenario</t>
  </si>
  <si>
    <t>Mẫu mở là cận dưới; phải ghi conditional_sample_count, method.</t>
  </si>
  <si>
    <t>T2-20</t>
  </si>
  <si>
    <t>Gộp kế hoạch thu chi</t>
  </si>
  <si>
    <t>Không bỏ lương, thuế, thuê và trả nợ khỏi dự báo.</t>
  </si>
  <si>
    <t>CashEvents = InvoiceEvents + ApprovedPlans
Loại trùng bằng SourceType + SourceId + PortionId
Giữ KnownAt ≤ AsOf</t>
  </si>
  <si>
    <t>D_flows; lịch xác nhận; hóa đơn mở</t>
  </si>
  <si>
    <t>Lịch xác nhận của hóa đơn thay ngày của cùng sự kiện, không cộng thêm lần hai.</t>
  </si>
  <si>
    <t>Ledger</t>
  </si>
  <si>
    <t>T2-21</t>
  </si>
  <si>
    <t>Hoạt động tiếp diễn</t>
  </si>
  <si>
    <t>Có doanh thu mới phải có chi phí tiền mặt tương ứng.</t>
  </si>
  <si>
    <t>WeeklySales = Rev / N × 7
NewReceiptDate = NewIssueDate + Terms + DelayBase
IncrementalOut = WeeklySales × IncrementalCostRatio
OutDate = NewIssueDate + CostLag
Thêm cả thu lẫn chi rồi chạy lại số dư</t>
  </si>
  <si>
    <t>D_F01; giả định hoạt động tại D_flows</t>
  </si>
  <si>
    <t>Demo tỷ lệ 45% là chi phí tăng thêm, không gồm lương/thuê đã có trong Base; chưa mô phỏng tăng trưởng thực.</t>
  </si>
  <si>
    <t>T2-22</t>
  </si>
  <si>
    <t>Cơ sở tiền và VAT</t>
  </si>
  <si>
    <t>Không tự thêm VAT mặc định.</t>
  </si>
  <si>
    <t>Nếu gross: dùng gross
Nếu net và VAT đã biết: Gross = Net × (1 + VAT)
Nếu net/noVAT demo: giữ Net, gắn provisional</t>
  </si>
  <si>
    <t>Invoice basis, VAT rate</t>
  </si>
  <si>
    <t>Bộ F01 dùng net/noVAT minh họa; doanh nghiệp thật phải xác nhận cơ sở.</t>
  </si>
  <si>
    <t>T2-23</t>
  </si>
  <si>
    <t>05. Dự trữ và trạng thái</t>
  </si>
  <si>
    <t>Nguồn mức dự trữ</t>
  </si>
  <si>
    <t>Chọn nguồn theo thứ tự rõ ràng.</t>
  </si>
  <si>
    <t>Ưu tiên owner_policy
Nếu thiếu: IndustryRatio × RevenueTTM thực
Demo đã có Rtarget nhưng thiếu Rmin/Rupper: Rmin = 50% Rtarget; Rupper = 2 Rtarget</t>
  </si>
  <si>
    <t>D_F01; Nguong; RevenueTTM</t>
  </si>
  <si>
    <t>Thiếu cả Rtarget và TTM: missing_data, không gán màu. Rtarget phải &gt;0.</t>
  </si>
  <si>
    <t>T2-24</t>
  </si>
  <si>
    <t>Dự trữ theo chi thiết yếu</t>
  </si>
  <si>
    <t>Mức dự trữ phụ thuộc nhu cầu chi.</t>
  </si>
  <si>
    <t>EssentialDaily = EssentialOutBase / ForecastDays
Rmin = EssentialDaily × MinDays
Rtarget = EssentialDaily × TargetDays
Rupper = Rtarget × UpperFactor</t>
  </si>
  <si>
    <t>D_flows.essential; chính sách người duyệt</t>
  </si>
  <si>
    <t>SRS gợi ý 15–20 và 30–45 ngày, hệ số 1,5–2. Không tự chọn thay chủ DN; tham chiếu không mặc định được phê duyệt.</t>
  </si>
  <si>
    <t>T2-25</t>
  </si>
  <si>
    <t>Màu cảnh báo</t>
  </si>
  <si>
    <t>Ưu tiên Đỏ kể cả tiền dương nhưng dưới sàn.</t>
  </si>
  <si>
    <t>Đỏ nếu CashEnd &lt;0 HOẶC CashEnd &lt; Rmin HOẶC GapRatio &gt;50%
Cam nếu GapRatio &gt;20%
Vàng nếu GapRatio &gt;0
Còn lại: không cảnh báo</t>
  </si>
  <si>
    <t>T2-09, T2-12, Rmin, Nguong</t>
  </si>
  <si>
    <t>Kiểm tra từ trên xuống. 20% là Vàng; 50% là Cam nếu không chạm điều kiện Đỏ. Xanh chỉ là trạng thái không cảnh báo.</t>
  </si>
  <si>
    <t>0/1/2/3</t>
  </si>
  <si>
    <t>T2-26</t>
  </si>
  <si>
    <t>Tiền đầu kỳ cần có</t>
  </si>
  <si>
    <t>Khác số thiếu so với tiền đang có.</t>
  </si>
  <si>
    <t>Cum_d = Σ In − Σ Out từ Start đến d
MinCum = MIN(0; MIN Cum_d)
NeedTarget = MAX(0; Rtarget − MinCum)
NeedZero = MAX(0; −MinCum)
Additional = MAX(0; NeedTarget − Cash0)</t>
  </si>
  <si>
    <t>Daily ledger; Rtarget</t>
  </si>
  <si>
    <t>Ngưỡng không đổi trong ví dụ. Ngưỡng theo ngày: Need = MAX(0; MAX(Rtarget_d − Cum_d)). Không cộng GapBuffer qua ngày.</t>
  </si>
  <si>
    <t>T2-27</t>
  </si>
  <si>
    <t>Đợt thiếu</t>
  </si>
  <si>
    <t>Gom các ngày thiếu liên tiếp thành một đợt.</t>
  </si>
  <si>
    <t>Breach_d = CashEnd_d &lt; Rtarget
StartFlag_d = Breach_d AND NOT Breach_previous
EpisodeId = tổng StartFlag đến d
Mỗi đợt: Start, End, MinCash, PeakGap, RecoveryDate</t>
  </si>
  <si>
    <t>Daily[]</t>
  </si>
  <si>
    <t>Đợt cuối kỳ chưa phục hồi phải ghi ongoing, không gọi ngày cuối là ngày phục hồi.</t>
  </si>
  <si>
    <t>Đợt / ngày</t>
  </si>
  <si>
    <t>T2-28</t>
  </si>
  <si>
    <t>Dư tiền bền trong kỳ</t>
  </si>
  <si>
    <t>Phân biệt khoản thu tạm lớn với tiền liên tục trên trần.</t>
  </si>
  <si>
    <t>SurplusStreak_d = SurplusStreak_previous +1 nếu CashEnd &gt; Rupper; nếu không =0
SustainedSurplus = MAX(SurplusStreak) ≥14</t>
  </si>
  <si>
    <t>14 ngày liên tiếp có thể cắt qua hai khối; không bắt buộc trùng đúng một khối 2 tuần.</t>
  </si>
  <si>
    <t>T2-29</t>
  </si>
  <si>
    <t>Trạng thái TH</t>
  </si>
  <si>
    <t>Thiếu được xét trước dư.</t>
  </si>
  <si>
    <t>Thiếu dữ liệu → unknown
Có ít nhất 1 ngày dưới Rtarget → TH01
Nếu không thiếu và dư liên tục ≥14 ngày → TH03
Còn lại → TH02</t>
  </si>
  <si>
    <t>Base daily; T2-28</t>
  </si>
  <si>
    <t>TH được xác định theo Base, không bị thay khi xem Stress. Run-off TH03 mang nhãn tham chiếu.</t>
  </si>
  <si>
    <t>TH01/02/03</t>
  </si>
  <si>
    <t>T2-30</t>
  </si>
  <si>
    <t>Ma trận chín trường hợp</t>
  </si>
  <si>
    <t>Ghép hai kết luận độc lập.</t>
  </si>
  <si>
    <t>Row = số W +1
Column = số TH
MatrixId = M[(Row −1) ×3 + Column]</t>
  </si>
  <si>
    <t>UC01.W, UC02.TH, snapshot_id</t>
  </si>
  <si>
    <t>W hoặc TH unknown: không gán ô. W0 + thiếu không tự chứng minh chỉ do lệch lịch.</t>
  </si>
  <si>
    <t>M1–M9</t>
  </si>
  <si>
    <t>T2-31</t>
  </si>
  <si>
    <t>Khối hai tuần</t>
  </si>
  <si>
    <t>Bắt cả thiếu giữa khối.</t>
  </si>
  <si>
    <t>MinBlock = MIN(CashEnd trong khối)
Thiếu nếu MinBlock &lt; Rtarget
Dư nếu MinBlock &gt; Rupper
Còn lại cân bằng</t>
  </si>
  <si>
    <t>Daily[]; khối 14 ngày, khối cuối 7 ngày</t>
  </si>
  <si>
    <t>Hai khối cuối 14+7 chỉ là 21 ngày; nhãn “≥4 tuần” cần kiểm tra đủ 28 ngày.</t>
  </si>
  <si>
    <t>VND / nhãn</t>
  </si>
  <si>
    <t>T2-32</t>
  </si>
  <si>
    <t>Thứ tự dải kịch bản</t>
  </si>
  <si>
    <t>So sánh kết quả có cùng phạm vi.</t>
  </si>
  <si>
    <t>OptimisticReceipt ≤ BaseReceipt ≤ ConservativeReceipt
APCons ≤ APBase ≤ APOpt
CashOpt_d ≥ CashBase_d ≥ CashCons_d khi cùng ledger
Stress giữ lịch xác nhận</t>
  </si>
  <si>
    <t>Ba run-off cùng Cash0, dự trữ và sự kiện</t>
  </si>
  <si>
    <t>P25 không luôn ≤ trung bình gia quyền: dùng Opt = MIN(P25; Mean), Cons = MAX(P75; Mean). Continuing có phạm vi khác nên không ép thứ tự.</t>
  </si>
  <si>
    <t>Kiểm tra</t>
  </si>
  <si>
    <t>T2-33</t>
  </si>
  <si>
    <t>Đóng góp vào mức thiếu</t>
  </si>
  <si>
    <t>Giải thích bằng khoản thu và chi cụ thể.</t>
  </si>
  <si>
    <t>CashAtLow = Cash0 + InToLow − OutToLow
TopOut = sắp khoản chi đến ngày thấp nhất theo tiền
PendingIn = các khoản thu dự kiến sau ngày thấp nhất</t>
  </si>
  <si>
    <t>Events có source_id, counterparty, known_at</t>
  </si>
  <si>
    <t>Khoản chi lớn là đóng góp số học, chưa chứng minh nguyên nhân gốc; không cộng MoneyAtRisk vào gap.</t>
  </si>
  <si>
    <t>VND / danh sách</t>
  </si>
  <si>
    <t>T2-34</t>
  </si>
  <si>
    <t>06. Chất lượng và bàn giao</t>
  </si>
  <si>
    <t>Coverage của sự kiện</t>
  </si>
  <si>
    <t>Không làm mất khoản ngoài kỳ hoặc chưa xếp lịch.</t>
  </si>
  <si>
    <t>OpenResidual = InHorizon + BeyondHorizon + Unscheduled
PlannedAmount tương tự; các nhóm không trùng</t>
  </si>
  <si>
    <t>CashEvents; horizon Start–End</t>
  </si>
  <si>
    <t>Thiếu ngày khác ngày sau kỳ. Không kéo khoản sau kỳ về tuần 13.</t>
  </si>
  <si>
    <t>T2-35</t>
  </si>
  <si>
    <t>Cảnh báo và nguyên nhân tách biệt</t>
  </si>
  <si>
    <t>Không để W thay màu forecast.</t>
  </si>
  <si>
    <t>Warning = f(CashEnd, Rmin, Rtarget)
W = f(working-capital inputs)
Liên kết bằng finding_id, không bằng cộng số tiền</t>
  </si>
  <si>
    <t>Cùng snapshot, firm_id và run_id</t>
  </si>
  <si>
    <t>Chỉ dùng số của tool cùng lượt; LLM không tự tính thêm.</t>
  </si>
  <si>
    <t>Object</t>
  </si>
  <si>
    <t>T2-36</t>
  </si>
  <si>
    <t>Quy tắc thời gian và dữ liệu</t>
  </si>
  <si>
    <t>Kỳ chẩn đoán khác kỳ dự báo.</t>
  </si>
  <si>
    <t>Start = AsOf +1
End = AsOf +7×H
H =13 →91 ngày
Ngày đầu: 21/06/2026; ngày cuối:19/09/2026</t>
  </si>
  <si>
    <t>D_F01.AsOf, HorizonWeeks</t>
  </si>
  <si>
    <t>Không dùng N=171 làm horizon. KnownAt phải ≤AsOf.</t>
  </si>
  <si>
    <t>T2-37</t>
  </si>
  <si>
    <t>Trạng thái dữ liệu</t>
  </si>
  <si>
    <t>Không dùng “khỏe” khi chưa có dữ liệu.</t>
  </si>
  <si>
    <t>invalid_data &gt; missing_data &gt; provisional &gt; ok
rejected: kiểm soát quyền riêng
Thiếu nguồn lõi: TH unknown, không gán màu</t>
  </si>
  <si>
    <t>Nguồn, validation, manifest</t>
  </si>
  <si>
    <t>Mẫu luôn provisional vì toàn bộ dữ liệu tạo sinh. Hoàn thành số học không xác nhận doanh nghiệp thật.</t>
  </si>
  <si>
    <t>Enum</t>
  </si>
  <si>
    <t>Ngưỡng SMEs, biến điều tiết và quy tắc áp dụng</t>
  </si>
  <si>
    <t>Khóa cấu hình</t>
  </si>
  <si>
    <t>Giá trị nguồn</t>
  </si>
  <si>
    <t>Đơn vị</t>
  </si>
  <si>
    <t>Áp dụng</t>
  </si>
  <si>
    <t>Nguồn</t>
  </si>
  <si>
    <t>Giới hạn</t>
  </si>
  <si>
    <t>wc.dso.reference.cmt</t>
  </si>
  <si>
    <t>Phải thu – tham chiếu, CMT</t>
  </si>
  <si>
    <t>verified_reference: FiinTrade 2016–2025, 27 DN may</t>
  </si>
  <si>
    <t>wc.dso.watch.cmt</t>
  </si>
  <si>
    <t>Phải thu – R-AR-1, CMT</t>
  </si>
  <si>
    <t>wc.dso.severe.cmt</t>
  </si>
  <si>
    <t>Phải thu – R-AR-2, CMT</t>
  </si>
  <si>
    <t>wc.dio.reference.cmt</t>
  </si>
  <si>
    <t>Tồn kho – tham chiếu, CMT</t>
  </si>
  <si>
    <t>wc.dio.watch.cmt</t>
  </si>
  <si>
    <t>Tồn kho – R-INV-1, CMT</t>
  </si>
  <si>
    <t>wc.dio.severe.cmt</t>
  </si>
  <si>
    <t>Tồn kho – R-INV-2, CMT</t>
  </si>
  <si>
    <t>wc.dpo.high_info.cmt</t>
  </si>
  <si>
    <t>Phải trả – R-AP-INFO, CMT</t>
  </si>
  <si>
    <t>wc.dpo.low.cmt</t>
  </si>
  <si>
    <t>Phải trả – R-AP-1, CMT</t>
  </si>
  <si>
    <t>liq.cash_buffer.thin.cmt</t>
  </si>
  <si>
    <t>% doanh thu</t>
  </si>
  <si>
    <t>Phải trả – R-AP-1 (điều kiện kèm), CMT</t>
  </si>
  <si>
    <t>wc.dso.reference.fob</t>
  </si>
  <si>
    <t>Phải thu – tham chiếu, FOB</t>
  </si>
  <si>
    <t>wc.dso.watch.fob</t>
  </si>
  <si>
    <t>Phải thu – R-AR-1, FOB</t>
  </si>
  <si>
    <t>wc.dso.severe.fob</t>
  </si>
  <si>
    <t>Phải thu – R-AR-2, FOB</t>
  </si>
  <si>
    <t>wc.dio.reference.fob</t>
  </si>
  <si>
    <t>Tồn kho – tham chiếu, FOB</t>
  </si>
  <si>
    <t>wc.dio.watch.fob</t>
  </si>
  <si>
    <t>Tồn kho – R-INV-1, FOB</t>
  </si>
  <si>
    <t>wc.dio.severe.fob</t>
  </si>
  <si>
    <t>Tồn kho – R-INV-2, FOB</t>
  </si>
  <si>
    <t>wc.dpo.high_info.fob</t>
  </si>
  <si>
    <t>Phải trả – R-AP-INFO, FOB</t>
  </si>
  <si>
    <t>wc.dpo.low.fob</t>
  </si>
  <si>
    <t>Phải trả – R-AP-1, FOB</t>
  </si>
  <si>
    <t>liq.cash_buffer.thin.fob</t>
  </si>
  <si>
    <t>Phải trả – R-AP-1 (điều kiện kèm), FOB</t>
  </si>
  <si>
    <t>wc.materiality_share</t>
  </si>
  <si>
    <t>tỷ lệ TSNH</t>
  </si>
  <si>
    <t>R-MAT → W2</t>
  </si>
  <si>
    <t>owner_policy (mặc định demo)</t>
  </si>
  <si>
    <t>Chủ DN duyệt; độ nhạy ở B5</t>
  </si>
  <si>
    <t>wc.severe_forces_w2</t>
  </si>
  <si>
    <t>cờ</t>
  </si>
  <si>
    <t>R-AR-2 / R-INV-2 → W2</t>
  </si>
  <si>
    <t>owner_policy</t>
  </si>
  <si>
    <t>wc.factor.business_model.dso.cmt</t>
  </si>
  <si>
    <t>hệ số</t>
  </si>
  <si>
    <t>Nhân vào ngưỡng DSO</t>
  </si>
  <si>
    <t>verified_reference</t>
  </si>
  <si>
    <t>p &lt; 0,05</t>
  </si>
  <si>
    <t>wc.factor.business_model.dio.cmt</t>
  </si>
  <si>
    <t>Nhân vào ngưỡng DIO</t>
  </si>
  <si>
    <t>Đã chặn min</t>
  </si>
  <si>
    <t>wc.factor.size</t>
  </si>
  <si>
    <t>Mọi ngưỡng</t>
  </si>
  <si>
    <t>Không khác biệt có ý nghĩa → 1</t>
  </si>
  <si>
    <t>wc.factor.season</t>
  </si>
  <si>
    <t>Ngưỡng DSO, DIO</t>
  </si>
  <si>
    <t>demo_assumption</t>
  </si>
  <si>
    <t>Chưa hiệu chỉnh</t>
  </si>
  <si>
    <t>ar.invoice.overdue_watch_rho</t>
  </si>
  <si>
    <t>lần</t>
  </si>
  <si>
    <t>Cấp hóa đơn: ngày quá hạn / kỳ hạn</t>
  </si>
  <si>
    <t>Không hiệu chỉnh được từ BCTC</t>
  </si>
  <si>
    <t>ar.invoice.overdue_severe_rho</t>
  </si>
  <si>
    <t>Cấp hóa đơn</t>
  </si>
  <si>
    <t>inv.lot.slow_days.nvl_hh</t>
  </si>
  <si>
    <t>Cấp lô: NVL, hàng hóa</t>
  </si>
  <si>
    <t>Giữ theo TV1 v1.3</t>
  </si>
  <si>
    <t>inv.lot.slow_days.btp_tp</t>
  </si>
  <si>
    <t>Cấp lô: BTP, thành phẩm</t>
  </si>
  <si>
    <t>Nguồn: Ngưỡng SMEs(2).xlsx / Nguong_SRS. Dòng 5–32 giữ cùng số dòng và đủ độ chính xác; các nhãn verified_reference là nhãn của tài liệu nguồn.</t>
  </si>
  <si>
    <t>P10 ngành</t>
  </si>
  <si>
    <t>P25 ngành</t>
  </si>
  <si>
    <t>P50 ngành</t>
  </si>
  <si>
    <t>P75 ngành</t>
  </si>
  <si>
    <t>P90 ngành</t>
  </si>
  <si>
    <t>Trung vị CMT</t>
  </si>
  <si>
    <t>Trung vị ngành</t>
  </si>
  <si>
    <t>p-value</t>
  </si>
  <si>
    <t>Hệ số áp dụng</t>
  </si>
  <si>
    <t>Cash</t>
  </si>
  <si>
    <t>Ngưỡng CMT tính lại</t>
  </si>
  <si>
    <t>Giá trị</t>
  </si>
  <si>
    <t>DSO theo dõi</t>
  </si>
  <si>
    <t>P75 DSO × hệ số CMT × quy mô × mùa vụ</t>
  </si>
  <si>
    <t>DSO nghiêm trọng</t>
  </si>
  <si>
    <t>P90 DSO × hệ số CMT × quy mô × mùa vụ</t>
  </si>
  <si>
    <t>DIO theo dõi</t>
  </si>
  <si>
    <t>P75 DIO × hệ số CMT × quy mô × mùa vụ</t>
  </si>
  <si>
    <t>DIO nghiêm trọng</t>
  </si>
  <si>
    <t>P90 DIO × hệ số CMT × quy mô × mùa vụ</t>
  </si>
  <si>
    <t>DPO thấp</t>
  </si>
  <si>
    <t>P10 DPO × hệ số CMT × quy mô</t>
  </si>
  <si>
    <t>DPO cao (thông tin)</t>
  </si>
  <si>
    <t>P75 DPO × hệ số CMT × quy mô</t>
  </si>
  <si>
    <t>Tiền mỏng (tỷ lệ năm)</t>
  </si>
  <si>
    <t>P25 tỷ lệ tiền × hệ số CMT × quy mô</t>
  </si>
  <si>
    <t>Rmin ngành, tỷ lệ</t>
  </si>
  <si>
    <t>Chỉ quy đổi bằng RevenueTTM thực khi chưa có owner_policy</t>
  </si>
  <si>
    <t>Rtarget ngành, tỷ lệ</t>
  </si>
  <si>
    <t>P50; không tự áp cho F01 khi thiếu TTM</t>
  </si>
  <si>
    <t>Rupper ngành, tỷ lệ</t>
  </si>
  <si>
    <t>P75; tham chiếu không phải mức bắt buộc</t>
  </si>
  <si>
    <t>Quy tắc</t>
  </si>
  <si>
    <t>Giá trị / phép tính</t>
  </si>
  <si>
    <t>Mức trọng yếu</t>
  </si>
  <si>
    <t>5% TSNH, owner_policy</t>
  </si>
  <si>
    <t>Nghiêm trọng tự nâng W2</t>
  </si>
  <si>
    <t>Cờ 1 đúng B4 nguồn</t>
  </si>
  <si>
    <t>Vàng tối đa</t>
  </si>
  <si>
    <t>0 &lt; GapRatio ≤20%, không thỏa điều kiện Đỏ</t>
  </si>
  <si>
    <t>Cam tối đa</t>
  </si>
  <si>
    <t>20% &lt; GapRatio ≤50%, không thỏa điều kiện Đỏ</t>
  </si>
  <si>
    <t>Đỏ</t>
  </si>
  <si>
    <t>Cash&lt;0 hoặc Cash&lt;Rmin hoặc GapRatio&gt;50%</t>
  </si>
  <si>
    <t>Ưu tiên trước Cam/Vàng; bằng Rmin không Đỏ do sàn</t>
  </si>
  <si>
    <t>Dư bền</t>
  </si>
  <si>
    <t>Ngày liên tiếp Cash&gt;Rupper; TH03 chỉ khi không có ngày thiếu</t>
  </si>
  <si>
    <t>Lô NVL/HH chậm</t>
  </si>
  <si>
    <t>Ngày, demo_assumption</t>
  </si>
  <si>
    <t>Lô BTP/TP chậm</t>
  </si>
  <si>
    <t>Rho cảnh báo</t>
  </si>
  <si>
    <t>Theo hợp đồng, không thay W ngành</t>
  </si>
  <si>
    <t>Rho nghiêm trọng</t>
  </si>
  <si>
    <t>W / TH</t>
  </si>
  <si>
    <t>TH01 Thiếu</t>
  </si>
  <si>
    <t>TH02 Cân bằng</t>
  </si>
  <si>
    <t>TH03 Dư</t>
  </si>
  <si>
    <t>W0</t>
  </si>
  <si>
    <t>M1 Thiếu, chưa thấy tín hiệu WC</t>
  </si>
  <si>
    <t>M2 Cân bằng, chưa thấy tín hiệu WC</t>
  </si>
  <si>
    <t>M3 Dư, chưa thấy tín hiệu WC</t>
  </si>
  <si>
    <t>W1</t>
  </si>
  <si>
    <t>M4 Thiếu, có dấu hiệu</t>
  </si>
  <si>
    <t>M5 Cân bằng, có dấu hiệu</t>
  </si>
  <si>
    <t>M6 Dư, có dấu hiệu</t>
  </si>
  <si>
    <t>W2</t>
  </si>
  <si>
    <t>M7 Thiếu và nghẽn trọng yếu</t>
  </si>
  <si>
    <t>M8 Đủ tiền, vốn bị giữ lớn</t>
  </si>
  <si>
    <t>M9 Dư và nghẽn trọng yếu</t>
  </si>
  <si>
    <t>F01 Chẩn đoán tại 20/06/2026</t>
  </si>
  <si>
    <t>Cách tính / giới hạn</t>
  </si>
  <si>
    <t>Doanh thu</t>
  </si>
  <si>
    <t>Giá vốn</t>
  </si>
  <si>
    <t>Ngày cuối − ngày đầu +1</t>
  </si>
  <si>
    <t>Phải thu</t>
  </si>
  <si>
    <t>AR = tổng dư hóa đơn bán mở</t>
  </si>
  <si>
    <t>Tồn sở hữu</t>
  </si>
  <si>
    <t>INV = tổng giá trị lô thuộc F01</t>
  </si>
  <si>
    <t>Phải trả</t>
  </si>
  <si>
    <t>AP = tổng dư hóa đơn mua mở</t>
  </si>
  <si>
    <t>Tổng mua kỳ</t>
  </si>
  <si>
    <t>PUR; không bằng giá vốn do có lao động và chi phí sản xuất</t>
  </si>
  <si>
    <t>AR / Rev × N</t>
  </si>
  <si>
    <t>INV / COGS × N</t>
  </si>
  <si>
    <t>AP / COGS × N</t>
  </si>
  <si>
    <t>DSO + DIO − DPO</t>
  </si>
  <si>
    <t>Vốn thương mại ròng</t>
  </si>
  <si>
    <t>AR + INV − AP; không phải tiền mặt</t>
  </si>
  <si>
    <t>Phải thu quá hạn</t>
  </si>
  <si>
    <t>Chỉ phần đã đến hạn chưa trả</t>
  </si>
  <si>
    <t>Phải trả quá hạn</t>
  </si>
  <si>
    <t>Không tự suy NCC ngừng cung ứng</t>
  </si>
  <si>
    <t>Tồn lâu hoặc đơn hủy</t>
  </si>
  <si>
    <t>Hợp của hai cờ; không cộng trùng</t>
  </si>
  <si>
    <t>Tồn thuộc khách hàng</t>
  </si>
  <si>
    <t>Loại khỏi INV, TWC và TSNH</t>
  </si>
  <si>
    <t>Tài sản ngắn hạn</t>
  </si>
  <si>
    <t>Tiền + ĐTNH + tài sản khác + AR + INV</t>
  </si>
  <si>
    <t>Mức AR</t>
  </si>
  <si>
    <t>So ngưỡng CMT, raw chưa làm tròn</t>
  </si>
  <si>
    <t>Mức INV</t>
  </si>
  <si>
    <t>So ngưỡng CMT</t>
  </si>
  <si>
    <t>Doanh thu năm tham chiếu</t>
  </si>
  <si>
    <t>Ưu tiên TTM thực; nếu thiếu, dùng proxy Rev×365/N chỉ trong demo</t>
  </si>
  <si>
    <t>Tỷ lệ tiền proxy</t>
  </si>
  <si>
    <t>(Tiền + ĐTNH) / RevAnnualProxy</t>
  </si>
  <si>
    <t>Tín hiệu AP</t>
  </si>
  <si>
    <t>DPO thấp đồng thời tiền mỏng</t>
  </si>
  <si>
    <t>Vốn AR vượt ngưỡng</t>
  </si>
  <si>
    <t>MAX(DSO − DSOWatch;0) × Rev/N</t>
  </si>
  <si>
    <t>Vốn tồn vượt ngưỡng</t>
  </si>
  <si>
    <t>MAX(DIO − DIOWatch;0) × COGS/N</t>
  </si>
  <si>
    <t>MAX(vốn AR vượt; vốn tồn vượt) / TSNH</t>
  </si>
  <si>
    <t>Đúng B4 file SMEs; chi tiết quá hạn không tự nâng W</t>
  </si>
  <si>
    <t>Vốn vượt tổng</t>
  </si>
  <si>
    <t>Không cộng vào dòng thu hay mức thiếu UC02</t>
  </si>
  <si>
    <t>Lô sở hữu lưu lâu nhất</t>
  </si>
  <si>
    <t>Lưu kho có thể trước đầu kỳ</t>
  </si>
  <si>
    <t>Mô hình / trạng thái</t>
  </si>
  <si>
    <t>CMT / provisional</t>
  </si>
  <si>
    <t>Số dư cuối kỳ 171 ngày khác bình quân năm của ngành</t>
  </si>
  <si>
    <t>Khách</t>
  </si>
  <si>
    <t>Tên</t>
  </si>
  <si>
    <t>Tỷ trọng AR</t>
  </si>
  <si>
    <t>Góp DSO</t>
  </si>
  <si>
    <t>Quá hạn tổng</t>
  </si>
  <si>
    <t>1–30 ngày</t>
  </si>
  <si>
    <t>31–60 ngày</t>
  </si>
  <si>
    <t>&gt;60 ngày</t>
  </si>
  <si>
    <t>MaxDPD</t>
  </si>
  <si>
    <t>Trễ có dấu 180d</t>
  </si>
  <si>
    <t>Trễ dương 180d</t>
  </si>
  <si>
    <t>Số hóa đơn đã thu</t>
  </si>
  <si>
    <t>Kỳ hạn hợp đồng</t>
  </si>
  <si>
    <t>Quan hệ demo</t>
  </si>
  <si>
    <t>BYR-F01-002</t>
  </si>
  <si>
    <t>Nhà xuất khẩu Lớn K1</t>
  </si>
  <si>
    <t>BYR-F01-001</t>
  </si>
  <si>
    <t>Nhà xuất khẩu K2</t>
  </si>
  <si>
    <t>BYR-F01-005</t>
  </si>
  <si>
    <t>Công ty may xuất khẩu K5</t>
  </si>
  <si>
    <t>BYR-F01-006</t>
  </si>
  <si>
    <t>Thương hiệu thời trang theo mùa K6</t>
  </si>
  <si>
    <t>BYR-F01-003</t>
  </si>
  <si>
    <t>Thương hiệu nội địa K3</t>
  </si>
  <si>
    <t>BYR-F01-007</t>
  </si>
  <si>
    <t>Đại lý vãng lai K7</t>
  </si>
  <si>
    <t>BYR-F01-004</t>
  </si>
  <si>
    <t>Khách mới K4</t>
  </si>
  <si>
    <t>BYR-F01-008</t>
  </si>
  <si>
    <t>Cửa hàng nhỏ K8</t>
  </si>
  <si>
    <t>BYR-F01-009</t>
  </si>
  <si>
    <t>Khách ngừng mua K9</t>
  </si>
  <si>
    <t>NCC</t>
  </si>
  <si>
    <t>Quá hạn</t>
  </si>
  <si>
    <t>Góp DPO</t>
  </si>
  <si>
    <t>Thiết yếu</t>
  </si>
  <si>
    <t>Chiết khấu hợp lệ</t>
  </si>
  <si>
    <t>Tiết kiệm (nếu đủ điều kiện)</t>
  </si>
  <si>
    <t>SUP-F01-001</t>
  </si>
  <si>
    <t>Nhà phân phối vải Beta (F02)</t>
  </si>
  <si>
    <t>có</t>
  </si>
  <si>
    <t>SUP-F01-002</t>
  </si>
  <si>
    <t>Bao bì – phụ liệu Gamma (F03)</t>
  </si>
  <si>
    <t>không</t>
  </si>
  <si>
    <t>SUP-F01-003</t>
  </si>
  <si>
    <t>Chỉ – nút – khóa NCC4</t>
  </si>
  <si>
    <t>SUP-F01-004</t>
  </si>
  <si>
    <t>Vận tải nội địa NCC5</t>
  </si>
  <si>
    <t>SUP-F01-005</t>
  </si>
  <si>
    <t>Xưởng thêu – in ngoài NCC6</t>
  </si>
  <si>
    <t>SUP-F01-006</t>
  </si>
  <si>
    <t>Điện lực khu công nghiệp</t>
  </si>
  <si>
    <t>SUP-F01-007</t>
  </si>
  <si>
    <t>Vải phụ trợ mới NCC7</t>
  </si>
  <si>
    <t>chưa rõ</t>
  </si>
  <si>
    <t>SUP-F01-008</t>
  </si>
  <si>
    <t>Vật tư tiêu hao NCC8</t>
  </si>
  <si>
    <t>SUP-F01-009</t>
  </si>
  <si>
    <t>Phụ liệu chỉ định NCC9</t>
  </si>
  <si>
    <t>Lô</t>
  </si>
  <si>
    <t>Mặt hàng</t>
  </si>
  <si>
    <t>Chủ sở hữu</t>
  </si>
  <si>
    <t>Giá trị sở hữu</t>
  </si>
  <si>
    <t>Đã lưu kho (ngày)</t>
  </si>
  <si>
    <t>Ngưỡng lưu lâu</t>
  </si>
  <si>
    <t>Tồn lâu</t>
  </si>
  <si>
    <t>Đơn hủy</t>
  </si>
  <si>
    <t>Góp DIO</t>
  </si>
  <si>
    <t>Xếp theo thời gian</t>
  </si>
  <si>
    <t>F01 Dự báo tiền từ 21/06 đến 19/09/2026</t>
  </si>
  <si>
    <t>Ý nghĩa</t>
  </si>
  <si>
    <t>Kịch bản</t>
  </si>
  <si>
    <t>Một selector tại D_F01!B19</t>
  </si>
  <si>
    <t>Ngày đầu</t>
  </si>
  <si>
    <t>AsOf+1</t>
  </si>
  <si>
    <t>Ngày cuối</t>
  </si>
  <si>
    <t>H13=91 ngày; không phải N171</t>
  </si>
  <si>
    <t>Cash0</t>
  </si>
  <si>
    <t>Tiền khả dụng giả lập tại ngày chốt</t>
  </si>
  <si>
    <t>Rmin</t>
  </si>
  <si>
    <t>Dưới sàn này là Đỏ kể cả còn tiền dương</t>
  </si>
  <si>
    <t>Rtarget</t>
  </si>
  <si>
    <t>Mục tiêu dự trữ, không phải dòng chi</t>
  </si>
  <si>
    <t>Rupper</t>
  </si>
  <si>
    <t>Trên trần liên tục ≥14 ngày mới là dư bền</t>
  </si>
  <si>
    <t>MinCash</t>
  </si>
  <si>
    <t>Số dư cuối ngày thấp nhất</t>
  </si>
  <si>
    <t>Ngày MinCash</t>
  </si>
  <si>
    <t>Nếu bằng nhau lấy ngày đầu</t>
  </si>
  <si>
    <t>PeakBuffer</t>
  </si>
  <si>
    <t>Không cộng gap lặp qua ngày</t>
  </si>
  <si>
    <t>PeakZero</t>
  </si>
  <si>
    <t>Không cộng với PeakBuffer</t>
  </si>
  <si>
    <t>MinCum</t>
  </si>
  <si>
    <t>Lũy kế thu trừ chi, chưa có Cash0</t>
  </si>
  <si>
    <t>NeedTarget</t>
  </si>
  <si>
    <t>Tổng tiền đầu kỳ cần để không dưới mục tiêu</t>
  </si>
  <si>
    <t>NeedZero</t>
  </si>
  <si>
    <t>Tổng tiền đầu kỳ cần để không âm</t>
  </si>
  <si>
    <t>Additional</t>
  </si>
  <si>
    <t>NeedTarget trừ tiền đang có, chặn dưới 0</t>
  </si>
  <si>
    <t>Ngày đầu thiếu</t>
  </si>
  <si>
    <t>Không có ngày thiếu → n.a.</t>
  </si>
  <si>
    <t>Ngày đầu âm</t>
  </si>
  <si>
    <t>Tách riêng ngày đầu dưới dự trữ</t>
  </si>
  <si>
    <t>Cảnh báo toàn kỳ</t>
  </si>
  <si>
    <t>Mức nặng nhất theo ngày của kịch bản đang chọn</t>
  </si>
  <si>
    <t>TH để định tuyến</t>
  </si>
  <si>
    <t>Chỉ Base xác định TH chính thức; run-off dư chỉ là tham chiếu</t>
  </si>
  <si>
    <t>Ô ma trận</t>
  </si>
  <si>
    <t>W và TH cùng snapshot; LLM không chọn ô</t>
  </si>
  <si>
    <t>Trạng thái</t>
  </si>
  <si>
    <t>provisional</t>
  </si>
  <si>
    <t>Dữ liệu hư cấu, net/noVAT, lịch chi quá hạn là giả định</t>
  </si>
  <si>
    <t>Chế độ</t>
  </si>
  <si>
    <t>Run-off không có toàn bộ hoạt động mới; continuing có thêm cả thu và chi</t>
  </si>
  <si>
    <t>Tuần</t>
  </si>
  <si>
    <t>Thu</t>
  </si>
  <si>
    <t>Chi</t>
  </si>
  <si>
    <t>Cuối tuần</t>
  </si>
  <si>
    <t>Thấp nhất tuần</t>
  </si>
  <si>
    <t>Ngày thấp nhất</t>
  </si>
  <si>
    <t>Mức cuối tuần</t>
  </si>
  <si>
    <t>Mức xấu nhất</t>
  </si>
  <si>
    <t>Khối</t>
  </si>
  <si>
    <t>MinDaily</t>
  </si>
  <si>
    <t>Số ngày</t>
  </si>
  <si>
    <t>Thiếu kéo dài từ hai khối đủ 28 ngày</t>
  </si>
  <si>
    <t>Chi thiết yếu bình quân/ngày</t>
  </si>
  <si>
    <t>15 ngày chi thiết yếu</t>
  </si>
  <si>
    <t>Dự trữ demo cần xác nhận</t>
  </si>
  <si>
    <t>Số mẫu riêng</t>
  </si>
  <si>
    <t>Cấp dùng</t>
  </si>
  <si>
    <t>Số mẫu dùng</t>
  </si>
  <si>
    <t>Mean gia quyền</t>
  </si>
  <si>
    <t>P25 mẫu</t>
  </si>
  <si>
    <t>P75 mẫu</t>
  </si>
  <si>
    <t>Delay Opt</t>
  </si>
  <si>
    <t>Delay Cons</t>
  </si>
  <si>
    <t>Mẫu mở cận dưới</t>
  </si>
  <si>
    <t>Date</t>
  </si>
  <si>
    <t>In</t>
  </si>
  <si>
    <t>Out</t>
  </si>
  <si>
    <t>CumNet</t>
  </si>
  <si>
    <t>Opening</t>
  </si>
  <si>
    <t>Net</t>
  </si>
  <si>
    <t>Closing</t>
  </si>
  <si>
    <t>GapTarget</t>
  </si>
  <si>
    <t>GapZero</t>
  </si>
  <si>
    <t>GapRatio</t>
  </si>
  <si>
    <t>Level</t>
  </si>
  <si>
    <t>EpisodeId</t>
  </si>
  <si>
    <t>SurplusStreak</t>
  </si>
  <si>
    <t>StartFlag</t>
  </si>
  <si>
    <t>EndFlag</t>
  </si>
  <si>
    <t>EpisodeDays</t>
  </si>
  <si>
    <t>ReserveTarget</t>
  </si>
  <si>
    <t>Đợt</t>
  </si>
  <si>
    <t>Ngày cuối quan sát</t>
  </si>
  <si>
    <t>Số dư thấp nhất</t>
  </si>
  <si>
    <t>PeakGap</t>
  </si>
  <si>
    <t>Ngày phục hồi</t>
  </si>
  <si>
    <t>Ongoing</t>
  </si>
  <si>
    <t>event_id</t>
  </si>
  <si>
    <t>source_id</t>
  </si>
  <si>
    <t>entity_id</t>
  </si>
  <si>
    <t>direction</t>
  </si>
  <si>
    <t>amount</t>
  </si>
  <si>
    <t>due / issue</t>
  </si>
  <si>
    <t>DPD</t>
  </si>
  <si>
    <t>history_level</t>
  </si>
  <si>
    <t>conditional_count</t>
  </si>
  <si>
    <t>OptDate</t>
  </si>
  <si>
    <t>BaseDate</t>
  </si>
  <si>
    <t>ConsDate</t>
  </si>
  <si>
    <t>ConfirmedDate</t>
  </si>
  <si>
    <t>ActiveDate</t>
  </si>
  <si>
    <t>DateMethod</t>
  </si>
  <si>
    <t>category</t>
  </si>
  <si>
    <t>essential</t>
  </si>
  <si>
    <t>known_at</t>
  </si>
  <si>
    <t>horizon_bucket</t>
  </si>
  <si>
    <t>ConditionalMean</t>
  </si>
  <si>
    <t>ConditionalP25</t>
  </si>
  <si>
    <t>ConditionalP75</t>
  </si>
  <si>
    <t>OptTotalDelay</t>
  </si>
  <si>
    <t>BaseTotalDelay</t>
  </si>
  <si>
    <t>ConsTotalDelay</t>
  </si>
  <si>
    <t>RCV-INV-F01-0038</t>
  </si>
  <si>
    <t>INV-F01-0038</t>
  </si>
  <si>
    <t>IN</t>
  </si>
  <si>
    <t>Thu công nợ</t>
  </si>
  <si>
    <t>RCV-INV-F01-0051</t>
  </si>
  <si>
    <t>INV-F01-0051</t>
  </si>
  <si>
    <t>RCV-INV-F01-0056</t>
  </si>
  <si>
    <t>INV-F01-0056</t>
  </si>
  <si>
    <t>RCV-INV-F01-0069</t>
  </si>
  <si>
    <t>INV-F01-0069</t>
  </si>
  <si>
    <t>RCV-INV-F01-0071</t>
  </si>
  <si>
    <t>INV-F01-0071</t>
  </si>
  <si>
    <t>RCV-INV-F01-0075</t>
  </si>
  <si>
    <t>INV-F01-0075</t>
  </si>
  <si>
    <t>RCV-INV-F01-0076</t>
  </si>
  <si>
    <t>INV-F01-0076</t>
  </si>
  <si>
    <t>RCV-INV-F01-0079</t>
  </si>
  <si>
    <t>INV-F01-0079</t>
  </si>
  <si>
    <t>RCV-INV-F01-0083</t>
  </si>
  <si>
    <t>INV-F01-0083</t>
  </si>
  <si>
    <t>RCV-INV-F01-0085</t>
  </si>
  <si>
    <t>INV-F01-0085</t>
  </si>
  <si>
    <t>RCV-INV-F01-0086</t>
  </si>
  <si>
    <t>INV-F01-0086</t>
  </si>
  <si>
    <t>RCV-INV-F01-0088</t>
  </si>
  <si>
    <t>INV-F01-0088</t>
  </si>
  <si>
    <t>RCV-INV-F01-0089</t>
  </si>
  <si>
    <t>INV-F01-0089</t>
  </si>
  <si>
    <t>RCV-INV-F01-0090</t>
  </si>
  <si>
    <t>INV-F01-0090</t>
  </si>
  <si>
    <t>RCV-INV-F01-0092</t>
  </si>
  <si>
    <t>INV-F01-0092</t>
  </si>
  <si>
    <t>RCV-INV-F01-0093</t>
  </si>
  <si>
    <t>INV-F01-0093</t>
  </si>
  <si>
    <t>RCV-INV-F01-0094</t>
  </si>
  <si>
    <t>INV-F01-0094</t>
  </si>
  <si>
    <t>RCV-INV-F01-0096</t>
  </si>
  <si>
    <t>INV-F01-0096</t>
  </si>
  <si>
    <t>RCV-INV-F01-0097</t>
  </si>
  <si>
    <t>INV-F01-0097</t>
  </si>
  <si>
    <t>RCV-INV-F01-0098</t>
  </si>
  <si>
    <t>INV-F01-0098</t>
  </si>
  <si>
    <t>RCV-INV-F01-0099</t>
  </si>
  <si>
    <t>INV-F01-0099</t>
  </si>
  <si>
    <t>RCV-INV-F01-0100</t>
  </si>
  <si>
    <t>INV-F01-0100</t>
  </si>
  <si>
    <t>RCV-INV-F01-0101</t>
  </si>
  <si>
    <t>INV-F01-0101</t>
  </si>
  <si>
    <t>RCV-INV-F01-0102</t>
  </si>
  <si>
    <t>INV-F01-0102</t>
  </si>
  <si>
    <t>RCV-INV-F01-0103</t>
  </si>
  <si>
    <t>INV-F01-0103</t>
  </si>
  <si>
    <t>RCV-INV-F01-0104</t>
  </si>
  <si>
    <t>INV-F01-0104</t>
  </si>
  <si>
    <t>RCV-INV-F01-0105</t>
  </si>
  <si>
    <t>INV-F01-0105</t>
  </si>
  <si>
    <t>RCV-INV-F01-0106</t>
  </si>
  <si>
    <t>INV-F01-0106</t>
  </si>
  <si>
    <t>RCV-INV-F01-0107</t>
  </si>
  <si>
    <t>INV-F01-0107</t>
  </si>
  <si>
    <t>RCV-INV-F01-0108</t>
  </si>
  <si>
    <t>INV-F01-0108</t>
  </si>
  <si>
    <t>RCV-INV-F01-0109</t>
  </si>
  <si>
    <t>INV-F01-0109</t>
  </si>
  <si>
    <t>RCV-INV-F01-0110</t>
  </si>
  <si>
    <t>INV-F01-0110</t>
  </si>
  <si>
    <t>RCV-INV-F01-0111</t>
  </si>
  <si>
    <t>INV-F01-0111</t>
  </si>
  <si>
    <t>PAY-BILL-F01-0079</t>
  </si>
  <si>
    <t>BILL-F01-0079</t>
  </si>
  <si>
    <t>OUT</t>
  </si>
  <si>
    <t>supplier_history</t>
  </si>
  <si>
    <t>Trả NCC</t>
  </si>
  <si>
    <t>PAY-BILL-F01-0080</t>
  </si>
  <si>
    <t>BILL-F01-0080</t>
  </si>
  <si>
    <t>PAY-BILL-F01-0085</t>
  </si>
  <si>
    <t>BILL-F01-0085</t>
  </si>
  <si>
    <t>PAY-BILL-F01-0086</t>
  </si>
  <si>
    <t>BILL-F01-0086</t>
  </si>
  <si>
    <t>PAY-BILL-F01-0092</t>
  </si>
  <si>
    <t>BILL-F01-0092</t>
  </si>
  <si>
    <t>PAY-BILL-F01-0105</t>
  </si>
  <si>
    <t>BILL-F01-0105</t>
  </si>
  <si>
    <t>PAY-BILL-F01-0106</t>
  </si>
  <si>
    <t>BILL-F01-0106</t>
  </si>
  <si>
    <t>PAY-BILL-F01-0109</t>
  </si>
  <si>
    <t>BILL-F01-0109</t>
  </si>
  <si>
    <t>PAY-BILL-F01-0112</t>
  </si>
  <si>
    <t>BILL-F01-0112</t>
  </si>
  <si>
    <t>PAY-BILL-F01-0114</t>
  </si>
  <si>
    <t>BILL-F01-0114</t>
  </si>
  <si>
    <t>PAY-BILL-F01-0115</t>
  </si>
  <si>
    <t>BILL-F01-0115</t>
  </si>
  <si>
    <t>PAY-BILL-F01-0116</t>
  </si>
  <si>
    <t>BILL-F01-0116</t>
  </si>
  <si>
    <t>PAY-BILL-F01-0117</t>
  </si>
  <si>
    <t>BILL-F01-0117</t>
  </si>
  <si>
    <t>PAY-BILL-F01-0119</t>
  </si>
  <si>
    <t>BILL-F01-0119</t>
  </si>
  <si>
    <t>PAY-BILL-F01-0120</t>
  </si>
  <si>
    <t>BILL-F01-0120</t>
  </si>
  <si>
    <t>PAY-BILL-F01-0121</t>
  </si>
  <si>
    <t>BILL-F01-0121</t>
  </si>
  <si>
    <t>PAY-BILL-F01-0122</t>
  </si>
  <si>
    <t>BILL-F01-0122</t>
  </si>
  <si>
    <t>PAY-BILL-F01-0123</t>
  </si>
  <si>
    <t>BILL-F01-0123</t>
  </si>
  <si>
    <t>PAY-BILL-F01-0124</t>
  </si>
  <si>
    <t>BILL-F01-0124</t>
  </si>
  <si>
    <t>PAY-BILL-F01-0125</t>
  </si>
  <si>
    <t>BILL-F01-0125</t>
  </si>
  <si>
    <t>PAY-BILL-F01-0126</t>
  </si>
  <si>
    <t>BILL-F01-0126</t>
  </si>
  <si>
    <t>PAY-BILL-F01-0127</t>
  </si>
  <si>
    <t>BILL-F01-0127</t>
  </si>
  <si>
    <t>PAYROLL-6</t>
  </si>
  <si>
    <t>Nhân viên</t>
  </si>
  <si>
    <t>planned</t>
  </si>
  <si>
    <t>synthetic_plan_known_at_cutoff</t>
  </si>
  <si>
    <t>Lương</t>
  </si>
  <si>
    <t>PAYROLL-7</t>
  </si>
  <si>
    <t>PAYROLL-8</t>
  </si>
  <si>
    <t>TAX-7</t>
  </si>
  <si>
    <t>Cơ quan thuế</t>
  </si>
  <si>
    <t>Thuế</t>
  </si>
  <si>
    <t>TAX-8</t>
  </si>
  <si>
    <t>TAX-9</t>
  </si>
  <si>
    <t>RENT-7</t>
  </si>
  <si>
    <t>Bên cho thuê</t>
  </si>
  <si>
    <t>Thuê xưởng</t>
  </si>
  <si>
    <t>RENT-8</t>
  </si>
  <si>
    <t>RENT-9</t>
  </si>
  <si>
    <t>DEBT-PRINCIPAL</t>
  </si>
  <si>
    <t>Ngân hàng</t>
  </si>
  <si>
    <t>Gốc vay</t>
  </si>
  <si>
    <t>DEBT-INTEREST</t>
  </si>
  <si>
    <t>Lãi vay</t>
  </si>
  <si>
    <t>NEW-1-IN</t>
  </si>
  <si>
    <t>NEW-1</t>
  </si>
  <si>
    <t>NEW_CUSTOMERS</t>
  </si>
  <si>
    <t>new_activity_assumption</t>
  </si>
  <si>
    <t>incremental_sales_and_cost</t>
  </si>
  <si>
    <t>Hoạt động mới</t>
  </si>
  <si>
    <t>NEW-1-OUT</t>
  </si>
  <si>
    <t>VARIABLE_COST</t>
  </si>
  <si>
    <t>NEW-2-IN</t>
  </si>
  <si>
    <t>NEW-2</t>
  </si>
  <si>
    <t>NEW-2-OUT</t>
  </si>
  <si>
    <t>NEW-3-IN</t>
  </si>
  <si>
    <t>NEW-3</t>
  </si>
  <si>
    <t>NEW-3-OUT</t>
  </si>
  <si>
    <t>NEW-4-IN</t>
  </si>
  <si>
    <t>NEW-4</t>
  </si>
  <si>
    <t>NEW-4-OUT</t>
  </si>
  <si>
    <t>NEW-5-IN</t>
  </si>
  <si>
    <t>NEW-5</t>
  </si>
  <si>
    <t>NEW-5-OUT</t>
  </si>
  <si>
    <t>NEW-6-IN</t>
  </si>
  <si>
    <t>NEW-6</t>
  </si>
  <si>
    <t>NEW-6-OUT</t>
  </si>
  <si>
    <t>NEW-7-IN</t>
  </si>
  <si>
    <t>NEW-7</t>
  </si>
  <si>
    <t>NEW-7-OUT</t>
  </si>
  <si>
    <t>NEW-8-IN</t>
  </si>
  <si>
    <t>NEW-8</t>
  </si>
  <si>
    <t>NEW-8-OUT</t>
  </si>
  <si>
    <t>NEW-9-IN</t>
  </si>
  <si>
    <t>NEW-9</t>
  </si>
  <si>
    <t>NEW-9-OUT</t>
  </si>
  <si>
    <t>NEW-10-IN</t>
  </si>
  <si>
    <t>NEW-10</t>
  </si>
  <si>
    <t>NEW-10-OUT</t>
  </si>
  <si>
    <t>NEW-11-IN</t>
  </si>
  <si>
    <t>NEW-11</t>
  </si>
  <si>
    <t>NEW-11-OUT</t>
  </si>
  <si>
    <t>NEW-12-IN</t>
  </si>
  <si>
    <t>NEW-12</t>
  </si>
  <si>
    <t>NEW-12-OUT</t>
  </si>
  <si>
    <t>NEW-13-IN</t>
  </si>
  <si>
    <t>NEW-13</t>
  </si>
  <si>
    <t>NEW-13-OUT</t>
  </si>
  <si>
    <t>Dòng 312-341: 30 hóa đơn điện/vận tải từ D_flows!A16:L45. Chỉ cộng vào dự báo khi ngày ≥ ngày đầu kỳ và hóa đơn chưa có ở các dòng PAY-BILL (253-274); hóa đơn đã trả trước as_of hoặc đã có ở PAY-BILL thì amount = 0 (xem cột O) để không tính trùng.</t>
  </si>
  <si>
    <t>F01 Hồ sơ, tài chính và cấu hình</t>
  </si>
  <si>
    <t>Trường</t>
  </si>
  <si>
    <t>Cơ sở và nguồn</t>
  </si>
  <si>
    <t>firm_id</t>
  </si>
  <si>
    <t>F01</t>
  </si>
  <si>
    <t>Một doanh nghiệp gia công may CMT</t>
  </si>
  <si>
    <t>period_start</t>
  </si>
  <si>
    <t>Đầu kỳ theo yêu cầu</t>
  </si>
  <si>
    <t>as_of</t>
  </si>
  <si>
    <t>Ngày chốt theo yêu cầu</t>
  </si>
  <si>
    <t>N</t>
  </si>
  <si>
    <t>171 ngày, gồm cả hai mốc</t>
  </si>
  <si>
    <t>revenue_vnd</t>
  </si>
  <si>
    <t>Giữ số tiền của F01 sáu tháng; không phải tiền đã thu</t>
  </si>
  <si>
    <t>cogs_vnd</t>
  </si>
  <si>
    <t>Giá vốn giả lập, gồm lao động và khấu hao; không đồng nhất tổng mua hàng</t>
  </si>
  <si>
    <t>cash_total_vnd</t>
  </si>
  <si>
    <t>Số dư tiền giả lập tại ngày chốt mới</t>
  </si>
  <si>
    <t>restricted_vnd</t>
  </si>
  <si>
    <t>Giả lập không có hạn chế rút</t>
  </si>
  <si>
    <t>short_investments_vnd</t>
  </si>
  <si>
    <t>Không tự coi là Cash0</t>
  </si>
  <si>
    <t>other_current_assets_vnd</t>
  </si>
  <si>
    <t>Giả lập độc lập</t>
  </si>
  <si>
    <t>rmin_vnd</t>
  </si>
  <si>
    <t>demo_assumption: 50% Rtarget theo SRS</t>
  </si>
  <si>
    <t>rtarget_vnd</t>
  </si>
  <si>
    <t>Mức dự trữ mục tiêu kế thừa giả lập F01</t>
  </si>
  <si>
    <t>rupper_vnd</t>
  </si>
  <si>
    <t>demo_assumption: 2× Rtarget theo SRS</t>
  </si>
  <si>
    <t>horizon_weeks</t>
  </si>
  <si>
    <t>13 tuần; khác N=171</t>
  </si>
  <si>
    <t>scenario_id</t>
  </si>
  <si>
    <t>1 Base;2 Optimistic;3 Conservative;4 Stress7;5 Continuing</t>
  </si>
  <si>
    <t>mode</t>
  </si>
  <si>
    <t>Chọn một kịch bản; cùng một bộ tính</t>
  </si>
  <si>
    <t>revenue_ttm_actual</t>
  </si>
  <si>
    <t>Chưa có. Không dùng doanh thu quy đổi năm để tự đặt dự trữ UC02</t>
  </si>
  <si>
    <t>snapshot_id</t>
  </si>
  <si>
    <t>F01-20260620-SYN171-v1</t>
  </si>
  <si>
    <t>Giữ bất biến theo lần chạy</t>
  </si>
  <si>
    <t>business_model</t>
  </si>
  <si>
    <t>CMT</t>
  </si>
  <si>
    <t>Hồ sơ giả lập; không suy từ DIO</t>
  </si>
  <si>
    <t>amount_basis</t>
  </si>
  <si>
    <t>net_noVAT</t>
  </si>
  <si>
    <t>Demo không mô hình hóa VAT; phải xác nhận khi dùng thật</t>
  </si>
  <si>
    <t>lookback_days</t>
  </si>
  <si>
    <t>Độ trễ lịch sử và mô hình theo SRS</t>
  </si>
  <si>
    <t>min_model_samples</t>
  </si>
  <si>
    <t>Ưu tiên khách → toàn F01 → mặc định</t>
  </si>
  <si>
    <t>min_conditional_samples</t>
  </si>
  <si>
    <t>Khoản quá hạn cần mẫu độ trễ ≥ DPD</t>
  </si>
  <si>
    <t>fallback_days</t>
  </si>
  <si>
    <t>Giả định demo khi toàn doanh nghiệp ít mẫu</t>
  </si>
  <si>
    <t>incremental_cost_ratio</t>
  </si>
  <si>
    <t>Chi phí tăng thêm của continuing, không gồm lương/thuê cố định đã có</t>
  </si>
  <si>
    <t>incremental_cost_lag_days</t>
  </si>
  <si>
    <t>Giả định lịch chi tăng thêm</t>
  </si>
  <si>
    <t>new_sales_credit_days</t>
  </si>
  <si>
    <t>Giả định kỳ hạn bán mới cho continuing</t>
  </si>
  <si>
    <t>source_coverage_confirmed</t>
  </si>
  <si>
    <t>1: đủ các nguồn của fixture; không phải xác nhận dữ liệu thực</t>
  </si>
  <si>
    <t>status</t>
  </si>
  <si>
    <t>Mọi đầu vào đều là tạo sinh</t>
  </si>
  <si>
    <t>history_days_available</t>
  </si>
  <si>
    <t>171 ngày trong bộ giả lập; lookback mục tiêu 180 ngày, dữ liệu lịch sử chưa đủ phủ toàn bộ cửa sổ.</t>
  </si>
  <si>
    <t>customer_id</t>
  </si>
  <si>
    <t>Tên khách hàng</t>
  </si>
  <si>
    <t>Chiến lược (khai báo)</t>
  </si>
  <si>
    <t>supplier_id</t>
  </si>
  <si>
    <t>Tên nhà cung cấp</t>
  </si>
  <si>
    <t>Độc quyền</t>
  </si>
  <si>
    <t>Nguồn thay thế</t>
  </si>
  <si>
    <t>Lead time ngày</t>
  </si>
  <si>
    <t>Nguồn F01: bản dữ liệu 6 tháng đã tạo; giữ mã và số tiền, đổi ngày như Read_me. Nguồn tài liệu: ba tệp đính kèm tại ngày phát hành.</t>
  </si>
  <si>
    <t>Tên chuẩn</t>
  </si>
  <si>
    <t>Vị trí workbook</t>
  </si>
  <si>
    <t>Kiểm soát</t>
  </si>
  <si>
    <t>financials.revenue_vnd</t>
  </si>
  <si>
    <t>D_F01!B9</t>
  </si>
  <si>
    <t>Doanh thu 171 ngày</t>
  </si>
  <si>
    <t>Không dùng tiền đã thu</t>
  </si>
  <si>
    <t>financials.cogs_vnd</t>
  </si>
  <si>
    <t>D_F01!B10</t>
  </si>
  <si>
    <t>Giá vốn cùng kỳ</t>
  </si>
  <si>
    <t>Không cộng làm chi forecast</t>
  </si>
  <si>
    <t>financials.current_assets</t>
  </si>
  <si>
    <t>F01_UC1!B21</t>
  </si>
  <si>
    <t>TSNH từ cấu phần giả lập</t>
  </si>
  <si>
    <t>Không có hàng thuộc khách</t>
  </si>
  <si>
    <t>D_sales!A5:L115</t>
  </si>
  <si>
    <t>111 hóa đơn F01</t>
  </si>
  <si>
    <t>Full settlement demo</t>
  </si>
  <si>
    <t>D_purchases!A5:M131</t>
  </si>
  <si>
    <t>127 hóa đơn F01</t>
  </si>
  <si>
    <t>D_inventory!A5:M37</t>
  </si>
  <si>
    <t>33 lô có ownership</t>
  </si>
  <si>
    <t>Ngày nhập trước kỳ là tồn đầu kỳ</t>
  </si>
  <si>
    <t>planned_flows</t>
  </si>
  <si>
    <t>D_flows!A5:L45</t>
  </si>
  <si>
    <t>11 khoản chi tương lai bổ sung + 30 hóa đơn điện/vận tải (dòng 16-45)</t>
  </si>
  <si>
    <t>KnownAt =20/06/2026</t>
  </si>
  <si>
    <t>confirmed_receipts</t>
  </si>
  <si>
    <t>D_flows!A52:D52</t>
  </si>
  <si>
    <t>Một lịch thu xác nhận giả lập</t>
  </si>
  <si>
    <t>Thay ngày cùng nguồn, không cộng thêm tiền</t>
  </si>
  <si>
    <t>cash0</t>
  </si>
  <si>
    <t>D_F01!B11-B12</t>
  </si>
  <si>
    <t>Tiền khả dụng tại chốt</t>
  </si>
  <si>
    <t>Không cộng ĐTNH tự động</t>
  </si>
  <si>
    <t>D_F01!B22</t>
  </si>
  <si>
    <t>ID snapshot hư cấu</t>
  </si>
  <si>
    <t>Không trộn kỳ cũ vào bản này</t>
  </si>
  <si>
    <t>F01 Hóa đơn bán và mẫu lịch sử</t>
  </si>
  <si>
    <t>invoice_id</t>
  </si>
  <si>
    <t>Tên khách</t>
  </si>
  <si>
    <t>order_id</t>
  </si>
  <si>
    <t>Amount net</t>
  </si>
  <si>
    <t>IssueDate</t>
  </si>
  <si>
    <t>DueDate</t>
  </si>
  <si>
    <t>PaidDate</t>
  </si>
  <si>
    <t>Terms</t>
  </si>
  <si>
    <t>Model</t>
  </si>
  <si>
    <t>Status</t>
  </si>
  <si>
    <t>OpenFlag</t>
  </si>
  <si>
    <t>OpenAmount</t>
  </si>
  <si>
    <t>DelaySigned</t>
  </si>
  <si>
    <t>DelayPositive</t>
  </si>
  <si>
    <t>Paid180Flag</t>
  </si>
  <si>
    <t>Paid×DelayPositive</t>
  </si>
  <si>
    <t>Paid180Amount</t>
  </si>
  <si>
    <t>ModelDelay</t>
  </si>
  <si>
    <t>ModelAmount</t>
  </si>
  <si>
    <t>ModelFlag</t>
  </si>
  <si>
    <t>ModelAmount×Delay</t>
  </si>
  <si>
    <t>CensoredFlag</t>
  </si>
  <si>
    <t>Paid×DelaySigned</t>
  </si>
  <si>
    <t>PaidAmount × CreditDays</t>
  </si>
  <si>
    <t>INV-F01-0001</t>
  </si>
  <si>
    <t>SO-F01-K1-01</t>
  </si>
  <si>
    <t>active</t>
  </si>
  <si>
    <t>INV-F01-0002</t>
  </si>
  <si>
    <t>SO-F01-K5-01</t>
  </si>
  <si>
    <t>INV-F01-0003</t>
  </si>
  <si>
    <t>SO-F01-K3-01</t>
  </si>
  <si>
    <t>INV-F01-0004</t>
  </si>
  <si>
    <t>SO-F01-K9-01</t>
  </si>
  <si>
    <t>INV-F01-0005</t>
  </si>
  <si>
    <t>INV-F01-0006</t>
  </si>
  <si>
    <t>SO-F01-K8-01</t>
  </si>
  <si>
    <t>INV-F01-0007</t>
  </si>
  <si>
    <t>SO-F01-K2-01</t>
  </si>
  <si>
    <t>INV-F01-0008</t>
  </si>
  <si>
    <t>SO-F01-K6-01</t>
  </si>
  <si>
    <t>INV-F01-0009</t>
  </si>
  <si>
    <t>SO-F01-K7-01</t>
  </si>
  <si>
    <t>INV-F01-0010</t>
  </si>
  <si>
    <t>SO-F01-K2-02</t>
  </si>
  <si>
    <t>INV-F01-0011</t>
  </si>
  <si>
    <t>SO-F01-K9-02</t>
  </si>
  <si>
    <t>INV-F01-0012</t>
  </si>
  <si>
    <t>SO-F01-K2-03</t>
  </si>
  <si>
    <t>INV-F01-0013</t>
  </si>
  <si>
    <t>SO-F01-K1-02</t>
  </si>
  <si>
    <t>INV-F01-0014</t>
  </si>
  <si>
    <t>SO-F01-K1-03</t>
  </si>
  <si>
    <t>INV-F01-0015</t>
  </si>
  <si>
    <t>SO-F01-K3-02</t>
  </si>
  <si>
    <t>INV-F01-0016</t>
  </si>
  <si>
    <t>SO-F01-K5-02</t>
  </si>
  <si>
    <t>INV-F01-0017</t>
  </si>
  <si>
    <t>SO-F01-K2-04</t>
  </si>
  <si>
    <t>INV-F01-0018</t>
  </si>
  <si>
    <t>SO-F01-K5-03</t>
  </si>
  <si>
    <t>INV-F01-0019</t>
  </si>
  <si>
    <t>INV-F01-0020</t>
  </si>
  <si>
    <t>SO-F01-K2-05</t>
  </si>
  <si>
    <t>INV-F01-0021</t>
  </si>
  <si>
    <t>SO-F01-K1-04</t>
  </si>
  <si>
    <t>INV-F01-0022</t>
  </si>
  <si>
    <t>INV-F01-0023</t>
  </si>
  <si>
    <t>INV-F01-0024</t>
  </si>
  <si>
    <t>SO-F01-K8-02</t>
  </si>
  <si>
    <t>INV-F01-0025</t>
  </si>
  <si>
    <t>INV-F01-0026</t>
  </si>
  <si>
    <t>SO-F01-K5-04</t>
  </si>
  <si>
    <t>INV-F01-0027</t>
  </si>
  <si>
    <t>INV-F01-0028</t>
  </si>
  <si>
    <t>INV-F01-0029</t>
  </si>
  <si>
    <t>SO-F01-K2-06</t>
  </si>
  <si>
    <t>INV-F01-0030</t>
  </si>
  <si>
    <t>INV-F01-0031</t>
  </si>
  <si>
    <t>SO-F01-K1-05</t>
  </si>
  <si>
    <t>INV-F01-0032</t>
  </si>
  <si>
    <t>SO-F01-K8-03</t>
  </si>
  <si>
    <t>INV-F01-0033</t>
  </si>
  <si>
    <t>SO-F01-K2-07</t>
  </si>
  <si>
    <t>INV-F01-0034</t>
  </si>
  <si>
    <t>SO-F01-K2-08</t>
  </si>
  <si>
    <t>INV-F01-0035</t>
  </si>
  <si>
    <t>SO-F01-K5-05</t>
  </si>
  <si>
    <t>INV-F01-0036</t>
  </si>
  <si>
    <t>SO-F01-K6-02</t>
  </si>
  <si>
    <t>INV-F01-0037</t>
  </si>
  <si>
    <t>SO-F01-K7-02</t>
  </si>
  <si>
    <t>SO-F01-K8-04</t>
  </si>
  <si>
    <t>INV-F01-0039</t>
  </si>
  <si>
    <t>SO-F01-K2-09</t>
  </si>
  <si>
    <t>INV-F01-0040</t>
  </si>
  <si>
    <t>SO-F01-K3-03</t>
  </si>
  <si>
    <t>INV-F01-0041</t>
  </si>
  <si>
    <t>SO-F01-K3-04</t>
  </si>
  <si>
    <t>INV-F01-0042</t>
  </si>
  <si>
    <t>INV-F01-0043</t>
  </si>
  <si>
    <t>SO-F01-K1-06</t>
  </si>
  <si>
    <t>INV-F01-0044</t>
  </si>
  <si>
    <t>INV-F01-0045</t>
  </si>
  <si>
    <t>SO-F01-K5-06</t>
  </si>
  <si>
    <t>INV-F01-0046</t>
  </si>
  <si>
    <t>SO-F01-K2-10</t>
  </si>
  <si>
    <t>INV-F01-0047</t>
  </si>
  <si>
    <t>SO-F01-K6-03</t>
  </si>
  <si>
    <t>INV-F01-0048</t>
  </si>
  <si>
    <t>SO-F01-K2-11</t>
  </si>
  <si>
    <t>INV-F01-0049</t>
  </si>
  <si>
    <t>SO-F01-K5-07</t>
  </si>
  <si>
    <t>INV-F01-0050</t>
  </si>
  <si>
    <t>SO-F01-K2-12</t>
  </si>
  <si>
    <t>SO-F01-K5-08</t>
  </si>
  <si>
    <t>INV-F01-0052</t>
  </si>
  <si>
    <t>SO-F01-K1-07</t>
  </si>
  <si>
    <t>INV-F01-0053</t>
  </si>
  <si>
    <t>SO-F01-K6-04</t>
  </si>
  <si>
    <t>INV-F01-0054</t>
  </si>
  <si>
    <t>SO-F01-K2-13</t>
  </si>
  <si>
    <t>INV-F01-0055</t>
  </si>
  <si>
    <t>SO-F01-K5-09</t>
  </si>
  <si>
    <t>INV-F01-0057</t>
  </si>
  <si>
    <t>INV-F01-0058</t>
  </si>
  <si>
    <t>SO-F01-K3-05</t>
  </si>
  <si>
    <t>INV-F01-0059</t>
  </si>
  <si>
    <t>SO-F01-K2-14</t>
  </si>
  <si>
    <t>INV-F01-0060</t>
  </si>
  <si>
    <t>SO-F01-K1-08</t>
  </si>
  <si>
    <t>INV-F01-0061</t>
  </si>
  <si>
    <t>INV-F01-0062</t>
  </si>
  <si>
    <t>SO-F01-K1-09</t>
  </si>
  <si>
    <t>INV-F01-0063</t>
  </si>
  <si>
    <t>SO-F01-K5-10</t>
  </si>
  <si>
    <t>INV-F01-0064</t>
  </si>
  <si>
    <t>SO-F01-K2-15</t>
  </si>
  <si>
    <t>INV-F01-0065</t>
  </si>
  <si>
    <t>SO-F01-K5-11</t>
  </si>
  <si>
    <t>INV-F01-0066</t>
  </si>
  <si>
    <t>SO-F01-K1-10</t>
  </si>
  <si>
    <t>INV-F01-0067</t>
  </si>
  <si>
    <t>SO-F01-K7-03</t>
  </si>
  <si>
    <t>INV-F01-0068</t>
  </si>
  <si>
    <t>SO-F01-K1-11</t>
  </si>
  <si>
    <t>SO-F01-K1-12</t>
  </si>
  <si>
    <t>INV-F01-0070</t>
  </si>
  <si>
    <t>SO-F01-K3-06</t>
  </si>
  <si>
    <t>SO-F01-K1-13</t>
  </si>
  <si>
    <t>INV-F01-0072</t>
  </si>
  <si>
    <t>SO-F01-K3-07</t>
  </si>
  <si>
    <t>INV-F01-0073</t>
  </si>
  <si>
    <t>SO-F01-K5-12</t>
  </si>
  <si>
    <t>INV-F01-0074</t>
  </si>
  <si>
    <t>SO-F01-K5-13</t>
  </si>
  <si>
    <t>SO-F01-K1-14</t>
  </si>
  <si>
    <t>SO-F01-K1-15</t>
  </si>
  <si>
    <t>INV-F01-0077</t>
  </si>
  <si>
    <t>SO-F01-K6-05</t>
  </si>
  <si>
    <t>INV-F01-0078</t>
  </si>
  <si>
    <t>SO-F01-K2-16</t>
  </si>
  <si>
    <t>SO-F01-K4-01</t>
  </si>
  <si>
    <t>INV-F01-0080</t>
  </si>
  <si>
    <t>SO-F01-K5-14</t>
  </si>
  <si>
    <t>INV-F01-0081</t>
  </si>
  <si>
    <t>SO-F01-K2-17</t>
  </si>
  <si>
    <t>INV-F01-0082</t>
  </si>
  <si>
    <t>SO-F01-K3-08</t>
  </si>
  <si>
    <t>SO-F01-K1-16</t>
  </si>
  <si>
    <t>INV-F01-0084</t>
  </si>
  <si>
    <t>SO-F01-K1-17</t>
  </si>
  <si>
    <t>INV-F01-0087</t>
  </si>
  <si>
    <t>SO-F01-K2-18</t>
  </si>
  <si>
    <t>SO-F01-K6-06</t>
  </si>
  <si>
    <t>SO-F01-K1-18</t>
  </si>
  <si>
    <t>SO-F01-K1-19</t>
  </si>
  <si>
    <t>INV-F01-0091</t>
  </si>
  <si>
    <t>SO-F01-K2-19</t>
  </si>
  <si>
    <t>SO-F01-K1-20</t>
  </si>
  <si>
    <t>SO-F01-K1-21</t>
  </si>
  <si>
    <t>INV-F01-0095</t>
  </si>
  <si>
    <t>SO-F01-K2-20</t>
  </si>
  <si>
    <t>SO-F01-K3-09</t>
  </si>
  <si>
    <t>SO-F01-K6-07</t>
  </si>
  <si>
    <t>SO-F01-K1-22</t>
  </si>
  <si>
    <t>SO-F01-K6-08</t>
  </si>
  <si>
    <t>SO-F01-K3-10</t>
  </si>
  <si>
    <t>SO-F01-K3-11</t>
  </si>
  <si>
    <t>SO-F01-K2-21</t>
  </si>
  <si>
    <t>SO-F01-K1-23</t>
  </si>
  <si>
    <t>SO-F01-K1-24</t>
  </si>
  <si>
    <t>SO-F01-K4-02</t>
  </si>
  <si>
    <t>SO-F01-K5-15</t>
  </si>
  <si>
    <t>SO-F01-K1-25</t>
  </si>
  <si>
    <t>SO-F01-K2-22</t>
  </si>
  <si>
    <t>SO-F01-K1-26</t>
  </si>
  <si>
    <t>F01 Hóa đơn mua và lịch sử trả tiền</t>
  </si>
  <si>
    <t>bill_id</t>
  </si>
  <si>
    <t>Tên NCC</t>
  </si>
  <si>
    <t>purchase_order</t>
  </si>
  <si>
    <t>Nhóm mua</t>
  </si>
  <si>
    <t>DiscountPct</t>
  </si>
  <si>
    <t>DiscountDays</t>
  </si>
  <si>
    <t>Paid×Delay</t>
  </si>
  <si>
    <t>PaidAmount</t>
  </si>
  <si>
    <t>Essential</t>
  </si>
  <si>
    <t>DiscountEligible</t>
  </si>
  <si>
    <t>DiscountSaving</t>
  </si>
  <si>
    <t>AnnualisedSimpleRate</t>
  </si>
  <si>
    <t>BILL-F01-0001</t>
  </si>
  <si>
    <t>PO-F01-S9-01</t>
  </si>
  <si>
    <t>Phụ liệu theo chỉ định của khách</t>
  </si>
  <si>
    <t>BILL-F01-0002</t>
  </si>
  <si>
    <t>PO-F01-S3-01</t>
  </si>
  <si>
    <t>Phụ liệu chuyên dụng</t>
  </si>
  <si>
    <t>BILL-F01-0003</t>
  </si>
  <si>
    <t>PO-F01-S6-01</t>
  </si>
  <si>
    <t>Tiện ích (điện)</t>
  </si>
  <si>
    <t>BILL-F01-0004</t>
  </si>
  <si>
    <t>PO-F01-S3-02</t>
  </si>
  <si>
    <t>BILL-F01-0005</t>
  </si>
  <si>
    <t>PO-F01-S1-01</t>
  </si>
  <si>
    <t>Phụ liệu bổ sung cho đơn gia công</t>
  </si>
  <si>
    <t>BILL-F01-0006</t>
  </si>
  <si>
    <t>PO-F01-S4-01</t>
  </si>
  <si>
    <t>Vận tải</t>
  </si>
  <si>
    <t>BILL-F01-0007</t>
  </si>
  <si>
    <t>PO-F01-S3-03</t>
  </si>
  <si>
    <t>BILL-F01-0008</t>
  </si>
  <si>
    <t>PO-F01-S3-04</t>
  </si>
  <si>
    <t>BILL-F01-0009</t>
  </si>
  <si>
    <t>PO-F01-S4-02</t>
  </si>
  <si>
    <t>BILL-F01-0010</t>
  </si>
  <si>
    <t>PO-F01-S3-05</t>
  </si>
  <si>
    <t>BILL-F01-0011</t>
  </si>
  <si>
    <t>PO-F01-S2-01</t>
  </si>
  <si>
    <t>Bao bì, phụ liệu đóng gói</t>
  </si>
  <si>
    <t>BILL-F01-0012</t>
  </si>
  <si>
    <t>PO-F01-S3-06</t>
  </si>
  <si>
    <t>BILL-F01-0013</t>
  </si>
  <si>
    <t>PO-F01-S4-03</t>
  </si>
  <si>
    <t>BILL-F01-0014</t>
  </si>
  <si>
    <t>PO-F01-S2-02</t>
  </si>
  <si>
    <t>BILL-F01-0015</t>
  </si>
  <si>
    <t>PO-F01-S4-04</t>
  </si>
  <si>
    <t>BILL-F01-0016</t>
  </si>
  <si>
    <t>PO-F01-S2-03</t>
  </si>
  <si>
    <t>BILL-F01-0017</t>
  </si>
  <si>
    <t>PO-F01-S1-02</t>
  </si>
  <si>
    <t>BILL-F01-0018</t>
  </si>
  <si>
    <t>PO-F01-S6-02</t>
  </si>
  <si>
    <t>BILL-F01-0019</t>
  </si>
  <si>
    <t>PO-F01-S3-07</t>
  </si>
  <si>
    <t>BILL-F01-0020</t>
  </si>
  <si>
    <t>PO-F01-S4-05</t>
  </si>
  <si>
    <t>BILL-F01-0021</t>
  </si>
  <si>
    <t>PO-F01-S8-01</t>
  </si>
  <si>
    <t>Vật tư tiêu hao (kim, dầu máy)</t>
  </si>
  <si>
    <t>BILL-F01-0022</t>
  </si>
  <si>
    <t>PO-F01-S3-08</t>
  </si>
  <si>
    <t>BILL-F01-0023</t>
  </si>
  <si>
    <t>PO-F01-S9-02</t>
  </si>
  <si>
    <t>BILL-F01-0024</t>
  </si>
  <si>
    <t>PO-F01-S2-04</t>
  </si>
  <si>
    <t>BILL-F01-0025</t>
  </si>
  <si>
    <t>PO-F01-S3-09</t>
  </si>
  <si>
    <t>BILL-F01-0026</t>
  </si>
  <si>
    <t>PO-F01-S9-03</t>
  </si>
  <si>
    <t>BILL-F01-0027</t>
  </si>
  <si>
    <t>PO-F01-S1-03</t>
  </si>
  <si>
    <t>BILL-F01-0028</t>
  </si>
  <si>
    <t>PO-F01-S2-05</t>
  </si>
  <si>
    <t>BILL-F01-0029</t>
  </si>
  <si>
    <t>PO-F01-S3-10</t>
  </si>
  <si>
    <t>BILL-F01-0030</t>
  </si>
  <si>
    <t>PO-F01-S4-06</t>
  </si>
  <si>
    <t>BILL-F01-0031</t>
  </si>
  <si>
    <t>PO-F01-S3-11</t>
  </si>
  <si>
    <t>BILL-F01-0032</t>
  </si>
  <si>
    <t>PO-F01-S1-04</t>
  </si>
  <si>
    <t>BILL-F01-0033</t>
  </si>
  <si>
    <t>PO-F01-S2-06</t>
  </si>
  <si>
    <t>BILL-F01-0034</t>
  </si>
  <si>
    <t>PO-F01-S1-05</t>
  </si>
  <si>
    <t>BILL-F01-0035</t>
  </si>
  <si>
    <t>PO-F01-S4-07</t>
  </si>
  <si>
    <t>BILL-F01-0036</t>
  </si>
  <si>
    <t>PO-F01-S6-03</t>
  </si>
  <si>
    <t>BILL-F01-0037</t>
  </si>
  <si>
    <t>PO-F01-S4-08</t>
  </si>
  <si>
    <t>BILL-F01-0038</t>
  </si>
  <si>
    <t>PO-F01-S3-12</t>
  </si>
  <si>
    <t>BILL-F01-0039</t>
  </si>
  <si>
    <t>PO-F01-S4-09</t>
  </si>
  <si>
    <t>BILL-F01-0040</t>
  </si>
  <si>
    <t>PO-F01-S5-01</t>
  </si>
  <si>
    <t>Gia công ngoài (thêu, in)</t>
  </si>
  <si>
    <t>BILL-F01-0041</t>
  </si>
  <si>
    <t>PO-F01-S2-07</t>
  </si>
  <si>
    <t>BILL-F01-0042</t>
  </si>
  <si>
    <t>PO-F01-S4-10</t>
  </si>
  <si>
    <t>BILL-F01-0043</t>
  </si>
  <si>
    <t>PO-F01-S4-11</t>
  </si>
  <si>
    <t>BILL-F01-0044</t>
  </si>
  <si>
    <t>PO-F01-S1-06</t>
  </si>
  <si>
    <t>BILL-F01-0045</t>
  </si>
  <si>
    <t>PO-F01-S3-13</t>
  </si>
  <si>
    <t>BILL-F01-0046</t>
  </si>
  <si>
    <t>PO-F01-S1-07</t>
  </si>
  <si>
    <t>BILL-F01-0047</t>
  </si>
  <si>
    <t>PO-F01-S4-12</t>
  </si>
  <si>
    <t>BILL-F01-0048</t>
  </si>
  <si>
    <t>PO-F01-S9-04</t>
  </si>
  <si>
    <t>BILL-F01-0049</t>
  </si>
  <si>
    <t>PO-F01-S8-02</t>
  </si>
  <si>
    <t>BILL-F01-0050</t>
  </si>
  <si>
    <t>PO-F01-S9-05</t>
  </si>
  <si>
    <t>BILL-F01-0051</t>
  </si>
  <si>
    <t>PO-F01-S4-13</t>
  </si>
  <si>
    <t>BILL-F01-0052</t>
  </si>
  <si>
    <t>PO-F01-S2-08</t>
  </si>
  <si>
    <t>BILL-F01-0053</t>
  </si>
  <si>
    <t>PO-F01-S2-09</t>
  </si>
  <si>
    <t>BILL-F01-0054</t>
  </si>
  <si>
    <t>PO-F01-S4-14</t>
  </si>
  <si>
    <t>BILL-F01-0055</t>
  </si>
  <si>
    <t>PO-F01-S2-10</t>
  </si>
  <si>
    <t>BILL-F01-0056</t>
  </si>
  <si>
    <t>PO-F01-S5-02</t>
  </si>
  <si>
    <t>BILL-F01-0057</t>
  </si>
  <si>
    <t>PO-F01-S1-08</t>
  </si>
  <si>
    <t>BILL-F01-0058</t>
  </si>
  <si>
    <t>PO-F01-S2-11</t>
  </si>
  <si>
    <t>BILL-F01-0059</t>
  </si>
  <si>
    <t>PO-F01-S1-09</t>
  </si>
  <si>
    <t>BILL-F01-0060</t>
  </si>
  <si>
    <t>PO-F01-S6-04</t>
  </si>
  <si>
    <t>BILL-F01-0061</t>
  </si>
  <si>
    <t>PO-F01-S2-12</t>
  </si>
  <si>
    <t>BILL-F01-0062</t>
  </si>
  <si>
    <t>PO-F01-S9-06</t>
  </si>
  <si>
    <t>BILL-F01-0063</t>
  </si>
  <si>
    <t>PO-F01-S3-14</t>
  </si>
  <si>
    <t>BILL-F01-0064</t>
  </si>
  <si>
    <t>PO-F01-S9-07</t>
  </si>
  <si>
    <t>BILL-F01-0065</t>
  </si>
  <si>
    <t>PO-F01-S1-10</t>
  </si>
  <si>
    <t>BILL-F01-0066</t>
  </si>
  <si>
    <t>PO-F01-S4-15</t>
  </si>
  <si>
    <t>BILL-F01-0067</t>
  </si>
  <si>
    <t>PO-F01-S1-11</t>
  </si>
  <si>
    <t>BILL-F01-0068</t>
  </si>
  <si>
    <t>PO-F01-S5-03</t>
  </si>
  <si>
    <t>BILL-F01-0069</t>
  </si>
  <si>
    <t>PO-F01-S8-03</t>
  </si>
  <si>
    <t>BILL-F01-0070</t>
  </si>
  <si>
    <t>PO-F01-S3-15</t>
  </si>
  <si>
    <t>BILL-F01-0071</t>
  </si>
  <si>
    <t>PO-F01-S2-13</t>
  </si>
  <si>
    <t>BILL-F01-0072</t>
  </si>
  <si>
    <t>PO-F01-S1-12</t>
  </si>
  <si>
    <t>BILL-F01-0073</t>
  </si>
  <si>
    <t>PO-F01-S9-08</t>
  </si>
  <si>
    <t>BILL-F01-0074</t>
  </si>
  <si>
    <t>PO-F01-S2-14</t>
  </si>
  <si>
    <t>BILL-F01-0075</t>
  </si>
  <si>
    <t>PO-F01-S3-16</t>
  </si>
  <si>
    <t>BILL-F01-0076</t>
  </si>
  <si>
    <t>PO-F01-S3-17</t>
  </si>
  <si>
    <t>BILL-F01-0077</t>
  </si>
  <si>
    <t>PO-F01-S3-18</t>
  </si>
  <si>
    <t>BILL-F01-0078</t>
  </si>
  <si>
    <t>PO-F01-S4-16</t>
  </si>
  <si>
    <t>PO-F01-S2-15</t>
  </si>
  <si>
    <t>PO-F01-S2-16</t>
  </si>
  <si>
    <t>BILL-F01-0081</t>
  </si>
  <si>
    <t>PO-F01-S3-19</t>
  </si>
  <si>
    <t>BILL-F01-0082</t>
  </si>
  <si>
    <t>PO-F01-S5-04</t>
  </si>
  <si>
    <t>BILL-F01-0083</t>
  </si>
  <si>
    <t>PO-F01-S1-13</t>
  </si>
  <si>
    <t>BILL-F01-0084</t>
  </si>
  <si>
    <t>PO-F01-S6-05</t>
  </si>
  <si>
    <t>PO-F01-S8-04</t>
  </si>
  <si>
    <t>PO-F01-S2-17</t>
  </si>
  <si>
    <t>BILL-F01-0087</t>
  </si>
  <si>
    <t>PO-F01-S4-17</t>
  </si>
  <si>
    <t>BILL-F01-0088</t>
  </si>
  <si>
    <t>PO-F01-S9-09</t>
  </si>
  <si>
    <t>BILL-F01-0089</t>
  </si>
  <si>
    <t>PO-F01-S1-14</t>
  </si>
  <si>
    <t>BILL-F01-0090</t>
  </si>
  <si>
    <t>PO-F01-S3-20</t>
  </si>
  <si>
    <t>BILL-F01-0091</t>
  </si>
  <si>
    <t>PO-F01-S1-15</t>
  </si>
  <si>
    <t>PO-F01-S2-18</t>
  </si>
  <si>
    <t>BILL-F01-0093</t>
  </si>
  <si>
    <t>PO-F01-S1-16</t>
  </si>
  <si>
    <t>BILL-F01-0094</t>
  </si>
  <si>
    <t>PO-F01-S7-01</t>
  </si>
  <si>
    <t>Vải phụ trợ</t>
  </si>
  <si>
    <t>BILL-F01-0095</t>
  </si>
  <si>
    <t>PO-F01-S1-17</t>
  </si>
  <si>
    <t>BILL-F01-0096</t>
  </si>
  <si>
    <t>PO-F01-S9-10</t>
  </si>
  <si>
    <t>BILL-F01-0097</t>
  </si>
  <si>
    <t>PO-F01-S3-21</t>
  </si>
  <si>
    <t>BILL-F01-0098</t>
  </si>
  <si>
    <t>PO-F01-S4-18</t>
  </si>
  <si>
    <t>BILL-F01-0099</t>
  </si>
  <si>
    <t>PO-F01-S9-11</t>
  </si>
  <si>
    <t>BILL-F01-0100</t>
  </si>
  <si>
    <t>PO-F01-S3-22</t>
  </si>
  <si>
    <t>BILL-F01-0101</t>
  </si>
  <si>
    <t>PO-F01-S4-19</t>
  </si>
  <si>
    <t>BILL-F01-0102</t>
  </si>
  <si>
    <t>PO-F01-S4-20</t>
  </si>
  <si>
    <t>BILL-F01-0103</t>
  </si>
  <si>
    <t>PO-F01-S5-05</t>
  </si>
  <si>
    <t>BILL-F01-0104</t>
  </si>
  <si>
    <t>PO-F01-S1-18</t>
  </si>
  <si>
    <t>PO-F01-S2-19</t>
  </si>
  <si>
    <t>PO-F01-S2-20</t>
  </si>
  <si>
    <t>BILL-F01-0107</t>
  </si>
  <si>
    <t>PO-F01-S6-06</t>
  </si>
  <si>
    <t>BILL-F01-0108</t>
  </si>
  <si>
    <t>PO-F01-S9-12</t>
  </si>
  <si>
    <t>PO-F01-S2-21</t>
  </si>
  <si>
    <t>BILL-F01-0110</t>
  </si>
  <si>
    <t>PO-F01-S4-21</t>
  </si>
  <si>
    <t>BILL-F01-0111</t>
  </si>
  <si>
    <t>PO-F01-S3-23</t>
  </si>
  <si>
    <t>PO-F01-S8-05</t>
  </si>
  <si>
    <t>BILL-F01-0113</t>
  </si>
  <si>
    <t>PO-F01-S4-22</t>
  </si>
  <si>
    <t>PO-F01-S1-19</t>
  </si>
  <si>
    <t>PO-F01-S7-02</t>
  </si>
  <si>
    <t>PO-F01-S3-24</t>
  </si>
  <si>
    <t>PO-F01-S5-06</t>
  </si>
  <si>
    <t>BILL-F01-0118</t>
  </si>
  <si>
    <t>PO-F01-S1-20</t>
  </si>
  <si>
    <t>PO-F01-S3-25</t>
  </si>
  <si>
    <t>PO-F01-S9-13</t>
  </si>
  <si>
    <t>PO-F01-S1-21</t>
  </si>
  <si>
    <t>PO-F01-S4-23</t>
  </si>
  <si>
    <t>PO-F01-S1-22</t>
  </si>
  <si>
    <t>PO-F01-S4-24</t>
  </si>
  <si>
    <t>PO-F01-S2-22</t>
  </si>
  <si>
    <t>PO-F01-S3-26</t>
  </si>
  <si>
    <t>PO-F01-S9-14</t>
  </si>
  <si>
    <t>F01 Tồn kho theo lô và quyền sở hữu</t>
  </si>
  <si>
    <t>lot_id</t>
  </si>
  <si>
    <t>Mặt hàng / lô</t>
  </si>
  <si>
    <t>Type</t>
  </si>
  <si>
    <t>Owner</t>
  </si>
  <si>
    <t>Supplier</t>
  </si>
  <si>
    <t>Order</t>
  </si>
  <si>
    <t>OrderStatus</t>
  </si>
  <si>
    <t>ReceivedDate</t>
  </si>
  <si>
    <t>Qty</t>
  </si>
  <si>
    <t>Unit</t>
  </si>
  <si>
    <t>UnitCost</t>
  </si>
  <si>
    <t>Pledged</t>
  </si>
  <si>
    <t>Age</t>
  </si>
  <si>
    <t>BookValue</t>
  </si>
  <si>
    <t>OwnedValue</t>
  </si>
  <si>
    <t>SlowDays</t>
  </si>
  <si>
    <t>SlowFlag</t>
  </si>
  <si>
    <t>SlowOrCancelled</t>
  </si>
  <si>
    <t>DIOContribution</t>
  </si>
  <si>
    <t>L01</t>
  </si>
  <si>
    <t>Phụ liệu chính đơn CMT-0826</t>
  </si>
  <si>
    <t>NVL</t>
  </si>
  <si>
    <t>SO-CMT-0826</t>
  </si>
  <si>
    <t>Đang hoạt động</t>
  </si>
  <si>
    <t>m</t>
  </si>
  <si>
    <t>L02</t>
  </si>
  <si>
    <t>Phụ liệu lót đơn CMT-0826</t>
  </si>
  <si>
    <t>L03</t>
  </si>
  <si>
    <t>Vải kaki tồn từ mùa trước</t>
  </si>
  <si>
    <t>Không gắn đơn</t>
  </si>
  <si>
    <t>L04</t>
  </si>
  <si>
    <t>Vải ren – lụa mua thử (lô cũ nhất)</t>
  </si>
  <si>
    <t>L05</t>
  </si>
  <si>
    <t>Phụ liệu chuyên dụng (chỉ, nút, khóa)</t>
  </si>
  <si>
    <t>bộ</t>
  </si>
  <si>
    <t>L06</t>
  </si>
  <si>
    <t>Phụ liệu đơn hàng bị hủy mùa Hè</t>
  </si>
  <si>
    <t>SO-CAN-0604</t>
  </si>
  <si>
    <t>Đã hủy</t>
  </si>
  <si>
    <t>L07</t>
  </si>
  <si>
    <t>Bao bì carton, túi PE</t>
  </si>
  <si>
    <t>cái</t>
  </si>
  <si>
    <t>L08</t>
  </si>
  <si>
    <t>Nhãn dệt, thẻ bài đã đổi thiết kế</t>
  </si>
  <si>
    <t>SO-K3-0708</t>
  </si>
  <si>
    <t>Thay đổi thiết kế</t>
  </si>
  <si>
    <t>L09</t>
  </si>
  <si>
    <t>BTP đã cắt chờ may – đơn CMT-0826</t>
  </si>
  <si>
    <t>BTP</t>
  </si>
  <si>
    <t>L10</t>
  </si>
  <si>
    <t>BTP chờ kiểm QC, sửa lỗi</t>
  </si>
  <si>
    <t>SO-K5-0814</t>
  </si>
  <si>
    <t>L11</t>
  </si>
  <si>
    <t>BTP đang may – đơn K2</t>
  </si>
  <si>
    <t>SO-K2-0919</t>
  </si>
  <si>
    <t>L12</t>
  </si>
  <si>
    <t>Thành phẩm chờ xuất – đơn K2</t>
  </si>
  <si>
    <t>TP</t>
  </si>
  <si>
    <t>SO-K2-0914</t>
  </si>
  <si>
    <t>L13</t>
  </si>
  <si>
    <t>Thành phẩm đơn K1 – khách chậm nhận hàng</t>
  </si>
  <si>
    <t>SO-K1-0818</t>
  </si>
  <si>
    <t>L14</t>
  </si>
  <si>
    <t>Thành phẩm lỗi mẫu chờ xử lý</t>
  </si>
  <si>
    <t>SO-K5-0701</t>
  </si>
  <si>
    <t>L15</t>
  </si>
  <si>
    <t>Vải mua về để bán lại (đầu cuộn)</t>
  </si>
  <si>
    <t>HH</t>
  </si>
  <si>
    <t>L16</t>
  </si>
  <si>
    <t>Phụ liệu mua bán lại cho khách K3</t>
  </si>
  <si>
    <t>SO-K3-0912</t>
  </si>
  <si>
    <t>L17</t>
  </si>
  <si>
    <t>Vải của K1 giao để gia công</t>
  </si>
  <si>
    <t>HGC</t>
  </si>
  <si>
    <t>SO-K1-0911</t>
  </si>
  <si>
    <t>L18</t>
  </si>
  <si>
    <t>Vải của K2 giao để gia công</t>
  </si>
  <si>
    <t>SO-K2-0915</t>
  </si>
  <si>
    <t>L19</t>
  </si>
  <si>
    <t>Phụ liệu K3 giao kèm</t>
  </si>
  <si>
    <t>L20</t>
  </si>
  <si>
    <t>Chỉ may &amp; khóa kéo (tiêu hao hằng ngày)</t>
  </si>
  <si>
    <t>cuộn</t>
  </si>
  <si>
    <t>L21</t>
  </si>
  <si>
    <t>Vải lót mùa thu (tuổi &lt; ngưỡng nhưng dùng chậm)</t>
  </si>
  <si>
    <t>L22</t>
  </si>
  <si>
    <t>Vải bộ sưu tập cũ không còn đơn</t>
  </si>
  <si>
    <t>SO-OLD-0405</t>
  </si>
  <si>
    <t>Hoàn tất</t>
  </si>
  <si>
    <t>L23</t>
  </si>
  <si>
    <t>Keo, nhãn dệt (tồn an toàn)</t>
  </si>
  <si>
    <t>kg</t>
  </si>
  <si>
    <t>L24</t>
  </si>
  <si>
    <t>Thân áo cắt sẵn chờ may (K2)</t>
  </si>
  <si>
    <t>SO-K2-0922</t>
  </si>
  <si>
    <t>L25</t>
  </si>
  <si>
    <t>Áo may xong chờ thêu (tuổi &lt; ngưỡng, ùn)</t>
  </si>
  <si>
    <t>L26</t>
  </si>
  <si>
    <t>Áo thun basic tồn sẵn bán nhanh</t>
  </si>
  <si>
    <t>SO-STOCK-01</t>
  </si>
  <si>
    <t>L27</t>
  </si>
  <si>
    <t>Thành phẩm bộ sưu tập mùa trước</t>
  </si>
  <si>
    <t>SO-OLD-0302</t>
  </si>
  <si>
    <t>L28</t>
  </si>
  <si>
    <t>Thành phẩm chờ giao K2</t>
  </si>
  <si>
    <t>SO-K2-0925</t>
  </si>
  <si>
    <t>L29</t>
  </si>
  <si>
    <t>Phụ kiện mua về bán lại</t>
  </si>
  <si>
    <t>SO-STOCK-02</t>
  </si>
  <si>
    <t>L30</t>
  </si>
  <si>
    <t>Hàng hóa lỗi mốt</t>
  </si>
  <si>
    <t>SO-OLD-0210</t>
  </si>
  <si>
    <t>L31</t>
  </si>
  <si>
    <t>Thành phẩm sát ngưỡng 30 ngày (28 ngày)</t>
  </si>
  <si>
    <t>SO-STOCK-03</t>
  </si>
  <si>
    <t>L32</t>
  </si>
  <si>
    <t>Vải đúng ngưỡng 60 ngày (không &gt; 60)</t>
  </si>
  <si>
    <t>SO-CMT-0701</t>
  </si>
  <si>
    <t>L33</t>
  </si>
  <si>
    <t>Thành phẩm đã cầm cố, luân chuyển tốt</t>
  </si>
  <si>
    <t>SO-STOCK-04</t>
  </si>
  <si>
    <t>Lịch tương lai bổ sung cho UC02</t>
  </si>
  <si>
    <t>firm</t>
  </si>
  <si>
    <t>date</t>
  </si>
  <si>
    <t>amount_vnd</t>
  </si>
  <si>
    <t>certainty</t>
  </si>
  <si>
    <t>invoice_ref</t>
  </si>
  <si>
    <t>counterparty</t>
  </si>
  <si>
    <t>source_type</t>
  </si>
  <si>
    <t>confirmed</t>
  </si>
  <si>
    <t>ELEC-F01-0003</t>
  </si>
  <si>
    <t>D_purchases</t>
  </si>
  <si>
    <t>TRANS-F01-0006</t>
  </si>
  <si>
    <t>TRANS-F01-0009</t>
  </si>
  <si>
    <t>TRANS-F01-0013</t>
  </si>
  <si>
    <t>TRANS-F01-0015</t>
  </si>
  <si>
    <t>ELEC-F01-0018</t>
  </si>
  <si>
    <t>TRANS-F01-0020</t>
  </si>
  <si>
    <t>TRANS-F01-0030</t>
  </si>
  <si>
    <t>TRANS-F01-0035</t>
  </si>
  <si>
    <t>ELEC-F01-0036</t>
  </si>
  <si>
    <t>TRANS-F01-0037</t>
  </si>
  <si>
    <t>TRANS-F01-0039</t>
  </si>
  <si>
    <t>TRANS-F01-0042</t>
  </si>
  <si>
    <t>TRANS-F01-0043</t>
  </si>
  <si>
    <t>TRANS-F01-0047</t>
  </si>
  <si>
    <t>TRANS-F01-0051</t>
  </si>
  <si>
    <t>TRANS-F01-0054</t>
  </si>
  <si>
    <t>ELEC-F01-0060</t>
  </si>
  <si>
    <t>TRANS-F01-0066</t>
  </si>
  <si>
    <t>TRANS-F01-0078</t>
  </si>
  <si>
    <t>ELEC-F01-0084</t>
  </si>
  <si>
    <t>TRANS-F01-0087</t>
  </si>
  <si>
    <t>TRANS-F01-0098</t>
  </si>
  <si>
    <t>TRANS-F01-0101</t>
  </si>
  <si>
    <t>TRANS-F01-0102</t>
  </si>
  <si>
    <t>ELEC-F01-0107</t>
  </si>
  <si>
    <t>TRANS-F01-0110</t>
  </si>
  <si>
    <t>TRANS-F01-0113</t>
  </si>
  <si>
    <t>TRANS-F01-0122</t>
  </si>
  <si>
    <t>TRANS-F01-0124</t>
  </si>
  <si>
    <t>Dòng 16-45: 30 hóa đơn "Tiện ích (điện)" (6) và "Vận tải" (24) lấy từ D_purchases bằng công thức tham chiếu. Ngày = PaidDate nếu đã trả, chưa trả thì dùng DueDate (certainty = estimated). Khi đưa vào F01_UC2 (dòng 312-341): hóa đơn đã trả là quá khứ nên không cộng; hóa đơn chưa trả đã có ở dòng PAY-BILL nên không cộng lần nữa.</t>
  </si>
  <si>
    <t>Lịch xác nhận riêng cho hóa đơn (thay ngày, không tạo thêm tiền)</t>
  </si>
  <si>
    <t>Source</t>
  </si>
  <si>
    <t>Hợp đồng kết quả để phát triển AI Agent</t>
  </si>
  <si>
    <t>UC</t>
  </si>
  <si>
    <t>Đường dẫn trường</t>
  </si>
  <si>
    <t>Kiểu / đơn vị</t>
  </si>
  <si>
    <t>Nội dung và yêu cầu</t>
  </si>
  <si>
    <t>Chung</t>
  </si>
  <si>
    <t>run_id, snapshot_id, formula_version, threshold_version</t>
  </si>
  <si>
    <t>string</t>
  </si>
  <si>
    <t>Cùng snapshot cho UC01, UC02 và ma trận.</t>
  </si>
  <si>
    <t>status, assumptions[], missing_fields[]</t>
  </si>
  <si>
    <t>enum, list</t>
  </si>
  <si>
    <t>provisional cho dữ liệu giả lập; missing không phải 0.</t>
  </si>
  <si>
    <t>facts[]</t>
  </si>
  <si>
    <t>object[]</t>
  </si>
  <si>
    <t>fact_id, value_raw, value_display, unit, entity_id, source_refs, formula_id, scenario, date.</t>
  </si>
  <si>
    <t>UC01</t>
  </si>
  <si>
    <t>inputs.period_start, period_end, N</t>
  </si>
  <si>
    <t>date, int</t>
  </si>
  <si>
    <t>01/01/2026;20/06/2026;171.</t>
  </si>
  <si>
    <t>metrics.AR, INV_owned, AP, TWC</t>
  </si>
  <si>
    <t>Nêu đầy đủ cả ba cấu phần và phần ròng; hàng khách hàng loại riêng.</t>
  </si>
  <si>
    <t>metrics.DSO,DIO,DPO,CCC</t>
  </si>
  <si>
    <t>Raw chưa làm tròn, display 1 chữ số thập phân.</t>
  </si>
  <si>
    <t>thresholds.applied, source, basis_mismatch</t>
  </si>
  <si>
    <t>object</t>
  </si>
  <si>
    <t>CMT nhỏ–vừa, điều tiết, phiên bản, nguồn owner_policy/reference/demo.</t>
  </si>
  <si>
    <t>classification.wc_class, rule_ids, materiality</t>
  </si>
  <si>
    <t>enum, list, ratio</t>
  </si>
  <si>
    <t>W theo B4, quy tắc kích hoạt và tỷ lệ trọng yếu.</t>
  </si>
  <si>
    <t>receivables[]</t>
  </si>
  <si>
    <t>Khách, số dư, tỷ trọng, quá hạn 1–30/31–60/&gt;60, maxDPD, DSOContribution, DelaySigned/Positive, history_count.</t>
  </si>
  <si>
    <t>inventory[]</t>
  </si>
  <si>
    <t>Lô, tên, quyền sở hữu, giá trị, ngày đã lưu kho, đơn hủy, DIOContribution, thứ hạng lâu nhất và lớn nhất.</t>
  </si>
  <si>
    <t>payables[]</t>
  </si>
  <si>
    <t>NCC, phải trả, quá hạn và nhóm ngày, thiết yếu, kỳ hạn, DPOContribution; không suy ngừng cung ứng.</t>
  </si>
  <si>
    <t>findings[], main_bottleneck, money_at_risk</t>
  </si>
  <si>
    <t>Có mã finding và căn cứ; không thay thành kế hoạch hành động.</t>
  </si>
  <si>
    <t>narrative.sections</t>
  </si>
  <si>
    <t>4 phần</t>
  </si>
  <si>
    <t>Tổng quan → Phải thu → Tồn kho → Phải trả; kết thúc bằng điểm nghẽn và giới hạn.</t>
  </si>
  <si>
    <t>UC02</t>
  </si>
  <si>
    <t>scope.Start, End, H, mode, scenario</t>
  </si>
  <si>
    <t>dates, enum</t>
  </si>
  <si>
    <t>21/06–19/09/2026; H13; run_off hoặc continuing.</t>
  </si>
  <si>
    <t>cash0, reserve.rmin,rtarget,rupper, source</t>
  </si>
  <si>
    <t>VND, enum</t>
  </si>
  <si>
    <t>Tiền khả dụng tại chốt; dự trữ không đồng nghĩa dòng tiền chi.</t>
  </si>
  <si>
    <t>events[]</t>
  </si>
  <si>
    <t>source_id, portion_id, counterparty, amount, direction, date, date_method, known_at, censored_count, finding_refs.</t>
  </si>
  <si>
    <t>daily[], weekly[], fortnightly[]</t>
  </si>
  <si>
    <t>Số dư đầu/cuối, thu/chi, MinDaily, GapBuffer, GapZero, GapRatio, màu; đúng grain.</t>
  </si>
  <si>
    <t>summary.first_below_target,first_negative,minimum,peak_gap</t>
  </si>
  <si>
    <t>date, VND</t>
  </si>
  <si>
    <t>Ngày không có sự kiện là null; mức thiếu không cộng qua ngày.</t>
  </si>
  <si>
    <t>cash0_need.target,zero,additional</t>
  </si>
  <si>
    <t>Cần tổng tiền đầu kỳ và cần bổ sung là hai số riêng.</t>
  </si>
  <si>
    <t>episodes[]</t>
  </si>
  <si>
    <t>Ngày đầu/cuối, số ngày, đáy, peak, ngày phục hồi nullable, ongoing.</t>
  </si>
  <si>
    <t>drivers[]</t>
  </si>
  <si>
    <t>Lũy kế thu/chi khớp CashAtLow; top khoản chi và thu dự kiến sau ngày đáy.</t>
  </si>
  <si>
    <t>TH, reserve_surplus_reference, matrix_case_id</t>
  </si>
  <si>
    <t>enum,bool</t>
  </si>
  <si>
    <t>TH chính thức theo Base; run-off dư chỉ tham chiếu. unknown không gán ô.</t>
  </si>
  <si>
    <t>Tổng quan → Giai đoạn đáng chú ý → Thu chi góp phần → Giả định và giới hạn.</t>
  </si>
  <si>
    <t>gap_request</t>
  </si>
  <si>
    <t>Ngày cần, peak, ngày peak, NeedTarget, episodes, finding_refs, run/snapshot/version; không là quyết định tín dụng.</t>
  </si>
  <si>
    <t>Mẫu diễn giải tiếng Anh</t>
  </si>
  <si>
    <t>Nguồn dữ kiện</t>
  </si>
  <si>
    <t>F01_UC1 B8:B16</t>
  </si>
  <si>
    <t>Số ngày quy đổi cuối kỳ, không phải thời gian thật của từng đồng tiền.</t>
  </si>
  <si>
    <t>F01_UC1 C41:J41</t>
  </si>
  <si>
    <t>Trong câu đầy đủ phải có thêm bucket 1–30/31–60/&gt;60 khi trọng yếu.</t>
  </si>
  <si>
    <t>F01_UC1 B18:B20 và bảng từng lô</t>
  </si>
  <si>
    <t>Không gọi giá trị ghi sổ là tiền thu hồi. UC01 dừng ở chẩn đoán.</t>
  </si>
  <si>
    <t>F01_UC2 B5:B19</t>
  </si>
  <si>
    <t>Cần bổ sung đợt thiếu và các event nguồn trong response hệ thống, không suy luận nguyên nhân chỉ từ CCC.</t>
  </si>
  <si>
    <t>The forecast includes separately identified payroll, tax, rent and debt payments. Receipt dates without confirmation are estimates, and the spread of overdue supplier payments is an unapproved modelling assumption. Inventory values and money_at_risk are not added to cash inflows. Run-off omits new trading activity, while Continuing adds both new receipts and incremental costs. These are synthetic diagnostic estimates, not a credit decision.</t>
  </si>
  <si>
    <t>D_flows; event ledger; T2-06, T2-21</t>
  </si>
  <si>
    <t>Các hướng dẫn đi vay, xử lý hàng hoặc đầu tư thuộc UC03–04.</t>
  </si>
  <si>
    <t>Đối soát số học và tiêu chí nghiệm thu</t>
  </si>
  <si>
    <t>Chỉ tiêu / phép kiểm</t>
  </si>
  <si>
    <t>Giá trị tính</t>
  </si>
  <si>
    <t>Giá trị độc lập</t>
  </si>
  <si>
    <t>Chênh lệch</t>
  </si>
  <si>
    <t>Kết quả</t>
  </si>
  <si>
    <t>N1</t>
  </si>
  <si>
    <t>Tính độc lập từ snapshot 171 ngày</t>
  </si>
  <si>
    <t>N2</t>
  </si>
  <si>
    <t>UC01 B5</t>
  </si>
  <si>
    <t>N3</t>
  </si>
  <si>
    <t>UC01 B6</t>
  </si>
  <si>
    <t>N4</t>
  </si>
  <si>
    <t>UC01 B7</t>
  </si>
  <si>
    <t>N5</t>
  </si>
  <si>
    <t>UC01 B8</t>
  </si>
  <si>
    <t>N6</t>
  </si>
  <si>
    <t>UC01 B9</t>
  </si>
  <si>
    <t>N7</t>
  </si>
  <si>
    <t>UC01 B10</t>
  </si>
  <si>
    <t>N8</t>
  </si>
  <si>
    <t>UC01 B11</t>
  </si>
  <si>
    <t>N9</t>
  </si>
  <si>
    <t>UC01 B12</t>
  </si>
  <si>
    <t>N10</t>
  </si>
  <si>
    <t>UC01 B13</t>
  </si>
  <si>
    <t>N11</t>
  </si>
  <si>
    <t>UC01 B14</t>
  </si>
  <si>
    <t>N12</t>
  </si>
  <si>
    <t>UC01 B15</t>
  </si>
  <si>
    <t>N13</t>
  </si>
  <si>
    <t>UC01 B16</t>
  </si>
  <si>
    <t>N14</t>
  </si>
  <si>
    <t>UC01 B17</t>
  </si>
  <si>
    <t>N15</t>
  </si>
  <si>
    <t>UC01 B18</t>
  </si>
  <si>
    <t>N16</t>
  </si>
  <si>
    <t>UC01 B19</t>
  </si>
  <si>
    <t>N17</t>
  </si>
  <si>
    <t>UC01 B20</t>
  </si>
  <si>
    <t>N18</t>
  </si>
  <si>
    <t>UC01 B21</t>
  </si>
  <si>
    <t>N19</t>
  </si>
  <si>
    <t>UC01 B22</t>
  </si>
  <si>
    <t>N20</t>
  </si>
  <si>
    <t>UC01 B23</t>
  </si>
  <si>
    <t>N21</t>
  </si>
  <si>
    <t>UC01 B24</t>
  </si>
  <si>
    <t>N22</t>
  </si>
  <si>
    <t>UC01 B25</t>
  </si>
  <si>
    <t>N23</t>
  </si>
  <si>
    <t>UC01 B26</t>
  </si>
  <si>
    <t>N24</t>
  </si>
  <si>
    <t>UC01 B27</t>
  </si>
  <si>
    <t>N25</t>
  </si>
  <si>
    <t>UC01 B28</t>
  </si>
  <si>
    <t>N26</t>
  </si>
  <si>
    <t>UC01 B29</t>
  </si>
  <si>
    <t>N27</t>
  </si>
  <si>
    <t>UC01 B30</t>
  </si>
  <si>
    <t>N28</t>
  </si>
  <si>
    <t>UC01 B31</t>
  </si>
  <si>
    <t>N29</t>
  </si>
  <si>
    <t>Khớp số thu lịch sử</t>
  </si>
  <si>
    <t>N30</t>
  </si>
  <si>
    <t>Hàng khách hàng loại</t>
  </si>
  <si>
    <t>N31</t>
  </si>
  <si>
    <t>Ngưỡng DSO tái tạo</t>
  </si>
  <si>
    <t>N32</t>
  </si>
  <si>
    <t>Ngưỡng DIO tái tạo</t>
  </si>
  <si>
    <t>N33</t>
  </si>
  <si>
    <t>Ngưỡng tiền mỏng tái tạo</t>
  </si>
  <si>
    <t>N34</t>
  </si>
  <si>
    <t>Tổng đóng góp DSO</t>
  </si>
  <si>
    <t>N35</t>
  </si>
  <si>
    <t>Tổng đóng góp DPO</t>
  </si>
  <si>
    <t>N36</t>
  </si>
  <si>
    <t>Tổng góp DIO</t>
  </si>
  <si>
    <t>N37</t>
  </si>
  <si>
    <t>Tổng tuổi nợ AR</t>
  </si>
  <si>
    <t>N38</t>
  </si>
  <si>
    <t>Tổng tuổi nợ AP</t>
  </si>
  <si>
    <t>N39</t>
  </si>
  <si>
    <t>Cộng tuần đúng cộng ngày</t>
  </si>
  <si>
    <t>N40</t>
  </si>
  <si>
    <t>Tiền cuối khớp lũy kế</t>
  </si>
  <si>
    <t>MinCash kỳ vọng</t>
  </si>
  <si>
    <t>PeakBuffer kỳ vọng</t>
  </si>
  <si>
    <t>NeedTarget kỳ vọng</t>
  </si>
  <si>
    <t>TH tham chiếu</t>
  </si>
  <si>
    <t>Cơ sở</t>
  </si>
  <si>
    <t>Base</t>
  </si>
  <si>
    <t>TH01</t>
  </si>
  <si>
    <t>Oracle của snapshot phát hành; không là bảng so sánh live</t>
  </si>
  <si>
    <t>Optimistic</t>
  </si>
  <si>
    <t>Conservative</t>
  </si>
  <si>
    <t>Stress7</t>
  </si>
  <si>
    <t>Continuing</t>
  </si>
  <si>
    <t>Nội dung cần kiểm</t>
  </si>
  <si>
    <t>Kết quả phải có</t>
  </si>
  <si>
    <t>Loại kiểm thử</t>
  </si>
  <si>
    <t>A01</t>
  </si>
  <si>
    <t>Rev=0 / COGS=0</t>
  </si>
  <si>
    <t>Chỉ tỷ số phụ thuộc not_applicable; giữ số dư tính được; W unknown nếu core không đáp ứng.</t>
  </si>
  <si>
    <t>Acceptance backend</t>
  </si>
  <si>
    <t>A02</t>
  </si>
  <si>
    <t>Nguồn hóa đơn tồn tại nhưng không có dư mở</t>
  </si>
  <si>
    <t>AR hoặc AP=0 hợp lệ, không nhầm missing.</t>
  </si>
  <si>
    <t>A03</t>
  </si>
  <si>
    <t>Thiếu quyền sở hữu lô</t>
  </si>
  <si>
    <t>Không tự tính thuộc F01; missing_data và số tiền chưa phân loại.</t>
  </si>
  <si>
    <t>A04</t>
  </si>
  <si>
    <t>Thiếu due_date</t>
  </si>
  <si>
    <t>Giữ số dư, bucket unknown; không tự xếp quá hạn.</t>
  </si>
  <si>
    <t>A05</t>
  </si>
  <si>
    <t>Hóa đơn trùng ID / paid trước issue</t>
  </si>
  <si>
    <t>invalid_data; trả dòng lỗi, không chạy forecast giả.</t>
  </si>
  <si>
    <t>A06</t>
  </si>
  <si>
    <t>Thanh toán từng phần</t>
  </si>
  <si>
    <t>Tính theo allocation đến AsOf, không dùng full_amount hai lần.</t>
  </si>
  <si>
    <t>A07</t>
  </si>
  <si>
    <t>PaidDate tương lai</t>
  </si>
  <si>
    <t>Không dùng làm lịch sử quan sát; dùng lịch xác nhận riêng KnownAt≤AsOf.</t>
  </si>
  <si>
    <t>A08</t>
  </si>
  <si>
    <t>Thiếu Rtarget và TTM</t>
  </si>
  <si>
    <t>missing_data, không gán màu, TH unknown.</t>
  </si>
  <si>
    <t>A09</t>
  </si>
  <si>
    <t>Rmin&gt;Rtarget / Rtarget≥Rupper / Rtarget=0</t>
  </si>
  <si>
    <t>invalid_request; không chia 0 hay hiển thị xanh.</t>
  </si>
  <si>
    <t>A10</t>
  </si>
  <si>
    <t>20%, 50%, Cash=Rmin, Cash&lt;Rmin</t>
  </si>
  <si>
    <t>20% Vàng;50% Cam nếu không có điều kiện Đỏ; bằng Rmin không Đỏ do sàn.</t>
  </si>
  <si>
    <t>Có kiểm tra số học tại Kiem_thu</t>
  </si>
  <si>
    <t>A11</t>
  </si>
  <si>
    <t>Thu xác nhận dưới Stress7</t>
  </si>
  <si>
    <t>Giữ ngày xác nhận; chỉ dời thu ước tính.</t>
  </si>
  <si>
    <t>Có kiểm tra snapshot</t>
  </si>
  <si>
    <t>A12</t>
  </si>
  <si>
    <t>Hai plans cùng nguồn hóa đơn</t>
  </si>
  <si>
    <t>Không cộng trùng source/portion.</t>
  </si>
  <si>
    <t>A13</t>
  </si>
  <si>
    <t>Một đợt dư 14 ngày cắt qua hai khối</t>
  </si>
  <si>
    <t>TH03 nếu không ngày thiếu; không bắt buộc trùng một khối.</t>
  </si>
  <si>
    <t>Có kiểm tra logic số học</t>
  </si>
  <si>
    <t>A14</t>
  </si>
  <si>
    <t>Số dư cuối tuần đủ nhưng giữa tuần thiếu</t>
  </si>
  <si>
    <t>Cuối tuần và MinDaily có nhãn riêng.</t>
  </si>
  <si>
    <t>Có kiểm tra daily/weekly</t>
  </si>
  <si>
    <t>A15</t>
  </si>
  <si>
    <t>W0 nhưng UC02 thiếu</t>
  </si>
  <si>
    <t>M1 không chứng minh thiếu chỉ do lệch lịch.</t>
  </si>
  <si>
    <t>A16</t>
  </si>
  <si>
    <t>W hoặc TH snapshot khác</t>
  </si>
  <si>
    <t>Không ghép ô; chạy lại cùng snapshot hoặc unknown.</t>
  </si>
  <si>
    <t>A17</t>
  </si>
  <si>
    <t>Continuing không có chi tăng thêm</t>
  </si>
  <si>
    <t>Kịch bản không đủ dữ liệu, không phát hành chỉ có thu.</t>
  </si>
  <si>
    <t>A18</t>
  </si>
  <si>
    <t>Open mẫu quá hạn 60 ngày</t>
  </si>
  <si>
    <t>Là cận dưới 60, không gọi trả chậm xong 60 ngày.</t>
  </si>
  <si>
    <t>A19</t>
  </si>
  <si>
    <t>Dữ liệu thay sau khi tính</t>
  </si>
  <si>
    <t>Đánh dấu stale, không ghép facts cũ vào lời giải thích mới.</t>
  </si>
  <si>
    <t>A20</t>
  </si>
  <si>
    <t>Diễn giải có số ngoài facts</t>
  </si>
  <si>
    <t>Chặn, viết lại một lần, fallback mẫu tất định.</t>
  </si>
  <si>
    <t>Ca</t>
  </si>
  <si>
    <t>CashEnd</t>
  </si>
  <si>
    <t>Mức tính</t>
  </si>
  <si>
    <t>Mức kỳ vọng</t>
  </si>
  <si>
    <t>B1</t>
  </si>
  <si>
    <t>B2</t>
  </si>
  <si>
    <t>B3</t>
  </si>
  <si>
    <t>B4</t>
  </si>
  <si>
    <t>B5</t>
  </si>
  <si>
    <t>B6</t>
  </si>
  <si>
    <t>B7</t>
  </si>
  <si>
    <t>B8</t>
  </si>
  <si>
    <t>W</t>
  </si>
  <si>
    <t>TH</t>
  </si>
  <si>
    <t>Ô tính</t>
  </si>
  <si>
    <t>Ô kỳ vọng</t>
  </si>
  <si>
    <t>M1</t>
  </si>
  <si>
    <t>TH02</t>
  </si>
  <si>
    <t>M2</t>
  </si>
  <si>
    <t>TH03</t>
  </si>
  <si>
    <t>M3</t>
  </si>
  <si>
    <t>M4</t>
  </si>
  <si>
    <t>M5</t>
  </si>
  <si>
    <t>M6</t>
  </si>
  <si>
    <t>M7</t>
  </si>
  <si>
    <t>M8</t>
  </si>
  <si>
    <t>M9</t>
  </si>
  <si>
    <t>MaxSurplusStreak</t>
  </si>
  <si>
    <t>TH tính</t>
  </si>
  <si>
    <t>TH kỳ vọng</t>
  </si>
  <si>
    <t>TH1</t>
  </si>
  <si>
    <t>TH2</t>
  </si>
  <si>
    <t>TH3</t>
  </si>
  <si>
    <t>Ngày trong kỳ</t>
  </si>
  <si>
    <t>Số dư</t>
  </si>
  <si>
    <t>Chuỗi ngày dư</t>
  </si>
  <si>
    <t>Chuỗi 14 ngày cắt hai khối</t>
  </si>
  <si>
    <t>Dòng 5–15 được bổ sung để kiểm thử, không suy ra từ báo cáo tài chính hoặc lịch sử giao dịch. Dòng 16–45 (30 hóa đơn điện và vận tải) lấy từ D_purchases bằng công thức tham chiếu. Lương và thuê là phần cố định; continuing chỉ cộng chi tăng thêm theo tỷ lệ 45%.</t>
  </si>
  <si>
    <t>UC03 So khớp phương án tài trợ</t>
  </si>
  <si>
    <t>T3-01</t>
  </si>
  <si>
    <t>01. Khoảng thiếu và đợt cần tiền</t>
  </si>
  <si>
    <t>Mức thiếu theo khối 2 tuần</t>
  </si>
  <si>
    <t>Cho biết mỗi khối 2 tuần thiếu bao nhiêu so với mức dự trữ muốn giữ.</t>
  </si>
  <si>
    <t>Deficit_k = MAX(0; Rtarget − MinDaily_k)
k = khối 2 tuần liên tiếp trong 13 tuần</t>
  </si>
  <si>
    <t>UC02: Rtarget; MinDaily theo khối (T2-13)</t>
  </si>
  <si>
    <t>Kịch bản Base; chỉ khối có ít nhất một ngày CashEnd &lt; Rtarget mới tính là có thiếu.</t>
  </si>
  <si>
    <t>Không cộng Deficit_k qua các khối. Chưa phải số tiền cần vay.</t>
  </si>
  <si>
    <t>T3-02</t>
  </si>
  <si>
    <t>Ngưỡng đổi mức và mức trọng yếu</t>
  </si>
  <si>
    <t>Lọc nhiễu: chỉ coi là đổi mức khi chênh lệch đủ lớn và giữ đủ lâu.</t>
  </si>
  <si>
    <t>θ = Rtarget × PARAM_THETA_PCT
Is_Material_Gap = 1 nếu |ΔDeficit| ≥ θ VÀ mức mới giữ ≥ PARAM_MIN_DAYS ngày; ngược lại 0</t>
  </si>
  <si>
    <t>T3-01; PARAM_THETA_PCT (25%); PARAM_MIN_DAYS (14)</t>
  </si>
  <si>
    <t>So hai khối liền kề; mức không giữ đủ 14 ngày gộp vào mức trước.</t>
  </si>
  <si>
    <t>VND; ngày</t>
  </si>
  <si>
    <t>Dao động nhỏ hoặc xen kẽ bị coi là nhiễu, không tạo đợt mới.</t>
  </si>
  <si>
    <t>T3-03</t>
  </si>
  <si>
    <t>Dạng khoảng thiếu (gap_shape)</t>
  </si>
  <si>
    <t>Phân loại đường thiếu theo số lần đổi mức: tối đa một lần.</t>
  </si>
  <si>
    <t>Đếm n = số lần Is_Material_Gap = 1 trong kỳ
n = 0 → đồng đều
n = 1 và mức tăng → tăng một lần
n = 1 và mức giảm → giảm một lần
n ≥ 2 → không phân loại được</t>
  </si>
  <si>
    <t>Chỉ phân loại đầy đủ ở TH01; TH02 và TH03 dùng để mô tả.</t>
  </si>
  <si>
    <t>enum</t>
  </si>
  <si>
    <t>n ≥ 2: dùng mức thiếu lớn nhất cho cả kỳ và gắn cờ REVIEW_MANUAL. Không mô hình hóa bật tắt xen kẽ.</t>
  </si>
  <si>
    <t>T3-04</t>
  </si>
  <si>
    <t>Cắt đợt cần tiền (gap_request)</t>
  </si>
  <si>
    <t>Đổi đường thiếu thành tối đa 2 đợt có ngày và số tiền cần.</t>
  </si>
  <si>
    <t>Đồng đều hoặc giảm một lần: 1 đợt; need_date = ngày đầu CashEnd &lt; Rtarget; G_cum = mức thiếu lớn nhất
Tăng một lần: 2 đợt; đợt 1 = mức thấp tại ngày đầu thiếu; đợt 2 = lũy kế mức cao tại ngày chuyển mức
G_incr_j = G_cum_j − G_cum_(j−1)</t>
  </si>
  <si>
    <t>UC02: gap_shape, gap_request; T3-03</t>
  </si>
  <si>
    <t>Mỗi đợt có need_date và G_cum; G_incr đợt 1 = G_cum đợt 1.</t>
  </si>
  <si>
    <t>Giảm một lần: kỳ hạn chỉ cần phủ đến ngày chuyển mức. Hóa đơn hoặc lô đã dùng ở đợt 1 bị loại khỏi đợt 2.</t>
  </si>
  <si>
    <t>T3-05</t>
  </si>
  <si>
    <t>Mức nhẹ / nặng của khoảng thiếu</t>
  </si>
  <si>
    <t>Phân nhẹ hoặc nặng để chọn cách xử lý.</t>
  </si>
  <si>
    <t>gap_severity = NẶNG nếu PeakGap ≥ θ; NHẸ nếu nhỏ hơn</t>
  </si>
  <si>
    <t>T3-02; PeakGap của đợt</t>
  </si>
  <si>
    <t>Tính riêng từng đợt.</t>
  </si>
  <si>
    <t>Ngưỡng dùng chung với T3-02.</t>
  </si>
  <si>
    <t>T3-06</t>
  </si>
  <si>
    <t>Số ngày còn lại và chế độ Khẩn</t>
  </si>
  <si>
    <t>Còn bao nhiêu ngày đến lúc cần tiền; sát hạn thì ưu tiên tiền nhanh nhất.</t>
  </si>
  <si>
    <t>DaysLeft = need_date − ngày yêu cầu
Urgent_Mode = 1 nếu DaysLeft ≤ PARAM_URGENT_DAYS (7)</t>
  </si>
  <si>
    <t>gap_request; PARAM_URGENT_DAYS</t>
  </si>
  <si>
    <t>Tính riêng từng đợt; ngày yêu cầu là ngày chạy UC03.</t>
  </si>
  <si>
    <t>Ngày; 0/1</t>
  </si>
  <si>
    <t>DaysLeft ≤ 0: không có nguồn nào kịp ngoài tiền nội bộ; hiển thị “không kịp ngày cần tiền”.</t>
  </si>
  <si>
    <t>T3-07</t>
  </si>
  <si>
    <t>Thời gian thiếu kéo dài (duration)</t>
  </si>
  <si>
    <t>Số ngày khoảng thiếu còn tồn tại kể từ ngày cần tiền; dùng để tính chi phí thực.</t>
  </si>
  <si>
    <t>duration_j = số ngày từ need_date_j đến ngày cuối cùng CashEnd &lt; Rtarget (đồng đều; không phân loại được; tăng một lần); nếu giảm một lần thì đến ngày chuyển mức</t>
  </si>
  <si>
    <t>UC02: daily[]</t>
  </si>
  <si>
    <t>Từng đợt.</t>
  </si>
  <si>
    <t>duration &lt; PARAM_MIN_TENOR (14): loại sản phẩm khóa kỳ hạn hoặc có phí cố định, ưu tiên tiền nội bộ và giãn lịch.</t>
  </si>
  <si>
    <t>T3-08</t>
  </si>
  <si>
    <t>02. Yếu tố góp phần và kịch bản</t>
  </si>
  <si>
    <t>Tỷ lệ tham chiếu của yếu tố góp phần</t>
  </si>
  <si>
    <t>Dùng để định tuyến kịch bản, không phải phần thiếu do yếu tố gây ra.</t>
  </si>
  <si>
    <t>Share_k = MIN(100%; số tiền yếu tố k / PeakGap), k ∈ {E_AR, E_INV, E_AP}
Vai trò: CHÍNH nếu ≥ PARAM_CAUSE_MAIN (50%); PHỤ nếu ≥ PARAM_CAUSE_SEC (15%); còn lại BỎ QUA</t>
  </si>
  <si>
    <t>UC01: E_AR, E_INV, E_AP; PeakGap</t>
  </si>
  <si>
    <t>Số tiền yếu tố là số tham chiếu, không cộng được (SRS 2.7.11.9).</t>
  </si>
  <si>
    <t>Tỷ lệ; 1 số lẻ%</t>
  </si>
  <si>
    <t>Với người dùng chỉ nói “yếu tố góp phần” kèm loại liên kết và mức bằng chứng; candidate phải gắn “chưa kiểm chứng”. Không gọi là nguyên nhân chính.</t>
  </si>
  <si>
    <t>T3-09</t>
  </si>
  <si>
    <t>Sự kiện trọng yếu</t>
  </si>
  <si>
    <t>Nhận biết khoản chi hoặc nhập NVL lớn làm mức thiếu tăng vọt.</t>
  </si>
  <si>
    <t>Major_Event = 1 nếu giá trị khoản đơn lẻ / PeakGap ≥ PARAM_MAJOR_EVENT (30%)</t>
  </si>
  <si>
    <t>cash_events OUT; PeakGap</t>
  </si>
  <si>
    <t>Trong ±7 ngày quanh ngày chuyển mức.</t>
  </si>
  <si>
    <t>Không có sự kiện nào: ghi “đổi mức không gắn được sự kiện”.</t>
  </si>
  <si>
    <t>T3-10</t>
  </si>
  <si>
    <t>Chọn kịch bản một đợt A1–A4</t>
  </si>
  <si>
    <t>Chọn nhóm nguồn theo yếu tố chính của khoảng thiếu.</t>
  </si>
  <si>
    <t>Không chuỗi gap (TH01):
main = AR → A1; main = INV → A2; main = AP → A4; còn lại (BN0, L3) → A3</t>
  </si>
  <si>
    <t>UC01: main_bottleneck, bn_pattern; T3-08</t>
  </si>
  <si>
    <t>Chỉ TH01 và chưa thỏa điều kiện chuỗi gap ở T3-11.</t>
  </si>
  <si>
    <t>Yếu tố PHỤ mở thêm nhóm sản phẩm nhưng không đổi kịch bản.</t>
  </si>
  <si>
    <t>T3-11</t>
  </si>
  <si>
    <t>Chuỗi gap B1 / B2</t>
  </si>
  <si>
    <t>Thiếu kéo dài mang tính cấu trúc nên cần gói đa nguồn.</t>
  </si>
  <si>
    <t>Persistent = 1 nếu TH01 và số khối thiếu liên tiếp ≥ min_blocks (2)
Persistent = 1: B2 nếu (W2 và n_yếu_tố ≥ 2) HOẶC BestC &lt; G
B1 nếu n_yếu_tố &gt; 0, không có yếu tố tồn kho và mọi liên kết L1
Còn lại B2</t>
  </si>
  <si>
    <t>UC02: số khối; UC01: W, bn_pattern, loại liên kết; BestC = MAX C của nguồn qua lọc và kịp hạn</t>
  </si>
  <si>
    <t>n_yếu_tố = c_AR + c_INV + c_AP.</t>
  </si>
  <si>
    <t>Thay cách chọn B1/B2 ở phiên bản trước; khớp bộ tính tham chiếu.</t>
  </si>
  <si>
    <t>T3-12</t>
  </si>
  <si>
    <t>Nhóm xử lý theo kịch bản</t>
  </si>
  <si>
    <t>Nhóm sản phẩm được xếp trước khi còn thời gian.</t>
  </si>
  <si>
    <t>A1: AR_EARLY, RF, FAC
A2: INV_LOAN, INV_SALE
A3: NB, AP_EXT
A4: AP_EXT, RF
B1: FAC, RF, AP_EXT
B2: toàn bộ nhóm</t>
  </si>
  <si>
    <t>T3-10; T3-11; nhóm sản phẩm</t>
  </si>
  <si>
    <t>Hạn mức CL không thuộc nhóm nguyên nhân nên chỉ xếp theo tốc độ.</t>
  </si>
  <si>
    <t>Cause_Match = 1 nếu nhóm sản phẩm thuộc nhóm kịch bản hoặc thuộc nhóm của yếu tố phụ.</t>
  </si>
  <si>
    <t>T3-13</t>
  </si>
  <si>
    <t>03. Điều kiện và số tiền từng nguồn</t>
  </si>
  <si>
    <t>Tiền nội bộ (bước 0)</t>
  </si>
  <si>
    <t>Tiền doanh nghiệp tự điều chuyển ngay, chi phí 0.</t>
  </si>
  <si>
    <t>C_NB = MIN(NB_amount; CashAvailable)
CashAvailable = tổng tiền − restricted_cash</t>
  </si>
  <si>
    <t>D_F01; cash_snapshot; restricted_cash</t>
  </si>
  <si>
    <t>Nằm trong SafeCash tính từ ngày dùng t0; luôn đứng đầu gói nếu có.</t>
  </si>
  <si>
    <t>Tiền ký quỹ, phong tỏa không dùng làm tiền nội bộ.</t>
  </si>
  <si>
    <t>T3-14</t>
  </si>
  <si>
    <t>Giãn thanh toán nhà cung cấp (O1)</t>
  </si>
  <si>
    <t>Số tiền chưa phải trả ngay nếu nhà cung cấp đồng ý.</t>
  </si>
  <si>
    <t>AP_EXT_Eligible = 0 nếu nhà cung cấp thiết yếu/độc quyền HOẶC tỷ trọng mua ≥ PARAM_KEY_PARTNER (30%); ngược lại 1
C_APX = MIN(ext_amount; khoản đến hạn trong duration) × AP_EXT_Eligible
Số ngày giãn ≤ khung EXT (15–30 ngày) và ≤ duration</t>
  </si>
  <si>
    <t>UC01: nhãn nhà cung cấp; E_AP; r_disc</t>
  </si>
  <si>
    <t>Nhà cung cấp có E_AP &gt; 0 không giãn tiếp.</t>
  </si>
  <si>
    <t>Giãn ≥ lùi gap sang đoạn sau: kiểm shifted_risk (T3-37). Cần nhà cung cấp đồng ý nên độ chắc chắn Thấp.</t>
  </si>
  <si>
    <t>T3-15</t>
  </si>
  <si>
    <t>Hạn mức tín dụng còn trống (O2)</t>
  </si>
  <si>
    <t>Số tiền rút thêm được từ hạn mức.</t>
  </si>
  <si>
    <t>Headroom = MAX(0; limit_approved − drawn_amount − blocked_amount)
C_CL = Headroom</t>
  </si>
  <si>
    <t>committed_limit; drawn_amount; blocked_amount</t>
  </si>
  <si>
    <t>Mỗi hạn mức dùng một lần trong phiên; phần đã rút ở đợt 1 trừ khỏi hạn mức đợt 2.</t>
  </si>
  <si>
    <t>Hạn mức dùng chung giữa nhiều sản phẩm chưa mô hình hóa: nhập hạn mức còn trống đã trừ phần dùng chung.</t>
  </si>
  <si>
    <t>T3-16</t>
  </si>
  <si>
    <t>Tài trợ hóa đơn RF và FAC (O2)</t>
  </si>
  <si>
    <t>Số tiền ứng trước trên hóa đơn khách hàng đủ điều kiện.</t>
  </si>
  <si>
    <t>C_inv = MIN(giá trị hóa đơn; buyer_program_headroom) × advance_rate
Đủ điều kiện: người mua thuộc danh sách trắng MST; disputed ≠ Y; không quá hạn kéo dài &gt; 30 ngày</t>
  </si>
  <si>
    <t>D_sales; Bảng sản phẩm; UC01: nhãn khách hàng</t>
  </si>
  <si>
    <t>RF cần người mua trong chương trình; FAC kiểm late_pos_wavg và collect_days_wavg.</t>
  </si>
  <si>
    <t>room = 0 → PROGRAM_HEADROOM_EXHAUSTED, chuyển sang FAC hoặc INV_LOAN. Một hóa đơn chỉ dùng cho một sản phẩm.</t>
  </si>
  <si>
    <t>T3-17</t>
  </si>
  <si>
    <t>Vay bảo đảm bằng tồn kho (O2)</t>
  </si>
  <si>
    <t>Số tiền vay trên lô hàng sở hữu hợp lệ.</t>
  </si>
  <si>
    <t>C_loan = giá trị lô × appraisal_ratio × advance_rate
appraisal_ratio mặc định 1</t>
  </si>
  <si>
    <t>D_inventory; Bảng sản phẩm; collateral_j</t>
  </si>
  <si>
    <t>Lô không cầm cố, không loại trừ hoặc đơn hủy.</t>
  </si>
  <si>
    <t>Sức mạnh thế chấp và tiền bán xả là hai chỉ số riêng, không cộng với nhau.</t>
  </si>
  <si>
    <t>T3-18</t>
  </si>
  <si>
    <t>Bán tồn kho (O3)</t>
  </si>
  <si>
    <t>Số tiền thu về nếu bán xả lô tồn lâu.</t>
  </si>
  <si>
    <t>C_sale = giá trị lô × (1 − haircut)
TOO_SLOW nếu days_to_fund &gt; DaysLeft</t>
  </si>
  <si>
    <t>D_inventory; haircut; days_to_fund</t>
  </si>
  <si>
    <t>Chỉ lô tồn lâu nhóm HH/TP/HGC bán được; NVL/BTP tái sử dụng là giai đoạn 2.</t>
  </si>
  <si>
    <t>Không ghi tái sử dụng tồn kho là tiền thu; chỉ là giảm chi mua mới.</t>
  </si>
  <si>
    <t>T3-19</t>
  </si>
  <si>
    <t>Thu tiền khách sớm (O4)</t>
  </si>
  <si>
    <t>Số tiền thu sớm sau chiết khấu thanh toán sớm.</t>
  </si>
  <si>
    <t>C_AR = giá trị hóa đơn × (1 − discount)
Eligible = khách Mới/Thường xuyên, không Chiến lược, disputed ≠ Y</t>
  </si>
  <si>
    <t>D_sales; UC01: bậc can thiệp</t>
  </si>
  <si>
    <t>Khách bậc can thiệp 1 chỉ nhắc nhở, không chiết khấu. Khách Lớn ≥ 30% chuyển cấp quản lý.</t>
  </si>
  <si>
    <t>Khách không đồng ý thì không có tiền; độ chắc chắn Trung bình, hạ xuống Thấp nếu trả chậm thường xuyên (late_pos_wavg &gt; 10).</t>
  </si>
  <si>
    <t>T3-20</t>
  </si>
  <si>
    <t>Lọc cứng và mã lý do loại</t>
  </si>
  <si>
    <t>Loại nguồn không dùng được và ghi rõ lý do.</t>
  </si>
  <si>
    <t>Hard_Pass = NOT(pledged) VÀ NOT(Strategic_or_Critical) VÀ data_ok VÀ C &gt; 0 VÀ NOT(disputed với FAC/RF/AR_EARLY) VÀ room &gt; 0
reason_code: PLEDGED; STRATEGIC_OR_CRITICAL; DISPUTED; PROGRAM_HEADROOM_EXHAUSTED; NO_PRODUCT_DATA; NO_NET_CASH; OUT_OF_SCENARIO; TOO_SLOW; BELOW_MIN_DRAW</t>
  </si>
  <si>
    <t>T3-13 – T3-19; nhãn UC01</t>
  </si>
  <si>
    <t>Không thuộc nhóm kịch bản: OUT_OF_SCENARIO. Không về kịp: TOO_SLOW (hiển thị nhưng không vào gói).</t>
  </si>
  <si>
    <t>Mọi nguồn bị loại phải có reason_code trong excluded[].</t>
  </si>
  <si>
    <t>T3-21</t>
  </si>
  <si>
    <t>04. Chi phí</t>
  </si>
  <si>
    <t>Chi phí sản phẩm trả trước được (early_repay = 1)</t>
  </si>
  <si>
    <t>Chi phí chỉ tính cho số ngày thực sự cần.</t>
  </si>
  <si>
    <t>Cost = C × rate × MIN(hold; duration) / 365 + C × fee_pct + fee_flat
Áp dụng: hạn mức, vay bảo đảm tồn kho, giãn lịch, thu sớm</t>
  </si>
  <si>
    <t>Bảng sản phẩm: rate, fee_pct, fee_flat, hold; T3-07</t>
  </si>
  <si>
    <t>duration của đợt đang xét.</t>
  </si>
  <si>
    <t>Thu sớm: fee_pct là chiết khấu thanh toán sớm. Giãn lịch: chi phí 0 trừ khi mất chiết khấu hoặc bị phạt.</t>
  </si>
  <si>
    <t>T3-22</t>
  </si>
  <si>
    <t>Chi phí sản phẩm khóa kỳ hạn (early_repay = 0)</t>
  </si>
  <si>
    <t>Bao thanh toán và tài trợ chuỗi đảo ngược phải trả đủ kỳ hạn.</t>
  </si>
  <si>
    <t>Cost = C × rate × hold / 365 + C × fee_pct + fee_flat
covers_duration = (hold ≥ duration)
Nếu hold &lt; duration: cờ NOT_COVERING_DURATION</t>
  </si>
  <si>
    <t>Bảng sản phẩm; T3-07</t>
  </si>
  <si>
    <t>RF, FAC.</t>
  </si>
  <si>
    <t>VND; cờ</t>
  </si>
  <si>
    <t>Cờ kèm gợi ý gia hạn hoặc bổ sung nguồn; không tự thêm nguồn.</t>
  </si>
  <si>
    <t>T3-23</t>
  </si>
  <si>
    <t>Chi phí bán xả</t>
  </si>
  <si>
    <t>Mất giá khi bán nhanh.</t>
  </si>
  <si>
    <t>Cost_sale = giá trị lô × haircut + fee_flat</t>
  </si>
  <si>
    <t>D_inventory; haircut</t>
  </si>
  <si>
    <t>INV_SALE.</t>
  </si>
  <si>
    <t>Haircut theo tuổi tồn; số liệu giả định.</t>
  </si>
  <si>
    <t>T3-24</t>
  </si>
  <si>
    <t>Chi phí theo phần rút</t>
  </si>
  <si>
    <t>Chỉ tính chi phí cho phần thật sự rút.</t>
  </si>
  <si>
    <t>Cost_draw = Cost × Draw / C</t>
  </si>
  <si>
    <t>T3-21 – T3-23; T3-32</t>
  </si>
  <si>
    <t>Draw ≤ C.</t>
  </si>
  <si>
    <t>Làm tròn chỉ ở bước hiển thị.</t>
  </si>
  <si>
    <t>T3-25</t>
  </si>
  <si>
    <t>Chi phí trên khoảng thiếu</t>
  </si>
  <si>
    <t>So sánh chi phí giữa các nguồn trên cùng phần cần bù.</t>
  </si>
  <si>
    <t>CostPerGap = ROUND_HALF_UP(Cost / MIN(C; G); 4)</t>
  </si>
  <si>
    <t>T3-21 – T3-23; G của đợt</t>
  </si>
  <si>
    <t>C &gt; 0.</t>
  </si>
  <si>
    <t>Tỷ lệ 4 chữ số</t>
  </si>
  <si>
    <t>Dùng ở bậc 5 của khóa xếp hạng.</t>
  </si>
  <si>
    <t>T3-26</t>
  </si>
  <si>
    <t>05. Xếp hạng và dựng gói</t>
  </si>
  <si>
    <t>Kịp hạn</t>
  </si>
  <si>
    <t>Nguồn phải có tiền trước ngày cần.</t>
  </si>
  <si>
    <t>Timely = 1 nếu days_to_fund ≤ DaysLeft</t>
  </si>
  <si>
    <t>Bảng sản phẩm; T3-06</t>
  </si>
  <si>
    <t>Timely = 0: xếp cuối, ghi TOO_SLOW, không vào gói.</t>
  </si>
  <si>
    <t>T3-27</t>
  </si>
  <si>
    <t>Khớp nguyên nhân</t>
  </si>
  <si>
    <t>Ưu tiên nguồn xử lý đúng gốc rễ khi còn thời gian.</t>
  </si>
  <si>
    <t>Cause_Match = 1 nếu nhóm sản phẩm thuộc nhóm xử lý (T3-12)
Chế độ Khẩn (Urgent_Mode = 1): bỏ tiêu chí này</t>
  </si>
  <si>
    <t>T3-12; T3-06</t>
  </si>
  <si>
    <t>Chế độ Thường mới dùng.</t>
  </si>
  <si>
    <t>Khi sát hạn, tiền nhanh nhất quyết định.</t>
  </si>
  <si>
    <t>T3-28</t>
  </si>
  <si>
    <t>Dải tốc độ</t>
  </si>
  <si>
    <t>Gom ngày về tiền thành ba dải.</t>
  </si>
  <si>
    <t>S1 nếu days_to_fund ≤ 3; S2 nếu 4–10; S3 nếu &gt; 10</t>
  </si>
  <si>
    <t>days_to_fund</t>
  </si>
  <si>
    <t>Dải nhỏ xếp trước.</t>
  </si>
  <si>
    <t>S1/S2/S3</t>
  </si>
  <si>
    <t>Tránh phân biệt thừa giữa 1 ngày và 2 ngày.</t>
  </si>
  <si>
    <t>T3-29</t>
  </si>
  <si>
    <t>Độ chắc chắn</t>
  </si>
  <si>
    <t>Mức tin cậy nguồn thành hiện thực.</t>
  </si>
  <si>
    <t>Cao: tiền nội bộ, hạn mức còn trống
Trung bình: RF, FAC, vay bảo đảm, thu sớm
Thấp: giãn lịch, bán xả
model_health = degraded: mọi nguồn về Thấp</t>
  </si>
  <si>
    <t>Bảng sản phẩm; UC02: model_health</t>
  </si>
  <si>
    <t>Cao → Trung bình → Thấp.</t>
  </si>
  <si>
    <t>Cao / Trung bình / Thấp</t>
  </si>
  <si>
    <t>Giá trị theo sản phẩm là giả định, cần xác nhận với đối tác.</t>
  </si>
  <si>
    <t>T3-30</t>
  </si>
  <si>
    <t>Ảnh hưởng quan hệ</t>
  </si>
  <si>
    <t>Ưu tiên nguồn ít ảnh hưởng đối tác.</t>
  </si>
  <si>
    <t>Rel = 0 không ảnh hưởng; 1 nhẹ; 2 nhà cung cấp thiết yếu hoặc khách chiến lược</t>
  </si>
  <si>
    <t>UC01 nhãn; Bảng sản phẩm</t>
  </si>
  <si>
    <t>Điểm thấp xếp trước.</t>
  </si>
  <si>
    <t>Điểm 2 đã bị loại cứng ở T3-20 trừ khi người dùng ghi đè kèm lý do.</t>
  </si>
  <si>
    <t>T3-31</t>
  </si>
  <si>
    <t>Khóa xếp hạng</t>
  </si>
  <si>
    <t>Thứ tự so sánh từng cấp, kết quả lặp lại được.</t>
  </si>
  <si>
    <t>Sắp tăng dần theo:
(1) Timely giảm (kịp trước)
(2) Cause_Match giảm (chỉ chế độ Thường)
(3) Dải tốc độ
(4) Độ chắc chắn
(5) CostPerGap
(6) Rel
(7) days_to_fund, rồi product_id</t>
  </si>
  <si>
    <t>T3-25 – T3-30</t>
  </si>
  <si>
    <t>Chỉ nguồn qua lọc cứng và thuộc phạm vi kịch bản.</t>
  </si>
  <si>
    <t>Thứ hạng 1..n</t>
  </si>
  <si>
    <t>Không dùng điểm cộng trọng số (Tier×1000 + Speed×10 + CostPerGap) vì CostPerGap gần như không ảnh hưởng. Bỏ Tier 0/1 theo “một nguồn đủ tiền”.</t>
  </si>
  <si>
    <t>T3-32</t>
  </si>
  <si>
    <t>Dựng gói cho từng đợt</t>
  </si>
  <si>
    <t>Ghép các nguồn theo thứ hạng cho đến khi đủ.</t>
  </si>
  <si>
    <t>MinDraw = G × PARAM_MIN_DRAW_PCT (5%)
Duyệt theo thứ hạng; Draw_i = MIN(C_i; G_còn)
Nguồn có C_i &lt; MinDraw bị loại (BELOW_MIN_DRAW)
Tối đa 2 nguồn mỗi phương án, tối đa PARAM_MAX_SOURCES (4) nguồn mỗi gói
Tiền nội bộ đứng đầu nếu có</t>
  </si>
  <si>
    <t>T3-31; T3-13 – T3-19</t>
  </si>
  <si>
    <t>Một đối tượng chỉ dùng một lần; dừng khi tổng rút ≥ G.</t>
  </si>
  <si>
    <t>Phần còn thiếu cuối &lt; MinDraw được cộng vào nguồn đã chọn còn dư năng lực.</t>
  </si>
  <si>
    <t>T3-33</t>
  </si>
  <si>
    <t>Phần phủ và phần còn thiếu</t>
  </si>
  <si>
    <t>Đợt đã được phủ bao nhiêu, còn thiếu bao nhiêu.</t>
  </si>
  <si>
    <t>covered_j = Σ Draw_i
remaining_gap_j = MAX(0; G_incr_j − covered_j)
Tổng phiên: totals.draw = Σ covered; totals.cost = Σ Cost_draw; totals.remaining_gap = Σ remaining_gap</t>
  </si>
  <si>
    <t>Từng đợt, rồi cộng cả phiên.</t>
  </si>
  <si>
    <t>Hết nguồn vẫn thiếu: hiển thị remaining_gap, đề xuất con đường thủ công; UC03 không tự bù.</t>
  </si>
  <si>
    <t>T3-34</t>
  </si>
  <si>
    <t>06. Trạng thái TH02, TH03 và kiểm soát</t>
  </si>
  <si>
    <t>Lãi suất ngầm của chiết khấu thanh toán sớm</t>
  </si>
  <si>
    <t>So chiết khấu nhà cung cấp với chi phí vay.</t>
  </si>
  <si>
    <t>r_disc = d / (1 − d) × 365 / (T − k)
d = tỷ lệ chiết khấu; T = hạn trả thường; k = số ngày trả trước</t>
  </si>
  <si>
    <t>UC01: điều khoản nhà cung cấp</t>
  </si>
  <si>
    <t>d = 2%, T − k = 20 ngày → 37,2%/năm; d = 1% → 18,4%/năm.</t>
  </si>
  <si>
    <t>%/năm; 1 số lẻ</t>
  </si>
  <si>
    <t>Chỉ trích 37,2% cho d = 2%.</t>
  </si>
  <si>
    <t>T3-35</t>
  </si>
  <si>
    <t>Quyết định trả sớm (DD)</t>
  </si>
  <si>
    <t>Trả sớm chỉ khi lợi hơn chi phí tiền.</t>
  </si>
  <si>
    <t>DD_Accept = 1 nếu TH03 VÀ r_disc &gt; lãi vay + 5% (hoặc lãi tiền gửi + biên) VÀ số trả sớm ≤ SafeCash từ t0</t>
  </si>
  <si>
    <t>T3-34; SafeCash (UC02); lãi vay</t>
  </si>
  <si>
    <t>TH03, giai đoạn 2.</t>
  </si>
  <si>
    <t>TH01 không vay để trả sớm. Không trả sớm nhà cung cấp đang tranh chấp.</t>
  </si>
  <si>
    <t>T3-36</t>
  </si>
  <si>
    <t>SafeCash cho TH02, TH03</t>
  </si>
  <si>
    <t>Số tiền dư dùng được mà không phạm mức dự trữ.</t>
  </si>
  <si>
    <t>SafeCash = MAX(0; MIN trên mọi ngày d của cửa sổ và các kịch bản {Base, Conservative, Stress} của (CashEnd_d − Rtarget))
Tính từ ngày dùng t0</t>
  </si>
  <si>
    <t>UC02 (T2-09, T2-10)</t>
  </si>
  <si>
    <t>TH02: giữ; TH03: giới hạn mọi khoản dùng tiền dư.</t>
  </si>
  <si>
    <t>M9: trừ phần thu bị rủi ro (E_AR + E_INV) trước khi tính; còn finding thì không đề xuất dùng tiền dư.</t>
  </si>
  <si>
    <t>T3-37</t>
  </si>
  <si>
    <t>Rủi ro dời gap sang đoạn sau</t>
  </si>
  <si>
    <t>Giãn nợ có thể tạo gap mới nặng hơn.</t>
  </si>
  <si>
    <t>Sau khi chọn giãn: chạy lại UC02 với lịch trả mới
shifted_risk_created = 1 nếu gap mới ở đoạn sau ≥ gap vừa giải tỏa</t>
  </si>
  <si>
    <t>UC02 chạy lại; T3-14</t>
  </si>
  <si>
    <t>Chỉ với nguồn AP_EXT.</t>
  </si>
  <si>
    <t>0/1; cờ</t>
  </si>
  <si>
    <t>Gắn resolved_with_shifted_risk. Giãn không được tạo lần đổi mức thứ hai nặng hơn.</t>
  </si>
  <si>
    <t>T3-38</t>
  </si>
  <si>
    <t>Ca quyết định của con người</t>
  </si>
  <si>
    <t>Đánh dấu bước UC03 không thể tự thực hiện.</t>
  </si>
  <si>
    <t>requires_human_decision = 1 nếu gói có AP_EXT, AR_EARLY, ghi đè hoặc cờ REVIEW_MANUAL</t>
  </si>
  <si>
    <t>T3-32; cờ cấp phiên</t>
  </si>
  <si>
    <t>Cả phiên.</t>
  </si>
  <si>
    <t>UC03 chỉ đề xuất; UC04 soạn nội dung, người có thẩm quyền duyệt.</t>
  </si>
  <si>
    <t>Tham số ngưỡng UC03 (giá trị mặc định, tách khỏi công thức)</t>
  </si>
  <si>
    <t>Tham số</t>
  </si>
  <si>
    <t>Giá trị mặc định</t>
  </si>
  <si>
    <t>Công thức dùng</t>
  </si>
  <si>
    <t>Ghi chú</t>
  </si>
  <si>
    <t>T3-P01</t>
  </si>
  <si>
    <t>PARAM_THETA_PCT</t>
  </si>
  <si>
    <t>25% (% Rtarget)</t>
  </si>
  <si>
    <t>Chênh lệch tối thiểu công nhận đổi mức; ranh giới gap nhẹ / nặng</t>
  </si>
  <si>
    <t>T3-02, T3-05</t>
  </si>
  <si>
    <t>Mặc định; đổi theo quy mô doanh nghiệp</t>
  </si>
  <si>
    <t>T3-P02</t>
  </si>
  <si>
    <t>PARAM_MIN_DAYS</t>
  </si>
  <si>
    <t>14 (ngày)</t>
  </si>
  <si>
    <t>Thời gian giữ mức mới (2 khối 2 tuần, khớp min_blocks = 2)</t>
  </si>
  <si>
    <t>Mặc định</t>
  </si>
  <si>
    <t>T3-P03</t>
  </si>
  <si>
    <t>PARAM_CAUSE_MAIN</t>
  </si>
  <si>
    <t>50% (% PeakGap)</t>
  </si>
  <si>
    <t>Từ ngưỡng này là yếu tố góp phần chính (chỉ để định tuyến)</t>
  </si>
  <si>
    <t>T3-P04</t>
  </si>
  <si>
    <t>PARAM_CAUSE_SEC</t>
  </si>
  <si>
    <t>15% (% PeakGap)</t>
  </si>
  <si>
    <t>Từ ngưỡng này đến dưới 50% là yếu tố phụ</t>
  </si>
  <si>
    <t>T3-P05</t>
  </si>
  <si>
    <t>PARAM_MAJOR_EVENT</t>
  </si>
  <si>
    <t>30% (% PeakGap)</t>
  </si>
  <si>
    <t>Khoản đơn lẻ từ ngưỡng này là sự kiện trọng yếu</t>
  </si>
  <si>
    <t>T3-P06</t>
  </si>
  <si>
    <t>PARAM_MIN_DRAW_PCT</t>
  </si>
  <si>
    <t>5% (% PeakGap)</t>
  </si>
  <si>
    <t>Số rút tối thiểu mỗi nguồn</t>
  </si>
  <si>
    <t>T3-P07</t>
  </si>
  <si>
    <t>PARAM_MAX_SOURCES</t>
  </si>
  <si>
    <t>4 (nguồn)</t>
  </si>
  <si>
    <t>Số nguồn tối đa trong một gói</t>
  </si>
  <si>
    <t>T3-P08</t>
  </si>
  <si>
    <t>PARAM_URGENT_DAYS</t>
  </si>
  <si>
    <t>7 (ngày)</t>
  </si>
  <si>
    <t>DaysLeft nhỏ hơn hoặc bằng ngưỡng là chế độ Khẩn</t>
  </si>
  <si>
    <t>T3-06, T3-27</t>
  </si>
  <si>
    <t>T3-P09</t>
  </si>
  <si>
    <t>PARAM_MIN_TENOR</t>
  </si>
  <si>
    <t>Thời gian thiếu ngắn hơn ngưỡng thì loại sản phẩm khóa kỳ hạn hoặc phí cố định</t>
  </si>
  <si>
    <t>T3-P10</t>
  </si>
  <si>
    <t>PARAM_KEY_PARTNER</t>
  </si>
  <si>
    <t>30% (% mua/bán)</t>
  </si>
  <si>
    <t>Nhà cung cấp từ ngưỡng này bị loại khỏi giãn nợ; khách hàng từ ngưỡng này chuyển cấp quản lý</t>
  </si>
  <si>
    <t>T3-14, T3-19</t>
  </si>
  <si>
    <t>Công thức UC03</t>
  </si>
  <si>
    <t>UC3_Cong_thuc: 38 công thức T3-01 – T3-38 và 10 tham số T3-P01 – T3-P10 theo mẫu cột của UC1/UC2_Cong_thuc. Khoảng thiếu một lần đổi mức, tối đa 2 đợt; bốn phương án và tiền nội bộ; khóa xếp hạng ưu tiên tốc độ có chế độ Khẩn; chi phí theo thời gian thực; gói theo từng đợt.</t>
  </si>
  <si>
    <t>UC3_Cong_thuc; Output_contract hàng UC03. Tham số sản phẩm và số tiền ví dụ là giả định minh họa; bảng tính F01 cho UC03 nằm ở sheet F01_UC03, đầu vào sản phẩm ở D_UC03.</t>
  </si>
  <si>
    <t>Quan hệ với UC02</t>
  </si>
  <si>
    <t>UC03 chỉ nhận gap_request, gap_shape, duration, SafeCash, model_health và ô M từ UC02; không tính lại dòng tiền. Chỉ TH01 tạo nhu cầu tài trợ; UC03 chỉ đề xuất, không thực hiện.</t>
  </si>
  <si>
    <t>Công thức UC03 đọc kết quả UC02 (T2-09, T2-10, T2-13). Đặc tả đầy đủ ở tài liệu UC03 M1–M9.</t>
  </si>
  <si>
    <t>Tính UC03 cho F01</t>
  </si>
  <si>
    <t>F01_UC03: công thức sống tính UC03 trên dữ liệu F01 (khoảng thiếu → kịch bản → lọc cứng → xếp hạng → gói). D_UC03: bảng 14 sản phẩm, 13 tham số và hai ma trận nhóm theo kịch bản. Đổi D_F01!B19 hoặc dữ liệu F01 thì kết quả tự cập nhật; chỉ Base xác định TH.</t>
  </si>
  <si>
    <t>Sản phẩm tài trợ, lãi suất, hạn mức, ngày có tiền là giả định minh họa (ô xanh dương). Đợt 2 (tăng một lần) chỉ hiển thị yêu cầu, chưa chạy gói; F01 hiện thuộc dạng “không phân loại được” nên một đợt.</t>
  </si>
  <si>
    <t>F01 So khớp phương án tài trợ UC03 tại 20/06/2026</t>
  </si>
  <si>
    <t>Chỉ tính cho kịch bản Base. Đầu vào lấy từ F01_UC1, F01_UC2; sản phẩm và tham số lấy từ D_UC03. UC03 chỉ đề xuất, không thực hiện.</t>
  </si>
  <si>
    <t>1. Kết quả UC03</t>
  </si>
  <si>
    <t>W × TH cùng snapshot</t>
  </si>
  <si>
    <t>A1–A4, B1, B2</t>
  </si>
  <si>
    <t>gap_shape</t>
  </si>
  <si>
    <t>Cờ REVIEW_MANUAL</t>
  </si>
  <si>
    <t>Số đợt cần tiền</t>
  </si>
  <si>
    <t>Gói chỉ chạy cho đợt 1</t>
  </si>
  <si>
    <t>need_date đợt 1</t>
  </si>
  <si>
    <t>DaysLeft</t>
  </si>
  <si>
    <t>G đợt 1 (VND)</t>
  </si>
  <si>
    <t>duration (ngày)</t>
  </si>
  <si>
    <t>Xếp hạng 1 – 3</t>
  </si>
  <si>
    <t>Nguồn đủ điều kiện, kịp hạn đứng trước</t>
  </si>
  <si>
    <t>Gói đề xuất</t>
  </si>
  <si>
    <t>Tiền thu về (VND)</t>
  </si>
  <si>
    <t>Chi phí gói (VND)</t>
  </si>
  <si>
    <t>CostPerGap</t>
  </si>
  <si>
    <t>Còn thiếu (VND)</t>
  </si>
  <si>
    <t>Số nguồn bị cờ NOT_COVERING_DURATION</t>
  </si>
  <si>
    <t>requires_human_decision</t>
  </si>
  <si>
    <t>REVIEW_MANUAL, còn thiếu hoặc chưa phủ hết thời gian</t>
  </si>
  <si>
    <t>2. Đầu vào từ UC01 và UC02</t>
  </si>
  <si>
    <t>Cách lấy</t>
  </si>
  <si>
    <t>Ngày chạy (as_of)</t>
  </si>
  <si>
    <t>Ngày chốt</t>
  </si>
  <si>
    <t>F01_UC2!B10</t>
  </si>
  <si>
    <t>F01_UC2!B23; chỉ Base</t>
  </si>
  <si>
    <t>F01_UC1!B30</t>
  </si>
  <si>
    <t>F01_UC2!B24</t>
  </si>
  <si>
    <t>Thiếu kéo dài (≥ 2 khối, 28 ngày)</t>
  </si>
  <si>
    <t>F01_UC2!M37; điều kiện chuỗi gap T3-11</t>
  </si>
  <si>
    <t>c_AR</t>
  </si>
  <si>
    <t>Mức AR ≥ 1</t>
  </si>
  <si>
    <t>c_INV</t>
  </si>
  <si>
    <t>Mức INV ≥ 1</t>
  </si>
  <si>
    <t>c_AP</t>
  </si>
  <si>
    <t>n_yếu_tố</t>
  </si>
  <si>
    <t>Số yếu tố góp phần</t>
  </si>
  <si>
    <t>E_AR</t>
  </si>
  <si>
    <t>Vốn AR vượt ngưỡng (số tham chiếu)</t>
  </si>
  <si>
    <t>E_INV</t>
  </si>
  <si>
    <t>Vốn tồn vượt ngưỡng (số tham chiếu)</t>
  </si>
  <si>
    <t>E_AP</t>
  </si>
  <si>
    <t>Phải trả quá hạn (số tham chiếu)</t>
  </si>
  <si>
    <t>model_health</t>
  </si>
  <si>
    <t>D_UC03</t>
  </si>
  <si>
    <t>3. Khoảng thiếu và đợt cần tiền</t>
  </si>
  <si>
    <t>Cách tính</t>
  </si>
  <si>
    <t>θ = Rtarget × PARAM_THETA_PCT</t>
  </si>
  <si>
    <t>Deficit</t>
  </si>
  <si>
    <t>|Δ| so với khối trước</t>
  </si>
  <si>
    <t>Đổi mức trọng yếu</t>
  </si>
  <si>
    <t>Số lần đổi mức trọng yếu (n)</t>
  </si>
  <si>
    <t>Chiều đổi mức (khi n = 1)</t>
  </si>
  <si>
    <t>Dương: tăng; âm: giảm</t>
  </si>
  <si>
    <t>n ≥ 2: dùng mức thiếu lớn nhất, chờ người xem lại</t>
  </si>
  <si>
    <t>PeakGap (mức thiếu lớn nhất)</t>
  </si>
  <si>
    <t>Rtarget − MinCash</t>
  </si>
  <si>
    <t>Vị trí khối đổi mức</t>
  </si>
  <si>
    <t>0 nếu không đổi mức</t>
  </si>
  <si>
    <t>Mức đợt 1 (G_cum)</t>
  </si>
  <si>
    <t>Tăng một lần: mức thấp trước ngày chuyển; còn lại: mức lớn nhất</t>
  </si>
  <si>
    <t>Ngày đầu CashEnd &lt; Rtarget (F01_UC2!B20)</t>
  </si>
  <si>
    <t>Ngày chuyển mức</t>
  </si>
  <si>
    <t>Đầu khối có đổi mức trọng yếu</t>
  </si>
  <si>
    <t>Ngày cuối còn CashEnd &lt; Rtarget</t>
  </si>
  <si>
    <t>duration đợt 1 (ngày)</t>
  </si>
  <si>
    <t>T3-07: đến ngày cuối còn thiếu; giảm một lần: đến ngày chuyển mức</t>
  </si>
  <si>
    <t>Đợt 2: G_cum</t>
  </si>
  <si>
    <t>Chỉ khi tăng một lần; F01 chỉ chạy gói đợt 1</t>
  </si>
  <si>
    <t>Đợt 2: need_date</t>
  </si>
  <si>
    <t>Đợt 2: G_incr</t>
  </si>
  <si>
    <t>G_cum đợt 2 − G_cum đợt 1</t>
  </si>
  <si>
    <t>G đợt 1 (số tiền cần)</t>
  </si>
  <si>
    <t>Chạy gói cho số này</t>
  </si>
  <si>
    <t>Chế độ Khẩn (1 = có)</t>
  </si>
  <si>
    <t>DaysLeft ≤ PARAM_URGENT_DAYS</t>
  </si>
  <si>
    <t>gap_severity</t>
  </si>
  <si>
    <t>MinDraw</t>
  </si>
  <si>
    <t>G × PARAM_MIN_DRAW_PCT</t>
  </si>
  <si>
    <t>4. Yếu tố góp phần và kịch bản</t>
  </si>
  <si>
    <t>Share_AR (tham chiếu)</t>
  </si>
  <si>
    <t>T3-08: chỉ để định tuyến, không cộng được</t>
  </si>
  <si>
    <t>Share_INV (tham chiếu)</t>
  </si>
  <si>
    <t>Share_AP (tham chiếu)</t>
  </si>
  <si>
    <t>Vai trò AR</t>
  </si>
  <si>
    <t>CHÍNH ≥ 50%; PHỤ ≥ 15%</t>
  </si>
  <si>
    <t>Vai trò INV</t>
  </si>
  <si>
    <t>Vai trò AP</t>
  </si>
  <si>
    <t>Yếu tố chính</t>
  </si>
  <si>
    <t>Rỗng nếu không yếu tố nào ≥ 50%</t>
  </si>
  <si>
    <t>BestC (nguồn lớn nhất qua lọc, kịp hạn)</t>
  </si>
  <si>
    <t>Kịch bản đợt đơn (A1–A4)</t>
  </si>
  <si>
    <t>T3-10/T3-11: chuỗi gap B1/B2; còn lại A1–A4</t>
  </si>
  <si>
    <t>5. Lọc cứng, chi phí và xếp hạng sản phẩm</t>
  </si>
  <si>
    <t>Nhóm</t>
  </si>
  <si>
    <t>Phương án</t>
  </si>
  <si>
    <t>Đối tượng</t>
  </si>
  <si>
    <t>Tỷ lệ ròng</t>
  </si>
  <si>
    <t>C (năng lực)</t>
  </si>
  <si>
    <t>Hold tính phí</t>
  </si>
  <si>
    <t>Chi phí</t>
  </si>
  <si>
    <t>Ngày có tiền</t>
  </si>
  <si>
    <t>Qua lọc cứng</t>
  </si>
  <si>
    <t>Thuộc kịch bản</t>
  </si>
  <si>
    <t>Đủ điều kiện</t>
  </si>
  <si>
    <t>C kịp+qua lọc</t>
  </si>
  <si>
    <t>Chưa khớp nguyên nhân</t>
  </si>
  <si>
    <t>Rel</t>
  </si>
  <si>
    <t>Tier</t>
  </si>
  <si>
    <t>Thứ tự</t>
  </si>
  <si>
    <t>Hạng</t>
  </si>
  <si>
    <t>Mã lý do</t>
  </si>
  <si>
    <t>Cờ</t>
  </si>
  <si>
    <t>Dòng SP</t>
  </si>
  <si>
    <t>C</t>
  </si>
  <si>
    <t>Chi phí đủ C</t>
  </si>
  <si>
    <t>Lý do bỏ qua</t>
  </si>
  <si>
    <t>Dùng</t>
  </si>
  <si>
    <t>Đã rút trước</t>
  </si>
  <si>
    <t>Rút</t>
  </si>
  <si>
    <t>Chi phí phần rút</t>
  </si>
  <si>
    <t>Số nguồn cùng phương án</t>
  </si>
  <si>
    <t>Gói (lũy kế)</t>
  </si>
  <si>
    <t>7. Tổng gói</t>
  </si>
  <si>
    <t>Tiền thu về (covered)</t>
  </si>
  <si>
    <t>Chi phí gói</t>
  </si>
  <si>
    <t>CostPerGap của gói</t>
  </si>
  <si>
    <t>Còn thiếu (remaining_gap)</t>
  </si>
  <si>
    <t>UC03 không tự bù phần này</t>
  </si>
  <si>
    <t>Số nguồn trong gói</t>
  </si>
  <si>
    <t>Số sản phẩm đủ điều kiện</t>
  </si>
  <si>
    <t>Số nguồn trong gói bị cờ NOT_COVERING_DURATION</t>
  </si>
  <si>
    <t>Hold ngắn hơn duration: cần gia hạn hoặc nguồn bổ sung</t>
  </si>
  <si>
    <t>Gói (mã)</t>
  </si>
  <si>
    <t>UC03 Đầu vào sản phẩm và tham số cho F01</t>
  </si>
  <si>
    <t>Ô xanh dương là giả định nhập tay; ô xanh lá lấy từ dữ liệu F01. Sản phẩm tài trợ chưa có dữ liệu thật: lãi suất, hạn mức, thời gian có tiền là giả định minh họa.</t>
  </si>
  <si>
    <t>Dùng ở / ghi chú</t>
  </si>
  <si>
    <t>% Rtarget</t>
  </si>
  <si>
    <t>T3-02, T3-05: ngưỡng đổi mức và ranh giới nhẹ/nặng</t>
  </si>
  <si>
    <t>T3-02: thời gian giữ mức mới</t>
  </si>
  <si>
    <t>% PeakGap</t>
  </si>
  <si>
    <t>T3-08: yếu tố chính (chỉ để định tuyến)</t>
  </si>
  <si>
    <t>T3-08: yếu tố phụ</t>
  </si>
  <si>
    <t>T3-09: chưa dùng trong F01_UC03 (cần sự kiện chi đơn lẻ theo ngày)</t>
  </si>
  <si>
    <t>% G</t>
  </si>
  <si>
    <t>T3-32: số rút tối thiểu mỗi nguồn</t>
  </si>
  <si>
    <t>nguồn</t>
  </si>
  <si>
    <t>T3-32: tối đa nguồn mỗi gói</t>
  </si>
  <si>
    <t>T3-06: chế độ Khẩn khi DaysLeft ≤ ngưỡng</t>
  </si>
  <si>
    <t>T3-07: duration ngắn hơn thì loại sản phẩm khóa kỳ hạn hoặc phí cố định</t>
  </si>
  <si>
    <t>% mua</t>
  </si>
  <si>
    <t>T3-14: NCC từ ngưỡng này bị loại khỏi giãn nợ</t>
  </si>
  <si>
    <t>MAX_PER_OPTION</t>
  </si>
  <si>
    <t>T3-32: tối đa nguồn mỗi phương án</t>
  </si>
  <si>
    <t>all_L1</t>
  </si>
  <si>
    <t>T3-11: mọi liên kết yếu tố là L1 (UC01); giả định demo, F01 chưa có bảng loại liên kết</t>
  </si>
  <si>
    <t>ok</t>
  </si>
  <si>
    <t>T3-29: degraded thì mọi nguồn về độ chắc chắn Thấp</t>
  </si>
  <si>
    <t>Bảng sản phẩm (14 dòng); số tiền cơ sở lấy từ F01</t>
  </si>
  <si>
    <t>Sản phẩm</t>
  </si>
  <si>
    <t>Cơ sở (VND)</t>
  </si>
  <si>
    <t>Tỷ lệ ứng</t>
  </si>
  <si>
    <t>Haircut</t>
  </si>
  <si>
    <t>Lãi/năm</t>
  </si>
  <si>
    <t>Phí %</t>
  </si>
  <si>
    <t>Phí cố định</t>
  </si>
  <si>
    <t>Hold (ngày)</t>
  </si>
  <si>
    <t>Chiến lược/thiết yếu</t>
  </si>
  <si>
    <t>Đã cầm cố</t>
  </si>
  <si>
    <t>Có dữ liệu</t>
  </si>
  <si>
    <t>Trả trước được</t>
  </si>
  <si>
    <t>Nguyên nhân</t>
  </si>
  <si>
    <t>Nguồn cơ sở</t>
  </si>
  <si>
    <t>NB-01</t>
  </si>
  <si>
    <t>Thanh lý đầu tư ngắn hạn (bước 0)</t>
  </si>
  <si>
    <t>NB</t>
  </si>
  <si>
    <t>O0</t>
  </si>
  <si>
    <t>OBJ-NB</t>
  </si>
  <si>
    <t>Cao</t>
  </si>
  <si>
    <t>Y</t>
  </si>
  <si>
    <t>Đầu tư ngắn hạn D_F01!B13; ngày có tiền là giả định</t>
  </si>
  <si>
    <t>EX-01</t>
  </si>
  <si>
    <t>Giãn lịch trả NCC không thiết yếu 15–30 ngày</t>
  </si>
  <si>
    <t>AP_EXT</t>
  </si>
  <si>
    <t>O1</t>
  </si>
  <si>
    <t>OBJ-APX</t>
  </si>
  <si>
    <t>Thấp</t>
  </si>
  <si>
    <t>AP</t>
  </si>
  <si>
    <t>Phải trả của NCC không thiết yếu, chưa quá hạn, tỷ trọng mua &lt; PARAM_KEY_PARTNER</t>
  </si>
  <si>
    <t>EX-02</t>
  </si>
  <si>
    <t>Giãn lịch trả NCC thiết yếu</t>
  </si>
  <si>
    <t>OBJ-APS</t>
  </si>
  <si>
    <t>NCC thiết yếu: loại cứng</t>
  </si>
  <si>
    <t>AR-01</t>
  </si>
  <si>
    <t>Thu sớm hóa đơn K1, chiết khấu 1%</t>
  </si>
  <si>
    <t>AR_EARLY</t>
  </si>
  <si>
    <t>O4</t>
  </si>
  <si>
    <t>OBJ-AR-K1</t>
  </si>
  <si>
    <t>Trung bình</t>
  </si>
  <si>
    <t>AR</t>
  </si>
  <si>
    <t>Phải thu K1 chưa quá hạn = C41 − F41</t>
  </si>
  <si>
    <t>AR-02</t>
  </si>
  <si>
    <t>Thu sớm hóa đơn K2</t>
  </si>
  <si>
    <t>OBJ-AR-K2</t>
  </si>
  <si>
    <t>K2 khai báo chiến lược: loại cứng</t>
  </si>
  <si>
    <t>RF-001</t>
  </si>
  <si>
    <t>Tài trợ chuỗi cung ứng đảo ngược (hóa đơn K1)</t>
  </si>
  <si>
    <t>RF</t>
  </si>
  <si>
    <t>O2</t>
  </si>
  <si>
    <t>Cùng hóa đơn K1 với AR-01 và FAC-001: một gói chỉ dùng một</t>
  </si>
  <si>
    <t>FAC-001</t>
  </si>
  <si>
    <t>Bao thanh toán hóa đơn K1</t>
  </si>
  <si>
    <t>FAC</t>
  </si>
  <si>
    <t>Cùng hóa đơn K1</t>
  </si>
  <si>
    <t>FAC-002</t>
  </si>
  <si>
    <t>Bao thanh toán hóa đơn K6</t>
  </si>
  <si>
    <t>OBJ-AR-K6</t>
  </si>
  <si>
    <t>Phải thu K6 chưa quá hạn = C44 − F44</t>
  </si>
  <si>
    <t>INV-001</t>
  </si>
  <si>
    <t>Vay có bảo đảm bằng tồn kho bình thường</t>
  </si>
  <si>
    <t>INV_LOAN</t>
  </si>
  <si>
    <t>OBJ-INV-NOR</t>
  </si>
  <si>
    <t>INV</t>
  </si>
  <si>
    <t>Lô sở hữu, chưa cầm cố, không tồn lâu/đơn hủy</t>
  </si>
  <si>
    <t>INV-002</t>
  </si>
  <si>
    <t>Bán xả lô tồn lâu TP/HH</t>
  </si>
  <si>
    <t>INV_SALE</t>
  </si>
  <si>
    <t>O3</t>
  </si>
  <si>
    <t>OBJ-INV-SLOW</t>
  </si>
  <si>
    <t>Lô tồn lâu, không phải NVL/BTP, đơn không hủy; haircut 12,5% giả định</t>
  </si>
  <si>
    <t>INV-003</t>
  </si>
  <si>
    <t>Vay có bảo đảm lô đã cầm cố</t>
  </si>
  <si>
    <t>OBJ-INV-PLG</t>
  </si>
  <si>
    <t>Lô đã cầm cố: loại cứng</t>
  </si>
  <si>
    <t>CL-001</t>
  </si>
  <si>
    <t>Hạn mức tín dụng quay vòng 1</t>
  </si>
  <si>
    <t>CL</t>
  </si>
  <si>
    <t>LIM-CL-001</t>
  </si>
  <si>
    <t>Hạn mức còn trống: giả định demo (F01 chưa có dữ liệu hạn mức)</t>
  </si>
  <si>
    <t>CL-002</t>
  </si>
  <si>
    <t>Hạn mức tín dụng quay vòng 2</t>
  </si>
  <si>
    <t>LIM-CL-002</t>
  </si>
  <si>
    <t>Hạn mức còn trống: giả định demo</t>
  </si>
  <si>
    <t>TT-001</t>
  </si>
  <si>
    <t>Thấu chi (chưa có dữ liệu sản phẩm)</t>
  </si>
  <si>
    <t>LIM-TT-001</t>
  </si>
  <si>
    <t>Chưa có dữ liệu: loại</t>
  </si>
  <si>
    <t>Nhóm được phép theo kịch bản (SCEN, T3-12)</t>
  </si>
  <si>
    <t>Nhóm \ Kịch bản</t>
  </si>
  <si>
    <t>A1</t>
  </si>
  <si>
    <t>A2</t>
  </si>
  <si>
    <t>A3</t>
  </si>
  <si>
    <t>A4</t>
  </si>
  <si>
    <t>Hạn mức CL không thuộc nhóm nguyên nhân nên chỉ xếp theo tốc độ. Kịch bản C1, C2, D không có sản phẩm.</t>
  </si>
  <si>
    <t>Nhóm xử lý đúng nguyên nhân (T3-12, bỏ khi chế độ Khẩn)</t>
  </si>
  <si>
    <t>UC03</t>
  </si>
  <si>
    <t>run_id, policy_version, as_of, TH, W, cell, scenario, gap_shape, gap_severity, model_health</t>
  </si>
  <si>
    <t>string, enum, date</t>
  </si>
  <si>
    <t>Cùng snapshot với UC02. scenario A1–A4, B1–B2, C1–C2, D. Chỉ TH01 có tranches[]; TH02 và TH03 không sinh đề xuất vay.</t>
  </si>
  <si>
    <t>tranches[]: tranche_no, need_date, days_left, mode, gap_incremental, gap_cumulative, covered, remaining_gap</t>
  </si>
  <si>
    <t>object[], tối đa 2</t>
  </si>
  <si>
    <t>mode THƯỜNG hoặc KHẨN (DaysLeft ≤ 7). Số cần thêm đợt sau = lũy kế − đợt trước.</t>
  </si>
  <si>
    <t>tranches[].package[]: product_id, option (O0–O4), object_id, draw, cost, cost_per_gap, days_to_fund, speed_band, certainty, rank, covers_duration</t>
  </si>
  <si>
    <t>Tối đa 4 nguồn mỗi gói, 2 nguồn mỗi phương án; covers_duration = false kèm NOT_COVERING_DURATION. Mọi số lấy từ đầu ra, AI không tự tính.</t>
  </si>
  <si>
    <t>totals, excluded[], flags[], requires_human_decision, assumptions[]</t>
  </si>
  <si>
    <t>object, list, bool</t>
  </si>
  <si>
    <t>excluded[] có reason_code (PLEDGED, STRATEGIC_OR_CRITICAL, DISPUTED, PROGRAM_HEADROOM_EXHAUSTED, NO_PRODUCT_DATA, NO_NET_CASH, OUT_OF_SCENARIO, TOO_SLOW, BELOW_MIN_DRAW); flags[] gồm resolved_with_shifted_risk, TOO_SLOW, NOT_COVERING_DURATION, REVIEW_MANUAL.</t>
  </si>
  <si>
    <t xml:space="preserve">6. Gói theo thứ hạng </t>
  </si>
  <si>
    <t>Đặc tả công thức và workbook kiểm thử UC01–UC04 trên một doanh nghiệp F01 gia công CMT. Toàn bộ dữ liệu hư cấu.</t>
  </si>
  <si>
    <t>Giữ công thức UC01–UC03 của v8; bổ sung UC4_Cong_thuc, UC4_Huong_dan và F01_UC4.</t>
  </si>
  <si>
    <t>1. Đọc Read_me → 2. Xem bảng công thức UC1/UC2/UC3/UC4 → 3. Kiểm tra Nguong → 4. Xem các bảng minh họa F01 → 5. Đối soát Kiem_thu và kiểm tra UC04.</t>
  </si>
  <si>
    <t>Bổ sung UC04</t>
  </si>
  <si>
    <t>Gộp UC04 mô phỏng trực tiếp từ UC01–UC02 vào bộ UC01–UC02–UC03 v8; không thay công thức, dữ liệu và kết quả hiện có của ba UC.</t>
  </si>
  <si>
    <t>UC4_Cong_thuc; UC4_Huong_dan; F01_UC4</t>
  </si>
  <si>
    <t>Dữ liệu UC04 theo v8</t>
  </si>
  <si>
    <t>UC04 dùng đầy đủ F01_UC2!A220:Y341 (122 dòng sự kiện), gồm 30 dòng điện/vận tải bổ sung và cờ chống trùng của UC02.</t>
  </si>
  <si>
    <t>Thiết lập B5:B27; đường tiền A50:O141; sự kiện A150:S272; tuần dòng 306; kiểm tra dòng 324.</t>
  </si>
  <si>
    <t>Cách thử UC04</t>
  </si>
  <si>
    <t>Chọn kịch bản tại F01_UC4!B5; các giả định là số liệu minh họa. UC04 chưa dùng sản phẩm tài trợ UC03, không gửi hành động hoặc thay snapshot.</t>
  </si>
  <si>
    <t>Giữ nguyên Cash0, ngưỡng và nền UC02; không xóa nghĩa vụ bị giãn ngoài kỳ.</t>
  </si>
  <si>
    <t>UC04 Mô phỏng tác động lên dòng tiền</t>
  </si>
  <si>
    <t>U4-01</t>
  </si>
  <si>
    <t>01. Phạm vi và dữ liệu</t>
  </si>
  <si>
    <t>Đường tiền đối chiếu</t>
  </si>
  <si>
    <t>Lấy kết quả UC02 làm điểm xuất phát, không dựng lại lịch tùy ý.</t>
  </si>
  <si>
    <t>Base = UC02.daily
Events = UC02.cash_events
Giữ firm, snapshot, kỳ, Cash0, dự trữ và phiên bản</t>
  </si>
  <si>
    <t>F01_UC2!A70:M160; A220:Y341; D_F01</t>
  </si>
  <si>
    <t>Workbook bắt đầu bằng D_F01!B19=1 (Base). Có thể thử nền UC02 khác, nhãn phải đổi theo.</t>
  </si>
  <si>
    <t>Run UC01/UC02 khác firm/snapshot → chặn. Không ghép run-off và continuing như cùng cơ sở.</t>
  </si>
  <si>
    <t>U4-02</t>
  </si>
  <si>
    <t>Đối tượng mô phỏng</t>
  </si>
  <si>
    <t>Chọn khách, NCC và lô từ kết quả chẩn đoán, rồi nối đến sự kiện tiền.</t>
  </si>
  <si>
    <t>Candidate = UC01.drivers
AffectedEvents = Events có entity_id/source_id được chọn</t>
  </si>
  <si>
    <t>UC01; D_sales; D_purchases; D_inventory</t>
  </si>
  <si>
    <t>ID gốc, không nối bằng tên. Bản minh họa chọn 1 khách, 1 NCC, 1 lô; backend nhận danh sách event.</t>
  </si>
  <si>
    <t>ID / danh sách</t>
  </si>
  <si>
    <t>Điểm nghẽn UC01 chưa chắc tạo gap. Chỉ mô tả tác động do phép thử; không khẳng định quan hệ nhân quả đã được chứng minh.</t>
  </si>
  <si>
    <t>U4-03</t>
  </si>
  <si>
    <t>Kiểm tra giả định</t>
  </si>
  <si>
    <t>Phân biệt giá trị 0 đã nhập với thiếu đầu vào.</t>
  </si>
  <si>
    <t>0 ≤ Share ≤1; Days ≥0 và nguyên
0 ≤ Discount, Fee, Recovery, SaleCost ≤1
ID có thật; ngày hợp lệ; số tiền không vượt dư</t>
  </si>
  <si>
    <t>F01_UC4!B5:B27</t>
  </si>
  <si>
    <t>0%/0 ngày là lựa chọn không tác động. Rmin≤Rtarget≤Rupper; Rtarget&gt;0.</t>
  </si>
  <si>
    <t>Hợp lệ / lỗi</t>
  </si>
  <si>
    <t>Sai tham số → rejected; nguồn mâu thuẫn → invalid_data; thiếu dữ liệu cần thiết → missing_data. Không cắt số sai về mức hợp lệ.</t>
  </si>
  <si>
    <t>U4-04</t>
  </si>
  <si>
    <t>02. Thu sớm hoặc thu chậm</t>
  </si>
  <si>
    <t>Phần tiền chuyển lịch</t>
  </si>
  <si>
    <t>Chỉ chuyển một phần khoản thu; phần còn lại giữ lịch cũ.</t>
  </si>
  <si>
    <t>Moved_i = Amount_i × ShareAR
Remain_i = Amount_i − Moved_i</t>
  </si>
  <si>
    <t>UC02 event IN, category Thu công nợ; AR_share</t>
  </si>
  <si>
    <t>Đúng customer_id, hóa đơn mở. Lịch confirmed giữ nguyên trừ khi bật giả định thay cam kết.</t>
  </si>
  <si>
    <t>Một phần hóa đơn chỉ được phân bổ một lần. Không dùng Rev/ngày × số ngày như tiền sẽ thu.</t>
  </si>
  <si>
    <t>U4-05</t>
  </si>
  <si>
    <t>Ngày thu mới</t>
  </si>
  <si>
    <t>Có thể thử cả thu sớm và khách trả chậm.</t>
  </si>
  <si>
    <t>Thu sớm: NewDate_i = MAX(Start; OldDate_i − EarlyDays)
Stress chậm: NewDate_i = OldDate_i + LateDays</t>
  </si>
  <si>
    <t>Ngày thu UC02; số ngày do người dùng nhập</t>
  </si>
  <si>
    <t>Chỉ tương lai sau AsOf; stress mới thay thế thao tác thu sớm trên cùng phần tiền.</t>
  </si>
  <si>
    <t>Không dịch lịch sử, không coi khách đã đồng ý. Lịch xác nhận bị thay phải có cờ và lý do.</t>
  </si>
  <si>
    <t>U4-06</t>
  </si>
  <si>
    <t>Thu ròng và chiết khấu</t>
  </si>
  <si>
    <t>Thu nhanh hơn có thể phải chấp nhận giảm số tiền.</t>
  </si>
  <si>
    <t>DiscountCost_i = Moved_i × Discount
NewReceipt_i = Moved_i − DiscountCost_i</t>
  </si>
  <si>
    <t>AR_discount; U4-04</t>
  </si>
  <si>
    <t>Chiết khấu chỉ áp phần thực sự được thu sớm; không áp ngày không thay đổi hoặc stress thu chậm.</t>
  </si>
  <si>
    <t>Workbook ghi khoản chiết khấu bằng giảm thu, không ghi thêm OUT lần hai. Không tự đặt chiết khấu 0 khi chưa biết trong vận hành.</t>
  </si>
  <si>
    <t>U4-07</t>
  </si>
  <si>
    <t>03. Giãn trả nhà cung cấp</t>
  </si>
  <si>
    <t>Phần chi chuyển lịch</t>
  </si>
  <si>
    <t>Giãn chi tạo khoảng đệm thời gian, không xóa nợ.</t>
  </si>
  <si>
    <t>MovedPay_i = Amount_i × ShareAP
RemainPay_i = Amount_i − MovedPay_i
NewPayDate_i = OldDate_i + ExtendDays</t>
  </si>
  <si>
    <t>UC02 OUT / Trả NCC; supplier_id</t>
  </si>
  <si>
    <t>Chỉ khoản thương mại đã chọn. Lương, thuế, gốc/lãi vay không áp đòn bẩy này.</t>
  </si>
  <si>
    <t>NCC thiết yếu chỉ mô phỏng khi có xác nhận giả định được phép thử. Không coi xác nhận mô phỏng là thỏa thuận thật.</t>
  </si>
  <si>
    <t>U4-08</t>
  </si>
  <si>
    <t>Phí giãn trả</t>
  </si>
  <si>
    <t>Đưa đủ chi phí vào lịch trả mới.</t>
  </si>
  <si>
    <t>ExtensionFee_i = MovedPay_i × FeeAP
NewPayment_i = MovedPay_i + ExtensionFee_i</t>
  </si>
  <si>
    <t>AP_fee_pct; U4-07</t>
  </si>
  <si>
    <t>Phí phần trăm một lần trong bản đầu; biết ngày chi cùng ngày trả mới.</t>
  </si>
  <si>
    <t>NCC từ chối trong stress → giữ lịch cũ, không phí. Mất chiết khấu chỉ tính khi đã mô hình trong nền, không cộng tùy ý.</t>
  </si>
  <si>
    <t>U4-09</t>
  </si>
  <si>
    <t>04. Bán một phần tồn kho</t>
  </si>
  <si>
    <t>Lô được phép thử bán</t>
  </si>
  <si>
    <t>Không lấy hàng của khách hoặc hàng vướng quyền làm tiền của F01.</t>
  </si>
  <si>
    <t>EligibleLot = Owner=F01 AND Pledged=không AND UserSaleAssumption=1
ReleasedBook = OwnedValue × SaleShare</t>
  </si>
  <si>
    <t>D_inventory!A:M; sale_assumption</t>
  </si>
  <si>
    <t>Kiểm tra lượng bán≤lượng lô. Bản đầu chỉ bán lô chưa có khoản thu bán tương ứng trong nền.</t>
  </si>
  <si>
    <t>VND giá ghi sổ</t>
  </si>
  <si>
    <t>Hàng HGC, cầm cố hoặc chưa rõ cầm cố → chặn đòn bẩy lô đó. Muốn thử cần bổ sung bằng chứng, không sửa D_inventory để vượt chặn.</t>
  </si>
  <si>
    <t>U4-10</t>
  </si>
  <si>
    <t>Tiền bán hàng và phí</t>
  </si>
  <si>
    <t>Giá ghi sổ giảm không đồng nghĩa thu được từng ấy tiền.</t>
  </si>
  <si>
    <t>SaleGross = ReleasedBook × RecoveryRate
SaleCashCost = SaleGross × SaleCostRate
SaleNet = SaleGross − SaleCashCost</t>
  </si>
  <si>
    <t>Tỷ lệ bán; tỷ lệ thu hồi; tỷ lệ chi phí</t>
  </si>
  <si>
    <t>Demo RecoveryRate từ 0 đến 100% giá ghi sổ; không tự đặt giá thị trường.</t>
  </si>
  <si>
    <t>Chênh lệch giá ghi sổ và tiền bán là tổn thất giá trị mô phỏng, không là một dòng tiền chi thêm.</t>
  </si>
  <si>
    <t>U4-11</t>
  </si>
  <si>
    <t>Ngày bán và ngày thu</t>
  </si>
  <si>
    <t>Chỉ phát sinh tiền khi giả định có giao dịch và thời điểm thu rõ.</t>
  </si>
  <si>
    <t>SaleDate = Start + SaleLag
SaleReceiptDate = SaleDate + ReceiptLag
Kho giảm tại SaleDate; tiền về tại SaleReceiptDate</t>
  </si>
  <si>
    <t>F01_UC4 tham số lô; nhật ký giả định</t>
  </si>
  <si>
    <t>Bản minh họa ReceiptLag=0, thu ngay; backend cho phép trả chậm.</t>
  </si>
  <si>
    <t>Tái sử dụng nguyên liệu hoặc ghi giảm giá trị chưa tạo tiền; chỉ ghi giảm chi mua khi có kế hoạch mua thay thế tương ứng được điều chỉnh.</t>
  </si>
  <si>
    <t>U4-12</t>
  </si>
  <si>
    <t>05. Cập nhật đường tiền</t>
  </si>
  <si>
    <t>Dòng tiền chênh lệch</t>
  </si>
  <si>
    <t>Đảo đúng lịch cũ của phần được chuyển, rồi thêm lịch mới.</t>
  </si>
  <si>
    <t>ΔAR_d = Σ NewReceipt tại d − Σ MovedAR ở ngày cũ
ΔAP_d = Σ MovedAP ở ngày cũ − Σ NewPayment tại d
ΔINV_d = SaleNet tại ngày thu
ΔNet_d = ΔAR_d + ΔAP_d + ΔINV_d</t>
  </si>
  <si>
    <t>U4-04…11; ledger có source_event_id</t>
  </si>
  <si>
    <t>Phần không dịch giữ nguyên trong nền. Hướng tiền IN dương, OUT âm.</t>
  </si>
  <si>
    <t>Không cộng toàn bộ số tiền chuyển vào Cash0. Không cộng lại MoneyAtRisk, tồn lâu hay phải thu quá hạn.</t>
  </si>
  <si>
    <t>U4-13</t>
  </si>
  <si>
    <t>Tiền cuối ngày sau mô phỏng</t>
  </si>
  <si>
    <t>Dùng chung Cash0 và các nghĩa vụ không thay đổi.</t>
  </si>
  <si>
    <t>CashAfter_d = CashBase_d + Σ ΔNet đến ngày d</t>
  </si>
  <si>
    <t>UC02.daily; U4-12</t>
  </si>
  <si>
    <t>Bản sao kịch bản, không sửa dữ liệu nguồn hoặc snapshot.</t>
  </si>
  <si>
    <t>VND, giữ số âm</t>
  </si>
  <si>
    <t>Đồng nhất với cách tính Cash0+thu sau−chi sau; chênh lệch &gt;1 VND thì không phát hành.</t>
  </si>
  <si>
    <t>U4-14</t>
  </si>
  <si>
    <t>Khoản ngoài kỳ</t>
  </si>
  <si>
    <t>Giãn nợ ra sau 13 tuần vẫn phải được ghi nhận.</t>
  </si>
  <si>
    <t>TailPay = Σ NewPayment có NewDate&gt;End
TailReceipt = Σ NewReceipt có NewDate&gt;End
Nếu phát sinh ngoài kỳ: lập lịch kiểm tiếp đến ngày cuối của các khoản bị chuyển</t>
  </si>
  <si>
    <t>Ledger phần dịch; không xóa ngày ngoài kỳ</t>
  </si>
  <si>
    <t>Trong kỳ chỉ cộng đúng ngày; phần ngoài kỳ hiển thị riêng.</t>
  </si>
  <si>
    <t>TailPay&gt;0 → kết luận chưa đủ đánh giá toàn bộ nghĩa vụ, không gọi đã giải quyết. Workbook chỉ tính 91 ngày và hiện Tail; backend phải mở rộng nguồn nghĩa vụ trước kết luận toàn kỳ mở rộng.</t>
  </si>
  <si>
    <t>U4-15</t>
  </si>
  <si>
    <t>06. So sánh và cảnh báo</t>
  </si>
  <si>
    <t>Thiếu tiền và cảnh báo</t>
  </si>
  <si>
    <t>Dùng lại ngưỡng của UC02 để so trước/sau.</t>
  </si>
  <si>
    <t>GapAfter_d = MAX(0; Rtarget_d − CashAfter_d)
GapZeroAfter_d = MAX(0; −CashAfter_d)
Màu = quy tắc T2, giữ ngưỡng Nguong</t>
  </si>
  <si>
    <t>Rmin, Rtarget, Rupper; Nguong!B62:B63</t>
  </si>
  <si>
    <t>Đỏ trước: Cash&lt;0 hoặc Cash&lt;Rmin hoặc GapRatio&gt;50%; rồi Cam&gt;20%; Vàng&gt;0.</t>
  </si>
  <si>
    <t>VND; màu / nhãn</t>
  </si>
  <si>
    <t>Không thêm ngưỡng UC04 khác UC02. Không cộng GapZero với GapBuffer.</t>
  </si>
  <si>
    <t>U4-16</t>
  </si>
  <si>
    <t>Đáy và mức thiếu lớn nhất</t>
  </si>
  <si>
    <t>Kết quả chính cho doanh nghiệp.</t>
  </si>
  <si>
    <t>MinCashAfter = MIN(CashAfter_d)
PeakGapAfter = MAX(GapAfter_d)
GapReduction = PeakGapBase − PeakGapAfter</t>
  </si>
  <si>
    <t>daily trước/sau</t>
  </si>
  <si>
    <t>Đáy trước và sau có thể khác ngày; hiển thị cả hai ngày.</t>
  </si>
  <si>
    <t>GapReduction&lt;0 là xấu hơn. Đỉnh cả kỳ giảm không chứng minh mọi đợt thiếu được cải thiện.</t>
  </si>
  <si>
    <t>U4-17</t>
  </si>
  <si>
    <t>Ngày thiếu và ngày xấu đi</t>
  </si>
  <si>
    <t>Phát hiện tác dụng ngược, kể cả ngày đã thiếu từ trước.</t>
  </si>
  <si>
    <t>GapDays = COUNT(CashAfter&lt;Rtarget)
NewGapDays = COUNT(GapBase=0 AND GapAfter&gt;0)
WorseGapDays = COUNT(GapAfter&gt;GapBase+1 VND)</t>
  </si>
  <si>
    <t>daily trước/sau; tolerance=1 VND</t>
  </si>
  <si>
    <t>Cùng toàn bộ horizon; ngày bằng ngưỡng không là vi phạm.</t>
  </si>
  <si>
    <t>Chỉ kiểm ngày thiếu mới là chưa đủ: ngày thiếu cũ có thể nặng hơn. Không bỏ qua phí làm xấu ngày khác.</t>
  </si>
  <si>
    <t>U4-18</t>
  </si>
  <si>
    <t>Tác động tại một ngày trọng yếu</t>
  </si>
  <si>
    <t>Biết phương án có giúp kịp ngày cần tiền không.</t>
  </si>
  <si>
    <t>CashLiftAtDate = CashAfter_t − CashBase_t
GapReductionAtDate = GapBase_t − GapAfter_t</t>
  </si>
  <si>
    <t>critical_date do người dùng chọn hoặc ngày đáy nền</t>
  </si>
  <si>
    <t>Không tự lấy ngày đáy sau để so với ngày đáy trước như cùng ngày.</t>
  </si>
  <si>
    <t>Ngày ngoài horizon → invalid_request; cải thiện tại một ngày không thay kiểm tra toàn kỳ.</t>
  </si>
  <si>
    <t>U4-19</t>
  </si>
  <si>
    <t>Hiệu quả riêng đợt thiếu</t>
  </si>
  <si>
    <t>Gắn điểm nghẽn với đợt tiền cụ thể mà không cần UC03.</t>
  </si>
  <si>
    <t>TargetEpisode = UC02.episodes[episode_id]
EpisodePeakAfter = MAX(GapAfter trong đoạn Start…End)
EpisodeReduction = EpisodePeakBase − EpisodePeakAfter</t>
  </si>
  <si>
    <t>UC02 episodes + source_event_ids</t>
  </si>
  <si>
    <t>Bản minh họa đối chiếu toàn 91 ngày; backend nhận episode_id tùy chọn từ UC02.</t>
  </si>
  <si>
    <t>Không có đợt thiếu vẫn cho phép stress. Không trả not_applicable cho toàn UC04 chỉ vì doanh nghiệp hiện chưa thiếu.</t>
  </si>
  <si>
    <t>U4-20</t>
  </si>
  <si>
    <t>Chi phí và giảm giá trị</t>
  </si>
  <si>
    <t>Tách tiền phải trả và phần giá trị không thu hồi.</t>
  </si>
  <si>
    <t>CashCost = Σ DiscountCost + Σ ExtensionFee + SaleCashCost
BookShortfall = MAX(0; ReleasedBook − SaleGross)
EconomicCost = CashCost + BookShortfall</t>
  </si>
  <si>
    <t>U4-06; U4-08; U4-10</t>
  </si>
  <si>
    <t>Hiển thị từng cấu phần; chiết khấu là thu giảm, phí bán là chi phí tiền.</t>
  </si>
  <si>
    <t>Không trừ EconomicCost lần nữa khỏi CashAfter. Thuế chưa mô hình → provisional và nêu net_noVAT.</t>
  </si>
  <si>
    <t>U4-21</t>
  </si>
  <si>
    <t>Kết luận phép thử</t>
  </si>
  <si>
    <t>Nêu phần còn thiếu, không ép luôn có phương án giải quyết.</t>
  </si>
  <si>
    <t>Nếu nguồn/giả định không hợp lệ → không phát hành
Nếu có nghĩa vụ dời ngoài kỳ → Chưa đủ đánh giá
Nếu không ngày dưới Rtarget → Không thiếu trong phạm vi đã mô phỏng
Nếu WorseGapDays&gt;0 → Có ngày xấu đi
Nếu có cải thiện và còn gap → Cải thiện một phần
Còn lại → Không cải thiện</t>
  </si>
  <si>
    <t>Kết quả U4-14…20</t>
  </si>
  <si>
    <t>Mọi kết luận giữ nhãn provisional vì là giả định; không phải chấp thuận đối tác.</t>
  </si>
  <si>
    <t>Trạng thái và lý do</t>
  </si>
  <si>
    <t>Giảm số ngày thiếu nhưng đáy không đổi vẫn phải nêu tác động có giới hạn. Không dùng nhãn bền vững chỉ từ một kịch bản.</t>
  </si>
  <si>
    <t>U4-22</t>
  </si>
  <si>
    <t>07. Stress và trường hợp dư</t>
  </si>
  <si>
    <t>Khách trả ít hơn kỳ vọng thu sớm</t>
  </si>
  <si>
    <t>Thử mức thực hiện của phương án thu sớm.</t>
  </si>
  <si>
    <t>MovedAR_stress = MovedAR_plan × 50%
Phần còn lại vẫn về theo lịch nền</t>
  </si>
  <si>
    <t>case=2 hoặc 5; hệ số editable 50%</t>
  </si>
  <si>
    <t>Đây là chỉ thu sớm được một phần, không phải mất 50% công nợ.</t>
  </si>
  <si>
    <t>Nếu thử không thu được tiền phải tạo kịch bản riêng có ngày và tỷ lệ thực nhận; không đánh đồng chậm thu với mất nợ.</t>
  </si>
  <si>
    <t>U4-23</t>
  </si>
  <si>
    <t>NCC từ chối hoặc tồn bán chậm</t>
  </si>
  <si>
    <t>Kiểm tra phụ thuộc vào sự đồng ý và nhu cầu mua.</t>
  </si>
  <si>
    <t>Từ chối giãn → ShareAP_active=0
Tồn bán chậm → SaleDate_active=SaleDate_plan+StressSaleDays</t>
  </si>
  <si>
    <t>case=3/4/5; stress_sale_days</t>
  </si>
  <si>
    <t>Có thể phối hợp với stress thu sớm một phần trong cùng bộ tính.</t>
  </si>
  <si>
    <t>Ngày; tỷ lệ</t>
  </si>
  <si>
    <t>Mỗi stress chỉ đổi giả định đã định nghĩa; không tự thay cả Cash0, ngưỡng hay chi bắt buộc.</t>
  </si>
  <si>
    <t>U4-24</t>
  </si>
  <si>
    <t>Stress khách trả chậm</t>
  </si>
  <si>
    <t>Dùng được cả khi nền đang đủ hoặc dư tiền.</t>
  </si>
  <si>
    <t>AR NewDate = OldDate + StressLateDays
AR_share_active = AR_share_plan
AR_discount_active=0</t>
  </si>
  <si>
    <t>case=6; customer_id; share; stress_late_days</t>
  </si>
  <si>
    <t>Không áp đồng thời thu sớm và chậm lên cùng phần tiền.</t>
  </si>
  <si>
    <t>Nền không có tín hiệu vẫn được phép thử; kết quả chưa cảnh báo không chứng minh an toàn ngoài phạm vi dữ liệu.</t>
  </si>
  <si>
    <t>U4-25</t>
  </si>
  <si>
    <t>Dư tiền và SafeCash</t>
  </si>
  <si>
    <t>Không coi toàn bộ tiền dư trên tài khoản là có thể dùng.</t>
  </si>
  <si>
    <t>TH03_after: không ngày dưới Rtarget và chuỗi Cash&gt;Rupper≥14 ngày
SafeCash đến T = MAX(0; MIN(CashBase_d−Rtarget_d; d từ ngày dùng tiền đến T))</t>
  </si>
  <si>
    <t>daily đầy đủ đến ngày cần thu hồi; TH sau chỉ tham khảo</t>
  </si>
  <si>
    <t>Nếu phân bổ thực tế cần đường tiền bất lợi và mọi nghĩa vụ trong kỳ ràng buộc.</t>
  </si>
  <si>
    <t>Bản đầu không tự mô phỏng đầu tư/trả nợ sớm, không xếp hạng sản phẩm. Thiếu dữ liệu sau horizon → không kết luận SafeCash cho kỳ dài hơn.</t>
  </si>
  <si>
    <t>U4-26</t>
  </si>
  <si>
    <t>08. Giới hạn chỉ số và đầu ra</t>
  </si>
  <si>
    <t>CCC tại ngày chốt</t>
  </si>
  <si>
    <t>Giữ kết quả UC01 làm mốc chẩn đoán.</t>
  </si>
  <si>
    <t>DSO/ DIO/ DPO/ CCC tại AsOf không đổi
CashDaysAR = Σ MovedAR_i × (OldDate_i−NewDate_i) / Rev
CashDaysAP = Σ MovedAP_i × (NewDate_i−OldDate_i) / COGS</t>
  </si>
  <si>
    <t>Rev, COGS của UC01; phần tiền dịch thực sự</t>
  </si>
  <si>
    <t>Hai CashDays là ngày vốn tương đương theo lượng tiền×thời gian / lưu lượng kỳ. Không phải CCC_after và không cộng vào dòng tiền.</t>
  </si>
  <si>
    <t>Ngày vốn tương đương</t>
  </si>
  <si>
    <t>Rev/COGS≤0 → null; thu chậm cho CashDaysAR âm. Cách này khác ngày giảm DSO bền vững. Không quy đổi thành lãi tiết kiệm tự động.</t>
  </si>
  <si>
    <t>U4-27</t>
  </si>
  <si>
    <t>Chống đếm trùng và bất biến</t>
  </si>
  <si>
    <t>Một hóa đơn không được nhận thêm tiền hai lần.</t>
  </si>
  <si>
    <t>Σ Remain_i + Σ Moved_i = Σ Amount_i
CashAfter_End−CashBase_End = Σ ΔNet trong kỳ
OriginalSnapshotHash_before = after</t>
  </si>
  <si>
    <t>Ledger; source_event_id; phần phân bổ</t>
  </si>
  <si>
    <t>Lô đã có khoản thu bán trong nền phải thay phần thu đó thay vì thêm toàn bộ thu mới; demo chưa hỗ trợ overlap này.</t>
  </si>
  <si>
    <t>VND; hash</t>
  </si>
  <si>
    <t>Trùng event hoặc vượt phần dư → invalid_data. Không ghi vào nguồn gốc, không chuyển mô phỏng thành giao dịch thật.</t>
  </si>
  <si>
    <t>U4-28</t>
  </si>
  <si>
    <t>Trạng thái và bằng chứng</t>
  </si>
  <si>
    <t>Đầu ra phải chỉ được tính từ đúng lượt mô phỏng.</t>
  </si>
  <si>
    <t>meta = firm + run nguồn + snapshot + versions + giả định
result = metrics_before/after + daily + weekly + tail
facts = giá trị có unit, date, entity, evidence_id</t>
  </si>
  <si>
    <t>UC4_Huong_dan hợp đồng output</t>
  </si>
  <si>
    <t>Backend Decimal, ROUND_HALF_UP; tiền kiểm 1 VND; ngày hiển thị dd/mm/yyyy.</t>
  </si>
  <si>
    <t>LLM không tính thêm, không hứa thu được tiền, không nói NCC đã đồng ý. Chỉ mô phỏng đọc; chưa tạo bản nháp phê duyệt.</t>
  </si>
  <si>
    <t>U4-29</t>
  </si>
  <si>
    <t>So các phương án đã thử</t>
  </si>
  <si>
    <t>Giúp người dùng so sánh nhưng không tự cấp vốn hay ra quyết định.</t>
  </si>
  <si>
    <t>Chỉ so run cùng nền và giả định chi phí đầy đủ
So lần lượt: gap còn lại, ngày xấu đi, đuôi nghĩa vụ, chi phí, mức phụ thuộc giả định</t>
  </si>
  <si>
    <t>Các simulate_scenario đã lưu</t>
  </si>
  <si>
    <t>Workbook dùng một selector, tính một phương án tại một thời điểm; cột đối chiếu là nền UC02.</t>
  </si>
  <si>
    <t>Bảng so sánh</t>
  </si>
  <si>
    <t>Chưa gọi tối ưu, chưa có recommendation tự động. Backend có thể lưu các run độc lập, không dùng snapshot giá trị cũ như kết quả đang tính.</t>
  </si>
  <si>
    <t>U4-30</t>
  </si>
  <si>
    <t>Đợt thiếu sau và ma trận</t>
  </si>
  <si>
    <t>Đánh giá trạng thái tiền mới nhưng không xóa chẩn đoán cũ.</t>
  </si>
  <si>
    <t>TH_after = quy tắc UC02 trên đường tiền sau
Matrix_after = M(3×W_index+TH_index)</t>
  </si>
  <si>
    <t>W tại AsOf; TH_after; cùng cơ sở nền</t>
  </si>
  <si>
    <t>Nếu không phải nền Base thì TH/matrix chỉ là tham khảo; W không thay do thao tác tương lai.</t>
  </si>
  <si>
    <t>W / TH / M</t>
  </si>
  <si>
    <t>Không đổi W2 thành W0 vì tiền tạm dư. Mức màu tính riêng, không suy từ ô M.</t>
  </si>
  <si>
    <t>UC04 Phạm vi và hướng dẫn triển khai</t>
  </si>
  <si>
    <t>Quy tắc áp dụng</t>
  </si>
  <si>
    <t>Vị trí / ví dụ</t>
  </si>
  <si>
    <t>Luồng tổng thể</t>
  </si>
  <si>
    <t>UC01 chọn đối tượng → UC02 cung cấp lịch tiền → UC04 thay giả định trên bản sao → so trước/sau và stress.</t>
  </si>
  <si>
    <t>Không cần chạy UC03. Không mặc định khách/NCC đã chấp thuận.</t>
  </si>
  <si>
    <t>F01_UC4: thiết lập A4:C40; kết quả E4:H40; ngày dòng 50; sự kiện dòng 150; tuần dòng 306.</t>
  </si>
  <si>
    <t>Phạm vi bản đầu</t>
  </si>
  <si>
    <t>Ba đòn bẩy nội bộ: thu sớm/chậm, giãn trả NCC, bán lô tồn sở hữu.</t>
  </si>
  <si>
    <t>Không gồm vay, tài trợ hóa đơn, đầu tư tiền dư, gửi thư hoặc phê duyệt hành động. Không đổi SRS trong lần này.</t>
  </si>
  <si>
    <t>Bản thiết kế công thức chờ duyệt. UC03 vẫn có thể nối thêm sau.</t>
  </si>
  <si>
    <t>Đối chiếu draft cũ</t>
  </si>
  <si>
    <t>Giữ bản sao bất biến, dịch sự kiện, kiểm tra gap mới, chi phí và bằng chứng.</t>
  </si>
  <si>
    <t>Bỏ phụ thuộc TV3_Nguong/TV3_Dot_thieu/D_catalogue; bỏ bộ F02/F03, bảng bản nháp và submit_action.</t>
  </si>
  <si>
    <t>Draft cũ có 30 sheet, gồm cả UC03 và dữ liệu cũ. Bản mới chỉ bổ sung 3 sheet.</t>
  </si>
  <si>
    <t>Sửa điểm nghiệp vụ</t>
  </si>
  <si>
    <t>Không dùng doanh thu bình quân×ngày để thay AR/AP tại ngày chốt; không mặc định tài trợ được loại AR; không coi toàn bộ thiếu biến mất khi hết một đợt.</t>
  </si>
  <si>
    <t>Giữ CCC lịch sử; tập trung tiền theo ngày, ngày xấu đi và nghĩa vụ ngoài kỳ.</t>
  </si>
  <si>
    <t>U4-14, U4-17, U4-26. Không suy tiết kiệm lãi khi chưa có lịch dư nợ thực.</t>
  </si>
  <si>
    <t>Dùng chung dữ liệu</t>
  </si>
  <si>
    <t>F01, ngày chốt 20/06/2026; chẩn đoán 01/01–20/06; forecast 21/06–19/09.</t>
  </si>
  <si>
    <t>Không chép lại D_* từ TV4 draft. UC04 nối trực tiếp sự kiện UC02 và lô từ D_inventory.</t>
  </si>
  <si>
    <t>D_F01, D_sales, D_purchases, D_inventory, D_flows giữ nguyên.</t>
  </si>
  <si>
    <t>Mã công thức</t>
  </si>
  <si>
    <t>UC04 dùng mã U4-01…U4-30 để phân biệt bản draft T4 cũ.</t>
  </si>
  <si>
    <t>Bảng 9 cột giống UC1/UC2_Cong_thuc; mỗi phép có đầu vào, điều kiện và ngoại lệ.</t>
  </si>
  <si>
    <t>Không gộp công thức và yêu cầu quyền thành một phép toán.</t>
  </si>
  <si>
    <t>Kịch bản đang chọn</t>
  </si>
  <si>
    <t>0 Giữ nguyên; 1 Thực hiện giả định; 2 Chỉ thu sớm được 50%; 3 NCC từ chối; 4 Bán tồn chậm; 5 Ba bất lợi kết hợp; 6 Khách trả chậm.</t>
  </si>
  <si>
    <t>Một selector ở F01_UC4!B5; tất cả dùng cùng một ledger và một đường tiền.</t>
  </si>
  <si>
    <t>B6 đọc nhãn; B28:B34 là giả định hiệu lực tính từ selector và thông số.</t>
  </si>
  <si>
    <t>Nhóm khách hàng</t>
  </si>
  <si>
    <t>Gợi ý chọn từ UC01 theo vốn đang giữ, trễ bao lâu, quan hệ và mức tập trung; người dùng chọn ID.</t>
  </si>
  <si>
    <t>Không tự siết khách mới/vãng lai hoặc nới khách lớn. Nhãn quan hệ là ngữ cảnh, không phải sự chấp thuận.</t>
  </si>
  <si>
    <t>B7 customer_id. Có thể lọc từng event_id ở backend; workbook áp theo khách và tỷ lệ chung.</t>
  </si>
  <si>
    <t>Nhóm nhà cung cấp</t>
  </si>
  <si>
    <t>Chỉ dịch khoản Trả NCC thuộc supplier_id; giữ lương, thuế và nghĩa vụ tài chính.</t>
  </si>
  <si>
    <t>NCC thiết yếu cần bật xác nhận giả định mô phỏng. Không dùng công cụ what-if để sửa hợp đồng.</t>
  </si>
  <si>
    <t>B13 supplier_id; B17 chỉ xác nhận được phép thử, không xác nhận đối tác đã đồng ý.</t>
  </si>
  <si>
    <t>Nhóm hàng tồn kho</t>
  </si>
  <si>
    <t>Bán lô phải thuộc F01, không cầm cố và có giả định thị trường.</t>
  </si>
  <si>
    <t>Mặc định L27 không cầm cố; lô phụ liệu đơn hủy L06 chưa rõ cầm cố nên không chọn sẵn để tạo tiền.</t>
  </si>
  <si>
    <t>B18 lot_id; B24 xác nhận giả định; nếu đổi sang L06 mà chưa có dữ liệu thì trạng thái chặn.</t>
  </si>
  <si>
    <t>Điều kiện lịch xác nhận</t>
  </si>
  <si>
    <t>Mặc định không đổi lịch thu được xác nhận ở UC02.</t>
  </si>
  <si>
    <t>B12=1 cho phép thử thay lịch xác nhận; phải nói rõ giả định này trong kết quả.</t>
  </si>
  <si>
    <t>Không lấy paid_date tương lai làm chứng cứ có tại ngày chốt.</t>
  </si>
  <si>
    <t>Chi phí và thuế</t>
  </si>
  <si>
    <t>Chiết khấu thu sớm, phí giãn trả, phí bán được nhập riêng; không tự suy từ ngành.</t>
  </si>
  <si>
    <t>Mặc định minh họa 1%, 0,5%, 2% không là điều khoản thật. Thu hồi tồn 80%, bán 50% là giả định.</t>
  </si>
  <si>
    <t>Nguồn duy nhất của các tỷ lệ mới là demo_assumption; đầu ra net_noVAT/provisional.</t>
  </si>
  <si>
    <t>Chặn và lỗi</t>
  </si>
  <si>
    <t>Trường sai → rejected; dữ liệu mâu thuẫn → invalid_data; thiếu nguồn → missing_data; giả định hợp lệ → provisional.</t>
  </si>
  <si>
    <t>Trong workbook lỗi thiết lập chặn toàn bộ kết quả sau mô phỏng; không âm thầm bỏ đòn bẩy rồi gọi đạt.</t>
  </si>
  <si>
    <t>Các trạng thái này độc lập thiếu tiền hay dư tiền.</t>
  </si>
  <si>
    <t>Ngoài horizon</t>
  </si>
  <si>
    <t>Sự kiện dịch ngoài 91 ngày vẫn được giữ trong ledger và cộng TailPay/TailReceipt.</t>
  </si>
  <si>
    <t>Nếu có chi sau kỳ do giãn nợ, kết luận chưa đủ đánh giá; không gọi tiết kiệm tiền.</t>
  </si>
  <si>
    <t>Mở rộng nguồn nghĩa vụ mới đánh giá được số dư sau 19/09, không kéo dài bằng giả định 0 chi.</t>
  </si>
  <si>
    <t>Giới hạn khả thi</t>
  </si>
  <si>
    <t>Chưa mô hình thay đổi đơn hàng, mất doanh thu, rủi ro cung ứng, thuế và điều kiện pháp lý bán hàng.</t>
  </si>
  <si>
    <t>Công cụ đo tác động có điều kiện, không khẳng định phương án khả thi thương mại. Không tự tối ưu hoặc thực thi.</t>
  </si>
  <si>
    <t>Muốn dùng thật cần xác minh cam kết khách, thỏa thuận NCC, nhu cầu mua và quyền bán lô.</t>
  </si>
  <si>
    <t>Hợp đồng đầu vào</t>
  </si>
  <si>
    <t>simulate_scenario(uc1_run_id, uc2_run_id, scenario, levers, target_episode_id?)</t>
  </si>
  <si>
    <t>Máy chủ gán firm/snapshot và đọc Cash0, dự trữ từ run nguồn. Mô hình chỉ truyền ID, tỷ lệ, ngày và loại phép thử trong schema cho phép.</t>
  </si>
  <si>
    <t>levers.ar: event_ids, share, days, discount; ap: event_ids, share, days, fee; inv: lot_id, share, recovery, date, cost.</t>
  </si>
  <si>
    <t>Hợp đồng đầu ra</t>
  </si>
  <si>
    <t>meta; assumptions; affected_events; metrics_before_after; daily; weekly; episodes; tail; costs; limitations; evidence; fact_registry; narrative.</t>
  </si>
  <si>
    <t>meta ghi run nguồn, case nền, case UC04, snapshot, phiên bản uc4.formulas.v1, amount_basis. Mỗi fact có giá trị raw, đơn vị, ngày và entity/source ID.</t>
  </si>
  <si>
    <t>Đầu ra luôn tách số liệu dự báo với cam kết thật. Không đặt số thay cho null.</t>
  </si>
  <si>
    <t>Thứ tự diễn giải</t>
  </si>
  <si>
    <t>1 Phép thử nào với ai và bao nhiêu. 2 Thay đổi ngày tiền và số tiền ròng. 3 Mức thiếu, ngày thiếu và đáy trước/sau. 4 Phần còn thiếu, ngày xấu đi, khoản sau kỳ và giới hạn.</t>
  </si>
  <si>
    <t>Chỉ dùng fact cùng lượt. Kết luận ngắn, nêu rõ cải thiện tạm thời hay giữ lại lâu hơn; không liệt kê số không giải thích.</t>
  </si>
  <si>
    <t>Ví dụ mẫu cuối sheet; số thật phải được thay từ công cụ, không dùng mẫu cố định.</t>
  </si>
  <si>
    <t>Bảo toàn UC01 và UC02</t>
  </si>
  <si>
    <t>Giữ nguyên tất cả sheet công thức, đầu vào và bảng tính UC01/UC02.</t>
  </si>
  <si>
    <t>Read_me chỉ được nối thêm hướng dẫn UC04. Không tự giải quyết khác biệt sẵn có giữa v6 và SRS v1.3 trong phạm vi lần này.</t>
  </si>
  <si>
    <t>Chẩn đoán W tại AsOf không đổi vì một phép thử dòng tiền tương lai.</t>
  </si>
  <si>
    <t>Kết luận khi không có gap</t>
  </si>
  <si>
    <t>Vẫn chạy stress, giữ nguyên cũng là một kết quả hợp lệ.</t>
  </si>
  <si>
    <t>Không tự tạo nhu cầu vay hoặc đầu tư. Dư bền cần dữ liệu đủ và stress phù hợp trước khi phân bổ.</t>
  </si>
  <si>
    <t>TH02/03 đi tiếp ở ma trận dưới; bản đầu không có sản phẩm tài trợ.</t>
  </si>
  <si>
    <t>Phạm vi kiểm thử</t>
  </si>
  <si>
    <t>Workbook có công thức minh họa sống và ca đối chiếu; backend Decimal, quyền, audit và phân bổ nhiều phần còn phải nghiệm thu.</t>
  </si>
  <si>
    <t>Thay input kiểm phạm vi vùng 122 sự kiện; thêm event ngoài dòng 341 phải mở rộng vùng.</t>
  </si>
  <si>
    <t>Không tuyên bố đã có backend hoặc đã kiểm thử mọi bản Excel.</t>
  </si>
  <si>
    <t>Câu hỏi UC04 cần trả lời</t>
  </si>
  <si>
    <t>Phép thử ưu tiên</t>
  </si>
  <si>
    <t>Điều không được kết luận</t>
  </si>
  <si>
    <t>M1 · W0 / TH01</t>
  </si>
  <si>
    <t>Khoản thu/chi nào đổi lịch giúp đúng ngày thiếu?</t>
  </si>
  <si>
    <t>Giữ nguyên; thu sớm một phần; giãn chi được phép.</t>
  </si>
  <si>
    <t>W0 không chứng minh chỉ lệch lịch; không quy lỗi cho khách chưa đến hạn.</t>
  </si>
  <si>
    <t>M2 · W0 / TH02</t>
  </si>
  <si>
    <t>Nếu khách lớn chậm thì có còn giữ dự trữ?</t>
  </si>
  <si>
    <t>Case6 trên khách có lịch thu lớn, giữ toàn bộ nghĩa vụ.</t>
  </si>
  <si>
    <t>Không tự tạo khoản vay hoặc giả lập tăng trưởng thiếu lịch thu chi.</t>
  </si>
  <si>
    <t>M3 · W0 / TH03</t>
  </si>
  <si>
    <t>Tiền dư có còn sau stress và đến ngày cần dùng?</t>
  </si>
  <si>
    <t>Stress thu chậm; so mức tiền thấp nhất và nghĩa vụ sau kỳ.</t>
  </si>
  <si>
    <t>Không coi toàn bộ dư là tiền đầu tư được.</t>
  </si>
  <si>
    <t>M4 · W1 / TH01</t>
  </si>
  <si>
    <t>Can thiệp nhẹ có giúp đúng đợt thiếu không?</t>
  </si>
  <si>
    <t>Thu sớm đúng hóa đơn / giãn đúng khoản / bán đúng lô, rồi phối hợp.</t>
  </si>
  <si>
    <t>Không gọi giải quyết nếu vẫn thiếu hoặc có ngày xấu đi.</t>
  </si>
  <si>
    <t>M5 · W1 / TH02</t>
  </si>
  <si>
    <t>Dấu hiệu chậm thu có làm tiền dưới dự trữ?</t>
  </si>
  <si>
    <t>Case6 hoặc chỉ thu sớm một phần; kiểm độ nhạy.</t>
  </si>
  <si>
    <t>Không coi đủ tiền nền là đã loại mọi rủi ro.</t>
  </si>
  <si>
    <t>M6 · W1 / TH03</t>
  </si>
  <si>
    <t>Nếu nguồn thu chậm, dư còn lại bao nhiêu?</t>
  </si>
  <si>
    <t>Stress khách đang giữ vốn; rà nghĩa vụ trong và ngoài kỳ.</t>
  </si>
  <si>
    <t>Không chấm hiệu quả dùng tiền nếu chưa có kỳ hạn và chi phí.</t>
  </si>
  <si>
    <t>M7 · W2 / TH01</t>
  </si>
  <si>
    <t>Ba đòn bẩy nội bộ có bù được và có tái thiếu không?</t>
  </si>
  <si>
    <t>Tổ hợp case1 rồi case5; nêu phần chưa bù để UC03 xử lý sau.</t>
  </si>
  <si>
    <t>Không gắn nhãn bền vững từ một lần chạy thuận lợi.</t>
  </si>
  <si>
    <t>M8 · W2 / TH02</t>
  </si>
  <si>
    <t>Điểm nghẽn có đang được Cash0/nguồn khác che lấp?</t>
  </si>
  <si>
    <t>Case6; so số ngày dự trữ còn đủ; thử cải thiện không cần ép vay.</t>
  </si>
  <si>
    <t>Không suy tiết kiệm lãi tự động từ CCC.</t>
  </si>
  <si>
    <t>M9 · W2 / TH03</t>
  </si>
  <si>
    <t>Tiền dư còn nếu khoản đang nghẽn về chậm không?</t>
  </si>
  <si>
    <t>Stress đúng khách; kiểm tiền tối thiểu, tail và nền nguồn dư.</t>
  </si>
  <si>
    <t>Không xóa W2 vì dư tiền; chưa có nghĩa vụ đủ thì không phân bổ.</t>
  </si>
  <si>
    <t>Mục đầu ra</t>
  </si>
  <si>
    <t>Nội dung phải có</t>
  </si>
  <si>
    <t>Tóm tắt phép thử</t>
  </si>
  <si>
    <t>Khách/NCC/lô được chọn, tỷ lệ và ngày dịch, phần có lịch xác nhận bị thay.</t>
  </si>
  <si>
    <t>Giả sử khách X trả sớm ... ngày trên ...% phần dư ...; NCC Y cho lùi ...; bán ...% lô Z.</t>
  </si>
  <si>
    <t>B7:B27; ledger</t>
  </si>
  <si>
    <t>Tác động tiền</t>
  </si>
  <si>
    <t>Đáy trước/sau và ngày; mức thiếu lớn nhất, số ngày dưới dự trữ, tác động tại ngày trọng yếu.</t>
  </si>
  <si>
    <t>... vẫn thiếu ...; chỉ ... ngày được cải thiện. Nếu đáy không đổi thì giải thích các khoản thu đều về trước đợt chi cuối kỳ.</t>
  </si>
  <si>
    <t>F01_UC4 E4:H40 và daily</t>
  </si>
  <si>
    <t>Chi phí và khả năng đảo ngược</t>
  </si>
  <si>
    <t>Chiết khấu, phí, giảm giá trị; phần nợ dời sau 19/09; ngày xấu đi.</t>
  </si>
  <si>
    <t>Giãn ... đồng chỉ chuyển ngày trả, không xóa nghĩa vụ. Tồn bán thu ròng ... khác giá ghi sổ ...</t>
  </si>
  <si>
    <t>Ledger; cost; tail</t>
  </si>
  <si>
    <t>Stress và giới hạn</t>
  </si>
  <si>
    <t>Kịch bản đang chọn và những gì chưa thử; số liệu hư cấu, thuế chưa mô hình.</t>
  </si>
  <si>
    <t>Kết quả là mô phỏng từ dữ liệu tại 20/06/2026, không xác nhận khách trả hay NCC đồng ý.</t>
  </si>
  <si>
    <t>meta, assumptions, issues</t>
  </si>
  <si>
    <t>Liên kết UC03 sau này</t>
  </si>
  <si>
    <t>Nếu nguồn nội bộ chưa đủ, chuyển remaining_gap, need_date, affected_events, assumptions và tail.</t>
  </si>
  <si>
    <t>Không tự tạo financing option hoặc dùng danh mục cũ để lấp gap.</t>
  </si>
  <si>
    <t>UC03 là giai đoạn tiếp theo</t>
  </si>
  <si>
    <t>Cách đọc stress</t>
  </si>
  <si>
    <t>Thu sớm ít hơn có thể làm chiết khấu giảm, nên đáy cuối kỳ có thể cao hơn dù số ngày thiếu tăng.</t>
  </si>
  <si>
    <t>Phải so cả thời điểm, số ngày thiếu, ngày xấu đi và chi phí; không xếp hạng chỉ theo MinCash.</t>
  </si>
  <si>
    <t>Stress kiểm tác động có điều kiện; không phải dự đoán xác suất.</t>
  </si>
  <si>
    <t>Mã kiểm thử</t>
  </si>
  <si>
    <t>Thiết lập / thao tác</t>
  </si>
  <si>
    <t>Kết quả bắt buộc</t>
  </si>
  <si>
    <t>Phạm vi xác nhận</t>
  </si>
  <si>
    <t>U4-T01</t>
  </si>
  <si>
    <t>Case0: giữ nguyên.</t>
  </si>
  <si>
    <t>Khớp nền ở 91 ngày; phần chuyển và chi phí bằng 0.</t>
  </si>
  <si>
    <t>Đã đối chiếu workbook.</t>
  </si>
  <si>
    <t>U4-T02</t>
  </si>
  <si>
    <t>Case1: thu sớm 7 ngày; giãn 14 ngày; bán 50% L27.</t>
  </si>
  <si>
    <t>Đảo phần dịch ở ngày cũ, thêm tiền ròng ngày mới; phần còn lại giữ nguyên.</t>
  </si>
  <si>
    <t>Đã đối chiếu ledger, daily và kết quả.</t>
  </si>
  <si>
    <t>U4-T03</t>
  </si>
  <si>
    <t>Case2…5: chỉ thu sớm được 50%, NCC từ chối, bán chậm và kết hợp.</t>
  </si>
  <si>
    <t>Phần không thu sớm giữ ngày nền; NCC từ chối không thu phí giãn; tồn bán chậm đúng 21 ngày.</t>
  </si>
  <si>
    <t>Đã đối chiếu từng kịch bản.</t>
  </si>
  <si>
    <t>U4-T04</t>
  </si>
  <si>
    <t>Case6: khách trả chậm 14 ngày.</t>
  </si>
  <si>
    <t>Chỉ dịch thu khách; không chiết khấu, không giãn AP, không bán kho. Bắt cả ngày thiếu cũ xấu đi.</t>
  </si>
  <si>
    <t>Đã đối chiếu 91 ngày.</t>
  </si>
  <si>
    <t>U4-T05</t>
  </si>
  <si>
    <t>Tỷ lệ các đòn bẩy=0; số ngày dịch=0.</t>
  </si>
  <si>
    <t>Không tạo phí khi không dịch; đường tiền giữ nền.</t>
  </si>
  <si>
    <t>Đã kiểm hai cấu hình.</t>
  </si>
  <si>
    <t>U4-T06</t>
  </si>
  <si>
    <t>B12=1 để thử thay lịch confirmed; B17=0 với NCC thiết yếu.</t>
  </si>
  <si>
    <t>Lịch confirmed chỉ thay khi cho phép; thiếu xác nhận thử giãn NCC thiết yếu thì chặn.</t>
  </si>
  <si>
    <t>Đã kiểm input thay đổi.</t>
  </si>
  <si>
    <t>U4-T07</t>
  </si>
  <si>
    <t>Lô L06, L17, L33 hoặc ID không tồn tại.</t>
  </si>
  <si>
    <t>Chặn vì chưa rõ cầm cố, hàng khách, đã cầm cố hoặc thiếu ID; không hiển thị kết quả sau.</t>
  </si>
  <si>
    <t>Đã kiểm từng trường hợp.</t>
  </si>
  <si>
    <t>U4-T08</t>
  </si>
  <si>
    <t>Giãn 120 ngày; bán sau 120 ngày.</t>
  </si>
  <si>
    <t>Khoản ngoài kỳ vẫn hiện; có nợ giãn sau kỳ thì Chưa đủ đánh giá.</t>
  </si>
  <si>
    <t>Đã kiểm TailPay/TailReceipt.</t>
  </si>
  <si>
    <t>U4-T09</t>
  </si>
  <si>
    <t>Ngày thu bán đúng End và End+1.</t>
  </si>
  <si>
    <t>End được tính; End+1 chỉ hiện khoản ngoài kỳ.</t>
  </si>
  <si>
    <t>Đã kiểm biên cắt kỳ.</t>
  </si>
  <si>
    <t>U4-T10</t>
  </si>
  <si>
    <t>Tỷ lệ 110%, ngày âm, thu hồi 0%, phần dịch 100%.</t>
  </si>
  <si>
    <t>Tham số sai bị chặn; thu hồi 0 không tạo tiền; 100% không vượt dư.</t>
  </si>
  <si>
    <t>Đã kiểm bốn cấu hình biên.</t>
  </si>
  <si>
    <t>U4-T11</t>
  </si>
  <si>
    <t>Case0 không nhập lô bán.</t>
  </si>
  <si>
    <t>Không chặn khi đòn bẩy lô không được dùng.</t>
  </si>
  <si>
    <t>Đã kiểm.</t>
  </si>
  <si>
    <t>U4-T12</t>
  </si>
  <si>
    <t>Cầu nối số dư và phân bổ từng sự kiện.</t>
  </si>
  <si>
    <t>Tiền sau−tiền nền=ΣΔ; phần giữ+phần dịch=tiền nguồn; sai số ≤1 VND.</t>
  </si>
  <si>
    <t>Đã đối chiếu độc lập 7 case.</t>
  </si>
  <si>
    <t>U4-T13</t>
  </si>
  <si>
    <t>Chia nhiều phần một hóa đơn; lô có khoản thu bán trùng nền; tái sử dụng.</t>
  </si>
  <si>
    <t>Không vượt dư và không cộng trùng. Tái sử dụng không tạo IN; phải có lịch mua tránh được mới giảm chi.</t>
  </si>
  <si>
    <t>Ca nghiệm thu backend; fixture chưa hỗ trợ overlap thu bán.</t>
  </si>
  <si>
    <t>U4-T14</t>
  </si>
  <si>
    <t>Sai firm/snapshot, thiếu quyền, lời giải thích không có fact hoặc ghi audit lỗi.</t>
  </si>
  <si>
    <t>Chặn đúng điểm; không thực thi hoặc phát hành ngoài quyền; Decimal và kiểm chứng cùng run.</t>
  </si>
  <si>
    <t>Ca nghiệm thu backend; không tuyên bố đã có ứng dụng.</t>
  </si>
  <si>
    <t>F01 UC04 Mô phỏng trên cùng dữ liệu UC01 và UC02</t>
  </si>
  <si>
    <t>Thiết lập</t>
  </si>
  <si>
    <t>Giải thích</t>
  </si>
  <si>
    <t>So sánh kết quả</t>
  </si>
  <si>
    <t>Nền UC02</t>
  </si>
  <si>
    <t>Sau mô phỏng</t>
  </si>
  <si>
    <t>Mã kịch bản UC04</t>
  </si>
  <si>
    <t>0 Giữ nguyên; 1 thực hiện giả định; 2 thu sớm 50%; 3 NCC từ chối; 4 tồn bán chậm; 5 kết hợp bất lợi; 6 khách trả chậm</t>
  </si>
  <si>
    <t>So cùng đường tiền gốc</t>
  </si>
  <si>
    <t>Một selector B5; không thay D_F01!B19 khi đổi UC04</t>
  </si>
  <si>
    <t>Tiền thấp nhất</t>
  </si>
  <si>
    <t>Không coi tăng tiền tạm thời là giải quyết cả kỳ</t>
  </si>
  <si>
    <t>Khách được chọn</t>
  </si>
  <si>
    <t>Ngày tiền thấp nhất</t>
  </si>
  <si>
    <t>Cùng đáy chọn ngày đầu</t>
  </si>
  <si>
    <t>Phần khoản thu chuyển lịch</t>
  </si>
  <si>
    <t>50% mỗi khoản thu hợp lệ của khách; còn lại giữ ngày cũ</t>
  </si>
  <si>
    <t>Thiếu lớn nhất so Rtarget</t>
  </si>
  <si>
    <t>Không cộng thiếu qua các ngày</t>
  </si>
  <si>
    <t>Số ngày thu sớm</t>
  </si>
  <si>
    <t>Ngày lịch; cận dưới là ngày đầu dự báo</t>
  </si>
  <si>
    <t>Thiếu lớn nhất để không âm</t>
  </si>
  <si>
    <t>Không cộng với dòng trên</t>
  </si>
  <si>
    <t>Chiết khấu thu sớm</t>
  </si>
  <si>
    <t>Giả định 1% trên phần thực sự thu sớm</t>
  </si>
  <si>
    <t>Số ngày dưới dự trữ</t>
  </si>
  <si>
    <t>Ngày trong 91 ngày</t>
  </si>
  <si>
    <t>Stress số ngày khách trả chậm</t>
  </si>
  <si>
    <t>Case6: thay thu sớm bằng thu chậm</t>
  </si>
  <si>
    <t>Số ngày tiền âm</t>
  </si>
  <si>
    <t>Không phản ánh thiếu tiền trong từng giờ</t>
  </si>
  <si>
    <t>Cho thử thay lịch đã xác nhận</t>
  </si>
  <si>
    <t>0 giữ lịch confirmed; 1 cho phép giả định thay lịch; không sửa cam kết thật</t>
  </si>
  <si>
    <t>Cảnh báo nặng nhất</t>
  </si>
  <si>
    <t>Ngưỡng UC02 giữ nguyên</t>
  </si>
  <si>
    <t>NCC được chọn</t>
  </si>
  <si>
    <t>Tiền cuối horizon</t>
  </si>
  <si>
    <t>Mốc 19/09/2026</t>
  </si>
  <si>
    <t>Phần phải trả được giãn</t>
  </si>
  <si>
    <t>0–100%; không xóa nợ</t>
  </si>
  <si>
    <t>Tiền ngày trọng yếu</t>
  </si>
  <si>
    <t>Cùng ngày B26</t>
  </si>
  <si>
    <t>Số ngày giãn trả</t>
  </si>
  <si>
    <t>Ngày lịch, tính từ lịch UC02</t>
  </si>
  <si>
    <t>Mức giảm thiếu lớn nhất</t>
  </si>
  <si>
    <t>Âm là xấu hơn</t>
  </si>
  <si>
    <t>Phí giãn trả một lần</t>
  </si>
  <si>
    <t>Giả định 0,5% trên phần thật sự dịch</t>
  </si>
  <si>
    <t>Số ngày thiếu mới</t>
  </si>
  <si>
    <t>Nền đủ nhưng sau thiếu</t>
  </si>
  <si>
    <t>Cho phép thử với NCC thiết yếu</t>
  </si>
  <si>
    <t>1 xác nhận giả định để thử, không phải đồng ý từ NCC</t>
  </si>
  <si>
    <t>Số ngày gap xấu đi</t>
  </si>
  <si>
    <t>Bắt cả ngày nền đã thiếu</t>
  </si>
  <si>
    <t>Lô thử bán</t>
  </si>
  <si>
    <t>CK thu sớm giảm thu</t>
  </si>
  <si>
    <t>Không ghi chi thêm lần nữa</t>
  </si>
  <si>
    <t>Tỷ lệ lô bán</t>
  </si>
  <si>
    <t>50% giá ghi sổ/khối lượng cùng đơn giá của lô</t>
  </si>
  <si>
    <t>Phí giãn trả NCC</t>
  </si>
  <si>
    <t>Chi ở lịch trả mới</t>
  </si>
  <si>
    <t>Tỷ lệ giá thu hồi</t>
  </si>
  <si>
    <t>80% giá ghi sổ là giả định, không là giá thị trường</t>
  </si>
  <si>
    <t>Chi phí tiền bán tồn</t>
  </si>
  <si>
    <t>Tỷ lệ trên tiền bán gộp</t>
  </si>
  <si>
    <t>Số ngày từ Start đến bán/thu</t>
  </si>
  <si>
    <t>Demo giao và thu cùng ngày; backend tách ngày bán/ngày thu</t>
  </si>
  <si>
    <t>Giảm giá trị so sổ</t>
  </si>
  <si>
    <t>Không phải dòng chi tiền riêng</t>
  </si>
  <si>
    <t>Chi phí tiền khi bán</t>
  </si>
  <si>
    <t>2% tiền bán gộp; trừ đúng một lần</t>
  </si>
  <si>
    <t>Tổng chi phí tiền</t>
  </si>
  <si>
    <t>Chi phí đủ trong và ngoài kỳ</t>
  </si>
  <si>
    <t>Stress bán tồn trễ thêm</t>
  </si>
  <si>
    <t>Case4/5; không tự thay tỷ lệ giá thu hồi</t>
  </si>
  <si>
    <t>Chi phí kinh tế mô phỏng</t>
  </si>
  <si>
    <t>Không trừ lại khỏi dòng tiền</t>
  </si>
  <si>
    <t>Xác nhận giả định có thể bán lô</t>
  </si>
  <si>
    <t>0 chặn khi có tỷ lệ bán&gt;0; không chứng minh có người mua</t>
  </si>
  <si>
    <t>Nợ giãn dời sau horizon</t>
  </si>
  <si>
    <t>Chưa trả không đồng nghĩa tiết kiệm</t>
  </si>
  <si>
    <t>Tỷ lệ thu sớm thực hiện khi stress</t>
  </si>
  <si>
    <t>Case2/5 chỉ thu sớm được 50% phần đã định chuyển; phần khác về ngày cũ</t>
  </si>
  <si>
    <t>Thu dịch dời sau horizon</t>
  </si>
  <si>
    <t>Tiền chưa về trong horizon</t>
  </si>
  <si>
    <t>Ngày đối chiếu trọng yếu</t>
  </si>
  <si>
    <t>Mặc định ngày đáy UC02; có thể nhập ngày trong horizon</t>
  </si>
  <si>
    <t>W tại ngày chốt</t>
  </si>
  <si>
    <t>Không sửa chẩn đoán lịch sử</t>
  </si>
  <si>
    <t>Sai số tiền kiểm tra (VND)</t>
  </si>
  <si>
    <t>Không phải ngưỡng cảnh báo</t>
  </si>
  <si>
    <t>TH trong kịch bản</t>
  </si>
  <si>
    <t>Nếu nền không Base: chỉ tham khảo</t>
  </si>
  <si>
    <t>AR share hiệu lực</t>
  </si>
  <si>
    <t>Thay đổi theo case; không sửa nguồn</t>
  </si>
  <si>
    <t>Ô ma trận tham khảo</t>
  </si>
  <si>
    <t>Không đồng nhất màu cảnh báo với ô M</t>
  </si>
  <si>
    <t>Ngày dịch thu có dấu</t>
  </si>
  <si>
    <t>Âm = sớm; dương = chậm</t>
  </si>
  <si>
    <t>Phần thu KH được chuyển</t>
  </si>
  <si>
    <t>Số tiền gộp, khác lợi ích tại một ngày</t>
  </si>
  <si>
    <t>Chiết khấu hiệu lực</t>
  </si>
  <si>
    <t>Case6 không chiết khấu</t>
  </si>
  <si>
    <t>Phần trả NCC được chuyển</t>
  </si>
  <si>
    <t>Giữ nghĩa vụ hoàn trả</t>
  </si>
  <si>
    <t>AP share hiệu lực</t>
  </si>
  <si>
    <t>NCC từ chối → 0</t>
  </si>
  <si>
    <t>Tiền ròng bán tồn</t>
  </si>
  <si>
    <t>Có thể đến sau horizon</t>
  </si>
  <si>
    <t>Tỷ lệ bán hiệu lực</t>
  </si>
  <si>
    <t>Case0 không bán</t>
  </si>
  <si>
    <t>Ngày đầu dưới dự trữ</t>
  </si>
  <si>
    <t>Chưa thay thế mốc vấn đề có từ ngày chốt</t>
  </si>
  <si>
    <t>Ngày bán/thu hiệu lực</t>
  </si>
  <si>
    <t>Có thể nằm sau horizon; không xóa khoản đó</t>
  </si>
  <si>
    <t>AR ngày vốn tương đương</t>
  </si>
  <si>
    <t>Không là số ngày CCC giảm</t>
  </si>
  <si>
    <t>Kiểm tra thiết lập</t>
  </si>
  <si>
    <t>Lỗi chặn kết quả sau; phải sửa đầu vào</t>
  </si>
  <si>
    <t>AP ngày vốn tương đương</t>
  </si>
  <si>
    <t>Không đổi DPO tại 20/06</t>
  </si>
  <si>
    <t>Kịch bản nền UC02</t>
  </si>
  <si>
    <t>Base mặc định. Chọn nền khác ở D_F01: mọi đối chiếu dùng đúng nền đó</t>
  </si>
  <si>
    <t>Ngày, giữ nguyên</t>
  </si>
  <si>
    <t>Snapshot</t>
  </si>
  <si>
    <t>Giữ cùng snapshot UC01/UC02</t>
  </si>
  <si>
    <t>Kết luận</t>
  </si>
  <si>
    <t>Không phải quyết định hoặc cam kết</t>
  </si>
  <si>
    <t>Giá ghi sổ lô</t>
  </si>
  <si>
    <t>Tra D_inventory trực tiếp</t>
  </si>
  <si>
    <t>Giả định; dữ liệu hư cấu; chưa mô hình VAT</t>
  </si>
  <si>
    <t>Chủ sở hữu lô</t>
  </si>
  <si>
    <t>Không cho bán hàng gia công của khách</t>
  </si>
  <si>
    <t>Lịch confirmed bị thử thay</t>
  </si>
  <si>
    <t>Nếu &gt;0 phải nêu trong diễn giải</t>
  </si>
  <si>
    <t>Cầm cố lô</t>
  </si>
  <si>
    <t>Chưa rõ cũng bị chặn</t>
  </si>
  <si>
    <t>Dự trữ mục tiêu</t>
  </si>
  <si>
    <t>Không thay để tạo kết quả đẹp</t>
  </si>
  <si>
    <t>Nguồn các tham số UC04</t>
  </si>
  <si>
    <t>Dữ liệu giả lập; không xác nhận phương án khả thi; net_noVAT</t>
  </si>
  <si>
    <t>Chỉ 13 tuần</t>
  </si>
  <si>
    <t>Không thực thi</t>
  </si>
  <si>
    <t>Không suy tiết kiệm lãi; không gọi bền vững từ một lần chạy</t>
  </si>
  <si>
    <t>Tồn kho</t>
  </si>
  <si>
    <t>Giá ghi sổ phần bán</t>
  </si>
  <si>
    <t>Không là tiền thu</t>
  </si>
  <si>
    <t>Tiền bán gộp</t>
  </si>
  <si>
    <t>Theo tỷ lệ thu hồi giả định</t>
  </si>
  <si>
    <t>Chi phí bán bằng tiền</t>
  </si>
  <si>
    <t>Giảm thu ròng, không chi thêm lần hai</t>
  </si>
  <si>
    <t>Tiền bán ròng</t>
  </si>
  <si>
    <t>Giao và thu ngay trong demo</t>
  </si>
  <si>
    <t>Tiền nền</t>
  </si>
  <si>
    <t>Δ thu KH</t>
  </si>
  <si>
    <t>Δ trả NCC</t>
  </si>
  <si>
    <t>Δ bán tồn</t>
  </si>
  <si>
    <t>Δ ròng</t>
  </si>
  <si>
    <t>Δ lũy kế</t>
  </si>
  <si>
    <t>Tiền sau</t>
  </si>
  <si>
    <t>Thiếu nền</t>
  </si>
  <si>
    <t>Thiếu sau</t>
  </si>
  <si>
    <t>Mức màu sau</t>
  </si>
  <si>
    <t>Ngày thiếu mới</t>
  </si>
  <si>
    <t>Ngày gap xấu đi</t>
  </si>
  <si>
    <t>Chuỗi dư sau</t>
  </si>
  <si>
    <t>Giảm gap</t>
  </si>
  <si>
    <t>Hướng</t>
  </si>
  <si>
    <t>Ngày nền</t>
  </si>
  <si>
    <t>Ngày xác nhận</t>
  </si>
  <si>
    <t>Loại</t>
  </si>
  <si>
    <t>Phần AR chuyển</t>
  </si>
  <si>
    <t>Ngày AR mới</t>
  </si>
  <si>
    <t>AR thu ròng</t>
  </si>
  <si>
    <t>CK giảm thu</t>
  </si>
  <si>
    <t>Phần AP chuyển</t>
  </si>
  <si>
    <t>Ngày AP mới</t>
  </si>
  <si>
    <t>AP trả gồm phí</t>
  </si>
  <si>
    <t>Phí AP</t>
  </si>
  <si>
    <t>Phần giữ lịch</t>
  </si>
  <si>
    <t>Hợp lệ sự kiện</t>
  </si>
  <si>
    <t>Bắt đầu</t>
  </si>
  <si>
    <t>Kết thúc</t>
  </si>
  <si>
    <t>Min tiền nền</t>
  </si>
  <si>
    <t>Min tiền sau</t>
  </si>
  <si>
    <t>Cuối tuần nền</t>
  </si>
  <si>
    <t>Cuối tuần sau</t>
  </si>
  <si>
    <t>Thiếu lớn nhất sau</t>
  </si>
  <si>
    <t>Màu xấu nhất sau</t>
  </si>
  <si>
    <t>Kiểm tra minh họa</t>
  </si>
  <si>
    <t>Sai lệch / kết quả</t>
  </si>
  <si>
    <t>Kỳ vọng</t>
  </si>
  <si>
    <t>Cầu nối tiền cuối</t>
  </si>
  <si>
    <t>0 ±1 VND</t>
  </si>
  <si>
    <t>Bắt lỗi cộng Δ sai hoặc cộng hai lần</t>
  </si>
  <si>
    <t>Phân bổ phần tiền</t>
  </si>
  <si>
    <t>Phần giữ lịch + phần chuyển = tiền nền</t>
  </si>
  <si>
    <t>Bản giữ nguyên</t>
  </si>
  <si>
    <t>0 khi case0</t>
  </si>
  <si>
    <t>Case0 phải khớp nền từng ngày</t>
  </si>
  <si>
    <t>Ngày nguồn không trùng</t>
  </si>
  <si>
    <t>122 event nguồn của fixture; không thêm nghĩa vụ trùng</t>
  </si>
  <si>
    <t>Không sửa nguồn</t>
  </si>
  <si>
    <t>Kiểm bằng đối chiếu package và hash</t>
  </si>
  <si>
    <t>D_* nguyên vẹn</t>
  </si>
  <si>
    <t>Không ghi vào hóa đơn, lô hoặc sổ tiền UC02</t>
  </si>
  <si>
    <t>Stress và biên</t>
  </si>
  <si>
    <t>Các ca đặc tả cần backend; các phép minh họa đã kiểm lại trên v8</t>
  </si>
  <si>
    <t>Xem mô tả bên dưới</t>
  </si>
  <si>
    <t>Case0…6; 0%/0 ngày; confirmed; NCC thiết yếu; quyền bán; dời ngoài kỳ</t>
  </si>
  <si>
    <t>Các ca đặc tả còn cần backend: nhiều phần trên cùng hóa đơn; lô có thu nền trùng; thiếu nguồn/phiên bản/snapshot; phân quyền; Decimal; diễn giải đúng fact.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</si>
</sst>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dd/mm/yyyy"/>
    <numFmt numFmtId="165" formatCode="0.0%"/>
    <numFmt numFmtId="166" formatCode="0.0000000000"/>
    <numFmt numFmtId="167" formatCode="0.0"/>
    <numFmt numFmtId="168" formatCode="#,##0.000000"/>
    <numFmt numFmtId="169" formatCode="0.0000"/>
    <numFmt numFmtId="170" formatCode="0.000%"/>
    <numFmt numFmtId="171" formatCode="dd/mm/yyyy;dd/mm/yyyy;"/>
    <numFmt numFmtId="172" formatCode="#,##0;\(#,##0\);\–"/>
  </numFmts>
  <fonts count="30">
    <font>
      <sz val="11"/>
      <name val="Carlito"/>
    </font>
    <font>
      <b/>
      <sz val="14"/>
      <color rgb="FF22354B"/>
      <name val="Arial"/>
      <family val="2"/>
    </font>
    <font>
      <sz val="10"/>
      <color rgb="FF17222B"/>
      <name val="Arial"/>
      <family val="2"/>
    </font>
    <font>
      <b/>
      <sz val="10"/>
      <color rgb="FFFFFFFF"/>
      <name val="Arial"/>
      <family val="2"/>
    </font>
    <font>
      <sz val="10"/>
      <color rgb="FF0000FF"/>
      <name val="Arial"/>
      <family val="2"/>
    </font>
    <font>
      <sz val="10"/>
      <name val="Arial"/>
      <family val="2"/>
    </font>
    <font>
      <sz val="10"/>
      <color rgb="FF000000"/>
      <name val="Arial"/>
      <family val="2"/>
    </font>
    <font>
      <sz val="10"/>
      <color rgb="FF162C3A"/>
      <name val="Arial"/>
      <family val="2"/>
    </font>
    <font>
      <sz val="10"/>
      <color rgb="FF0000FF"/>
      <name val="Arial"/>
      <family val="2"/>
    </font>
    <font>
      <sz val="10"/>
      <color rgb="FF008000"/>
      <name val="Arial"/>
      <family val="2"/>
    </font>
    <font>
      <i/>
      <sz val="9"/>
      <color rgb="FF17222B"/>
      <name val="Arial"/>
      <family val="2"/>
    </font>
    <font>
      <b/>
      <sz val="9"/>
      <color rgb="FFFFFFFF"/>
      <name val="Arial"/>
      <family val="2"/>
    </font>
    <font>
      <sz val="9"/>
      <color rgb="FF17222B"/>
      <name val="Arial"/>
      <family val="2"/>
    </font>
    <font>
      <sz val="9"/>
      <color rgb="FF162C3A"/>
      <name val="Arial"/>
      <family val="2"/>
    </font>
    <font>
      <b/>
      <sz val="12"/>
      <color rgb="FF22354B"/>
      <name val="Arial"/>
      <family val="2"/>
    </font>
    <font>
      <b/>
      <sz val="8"/>
      <color rgb="FF22354B"/>
      <name val="Arial"/>
      <family val="2"/>
    </font>
    <font>
      <sz val="8"/>
      <name val="Carlito"/>
    </font>
    <font>
      <i/>
      <sz val="8"/>
      <color rgb="FF17222B"/>
      <name val="Arial"/>
      <family val="2"/>
    </font>
    <font>
      <b/>
      <sz val="8"/>
      <color rgb="FFFFFFFF"/>
      <name val="Arial"/>
      <family val="2"/>
    </font>
    <font>
      <sz val="8"/>
      <color rgb="FF17222B"/>
      <name val="Arial"/>
      <family val="2"/>
    </font>
    <font>
      <sz val="8"/>
      <color rgb="FF008000"/>
      <name val="Arial"/>
      <family val="2"/>
    </font>
    <font>
      <sz val="8"/>
      <color rgb="FF0000FF"/>
      <name val="Arial"/>
      <family val="2"/>
    </font>
    <font>
      <sz val="10"/>
      <color rgb="FF17222B"/>
      <name val="Arial"/>
      <family val="2"/>
    </font>
    <font>
      <b/>
      <sz val="9"/>
      <color rgb="FFFFFFFF"/>
      <name val="Arial"/>
      <family val="2"/>
    </font>
    <font>
      <b/>
      <sz val="12"/>
      <color rgb="FF22354B"/>
      <name val="Arial"/>
      <family val="2"/>
    </font>
    <font>
      <sz val="11"/>
      <name val="Arial"/>
    </font>
    <font>
      <sz val="10"/>
      <name val="Arial"/>
    </font>
    <font>
      <b/>
      <sz val="10"/>
      <color rgb="FFFFFFFF"/>
      <name val="Arial"/>
    </font>
    <font>
      <b/>
      <sz val="14"/>
      <color rgb="FF203B4A"/>
      <name val="Arial"/>
    </font>
    <font>
      <sz val="10"/>
      <color rgb="FF0000FF"/>
      <name val="Arial"/>
    </font>
  </fonts>
  <fills count="11">
    <fill>
      <patternFill patternType="none"/>
    </fill>
    <fill>
      <patternFill patternType="gray125"/>
    </fill>
    <fill>
      <patternFill patternType="solid">
        <fgColor rgb="FF284A60"/>
      </patternFill>
    </fill>
    <fill>
      <patternFill patternType="solid">
        <fgColor rgb="FFF2F5F7"/>
      </patternFill>
    </fill>
    <fill>
      <patternFill patternType="none"/>
    </fill>
    <fill>
      <patternFill patternType="solid">
        <fgColor rgb="FF284A60"/>
      </patternFill>
    </fill>
    <fill>
      <patternFill patternType="solid">
        <fgColor rgb="FFF2F5F7"/>
      </patternFill>
    </fill>
    <fill>
      <patternFill patternType="none"/>
    </fill>
    <fill>
      <patternFill patternType="solid">
        <fgColor rgb="FFF1F5F8"/>
      </patternFill>
    </fill>
    <fill>
      <patternFill patternType="solid">
        <fgColor rgb="FFFFF2CC"/>
      </patternFill>
    </fill>
    <fill>
      <patternFill patternType="solid">
        <fgColor rgb="FF284A60"/>
      </patternFill>
    </fill>
  </fills>
  <borders count="3">
    <border>
      <left/>
      <right/>
      <top/>
      <bottom/>
      <diagonal/>
    </border>
    <border>
      <left/>
      <right/>
      <top/>
      <bottom/>
      <diagonal/>
    </border>
    <border>
      <left/>
      <right/>
      <top/>
      <bottom/>
      <diagonal/>
    </border>
  </borders>
  <cellStyleXfs count="3">
    <xf numFmtId="0" fontId="0" fillId="0" borderId="0"/>
    <xf numFmtId="0" fontId="10" fillId="0" borderId="0" xfId="0" applyFont="1" applyAlignment="1">
      <alignment vertical="top" wrapText="1"/>
    </xf>
    <xf numFmtId="0" fontId="0" fillId="0" borderId="0" xfId="0" applyAlignment="1">
      <alignment wrapText="1"/>
    </xf>
  </cellStyleXfs>
  <cellXfs count="104">
    <xf numFmtId="0" fontId="0" fillId="0" borderId="0" xfId="0"/>
    <xf numFmtId="0" fontId="0" fillId="0" borderId="0" xfId="0"/>
    <xf numFmtId="0" fontId="1" fillId="0" borderId="0" xfId="0" applyFont="1"/>
    <xf numFmtId="0" fontId="2" fillId="0" borderId="0" xfId="0" applyFont="1" applyAlignment="1">
      <alignment vertical="center" wrapText="1"/>
    </xf>
    <xf numFmtId="0" fontId="3" fillId="2" borderId="0" xfId="0" applyFont="1" applyFill="1" applyAlignment="1">
      <alignment horizontal="center" vertical="center" wrapText="1"/>
    </xf>
    <xf numFmtId="0" fontId="2" fillId="3" borderId="0" xfId="0" applyFont="1" applyFill="1" applyAlignment="1">
      <alignment vertical="center" wrapText="1"/>
    </xf>
    <xf numFmtId="164" fontId="2" fillId="3" borderId="0" xfId="0" applyNumberFormat="1" applyFont="1" applyFill="1" applyAlignment="1">
      <alignment vertical="center" wrapText="1"/>
    </xf>
    <xf numFmtId="164" fontId="2" fillId="0" borderId="0" xfId="0" applyNumberFormat="1" applyFont="1" applyAlignment="1">
      <alignment vertical="center" wrapText="1"/>
    </xf>
    <xf numFmtId="3" fontId="2" fillId="0" borderId="0" xfId="0" applyNumberFormat="1" applyFont="1" applyAlignment="1">
      <alignment vertical="center" wrapText="1"/>
    </xf>
    <xf numFmtId="3" fontId="2" fillId="3" borderId="0" xfId="0" applyNumberFormat="1" applyFont="1" applyFill="1" applyAlignment="1">
      <alignment vertical="center" wrapText="1"/>
    </xf>
    <xf numFmtId="165" fontId="2" fillId="0" borderId="0" xfId="0" applyNumberFormat="1" applyFont="1" applyAlignment="1">
      <alignment vertical="center" wrapText="1"/>
    </xf>
    <xf numFmtId="0" fontId="4" fillId="0" borderId="0" xfId="0" applyFont="1" applyAlignment="1">
      <alignment vertical="center" wrapText="1"/>
    </xf>
    <xf numFmtId="164" fontId="4" fillId="3" borderId="0" xfId="0" applyNumberFormat="1" applyFont="1" applyFill="1" applyAlignment="1">
      <alignment vertical="center" wrapText="1"/>
    </xf>
    <xf numFmtId="164" fontId="4" fillId="0" borderId="0" xfId="0" applyNumberFormat="1" applyFont="1" applyAlignment="1">
      <alignment vertical="center" wrapText="1"/>
    </xf>
    <xf numFmtId="0" fontId="4" fillId="3" borderId="0" xfId="0" applyFont="1" applyFill="1" applyAlignment="1">
      <alignment vertical="center" wrapText="1"/>
    </xf>
    <xf numFmtId="3" fontId="4" fillId="0" borderId="0" xfId="0" applyNumberFormat="1" applyFont="1" applyAlignment="1">
      <alignment vertical="center" wrapText="1"/>
    </xf>
    <xf numFmtId="3" fontId="4" fillId="3" borderId="0" xfId="0" applyNumberFormat="1" applyFont="1" applyFill="1" applyAlignment="1">
      <alignment vertical="center" wrapText="1"/>
    </xf>
    <xf numFmtId="165" fontId="4" fillId="0" borderId="0" xfId="0" applyNumberFormat="1" applyFont="1" applyAlignment="1">
      <alignment vertical="center" wrapText="1"/>
    </xf>
    <xf numFmtId="0" fontId="0" fillId="0" borderId="0" xfId="0" applyAlignment="1">
      <alignment wrapText="1"/>
    </xf>
    <xf numFmtId="166" fontId="2" fillId="0" borderId="0" xfId="0" applyNumberFormat="1" applyFont="1" applyAlignment="1">
      <alignment vertical="center" wrapText="1"/>
    </xf>
    <xf numFmtId="166" fontId="2" fillId="3" borderId="0" xfId="0" applyNumberFormat="1" applyFont="1" applyFill="1" applyAlignment="1">
      <alignment vertical="center" wrapText="1"/>
    </xf>
    <xf numFmtId="165" fontId="2" fillId="3" borderId="0" xfId="0" applyNumberFormat="1" applyFont="1" applyFill="1" applyAlignment="1">
      <alignment vertical="center" wrapText="1"/>
    </xf>
    <xf numFmtId="167" fontId="2" fillId="3" borderId="0" xfId="0" applyNumberFormat="1" applyFont="1" applyFill="1" applyAlignment="1">
      <alignment vertical="center" wrapText="1"/>
    </xf>
    <xf numFmtId="167" fontId="2" fillId="0" borderId="0" xfId="0" applyNumberFormat="1" applyFont="1" applyAlignment="1">
      <alignment vertical="center" wrapText="1"/>
    </xf>
    <xf numFmtId="10" fontId="2" fillId="0" borderId="0" xfId="0" applyNumberFormat="1" applyFont="1" applyAlignment="1">
      <alignment vertical="center" wrapText="1"/>
    </xf>
    <xf numFmtId="10" fontId="2" fillId="3" borderId="0" xfId="0" applyNumberFormat="1" applyFont="1" applyFill="1" applyAlignment="1">
      <alignment vertical="center" wrapText="1"/>
    </xf>
    <xf numFmtId="1" fontId="2" fillId="0" borderId="0" xfId="0" applyNumberFormat="1" applyFont="1" applyAlignment="1">
      <alignment vertical="center" wrapText="1"/>
    </xf>
    <xf numFmtId="1" fontId="2" fillId="3" borderId="0" xfId="0" applyNumberFormat="1" applyFont="1" applyFill="1" applyAlignment="1">
      <alignment vertical="center" wrapText="1"/>
    </xf>
    <xf numFmtId="0" fontId="3" fillId="2" borderId="0" xfId="0" applyFont="1" applyFill="1" applyAlignment="1">
      <alignment wrapText="1"/>
    </xf>
    <xf numFmtId="3" fontId="0" fillId="0" borderId="0" xfId="0" applyNumberFormat="1"/>
    <xf numFmtId="165" fontId="0" fillId="0" borderId="0" xfId="0" applyNumberFormat="1"/>
    <xf numFmtId="0" fontId="5" fillId="0" borderId="0" xfId="0" applyFont="1" applyAlignment="1">
      <alignment wrapText="1"/>
    </xf>
    <xf numFmtId="164" fontId="0" fillId="0" borderId="0" xfId="0" applyNumberFormat="1"/>
    <xf numFmtId="3" fontId="0" fillId="0" borderId="0" xfId="0" applyNumberFormat="1" applyAlignment="1">
      <alignment wrapText="1"/>
    </xf>
    <xf numFmtId="165" fontId="4" fillId="3" borderId="0" xfId="0" applyNumberFormat="1" applyFont="1" applyFill="1" applyAlignment="1">
      <alignment vertical="center" wrapText="1"/>
    </xf>
    <xf numFmtId="168" fontId="4" fillId="0" borderId="0" xfId="0" applyNumberFormat="1" applyFont="1" applyAlignment="1">
      <alignment vertical="center" wrapText="1"/>
    </xf>
    <xf numFmtId="168" fontId="4" fillId="3" borderId="0" xfId="0" applyNumberFormat="1" applyFont="1" applyFill="1" applyAlignment="1">
      <alignment vertical="center" wrapText="1"/>
    </xf>
    <xf numFmtId="0" fontId="6" fillId="3" borderId="0" xfId="0" applyFont="1" applyFill="1" applyAlignment="1">
      <alignment vertical="center" wrapText="1"/>
    </xf>
    <xf numFmtId="3" fontId="6" fillId="0" borderId="0" xfId="0" applyNumberFormat="1" applyFont="1" applyAlignment="1">
      <alignment vertical="center" wrapText="1"/>
    </xf>
    <xf numFmtId="4" fontId="2" fillId="0" borderId="0" xfId="0" applyNumberFormat="1" applyFont="1" applyAlignment="1">
      <alignment vertical="center" wrapText="1"/>
    </xf>
    <xf numFmtId="4" fontId="2" fillId="3" borderId="0" xfId="0" applyNumberFormat="1" applyFont="1" applyFill="1" applyAlignment="1">
      <alignment vertical="center" wrapText="1"/>
    </xf>
    <xf numFmtId="169" fontId="2" fillId="0" borderId="0" xfId="0" applyNumberFormat="1" applyFont="1" applyAlignment="1">
      <alignment vertical="center" wrapText="1"/>
    </xf>
    <xf numFmtId="169" fontId="2" fillId="3" borderId="0" xfId="0" applyNumberFormat="1" applyFont="1" applyFill="1" applyAlignment="1">
      <alignment vertical="center" wrapText="1"/>
    </xf>
    <xf numFmtId="170" fontId="2" fillId="3" borderId="0" xfId="0" applyNumberFormat="1" applyFont="1" applyFill="1" applyAlignment="1">
      <alignment vertical="center" wrapText="1"/>
    </xf>
    <xf numFmtId="0" fontId="7" fillId="0" borderId="0" xfId="0" applyFont="1" applyAlignment="1">
      <alignment vertical="center" wrapText="1"/>
    </xf>
    <xf numFmtId="0" fontId="7" fillId="3" borderId="0" xfId="0" applyFont="1" applyFill="1" applyAlignment="1">
      <alignment vertical="center" wrapText="1"/>
    </xf>
    <xf numFmtId="0" fontId="7" fillId="0" borderId="0" xfId="0" applyFont="1"/>
    <xf numFmtId="0" fontId="8" fillId="0" borderId="0" xfId="0" applyFont="1" applyAlignment="1">
      <alignment vertical="center" wrapText="1"/>
    </xf>
    <xf numFmtId="0" fontId="9" fillId="0" borderId="0" xfId="0" applyFont="1" applyAlignment="1">
      <alignment vertical="center" wrapText="1"/>
    </xf>
    <xf numFmtId="164" fontId="9" fillId="0" borderId="0" xfId="0" applyNumberFormat="1" applyFont="1" applyAlignment="1">
      <alignment vertical="center" wrapText="1"/>
    </xf>
    <xf numFmtId="3" fontId="9" fillId="0" borderId="0" xfId="0" applyNumberFormat="1" applyFont="1" applyAlignment="1">
      <alignment vertical="center" wrapText="1"/>
    </xf>
    <xf numFmtId="0" fontId="9" fillId="3" borderId="0" xfId="0" applyFont="1" applyFill="1" applyAlignment="1">
      <alignment vertical="center" wrapText="1"/>
    </xf>
    <xf numFmtId="164" fontId="9" fillId="3" borderId="0" xfId="0" applyNumberFormat="1" applyFont="1" applyFill="1" applyAlignment="1">
      <alignment vertical="center" wrapText="1"/>
    </xf>
    <xf numFmtId="0" fontId="10" fillId="0" borderId="0" xfId="0" applyFont="1"/>
    <xf numFmtId="0" fontId="11" fillId="2" borderId="0" xfId="0" applyFont="1" applyFill="1" applyAlignment="1">
      <alignment horizontal="center" vertical="center" wrapText="1"/>
    </xf>
    <xf numFmtId="0" fontId="12" fillId="0" borderId="0" xfId="0" applyFont="1" applyAlignment="1">
      <alignment vertical="center" wrapText="1"/>
    </xf>
    <xf numFmtId="0" fontId="13" fillId="0" borderId="0" xfId="0" applyFont="1" applyAlignment="1">
      <alignment vertical="center" wrapText="1"/>
    </xf>
    <xf numFmtId="0" fontId="12" fillId="3" borderId="0" xfId="0" applyFont="1" applyFill="1" applyAlignment="1">
      <alignment vertical="center" wrapText="1"/>
    </xf>
    <xf numFmtId="0" fontId="13" fillId="3" borderId="0" xfId="0" applyFont="1" applyFill="1" applyAlignment="1">
      <alignment vertical="center" wrapText="1"/>
    </xf>
    <xf numFmtId="0" fontId="14" fillId="0" borderId="0" xfId="0" applyFont="1"/>
    <xf numFmtId="0" fontId="15" fillId="0" borderId="0" xfId="0" applyFont="1"/>
    <xf numFmtId="0" fontId="16" fillId="0" borderId="0" xfId="0" applyFont="1"/>
    <xf numFmtId="0" fontId="17" fillId="0" borderId="0" xfId="0" applyFont="1"/>
    <xf numFmtId="0" fontId="18" fillId="2" borderId="0" xfId="0" applyFont="1" applyFill="1" applyAlignment="1">
      <alignment horizontal="center" vertical="center" wrapText="1"/>
    </xf>
    <xf numFmtId="0" fontId="19" fillId="0" borderId="0" xfId="0" applyFont="1" applyAlignment="1">
      <alignment vertical="center" wrapText="1"/>
    </xf>
    <xf numFmtId="0" fontId="19" fillId="3" borderId="0" xfId="0" applyFont="1" applyFill="1" applyAlignment="1">
      <alignment vertical="center" wrapText="1"/>
    </xf>
    <xf numFmtId="3" fontId="19" fillId="0" borderId="0" xfId="0" applyNumberFormat="1" applyFont="1" applyAlignment="1">
      <alignment vertical="center" wrapText="1"/>
    </xf>
    <xf numFmtId="164" fontId="19" fillId="0" borderId="0" xfId="0" applyNumberFormat="1" applyFont="1" applyAlignment="1">
      <alignment vertical="center" wrapText="1"/>
    </xf>
    <xf numFmtId="169" fontId="19" fillId="0" borderId="0" xfId="0" applyNumberFormat="1" applyFont="1" applyAlignment="1">
      <alignment vertical="center" wrapText="1"/>
    </xf>
    <xf numFmtId="164" fontId="20" fillId="0" borderId="0" xfId="0" applyNumberFormat="1" applyFont="1" applyAlignment="1">
      <alignment vertical="center" wrapText="1"/>
    </xf>
    <xf numFmtId="3" fontId="20" fillId="0" borderId="0" xfId="0" applyNumberFormat="1" applyFont="1" applyAlignment="1">
      <alignment vertical="center" wrapText="1"/>
    </xf>
    <xf numFmtId="0" fontId="20" fillId="0" borderId="0" xfId="0" applyFont="1" applyAlignment="1">
      <alignment vertical="center" wrapText="1"/>
    </xf>
    <xf numFmtId="165" fontId="19" fillId="0" borderId="0" xfId="0" applyNumberFormat="1" applyFont="1" applyAlignment="1">
      <alignment vertical="center" wrapText="1"/>
    </xf>
    <xf numFmtId="0" fontId="15" fillId="0" borderId="0" xfId="0" applyFont="1" applyAlignment="1">
      <alignment horizontal="left"/>
    </xf>
    <xf numFmtId="0" fontId="16" fillId="0" borderId="0" xfId="0" applyFont="1" applyAlignment="1">
      <alignment horizontal="left"/>
    </xf>
    <xf numFmtId="0" fontId="18" fillId="2" borderId="0" xfId="0" applyFont="1" applyFill="1" applyAlignment="1">
      <alignment horizontal="left" vertical="center" wrapText="1"/>
    </xf>
    <xf numFmtId="3" fontId="19" fillId="0" borderId="0" xfId="0" applyNumberFormat="1" applyFont="1" applyAlignment="1">
      <alignment horizontal="left" vertical="center" wrapText="1"/>
    </xf>
    <xf numFmtId="0" fontId="19" fillId="0" borderId="0" xfId="0" applyFont="1" applyAlignment="1">
      <alignment horizontal="left" vertical="center" wrapText="1"/>
    </xf>
    <xf numFmtId="165" fontId="21" fillId="0" borderId="0" xfId="0" applyNumberFormat="1" applyFont="1" applyAlignment="1">
      <alignment vertical="center" wrapText="1"/>
    </xf>
    <xf numFmtId="3" fontId="21" fillId="0" borderId="0" xfId="0" applyNumberFormat="1" applyFont="1" applyAlignment="1">
      <alignment vertical="center" wrapText="1"/>
    </xf>
    <xf numFmtId="0" fontId="21" fillId="0" borderId="0" xfId="0" applyFont="1" applyAlignment="1">
      <alignment vertical="center" wrapText="1"/>
    </xf>
    <xf numFmtId="0" fontId="22" fillId="4" borderId="1" xfId="1" applyFont="1" applyAlignment="1">
      <alignment vertical="center" wrapText="1"/>
    </xf>
    <xf numFmtId="0" fontId="22" fillId="6" borderId="1" xfId="1" applyFont="1" applyFill="1" applyAlignment="1">
      <alignment vertical="center" wrapText="1"/>
    </xf>
    <xf numFmtId="0" fontId="23" fillId="5" borderId="1" xfId="1" applyFont="1" applyFill="1" applyAlignment="1">
      <alignment horizontal="center" vertical="center" wrapText="1"/>
    </xf>
    <xf numFmtId="0" fontId="24" fillId="4" borderId="1" xfId="1" applyFont="1"/>
    <xf numFmtId="0" fontId="25" fillId="7" borderId="2" xfId="2" applyFont="1" applyAlignment="1">
      <alignment vertical="center"/>
    </xf>
    <xf numFmtId="0" fontId="26" fillId="4" borderId="1" xfId="1" applyFont="1" applyAlignment="1">
      <alignment vertical="center"/>
    </xf>
    <xf numFmtId="0" fontId="26" fillId="4" borderId="1" xfId="1" applyFont="1" applyAlignment="1">
      <alignment vertical="center" wrapText="1"/>
    </xf>
    <xf numFmtId="0" fontId="26" fillId="8" borderId="1" xfId="1" applyFont="1" applyFill="1" applyAlignment="1">
      <alignment vertical="center" wrapText="1"/>
    </xf>
    <xf numFmtId="0" fontId="28" fillId="4" borderId="1" xfId="1" applyFont="1" applyAlignment="1">
      <alignment vertical="center"/>
    </xf>
    <xf numFmtId="0" fontId="29" fillId="9" borderId="1" xfId="1" applyFont="1" applyFill="1" applyAlignment="1">
      <alignment vertical="center" wrapText="1"/>
    </xf>
    <xf numFmtId="172" fontId="26" fillId="4" borderId="1" xfId="1" applyNumberFormat="1" applyFont="1" applyAlignment="1">
      <alignment vertical="center" wrapText="1"/>
    </xf>
    <xf numFmtId="164" fontId="26" fillId="4" borderId="1" xfId="1" applyNumberFormat="1" applyFont="1" applyAlignment="1">
      <alignment vertical="center" wrapText="1"/>
    </xf>
    <xf numFmtId="165" fontId="29" fillId="9" borderId="1" xfId="1" applyNumberFormat="1" applyFont="1" applyFill="1" applyAlignment="1">
      <alignment vertical="center" wrapText="1"/>
    </xf>
    <xf numFmtId="164" fontId="29" fillId="9" borderId="1" xfId="1" applyNumberFormat="1" applyFont="1" applyFill="1" applyAlignment="1">
      <alignment vertical="center" wrapText="1"/>
    </xf>
    <xf numFmtId="167" fontId="26" fillId="4" borderId="1" xfId="1" applyNumberFormat="1" applyFont="1" applyAlignment="1">
      <alignment vertical="center" wrapText="1"/>
    </xf>
    <xf numFmtId="3" fontId="26" fillId="4" borderId="1" xfId="1" applyNumberFormat="1" applyFont="1" applyAlignment="1">
      <alignment vertical="center" wrapText="1"/>
    </xf>
    <xf numFmtId="3" fontId="26" fillId="4" borderId="1" xfId="1" applyNumberFormat="1" applyFont="1" applyAlignment="1">
      <alignment vertical="center"/>
    </xf>
    <xf numFmtId="164" fontId="26" fillId="4" borderId="1" xfId="1" applyNumberFormat="1" applyFont="1" applyAlignment="1">
      <alignment vertical="center"/>
    </xf>
    <xf numFmtId="172" fontId="26" fillId="4" borderId="1" xfId="1" applyNumberFormat="1" applyFont="1" applyAlignment="1">
      <alignment vertical="center"/>
    </xf>
    <xf numFmtId="171" fontId="26" fillId="4" borderId="1" xfId="1" applyNumberFormat="1" applyFont="1" applyAlignment="1">
      <alignment vertical="center"/>
    </xf>
    <xf numFmtId="0" fontId="26" fillId="4" borderId="1" xfId="1" applyFont="1"/>
    <xf numFmtId="0" fontId="27" fillId="10" borderId="1" xfId="1" applyFont="1" applyFill="1" applyAlignment="1">
      <alignment vertical="center"/>
    </xf>
    <xf numFmtId="0" fontId="27" fillId="10" borderId="1" xfId="1" applyFont="1" applyFill="1" applyAlignment="1">
      <alignment vertical="center" wrapText="1"/>
    </xf>
  </cellXfs>
  <cellStyles count="1">
    <cellStyle name="Normal" xfId="0" builtinId="0"/>
  </cellStyles>
  <dxfs count="10">
    <dxf>
      <fill>
        <patternFill>
          <bgColor rgb="FFFFC7CE"/>
        </patternFill>
      </fill>
    </dxf>
    <dxf>
      <fill>
        <patternFill>
          <bgColor rgb="FFFCE4D6"/>
        </patternFill>
      </fill>
    </dxf>
    <dxf>
      <fill>
        <patternFill>
          <bgColor rgb="FFFFF2CC"/>
        </patternFill>
      </fill>
    </dxf>
    <dxf>
      <font>
        <color rgb="FF9C0006"/>
      </font>
      <fill>
        <patternFill>
          <bgColor rgb="FFFFC7CE"/>
        </patternFill>
      </fill>
    </dxf>
    <dxf>
      <fill>
        <patternFill patternType="solid">
          <bgColor rgb="FFFFC7CE"/>
        </patternFill>
      </fill>
    </dxf>
    <dxf>
      <fill>
        <patternFill patternType="solid">
          <bgColor rgb="FFF8CBAD"/>
        </patternFill>
      </fill>
    </dxf>
    <dxf>
      <fill>
        <patternFill patternType="solid">
          <bgColor rgb="FFFFF2CC"/>
        </patternFill>
      </fill>
    </dxf>
    <dxf>
      <fill>
        <patternFill patternType="solid">
          <bgColor rgb="FFFFC7CE"/>
        </patternFill>
      </fill>
    </dxf>
    <dxf>
      <fill>
        <patternFill patternType="solid">
          <bgColor rgb="FFF8CBAD"/>
        </patternFill>
      </fill>
    </dxf>
    <dxf>
      <fill>
        <patternFill patternType="solid">
          <bgColor rgb="FFFFF2CC"/>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D7972-0EF7-4E0E-9120-DFFD64266B5F}">
  <dimension ref="A2:C42"/>
  <sheetViews>
    <sheetView showGridLines="0" workbookViewId="0">
      <pane ySplit="4" topLeftCell="A29" activePane="bottomLeft" state="frozen"/>
      <selection pane="bottomLeft" activeCell="B7" sqref="B7"/>
    </sheetView>
  </sheetViews>
  <sheetFormatPr defaultRowHeight="13.8"/>
  <cols>
    <col min="1" max="1" width="29" customWidth="1"/>
    <col min="2" max="2" width="112" customWidth="1"/>
    <col min="3" max="3" width="82" customWidth="1"/>
  </cols>
  <sheetData>
    <row r="2" spans="1:3" ht="17.399999999999999" customHeight="1">
      <c r="A2" s="2" t="s">
        <v>0</v>
      </c>
    </row>
    <row r="4" spans="1:3" ht="34.049999999999997" customHeight="1">
      <c r="A4" s="4" t="s">
        <v>1</v>
      </c>
      <c r="B4" s="4" t="s">
        <v>2</v>
      </c>
      <c r="C4" s="4" t="s">
        <v>3</v>
      </c>
    </row>
    <row r="5" spans="1:3" ht="40.049999999999997" customHeight="1">
      <c r="A5" s="3" t="s">
        <v>4</v>
      </c>
      <c r="B5" s="3" t="s">
        <v>2931</v>
      </c>
      <c r="C5" s="3" t="s">
        <v>2932</v>
      </c>
    </row>
    <row r="6" spans="1:3" ht="25.95" customHeight="1">
      <c r="A6" s="5" t="s">
        <v>5</v>
      </c>
      <c r="B6" s="5" t="s">
        <v>6</v>
      </c>
      <c r="C6" s="5" t="s">
        <v>7</v>
      </c>
    </row>
    <row r="7" spans="1:3" ht="25.95" customHeight="1">
      <c r="A7" s="3" t="s">
        <v>8</v>
      </c>
      <c r="B7" s="3" t="s">
        <v>9</v>
      </c>
      <c r="C7" s="3" t="s">
        <v>10</v>
      </c>
    </row>
    <row r="8" spans="1:3" ht="40.049999999999997" customHeight="1">
      <c r="A8" s="5" t="s">
        <v>11</v>
      </c>
      <c r="B8" s="5" t="s">
        <v>2933</v>
      </c>
      <c r="C8" s="5" t="s">
        <v>12</v>
      </c>
    </row>
    <row r="9" spans="1:3" ht="40.049999999999997" customHeight="1">
      <c r="A9" s="3" t="s">
        <v>13</v>
      </c>
      <c r="B9" s="3" t="s">
        <v>14</v>
      </c>
      <c r="C9" s="3" t="s">
        <v>15</v>
      </c>
    </row>
    <row r="10" spans="1:3" ht="40.049999999999997" customHeight="1">
      <c r="A10" s="5" t="s">
        <v>16</v>
      </c>
      <c r="B10" s="5" t="s">
        <v>17</v>
      </c>
      <c r="C10" s="5" t="s">
        <v>18</v>
      </c>
    </row>
    <row r="11" spans="1:3" ht="54" customHeight="1">
      <c r="A11" s="3" t="s">
        <v>19</v>
      </c>
      <c r="B11" s="3" t="s">
        <v>20</v>
      </c>
      <c r="C11" s="3" t="s">
        <v>21</v>
      </c>
    </row>
    <row r="12" spans="1:3" ht="40.049999999999997" customHeight="1">
      <c r="A12" s="5" t="s">
        <v>22</v>
      </c>
      <c r="B12" s="5" t="s">
        <v>23</v>
      </c>
      <c r="C12" s="5" t="s">
        <v>24</v>
      </c>
    </row>
    <row r="13" spans="1:3" ht="40.049999999999997" customHeight="1">
      <c r="A13" s="3" t="s">
        <v>25</v>
      </c>
      <c r="B13" s="3" t="s">
        <v>26</v>
      </c>
      <c r="C13" s="3" t="s">
        <v>27</v>
      </c>
    </row>
    <row r="14" spans="1:3" ht="40.049999999999997" customHeight="1">
      <c r="A14" s="5" t="s">
        <v>28</v>
      </c>
      <c r="B14" s="5" t="s">
        <v>29</v>
      </c>
      <c r="C14" s="5" t="s">
        <v>30</v>
      </c>
    </row>
    <row r="15" spans="1:3" ht="40.049999999999997" customHeight="1">
      <c r="A15" s="3" t="s">
        <v>31</v>
      </c>
      <c r="B15" s="3" t="s">
        <v>32</v>
      </c>
      <c r="C15" s="3" t="s">
        <v>33</v>
      </c>
    </row>
    <row r="16" spans="1:3" ht="40.049999999999997" customHeight="1">
      <c r="A16" s="5" t="s">
        <v>34</v>
      </c>
      <c r="B16" s="5" t="s">
        <v>35</v>
      </c>
      <c r="C16" s="5" t="s">
        <v>36</v>
      </c>
    </row>
    <row r="17" spans="1:3" ht="40.049999999999997" customHeight="1">
      <c r="A17" s="3" t="s">
        <v>37</v>
      </c>
      <c r="B17" s="3" t="s">
        <v>38</v>
      </c>
      <c r="C17" s="3" t="s">
        <v>39</v>
      </c>
    </row>
    <row r="18" spans="1:3" ht="40.049999999999997" customHeight="1">
      <c r="A18" s="5" t="s">
        <v>40</v>
      </c>
      <c r="B18" s="5" t="s">
        <v>41</v>
      </c>
      <c r="C18" s="5" t="s">
        <v>42</v>
      </c>
    </row>
    <row r="19" spans="1:3" ht="40.049999999999997" customHeight="1">
      <c r="A19" s="3" t="s">
        <v>43</v>
      </c>
      <c r="B19" s="3" t="s">
        <v>44</v>
      </c>
      <c r="C19" s="3" t="s">
        <v>45</v>
      </c>
    </row>
    <row r="20" spans="1:3" ht="40.049999999999997" customHeight="1">
      <c r="A20" s="5" t="s">
        <v>46</v>
      </c>
      <c r="B20" s="5" t="s">
        <v>47</v>
      </c>
      <c r="C20" s="5" t="s">
        <v>48</v>
      </c>
    </row>
    <row r="21" spans="1:3" ht="40.049999999999997" customHeight="1">
      <c r="A21" s="3" t="s">
        <v>49</v>
      </c>
      <c r="B21" s="3" t="s">
        <v>50</v>
      </c>
      <c r="C21" s="3" t="s">
        <v>51</v>
      </c>
    </row>
    <row r="22" spans="1:3" ht="40.049999999999997" customHeight="1">
      <c r="A22" s="5" t="s">
        <v>52</v>
      </c>
      <c r="B22" s="5" t="s">
        <v>53</v>
      </c>
      <c r="C22" s="5" t="s">
        <v>54</v>
      </c>
    </row>
    <row r="23" spans="1:3" ht="40.049999999999997" customHeight="1">
      <c r="A23" s="3" t="s">
        <v>55</v>
      </c>
      <c r="B23" s="3" t="s">
        <v>56</v>
      </c>
      <c r="C23" s="3" t="s">
        <v>57</v>
      </c>
    </row>
    <row r="24" spans="1:3" ht="40.049999999999997" customHeight="1">
      <c r="A24" s="5" t="s">
        <v>58</v>
      </c>
      <c r="B24" s="5" t="s">
        <v>59</v>
      </c>
      <c r="C24" s="5" t="s">
        <v>60</v>
      </c>
    </row>
    <row r="25" spans="1:3" ht="40.049999999999997" customHeight="1">
      <c r="A25" s="3" t="s">
        <v>61</v>
      </c>
      <c r="B25" s="3" t="s">
        <v>62</v>
      </c>
      <c r="C25" s="3" t="s">
        <v>63</v>
      </c>
    </row>
    <row r="26" spans="1:3" ht="25.95" customHeight="1">
      <c r="A26" s="5" t="s">
        <v>64</v>
      </c>
      <c r="B26" s="5" t="s">
        <v>65</v>
      </c>
      <c r="C26" s="5" t="s">
        <v>66</v>
      </c>
    </row>
    <row r="27" spans="1:3" ht="40.049999999999997" customHeight="1">
      <c r="A27" s="3" t="s">
        <v>67</v>
      </c>
      <c r="B27" s="3" t="s">
        <v>68</v>
      </c>
      <c r="C27" s="3" t="s">
        <v>69</v>
      </c>
    </row>
    <row r="28" spans="1:3" ht="40.049999999999997" customHeight="1">
      <c r="A28" s="5" t="s">
        <v>70</v>
      </c>
      <c r="B28" s="5" t="s">
        <v>71</v>
      </c>
      <c r="C28" s="5" t="s">
        <v>72</v>
      </c>
    </row>
    <row r="29" spans="1:3" ht="40.049999999999997" customHeight="1">
      <c r="A29" s="3" t="s">
        <v>73</v>
      </c>
      <c r="B29" s="3" t="s">
        <v>74</v>
      </c>
      <c r="C29" s="3" t="s">
        <v>75</v>
      </c>
    </row>
    <row r="31" spans="1:3" ht="55.95" customHeight="1">
      <c r="A31" s="31" t="s">
        <v>76</v>
      </c>
      <c r="B31" s="31" t="s">
        <v>77</v>
      </c>
      <c r="C31" s="31" t="s">
        <v>78</v>
      </c>
    </row>
    <row r="32" spans="1:3" ht="55.95" customHeight="1">
      <c r="A32" s="31" t="s">
        <v>79</v>
      </c>
      <c r="B32" s="31" t="s">
        <v>80</v>
      </c>
      <c r="C32" s="31" t="s">
        <v>81</v>
      </c>
    </row>
    <row r="33" spans="1:3" ht="70.05" customHeight="1">
      <c r="A33" s="31" t="s">
        <v>82</v>
      </c>
      <c r="B33" s="31" t="s">
        <v>83</v>
      </c>
      <c r="C33" s="31" t="s">
        <v>84</v>
      </c>
    </row>
    <row r="34" spans="1:3" ht="66" customHeight="1">
      <c r="A34" s="31" t="s">
        <v>85</v>
      </c>
      <c r="B34" s="31" t="s">
        <v>86</v>
      </c>
      <c r="C34" s="31" t="s">
        <v>87</v>
      </c>
    </row>
    <row r="35" spans="1:3" ht="70.05" customHeight="1">
      <c r="A35" s="31" t="s">
        <v>88</v>
      </c>
      <c r="B35" s="31" t="s">
        <v>89</v>
      </c>
      <c r="C35" s="31" t="s">
        <v>90</v>
      </c>
    </row>
    <row r="36" spans="1:3" ht="54" customHeight="1">
      <c r="A36" s="31" t="s">
        <v>2651</v>
      </c>
      <c r="B36" s="31" t="s">
        <v>2652</v>
      </c>
      <c r="C36" s="31" t="s">
        <v>2653</v>
      </c>
    </row>
    <row r="37" spans="1:3" ht="54" customHeight="1">
      <c r="A37" s="31" t="s">
        <v>2654</v>
      </c>
      <c r="B37" s="31" t="s">
        <v>2655</v>
      </c>
      <c r="C37" s="31" t="s">
        <v>2656</v>
      </c>
    </row>
    <row r="38" spans="1:3" ht="91.95" customHeight="1">
      <c r="A38" s="31" t="s">
        <v>2657</v>
      </c>
      <c r="B38" s="31" t="s">
        <v>2658</v>
      </c>
      <c r="C38" s="31" t="s">
        <v>2659</v>
      </c>
    </row>
    <row r="40" spans="1:3" ht="70.05" customHeight="1">
      <c r="A40" s="81" t="s">
        <v>2934</v>
      </c>
      <c r="B40" s="81" t="s">
        <v>2935</v>
      </c>
      <c r="C40" s="81" t="s">
        <v>2936</v>
      </c>
    </row>
    <row r="41" spans="1:3" ht="70.05" customHeight="1">
      <c r="A41" s="82" t="s">
        <v>2937</v>
      </c>
      <c r="B41" s="82" t="s">
        <v>2938</v>
      </c>
      <c r="C41" s="82" t="s">
        <v>2939</v>
      </c>
    </row>
    <row r="42" spans="1:3" ht="70.05" customHeight="1">
      <c r="A42" s="81" t="s">
        <v>2940</v>
      </c>
      <c r="B42" s="81" t="s">
        <v>2941</v>
      </c>
      <c r="C42" s="81" t="s">
        <v>2942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13778-780B-42E5-869B-5B34419ADF82}">
  <dimension ref="A2:I110"/>
  <sheetViews>
    <sheetView showGridLines="0" zoomScale="80" workbookViewId="0">
      <pane xSplit="3" ySplit="4" topLeftCell="E36" activePane="bottomRight" state="frozen"/>
      <selection pane="topRight"/>
      <selection pane="bottomLeft"/>
      <selection pane="bottomRight" activeCell="D5" sqref="D5"/>
    </sheetView>
  </sheetViews>
  <sheetFormatPr defaultRowHeight="13.8"/>
  <cols>
    <col min="1" max="1" width="14" customWidth="1"/>
    <col min="2" max="2" width="31" customWidth="1"/>
    <col min="3" max="3" width="34" customWidth="1"/>
    <col min="4" max="4" width="49" customWidth="1"/>
    <col min="5" max="5" width="70" customWidth="1"/>
    <col min="6" max="6" width="53" customWidth="1"/>
    <col min="7" max="7" width="65" customWidth="1"/>
    <col min="8" max="8" width="24" customWidth="1"/>
    <col min="9" max="9" width="68" customWidth="1"/>
  </cols>
  <sheetData>
    <row r="2" spans="1:9" ht="17.399999999999999" customHeight="1">
      <c r="A2" s="2" t="s">
        <v>91</v>
      </c>
    </row>
    <row r="4" spans="1:9" ht="34.049999999999997" customHeight="1">
      <c r="A4" s="4" t="s">
        <v>92</v>
      </c>
      <c r="B4" s="4" t="s">
        <v>93</v>
      </c>
      <c r="C4" s="4" t="s">
        <v>94</v>
      </c>
      <c r="D4" s="4" t="s">
        <v>95</v>
      </c>
      <c r="E4" s="4" t="s">
        <v>96</v>
      </c>
      <c r="F4" s="4" t="s">
        <v>97</v>
      </c>
      <c r="G4" s="4" t="s">
        <v>98</v>
      </c>
      <c r="H4" s="4" t="s">
        <v>99</v>
      </c>
      <c r="I4" s="4" t="s">
        <v>100</v>
      </c>
    </row>
    <row r="5" spans="1:9" ht="40.049999999999997" customHeight="1">
      <c r="A5" s="3" t="s">
        <v>101</v>
      </c>
      <c r="B5" s="3" t="s">
        <v>102</v>
      </c>
      <c r="C5" s="3" t="s">
        <v>103</v>
      </c>
      <c r="D5" s="3" t="s">
        <v>104</v>
      </c>
      <c r="E5" s="44" t="s">
        <v>105</v>
      </c>
      <c r="F5" s="3" t="s">
        <v>106</v>
      </c>
      <c r="G5" s="3" t="s">
        <v>107</v>
      </c>
      <c r="H5" s="3" t="s">
        <v>108</v>
      </c>
      <c r="I5" s="3" t="s">
        <v>109</v>
      </c>
    </row>
    <row r="6" spans="1:9" ht="40.049999999999997" customHeight="1">
      <c r="A6" s="5" t="s">
        <v>110</v>
      </c>
      <c r="B6" s="5" t="s">
        <v>102</v>
      </c>
      <c r="C6" s="5" t="s">
        <v>111</v>
      </c>
      <c r="D6" s="5" t="s">
        <v>112</v>
      </c>
      <c r="E6" s="45" t="s">
        <v>113</v>
      </c>
      <c r="F6" s="5" t="s">
        <v>114</v>
      </c>
      <c r="G6" s="5" t="s">
        <v>107</v>
      </c>
      <c r="H6" s="5" t="s">
        <v>108</v>
      </c>
      <c r="I6" s="5" t="s">
        <v>115</v>
      </c>
    </row>
    <row r="7" spans="1:9" ht="40.049999999999997" customHeight="1">
      <c r="A7" s="3" t="s">
        <v>116</v>
      </c>
      <c r="B7" s="3" t="s">
        <v>102</v>
      </c>
      <c r="C7" s="3" t="s">
        <v>117</v>
      </c>
      <c r="D7" s="3" t="s">
        <v>118</v>
      </c>
      <c r="E7" s="44" t="s">
        <v>119</v>
      </c>
      <c r="F7" s="3" t="s">
        <v>120</v>
      </c>
      <c r="G7" s="3" t="s">
        <v>121</v>
      </c>
      <c r="H7" s="3" t="s">
        <v>108</v>
      </c>
      <c r="I7" s="3" t="s">
        <v>122</v>
      </c>
    </row>
    <row r="8" spans="1:9" ht="40.049999999999997" customHeight="1">
      <c r="A8" s="5" t="s">
        <v>123</v>
      </c>
      <c r="B8" s="5" t="s">
        <v>102</v>
      </c>
      <c r="C8" s="5" t="s">
        <v>124</v>
      </c>
      <c r="D8" s="5" t="s">
        <v>125</v>
      </c>
      <c r="E8" s="45" t="s">
        <v>126</v>
      </c>
      <c r="F8" s="5" t="s">
        <v>127</v>
      </c>
      <c r="G8" s="5" t="s">
        <v>128</v>
      </c>
      <c r="H8" s="5" t="s">
        <v>108</v>
      </c>
      <c r="I8" s="5" t="s">
        <v>129</v>
      </c>
    </row>
    <row r="9" spans="1:9" ht="40.049999999999997" customHeight="1">
      <c r="A9" s="3" t="s">
        <v>130</v>
      </c>
      <c r="B9" s="3" t="s">
        <v>102</v>
      </c>
      <c r="C9" s="3" t="s">
        <v>131</v>
      </c>
      <c r="D9" s="3" t="s">
        <v>132</v>
      </c>
      <c r="E9" s="44" t="s">
        <v>133</v>
      </c>
      <c r="F9" s="3" t="s">
        <v>134</v>
      </c>
      <c r="G9" s="3" t="s">
        <v>121</v>
      </c>
      <c r="H9" s="3" t="s">
        <v>108</v>
      </c>
      <c r="I9" s="3" t="s">
        <v>135</v>
      </c>
    </row>
    <row r="10" spans="1:9" ht="40.049999999999997" customHeight="1">
      <c r="A10" s="5" t="s">
        <v>136</v>
      </c>
      <c r="B10" s="5" t="s">
        <v>102</v>
      </c>
      <c r="C10" s="5" t="s">
        <v>137</v>
      </c>
      <c r="D10" s="5" t="s">
        <v>138</v>
      </c>
      <c r="E10" s="45" t="s">
        <v>139</v>
      </c>
      <c r="F10" s="5" t="s">
        <v>140</v>
      </c>
      <c r="G10" s="5" t="s">
        <v>141</v>
      </c>
      <c r="H10" s="5" t="s">
        <v>108</v>
      </c>
      <c r="I10" s="5" t="s">
        <v>142</v>
      </c>
    </row>
    <row r="11" spans="1:9" ht="40.049999999999997" customHeight="1">
      <c r="A11" s="3" t="s">
        <v>143</v>
      </c>
      <c r="B11" s="3" t="s">
        <v>102</v>
      </c>
      <c r="C11" s="3" t="s">
        <v>144</v>
      </c>
      <c r="D11" s="3" t="s">
        <v>145</v>
      </c>
      <c r="E11" s="44" t="s">
        <v>146</v>
      </c>
      <c r="F11" s="3" t="s">
        <v>147</v>
      </c>
      <c r="G11" s="3" t="s">
        <v>148</v>
      </c>
      <c r="H11" s="3" t="s">
        <v>149</v>
      </c>
      <c r="I11" s="3" t="s">
        <v>150</v>
      </c>
    </row>
    <row r="12" spans="1:9" ht="40.049999999999997" customHeight="1">
      <c r="A12" s="5" t="s">
        <v>151</v>
      </c>
      <c r="B12" s="5" t="s">
        <v>102</v>
      </c>
      <c r="C12" s="5" t="s">
        <v>152</v>
      </c>
      <c r="D12" s="5" t="s">
        <v>153</v>
      </c>
      <c r="E12" s="45" t="s">
        <v>154</v>
      </c>
      <c r="F12" s="5" t="s">
        <v>155</v>
      </c>
      <c r="G12" s="5" t="s">
        <v>148</v>
      </c>
      <c r="H12" s="5" t="s">
        <v>156</v>
      </c>
      <c r="I12" s="5" t="s">
        <v>157</v>
      </c>
    </row>
    <row r="13" spans="1:9" ht="40.049999999999997" customHeight="1">
      <c r="A13" s="3" t="s">
        <v>158</v>
      </c>
      <c r="B13" s="3" t="s">
        <v>102</v>
      </c>
      <c r="C13" s="3" t="s">
        <v>159</v>
      </c>
      <c r="D13" s="3" t="s">
        <v>160</v>
      </c>
      <c r="E13" s="44" t="s">
        <v>161</v>
      </c>
      <c r="F13" s="3" t="s">
        <v>162</v>
      </c>
      <c r="G13" s="3" t="s">
        <v>148</v>
      </c>
      <c r="H13" s="3" t="s">
        <v>156</v>
      </c>
      <c r="I13" s="3" t="s">
        <v>157</v>
      </c>
    </row>
    <row r="14" spans="1:9" ht="40.049999999999997" customHeight="1">
      <c r="A14" s="5" t="s">
        <v>163</v>
      </c>
      <c r="B14" s="5" t="s">
        <v>102</v>
      </c>
      <c r="C14" s="5" t="s">
        <v>164</v>
      </c>
      <c r="D14" s="5" t="s">
        <v>165</v>
      </c>
      <c r="E14" s="45" t="s">
        <v>166</v>
      </c>
      <c r="F14" s="5" t="s">
        <v>167</v>
      </c>
      <c r="G14" s="5" t="s">
        <v>148</v>
      </c>
      <c r="H14" s="5" t="s">
        <v>168</v>
      </c>
      <c r="I14" s="5" t="s">
        <v>169</v>
      </c>
    </row>
    <row r="15" spans="1:9" ht="40.049999999999997" customHeight="1">
      <c r="A15" s="3" t="s">
        <v>170</v>
      </c>
      <c r="B15" s="3" t="s">
        <v>102</v>
      </c>
      <c r="C15" s="3" t="s">
        <v>171</v>
      </c>
      <c r="D15" s="3" t="s">
        <v>172</v>
      </c>
      <c r="E15" s="44" t="s">
        <v>173</v>
      </c>
      <c r="F15" s="3" t="s">
        <v>174</v>
      </c>
      <c r="G15" s="3" t="s">
        <v>148</v>
      </c>
      <c r="H15" s="3" t="s">
        <v>156</v>
      </c>
      <c r="I15" s="3" t="s">
        <v>175</v>
      </c>
    </row>
    <row r="16" spans="1:9" ht="40.049999999999997" customHeight="1">
      <c r="A16" s="5" t="s">
        <v>176</v>
      </c>
      <c r="B16" s="5" t="s">
        <v>177</v>
      </c>
      <c r="C16" s="5" t="s">
        <v>178</v>
      </c>
      <c r="D16" s="5" t="s">
        <v>179</v>
      </c>
      <c r="E16" s="45" t="s">
        <v>180</v>
      </c>
      <c r="F16" s="5" t="s">
        <v>101</v>
      </c>
      <c r="G16" s="5" t="s">
        <v>148</v>
      </c>
      <c r="H16" s="5" t="s">
        <v>108</v>
      </c>
      <c r="I16" s="5" t="s">
        <v>181</v>
      </c>
    </row>
    <row r="17" spans="1:9" ht="40.049999999999997" customHeight="1">
      <c r="A17" s="3" t="s">
        <v>182</v>
      </c>
      <c r="B17" s="3" t="s">
        <v>177</v>
      </c>
      <c r="C17" s="3" t="s">
        <v>183</v>
      </c>
      <c r="D17" s="3" t="s">
        <v>184</v>
      </c>
      <c r="E17" s="44" t="s">
        <v>185</v>
      </c>
      <c r="F17" s="3" t="s">
        <v>110</v>
      </c>
      <c r="G17" s="3" t="s">
        <v>148</v>
      </c>
      <c r="H17" s="3" t="s">
        <v>108</v>
      </c>
      <c r="I17" s="3" t="s">
        <v>181</v>
      </c>
    </row>
    <row r="18" spans="1:9" ht="40.049999999999997" customHeight="1">
      <c r="A18" s="5" t="s">
        <v>186</v>
      </c>
      <c r="B18" s="5" t="s">
        <v>177</v>
      </c>
      <c r="C18" s="5" t="s">
        <v>187</v>
      </c>
      <c r="D18" s="5" t="s">
        <v>188</v>
      </c>
      <c r="E18" s="45" t="s">
        <v>189</v>
      </c>
      <c r="F18" s="5" t="s">
        <v>190</v>
      </c>
      <c r="G18" s="5" t="s">
        <v>148</v>
      </c>
      <c r="H18" s="5" t="s">
        <v>108</v>
      </c>
      <c r="I18" s="5" t="s">
        <v>181</v>
      </c>
    </row>
    <row r="19" spans="1:9" ht="40.049999999999997" customHeight="1">
      <c r="A19" s="3" t="s">
        <v>191</v>
      </c>
      <c r="B19" s="3" t="s">
        <v>177</v>
      </c>
      <c r="C19" s="3" t="s">
        <v>192</v>
      </c>
      <c r="D19" s="3" t="s">
        <v>193</v>
      </c>
      <c r="E19" s="44" t="s">
        <v>194</v>
      </c>
      <c r="F19" s="3" t="s">
        <v>195</v>
      </c>
      <c r="G19" s="3" t="s">
        <v>148</v>
      </c>
      <c r="H19" s="3" t="s">
        <v>196</v>
      </c>
      <c r="I19" s="3" t="s">
        <v>197</v>
      </c>
    </row>
    <row r="20" spans="1:9" ht="40.049999999999997" customHeight="1">
      <c r="A20" s="5" t="s">
        <v>198</v>
      </c>
      <c r="B20" s="5" t="s">
        <v>199</v>
      </c>
      <c r="C20" s="5" t="s">
        <v>200</v>
      </c>
      <c r="D20" s="5" t="s">
        <v>201</v>
      </c>
      <c r="E20" s="45" t="s">
        <v>202</v>
      </c>
      <c r="F20" s="5" t="s">
        <v>203</v>
      </c>
      <c r="G20" s="5" t="s">
        <v>204</v>
      </c>
      <c r="H20" s="5" t="s">
        <v>108</v>
      </c>
      <c r="I20" s="5" t="s">
        <v>181</v>
      </c>
    </row>
    <row r="21" spans="1:9" ht="40.049999999999997" customHeight="1">
      <c r="A21" s="3" t="s">
        <v>205</v>
      </c>
      <c r="B21" s="3" t="s">
        <v>199</v>
      </c>
      <c r="C21" s="3" t="s">
        <v>206</v>
      </c>
      <c r="D21" s="3" t="s">
        <v>207</v>
      </c>
      <c r="E21" s="44" t="s">
        <v>208</v>
      </c>
      <c r="F21" s="3" t="s">
        <v>209</v>
      </c>
      <c r="G21" s="3" t="s">
        <v>148</v>
      </c>
      <c r="H21" s="3" t="s">
        <v>210</v>
      </c>
      <c r="I21" s="3" t="s">
        <v>211</v>
      </c>
    </row>
    <row r="22" spans="1:9" ht="40.049999999999997" customHeight="1">
      <c r="A22" s="5" t="s">
        <v>212</v>
      </c>
      <c r="B22" s="5" t="s">
        <v>199</v>
      </c>
      <c r="C22" s="5" t="s">
        <v>213</v>
      </c>
      <c r="D22" s="5" t="s">
        <v>214</v>
      </c>
      <c r="E22" s="45" t="s">
        <v>215</v>
      </c>
      <c r="F22" s="5" t="s">
        <v>216</v>
      </c>
      <c r="G22" s="5" t="s">
        <v>148</v>
      </c>
      <c r="H22" s="5" t="s">
        <v>217</v>
      </c>
      <c r="I22" s="5" t="s">
        <v>218</v>
      </c>
    </row>
    <row r="23" spans="1:9" ht="40.049999999999997" customHeight="1">
      <c r="A23" s="3" t="s">
        <v>219</v>
      </c>
      <c r="B23" s="3" t="s">
        <v>199</v>
      </c>
      <c r="C23" s="3" t="s">
        <v>220</v>
      </c>
      <c r="D23" s="3" t="s">
        <v>221</v>
      </c>
      <c r="E23" s="44" t="s">
        <v>222</v>
      </c>
      <c r="F23" s="3" t="s">
        <v>223</v>
      </c>
      <c r="G23" s="3" t="s">
        <v>204</v>
      </c>
      <c r="H23" s="3" t="s">
        <v>217</v>
      </c>
      <c r="I23" s="3" t="s">
        <v>224</v>
      </c>
    </row>
    <row r="24" spans="1:9" ht="40.049999999999997" customHeight="1">
      <c r="A24" s="5" t="s">
        <v>225</v>
      </c>
      <c r="B24" s="5" t="s">
        <v>199</v>
      </c>
      <c r="C24" s="5" t="s">
        <v>226</v>
      </c>
      <c r="D24" s="5" t="s">
        <v>227</v>
      </c>
      <c r="E24" s="45" t="s">
        <v>228</v>
      </c>
      <c r="F24" s="5" t="s">
        <v>219</v>
      </c>
      <c r="G24" s="5" t="s">
        <v>204</v>
      </c>
      <c r="H24" s="5" t="s">
        <v>108</v>
      </c>
      <c r="I24" s="5" t="s">
        <v>229</v>
      </c>
    </row>
    <row r="25" spans="1:9" ht="40.049999999999997" customHeight="1">
      <c r="A25" s="3" t="s">
        <v>230</v>
      </c>
      <c r="B25" s="3" t="s">
        <v>199</v>
      </c>
      <c r="C25" s="3" t="s">
        <v>231</v>
      </c>
      <c r="D25" s="3" t="s">
        <v>232</v>
      </c>
      <c r="E25" s="44" t="s">
        <v>233</v>
      </c>
      <c r="F25" s="3" t="s">
        <v>225</v>
      </c>
      <c r="G25" s="3" t="s">
        <v>148</v>
      </c>
      <c r="H25" s="3" t="s">
        <v>210</v>
      </c>
      <c r="I25" s="3" t="s">
        <v>234</v>
      </c>
    </row>
    <row r="26" spans="1:9" ht="54" customHeight="1">
      <c r="A26" s="5" t="s">
        <v>235</v>
      </c>
      <c r="B26" s="5" t="s">
        <v>199</v>
      </c>
      <c r="C26" s="5" t="s">
        <v>236</v>
      </c>
      <c r="D26" s="5" t="s">
        <v>237</v>
      </c>
      <c r="E26" s="45" t="s">
        <v>238</v>
      </c>
      <c r="F26" s="5" t="s">
        <v>239</v>
      </c>
      <c r="G26" s="5" t="s">
        <v>240</v>
      </c>
      <c r="H26" s="5" t="s">
        <v>156</v>
      </c>
      <c r="I26" s="5" t="s">
        <v>241</v>
      </c>
    </row>
    <row r="27" spans="1:9" ht="40.049999999999997" customHeight="1">
      <c r="A27" s="3" t="s">
        <v>242</v>
      </c>
      <c r="B27" s="3" t="s">
        <v>199</v>
      </c>
      <c r="C27" s="3" t="s">
        <v>243</v>
      </c>
      <c r="D27" s="3" t="s">
        <v>244</v>
      </c>
      <c r="E27" s="44" t="s">
        <v>245</v>
      </c>
      <c r="F27" s="3" t="s">
        <v>246</v>
      </c>
      <c r="G27" s="3" t="s">
        <v>247</v>
      </c>
      <c r="H27" s="3" t="s">
        <v>217</v>
      </c>
      <c r="I27" s="3" t="s">
        <v>248</v>
      </c>
    </row>
    <row r="28" spans="1:9" ht="54" customHeight="1">
      <c r="A28" s="5" t="s">
        <v>249</v>
      </c>
      <c r="B28" s="5" t="s">
        <v>199</v>
      </c>
      <c r="C28" s="5" t="s">
        <v>250</v>
      </c>
      <c r="D28" s="5" t="s">
        <v>251</v>
      </c>
      <c r="E28" s="45" t="s">
        <v>252</v>
      </c>
      <c r="F28" s="5" t="s">
        <v>253</v>
      </c>
      <c r="G28" s="5" t="s">
        <v>148</v>
      </c>
      <c r="H28" s="5" t="s">
        <v>254</v>
      </c>
      <c r="I28" s="5" t="s">
        <v>255</v>
      </c>
    </row>
    <row r="29" spans="1:9" ht="40.049999999999997" customHeight="1">
      <c r="A29" s="3" t="s">
        <v>256</v>
      </c>
      <c r="B29" s="3" t="s">
        <v>257</v>
      </c>
      <c r="C29" s="3" t="s">
        <v>258</v>
      </c>
      <c r="D29" s="3" t="s">
        <v>259</v>
      </c>
      <c r="E29" s="44" t="s">
        <v>260</v>
      </c>
      <c r="F29" s="3" t="s">
        <v>261</v>
      </c>
      <c r="G29" s="3" t="s">
        <v>128</v>
      </c>
      <c r="H29" s="3" t="s">
        <v>108</v>
      </c>
      <c r="I29" s="3" t="s">
        <v>181</v>
      </c>
    </row>
    <row r="30" spans="1:9" ht="40.049999999999997" customHeight="1">
      <c r="A30" s="5" t="s">
        <v>262</v>
      </c>
      <c r="B30" s="5" t="s">
        <v>257</v>
      </c>
      <c r="C30" s="5" t="s">
        <v>263</v>
      </c>
      <c r="D30" s="5" t="s">
        <v>264</v>
      </c>
      <c r="E30" s="45" t="s">
        <v>265</v>
      </c>
      <c r="F30" s="5" t="s">
        <v>266</v>
      </c>
      <c r="G30" s="5" t="s">
        <v>148</v>
      </c>
      <c r="H30" s="5" t="s">
        <v>217</v>
      </c>
      <c r="I30" s="5" t="s">
        <v>267</v>
      </c>
    </row>
    <row r="31" spans="1:9" ht="40.049999999999997" customHeight="1">
      <c r="A31" s="3" t="s">
        <v>268</v>
      </c>
      <c r="B31" s="3" t="s">
        <v>257</v>
      </c>
      <c r="C31" s="3" t="s">
        <v>269</v>
      </c>
      <c r="D31" s="3" t="s">
        <v>270</v>
      </c>
      <c r="E31" s="44" t="s">
        <v>271</v>
      </c>
      <c r="F31" s="3" t="s">
        <v>256</v>
      </c>
      <c r="G31" s="3" t="s">
        <v>148</v>
      </c>
      <c r="H31" s="3" t="s">
        <v>108</v>
      </c>
      <c r="I31" s="3" t="s">
        <v>181</v>
      </c>
    </row>
    <row r="32" spans="1:9" ht="40.049999999999997" customHeight="1">
      <c r="A32" s="5" t="s">
        <v>272</v>
      </c>
      <c r="B32" s="5" t="s">
        <v>257</v>
      </c>
      <c r="C32" s="5" t="s">
        <v>273</v>
      </c>
      <c r="D32" s="5" t="s">
        <v>274</v>
      </c>
      <c r="E32" s="45" t="s">
        <v>275</v>
      </c>
      <c r="F32" s="5" t="s">
        <v>276</v>
      </c>
      <c r="G32" s="5" t="s">
        <v>148</v>
      </c>
      <c r="H32" s="5" t="s">
        <v>277</v>
      </c>
      <c r="I32" s="5" t="s">
        <v>181</v>
      </c>
    </row>
    <row r="33" spans="1:9" ht="40.049999999999997" customHeight="1">
      <c r="A33" s="3" t="s">
        <v>278</v>
      </c>
      <c r="B33" s="3" t="s">
        <v>257</v>
      </c>
      <c r="C33" s="3" t="s">
        <v>279</v>
      </c>
      <c r="D33" s="3" t="s">
        <v>280</v>
      </c>
      <c r="E33" s="44" t="s">
        <v>281</v>
      </c>
      <c r="F33" s="3" t="s">
        <v>282</v>
      </c>
      <c r="G33" s="3" t="s">
        <v>148</v>
      </c>
      <c r="H33" s="3" t="s">
        <v>283</v>
      </c>
      <c r="I33" s="3" t="s">
        <v>181</v>
      </c>
    </row>
    <row r="34" spans="1:9" ht="40.049999999999997" customHeight="1">
      <c r="A34" s="5" t="s">
        <v>284</v>
      </c>
      <c r="B34" s="5" t="s">
        <v>285</v>
      </c>
      <c r="C34" s="5" t="s">
        <v>286</v>
      </c>
      <c r="D34" s="5" t="s">
        <v>287</v>
      </c>
      <c r="E34" s="45" t="s">
        <v>288</v>
      </c>
      <c r="F34" s="5" t="s">
        <v>289</v>
      </c>
      <c r="G34" s="5" t="s">
        <v>204</v>
      </c>
      <c r="H34" s="5" t="s">
        <v>108</v>
      </c>
      <c r="I34" s="5" t="s">
        <v>181</v>
      </c>
    </row>
    <row r="35" spans="1:9" ht="54" customHeight="1">
      <c r="A35" s="3" t="s">
        <v>290</v>
      </c>
      <c r="B35" s="3" t="s">
        <v>285</v>
      </c>
      <c r="C35" s="3" t="s">
        <v>291</v>
      </c>
      <c r="D35" s="3" t="s">
        <v>292</v>
      </c>
      <c r="E35" s="44" t="s">
        <v>293</v>
      </c>
      <c r="F35" s="3" t="s">
        <v>294</v>
      </c>
      <c r="G35" s="3" t="s">
        <v>148</v>
      </c>
      <c r="H35" s="3" t="s">
        <v>217</v>
      </c>
      <c r="I35" s="3" t="s">
        <v>181</v>
      </c>
    </row>
    <row r="36" spans="1:9" ht="40.049999999999997" customHeight="1">
      <c r="A36" s="5" t="s">
        <v>295</v>
      </c>
      <c r="B36" s="5" t="s">
        <v>285</v>
      </c>
      <c r="C36" s="5" t="s">
        <v>296</v>
      </c>
      <c r="D36" s="5" t="s">
        <v>297</v>
      </c>
      <c r="E36" s="45" t="s">
        <v>298</v>
      </c>
      <c r="F36" s="5" t="s">
        <v>289</v>
      </c>
      <c r="G36" s="5" t="s">
        <v>299</v>
      </c>
      <c r="H36" s="5" t="s">
        <v>217</v>
      </c>
      <c r="I36" s="5" t="s">
        <v>181</v>
      </c>
    </row>
    <row r="37" spans="1:9" ht="54" customHeight="1">
      <c r="A37" s="3" t="s">
        <v>300</v>
      </c>
      <c r="B37" s="3" t="s">
        <v>285</v>
      </c>
      <c r="C37" s="3" t="s">
        <v>301</v>
      </c>
      <c r="D37" s="3" t="s">
        <v>302</v>
      </c>
      <c r="E37" s="44" t="s">
        <v>303</v>
      </c>
      <c r="F37" s="3" t="s">
        <v>304</v>
      </c>
      <c r="G37" s="3" t="s">
        <v>148</v>
      </c>
      <c r="H37" s="3" t="s">
        <v>277</v>
      </c>
      <c r="I37" s="3" t="s">
        <v>305</v>
      </c>
    </row>
    <row r="38" spans="1:9" ht="54" customHeight="1">
      <c r="A38" s="5" t="s">
        <v>306</v>
      </c>
      <c r="B38" s="5" t="s">
        <v>285</v>
      </c>
      <c r="C38" s="5" t="s">
        <v>307</v>
      </c>
      <c r="D38" s="5" t="s">
        <v>308</v>
      </c>
      <c r="E38" s="45" t="s">
        <v>309</v>
      </c>
      <c r="F38" s="5" t="s">
        <v>310</v>
      </c>
      <c r="G38" s="5" t="s">
        <v>311</v>
      </c>
      <c r="H38" s="5" t="s">
        <v>312</v>
      </c>
      <c r="I38" s="5" t="s">
        <v>313</v>
      </c>
    </row>
    <row r="39" spans="1:9" ht="54" customHeight="1">
      <c r="A39" s="3" t="s">
        <v>314</v>
      </c>
      <c r="B39" s="3" t="s">
        <v>315</v>
      </c>
      <c r="C39" s="3" t="s">
        <v>316</v>
      </c>
      <c r="D39" s="3" t="s">
        <v>317</v>
      </c>
      <c r="E39" s="44" t="s">
        <v>318</v>
      </c>
      <c r="F39" s="3" t="s">
        <v>319</v>
      </c>
      <c r="G39" s="3" t="s">
        <v>148</v>
      </c>
      <c r="H39" s="3" t="s">
        <v>320</v>
      </c>
      <c r="I39" s="3" t="s">
        <v>321</v>
      </c>
    </row>
    <row r="40" spans="1:9" ht="54" customHeight="1">
      <c r="A40" s="5" t="s">
        <v>322</v>
      </c>
      <c r="B40" s="5" t="s">
        <v>315</v>
      </c>
      <c r="C40" s="5" t="s">
        <v>323</v>
      </c>
      <c r="D40" s="5" t="s">
        <v>324</v>
      </c>
      <c r="E40" s="45" t="s">
        <v>325</v>
      </c>
      <c r="F40" s="5" t="s">
        <v>326</v>
      </c>
      <c r="G40" s="5" t="s">
        <v>299</v>
      </c>
      <c r="H40" s="5" t="s">
        <v>210</v>
      </c>
      <c r="I40" s="5" t="s">
        <v>327</v>
      </c>
    </row>
    <row r="41" spans="1:9" ht="40.049999999999997" customHeight="1">
      <c r="A41" s="3" t="s">
        <v>328</v>
      </c>
      <c r="B41" s="3" t="s">
        <v>315</v>
      </c>
      <c r="C41" s="3" t="s">
        <v>329</v>
      </c>
      <c r="D41" s="3" t="s">
        <v>330</v>
      </c>
      <c r="E41" s="44" t="s">
        <v>331</v>
      </c>
      <c r="F41" s="3" t="s">
        <v>332</v>
      </c>
      <c r="G41" s="3" t="s">
        <v>148</v>
      </c>
      <c r="H41" s="3" t="s">
        <v>333</v>
      </c>
      <c r="I41" s="3" t="s">
        <v>334</v>
      </c>
    </row>
    <row r="42" spans="1:9" ht="40.049999999999997" customHeight="1">
      <c r="A42" s="5" t="s">
        <v>335</v>
      </c>
      <c r="B42" s="5" t="s">
        <v>315</v>
      </c>
      <c r="C42" s="5" t="s">
        <v>336</v>
      </c>
      <c r="D42" s="5" t="s">
        <v>337</v>
      </c>
      <c r="E42" s="45" t="s">
        <v>338</v>
      </c>
      <c r="F42" s="5" t="s">
        <v>261</v>
      </c>
      <c r="G42" s="5" t="s">
        <v>148</v>
      </c>
      <c r="H42" s="5" t="s">
        <v>339</v>
      </c>
      <c r="I42" s="5" t="s">
        <v>340</v>
      </c>
    </row>
    <row r="43" spans="1:9" ht="40.049999999999997" customHeight="1">
      <c r="A43" s="3" t="s">
        <v>341</v>
      </c>
      <c r="B43" s="3" t="s">
        <v>342</v>
      </c>
      <c r="C43" s="3" t="s">
        <v>343</v>
      </c>
      <c r="D43" s="3" t="s">
        <v>344</v>
      </c>
      <c r="E43" s="44" t="s">
        <v>345</v>
      </c>
      <c r="F43" s="3" t="s">
        <v>346</v>
      </c>
      <c r="G43" s="3" t="s">
        <v>148</v>
      </c>
      <c r="H43" s="3" t="s">
        <v>347</v>
      </c>
      <c r="I43" s="3" t="s">
        <v>348</v>
      </c>
    </row>
    <row r="44" spans="1:9" ht="54" customHeight="1">
      <c r="A44" s="5" t="s">
        <v>349</v>
      </c>
      <c r="B44" s="5" t="s">
        <v>199</v>
      </c>
      <c r="C44" s="5" t="s">
        <v>350</v>
      </c>
      <c r="D44" s="5" t="s">
        <v>351</v>
      </c>
      <c r="E44" s="45" t="s">
        <v>352</v>
      </c>
      <c r="F44" s="5" t="s">
        <v>353</v>
      </c>
      <c r="G44" s="5" t="s">
        <v>354</v>
      </c>
      <c r="H44" s="5" t="s">
        <v>355</v>
      </c>
      <c r="I44" s="5" t="s">
        <v>356</v>
      </c>
    </row>
    <row r="45" spans="1:9" ht="40.049999999999997" customHeight="1">
      <c r="A45" s="3" t="s">
        <v>357</v>
      </c>
      <c r="B45" s="3" t="s">
        <v>285</v>
      </c>
      <c r="C45" s="3" t="s">
        <v>358</v>
      </c>
      <c r="D45" s="3" t="s">
        <v>359</v>
      </c>
      <c r="E45" s="44" t="s">
        <v>360</v>
      </c>
      <c r="F45" s="3" t="s">
        <v>361</v>
      </c>
      <c r="G45" s="3" t="s">
        <v>362</v>
      </c>
      <c r="H45" s="3" t="s">
        <v>363</v>
      </c>
      <c r="I45" s="3" t="s">
        <v>364</v>
      </c>
    </row>
    <row r="46" spans="1:9" ht="40.049999999999997" customHeight="1">
      <c r="A46" s="5" t="s">
        <v>365</v>
      </c>
      <c r="B46" s="5" t="s">
        <v>366</v>
      </c>
      <c r="C46" s="5" t="s">
        <v>367</v>
      </c>
      <c r="D46" s="5" t="s">
        <v>368</v>
      </c>
      <c r="E46" s="45" t="s">
        <v>369</v>
      </c>
      <c r="F46" s="5" t="s">
        <v>370</v>
      </c>
      <c r="G46" s="5" t="s">
        <v>371</v>
      </c>
      <c r="H46" s="5" t="s">
        <v>372</v>
      </c>
      <c r="I46" s="5" t="s">
        <v>373</v>
      </c>
    </row>
    <row r="47" spans="1:9" ht="54" customHeight="1">
      <c r="A47" s="3" t="s">
        <v>374</v>
      </c>
      <c r="B47" s="3" t="s">
        <v>366</v>
      </c>
      <c r="C47" s="3" t="s">
        <v>375</v>
      </c>
      <c r="D47" s="3" t="s">
        <v>376</v>
      </c>
      <c r="E47" s="44" t="s">
        <v>377</v>
      </c>
      <c r="F47" s="3" t="s">
        <v>378</v>
      </c>
      <c r="G47" s="3" t="s">
        <v>379</v>
      </c>
      <c r="H47" s="3" t="s">
        <v>380</v>
      </c>
      <c r="I47" s="3" t="s">
        <v>373</v>
      </c>
    </row>
    <row r="48" spans="1:9" ht="54" customHeight="1">
      <c r="A48" s="5" t="s">
        <v>381</v>
      </c>
      <c r="B48" s="5" t="s">
        <v>366</v>
      </c>
      <c r="C48" s="5" t="s">
        <v>382</v>
      </c>
      <c r="D48" s="5" t="s">
        <v>383</v>
      </c>
      <c r="E48" s="45" t="s">
        <v>384</v>
      </c>
      <c r="F48" s="5" t="s">
        <v>385</v>
      </c>
      <c r="G48" s="5" t="s">
        <v>386</v>
      </c>
      <c r="H48" s="5" t="s">
        <v>387</v>
      </c>
      <c r="I48" s="5" t="s">
        <v>373</v>
      </c>
    </row>
    <row r="49" spans="1:9" ht="40.049999999999997" customHeight="1">
      <c r="A49" s="3" t="s">
        <v>388</v>
      </c>
      <c r="B49" s="3" t="s">
        <v>366</v>
      </c>
      <c r="C49" s="3" t="s">
        <v>389</v>
      </c>
      <c r="D49" s="3" t="s">
        <v>390</v>
      </c>
      <c r="E49" s="44" t="s">
        <v>391</v>
      </c>
      <c r="F49" s="3" t="s">
        <v>392</v>
      </c>
      <c r="G49" s="3" t="s">
        <v>393</v>
      </c>
      <c r="H49" s="3" t="s">
        <v>394</v>
      </c>
      <c r="I49" s="3" t="s">
        <v>373</v>
      </c>
    </row>
    <row r="50" spans="1:9" ht="40.049999999999997" customHeight="1">
      <c r="A50" s="5" t="s">
        <v>395</v>
      </c>
      <c r="B50" s="5" t="s">
        <v>366</v>
      </c>
      <c r="C50" s="5" t="s">
        <v>396</v>
      </c>
      <c r="D50" s="5" t="s">
        <v>397</v>
      </c>
      <c r="E50" s="45" t="s">
        <v>398</v>
      </c>
      <c r="F50" s="5" t="s">
        <v>399</v>
      </c>
      <c r="G50" s="5" t="s">
        <v>400</v>
      </c>
      <c r="H50" s="5" t="s">
        <v>394</v>
      </c>
      <c r="I50" s="5" t="s">
        <v>373</v>
      </c>
    </row>
    <row r="51" spans="1:9" ht="54" customHeight="1">
      <c r="A51" s="3" t="s">
        <v>401</v>
      </c>
      <c r="B51" s="3" t="s">
        <v>366</v>
      </c>
      <c r="C51" s="3" t="s">
        <v>402</v>
      </c>
      <c r="D51" s="3" t="s">
        <v>403</v>
      </c>
      <c r="E51" s="44" t="s">
        <v>404</v>
      </c>
      <c r="F51" s="3" t="s">
        <v>405</v>
      </c>
      <c r="G51" s="3" t="s">
        <v>406</v>
      </c>
      <c r="H51" s="3" t="s">
        <v>407</v>
      </c>
      <c r="I51" s="3" t="s">
        <v>373</v>
      </c>
    </row>
    <row r="52" spans="1:9" ht="40.049999999999997" customHeight="1">
      <c r="A52" s="5" t="s">
        <v>408</v>
      </c>
      <c r="B52" s="5" t="s">
        <v>366</v>
      </c>
      <c r="C52" s="5" t="s">
        <v>409</v>
      </c>
      <c r="D52" s="5" t="s">
        <v>410</v>
      </c>
      <c r="E52" s="45" t="s">
        <v>411</v>
      </c>
      <c r="F52" s="5" t="s">
        <v>412</v>
      </c>
      <c r="G52" s="5" t="s">
        <v>413</v>
      </c>
      <c r="H52" s="5" t="s">
        <v>414</v>
      </c>
      <c r="I52" s="5" t="s">
        <v>373</v>
      </c>
    </row>
    <row r="53" spans="1:9" ht="25.95" customHeight="1">
      <c r="A53" s="3" t="s">
        <v>415</v>
      </c>
      <c r="B53" s="3" t="s">
        <v>366</v>
      </c>
      <c r="C53" s="3" t="s">
        <v>416</v>
      </c>
      <c r="D53" s="3" t="s">
        <v>417</v>
      </c>
      <c r="E53" s="44" t="s">
        <v>418</v>
      </c>
      <c r="F53" s="3" t="s">
        <v>419</v>
      </c>
      <c r="G53" s="3" t="s">
        <v>420</v>
      </c>
      <c r="H53" s="3" t="s">
        <v>108</v>
      </c>
      <c r="I53" s="3" t="s">
        <v>373</v>
      </c>
    </row>
    <row r="54" spans="1:9" ht="25.95" customHeight="1">
      <c r="A54" s="5" t="s">
        <v>421</v>
      </c>
      <c r="B54" s="5" t="s">
        <v>366</v>
      </c>
      <c r="C54" s="5" t="s">
        <v>422</v>
      </c>
      <c r="D54" s="5" t="s">
        <v>423</v>
      </c>
      <c r="E54" s="45" t="s">
        <v>424</v>
      </c>
      <c r="F54" s="5" t="s">
        <v>425</v>
      </c>
      <c r="G54" s="5" t="s">
        <v>426</v>
      </c>
      <c r="H54" s="5" t="s">
        <v>108</v>
      </c>
      <c r="I54" s="5" t="s">
        <v>373</v>
      </c>
    </row>
    <row r="55" spans="1:9" ht="40.049999999999997" customHeight="1">
      <c r="A55" s="3" t="s">
        <v>427</v>
      </c>
      <c r="B55" s="3" t="s">
        <v>366</v>
      </c>
      <c r="C55" s="3" t="s">
        <v>428</v>
      </c>
      <c r="D55" s="3" t="s">
        <v>429</v>
      </c>
      <c r="E55" s="44" t="s">
        <v>430</v>
      </c>
      <c r="F55" s="3" t="s">
        <v>431</v>
      </c>
      <c r="G55" s="3" t="s">
        <v>432</v>
      </c>
      <c r="H55" s="3" t="s">
        <v>407</v>
      </c>
      <c r="I55" s="3" t="s">
        <v>373</v>
      </c>
    </row>
    <row r="56" spans="1:9" ht="82.05" customHeight="1">
      <c r="A56" s="5" t="s">
        <v>433</v>
      </c>
      <c r="B56" s="5" t="s">
        <v>366</v>
      </c>
      <c r="C56" s="5" t="s">
        <v>434</v>
      </c>
      <c r="D56" s="5" t="s">
        <v>435</v>
      </c>
      <c r="E56" s="45" t="s">
        <v>436</v>
      </c>
      <c r="F56" s="5" t="s">
        <v>437</v>
      </c>
      <c r="G56" s="5" t="s">
        <v>438</v>
      </c>
      <c r="H56" s="5" t="s">
        <v>439</v>
      </c>
      <c r="I56" s="5" t="s">
        <v>373</v>
      </c>
    </row>
    <row r="57" spans="1:9" ht="40.049999999999997" customHeight="1">
      <c r="A57" s="3" t="s">
        <v>440</v>
      </c>
      <c r="B57" s="3" t="s">
        <v>366</v>
      </c>
      <c r="C57" s="3" t="s">
        <v>441</v>
      </c>
      <c r="D57" s="3" t="s">
        <v>442</v>
      </c>
      <c r="E57" s="44" t="s">
        <v>443</v>
      </c>
      <c r="F57" s="3" t="s">
        <v>444</v>
      </c>
      <c r="G57" s="3" t="s">
        <v>445</v>
      </c>
      <c r="H57" s="3" t="s">
        <v>108</v>
      </c>
      <c r="I57" s="3" t="s">
        <v>373</v>
      </c>
    </row>
    <row r="58" spans="1:9" ht="40.049999999999997" customHeight="1">
      <c r="A58" s="5" t="s">
        <v>446</v>
      </c>
      <c r="B58" s="5" t="s">
        <v>447</v>
      </c>
      <c r="C58" s="5" t="s">
        <v>448</v>
      </c>
      <c r="D58" s="5" t="s">
        <v>449</v>
      </c>
      <c r="E58" s="45" t="s">
        <v>450</v>
      </c>
      <c r="F58" s="5" t="s">
        <v>451</v>
      </c>
      <c r="G58" s="5" t="s">
        <v>452</v>
      </c>
      <c r="H58" s="5" t="s">
        <v>196</v>
      </c>
      <c r="I58" s="5" t="s">
        <v>373</v>
      </c>
    </row>
    <row r="59" spans="1:9" ht="40.049999999999997" customHeight="1">
      <c r="A59" s="3" t="s">
        <v>453</v>
      </c>
      <c r="B59" s="3" t="s">
        <v>447</v>
      </c>
      <c r="C59" s="3" t="s">
        <v>454</v>
      </c>
      <c r="D59" s="3" t="s">
        <v>455</v>
      </c>
      <c r="E59" s="44" t="s">
        <v>456</v>
      </c>
      <c r="F59" s="3" t="s">
        <v>457</v>
      </c>
      <c r="G59" s="3" t="s">
        <v>458</v>
      </c>
      <c r="H59" s="3" t="s">
        <v>459</v>
      </c>
      <c r="I59" s="3" t="s">
        <v>373</v>
      </c>
    </row>
    <row r="60" spans="1:9" ht="54" customHeight="1">
      <c r="A60" s="5" t="s">
        <v>460</v>
      </c>
      <c r="B60" s="5" t="s">
        <v>447</v>
      </c>
      <c r="C60" s="5" t="s">
        <v>461</v>
      </c>
      <c r="D60" s="5" t="s">
        <v>462</v>
      </c>
      <c r="E60" s="45" t="s">
        <v>463</v>
      </c>
      <c r="F60" s="5" t="s">
        <v>464</v>
      </c>
      <c r="G60" s="5" t="s">
        <v>465</v>
      </c>
      <c r="H60" s="5" t="s">
        <v>347</v>
      </c>
      <c r="I60" s="5" t="s">
        <v>373</v>
      </c>
    </row>
    <row r="61" spans="1:9" ht="54" customHeight="1">
      <c r="A61" s="3" t="s">
        <v>466</v>
      </c>
      <c r="B61" s="3" t="s">
        <v>447</v>
      </c>
      <c r="C61" s="3" t="s">
        <v>467</v>
      </c>
      <c r="D61" s="3" t="s">
        <v>468</v>
      </c>
      <c r="E61" s="44" t="s">
        <v>469</v>
      </c>
      <c r="F61" s="3" t="s">
        <v>470</v>
      </c>
      <c r="G61" s="3" t="s">
        <v>471</v>
      </c>
      <c r="H61" s="3" t="s">
        <v>320</v>
      </c>
      <c r="I61" s="3" t="s">
        <v>373</v>
      </c>
    </row>
    <row r="62" spans="1:9">
      <c r="E62" s="46"/>
    </row>
    <row r="63" spans="1:9">
      <c r="E63" s="46"/>
    </row>
    <row r="64" spans="1:9">
      <c r="E64" s="46"/>
    </row>
    <row r="65" spans="5:5">
      <c r="E65" s="46"/>
    </row>
    <row r="66" spans="5:5">
      <c r="E66" s="46"/>
    </row>
    <row r="67" spans="5:5">
      <c r="E67" s="46"/>
    </row>
    <row r="68" spans="5:5">
      <c r="E68" s="46"/>
    </row>
    <row r="69" spans="5:5">
      <c r="E69" s="46"/>
    </row>
    <row r="70" spans="5:5">
      <c r="E70" s="46"/>
    </row>
    <row r="71" spans="5:5">
      <c r="E71" s="46"/>
    </row>
    <row r="72" spans="5:5">
      <c r="E72" s="46"/>
    </row>
    <row r="73" spans="5:5">
      <c r="E73" s="46"/>
    </row>
    <row r="74" spans="5:5">
      <c r="E74" s="46"/>
    </row>
    <row r="75" spans="5:5">
      <c r="E75" s="46"/>
    </row>
    <row r="76" spans="5:5">
      <c r="E76" s="46"/>
    </row>
    <row r="77" spans="5:5">
      <c r="E77" s="46"/>
    </row>
    <row r="78" spans="5:5">
      <c r="E78" s="46"/>
    </row>
    <row r="79" spans="5:5">
      <c r="E79" s="46"/>
    </row>
    <row r="80" spans="5:5">
      <c r="E80" s="46"/>
    </row>
    <row r="81" spans="5:5">
      <c r="E81" s="46"/>
    </row>
    <row r="82" spans="5:5">
      <c r="E82" s="46"/>
    </row>
    <row r="83" spans="5:5">
      <c r="E83" s="46"/>
    </row>
    <row r="84" spans="5:5">
      <c r="E84" s="46"/>
    </row>
    <row r="85" spans="5:5">
      <c r="E85" s="46"/>
    </row>
    <row r="86" spans="5:5">
      <c r="E86" s="46"/>
    </row>
    <row r="87" spans="5:5">
      <c r="E87" s="46"/>
    </row>
    <row r="88" spans="5:5">
      <c r="E88" s="46"/>
    </row>
    <row r="89" spans="5:5">
      <c r="E89" s="46"/>
    </row>
    <row r="90" spans="5:5">
      <c r="E90" s="46"/>
    </row>
    <row r="91" spans="5:5">
      <c r="E91" s="46"/>
    </row>
    <row r="92" spans="5:5">
      <c r="E92" s="46"/>
    </row>
    <row r="93" spans="5:5">
      <c r="E93" s="46"/>
    </row>
    <row r="94" spans="5:5">
      <c r="E94" s="46"/>
    </row>
    <row r="95" spans="5:5">
      <c r="E95" s="46"/>
    </row>
    <row r="96" spans="5:5">
      <c r="E96" s="46"/>
    </row>
    <row r="97" spans="5:5">
      <c r="E97" s="46"/>
    </row>
    <row r="98" spans="5:5">
      <c r="E98" s="46"/>
    </row>
    <row r="99" spans="5:5">
      <c r="E99" s="46"/>
    </row>
    <row r="100" spans="5:5">
      <c r="E100" s="46"/>
    </row>
    <row r="101" spans="5:5">
      <c r="E101" s="46"/>
    </row>
    <row r="102" spans="5:5">
      <c r="E102" s="46"/>
    </row>
    <row r="103" spans="5:5">
      <c r="E103" s="46"/>
    </row>
    <row r="104" spans="5:5">
      <c r="E104" s="46"/>
    </row>
    <row r="105" spans="5:5">
      <c r="E105" s="46"/>
    </row>
    <row r="106" spans="5:5">
      <c r="E106" s="46"/>
    </row>
    <row r="107" spans="5:5">
      <c r="E107" s="46"/>
    </row>
    <row r="108" spans="5:5">
      <c r="E108" s="46"/>
    </row>
    <row r="109" spans="5:5">
      <c r="E109" s="46"/>
    </row>
    <row r="110" spans="5:5">
      <c r="E110" s="4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45698-DD3F-48B7-8FCE-79E6045D604F}">
  <dimension ref="A2:I110"/>
  <sheetViews>
    <sheetView showGridLines="0" workbookViewId="0">
      <pane xSplit="3" ySplit="4" topLeftCell="D5" activePane="bottomRight" state="frozen"/>
      <selection pane="topRight"/>
      <selection pane="bottomLeft"/>
      <selection pane="bottomRight" activeCell="D5" sqref="D5"/>
    </sheetView>
  </sheetViews>
  <sheetFormatPr defaultRowHeight="13.8"/>
  <cols>
    <col min="1" max="1" width="14" customWidth="1"/>
    <col min="2" max="2" width="31" customWidth="1"/>
    <col min="3" max="3" width="34" customWidth="1"/>
    <col min="4" max="4" width="49" customWidth="1"/>
    <col min="5" max="5" width="70" customWidth="1"/>
    <col min="6" max="6" width="53" customWidth="1"/>
    <col min="7" max="7" width="65" customWidth="1"/>
    <col min="8" max="8" width="24" customWidth="1"/>
    <col min="9" max="9" width="68" customWidth="1"/>
  </cols>
  <sheetData>
    <row r="2" spans="1:9" ht="17.399999999999999" customHeight="1">
      <c r="A2" s="2" t="s">
        <v>472</v>
      </c>
    </row>
    <row r="4" spans="1:9" ht="34.049999999999997" customHeight="1">
      <c r="A4" s="4" t="s">
        <v>92</v>
      </c>
      <c r="B4" s="4" t="s">
        <v>93</v>
      </c>
      <c r="C4" s="4" t="s">
        <v>94</v>
      </c>
      <c r="D4" s="4" t="s">
        <v>95</v>
      </c>
      <c r="E4" s="4" t="s">
        <v>96</v>
      </c>
      <c r="F4" s="4" t="s">
        <v>97</v>
      </c>
      <c r="G4" s="4" t="s">
        <v>98</v>
      </c>
      <c r="H4" s="4" t="s">
        <v>99</v>
      </c>
      <c r="I4" s="4" t="s">
        <v>100</v>
      </c>
    </row>
    <row r="5" spans="1:9" ht="54" customHeight="1">
      <c r="A5" s="3" t="s">
        <v>473</v>
      </c>
      <c r="B5" s="3" t="s">
        <v>474</v>
      </c>
      <c r="C5" s="3" t="s">
        <v>475</v>
      </c>
      <c r="D5" s="3" t="s">
        <v>476</v>
      </c>
      <c r="E5" s="44" t="s">
        <v>477</v>
      </c>
      <c r="F5" s="3" t="s">
        <v>478</v>
      </c>
      <c r="G5" s="3" t="s">
        <v>479</v>
      </c>
      <c r="H5" s="3" t="s">
        <v>480</v>
      </c>
      <c r="I5" s="3" t="s">
        <v>481</v>
      </c>
    </row>
    <row r="6" spans="1:9" ht="40.049999999999997" customHeight="1">
      <c r="A6" s="5" t="s">
        <v>482</v>
      </c>
      <c r="B6" s="5" t="s">
        <v>474</v>
      </c>
      <c r="C6" s="5" t="s">
        <v>483</v>
      </c>
      <c r="D6" s="5" t="s">
        <v>484</v>
      </c>
      <c r="E6" s="45" t="s">
        <v>485</v>
      </c>
      <c r="F6" s="5" t="s">
        <v>486</v>
      </c>
      <c r="G6" s="5" t="s">
        <v>487</v>
      </c>
      <c r="H6" s="5" t="s">
        <v>488</v>
      </c>
      <c r="I6" s="5" t="s">
        <v>489</v>
      </c>
    </row>
    <row r="7" spans="1:9" ht="40.049999999999997" customHeight="1">
      <c r="A7" s="3" t="s">
        <v>490</v>
      </c>
      <c r="B7" s="3" t="s">
        <v>474</v>
      </c>
      <c r="C7" s="3" t="s">
        <v>491</v>
      </c>
      <c r="D7" s="3" t="s">
        <v>492</v>
      </c>
      <c r="E7" s="44" t="s">
        <v>493</v>
      </c>
      <c r="F7" s="3" t="s">
        <v>494</v>
      </c>
      <c r="G7" s="3" t="s">
        <v>495</v>
      </c>
      <c r="H7" s="3" t="s">
        <v>488</v>
      </c>
      <c r="I7" s="3" t="s">
        <v>496</v>
      </c>
    </row>
    <row r="8" spans="1:9" ht="67.95" customHeight="1">
      <c r="A8" s="5" t="s">
        <v>497</v>
      </c>
      <c r="B8" s="5" t="s">
        <v>498</v>
      </c>
      <c r="C8" s="5" t="s">
        <v>350</v>
      </c>
      <c r="D8" s="5" t="s">
        <v>499</v>
      </c>
      <c r="E8" s="45" t="s">
        <v>500</v>
      </c>
      <c r="F8" s="5" t="s">
        <v>501</v>
      </c>
      <c r="G8" s="5" t="s">
        <v>502</v>
      </c>
      <c r="H8" s="5" t="s">
        <v>503</v>
      </c>
      <c r="I8" s="5" t="s">
        <v>504</v>
      </c>
    </row>
    <row r="9" spans="1:9" ht="54" customHeight="1">
      <c r="A9" s="3" t="s">
        <v>505</v>
      </c>
      <c r="B9" s="3" t="s">
        <v>498</v>
      </c>
      <c r="C9" s="3" t="s">
        <v>506</v>
      </c>
      <c r="D9" s="3" t="s">
        <v>507</v>
      </c>
      <c r="E9" s="44" t="s">
        <v>508</v>
      </c>
      <c r="F9" s="3" t="s">
        <v>509</v>
      </c>
      <c r="G9" s="3" t="s">
        <v>510</v>
      </c>
      <c r="H9" s="3" t="s">
        <v>511</v>
      </c>
      <c r="I9" s="3" t="s">
        <v>512</v>
      </c>
    </row>
    <row r="10" spans="1:9" ht="67.95" customHeight="1">
      <c r="A10" s="5" t="s">
        <v>513</v>
      </c>
      <c r="B10" s="5" t="s">
        <v>498</v>
      </c>
      <c r="C10" s="5" t="s">
        <v>514</v>
      </c>
      <c r="D10" s="5" t="s">
        <v>515</v>
      </c>
      <c r="E10" s="45" t="s">
        <v>516</v>
      </c>
      <c r="F10" s="5" t="s">
        <v>517</v>
      </c>
      <c r="G10" s="5" t="s">
        <v>518</v>
      </c>
      <c r="H10" s="5" t="s">
        <v>511</v>
      </c>
      <c r="I10" s="5" t="s">
        <v>519</v>
      </c>
    </row>
    <row r="11" spans="1:9" ht="40.049999999999997" customHeight="1">
      <c r="A11" s="3" t="s">
        <v>520</v>
      </c>
      <c r="B11" s="3" t="s">
        <v>498</v>
      </c>
      <c r="C11" s="3" t="s">
        <v>521</v>
      </c>
      <c r="D11" s="3" t="s">
        <v>522</v>
      </c>
      <c r="E11" s="44" t="s">
        <v>523</v>
      </c>
      <c r="F11" s="3" t="s">
        <v>524</v>
      </c>
      <c r="G11" s="3" t="s">
        <v>525</v>
      </c>
      <c r="H11" s="3" t="s">
        <v>108</v>
      </c>
      <c r="I11" s="3" t="s">
        <v>526</v>
      </c>
    </row>
    <row r="12" spans="1:9" ht="40.049999999999997" customHeight="1">
      <c r="A12" s="5" t="s">
        <v>527</v>
      </c>
      <c r="B12" s="5" t="s">
        <v>498</v>
      </c>
      <c r="C12" s="5" t="s">
        <v>528</v>
      </c>
      <c r="D12" s="5" t="s">
        <v>529</v>
      </c>
      <c r="E12" s="45" t="s">
        <v>530</v>
      </c>
      <c r="F12" s="5" t="s">
        <v>531</v>
      </c>
      <c r="G12" s="5" t="s">
        <v>532</v>
      </c>
      <c r="H12" s="5" t="s">
        <v>108</v>
      </c>
      <c r="I12" s="5" t="s">
        <v>533</v>
      </c>
    </row>
    <row r="13" spans="1:9" ht="40.049999999999997" customHeight="1">
      <c r="A13" s="3" t="s">
        <v>534</v>
      </c>
      <c r="B13" s="3" t="s">
        <v>498</v>
      </c>
      <c r="C13" s="3" t="s">
        <v>535</v>
      </c>
      <c r="D13" s="3" t="s">
        <v>536</v>
      </c>
      <c r="E13" s="44" t="s">
        <v>537</v>
      </c>
      <c r="F13" s="3" t="s">
        <v>538</v>
      </c>
      <c r="G13" s="3" t="s">
        <v>539</v>
      </c>
      <c r="H13" s="3" t="s">
        <v>540</v>
      </c>
      <c r="I13" s="3" t="s">
        <v>541</v>
      </c>
    </row>
    <row r="14" spans="1:9" ht="40.049999999999997" customHeight="1">
      <c r="A14" s="5" t="s">
        <v>542</v>
      </c>
      <c r="B14" s="5" t="s">
        <v>543</v>
      </c>
      <c r="C14" s="5" t="s">
        <v>544</v>
      </c>
      <c r="D14" s="5" t="s">
        <v>545</v>
      </c>
      <c r="E14" s="45" t="s">
        <v>546</v>
      </c>
      <c r="F14" s="5" t="s">
        <v>547</v>
      </c>
      <c r="G14" s="5" t="s">
        <v>548</v>
      </c>
      <c r="H14" s="5" t="s">
        <v>108</v>
      </c>
      <c r="I14" s="5" t="s">
        <v>549</v>
      </c>
    </row>
    <row r="15" spans="1:9" ht="40.049999999999997" customHeight="1">
      <c r="A15" s="3" t="s">
        <v>550</v>
      </c>
      <c r="B15" s="3" t="s">
        <v>543</v>
      </c>
      <c r="C15" s="3" t="s">
        <v>551</v>
      </c>
      <c r="D15" s="3" t="s">
        <v>552</v>
      </c>
      <c r="E15" s="44" t="s">
        <v>553</v>
      </c>
      <c r="F15" s="3" t="s">
        <v>534</v>
      </c>
      <c r="G15" s="3" t="s">
        <v>554</v>
      </c>
      <c r="H15" s="3" t="s">
        <v>108</v>
      </c>
      <c r="I15" s="3" t="s">
        <v>555</v>
      </c>
    </row>
    <row r="16" spans="1:9" ht="40.049999999999997" customHeight="1">
      <c r="A16" s="5" t="s">
        <v>556</v>
      </c>
      <c r="B16" s="5" t="s">
        <v>543</v>
      </c>
      <c r="C16" s="5" t="s">
        <v>557</v>
      </c>
      <c r="D16" s="5" t="s">
        <v>558</v>
      </c>
      <c r="E16" s="45" t="s">
        <v>559</v>
      </c>
      <c r="F16" s="5" t="s">
        <v>560</v>
      </c>
      <c r="G16" s="5" t="s">
        <v>561</v>
      </c>
      <c r="H16" s="5" t="s">
        <v>562</v>
      </c>
      <c r="I16" s="5" t="s">
        <v>563</v>
      </c>
    </row>
    <row r="17" spans="1:9" ht="40.049999999999997" customHeight="1">
      <c r="A17" s="3" t="s">
        <v>564</v>
      </c>
      <c r="B17" s="3" t="s">
        <v>543</v>
      </c>
      <c r="C17" s="3" t="s">
        <v>565</v>
      </c>
      <c r="D17" s="3" t="s">
        <v>566</v>
      </c>
      <c r="E17" s="44" t="s">
        <v>567</v>
      </c>
      <c r="F17" s="3" t="s">
        <v>568</v>
      </c>
      <c r="G17" s="3" t="s">
        <v>569</v>
      </c>
      <c r="H17" s="3" t="s">
        <v>570</v>
      </c>
      <c r="I17" s="3" t="s">
        <v>571</v>
      </c>
    </row>
    <row r="18" spans="1:9" ht="40.049999999999997" customHeight="1">
      <c r="A18" s="5" t="s">
        <v>572</v>
      </c>
      <c r="B18" s="5" t="s">
        <v>543</v>
      </c>
      <c r="C18" s="5" t="s">
        <v>573</v>
      </c>
      <c r="D18" s="5" t="s">
        <v>574</v>
      </c>
      <c r="E18" s="45" t="s">
        <v>575</v>
      </c>
      <c r="F18" s="5" t="s">
        <v>576</v>
      </c>
      <c r="G18" s="5" t="s">
        <v>577</v>
      </c>
      <c r="H18" s="5" t="s">
        <v>578</v>
      </c>
      <c r="I18" s="5" t="s">
        <v>579</v>
      </c>
    </row>
    <row r="19" spans="1:9" ht="40.049999999999997" customHeight="1">
      <c r="A19" s="3" t="s">
        <v>580</v>
      </c>
      <c r="B19" s="3" t="s">
        <v>543</v>
      </c>
      <c r="C19" s="3" t="s">
        <v>581</v>
      </c>
      <c r="D19" s="3" t="s">
        <v>582</v>
      </c>
      <c r="E19" s="44" t="s">
        <v>583</v>
      </c>
      <c r="F19" s="3" t="s">
        <v>584</v>
      </c>
      <c r="G19" s="3" t="s">
        <v>585</v>
      </c>
      <c r="H19" s="3" t="s">
        <v>570</v>
      </c>
      <c r="I19" s="3" t="s">
        <v>586</v>
      </c>
    </row>
    <row r="20" spans="1:9" ht="40.049999999999997" customHeight="1">
      <c r="A20" s="5" t="s">
        <v>587</v>
      </c>
      <c r="B20" s="5" t="s">
        <v>588</v>
      </c>
      <c r="C20" s="5" t="s">
        <v>589</v>
      </c>
      <c r="D20" s="5" t="s">
        <v>590</v>
      </c>
      <c r="E20" s="45" t="s">
        <v>591</v>
      </c>
      <c r="F20" s="5" t="s">
        <v>592</v>
      </c>
      <c r="G20" s="5" t="s">
        <v>593</v>
      </c>
      <c r="H20" s="5" t="s">
        <v>570</v>
      </c>
      <c r="I20" s="5" t="s">
        <v>594</v>
      </c>
    </row>
    <row r="21" spans="1:9" ht="40.049999999999997" customHeight="1">
      <c r="A21" s="3" t="s">
        <v>595</v>
      </c>
      <c r="B21" s="3" t="s">
        <v>588</v>
      </c>
      <c r="C21" s="3" t="s">
        <v>596</v>
      </c>
      <c r="D21" s="3" t="s">
        <v>597</v>
      </c>
      <c r="E21" s="44" t="s">
        <v>598</v>
      </c>
      <c r="F21" s="3" t="s">
        <v>599</v>
      </c>
      <c r="G21" s="3" t="s">
        <v>600</v>
      </c>
      <c r="H21" s="3" t="s">
        <v>601</v>
      </c>
      <c r="I21" s="3" t="s">
        <v>602</v>
      </c>
    </row>
    <row r="22" spans="1:9" ht="54" customHeight="1">
      <c r="A22" s="5" t="s">
        <v>603</v>
      </c>
      <c r="B22" s="5" t="s">
        <v>588</v>
      </c>
      <c r="C22" s="5" t="s">
        <v>604</v>
      </c>
      <c r="D22" s="5" t="s">
        <v>605</v>
      </c>
      <c r="E22" s="45" t="s">
        <v>606</v>
      </c>
      <c r="F22" s="5" t="s">
        <v>607</v>
      </c>
      <c r="G22" s="5" t="s">
        <v>608</v>
      </c>
      <c r="H22" s="5" t="s">
        <v>609</v>
      </c>
      <c r="I22" s="5" t="s">
        <v>610</v>
      </c>
    </row>
    <row r="23" spans="1:9" ht="82.05" customHeight="1">
      <c r="A23" s="3" t="s">
        <v>611</v>
      </c>
      <c r="B23" s="3" t="s">
        <v>498</v>
      </c>
      <c r="C23" s="3" t="s">
        <v>612</v>
      </c>
      <c r="D23" s="3" t="s">
        <v>613</v>
      </c>
      <c r="E23" s="44" t="s">
        <v>614</v>
      </c>
      <c r="F23" s="3" t="s">
        <v>615</v>
      </c>
      <c r="G23" s="3" t="s">
        <v>616</v>
      </c>
      <c r="H23" s="3" t="s">
        <v>372</v>
      </c>
      <c r="I23" s="3" t="s">
        <v>373</v>
      </c>
    </row>
    <row r="24" spans="1:9" ht="54" customHeight="1">
      <c r="A24" s="5" t="s">
        <v>617</v>
      </c>
      <c r="B24" s="5" t="s">
        <v>498</v>
      </c>
      <c r="C24" s="5" t="s">
        <v>618</v>
      </c>
      <c r="D24" s="5" t="s">
        <v>619</v>
      </c>
      <c r="E24" s="45" t="s">
        <v>620</v>
      </c>
      <c r="F24" s="5" t="s">
        <v>621</v>
      </c>
      <c r="G24" s="5" t="s">
        <v>622</v>
      </c>
      <c r="H24" s="5" t="s">
        <v>623</v>
      </c>
      <c r="I24" s="5" t="s">
        <v>373</v>
      </c>
    </row>
    <row r="25" spans="1:9" ht="82.05" customHeight="1">
      <c r="A25" s="3" t="s">
        <v>624</v>
      </c>
      <c r="B25" s="3" t="s">
        <v>588</v>
      </c>
      <c r="C25" s="3" t="s">
        <v>625</v>
      </c>
      <c r="D25" s="3" t="s">
        <v>626</v>
      </c>
      <c r="E25" s="44" t="s">
        <v>627</v>
      </c>
      <c r="F25" s="3" t="s">
        <v>628</v>
      </c>
      <c r="G25" s="3" t="s">
        <v>629</v>
      </c>
      <c r="H25" s="3" t="s">
        <v>196</v>
      </c>
      <c r="I25" s="3" t="s">
        <v>373</v>
      </c>
    </row>
    <row r="26" spans="1:9" ht="54" customHeight="1">
      <c r="A26" s="5" t="s">
        <v>630</v>
      </c>
      <c r="B26" s="5" t="s">
        <v>474</v>
      </c>
      <c r="C26" s="5" t="s">
        <v>631</v>
      </c>
      <c r="D26" s="5" t="s">
        <v>632</v>
      </c>
      <c r="E26" s="45" t="s">
        <v>633</v>
      </c>
      <c r="F26" s="5" t="s">
        <v>634</v>
      </c>
      <c r="G26" s="5" t="s">
        <v>635</v>
      </c>
      <c r="H26" s="5" t="s">
        <v>108</v>
      </c>
      <c r="I26" s="5" t="s">
        <v>373</v>
      </c>
    </row>
    <row r="27" spans="1:9" ht="67.95" customHeight="1">
      <c r="A27" s="3" t="s">
        <v>636</v>
      </c>
      <c r="B27" s="3" t="s">
        <v>637</v>
      </c>
      <c r="C27" s="3" t="s">
        <v>638</v>
      </c>
      <c r="D27" s="3" t="s">
        <v>639</v>
      </c>
      <c r="E27" s="44" t="s">
        <v>640</v>
      </c>
      <c r="F27" s="3" t="s">
        <v>641</v>
      </c>
      <c r="G27" s="3" t="s">
        <v>642</v>
      </c>
      <c r="H27" s="3" t="s">
        <v>108</v>
      </c>
      <c r="I27" s="3" t="s">
        <v>373</v>
      </c>
    </row>
    <row r="28" spans="1:9" ht="67.95" customHeight="1">
      <c r="A28" s="5" t="s">
        <v>643</v>
      </c>
      <c r="B28" s="5" t="s">
        <v>637</v>
      </c>
      <c r="C28" s="5" t="s">
        <v>644</v>
      </c>
      <c r="D28" s="5" t="s">
        <v>645</v>
      </c>
      <c r="E28" s="45" t="s">
        <v>646</v>
      </c>
      <c r="F28" s="5" t="s">
        <v>647</v>
      </c>
      <c r="G28" s="5" t="s">
        <v>648</v>
      </c>
      <c r="H28" s="5" t="s">
        <v>108</v>
      </c>
      <c r="I28" s="5" t="s">
        <v>373</v>
      </c>
    </row>
    <row r="29" spans="1:9" ht="67.95" customHeight="1">
      <c r="A29" s="3" t="s">
        <v>649</v>
      </c>
      <c r="B29" s="3" t="s">
        <v>543</v>
      </c>
      <c r="C29" s="3" t="s">
        <v>650</v>
      </c>
      <c r="D29" s="3" t="s">
        <v>651</v>
      </c>
      <c r="E29" s="44" t="s">
        <v>652</v>
      </c>
      <c r="F29" s="3" t="s">
        <v>653</v>
      </c>
      <c r="G29" s="3" t="s">
        <v>654</v>
      </c>
      <c r="H29" s="3" t="s">
        <v>655</v>
      </c>
      <c r="I29" s="3" t="s">
        <v>373</v>
      </c>
    </row>
    <row r="30" spans="1:9" ht="82.05" customHeight="1">
      <c r="A30" s="5" t="s">
        <v>656</v>
      </c>
      <c r="B30" s="5" t="s">
        <v>543</v>
      </c>
      <c r="C30" s="5" t="s">
        <v>657</v>
      </c>
      <c r="D30" s="5" t="s">
        <v>658</v>
      </c>
      <c r="E30" s="45" t="s">
        <v>659</v>
      </c>
      <c r="F30" s="5" t="s">
        <v>660</v>
      </c>
      <c r="G30" s="5" t="s">
        <v>661</v>
      </c>
      <c r="H30" s="5" t="s">
        <v>108</v>
      </c>
      <c r="I30" s="5" t="s">
        <v>373</v>
      </c>
    </row>
    <row r="31" spans="1:9" ht="67.95" customHeight="1">
      <c r="A31" s="3" t="s">
        <v>662</v>
      </c>
      <c r="B31" s="3" t="s">
        <v>543</v>
      </c>
      <c r="C31" s="3" t="s">
        <v>663</v>
      </c>
      <c r="D31" s="3" t="s">
        <v>664</v>
      </c>
      <c r="E31" s="44" t="s">
        <v>665</v>
      </c>
      <c r="F31" s="3" t="s">
        <v>666</v>
      </c>
      <c r="G31" s="3" t="s">
        <v>667</v>
      </c>
      <c r="H31" s="3" t="s">
        <v>668</v>
      </c>
      <c r="I31" s="3" t="s">
        <v>373</v>
      </c>
    </row>
    <row r="32" spans="1:9" ht="54" customHeight="1">
      <c r="A32" s="5" t="s">
        <v>669</v>
      </c>
      <c r="B32" s="5" t="s">
        <v>637</v>
      </c>
      <c r="C32" s="5" t="s">
        <v>670</v>
      </c>
      <c r="D32" s="5" t="s">
        <v>671</v>
      </c>
      <c r="E32" s="45" t="s">
        <v>672</v>
      </c>
      <c r="F32" s="5" t="s">
        <v>666</v>
      </c>
      <c r="G32" s="5" t="s">
        <v>673</v>
      </c>
      <c r="H32" s="5" t="s">
        <v>372</v>
      </c>
      <c r="I32" s="5" t="s">
        <v>373</v>
      </c>
    </row>
    <row r="33" spans="1:9" ht="67.95" customHeight="1">
      <c r="A33" s="3" t="s">
        <v>674</v>
      </c>
      <c r="B33" s="3" t="s">
        <v>637</v>
      </c>
      <c r="C33" s="3" t="s">
        <v>675</v>
      </c>
      <c r="D33" s="3" t="s">
        <v>676</v>
      </c>
      <c r="E33" s="44" t="s">
        <v>677</v>
      </c>
      <c r="F33" s="3" t="s">
        <v>678</v>
      </c>
      <c r="G33" s="3" t="s">
        <v>679</v>
      </c>
      <c r="H33" s="3" t="s">
        <v>680</v>
      </c>
      <c r="I33" s="3" t="s">
        <v>373</v>
      </c>
    </row>
    <row r="34" spans="1:9" ht="54" customHeight="1">
      <c r="A34" s="5" t="s">
        <v>681</v>
      </c>
      <c r="B34" s="5" t="s">
        <v>637</v>
      </c>
      <c r="C34" s="5" t="s">
        <v>682</v>
      </c>
      <c r="D34" s="5" t="s">
        <v>683</v>
      </c>
      <c r="E34" s="45" t="s">
        <v>684</v>
      </c>
      <c r="F34" s="5" t="s">
        <v>685</v>
      </c>
      <c r="G34" s="5" t="s">
        <v>686</v>
      </c>
      <c r="H34" s="5" t="s">
        <v>687</v>
      </c>
      <c r="I34" s="5" t="s">
        <v>373</v>
      </c>
    </row>
    <row r="35" spans="1:9" ht="67.95" customHeight="1">
      <c r="A35" s="3" t="s">
        <v>688</v>
      </c>
      <c r="B35" s="3" t="s">
        <v>543</v>
      </c>
      <c r="C35" s="3" t="s">
        <v>689</v>
      </c>
      <c r="D35" s="3" t="s">
        <v>690</v>
      </c>
      <c r="E35" s="44" t="s">
        <v>691</v>
      </c>
      <c r="F35" s="3" t="s">
        <v>692</v>
      </c>
      <c r="G35" s="3" t="s">
        <v>693</v>
      </c>
      <c r="H35" s="3" t="s">
        <v>694</v>
      </c>
      <c r="I35" s="3" t="s">
        <v>373</v>
      </c>
    </row>
    <row r="36" spans="1:9" ht="67.95" customHeight="1">
      <c r="A36" s="5" t="s">
        <v>695</v>
      </c>
      <c r="B36" s="5" t="s">
        <v>588</v>
      </c>
      <c r="C36" s="5" t="s">
        <v>696</v>
      </c>
      <c r="D36" s="5" t="s">
        <v>697</v>
      </c>
      <c r="E36" s="45" t="s">
        <v>698</v>
      </c>
      <c r="F36" s="5" t="s">
        <v>699</v>
      </c>
      <c r="G36" s="5" t="s">
        <v>700</v>
      </c>
      <c r="H36" s="5" t="s">
        <v>701</v>
      </c>
      <c r="I36" s="5" t="s">
        <v>373</v>
      </c>
    </row>
    <row r="37" spans="1:9" ht="54" customHeight="1">
      <c r="A37" s="3" t="s">
        <v>702</v>
      </c>
      <c r="B37" s="3" t="s">
        <v>588</v>
      </c>
      <c r="C37" s="3" t="s">
        <v>703</v>
      </c>
      <c r="D37" s="3" t="s">
        <v>704</v>
      </c>
      <c r="E37" s="44" t="s">
        <v>705</v>
      </c>
      <c r="F37" s="3" t="s">
        <v>706</v>
      </c>
      <c r="G37" s="3" t="s">
        <v>707</v>
      </c>
      <c r="H37" s="3" t="s">
        <v>708</v>
      </c>
      <c r="I37" s="3" t="s">
        <v>373</v>
      </c>
    </row>
    <row r="38" spans="1:9" ht="40.049999999999997" customHeight="1">
      <c r="A38" s="5" t="s">
        <v>709</v>
      </c>
      <c r="B38" s="5" t="s">
        <v>710</v>
      </c>
      <c r="C38" s="5" t="s">
        <v>711</v>
      </c>
      <c r="D38" s="5" t="s">
        <v>712</v>
      </c>
      <c r="E38" s="45" t="s">
        <v>713</v>
      </c>
      <c r="F38" s="5" t="s">
        <v>714</v>
      </c>
      <c r="G38" s="5" t="s">
        <v>715</v>
      </c>
      <c r="H38" s="5" t="s">
        <v>108</v>
      </c>
      <c r="I38" s="5" t="s">
        <v>373</v>
      </c>
    </row>
    <row r="39" spans="1:9" ht="54" customHeight="1">
      <c r="A39" s="3" t="s">
        <v>716</v>
      </c>
      <c r="B39" s="3" t="s">
        <v>710</v>
      </c>
      <c r="C39" s="3" t="s">
        <v>717</v>
      </c>
      <c r="D39" s="3" t="s">
        <v>718</v>
      </c>
      <c r="E39" s="44" t="s">
        <v>719</v>
      </c>
      <c r="F39" s="3" t="s">
        <v>720</v>
      </c>
      <c r="G39" s="3" t="s">
        <v>721</v>
      </c>
      <c r="H39" s="3" t="s">
        <v>722</v>
      </c>
      <c r="I39" s="3" t="s">
        <v>373</v>
      </c>
    </row>
    <row r="40" spans="1:9" ht="67.95" customHeight="1">
      <c r="A40" s="5" t="s">
        <v>723</v>
      </c>
      <c r="B40" s="5" t="s">
        <v>710</v>
      </c>
      <c r="C40" s="5" t="s">
        <v>724</v>
      </c>
      <c r="D40" s="5" t="s">
        <v>725</v>
      </c>
      <c r="E40" s="45" t="s">
        <v>726</v>
      </c>
      <c r="F40" s="5" t="s">
        <v>727</v>
      </c>
      <c r="G40" s="5" t="s">
        <v>728</v>
      </c>
      <c r="H40" s="5" t="s">
        <v>372</v>
      </c>
      <c r="I40" s="5" t="s">
        <v>373</v>
      </c>
    </row>
    <row r="41" spans="1:9" ht="54" customHeight="1">
      <c r="A41" s="3" t="s">
        <v>729</v>
      </c>
      <c r="B41" s="3" t="s">
        <v>710</v>
      </c>
      <c r="C41" s="3" t="s">
        <v>730</v>
      </c>
      <c r="D41" s="3" t="s">
        <v>731</v>
      </c>
      <c r="E41" s="44" t="s">
        <v>732</v>
      </c>
      <c r="F41" s="3" t="s">
        <v>733</v>
      </c>
      <c r="G41" s="3" t="s">
        <v>734</v>
      </c>
      <c r="H41" s="3" t="s">
        <v>735</v>
      </c>
      <c r="I41" s="3" t="s">
        <v>373</v>
      </c>
    </row>
    <row r="42" spans="1:9">
      <c r="E42" s="46"/>
    </row>
    <row r="43" spans="1:9">
      <c r="E43" s="46"/>
    </row>
    <row r="44" spans="1:9">
      <c r="E44" s="46"/>
    </row>
    <row r="45" spans="1:9">
      <c r="E45" s="46"/>
    </row>
    <row r="46" spans="1:9">
      <c r="E46" s="46"/>
    </row>
    <row r="47" spans="1:9">
      <c r="E47" s="46"/>
    </row>
    <row r="48" spans="1:9">
      <c r="E48" s="46"/>
    </row>
    <row r="49" spans="5:5">
      <c r="E49" s="46"/>
    </row>
    <row r="50" spans="5:5">
      <c r="E50" s="46"/>
    </row>
    <row r="51" spans="5:5">
      <c r="E51" s="46"/>
    </row>
    <row r="52" spans="5:5">
      <c r="E52" s="46"/>
    </row>
    <row r="53" spans="5:5">
      <c r="E53" s="46"/>
    </row>
    <row r="54" spans="5:5">
      <c r="E54" s="46"/>
    </row>
    <row r="55" spans="5:5">
      <c r="E55" s="46"/>
    </row>
    <row r="56" spans="5:5">
      <c r="E56" s="46"/>
    </row>
    <row r="57" spans="5:5">
      <c r="E57" s="46"/>
    </row>
    <row r="58" spans="5:5">
      <c r="E58" s="46"/>
    </row>
    <row r="59" spans="5:5">
      <c r="E59" s="46"/>
    </row>
    <row r="60" spans="5:5">
      <c r="E60" s="46"/>
    </row>
    <row r="61" spans="5:5">
      <c r="E61" s="46"/>
    </row>
    <row r="62" spans="5:5">
      <c r="E62" s="46"/>
    </row>
    <row r="63" spans="5:5">
      <c r="E63" s="46"/>
    </row>
    <row r="64" spans="5:5">
      <c r="E64" s="46"/>
    </row>
    <row r="65" spans="5:5">
      <c r="E65" s="46"/>
    </row>
    <row r="66" spans="5:5">
      <c r="E66" s="46"/>
    </row>
    <row r="67" spans="5:5">
      <c r="E67" s="46"/>
    </row>
    <row r="68" spans="5:5">
      <c r="E68" s="46"/>
    </row>
    <row r="69" spans="5:5">
      <c r="E69" s="46"/>
    </row>
    <row r="70" spans="5:5">
      <c r="E70" s="46"/>
    </row>
    <row r="71" spans="5:5">
      <c r="E71" s="46"/>
    </row>
    <row r="72" spans="5:5">
      <c r="E72" s="46"/>
    </row>
    <row r="73" spans="5:5">
      <c r="E73" s="46"/>
    </row>
    <row r="74" spans="5:5">
      <c r="E74" s="46"/>
    </row>
    <row r="75" spans="5:5">
      <c r="E75" s="46"/>
    </row>
    <row r="76" spans="5:5">
      <c r="E76" s="46"/>
    </row>
    <row r="77" spans="5:5">
      <c r="E77" s="46"/>
    </row>
    <row r="78" spans="5:5">
      <c r="E78" s="46"/>
    </row>
    <row r="79" spans="5:5">
      <c r="E79" s="46"/>
    </row>
    <row r="80" spans="5:5">
      <c r="E80" s="46"/>
    </row>
    <row r="81" spans="5:5">
      <c r="E81" s="46"/>
    </row>
    <row r="82" spans="5:5">
      <c r="E82" s="46"/>
    </row>
    <row r="83" spans="5:5">
      <c r="E83" s="46"/>
    </row>
    <row r="84" spans="5:5">
      <c r="E84" s="46"/>
    </row>
    <row r="85" spans="5:5">
      <c r="E85" s="46"/>
    </row>
    <row r="86" spans="5:5">
      <c r="E86" s="46"/>
    </row>
    <row r="87" spans="5:5">
      <c r="E87" s="46"/>
    </row>
    <row r="88" spans="5:5">
      <c r="E88" s="46"/>
    </row>
    <row r="89" spans="5:5">
      <c r="E89" s="46"/>
    </row>
    <row r="90" spans="5:5">
      <c r="E90" s="46"/>
    </row>
    <row r="91" spans="5:5">
      <c r="E91" s="46"/>
    </row>
    <row r="92" spans="5:5">
      <c r="E92" s="46"/>
    </row>
    <row r="93" spans="5:5">
      <c r="E93" s="46"/>
    </row>
    <row r="94" spans="5:5">
      <c r="E94" s="46"/>
    </row>
    <row r="95" spans="5:5">
      <c r="E95" s="46"/>
    </row>
    <row r="96" spans="5:5">
      <c r="E96" s="46"/>
    </row>
    <row r="97" spans="5:5">
      <c r="E97" s="46"/>
    </row>
    <row r="98" spans="5:5">
      <c r="E98" s="46"/>
    </row>
    <row r="99" spans="5:5">
      <c r="E99" s="46"/>
    </row>
    <row r="100" spans="5:5">
      <c r="E100" s="46"/>
    </row>
    <row r="101" spans="5:5">
      <c r="E101" s="46"/>
    </row>
    <row r="102" spans="5:5">
      <c r="E102" s="46"/>
    </row>
    <row r="103" spans="5:5">
      <c r="E103" s="46"/>
    </row>
    <row r="104" spans="5:5">
      <c r="E104" s="46"/>
    </row>
    <row r="105" spans="5:5">
      <c r="E105" s="46"/>
    </row>
    <row r="106" spans="5:5">
      <c r="E106" s="46"/>
    </row>
    <row r="107" spans="5:5">
      <c r="E107" s="46"/>
    </row>
    <row r="108" spans="5:5">
      <c r="E108" s="46"/>
    </row>
    <row r="109" spans="5:5">
      <c r="E109" s="46"/>
    </row>
    <row r="110" spans="5:5">
      <c r="E110" s="4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CC31E-1C7A-4166-BE51-66BA86B592C2}">
  <dimension ref="A2:I56"/>
  <sheetViews>
    <sheetView showGridLines="0" workbookViewId="0">
      <pane xSplit="3" ySplit="4" topLeftCell="D5" activePane="bottomRight" state="frozen"/>
      <selection pane="topRight"/>
      <selection pane="bottomLeft"/>
      <selection pane="bottomRight" activeCell="D8" sqref="D8"/>
    </sheetView>
  </sheetViews>
  <sheetFormatPr defaultRowHeight="13.8"/>
  <cols>
    <col min="1" max="1" width="14" customWidth="1"/>
    <col min="2" max="2" width="31" customWidth="1"/>
    <col min="3" max="3" width="34" customWidth="1"/>
    <col min="4" max="4" width="49" customWidth="1"/>
    <col min="5" max="5" width="70" customWidth="1"/>
    <col min="6" max="6" width="53" customWidth="1"/>
    <col min="7" max="7" width="65" customWidth="1"/>
    <col min="8" max="8" width="24" customWidth="1"/>
    <col min="9" max="9" width="68" customWidth="1"/>
  </cols>
  <sheetData>
    <row r="2" spans="1:9" ht="17.399999999999999" customHeight="1">
      <c r="A2" s="59" t="s">
        <v>2321</v>
      </c>
    </row>
    <row r="4" spans="1:9" ht="34.049999999999997" customHeight="1">
      <c r="A4" s="54" t="s">
        <v>92</v>
      </c>
      <c r="B4" s="54" t="s">
        <v>93</v>
      </c>
      <c r="C4" s="54" t="s">
        <v>94</v>
      </c>
      <c r="D4" s="54" t="s">
        <v>95</v>
      </c>
      <c r="E4" s="54" t="s">
        <v>96</v>
      </c>
      <c r="F4" s="54" t="s">
        <v>97</v>
      </c>
      <c r="G4" s="54" t="s">
        <v>98</v>
      </c>
      <c r="H4" s="54" t="s">
        <v>99</v>
      </c>
      <c r="I4" s="54" t="s">
        <v>100</v>
      </c>
    </row>
    <row r="5" spans="1:9" ht="40.049999999999997" customHeight="1">
      <c r="A5" s="55" t="s">
        <v>2322</v>
      </c>
      <c r="B5" s="55" t="s">
        <v>2323</v>
      </c>
      <c r="C5" s="55" t="s">
        <v>2324</v>
      </c>
      <c r="D5" s="55" t="s">
        <v>2325</v>
      </c>
      <c r="E5" s="56" t="s">
        <v>2326</v>
      </c>
      <c r="F5" s="55" t="s">
        <v>2327</v>
      </c>
      <c r="G5" s="55" t="s">
        <v>2328</v>
      </c>
      <c r="H5" s="55" t="s">
        <v>480</v>
      </c>
      <c r="I5" s="55" t="s">
        <v>2329</v>
      </c>
    </row>
    <row r="6" spans="1:9" ht="47.7" customHeight="1">
      <c r="A6" s="57" t="s">
        <v>2330</v>
      </c>
      <c r="B6" s="57" t="s">
        <v>2323</v>
      </c>
      <c r="C6" s="57" t="s">
        <v>2331</v>
      </c>
      <c r="D6" s="57" t="s">
        <v>2332</v>
      </c>
      <c r="E6" s="58" t="s">
        <v>2333</v>
      </c>
      <c r="F6" s="57" t="s">
        <v>2334</v>
      </c>
      <c r="G6" s="57" t="s">
        <v>2335</v>
      </c>
      <c r="H6" s="57" t="s">
        <v>2336</v>
      </c>
      <c r="I6" s="57" t="s">
        <v>2337</v>
      </c>
    </row>
    <row r="7" spans="1:9" ht="73.95" customHeight="1">
      <c r="A7" s="55" t="s">
        <v>2338</v>
      </c>
      <c r="B7" s="55" t="s">
        <v>2323</v>
      </c>
      <c r="C7" s="55" t="s">
        <v>2339</v>
      </c>
      <c r="D7" s="55" t="s">
        <v>2340</v>
      </c>
      <c r="E7" s="56" t="s">
        <v>2341</v>
      </c>
      <c r="F7" s="55" t="s">
        <v>2330</v>
      </c>
      <c r="G7" s="55" t="s">
        <v>2342</v>
      </c>
      <c r="H7" s="55" t="s">
        <v>2343</v>
      </c>
      <c r="I7" s="55" t="s">
        <v>2344</v>
      </c>
    </row>
    <row r="8" spans="1:9" ht="73.95" customHeight="1">
      <c r="A8" s="57" t="s">
        <v>2345</v>
      </c>
      <c r="B8" s="57" t="s">
        <v>2323</v>
      </c>
      <c r="C8" s="57" t="s">
        <v>2346</v>
      </c>
      <c r="D8" s="57" t="s">
        <v>2347</v>
      </c>
      <c r="E8" s="58" t="s">
        <v>2348</v>
      </c>
      <c r="F8" s="57" t="s">
        <v>2349</v>
      </c>
      <c r="G8" s="57" t="s">
        <v>2350</v>
      </c>
      <c r="H8" s="57" t="s">
        <v>2336</v>
      </c>
      <c r="I8" s="57" t="s">
        <v>2351</v>
      </c>
    </row>
    <row r="9" spans="1:9" ht="40.049999999999997" customHeight="1">
      <c r="A9" s="55" t="s">
        <v>2352</v>
      </c>
      <c r="B9" s="55" t="s">
        <v>2323</v>
      </c>
      <c r="C9" s="55" t="s">
        <v>2353</v>
      </c>
      <c r="D9" s="55" t="s">
        <v>2354</v>
      </c>
      <c r="E9" s="56" t="s">
        <v>2355</v>
      </c>
      <c r="F9" s="55" t="s">
        <v>2356</v>
      </c>
      <c r="G9" s="55" t="s">
        <v>2357</v>
      </c>
      <c r="H9" s="55" t="s">
        <v>2343</v>
      </c>
      <c r="I9" s="55" t="s">
        <v>2358</v>
      </c>
    </row>
    <row r="10" spans="1:9" ht="40.049999999999997" customHeight="1">
      <c r="A10" s="57" t="s">
        <v>2359</v>
      </c>
      <c r="B10" s="57" t="s">
        <v>2323</v>
      </c>
      <c r="C10" s="57" t="s">
        <v>2360</v>
      </c>
      <c r="D10" s="57" t="s">
        <v>2361</v>
      </c>
      <c r="E10" s="58" t="s">
        <v>2362</v>
      </c>
      <c r="F10" s="57" t="s">
        <v>2363</v>
      </c>
      <c r="G10" s="57" t="s">
        <v>2364</v>
      </c>
      <c r="H10" s="57" t="s">
        <v>2365</v>
      </c>
      <c r="I10" s="57" t="s">
        <v>2366</v>
      </c>
    </row>
    <row r="11" spans="1:9" ht="47.7" customHeight="1">
      <c r="A11" s="55" t="s">
        <v>2367</v>
      </c>
      <c r="B11" s="55" t="s">
        <v>2323</v>
      </c>
      <c r="C11" s="55" t="s">
        <v>2368</v>
      </c>
      <c r="D11" s="55" t="s">
        <v>2369</v>
      </c>
      <c r="E11" s="56" t="s">
        <v>2370</v>
      </c>
      <c r="F11" s="55" t="s">
        <v>2371</v>
      </c>
      <c r="G11" s="55" t="s">
        <v>2372</v>
      </c>
      <c r="H11" s="55" t="s">
        <v>372</v>
      </c>
      <c r="I11" s="55" t="s">
        <v>2373</v>
      </c>
    </row>
    <row r="12" spans="1:9" ht="47.7" customHeight="1">
      <c r="A12" s="57" t="s">
        <v>2374</v>
      </c>
      <c r="B12" s="57" t="s">
        <v>2375</v>
      </c>
      <c r="C12" s="57" t="s">
        <v>2376</v>
      </c>
      <c r="D12" s="57" t="s">
        <v>2377</v>
      </c>
      <c r="E12" s="58" t="s">
        <v>2378</v>
      </c>
      <c r="F12" s="57" t="s">
        <v>2379</v>
      </c>
      <c r="G12" s="57" t="s">
        <v>2380</v>
      </c>
      <c r="H12" s="57" t="s">
        <v>2381</v>
      </c>
      <c r="I12" s="57" t="s">
        <v>2382</v>
      </c>
    </row>
    <row r="13" spans="1:9" ht="40.049999999999997" customHeight="1">
      <c r="A13" s="55" t="s">
        <v>2383</v>
      </c>
      <c r="B13" s="55" t="s">
        <v>2375</v>
      </c>
      <c r="C13" s="55" t="s">
        <v>2384</v>
      </c>
      <c r="D13" s="55" t="s">
        <v>2385</v>
      </c>
      <c r="E13" s="56" t="s">
        <v>2386</v>
      </c>
      <c r="F13" s="55" t="s">
        <v>2387</v>
      </c>
      <c r="G13" s="55" t="s">
        <v>2388</v>
      </c>
      <c r="H13" s="55" t="s">
        <v>414</v>
      </c>
      <c r="I13" s="55" t="s">
        <v>2389</v>
      </c>
    </row>
    <row r="14" spans="1:9" ht="40.049999999999997" customHeight="1">
      <c r="A14" s="57" t="s">
        <v>2390</v>
      </c>
      <c r="B14" s="57" t="s">
        <v>2375</v>
      </c>
      <c r="C14" s="57" t="s">
        <v>2391</v>
      </c>
      <c r="D14" s="57" t="s">
        <v>2392</v>
      </c>
      <c r="E14" s="58" t="s">
        <v>2393</v>
      </c>
      <c r="F14" s="57" t="s">
        <v>2394</v>
      </c>
      <c r="G14" s="57" t="s">
        <v>2395</v>
      </c>
      <c r="H14" s="57" t="s">
        <v>2343</v>
      </c>
      <c r="I14" s="57" t="s">
        <v>2396</v>
      </c>
    </row>
    <row r="15" spans="1:9" ht="60.9" customHeight="1">
      <c r="A15" s="55" t="s">
        <v>2397</v>
      </c>
      <c r="B15" s="55" t="s">
        <v>2375</v>
      </c>
      <c r="C15" s="55" t="s">
        <v>2398</v>
      </c>
      <c r="D15" s="55" t="s">
        <v>2399</v>
      </c>
      <c r="E15" s="56" t="s">
        <v>2400</v>
      </c>
      <c r="F15" s="55" t="s">
        <v>2401</v>
      </c>
      <c r="G15" s="55" t="s">
        <v>2402</v>
      </c>
      <c r="H15" s="55" t="s">
        <v>2343</v>
      </c>
      <c r="I15" s="55" t="s">
        <v>2403</v>
      </c>
    </row>
    <row r="16" spans="1:9" ht="87.15" customHeight="1">
      <c r="A16" s="57" t="s">
        <v>2404</v>
      </c>
      <c r="B16" s="57" t="s">
        <v>2375</v>
      </c>
      <c r="C16" s="57" t="s">
        <v>2405</v>
      </c>
      <c r="D16" s="57" t="s">
        <v>2406</v>
      </c>
      <c r="E16" s="58" t="s">
        <v>2407</v>
      </c>
      <c r="F16" s="57" t="s">
        <v>2408</v>
      </c>
      <c r="G16" s="57" t="s">
        <v>2409</v>
      </c>
      <c r="H16" s="57" t="s">
        <v>2343</v>
      </c>
      <c r="I16" s="57" t="s">
        <v>2410</v>
      </c>
    </row>
    <row r="17" spans="1:9" ht="40.049999999999997" customHeight="1">
      <c r="A17" s="55" t="s">
        <v>2411</v>
      </c>
      <c r="B17" s="55" t="s">
        <v>2412</v>
      </c>
      <c r="C17" s="55" t="s">
        <v>2413</v>
      </c>
      <c r="D17" s="55" t="s">
        <v>2414</v>
      </c>
      <c r="E17" s="56" t="s">
        <v>2415</v>
      </c>
      <c r="F17" s="55" t="s">
        <v>2416</v>
      </c>
      <c r="G17" s="55" t="s">
        <v>2417</v>
      </c>
      <c r="H17" s="55" t="s">
        <v>108</v>
      </c>
      <c r="I17" s="55" t="s">
        <v>2418</v>
      </c>
    </row>
    <row r="18" spans="1:9" ht="60.9" customHeight="1">
      <c r="A18" s="57" t="s">
        <v>2419</v>
      </c>
      <c r="B18" s="57" t="s">
        <v>2412</v>
      </c>
      <c r="C18" s="57" t="s">
        <v>2420</v>
      </c>
      <c r="D18" s="57" t="s">
        <v>2421</v>
      </c>
      <c r="E18" s="58" t="s">
        <v>2422</v>
      </c>
      <c r="F18" s="57" t="s">
        <v>2423</v>
      </c>
      <c r="G18" s="57" t="s">
        <v>2424</v>
      </c>
      <c r="H18" s="57" t="s">
        <v>2336</v>
      </c>
      <c r="I18" s="57" t="s">
        <v>2425</v>
      </c>
    </row>
    <row r="19" spans="1:9" ht="40.049999999999997" customHeight="1">
      <c r="A19" s="55" t="s">
        <v>2426</v>
      </c>
      <c r="B19" s="55" t="s">
        <v>2412</v>
      </c>
      <c r="C19" s="55" t="s">
        <v>2427</v>
      </c>
      <c r="D19" s="55" t="s">
        <v>2428</v>
      </c>
      <c r="E19" s="56" t="s">
        <v>2429</v>
      </c>
      <c r="F19" s="55" t="s">
        <v>2430</v>
      </c>
      <c r="G19" s="55" t="s">
        <v>2431</v>
      </c>
      <c r="H19" s="55" t="s">
        <v>108</v>
      </c>
      <c r="I19" s="55" t="s">
        <v>2432</v>
      </c>
    </row>
    <row r="20" spans="1:9" ht="47.7" customHeight="1">
      <c r="A20" s="57" t="s">
        <v>2433</v>
      </c>
      <c r="B20" s="57" t="s">
        <v>2412</v>
      </c>
      <c r="C20" s="57" t="s">
        <v>2434</v>
      </c>
      <c r="D20" s="57" t="s">
        <v>2435</v>
      </c>
      <c r="E20" s="58" t="s">
        <v>2436</v>
      </c>
      <c r="F20" s="57" t="s">
        <v>2437</v>
      </c>
      <c r="G20" s="57" t="s">
        <v>2438</v>
      </c>
      <c r="H20" s="57" t="s">
        <v>108</v>
      </c>
      <c r="I20" s="57" t="s">
        <v>2439</v>
      </c>
    </row>
    <row r="21" spans="1:9" ht="40.049999999999997" customHeight="1">
      <c r="A21" s="55" t="s">
        <v>2440</v>
      </c>
      <c r="B21" s="55" t="s">
        <v>2412</v>
      </c>
      <c r="C21" s="55" t="s">
        <v>2441</v>
      </c>
      <c r="D21" s="55" t="s">
        <v>2442</v>
      </c>
      <c r="E21" s="56" t="s">
        <v>2443</v>
      </c>
      <c r="F21" s="55" t="s">
        <v>2444</v>
      </c>
      <c r="G21" s="55" t="s">
        <v>2445</v>
      </c>
      <c r="H21" s="55" t="s">
        <v>108</v>
      </c>
      <c r="I21" s="55" t="s">
        <v>2446</v>
      </c>
    </row>
    <row r="22" spans="1:9" ht="40.049999999999997" customHeight="1">
      <c r="A22" s="57" t="s">
        <v>2447</v>
      </c>
      <c r="B22" s="57" t="s">
        <v>2412</v>
      </c>
      <c r="C22" s="57" t="s">
        <v>2448</v>
      </c>
      <c r="D22" s="57" t="s">
        <v>2449</v>
      </c>
      <c r="E22" s="58" t="s">
        <v>2450</v>
      </c>
      <c r="F22" s="57" t="s">
        <v>2451</v>
      </c>
      <c r="G22" s="57" t="s">
        <v>2452</v>
      </c>
      <c r="H22" s="57" t="s">
        <v>108</v>
      </c>
      <c r="I22" s="57" t="s">
        <v>2453</v>
      </c>
    </row>
    <row r="23" spans="1:9" ht="40.049999999999997" customHeight="1">
      <c r="A23" s="55" t="s">
        <v>2454</v>
      </c>
      <c r="B23" s="55" t="s">
        <v>2412</v>
      </c>
      <c r="C23" s="55" t="s">
        <v>2455</v>
      </c>
      <c r="D23" s="55" t="s">
        <v>2456</v>
      </c>
      <c r="E23" s="56" t="s">
        <v>2457</v>
      </c>
      <c r="F23" s="55" t="s">
        <v>2458</v>
      </c>
      <c r="G23" s="55" t="s">
        <v>2459</v>
      </c>
      <c r="H23" s="55" t="s">
        <v>108</v>
      </c>
      <c r="I23" s="55" t="s">
        <v>2460</v>
      </c>
    </row>
    <row r="24" spans="1:9" ht="73.95" customHeight="1">
      <c r="A24" s="57" t="s">
        <v>2461</v>
      </c>
      <c r="B24" s="57" t="s">
        <v>2412</v>
      </c>
      <c r="C24" s="57" t="s">
        <v>2462</v>
      </c>
      <c r="D24" s="57" t="s">
        <v>2463</v>
      </c>
      <c r="E24" s="58" t="s">
        <v>2464</v>
      </c>
      <c r="F24" s="57" t="s">
        <v>2465</v>
      </c>
      <c r="G24" s="57" t="s">
        <v>2466</v>
      </c>
      <c r="H24" s="57" t="s">
        <v>2343</v>
      </c>
      <c r="I24" s="57" t="s">
        <v>2467</v>
      </c>
    </row>
    <row r="25" spans="1:9" ht="40.049999999999997" customHeight="1">
      <c r="A25" s="55" t="s">
        <v>2468</v>
      </c>
      <c r="B25" s="55" t="s">
        <v>2469</v>
      </c>
      <c r="C25" s="55" t="s">
        <v>2470</v>
      </c>
      <c r="D25" s="55" t="s">
        <v>2471</v>
      </c>
      <c r="E25" s="56" t="s">
        <v>2472</v>
      </c>
      <c r="F25" s="55" t="s">
        <v>2473</v>
      </c>
      <c r="G25" s="55" t="s">
        <v>2474</v>
      </c>
      <c r="H25" s="55" t="s">
        <v>108</v>
      </c>
      <c r="I25" s="55" t="s">
        <v>2475</v>
      </c>
    </row>
    <row r="26" spans="1:9" ht="47.7" customHeight="1">
      <c r="A26" s="57" t="s">
        <v>2476</v>
      </c>
      <c r="B26" s="57" t="s">
        <v>2469</v>
      </c>
      <c r="C26" s="57" t="s">
        <v>2477</v>
      </c>
      <c r="D26" s="57" t="s">
        <v>2478</v>
      </c>
      <c r="E26" s="58" t="s">
        <v>2479</v>
      </c>
      <c r="F26" s="57" t="s">
        <v>2480</v>
      </c>
      <c r="G26" s="57" t="s">
        <v>2481</v>
      </c>
      <c r="H26" s="57" t="s">
        <v>2482</v>
      </c>
      <c r="I26" s="57" t="s">
        <v>2483</v>
      </c>
    </row>
    <row r="27" spans="1:9" ht="40.049999999999997" customHeight="1">
      <c r="A27" s="55" t="s">
        <v>2484</v>
      </c>
      <c r="B27" s="55" t="s">
        <v>2469</v>
      </c>
      <c r="C27" s="55" t="s">
        <v>2485</v>
      </c>
      <c r="D27" s="55" t="s">
        <v>2486</v>
      </c>
      <c r="E27" s="56" t="s">
        <v>2487</v>
      </c>
      <c r="F27" s="55" t="s">
        <v>2488</v>
      </c>
      <c r="G27" s="55" t="s">
        <v>2489</v>
      </c>
      <c r="H27" s="55" t="s">
        <v>108</v>
      </c>
      <c r="I27" s="55" t="s">
        <v>2490</v>
      </c>
    </row>
    <row r="28" spans="1:9" ht="40.049999999999997" customHeight="1">
      <c r="A28" s="57" t="s">
        <v>2491</v>
      </c>
      <c r="B28" s="57" t="s">
        <v>2469</v>
      </c>
      <c r="C28" s="57" t="s">
        <v>2492</v>
      </c>
      <c r="D28" s="57" t="s">
        <v>2493</v>
      </c>
      <c r="E28" s="58" t="s">
        <v>2494</v>
      </c>
      <c r="F28" s="57" t="s">
        <v>2495</v>
      </c>
      <c r="G28" s="57" t="s">
        <v>2496</v>
      </c>
      <c r="H28" s="57" t="s">
        <v>108</v>
      </c>
      <c r="I28" s="57" t="s">
        <v>2497</v>
      </c>
    </row>
    <row r="29" spans="1:9" ht="40.049999999999997" customHeight="1">
      <c r="A29" s="55" t="s">
        <v>2498</v>
      </c>
      <c r="B29" s="55" t="s">
        <v>2469</v>
      </c>
      <c r="C29" s="55" t="s">
        <v>2499</v>
      </c>
      <c r="D29" s="55" t="s">
        <v>2500</v>
      </c>
      <c r="E29" s="56" t="s">
        <v>2501</v>
      </c>
      <c r="F29" s="55" t="s">
        <v>2502</v>
      </c>
      <c r="G29" s="55" t="s">
        <v>2503</v>
      </c>
      <c r="H29" s="55" t="s">
        <v>2504</v>
      </c>
      <c r="I29" s="55" t="s">
        <v>2505</v>
      </c>
    </row>
    <row r="30" spans="1:9" ht="40.049999999999997" customHeight="1">
      <c r="A30" s="57" t="s">
        <v>2506</v>
      </c>
      <c r="B30" s="57" t="s">
        <v>2507</v>
      </c>
      <c r="C30" s="57" t="s">
        <v>2508</v>
      </c>
      <c r="D30" s="57" t="s">
        <v>2509</v>
      </c>
      <c r="E30" s="58" t="s">
        <v>2510</v>
      </c>
      <c r="F30" s="57" t="s">
        <v>2511</v>
      </c>
      <c r="G30" s="57" t="s">
        <v>2372</v>
      </c>
      <c r="H30" s="57" t="s">
        <v>414</v>
      </c>
      <c r="I30" s="57" t="s">
        <v>2512</v>
      </c>
    </row>
    <row r="31" spans="1:9" ht="40.049999999999997" customHeight="1">
      <c r="A31" s="55" t="s">
        <v>2513</v>
      </c>
      <c r="B31" s="55" t="s">
        <v>2507</v>
      </c>
      <c r="C31" s="55" t="s">
        <v>2514</v>
      </c>
      <c r="D31" s="55" t="s">
        <v>2515</v>
      </c>
      <c r="E31" s="56" t="s">
        <v>2516</v>
      </c>
      <c r="F31" s="55" t="s">
        <v>2517</v>
      </c>
      <c r="G31" s="55" t="s">
        <v>2518</v>
      </c>
      <c r="H31" s="55" t="s">
        <v>414</v>
      </c>
      <c r="I31" s="55" t="s">
        <v>2519</v>
      </c>
    </row>
    <row r="32" spans="1:9" ht="40.049999999999997" customHeight="1">
      <c r="A32" s="57" t="s">
        <v>2520</v>
      </c>
      <c r="B32" s="57" t="s">
        <v>2507</v>
      </c>
      <c r="C32" s="57" t="s">
        <v>2521</v>
      </c>
      <c r="D32" s="57" t="s">
        <v>2522</v>
      </c>
      <c r="E32" s="58" t="s">
        <v>2523</v>
      </c>
      <c r="F32" s="57" t="s">
        <v>2524</v>
      </c>
      <c r="G32" s="57" t="s">
        <v>2525</v>
      </c>
      <c r="H32" s="57" t="s">
        <v>2526</v>
      </c>
      <c r="I32" s="57" t="s">
        <v>2527</v>
      </c>
    </row>
    <row r="33" spans="1:9" ht="60.9" customHeight="1">
      <c r="A33" s="55" t="s">
        <v>2528</v>
      </c>
      <c r="B33" s="55" t="s">
        <v>2507</v>
      </c>
      <c r="C33" s="55" t="s">
        <v>2529</v>
      </c>
      <c r="D33" s="55" t="s">
        <v>2530</v>
      </c>
      <c r="E33" s="56" t="s">
        <v>2531</v>
      </c>
      <c r="F33" s="55" t="s">
        <v>2532</v>
      </c>
      <c r="G33" s="55" t="s">
        <v>2533</v>
      </c>
      <c r="H33" s="55" t="s">
        <v>2534</v>
      </c>
      <c r="I33" s="55" t="s">
        <v>2535</v>
      </c>
    </row>
    <row r="34" spans="1:9" ht="40.049999999999997" customHeight="1">
      <c r="A34" s="57" t="s">
        <v>2536</v>
      </c>
      <c r="B34" s="57" t="s">
        <v>2507</v>
      </c>
      <c r="C34" s="57" t="s">
        <v>2537</v>
      </c>
      <c r="D34" s="57" t="s">
        <v>2538</v>
      </c>
      <c r="E34" s="58" t="s">
        <v>2539</v>
      </c>
      <c r="F34" s="57" t="s">
        <v>2540</v>
      </c>
      <c r="G34" s="57" t="s">
        <v>2541</v>
      </c>
      <c r="H34" s="57" t="s">
        <v>394</v>
      </c>
      <c r="I34" s="57" t="s">
        <v>2542</v>
      </c>
    </row>
    <row r="35" spans="1:9" ht="113.7" customHeight="1">
      <c r="A35" s="55" t="s">
        <v>2543</v>
      </c>
      <c r="B35" s="55" t="s">
        <v>2507</v>
      </c>
      <c r="C35" s="55" t="s">
        <v>2544</v>
      </c>
      <c r="D35" s="55" t="s">
        <v>2545</v>
      </c>
      <c r="E35" s="56" t="s">
        <v>2546</v>
      </c>
      <c r="F35" s="55" t="s">
        <v>2547</v>
      </c>
      <c r="G35" s="55" t="s">
        <v>2548</v>
      </c>
      <c r="H35" s="55" t="s">
        <v>2549</v>
      </c>
      <c r="I35" s="55" t="s">
        <v>2550</v>
      </c>
    </row>
    <row r="36" spans="1:9" ht="73.95" customHeight="1">
      <c r="A36" s="57" t="s">
        <v>2551</v>
      </c>
      <c r="B36" s="57" t="s">
        <v>2507</v>
      </c>
      <c r="C36" s="57" t="s">
        <v>2552</v>
      </c>
      <c r="D36" s="57" t="s">
        <v>2553</v>
      </c>
      <c r="E36" s="58" t="s">
        <v>2554</v>
      </c>
      <c r="F36" s="57" t="s">
        <v>2555</v>
      </c>
      <c r="G36" s="57" t="s">
        <v>2556</v>
      </c>
      <c r="H36" s="57" t="s">
        <v>108</v>
      </c>
      <c r="I36" s="57" t="s">
        <v>2557</v>
      </c>
    </row>
    <row r="37" spans="1:9" ht="60.9" customHeight="1">
      <c r="A37" s="55" t="s">
        <v>2558</v>
      </c>
      <c r="B37" s="55" t="s">
        <v>2507</v>
      </c>
      <c r="C37" s="55" t="s">
        <v>2559</v>
      </c>
      <c r="D37" s="55" t="s">
        <v>2560</v>
      </c>
      <c r="E37" s="56" t="s">
        <v>2561</v>
      </c>
      <c r="F37" s="55" t="s">
        <v>2551</v>
      </c>
      <c r="G37" s="55" t="s">
        <v>2562</v>
      </c>
      <c r="H37" s="55" t="s">
        <v>108</v>
      </c>
      <c r="I37" s="55" t="s">
        <v>2563</v>
      </c>
    </row>
    <row r="38" spans="1:9" ht="40.049999999999997" customHeight="1">
      <c r="A38" s="57" t="s">
        <v>2564</v>
      </c>
      <c r="B38" s="57" t="s">
        <v>2565</v>
      </c>
      <c r="C38" s="57" t="s">
        <v>2566</v>
      </c>
      <c r="D38" s="57" t="s">
        <v>2567</v>
      </c>
      <c r="E38" s="58" t="s">
        <v>2568</v>
      </c>
      <c r="F38" s="57" t="s">
        <v>2569</v>
      </c>
      <c r="G38" s="57" t="s">
        <v>2570</v>
      </c>
      <c r="H38" s="57" t="s">
        <v>2571</v>
      </c>
      <c r="I38" s="57" t="s">
        <v>2572</v>
      </c>
    </row>
    <row r="39" spans="1:9" ht="40.049999999999997" customHeight="1">
      <c r="A39" s="55" t="s">
        <v>2573</v>
      </c>
      <c r="B39" s="55" t="s">
        <v>2565</v>
      </c>
      <c r="C39" s="55" t="s">
        <v>2574</v>
      </c>
      <c r="D39" s="55" t="s">
        <v>2575</v>
      </c>
      <c r="E39" s="56" t="s">
        <v>2576</v>
      </c>
      <c r="F39" s="55" t="s">
        <v>2577</v>
      </c>
      <c r="G39" s="55" t="s">
        <v>2578</v>
      </c>
      <c r="H39" s="55" t="s">
        <v>414</v>
      </c>
      <c r="I39" s="55" t="s">
        <v>2579</v>
      </c>
    </row>
    <row r="40" spans="1:9" ht="47.7" customHeight="1">
      <c r="A40" s="57" t="s">
        <v>2580</v>
      </c>
      <c r="B40" s="57" t="s">
        <v>2565</v>
      </c>
      <c r="C40" s="57" t="s">
        <v>2581</v>
      </c>
      <c r="D40" s="57" t="s">
        <v>2582</v>
      </c>
      <c r="E40" s="58" t="s">
        <v>2583</v>
      </c>
      <c r="F40" s="57" t="s">
        <v>2584</v>
      </c>
      <c r="G40" s="57" t="s">
        <v>2585</v>
      </c>
      <c r="H40" s="57" t="s">
        <v>108</v>
      </c>
      <c r="I40" s="57" t="s">
        <v>2586</v>
      </c>
    </row>
    <row r="41" spans="1:9" ht="40.049999999999997" customHeight="1">
      <c r="A41" s="55" t="s">
        <v>2587</v>
      </c>
      <c r="B41" s="55" t="s">
        <v>2565</v>
      </c>
      <c r="C41" s="55" t="s">
        <v>2588</v>
      </c>
      <c r="D41" s="55" t="s">
        <v>2589</v>
      </c>
      <c r="E41" s="56" t="s">
        <v>2590</v>
      </c>
      <c r="F41" s="55" t="s">
        <v>2591</v>
      </c>
      <c r="G41" s="55" t="s">
        <v>2592</v>
      </c>
      <c r="H41" s="55" t="s">
        <v>2593</v>
      </c>
      <c r="I41" s="55" t="s">
        <v>2594</v>
      </c>
    </row>
    <row r="42" spans="1:9" ht="40.049999999999997" customHeight="1">
      <c r="A42" s="57" t="s">
        <v>2595</v>
      </c>
      <c r="B42" s="57" t="s">
        <v>2565</v>
      </c>
      <c r="C42" s="57" t="s">
        <v>2596</v>
      </c>
      <c r="D42" s="57" t="s">
        <v>2597</v>
      </c>
      <c r="E42" s="58" t="s">
        <v>2598</v>
      </c>
      <c r="F42" s="57" t="s">
        <v>2599</v>
      </c>
      <c r="G42" s="57" t="s">
        <v>2600</v>
      </c>
      <c r="H42" s="57" t="s">
        <v>414</v>
      </c>
      <c r="I42" s="57" t="s">
        <v>2601</v>
      </c>
    </row>
    <row r="44" spans="1:9" ht="17.399999999999999" customHeight="1">
      <c r="A44" s="59" t="s">
        <v>2602</v>
      </c>
    </row>
    <row r="46" spans="1:9" ht="34.049999999999997" customHeight="1">
      <c r="A46" s="63" t="s">
        <v>92</v>
      </c>
      <c r="B46" s="63" t="s">
        <v>2603</v>
      </c>
      <c r="C46" s="63" t="s">
        <v>2604</v>
      </c>
      <c r="D46" s="63" t="s">
        <v>95</v>
      </c>
      <c r="E46" s="63" t="s">
        <v>2605</v>
      </c>
      <c r="F46" s="63" t="s">
        <v>2606</v>
      </c>
      <c r="G46" s="61"/>
      <c r="H46" s="61"/>
      <c r="I46" s="61"/>
    </row>
    <row r="47" spans="1:9" ht="34.5" customHeight="1">
      <c r="A47" s="64" t="s">
        <v>2607</v>
      </c>
      <c r="B47" s="64" t="s">
        <v>2608</v>
      </c>
      <c r="C47" s="64" t="s">
        <v>2609</v>
      </c>
      <c r="D47" s="64" t="s">
        <v>2610</v>
      </c>
      <c r="E47" s="64" t="s">
        <v>2611</v>
      </c>
      <c r="F47" s="64" t="s">
        <v>2612</v>
      </c>
      <c r="G47" s="61"/>
      <c r="H47" s="61"/>
      <c r="I47" s="61"/>
    </row>
    <row r="48" spans="1:9" ht="34.5" customHeight="1">
      <c r="A48" s="65" t="s">
        <v>2613</v>
      </c>
      <c r="B48" s="65" t="s">
        <v>2614</v>
      </c>
      <c r="C48" s="65" t="s">
        <v>2615</v>
      </c>
      <c r="D48" s="65" t="s">
        <v>2616</v>
      </c>
      <c r="E48" s="65" t="s">
        <v>2330</v>
      </c>
      <c r="F48" s="65" t="s">
        <v>2617</v>
      </c>
      <c r="G48" s="61"/>
      <c r="H48" s="61"/>
      <c r="I48" s="61"/>
    </row>
    <row r="49" spans="1:9" ht="34.5" customHeight="1">
      <c r="A49" s="64" t="s">
        <v>2618</v>
      </c>
      <c r="B49" s="64" t="s">
        <v>2619</v>
      </c>
      <c r="C49" s="64" t="s">
        <v>2620</v>
      </c>
      <c r="D49" s="64" t="s">
        <v>2621</v>
      </c>
      <c r="E49" s="64" t="s">
        <v>2374</v>
      </c>
      <c r="F49" s="64" t="s">
        <v>2617</v>
      </c>
      <c r="G49" s="61"/>
      <c r="H49" s="61"/>
      <c r="I49" s="61"/>
    </row>
    <row r="50" spans="1:9" ht="27" customHeight="1">
      <c r="A50" s="65" t="s">
        <v>2622</v>
      </c>
      <c r="B50" s="65" t="s">
        <v>2623</v>
      </c>
      <c r="C50" s="65" t="s">
        <v>2624</v>
      </c>
      <c r="D50" s="65" t="s">
        <v>2625</v>
      </c>
      <c r="E50" s="65" t="s">
        <v>2374</v>
      </c>
      <c r="F50" s="65" t="s">
        <v>2617</v>
      </c>
      <c r="G50" s="61"/>
      <c r="H50" s="61"/>
      <c r="I50" s="61"/>
    </row>
    <row r="51" spans="1:9" ht="27" customHeight="1">
      <c r="A51" s="64" t="s">
        <v>2626</v>
      </c>
      <c r="B51" s="64" t="s">
        <v>2627</v>
      </c>
      <c r="C51" s="64" t="s">
        <v>2628</v>
      </c>
      <c r="D51" s="64" t="s">
        <v>2629</v>
      </c>
      <c r="E51" s="64" t="s">
        <v>2383</v>
      </c>
      <c r="F51" s="64" t="s">
        <v>2617</v>
      </c>
      <c r="G51" s="61"/>
      <c r="H51" s="61"/>
      <c r="I51" s="61"/>
    </row>
    <row r="52" spans="1:9" ht="27" customHeight="1">
      <c r="A52" s="65" t="s">
        <v>2630</v>
      </c>
      <c r="B52" s="65" t="s">
        <v>2631</v>
      </c>
      <c r="C52" s="65" t="s">
        <v>2632</v>
      </c>
      <c r="D52" s="65" t="s">
        <v>2633</v>
      </c>
      <c r="E52" s="65" t="s">
        <v>2551</v>
      </c>
      <c r="F52" s="65" t="s">
        <v>2617</v>
      </c>
      <c r="G52" s="61"/>
      <c r="H52" s="61"/>
      <c r="I52" s="61"/>
    </row>
    <row r="53" spans="1:9" ht="27" customHeight="1">
      <c r="A53" s="64" t="s">
        <v>2634</v>
      </c>
      <c r="B53" s="64" t="s">
        <v>2635</v>
      </c>
      <c r="C53" s="64" t="s">
        <v>2636</v>
      </c>
      <c r="D53" s="64" t="s">
        <v>2637</v>
      </c>
      <c r="E53" s="64" t="s">
        <v>2551</v>
      </c>
      <c r="F53" s="64" t="s">
        <v>2617</v>
      </c>
      <c r="G53" s="61"/>
      <c r="H53" s="61"/>
      <c r="I53" s="61"/>
    </row>
    <row r="54" spans="1:9" ht="27" customHeight="1">
      <c r="A54" s="65" t="s">
        <v>2638</v>
      </c>
      <c r="B54" s="65" t="s">
        <v>2639</v>
      </c>
      <c r="C54" s="65" t="s">
        <v>2640</v>
      </c>
      <c r="D54" s="65" t="s">
        <v>2641</v>
      </c>
      <c r="E54" s="65" t="s">
        <v>2642</v>
      </c>
      <c r="F54" s="65" t="s">
        <v>2617</v>
      </c>
      <c r="G54" s="61"/>
      <c r="H54" s="61"/>
      <c r="I54" s="61"/>
    </row>
    <row r="55" spans="1:9" ht="34.5" customHeight="1">
      <c r="A55" s="64" t="s">
        <v>2643</v>
      </c>
      <c r="B55" s="64" t="s">
        <v>2644</v>
      </c>
      <c r="C55" s="64" t="s">
        <v>2615</v>
      </c>
      <c r="D55" s="64" t="s">
        <v>2645</v>
      </c>
      <c r="E55" s="64" t="s">
        <v>2367</v>
      </c>
      <c r="F55" s="64" t="s">
        <v>2617</v>
      </c>
      <c r="G55" s="61"/>
      <c r="H55" s="61"/>
      <c r="I55" s="61"/>
    </row>
    <row r="56" spans="1:9" ht="34.5" customHeight="1">
      <c r="A56" s="65" t="s">
        <v>2646</v>
      </c>
      <c r="B56" s="65" t="s">
        <v>2647</v>
      </c>
      <c r="C56" s="65" t="s">
        <v>2648</v>
      </c>
      <c r="D56" s="65" t="s">
        <v>2649</v>
      </c>
      <c r="E56" s="65" t="s">
        <v>2650</v>
      </c>
      <c r="F56" s="65" t="s">
        <v>2617</v>
      </c>
      <c r="G56" s="61"/>
      <c r="H56" s="61"/>
      <c r="I56" s="61"/>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300"/>
  <sheetViews>
    <sheetView showGridLines="0" tabSelected="1" workbookViewId="0">
      <pane ySplit="4" topLeftCell="A13" activePane="bottomLeft" state="frozen"/>
      <selection pane="bottomLeft" activeCell="D9" sqref="D9"/>
    </sheetView>
  </sheetViews>
  <sheetFormatPr defaultRowHeight="13.8"/>
  <cols>
    <col min="1" max="1" width="14" customWidth="1"/>
    <col min="2" max="2" width="31" customWidth="1"/>
    <col min="3" max="3" width="34" customWidth="1"/>
    <col min="4" max="4" width="49" customWidth="1"/>
    <col min="5" max="5" width="70" customWidth="1"/>
    <col min="6" max="6" width="53" customWidth="1"/>
    <col min="7" max="7" width="65" customWidth="1"/>
    <col min="8" max="8" width="24" customWidth="1"/>
    <col min="9" max="9" width="68" customWidth="1"/>
  </cols>
  <sheetData>
    <row r="1" spans="1:21">
      <c r="A1" s="85"/>
      <c r="B1" s="85"/>
      <c r="C1" s="85"/>
      <c r="D1" s="85"/>
      <c r="E1" s="85"/>
      <c r="F1" s="85"/>
      <c r="G1" s="85"/>
      <c r="H1" s="85"/>
      <c r="I1" s="85"/>
      <c r="J1" s="85"/>
      <c r="K1" s="85"/>
      <c r="L1" s="85"/>
      <c r="M1" s="85"/>
      <c r="N1" s="85"/>
      <c r="O1" s="85"/>
      <c r="P1" s="85"/>
      <c r="Q1" s="85"/>
      <c r="R1" s="85"/>
      <c r="S1" s="85"/>
      <c r="T1" s="85"/>
      <c r="U1" s="85"/>
    </row>
    <row r="2" spans="1:21" ht="15.6">
      <c r="A2" s="84" t="s">
        <v>2943</v>
      </c>
      <c r="B2" s="85"/>
      <c r="C2" s="85"/>
      <c r="D2" s="85"/>
      <c r="E2" s="85"/>
      <c r="F2" s="85"/>
      <c r="G2" s="85"/>
      <c r="H2" s="85"/>
      <c r="I2" s="85"/>
      <c r="J2" s="85"/>
      <c r="K2" s="85"/>
      <c r="L2" s="85"/>
      <c r="M2" s="85"/>
      <c r="N2" s="85"/>
      <c r="O2" s="85"/>
      <c r="P2" s="85"/>
      <c r="Q2" s="85"/>
      <c r="R2" s="85"/>
      <c r="S2" s="85"/>
      <c r="T2" s="85"/>
      <c r="U2" s="85"/>
    </row>
    <row r="3" spans="1:21">
      <c r="A3" s="85"/>
      <c r="B3" s="85"/>
      <c r="C3" s="85"/>
      <c r="D3" s="85"/>
      <c r="E3" s="85"/>
      <c r="F3" s="85"/>
      <c r="G3" s="85"/>
      <c r="H3" s="85"/>
      <c r="I3" s="85"/>
      <c r="J3" s="85"/>
      <c r="K3" s="85"/>
      <c r="L3" s="85"/>
      <c r="M3" s="85"/>
      <c r="N3" s="85"/>
      <c r="O3" s="85"/>
      <c r="P3" s="85"/>
      <c r="Q3" s="85"/>
      <c r="R3" s="85"/>
      <c r="S3" s="85"/>
      <c r="T3" s="85"/>
      <c r="U3" s="85"/>
    </row>
    <row r="4" spans="1:21" ht="30" customHeight="1">
      <c r="A4" s="83" t="s">
        <v>92</v>
      </c>
      <c r="B4" s="83" t="s">
        <v>93</v>
      </c>
      <c r="C4" s="83" t="s">
        <v>94</v>
      </c>
      <c r="D4" s="83" t="s">
        <v>95</v>
      </c>
      <c r="E4" s="83" t="s">
        <v>96</v>
      </c>
      <c r="F4" s="83" t="s">
        <v>97</v>
      </c>
      <c r="G4" s="83" t="s">
        <v>98</v>
      </c>
      <c r="H4" s="83" t="s">
        <v>99</v>
      </c>
      <c r="I4" s="83" t="s">
        <v>100</v>
      </c>
      <c r="J4" s="85"/>
      <c r="K4" s="85"/>
      <c r="L4" s="85"/>
      <c r="M4" s="85"/>
      <c r="N4" s="85"/>
      <c r="O4" s="85"/>
      <c r="P4" s="85"/>
      <c r="Q4" s="85"/>
      <c r="R4" s="85"/>
      <c r="S4" s="85"/>
      <c r="T4" s="85"/>
      <c r="U4" s="85"/>
    </row>
    <row r="5" spans="1:21" ht="94.95" customHeight="1">
      <c r="A5" s="55" t="s">
        <v>2944</v>
      </c>
      <c r="B5" s="55" t="s">
        <v>2945</v>
      </c>
      <c r="C5" s="55" t="s">
        <v>2946</v>
      </c>
      <c r="D5" s="55" t="s">
        <v>2947</v>
      </c>
      <c r="E5" s="56" t="s">
        <v>2948</v>
      </c>
      <c r="F5" s="55" t="s">
        <v>2949</v>
      </c>
      <c r="G5" s="55" t="s">
        <v>2950</v>
      </c>
      <c r="H5" s="55" t="s">
        <v>609</v>
      </c>
      <c r="I5" s="55" t="s">
        <v>2951</v>
      </c>
      <c r="J5" s="85"/>
      <c r="K5" s="85"/>
      <c r="L5" s="85"/>
      <c r="M5" s="85"/>
      <c r="N5" s="85"/>
      <c r="O5" s="85"/>
      <c r="P5" s="85"/>
      <c r="Q5" s="85"/>
      <c r="R5" s="85"/>
      <c r="S5" s="85"/>
      <c r="T5" s="85"/>
      <c r="U5" s="85"/>
    </row>
    <row r="6" spans="1:21" ht="94.95" customHeight="1">
      <c r="A6" s="57" t="s">
        <v>2952</v>
      </c>
      <c r="B6" s="57" t="s">
        <v>2945</v>
      </c>
      <c r="C6" s="57" t="s">
        <v>2953</v>
      </c>
      <c r="D6" s="57" t="s">
        <v>2954</v>
      </c>
      <c r="E6" s="58" t="s">
        <v>2955</v>
      </c>
      <c r="F6" s="57" t="s">
        <v>2956</v>
      </c>
      <c r="G6" s="57" t="s">
        <v>2957</v>
      </c>
      <c r="H6" s="57" t="s">
        <v>2958</v>
      </c>
      <c r="I6" s="57" t="s">
        <v>2959</v>
      </c>
      <c r="J6" s="85"/>
      <c r="K6" s="85"/>
      <c r="L6" s="85"/>
      <c r="M6" s="85"/>
      <c r="N6" s="85"/>
      <c r="O6" s="85"/>
      <c r="P6" s="85"/>
      <c r="Q6" s="85"/>
      <c r="R6" s="85"/>
      <c r="S6" s="85"/>
      <c r="T6" s="85"/>
      <c r="U6" s="85"/>
    </row>
    <row r="7" spans="1:21" ht="94.95" customHeight="1">
      <c r="A7" s="55" t="s">
        <v>2960</v>
      </c>
      <c r="B7" s="55" t="s">
        <v>2945</v>
      </c>
      <c r="C7" s="55" t="s">
        <v>2961</v>
      </c>
      <c r="D7" s="55" t="s">
        <v>2962</v>
      </c>
      <c r="E7" s="56" t="s">
        <v>2963</v>
      </c>
      <c r="F7" s="55" t="s">
        <v>2964</v>
      </c>
      <c r="G7" s="55" t="s">
        <v>2965</v>
      </c>
      <c r="H7" s="55" t="s">
        <v>2966</v>
      </c>
      <c r="I7" s="55" t="s">
        <v>2967</v>
      </c>
      <c r="J7" s="85"/>
      <c r="K7" s="85"/>
      <c r="L7" s="85"/>
      <c r="M7" s="85"/>
      <c r="N7" s="85"/>
      <c r="O7" s="85"/>
      <c r="P7" s="85"/>
      <c r="Q7" s="85"/>
      <c r="R7" s="85"/>
      <c r="S7" s="85"/>
      <c r="T7" s="85"/>
      <c r="U7" s="85"/>
    </row>
    <row r="8" spans="1:21" ht="94.95" customHeight="1">
      <c r="A8" s="57" t="s">
        <v>2968</v>
      </c>
      <c r="B8" s="57" t="s">
        <v>2969</v>
      </c>
      <c r="C8" s="57" t="s">
        <v>2970</v>
      </c>
      <c r="D8" s="57" t="s">
        <v>2971</v>
      </c>
      <c r="E8" s="58" t="s">
        <v>2972</v>
      </c>
      <c r="F8" s="57" t="s">
        <v>2973</v>
      </c>
      <c r="G8" s="57" t="s">
        <v>2974</v>
      </c>
      <c r="H8" s="57" t="s">
        <v>108</v>
      </c>
      <c r="I8" s="57" t="s">
        <v>2975</v>
      </c>
      <c r="J8" s="85"/>
      <c r="K8" s="85"/>
      <c r="L8" s="85"/>
      <c r="M8" s="85"/>
      <c r="N8" s="85"/>
      <c r="O8" s="85"/>
      <c r="P8" s="85"/>
      <c r="Q8" s="85"/>
      <c r="R8" s="85"/>
      <c r="S8" s="85"/>
      <c r="T8" s="85"/>
      <c r="U8" s="85"/>
    </row>
    <row r="9" spans="1:21" ht="94.95" customHeight="1">
      <c r="A9" s="55" t="s">
        <v>2976</v>
      </c>
      <c r="B9" s="55" t="s">
        <v>2969</v>
      </c>
      <c r="C9" s="55" t="s">
        <v>2977</v>
      </c>
      <c r="D9" s="55" t="s">
        <v>2978</v>
      </c>
      <c r="E9" s="56" t="s">
        <v>2979</v>
      </c>
      <c r="F9" s="55" t="s">
        <v>2980</v>
      </c>
      <c r="G9" s="55" t="s">
        <v>2981</v>
      </c>
      <c r="H9" s="55" t="s">
        <v>511</v>
      </c>
      <c r="I9" s="55" t="s">
        <v>2982</v>
      </c>
      <c r="J9" s="85"/>
      <c r="K9" s="85"/>
      <c r="L9" s="85"/>
      <c r="M9" s="85"/>
      <c r="N9" s="85"/>
      <c r="O9" s="85"/>
      <c r="P9" s="85"/>
      <c r="Q9" s="85"/>
      <c r="R9" s="85"/>
      <c r="S9" s="85"/>
      <c r="T9" s="85"/>
      <c r="U9" s="85"/>
    </row>
    <row r="10" spans="1:21" ht="94.95" customHeight="1">
      <c r="A10" s="57" t="s">
        <v>2983</v>
      </c>
      <c r="B10" s="57" t="s">
        <v>2969</v>
      </c>
      <c r="C10" s="57" t="s">
        <v>2984</v>
      </c>
      <c r="D10" s="57" t="s">
        <v>2985</v>
      </c>
      <c r="E10" s="58" t="s">
        <v>2986</v>
      </c>
      <c r="F10" s="57" t="s">
        <v>2987</v>
      </c>
      <c r="G10" s="57" t="s">
        <v>2988</v>
      </c>
      <c r="H10" s="57" t="s">
        <v>108</v>
      </c>
      <c r="I10" s="57" t="s">
        <v>2989</v>
      </c>
      <c r="J10" s="85"/>
      <c r="K10" s="85"/>
      <c r="L10" s="85"/>
      <c r="M10" s="85"/>
      <c r="N10" s="85"/>
      <c r="O10" s="85"/>
      <c r="P10" s="85"/>
      <c r="Q10" s="85"/>
      <c r="R10" s="85"/>
      <c r="S10" s="85"/>
      <c r="T10" s="85"/>
      <c r="U10" s="85"/>
    </row>
    <row r="11" spans="1:21" ht="94.95" customHeight="1">
      <c r="A11" s="55" t="s">
        <v>2990</v>
      </c>
      <c r="B11" s="55" t="s">
        <v>2991</v>
      </c>
      <c r="C11" s="55" t="s">
        <v>2992</v>
      </c>
      <c r="D11" s="55" t="s">
        <v>2993</v>
      </c>
      <c r="E11" s="56" t="s">
        <v>2994</v>
      </c>
      <c r="F11" s="55" t="s">
        <v>2995</v>
      </c>
      <c r="G11" s="55" t="s">
        <v>2996</v>
      </c>
      <c r="H11" s="55" t="s">
        <v>2336</v>
      </c>
      <c r="I11" s="55" t="s">
        <v>2997</v>
      </c>
      <c r="J11" s="85"/>
      <c r="K11" s="85"/>
      <c r="L11" s="85"/>
      <c r="M11" s="85"/>
      <c r="N11" s="85"/>
      <c r="O11" s="85"/>
      <c r="P11" s="85"/>
      <c r="Q11" s="85"/>
      <c r="R11" s="85"/>
      <c r="S11" s="85"/>
      <c r="T11" s="85"/>
      <c r="U11" s="85"/>
    </row>
    <row r="12" spans="1:21" ht="94.95" customHeight="1">
      <c r="A12" s="57" t="s">
        <v>2998</v>
      </c>
      <c r="B12" s="57" t="s">
        <v>2991</v>
      </c>
      <c r="C12" s="57" t="s">
        <v>2999</v>
      </c>
      <c r="D12" s="57" t="s">
        <v>3000</v>
      </c>
      <c r="E12" s="58" t="s">
        <v>3001</v>
      </c>
      <c r="F12" s="57" t="s">
        <v>3002</v>
      </c>
      <c r="G12" s="57" t="s">
        <v>3003</v>
      </c>
      <c r="H12" s="57" t="s">
        <v>108</v>
      </c>
      <c r="I12" s="57" t="s">
        <v>3004</v>
      </c>
      <c r="J12" s="85"/>
      <c r="K12" s="85"/>
      <c r="L12" s="85"/>
      <c r="M12" s="85"/>
      <c r="N12" s="85"/>
      <c r="O12" s="85"/>
      <c r="P12" s="85"/>
      <c r="Q12" s="85"/>
      <c r="R12" s="85"/>
      <c r="S12" s="85"/>
      <c r="T12" s="85"/>
      <c r="U12" s="85"/>
    </row>
    <row r="13" spans="1:21" ht="94.95" customHeight="1">
      <c r="A13" s="55" t="s">
        <v>3005</v>
      </c>
      <c r="B13" s="55" t="s">
        <v>3006</v>
      </c>
      <c r="C13" s="55" t="s">
        <v>3007</v>
      </c>
      <c r="D13" s="55" t="s">
        <v>3008</v>
      </c>
      <c r="E13" s="56" t="s">
        <v>3009</v>
      </c>
      <c r="F13" s="55" t="s">
        <v>3010</v>
      </c>
      <c r="G13" s="55" t="s">
        <v>3011</v>
      </c>
      <c r="H13" s="55" t="s">
        <v>3012</v>
      </c>
      <c r="I13" s="55" t="s">
        <v>3013</v>
      </c>
      <c r="J13" s="85"/>
      <c r="K13" s="85"/>
      <c r="L13" s="85"/>
      <c r="M13" s="85"/>
      <c r="N13" s="85"/>
      <c r="O13" s="85"/>
      <c r="P13" s="85"/>
      <c r="Q13" s="85"/>
      <c r="R13" s="85"/>
      <c r="S13" s="85"/>
      <c r="T13" s="85"/>
      <c r="U13" s="85"/>
    </row>
    <row r="14" spans="1:21" ht="94.95" customHeight="1">
      <c r="A14" s="57" t="s">
        <v>3014</v>
      </c>
      <c r="B14" s="57" t="s">
        <v>3006</v>
      </c>
      <c r="C14" s="57" t="s">
        <v>3015</v>
      </c>
      <c r="D14" s="57" t="s">
        <v>3016</v>
      </c>
      <c r="E14" s="58" t="s">
        <v>3017</v>
      </c>
      <c r="F14" s="57" t="s">
        <v>3018</v>
      </c>
      <c r="G14" s="57" t="s">
        <v>3019</v>
      </c>
      <c r="H14" s="57" t="s">
        <v>108</v>
      </c>
      <c r="I14" s="57" t="s">
        <v>3020</v>
      </c>
      <c r="J14" s="85"/>
      <c r="K14" s="85"/>
      <c r="L14" s="85"/>
      <c r="M14" s="85"/>
      <c r="N14" s="85"/>
      <c r="O14" s="85"/>
      <c r="P14" s="85"/>
      <c r="Q14" s="85"/>
      <c r="R14" s="85"/>
      <c r="S14" s="85"/>
      <c r="T14" s="85"/>
      <c r="U14" s="85"/>
    </row>
    <row r="15" spans="1:21" ht="94.95" customHeight="1">
      <c r="A15" s="55" t="s">
        <v>3021</v>
      </c>
      <c r="B15" s="55" t="s">
        <v>3006</v>
      </c>
      <c r="C15" s="55" t="s">
        <v>3022</v>
      </c>
      <c r="D15" s="55" t="s">
        <v>3023</v>
      </c>
      <c r="E15" s="56" t="s">
        <v>3024</v>
      </c>
      <c r="F15" s="55" t="s">
        <v>3025</v>
      </c>
      <c r="G15" s="55" t="s">
        <v>3026</v>
      </c>
      <c r="H15" s="55" t="s">
        <v>609</v>
      </c>
      <c r="I15" s="55" t="s">
        <v>3027</v>
      </c>
      <c r="J15" s="85"/>
      <c r="K15" s="85"/>
      <c r="L15" s="85"/>
      <c r="M15" s="85"/>
      <c r="N15" s="85"/>
      <c r="O15" s="85"/>
      <c r="P15" s="85"/>
      <c r="Q15" s="85"/>
      <c r="R15" s="85"/>
      <c r="S15" s="85"/>
      <c r="T15" s="85"/>
      <c r="U15" s="85"/>
    </row>
    <row r="16" spans="1:21" ht="94.95" customHeight="1">
      <c r="A16" s="57" t="s">
        <v>3028</v>
      </c>
      <c r="B16" s="57" t="s">
        <v>3029</v>
      </c>
      <c r="C16" s="57" t="s">
        <v>3030</v>
      </c>
      <c r="D16" s="57" t="s">
        <v>3031</v>
      </c>
      <c r="E16" s="58" t="s">
        <v>3032</v>
      </c>
      <c r="F16" s="57" t="s">
        <v>3033</v>
      </c>
      <c r="G16" s="57" t="s">
        <v>3034</v>
      </c>
      <c r="H16" s="57" t="s">
        <v>196</v>
      </c>
      <c r="I16" s="57" t="s">
        <v>3035</v>
      </c>
      <c r="J16" s="85"/>
      <c r="K16" s="85"/>
      <c r="L16" s="85"/>
      <c r="M16" s="85"/>
      <c r="N16" s="85"/>
      <c r="O16" s="85"/>
      <c r="P16" s="85"/>
      <c r="Q16" s="85"/>
      <c r="R16" s="85"/>
      <c r="S16" s="85"/>
      <c r="T16" s="85"/>
      <c r="U16" s="85"/>
    </row>
    <row r="17" spans="1:21" ht="94.95" customHeight="1">
      <c r="A17" s="55" t="s">
        <v>3036</v>
      </c>
      <c r="B17" s="55" t="s">
        <v>3029</v>
      </c>
      <c r="C17" s="55" t="s">
        <v>3037</v>
      </c>
      <c r="D17" s="55" t="s">
        <v>3038</v>
      </c>
      <c r="E17" s="56" t="s">
        <v>3039</v>
      </c>
      <c r="F17" s="55" t="s">
        <v>3040</v>
      </c>
      <c r="G17" s="55" t="s">
        <v>3041</v>
      </c>
      <c r="H17" s="55" t="s">
        <v>3042</v>
      </c>
      <c r="I17" s="55" t="s">
        <v>3043</v>
      </c>
      <c r="J17" s="85"/>
      <c r="K17" s="85"/>
      <c r="L17" s="85"/>
      <c r="M17" s="85"/>
      <c r="N17" s="85"/>
      <c r="O17" s="85"/>
      <c r="P17" s="85"/>
      <c r="Q17" s="85"/>
      <c r="R17" s="85"/>
      <c r="S17" s="85"/>
      <c r="T17" s="85"/>
      <c r="U17" s="85"/>
    </row>
    <row r="18" spans="1:21" ht="94.95" customHeight="1">
      <c r="A18" s="57" t="s">
        <v>3044</v>
      </c>
      <c r="B18" s="57" t="s">
        <v>3029</v>
      </c>
      <c r="C18" s="57" t="s">
        <v>3045</v>
      </c>
      <c r="D18" s="57" t="s">
        <v>3046</v>
      </c>
      <c r="E18" s="58" t="s">
        <v>3047</v>
      </c>
      <c r="F18" s="57" t="s">
        <v>3048</v>
      </c>
      <c r="G18" s="57" t="s">
        <v>3049</v>
      </c>
      <c r="H18" s="57" t="s">
        <v>2336</v>
      </c>
      <c r="I18" s="57" t="s">
        <v>3050</v>
      </c>
      <c r="J18" s="85"/>
      <c r="K18" s="85"/>
      <c r="L18" s="85"/>
      <c r="M18" s="85"/>
      <c r="N18" s="85"/>
      <c r="O18" s="85"/>
      <c r="P18" s="85"/>
      <c r="Q18" s="85"/>
      <c r="R18" s="85"/>
      <c r="S18" s="85"/>
      <c r="T18" s="85"/>
      <c r="U18" s="85"/>
    </row>
    <row r="19" spans="1:21" ht="94.95" customHeight="1">
      <c r="A19" s="55" t="s">
        <v>3051</v>
      </c>
      <c r="B19" s="55" t="s">
        <v>3052</v>
      </c>
      <c r="C19" s="55" t="s">
        <v>3053</v>
      </c>
      <c r="D19" s="55" t="s">
        <v>3054</v>
      </c>
      <c r="E19" s="56" t="s">
        <v>3055</v>
      </c>
      <c r="F19" s="55" t="s">
        <v>3056</v>
      </c>
      <c r="G19" s="55" t="s">
        <v>3057</v>
      </c>
      <c r="H19" s="55" t="s">
        <v>3058</v>
      </c>
      <c r="I19" s="55" t="s">
        <v>3059</v>
      </c>
      <c r="J19" s="85"/>
      <c r="K19" s="85"/>
      <c r="L19" s="85"/>
      <c r="M19" s="85"/>
      <c r="N19" s="85"/>
      <c r="O19" s="85"/>
      <c r="P19" s="85"/>
      <c r="Q19" s="85"/>
      <c r="R19" s="85"/>
      <c r="S19" s="85"/>
      <c r="T19" s="85"/>
      <c r="U19" s="85"/>
    </row>
    <row r="20" spans="1:21" ht="94.95" customHeight="1">
      <c r="A20" s="57" t="s">
        <v>3060</v>
      </c>
      <c r="B20" s="57" t="s">
        <v>3052</v>
      </c>
      <c r="C20" s="57" t="s">
        <v>3061</v>
      </c>
      <c r="D20" s="57" t="s">
        <v>3062</v>
      </c>
      <c r="E20" s="58" t="s">
        <v>3063</v>
      </c>
      <c r="F20" s="57" t="s">
        <v>3064</v>
      </c>
      <c r="G20" s="57" t="s">
        <v>3065</v>
      </c>
      <c r="H20" s="57" t="s">
        <v>2336</v>
      </c>
      <c r="I20" s="57" t="s">
        <v>3066</v>
      </c>
      <c r="J20" s="85"/>
      <c r="K20" s="85"/>
      <c r="L20" s="85"/>
      <c r="M20" s="85"/>
      <c r="N20" s="85"/>
      <c r="O20" s="85"/>
      <c r="P20" s="85"/>
      <c r="Q20" s="85"/>
      <c r="R20" s="85"/>
      <c r="S20" s="85"/>
      <c r="T20" s="85"/>
      <c r="U20" s="85"/>
    </row>
    <row r="21" spans="1:21" ht="94.95" customHeight="1">
      <c r="A21" s="55" t="s">
        <v>3067</v>
      </c>
      <c r="B21" s="55" t="s">
        <v>3052</v>
      </c>
      <c r="C21" s="55" t="s">
        <v>3068</v>
      </c>
      <c r="D21" s="55" t="s">
        <v>3069</v>
      </c>
      <c r="E21" s="56" t="s">
        <v>3070</v>
      </c>
      <c r="F21" s="55" t="s">
        <v>3071</v>
      </c>
      <c r="G21" s="55" t="s">
        <v>3072</v>
      </c>
      <c r="H21" s="55" t="s">
        <v>1064</v>
      </c>
      <c r="I21" s="55" t="s">
        <v>3073</v>
      </c>
      <c r="J21" s="85"/>
      <c r="K21" s="85"/>
      <c r="L21" s="85"/>
      <c r="M21" s="85"/>
      <c r="N21" s="85"/>
      <c r="O21" s="85"/>
      <c r="P21" s="85"/>
      <c r="Q21" s="85"/>
      <c r="R21" s="85"/>
      <c r="S21" s="85"/>
      <c r="T21" s="85"/>
      <c r="U21" s="85"/>
    </row>
    <row r="22" spans="1:21" ht="94.95" customHeight="1">
      <c r="A22" s="57" t="s">
        <v>3074</v>
      </c>
      <c r="B22" s="57" t="s">
        <v>3052</v>
      </c>
      <c r="C22" s="57" t="s">
        <v>3075</v>
      </c>
      <c r="D22" s="57" t="s">
        <v>3076</v>
      </c>
      <c r="E22" s="58" t="s">
        <v>3077</v>
      </c>
      <c r="F22" s="57" t="s">
        <v>3078</v>
      </c>
      <c r="G22" s="57" t="s">
        <v>3079</v>
      </c>
      <c r="H22" s="57" t="s">
        <v>108</v>
      </c>
      <c r="I22" s="57" t="s">
        <v>3080</v>
      </c>
      <c r="J22" s="85"/>
      <c r="K22" s="85"/>
      <c r="L22" s="85"/>
      <c r="M22" s="85"/>
      <c r="N22" s="85"/>
      <c r="O22" s="85"/>
      <c r="P22" s="85"/>
      <c r="Q22" s="85"/>
      <c r="R22" s="85"/>
      <c r="S22" s="85"/>
      <c r="T22" s="85"/>
      <c r="U22" s="85"/>
    </row>
    <row r="23" spans="1:21" ht="94.95" customHeight="1">
      <c r="A23" s="55" t="s">
        <v>3081</v>
      </c>
      <c r="B23" s="55" t="s">
        <v>3052</v>
      </c>
      <c r="C23" s="55" t="s">
        <v>3082</v>
      </c>
      <c r="D23" s="55" t="s">
        <v>3083</v>
      </c>
      <c r="E23" s="56" t="s">
        <v>3084</v>
      </c>
      <c r="F23" s="55" t="s">
        <v>3085</v>
      </c>
      <c r="G23" s="55" t="s">
        <v>3086</v>
      </c>
      <c r="H23" s="55" t="s">
        <v>108</v>
      </c>
      <c r="I23" s="55" t="s">
        <v>3087</v>
      </c>
      <c r="J23" s="85"/>
      <c r="K23" s="85"/>
      <c r="L23" s="85"/>
      <c r="M23" s="85"/>
      <c r="N23" s="85"/>
      <c r="O23" s="85"/>
      <c r="P23" s="85"/>
      <c r="Q23" s="85"/>
      <c r="R23" s="85"/>
      <c r="S23" s="85"/>
      <c r="T23" s="85"/>
      <c r="U23" s="85"/>
    </row>
    <row r="24" spans="1:21" ht="94.95" customHeight="1">
      <c r="A24" s="57" t="s">
        <v>3088</v>
      </c>
      <c r="B24" s="57" t="s">
        <v>3052</v>
      </c>
      <c r="C24" s="57" t="s">
        <v>3089</v>
      </c>
      <c r="D24" s="57" t="s">
        <v>3090</v>
      </c>
      <c r="E24" s="58" t="s">
        <v>3091</v>
      </c>
      <c r="F24" s="57" t="s">
        <v>3092</v>
      </c>
      <c r="G24" s="57" t="s">
        <v>3093</v>
      </c>
      <c r="H24" s="57" t="s">
        <v>108</v>
      </c>
      <c r="I24" s="57" t="s">
        <v>3094</v>
      </c>
      <c r="J24" s="85"/>
      <c r="K24" s="85"/>
      <c r="L24" s="85"/>
      <c r="M24" s="85"/>
      <c r="N24" s="85"/>
      <c r="O24" s="85"/>
      <c r="P24" s="85"/>
      <c r="Q24" s="85"/>
      <c r="R24" s="85"/>
      <c r="S24" s="85"/>
      <c r="T24" s="85"/>
      <c r="U24" s="85"/>
    </row>
    <row r="25" spans="1:21" ht="94.95" customHeight="1">
      <c r="A25" s="55" t="s">
        <v>3095</v>
      </c>
      <c r="B25" s="55" t="s">
        <v>3052</v>
      </c>
      <c r="C25" s="55" t="s">
        <v>3096</v>
      </c>
      <c r="D25" s="55" t="s">
        <v>3097</v>
      </c>
      <c r="E25" s="56" t="s">
        <v>3098</v>
      </c>
      <c r="F25" s="55" t="s">
        <v>3099</v>
      </c>
      <c r="G25" s="55" t="s">
        <v>3100</v>
      </c>
      <c r="H25" s="55" t="s">
        <v>3101</v>
      </c>
      <c r="I25" s="55" t="s">
        <v>3102</v>
      </c>
      <c r="J25" s="85"/>
      <c r="K25" s="85"/>
      <c r="L25" s="85"/>
      <c r="M25" s="85"/>
      <c r="N25" s="85"/>
      <c r="O25" s="85"/>
      <c r="P25" s="85"/>
      <c r="Q25" s="85"/>
      <c r="R25" s="85"/>
      <c r="S25" s="85"/>
      <c r="T25" s="85"/>
      <c r="U25" s="85"/>
    </row>
    <row r="26" spans="1:21" ht="94.95" customHeight="1">
      <c r="A26" s="57" t="s">
        <v>3103</v>
      </c>
      <c r="B26" s="57" t="s">
        <v>3104</v>
      </c>
      <c r="C26" s="57" t="s">
        <v>3105</v>
      </c>
      <c r="D26" s="57" t="s">
        <v>3106</v>
      </c>
      <c r="E26" s="58" t="s">
        <v>3107</v>
      </c>
      <c r="F26" s="57" t="s">
        <v>3108</v>
      </c>
      <c r="G26" s="57" t="s">
        <v>3109</v>
      </c>
      <c r="H26" s="57" t="s">
        <v>108</v>
      </c>
      <c r="I26" s="57" t="s">
        <v>3110</v>
      </c>
      <c r="J26" s="85"/>
      <c r="K26" s="85"/>
      <c r="L26" s="85"/>
      <c r="M26" s="85"/>
      <c r="N26" s="85"/>
      <c r="O26" s="85"/>
      <c r="P26" s="85"/>
      <c r="Q26" s="85"/>
      <c r="R26" s="85"/>
      <c r="S26" s="85"/>
      <c r="T26" s="85"/>
      <c r="U26" s="85"/>
    </row>
    <row r="27" spans="1:21" ht="94.95" customHeight="1">
      <c r="A27" s="55" t="s">
        <v>3111</v>
      </c>
      <c r="B27" s="55" t="s">
        <v>3104</v>
      </c>
      <c r="C27" s="55" t="s">
        <v>3112</v>
      </c>
      <c r="D27" s="55" t="s">
        <v>3113</v>
      </c>
      <c r="E27" s="56" t="s">
        <v>3114</v>
      </c>
      <c r="F27" s="55" t="s">
        <v>3115</v>
      </c>
      <c r="G27" s="55" t="s">
        <v>3116</v>
      </c>
      <c r="H27" s="55" t="s">
        <v>3117</v>
      </c>
      <c r="I27" s="55" t="s">
        <v>3118</v>
      </c>
      <c r="J27" s="85"/>
      <c r="K27" s="85"/>
      <c r="L27" s="85"/>
      <c r="M27" s="85"/>
      <c r="N27" s="85"/>
      <c r="O27" s="85"/>
      <c r="P27" s="85"/>
      <c r="Q27" s="85"/>
      <c r="R27" s="85"/>
      <c r="S27" s="85"/>
      <c r="T27" s="85"/>
      <c r="U27" s="85"/>
    </row>
    <row r="28" spans="1:21" ht="94.95" customHeight="1">
      <c r="A28" s="57" t="s">
        <v>3119</v>
      </c>
      <c r="B28" s="57" t="s">
        <v>3104</v>
      </c>
      <c r="C28" s="57" t="s">
        <v>3120</v>
      </c>
      <c r="D28" s="57" t="s">
        <v>3121</v>
      </c>
      <c r="E28" s="58" t="s">
        <v>3122</v>
      </c>
      <c r="F28" s="57" t="s">
        <v>3123</v>
      </c>
      <c r="G28" s="57" t="s">
        <v>3124</v>
      </c>
      <c r="H28" s="57" t="s">
        <v>372</v>
      </c>
      <c r="I28" s="57" t="s">
        <v>3125</v>
      </c>
      <c r="J28" s="85"/>
      <c r="K28" s="85"/>
      <c r="L28" s="85"/>
      <c r="M28" s="85"/>
      <c r="N28" s="85"/>
      <c r="O28" s="85"/>
      <c r="P28" s="85"/>
      <c r="Q28" s="85"/>
      <c r="R28" s="85"/>
      <c r="S28" s="85"/>
      <c r="T28" s="85"/>
      <c r="U28" s="85"/>
    </row>
    <row r="29" spans="1:21" ht="94.95" customHeight="1">
      <c r="A29" s="55" t="s">
        <v>3126</v>
      </c>
      <c r="B29" s="55" t="s">
        <v>3104</v>
      </c>
      <c r="C29" s="55" t="s">
        <v>3127</v>
      </c>
      <c r="D29" s="55" t="s">
        <v>3128</v>
      </c>
      <c r="E29" s="56" t="s">
        <v>3129</v>
      </c>
      <c r="F29" s="55" t="s">
        <v>3130</v>
      </c>
      <c r="G29" s="55" t="s">
        <v>3131</v>
      </c>
      <c r="H29" s="55" t="s">
        <v>108</v>
      </c>
      <c r="I29" s="55" t="s">
        <v>3132</v>
      </c>
      <c r="J29" s="85"/>
      <c r="K29" s="85"/>
      <c r="L29" s="85"/>
      <c r="M29" s="85"/>
      <c r="N29" s="85"/>
      <c r="O29" s="85"/>
      <c r="P29" s="85"/>
      <c r="Q29" s="85"/>
      <c r="R29" s="85"/>
      <c r="S29" s="85"/>
      <c r="T29" s="85"/>
      <c r="U29" s="85"/>
    </row>
    <row r="30" spans="1:21" ht="94.95" customHeight="1">
      <c r="A30" s="57" t="s">
        <v>3133</v>
      </c>
      <c r="B30" s="57" t="s">
        <v>3134</v>
      </c>
      <c r="C30" s="57" t="s">
        <v>3135</v>
      </c>
      <c r="D30" s="57" t="s">
        <v>3136</v>
      </c>
      <c r="E30" s="58" t="s">
        <v>3137</v>
      </c>
      <c r="F30" s="57" t="s">
        <v>3138</v>
      </c>
      <c r="G30" s="57" t="s">
        <v>3139</v>
      </c>
      <c r="H30" s="57" t="s">
        <v>3140</v>
      </c>
      <c r="I30" s="57" t="s">
        <v>3141</v>
      </c>
      <c r="J30" s="85"/>
      <c r="K30" s="85"/>
      <c r="L30" s="85"/>
      <c r="M30" s="85"/>
      <c r="N30" s="85"/>
      <c r="O30" s="85"/>
      <c r="P30" s="85"/>
      <c r="Q30" s="85"/>
      <c r="R30" s="85"/>
      <c r="S30" s="85"/>
      <c r="T30" s="85"/>
      <c r="U30" s="85"/>
    </row>
    <row r="31" spans="1:21" ht="94.95" customHeight="1">
      <c r="A31" s="55" t="s">
        <v>3142</v>
      </c>
      <c r="B31" s="55" t="s">
        <v>3134</v>
      </c>
      <c r="C31" s="55" t="s">
        <v>3143</v>
      </c>
      <c r="D31" s="55" t="s">
        <v>3144</v>
      </c>
      <c r="E31" s="56" t="s">
        <v>3145</v>
      </c>
      <c r="F31" s="55" t="s">
        <v>3146</v>
      </c>
      <c r="G31" s="55" t="s">
        <v>3147</v>
      </c>
      <c r="H31" s="55" t="s">
        <v>3148</v>
      </c>
      <c r="I31" s="55" t="s">
        <v>3149</v>
      </c>
      <c r="J31" s="85"/>
      <c r="K31" s="85"/>
      <c r="L31" s="85"/>
      <c r="M31" s="85"/>
      <c r="N31" s="85"/>
      <c r="O31" s="85"/>
      <c r="P31" s="85"/>
      <c r="Q31" s="85"/>
      <c r="R31" s="85"/>
      <c r="S31" s="85"/>
      <c r="T31" s="85"/>
      <c r="U31" s="85"/>
    </row>
    <row r="32" spans="1:21" ht="94.95" customHeight="1">
      <c r="A32" s="57" t="s">
        <v>3150</v>
      </c>
      <c r="B32" s="57" t="s">
        <v>3134</v>
      </c>
      <c r="C32" s="57" t="s">
        <v>3151</v>
      </c>
      <c r="D32" s="57" t="s">
        <v>3152</v>
      </c>
      <c r="E32" s="58" t="s">
        <v>3153</v>
      </c>
      <c r="F32" s="57" t="s">
        <v>3154</v>
      </c>
      <c r="G32" s="57" t="s">
        <v>3155</v>
      </c>
      <c r="H32" s="57" t="s">
        <v>722</v>
      </c>
      <c r="I32" s="57" t="s">
        <v>3156</v>
      </c>
      <c r="J32" s="85"/>
      <c r="K32" s="85"/>
      <c r="L32" s="85"/>
      <c r="M32" s="85"/>
      <c r="N32" s="85"/>
      <c r="O32" s="85"/>
      <c r="P32" s="85"/>
      <c r="Q32" s="85"/>
      <c r="R32" s="85"/>
      <c r="S32" s="85"/>
      <c r="T32" s="85"/>
      <c r="U32" s="85"/>
    </row>
    <row r="33" spans="1:21" ht="94.95" customHeight="1">
      <c r="A33" s="55" t="s">
        <v>3157</v>
      </c>
      <c r="B33" s="55" t="s">
        <v>3134</v>
      </c>
      <c r="C33" s="55" t="s">
        <v>3158</v>
      </c>
      <c r="D33" s="55" t="s">
        <v>3159</v>
      </c>
      <c r="E33" s="56" t="s">
        <v>3160</v>
      </c>
      <c r="F33" s="55" t="s">
        <v>3161</v>
      </c>
      <c r="G33" s="55" t="s">
        <v>3162</v>
      </c>
      <c r="H33" s="55" t="s">
        <v>3163</v>
      </c>
      <c r="I33" s="55" t="s">
        <v>3164</v>
      </c>
      <c r="J33" s="85"/>
      <c r="K33" s="85"/>
      <c r="L33" s="85"/>
      <c r="M33" s="85"/>
      <c r="N33" s="85"/>
      <c r="O33" s="85"/>
      <c r="P33" s="85"/>
      <c r="Q33" s="85"/>
      <c r="R33" s="85"/>
      <c r="S33" s="85"/>
      <c r="T33" s="85"/>
      <c r="U33" s="85"/>
    </row>
    <row r="34" spans="1:21" ht="94.95" customHeight="1">
      <c r="A34" s="57" t="s">
        <v>3165</v>
      </c>
      <c r="B34" s="57" t="s">
        <v>3134</v>
      </c>
      <c r="C34" s="57" t="s">
        <v>3166</v>
      </c>
      <c r="D34" s="57" t="s">
        <v>3167</v>
      </c>
      <c r="E34" s="58" t="s">
        <v>3168</v>
      </c>
      <c r="F34" s="57" t="s">
        <v>3169</v>
      </c>
      <c r="G34" s="57" t="s">
        <v>3170</v>
      </c>
      <c r="H34" s="57" t="s">
        <v>3171</v>
      </c>
      <c r="I34" s="57" t="s">
        <v>3172</v>
      </c>
      <c r="J34" s="85"/>
      <c r="K34" s="85"/>
      <c r="L34" s="85"/>
      <c r="M34" s="85"/>
      <c r="N34" s="85"/>
      <c r="O34" s="85"/>
      <c r="P34" s="85"/>
      <c r="Q34" s="85"/>
      <c r="R34" s="85"/>
      <c r="S34" s="85"/>
      <c r="T34" s="85"/>
      <c r="U34" s="85"/>
    </row>
    <row r="35" spans="1:21">
      <c r="A35" s="85"/>
      <c r="B35" s="85"/>
      <c r="C35" s="85"/>
      <c r="D35" s="85"/>
      <c r="E35" s="85"/>
      <c r="F35" s="85"/>
      <c r="G35" s="85"/>
      <c r="H35" s="85"/>
      <c r="I35" s="85"/>
      <c r="J35" s="85"/>
      <c r="K35" s="85"/>
      <c r="L35" s="85"/>
      <c r="M35" s="85"/>
      <c r="N35" s="85"/>
      <c r="O35" s="85"/>
      <c r="P35" s="85"/>
      <c r="Q35" s="85"/>
      <c r="R35" s="85"/>
      <c r="S35" s="85"/>
      <c r="T35" s="85"/>
      <c r="U35" s="85"/>
    </row>
    <row r="36" spans="1:21">
      <c r="A36" s="85"/>
      <c r="B36" s="85"/>
      <c r="C36" s="85"/>
      <c r="D36" s="85"/>
      <c r="E36" s="85"/>
      <c r="F36" s="85"/>
      <c r="G36" s="85"/>
      <c r="H36" s="85"/>
      <c r="I36" s="85"/>
      <c r="J36" s="85"/>
      <c r="K36" s="85"/>
      <c r="L36" s="85"/>
      <c r="M36" s="85"/>
      <c r="N36" s="85"/>
      <c r="O36" s="85"/>
      <c r="P36" s="85"/>
      <c r="Q36" s="85"/>
      <c r="R36" s="85"/>
      <c r="S36" s="85"/>
      <c r="T36" s="85"/>
      <c r="U36" s="85"/>
    </row>
    <row r="37" spans="1:21">
      <c r="A37" s="85"/>
      <c r="B37" s="85"/>
      <c r="C37" s="85"/>
      <c r="D37" s="85"/>
      <c r="E37" s="85"/>
      <c r="F37" s="85"/>
      <c r="G37" s="85"/>
      <c r="H37" s="85"/>
      <c r="I37" s="85"/>
      <c r="J37" s="85"/>
      <c r="K37" s="85"/>
      <c r="L37" s="85"/>
      <c r="M37" s="85"/>
      <c r="N37" s="85"/>
      <c r="O37" s="85"/>
      <c r="P37" s="85"/>
      <c r="Q37" s="85"/>
      <c r="R37" s="85"/>
      <c r="S37" s="85"/>
      <c r="T37" s="85"/>
      <c r="U37" s="85"/>
    </row>
    <row r="38" spans="1:21">
      <c r="A38" s="85"/>
      <c r="B38" s="85"/>
      <c r="C38" s="85"/>
      <c r="D38" s="85"/>
      <c r="E38" s="85"/>
      <c r="F38" s="85"/>
      <c r="G38" s="85"/>
      <c r="H38" s="85"/>
      <c r="I38" s="85"/>
      <c r="J38" s="85"/>
      <c r="K38" s="85"/>
      <c r="L38" s="85"/>
      <c r="M38" s="85"/>
      <c r="N38" s="85"/>
      <c r="O38" s="85"/>
      <c r="P38" s="85"/>
      <c r="Q38" s="85"/>
      <c r="R38" s="85"/>
      <c r="S38" s="85"/>
      <c r="T38" s="85"/>
      <c r="U38" s="85"/>
    </row>
    <row r="39" spans="1:21">
      <c r="A39" s="85"/>
      <c r="B39" s="85"/>
      <c r="C39" s="85"/>
      <c r="D39" s="85"/>
      <c r="E39" s="85"/>
      <c r="F39" s="85"/>
      <c r="G39" s="85"/>
      <c r="H39" s="85"/>
      <c r="I39" s="85"/>
      <c r="J39" s="85"/>
      <c r="K39" s="85"/>
      <c r="L39" s="85"/>
      <c r="M39" s="85"/>
      <c r="N39" s="85"/>
      <c r="O39" s="85"/>
      <c r="P39" s="85"/>
      <c r="Q39" s="85"/>
      <c r="R39" s="85"/>
      <c r="S39" s="85"/>
      <c r="T39" s="85"/>
      <c r="U39" s="85"/>
    </row>
    <row r="40" spans="1:21">
      <c r="A40" s="85"/>
      <c r="B40" s="85"/>
      <c r="C40" s="85"/>
      <c r="D40" s="85"/>
      <c r="E40" s="85"/>
      <c r="F40" s="85"/>
      <c r="G40" s="85"/>
      <c r="H40" s="85"/>
      <c r="I40" s="85"/>
      <c r="J40" s="85"/>
      <c r="K40" s="85"/>
      <c r="L40" s="85"/>
      <c r="M40" s="85"/>
      <c r="N40" s="85"/>
      <c r="O40" s="85"/>
      <c r="P40" s="85"/>
      <c r="Q40" s="85"/>
      <c r="R40" s="85"/>
      <c r="S40" s="85"/>
      <c r="T40" s="85"/>
      <c r="U40" s="85"/>
    </row>
    <row r="41" spans="1:21">
      <c r="A41" s="85"/>
      <c r="B41" s="85"/>
      <c r="C41" s="85"/>
      <c r="D41" s="85"/>
      <c r="E41" s="85"/>
      <c r="F41" s="85"/>
      <c r="G41" s="85"/>
      <c r="H41" s="85"/>
      <c r="I41" s="85"/>
      <c r="J41" s="85"/>
      <c r="K41" s="85"/>
      <c r="L41" s="85"/>
      <c r="M41" s="85"/>
      <c r="N41" s="85"/>
      <c r="O41" s="85"/>
      <c r="P41" s="85"/>
      <c r="Q41" s="85"/>
      <c r="R41" s="85"/>
      <c r="S41" s="85"/>
      <c r="T41" s="85"/>
      <c r="U41" s="85"/>
    </row>
    <row r="42" spans="1:21">
      <c r="A42" s="85"/>
      <c r="B42" s="85"/>
      <c r="C42" s="85"/>
      <c r="D42" s="85"/>
      <c r="E42" s="85"/>
      <c r="F42" s="85"/>
      <c r="G42" s="85"/>
      <c r="H42" s="85"/>
      <c r="I42" s="85"/>
      <c r="J42" s="85"/>
      <c r="K42" s="85"/>
      <c r="L42" s="85"/>
      <c r="M42" s="85"/>
      <c r="N42" s="85"/>
      <c r="O42" s="85"/>
      <c r="P42" s="85"/>
      <c r="Q42" s="85"/>
      <c r="R42" s="85"/>
      <c r="S42" s="85"/>
      <c r="T42" s="85"/>
      <c r="U42" s="85"/>
    </row>
    <row r="43" spans="1:21">
      <c r="A43" s="85"/>
      <c r="B43" s="85"/>
      <c r="C43" s="85"/>
      <c r="D43" s="85"/>
      <c r="E43" s="85"/>
      <c r="F43" s="85"/>
      <c r="G43" s="85"/>
      <c r="H43" s="85"/>
      <c r="I43" s="85"/>
      <c r="J43" s="85"/>
      <c r="K43" s="85"/>
      <c r="L43" s="85"/>
      <c r="M43" s="85"/>
      <c r="N43" s="85"/>
      <c r="O43" s="85"/>
      <c r="P43" s="85"/>
      <c r="Q43" s="85"/>
      <c r="R43" s="85"/>
      <c r="S43" s="85"/>
      <c r="T43" s="85"/>
      <c r="U43" s="85"/>
    </row>
    <row r="44" spans="1:21">
      <c r="A44" s="85"/>
      <c r="B44" s="85"/>
      <c r="C44" s="85"/>
      <c r="D44" s="85"/>
      <c r="E44" s="85"/>
      <c r="F44" s="85"/>
      <c r="G44" s="85"/>
      <c r="H44" s="85"/>
      <c r="I44" s="85"/>
      <c r="J44" s="85"/>
      <c r="K44" s="85"/>
      <c r="L44" s="85"/>
      <c r="M44" s="85"/>
      <c r="N44" s="85"/>
      <c r="O44" s="85"/>
      <c r="P44" s="85"/>
      <c r="Q44" s="85"/>
      <c r="R44" s="85"/>
      <c r="S44" s="85"/>
      <c r="T44" s="85"/>
      <c r="U44" s="85"/>
    </row>
    <row r="45" spans="1:21">
      <c r="A45" s="85"/>
      <c r="B45" s="85"/>
      <c r="C45" s="85"/>
      <c r="D45" s="85"/>
      <c r="E45" s="85"/>
      <c r="F45" s="85"/>
      <c r="G45" s="85"/>
      <c r="H45" s="85"/>
      <c r="I45" s="85"/>
      <c r="J45" s="85"/>
      <c r="K45" s="85"/>
      <c r="L45" s="85"/>
      <c r="M45" s="85"/>
      <c r="N45" s="85"/>
      <c r="O45" s="85"/>
      <c r="P45" s="85"/>
      <c r="Q45" s="85"/>
      <c r="R45" s="85"/>
      <c r="S45" s="85"/>
      <c r="T45" s="85"/>
      <c r="U45" s="85"/>
    </row>
    <row r="46" spans="1:21">
      <c r="A46" s="85"/>
      <c r="B46" s="85"/>
      <c r="C46" s="85"/>
      <c r="D46" s="85"/>
      <c r="E46" s="85"/>
      <c r="F46" s="85"/>
      <c r="G46" s="85"/>
      <c r="H46" s="85"/>
      <c r="I46" s="85"/>
      <c r="J46" s="85"/>
      <c r="K46" s="85"/>
      <c r="L46" s="85"/>
      <c r="M46" s="85"/>
      <c r="N46" s="85"/>
      <c r="O46" s="85"/>
      <c r="P46" s="85"/>
      <c r="Q46" s="85"/>
      <c r="R46" s="85"/>
      <c r="S46" s="85"/>
      <c r="T46" s="85"/>
      <c r="U46" s="85"/>
    </row>
    <row r="47" spans="1:21">
      <c r="A47" s="85"/>
      <c r="B47" s="85"/>
      <c r="C47" s="85"/>
      <c r="D47" s="85"/>
      <c r="E47" s="85"/>
      <c r="F47" s="85"/>
      <c r="G47" s="85"/>
      <c r="H47" s="85"/>
      <c r="I47" s="85"/>
      <c r="J47" s="85"/>
      <c r="K47" s="85"/>
      <c r="L47" s="85"/>
      <c r="M47" s="85"/>
      <c r="N47" s="85"/>
      <c r="O47" s="85"/>
      <c r="P47" s="85"/>
      <c r="Q47" s="85"/>
      <c r="R47" s="85"/>
      <c r="S47" s="85"/>
      <c r="T47" s="85"/>
      <c r="U47" s="85"/>
    </row>
    <row r="48" spans="1:21">
      <c r="A48" s="85"/>
      <c r="B48" s="85"/>
      <c r="C48" s="85"/>
      <c r="D48" s="85"/>
      <c r="E48" s="85"/>
      <c r="F48" s="85"/>
      <c r="G48" s="85"/>
      <c r="H48" s="85"/>
      <c r="I48" s="85"/>
      <c r="J48" s="85"/>
      <c r="K48" s="85"/>
      <c r="L48" s="85"/>
      <c r="M48" s="85"/>
      <c r="N48" s="85"/>
      <c r="O48" s="85"/>
      <c r="P48" s="85"/>
      <c r="Q48" s="85"/>
      <c r="R48" s="85"/>
      <c r="S48" s="85"/>
      <c r="T48" s="85"/>
      <c r="U48" s="85"/>
    </row>
    <row r="49" spans="1:21">
      <c r="A49" s="85"/>
      <c r="B49" s="85"/>
      <c r="C49" s="85"/>
      <c r="D49" s="85"/>
      <c r="E49" s="85"/>
      <c r="F49" s="85"/>
      <c r="G49" s="85"/>
      <c r="H49" s="85"/>
      <c r="I49" s="85"/>
      <c r="J49" s="85"/>
      <c r="K49" s="85"/>
      <c r="L49" s="85"/>
      <c r="M49" s="85"/>
      <c r="N49" s="85"/>
      <c r="O49" s="85"/>
      <c r="P49" s="85"/>
      <c r="Q49" s="85"/>
      <c r="R49" s="85"/>
      <c r="S49" s="85"/>
      <c r="T49" s="85"/>
      <c r="U49" s="85"/>
    </row>
    <row r="50" spans="1:21">
      <c r="A50" s="85"/>
      <c r="B50" s="85"/>
      <c r="C50" s="85"/>
      <c r="D50" s="85"/>
      <c r="E50" s="85"/>
      <c r="F50" s="85"/>
      <c r="G50" s="85"/>
      <c r="H50" s="85"/>
      <c r="I50" s="85"/>
      <c r="J50" s="85"/>
      <c r="K50" s="85"/>
      <c r="L50" s="85"/>
      <c r="M50" s="85"/>
      <c r="N50" s="85"/>
      <c r="O50" s="85"/>
      <c r="P50" s="85"/>
      <c r="Q50" s="85"/>
      <c r="R50" s="85"/>
      <c r="S50" s="85"/>
      <c r="T50" s="85"/>
      <c r="U50" s="85"/>
    </row>
    <row r="51" spans="1:21">
      <c r="A51" s="85"/>
      <c r="B51" s="85"/>
      <c r="C51" s="85"/>
      <c r="D51" s="85"/>
      <c r="E51" s="85"/>
      <c r="F51" s="85"/>
      <c r="G51" s="85"/>
      <c r="H51" s="85"/>
      <c r="I51" s="85"/>
      <c r="J51" s="85"/>
      <c r="K51" s="85"/>
      <c r="L51" s="85"/>
      <c r="M51" s="85"/>
      <c r="N51" s="85"/>
      <c r="O51" s="85"/>
      <c r="P51" s="85"/>
      <c r="Q51" s="85"/>
      <c r="R51" s="85"/>
      <c r="S51" s="85"/>
      <c r="T51" s="85"/>
      <c r="U51" s="85"/>
    </row>
    <row r="52" spans="1:21">
      <c r="A52" s="85"/>
      <c r="B52" s="85"/>
      <c r="C52" s="85"/>
      <c r="D52" s="85"/>
      <c r="E52" s="85"/>
      <c r="F52" s="85"/>
      <c r="G52" s="85"/>
      <c r="H52" s="85"/>
      <c r="I52" s="85"/>
      <c r="J52" s="85"/>
      <c r="K52" s="85"/>
      <c r="L52" s="85"/>
      <c r="M52" s="85"/>
      <c r="N52" s="85"/>
      <c r="O52" s="85"/>
      <c r="P52" s="85"/>
      <c r="Q52" s="85"/>
      <c r="R52" s="85"/>
      <c r="S52" s="85"/>
      <c r="T52" s="85"/>
      <c r="U52" s="85"/>
    </row>
    <row r="53" spans="1:21">
      <c r="A53" s="85"/>
      <c r="B53" s="85"/>
      <c r="C53" s="85"/>
      <c r="D53" s="85"/>
      <c r="E53" s="85"/>
      <c r="F53" s="85"/>
      <c r="G53" s="85"/>
      <c r="H53" s="85"/>
      <c r="I53" s="85"/>
      <c r="J53" s="85"/>
      <c r="K53" s="85"/>
      <c r="L53" s="85"/>
      <c r="M53" s="85"/>
      <c r="N53" s="85"/>
      <c r="O53" s="85"/>
      <c r="P53" s="85"/>
      <c r="Q53" s="85"/>
      <c r="R53" s="85"/>
      <c r="S53" s="85"/>
      <c r="T53" s="85"/>
      <c r="U53" s="85"/>
    </row>
    <row r="54" spans="1:21">
      <c r="A54" s="85"/>
      <c r="B54" s="85"/>
      <c r="C54" s="85"/>
      <c r="D54" s="85"/>
      <c r="E54" s="85"/>
      <c r="F54" s="85"/>
      <c r="G54" s="85"/>
      <c r="H54" s="85"/>
      <c r="I54" s="85"/>
      <c r="J54" s="85"/>
      <c r="K54" s="85"/>
      <c r="L54" s="85"/>
      <c r="M54" s="85"/>
      <c r="N54" s="85"/>
      <c r="O54" s="85"/>
      <c r="P54" s="85"/>
      <c r="Q54" s="85"/>
      <c r="R54" s="85"/>
      <c r="S54" s="85"/>
      <c r="T54" s="85"/>
      <c r="U54" s="85"/>
    </row>
    <row r="55" spans="1:21">
      <c r="A55" s="85"/>
      <c r="B55" s="85"/>
      <c r="C55" s="85"/>
      <c r="D55" s="85"/>
      <c r="E55" s="85"/>
      <c r="F55" s="85"/>
      <c r="G55" s="85"/>
      <c r="H55" s="85"/>
      <c r="I55" s="85"/>
      <c r="J55" s="85"/>
      <c r="K55" s="85"/>
      <c r="L55" s="85"/>
      <c r="M55" s="85"/>
      <c r="N55" s="85"/>
      <c r="O55" s="85"/>
      <c r="P55" s="85"/>
      <c r="Q55" s="85"/>
      <c r="R55" s="85"/>
      <c r="S55" s="85"/>
      <c r="T55" s="85"/>
      <c r="U55" s="85"/>
    </row>
    <row r="56" spans="1:21">
      <c r="A56" s="85"/>
      <c r="B56" s="85"/>
      <c r="C56" s="85"/>
      <c r="D56" s="85"/>
      <c r="E56" s="85"/>
      <c r="F56" s="85"/>
      <c r="G56" s="85"/>
      <c r="H56" s="85"/>
      <c r="I56" s="85"/>
      <c r="J56" s="85"/>
      <c r="K56" s="85"/>
      <c r="L56" s="85"/>
      <c r="M56" s="85"/>
      <c r="N56" s="85"/>
      <c r="O56" s="85"/>
      <c r="P56" s="85"/>
      <c r="Q56" s="85"/>
      <c r="R56" s="85"/>
      <c r="S56" s="85"/>
      <c r="T56" s="85"/>
      <c r="U56" s="85"/>
    </row>
    <row r="57" spans="1:21">
      <c r="A57" s="85"/>
      <c r="B57" s="85"/>
      <c r="C57" s="85"/>
      <c r="D57" s="85"/>
      <c r="E57" s="85"/>
      <c r="F57" s="85"/>
      <c r="G57" s="85"/>
      <c r="H57" s="85"/>
      <c r="I57" s="85"/>
      <c r="J57" s="85"/>
      <c r="K57" s="85"/>
      <c r="L57" s="85"/>
      <c r="M57" s="85"/>
      <c r="N57" s="85"/>
      <c r="O57" s="85"/>
      <c r="P57" s="85"/>
      <c r="Q57" s="85"/>
      <c r="R57" s="85"/>
      <c r="S57" s="85"/>
      <c r="T57" s="85"/>
      <c r="U57" s="85"/>
    </row>
    <row r="58" spans="1:21">
      <c r="A58" s="85"/>
      <c r="B58" s="85"/>
      <c r="C58" s="85"/>
      <c r="D58" s="85"/>
      <c r="E58" s="85"/>
      <c r="F58" s="85"/>
      <c r="G58" s="85"/>
      <c r="H58" s="85"/>
      <c r="I58" s="85"/>
      <c r="J58" s="85"/>
      <c r="K58" s="85"/>
      <c r="L58" s="85"/>
      <c r="M58" s="85"/>
      <c r="N58" s="85"/>
      <c r="O58" s="85"/>
      <c r="P58" s="85"/>
      <c r="Q58" s="85"/>
      <c r="R58" s="85"/>
      <c r="S58" s="85"/>
      <c r="T58" s="85"/>
      <c r="U58" s="85"/>
    </row>
    <row r="59" spans="1:21">
      <c r="A59" s="85"/>
      <c r="B59" s="85"/>
      <c r="C59" s="85"/>
      <c r="D59" s="85"/>
      <c r="E59" s="85"/>
      <c r="F59" s="85"/>
      <c r="G59" s="85"/>
      <c r="H59" s="85"/>
      <c r="I59" s="85"/>
      <c r="J59" s="85"/>
      <c r="K59" s="85"/>
      <c r="L59" s="85"/>
      <c r="M59" s="85"/>
      <c r="N59" s="85"/>
      <c r="O59" s="85"/>
      <c r="P59" s="85"/>
      <c r="Q59" s="85"/>
      <c r="R59" s="85"/>
      <c r="S59" s="85"/>
      <c r="T59" s="85"/>
      <c r="U59" s="85"/>
    </row>
    <row r="60" spans="1:21">
      <c r="A60" s="85"/>
      <c r="B60" s="85"/>
      <c r="C60" s="85"/>
      <c r="D60" s="85"/>
      <c r="E60" s="85"/>
      <c r="F60" s="85"/>
      <c r="G60" s="85"/>
      <c r="H60" s="85"/>
      <c r="I60" s="85"/>
      <c r="J60" s="85"/>
      <c r="K60" s="85"/>
      <c r="L60" s="85"/>
      <c r="M60" s="85"/>
      <c r="N60" s="85"/>
      <c r="O60" s="85"/>
      <c r="P60" s="85"/>
      <c r="Q60" s="85"/>
      <c r="R60" s="85"/>
      <c r="S60" s="85"/>
      <c r="T60" s="85"/>
      <c r="U60" s="85"/>
    </row>
    <row r="61" spans="1:21">
      <c r="A61" s="85"/>
      <c r="B61" s="85"/>
      <c r="C61" s="85"/>
      <c r="D61" s="85"/>
      <c r="E61" s="85"/>
      <c r="F61" s="85"/>
      <c r="G61" s="85"/>
      <c r="H61" s="85"/>
      <c r="I61" s="85"/>
      <c r="J61" s="85"/>
      <c r="K61" s="85"/>
      <c r="L61" s="85"/>
      <c r="M61" s="85"/>
      <c r="N61" s="85"/>
      <c r="O61" s="85"/>
      <c r="P61" s="85"/>
      <c r="Q61" s="85"/>
      <c r="R61" s="85"/>
      <c r="S61" s="85"/>
      <c r="T61" s="85"/>
      <c r="U61" s="85"/>
    </row>
    <row r="62" spans="1:21">
      <c r="A62" s="85"/>
      <c r="B62" s="85"/>
      <c r="C62" s="85"/>
      <c r="D62" s="85"/>
      <c r="E62" s="85"/>
      <c r="F62" s="85"/>
      <c r="G62" s="85"/>
      <c r="H62" s="85"/>
      <c r="I62" s="85"/>
      <c r="J62" s="85"/>
      <c r="K62" s="85"/>
      <c r="L62" s="85"/>
      <c r="M62" s="85"/>
      <c r="N62" s="85"/>
      <c r="O62" s="85"/>
      <c r="P62" s="85"/>
      <c r="Q62" s="85"/>
      <c r="R62" s="85"/>
      <c r="S62" s="85"/>
      <c r="T62" s="85"/>
      <c r="U62" s="85"/>
    </row>
    <row r="63" spans="1:21">
      <c r="A63" s="85"/>
      <c r="B63" s="85"/>
      <c r="C63" s="85"/>
      <c r="D63" s="85"/>
      <c r="E63" s="85"/>
      <c r="F63" s="85"/>
      <c r="G63" s="85"/>
      <c r="H63" s="85"/>
      <c r="I63" s="85"/>
      <c r="J63" s="85"/>
      <c r="K63" s="85"/>
      <c r="L63" s="85"/>
      <c r="M63" s="85"/>
      <c r="N63" s="85"/>
      <c r="O63" s="85"/>
      <c r="P63" s="85"/>
      <c r="Q63" s="85"/>
      <c r="R63" s="85"/>
      <c r="S63" s="85"/>
      <c r="T63" s="85"/>
      <c r="U63" s="85"/>
    </row>
    <row r="64" spans="1:21">
      <c r="A64" s="85"/>
      <c r="B64" s="85"/>
      <c r="C64" s="85"/>
      <c r="D64" s="85"/>
      <c r="E64" s="85"/>
      <c r="F64" s="85"/>
      <c r="G64" s="85"/>
      <c r="H64" s="85"/>
      <c r="I64" s="85"/>
      <c r="J64" s="85"/>
      <c r="K64" s="85"/>
      <c r="L64" s="85"/>
      <c r="M64" s="85"/>
      <c r="N64" s="85"/>
      <c r="O64" s="85"/>
      <c r="P64" s="85"/>
      <c r="Q64" s="85"/>
      <c r="R64" s="85"/>
      <c r="S64" s="85"/>
      <c r="T64" s="85"/>
      <c r="U64" s="85"/>
    </row>
    <row r="65" spans="1:21">
      <c r="A65" s="85"/>
      <c r="B65" s="85"/>
      <c r="C65" s="85"/>
      <c r="D65" s="85"/>
      <c r="E65" s="85"/>
      <c r="F65" s="85"/>
      <c r="G65" s="85"/>
      <c r="H65" s="85"/>
      <c r="I65" s="85"/>
      <c r="J65" s="85"/>
      <c r="K65" s="85"/>
      <c r="L65" s="85"/>
      <c r="M65" s="85"/>
      <c r="N65" s="85"/>
      <c r="O65" s="85"/>
      <c r="P65" s="85"/>
      <c r="Q65" s="85"/>
      <c r="R65" s="85"/>
      <c r="S65" s="85"/>
      <c r="T65" s="85"/>
      <c r="U65" s="85"/>
    </row>
    <row r="66" spans="1:21">
      <c r="A66" s="85"/>
      <c r="B66" s="85"/>
      <c r="C66" s="85"/>
      <c r="D66" s="85"/>
      <c r="E66" s="85"/>
      <c r="F66" s="85"/>
      <c r="G66" s="85"/>
      <c r="H66" s="85"/>
      <c r="I66" s="85"/>
      <c r="J66" s="85"/>
      <c r="K66" s="85"/>
      <c r="L66" s="85"/>
      <c r="M66" s="85"/>
      <c r="N66" s="85"/>
      <c r="O66" s="85"/>
      <c r="P66" s="85"/>
      <c r="Q66" s="85"/>
      <c r="R66" s="85"/>
      <c r="S66" s="85"/>
      <c r="T66" s="85"/>
      <c r="U66" s="85"/>
    </row>
    <row r="67" spans="1:21">
      <c r="A67" s="85"/>
      <c r="B67" s="85"/>
      <c r="C67" s="85"/>
      <c r="D67" s="85"/>
      <c r="E67" s="85"/>
      <c r="F67" s="85"/>
      <c r="G67" s="85"/>
      <c r="H67" s="85"/>
      <c r="I67" s="85"/>
      <c r="J67" s="85"/>
      <c r="K67" s="85"/>
      <c r="L67" s="85"/>
      <c r="M67" s="85"/>
      <c r="N67" s="85"/>
      <c r="O67" s="85"/>
      <c r="P67" s="85"/>
      <c r="Q67" s="85"/>
      <c r="R67" s="85"/>
      <c r="S67" s="85"/>
      <c r="T67" s="85"/>
      <c r="U67" s="85"/>
    </row>
    <row r="68" spans="1:21">
      <c r="A68" s="85"/>
      <c r="B68" s="85"/>
      <c r="C68" s="85"/>
      <c r="D68" s="85"/>
      <c r="E68" s="85"/>
      <c r="F68" s="85"/>
      <c r="G68" s="85"/>
      <c r="H68" s="85"/>
      <c r="I68" s="85"/>
      <c r="J68" s="85"/>
      <c r="K68" s="85"/>
      <c r="L68" s="85"/>
      <c r="M68" s="85"/>
      <c r="N68" s="85"/>
      <c r="O68" s="85"/>
      <c r="P68" s="85"/>
      <c r="Q68" s="85"/>
      <c r="R68" s="85"/>
      <c r="S68" s="85"/>
      <c r="T68" s="85"/>
      <c r="U68" s="85"/>
    </row>
    <row r="69" spans="1:21">
      <c r="A69" s="85"/>
      <c r="B69" s="85"/>
      <c r="C69" s="85"/>
      <c r="D69" s="85"/>
      <c r="E69" s="85"/>
      <c r="F69" s="85"/>
      <c r="G69" s="85"/>
      <c r="H69" s="85"/>
      <c r="I69" s="85"/>
      <c r="J69" s="85"/>
      <c r="K69" s="85"/>
      <c r="L69" s="85"/>
      <c r="M69" s="85"/>
      <c r="N69" s="85"/>
      <c r="O69" s="85"/>
      <c r="P69" s="85"/>
      <c r="Q69" s="85"/>
      <c r="R69" s="85"/>
      <c r="S69" s="85"/>
      <c r="T69" s="85"/>
      <c r="U69" s="85"/>
    </row>
    <row r="70" spans="1:21">
      <c r="A70" s="85"/>
      <c r="B70" s="85"/>
      <c r="C70" s="85"/>
      <c r="D70" s="85"/>
      <c r="E70" s="85"/>
      <c r="F70" s="85"/>
      <c r="G70" s="85"/>
      <c r="H70" s="85"/>
      <c r="I70" s="85"/>
      <c r="J70" s="85"/>
      <c r="K70" s="85"/>
      <c r="L70" s="85"/>
      <c r="M70" s="85"/>
      <c r="N70" s="85"/>
      <c r="O70" s="85"/>
      <c r="P70" s="85"/>
      <c r="Q70" s="85"/>
      <c r="R70" s="85"/>
      <c r="S70" s="85"/>
      <c r="T70" s="85"/>
      <c r="U70" s="85"/>
    </row>
    <row r="71" spans="1:21">
      <c r="A71" s="85"/>
      <c r="B71" s="85"/>
      <c r="C71" s="85"/>
      <c r="D71" s="85"/>
      <c r="E71" s="85"/>
      <c r="F71" s="85"/>
      <c r="G71" s="85"/>
      <c r="H71" s="85"/>
      <c r="I71" s="85"/>
      <c r="J71" s="85"/>
      <c r="K71" s="85"/>
      <c r="L71" s="85"/>
      <c r="M71" s="85"/>
      <c r="N71" s="85"/>
      <c r="O71" s="85"/>
      <c r="P71" s="85"/>
      <c r="Q71" s="85"/>
      <c r="R71" s="85"/>
      <c r="S71" s="85"/>
      <c r="T71" s="85"/>
      <c r="U71" s="85"/>
    </row>
    <row r="72" spans="1:21">
      <c r="A72" s="85"/>
      <c r="B72" s="85"/>
      <c r="C72" s="85"/>
      <c r="D72" s="85"/>
      <c r="E72" s="85"/>
      <c r="F72" s="85"/>
      <c r="G72" s="85"/>
      <c r="H72" s="85"/>
      <c r="I72" s="85"/>
      <c r="J72" s="85"/>
      <c r="K72" s="85"/>
      <c r="L72" s="85"/>
      <c r="M72" s="85"/>
      <c r="N72" s="85"/>
      <c r="O72" s="85"/>
      <c r="P72" s="85"/>
      <c r="Q72" s="85"/>
      <c r="R72" s="85"/>
      <c r="S72" s="85"/>
      <c r="T72" s="85"/>
      <c r="U72" s="85"/>
    </row>
    <row r="73" spans="1:21">
      <c r="A73" s="85"/>
      <c r="B73" s="85"/>
      <c r="C73" s="85"/>
      <c r="D73" s="85"/>
      <c r="E73" s="85"/>
      <c r="F73" s="85"/>
      <c r="G73" s="85"/>
      <c r="H73" s="85"/>
      <c r="I73" s="85"/>
      <c r="J73" s="85"/>
      <c r="K73" s="85"/>
      <c r="L73" s="85"/>
      <c r="M73" s="85"/>
      <c r="N73" s="85"/>
      <c r="O73" s="85"/>
      <c r="P73" s="85"/>
      <c r="Q73" s="85"/>
      <c r="R73" s="85"/>
      <c r="S73" s="85"/>
      <c r="T73" s="85"/>
      <c r="U73" s="85"/>
    </row>
    <row r="74" spans="1:21">
      <c r="A74" s="85"/>
      <c r="B74" s="85"/>
      <c r="C74" s="85"/>
      <c r="D74" s="85"/>
      <c r="E74" s="85"/>
      <c r="F74" s="85"/>
      <c r="G74" s="85"/>
      <c r="H74" s="85"/>
      <c r="I74" s="85"/>
      <c r="J74" s="85"/>
      <c r="K74" s="85"/>
      <c r="L74" s="85"/>
      <c r="M74" s="85"/>
      <c r="N74" s="85"/>
      <c r="O74" s="85"/>
      <c r="P74" s="85"/>
      <c r="Q74" s="85"/>
      <c r="R74" s="85"/>
      <c r="S74" s="85"/>
      <c r="T74" s="85"/>
      <c r="U74" s="85"/>
    </row>
    <row r="75" spans="1:21">
      <c r="A75" s="85"/>
      <c r="B75" s="85"/>
      <c r="C75" s="85"/>
      <c r="D75" s="85"/>
      <c r="E75" s="85"/>
      <c r="F75" s="85"/>
      <c r="G75" s="85"/>
      <c r="H75" s="85"/>
      <c r="I75" s="85"/>
      <c r="J75" s="85"/>
      <c r="K75" s="85"/>
      <c r="L75" s="85"/>
      <c r="M75" s="85"/>
      <c r="N75" s="85"/>
      <c r="O75" s="85"/>
      <c r="P75" s="85"/>
      <c r="Q75" s="85"/>
      <c r="R75" s="85"/>
      <c r="S75" s="85"/>
      <c r="T75" s="85"/>
      <c r="U75" s="85"/>
    </row>
    <row r="76" spans="1:21">
      <c r="A76" s="85"/>
      <c r="B76" s="85"/>
      <c r="C76" s="85"/>
      <c r="D76" s="85"/>
      <c r="E76" s="85"/>
      <c r="F76" s="85"/>
      <c r="G76" s="85"/>
      <c r="H76" s="85"/>
      <c r="I76" s="85"/>
      <c r="J76" s="85"/>
      <c r="K76" s="85"/>
      <c r="L76" s="85"/>
      <c r="M76" s="85"/>
      <c r="N76" s="85"/>
      <c r="O76" s="85"/>
      <c r="P76" s="85"/>
      <c r="Q76" s="85"/>
      <c r="R76" s="85"/>
      <c r="S76" s="85"/>
      <c r="T76" s="85"/>
      <c r="U76" s="85"/>
    </row>
    <row r="77" spans="1:21">
      <c r="A77" s="85"/>
      <c r="B77" s="85"/>
      <c r="C77" s="85"/>
      <c r="D77" s="85"/>
      <c r="E77" s="85"/>
      <c r="F77" s="85"/>
      <c r="G77" s="85"/>
      <c r="H77" s="85"/>
      <c r="I77" s="85"/>
      <c r="J77" s="85"/>
      <c r="K77" s="85"/>
      <c r="L77" s="85"/>
      <c r="M77" s="85"/>
      <c r="N77" s="85"/>
      <c r="O77" s="85"/>
      <c r="P77" s="85"/>
      <c r="Q77" s="85"/>
      <c r="R77" s="85"/>
      <c r="S77" s="85"/>
      <c r="T77" s="85"/>
      <c r="U77" s="85"/>
    </row>
    <row r="78" spans="1:21">
      <c r="A78" s="85"/>
      <c r="B78" s="85"/>
      <c r="C78" s="85"/>
      <c r="D78" s="85"/>
      <c r="E78" s="85"/>
      <c r="F78" s="85"/>
      <c r="G78" s="85"/>
      <c r="H78" s="85"/>
      <c r="I78" s="85"/>
      <c r="J78" s="85"/>
      <c r="K78" s="85"/>
      <c r="L78" s="85"/>
      <c r="M78" s="85"/>
      <c r="N78" s="85"/>
      <c r="O78" s="85"/>
      <c r="P78" s="85"/>
      <c r="Q78" s="85"/>
      <c r="R78" s="85"/>
      <c r="S78" s="85"/>
      <c r="T78" s="85"/>
      <c r="U78" s="85"/>
    </row>
    <row r="79" spans="1:21">
      <c r="A79" s="85"/>
      <c r="B79" s="85"/>
      <c r="C79" s="85"/>
      <c r="D79" s="85"/>
      <c r="E79" s="85"/>
      <c r="F79" s="85"/>
      <c r="G79" s="85"/>
      <c r="H79" s="85"/>
      <c r="I79" s="85"/>
      <c r="J79" s="85"/>
      <c r="K79" s="85"/>
      <c r="L79" s="85"/>
      <c r="M79" s="85"/>
      <c r="N79" s="85"/>
      <c r="O79" s="85"/>
      <c r="P79" s="85"/>
      <c r="Q79" s="85"/>
      <c r="R79" s="85"/>
      <c r="S79" s="85"/>
      <c r="T79" s="85"/>
      <c r="U79" s="85"/>
    </row>
    <row r="80" spans="1:21">
      <c r="A80" s="85"/>
      <c r="B80" s="85"/>
      <c r="C80" s="85"/>
      <c r="D80" s="85"/>
      <c r="E80" s="85"/>
      <c r="F80" s="85"/>
      <c r="G80" s="85"/>
      <c r="H80" s="85"/>
      <c r="I80" s="85"/>
      <c r="J80" s="85"/>
      <c r="K80" s="85"/>
      <c r="L80" s="85"/>
      <c r="M80" s="85"/>
      <c r="N80" s="85"/>
      <c r="O80" s="85"/>
      <c r="P80" s="85"/>
      <c r="Q80" s="85"/>
      <c r="R80" s="85"/>
      <c r="S80" s="85"/>
      <c r="T80" s="85"/>
      <c r="U80" s="85"/>
    </row>
    <row r="81" spans="1:21">
      <c r="A81" s="85"/>
      <c r="B81" s="85"/>
      <c r="C81" s="85"/>
      <c r="D81" s="85"/>
      <c r="E81" s="85"/>
      <c r="F81" s="85"/>
      <c r="G81" s="85"/>
      <c r="H81" s="85"/>
      <c r="I81" s="85"/>
      <c r="J81" s="85"/>
      <c r="K81" s="85"/>
      <c r="L81" s="85"/>
      <c r="M81" s="85"/>
      <c r="N81" s="85"/>
      <c r="O81" s="85"/>
      <c r="P81" s="85"/>
      <c r="Q81" s="85"/>
      <c r="R81" s="85"/>
      <c r="S81" s="85"/>
      <c r="T81" s="85"/>
      <c r="U81" s="85"/>
    </row>
    <row r="82" spans="1:21">
      <c r="A82" s="85"/>
      <c r="B82" s="85"/>
      <c r="C82" s="85"/>
      <c r="D82" s="85"/>
      <c r="E82" s="85"/>
      <c r="F82" s="85"/>
      <c r="G82" s="85"/>
      <c r="H82" s="85"/>
      <c r="I82" s="85"/>
      <c r="J82" s="85"/>
      <c r="K82" s="85"/>
      <c r="L82" s="85"/>
      <c r="M82" s="85"/>
      <c r="N82" s="85"/>
      <c r="O82" s="85"/>
      <c r="P82" s="85"/>
      <c r="Q82" s="85"/>
      <c r="R82" s="85"/>
      <c r="S82" s="85"/>
      <c r="T82" s="85"/>
      <c r="U82" s="85"/>
    </row>
    <row r="83" spans="1:21">
      <c r="A83" s="85"/>
      <c r="B83" s="85"/>
      <c r="C83" s="85"/>
      <c r="D83" s="85"/>
      <c r="E83" s="85"/>
      <c r="F83" s="85"/>
      <c r="G83" s="85"/>
      <c r="H83" s="85"/>
      <c r="I83" s="85"/>
      <c r="J83" s="85"/>
      <c r="K83" s="85"/>
      <c r="L83" s="85"/>
      <c r="M83" s="85"/>
      <c r="N83" s="85"/>
      <c r="O83" s="85"/>
      <c r="P83" s="85"/>
      <c r="Q83" s="85"/>
      <c r="R83" s="85"/>
      <c r="S83" s="85"/>
      <c r="T83" s="85"/>
      <c r="U83" s="85"/>
    </row>
    <row r="84" spans="1:21">
      <c r="A84" s="85"/>
      <c r="B84" s="85"/>
      <c r="C84" s="85"/>
      <c r="D84" s="85"/>
      <c r="E84" s="85"/>
      <c r="F84" s="85"/>
      <c r="G84" s="85"/>
      <c r="H84" s="85"/>
      <c r="I84" s="85"/>
      <c r="J84" s="85"/>
      <c r="K84" s="85"/>
      <c r="L84" s="85"/>
      <c r="M84" s="85"/>
      <c r="N84" s="85"/>
      <c r="O84" s="85"/>
      <c r="P84" s="85"/>
      <c r="Q84" s="85"/>
      <c r="R84" s="85"/>
      <c r="S84" s="85"/>
      <c r="T84" s="85"/>
      <c r="U84" s="85"/>
    </row>
    <row r="85" spans="1:21">
      <c r="A85" s="85"/>
      <c r="B85" s="85"/>
      <c r="C85" s="85"/>
      <c r="D85" s="85"/>
      <c r="E85" s="85"/>
      <c r="F85" s="85"/>
      <c r="G85" s="85"/>
      <c r="H85" s="85"/>
      <c r="I85" s="85"/>
      <c r="J85" s="85"/>
      <c r="K85" s="85"/>
      <c r="L85" s="85"/>
      <c r="M85" s="85"/>
      <c r="N85" s="85"/>
      <c r="O85" s="85"/>
      <c r="P85" s="85"/>
      <c r="Q85" s="85"/>
      <c r="R85" s="85"/>
      <c r="S85" s="85"/>
      <c r="T85" s="85"/>
      <c r="U85" s="85"/>
    </row>
    <row r="86" spans="1:21">
      <c r="A86" s="85"/>
      <c r="B86" s="85"/>
      <c r="C86" s="85"/>
      <c r="D86" s="85"/>
      <c r="E86" s="85"/>
      <c r="F86" s="85"/>
      <c r="G86" s="85"/>
      <c r="H86" s="85"/>
      <c r="I86" s="85"/>
      <c r="J86" s="85"/>
      <c r="K86" s="85"/>
      <c r="L86" s="85"/>
      <c r="M86" s="85"/>
      <c r="N86" s="85"/>
      <c r="O86" s="85"/>
      <c r="P86" s="85"/>
      <c r="Q86" s="85"/>
      <c r="R86" s="85"/>
      <c r="S86" s="85"/>
      <c r="T86" s="85"/>
      <c r="U86" s="85"/>
    </row>
    <row r="87" spans="1:21">
      <c r="A87" s="85"/>
      <c r="B87" s="85"/>
      <c r="C87" s="85"/>
      <c r="D87" s="85"/>
      <c r="E87" s="85"/>
      <c r="F87" s="85"/>
      <c r="G87" s="85"/>
      <c r="H87" s="85"/>
      <c r="I87" s="85"/>
      <c r="J87" s="85"/>
      <c r="K87" s="85"/>
      <c r="L87" s="85"/>
      <c r="M87" s="85"/>
      <c r="N87" s="85"/>
      <c r="O87" s="85"/>
      <c r="P87" s="85"/>
      <c r="Q87" s="85"/>
      <c r="R87" s="85"/>
      <c r="S87" s="85"/>
      <c r="T87" s="85"/>
      <c r="U87" s="85"/>
    </row>
    <row r="88" spans="1:21">
      <c r="A88" s="85"/>
      <c r="B88" s="85"/>
      <c r="C88" s="85"/>
      <c r="D88" s="85"/>
      <c r="E88" s="85"/>
      <c r="F88" s="85"/>
      <c r="G88" s="85"/>
      <c r="H88" s="85"/>
      <c r="I88" s="85"/>
      <c r="J88" s="85"/>
      <c r="K88" s="85"/>
      <c r="L88" s="85"/>
      <c r="M88" s="85"/>
      <c r="N88" s="85"/>
      <c r="O88" s="85"/>
      <c r="P88" s="85"/>
      <c r="Q88" s="85"/>
      <c r="R88" s="85"/>
      <c r="S88" s="85"/>
      <c r="T88" s="85"/>
      <c r="U88" s="85"/>
    </row>
    <row r="89" spans="1:21">
      <c r="A89" s="85"/>
      <c r="B89" s="85"/>
      <c r="C89" s="85"/>
      <c r="D89" s="85"/>
      <c r="E89" s="85"/>
      <c r="F89" s="85"/>
      <c r="G89" s="85"/>
      <c r="H89" s="85"/>
      <c r="I89" s="85"/>
      <c r="J89" s="85"/>
      <c r="K89" s="85"/>
      <c r="L89" s="85"/>
      <c r="M89" s="85"/>
      <c r="N89" s="85"/>
      <c r="O89" s="85"/>
      <c r="P89" s="85"/>
      <c r="Q89" s="85"/>
      <c r="R89" s="85"/>
      <c r="S89" s="85"/>
      <c r="T89" s="85"/>
      <c r="U89" s="85"/>
    </row>
    <row r="90" spans="1:21">
      <c r="A90" s="85"/>
      <c r="B90" s="85"/>
      <c r="C90" s="85"/>
      <c r="D90" s="85"/>
      <c r="E90" s="85"/>
      <c r="F90" s="85"/>
      <c r="G90" s="85"/>
      <c r="H90" s="85"/>
      <c r="I90" s="85"/>
      <c r="J90" s="85"/>
      <c r="K90" s="85"/>
      <c r="L90" s="85"/>
      <c r="M90" s="85"/>
      <c r="N90" s="85"/>
      <c r="O90" s="85"/>
      <c r="P90" s="85"/>
      <c r="Q90" s="85"/>
      <c r="R90" s="85"/>
      <c r="S90" s="85"/>
      <c r="T90" s="85"/>
      <c r="U90" s="85"/>
    </row>
    <row r="91" spans="1:21">
      <c r="A91" s="85"/>
      <c r="B91" s="85"/>
      <c r="C91" s="85"/>
      <c r="D91" s="85"/>
      <c r="E91" s="85"/>
      <c r="F91" s="85"/>
      <c r="G91" s="85"/>
      <c r="H91" s="85"/>
      <c r="I91" s="85"/>
      <c r="J91" s="85"/>
      <c r="K91" s="85"/>
      <c r="L91" s="85"/>
      <c r="M91" s="85"/>
      <c r="N91" s="85"/>
      <c r="O91" s="85"/>
      <c r="P91" s="85"/>
      <c r="Q91" s="85"/>
      <c r="R91" s="85"/>
      <c r="S91" s="85"/>
      <c r="T91" s="85"/>
      <c r="U91" s="85"/>
    </row>
    <row r="92" spans="1:21">
      <c r="A92" s="85"/>
      <c r="B92" s="85"/>
      <c r="C92" s="85"/>
      <c r="D92" s="85"/>
      <c r="E92" s="85"/>
      <c r="F92" s="85"/>
      <c r="G92" s="85"/>
      <c r="H92" s="85"/>
      <c r="I92" s="85"/>
      <c r="J92" s="85"/>
      <c r="K92" s="85"/>
      <c r="L92" s="85"/>
      <c r="M92" s="85"/>
      <c r="N92" s="85"/>
      <c r="O92" s="85"/>
      <c r="P92" s="85"/>
      <c r="Q92" s="85"/>
      <c r="R92" s="85"/>
      <c r="S92" s="85"/>
      <c r="T92" s="85"/>
      <c r="U92" s="85"/>
    </row>
    <row r="93" spans="1:21">
      <c r="A93" s="85"/>
      <c r="B93" s="85"/>
      <c r="C93" s="85"/>
      <c r="D93" s="85"/>
      <c r="E93" s="85"/>
      <c r="F93" s="85"/>
      <c r="G93" s="85"/>
      <c r="H93" s="85"/>
      <c r="I93" s="85"/>
      <c r="J93" s="85"/>
      <c r="K93" s="85"/>
      <c r="L93" s="85"/>
      <c r="M93" s="85"/>
      <c r="N93" s="85"/>
      <c r="O93" s="85"/>
      <c r="P93" s="85"/>
      <c r="Q93" s="85"/>
      <c r="R93" s="85"/>
      <c r="S93" s="85"/>
      <c r="T93" s="85"/>
      <c r="U93" s="85"/>
    </row>
    <row r="94" spans="1:21">
      <c r="A94" s="85"/>
      <c r="B94" s="85"/>
      <c r="C94" s="85"/>
      <c r="D94" s="85"/>
      <c r="E94" s="85"/>
      <c r="F94" s="85"/>
      <c r="G94" s="85"/>
      <c r="H94" s="85"/>
      <c r="I94" s="85"/>
      <c r="J94" s="85"/>
      <c r="K94" s="85"/>
      <c r="L94" s="85"/>
      <c r="M94" s="85"/>
      <c r="N94" s="85"/>
      <c r="O94" s="85"/>
      <c r="P94" s="85"/>
      <c r="Q94" s="85"/>
      <c r="R94" s="85"/>
      <c r="S94" s="85"/>
      <c r="T94" s="85"/>
      <c r="U94" s="85"/>
    </row>
    <row r="95" spans="1:21">
      <c r="A95" s="85"/>
      <c r="B95" s="85"/>
      <c r="C95" s="85"/>
      <c r="D95" s="85"/>
      <c r="E95" s="85"/>
      <c r="F95" s="85"/>
      <c r="G95" s="85"/>
      <c r="H95" s="85"/>
      <c r="I95" s="85"/>
      <c r="J95" s="85"/>
      <c r="K95" s="85"/>
      <c r="L95" s="85"/>
      <c r="M95" s="85"/>
      <c r="N95" s="85"/>
      <c r="O95" s="85"/>
      <c r="P95" s="85"/>
      <c r="Q95" s="85"/>
      <c r="R95" s="85"/>
      <c r="S95" s="85"/>
      <c r="T95" s="85"/>
      <c r="U95" s="85"/>
    </row>
    <row r="96" spans="1:21">
      <c r="A96" s="85"/>
      <c r="B96" s="85"/>
      <c r="C96" s="85"/>
      <c r="D96" s="85"/>
      <c r="E96" s="85"/>
      <c r="F96" s="85"/>
      <c r="G96" s="85"/>
      <c r="H96" s="85"/>
      <c r="I96" s="85"/>
      <c r="J96" s="85"/>
      <c r="K96" s="85"/>
      <c r="L96" s="85"/>
      <c r="M96" s="85"/>
      <c r="N96" s="85"/>
      <c r="O96" s="85"/>
      <c r="P96" s="85"/>
      <c r="Q96" s="85"/>
      <c r="R96" s="85"/>
      <c r="S96" s="85"/>
      <c r="T96" s="85"/>
      <c r="U96" s="85"/>
    </row>
    <row r="97" spans="1:21">
      <c r="A97" s="85"/>
      <c r="B97" s="85"/>
      <c r="C97" s="85"/>
      <c r="D97" s="85"/>
      <c r="E97" s="85"/>
      <c r="F97" s="85"/>
      <c r="G97" s="85"/>
      <c r="H97" s="85"/>
      <c r="I97" s="85"/>
      <c r="J97" s="85"/>
      <c r="K97" s="85"/>
      <c r="L97" s="85"/>
      <c r="M97" s="85"/>
      <c r="N97" s="85"/>
      <c r="O97" s="85"/>
      <c r="P97" s="85"/>
      <c r="Q97" s="85"/>
      <c r="R97" s="85"/>
      <c r="S97" s="85"/>
      <c r="T97" s="85"/>
      <c r="U97" s="85"/>
    </row>
    <row r="98" spans="1:21">
      <c r="A98" s="85"/>
      <c r="B98" s="85"/>
      <c r="C98" s="85"/>
      <c r="D98" s="85"/>
      <c r="E98" s="85"/>
      <c r="F98" s="85"/>
      <c r="G98" s="85"/>
      <c r="H98" s="85"/>
      <c r="I98" s="85"/>
      <c r="J98" s="85"/>
      <c r="K98" s="85"/>
      <c r="L98" s="85"/>
      <c r="M98" s="85"/>
      <c r="N98" s="85"/>
      <c r="O98" s="85"/>
      <c r="P98" s="85"/>
      <c r="Q98" s="85"/>
      <c r="R98" s="85"/>
      <c r="S98" s="85"/>
      <c r="T98" s="85"/>
      <c r="U98" s="85"/>
    </row>
    <row r="99" spans="1:21">
      <c r="A99" s="85"/>
      <c r="B99" s="85"/>
      <c r="C99" s="85"/>
      <c r="D99" s="85"/>
      <c r="E99" s="85"/>
      <c r="F99" s="85"/>
      <c r="G99" s="85"/>
      <c r="H99" s="85"/>
      <c r="I99" s="85"/>
      <c r="J99" s="85"/>
      <c r="K99" s="85"/>
      <c r="L99" s="85"/>
      <c r="M99" s="85"/>
      <c r="N99" s="85"/>
      <c r="O99" s="85"/>
      <c r="P99" s="85"/>
      <c r="Q99" s="85"/>
      <c r="R99" s="85"/>
      <c r="S99" s="85"/>
      <c r="T99" s="85"/>
      <c r="U99" s="85"/>
    </row>
    <row r="100" spans="1:21">
      <c r="A100" s="85"/>
      <c r="B100" s="85"/>
      <c r="C100" s="85"/>
      <c r="D100" s="85"/>
      <c r="E100" s="85"/>
      <c r="F100" s="85"/>
      <c r="G100" s="85"/>
      <c r="H100" s="85"/>
      <c r="I100" s="85"/>
      <c r="J100" s="85"/>
      <c r="K100" s="85"/>
      <c r="L100" s="85"/>
      <c r="M100" s="85"/>
      <c r="N100" s="85"/>
      <c r="O100" s="85"/>
      <c r="P100" s="85"/>
      <c r="Q100" s="85"/>
      <c r="R100" s="85"/>
      <c r="S100" s="85"/>
      <c r="T100" s="85"/>
      <c r="U100" s="85"/>
    </row>
    <row r="101" spans="1:21">
      <c r="A101" s="85"/>
      <c r="B101" s="85"/>
      <c r="C101" s="85"/>
      <c r="D101" s="85"/>
      <c r="E101" s="85"/>
      <c r="F101" s="85"/>
      <c r="G101" s="85"/>
      <c r="H101" s="85"/>
      <c r="I101" s="85"/>
      <c r="J101" s="85"/>
      <c r="K101" s="85"/>
      <c r="L101" s="85"/>
      <c r="M101" s="85"/>
      <c r="N101" s="85"/>
      <c r="O101" s="85"/>
      <c r="P101" s="85"/>
      <c r="Q101" s="85"/>
      <c r="R101" s="85"/>
      <c r="S101" s="85"/>
      <c r="T101" s="85"/>
      <c r="U101" s="85"/>
    </row>
    <row r="102" spans="1:21">
      <c r="A102" s="85"/>
      <c r="B102" s="85"/>
      <c r="C102" s="85"/>
      <c r="D102" s="85"/>
      <c r="E102" s="85"/>
      <c r="F102" s="85"/>
      <c r="G102" s="85"/>
      <c r="H102" s="85"/>
      <c r="I102" s="85"/>
      <c r="J102" s="85"/>
      <c r="K102" s="85"/>
      <c r="L102" s="85"/>
      <c r="M102" s="85"/>
      <c r="N102" s="85"/>
      <c r="O102" s="85"/>
      <c r="P102" s="85"/>
      <c r="Q102" s="85"/>
      <c r="R102" s="85"/>
      <c r="S102" s="85"/>
      <c r="T102" s="85"/>
      <c r="U102" s="85"/>
    </row>
    <row r="103" spans="1:21">
      <c r="A103" s="85"/>
      <c r="B103" s="85"/>
      <c r="C103" s="85"/>
      <c r="D103" s="85"/>
      <c r="E103" s="85"/>
      <c r="F103" s="85"/>
      <c r="G103" s="85"/>
      <c r="H103" s="85"/>
      <c r="I103" s="85"/>
      <c r="J103" s="85"/>
      <c r="K103" s="85"/>
      <c r="L103" s="85"/>
      <c r="M103" s="85"/>
      <c r="N103" s="85"/>
      <c r="O103" s="85"/>
      <c r="P103" s="85"/>
      <c r="Q103" s="85"/>
      <c r="R103" s="85"/>
      <c r="S103" s="85"/>
      <c r="T103" s="85"/>
      <c r="U103" s="85"/>
    </row>
    <row r="104" spans="1:21">
      <c r="A104" s="85"/>
      <c r="B104" s="85"/>
      <c r="C104" s="85"/>
      <c r="D104" s="85"/>
      <c r="E104" s="85"/>
      <c r="F104" s="85"/>
      <c r="G104" s="85"/>
      <c r="H104" s="85"/>
      <c r="I104" s="85"/>
      <c r="J104" s="85"/>
      <c r="K104" s="85"/>
      <c r="L104" s="85"/>
      <c r="M104" s="85"/>
      <c r="N104" s="85"/>
      <c r="O104" s="85"/>
      <c r="P104" s="85"/>
      <c r="Q104" s="85"/>
      <c r="R104" s="85"/>
      <c r="S104" s="85"/>
      <c r="T104" s="85"/>
      <c r="U104" s="85"/>
    </row>
    <row r="105" spans="1:21">
      <c r="A105" s="85"/>
      <c r="B105" s="85"/>
      <c r="C105" s="85"/>
      <c r="D105" s="85"/>
      <c r="E105" s="85"/>
      <c r="F105" s="85"/>
      <c r="G105" s="85"/>
      <c r="H105" s="85"/>
      <c r="I105" s="85"/>
      <c r="J105" s="85"/>
      <c r="K105" s="85"/>
      <c r="L105" s="85"/>
      <c r="M105" s="85"/>
      <c r="N105" s="85"/>
      <c r="O105" s="85"/>
      <c r="P105" s="85"/>
      <c r="Q105" s="85"/>
      <c r="R105" s="85"/>
      <c r="S105" s="85"/>
      <c r="T105" s="85"/>
      <c r="U105" s="85"/>
    </row>
    <row r="106" spans="1:21">
      <c r="A106" s="85"/>
      <c r="B106" s="85"/>
      <c r="C106" s="85"/>
      <c r="D106" s="85"/>
      <c r="E106" s="85"/>
      <c r="F106" s="85"/>
      <c r="G106" s="85"/>
      <c r="H106" s="85"/>
      <c r="I106" s="85"/>
      <c r="J106" s="85"/>
      <c r="K106" s="85"/>
      <c r="L106" s="85"/>
      <c r="M106" s="85"/>
      <c r="N106" s="85"/>
      <c r="O106" s="85"/>
      <c r="P106" s="85"/>
      <c r="Q106" s="85"/>
      <c r="R106" s="85"/>
      <c r="S106" s="85"/>
      <c r="T106" s="85"/>
      <c r="U106" s="85"/>
    </row>
    <row r="107" spans="1:21">
      <c r="A107" s="85"/>
      <c r="B107" s="85"/>
      <c r="C107" s="85"/>
      <c r="D107" s="85"/>
      <c r="E107" s="85"/>
      <c r="F107" s="85"/>
      <c r="G107" s="85"/>
      <c r="H107" s="85"/>
      <c r="I107" s="85"/>
      <c r="J107" s="85"/>
      <c r="K107" s="85"/>
      <c r="L107" s="85"/>
      <c r="M107" s="85"/>
      <c r="N107" s="85"/>
      <c r="O107" s="85"/>
      <c r="P107" s="85"/>
      <c r="Q107" s="85"/>
      <c r="R107" s="85"/>
      <c r="S107" s="85"/>
      <c r="T107" s="85"/>
      <c r="U107" s="85"/>
    </row>
    <row r="108" spans="1:21">
      <c r="A108" s="85"/>
      <c r="B108" s="85"/>
      <c r="C108" s="85"/>
      <c r="D108" s="85"/>
      <c r="E108" s="85"/>
      <c r="F108" s="85"/>
      <c r="G108" s="85"/>
      <c r="H108" s="85"/>
      <c r="I108" s="85"/>
      <c r="J108" s="85"/>
      <c r="K108" s="85"/>
      <c r="L108" s="85"/>
      <c r="M108" s="85"/>
      <c r="N108" s="85"/>
      <c r="O108" s="85"/>
      <c r="P108" s="85"/>
      <c r="Q108" s="85"/>
      <c r="R108" s="85"/>
      <c r="S108" s="85"/>
      <c r="T108" s="85"/>
      <c r="U108" s="85"/>
    </row>
    <row r="109" spans="1:21">
      <c r="A109" s="85"/>
      <c r="B109" s="85"/>
      <c r="C109" s="85"/>
      <c r="D109" s="85"/>
      <c r="E109" s="85"/>
      <c r="F109" s="85"/>
      <c r="G109" s="85"/>
      <c r="H109" s="85"/>
      <c r="I109" s="85"/>
      <c r="J109" s="85"/>
      <c r="K109" s="85"/>
      <c r="L109" s="85"/>
      <c r="M109" s="85"/>
      <c r="N109" s="85"/>
      <c r="O109" s="85"/>
      <c r="P109" s="85"/>
      <c r="Q109" s="85"/>
      <c r="R109" s="85"/>
      <c r="S109" s="85"/>
      <c r="T109" s="85"/>
      <c r="U109" s="85"/>
    </row>
    <row r="110" spans="1:21">
      <c r="A110" s="85"/>
      <c r="B110" s="85"/>
      <c r="C110" s="85"/>
      <c r="D110" s="85"/>
      <c r="E110" s="85"/>
      <c r="F110" s="85"/>
      <c r="G110" s="85"/>
      <c r="H110" s="85"/>
      <c r="I110" s="85"/>
      <c r="J110" s="85"/>
      <c r="K110" s="85"/>
      <c r="L110" s="85"/>
      <c r="M110" s="85"/>
      <c r="N110" s="85"/>
      <c r="O110" s="85"/>
      <c r="P110" s="85"/>
      <c r="Q110" s="85"/>
      <c r="R110" s="85"/>
      <c r="S110" s="85"/>
      <c r="T110" s="85"/>
      <c r="U110" s="85"/>
    </row>
    <row r="111" spans="1:21">
      <c r="A111" s="85"/>
      <c r="B111" s="85"/>
      <c r="C111" s="85"/>
      <c r="D111" s="85"/>
      <c r="E111" s="85"/>
      <c r="F111" s="85"/>
      <c r="G111" s="85"/>
      <c r="H111" s="85"/>
      <c r="I111" s="85"/>
      <c r="J111" s="85"/>
      <c r="K111" s="85"/>
      <c r="L111" s="85"/>
      <c r="M111" s="85"/>
      <c r="N111" s="85"/>
      <c r="O111" s="85"/>
      <c r="P111" s="85"/>
      <c r="Q111" s="85"/>
      <c r="R111" s="85"/>
      <c r="S111" s="85"/>
      <c r="T111" s="85"/>
      <c r="U111" s="85"/>
    </row>
    <row r="112" spans="1:21">
      <c r="A112" s="85"/>
      <c r="B112" s="85"/>
      <c r="C112" s="85"/>
      <c r="D112" s="85"/>
      <c r="E112" s="85"/>
      <c r="F112" s="85"/>
      <c r="G112" s="85"/>
      <c r="H112" s="85"/>
      <c r="I112" s="85"/>
      <c r="J112" s="85"/>
      <c r="K112" s="85"/>
      <c r="L112" s="85"/>
      <c r="M112" s="85"/>
      <c r="N112" s="85"/>
      <c r="O112" s="85"/>
      <c r="P112" s="85"/>
      <c r="Q112" s="85"/>
      <c r="R112" s="85"/>
      <c r="S112" s="85"/>
      <c r="T112" s="85"/>
      <c r="U112" s="85"/>
    </row>
    <row r="113" spans="1:21">
      <c r="A113" s="85"/>
      <c r="B113" s="85"/>
      <c r="C113" s="85"/>
      <c r="D113" s="85"/>
      <c r="E113" s="85"/>
      <c r="F113" s="85"/>
      <c r="G113" s="85"/>
      <c r="H113" s="85"/>
      <c r="I113" s="85"/>
      <c r="J113" s="85"/>
      <c r="K113" s="85"/>
      <c r="L113" s="85"/>
      <c r="M113" s="85"/>
      <c r="N113" s="85"/>
      <c r="O113" s="85"/>
      <c r="P113" s="85"/>
      <c r="Q113" s="85"/>
      <c r="R113" s="85"/>
      <c r="S113" s="85"/>
      <c r="T113" s="85"/>
      <c r="U113" s="85"/>
    </row>
    <row r="114" spans="1:21">
      <c r="A114" s="85"/>
      <c r="B114" s="85"/>
      <c r="C114" s="85"/>
      <c r="D114" s="85"/>
      <c r="E114" s="85"/>
      <c r="F114" s="85"/>
      <c r="G114" s="85"/>
      <c r="H114" s="85"/>
      <c r="I114" s="85"/>
      <c r="J114" s="85"/>
      <c r="K114" s="85"/>
      <c r="L114" s="85"/>
      <c r="M114" s="85"/>
      <c r="N114" s="85"/>
      <c r="O114" s="85"/>
      <c r="P114" s="85"/>
      <c r="Q114" s="85"/>
      <c r="R114" s="85"/>
      <c r="S114" s="85"/>
      <c r="T114" s="85"/>
      <c r="U114" s="85"/>
    </row>
    <row r="115" spans="1:21">
      <c r="A115" s="85"/>
      <c r="B115" s="85"/>
      <c r="C115" s="85"/>
      <c r="D115" s="85"/>
      <c r="E115" s="85"/>
      <c r="F115" s="85"/>
      <c r="G115" s="85"/>
      <c r="H115" s="85"/>
      <c r="I115" s="85"/>
      <c r="J115" s="85"/>
      <c r="K115" s="85"/>
      <c r="L115" s="85"/>
      <c r="M115" s="85"/>
      <c r="N115" s="85"/>
      <c r="O115" s="85"/>
      <c r="P115" s="85"/>
      <c r="Q115" s="85"/>
      <c r="R115" s="85"/>
      <c r="S115" s="85"/>
      <c r="T115" s="85"/>
      <c r="U115" s="85"/>
    </row>
    <row r="116" spans="1:21">
      <c r="A116" s="85"/>
      <c r="B116" s="85"/>
      <c r="C116" s="85"/>
      <c r="D116" s="85"/>
      <c r="E116" s="85"/>
      <c r="F116" s="85"/>
      <c r="G116" s="85"/>
      <c r="H116" s="85"/>
      <c r="I116" s="85"/>
      <c r="J116" s="85"/>
      <c r="K116" s="85"/>
      <c r="L116" s="85"/>
      <c r="M116" s="85"/>
      <c r="N116" s="85"/>
      <c r="O116" s="85"/>
      <c r="P116" s="85"/>
      <c r="Q116" s="85"/>
      <c r="R116" s="85"/>
      <c r="S116" s="85"/>
      <c r="T116" s="85"/>
      <c r="U116" s="85"/>
    </row>
    <row r="117" spans="1:21">
      <c r="A117" s="85"/>
      <c r="B117" s="85"/>
      <c r="C117" s="85"/>
      <c r="D117" s="85"/>
      <c r="E117" s="85"/>
      <c r="F117" s="85"/>
      <c r="G117" s="85"/>
      <c r="H117" s="85"/>
      <c r="I117" s="85"/>
      <c r="J117" s="85"/>
      <c r="K117" s="85"/>
      <c r="L117" s="85"/>
      <c r="M117" s="85"/>
      <c r="N117" s="85"/>
      <c r="O117" s="85"/>
      <c r="P117" s="85"/>
      <c r="Q117" s="85"/>
      <c r="R117" s="85"/>
      <c r="S117" s="85"/>
      <c r="T117" s="85"/>
      <c r="U117" s="85"/>
    </row>
    <row r="118" spans="1:21">
      <c r="A118" s="85"/>
      <c r="B118" s="85"/>
      <c r="C118" s="85"/>
      <c r="D118" s="85"/>
      <c r="E118" s="85"/>
      <c r="F118" s="85"/>
      <c r="G118" s="85"/>
      <c r="H118" s="85"/>
      <c r="I118" s="85"/>
      <c r="J118" s="85"/>
      <c r="K118" s="85"/>
      <c r="L118" s="85"/>
      <c r="M118" s="85"/>
      <c r="N118" s="85"/>
      <c r="O118" s="85"/>
      <c r="P118" s="85"/>
      <c r="Q118" s="85"/>
      <c r="R118" s="85"/>
      <c r="S118" s="85"/>
      <c r="T118" s="85"/>
      <c r="U118" s="85"/>
    </row>
    <row r="119" spans="1:21">
      <c r="A119" s="85"/>
      <c r="B119" s="85"/>
      <c r="C119" s="85"/>
      <c r="D119" s="85"/>
      <c r="E119" s="85"/>
      <c r="F119" s="85"/>
      <c r="G119" s="85"/>
      <c r="H119" s="85"/>
      <c r="I119" s="85"/>
      <c r="J119" s="85"/>
      <c r="K119" s="85"/>
      <c r="L119" s="85"/>
      <c r="M119" s="85"/>
      <c r="N119" s="85"/>
      <c r="O119" s="85"/>
      <c r="P119" s="85"/>
      <c r="Q119" s="85"/>
      <c r="R119" s="85"/>
      <c r="S119" s="85"/>
      <c r="T119" s="85"/>
      <c r="U119" s="85"/>
    </row>
    <row r="120" spans="1:21">
      <c r="A120" s="85"/>
      <c r="B120" s="85"/>
      <c r="C120" s="85"/>
      <c r="D120" s="85"/>
      <c r="E120" s="85"/>
      <c r="F120" s="85"/>
      <c r="G120" s="85"/>
      <c r="H120" s="85"/>
      <c r="I120" s="85"/>
      <c r="J120" s="85"/>
      <c r="K120" s="85"/>
      <c r="L120" s="85"/>
      <c r="M120" s="85"/>
      <c r="N120" s="85"/>
      <c r="O120" s="85"/>
      <c r="P120" s="85"/>
      <c r="Q120" s="85"/>
      <c r="R120" s="85"/>
      <c r="S120" s="85"/>
      <c r="T120" s="85"/>
      <c r="U120" s="85"/>
    </row>
    <row r="121" spans="1:21">
      <c r="A121" s="85"/>
      <c r="B121" s="85"/>
      <c r="C121" s="85"/>
      <c r="D121" s="85"/>
      <c r="E121" s="85"/>
      <c r="F121" s="85"/>
      <c r="G121" s="85"/>
      <c r="H121" s="85"/>
      <c r="I121" s="85"/>
      <c r="J121" s="85"/>
      <c r="K121" s="85"/>
      <c r="L121" s="85"/>
      <c r="M121" s="85"/>
      <c r="N121" s="85"/>
      <c r="O121" s="85"/>
      <c r="P121" s="85"/>
      <c r="Q121" s="85"/>
      <c r="R121" s="85"/>
      <c r="S121" s="85"/>
      <c r="T121" s="85"/>
      <c r="U121" s="85"/>
    </row>
    <row r="122" spans="1:21">
      <c r="A122" s="85"/>
      <c r="B122" s="85"/>
      <c r="C122" s="85"/>
      <c r="D122" s="85"/>
      <c r="E122" s="85"/>
      <c r="F122" s="85"/>
      <c r="G122" s="85"/>
      <c r="H122" s="85"/>
      <c r="I122" s="85"/>
      <c r="J122" s="85"/>
      <c r="K122" s="85"/>
      <c r="L122" s="85"/>
      <c r="M122" s="85"/>
      <c r="N122" s="85"/>
      <c r="O122" s="85"/>
      <c r="P122" s="85"/>
      <c r="Q122" s="85"/>
      <c r="R122" s="85"/>
      <c r="S122" s="85"/>
      <c r="T122" s="85"/>
      <c r="U122" s="85"/>
    </row>
    <row r="123" spans="1:21">
      <c r="A123" s="85"/>
      <c r="B123" s="85"/>
      <c r="C123" s="85"/>
      <c r="D123" s="85"/>
      <c r="E123" s="85"/>
      <c r="F123" s="85"/>
      <c r="G123" s="85"/>
      <c r="H123" s="85"/>
      <c r="I123" s="85"/>
      <c r="J123" s="85"/>
      <c r="K123" s="85"/>
      <c r="L123" s="85"/>
      <c r="M123" s="85"/>
      <c r="N123" s="85"/>
      <c r="O123" s="85"/>
      <c r="P123" s="85"/>
      <c r="Q123" s="85"/>
      <c r="R123" s="85"/>
      <c r="S123" s="85"/>
      <c r="T123" s="85"/>
      <c r="U123" s="85"/>
    </row>
    <row r="124" spans="1:21">
      <c r="A124" s="85"/>
      <c r="B124" s="85"/>
      <c r="C124" s="85"/>
      <c r="D124" s="85"/>
      <c r="E124" s="85"/>
      <c r="F124" s="85"/>
      <c r="G124" s="85"/>
      <c r="H124" s="85"/>
      <c r="I124" s="85"/>
      <c r="J124" s="85"/>
      <c r="K124" s="85"/>
      <c r="L124" s="85"/>
      <c r="M124" s="85"/>
      <c r="N124" s="85"/>
      <c r="O124" s="85"/>
      <c r="P124" s="85"/>
      <c r="Q124" s="85"/>
      <c r="R124" s="85"/>
      <c r="S124" s="85"/>
      <c r="T124" s="85"/>
      <c r="U124" s="85"/>
    </row>
    <row r="125" spans="1:21">
      <c r="A125" s="85"/>
      <c r="B125" s="85"/>
      <c r="C125" s="85"/>
      <c r="D125" s="85"/>
      <c r="E125" s="85"/>
      <c r="F125" s="85"/>
      <c r="G125" s="85"/>
      <c r="H125" s="85"/>
      <c r="I125" s="85"/>
      <c r="J125" s="85"/>
      <c r="K125" s="85"/>
      <c r="L125" s="85"/>
      <c r="M125" s="85"/>
      <c r="N125" s="85"/>
      <c r="O125" s="85"/>
      <c r="P125" s="85"/>
      <c r="Q125" s="85"/>
      <c r="R125" s="85"/>
      <c r="S125" s="85"/>
      <c r="T125" s="85"/>
      <c r="U125" s="85"/>
    </row>
    <row r="126" spans="1:21">
      <c r="A126" s="85"/>
      <c r="B126" s="85"/>
      <c r="C126" s="85"/>
      <c r="D126" s="85"/>
      <c r="E126" s="85"/>
      <c r="F126" s="85"/>
      <c r="G126" s="85"/>
      <c r="H126" s="85"/>
      <c r="I126" s="85"/>
      <c r="J126" s="85"/>
      <c r="K126" s="85"/>
      <c r="L126" s="85"/>
      <c r="M126" s="85"/>
      <c r="N126" s="85"/>
      <c r="O126" s="85"/>
      <c r="P126" s="85"/>
      <c r="Q126" s="85"/>
      <c r="R126" s="85"/>
      <c r="S126" s="85"/>
      <c r="T126" s="85"/>
      <c r="U126" s="85"/>
    </row>
    <row r="127" spans="1:21">
      <c r="A127" s="85"/>
      <c r="B127" s="85"/>
      <c r="C127" s="85"/>
      <c r="D127" s="85"/>
      <c r="E127" s="85"/>
      <c r="F127" s="85"/>
      <c r="G127" s="85"/>
      <c r="H127" s="85"/>
      <c r="I127" s="85"/>
      <c r="J127" s="85"/>
      <c r="K127" s="85"/>
      <c r="L127" s="85"/>
      <c r="M127" s="85"/>
      <c r="N127" s="85"/>
      <c r="O127" s="85"/>
      <c r="P127" s="85"/>
      <c r="Q127" s="85"/>
      <c r="R127" s="85"/>
      <c r="S127" s="85"/>
      <c r="T127" s="85"/>
      <c r="U127" s="85"/>
    </row>
    <row r="128" spans="1:21">
      <c r="A128" s="85"/>
      <c r="B128" s="85"/>
      <c r="C128" s="85"/>
      <c r="D128" s="85"/>
      <c r="E128" s="85"/>
      <c r="F128" s="85"/>
      <c r="G128" s="85"/>
      <c r="H128" s="85"/>
      <c r="I128" s="85"/>
      <c r="J128" s="85"/>
      <c r="K128" s="85"/>
      <c r="L128" s="85"/>
      <c r="M128" s="85"/>
      <c r="N128" s="85"/>
      <c r="O128" s="85"/>
      <c r="P128" s="85"/>
      <c r="Q128" s="85"/>
      <c r="R128" s="85"/>
      <c r="S128" s="85"/>
      <c r="T128" s="85"/>
      <c r="U128" s="85"/>
    </row>
    <row r="129" spans="1:21">
      <c r="A129" s="85"/>
      <c r="B129" s="85"/>
      <c r="C129" s="85"/>
      <c r="D129" s="85"/>
      <c r="E129" s="85"/>
      <c r="F129" s="85"/>
      <c r="G129" s="85"/>
      <c r="H129" s="85"/>
      <c r="I129" s="85"/>
      <c r="J129" s="85"/>
      <c r="K129" s="85"/>
      <c r="L129" s="85"/>
      <c r="M129" s="85"/>
      <c r="N129" s="85"/>
      <c r="O129" s="85"/>
      <c r="P129" s="85"/>
      <c r="Q129" s="85"/>
      <c r="R129" s="85"/>
      <c r="S129" s="85"/>
      <c r="T129" s="85"/>
      <c r="U129" s="85"/>
    </row>
    <row r="130" spans="1:21">
      <c r="A130" s="85"/>
      <c r="B130" s="85"/>
      <c r="C130" s="85"/>
      <c r="D130" s="85"/>
      <c r="E130" s="85"/>
      <c r="F130" s="85"/>
      <c r="G130" s="85"/>
      <c r="H130" s="85"/>
      <c r="I130" s="85"/>
      <c r="J130" s="85"/>
      <c r="K130" s="85"/>
      <c r="L130" s="85"/>
      <c r="M130" s="85"/>
      <c r="N130" s="85"/>
      <c r="O130" s="85"/>
      <c r="P130" s="85"/>
      <c r="Q130" s="85"/>
      <c r="R130" s="85"/>
      <c r="S130" s="85"/>
      <c r="T130" s="85"/>
      <c r="U130" s="85"/>
    </row>
    <row r="131" spans="1:21">
      <c r="A131" s="85"/>
      <c r="B131" s="85"/>
      <c r="C131" s="85"/>
      <c r="D131" s="85"/>
      <c r="E131" s="85"/>
      <c r="F131" s="85"/>
      <c r="G131" s="85"/>
      <c r="H131" s="85"/>
      <c r="I131" s="85"/>
      <c r="J131" s="85"/>
      <c r="K131" s="85"/>
      <c r="L131" s="85"/>
      <c r="M131" s="85"/>
      <c r="N131" s="85"/>
      <c r="O131" s="85"/>
      <c r="P131" s="85"/>
      <c r="Q131" s="85"/>
      <c r="R131" s="85"/>
      <c r="S131" s="85"/>
      <c r="T131" s="85"/>
      <c r="U131" s="85"/>
    </row>
    <row r="132" spans="1:21">
      <c r="A132" s="85"/>
      <c r="B132" s="85"/>
      <c r="C132" s="85"/>
      <c r="D132" s="85"/>
      <c r="E132" s="85"/>
      <c r="F132" s="85"/>
      <c r="G132" s="85"/>
      <c r="H132" s="85"/>
      <c r="I132" s="85"/>
      <c r="J132" s="85"/>
      <c r="K132" s="85"/>
      <c r="L132" s="85"/>
      <c r="M132" s="85"/>
      <c r="N132" s="85"/>
      <c r="O132" s="85"/>
      <c r="P132" s="85"/>
      <c r="Q132" s="85"/>
      <c r="R132" s="85"/>
      <c r="S132" s="85"/>
      <c r="T132" s="85"/>
      <c r="U132" s="85"/>
    </row>
    <row r="133" spans="1:21">
      <c r="A133" s="85"/>
      <c r="B133" s="85"/>
      <c r="C133" s="85"/>
      <c r="D133" s="85"/>
      <c r="E133" s="85"/>
      <c r="F133" s="85"/>
      <c r="G133" s="85"/>
      <c r="H133" s="85"/>
      <c r="I133" s="85"/>
      <c r="J133" s="85"/>
      <c r="K133" s="85"/>
      <c r="L133" s="85"/>
      <c r="M133" s="85"/>
      <c r="N133" s="85"/>
      <c r="O133" s="85"/>
      <c r="P133" s="85"/>
      <c r="Q133" s="85"/>
      <c r="R133" s="85"/>
      <c r="S133" s="85"/>
      <c r="T133" s="85"/>
      <c r="U133" s="85"/>
    </row>
    <row r="134" spans="1:21">
      <c r="A134" s="85"/>
      <c r="B134" s="85"/>
      <c r="C134" s="85"/>
      <c r="D134" s="85"/>
      <c r="E134" s="85"/>
      <c r="F134" s="85"/>
      <c r="G134" s="85"/>
      <c r="H134" s="85"/>
      <c r="I134" s="85"/>
      <c r="J134" s="85"/>
      <c r="K134" s="85"/>
      <c r="L134" s="85"/>
      <c r="M134" s="85"/>
      <c r="N134" s="85"/>
      <c r="O134" s="85"/>
      <c r="P134" s="85"/>
      <c r="Q134" s="85"/>
      <c r="R134" s="85"/>
      <c r="S134" s="85"/>
      <c r="T134" s="85"/>
      <c r="U134" s="85"/>
    </row>
    <row r="135" spans="1:21">
      <c r="A135" s="85"/>
      <c r="B135" s="85"/>
      <c r="C135" s="85"/>
      <c r="D135" s="85"/>
      <c r="E135" s="85"/>
      <c r="F135" s="85"/>
      <c r="G135" s="85"/>
      <c r="H135" s="85"/>
      <c r="I135" s="85"/>
      <c r="J135" s="85"/>
      <c r="K135" s="85"/>
      <c r="L135" s="85"/>
      <c r="M135" s="85"/>
      <c r="N135" s="85"/>
      <c r="O135" s="85"/>
      <c r="P135" s="85"/>
      <c r="Q135" s="85"/>
      <c r="R135" s="85"/>
      <c r="S135" s="85"/>
      <c r="T135" s="85"/>
      <c r="U135" s="85"/>
    </row>
    <row r="136" spans="1:21">
      <c r="A136" s="85"/>
      <c r="B136" s="85"/>
      <c r="C136" s="85"/>
      <c r="D136" s="85"/>
      <c r="E136" s="85"/>
      <c r="F136" s="85"/>
      <c r="G136" s="85"/>
      <c r="H136" s="85"/>
      <c r="I136" s="85"/>
      <c r="J136" s="85"/>
      <c r="K136" s="85"/>
      <c r="L136" s="85"/>
      <c r="M136" s="85"/>
      <c r="N136" s="85"/>
      <c r="O136" s="85"/>
      <c r="P136" s="85"/>
      <c r="Q136" s="85"/>
      <c r="R136" s="85"/>
      <c r="S136" s="85"/>
      <c r="T136" s="85"/>
      <c r="U136" s="85"/>
    </row>
    <row r="137" spans="1:21">
      <c r="A137" s="85"/>
      <c r="B137" s="85"/>
      <c r="C137" s="85"/>
      <c r="D137" s="85"/>
      <c r="E137" s="85"/>
      <c r="F137" s="85"/>
      <c r="G137" s="85"/>
      <c r="H137" s="85"/>
      <c r="I137" s="85"/>
      <c r="J137" s="85"/>
      <c r="K137" s="85"/>
      <c r="L137" s="85"/>
      <c r="M137" s="85"/>
      <c r="N137" s="85"/>
      <c r="O137" s="85"/>
      <c r="P137" s="85"/>
      <c r="Q137" s="85"/>
      <c r="R137" s="85"/>
      <c r="S137" s="85"/>
      <c r="T137" s="85"/>
      <c r="U137" s="85"/>
    </row>
    <row r="138" spans="1:21">
      <c r="A138" s="85"/>
      <c r="B138" s="85"/>
      <c r="C138" s="85"/>
      <c r="D138" s="85"/>
      <c r="E138" s="85"/>
      <c r="F138" s="85"/>
      <c r="G138" s="85"/>
      <c r="H138" s="85"/>
      <c r="I138" s="85"/>
      <c r="J138" s="85"/>
      <c r="K138" s="85"/>
      <c r="L138" s="85"/>
      <c r="M138" s="85"/>
      <c r="N138" s="85"/>
      <c r="O138" s="85"/>
      <c r="P138" s="85"/>
      <c r="Q138" s="85"/>
      <c r="R138" s="85"/>
      <c r="S138" s="85"/>
      <c r="T138" s="85"/>
      <c r="U138" s="85"/>
    </row>
    <row r="139" spans="1:21">
      <c r="A139" s="85"/>
      <c r="B139" s="85"/>
      <c r="C139" s="85"/>
      <c r="D139" s="85"/>
      <c r="E139" s="85"/>
      <c r="F139" s="85"/>
      <c r="G139" s="85"/>
      <c r="H139" s="85"/>
      <c r="I139" s="85"/>
      <c r="J139" s="85"/>
      <c r="K139" s="85"/>
      <c r="L139" s="85"/>
      <c r="M139" s="85"/>
      <c r="N139" s="85"/>
      <c r="O139" s="85"/>
      <c r="P139" s="85"/>
      <c r="Q139" s="85"/>
      <c r="R139" s="85"/>
      <c r="S139" s="85"/>
      <c r="T139" s="85"/>
      <c r="U139" s="85"/>
    </row>
    <row r="140" spans="1:21">
      <c r="A140" s="85"/>
      <c r="B140" s="85"/>
      <c r="C140" s="85"/>
      <c r="D140" s="85"/>
      <c r="E140" s="85"/>
      <c r="F140" s="85"/>
      <c r="G140" s="85"/>
      <c r="H140" s="85"/>
      <c r="I140" s="85"/>
      <c r="J140" s="85"/>
      <c r="K140" s="85"/>
      <c r="L140" s="85"/>
      <c r="M140" s="85"/>
      <c r="N140" s="85"/>
      <c r="O140" s="85"/>
      <c r="P140" s="85"/>
      <c r="Q140" s="85"/>
      <c r="R140" s="85"/>
      <c r="S140" s="85"/>
      <c r="T140" s="85"/>
      <c r="U140" s="85"/>
    </row>
    <row r="141" spans="1:21">
      <c r="A141" s="85"/>
      <c r="B141" s="85"/>
      <c r="C141" s="85"/>
      <c r="D141" s="85"/>
      <c r="E141" s="85"/>
      <c r="F141" s="85"/>
      <c r="G141" s="85"/>
      <c r="H141" s="85"/>
      <c r="I141" s="85"/>
      <c r="J141" s="85"/>
      <c r="K141" s="85"/>
      <c r="L141" s="85"/>
      <c r="M141" s="85"/>
      <c r="N141" s="85"/>
      <c r="O141" s="85"/>
      <c r="P141" s="85"/>
      <c r="Q141" s="85"/>
      <c r="R141" s="85"/>
      <c r="S141" s="85"/>
      <c r="T141" s="85"/>
      <c r="U141" s="85"/>
    </row>
    <row r="142" spans="1:21">
      <c r="A142" s="85"/>
      <c r="B142" s="85"/>
      <c r="C142" s="85"/>
      <c r="D142" s="85"/>
      <c r="E142" s="85"/>
      <c r="F142" s="85"/>
      <c r="G142" s="85"/>
      <c r="H142" s="85"/>
      <c r="I142" s="85"/>
      <c r="J142" s="85"/>
      <c r="K142" s="85"/>
      <c r="L142" s="85"/>
      <c r="M142" s="85"/>
      <c r="N142" s="85"/>
      <c r="O142" s="85"/>
      <c r="P142" s="85"/>
      <c r="Q142" s="85"/>
      <c r="R142" s="85"/>
      <c r="S142" s="85"/>
      <c r="T142" s="85"/>
      <c r="U142" s="85"/>
    </row>
    <row r="143" spans="1:21">
      <c r="A143" s="85"/>
      <c r="B143" s="85"/>
      <c r="C143" s="85"/>
      <c r="D143" s="85"/>
      <c r="E143" s="85"/>
      <c r="F143" s="85"/>
      <c r="G143" s="85"/>
      <c r="H143" s="85"/>
      <c r="I143" s="85"/>
      <c r="J143" s="85"/>
      <c r="K143" s="85"/>
      <c r="L143" s="85"/>
      <c r="M143" s="85"/>
      <c r="N143" s="85"/>
      <c r="O143" s="85"/>
      <c r="P143" s="85"/>
      <c r="Q143" s="85"/>
      <c r="R143" s="85"/>
      <c r="S143" s="85"/>
      <c r="T143" s="85"/>
      <c r="U143" s="85"/>
    </row>
    <row r="144" spans="1:21">
      <c r="A144" s="85"/>
      <c r="B144" s="85"/>
      <c r="C144" s="85"/>
      <c r="D144" s="85"/>
      <c r="E144" s="85"/>
      <c r="F144" s="85"/>
      <c r="G144" s="85"/>
      <c r="H144" s="85"/>
      <c r="I144" s="85"/>
      <c r="J144" s="85"/>
      <c r="K144" s="85"/>
      <c r="L144" s="85"/>
      <c r="M144" s="85"/>
      <c r="N144" s="85"/>
      <c r="O144" s="85"/>
      <c r="P144" s="85"/>
      <c r="Q144" s="85"/>
      <c r="R144" s="85"/>
      <c r="S144" s="85"/>
      <c r="T144" s="85"/>
      <c r="U144" s="85"/>
    </row>
    <row r="145" spans="1:21">
      <c r="A145" s="85"/>
      <c r="B145" s="85"/>
      <c r="C145" s="85"/>
      <c r="D145" s="85"/>
      <c r="E145" s="85"/>
      <c r="F145" s="85"/>
      <c r="G145" s="85"/>
      <c r="H145" s="85"/>
      <c r="I145" s="85"/>
      <c r="J145" s="85"/>
      <c r="K145" s="85"/>
      <c r="L145" s="85"/>
      <c r="M145" s="85"/>
      <c r="N145" s="85"/>
      <c r="O145" s="85"/>
      <c r="P145" s="85"/>
      <c r="Q145" s="85"/>
      <c r="R145" s="85"/>
      <c r="S145" s="85"/>
      <c r="T145" s="85"/>
      <c r="U145" s="85"/>
    </row>
    <row r="146" spans="1:21">
      <c r="A146" s="85"/>
      <c r="B146" s="85"/>
      <c r="C146" s="85"/>
      <c r="D146" s="85"/>
      <c r="E146" s="85"/>
      <c r="F146" s="85"/>
      <c r="G146" s="85"/>
      <c r="H146" s="85"/>
      <c r="I146" s="85"/>
      <c r="J146" s="85"/>
      <c r="K146" s="85"/>
      <c r="L146" s="85"/>
      <c r="M146" s="85"/>
      <c r="N146" s="85"/>
      <c r="O146" s="85"/>
      <c r="P146" s="85"/>
      <c r="Q146" s="85"/>
      <c r="R146" s="85"/>
      <c r="S146" s="85"/>
      <c r="T146" s="85"/>
      <c r="U146" s="85"/>
    </row>
    <row r="147" spans="1:21">
      <c r="A147" s="85"/>
      <c r="B147" s="85"/>
      <c r="C147" s="85"/>
      <c r="D147" s="85"/>
      <c r="E147" s="85"/>
      <c r="F147" s="85"/>
      <c r="G147" s="85"/>
      <c r="H147" s="85"/>
      <c r="I147" s="85"/>
      <c r="J147" s="85"/>
      <c r="K147" s="85"/>
      <c r="L147" s="85"/>
      <c r="M147" s="85"/>
      <c r="N147" s="85"/>
      <c r="O147" s="85"/>
      <c r="P147" s="85"/>
      <c r="Q147" s="85"/>
      <c r="R147" s="85"/>
      <c r="S147" s="85"/>
      <c r="T147" s="85"/>
      <c r="U147" s="85"/>
    </row>
    <row r="148" spans="1:21">
      <c r="A148" s="85"/>
      <c r="B148" s="85"/>
      <c r="C148" s="85"/>
      <c r="D148" s="85"/>
      <c r="E148" s="85"/>
      <c r="F148" s="85"/>
      <c r="G148" s="85"/>
      <c r="H148" s="85"/>
      <c r="I148" s="85"/>
      <c r="J148" s="85"/>
      <c r="K148" s="85"/>
      <c r="L148" s="85"/>
      <c r="M148" s="85"/>
      <c r="N148" s="85"/>
      <c r="O148" s="85"/>
      <c r="P148" s="85"/>
      <c r="Q148" s="85"/>
      <c r="R148" s="85"/>
      <c r="S148" s="85"/>
      <c r="T148" s="85"/>
      <c r="U148" s="85"/>
    </row>
    <row r="149" spans="1:21">
      <c r="A149" s="85"/>
      <c r="B149" s="85"/>
      <c r="C149" s="85"/>
      <c r="D149" s="85"/>
      <c r="E149" s="85"/>
      <c r="F149" s="85"/>
      <c r="G149" s="85"/>
      <c r="H149" s="85"/>
      <c r="I149" s="85"/>
      <c r="J149" s="85"/>
      <c r="K149" s="85"/>
      <c r="L149" s="85"/>
      <c r="M149" s="85"/>
      <c r="N149" s="85"/>
      <c r="O149" s="85"/>
      <c r="P149" s="85"/>
      <c r="Q149" s="85"/>
      <c r="R149" s="85"/>
      <c r="S149" s="85"/>
      <c r="T149" s="85"/>
      <c r="U149" s="85"/>
    </row>
    <row r="150" spans="1:21">
      <c r="A150" s="85"/>
      <c r="B150" s="85"/>
      <c r="C150" s="85"/>
      <c r="D150" s="85"/>
      <c r="E150" s="85"/>
      <c r="F150" s="85"/>
      <c r="G150" s="85"/>
      <c r="H150" s="85"/>
      <c r="I150" s="85"/>
      <c r="J150" s="85"/>
      <c r="K150" s="85"/>
      <c r="L150" s="85"/>
      <c r="M150" s="85"/>
      <c r="N150" s="85"/>
      <c r="O150" s="85"/>
      <c r="P150" s="85"/>
      <c r="Q150" s="85"/>
      <c r="R150" s="85"/>
      <c r="S150" s="85"/>
      <c r="T150" s="85"/>
      <c r="U150" s="85"/>
    </row>
    <row r="151" spans="1:21">
      <c r="A151" s="85"/>
      <c r="B151" s="85"/>
      <c r="C151" s="85"/>
      <c r="D151" s="85"/>
      <c r="E151" s="85"/>
      <c r="F151" s="85"/>
      <c r="G151" s="85"/>
      <c r="H151" s="85"/>
      <c r="I151" s="85"/>
      <c r="J151" s="85"/>
      <c r="K151" s="85"/>
      <c r="L151" s="85"/>
      <c r="M151" s="85"/>
      <c r="N151" s="85"/>
      <c r="O151" s="85"/>
      <c r="P151" s="85"/>
      <c r="Q151" s="85"/>
      <c r="R151" s="85"/>
      <c r="S151" s="85"/>
      <c r="T151" s="85"/>
      <c r="U151" s="85"/>
    </row>
    <row r="152" spans="1:21">
      <c r="A152" s="85"/>
      <c r="B152" s="85"/>
      <c r="C152" s="85"/>
      <c r="D152" s="85"/>
      <c r="E152" s="85"/>
      <c r="F152" s="85"/>
      <c r="G152" s="85"/>
      <c r="H152" s="85"/>
      <c r="I152" s="85"/>
      <c r="J152" s="85"/>
      <c r="K152" s="85"/>
      <c r="L152" s="85"/>
      <c r="M152" s="85"/>
      <c r="N152" s="85"/>
      <c r="O152" s="85"/>
      <c r="P152" s="85"/>
      <c r="Q152" s="85"/>
      <c r="R152" s="85"/>
      <c r="S152" s="85"/>
      <c r="T152" s="85"/>
      <c r="U152" s="85"/>
    </row>
    <row r="153" spans="1:21">
      <c r="A153" s="85"/>
      <c r="B153" s="85"/>
      <c r="C153" s="85"/>
      <c r="D153" s="85"/>
      <c r="E153" s="85"/>
      <c r="F153" s="85"/>
      <c r="G153" s="85"/>
      <c r="H153" s="85"/>
      <c r="I153" s="85"/>
      <c r="J153" s="85"/>
      <c r="K153" s="85"/>
      <c r="L153" s="85"/>
      <c r="M153" s="85"/>
      <c r="N153" s="85"/>
      <c r="O153" s="85"/>
      <c r="P153" s="85"/>
      <c r="Q153" s="85"/>
      <c r="R153" s="85"/>
      <c r="S153" s="85"/>
      <c r="T153" s="85"/>
      <c r="U153" s="85"/>
    </row>
    <row r="154" spans="1:21">
      <c r="A154" s="85"/>
      <c r="B154" s="85"/>
      <c r="C154" s="85"/>
      <c r="D154" s="85"/>
      <c r="E154" s="85"/>
      <c r="F154" s="85"/>
      <c r="G154" s="85"/>
      <c r="H154" s="85"/>
      <c r="I154" s="85"/>
      <c r="J154" s="85"/>
      <c r="K154" s="85"/>
      <c r="L154" s="85"/>
      <c r="M154" s="85"/>
      <c r="N154" s="85"/>
      <c r="O154" s="85"/>
      <c r="P154" s="85"/>
      <c r="Q154" s="85"/>
      <c r="R154" s="85"/>
      <c r="S154" s="85"/>
      <c r="T154" s="85"/>
      <c r="U154" s="85"/>
    </row>
    <row r="155" spans="1:21">
      <c r="A155" s="85"/>
      <c r="B155" s="85"/>
      <c r="C155" s="85"/>
      <c r="D155" s="85"/>
      <c r="E155" s="85"/>
      <c r="F155" s="85"/>
      <c r="G155" s="85"/>
      <c r="H155" s="85"/>
      <c r="I155" s="85"/>
      <c r="J155" s="85"/>
      <c r="K155" s="85"/>
      <c r="L155" s="85"/>
      <c r="M155" s="85"/>
      <c r="N155" s="85"/>
      <c r="O155" s="85"/>
      <c r="P155" s="85"/>
      <c r="Q155" s="85"/>
      <c r="R155" s="85"/>
      <c r="S155" s="85"/>
      <c r="T155" s="85"/>
      <c r="U155" s="85"/>
    </row>
    <row r="156" spans="1:21">
      <c r="A156" s="85"/>
      <c r="B156" s="85"/>
      <c r="C156" s="85"/>
      <c r="D156" s="85"/>
      <c r="E156" s="85"/>
      <c r="F156" s="85"/>
      <c r="G156" s="85"/>
      <c r="H156" s="85"/>
      <c r="I156" s="85"/>
      <c r="J156" s="85"/>
      <c r="K156" s="85"/>
      <c r="L156" s="85"/>
      <c r="M156" s="85"/>
      <c r="N156" s="85"/>
      <c r="O156" s="85"/>
      <c r="P156" s="85"/>
      <c r="Q156" s="85"/>
      <c r="R156" s="85"/>
      <c r="S156" s="85"/>
      <c r="T156" s="85"/>
      <c r="U156" s="85"/>
    </row>
    <row r="157" spans="1:21">
      <c r="A157" s="85"/>
      <c r="B157" s="85"/>
      <c r="C157" s="85"/>
      <c r="D157" s="85"/>
      <c r="E157" s="85"/>
      <c r="F157" s="85"/>
      <c r="G157" s="85"/>
      <c r="H157" s="85"/>
      <c r="I157" s="85"/>
      <c r="J157" s="85"/>
      <c r="K157" s="85"/>
      <c r="L157" s="85"/>
      <c r="M157" s="85"/>
      <c r="N157" s="85"/>
      <c r="O157" s="85"/>
      <c r="P157" s="85"/>
      <c r="Q157" s="85"/>
      <c r="R157" s="85"/>
      <c r="S157" s="85"/>
      <c r="T157" s="85"/>
      <c r="U157" s="85"/>
    </row>
    <row r="158" spans="1:21">
      <c r="A158" s="85"/>
      <c r="B158" s="85"/>
      <c r="C158" s="85"/>
      <c r="D158" s="85"/>
      <c r="E158" s="85"/>
      <c r="F158" s="85"/>
      <c r="G158" s="85"/>
      <c r="H158" s="85"/>
      <c r="I158" s="85"/>
      <c r="J158" s="85"/>
      <c r="K158" s="85"/>
      <c r="L158" s="85"/>
      <c r="M158" s="85"/>
      <c r="N158" s="85"/>
      <c r="O158" s="85"/>
      <c r="P158" s="85"/>
      <c r="Q158" s="85"/>
      <c r="R158" s="85"/>
      <c r="S158" s="85"/>
      <c r="T158" s="85"/>
      <c r="U158" s="85"/>
    </row>
    <row r="159" spans="1:21">
      <c r="A159" s="85"/>
      <c r="B159" s="85"/>
      <c r="C159" s="85"/>
      <c r="D159" s="85"/>
      <c r="E159" s="85"/>
      <c r="F159" s="85"/>
      <c r="G159" s="85"/>
      <c r="H159" s="85"/>
      <c r="I159" s="85"/>
      <c r="J159" s="85"/>
      <c r="K159" s="85"/>
      <c r="L159" s="85"/>
      <c r="M159" s="85"/>
      <c r="N159" s="85"/>
      <c r="O159" s="85"/>
      <c r="P159" s="85"/>
      <c r="Q159" s="85"/>
      <c r="R159" s="85"/>
      <c r="S159" s="85"/>
      <c r="T159" s="85"/>
      <c r="U159" s="85"/>
    </row>
    <row r="160" spans="1:21">
      <c r="A160" s="85"/>
      <c r="B160" s="85"/>
      <c r="C160" s="85"/>
      <c r="D160" s="85"/>
      <c r="E160" s="85"/>
      <c r="F160" s="85"/>
      <c r="G160" s="85"/>
      <c r="H160" s="85"/>
      <c r="I160" s="85"/>
      <c r="J160" s="85"/>
      <c r="K160" s="85"/>
      <c r="L160" s="85"/>
      <c r="M160" s="85"/>
      <c r="N160" s="85"/>
      <c r="O160" s="85"/>
      <c r="P160" s="85"/>
      <c r="Q160" s="85"/>
      <c r="R160" s="85"/>
      <c r="S160" s="85"/>
      <c r="T160" s="85"/>
      <c r="U160" s="85"/>
    </row>
    <row r="161" spans="1:21">
      <c r="A161" s="85"/>
      <c r="B161" s="85"/>
      <c r="C161" s="85"/>
      <c r="D161" s="85"/>
      <c r="E161" s="85"/>
      <c r="F161" s="85"/>
      <c r="G161" s="85"/>
      <c r="H161" s="85"/>
      <c r="I161" s="85"/>
      <c r="J161" s="85"/>
      <c r="K161" s="85"/>
      <c r="L161" s="85"/>
      <c r="M161" s="85"/>
      <c r="N161" s="85"/>
      <c r="O161" s="85"/>
      <c r="P161" s="85"/>
      <c r="Q161" s="85"/>
      <c r="R161" s="85"/>
      <c r="S161" s="85"/>
      <c r="T161" s="85"/>
      <c r="U161" s="85"/>
    </row>
    <row r="162" spans="1:21">
      <c r="A162" s="85"/>
      <c r="B162" s="85"/>
      <c r="C162" s="85"/>
      <c r="D162" s="85"/>
      <c r="E162" s="85"/>
      <c r="F162" s="85"/>
      <c r="G162" s="85"/>
      <c r="H162" s="85"/>
      <c r="I162" s="85"/>
      <c r="J162" s="85"/>
      <c r="K162" s="85"/>
      <c r="L162" s="85"/>
      <c r="M162" s="85"/>
      <c r="N162" s="85"/>
      <c r="O162" s="85"/>
      <c r="P162" s="85"/>
      <c r="Q162" s="85"/>
      <c r="R162" s="85"/>
      <c r="S162" s="85"/>
      <c r="T162" s="85"/>
      <c r="U162" s="85"/>
    </row>
    <row r="163" spans="1:21">
      <c r="A163" s="85"/>
      <c r="B163" s="85"/>
      <c r="C163" s="85"/>
      <c r="D163" s="85"/>
      <c r="E163" s="85"/>
      <c r="F163" s="85"/>
      <c r="G163" s="85"/>
      <c r="H163" s="85"/>
      <c r="I163" s="85"/>
      <c r="J163" s="85"/>
      <c r="K163" s="85"/>
      <c r="L163" s="85"/>
      <c r="M163" s="85"/>
      <c r="N163" s="85"/>
      <c r="O163" s="85"/>
      <c r="P163" s="85"/>
      <c r="Q163" s="85"/>
      <c r="R163" s="85"/>
      <c r="S163" s="85"/>
      <c r="T163" s="85"/>
      <c r="U163" s="85"/>
    </row>
    <row r="164" spans="1:21">
      <c r="A164" s="85"/>
      <c r="B164" s="85"/>
      <c r="C164" s="85"/>
      <c r="D164" s="85"/>
      <c r="E164" s="85"/>
      <c r="F164" s="85"/>
      <c r="G164" s="85"/>
      <c r="H164" s="85"/>
      <c r="I164" s="85"/>
      <c r="J164" s="85"/>
      <c r="K164" s="85"/>
      <c r="L164" s="85"/>
      <c r="M164" s="85"/>
      <c r="N164" s="85"/>
      <c r="O164" s="85"/>
      <c r="P164" s="85"/>
      <c r="Q164" s="85"/>
      <c r="R164" s="85"/>
      <c r="S164" s="85"/>
      <c r="T164" s="85"/>
      <c r="U164" s="85"/>
    </row>
    <row r="165" spans="1:21">
      <c r="A165" s="85"/>
      <c r="B165" s="85"/>
      <c r="C165" s="85"/>
      <c r="D165" s="85"/>
      <c r="E165" s="85"/>
      <c r="F165" s="85"/>
      <c r="G165" s="85"/>
      <c r="H165" s="85"/>
      <c r="I165" s="85"/>
      <c r="J165" s="85"/>
      <c r="K165" s="85"/>
      <c r="L165" s="85"/>
      <c r="M165" s="85"/>
      <c r="N165" s="85"/>
      <c r="O165" s="85"/>
      <c r="P165" s="85"/>
      <c r="Q165" s="85"/>
      <c r="R165" s="85"/>
      <c r="S165" s="85"/>
      <c r="T165" s="85"/>
      <c r="U165" s="85"/>
    </row>
    <row r="166" spans="1:21">
      <c r="A166" s="85"/>
      <c r="B166" s="85"/>
      <c r="C166" s="85"/>
      <c r="D166" s="85"/>
      <c r="E166" s="85"/>
      <c r="F166" s="85"/>
      <c r="G166" s="85"/>
      <c r="H166" s="85"/>
      <c r="I166" s="85"/>
      <c r="J166" s="85"/>
      <c r="K166" s="85"/>
      <c r="L166" s="85"/>
      <c r="M166" s="85"/>
      <c r="N166" s="85"/>
      <c r="O166" s="85"/>
      <c r="P166" s="85"/>
      <c r="Q166" s="85"/>
      <c r="R166" s="85"/>
      <c r="S166" s="85"/>
      <c r="T166" s="85"/>
      <c r="U166" s="85"/>
    </row>
    <row r="167" spans="1:21">
      <c r="A167" s="85"/>
      <c r="B167" s="85"/>
      <c r="C167" s="85"/>
      <c r="D167" s="85"/>
      <c r="E167" s="85"/>
      <c r="F167" s="85"/>
      <c r="G167" s="85"/>
      <c r="H167" s="85"/>
      <c r="I167" s="85"/>
      <c r="J167" s="85"/>
      <c r="K167" s="85"/>
      <c r="L167" s="85"/>
      <c r="M167" s="85"/>
      <c r="N167" s="85"/>
      <c r="O167" s="85"/>
      <c r="P167" s="85"/>
      <c r="Q167" s="85"/>
      <c r="R167" s="85"/>
      <c r="S167" s="85"/>
      <c r="T167" s="85"/>
      <c r="U167" s="85"/>
    </row>
    <row r="168" spans="1:21">
      <c r="A168" s="85"/>
      <c r="B168" s="85"/>
      <c r="C168" s="85"/>
      <c r="D168" s="85"/>
      <c r="E168" s="85"/>
      <c r="F168" s="85"/>
      <c r="G168" s="85"/>
      <c r="H168" s="85"/>
      <c r="I168" s="85"/>
      <c r="J168" s="85"/>
      <c r="K168" s="85"/>
      <c r="L168" s="85"/>
      <c r="M168" s="85"/>
      <c r="N168" s="85"/>
      <c r="O168" s="85"/>
      <c r="P168" s="85"/>
      <c r="Q168" s="85"/>
      <c r="R168" s="85"/>
      <c r="S168" s="85"/>
      <c r="T168" s="85"/>
      <c r="U168" s="85"/>
    </row>
    <row r="169" spans="1:21">
      <c r="A169" s="85"/>
      <c r="B169" s="85"/>
      <c r="C169" s="85"/>
      <c r="D169" s="85"/>
      <c r="E169" s="85"/>
      <c r="F169" s="85"/>
      <c r="G169" s="85"/>
      <c r="H169" s="85"/>
      <c r="I169" s="85"/>
      <c r="J169" s="85"/>
      <c r="K169" s="85"/>
      <c r="L169" s="85"/>
      <c r="M169" s="85"/>
      <c r="N169" s="85"/>
      <c r="O169" s="85"/>
      <c r="P169" s="85"/>
      <c r="Q169" s="85"/>
      <c r="R169" s="85"/>
      <c r="S169" s="85"/>
      <c r="T169" s="85"/>
      <c r="U169" s="85"/>
    </row>
    <row r="170" spans="1:21">
      <c r="A170" s="85"/>
      <c r="B170" s="85"/>
      <c r="C170" s="85"/>
      <c r="D170" s="85"/>
      <c r="E170" s="85"/>
      <c r="F170" s="85"/>
      <c r="G170" s="85"/>
      <c r="H170" s="85"/>
      <c r="I170" s="85"/>
      <c r="J170" s="85"/>
      <c r="K170" s="85"/>
      <c r="L170" s="85"/>
      <c r="M170" s="85"/>
      <c r="N170" s="85"/>
      <c r="O170" s="85"/>
      <c r="P170" s="85"/>
      <c r="Q170" s="85"/>
      <c r="R170" s="85"/>
      <c r="S170" s="85"/>
      <c r="T170" s="85"/>
      <c r="U170" s="85"/>
    </row>
    <row r="171" spans="1:21">
      <c r="A171" s="85"/>
      <c r="B171" s="85"/>
      <c r="C171" s="85"/>
      <c r="D171" s="85"/>
      <c r="E171" s="85"/>
      <c r="F171" s="85"/>
      <c r="G171" s="85"/>
      <c r="H171" s="85"/>
      <c r="I171" s="85"/>
      <c r="J171" s="85"/>
      <c r="K171" s="85"/>
      <c r="L171" s="85"/>
      <c r="M171" s="85"/>
      <c r="N171" s="85"/>
      <c r="O171" s="85"/>
      <c r="P171" s="85"/>
      <c r="Q171" s="85"/>
      <c r="R171" s="85"/>
      <c r="S171" s="85"/>
      <c r="T171" s="85"/>
      <c r="U171" s="85"/>
    </row>
    <row r="172" spans="1:21">
      <c r="A172" s="85"/>
      <c r="B172" s="85"/>
      <c r="C172" s="85"/>
      <c r="D172" s="85"/>
      <c r="E172" s="85"/>
      <c r="F172" s="85"/>
      <c r="G172" s="85"/>
      <c r="H172" s="85"/>
      <c r="I172" s="85"/>
      <c r="J172" s="85"/>
      <c r="K172" s="85"/>
      <c r="L172" s="85"/>
      <c r="M172" s="85"/>
      <c r="N172" s="85"/>
      <c r="O172" s="85"/>
      <c r="P172" s="85"/>
      <c r="Q172" s="85"/>
      <c r="R172" s="85"/>
      <c r="S172" s="85"/>
      <c r="T172" s="85"/>
      <c r="U172" s="85"/>
    </row>
    <row r="173" spans="1:21">
      <c r="A173" s="85"/>
      <c r="B173" s="85"/>
      <c r="C173" s="85"/>
      <c r="D173" s="85"/>
      <c r="E173" s="85"/>
      <c r="F173" s="85"/>
      <c r="G173" s="85"/>
      <c r="H173" s="85"/>
      <c r="I173" s="85"/>
      <c r="J173" s="85"/>
      <c r="K173" s="85"/>
      <c r="L173" s="85"/>
      <c r="M173" s="85"/>
      <c r="N173" s="85"/>
      <c r="O173" s="85"/>
      <c r="P173" s="85"/>
      <c r="Q173" s="85"/>
      <c r="R173" s="85"/>
      <c r="S173" s="85"/>
      <c r="T173" s="85"/>
      <c r="U173" s="85"/>
    </row>
    <row r="174" spans="1:21">
      <c r="A174" s="85"/>
      <c r="B174" s="85"/>
      <c r="C174" s="85"/>
      <c r="D174" s="85"/>
      <c r="E174" s="85"/>
      <c r="F174" s="85"/>
      <c r="G174" s="85"/>
      <c r="H174" s="85"/>
      <c r="I174" s="85"/>
      <c r="J174" s="85"/>
      <c r="K174" s="85"/>
      <c r="L174" s="85"/>
      <c r="M174" s="85"/>
      <c r="N174" s="85"/>
      <c r="O174" s="85"/>
      <c r="P174" s="85"/>
      <c r="Q174" s="85"/>
      <c r="R174" s="85"/>
      <c r="S174" s="85"/>
      <c r="T174" s="85"/>
      <c r="U174" s="85"/>
    </row>
    <row r="175" spans="1:21">
      <c r="A175" s="85"/>
      <c r="B175" s="85"/>
      <c r="C175" s="85"/>
      <c r="D175" s="85"/>
      <c r="E175" s="85"/>
      <c r="F175" s="85"/>
      <c r="G175" s="85"/>
      <c r="H175" s="85"/>
      <c r="I175" s="85"/>
      <c r="J175" s="85"/>
      <c r="K175" s="85"/>
      <c r="L175" s="85"/>
      <c r="M175" s="85"/>
      <c r="N175" s="85"/>
      <c r="O175" s="85"/>
      <c r="P175" s="85"/>
      <c r="Q175" s="85"/>
      <c r="R175" s="85"/>
      <c r="S175" s="85"/>
      <c r="T175" s="85"/>
      <c r="U175" s="85"/>
    </row>
    <row r="176" spans="1:21">
      <c r="A176" s="85"/>
      <c r="B176" s="85"/>
      <c r="C176" s="85"/>
      <c r="D176" s="85"/>
      <c r="E176" s="85"/>
      <c r="F176" s="85"/>
      <c r="G176" s="85"/>
      <c r="H176" s="85"/>
      <c r="I176" s="85"/>
      <c r="J176" s="85"/>
      <c r="K176" s="85"/>
      <c r="L176" s="85"/>
      <c r="M176" s="85"/>
      <c r="N176" s="85"/>
      <c r="O176" s="85"/>
      <c r="P176" s="85"/>
      <c r="Q176" s="85"/>
      <c r="R176" s="85"/>
      <c r="S176" s="85"/>
      <c r="T176" s="85"/>
      <c r="U176" s="85"/>
    </row>
    <row r="177" spans="1:21">
      <c r="A177" s="85"/>
      <c r="B177" s="85"/>
      <c r="C177" s="85"/>
      <c r="D177" s="85"/>
      <c r="E177" s="85"/>
      <c r="F177" s="85"/>
      <c r="G177" s="85"/>
      <c r="H177" s="85"/>
      <c r="I177" s="85"/>
      <c r="J177" s="85"/>
      <c r="K177" s="85"/>
      <c r="L177" s="85"/>
      <c r="M177" s="85"/>
      <c r="N177" s="85"/>
      <c r="O177" s="85"/>
      <c r="P177" s="85"/>
      <c r="Q177" s="85"/>
      <c r="R177" s="85"/>
      <c r="S177" s="85"/>
      <c r="T177" s="85"/>
      <c r="U177" s="85"/>
    </row>
    <row r="178" spans="1:21">
      <c r="A178" s="85"/>
      <c r="B178" s="85"/>
      <c r="C178" s="85"/>
      <c r="D178" s="85"/>
      <c r="E178" s="85"/>
      <c r="F178" s="85"/>
      <c r="G178" s="85"/>
      <c r="H178" s="85"/>
      <c r="I178" s="85"/>
      <c r="J178" s="85"/>
      <c r="K178" s="85"/>
      <c r="L178" s="85"/>
      <c r="M178" s="85"/>
      <c r="N178" s="85"/>
      <c r="O178" s="85"/>
      <c r="P178" s="85"/>
      <c r="Q178" s="85"/>
      <c r="R178" s="85"/>
      <c r="S178" s="85"/>
      <c r="T178" s="85"/>
      <c r="U178" s="85"/>
    </row>
    <row r="179" spans="1:21">
      <c r="A179" s="85"/>
      <c r="B179" s="85"/>
      <c r="C179" s="85"/>
      <c r="D179" s="85"/>
      <c r="E179" s="85"/>
      <c r="F179" s="85"/>
      <c r="G179" s="85"/>
      <c r="H179" s="85"/>
      <c r="I179" s="85"/>
      <c r="J179" s="85"/>
      <c r="K179" s="85"/>
      <c r="L179" s="85"/>
      <c r="M179" s="85"/>
      <c r="N179" s="85"/>
      <c r="O179" s="85"/>
      <c r="P179" s="85"/>
      <c r="Q179" s="85"/>
      <c r="R179" s="85"/>
      <c r="S179" s="85"/>
      <c r="T179" s="85"/>
      <c r="U179" s="85"/>
    </row>
    <row r="180" spans="1:21">
      <c r="A180" s="85"/>
      <c r="B180" s="85"/>
      <c r="C180" s="85"/>
      <c r="D180" s="85"/>
      <c r="E180" s="85"/>
      <c r="F180" s="85"/>
      <c r="G180" s="85"/>
      <c r="H180" s="85"/>
      <c r="I180" s="85"/>
      <c r="J180" s="85"/>
      <c r="K180" s="85"/>
      <c r="L180" s="85"/>
      <c r="M180" s="85"/>
      <c r="N180" s="85"/>
      <c r="O180" s="85"/>
      <c r="P180" s="85"/>
      <c r="Q180" s="85"/>
      <c r="R180" s="85"/>
      <c r="S180" s="85"/>
      <c r="T180" s="85"/>
      <c r="U180" s="85"/>
    </row>
    <row r="181" spans="1:21">
      <c r="A181" s="85"/>
      <c r="B181" s="85"/>
      <c r="C181" s="85"/>
      <c r="D181" s="85"/>
      <c r="E181" s="85"/>
      <c r="F181" s="85"/>
      <c r="G181" s="85"/>
      <c r="H181" s="85"/>
      <c r="I181" s="85"/>
      <c r="J181" s="85"/>
      <c r="K181" s="85"/>
      <c r="L181" s="85"/>
      <c r="M181" s="85"/>
      <c r="N181" s="85"/>
      <c r="O181" s="85"/>
      <c r="P181" s="85"/>
      <c r="Q181" s="85"/>
      <c r="R181" s="85"/>
      <c r="S181" s="85"/>
      <c r="T181" s="85"/>
      <c r="U181" s="85"/>
    </row>
    <row r="182" spans="1:21">
      <c r="A182" s="85"/>
      <c r="B182" s="85"/>
      <c r="C182" s="85"/>
      <c r="D182" s="85"/>
      <c r="E182" s="85"/>
      <c r="F182" s="85"/>
      <c r="G182" s="85"/>
      <c r="H182" s="85"/>
      <c r="I182" s="85"/>
      <c r="J182" s="85"/>
      <c r="K182" s="85"/>
      <c r="L182" s="85"/>
      <c r="M182" s="85"/>
      <c r="N182" s="85"/>
      <c r="O182" s="85"/>
      <c r="P182" s="85"/>
      <c r="Q182" s="85"/>
      <c r="R182" s="85"/>
      <c r="S182" s="85"/>
      <c r="T182" s="85"/>
      <c r="U182" s="85"/>
    </row>
    <row r="183" spans="1:21">
      <c r="A183" s="85"/>
      <c r="B183" s="85"/>
      <c r="C183" s="85"/>
      <c r="D183" s="85"/>
      <c r="E183" s="85"/>
      <c r="F183" s="85"/>
      <c r="G183" s="85"/>
      <c r="H183" s="85"/>
      <c r="I183" s="85"/>
      <c r="J183" s="85"/>
      <c r="K183" s="85"/>
      <c r="L183" s="85"/>
      <c r="M183" s="85"/>
      <c r="N183" s="85"/>
      <c r="O183" s="85"/>
      <c r="P183" s="85"/>
      <c r="Q183" s="85"/>
      <c r="R183" s="85"/>
      <c r="S183" s="85"/>
      <c r="T183" s="85"/>
      <c r="U183" s="85"/>
    </row>
    <row r="184" spans="1:21">
      <c r="A184" s="85"/>
      <c r="B184" s="85"/>
      <c r="C184" s="85"/>
      <c r="D184" s="85"/>
      <c r="E184" s="85"/>
      <c r="F184" s="85"/>
      <c r="G184" s="85"/>
      <c r="H184" s="85"/>
      <c r="I184" s="85"/>
      <c r="J184" s="85"/>
      <c r="K184" s="85"/>
      <c r="L184" s="85"/>
      <c r="M184" s="85"/>
      <c r="N184" s="85"/>
      <c r="O184" s="85"/>
      <c r="P184" s="85"/>
      <c r="Q184" s="85"/>
      <c r="R184" s="85"/>
      <c r="S184" s="85"/>
      <c r="T184" s="85"/>
      <c r="U184" s="85"/>
    </row>
    <row r="185" spans="1:21">
      <c r="A185" s="85"/>
      <c r="B185" s="85"/>
      <c r="C185" s="85"/>
      <c r="D185" s="85"/>
      <c r="E185" s="85"/>
      <c r="F185" s="85"/>
      <c r="G185" s="85"/>
      <c r="H185" s="85"/>
      <c r="I185" s="85"/>
      <c r="J185" s="85"/>
      <c r="K185" s="85"/>
      <c r="L185" s="85"/>
      <c r="M185" s="85"/>
      <c r="N185" s="85"/>
      <c r="O185" s="85"/>
      <c r="P185" s="85"/>
      <c r="Q185" s="85"/>
      <c r="R185" s="85"/>
      <c r="S185" s="85"/>
      <c r="T185" s="85"/>
      <c r="U185" s="85"/>
    </row>
    <row r="186" spans="1:21">
      <c r="A186" s="85"/>
      <c r="B186" s="85"/>
      <c r="C186" s="85"/>
      <c r="D186" s="85"/>
      <c r="E186" s="85"/>
      <c r="F186" s="85"/>
      <c r="G186" s="85"/>
      <c r="H186" s="85"/>
      <c r="I186" s="85"/>
      <c r="J186" s="85"/>
      <c r="K186" s="85"/>
      <c r="L186" s="85"/>
      <c r="M186" s="85"/>
      <c r="N186" s="85"/>
      <c r="O186" s="85"/>
      <c r="P186" s="85"/>
      <c r="Q186" s="85"/>
      <c r="R186" s="85"/>
      <c r="S186" s="85"/>
      <c r="T186" s="85"/>
      <c r="U186" s="85"/>
    </row>
    <row r="187" spans="1:21">
      <c r="A187" s="85"/>
      <c r="B187" s="85"/>
      <c r="C187" s="85"/>
      <c r="D187" s="85"/>
      <c r="E187" s="85"/>
      <c r="F187" s="85"/>
      <c r="G187" s="85"/>
      <c r="H187" s="85"/>
      <c r="I187" s="85"/>
      <c r="J187" s="85"/>
      <c r="K187" s="85"/>
      <c r="L187" s="85"/>
      <c r="M187" s="85"/>
      <c r="N187" s="85"/>
      <c r="O187" s="85"/>
      <c r="P187" s="85"/>
      <c r="Q187" s="85"/>
      <c r="R187" s="85"/>
      <c r="S187" s="85"/>
      <c r="T187" s="85"/>
      <c r="U187" s="85"/>
    </row>
    <row r="188" spans="1:21">
      <c r="A188" s="85"/>
      <c r="B188" s="85"/>
      <c r="C188" s="85"/>
      <c r="D188" s="85"/>
      <c r="E188" s="85"/>
      <c r="F188" s="85"/>
      <c r="G188" s="85"/>
      <c r="H188" s="85"/>
      <c r="I188" s="85"/>
      <c r="J188" s="85"/>
      <c r="K188" s="85"/>
      <c r="L188" s="85"/>
      <c r="M188" s="85"/>
      <c r="N188" s="85"/>
      <c r="O188" s="85"/>
      <c r="P188" s="85"/>
      <c r="Q188" s="85"/>
      <c r="R188" s="85"/>
      <c r="S188" s="85"/>
      <c r="T188" s="85"/>
      <c r="U188" s="85"/>
    </row>
    <row r="189" spans="1:21">
      <c r="A189" s="85"/>
      <c r="B189" s="85"/>
      <c r="C189" s="85"/>
      <c r="D189" s="85"/>
      <c r="E189" s="85"/>
      <c r="F189" s="85"/>
      <c r="G189" s="85"/>
      <c r="H189" s="85"/>
      <c r="I189" s="85"/>
      <c r="J189" s="85"/>
      <c r="K189" s="85"/>
      <c r="L189" s="85"/>
      <c r="M189" s="85"/>
      <c r="N189" s="85"/>
      <c r="O189" s="85"/>
      <c r="P189" s="85"/>
      <c r="Q189" s="85"/>
      <c r="R189" s="85"/>
      <c r="S189" s="85"/>
      <c r="T189" s="85"/>
      <c r="U189" s="85"/>
    </row>
    <row r="190" spans="1:21">
      <c r="A190" s="85"/>
      <c r="B190" s="85"/>
      <c r="C190" s="85"/>
      <c r="D190" s="85"/>
      <c r="E190" s="85"/>
      <c r="F190" s="85"/>
      <c r="G190" s="85"/>
      <c r="H190" s="85"/>
      <c r="I190" s="85"/>
      <c r="J190" s="85"/>
      <c r="K190" s="85"/>
      <c r="L190" s="85"/>
      <c r="M190" s="85"/>
      <c r="N190" s="85"/>
      <c r="O190" s="85"/>
      <c r="P190" s="85"/>
      <c r="Q190" s="85"/>
      <c r="R190" s="85"/>
      <c r="S190" s="85"/>
      <c r="T190" s="85"/>
      <c r="U190" s="85"/>
    </row>
    <row r="191" spans="1:21">
      <c r="A191" s="85"/>
      <c r="B191" s="85"/>
      <c r="C191" s="85"/>
      <c r="D191" s="85"/>
      <c r="E191" s="85"/>
      <c r="F191" s="85"/>
      <c r="G191" s="85"/>
      <c r="H191" s="85"/>
      <c r="I191" s="85"/>
      <c r="J191" s="85"/>
      <c r="K191" s="85"/>
      <c r="L191" s="85"/>
      <c r="M191" s="85"/>
      <c r="N191" s="85"/>
      <c r="O191" s="85"/>
      <c r="P191" s="85"/>
      <c r="Q191" s="85"/>
      <c r="R191" s="85"/>
      <c r="S191" s="85"/>
      <c r="T191" s="85"/>
      <c r="U191" s="85"/>
    </row>
    <row r="192" spans="1:21">
      <c r="A192" s="85"/>
      <c r="B192" s="85"/>
      <c r="C192" s="85"/>
      <c r="D192" s="85"/>
      <c r="E192" s="85"/>
      <c r="F192" s="85"/>
      <c r="G192" s="85"/>
      <c r="H192" s="85"/>
      <c r="I192" s="85"/>
      <c r="J192" s="85"/>
      <c r="K192" s="85"/>
      <c r="L192" s="85"/>
      <c r="M192" s="85"/>
      <c r="N192" s="85"/>
      <c r="O192" s="85"/>
      <c r="P192" s="85"/>
      <c r="Q192" s="85"/>
      <c r="R192" s="85"/>
      <c r="S192" s="85"/>
      <c r="T192" s="85"/>
      <c r="U192" s="85"/>
    </row>
    <row r="193" spans="1:21">
      <c r="A193" s="85"/>
      <c r="B193" s="85"/>
      <c r="C193" s="85"/>
      <c r="D193" s="85"/>
      <c r="E193" s="85"/>
      <c r="F193" s="85"/>
      <c r="G193" s="85"/>
      <c r="H193" s="85"/>
      <c r="I193" s="85"/>
      <c r="J193" s="85"/>
      <c r="K193" s="85"/>
      <c r="L193" s="85"/>
      <c r="M193" s="85"/>
      <c r="N193" s="85"/>
      <c r="O193" s="85"/>
      <c r="P193" s="85"/>
      <c r="Q193" s="85"/>
      <c r="R193" s="85"/>
      <c r="S193" s="85"/>
      <c r="T193" s="85"/>
      <c r="U193" s="85"/>
    </row>
    <row r="194" spans="1:21">
      <c r="A194" s="85"/>
      <c r="B194" s="85"/>
      <c r="C194" s="85"/>
      <c r="D194" s="85"/>
      <c r="E194" s="85"/>
      <c r="F194" s="85"/>
      <c r="G194" s="85"/>
      <c r="H194" s="85"/>
      <c r="I194" s="85"/>
      <c r="J194" s="85"/>
      <c r="K194" s="85"/>
      <c r="L194" s="85"/>
      <c r="M194" s="85"/>
      <c r="N194" s="85"/>
      <c r="O194" s="85"/>
      <c r="P194" s="85"/>
      <c r="Q194" s="85"/>
      <c r="R194" s="85"/>
      <c r="S194" s="85"/>
      <c r="T194" s="85"/>
      <c r="U194" s="85"/>
    </row>
    <row r="195" spans="1:21">
      <c r="A195" s="85"/>
      <c r="B195" s="85"/>
      <c r="C195" s="85"/>
      <c r="D195" s="85"/>
      <c r="E195" s="85"/>
      <c r="F195" s="85"/>
      <c r="G195" s="85"/>
      <c r="H195" s="85"/>
      <c r="I195" s="85"/>
      <c r="J195" s="85"/>
      <c r="K195" s="85"/>
      <c r="L195" s="85"/>
      <c r="M195" s="85"/>
      <c r="N195" s="85"/>
      <c r="O195" s="85"/>
      <c r="P195" s="85"/>
      <c r="Q195" s="85"/>
      <c r="R195" s="85"/>
      <c r="S195" s="85"/>
      <c r="T195" s="85"/>
      <c r="U195" s="85"/>
    </row>
    <row r="196" spans="1:21">
      <c r="A196" s="85"/>
      <c r="B196" s="85"/>
      <c r="C196" s="85"/>
      <c r="D196" s="85"/>
      <c r="E196" s="85"/>
      <c r="F196" s="85"/>
      <c r="G196" s="85"/>
      <c r="H196" s="85"/>
      <c r="I196" s="85"/>
      <c r="J196" s="85"/>
      <c r="K196" s="85"/>
      <c r="L196" s="85"/>
      <c r="M196" s="85"/>
      <c r="N196" s="85"/>
      <c r="O196" s="85"/>
      <c r="P196" s="85"/>
      <c r="Q196" s="85"/>
      <c r="R196" s="85"/>
      <c r="S196" s="85"/>
      <c r="T196" s="85"/>
      <c r="U196" s="85"/>
    </row>
    <row r="197" spans="1:21">
      <c r="A197" s="85"/>
      <c r="B197" s="85"/>
      <c r="C197" s="85"/>
      <c r="D197" s="85"/>
      <c r="E197" s="85"/>
      <c r="F197" s="85"/>
      <c r="G197" s="85"/>
      <c r="H197" s="85"/>
      <c r="I197" s="85"/>
      <c r="J197" s="85"/>
      <c r="K197" s="85"/>
      <c r="L197" s="85"/>
      <c r="M197" s="85"/>
      <c r="N197" s="85"/>
      <c r="O197" s="85"/>
      <c r="P197" s="85"/>
      <c r="Q197" s="85"/>
      <c r="R197" s="85"/>
      <c r="S197" s="85"/>
      <c r="T197" s="85"/>
      <c r="U197" s="85"/>
    </row>
    <row r="198" spans="1:21">
      <c r="A198" s="85"/>
      <c r="B198" s="85"/>
      <c r="C198" s="85"/>
      <c r="D198" s="85"/>
      <c r="E198" s="85"/>
      <c r="F198" s="85"/>
      <c r="G198" s="85"/>
      <c r="H198" s="85"/>
      <c r="I198" s="85"/>
      <c r="J198" s="85"/>
      <c r="K198" s="85"/>
      <c r="L198" s="85"/>
      <c r="M198" s="85"/>
      <c r="N198" s="85"/>
      <c r="O198" s="85"/>
      <c r="P198" s="85"/>
      <c r="Q198" s="85"/>
      <c r="R198" s="85"/>
      <c r="S198" s="85"/>
      <c r="T198" s="85"/>
      <c r="U198" s="85"/>
    </row>
    <row r="199" spans="1:21">
      <c r="A199" s="85"/>
      <c r="B199" s="85"/>
      <c r="C199" s="85"/>
      <c r="D199" s="85"/>
      <c r="E199" s="85"/>
      <c r="F199" s="85"/>
      <c r="G199" s="85"/>
      <c r="H199" s="85"/>
      <c r="I199" s="85"/>
      <c r="J199" s="85"/>
      <c r="K199" s="85"/>
      <c r="L199" s="85"/>
      <c r="M199" s="85"/>
      <c r="N199" s="85"/>
      <c r="O199" s="85"/>
      <c r="P199" s="85"/>
      <c r="Q199" s="85"/>
      <c r="R199" s="85"/>
      <c r="S199" s="85"/>
      <c r="T199" s="85"/>
      <c r="U199" s="85"/>
    </row>
    <row r="200" spans="1:21">
      <c r="A200" s="85"/>
      <c r="B200" s="85"/>
      <c r="C200" s="85"/>
      <c r="D200" s="85"/>
      <c r="E200" s="85"/>
      <c r="F200" s="85"/>
      <c r="G200" s="85"/>
      <c r="H200" s="85"/>
      <c r="I200" s="85"/>
      <c r="J200" s="85"/>
      <c r="K200" s="85"/>
      <c r="L200" s="85"/>
      <c r="M200" s="85"/>
      <c r="N200" s="85"/>
      <c r="O200" s="85"/>
      <c r="P200" s="85"/>
      <c r="Q200" s="85"/>
      <c r="R200" s="85"/>
      <c r="S200" s="85"/>
      <c r="T200" s="85"/>
      <c r="U200" s="85"/>
    </row>
    <row r="201" spans="1:21">
      <c r="A201" s="85"/>
      <c r="B201" s="85"/>
      <c r="C201" s="85"/>
      <c r="D201" s="85"/>
      <c r="E201" s="85"/>
      <c r="F201" s="85"/>
      <c r="G201" s="85"/>
      <c r="H201" s="85"/>
      <c r="I201" s="85"/>
      <c r="J201" s="85"/>
      <c r="K201" s="85"/>
      <c r="L201" s="85"/>
      <c r="M201" s="85"/>
      <c r="N201" s="85"/>
      <c r="O201" s="85"/>
      <c r="P201" s="85"/>
      <c r="Q201" s="85"/>
      <c r="R201" s="85"/>
      <c r="S201" s="85"/>
      <c r="T201" s="85"/>
      <c r="U201" s="85"/>
    </row>
    <row r="202" spans="1:21">
      <c r="A202" s="85"/>
      <c r="B202" s="85"/>
      <c r="C202" s="85"/>
      <c r="D202" s="85"/>
      <c r="E202" s="85"/>
      <c r="F202" s="85"/>
      <c r="G202" s="85"/>
      <c r="H202" s="85"/>
      <c r="I202" s="85"/>
      <c r="J202" s="85"/>
      <c r="K202" s="85"/>
      <c r="L202" s="85"/>
      <c r="M202" s="85"/>
      <c r="N202" s="85"/>
      <c r="O202" s="85"/>
      <c r="P202" s="85"/>
      <c r="Q202" s="85"/>
      <c r="R202" s="85"/>
      <c r="S202" s="85"/>
      <c r="T202" s="85"/>
      <c r="U202" s="85"/>
    </row>
    <row r="203" spans="1:21">
      <c r="A203" s="85"/>
      <c r="B203" s="85"/>
      <c r="C203" s="85"/>
      <c r="D203" s="85"/>
      <c r="E203" s="85"/>
      <c r="F203" s="85"/>
      <c r="G203" s="85"/>
      <c r="H203" s="85"/>
      <c r="I203" s="85"/>
      <c r="J203" s="85"/>
      <c r="K203" s="85"/>
      <c r="L203" s="85"/>
      <c r="M203" s="85"/>
      <c r="N203" s="85"/>
      <c r="O203" s="85"/>
      <c r="P203" s="85"/>
      <c r="Q203" s="85"/>
      <c r="R203" s="85"/>
      <c r="S203" s="85"/>
      <c r="T203" s="85"/>
      <c r="U203" s="85"/>
    </row>
    <row r="204" spans="1:21">
      <c r="A204" s="85"/>
      <c r="B204" s="85"/>
      <c r="C204" s="85"/>
      <c r="D204" s="85"/>
      <c r="E204" s="85"/>
      <c r="F204" s="85"/>
      <c r="G204" s="85"/>
      <c r="H204" s="85"/>
      <c r="I204" s="85"/>
      <c r="J204" s="85"/>
      <c r="K204" s="85"/>
      <c r="L204" s="85"/>
      <c r="M204" s="85"/>
      <c r="N204" s="85"/>
      <c r="O204" s="85"/>
      <c r="P204" s="85"/>
      <c r="Q204" s="85"/>
      <c r="R204" s="85"/>
      <c r="S204" s="85"/>
      <c r="T204" s="85"/>
      <c r="U204" s="85"/>
    </row>
    <row r="205" spans="1:21">
      <c r="A205" s="85"/>
      <c r="B205" s="85"/>
      <c r="C205" s="85"/>
      <c r="D205" s="85"/>
      <c r="E205" s="85"/>
      <c r="F205" s="85"/>
      <c r="G205" s="85"/>
      <c r="H205" s="85"/>
      <c r="I205" s="85"/>
      <c r="J205" s="85"/>
      <c r="K205" s="85"/>
      <c r="L205" s="85"/>
      <c r="M205" s="85"/>
      <c r="N205" s="85"/>
      <c r="O205" s="85"/>
      <c r="P205" s="85"/>
      <c r="Q205" s="85"/>
      <c r="R205" s="85"/>
      <c r="S205" s="85"/>
      <c r="T205" s="85"/>
      <c r="U205" s="85"/>
    </row>
    <row r="206" spans="1:21">
      <c r="A206" s="85"/>
      <c r="B206" s="85"/>
      <c r="C206" s="85"/>
      <c r="D206" s="85"/>
      <c r="E206" s="85"/>
      <c r="F206" s="85"/>
      <c r="G206" s="85"/>
      <c r="H206" s="85"/>
      <c r="I206" s="85"/>
      <c r="J206" s="85"/>
      <c r="K206" s="85"/>
      <c r="L206" s="85"/>
      <c r="M206" s="85"/>
      <c r="N206" s="85"/>
      <c r="O206" s="85"/>
      <c r="P206" s="85"/>
      <c r="Q206" s="85"/>
      <c r="R206" s="85"/>
      <c r="S206" s="85"/>
      <c r="T206" s="85"/>
      <c r="U206" s="85"/>
    </row>
    <row r="207" spans="1:21">
      <c r="A207" s="85"/>
      <c r="B207" s="85"/>
      <c r="C207" s="85"/>
      <c r="D207" s="85"/>
      <c r="E207" s="85"/>
      <c r="F207" s="85"/>
      <c r="G207" s="85"/>
      <c r="H207" s="85"/>
      <c r="I207" s="85"/>
      <c r="J207" s="85"/>
      <c r="K207" s="85"/>
      <c r="L207" s="85"/>
      <c r="M207" s="85"/>
      <c r="N207" s="85"/>
      <c r="O207" s="85"/>
      <c r="P207" s="85"/>
      <c r="Q207" s="85"/>
      <c r="R207" s="85"/>
      <c r="S207" s="85"/>
      <c r="T207" s="85"/>
      <c r="U207" s="85"/>
    </row>
    <row r="208" spans="1:21">
      <c r="A208" s="85"/>
      <c r="B208" s="85"/>
      <c r="C208" s="85"/>
      <c r="D208" s="85"/>
      <c r="E208" s="85"/>
      <c r="F208" s="85"/>
      <c r="G208" s="85"/>
      <c r="H208" s="85"/>
      <c r="I208" s="85"/>
      <c r="J208" s="85"/>
      <c r="K208" s="85"/>
      <c r="L208" s="85"/>
      <c r="M208" s="85"/>
      <c r="N208" s="85"/>
      <c r="O208" s="85"/>
      <c r="P208" s="85"/>
      <c r="Q208" s="85"/>
      <c r="R208" s="85"/>
      <c r="S208" s="85"/>
      <c r="T208" s="85"/>
      <c r="U208" s="85"/>
    </row>
    <row r="209" spans="1:21">
      <c r="A209" s="85"/>
      <c r="B209" s="85"/>
      <c r="C209" s="85"/>
      <c r="D209" s="85"/>
      <c r="E209" s="85"/>
      <c r="F209" s="85"/>
      <c r="G209" s="85"/>
      <c r="H209" s="85"/>
      <c r="I209" s="85"/>
      <c r="J209" s="85"/>
      <c r="K209" s="85"/>
      <c r="L209" s="85"/>
      <c r="M209" s="85"/>
      <c r="N209" s="85"/>
      <c r="O209" s="85"/>
      <c r="P209" s="85"/>
      <c r="Q209" s="85"/>
      <c r="R209" s="85"/>
      <c r="S209" s="85"/>
      <c r="T209" s="85"/>
      <c r="U209" s="85"/>
    </row>
    <row r="210" spans="1:21">
      <c r="A210" s="85"/>
      <c r="B210" s="85"/>
      <c r="C210" s="85"/>
      <c r="D210" s="85"/>
      <c r="E210" s="85"/>
      <c r="F210" s="85"/>
      <c r="G210" s="85"/>
      <c r="H210" s="85"/>
      <c r="I210" s="85"/>
      <c r="J210" s="85"/>
      <c r="K210" s="85"/>
      <c r="L210" s="85"/>
      <c r="M210" s="85"/>
      <c r="N210" s="85"/>
      <c r="O210" s="85"/>
      <c r="P210" s="85"/>
      <c r="Q210" s="85"/>
      <c r="R210" s="85"/>
      <c r="S210" s="85"/>
      <c r="T210" s="85"/>
      <c r="U210" s="85"/>
    </row>
    <row r="211" spans="1:21">
      <c r="A211" s="85"/>
      <c r="B211" s="85"/>
      <c r="C211" s="85"/>
      <c r="D211" s="85"/>
      <c r="E211" s="85"/>
      <c r="F211" s="85"/>
      <c r="G211" s="85"/>
      <c r="H211" s="85"/>
      <c r="I211" s="85"/>
      <c r="J211" s="85"/>
      <c r="K211" s="85"/>
      <c r="L211" s="85"/>
      <c r="M211" s="85"/>
      <c r="N211" s="85"/>
      <c r="O211" s="85"/>
      <c r="P211" s="85"/>
      <c r="Q211" s="85"/>
      <c r="R211" s="85"/>
      <c r="S211" s="85"/>
      <c r="T211" s="85"/>
      <c r="U211" s="85"/>
    </row>
    <row r="212" spans="1:21">
      <c r="A212" s="85"/>
      <c r="B212" s="85"/>
      <c r="C212" s="85"/>
      <c r="D212" s="85"/>
      <c r="E212" s="85"/>
      <c r="F212" s="85"/>
      <c r="G212" s="85"/>
      <c r="H212" s="85"/>
      <c r="I212" s="85"/>
      <c r="J212" s="85"/>
      <c r="K212" s="85"/>
      <c r="L212" s="85"/>
      <c r="M212" s="85"/>
      <c r="N212" s="85"/>
      <c r="O212" s="85"/>
      <c r="P212" s="85"/>
      <c r="Q212" s="85"/>
      <c r="R212" s="85"/>
      <c r="S212" s="85"/>
      <c r="T212" s="85"/>
      <c r="U212" s="85"/>
    </row>
    <row r="213" spans="1:21">
      <c r="A213" s="85"/>
      <c r="B213" s="85"/>
      <c r="C213" s="85"/>
      <c r="D213" s="85"/>
      <c r="E213" s="85"/>
      <c r="F213" s="85"/>
      <c r="G213" s="85"/>
      <c r="H213" s="85"/>
      <c r="I213" s="85"/>
      <c r="J213" s="85"/>
      <c r="K213" s="85"/>
      <c r="L213" s="85"/>
      <c r="M213" s="85"/>
      <c r="N213" s="85"/>
      <c r="O213" s="85"/>
      <c r="P213" s="85"/>
      <c r="Q213" s="85"/>
      <c r="R213" s="85"/>
      <c r="S213" s="85"/>
      <c r="T213" s="85"/>
      <c r="U213" s="85"/>
    </row>
    <row r="214" spans="1:21">
      <c r="A214" s="85"/>
      <c r="B214" s="85"/>
      <c r="C214" s="85"/>
      <c r="D214" s="85"/>
      <c r="E214" s="85"/>
      <c r="F214" s="85"/>
      <c r="G214" s="85"/>
      <c r="H214" s="85"/>
      <c r="I214" s="85"/>
      <c r="J214" s="85"/>
      <c r="K214" s="85"/>
      <c r="L214" s="85"/>
      <c r="M214" s="85"/>
      <c r="N214" s="85"/>
      <c r="O214" s="85"/>
      <c r="P214" s="85"/>
      <c r="Q214" s="85"/>
      <c r="R214" s="85"/>
      <c r="S214" s="85"/>
      <c r="T214" s="85"/>
      <c r="U214" s="85"/>
    </row>
    <row r="215" spans="1:21">
      <c r="A215" s="85"/>
      <c r="B215" s="85"/>
      <c r="C215" s="85"/>
      <c r="D215" s="85"/>
      <c r="E215" s="85"/>
      <c r="F215" s="85"/>
      <c r="G215" s="85"/>
      <c r="H215" s="85"/>
      <c r="I215" s="85"/>
      <c r="J215" s="85"/>
      <c r="K215" s="85"/>
      <c r="L215" s="85"/>
      <c r="M215" s="85"/>
      <c r="N215" s="85"/>
      <c r="O215" s="85"/>
      <c r="P215" s="85"/>
      <c r="Q215" s="85"/>
      <c r="R215" s="85"/>
      <c r="S215" s="85"/>
      <c r="T215" s="85"/>
      <c r="U215" s="85"/>
    </row>
    <row r="216" spans="1:21">
      <c r="A216" s="85"/>
      <c r="B216" s="85"/>
      <c r="C216" s="85"/>
      <c r="D216" s="85"/>
      <c r="E216" s="85"/>
      <c r="F216" s="85"/>
      <c r="G216" s="85"/>
      <c r="H216" s="85"/>
      <c r="I216" s="85"/>
      <c r="J216" s="85"/>
      <c r="K216" s="85"/>
      <c r="L216" s="85"/>
      <c r="M216" s="85"/>
      <c r="N216" s="85"/>
      <c r="O216" s="85"/>
      <c r="P216" s="85"/>
      <c r="Q216" s="85"/>
      <c r="R216" s="85"/>
      <c r="S216" s="85"/>
      <c r="T216" s="85"/>
      <c r="U216" s="85"/>
    </row>
    <row r="217" spans="1:21">
      <c r="A217" s="85"/>
      <c r="B217" s="85"/>
      <c r="C217" s="85"/>
      <c r="D217" s="85"/>
      <c r="E217" s="85"/>
      <c r="F217" s="85"/>
      <c r="G217" s="85"/>
      <c r="H217" s="85"/>
      <c r="I217" s="85"/>
      <c r="J217" s="85"/>
      <c r="K217" s="85"/>
      <c r="L217" s="85"/>
      <c r="M217" s="85"/>
      <c r="N217" s="85"/>
      <c r="O217" s="85"/>
      <c r="P217" s="85"/>
      <c r="Q217" s="85"/>
      <c r="R217" s="85"/>
      <c r="S217" s="85"/>
      <c r="T217" s="85"/>
      <c r="U217" s="85"/>
    </row>
    <row r="218" spans="1:21">
      <c r="A218" s="85"/>
      <c r="B218" s="85"/>
      <c r="C218" s="85"/>
      <c r="D218" s="85"/>
      <c r="E218" s="85"/>
      <c r="F218" s="85"/>
      <c r="G218" s="85"/>
      <c r="H218" s="85"/>
      <c r="I218" s="85"/>
      <c r="J218" s="85"/>
      <c r="K218" s="85"/>
      <c r="L218" s="85"/>
      <c r="M218" s="85"/>
      <c r="N218" s="85"/>
      <c r="O218" s="85"/>
      <c r="P218" s="85"/>
      <c r="Q218" s="85"/>
      <c r="R218" s="85"/>
      <c r="S218" s="85"/>
      <c r="T218" s="85"/>
      <c r="U218" s="85"/>
    </row>
    <row r="219" spans="1:21">
      <c r="A219" s="85"/>
      <c r="B219" s="85"/>
      <c r="C219" s="85"/>
      <c r="D219" s="85"/>
      <c r="E219" s="85"/>
      <c r="F219" s="85"/>
      <c r="G219" s="85"/>
      <c r="H219" s="85"/>
      <c r="I219" s="85"/>
      <c r="J219" s="85"/>
      <c r="K219" s="85"/>
      <c r="L219" s="85"/>
      <c r="M219" s="85"/>
      <c r="N219" s="85"/>
      <c r="O219" s="85"/>
      <c r="P219" s="85"/>
      <c r="Q219" s="85"/>
      <c r="R219" s="85"/>
      <c r="S219" s="85"/>
      <c r="T219" s="85"/>
      <c r="U219" s="85"/>
    </row>
    <row r="220" spans="1:21">
      <c r="A220" s="85"/>
      <c r="B220" s="85"/>
      <c r="C220" s="85"/>
      <c r="D220" s="85"/>
      <c r="E220" s="85"/>
      <c r="F220" s="85"/>
      <c r="G220" s="85"/>
      <c r="H220" s="85"/>
      <c r="I220" s="85"/>
      <c r="J220" s="85"/>
      <c r="K220" s="85"/>
      <c r="L220" s="85"/>
      <c r="M220" s="85"/>
      <c r="N220" s="85"/>
      <c r="O220" s="85"/>
      <c r="P220" s="85"/>
      <c r="Q220" s="85"/>
      <c r="R220" s="85"/>
      <c r="S220" s="85"/>
      <c r="T220" s="85"/>
      <c r="U220" s="85"/>
    </row>
    <row r="221" spans="1:21">
      <c r="A221" s="85"/>
      <c r="B221" s="85"/>
      <c r="C221" s="85"/>
      <c r="D221" s="85"/>
      <c r="E221" s="85"/>
      <c r="F221" s="85"/>
      <c r="G221" s="85"/>
      <c r="H221" s="85"/>
      <c r="I221" s="85"/>
      <c r="J221" s="85"/>
      <c r="K221" s="85"/>
      <c r="L221" s="85"/>
      <c r="M221" s="85"/>
      <c r="N221" s="85"/>
      <c r="O221" s="85"/>
      <c r="P221" s="85"/>
      <c r="Q221" s="85"/>
      <c r="R221" s="85"/>
      <c r="S221" s="85"/>
      <c r="T221" s="85"/>
      <c r="U221" s="85"/>
    </row>
    <row r="222" spans="1:21">
      <c r="A222" s="85"/>
      <c r="B222" s="85"/>
      <c r="C222" s="85"/>
      <c r="D222" s="85"/>
      <c r="E222" s="85"/>
      <c r="F222" s="85"/>
      <c r="G222" s="85"/>
      <c r="H222" s="85"/>
      <c r="I222" s="85"/>
      <c r="J222" s="85"/>
      <c r="K222" s="85"/>
      <c r="L222" s="85"/>
      <c r="M222" s="85"/>
      <c r="N222" s="85"/>
      <c r="O222" s="85"/>
      <c r="P222" s="85"/>
      <c r="Q222" s="85"/>
      <c r="R222" s="85"/>
      <c r="S222" s="85"/>
      <c r="T222" s="85"/>
      <c r="U222" s="85"/>
    </row>
    <row r="223" spans="1:21">
      <c r="A223" s="85"/>
      <c r="B223" s="85"/>
      <c r="C223" s="85"/>
      <c r="D223" s="85"/>
      <c r="E223" s="85"/>
      <c r="F223" s="85"/>
      <c r="G223" s="85"/>
      <c r="H223" s="85"/>
      <c r="I223" s="85"/>
      <c r="J223" s="85"/>
      <c r="K223" s="85"/>
      <c r="L223" s="85"/>
      <c r="M223" s="85"/>
      <c r="N223" s="85"/>
      <c r="O223" s="85"/>
      <c r="P223" s="85"/>
      <c r="Q223" s="85"/>
      <c r="R223" s="85"/>
      <c r="S223" s="85"/>
      <c r="T223" s="85"/>
      <c r="U223" s="85"/>
    </row>
    <row r="224" spans="1:21">
      <c r="A224" s="85"/>
      <c r="B224" s="85"/>
      <c r="C224" s="85"/>
      <c r="D224" s="85"/>
      <c r="E224" s="85"/>
      <c r="F224" s="85"/>
      <c r="G224" s="85"/>
      <c r="H224" s="85"/>
      <c r="I224" s="85"/>
      <c r="J224" s="85"/>
      <c r="K224" s="85"/>
      <c r="L224" s="85"/>
      <c r="M224" s="85"/>
      <c r="N224" s="85"/>
      <c r="O224" s="85"/>
      <c r="P224" s="85"/>
      <c r="Q224" s="85"/>
      <c r="R224" s="85"/>
      <c r="S224" s="85"/>
      <c r="T224" s="85"/>
      <c r="U224" s="85"/>
    </row>
    <row r="225" spans="1:21">
      <c r="A225" s="85"/>
      <c r="B225" s="85"/>
      <c r="C225" s="85"/>
      <c r="D225" s="85"/>
      <c r="E225" s="85"/>
      <c r="F225" s="85"/>
      <c r="G225" s="85"/>
      <c r="H225" s="85"/>
      <c r="I225" s="85"/>
      <c r="J225" s="85"/>
      <c r="K225" s="85"/>
      <c r="L225" s="85"/>
      <c r="M225" s="85"/>
      <c r="N225" s="85"/>
      <c r="O225" s="85"/>
      <c r="P225" s="85"/>
      <c r="Q225" s="85"/>
      <c r="R225" s="85"/>
      <c r="S225" s="85"/>
      <c r="T225" s="85"/>
      <c r="U225" s="85"/>
    </row>
    <row r="226" spans="1:21">
      <c r="A226" s="85"/>
      <c r="B226" s="85"/>
      <c r="C226" s="85"/>
      <c r="D226" s="85"/>
      <c r="E226" s="85"/>
      <c r="F226" s="85"/>
      <c r="G226" s="85"/>
      <c r="H226" s="85"/>
      <c r="I226" s="85"/>
      <c r="J226" s="85"/>
      <c r="K226" s="85"/>
      <c r="L226" s="85"/>
      <c r="M226" s="85"/>
      <c r="N226" s="85"/>
      <c r="O226" s="85"/>
      <c r="P226" s="85"/>
      <c r="Q226" s="85"/>
      <c r="R226" s="85"/>
      <c r="S226" s="85"/>
      <c r="T226" s="85"/>
      <c r="U226" s="85"/>
    </row>
    <row r="227" spans="1:21">
      <c r="A227" s="85"/>
      <c r="B227" s="85"/>
      <c r="C227" s="85"/>
      <c r="D227" s="85"/>
      <c r="E227" s="85"/>
      <c r="F227" s="85"/>
      <c r="G227" s="85"/>
      <c r="H227" s="85"/>
      <c r="I227" s="85"/>
      <c r="J227" s="85"/>
      <c r="K227" s="85"/>
      <c r="L227" s="85"/>
      <c r="M227" s="85"/>
      <c r="N227" s="85"/>
      <c r="O227" s="85"/>
      <c r="P227" s="85"/>
      <c r="Q227" s="85"/>
      <c r="R227" s="85"/>
      <c r="S227" s="85"/>
      <c r="T227" s="85"/>
      <c r="U227" s="85"/>
    </row>
    <row r="228" spans="1:21">
      <c r="A228" s="85"/>
      <c r="B228" s="85"/>
      <c r="C228" s="85"/>
      <c r="D228" s="85"/>
      <c r="E228" s="85"/>
      <c r="F228" s="85"/>
      <c r="G228" s="85"/>
      <c r="H228" s="85"/>
      <c r="I228" s="85"/>
      <c r="J228" s="85"/>
      <c r="K228" s="85"/>
      <c r="L228" s="85"/>
      <c r="M228" s="85"/>
      <c r="N228" s="85"/>
      <c r="O228" s="85"/>
      <c r="P228" s="85"/>
      <c r="Q228" s="85"/>
      <c r="R228" s="85"/>
      <c r="S228" s="85"/>
      <c r="T228" s="85"/>
      <c r="U228" s="85"/>
    </row>
    <row r="229" spans="1:21">
      <c r="A229" s="85"/>
      <c r="B229" s="85"/>
      <c r="C229" s="85"/>
      <c r="D229" s="85"/>
      <c r="E229" s="85"/>
      <c r="F229" s="85"/>
      <c r="G229" s="85"/>
      <c r="H229" s="85"/>
      <c r="I229" s="85"/>
      <c r="J229" s="85"/>
      <c r="K229" s="85"/>
      <c r="L229" s="85"/>
      <c r="M229" s="85"/>
      <c r="N229" s="85"/>
      <c r="O229" s="85"/>
      <c r="P229" s="85"/>
      <c r="Q229" s="85"/>
      <c r="R229" s="85"/>
      <c r="S229" s="85"/>
      <c r="T229" s="85"/>
      <c r="U229" s="85"/>
    </row>
    <row r="230" spans="1:21">
      <c r="A230" s="85"/>
      <c r="B230" s="85"/>
      <c r="C230" s="85"/>
      <c r="D230" s="85"/>
      <c r="E230" s="85"/>
      <c r="F230" s="85"/>
      <c r="G230" s="85"/>
      <c r="H230" s="85"/>
      <c r="I230" s="85"/>
      <c r="J230" s="85"/>
      <c r="K230" s="85"/>
      <c r="L230" s="85"/>
      <c r="M230" s="85"/>
      <c r="N230" s="85"/>
      <c r="O230" s="85"/>
      <c r="P230" s="85"/>
      <c r="Q230" s="85"/>
      <c r="R230" s="85"/>
      <c r="S230" s="85"/>
      <c r="T230" s="85"/>
      <c r="U230" s="85"/>
    </row>
    <row r="231" spans="1:21">
      <c r="A231" s="85"/>
      <c r="B231" s="85"/>
      <c r="C231" s="85"/>
      <c r="D231" s="85"/>
      <c r="E231" s="85"/>
      <c r="F231" s="85"/>
      <c r="G231" s="85"/>
      <c r="H231" s="85"/>
      <c r="I231" s="85"/>
      <c r="J231" s="85"/>
      <c r="K231" s="85"/>
      <c r="L231" s="85"/>
      <c r="M231" s="85"/>
      <c r="N231" s="85"/>
      <c r="O231" s="85"/>
      <c r="P231" s="85"/>
      <c r="Q231" s="85"/>
      <c r="R231" s="85"/>
      <c r="S231" s="85"/>
      <c r="T231" s="85"/>
      <c r="U231" s="85"/>
    </row>
    <row r="232" spans="1:21">
      <c r="A232" s="85"/>
      <c r="B232" s="85"/>
      <c r="C232" s="85"/>
      <c r="D232" s="85"/>
      <c r="E232" s="85"/>
      <c r="F232" s="85"/>
      <c r="G232" s="85"/>
      <c r="H232" s="85"/>
      <c r="I232" s="85"/>
      <c r="J232" s="85"/>
      <c r="K232" s="85"/>
      <c r="L232" s="85"/>
      <c r="M232" s="85"/>
      <c r="N232" s="85"/>
      <c r="O232" s="85"/>
      <c r="P232" s="85"/>
      <c r="Q232" s="85"/>
      <c r="R232" s="85"/>
      <c r="S232" s="85"/>
      <c r="T232" s="85"/>
      <c r="U232" s="85"/>
    </row>
    <row r="233" spans="1:21">
      <c r="A233" s="85"/>
      <c r="B233" s="85"/>
      <c r="C233" s="85"/>
      <c r="D233" s="85"/>
      <c r="E233" s="85"/>
      <c r="F233" s="85"/>
      <c r="G233" s="85"/>
      <c r="H233" s="85"/>
      <c r="I233" s="85"/>
      <c r="J233" s="85"/>
      <c r="K233" s="85"/>
      <c r="L233" s="85"/>
      <c r="M233" s="85"/>
      <c r="N233" s="85"/>
      <c r="O233" s="85"/>
      <c r="P233" s="85"/>
      <c r="Q233" s="85"/>
      <c r="R233" s="85"/>
      <c r="S233" s="85"/>
      <c r="T233" s="85"/>
      <c r="U233" s="85"/>
    </row>
    <row r="234" spans="1:21">
      <c r="A234" s="85"/>
      <c r="B234" s="85"/>
      <c r="C234" s="85"/>
      <c r="D234" s="85"/>
      <c r="E234" s="85"/>
      <c r="F234" s="85"/>
      <c r="G234" s="85"/>
      <c r="H234" s="85"/>
      <c r="I234" s="85"/>
      <c r="J234" s="85"/>
      <c r="K234" s="85"/>
      <c r="L234" s="85"/>
      <c r="M234" s="85"/>
      <c r="N234" s="85"/>
      <c r="O234" s="85"/>
      <c r="P234" s="85"/>
      <c r="Q234" s="85"/>
      <c r="R234" s="85"/>
      <c r="S234" s="85"/>
      <c r="T234" s="85"/>
      <c r="U234" s="85"/>
    </row>
    <row r="235" spans="1:21">
      <c r="A235" s="85"/>
      <c r="B235" s="85"/>
      <c r="C235" s="85"/>
      <c r="D235" s="85"/>
      <c r="E235" s="85"/>
      <c r="F235" s="85"/>
      <c r="G235" s="85"/>
      <c r="H235" s="85"/>
      <c r="I235" s="85"/>
      <c r="J235" s="85"/>
      <c r="K235" s="85"/>
      <c r="L235" s="85"/>
      <c r="M235" s="85"/>
      <c r="N235" s="85"/>
      <c r="O235" s="85"/>
      <c r="P235" s="85"/>
      <c r="Q235" s="85"/>
      <c r="R235" s="85"/>
      <c r="S235" s="85"/>
      <c r="T235" s="85"/>
      <c r="U235" s="85"/>
    </row>
    <row r="236" spans="1:21">
      <c r="A236" s="85"/>
      <c r="B236" s="85"/>
      <c r="C236" s="85"/>
      <c r="D236" s="85"/>
      <c r="E236" s="85"/>
      <c r="F236" s="85"/>
      <c r="G236" s="85"/>
      <c r="H236" s="85"/>
      <c r="I236" s="85"/>
      <c r="J236" s="85"/>
      <c r="K236" s="85"/>
      <c r="L236" s="85"/>
      <c r="M236" s="85"/>
      <c r="N236" s="85"/>
      <c r="O236" s="85"/>
      <c r="P236" s="85"/>
      <c r="Q236" s="85"/>
      <c r="R236" s="85"/>
      <c r="S236" s="85"/>
      <c r="T236" s="85"/>
      <c r="U236" s="85"/>
    </row>
    <row r="237" spans="1:21">
      <c r="A237" s="85"/>
      <c r="B237" s="85"/>
      <c r="C237" s="85"/>
      <c r="D237" s="85"/>
      <c r="E237" s="85"/>
      <c r="F237" s="85"/>
      <c r="G237" s="85"/>
      <c r="H237" s="85"/>
      <c r="I237" s="85"/>
      <c r="J237" s="85"/>
      <c r="K237" s="85"/>
      <c r="L237" s="85"/>
      <c r="M237" s="85"/>
      <c r="N237" s="85"/>
      <c r="O237" s="85"/>
      <c r="P237" s="85"/>
      <c r="Q237" s="85"/>
      <c r="R237" s="85"/>
      <c r="S237" s="85"/>
      <c r="T237" s="85"/>
      <c r="U237" s="85"/>
    </row>
    <row r="238" spans="1:21">
      <c r="A238" s="85"/>
      <c r="B238" s="85"/>
      <c r="C238" s="85"/>
      <c r="D238" s="85"/>
      <c r="E238" s="85"/>
      <c r="F238" s="85"/>
      <c r="G238" s="85"/>
      <c r="H238" s="85"/>
      <c r="I238" s="85"/>
      <c r="J238" s="85"/>
      <c r="K238" s="85"/>
      <c r="L238" s="85"/>
      <c r="M238" s="85"/>
      <c r="N238" s="85"/>
      <c r="O238" s="85"/>
      <c r="P238" s="85"/>
      <c r="Q238" s="85"/>
      <c r="R238" s="85"/>
      <c r="S238" s="85"/>
      <c r="T238" s="85"/>
      <c r="U238" s="85"/>
    </row>
    <row r="239" spans="1:21">
      <c r="A239" s="85"/>
      <c r="B239" s="85"/>
      <c r="C239" s="85"/>
      <c r="D239" s="85"/>
      <c r="E239" s="85"/>
      <c r="F239" s="85"/>
      <c r="G239" s="85"/>
      <c r="H239" s="85"/>
      <c r="I239" s="85"/>
      <c r="J239" s="85"/>
      <c r="K239" s="85"/>
      <c r="L239" s="85"/>
      <c r="M239" s="85"/>
      <c r="N239" s="85"/>
      <c r="O239" s="85"/>
      <c r="P239" s="85"/>
      <c r="Q239" s="85"/>
      <c r="R239" s="85"/>
      <c r="S239" s="85"/>
      <c r="T239" s="85"/>
      <c r="U239" s="85"/>
    </row>
    <row r="240" spans="1:21">
      <c r="A240" s="85"/>
      <c r="B240" s="85"/>
      <c r="C240" s="85"/>
      <c r="D240" s="85"/>
      <c r="E240" s="85"/>
      <c r="F240" s="85"/>
      <c r="G240" s="85"/>
      <c r="H240" s="85"/>
      <c r="I240" s="85"/>
      <c r="J240" s="85"/>
      <c r="K240" s="85"/>
      <c r="L240" s="85"/>
      <c r="M240" s="85"/>
      <c r="N240" s="85"/>
      <c r="O240" s="85"/>
      <c r="P240" s="85"/>
      <c r="Q240" s="85"/>
      <c r="R240" s="85"/>
      <c r="S240" s="85"/>
      <c r="T240" s="85"/>
      <c r="U240" s="85"/>
    </row>
    <row r="241" spans="1:21">
      <c r="A241" s="85"/>
      <c r="B241" s="85"/>
      <c r="C241" s="85"/>
      <c r="D241" s="85"/>
      <c r="E241" s="85"/>
      <c r="F241" s="85"/>
      <c r="G241" s="85"/>
      <c r="H241" s="85"/>
      <c r="I241" s="85"/>
      <c r="J241" s="85"/>
      <c r="K241" s="85"/>
      <c r="L241" s="85"/>
      <c r="M241" s="85"/>
      <c r="N241" s="85"/>
      <c r="O241" s="85"/>
      <c r="P241" s="85"/>
      <c r="Q241" s="85"/>
      <c r="R241" s="85"/>
      <c r="S241" s="85"/>
      <c r="T241" s="85"/>
      <c r="U241" s="85"/>
    </row>
    <row r="242" spans="1:21">
      <c r="A242" s="85"/>
      <c r="B242" s="85"/>
      <c r="C242" s="85"/>
      <c r="D242" s="85"/>
      <c r="E242" s="85"/>
      <c r="F242" s="85"/>
      <c r="G242" s="85"/>
      <c r="H242" s="85"/>
      <c r="I242" s="85"/>
      <c r="J242" s="85"/>
      <c r="K242" s="85"/>
      <c r="L242" s="85"/>
      <c r="M242" s="85"/>
      <c r="N242" s="85"/>
      <c r="O242" s="85"/>
      <c r="P242" s="85"/>
      <c r="Q242" s="85"/>
      <c r="R242" s="85"/>
      <c r="S242" s="85"/>
      <c r="T242" s="85"/>
      <c r="U242" s="85"/>
    </row>
    <row r="243" spans="1:21">
      <c r="A243" s="85"/>
      <c r="B243" s="85"/>
      <c r="C243" s="85"/>
      <c r="D243" s="85"/>
      <c r="E243" s="85"/>
      <c r="F243" s="85"/>
      <c r="G243" s="85"/>
      <c r="H243" s="85"/>
      <c r="I243" s="85"/>
      <c r="J243" s="85"/>
      <c r="K243" s="85"/>
      <c r="L243" s="85"/>
      <c r="M243" s="85"/>
      <c r="N243" s="85"/>
      <c r="O243" s="85"/>
      <c r="P243" s="85"/>
      <c r="Q243" s="85"/>
      <c r="R243" s="85"/>
      <c r="S243" s="85"/>
      <c r="T243" s="85"/>
      <c r="U243" s="85"/>
    </row>
    <row r="244" spans="1:21">
      <c r="A244" s="85"/>
      <c r="B244" s="85"/>
      <c r="C244" s="85"/>
      <c r="D244" s="85"/>
      <c r="E244" s="85"/>
      <c r="F244" s="85"/>
      <c r="G244" s="85"/>
      <c r="H244" s="85"/>
      <c r="I244" s="85"/>
      <c r="J244" s="85"/>
      <c r="K244" s="85"/>
      <c r="L244" s="85"/>
      <c r="M244" s="85"/>
      <c r="N244" s="85"/>
      <c r="O244" s="85"/>
      <c r="P244" s="85"/>
      <c r="Q244" s="85"/>
      <c r="R244" s="85"/>
      <c r="S244" s="85"/>
      <c r="T244" s="85"/>
      <c r="U244" s="85"/>
    </row>
    <row r="245" spans="1:21">
      <c r="A245" s="85"/>
      <c r="B245" s="85"/>
      <c r="C245" s="85"/>
      <c r="D245" s="85"/>
      <c r="E245" s="85"/>
      <c r="F245" s="85"/>
      <c r="G245" s="85"/>
      <c r="H245" s="85"/>
      <c r="I245" s="85"/>
      <c r="J245" s="85"/>
      <c r="K245" s="85"/>
      <c r="L245" s="85"/>
      <c r="M245" s="85"/>
      <c r="N245" s="85"/>
      <c r="O245" s="85"/>
      <c r="P245" s="85"/>
      <c r="Q245" s="85"/>
      <c r="R245" s="85"/>
      <c r="S245" s="85"/>
      <c r="T245" s="85"/>
      <c r="U245" s="85"/>
    </row>
    <row r="246" spans="1:21">
      <c r="A246" s="85"/>
      <c r="B246" s="85"/>
      <c r="C246" s="85"/>
      <c r="D246" s="85"/>
      <c r="E246" s="85"/>
      <c r="F246" s="85"/>
      <c r="G246" s="85"/>
      <c r="H246" s="85"/>
      <c r="I246" s="85"/>
      <c r="J246" s="85"/>
      <c r="K246" s="85"/>
      <c r="L246" s="85"/>
      <c r="M246" s="85"/>
      <c r="N246" s="85"/>
      <c r="O246" s="85"/>
      <c r="P246" s="85"/>
      <c r="Q246" s="85"/>
      <c r="R246" s="85"/>
      <c r="S246" s="85"/>
      <c r="T246" s="85"/>
      <c r="U246" s="85"/>
    </row>
    <row r="247" spans="1:21">
      <c r="A247" s="85"/>
      <c r="B247" s="85"/>
      <c r="C247" s="85"/>
      <c r="D247" s="85"/>
      <c r="E247" s="85"/>
      <c r="F247" s="85"/>
      <c r="G247" s="85"/>
      <c r="H247" s="85"/>
      <c r="I247" s="85"/>
      <c r="J247" s="85"/>
      <c r="K247" s="85"/>
      <c r="L247" s="85"/>
      <c r="M247" s="85"/>
      <c r="N247" s="85"/>
      <c r="O247" s="85"/>
      <c r="P247" s="85"/>
      <c r="Q247" s="85"/>
      <c r="R247" s="85"/>
      <c r="S247" s="85"/>
      <c r="T247" s="85"/>
      <c r="U247" s="85"/>
    </row>
    <row r="248" spans="1:21">
      <c r="A248" s="85"/>
      <c r="B248" s="85"/>
      <c r="C248" s="85"/>
      <c r="D248" s="85"/>
      <c r="E248" s="85"/>
      <c r="F248" s="85"/>
      <c r="G248" s="85"/>
      <c r="H248" s="85"/>
      <c r="I248" s="85"/>
      <c r="J248" s="85"/>
      <c r="K248" s="85"/>
      <c r="L248" s="85"/>
      <c r="M248" s="85"/>
      <c r="N248" s="85"/>
      <c r="O248" s="85"/>
      <c r="P248" s="85"/>
      <c r="Q248" s="85"/>
      <c r="R248" s="85"/>
      <c r="S248" s="85"/>
      <c r="T248" s="85"/>
      <c r="U248" s="85"/>
    </row>
    <row r="249" spans="1:21">
      <c r="A249" s="85"/>
      <c r="B249" s="85"/>
      <c r="C249" s="85"/>
      <c r="D249" s="85"/>
      <c r="E249" s="85"/>
      <c r="F249" s="85"/>
      <c r="G249" s="85"/>
      <c r="H249" s="85"/>
      <c r="I249" s="85"/>
      <c r="J249" s="85"/>
      <c r="K249" s="85"/>
      <c r="L249" s="85"/>
      <c r="M249" s="85"/>
      <c r="N249" s="85"/>
      <c r="O249" s="85"/>
      <c r="P249" s="85"/>
      <c r="Q249" s="85"/>
      <c r="R249" s="85"/>
      <c r="S249" s="85"/>
      <c r="T249" s="85"/>
      <c r="U249" s="85"/>
    </row>
    <row r="250" spans="1:21">
      <c r="A250" s="85"/>
      <c r="B250" s="85"/>
      <c r="C250" s="85"/>
      <c r="D250" s="85"/>
      <c r="E250" s="85"/>
      <c r="F250" s="85"/>
      <c r="G250" s="85"/>
      <c r="H250" s="85"/>
      <c r="I250" s="85"/>
      <c r="J250" s="85"/>
      <c r="K250" s="85"/>
      <c r="L250" s="85"/>
      <c r="M250" s="85"/>
      <c r="N250" s="85"/>
      <c r="O250" s="85"/>
      <c r="P250" s="85"/>
      <c r="Q250" s="85"/>
      <c r="R250" s="85"/>
      <c r="S250" s="85"/>
      <c r="T250" s="85"/>
      <c r="U250" s="85"/>
    </row>
    <row r="251" spans="1:21">
      <c r="A251" s="85"/>
      <c r="B251" s="85"/>
      <c r="C251" s="85"/>
      <c r="D251" s="85"/>
      <c r="E251" s="85"/>
      <c r="F251" s="85"/>
      <c r="G251" s="85"/>
      <c r="H251" s="85"/>
      <c r="I251" s="85"/>
      <c r="J251" s="85"/>
      <c r="K251" s="85"/>
      <c r="L251" s="85"/>
      <c r="M251" s="85"/>
      <c r="N251" s="85"/>
      <c r="O251" s="85"/>
      <c r="P251" s="85"/>
      <c r="Q251" s="85"/>
      <c r="R251" s="85"/>
      <c r="S251" s="85"/>
      <c r="T251" s="85"/>
      <c r="U251" s="85"/>
    </row>
    <row r="252" spans="1:21">
      <c r="A252" s="85"/>
      <c r="B252" s="85"/>
      <c r="C252" s="85"/>
      <c r="D252" s="85"/>
      <c r="E252" s="85"/>
      <c r="F252" s="85"/>
      <c r="G252" s="85"/>
      <c r="H252" s="85"/>
      <c r="I252" s="85"/>
      <c r="J252" s="85"/>
      <c r="K252" s="85"/>
      <c r="L252" s="85"/>
      <c r="M252" s="85"/>
      <c r="N252" s="85"/>
      <c r="O252" s="85"/>
      <c r="P252" s="85"/>
      <c r="Q252" s="85"/>
      <c r="R252" s="85"/>
      <c r="S252" s="85"/>
      <c r="T252" s="85"/>
      <c r="U252" s="85"/>
    </row>
    <row r="253" spans="1:21">
      <c r="A253" s="85"/>
      <c r="B253" s="85"/>
      <c r="C253" s="85"/>
      <c r="D253" s="85"/>
      <c r="E253" s="85"/>
      <c r="F253" s="85"/>
      <c r="G253" s="85"/>
      <c r="H253" s="85"/>
      <c r="I253" s="85"/>
      <c r="J253" s="85"/>
      <c r="K253" s="85"/>
      <c r="L253" s="85"/>
      <c r="M253" s="85"/>
      <c r="N253" s="85"/>
      <c r="O253" s="85"/>
      <c r="P253" s="85"/>
      <c r="Q253" s="85"/>
      <c r="R253" s="85"/>
      <c r="S253" s="85"/>
      <c r="T253" s="85"/>
      <c r="U253" s="85"/>
    </row>
    <row r="254" spans="1:21">
      <c r="A254" s="85"/>
      <c r="B254" s="85"/>
      <c r="C254" s="85"/>
      <c r="D254" s="85"/>
      <c r="E254" s="85"/>
      <c r="F254" s="85"/>
      <c r="G254" s="85"/>
      <c r="H254" s="85"/>
      <c r="I254" s="85"/>
      <c r="J254" s="85"/>
      <c r="K254" s="85"/>
      <c r="L254" s="85"/>
      <c r="M254" s="85"/>
      <c r="N254" s="85"/>
      <c r="O254" s="85"/>
      <c r="P254" s="85"/>
      <c r="Q254" s="85"/>
      <c r="R254" s="85"/>
      <c r="S254" s="85"/>
      <c r="T254" s="85"/>
      <c r="U254" s="85"/>
    </row>
    <row r="255" spans="1:21">
      <c r="A255" s="85"/>
      <c r="B255" s="85"/>
      <c r="C255" s="85"/>
      <c r="D255" s="85"/>
      <c r="E255" s="85"/>
      <c r="F255" s="85"/>
      <c r="G255" s="85"/>
      <c r="H255" s="85"/>
      <c r="I255" s="85"/>
      <c r="J255" s="85"/>
      <c r="K255" s="85"/>
      <c r="L255" s="85"/>
      <c r="M255" s="85"/>
      <c r="N255" s="85"/>
      <c r="O255" s="85"/>
      <c r="P255" s="85"/>
      <c r="Q255" s="85"/>
      <c r="R255" s="85"/>
      <c r="S255" s="85"/>
      <c r="T255" s="85"/>
      <c r="U255" s="85"/>
    </row>
    <row r="256" spans="1:21">
      <c r="A256" s="85"/>
      <c r="B256" s="85"/>
      <c r="C256" s="85"/>
      <c r="D256" s="85"/>
      <c r="E256" s="85"/>
      <c r="F256" s="85"/>
      <c r="G256" s="85"/>
      <c r="H256" s="85"/>
      <c r="I256" s="85"/>
      <c r="J256" s="85"/>
      <c r="K256" s="85"/>
      <c r="L256" s="85"/>
      <c r="M256" s="85"/>
      <c r="N256" s="85"/>
      <c r="O256" s="85"/>
      <c r="P256" s="85"/>
      <c r="Q256" s="85"/>
      <c r="R256" s="85"/>
      <c r="S256" s="85"/>
      <c r="T256" s="85"/>
      <c r="U256" s="85"/>
    </row>
    <row r="257" spans="1:21">
      <c r="A257" s="85"/>
      <c r="B257" s="85"/>
      <c r="C257" s="85"/>
      <c r="D257" s="85"/>
      <c r="E257" s="85"/>
      <c r="F257" s="85"/>
      <c r="G257" s="85"/>
      <c r="H257" s="85"/>
      <c r="I257" s="85"/>
      <c r="J257" s="85"/>
      <c r="K257" s="85"/>
      <c r="L257" s="85"/>
      <c r="M257" s="85"/>
      <c r="N257" s="85"/>
      <c r="O257" s="85"/>
      <c r="P257" s="85"/>
      <c r="Q257" s="85"/>
      <c r="R257" s="85"/>
      <c r="S257" s="85"/>
      <c r="T257" s="85"/>
      <c r="U257" s="85"/>
    </row>
    <row r="258" spans="1:21">
      <c r="A258" s="85"/>
      <c r="B258" s="85"/>
      <c r="C258" s="85"/>
      <c r="D258" s="85"/>
      <c r="E258" s="85"/>
      <c r="F258" s="85"/>
      <c r="G258" s="85"/>
      <c r="H258" s="85"/>
      <c r="I258" s="85"/>
      <c r="J258" s="85"/>
      <c r="K258" s="85"/>
      <c r="L258" s="85"/>
      <c r="M258" s="85"/>
      <c r="N258" s="85"/>
      <c r="O258" s="85"/>
      <c r="P258" s="85"/>
      <c r="Q258" s="85"/>
      <c r="R258" s="85"/>
      <c r="S258" s="85"/>
      <c r="T258" s="85"/>
      <c r="U258" s="85"/>
    </row>
    <row r="259" spans="1:21">
      <c r="A259" s="85"/>
      <c r="B259" s="85"/>
      <c r="C259" s="85"/>
      <c r="D259" s="85"/>
      <c r="E259" s="85"/>
      <c r="F259" s="85"/>
      <c r="G259" s="85"/>
      <c r="H259" s="85"/>
      <c r="I259" s="85"/>
      <c r="J259" s="85"/>
      <c r="K259" s="85"/>
      <c r="L259" s="85"/>
      <c r="M259" s="85"/>
      <c r="N259" s="85"/>
      <c r="O259" s="85"/>
      <c r="P259" s="85"/>
      <c r="Q259" s="85"/>
      <c r="R259" s="85"/>
      <c r="S259" s="85"/>
      <c r="T259" s="85"/>
      <c r="U259" s="85"/>
    </row>
    <row r="260" spans="1:21">
      <c r="A260" s="85"/>
      <c r="B260" s="85"/>
      <c r="C260" s="85"/>
      <c r="D260" s="85"/>
      <c r="E260" s="85"/>
      <c r="F260" s="85"/>
      <c r="G260" s="85"/>
      <c r="H260" s="85"/>
      <c r="I260" s="85"/>
      <c r="J260" s="85"/>
      <c r="K260" s="85"/>
      <c r="L260" s="85"/>
      <c r="M260" s="85"/>
      <c r="N260" s="85"/>
      <c r="O260" s="85"/>
      <c r="P260" s="85"/>
      <c r="Q260" s="85"/>
      <c r="R260" s="85"/>
      <c r="S260" s="85"/>
      <c r="T260" s="85"/>
      <c r="U260" s="85"/>
    </row>
    <row r="261" spans="1:21">
      <c r="A261" s="85"/>
      <c r="B261" s="85"/>
      <c r="C261" s="85"/>
      <c r="D261" s="85"/>
      <c r="E261" s="85"/>
      <c r="F261" s="85"/>
      <c r="G261" s="85"/>
      <c r="H261" s="85"/>
      <c r="I261" s="85"/>
      <c r="J261" s="85"/>
      <c r="K261" s="85"/>
      <c r="L261" s="85"/>
      <c r="M261" s="85"/>
      <c r="N261" s="85"/>
      <c r="O261" s="85"/>
      <c r="P261" s="85"/>
      <c r="Q261" s="85"/>
      <c r="R261" s="85"/>
      <c r="S261" s="85"/>
      <c r="T261" s="85"/>
      <c r="U261" s="85"/>
    </row>
    <row r="262" spans="1:21">
      <c r="A262" s="85"/>
      <c r="B262" s="85"/>
      <c r="C262" s="85"/>
      <c r="D262" s="85"/>
      <c r="E262" s="85"/>
      <c r="F262" s="85"/>
      <c r="G262" s="85"/>
      <c r="H262" s="85"/>
      <c r="I262" s="85"/>
      <c r="J262" s="85"/>
      <c r="K262" s="85"/>
      <c r="L262" s="85"/>
      <c r="M262" s="85"/>
      <c r="N262" s="85"/>
      <c r="O262" s="85"/>
      <c r="P262" s="85"/>
      <c r="Q262" s="85"/>
      <c r="R262" s="85"/>
      <c r="S262" s="85"/>
      <c r="T262" s="85"/>
      <c r="U262" s="85"/>
    </row>
    <row r="263" spans="1:21">
      <c r="A263" s="85"/>
      <c r="B263" s="85"/>
      <c r="C263" s="85"/>
      <c r="D263" s="85"/>
      <c r="E263" s="85"/>
      <c r="F263" s="85"/>
      <c r="G263" s="85"/>
      <c r="H263" s="85"/>
      <c r="I263" s="85"/>
      <c r="J263" s="85"/>
      <c r="K263" s="85"/>
      <c r="L263" s="85"/>
      <c r="M263" s="85"/>
      <c r="N263" s="85"/>
      <c r="O263" s="85"/>
      <c r="P263" s="85"/>
      <c r="Q263" s="85"/>
      <c r="R263" s="85"/>
      <c r="S263" s="85"/>
      <c r="T263" s="85"/>
      <c r="U263" s="85"/>
    </row>
    <row r="264" spans="1:21">
      <c r="A264" s="85"/>
      <c r="B264" s="85"/>
      <c r="C264" s="85"/>
      <c r="D264" s="85"/>
      <c r="E264" s="85"/>
      <c r="F264" s="85"/>
      <c r="G264" s="85"/>
      <c r="H264" s="85"/>
      <c r="I264" s="85"/>
      <c r="J264" s="85"/>
      <c r="K264" s="85"/>
      <c r="L264" s="85"/>
      <c r="M264" s="85"/>
      <c r="N264" s="85"/>
      <c r="O264" s="85"/>
      <c r="P264" s="85"/>
      <c r="Q264" s="85"/>
      <c r="R264" s="85"/>
      <c r="S264" s="85"/>
      <c r="T264" s="85"/>
      <c r="U264" s="85"/>
    </row>
    <row r="265" spans="1:21">
      <c r="A265" s="85"/>
      <c r="B265" s="85"/>
      <c r="C265" s="85"/>
      <c r="D265" s="85"/>
      <c r="E265" s="85"/>
      <c r="F265" s="85"/>
      <c r="G265" s="85"/>
      <c r="H265" s="85"/>
      <c r="I265" s="85"/>
      <c r="J265" s="85"/>
      <c r="K265" s="85"/>
      <c r="L265" s="85"/>
      <c r="M265" s="85"/>
      <c r="N265" s="85"/>
      <c r="O265" s="85"/>
      <c r="P265" s="85"/>
      <c r="Q265" s="85"/>
      <c r="R265" s="85"/>
      <c r="S265" s="85"/>
      <c r="T265" s="85"/>
      <c r="U265" s="85"/>
    </row>
    <row r="266" spans="1:21">
      <c r="A266" s="85"/>
      <c r="B266" s="85"/>
      <c r="C266" s="85"/>
      <c r="D266" s="85"/>
      <c r="E266" s="85"/>
      <c r="F266" s="85"/>
      <c r="G266" s="85"/>
      <c r="H266" s="85"/>
      <c r="I266" s="85"/>
      <c r="J266" s="85"/>
      <c r="K266" s="85"/>
      <c r="L266" s="85"/>
      <c r="M266" s="85"/>
      <c r="N266" s="85"/>
      <c r="O266" s="85"/>
      <c r="P266" s="85"/>
      <c r="Q266" s="85"/>
      <c r="R266" s="85"/>
      <c r="S266" s="85"/>
      <c r="T266" s="85"/>
      <c r="U266" s="85"/>
    </row>
    <row r="267" spans="1:21">
      <c r="A267" s="85"/>
      <c r="B267" s="85"/>
      <c r="C267" s="85"/>
      <c r="D267" s="85"/>
      <c r="E267" s="85"/>
      <c r="F267" s="85"/>
      <c r="G267" s="85"/>
      <c r="H267" s="85"/>
      <c r="I267" s="85"/>
      <c r="J267" s="85"/>
      <c r="K267" s="85"/>
      <c r="L267" s="85"/>
      <c r="M267" s="85"/>
      <c r="N267" s="85"/>
      <c r="O267" s="85"/>
      <c r="P267" s="85"/>
      <c r="Q267" s="85"/>
      <c r="R267" s="85"/>
      <c r="S267" s="85"/>
      <c r="T267" s="85"/>
      <c r="U267" s="85"/>
    </row>
    <row r="268" spans="1:21">
      <c r="A268" s="85"/>
      <c r="B268" s="85"/>
      <c r="C268" s="85"/>
      <c r="D268" s="85"/>
      <c r="E268" s="85"/>
      <c r="F268" s="85"/>
      <c r="G268" s="85"/>
      <c r="H268" s="85"/>
      <c r="I268" s="85"/>
      <c r="J268" s="85"/>
      <c r="K268" s="85"/>
      <c r="L268" s="85"/>
      <c r="M268" s="85"/>
      <c r="N268" s="85"/>
      <c r="O268" s="85"/>
      <c r="P268" s="85"/>
      <c r="Q268" s="85"/>
      <c r="R268" s="85"/>
      <c r="S268" s="85"/>
      <c r="T268" s="85"/>
      <c r="U268" s="85"/>
    </row>
    <row r="269" spans="1:21">
      <c r="A269" s="85"/>
      <c r="B269" s="85"/>
      <c r="C269" s="85"/>
      <c r="D269" s="85"/>
      <c r="E269" s="85"/>
      <c r="F269" s="85"/>
      <c r="G269" s="85"/>
      <c r="H269" s="85"/>
      <c r="I269" s="85"/>
      <c r="J269" s="85"/>
      <c r="K269" s="85"/>
      <c r="L269" s="85"/>
      <c r="M269" s="85"/>
      <c r="N269" s="85"/>
      <c r="O269" s="85"/>
      <c r="P269" s="85"/>
      <c r="Q269" s="85"/>
      <c r="R269" s="85"/>
      <c r="S269" s="85"/>
      <c r="T269" s="85"/>
      <c r="U269" s="85"/>
    </row>
    <row r="270" spans="1:21">
      <c r="A270" s="85"/>
      <c r="B270" s="85"/>
      <c r="C270" s="85"/>
      <c r="D270" s="85"/>
      <c r="E270" s="85"/>
      <c r="F270" s="85"/>
      <c r="G270" s="85"/>
      <c r="H270" s="85"/>
      <c r="I270" s="85"/>
      <c r="J270" s="85"/>
      <c r="K270" s="85"/>
      <c r="L270" s="85"/>
      <c r="M270" s="85"/>
      <c r="N270" s="85"/>
      <c r="O270" s="85"/>
      <c r="P270" s="85"/>
      <c r="Q270" s="85"/>
      <c r="R270" s="85"/>
      <c r="S270" s="85"/>
      <c r="T270" s="85"/>
      <c r="U270" s="85"/>
    </row>
    <row r="271" spans="1:21">
      <c r="A271" s="85"/>
      <c r="B271" s="85"/>
      <c r="C271" s="85"/>
      <c r="D271" s="85"/>
      <c r="E271" s="85"/>
      <c r="F271" s="85"/>
      <c r="G271" s="85"/>
      <c r="H271" s="85"/>
      <c r="I271" s="85"/>
      <c r="J271" s="85"/>
      <c r="K271" s="85"/>
      <c r="L271" s="85"/>
      <c r="M271" s="85"/>
      <c r="N271" s="85"/>
      <c r="O271" s="85"/>
      <c r="P271" s="85"/>
      <c r="Q271" s="85"/>
      <c r="R271" s="85"/>
      <c r="S271" s="85"/>
      <c r="T271" s="85"/>
      <c r="U271" s="85"/>
    </row>
    <row r="272" spans="1:21">
      <c r="A272" s="85"/>
      <c r="B272" s="85"/>
      <c r="C272" s="85"/>
      <c r="D272" s="85"/>
      <c r="E272" s="85"/>
      <c r="F272" s="85"/>
      <c r="G272" s="85"/>
      <c r="H272" s="85"/>
      <c r="I272" s="85"/>
      <c r="J272" s="85"/>
      <c r="K272" s="85"/>
      <c r="L272" s="85"/>
      <c r="M272" s="85"/>
      <c r="N272" s="85"/>
      <c r="O272" s="85"/>
      <c r="P272" s="85"/>
      <c r="Q272" s="85"/>
      <c r="R272" s="85"/>
      <c r="S272" s="85"/>
      <c r="T272" s="85"/>
      <c r="U272" s="85"/>
    </row>
    <row r="273" spans="1:21">
      <c r="A273" s="85"/>
      <c r="B273" s="85"/>
      <c r="C273" s="85"/>
      <c r="D273" s="85"/>
      <c r="E273" s="85"/>
      <c r="F273" s="85"/>
      <c r="G273" s="85"/>
      <c r="H273" s="85"/>
      <c r="I273" s="85"/>
      <c r="J273" s="85"/>
      <c r="K273" s="85"/>
      <c r="L273" s="85"/>
      <c r="M273" s="85"/>
      <c r="N273" s="85"/>
      <c r="O273" s="85"/>
      <c r="P273" s="85"/>
      <c r="Q273" s="85"/>
      <c r="R273" s="85"/>
      <c r="S273" s="85"/>
      <c r="T273" s="85"/>
      <c r="U273" s="85"/>
    </row>
    <row r="274" spans="1:21">
      <c r="A274" s="85"/>
      <c r="B274" s="85"/>
      <c r="C274" s="85"/>
      <c r="D274" s="85"/>
      <c r="E274" s="85"/>
      <c r="F274" s="85"/>
      <c r="G274" s="85"/>
      <c r="H274" s="85"/>
      <c r="I274" s="85"/>
      <c r="J274" s="85"/>
      <c r="K274" s="85"/>
      <c r="L274" s="85"/>
      <c r="M274" s="85"/>
      <c r="N274" s="85"/>
      <c r="O274" s="85"/>
      <c r="P274" s="85"/>
      <c r="Q274" s="85"/>
      <c r="R274" s="85"/>
      <c r="S274" s="85"/>
      <c r="T274" s="85"/>
      <c r="U274" s="85"/>
    </row>
    <row r="275" spans="1:21">
      <c r="A275" s="85"/>
      <c r="B275" s="85"/>
      <c r="C275" s="85"/>
      <c r="D275" s="85"/>
      <c r="E275" s="85"/>
      <c r="F275" s="85"/>
      <c r="G275" s="85"/>
      <c r="H275" s="85"/>
      <c r="I275" s="85"/>
      <c r="J275" s="85"/>
      <c r="K275" s="85"/>
      <c r="L275" s="85"/>
      <c r="M275" s="85"/>
      <c r="N275" s="85"/>
      <c r="O275" s="85"/>
      <c r="P275" s="85"/>
      <c r="Q275" s="85"/>
      <c r="R275" s="85"/>
      <c r="S275" s="85"/>
      <c r="T275" s="85"/>
      <c r="U275" s="85"/>
    </row>
    <row r="276" spans="1:21">
      <c r="A276" s="85"/>
      <c r="B276" s="85"/>
      <c r="C276" s="85"/>
      <c r="D276" s="85"/>
      <c r="E276" s="85"/>
      <c r="F276" s="85"/>
      <c r="G276" s="85"/>
      <c r="H276" s="85"/>
      <c r="I276" s="85"/>
      <c r="J276" s="85"/>
      <c r="K276" s="85"/>
      <c r="L276" s="85"/>
      <c r="M276" s="85"/>
      <c r="N276" s="85"/>
      <c r="O276" s="85"/>
      <c r="P276" s="85"/>
      <c r="Q276" s="85"/>
      <c r="R276" s="85"/>
      <c r="S276" s="85"/>
      <c r="T276" s="85"/>
      <c r="U276" s="85"/>
    </row>
    <row r="277" spans="1:21">
      <c r="A277" s="85"/>
      <c r="B277" s="85"/>
      <c r="C277" s="85"/>
      <c r="D277" s="85"/>
      <c r="E277" s="85"/>
      <c r="F277" s="85"/>
      <c r="G277" s="85"/>
      <c r="H277" s="85"/>
      <c r="I277" s="85"/>
      <c r="J277" s="85"/>
      <c r="K277" s="85"/>
      <c r="L277" s="85"/>
      <c r="M277" s="85"/>
      <c r="N277" s="85"/>
      <c r="O277" s="85"/>
      <c r="P277" s="85"/>
      <c r="Q277" s="85"/>
      <c r="R277" s="85"/>
      <c r="S277" s="85"/>
      <c r="T277" s="85"/>
      <c r="U277" s="85"/>
    </row>
    <row r="278" spans="1:21">
      <c r="A278" s="85"/>
      <c r="B278" s="85"/>
      <c r="C278" s="85"/>
      <c r="D278" s="85"/>
      <c r="E278" s="85"/>
      <c r="F278" s="85"/>
      <c r="G278" s="85"/>
      <c r="H278" s="85"/>
      <c r="I278" s="85"/>
      <c r="J278" s="85"/>
      <c r="K278" s="85"/>
      <c r="L278" s="85"/>
      <c r="M278" s="85"/>
      <c r="N278" s="85"/>
      <c r="O278" s="85"/>
      <c r="P278" s="85"/>
      <c r="Q278" s="85"/>
      <c r="R278" s="85"/>
      <c r="S278" s="85"/>
      <c r="T278" s="85"/>
      <c r="U278" s="85"/>
    </row>
    <row r="279" spans="1:21">
      <c r="A279" s="85"/>
      <c r="B279" s="85"/>
      <c r="C279" s="85"/>
      <c r="D279" s="85"/>
      <c r="E279" s="85"/>
      <c r="F279" s="85"/>
      <c r="G279" s="85"/>
      <c r="H279" s="85"/>
      <c r="I279" s="85"/>
      <c r="J279" s="85"/>
      <c r="K279" s="85"/>
      <c r="L279" s="85"/>
      <c r="M279" s="85"/>
      <c r="N279" s="85"/>
      <c r="O279" s="85"/>
      <c r="P279" s="85"/>
      <c r="Q279" s="85"/>
      <c r="R279" s="85"/>
      <c r="S279" s="85"/>
      <c r="T279" s="85"/>
      <c r="U279" s="85"/>
    </row>
    <row r="280" spans="1:21">
      <c r="A280" s="85"/>
      <c r="B280" s="85"/>
      <c r="C280" s="85"/>
      <c r="D280" s="85"/>
      <c r="E280" s="85"/>
      <c r="F280" s="85"/>
      <c r="G280" s="85"/>
      <c r="H280" s="85"/>
      <c r="I280" s="85"/>
      <c r="J280" s="85"/>
      <c r="K280" s="85"/>
      <c r="L280" s="85"/>
      <c r="M280" s="85"/>
      <c r="N280" s="85"/>
      <c r="O280" s="85"/>
      <c r="P280" s="85"/>
      <c r="Q280" s="85"/>
      <c r="R280" s="85"/>
      <c r="S280" s="85"/>
      <c r="T280" s="85"/>
      <c r="U280" s="85"/>
    </row>
    <row r="281" spans="1:21">
      <c r="A281" s="85"/>
      <c r="B281" s="85"/>
      <c r="C281" s="85"/>
      <c r="D281" s="85"/>
      <c r="E281" s="85"/>
      <c r="F281" s="85"/>
      <c r="G281" s="85"/>
      <c r="H281" s="85"/>
      <c r="I281" s="85"/>
      <c r="J281" s="85"/>
      <c r="K281" s="85"/>
      <c r="L281" s="85"/>
      <c r="M281" s="85"/>
      <c r="N281" s="85"/>
      <c r="O281" s="85"/>
      <c r="P281" s="85"/>
      <c r="Q281" s="85"/>
      <c r="R281" s="85"/>
      <c r="S281" s="85"/>
      <c r="T281" s="85"/>
      <c r="U281" s="85"/>
    </row>
    <row r="282" spans="1:21">
      <c r="A282" s="85"/>
      <c r="B282" s="85"/>
      <c r="C282" s="85"/>
      <c r="D282" s="85"/>
      <c r="E282" s="85"/>
      <c r="F282" s="85"/>
      <c r="G282" s="85"/>
      <c r="H282" s="85"/>
      <c r="I282" s="85"/>
      <c r="J282" s="85"/>
      <c r="K282" s="85"/>
      <c r="L282" s="85"/>
      <c r="M282" s="85"/>
      <c r="N282" s="85"/>
      <c r="O282" s="85"/>
      <c r="P282" s="85"/>
      <c r="Q282" s="85"/>
      <c r="R282" s="85"/>
      <c r="S282" s="85"/>
      <c r="T282" s="85"/>
      <c r="U282" s="85"/>
    </row>
    <row r="283" spans="1:21">
      <c r="A283" s="85"/>
      <c r="B283" s="85"/>
      <c r="C283" s="85"/>
      <c r="D283" s="85"/>
      <c r="E283" s="85"/>
      <c r="F283" s="85"/>
      <c r="G283" s="85"/>
      <c r="H283" s="85"/>
      <c r="I283" s="85"/>
      <c r="J283" s="85"/>
      <c r="K283" s="85"/>
      <c r="L283" s="85"/>
      <c r="M283" s="85"/>
      <c r="N283" s="85"/>
      <c r="O283" s="85"/>
      <c r="P283" s="85"/>
      <c r="Q283" s="85"/>
      <c r="R283" s="85"/>
      <c r="S283" s="85"/>
      <c r="T283" s="85"/>
      <c r="U283" s="85"/>
    </row>
    <row r="284" spans="1:21">
      <c r="A284" s="85"/>
      <c r="B284" s="85"/>
      <c r="C284" s="85"/>
      <c r="D284" s="85"/>
      <c r="E284" s="85"/>
      <c r="F284" s="85"/>
      <c r="G284" s="85"/>
      <c r="H284" s="85"/>
      <c r="I284" s="85"/>
      <c r="J284" s="85"/>
      <c r="K284" s="85"/>
      <c r="L284" s="85"/>
      <c r="M284" s="85"/>
      <c r="N284" s="85"/>
      <c r="O284" s="85"/>
      <c r="P284" s="85"/>
      <c r="Q284" s="85"/>
      <c r="R284" s="85"/>
      <c r="S284" s="85"/>
      <c r="T284" s="85"/>
      <c r="U284" s="85"/>
    </row>
    <row r="285" spans="1:21">
      <c r="A285" s="85"/>
      <c r="B285" s="85"/>
      <c r="C285" s="85"/>
      <c r="D285" s="85"/>
      <c r="E285" s="85"/>
      <c r="F285" s="85"/>
      <c r="G285" s="85"/>
      <c r="H285" s="85"/>
      <c r="I285" s="85"/>
      <c r="J285" s="85"/>
      <c r="K285" s="85"/>
      <c r="L285" s="85"/>
      <c r="M285" s="85"/>
      <c r="N285" s="85"/>
      <c r="O285" s="85"/>
      <c r="P285" s="85"/>
      <c r="Q285" s="85"/>
      <c r="R285" s="85"/>
      <c r="S285" s="85"/>
      <c r="T285" s="85"/>
      <c r="U285" s="85"/>
    </row>
    <row r="286" spans="1:21">
      <c r="A286" s="85"/>
      <c r="B286" s="85"/>
      <c r="C286" s="85"/>
      <c r="D286" s="85"/>
      <c r="E286" s="85"/>
      <c r="F286" s="85"/>
      <c r="G286" s="85"/>
      <c r="H286" s="85"/>
      <c r="I286" s="85"/>
      <c r="J286" s="85"/>
      <c r="K286" s="85"/>
      <c r="L286" s="85"/>
      <c r="M286" s="85"/>
      <c r="N286" s="85"/>
      <c r="O286" s="85"/>
      <c r="P286" s="85"/>
      <c r="Q286" s="85"/>
      <c r="R286" s="85"/>
      <c r="S286" s="85"/>
      <c r="T286" s="85"/>
      <c r="U286" s="85"/>
    </row>
    <row r="287" spans="1:21">
      <c r="A287" s="85"/>
      <c r="B287" s="85"/>
      <c r="C287" s="85"/>
      <c r="D287" s="85"/>
      <c r="E287" s="85"/>
      <c r="F287" s="85"/>
      <c r="G287" s="85"/>
      <c r="H287" s="85"/>
      <c r="I287" s="85"/>
      <c r="J287" s="85"/>
      <c r="K287" s="85"/>
      <c r="L287" s="85"/>
      <c r="M287" s="85"/>
      <c r="N287" s="85"/>
      <c r="O287" s="85"/>
      <c r="P287" s="85"/>
      <c r="Q287" s="85"/>
      <c r="R287" s="85"/>
      <c r="S287" s="85"/>
      <c r="T287" s="85"/>
      <c r="U287" s="85"/>
    </row>
    <row r="288" spans="1:21">
      <c r="A288" s="85"/>
      <c r="B288" s="85"/>
      <c r="C288" s="85"/>
      <c r="D288" s="85"/>
      <c r="E288" s="85"/>
      <c r="F288" s="85"/>
      <c r="G288" s="85"/>
      <c r="H288" s="85"/>
      <c r="I288" s="85"/>
      <c r="J288" s="85"/>
      <c r="K288" s="85"/>
      <c r="L288" s="85"/>
      <c r="M288" s="85"/>
      <c r="N288" s="85"/>
      <c r="O288" s="85"/>
      <c r="P288" s="85"/>
      <c r="Q288" s="85"/>
      <c r="R288" s="85"/>
      <c r="S288" s="85"/>
      <c r="T288" s="85"/>
      <c r="U288" s="85"/>
    </row>
    <row r="289" spans="1:21">
      <c r="A289" s="85"/>
      <c r="B289" s="85"/>
      <c r="C289" s="85"/>
      <c r="D289" s="85"/>
      <c r="E289" s="85"/>
      <c r="F289" s="85"/>
      <c r="G289" s="85"/>
      <c r="H289" s="85"/>
      <c r="I289" s="85"/>
      <c r="J289" s="85"/>
      <c r="K289" s="85"/>
      <c r="L289" s="85"/>
      <c r="M289" s="85"/>
      <c r="N289" s="85"/>
      <c r="O289" s="85"/>
      <c r="P289" s="85"/>
      <c r="Q289" s="85"/>
      <c r="R289" s="85"/>
      <c r="S289" s="85"/>
      <c r="T289" s="85"/>
      <c r="U289" s="85"/>
    </row>
    <row r="290" spans="1:21">
      <c r="A290" s="85"/>
      <c r="B290" s="85"/>
      <c r="C290" s="85"/>
      <c r="D290" s="85"/>
      <c r="E290" s="85"/>
      <c r="F290" s="85"/>
      <c r="G290" s="85"/>
      <c r="H290" s="85"/>
      <c r="I290" s="85"/>
      <c r="J290" s="85"/>
      <c r="K290" s="85"/>
      <c r="L290" s="85"/>
      <c r="M290" s="85"/>
      <c r="N290" s="85"/>
      <c r="O290" s="85"/>
      <c r="P290" s="85"/>
      <c r="Q290" s="85"/>
      <c r="R290" s="85"/>
      <c r="S290" s="85"/>
      <c r="T290" s="85"/>
      <c r="U290" s="85"/>
    </row>
    <row r="291" spans="1:21">
      <c r="A291" s="85"/>
      <c r="B291" s="85"/>
      <c r="C291" s="85"/>
      <c r="D291" s="85"/>
      <c r="E291" s="85"/>
      <c r="F291" s="85"/>
      <c r="G291" s="85"/>
      <c r="H291" s="85"/>
      <c r="I291" s="85"/>
      <c r="J291" s="85"/>
      <c r="K291" s="85"/>
      <c r="L291" s="85"/>
      <c r="M291" s="85"/>
      <c r="N291" s="85"/>
      <c r="O291" s="85"/>
      <c r="P291" s="85"/>
      <c r="Q291" s="85"/>
      <c r="R291" s="85"/>
      <c r="S291" s="85"/>
      <c r="T291" s="85"/>
      <c r="U291" s="85"/>
    </row>
    <row r="292" spans="1:21">
      <c r="A292" s="85"/>
      <c r="B292" s="85"/>
      <c r="C292" s="85"/>
      <c r="D292" s="85"/>
      <c r="E292" s="85"/>
      <c r="F292" s="85"/>
      <c r="G292" s="85"/>
      <c r="H292" s="85"/>
      <c r="I292" s="85"/>
      <c r="J292" s="85"/>
      <c r="K292" s="85"/>
      <c r="L292" s="85"/>
      <c r="M292" s="85"/>
      <c r="N292" s="85"/>
      <c r="O292" s="85"/>
      <c r="P292" s="85"/>
      <c r="Q292" s="85"/>
      <c r="R292" s="85"/>
      <c r="S292" s="85"/>
      <c r="T292" s="85"/>
      <c r="U292" s="85"/>
    </row>
    <row r="293" spans="1:21">
      <c r="A293" s="85"/>
      <c r="B293" s="85"/>
      <c r="C293" s="85"/>
      <c r="D293" s="85"/>
      <c r="E293" s="85"/>
      <c r="F293" s="85"/>
      <c r="G293" s="85"/>
      <c r="H293" s="85"/>
      <c r="I293" s="85"/>
      <c r="J293" s="85"/>
      <c r="K293" s="85"/>
      <c r="L293" s="85"/>
      <c r="M293" s="85"/>
      <c r="N293" s="85"/>
      <c r="O293" s="85"/>
      <c r="P293" s="85"/>
      <c r="Q293" s="85"/>
      <c r="R293" s="85"/>
      <c r="S293" s="85"/>
      <c r="T293" s="85"/>
      <c r="U293" s="85"/>
    </row>
    <row r="294" spans="1:21">
      <c r="A294" s="85"/>
      <c r="B294" s="85"/>
      <c r="C294" s="85"/>
      <c r="D294" s="85"/>
      <c r="E294" s="85"/>
      <c r="F294" s="85"/>
      <c r="G294" s="85"/>
      <c r="H294" s="85"/>
      <c r="I294" s="85"/>
      <c r="J294" s="85"/>
      <c r="K294" s="85"/>
      <c r="L294" s="85"/>
      <c r="M294" s="85"/>
      <c r="N294" s="85"/>
      <c r="O294" s="85"/>
      <c r="P294" s="85"/>
      <c r="Q294" s="85"/>
      <c r="R294" s="85"/>
      <c r="S294" s="85"/>
      <c r="T294" s="85"/>
      <c r="U294" s="85"/>
    </row>
    <row r="295" spans="1:21">
      <c r="A295" s="85"/>
      <c r="B295" s="85"/>
      <c r="C295" s="85"/>
      <c r="D295" s="85"/>
      <c r="E295" s="85"/>
      <c r="F295" s="85"/>
      <c r="G295" s="85"/>
      <c r="H295" s="85"/>
      <c r="I295" s="85"/>
      <c r="J295" s="85"/>
      <c r="K295" s="85"/>
      <c r="L295" s="85"/>
      <c r="M295" s="85"/>
      <c r="N295" s="85"/>
      <c r="O295" s="85"/>
      <c r="P295" s="85"/>
      <c r="Q295" s="85"/>
      <c r="R295" s="85"/>
      <c r="S295" s="85"/>
      <c r="T295" s="85"/>
      <c r="U295" s="85"/>
    </row>
    <row r="296" spans="1:21">
      <c r="A296" s="85"/>
      <c r="B296" s="85"/>
      <c r="C296" s="85"/>
      <c r="D296" s="85"/>
      <c r="E296" s="85"/>
      <c r="F296" s="85"/>
      <c r="G296" s="85"/>
      <c r="H296" s="85"/>
      <c r="I296" s="85"/>
      <c r="J296" s="85"/>
      <c r="K296" s="85"/>
      <c r="L296" s="85"/>
      <c r="M296" s="85"/>
      <c r="N296" s="85"/>
      <c r="O296" s="85"/>
      <c r="P296" s="85"/>
      <c r="Q296" s="85"/>
      <c r="R296" s="85"/>
      <c r="S296" s="85"/>
      <c r="T296" s="85"/>
      <c r="U296" s="85"/>
    </row>
    <row r="297" spans="1:21">
      <c r="A297" s="85"/>
      <c r="B297" s="85"/>
      <c r="C297" s="85"/>
      <c r="D297" s="85"/>
      <c r="E297" s="85"/>
      <c r="F297" s="85"/>
      <c r="G297" s="85"/>
      <c r="H297" s="85"/>
      <c r="I297" s="85"/>
      <c r="J297" s="85"/>
      <c r="K297" s="85"/>
      <c r="L297" s="85"/>
      <c r="M297" s="85"/>
      <c r="N297" s="85"/>
      <c r="O297" s="85"/>
      <c r="P297" s="85"/>
      <c r="Q297" s="85"/>
      <c r="R297" s="85"/>
      <c r="S297" s="85"/>
      <c r="T297" s="85"/>
      <c r="U297" s="85"/>
    </row>
    <row r="298" spans="1:21">
      <c r="A298" s="85"/>
      <c r="B298" s="85"/>
      <c r="C298" s="85"/>
      <c r="D298" s="85"/>
      <c r="E298" s="85"/>
      <c r="F298" s="85"/>
      <c r="G298" s="85"/>
      <c r="H298" s="85"/>
      <c r="I298" s="85"/>
      <c r="J298" s="85"/>
      <c r="K298" s="85"/>
      <c r="L298" s="85"/>
      <c r="M298" s="85"/>
      <c r="N298" s="85"/>
      <c r="O298" s="85"/>
      <c r="P298" s="85"/>
      <c r="Q298" s="85"/>
      <c r="R298" s="85"/>
      <c r="S298" s="85"/>
      <c r="T298" s="85"/>
      <c r="U298" s="85"/>
    </row>
    <row r="299" spans="1:21">
      <c r="A299" s="85"/>
      <c r="B299" s="85"/>
      <c r="C299" s="85"/>
      <c r="D299" s="85"/>
      <c r="E299" s="85"/>
      <c r="F299" s="85"/>
      <c r="G299" s="85"/>
      <c r="H299" s="85"/>
      <c r="I299" s="85"/>
      <c r="J299" s="85"/>
      <c r="K299" s="85"/>
      <c r="L299" s="85"/>
      <c r="M299" s="85"/>
      <c r="N299" s="85"/>
      <c r="O299" s="85"/>
      <c r="P299" s="85"/>
      <c r="Q299" s="85"/>
      <c r="R299" s="85"/>
      <c r="S299" s="85"/>
      <c r="T299" s="85"/>
      <c r="U299" s="85"/>
    </row>
    <row r="300" spans="1:21">
      <c r="A300" s="85"/>
      <c r="B300" s="85"/>
      <c r="C300" s="85"/>
      <c r="D300" s="85"/>
      <c r="E300" s="85"/>
      <c r="F300" s="85"/>
      <c r="G300" s="85"/>
      <c r="H300" s="85"/>
      <c r="I300" s="85"/>
      <c r="J300" s="85"/>
      <c r="K300" s="85"/>
      <c r="L300" s="85"/>
      <c r="M300" s="85"/>
      <c r="N300" s="85"/>
      <c r="O300" s="85"/>
      <c r="P300" s="85"/>
      <c r="Q300" s="85"/>
      <c r="R300" s="85"/>
      <c r="S300" s="85"/>
      <c r="T300" s="85"/>
      <c r="U300" s="8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sheetPr>
  <dimension ref="A1:U300"/>
  <sheetViews>
    <sheetView showGridLines="0" workbookViewId="0">
      <pane ySplit="4" topLeftCell="A5" activePane="bottomLeft" state="frozen"/>
      <selection pane="bottomLeft"/>
    </sheetView>
  </sheetViews>
  <sheetFormatPr defaultRowHeight="13.8"/>
  <cols>
    <col min="1" max="1" width="24" customWidth="1"/>
    <col min="2" max="3" width="88" customWidth="1"/>
    <col min="4" max="4" width="68" customWidth="1"/>
  </cols>
  <sheetData>
    <row r="1" spans="1:21">
      <c r="A1" s="86"/>
      <c r="B1" s="86"/>
      <c r="C1" s="86"/>
      <c r="D1" s="86"/>
      <c r="E1" s="86"/>
      <c r="F1" s="86"/>
      <c r="G1" s="86"/>
      <c r="H1" s="86"/>
      <c r="I1" s="86"/>
      <c r="J1" s="86"/>
      <c r="K1" s="86"/>
      <c r="L1" s="86"/>
      <c r="M1" s="86"/>
      <c r="N1" s="86"/>
      <c r="O1" s="86"/>
      <c r="P1" s="86"/>
      <c r="Q1" s="86"/>
      <c r="R1" s="86"/>
      <c r="S1" s="86"/>
      <c r="T1" s="86"/>
      <c r="U1" s="86"/>
    </row>
    <row r="2" spans="1:21" ht="17.399999999999999">
      <c r="A2" s="89" t="s">
        <v>3173</v>
      </c>
      <c r="B2" s="86"/>
      <c r="C2" s="86"/>
      <c r="D2" s="86"/>
      <c r="E2" s="86"/>
      <c r="F2" s="86"/>
      <c r="G2" s="86"/>
      <c r="H2" s="86"/>
      <c r="I2" s="86"/>
      <c r="J2" s="86"/>
      <c r="K2" s="86"/>
      <c r="L2" s="86"/>
      <c r="M2" s="86"/>
      <c r="N2" s="86"/>
      <c r="O2" s="86"/>
      <c r="P2" s="86"/>
      <c r="Q2" s="86"/>
      <c r="R2" s="86"/>
      <c r="S2" s="86"/>
      <c r="T2" s="86"/>
      <c r="U2" s="86"/>
    </row>
    <row r="3" spans="1:21">
      <c r="A3" s="86"/>
      <c r="B3" s="86"/>
      <c r="C3" s="86"/>
      <c r="D3" s="86"/>
      <c r="E3" s="86"/>
      <c r="F3" s="86"/>
      <c r="G3" s="86"/>
      <c r="H3" s="86"/>
      <c r="I3" s="86"/>
      <c r="J3" s="86"/>
      <c r="K3" s="86"/>
      <c r="L3" s="86"/>
      <c r="M3" s="86"/>
      <c r="N3" s="86"/>
      <c r="O3" s="86"/>
      <c r="P3" s="86"/>
      <c r="Q3" s="86"/>
      <c r="R3" s="86"/>
      <c r="S3" s="86"/>
      <c r="T3" s="86"/>
      <c r="U3" s="86"/>
    </row>
    <row r="4" spans="1:21" ht="30" customHeight="1">
      <c r="A4" s="102" t="s">
        <v>2757</v>
      </c>
      <c r="B4" s="102" t="s">
        <v>2</v>
      </c>
      <c r="C4" s="102" t="s">
        <v>3174</v>
      </c>
      <c r="D4" s="102" t="s">
        <v>3175</v>
      </c>
      <c r="E4" s="86"/>
      <c r="F4" s="86"/>
      <c r="G4" s="86"/>
      <c r="H4" s="86"/>
      <c r="I4" s="86"/>
      <c r="J4" s="86"/>
      <c r="K4" s="86"/>
      <c r="L4" s="86"/>
      <c r="M4" s="86"/>
      <c r="N4" s="86"/>
      <c r="O4" s="86"/>
      <c r="P4" s="86"/>
      <c r="Q4" s="86"/>
      <c r="R4" s="86"/>
      <c r="S4" s="86"/>
      <c r="T4" s="86"/>
      <c r="U4" s="86"/>
    </row>
    <row r="5" spans="1:21" ht="100.05" customHeight="1">
      <c r="A5" s="87" t="s">
        <v>3176</v>
      </c>
      <c r="B5" s="87" t="s">
        <v>3177</v>
      </c>
      <c r="C5" s="87" t="s">
        <v>3178</v>
      </c>
      <c r="D5" s="87" t="s">
        <v>3179</v>
      </c>
      <c r="E5" s="86"/>
      <c r="F5" s="86"/>
      <c r="G5" s="86"/>
      <c r="H5" s="86"/>
      <c r="I5" s="86"/>
      <c r="J5" s="86"/>
      <c r="K5" s="86"/>
      <c r="L5" s="86"/>
      <c r="M5" s="86"/>
      <c r="N5" s="86"/>
      <c r="O5" s="86"/>
      <c r="P5" s="86"/>
      <c r="Q5" s="86"/>
      <c r="R5" s="86"/>
      <c r="S5" s="86"/>
      <c r="T5" s="86"/>
      <c r="U5" s="86"/>
    </row>
    <row r="6" spans="1:21" ht="100.05" customHeight="1">
      <c r="A6" s="88" t="s">
        <v>3180</v>
      </c>
      <c r="B6" s="88" t="s">
        <v>3181</v>
      </c>
      <c r="C6" s="88" t="s">
        <v>3182</v>
      </c>
      <c r="D6" s="88" t="s">
        <v>3183</v>
      </c>
      <c r="E6" s="86"/>
      <c r="F6" s="86"/>
      <c r="G6" s="86"/>
      <c r="H6" s="86"/>
      <c r="I6" s="86"/>
      <c r="J6" s="86"/>
      <c r="K6" s="86"/>
      <c r="L6" s="86"/>
      <c r="M6" s="86"/>
      <c r="N6" s="86"/>
      <c r="O6" s="86"/>
      <c r="P6" s="86"/>
      <c r="Q6" s="86"/>
      <c r="R6" s="86"/>
      <c r="S6" s="86"/>
      <c r="T6" s="86"/>
      <c r="U6" s="86"/>
    </row>
    <row r="7" spans="1:21" ht="100.05" customHeight="1">
      <c r="A7" s="87" t="s">
        <v>3184</v>
      </c>
      <c r="B7" s="87" t="s">
        <v>3185</v>
      </c>
      <c r="C7" s="87" t="s">
        <v>3186</v>
      </c>
      <c r="D7" s="87" t="s">
        <v>3187</v>
      </c>
      <c r="E7" s="86"/>
      <c r="F7" s="86"/>
      <c r="G7" s="86"/>
      <c r="H7" s="86"/>
      <c r="I7" s="86"/>
      <c r="J7" s="86"/>
      <c r="K7" s="86"/>
      <c r="L7" s="86"/>
      <c r="M7" s="86"/>
      <c r="N7" s="86"/>
      <c r="O7" s="86"/>
      <c r="P7" s="86"/>
      <c r="Q7" s="86"/>
      <c r="R7" s="86"/>
      <c r="S7" s="86"/>
      <c r="T7" s="86"/>
      <c r="U7" s="86"/>
    </row>
    <row r="8" spans="1:21" ht="100.05" customHeight="1">
      <c r="A8" s="88" t="s">
        <v>3188</v>
      </c>
      <c r="B8" s="88" t="s">
        <v>3189</v>
      </c>
      <c r="C8" s="88" t="s">
        <v>3190</v>
      </c>
      <c r="D8" s="88" t="s">
        <v>3191</v>
      </c>
      <c r="E8" s="86"/>
      <c r="F8" s="86"/>
      <c r="G8" s="86"/>
      <c r="H8" s="86"/>
      <c r="I8" s="86"/>
      <c r="J8" s="86"/>
      <c r="K8" s="86"/>
      <c r="L8" s="86"/>
      <c r="M8" s="86"/>
      <c r="N8" s="86"/>
      <c r="O8" s="86"/>
      <c r="P8" s="86"/>
      <c r="Q8" s="86"/>
      <c r="R8" s="86"/>
      <c r="S8" s="86"/>
      <c r="T8" s="86"/>
      <c r="U8" s="86"/>
    </row>
    <row r="9" spans="1:21" ht="100.05" customHeight="1">
      <c r="A9" s="87" t="s">
        <v>3192</v>
      </c>
      <c r="B9" s="87" t="s">
        <v>3193</v>
      </c>
      <c r="C9" s="87" t="s">
        <v>3194</v>
      </c>
      <c r="D9" s="87" t="s">
        <v>3195</v>
      </c>
      <c r="E9" s="86"/>
      <c r="F9" s="86"/>
      <c r="G9" s="86"/>
      <c r="H9" s="86"/>
      <c r="I9" s="86"/>
      <c r="J9" s="86"/>
      <c r="K9" s="86"/>
      <c r="L9" s="86"/>
      <c r="M9" s="86"/>
      <c r="N9" s="86"/>
      <c r="O9" s="86"/>
      <c r="P9" s="86"/>
      <c r="Q9" s="86"/>
      <c r="R9" s="86"/>
      <c r="S9" s="86"/>
      <c r="T9" s="86"/>
      <c r="U9" s="86"/>
    </row>
    <row r="10" spans="1:21" ht="100.05" customHeight="1">
      <c r="A10" s="88" t="s">
        <v>3196</v>
      </c>
      <c r="B10" s="88" t="s">
        <v>3197</v>
      </c>
      <c r="C10" s="88" t="s">
        <v>3198</v>
      </c>
      <c r="D10" s="88" t="s">
        <v>3199</v>
      </c>
      <c r="E10" s="86"/>
      <c r="F10" s="86"/>
      <c r="G10" s="86"/>
      <c r="H10" s="86"/>
      <c r="I10" s="86"/>
      <c r="J10" s="86"/>
      <c r="K10" s="86"/>
      <c r="L10" s="86"/>
      <c r="M10" s="86"/>
      <c r="N10" s="86"/>
      <c r="O10" s="86"/>
      <c r="P10" s="86"/>
      <c r="Q10" s="86"/>
      <c r="R10" s="86"/>
      <c r="S10" s="86"/>
      <c r="T10" s="86"/>
      <c r="U10" s="86"/>
    </row>
    <row r="11" spans="1:21" ht="100.05" customHeight="1">
      <c r="A11" s="87" t="s">
        <v>3200</v>
      </c>
      <c r="B11" s="87" t="s">
        <v>3201</v>
      </c>
      <c r="C11" s="87" t="s">
        <v>3202</v>
      </c>
      <c r="D11" s="87" t="s">
        <v>3203</v>
      </c>
      <c r="E11" s="86"/>
      <c r="F11" s="86"/>
      <c r="G11" s="86"/>
      <c r="H11" s="86"/>
      <c r="I11" s="86"/>
      <c r="J11" s="86"/>
      <c r="K11" s="86"/>
      <c r="L11" s="86"/>
      <c r="M11" s="86"/>
      <c r="N11" s="86"/>
      <c r="O11" s="86"/>
      <c r="P11" s="86"/>
      <c r="Q11" s="86"/>
      <c r="R11" s="86"/>
      <c r="S11" s="86"/>
      <c r="T11" s="86"/>
      <c r="U11" s="86"/>
    </row>
    <row r="12" spans="1:21" ht="100.05" customHeight="1">
      <c r="A12" s="88" t="s">
        <v>3204</v>
      </c>
      <c r="B12" s="88" t="s">
        <v>3205</v>
      </c>
      <c r="C12" s="88" t="s">
        <v>3206</v>
      </c>
      <c r="D12" s="88" t="s">
        <v>3207</v>
      </c>
      <c r="E12" s="86"/>
      <c r="F12" s="86"/>
      <c r="G12" s="86"/>
      <c r="H12" s="86"/>
      <c r="I12" s="86"/>
      <c r="J12" s="86"/>
      <c r="K12" s="86"/>
      <c r="L12" s="86"/>
      <c r="M12" s="86"/>
      <c r="N12" s="86"/>
      <c r="O12" s="86"/>
      <c r="P12" s="86"/>
      <c r="Q12" s="86"/>
      <c r="R12" s="86"/>
      <c r="S12" s="86"/>
      <c r="T12" s="86"/>
      <c r="U12" s="86"/>
    </row>
    <row r="13" spans="1:21" ht="100.05" customHeight="1">
      <c r="A13" s="87" t="s">
        <v>3208</v>
      </c>
      <c r="B13" s="87" t="s">
        <v>3209</v>
      </c>
      <c r="C13" s="87" t="s">
        <v>3210</v>
      </c>
      <c r="D13" s="87" t="s">
        <v>3211</v>
      </c>
      <c r="E13" s="86"/>
      <c r="F13" s="86"/>
      <c r="G13" s="86"/>
      <c r="H13" s="86"/>
      <c r="I13" s="86"/>
      <c r="J13" s="86"/>
      <c r="K13" s="86"/>
      <c r="L13" s="86"/>
      <c r="M13" s="86"/>
      <c r="N13" s="86"/>
      <c r="O13" s="86"/>
      <c r="P13" s="86"/>
      <c r="Q13" s="86"/>
      <c r="R13" s="86"/>
      <c r="S13" s="86"/>
      <c r="T13" s="86"/>
      <c r="U13" s="86"/>
    </row>
    <row r="14" spans="1:21" ht="100.05" customHeight="1">
      <c r="A14" s="88" t="s">
        <v>3212</v>
      </c>
      <c r="B14" s="88" t="s">
        <v>3213</v>
      </c>
      <c r="C14" s="88" t="s">
        <v>3214</v>
      </c>
      <c r="D14" s="88" t="s">
        <v>3215</v>
      </c>
      <c r="E14" s="86"/>
      <c r="F14" s="86"/>
      <c r="G14" s="86"/>
      <c r="H14" s="86"/>
      <c r="I14" s="86"/>
      <c r="J14" s="86"/>
      <c r="K14" s="86"/>
      <c r="L14" s="86"/>
      <c r="M14" s="86"/>
      <c r="N14" s="86"/>
      <c r="O14" s="86"/>
      <c r="P14" s="86"/>
      <c r="Q14" s="86"/>
      <c r="R14" s="86"/>
      <c r="S14" s="86"/>
      <c r="T14" s="86"/>
      <c r="U14" s="86"/>
    </row>
    <row r="15" spans="1:21" ht="100.05" customHeight="1">
      <c r="A15" s="87" t="s">
        <v>3216</v>
      </c>
      <c r="B15" s="87" t="s">
        <v>3217</v>
      </c>
      <c r="C15" s="87" t="s">
        <v>3218</v>
      </c>
      <c r="D15" s="87" t="s">
        <v>3219</v>
      </c>
      <c r="E15" s="86"/>
      <c r="F15" s="86"/>
      <c r="G15" s="86"/>
      <c r="H15" s="86"/>
      <c r="I15" s="86"/>
      <c r="J15" s="86"/>
      <c r="K15" s="86"/>
      <c r="L15" s="86"/>
      <c r="M15" s="86"/>
      <c r="N15" s="86"/>
      <c r="O15" s="86"/>
      <c r="P15" s="86"/>
      <c r="Q15" s="86"/>
      <c r="R15" s="86"/>
      <c r="S15" s="86"/>
      <c r="T15" s="86"/>
      <c r="U15" s="86"/>
    </row>
    <row r="16" spans="1:21" ht="100.05" customHeight="1">
      <c r="A16" s="88" t="s">
        <v>3220</v>
      </c>
      <c r="B16" s="88" t="s">
        <v>3221</v>
      </c>
      <c r="C16" s="88" t="s">
        <v>3222</v>
      </c>
      <c r="D16" s="88" t="s">
        <v>3223</v>
      </c>
      <c r="E16" s="86"/>
      <c r="F16" s="86"/>
      <c r="G16" s="86"/>
      <c r="H16" s="86"/>
      <c r="I16" s="86"/>
      <c r="J16" s="86"/>
      <c r="K16" s="86"/>
      <c r="L16" s="86"/>
      <c r="M16" s="86"/>
      <c r="N16" s="86"/>
      <c r="O16" s="86"/>
      <c r="P16" s="86"/>
      <c r="Q16" s="86"/>
      <c r="R16" s="86"/>
      <c r="S16" s="86"/>
      <c r="T16" s="86"/>
      <c r="U16" s="86"/>
    </row>
    <row r="17" spans="1:21" ht="100.05" customHeight="1">
      <c r="A17" s="87" t="s">
        <v>3224</v>
      </c>
      <c r="B17" s="87" t="s">
        <v>3225</v>
      </c>
      <c r="C17" s="87" t="s">
        <v>3226</v>
      </c>
      <c r="D17" s="87" t="s">
        <v>3227</v>
      </c>
      <c r="E17" s="86"/>
      <c r="F17" s="86"/>
      <c r="G17" s="86"/>
      <c r="H17" s="86"/>
      <c r="I17" s="86"/>
      <c r="J17" s="86"/>
      <c r="K17" s="86"/>
      <c r="L17" s="86"/>
      <c r="M17" s="86"/>
      <c r="N17" s="86"/>
      <c r="O17" s="86"/>
      <c r="P17" s="86"/>
      <c r="Q17" s="86"/>
      <c r="R17" s="86"/>
      <c r="S17" s="86"/>
      <c r="T17" s="86"/>
      <c r="U17" s="86"/>
    </row>
    <row r="18" spans="1:21" ht="100.05" customHeight="1">
      <c r="A18" s="88" t="s">
        <v>3228</v>
      </c>
      <c r="B18" s="88" t="s">
        <v>3229</v>
      </c>
      <c r="C18" s="88" t="s">
        <v>3230</v>
      </c>
      <c r="D18" s="88" t="s">
        <v>3231</v>
      </c>
      <c r="E18" s="86"/>
      <c r="F18" s="86"/>
      <c r="G18" s="86"/>
      <c r="H18" s="86"/>
      <c r="I18" s="86"/>
      <c r="J18" s="86"/>
      <c r="K18" s="86"/>
      <c r="L18" s="86"/>
      <c r="M18" s="86"/>
      <c r="N18" s="86"/>
      <c r="O18" s="86"/>
      <c r="P18" s="86"/>
      <c r="Q18" s="86"/>
      <c r="R18" s="86"/>
      <c r="S18" s="86"/>
      <c r="T18" s="86"/>
      <c r="U18" s="86"/>
    </row>
    <row r="19" spans="1:21" ht="100.05" customHeight="1">
      <c r="A19" s="87" t="s">
        <v>3232</v>
      </c>
      <c r="B19" s="87" t="s">
        <v>3233</v>
      </c>
      <c r="C19" s="87" t="s">
        <v>3234</v>
      </c>
      <c r="D19" s="87" t="s">
        <v>3235</v>
      </c>
      <c r="E19" s="86"/>
      <c r="F19" s="86"/>
      <c r="G19" s="86"/>
      <c r="H19" s="86"/>
      <c r="I19" s="86"/>
      <c r="J19" s="86"/>
      <c r="K19" s="86"/>
      <c r="L19" s="86"/>
      <c r="M19" s="86"/>
      <c r="N19" s="86"/>
      <c r="O19" s="86"/>
      <c r="P19" s="86"/>
      <c r="Q19" s="86"/>
      <c r="R19" s="86"/>
      <c r="S19" s="86"/>
      <c r="T19" s="86"/>
      <c r="U19" s="86"/>
    </row>
    <row r="20" spans="1:21" ht="100.05" customHeight="1">
      <c r="A20" s="88" t="s">
        <v>3236</v>
      </c>
      <c r="B20" s="88" t="s">
        <v>3237</v>
      </c>
      <c r="C20" s="88" t="s">
        <v>3238</v>
      </c>
      <c r="D20" s="88" t="s">
        <v>3239</v>
      </c>
      <c r="E20" s="86"/>
      <c r="F20" s="86"/>
      <c r="G20" s="86"/>
      <c r="H20" s="86"/>
      <c r="I20" s="86"/>
      <c r="J20" s="86"/>
      <c r="K20" s="86"/>
      <c r="L20" s="86"/>
      <c r="M20" s="86"/>
      <c r="N20" s="86"/>
      <c r="O20" s="86"/>
      <c r="P20" s="86"/>
      <c r="Q20" s="86"/>
      <c r="R20" s="86"/>
      <c r="S20" s="86"/>
      <c r="T20" s="86"/>
      <c r="U20" s="86"/>
    </row>
    <row r="21" spans="1:21" ht="100.05" customHeight="1">
      <c r="A21" s="87" t="s">
        <v>3240</v>
      </c>
      <c r="B21" s="87" t="s">
        <v>3241</v>
      </c>
      <c r="C21" s="87" t="s">
        <v>3242</v>
      </c>
      <c r="D21" s="87" t="s">
        <v>3243</v>
      </c>
      <c r="E21" s="86"/>
      <c r="F21" s="86"/>
      <c r="G21" s="86"/>
      <c r="H21" s="86"/>
      <c r="I21" s="86"/>
      <c r="J21" s="86"/>
      <c r="K21" s="86"/>
      <c r="L21" s="86"/>
      <c r="M21" s="86"/>
      <c r="N21" s="86"/>
      <c r="O21" s="86"/>
      <c r="P21" s="86"/>
      <c r="Q21" s="86"/>
      <c r="R21" s="86"/>
      <c r="S21" s="86"/>
      <c r="T21" s="86"/>
      <c r="U21" s="86"/>
    </row>
    <row r="22" spans="1:21" ht="100.05" customHeight="1">
      <c r="A22" s="88" t="s">
        <v>3244</v>
      </c>
      <c r="B22" s="88" t="s">
        <v>3245</v>
      </c>
      <c r="C22" s="88" t="s">
        <v>3246</v>
      </c>
      <c r="D22" s="88" t="s">
        <v>3247</v>
      </c>
      <c r="E22" s="86"/>
      <c r="F22" s="86"/>
      <c r="G22" s="86"/>
      <c r="H22" s="86"/>
      <c r="I22" s="86"/>
      <c r="J22" s="86"/>
      <c r="K22" s="86"/>
      <c r="L22" s="86"/>
      <c r="M22" s="86"/>
      <c r="N22" s="86"/>
      <c r="O22" s="86"/>
      <c r="P22" s="86"/>
      <c r="Q22" s="86"/>
      <c r="R22" s="86"/>
      <c r="S22" s="86"/>
      <c r="T22" s="86"/>
      <c r="U22" s="86"/>
    </row>
    <row r="23" spans="1:21" ht="100.05" customHeight="1">
      <c r="A23" s="87" t="s">
        <v>3248</v>
      </c>
      <c r="B23" s="87" t="s">
        <v>3249</v>
      </c>
      <c r="C23" s="87" t="s">
        <v>3250</v>
      </c>
      <c r="D23" s="87" t="s">
        <v>3251</v>
      </c>
      <c r="E23" s="86"/>
      <c r="F23" s="86"/>
      <c r="G23" s="86"/>
      <c r="H23" s="86"/>
      <c r="I23" s="86"/>
      <c r="J23" s="86"/>
      <c r="K23" s="86"/>
      <c r="L23" s="86"/>
      <c r="M23" s="86"/>
      <c r="N23" s="86"/>
      <c r="O23" s="86"/>
      <c r="P23" s="86"/>
      <c r="Q23" s="86"/>
      <c r="R23" s="86"/>
      <c r="S23" s="86"/>
      <c r="T23" s="86"/>
      <c r="U23" s="86"/>
    </row>
    <row r="24" spans="1:21" ht="100.05" customHeight="1">
      <c r="A24" s="88" t="s">
        <v>3252</v>
      </c>
      <c r="B24" s="88" t="s">
        <v>3253</v>
      </c>
      <c r="C24" s="88" t="s">
        <v>3254</v>
      </c>
      <c r="D24" s="88" t="s">
        <v>3255</v>
      </c>
      <c r="E24" s="86"/>
      <c r="F24" s="86"/>
      <c r="G24" s="86"/>
      <c r="H24" s="86"/>
      <c r="I24" s="86"/>
      <c r="J24" s="86"/>
      <c r="K24" s="86"/>
      <c r="L24" s="86"/>
      <c r="M24" s="86"/>
      <c r="N24" s="86"/>
      <c r="O24" s="86"/>
      <c r="P24" s="86"/>
      <c r="Q24" s="86"/>
      <c r="R24" s="86"/>
      <c r="S24" s="86"/>
      <c r="T24" s="86"/>
      <c r="U24" s="86"/>
    </row>
    <row r="25" spans="1:21" ht="100.05" customHeight="1">
      <c r="A25" s="87" t="s">
        <v>3256</v>
      </c>
      <c r="B25" s="87" t="s">
        <v>3257</v>
      </c>
      <c r="C25" s="87" t="s">
        <v>3258</v>
      </c>
      <c r="D25" s="87" t="s">
        <v>3259</v>
      </c>
      <c r="E25" s="86"/>
      <c r="F25" s="86"/>
      <c r="G25" s="86"/>
      <c r="H25" s="86"/>
      <c r="I25" s="86"/>
      <c r="J25" s="86"/>
      <c r="K25" s="86"/>
      <c r="L25" s="86"/>
      <c r="M25" s="86"/>
      <c r="N25" s="86"/>
      <c r="O25" s="86"/>
      <c r="P25" s="86"/>
      <c r="Q25" s="86"/>
      <c r="R25" s="86"/>
      <c r="S25" s="86"/>
      <c r="T25" s="86"/>
      <c r="U25" s="86"/>
    </row>
    <row r="26" spans="1:21" ht="90" customHeight="1">
      <c r="A26" s="88"/>
      <c r="B26" s="88"/>
      <c r="C26" s="88"/>
      <c r="D26" s="88"/>
      <c r="E26" s="86"/>
      <c r="F26" s="86"/>
      <c r="G26" s="86"/>
      <c r="H26" s="86"/>
      <c r="I26" s="86"/>
      <c r="J26" s="86"/>
      <c r="K26" s="86"/>
      <c r="L26" s="86"/>
      <c r="M26" s="86"/>
      <c r="N26" s="86"/>
      <c r="O26" s="86"/>
      <c r="P26" s="86"/>
      <c r="Q26" s="86"/>
      <c r="R26" s="86"/>
      <c r="S26" s="86"/>
      <c r="T26" s="86"/>
      <c r="U26" s="86"/>
    </row>
    <row r="27" spans="1:21">
      <c r="A27" s="87"/>
      <c r="B27" s="87"/>
      <c r="C27" s="87"/>
      <c r="D27" s="87"/>
      <c r="E27" s="86"/>
      <c r="F27" s="86"/>
      <c r="G27" s="86"/>
      <c r="H27" s="86"/>
      <c r="I27" s="86"/>
      <c r="J27" s="86"/>
      <c r="K27" s="86"/>
      <c r="L27" s="86"/>
      <c r="M27" s="86"/>
      <c r="N27" s="86"/>
      <c r="O27" s="86"/>
      <c r="P27" s="86"/>
      <c r="Q27" s="86"/>
      <c r="R27" s="86"/>
      <c r="S27" s="86"/>
      <c r="T27" s="86"/>
      <c r="U27" s="86"/>
    </row>
    <row r="28" spans="1:21" ht="30" customHeight="1">
      <c r="A28" s="103" t="s">
        <v>1047</v>
      </c>
      <c r="B28" s="103" t="s">
        <v>3260</v>
      </c>
      <c r="C28" s="103" t="s">
        <v>3261</v>
      </c>
      <c r="D28" s="103" t="s">
        <v>3262</v>
      </c>
      <c r="E28" s="86"/>
      <c r="F28" s="86"/>
      <c r="G28" s="86"/>
      <c r="H28" s="86"/>
      <c r="I28" s="86"/>
      <c r="J28" s="86"/>
      <c r="K28" s="86"/>
      <c r="L28" s="86"/>
      <c r="M28" s="86"/>
      <c r="N28" s="86"/>
      <c r="O28" s="86"/>
      <c r="P28" s="86"/>
      <c r="Q28" s="86"/>
      <c r="R28" s="86"/>
      <c r="S28" s="86"/>
      <c r="T28" s="86"/>
      <c r="U28" s="86"/>
    </row>
    <row r="29" spans="1:21" ht="90" customHeight="1">
      <c r="A29" s="87" t="s">
        <v>3263</v>
      </c>
      <c r="B29" s="87" t="s">
        <v>3264</v>
      </c>
      <c r="C29" s="87" t="s">
        <v>3265</v>
      </c>
      <c r="D29" s="87" t="s">
        <v>3266</v>
      </c>
      <c r="E29" s="86"/>
      <c r="F29" s="86"/>
      <c r="G29" s="86"/>
      <c r="H29" s="86"/>
      <c r="I29" s="86"/>
      <c r="J29" s="86"/>
      <c r="K29" s="86"/>
      <c r="L29" s="86"/>
      <c r="M29" s="86"/>
      <c r="N29" s="86"/>
      <c r="O29" s="86"/>
      <c r="P29" s="86"/>
      <c r="Q29" s="86"/>
      <c r="R29" s="86"/>
      <c r="S29" s="86"/>
      <c r="T29" s="86"/>
      <c r="U29" s="86"/>
    </row>
    <row r="30" spans="1:21" ht="90" customHeight="1">
      <c r="A30" s="88" t="s">
        <v>3267</v>
      </c>
      <c r="B30" s="88" t="s">
        <v>3268</v>
      </c>
      <c r="C30" s="88" t="s">
        <v>3269</v>
      </c>
      <c r="D30" s="88" t="s">
        <v>3270</v>
      </c>
      <c r="E30" s="86"/>
      <c r="F30" s="86"/>
      <c r="G30" s="86"/>
      <c r="H30" s="86"/>
      <c r="I30" s="86"/>
      <c r="J30" s="86"/>
      <c r="K30" s="86"/>
      <c r="L30" s="86"/>
      <c r="M30" s="86"/>
      <c r="N30" s="86"/>
      <c r="O30" s="86"/>
      <c r="P30" s="86"/>
      <c r="Q30" s="86"/>
      <c r="R30" s="86"/>
      <c r="S30" s="86"/>
      <c r="T30" s="86"/>
      <c r="U30" s="86"/>
    </row>
    <row r="31" spans="1:21" ht="90" customHeight="1">
      <c r="A31" s="87" t="s">
        <v>3271</v>
      </c>
      <c r="B31" s="87" t="s">
        <v>3272</v>
      </c>
      <c r="C31" s="87" t="s">
        <v>3273</v>
      </c>
      <c r="D31" s="87" t="s">
        <v>3274</v>
      </c>
      <c r="E31" s="86"/>
      <c r="F31" s="86"/>
      <c r="G31" s="86"/>
      <c r="H31" s="86"/>
      <c r="I31" s="86"/>
      <c r="J31" s="86"/>
      <c r="K31" s="86"/>
      <c r="L31" s="86"/>
      <c r="M31" s="86"/>
      <c r="N31" s="86"/>
      <c r="O31" s="86"/>
      <c r="P31" s="86"/>
      <c r="Q31" s="86"/>
      <c r="R31" s="86"/>
      <c r="S31" s="86"/>
      <c r="T31" s="86"/>
      <c r="U31" s="86"/>
    </row>
    <row r="32" spans="1:21" ht="90" customHeight="1">
      <c r="A32" s="88" t="s">
        <v>3275</v>
      </c>
      <c r="B32" s="88" t="s">
        <v>3276</v>
      </c>
      <c r="C32" s="88" t="s">
        <v>3277</v>
      </c>
      <c r="D32" s="88" t="s">
        <v>3278</v>
      </c>
      <c r="E32" s="86"/>
      <c r="F32" s="86"/>
      <c r="G32" s="86"/>
      <c r="H32" s="86"/>
      <c r="I32" s="86"/>
      <c r="J32" s="86"/>
      <c r="K32" s="86"/>
      <c r="L32" s="86"/>
      <c r="M32" s="86"/>
      <c r="N32" s="86"/>
      <c r="O32" s="86"/>
      <c r="P32" s="86"/>
      <c r="Q32" s="86"/>
      <c r="R32" s="86"/>
      <c r="S32" s="86"/>
      <c r="T32" s="86"/>
      <c r="U32" s="86"/>
    </row>
    <row r="33" spans="1:21" ht="90" customHeight="1">
      <c r="A33" s="87" t="s">
        <v>3279</v>
      </c>
      <c r="B33" s="87" t="s">
        <v>3280</v>
      </c>
      <c r="C33" s="87" t="s">
        <v>3281</v>
      </c>
      <c r="D33" s="87" t="s">
        <v>3282</v>
      </c>
      <c r="E33" s="86"/>
      <c r="F33" s="86"/>
      <c r="G33" s="86"/>
      <c r="H33" s="86"/>
      <c r="I33" s="86"/>
      <c r="J33" s="86"/>
      <c r="K33" s="86"/>
      <c r="L33" s="86"/>
      <c r="M33" s="86"/>
      <c r="N33" s="86"/>
      <c r="O33" s="86"/>
      <c r="P33" s="86"/>
      <c r="Q33" s="86"/>
      <c r="R33" s="86"/>
      <c r="S33" s="86"/>
      <c r="T33" s="86"/>
      <c r="U33" s="86"/>
    </row>
    <row r="34" spans="1:21" ht="90" customHeight="1">
      <c r="A34" s="88" t="s">
        <v>3283</v>
      </c>
      <c r="B34" s="88" t="s">
        <v>3284</v>
      </c>
      <c r="C34" s="88" t="s">
        <v>3285</v>
      </c>
      <c r="D34" s="88" t="s">
        <v>3286</v>
      </c>
      <c r="E34" s="86"/>
      <c r="F34" s="86"/>
      <c r="G34" s="86"/>
      <c r="H34" s="86"/>
      <c r="I34" s="86"/>
      <c r="J34" s="86"/>
      <c r="K34" s="86"/>
      <c r="L34" s="86"/>
      <c r="M34" s="86"/>
      <c r="N34" s="86"/>
      <c r="O34" s="86"/>
      <c r="P34" s="86"/>
      <c r="Q34" s="86"/>
      <c r="R34" s="86"/>
      <c r="S34" s="86"/>
      <c r="T34" s="86"/>
      <c r="U34" s="86"/>
    </row>
    <row r="35" spans="1:21" ht="90" customHeight="1">
      <c r="A35" s="87" t="s">
        <v>3287</v>
      </c>
      <c r="B35" s="87" t="s">
        <v>3288</v>
      </c>
      <c r="C35" s="87" t="s">
        <v>3289</v>
      </c>
      <c r="D35" s="87" t="s">
        <v>3290</v>
      </c>
      <c r="E35" s="86"/>
      <c r="F35" s="86"/>
      <c r="G35" s="86"/>
      <c r="H35" s="86"/>
      <c r="I35" s="86"/>
      <c r="J35" s="86"/>
      <c r="K35" s="86"/>
      <c r="L35" s="86"/>
      <c r="M35" s="86"/>
      <c r="N35" s="86"/>
      <c r="O35" s="86"/>
      <c r="P35" s="86"/>
      <c r="Q35" s="86"/>
      <c r="R35" s="86"/>
      <c r="S35" s="86"/>
      <c r="T35" s="86"/>
      <c r="U35" s="86"/>
    </row>
    <row r="36" spans="1:21" ht="90" customHeight="1">
      <c r="A36" s="88" t="s">
        <v>3291</v>
      </c>
      <c r="B36" s="88" t="s">
        <v>3292</v>
      </c>
      <c r="C36" s="88" t="s">
        <v>3293</v>
      </c>
      <c r="D36" s="88" t="s">
        <v>3294</v>
      </c>
      <c r="E36" s="86"/>
      <c r="F36" s="86"/>
      <c r="G36" s="86"/>
      <c r="H36" s="86"/>
      <c r="I36" s="86"/>
      <c r="J36" s="86"/>
      <c r="K36" s="86"/>
      <c r="L36" s="86"/>
      <c r="M36" s="86"/>
      <c r="N36" s="86"/>
      <c r="O36" s="86"/>
      <c r="P36" s="86"/>
      <c r="Q36" s="86"/>
      <c r="R36" s="86"/>
      <c r="S36" s="86"/>
      <c r="T36" s="86"/>
      <c r="U36" s="86"/>
    </row>
    <row r="37" spans="1:21" ht="90" customHeight="1">
      <c r="A37" s="87" t="s">
        <v>3295</v>
      </c>
      <c r="B37" s="87" t="s">
        <v>3296</v>
      </c>
      <c r="C37" s="87" t="s">
        <v>3297</v>
      </c>
      <c r="D37" s="87" t="s">
        <v>3298</v>
      </c>
      <c r="E37" s="86"/>
      <c r="F37" s="86"/>
      <c r="G37" s="86"/>
      <c r="H37" s="86"/>
      <c r="I37" s="86"/>
      <c r="J37" s="86"/>
      <c r="K37" s="86"/>
      <c r="L37" s="86"/>
      <c r="M37" s="86"/>
      <c r="N37" s="86"/>
      <c r="O37" s="86"/>
      <c r="P37" s="86"/>
      <c r="Q37" s="86"/>
      <c r="R37" s="86"/>
      <c r="S37" s="86"/>
      <c r="T37" s="86"/>
      <c r="U37" s="86"/>
    </row>
    <row r="38" spans="1:21">
      <c r="A38" s="87"/>
      <c r="B38" s="87"/>
      <c r="C38" s="87"/>
      <c r="D38" s="87"/>
      <c r="E38" s="86"/>
      <c r="F38" s="86"/>
      <c r="G38" s="86"/>
      <c r="H38" s="86"/>
      <c r="I38" s="86"/>
      <c r="J38" s="86"/>
      <c r="K38" s="86"/>
      <c r="L38" s="86"/>
      <c r="M38" s="86"/>
      <c r="N38" s="86"/>
      <c r="O38" s="86"/>
      <c r="P38" s="86"/>
      <c r="Q38" s="86"/>
      <c r="R38" s="86"/>
      <c r="S38" s="86"/>
      <c r="T38" s="86"/>
      <c r="U38" s="86"/>
    </row>
    <row r="39" spans="1:21">
      <c r="A39" s="87"/>
      <c r="B39" s="87"/>
      <c r="C39" s="87"/>
      <c r="D39" s="87"/>
      <c r="E39" s="86"/>
      <c r="F39" s="86"/>
      <c r="G39" s="86"/>
      <c r="H39" s="86"/>
      <c r="I39" s="86"/>
      <c r="J39" s="86"/>
      <c r="K39" s="86"/>
      <c r="L39" s="86"/>
      <c r="M39" s="86"/>
      <c r="N39" s="86"/>
      <c r="O39" s="86"/>
      <c r="P39" s="86"/>
      <c r="Q39" s="86"/>
      <c r="R39" s="86"/>
      <c r="S39" s="86"/>
      <c r="T39" s="86"/>
      <c r="U39" s="86"/>
    </row>
    <row r="40" spans="1:21" ht="30" customHeight="1">
      <c r="A40" s="103" t="s">
        <v>3299</v>
      </c>
      <c r="B40" s="103" t="s">
        <v>3300</v>
      </c>
      <c r="C40" s="103" t="s">
        <v>11</v>
      </c>
      <c r="D40" s="103" t="s">
        <v>741</v>
      </c>
      <c r="E40" s="86"/>
      <c r="F40" s="86"/>
      <c r="G40" s="86"/>
      <c r="H40" s="86"/>
      <c r="I40" s="86"/>
      <c r="J40" s="86"/>
      <c r="K40" s="86"/>
      <c r="L40" s="86"/>
      <c r="M40" s="86"/>
      <c r="N40" s="86"/>
      <c r="O40" s="86"/>
      <c r="P40" s="86"/>
      <c r="Q40" s="86"/>
      <c r="R40" s="86"/>
      <c r="S40" s="86"/>
      <c r="T40" s="86"/>
      <c r="U40" s="86"/>
    </row>
    <row r="41" spans="1:21" ht="90" customHeight="1">
      <c r="A41" s="87" t="s">
        <v>3301</v>
      </c>
      <c r="B41" s="87" t="s">
        <v>3302</v>
      </c>
      <c r="C41" s="87" t="s">
        <v>3303</v>
      </c>
      <c r="D41" s="87" t="s">
        <v>3304</v>
      </c>
      <c r="E41" s="86"/>
      <c r="F41" s="86"/>
      <c r="G41" s="86"/>
      <c r="H41" s="86"/>
      <c r="I41" s="86"/>
      <c r="J41" s="86"/>
      <c r="K41" s="86"/>
      <c r="L41" s="86"/>
      <c r="M41" s="86"/>
      <c r="N41" s="86"/>
      <c r="O41" s="86"/>
      <c r="P41" s="86"/>
      <c r="Q41" s="86"/>
      <c r="R41" s="86"/>
      <c r="S41" s="86"/>
      <c r="T41" s="86"/>
      <c r="U41" s="86"/>
    </row>
    <row r="42" spans="1:21" ht="90" customHeight="1">
      <c r="A42" s="88" t="s">
        <v>3305</v>
      </c>
      <c r="B42" s="88" t="s">
        <v>3306</v>
      </c>
      <c r="C42" s="88" t="s">
        <v>3307</v>
      </c>
      <c r="D42" s="88" t="s">
        <v>3308</v>
      </c>
      <c r="E42" s="86"/>
      <c r="F42" s="86"/>
      <c r="G42" s="86"/>
      <c r="H42" s="86"/>
      <c r="I42" s="86"/>
      <c r="J42" s="86"/>
      <c r="K42" s="86"/>
      <c r="L42" s="86"/>
      <c r="M42" s="86"/>
      <c r="N42" s="86"/>
      <c r="O42" s="86"/>
      <c r="P42" s="86"/>
      <c r="Q42" s="86"/>
      <c r="R42" s="86"/>
      <c r="S42" s="86"/>
      <c r="T42" s="86"/>
      <c r="U42" s="86"/>
    </row>
    <row r="43" spans="1:21" ht="90" customHeight="1">
      <c r="A43" s="87" t="s">
        <v>3309</v>
      </c>
      <c r="B43" s="87" t="s">
        <v>3310</v>
      </c>
      <c r="C43" s="87" t="s">
        <v>3311</v>
      </c>
      <c r="D43" s="87" t="s">
        <v>3312</v>
      </c>
      <c r="E43" s="86"/>
      <c r="F43" s="86"/>
      <c r="G43" s="86"/>
      <c r="H43" s="86"/>
      <c r="I43" s="86"/>
      <c r="J43" s="86"/>
      <c r="K43" s="86"/>
      <c r="L43" s="86"/>
      <c r="M43" s="86"/>
      <c r="N43" s="86"/>
      <c r="O43" s="86"/>
      <c r="P43" s="86"/>
      <c r="Q43" s="86"/>
      <c r="R43" s="86"/>
      <c r="S43" s="86"/>
      <c r="T43" s="86"/>
      <c r="U43" s="86"/>
    </row>
    <row r="44" spans="1:21" ht="90" customHeight="1">
      <c r="A44" s="88" t="s">
        <v>3313</v>
      </c>
      <c r="B44" s="88" t="s">
        <v>3314</v>
      </c>
      <c r="C44" s="88" t="s">
        <v>3315</v>
      </c>
      <c r="D44" s="88" t="s">
        <v>3316</v>
      </c>
      <c r="E44" s="86"/>
      <c r="F44" s="86"/>
      <c r="G44" s="86"/>
      <c r="H44" s="86"/>
      <c r="I44" s="86"/>
      <c r="J44" s="86"/>
      <c r="K44" s="86"/>
      <c r="L44" s="86"/>
      <c r="M44" s="86"/>
      <c r="N44" s="86"/>
      <c r="O44" s="86"/>
      <c r="P44" s="86"/>
      <c r="Q44" s="86"/>
      <c r="R44" s="86"/>
      <c r="S44" s="86"/>
      <c r="T44" s="86"/>
      <c r="U44" s="86"/>
    </row>
    <row r="45" spans="1:21" ht="90" customHeight="1">
      <c r="A45" s="87" t="s">
        <v>3317</v>
      </c>
      <c r="B45" s="87" t="s">
        <v>3318</v>
      </c>
      <c r="C45" s="87" t="s">
        <v>3319</v>
      </c>
      <c r="D45" s="87" t="s">
        <v>3320</v>
      </c>
      <c r="E45" s="86"/>
      <c r="F45" s="86"/>
      <c r="G45" s="86"/>
      <c r="H45" s="86"/>
      <c r="I45" s="86"/>
      <c r="J45" s="86"/>
      <c r="K45" s="86"/>
      <c r="L45" s="86"/>
      <c r="M45" s="86"/>
      <c r="N45" s="86"/>
      <c r="O45" s="86"/>
      <c r="P45" s="86"/>
      <c r="Q45" s="86"/>
      <c r="R45" s="86"/>
      <c r="S45" s="86"/>
      <c r="T45" s="86"/>
      <c r="U45" s="86"/>
    </row>
    <row r="46" spans="1:21">
      <c r="A46" s="86"/>
      <c r="B46" s="86"/>
      <c r="C46" s="86"/>
      <c r="D46" s="86"/>
      <c r="E46" s="86"/>
      <c r="F46" s="86"/>
      <c r="G46" s="86"/>
      <c r="H46" s="86"/>
      <c r="I46" s="86"/>
      <c r="J46" s="86"/>
      <c r="K46" s="86"/>
      <c r="L46" s="86"/>
      <c r="M46" s="86"/>
      <c r="N46" s="86"/>
      <c r="O46" s="86"/>
      <c r="P46" s="86"/>
      <c r="Q46" s="86"/>
      <c r="R46" s="86"/>
      <c r="S46" s="86"/>
      <c r="T46" s="86"/>
      <c r="U46" s="86"/>
    </row>
    <row r="47" spans="1:21" ht="84" customHeight="1">
      <c r="A47" s="87" t="s">
        <v>3321</v>
      </c>
      <c r="B47" s="87" t="s">
        <v>3322</v>
      </c>
      <c r="C47" s="87" t="s">
        <v>3323</v>
      </c>
      <c r="D47" s="87" t="s">
        <v>3324</v>
      </c>
      <c r="E47" s="86"/>
      <c r="F47" s="86"/>
      <c r="G47" s="86"/>
      <c r="H47" s="86"/>
      <c r="I47" s="86"/>
      <c r="J47" s="86"/>
      <c r="K47" s="86"/>
      <c r="L47" s="86"/>
      <c r="M47" s="86"/>
      <c r="N47" s="86"/>
      <c r="O47" s="86"/>
      <c r="P47" s="86"/>
      <c r="Q47" s="86"/>
      <c r="R47" s="86"/>
      <c r="S47" s="86"/>
      <c r="T47" s="86"/>
      <c r="U47" s="86"/>
    </row>
    <row r="48" spans="1:21" ht="84" customHeight="1">
      <c r="A48" s="87"/>
      <c r="B48" s="87"/>
      <c r="C48" s="87"/>
      <c r="D48" s="87"/>
      <c r="E48" s="86"/>
      <c r="F48" s="86"/>
      <c r="G48" s="86"/>
      <c r="H48" s="86"/>
      <c r="I48" s="86"/>
      <c r="J48" s="86"/>
      <c r="K48" s="86"/>
      <c r="L48" s="86"/>
      <c r="M48" s="86"/>
      <c r="N48" s="86"/>
      <c r="O48" s="86"/>
      <c r="P48" s="86"/>
      <c r="Q48" s="86"/>
      <c r="R48" s="86"/>
      <c r="S48" s="86"/>
      <c r="T48" s="86"/>
      <c r="U48" s="86"/>
    </row>
    <row r="49" spans="1:21" ht="30" customHeight="1">
      <c r="A49" s="103" t="s">
        <v>3325</v>
      </c>
      <c r="B49" s="103" t="s">
        <v>3326</v>
      </c>
      <c r="C49" s="103" t="s">
        <v>3327</v>
      </c>
      <c r="D49" s="103" t="s">
        <v>3328</v>
      </c>
      <c r="E49" s="86"/>
      <c r="F49" s="86"/>
      <c r="G49" s="86"/>
      <c r="H49" s="86"/>
      <c r="I49" s="86"/>
      <c r="J49" s="86"/>
      <c r="K49" s="86"/>
      <c r="L49" s="86"/>
      <c r="M49" s="86"/>
      <c r="N49" s="86"/>
      <c r="O49" s="86"/>
      <c r="P49" s="86"/>
      <c r="Q49" s="86"/>
      <c r="R49" s="86"/>
      <c r="S49" s="86"/>
      <c r="T49" s="86"/>
      <c r="U49" s="86"/>
    </row>
    <row r="50" spans="1:21" ht="84" customHeight="1">
      <c r="A50" s="87" t="s">
        <v>3329</v>
      </c>
      <c r="B50" s="87" t="s">
        <v>3330</v>
      </c>
      <c r="C50" s="87" t="s">
        <v>3331</v>
      </c>
      <c r="D50" s="87" t="s">
        <v>3332</v>
      </c>
      <c r="E50" s="86"/>
      <c r="F50" s="86"/>
      <c r="G50" s="86"/>
      <c r="H50" s="86"/>
      <c r="I50" s="86"/>
      <c r="J50" s="86"/>
      <c r="K50" s="86"/>
      <c r="L50" s="86"/>
      <c r="M50" s="86"/>
      <c r="N50" s="86"/>
      <c r="O50" s="86"/>
      <c r="P50" s="86"/>
      <c r="Q50" s="86"/>
      <c r="R50" s="86"/>
      <c r="S50" s="86"/>
      <c r="T50" s="86"/>
      <c r="U50" s="86"/>
    </row>
    <row r="51" spans="1:21" ht="84" customHeight="1">
      <c r="A51" s="87" t="s">
        <v>3333</v>
      </c>
      <c r="B51" s="87" t="s">
        <v>3334</v>
      </c>
      <c r="C51" s="87" t="s">
        <v>3335</v>
      </c>
      <c r="D51" s="87" t="s">
        <v>3336</v>
      </c>
      <c r="E51" s="86"/>
      <c r="F51" s="86"/>
      <c r="G51" s="86"/>
      <c r="H51" s="86"/>
      <c r="I51" s="86"/>
      <c r="J51" s="86"/>
      <c r="K51" s="86"/>
      <c r="L51" s="86"/>
      <c r="M51" s="86"/>
      <c r="N51" s="86"/>
      <c r="O51" s="86"/>
      <c r="P51" s="86"/>
      <c r="Q51" s="86"/>
      <c r="R51" s="86"/>
      <c r="S51" s="86"/>
      <c r="T51" s="86"/>
      <c r="U51" s="86"/>
    </row>
    <row r="52" spans="1:21" ht="84" customHeight="1">
      <c r="A52" s="87" t="s">
        <v>3337</v>
      </c>
      <c r="B52" s="87" t="s">
        <v>3338</v>
      </c>
      <c r="C52" s="87" t="s">
        <v>3339</v>
      </c>
      <c r="D52" s="87" t="s">
        <v>3340</v>
      </c>
      <c r="E52" s="86"/>
      <c r="F52" s="86"/>
      <c r="G52" s="86"/>
      <c r="H52" s="86"/>
      <c r="I52" s="86"/>
      <c r="J52" s="86"/>
      <c r="K52" s="86"/>
      <c r="L52" s="86"/>
      <c r="M52" s="86"/>
      <c r="N52" s="86"/>
      <c r="O52" s="86"/>
      <c r="P52" s="86"/>
      <c r="Q52" s="86"/>
      <c r="R52" s="86"/>
      <c r="S52" s="86"/>
      <c r="T52" s="86"/>
      <c r="U52" s="86"/>
    </row>
    <row r="53" spans="1:21" ht="84" customHeight="1">
      <c r="A53" s="87" t="s">
        <v>3341</v>
      </c>
      <c r="B53" s="87" t="s">
        <v>3342</v>
      </c>
      <c r="C53" s="87" t="s">
        <v>3343</v>
      </c>
      <c r="D53" s="87" t="s">
        <v>3344</v>
      </c>
      <c r="E53" s="86"/>
      <c r="F53" s="86"/>
      <c r="G53" s="86"/>
      <c r="H53" s="86"/>
      <c r="I53" s="86"/>
      <c r="J53" s="86"/>
      <c r="K53" s="86"/>
      <c r="L53" s="86"/>
      <c r="M53" s="86"/>
      <c r="N53" s="86"/>
      <c r="O53" s="86"/>
      <c r="P53" s="86"/>
      <c r="Q53" s="86"/>
      <c r="R53" s="86"/>
      <c r="S53" s="86"/>
      <c r="T53" s="86"/>
      <c r="U53" s="86"/>
    </row>
    <row r="54" spans="1:21" ht="84" customHeight="1">
      <c r="A54" s="87" t="s">
        <v>3345</v>
      </c>
      <c r="B54" s="87" t="s">
        <v>3346</v>
      </c>
      <c r="C54" s="87" t="s">
        <v>3347</v>
      </c>
      <c r="D54" s="87" t="s">
        <v>3348</v>
      </c>
      <c r="E54" s="86"/>
      <c r="F54" s="86"/>
      <c r="G54" s="86"/>
      <c r="H54" s="86"/>
      <c r="I54" s="86"/>
      <c r="J54" s="86"/>
      <c r="K54" s="86"/>
      <c r="L54" s="86"/>
      <c r="M54" s="86"/>
      <c r="N54" s="86"/>
      <c r="O54" s="86"/>
      <c r="P54" s="86"/>
      <c r="Q54" s="86"/>
      <c r="R54" s="86"/>
      <c r="S54" s="86"/>
      <c r="T54" s="86"/>
      <c r="U54" s="86"/>
    </row>
    <row r="55" spans="1:21" ht="84" customHeight="1">
      <c r="A55" s="87" t="s">
        <v>3349</v>
      </c>
      <c r="B55" s="87" t="s">
        <v>3350</v>
      </c>
      <c r="C55" s="87" t="s">
        <v>3351</v>
      </c>
      <c r="D55" s="87" t="s">
        <v>3352</v>
      </c>
      <c r="E55" s="86"/>
      <c r="F55" s="86"/>
      <c r="G55" s="86"/>
      <c r="H55" s="86"/>
      <c r="I55" s="86"/>
      <c r="J55" s="86"/>
      <c r="K55" s="86"/>
      <c r="L55" s="86"/>
      <c r="M55" s="86"/>
      <c r="N55" s="86"/>
      <c r="O55" s="86"/>
      <c r="P55" s="86"/>
      <c r="Q55" s="86"/>
      <c r="R55" s="86"/>
      <c r="S55" s="86"/>
      <c r="T55" s="86"/>
      <c r="U55" s="86"/>
    </row>
    <row r="56" spans="1:21" ht="84" customHeight="1">
      <c r="A56" s="87" t="s">
        <v>3353</v>
      </c>
      <c r="B56" s="87" t="s">
        <v>3354</v>
      </c>
      <c r="C56" s="87" t="s">
        <v>3355</v>
      </c>
      <c r="D56" s="87" t="s">
        <v>3356</v>
      </c>
      <c r="E56" s="86"/>
      <c r="F56" s="86"/>
      <c r="G56" s="86"/>
      <c r="H56" s="86"/>
      <c r="I56" s="86"/>
      <c r="J56" s="86"/>
      <c r="K56" s="86"/>
      <c r="L56" s="86"/>
      <c r="M56" s="86"/>
      <c r="N56" s="86"/>
      <c r="O56" s="86"/>
      <c r="P56" s="86"/>
      <c r="Q56" s="86"/>
      <c r="R56" s="86"/>
      <c r="S56" s="86"/>
      <c r="T56" s="86"/>
      <c r="U56" s="86"/>
    </row>
    <row r="57" spans="1:21" ht="84" customHeight="1">
      <c r="A57" s="87" t="s">
        <v>3357</v>
      </c>
      <c r="B57" s="87" t="s">
        <v>3358</v>
      </c>
      <c r="C57" s="87" t="s">
        <v>3359</v>
      </c>
      <c r="D57" s="87" t="s">
        <v>3360</v>
      </c>
      <c r="E57" s="86"/>
      <c r="F57" s="86"/>
      <c r="G57" s="86"/>
      <c r="H57" s="86"/>
      <c r="I57" s="86"/>
      <c r="J57" s="86"/>
      <c r="K57" s="86"/>
      <c r="L57" s="86"/>
      <c r="M57" s="86"/>
      <c r="N57" s="86"/>
      <c r="O57" s="86"/>
      <c r="P57" s="86"/>
      <c r="Q57" s="86"/>
      <c r="R57" s="86"/>
      <c r="S57" s="86"/>
      <c r="T57" s="86"/>
      <c r="U57" s="86"/>
    </row>
    <row r="58" spans="1:21" ht="84" customHeight="1">
      <c r="A58" s="87" t="s">
        <v>3361</v>
      </c>
      <c r="B58" s="87" t="s">
        <v>3362</v>
      </c>
      <c r="C58" s="87" t="s">
        <v>3363</v>
      </c>
      <c r="D58" s="87" t="s">
        <v>3364</v>
      </c>
      <c r="E58" s="86"/>
      <c r="F58" s="86"/>
      <c r="G58" s="86"/>
      <c r="H58" s="86"/>
      <c r="I58" s="86"/>
      <c r="J58" s="86"/>
      <c r="K58" s="86"/>
      <c r="L58" s="86"/>
      <c r="M58" s="86"/>
      <c r="N58" s="86"/>
      <c r="O58" s="86"/>
      <c r="P58" s="86"/>
      <c r="Q58" s="86"/>
      <c r="R58" s="86"/>
      <c r="S58" s="86"/>
      <c r="T58" s="86"/>
      <c r="U58" s="86"/>
    </row>
    <row r="59" spans="1:21" ht="84" customHeight="1">
      <c r="A59" s="87" t="s">
        <v>3365</v>
      </c>
      <c r="B59" s="87" t="s">
        <v>3366</v>
      </c>
      <c r="C59" s="87" t="s">
        <v>3367</v>
      </c>
      <c r="D59" s="87" t="s">
        <v>3368</v>
      </c>
      <c r="E59" s="86"/>
      <c r="F59" s="86"/>
      <c r="G59" s="86"/>
      <c r="H59" s="86"/>
      <c r="I59" s="86"/>
      <c r="J59" s="86"/>
      <c r="K59" s="86"/>
      <c r="L59" s="86"/>
      <c r="M59" s="86"/>
      <c r="N59" s="86"/>
      <c r="O59" s="86"/>
      <c r="P59" s="86"/>
      <c r="Q59" s="86"/>
      <c r="R59" s="86"/>
      <c r="S59" s="86"/>
      <c r="T59" s="86"/>
      <c r="U59" s="86"/>
    </row>
    <row r="60" spans="1:21" ht="84" customHeight="1">
      <c r="A60" s="87" t="s">
        <v>3369</v>
      </c>
      <c r="B60" s="87" t="s">
        <v>3370</v>
      </c>
      <c r="C60" s="87" t="s">
        <v>3371</v>
      </c>
      <c r="D60" s="87" t="s">
        <v>3372</v>
      </c>
      <c r="E60" s="86"/>
      <c r="F60" s="86"/>
      <c r="G60" s="86"/>
      <c r="H60" s="86"/>
      <c r="I60" s="86"/>
      <c r="J60" s="86"/>
      <c r="K60" s="86"/>
      <c r="L60" s="86"/>
      <c r="M60" s="86"/>
      <c r="N60" s="86"/>
      <c r="O60" s="86"/>
      <c r="P60" s="86"/>
      <c r="Q60" s="86"/>
      <c r="R60" s="86"/>
      <c r="S60" s="86"/>
      <c r="T60" s="86"/>
      <c r="U60" s="86"/>
    </row>
    <row r="61" spans="1:21" ht="84" customHeight="1">
      <c r="A61" s="87" t="s">
        <v>3373</v>
      </c>
      <c r="B61" s="87" t="s">
        <v>3374</v>
      </c>
      <c r="C61" s="87" t="s">
        <v>3375</v>
      </c>
      <c r="D61" s="87" t="s">
        <v>3376</v>
      </c>
      <c r="E61" s="86"/>
      <c r="F61" s="86"/>
      <c r="G61" s="86"/>
      <c r="H61" s="86"/>
      <c r="I61" s="86"/>
      <c r="J61" s="86"/>
      <c r="K61" s="86"/>
      <c r="L61" s="86"/>
      <c r="M61" s="86"/>
      <c r="N61" s="86"/>
      <c r="O61" s="86"/>
      <c r="P61" s="86"/>
      <c r="Q61" s="86"/>
      <c r="R61" s="86"/>
      <c r="S61" s="86"/>
      <c r="T61" s="86"/>
      <c r="U61" s="86"/>
    </row>
    <row r="62" spans="1:21" ht="84" customHeight="1">
      <c r="A62" s="87" t="s">
        <v>3377</v>
      </c>
      <c r="B62" s="87" t="s">
        <v>3378</v>
      </c>
      <c r="C62" s="87" t="s">
        <v>3379</v>
      </c>
      <c r="D62" s="87" t="s">
        <v>3380</v>
      </c>
      <c r="E62" s="86"/>
      <c r="F62" s="86"/>
      <c r="G62" s="86"/>
      <c r="H62" s="86"/>
      <c r="I62" s="86"/>
      <c r="J62" s="86"/>
      <c r="K62" s="86"/>
      <c r="L62" s="86"/>
      <c r="M62" s="86"/>
      <c r="N62" s="86"/>
      <c r="O62" s="86"/>
      <c r="P62" s="86"/>
      <c r="Q62" s="86"/>
      <c r="R62" s="86"/>
      <c r="S62" s="86"/>
      <c r="T62" s="86"/>
      <c r="U62" s="86"/>
    </row>
    <row r="63" spans="1:21" ht="84" customHeight="1">
      <c r="A63" s="87" t="s">
        <v>3381</v>
      </c>
      <c r="B63" s="87" t="s">
        <v>3382</v>
      </c>
      <c r="C63" s="87" t="s">
        <v>3383</v>
      </c>
      <c r="D63" s="87" t="s">
        <v>3384</v>
      </c>
      <c r="E63" s="86"/>
      <c r="F63" s="86"/>
      <c r="G63" s="86"/>
      <c r="H63" s="86"/>
      <c r="I63" s="86"/>
      <c r="J63" s="86"/>
      <c r="K63" s="86"/>
      <c r="L63" s="86"/>
      <c r="M63" s="86"/>
      <c r="N63" s="86"/>
      <c r="O63" s="86"/>
      <c r="P63" s="86"/>
      <c r="Q63" s="86"/>
      <c r="R63" s="86"/>
      <c r="S63" s="86"/>
      <c r="T63" s="86"/>
      <c r="U63" s="86"/>
    </row>
    <row r="64" spans="1:21">
      <c r="A64" s="86"/>
      <c r="B64" s="86"/>
      <c r="C64" s="86"/>
      <c r="D64" s="86"/>
      <c r="E64" s="86"/>
      <c r="F64" s="86"/>
      <c r="G64" s="86"/>
      <c r="H64" s="86"/>
      <c r="I64" s="86"/>
      <c r="J64" s="86"/>
      <c r="K64" s="86"/>
      <c r="L64" s="86"/>
      <c r="M64" s="86"/>
      <c r="N64" s="86"/>
      <c r="O64" s="86"/>
      <c r="P64" s="86"/>
      <c r="Q64" s="86"/>
      <c r="R64" s="86"/>
      <c r="S64" s="86"/>
      <c r="T64" s="86"/>
      <c r="U64" s="86"/>
    </row>
    <row r="65" spans="1:21">
      <c r="A65" s="86"/>
      <c r="B65" s="86"/>
      <c r="C65" s="86"/>
      <c r="D65" s="86"/>
      <c r="E65" s="86"/>
      <c r="F65" s="86"/>
      <c r="G65" s="86"/>
      <c r="H65" s="86"/>
      <c r="I65" s="86"/>
      <c r="J65" s="86"/>
      <c r="K65" s="86"/>
      <c r="L65" s="86"/>
      <c r="M65" s="86"/>
      <c r="N65" s="86"/>
      <c r="O65" s="86"/>
      <c r="P65" s="86"/>
      <c r="Q65" s="86"/>
      <c r="R65" s="86"/>
      <c r="S65" s="86"/>
      <c r="T65" s="86"/>
      <c r="U65" s="86"/>
    </row>
    <row r="66" spans="1:21">
      <c r="A66" s="86"/>
      <c r="B66" s="86"/>
      <c r="C66" s="86"/>
      <c r="D66" s="86"/>
      <c r="E66" s="86"/>
      <c r="F66" s="86"/>
      <c r="G66" s="86"/>
      <c r="H66" s="86"/>
      <c r="I66" s="86"/>
      <c r="J66" s="86"/>
      <c r="K66" s="86"/>
      <c r="L66" s="86"/>
      <c r="M66" s="86"/>
      <c r="N66" s="86"/>
      <c r="O66" s="86"/>
      <c r="P66" s="86"/>
      <c r="Q66" s="86"/>
      <c r="R66" s="86"/>
      <c r="S66" s="86"/>
      <c r="T66" s="86"/>
      <c r="U66" s="86"/>
    </row>
    <row r="67" spans="1:21">
      <c r="A67" s="86"/>
      <c r="B67" s="86"/>
      <c r="C67" s="86"/>
      <c r="D67" s="86"/>
      <c r="E67" s="86"/>
      <c r="F67" s="86"/>
      <c r="G67" s="86"/>
      <c r="H67" s="86"/>
      <c r="I67" s="86"/>
      <c r="J67" s="86"/>
      <c r="K67" s="86"/>
      <c r="L67" s="86"/>
      <c r="M67" s="86"/>
      <c r="N67" s="86"/>
      <c r="O67" s="86"/>
      <c r="P67" s="86"/>
      <c r="Q67" s="86"/>
      <c r="R67" s="86"/>
      <c r="S67" s="86"/>
      <c r="T67" s="86"/>
      <c r="U67" s="86"/>
    </row>
    <row r="68" spans="1:21">
      <c r="A68" s="86"/>
      <c r="B68" s="86"/>
      <c r="C68" s="86"/>
      <c r="D68" s="86"/>
      <c r="E68" s="86"/>
      <c r="F68" s="86"/>
      <c r="G68" s="86"/>
      <c r="H68" s="86"/>
      <c r="I68" s="86"/>
      <c r="J68" s="86"/>
      <c r="K68" s="86"/>
      <c r="L68" s="86"/>
      <c r="M68" s="86"/>
      <c r="N68" s="86"/>
      <c r="O68" s="86"/>
      <c r="P68" s="86"/>
      <c r="Q68" s="86"/>
      <c r="R68" s="86"/>
      <c r="S68" s="86"/>
      <c r="T68" s="86"/>
      <c r="U68" s="86"/>
    </row>
    <row r="69" spans="1:21">
      <c r="A69" s="86"/>
      <c r="B69" s="86"/>
      <c r="C69" s="86"/>
      <c r="D69" s="86"/>
      <c r="E69" s="86"/>
      <c r="F69" s="86"/>
      <c r="G69" s="86"/>
      <c r="H69" s="86"/>
      <c r="I69" s="86"/>
      <c r="J69" s="86"/>
      <c r="K69" s="86"/>
      <c r="L69" s="86"/>
      <c r="M69" s="86"/>
      <c r="N69" s="86"/>
      <c r="O69" s="86"/>
      <c r="P69" s="86"/>
      <c r="Q69" s="86"/>
      <c r="R69" s="86"/>
      <c r="S69" s="86"/>
      <c r="T69" s="86"/>
      <c r="U69" s="86"/>
    </row>
    <row r="70" spans="1:21">
      <c r="A70" s="86"/>
      <c r="B70" s="86"/>
      <c r="C70" s="86"/>
      <c r="D70" s="86"/>
      <c r="E70" s="86"/>
      <c r="F70" s="86"/>
      <c r="G70" s="86"/>
      <c r="H70" s="86"/>
      <c r="I70" s="86"/>
      <c r="J70" s="86"/>
      <c r="K70" s="86"/>
      <c r="L70" s="86"/>
      <c r="M70" s="86"/>
      <c r="N70" s="86"/>
      <c r="O70" s="86"/>
      <c r="P70" s="86"/>
      <c r="Q70" s="86"/>
      <c r="R70" s="86"/>
      <c r="S70" s="86"/>
      <c r="T70" s="86"/>
      <c r="U70" s="86"/>
    </row>
    <row r="71" spans="1:21">
      <c r="A71" s="86"/>
      <c r="B71" s="86"/>
      <c r="C71" s="86"/>
      <c r="D71" s="86"/>
      <c r="E71" s="86"/>
      <c r="F71" s="86"/>
      <c r="G71" s="86"/>
      <c r="H71" s="86"/>
      <c r="I71" s="86"/>
      <c r="J71" s="86"/>
      <c r="K71" s="86"/>
      <c r="L71" s="86"/>
      <c r="M71" s="86"/>
      <c r="N71" s="86"/>
      <c r="O71" s="86"/>
      <c r="P71" s="86"/>
      <c r="Q71" s="86"/>
      <c r="R71" s="86"/>
      <c r="S71" s="86"/>
      <c r="T71" s="86"/>
      <c r="U71" s="86"/>
    </row>
    <row r="72" spans="1:21">
      <c r="A72" s="86"/>
      <c r="B72" s="86"/>
      <c r="C72" s="86"/>
      <c r="D72" s="86"/>
      <c r="E72" s="86"/>
      <c r="F72" s="86"/>
      <c r="G72" s="86"/>
      <c r="H72" s="86"/>
      <c r="I72" s="86"/>
      <c r="J72" s="86"/>
      <c r="K72" s="86"/>
      <c r="L72" s="86"/>
      <c r="M72" s="86"/>
      <c r="N72" s="86"/>
      <c r="O72" s="86"/>
      <c r="P72" s="86"/>
      <c r="Q72" s="86"/>
      <c r="R72" s="86"/>
      <c r="S72" s="86"/>
      <c r="T72" s="86"/>
      <c r="U72" s="86"/>
    </row>
    <row r="73" spans="1:21">
      <c r="A73" s="86"/>
      <c r="B73" s="86"/>
      <c r="C73" s="86"/>
      <c r="D73" s="86"/>
      <c r="E73" s="86"/>
      <c r="F73" s="86"/>
      <c r="G73" s="86"/>
      <c r="H73" s="86"/>
      <c r="I73" s="86"/>
      <c r="J73" s="86"/>
      <c r="K73" s="86"/>
      <c r="L73" s="86"/>
      <c r="M73" s="86"/>
      <c r="N73" s="86"/>
      <c r="O73" s="86"/>
      <c r="P73" s="86"/>
      <c r="Q73" s="86"/>
      <c r="R73" s="86"/>
      <c r="S73" s="86"/>
      <c r="T73" s="86"/>
      <c r="U73" s="86"/>
    </row>
    <row r="74" spans="1:21">
      <c r="A74" s="86"/>
      <c r="B74" s="86"/>
      <c r="C74" s="86"/>
      <c r="D74" s="86"/>
      <c r="E74" s="86"/>
      <c r="F74" s="86"/>
      <c r="G74" s="86"/>
      <c r="H74" s="86"/>
      <c r="I74" s="86"/>
      <c r="J74" s="86"/>
      <c r="K74" s="86"/>
      <c r="L74" s="86"/>
      <c r="M74" s="86"/>
      <c r="N74" s="86"/>
      <c r="O74" s="86"/>
      <c r="P74" s="86"/>
      <c r="Q74" s="86"/>
      <c r="R74" s="86"/>
      <c r="S74" s="86"/>
      <c r="T74" s="86"/>
      <c r="U74" s="86"/>
    </row>
    <row r="75" spans="1:21">
      <c r="A75" s="86"/>
      <c r="B75" s="86"/>
      <c r="C75" s="86"/>
      <c r="D75" s="86"/>
      <c r="E75" s="86"/>
      <c r="F75" s="86"/>
      <c r="G75" s="86"/>
      <c r="H75" s="86"/>
      <c r="I75" s="86"/>
      <c r="J75" s="86"/>
      <c r="K75" s="86"/>
      <c r="L75" s="86"/>
      <c r="M75" s="86"/>
      <c r="N75" s="86"/>
      <c r="O75" s="86"/>
      <c r="P75" s="86"/>
      <c r="Q75" s="86"/>
      <c r="R75" s="86"/>
      <c r="S75" s="86"/>
      <c r="T75" s="86"/>
      <c r="U75" s="86"/>
    </row>
    <row r="76" spans="1:21">
      <c r="A76" s="86"/>
      <c r="B76" s="86"/>
      <c r="C76" s="86"/>
      <c r="D76" s="86"/>
      <c r="E76" s="86"/>
      <c r="F76" s="86"/>
      <c r="G76" s="86"/>
      <c r="H76" s="86"/>
      <c r="I76" s="86"/>
      <c r="J76" s="86"/>
      <c r="K76" s="86"/>
      <c r="L76" s="86"/>
      <c r="M76" s="86"/>
      <c r="N76" s="86"/>
      <c r="O76" s="86"/>
      <c r="P76" s="86"/>
      <c r="Q76" s="86"/>
      <c r="R76" s="86"/>
      <c r="S76" s="86"/>
      <c r="T76" s="86"/>
      <c r="U76" s="86"/>
    </row>
    <row r="77" spans="1:21">
      <c r="A77" s="86"/>
      <c r="B77" s="86"/>
      <c r="C77" s="86"/>
      <c r="D77" s="86"/>
      <c r="E77" s="86"/>
      <c r="F77" s="86"/>
      <c r="G77" s="86"/>
      <c r="H77" s="86"/>
      <c r="I77" s="86"/>
      <c r="J77" s="86"/>
      <c r="K77" s="86"/>
      <c r="L77" s="86"/>
      <c r="M77" s="86"/>
      <c r="N77" s="86"/>
      <c r="O77" s="86"/>
      <c r="P77" s="86"/>
      <c r="Q77" s="86"/>
      <c r="R77" s="86"/>
      <c r="S77" s="86"/>
      <c r="T77" s="86"/>
      <c r="U77" s="86"/>
    </row>
    <row r="78" spans="1:21">
      <c r="A78" s="86"/>
      <c r="B78" s="86"/>
      <c r="C78" s="86"/>
      <c r="D78" s="86"/>
      <c r="E78" s="86"/>
      <c r="F78" s="86"/>
      <c r="G78" s="86"/>
      <c r="H78" s="86"/>
      <c r="I78" s="86"/>
      <c r="J78" s="86"/>
      <c r="K78" s="86"/>
      <c r="L78" s="86"/>
      <c r="M78" s="86"/>
      <c r="N78" s="86"/>
      <c r="O78" s="86"/>
      <c r="P78" s="86"/>
      <c r="Q78" s="86"/>
      <c r="R78" s="86"/>
      <c r="S78" s="86"/>
      <c r="T78" s="86"/>
      <c r="U78" s="86"/>
    </row>
    <row r="79" spans="1:21">
      <c r="A79" s="86"/>
      <c r="B79" s="86"/>
      <c r="C79" s="86"/>
      <c r="D79" s="86"/>
      <c r="E79" s="86"/>
      <c r="F79" s="86"/>
      <c r="G79" s="86"/>
      <c r="H79" s="86"/>
      <c r="I79" s="86"/>
      <c r="J79" s="86"/>
      <c r="K79" s="86"/>
      <c r="L79" s="86"/>
      <c r="M79" s="86"/>
      <c r="N79" s="86"/>
      <c r="O79" s="86"/>
      <c r="P79" s="86"/>
      <c r="Q79" s="86"/>
      <c r="R79" s="86"/>
      <c r="S79" s="86"/>
      <c r="T79" s="86"/>
      <c r="U79" s="86"/>
    </row>
    <row r="80" spans="1:21">
      <c r="A80" s="86"/>
      <c r="B80" s="86"/>
      <c r="C80" s="86"/>
      <c r="D80" s="86"/>
      <c r="E80" s="86"/>
      <c r="F80" s="86"/>
      <c r="G80" s="86"/>
      <c r="H80" s="86"/>
      <c r="I80" s="86"/>
      <c r="J80" s="86"/>
      <c r="K80" s="86"/>
      <c r="L80" s="86"/>
      <c r="M80" s="86"/>
      <c r="N80" s="86"/>
      <c r="O80" s="86"/>
      <c r="P80" s="86"/>
      <c r="Q80" s="86"/>
      <c r="R80" s="86"/>
      <c r="S80" s="86"/>
      <c r="T80" s="86"/>
      <c r="U80" s="86"/>
    </row>
    <row r="81" spans="1:21">
      <c r="A81" s="86"/>
      <c r="B81" s="86"/>
      <c r="C81" s="86"/>
      <c r="D81" s="86"/>
      <c r="E81" s="86"/>
      <c r="F81" s="86"/>
      <c r="G81" s="86"/>
      <c r="H81" s="86"/>
      <c r="I81" s="86"/>
      <c r="J81" s="86"/>
      <c r="K81" s="86"/>
      <c r="L81" s="86"/>
      <c r="M81" s="86"/>
      <c r="N81" s="86"/>
      <c r="O81" s="86"/>
      <c r="P81" s="86"/>
      <c r="Q81" s="86"/>
      <c r="R81" s="86"/>
      <c r="S81" s="86"/>
      <c r="T81" s="86"/>
      <c r="U81" s="86"/>
    </row>
    <row r="82" spans="1:21">
      <c r="A82" s="86"/>
      <c r="B82" s="86"/>
      <c r="C82" s="86"/>
      <c r="D82" s="86"/>
      <c r="E82" s="86"/>
      <c r="F82" s="86"/>
      <c r="G82" s="86"/>
      <c r="H82" s="86"/>
      <c r="I82" s="86"/>
      <c r="J82" s="86"/>
      <c r="K82" s="86"/>
      <c r="L82" s="86"/>
      <c r="M82" s="86"/>
      <c r="N82" s="86"/>
      <c r="O82" s="86"/>
      <c r="P82" s="86"/>
      <c r="Q82" s="86"/>
      <c r="R82" s="86"/>
      <c r="S82" s="86"/>
      <c r="T82" s="86"/>
      <c r="U82" s="86"/>
    </row>
    <row r="83" spans="1:21">
      <c r="A83" s="86"/>
      <c r="B83" s="86"/>
      <c r="C83" s="86"/>
      <c r="D83" s="86"/>
      <c r="E83" s="86"/>
      <c r="F83" s="86"/>
      <c r="G83" s="86"/>
      <c r="H83" s="86"/>
      <c r="I83" s="86"/>
      <c r="J83" s="86"/>
      <c r="K83" s="86"/>
      <c r="L83" s="86"/>
      <c r="M83" s="86"/>
      <c r="N83" s="86"/>
      <c r="O83" s="86"/>
      <c r="P83" s="86"/>
      <c r="Q83" s="86"/>
      <c r="R83" s="86"/>
      <c r="S83" s="86"/>
      <c r="T83" s="86"/>
      <c r="U83" s="86"/>
    </row>
    <row r="84" spans="1:21">
      <c r="A84" s="86"/>
      <c r="B84" s="86"/>
      <c r="C84" s="86"/>
      <c r="D84" s="86"/>
      <c r="E84" s="86"/>
      <c r="F84" s="86"/>
      <c r="G84" s="86"/>
      <c r="H84" s="86"/>
      <c r="I84" s="86"/>
      <c r="J84" s="86"/>
      <c r="K84" s="86"/>
      <c r="L84" s="86"/>
      <c r="M84" s="86"/>
      <c r="N84" s="86"/>
      <c r="O84" s="86"/>
      <c r="P84" s="86"/>
      <c r="Q84" s="86"/>
      <c r="R84" s="86"/>
      <c r="S84" s="86"/>
      <c r="T84" s="86"/>
      <c r="U84" s="86"/>
    </row>
    <row r="85" spans="1:21">
      <c r="A85" s="86"/>
      <c r="B85" s="86"/>
      <c r="C85" s="86"/>
      <c r="D85" s="86"/>
      <c r="E85" s="86"/>
      <c r="F85" s="86"/>
      <c r="G85" s="86"/>
      <c r="H85" s="86"/>
      <c r="I85" s="86"/>
      <c r="J85" s="86"/>
      <c r="K85" s="86"/>
      <c r="L85" s="86"/>
      <c r="M85" s="86"/>
      <c r="N85" s="86"/>
      <c r="O85" s="86"/>
      <c r="P85" s="86"/>
      <c r="Q85" s="86"/>
      <c r="R85" s="86"/>
      <c r="S85" s="86"/>
      <c r="T85" s="86"/>
      <c r="U85" s="86"/>
    </row>
    <row r="86" spans="1:21">
      <c r="A86" s="86"/>
      <c r="B86" s="86"/>
      <c r="C86" s="86"/>
      <c r="D86" s="86"/>
      <c r="E86" s="86"/>
      <c r="F86" s="86"/>
      <c r="G86" s="86"/>
      <c r="H86" s="86"/>
      <c r="I86" s="86"/>
      <c r="J86" s="86"/>
      <c r="K86" s="86"/>
      <c r="L86" s="86"/>
      <c r="M86" s="86"/>
      <c r="N86" s="86"/>
      <c r="O86" s="86"/>
      <c r="P86" s="86"/>
      <c r="Q86" s="86"/>
      <c r="R86" s="86"/>
      <c r="S86" s="86"/>
      <c r="T86" s="86"/>
      <c r="U86" s="86"/>
    </row>
    <row r="87" spans="1:21">
      <c r="A87" s="86"/>
      <c r="B87" s="86"/>
      <c r="C87" s="86"/>
      <c r="D87" s="86"/>
      <c r="E87" s="86"/>
      <c r="F87" s="86"/>
      <c r="G87" s="86"/>
      <c r="H87" s="86"/>
      <c r="I87" s="86"/>
      <c r="J87" s="86"/>
      <c r="K87" s="86"/>
      <c r="L87" s="86"/>
      <c r="M87" s="86"/>
      <c r="N87" s="86"/>
      <c r="O87" s="86"/>
      <c r="P87" s="86"/>
      <c r="Q87" s="86"/>
      <c r="R87" s="86"/>
      <c r="S87" s="86"/>
      <c r="T87" s="86"/>
      <c r="U87" s="86"/>
    </row>
    <row r="88" spans="1:21">
      <c r="A88" s="86"/>
      <c r="B88" s="86"/>
      <c r="C88" s="86"/>
      <c r="D88" s="86"/>
      <c r="E88" s="86"/>
      <c r="F88" s="86"/>
      <c r="G88" s="86"/>
      <c r="H88" s="86"/>
      <c r="I88" s="86"/>
      <c r="J88" s="86"/>
      <c r="K88" s="86"/>
      <c r="L88" s="86"/>
      <c r="M88" s="86"/>
      <c r="N88" s="86"/>
      <c r="O88" s="86"/>
      <c r="P88" s="86"/>
      <c r="Q88" s="86"/>
      <c r="R88" s="86"/>
      <c r="S88" s="86"/>
      <c r="T88" s="86"/>
      <c r="U88" s="86"/>
    </row>
    <row r="89" spans="1:21">
      <c r="A89" s="86"/>
      <c r="B89" s="86"/>
      <c r="C89" s="86"/>
      <c r="D89" s="86"/>
      <c r="E89" s="86"/>
      <c r="F89" s="86"/>
      <c r="G89" s="86"/>
      <c r="H89" s="86"/>
      <c r="I89" s="86"/>
      <c r="J89" s="86"/>
      <c r="K89" s="86"/>
      <c r="L89" s="86"/>
      <c r="M89" s="86"/>
      <c r="N89" s="86"/>
      <c r="O89" s="86"/>
      <c r="P89" s="86"/>
      <c r="Q89" s="86"/>
      <c r="R89" s="86"/>
      <c r="S89" s="86"/>
      <c r="T89" s="86"/>
      <c r="U89" s="86"/>
    </row>
    <row r="90" spans="1:21">
      <c r="A90" s="86"/>
      <c r="B90" s="86"/>
      <c r="C90" s="86"/>
      <c r="D90" s="86"/>
      <c r="E90" s="86"/>
      <c r="F90" s="86"/>
      <c r="G90" s="86"/>
      <c r="H90" s="86"/>
      <c r="I90" s="86"/>
      <c r="J90" s="86"/>
      <c r="K90" s="86"/>
      <c r="L90" s="86"/>
      <c r="M90" s="86"/>
      <c r="N90" s="86"/>
      <c r="O90" s="86"/>
      <c r="P90" s="86"/>
      <c r="Q90" s="86"/>
      <c r="R90" s="86"/>
      <c r="S90" s="86"/>
      <c r="T90" s="86"/>
      <c r="U90" s="86"/>
    </row>
    <row r="91" spans="1:21">
      <c r="A91" s="86"/>
      <c r="B91" s="86"/>
      <c r="C91" s="86"/>
      <c r="D91" s="86"/>
      <c r="E91" s="86"/>
      <c r="F91" s="86"/>
      <c r="G91" s="86"/>
      <c r="H91" s="86"/>
      <c r="I91" s="86"/>
      <c r="J91" s="86"/>
      <c r="K91" s="86"/>
      <c r="L91" s="86"/>
      <c r="M91" s="86"/>
      <c r="N91" s="86"/>
      <c r="O91" s="86"/>
      <c r="P91" s="86"/>
      <c r="Q91" s="86"/>
      <c r="R91" s="86"/>
      <c r="S91" s="86"/>
      <c r="T91" s="86"/>
      <c r="U91" s="86"/>
    </row>
    <row r="92" spans="1:21">
      <c r="A92" s="86"/>
      <c r="B92" s="86"/>
      <c r="C92" s="86"/>
      <c r="D92" s="86"/>
      <c r="E92" s="86"/>
      <c r="F92" s="86"/>
      <c r="G92" s="86"/>
      <c r="H92" s="86"/>
      <c r="I92" s="86"/>
      <c r="J92" s="86"/>
      <c r="K92" s="86"/>
      <c r="L92" s="86"/>
      <c r="M92" s="86"/>
      <c r="N92" s="86"/>
      <c r="O92" s="86"/>
      <c r="P92" s="86"/>
      <c r="Q92" s="86"/>
      <c r="R92" s="86"/>
      <c r="S92" s="86"/>
      <c r="T92" s="86"/>
      <c r="U92" s="86"/>
    </row>
    <row r="93" spans="1:21">
      <c r="A93" s="86"/>
      <c r="B93" s="86"/>
      <c r="C93" s="86"/>
      <c r="D93" s="86"/>
      <c r="E93" s="86"/>
      <c r="F93" s="86"/>
      <c r="G93" s="86"/>
      <c r="H93" s="86"/>
      <c r="I93" s="86"/>
      <c r="J93" s="86"/>
      <c r="K93" s="86"/>
      <c r="L93" s="86"/>
      <c r="M93" s="86"/>
      <c r="N93" s="86"/>
      <c r="O93" s="86"/>
      <c r="P93" s="86"/>
      <c r="Q93" s="86"/>
      <c r="R93" s="86"/>
      <c r="S93" s="86"/>
      <c r="T93" s="86"/>
      <c r="U93" s="86"/>
    </row>
    <row r="94" spans="1:21">
      <c r="A94" s="86"/>
      <c r="B94" s="86"/>
      <c r="C94" s="86"/>
      <c r="D94" s="86"/>
      <c r="E94" s="86"/>
      <c r="F94" s="86"/>
      <c r="G94" s="86"/>
      <c r="H94" s="86"/>
      <c r="I94" s="86"/>
      <c r="J94" s="86"/>
      <c r="K94" s="86"/>
      <c r="L94" s="86"/>
      <c r="M94" s="86"/>
      <c r="N94" s="86"/>
      <c r="O94" s="86"/>
      <c r="P94" s="86"/>
      <c r="Q94" s="86"/>
      <c r="R94" s="86"/>
      <c r="S94" s="86"/>
      <c r="T94" s="86"/>
      <c r="U94" s="86"/>
    </row>
    <row r="95" spans="1:21">
      <c r="A95" s="86"/>
      <c r="B95" s="86"/>
      <c r="C95" s="86"/>
      <c r="D95" s="86"/>
      <c r="E95" s="86"/>
      <c r="F95" s="86"/>
      <c r="G95" s="86"/>
      <c r="H95" s="86"/>
      <c r="I95" s="86"/>
      <c r="J95" s="86"/>
      <c r="K95" s="86"/>
      <c r="L95" s="86"/>
      <c r="M95" s="86"/>
      <c r="N95" s="86"/>
      <c r="O95" s="86"/>
      <c r="P95" s="86"/>
      <c r="Q95" s="86"/>
      <c r="R95" s="86"/>
      <c r="S95" s="86"/>
      <c r="T95" s="86"/>
      <c r="U95" s="86"/>
    </row>
    <row r="96" spans="1:21">
      <c r="A96" s="86"/>
      <c r="B96" s="86"/>
      <c r="C96" s="86"/>
      <c r="D96" s="86"/>
      <c r="E96" s="86"/>
      <c r="F96" s="86"/>
      <c r="G96" s="86"/>
      <c r="H96" s="86"/>
      <c r="I96" s="86"/>
      <c r="J96" s="86"/>
      <c r="K96" s="86"/>
      <c r="L96" s="86"/>
      <c r="M96" s="86"/>
      <c r="N96" s="86"/>
      <c r="O96" s="86"/>
      <c r="P96" s="86"/>
      <c r="Q96" s="86"/>
      <c r="R96" s="86"/>
      <c r="S96" s="86"/>
      <c r="T96" s="86"/>
      <c r="U96" s="86"/>
    </row>
    <row r="97" spans="1:21">
      <c r="A97" s="86"/>
      <c r="B97" s="86"/>
      <c r="C97" s="86"/>
      <c r="D97" s="86"/>
      <c r="E97" s="86"/>
      <c r="F97" s="86"/>
      <c r="G97" s="86"/>
      <c r="H97" s="86"/>
      <c r="I97" s="86"/>
      <c r="J97" s="86"/>
      <c r="K97" s="86"/>
      <c r="L97" s="86"/>
      <c r="M97" s="86"/>
      <c r="N97" s="86"/>
      <c r="O97" s="86"/>
      <c r="P97" s="86"/>
      <c r="Q97" s="86"/>
      <c r="R97" s="86"/>
      <c r="S97" s="86"/>
      <c r="T97" s="86"/>
      <c r="U97" s="86"/>
    </row>
    <row r="98" spans="1:21">
      <c r="A98" s="86"/>
      <c r="B98" s="86"/>
      <c r="C98" s="86"/>
      <c r="D98" s="86"/>
      <c r="E98" s="86"/>
      <c r="F98" s="86"/>
      <c r="G98" s="86"/>
      <c r="H98" s="86"/>
      <c r="I98" s="86"/>
      <c r="J98" s="86"/>
      <c r="K98" s="86"/>
      <c r="L98" s="86"/>
      <c r="M98" s="86"/>
      <c r="N98" s="86"/>
      <c r="O98" s="86"/>
      <c r="P98" s="86"/>
      <c r="Q98" s="86"/>
      <c r="R98" s="86"/>
      <c r="S98" s="86"/>
      <c r="T98" s="86"/>
      <c r="U98" s="86"/>
    </row>
    <row r="99" spans="1:21">
      <c r="A99" s="86"/>
      <c r="B99" s="86"/>
      <c r="C99" s="86"/>
      <c r="D99" s="86"/>
      <c r="E99" s="86"/>
      <c r="F99" s="86"/>
      <c r="G99" s="86"/>
      <c r="H99" s="86"/>
      <c r="I99" s="86"/>
      <c r="J99" s="86"/>
      <c r="K99" s="86"/>
      <c r="L99" s="86"/>
      <c r="M99" s="86"/>
      <c r="N99" s="86"/>
      <c r="O99" s="86"/>
      <c r="P99" s="86"/>
      <c r="Q99" s="86"/>
      <c r="R99" s="86"/>
      <c r="S99" s="86"/>
      <c r="T99" s="86"/>
      <c r="U99" s="86"/>
    </row>
    <row r="100" spans="1:21">
      <c r="A100" s="86"/>
      <c r="B100" s="86"/>
      <c r="C100" s="86"/>
      <c r="D100" s="86"/>
      <c r="E100" s="86"/>
      <c r="F100" s="86"/>
      <c r="G100" s="86"/>
      <c r="H100" s="86"/>
      <c r="I100" s="86"/>
      <c r="J100" s="86"/>
      <c r="K100" s="86"/>
      <c r="L100" s="86"/>
      <c r="M100" s="86"/>
      <c r="N100" s="86"/>
      <c r="O100" s="86"/>
      <c r="P100" s="86"/>
      <c r="Q100" s="86"/>
      <c r="R100" s="86"/>
      <c r="S100" s="86"/>
      <c r="T100" s="86"/>
      <c r="U100" s="86"/>
    </row>
    <row r="101" spans="1:21">
      <c r="A101" s="86"/>
      <c r="B101" s="86"/>
      <c r="C101" s="86"/>
      <c r="D101" s="86"/>
      <c r="E101" s="86"/>
      <c r="F101" s="86"/>
      <c r="G101" s="86"/>
      <c r="H101" s="86"/>
      <c r="I101" s="86"/>
      <c r="J101" s="86"/>
      <c r="K101" s="86"/>
      <c r="L101" s="86"/>
      <c r="M101" s="86"/>
      <c r="N101" s="86"/>
      <c r="O101" s="86"/>
      <c r="P101" s="86"/>
      <c r="Q101" s="86"/>
      <c r="R101" s="86"/>
      <c r="S101" s="86"/>
      <c r="T101" s="86"/>
      <c r="U101" s="86"/>
    </row>
    <row r="102" spans="1:21">
      <c r="A102" s="86"/>
      <c r="B102" s="86"/>
      <c r="C102" s="86"/>
      <c r="D102" s="86"/>
      <c r="E102" s="86"/>
      <c r="F102" s="86"/>
      <c r="G102" s="86"/>
      <c r="H102" s="86"/>
      <c r="I102" s="86"/>
      <c r="J102" s="86"/>
      <c r="K102" s="86"/>
      <c r="L102" s="86"/>
      <c r="M102" s="86"/>
      <c r="N102" s="86"/>
      <c r="O102" s="86"/>
      <c r="P102" s="86"/>
      <c r="Q102" s="86"/>
      <c r="R102" s="86"/>
      <c r="S102" s="86"/>
      <c r="T102" s="86"/>
      <c r="U102" s="86"/>
    </row>
    <row r="103" spans="1:21">
      <c r="A103" s="86"/>
      <c r="B103" s="86"/>
      <c r="C103" s="86"/>
      <c r="D103" s="86"/>
      <c r="E103" s="86"/>
      <c r="F103" s="86"/>
      <c r="G103" s="86"/>
      <c r="H103" s="86"/>
      <c r="I103" s="86"/>
      <c r="J103" s="86"/>
      <c r="K103" s="86"/>
      <c r="L103" s="86"/>
      <c r="M103" s="86"/>
      <c r="N103" s="86"/>
      <c r="O103" s="86"/>
      <c r="P103" s="86"/>
      <c r="Q103" s="86"/>
      <c r="R103" s="86"/>
      <c r="S103" s="86"/>
      <c r="T103" s="86"/>
      <c r="U103" s="86"/>
    </row>
    <row r="104" spans="1:21">
      <c r="A104" s="86"/>
      <c r="B104" s="86"/>
      <c r="C104" s="86"/>
      <c r="D104" s="86"/>
      <c r="E104" s="86"/>
      <c r="F104" s="86"/>
      <c r="G104" s="86"/>
      <c r="H104" s="86"/>
      <c r="I104" s="86"/>
      <c r="J104" s="86"/>
      <c r="K104" s="86"/>
      <c r="L104" s="86"/>
      <c r="M104" s="86"/>
      <c r="N104" s="86"/>
      <c r="O104" s="86"/>
      <c r="P104" s="86"/>
      <c r="Q104" s="86"/>
      <c r="R104" s="86"/>
      <c r="S104" s="86"/>
      <c r="T104" s="86"/>
      <c r="U104" s="86"/>
    </row>
    <row r="105" spans="1:21">
      <c r="A105" s="86"/>
      <c r="B105" s="86"/>
      <c r="C105" s="86"/>
      <c r="D105" s="86"/>
      <c r="E105" s="86"/>
      <c r="F105" s="86"/>
      <c r="G105" s="86"/>
      <c r="H105" s="86"/>
      <c r="I105" s="86"/>
      <c r="J105" s="86"/>
      <c r="K105" s="86"/>
      <c r="L105" s="86"/>
      <c r="M105" s="86"/>
      <c r="N105" s="86"/>
      <c r="O105" s="86"/>
      <c r="P105" s="86"/>
      <c r="Q105" s="86"/>
      <c r="R105" s="86"/>
      <c r="S105" s="86"/>
      <c r="T105" s="86"/>
      <c r="U105" s="86"/>
    </row>
    <row r="106" spans="1:21">
      <c r="A106" s="86"/>
      <c r="B106" s="86"/>
      <c r="C106" s="86"/>
      <c r="D106" s="86"/>
      <c r="E106" s="86"/>
      <c r="F106" s="86"/>
      <c r="G106" s="86"/>
      <c r="H106" s="86"/>
      <c r="I106" s="86"/>
      <c r="J106" s="86"/>
      <c r="K106" s="86"/>
      <c r="L106" s="86"/>
      <c r="M106" s="86"/>
      <c r="N106" s="86"/>
      <c r="O106" s="86"/>
      <c r="P106" s="86"/>
      <c r="Q106" s="86"/>
      <c r="R106" s="86"/>
      <c r="S106" s="86"/>
      <c r="T106" s="86"/>
      <c r="U106" s="86"/>
    </row>
    <row r="107" spans="1:21">
      <c r="A107" s="86"/>
      <c r="B107" s="86"/>
      <c r="C107" s="86"/>
      <c r="D107" s="86"/>
      <c r="E107" s="86"/>
      <c r="F107" s="86"/>
      <c r="G107" s="86"/>
      <c r="H107" s="86"/>
      <c r="I107" s="86"/>
      <c r="J107" s="86"/>
      <c r="K107" s="86"/>
      <c r="L107" s="86"/>
      <c r="M107" s="86"/>
      <c r="N107" s="86"/>
      <c r="O107" s="86"/>
      <c r="P107" s="86"/>
      <c r="Q107" s="86"/>
      <c r="R107" s="86"/>
      <c r="S107" s="86"/>
      <c r="T107" s="86"/>
      <c r="U107" s="86"/>
    </row>
    <row r="108" spans="1:21">
      <c r="A108" s="86"/>
      <c r="B108" s="86"/>
      <c r="C108" s="86"/>
      <c r="D108" s="86"/>
      <c r="E108" s="86"/>
      <c r="F108" s="86"/>
      <c r="G108" s="86"/>
      <c r="H108" s="86"/>
      <c r="I108" s="86"/>
      <c r="J108" s="86"/>
      <c r="K108" s="86"/>
      <c r="L108" s="86"/>
      <c r="M108" s="86"/>
      <c r="N108" s="86"/>
      <c r="O108" s="86"/>
      <c r="P108" s="86"/>
      <c r="Q108" s="86"/>
      <c r="R108" s="86"/>
      <c r="S108" s="86"/>
      <c r="T108" s="86"/>
      <c r="U108" s="86"/>
    </row>
    <row r="109" spans="1:21">
      <c r="A109" s="86"/>
      <c r="B109" s="86"/>
      <c r="C109" s="86"/>
      <c r="D109" s="86"/>
      <c r="E109" s="86"/>
      <c r="F109" s="86"/>
      <c r="G109" s="86"/>
      <c r="H109" s="86"/>
      <c r="I109" s="86"/>
      <c r="J109" s="86"/>
      <c r="K109" s="86"/>
      <c r="L109" s="86"/>
      <c r="M109" s="86"/>
      <c r="N109" s="86"/>
      <c r="O109" s="86"/>
      <c r="P109" s="86"/>
      <c r="Q109" s="86"/>
      <c r="R109" s="86"/>
      <c r="S109" s="86"/>
      <c r="T109" s="86"/>
      <c r="U109" s="86"/>
    </row>
    <row r="110" spans="1:21">
      <c r="A110" s="86"/>
      <c r="B110" s="86"/>
      <c r="C110" s="86"/>
      <c r="D110" s="86"/>
      <c r="E110" s="86"/>
      <c r="F110" s="86"/>
      <c r="G110" s="86"/>
      <c r="H110" s="86"/>
      <c r="I110" s="86"/>
      <c r="J110" s="86"/>
      <c r="K110" s="86"/>
      <c r="L110" s="86"/>
      <c r="M110" s="86"/>
      <c r="N110" s="86"/>
      <c r="O110" s="86"/>
      <c r="P110" s="86"/>
      <c r="Q110" s="86"/>
      <c r="R110" s="86"/>
      <c r="S110" s="86"/>
      <c r="T110" s="86"/>
      <c r="U110" s="86"/>
    </row>
    <row r="111" spans="1:21">
      <c r="A111" s="86"/>
      <c r="B111" s="86"/>
      <c r="C111" s="86"/>
      <c r="D111" s="86"/>
      <c r="E111" s="86"/>
      <c r="F111" s="86"/>
      <c r="G111" s="86"/>
      <c r="H111" s="86"/>
      <c r="I111" s="86"/>
      <c r="J111" s="86"/>
      <c r="K111" s="86"/>
      <c r="L111" s="86"/>
      <c r="M111" s="86"/>
      <c r="N111" s="86"/>
      <c r="O111" s="86"/>
      <c r="P111" s="86"/>
      <c r="Q111" s="86"/>
      <c r="R111" s="86"/>
      <c r="S111" s="86"/>
      <c r="T111" s="86"/>
      <c r="U111" s="86"/>
    </row>
    <row r="112" spans="1:21">
      <c r="A112" s="86"/>
      <c r="B112" s="86"/>
      <c r="C112" s="86"/>
      <c r="D112" s="86"/>
      <c r="E112" s="86"/>
      <c r="F112" s="86"/>
      <c r="G112" s="86"/>
      <c r="H112" s="86"/>
      <c r="I112" s="86"/>
      <c r="J112" s="86"/>
      <c r="K112" s="86"/>
      <c r="L112" s="86"/>
      <c r="M112" s="86"/>
      <c r="N112" s="86"/>
      <c r="O112" s="86"/>
      <c r="P112" s="86"/>
      <c r="Q112" s="86"/>
      <c r="R112" s="86"/>
      <c r="S112" s="86"/>
      <c r="T112" s="86"/>
      <c r="U112" s="86"/>
    </row>
    <row r="113" spans="1:21">
      <c r="A113" s="86"/>
      <c r="B113" s="86"/>
      <c r="C113" s="86"/>
      <c r="D113" s="86"/>
      <c r="E113" s="86"/>
      <c r="F113" s="86"/>
      <c r="G113" s="86"/>
      <c r="H113" s="86"/>
      <c r="I113" s="86"/>
      <c r="J113" s="86"/>
      <c r="K113" s="86"/>
      <c r="L113" s="86"/>
      <c r="M113" s="86"/>
      <c r="N113" s="86"/>
      <c r="O113" s="86"/>
      <c r="P113" s="86"/>
      <c r="Q113" s="86"/>
      <c r="R113" s="86"/>
      <c r="S113" s="86"/>
      <c r="T113" s="86"/>
      <c r="U113" s="86"/>
    </row>
    <row r="114" spans="1:21">
      <c r="A114" s="86"/>
      <c r="B114" s="86"/>
      <c r="C114" s="86"/>
      <c r="D114" s="86"/>
      <c r="E114" s="86"/>
      <c r="F114" s="86"/>
      <c r="G114" s="86"/>
      <c r="H114" s="86"/>
      <c r="I114" s="86"/>
      <c r="J114" s="86"/>
      <c r="K114" s="86"/>
      <c r="L114" s="86"/>
      <c r="M114" s="86"/>
      <c r="N114" s="86"/>
      <c r="O114" s="86"/>
      <c r="P114" s="86"/>
      <c r="Q114" s="86"/>
      <c r="R114" s="86"/>
      <c r="S114" s="86"/>
      <c r="T114" s="86"/>
      <c r="U114" s="86"/>
    </row>
    <row r="115" spans="1:21">
      <c r="A115" s="86"/>
      <c r="B115" s="86"/>
      <c r="C115" s="86"/>
      <c r="D115" s="86"/>
      <c r="E115" s="86"/>
      <c r="F115" s="86"/>
      <c r="G115" s="86"/>
      <c r="H115" s="86"/>
      <c r="I115" s="86"/>
      <c r="J115" s="86"/>
      <c r="K115" s="86"/>
      <c r="L115" s="86"/>
      <c r="M115" s="86"/>
      <c r="N115" s="86"/>
      <c r="O115" s="86"/>
      <c r="P115" s="86"/>
      <c r="Q115" s="86"/>
      <c r="R115" s="86"/>
      <c r="S115" s="86"/>
      <c r="T115" s="86"/>
      <c r="U115" s="86"/>
    </row>
    <row r="116" spans="1:21">
      <c r="A116" s="86"/>
      <c r="B116" s="86"/>
      <c r="C116" s="86"/>
      <c r="D116" s="86"/>
      <c r="E116" s="86"/>
      <c r="F116" s="86"/>
      <c r="G116" s="86"/>
      <c r="H116" s="86"/>
      <c r="I116" s="86"/>
      <c r="J116" s="86"/>
      <c r="K116" s="86"/>
      <c r="L116" s="86"/>
      <c r="M116" s="86"/>
      <c r="N116" s="86"/>
      <c r="O116" s="86"/>
      <c r="P116" s="86"/>
      <c r="Q116" s="86"/>
      <c r="R116" s="86"/>
      <c r="S116" s="86"/>
      <c r="T116" s="86"/>
      <c r="U116" s="86"/>
    </row>
    <row r="117" spans="1:21">
      <c r="A117" s="86"/>
      <c r="B117" s="86"/>
      <c r="C117" s="86"/>
      <c r="D117" s="86"/>
      <c r="E117" s="86"/>
      <c r="F117" s="86"/>
      <c r="G117" s="86"/>
      <c r="H117" s="86"/>
      <c r="I117" s="86"/>
      <c r="J117" s="86"/>
      <c r="K117" s="86"/>
      <c r="L117" s="86"/>
      <c r="M117" s="86"/>
      <c r="N117" s="86"/>
      <c r="O117" s="86"/>
      <c r="P117" s="86"/>
      <c r="Q117" s="86"/>
      <c r="R117" s="86"/>
      <c r="S117" s="86"/>
      <c r="T117" s="86"/>
      <c r="U117" s="86"/>
    </row>
    <row r="118" spans="1:21">
      <c r="A118" s="86"/>
      <c r="B118" s="86"/>
      <c r="C118" s="86"/>
      <c r="D118" s="86"/>
      <c r="E118" s="86"/>
      <c r="F118" s="86"/>
      <c r="G118" s="86"/>
      <c r="H118" s="86"/>
      <c r="I118" s="86"/>
      <c r="J118" s="86"/>
      <c r="K118" s="86"/>
      <c r="L118" s="86"/>
      <c r="M118" s="86"/>
      <c r="N118" s="86"/>
      <c r="O118" s="86"/>
      <c r="P118" s="86"/>
      <c r="Q118" s="86"/>
      <c r="R118" s="86"/>
      <c r="S118" s="86"/>
      <c r="T118" s="86"/>
      <c r="U118" s="86"/>
    </row>
    <row r="119" spans="1:21">
      <c r="A119" s="86"/>
      <c r="B119" s="86"/>
      <c r="C119" s="86"/>
      <c r="D119" s="86"/>
      <c r="E119" s="86"/>
      <c r="F119" s="86"/>
      <c r="G119" s="86"/>
      <c r="H119" s="86"/>
      <c r="I119" s="86"/>
      <c r="J119" s="86"/>
      <c r="K119" s="86"/>
      <c r="L119" s="86"/>
      <c r="M119" s="86"/>
      <c r="N119" s="86"/>
      <c r="O119" s="86"/>
      <c r="P119" s="86"/>
      <c r="Q119" s="86"/>
      <c r="R119" s="86"/>
      <c r="S119" s="86"/>
      <c r="T119" s="86"/>
      <c r="U119" s="86"/>
    </row>
    <row r="120" spans="1:21">
      <c r="A120" s="86"/>
      <c r="B120" s="86"/>
      <c r="C120" s="86"/>
      <c r="D120" s="86"/>
      <c r="E120" s="86"/>
      <c r="F120" s="86"/>
      <c r="G120" s="86"/>
      <c r="H120" s="86"/>
      <c r="I120" s="86"/>
      <c r="J120" s="86"/>
      <c r="K120" s="86"/>
      <c r="L120" s="86"/>
      <c r="M120" s="86"/>
      <c r="N120" s="86"/>
      <c r="O120" s="86"/>
      <c r="P120" s="86"/>
      <c r="Q120" s="86"/>
      <c r="R120" s="86"/>
      <c r="S120" s="86"/>
      <c r="T120" s="86"/>
      <c r="U120" s="86"/>
    </row>
    <row r="121" spans="1:21">
      <c r="A121" s="86"/>
      <c r="B121" s="86"/>
      <c r="C121" s="86"/>
      <c r="D121" s="86"/>
      <c r="E121" s="86"/>
      <c r="F121" s="86"/>
      <c r="G121" s="86"/>
      <c r="H121" s="86"/>
      <c r="I121" s="86"/>
      <c r="J121" s="86"/>
      <c r="K121" s="86"/>
      <c r="L121" s="86"/>
      <c r="M121" s="86"/>
      <c r="N121" s="86"/>
      <c r="O121" s="86"/>
      <c r="P121" s="86"/>
      <c r="Q121" s="86"/>
      <c r="R121" s="86"/>
      <c r="S121" s="86"/>
      <c r="T121" s="86"/>
      <c r="U121" s="86"/>
    </row>
    <row r="122" spans="1:21">
      <c r="A122" s="86"/>
      <c r="B122" s="86"/>
      <c r="C122" s="86"/>
      <c r="D122" s="86"/>
      <c r="E122" s="86"/>
      <c r="F122" s="86"/>
      <c r="G122" s="86"/>
      <c r="H122" s="86"/>
      <c r="I122" s="86"/>
      <c r="J122" s="86"/>
      <c r="K122" s="86"/>
      <c r="L122" s="86"/>
      <c r="M122" s="86"/>
      <c r="N122" s="86"/>
      <c r="O122" s="86"/>
      <c r="P122" s="86"/>
      <c r="Q122" s="86"/>
      <c r="R122" s="86"/>
      <c r="S122" s="86"/>
      <c r="T122" s="86"/>
      <c r="U122" s="86"/>
    </row>
    <row r="123" spans="1:21">
      <c r="A123" s="86"/>
      <c r="B123" s="86"/>
      <c r="C123" s="86"/>
      <c r="D123" s="86"/>
      <c r="E123" s="86"/>
      <c r="F123" s="86"/>
      <c r="G123" s="86"/>
      <c r="H123" s="86"/>
      <c r="I123" s="86"/>
      <c r="J123" s="86"/>
      <c r="K123" s="86"/>
      <c r="L123" s="86"/>
      <c r="M123" s="86"/>
      <c r="N123" s="86"/>
      <c r="O123" s="86"/>
      <c r="P123" s="86"/>
      <c r="Q123" s="86"/>
      <c r="R123" s="86"/>
      <c r="S123" s="86"/>
      <c r="T123" s="86"/>
      <c r="U123" s="86"/>
    </row>
    <row r="124" spans="1:21">
      <c r="A124" s="86"/>
      <c r="B124" s="86"/>
      <c r="C124" s="86"/>
      <c r="D124" s="86"/>
      <c r="E124" s="86"/>
      <c r="F124" s="86"/>
      <c r="G124" s="86"/>
      <c r="H124" s="86"/>
      <c r="I124" s="86"/>
      <c r="J124" s="86"/>
      <c r="K124" s="86"/>
      <c r="L124" s="86"/>
      <c r="M124" s="86"/>
      <c r="N124" s="86"/>
      <c r="O124" s="86"/>
      <c r="P124" s="86"/>
      <c r="Q124" s="86"/>
      <c r="R124" s="86"/>
      <c r="S124" s="86"/>
      <c r="T124" s="86"/>
      <c r="U124" s="86"/>
    </row>
    <row r="125" spans="1:21">
      <c r="A125" s="86"/>
      <c r="B125" s="86"/>
      <c r="C125" s="86"/>
      <c r="D125" s="86"/>
      <c r="E125" s="86"/>
      <c r="F125" s="86"/>
      <c r="G125" s="86"/>
      <c r="H125" s="86"/>
      <c r="I125" s="86"/>
      <c r="J125" s="86"/>
      <c r="K125" s="86"/>
      <c r="L125" s="86"/>
      <c r="M125" s="86"/>
      <c r="N125" s="86"/>
      <c r="O125" s="86"/>
      <c r="P125" s="86"/>
      <c r="Q125" s="86"/>
      <c r="R125" s="86"/>
      <c r="S125" s="86"/>
      <c r="T125" s="86"/>
      <c r="U125" s="86"/>
    </row>
    <row r="126" spans="1:21">
      <c r="A126" s="86"/>
      <c r="B126" s="86"/>
      <c r="C126" s="86"/>
      <c r="D126" s="86"/>
      <c r="E126" s="86"/>
      <c r="F126" s="86"/>
      <c r="G126" s="86"/>
      <c r="H126" s="86"/>
      <c r="I126" s="86"/>
      <c r="J126" s="86"/>
      <c r="K126" s="86"/>
      <c r="L126" s="86"/>
      <c r="M126" s="86"/>
      <c r="N126" s="86"/>
      <c r="O126" s="86"/>
      <c r="P126" s="86"/>
      <c r="Q126" s="86"/>
      <c r="R126" s="86"/>
      <c r="S126" s="86"/>
      <c r="T126" s="86"/>
      <c r="U126" s="86"/>
    </row>
    <row r="127" spans="1:21">
      <c r="A127" s="86"/>
      <c r="B127" s="86"/>
      <c r="C127" s="86"/>
      <c r="D127" s="86"/>
      <c r="E127" s="86"/>
      <c r="F127" s="86"/>
      <c r="G127" s="86"/>
      <c r="H127" s="86"/>
      <c r="I127" s="86"/>
      <c r="J127" s="86"/>
      <c r="K127" s="86"/>
      <c r="L127" s="86"/>
      <c r="M127" s="86"/>
      <c r="N127" s="86"/>
      <c r="O127" s="86"/>
      <c r="P127" s="86"/>
      <c r="Q127" s="86"/>
      <c r="R127" s="86"/>
      <c r="S127" s="86"/>
      <c r="T127" s="86"/>
      <c r="U127" s="86"/>
    </row>
    <row r="128" spans="1:21">
      <c r="A128" s="86"/>
      <c r="B128" s="86"/>
      <c r="C128" s="86"/>
      <c r="D128" s="86"/>
      <c r="E128" s="86"/>
      <c r="F128" s="86"/>
      <c r="G128" s="86"/>
      <c r="H128" s="86"/>
      <c r="I128" s="86"/>
      <c r="J128" s="86"/>
      <c r="K128" s="86"/>
      <c r="L128" s="86"/>
      <c r="M128" s="86"/>
      <c r="N128" s="86"/>
      <c r="O128" s="86"/>
      <c r="P128" s="86"/>
      <c r="Q128" s="86"/>
      <c r="R128" s="86"/>
      <c r="S128" s="86"/>
      <c r="T128" s="86"/>
      <c r="U128" s="86"/>
    </row>
    <row r="129" spans="1:21">
      <c r="A129" s="86"/>
      <c r="B129" s="86"/>
      <c r="C129" s="86"/>
      <c r="D129" s="86"/>
      <c r="E129" s="86"/>
      <c r="F129" s="86"/>
      <c r="G129" s="86"/>
      <c r="H129" s="86"/>
      <c r="I129" s="86"/>
      <c r="J129" s="86"/>
      <c r="K129" s="86"/>
      <c r="L129" s="86"/>
      <c r="M129" s="86"/>
      <c r="N129" s="86"/>
      <c r="O129" s="86"/>
      <c r="P129" s="86"/>
      <c r="Q129" s="86"/>
      <c r="R129" s="86"/>
      <c r="S129" s="86"/>
      <c r="T129" s="86"/>
      <c r="U129" s="86"/>
    </row>
    <row r="130" spans="1:21">
      <c r="A130" s="86"/>
      <c r="B130" s="86"/>
      <c r="C130" s="86"/>
      <c r="D130" s="86"/>
      <c r="E130" s="86"/>
      <c r="F130" s="86"/>
      <c r="G130" s="86"/>
      <c r="H130" s="86"/>
      <c r="I130" s="86"/>
      <c r="J130" s="86"/>
      <c r="K130" s="86"/>
      <c r="L130" s="86"/>
      <c r="M130" s="86"/>
      <c r="N130" s="86"/>
      <c r="O130" s="86"/>
      <c r="P130" s="86"/>
      <c r="Q130" s="86"/>
      <c r="R130" s="86"/>
      <c r="S130" s="86"/>
      <c r="T130" s="86"/>
      <c r="U130" s="86"/>
    </row>
    <row r="131" spans="1:21">
      <c r="A131" s="86"/>
      <c r="B131" s="86"/>
      <c r="C131" s="86"/>
      <c r="D131" s="86"/>
      <c r="E131" s="86"/>
      <c r="F131" s="86"/>
      <c r="G131" s="86"/>
      <c r="H131" s="86"/>
      <c r="I131" s="86"/>
      <c r="J131" s="86"/>
      <c r="K131" s="86"/>
      <c r="L131" s="86"/>
      <c r="M131" s="86"/>
      <c r="N131" s="86"/>
      <c r="O131" s="86"/>
      <c r="P131" s="86"/>
      <c r="Q131" s="86"/>
      <c r="R131" s="86"/>
      <c r="S131" s="86"/>
      <c r="T131" s="86"/>
      <c r="U131" s="86"/>
    </row>
    <row r="132" spans="1:21">
      <c r="A132" s="86"/>
      <c r="B132" s="86"/>
      <c r="C132" s="86"/>
      <c r="D132" s="86"/>
      <c r="E132" s="86"/>
      <c r="F132" s="86"/>
      <c r="G132" s="86"/>
      <c r="H132" s="86"/>
      <c r="I132" s="86"/>
      <c r="J132" s="86"/>
      <c r="K132" s="86"/>
      <c r="L132" s="86"/>
      <c r="M132" s="86"/>
      <c r="N132" s="86"/>
      <c r="O132" s="86"/>
      <c r="P132" s="86"/>
      <c r="Q132" s="86"/>
      <c r="R132" s="86"/>
      <c r="S132" s="86"/>
      <c r="T132" s="86"/>
      <c r="U132" s="86"/>
    </row>
    <row r="133" spans="1:21">
      <c r="A133" s="86"/>
      <c r="B133" s="86"/>
      <c r="C133" s="86"/>
      <c r="D133" s="86"/>
      <c r="E133" s="86"/>
      <c r="F133" s="86"/>
      <c r="G133" s="86"/>
      <c r="H133" s="86"/>
      <c r="I133" s="86"/>
      <c r="J133" s="86"/>
      <c r="K133" s="86"/>
      <c r="L133" s="86"/>
      <c r="M133" s="86"/>
      <c r="N133" s="86"/>
      <c r="O133" s="86"/>
      <c r="P133" s="86"/>
      <c r="Q133" s="86"/>
      <c r="R133" s="86"/>
      <c r="S133" s="86"/>
      <c r="T133" s="86"/>
      <c r="U133" s="86"/>
    </row>
    <row r="134" spans="1:21">
      <c r="A134" s="86"/>
      <c r="B134" s="86"/>
      <c r="C134" s="86"/>
      <c r="D134" s="86"/>
      <c r="E134" s="86"/>
      <c r="F134" s="86"/>
      <c r="G134" s="86"/>
      <c r="H134" s="86"/>
      <c r="I134" s="86"/>
      <c r="J134" s="86"/>
      <c r="K134" s="86"/>
      <c r="L134" s="86"/>
      <c r="M134" s="86"/>
      <c r="N134" s="86"/>
      <c r="O134" s="86"/>
      <c r="P134" s="86"/>
      <c r="Q134" s="86"/>
      <c r="R134" s="86"/>
      <c r="S134" s="86"/>
      <c r="T134" s="86"/>
      <c r="U134" s="86"/>
    </row>
    <row r="135" spans="1:21">
      <c r="A135" s="86"/>
      <c r="B135" s="86"/>
      <c r="C135" s="86"/>
      <c r="D135" s="86"/>
      <c r="E135" s="86"/>
      <c r="F135" s="86"/>
      <c r="G135" s="86"/>
      <c r="H135" s="86"/>
      <c r="I135" s="86"/>
      <c r="J135" s="86"/>
      <c r="K135" s="86"/>
      <c r="L135" s="86"/>
      <c r="M135" s="86"/>
      <c r="N135" s="86"/>
      <c r="O135" s="86"/>
      <c r="P135" s="86"/>
      <c r="Q135" s="86"/>
      <c r="R135" s="86"/>
      <c r="S135" s="86"/>
      <c r="T135" s="86"/>
      <c r="U135" s="86"/>
    </row>
    <row r="136" spans="1:21">
      <c r="A136" s="86"/>
      <c r="B136" s="86"/>
      <c r="C136" s="86"/>
      <c r="D136" s="86"/>
      <c r="E136" s="86"/>
      <c r="F136" s="86"/>
      <c r="G136" s="86"/>
      <c r="H136" s="86"/>
      <c r="I136" s="86"/>
      <c r="J136" s="86"/>
      <c r="K136" s="86"/>
      <c r="L136" s="86"/>
      <c r="M136" s="86"/>
      <c r="N136" s="86"/>
      <c r="O136" s="86"/>
      <c r="P136" s="86"/>
      <c r="Q136" s="86"/>
      <c r="R136" s="86"/>
      <c r="S136" s="86"/>
      <c r="T136" s="86"/>
      <c r="U136" s="86"/>
    </row>
    <row r="137" spans="1:21">
      <c r="A137" s="86"/>
      <c r="B137" s="86"/>
      <c r="C137" s="86"/>
      <c r="D137" s="86"/>
      <c r="E137" s="86"/>
      <c r="F137" s="86"/>
      <c r="G137" s="86"/>
      <c r="H137" s="86"/>
      <c r="I137" s="86"/>
      <c r="J137" s="86"/>
      <c r="K137" s="86"/>
      <c r="L137" s="86"/>
      <c r="M137" s="86"/>
      <c r="N137" s="86"/>
      <c r="O137" s="86"/>
      <c r="P137" s="86"/>
      <c r="Q137" s="86"/>
      <c r="R137" s="86"/>
      <c r="S137" s="86"/>
      <c r="T137" s="86"/>
      <c r="U137" s="86"/>
    </row>
    <row r="138" spans="1:21">
      <c r="A138" s="86"/>
      <c r="B138" s="86"/>
      <c r="C138" s="86"/>
      <c r="D138" s="86"/>
      <c r="E138" s="86"/>
      <c r="F138" s="86"/>
      <c r="G138" s="86"/>
      <c r="H138" s="86"/>
      <c r="I138" s="86"/>
      <c r="J138" s="86"/>
      <c r="K138" s="86"/>
      <c r="L138" s="86"/>
      <c r="M138" s="86"/>
      <c r="N138" s="86"/>
      <c r="O138" s="86"/>
      <c r="P138" s="86"/>
      <c r="Q138" s="86"/>
      <c r="R138" s="86"/>
      <c r="S138" s="86"/>
      <c r="T138" s="86"/>
      <c r="U138" s="86"/>
    </row>
    <row r="139" spans="1:21">
      <c r="A139" s="86"/>
      <c r="B139" s="86"/>
      <c r="C139" s="86"/>
      <c r="D139" s="86"/>
      <c r="E139" s="86"/>
      <c r="F139" s="86"/>
      <c r="G139" s="86"/>
      <c r="H139" s="86"/>
      <c r="I139" s="86"/>
      <c r="J139" s="86"/>
      <c r="K139" s="86"/>
      <c r="L139" s="86"/>
      <c r="M139" s="86"/>
      <c r="N139" s="86"/>
      <c r="O139" s="86"/>
      <c r="P139" s="86"/>
      <c r="Q139" s="86"/>
      <c r="R139" s="86"/>
      <c r="S139" s="86"/>
      <c r="T139" s="86"/>
      <c r="U139" s="86"/>
    </row>
    <row r="140" spans="1:21">
      <c r="A140" s="86"/>
      <c r="B140" s="86"/>
      <c r="C140" s="86"/>
      <c r="D140" s="86"/>
      <c r="E140" s="86"/>
      <c r="F140" s="86"/>
      <c r="G140" s="86"/>
      <c r="H140" s="86"/>
      <c r="I140" s="86"/>
      <c r="J140" s="86"/>
      <c r="K140" s="86"/>
      <c r="L140" s="86"/>
      <c r="M140" s="86"/>
      <c r="N140" s="86"/>
      <c r="O140" s="86"/>
      <c r="P140" s="86"/>
      <c r="Q140" s="86"/>
      <c r="R140" s="86"/>
      <c r="S140" s="86"/>
      <c r="T140" s="86"/>
      <c r="U140" s="86"/>
    </row>
    <row r="141" spans="1:21">
      <c r="A141" s="86"/>
      <c r="B141" s="86"/>
      <c r="C141" s="86"/>
      <c r="D141" s="86"/>
      <c r="E141" s="86"/>
      <c r="F141" s="86"/>
      <c r="G141" s="86"/>
      <c r="H141" s="86"/>
      <c r="I141" s="86"/>
      <c r="J141" s="86"/>
      <c r="K141" s="86"/>
      <c r="L141" s="86"/>
      <c r="M141" s="86"/>
      <c r="N141" s="86"/>
      <c r="O141" s="86"/>
      <c r="P141" s="86"/>
      <c r="Q141" s="86"/>
      <c r="R141" s="86"/>
      <c r="S141" s="86"/>
      <c r="T141" s="86"/>
      <c r="U141" s="86"/>
    </row>
    <row r="142" spans="1:21">
      <c r="A142" s="86"/>
      <c r="B142" s="86"/>
      <c r="C142" s="86"/>
      <c r="D142" s="86"/>
      <c r="E142" s="86"/>
      <c r="F142" s="86"/>
      <c r="G142" s="86"/>
      <c r="H142" s="86"/>
      <c r="I142" s="86"/>
      <c r="J142" s="86"/>
      <c r="K142" s="86"/>
      <c r="L142" s="86"/>
      <c r="M142" s="86"/>
      <c r="N142" s="86"/>
      <c r="O142" s="86"/>
      <c r="P142" s="86"/>
      <c r="Q142" s="86"/>
      <c r="R142" s="86"/>
      <c r="S142" s="86"/>
      <c r="T142" s="86"/>
      <c r="U142" s="86"/>
    </row>
    <row r="143" spans="1:21">
      <c r="A143" s="86"/>
      <c r="B143" s="86"/>
      <c r="C143" s="86"/>
      <c r="D143" s="86"/>
      <c r="E143" s="86"/>
      <c r="F143" s="86"/>
      <c r="G143" s="86"/>
      <c r="H143" s="86"/>
      <c r="I143" s="86"/>
      <c r="J143" s="86"/>
      <c r="K143" s="86"/>
      <c r="L143" s="86"/>
      <c r="M143" s="86"/>
      <c r="N143" s="86"/>
      <c r="O143" s="86"/>
      <c r="P143" s="86"/>
      <c r="Q143" s="86"/>
      <c r="R143" s="86"/>
      <c r="S143" s="86"/>
      <c r="T143" s="86"/>
      <c r="U143" s="86"/>
    </row>
    <row r="144" spans="1:21">
      <c r="A144" s="86"/>
      <c r="B144" s="86"/>
      <c r="C144" s="86"/>
      <c r="D144" s="86"/>
      <c r="E144" s="86"/>
      <c r="F144" s="86"/>
      <c r="G144" s="86"/>
      <c r="H144" s="86"/>
      <c r="I144" s="86"/>
      <c r="J144" s="86"/>
      <c r="K144" s="86"/>
      <c r="L144" s="86"/>
      <c r="M144" s="86"/>
      <c r="N144" s="86"/>
      <c r="O144" s="86"/>
      <c r="P144" s="86"/>
      <c r="Q144" s="86"/>
      <c r="R144" s="86"/>
      <c r="S144" s="86"/>
      <c r="T144" s="86"/>
      <c r="U144" s="86"/>
    </row>
    <row r="145" spans="1:21">
      <c r="A145" s="86"/>
      <c r="B145" s="86"/>
      <c r="C145" s="86"/>
      <c r="D145" s="86"/>
      <c r="E145" s="86"/>
      <c r="F145" s="86"/>
      <c r="G145" s="86"/>
      <c r="H145" s="86"/>
      <c r="I145" s="86"/>
      <c r="J145" s="86"/>
      <c r="K145" s="86"/>
      <c r="L145" s="86"/>
      <c r="M145" s="86"/>
      <c r="N145" s="86"/>
      <c r="O145" s="86"/>
      <c r="P145" s="86"/>
      <c r="Q145" s="86"/>
      <c r="R145" s="86"/>
      <c r="S145" s="86"/>
      <c r="T145" s="86"/>
      <c r="U145" s="86"/>
    </row>
    <row r="146" spans="1:21">
      <c r="A146" s="86"/>
      <c r="B146" s="86"/>
      <c r="C146" s="86"/>
      <c r="D146" s="86"/>
      <c r="E146" s="86"/>
      <c r="F146" s="86"/>
      <c r="G146" s="86"/>
      <c r="H146" s="86"/>
      <c r="I146" s="86"/>
      <c r="J146" s="86"/>
      <c r="K146" s="86"/>
      <c r="L146" s="86"/>
      <c r="M146" s="86"/>
      <c r="N146" s="86"/>
      <c r="O146" s="86"/>
      <c r="P146" s="86"/>
      <c r="Q146" s="86"/>
      <c r="R146" s="86"/>
      <c r="S146" s="86"/>
      <c r="T146" s="86"/>
      <c r="U146" s="86"/>
    </row>
    <row r="147" spans="1:21">
      <c r="A147" s="86"/>
      <c r="B147" s="86"/>
      <c r="C147" s="86"/>
      <c r="D147" s="86"/>
      <c r="E147" s="86"/>
      <c r="F147" s="86"/>
      <c r="G147" s="86"/>
      <c r="H147" s="86"/>
      <c r="I147" s="86"/>
      <c r="J147" s="86"/>
      <c r="K147" s="86"/>
      <c r="L147" s="86"/>
      <c r="M147" s="86"/>
      <c r="N147" s="86"/>
      <c r="O147" s="86"/>
      <c r="P147" s="86"/>
      <c r="Q147" s="86"/>
      <c r="R147" s="86"/>
      <c r="S147" s="86"/>
      <c r="T147" s="86"/>
      <c r="U147" s="86"/>
    </row>
    <row r="148" spans="1:21">
      <c r="A148" s="86"/>
      <c r="B148" s="86"/>
      <c r="C148" s="86"/>
      <c r="D148" s="86"/>
      <c r="E148" s="86"/>
      <c r="F148" s="86"/>
      <c r="G148" s="86"/>
      <c r="H148" s="86"/>
      <c r="I148" s="86"/>
      <c r="J148" s="86"/>
      <c r="K148" s="86"/>
      <c r="L148" s="86"/>
      <c r="M148" s="86"/>
      <c r="N148" s="86"/>
      <c r="O148" s="86"/>
      <c r="P148" s="86"/>
      <c r="Q148" s="86"/>
      <c r="R148" s="86"/>
      <c r="S148" s="86"/>
      <c r="T148" s="86"/>
      <c r="U148" s="86"/>
    </row>
    <row r="149" spans="1:21">
      <c r="A149" s="86"/>
      <c r="B149" s="86"/>
      <c r="C149" s="86"/>
      <c r="D149" s="86"/>
      <c r="E149" s="86"/>
      <c r="F149" s="86"/>
      <c r="G149" s="86"/>
      <c r="H149" s="86"/>
      <c r="I149" s="86"/>
      <c r="J149" s="86"/>
      <c r="K149" s="86"/>
      <c r="L149" s="86"/>
      <c r="M149" s="86"/>
      <c r="N149" s="86"/>
      <c r="O149" s="86"/>
      <c r="P149" s="86"/>
      <c r="Q149" s="86"/>
      <c r="R149" s="86"/>
      <c r="S149" s="86"/>
      <c r="T149" s="86"/>
      <c r="U149" s="86"/>
    </row>
    <row r="150" spans="1:21">
      <c r="A150" s="86"/>
      <c r="B150" s="86"/>
      <c r="C150" s="86"/>
      <c r="D150" s="86"/>
      <c r="E150" s="86"/>
      <c r="F150" s="86"/>
      <c r="G150" s="86"/>
      <c r="H150" s="86"/>
      <c r="I150" s="86"/>
      <c r="J150" s="86"/>
      <c r="K150" s="86"/>
      <c r="L150" s="86"/>
      <c r="M150" s="86"/>
      <c r="N150" s="86"/>
      <c r="O150" s="86"/>
      <c r="P150" s="86"/>
      <c r="Q150" s="86"/>
      <c r="R150" s="86"/>
      <c r="S150" s="86"/>
      <c r="T150" s="86"/>
      <c r="U150" s="86"/>
    </row>
    <row r="151" spans="1:21">
      <c r="A151" s="86"/>
      <c r="B151" s="86"/>
      <c r="C151" s="86"/>
      <c r="D151" s="86"/>
      <c r="E151" s="86"/>
      <c r="F151" s="86"/>
      <c r="G151" s="86"/>
      <c r="H151" s="86"/>
      <c r="I151" s="86"/>
      <c r="J151" s="86"/>
      <c r="K151" s="86"/>
      <c r="L151" s="86"/>
      <c r="M151" s="86"/>
      <c r="N151" s="86"/>
      <c r="O151" s="86"/>
      <c r="P151" s="86"/>
      <c r="Q151" s="86"/>
      <c r="R151" s="86"/>
      <c r="S151" s="86"/>
      <c r="T151" s="86"/>
      <c r="U151" s="86"/>
    </row>
    <row r="152" spans="1:21">
      <c r="A152" s="86"/>
      <c r="B152" s="86"/>
      <c r="C152" s="86"/>
      <c r="D152" s="86"/>
      <c r="E152" s="86"/>
      <c r="F152" s="86"/>
      <c r="G152" s="86"/>
      <c r="H152" s="86"/>
      <c r="I152" s="86"/>
      <c r="J152" s="86"/>
      <c r="K152" s="86"/>
      <c r="L152" s="86"/>
      <c r="M152" s="86"/>
      <c r="N152" s="86"/>
      <c r="O152" s="86"/>
      <c r="P152" s="86"/>
      <c r="Q152" s="86"/>
      <c r="R152" s="86"/>
      <c r="S152" s="86"/>
      <c r="T152" s="86"/>
      <c r="U152" s="86"/>
    </row>
    <row r="153" spans="1:21">
      <c r="A153" s="86"/>
      <c r="B153" s="86"/>
      <c r="C153" s="86"/>
      <c r="D153" s="86"/>
      <c r="E153" s="86"/>
      <c r="F153" s="86"/>
      <c r="G153" s="86"/>
      <c r="H153" s="86"/>
      <c r="I153" s="86"/>
      <c r="J153" s="86"/>
      <c r="K153" s="86"/>
      <c r="L153" s="86"/>
      <c r="M153" s="86"/>
      <c r="N153" s="86"/>
      <c r="O153" s="86"/>
      <c r="P153" s="86"/>
      <c r="Q153" s="86"/>
      <c r="R153" s="86"/>
      <c r="S153" s="86"/>
      <c r="T153" s="86"/>
      <c r="U153" s="86"/>
    </row>
    <row r="154" spans="1:21">
      <c r="A154" s="86"/>
      <c r="B154" s="86"/>
      <c r="C154" s="86"/>
      <c r="D154" s="86"/>
      <c r="E154" s="86"/>
      <c r="F154" s="86"/>
      <c r="G154" s="86"/>
      <c r="H154" s="86"/>
      <c r="I154" s="86"/>
      <c r="J154" s="86"/>
      <c r="K154" s="86"/>
      <c r="L154" s="86"/>
      <c r="M154" s="86"/>
      <c r="N154" s="86"/>
      <c r="O154" s="86"/>
      <c r="P154" s="86"/>
      <c r="Q154" s="86"/>
      <c r="R154" s="86"/>
      <c r="S154" s="86"/>
      <c r="T154" s="86"/>
      <c r="U154" s="86"/>
    </row>
    <row r="155" spans="1:21">
      <c r="A155" s="86"/>
      <c r="B155" s="86"/>
      <c r="C155" s="86"/>
      <c r="D155" s="86"/>
      <c r="E155" s="86"/>
      <c r="F155" s="86"/>
      <c r="G155" s="86"/>
      <c r="H155" s="86"/>
      <c r="I155" s="86"/>
      <c r="J155" s="86"/>
      <c r="K155" s="86"/>
      <c r="L155" s="86"/>
      <c r="M155" s="86"/>
      <c r="N155" s="86"/>
      <c r="O155" s="86"/>
      <c r="P155" s="86"/>
      <c r="Q155" s="86"/>
      <c r="R155" s="86"/>
      <c r="S155" s="86"/>
      <c r="T155" s="86"/>
      <c r="U155" s="86"/>
    </row>
    <row r="156" spans="1:21">
      <c r="A156" s="86"/>
      <c r="B156" s="86"/>
      <c r="C156" s="86"/>
      <c r="D156" s="86"/>
      <c r="E156" s="86"/>
      <c r="F156" s="86"/>
      <c r="G156" s="86"/>
      <c r="H156" s="86"/>
      <c r="I156" s="86"/>
      <c r="J156" s="86"/>
      <c r="K156" s="86"/>
      <c r="L156" s="86"/>
      <c r="M156" s="86"/>
      <c r="N156" s="86"/>
      <c r="O156" s="86"/>
      <c r="P156" s="86"/>
      <c r="Q156" s="86"/>
      <c r="R156" s="86"/>
      <c r="S156" s="86"/>
      <c r="T156" s="86"/>
      <c r="U156" s="86"/>
    </row>
    <row r="157" spans="1:21">
      <c r="A157" s="86"/>
      <c r="B157" s="86"/>
      <c r="C157" s="86"/>
      <c r="D157" s="86"/>
      <c r="E157" s="86"/>
      <c r="F157" s="86"/>
      <c r="G157" s="86"/>
      <c r="H157" s="86"/>
      <c r="I157" s="86"/>
      <c r="J157" s="86"/>
      <c r="K157" s="86"/>
      <c r="L157" s="86"/>
      <c r="M157" s="86"/>
      <c r="N157" s="86"/>
      <c r="O157" s="86"/>
      <c r="P157" s="86"/>
      <c r="Q157" s="86"/>
      <c r="R157" s="86"/>
      <c r="S157" s="86"/>
      <c r="T157" s="86"/>
      <c r="U157" s="86"/>
    </row>
    <row r="158" spans="1:21">
      <c r="A158" s="86"/>
      <c r="B158" s="86"/>
      <c r="C158" s="86"/>
      <c r="D158" s="86"/>
      <c r="E158" s="86"/>
      <c r="F158" s="86"/>
      <c r="G158" s="86"/>
      <c r="H158" s="86"/>
      <c r="I158" s="86"/>
      <c r="J158" s="86"/>
      <c r="K158" s="86"/>
      <c r="L158" s="86"/>
      <c r="M158" s="86"/>
      <c r="N158" s="86"/>
      <c r="O158" s="86"/>
      <c r="P158" s="86"/>
      <c r="Q158" s="86"/>
      <c r="R158" s="86"/>
      <c r="S158" s="86"/>
      <c r="T158" s="86"/>
      <c r="U158" s="86"/>
    </row>
    <row r="159" spans="1:21">
      <c r="A159" s="86"/>
      <c r="B159" s="86"/>
      <c r="C159" s="86"/>
      <c r="D159" s="86"/>
      <c r="E159" s="86"/>
      <c r="F159" s="86"/>
      <c r="G159" s="86"/>
      <c r="H159" s="86"/>
      <c r="I159" s="86"/>
      <c r="J159" s="86"/>
      <c r="K159" s="86"/>
      <c r="L159" s="86"/>
      <c r="M159" s="86"/>
      <c r="N159" s="86"/>
      <c r="O159" s="86"/>
      <c r="P159" s="86"/>
      <c r="Q159" s="86"/>
      <c r="R159" s="86"/>
      <c r="S159" s="86"/>
      <c r="T159" s="86"/>
      <c r="U159" s="86"/>
    </row>
    <row r="160" spans="1:21">
      <c r="A160" s="86"/>
      <c r="B160" s="86"/>
      <c r="C160" s="86"/>
      <c r="D160" s="86"/>
      <c r="E160" s="86"/>
      <c r="F160" s="86"/>
      <c r="G160" s="86"/>
      <c r="H160" s="86"/>
      <c r="I160" s="86"/>
      <c r="J160" s="86"/>
      <c r="K160" s="86"/>
      <c r="L160" s="86"/>
      <c r="M160" s="86"/>
      <c r="N160" s="86"/>
      <c r="O160" s="86"/>
      <c r="P160" s="86"/>
      <c r="Q160" s="86"/>
      <c r="R160" s="86"/>
      <c r="S160" s="86"/>
      <c r="T160" s="86"/>
      <c r="U160" s="86"/>
    </row>
    <row r="161" spans="1:21">
      <c r="A161" s="86"/>
      <c r="B161" s="86"/>
      <c r="C161" s="86"/>
      <c r="D161" s="86"/>
      <c r="E161" s="86"/>
      <c r="F161" s="86"/>
      <c r="G161" s="86"/>
      <c r="H161" s="86"/>
      <c r="I161" s="86"/>
      <c r="J161" s="86"/>
      <c r="K161" s="86"/>
      <c r="L161" s="86"/>
      <c r="M161" s="86"/>
      <c r="N161" s="86"/>
      <c r="O161" s="86"/>
      <c r="P161" s="86"/>
      <c r="Q161" s="86"/>
      <c r="R161" s="86"/>
      <c r="S161" s="86"/>
      <c r="T161" s="86"/>
      <c r="U161" s="86"/>
    </row>
    <row r="162" spans="1:21">
      <c r="A162" s="86"/>
      <c r="B162" s="86"/>
      <c r="C162" s="86"/>
      <c r="D162" s="86"/>
      <c r="E162" s="86"/>
      <c r="F162" s="86"/>
      <c r="G162" s="86"/>
      <c r="H162" s="86"/>
      <c r="I162" s="86"/>
      <c r="J162" s="86"/>
      <c r="K162" s="86"/>
      <c r="L162" s="86"/>
      <c r="M162" s="86"/>
      <c r="N162" s="86"/>
      <c r="O162" s="86"/>
      <c r="P162" s="86"/>
      <c r="Q162" s="86"/>
      <c r="R162" s="86"/>
      <c r="S162" s="86"/>
      <c r="T162" s="86"/>
      <c r="U162" s="86"/>
    </row>
    <row r="163" spans="1:21">
      <c r="A163" s="86"/>
      <c r="B163" s="86"/>
      <c r="C163" s="86"/>
      <c r="D163" s="86"/>
      <c r="E163" s="86"/>
      <c r="F163" s="86"/>
      <c r="G163" s="86"/>
      <c r="H163" s="86"/>
      <c r="I163" s="86"/>
      <c r="J163" s="86"/>
      <c r="K163" s="86"/>
      <c r="L163" s="86"/>
      <c r="M163" s="86"/>
      <c r="N163" s="86"/>
      <c r="O163" s="86"/>
      <c r="P163" s="86"/>
      <c r="Q163" s="86"/>
      <c r="R163" s="86"/>
      <c r="S163" s="86"/>
      <c r="T163" s="86"/>
      <c r="U163" s="86"/>
    </row>
    <row r="164" spans="1:21">
      <c r="A164" s="86"/>
      <c r="B164" s="86"/>
      <c r="C164" s="86"/>
      <c r="D164" s="86"/>
      <c r="E164" s="86"/>
      <c r="F164" s="86"/>
      <c r="G164" s="86"/>
      <c r="H164" s="86"/>
      <c r="I164" s="86"/>
      <c r="J164" s="86"/>
      <c r="K164" s="86"/>
      <c r="L164" s="86"/>
      <c r="M164" s="86"/>
      <c r="N164" s="86"/>
      <c r="O164" s="86"/>
      <c r="P164" s="86"/>
      <c r="Q164" s="86"/>
      <c r="R164" s="86"/>
      <c r="S164" s="86"/>
      <c r="T164" s="86"/>
      <c r="U164" s="86"/>
    </row>
    <row r="165" spans="1:21">
      <c r="A165" s="86"/>
      <c r="B165" s="86"/>
      <c r="C165" s="86"/>
      <c r="D165" s="86"/>
      <c r="E165" s="86"/>
      <c r="F165" s="86"/>
      <c r="G165" s="86"/>
      <c r="H165" s="86"/>
      <c r="I165" s="86"/>
      <c r="J165" s="86"/>
      <c r="K165" s="86"/>
      <c r="L165" s="86"/>
      <c r="M165" s="86"/>
      <c r="N165" s="86"/>
      <c r="O165" s="86"/>
      <c r="P165" s="86"/>
      <c r="Q165" s="86"/>
      <c r="R165" s="86"/>
      <c r="S165" s="86"/>
      <c r="T165" s="86"/>
      <c r="U165" s="86"/>
    </row>
    <row r="166" spans="1:21">
      <c r="A166" s="86"/>
      <c r="B166" s="86"/>
      <c r="C166" s="86"/>
      <c r="D166" s="86"/>
      <c r="E166" s="86"/>
      <c r="F166" s="86"/>
      <c r="G166" s="86"/>
      <c r="H166" s="86"/>
      <c r="I166" s="86"/>
      <c r="J166" s="86"/>
      <c r="K166" s="86"/>
      <c r="L166" s="86"/>
      <c r="M166" s="86"/>
      <c r="N166" s="86"/>
      <c r="O166" s="86"/>
      <c r="P166" s="86"/>
      <c r="Q166" s="86"/>
      <c r="R166" s="86"/>
      <c r="S166" s="86"/>
      <c r="T166" s="86"/>
      <c r="U166" s="86"/>
    </row>
    <row r="167" spans="1:21">
      <c r="A167" s="86"/>
      <c r="B167" s="86"/>
      <c r="C167" s="86"/>
      <c r="D167" s="86"/>
      <c r="E167" s="86"/>
      <c r="F167" s="86"/>
      <c r="G167" s="86"/>
      <c r="H167" s="86"/>
      <c r="I167" s="86"/>
      <c r="J167" s="86"/>
      <c r="K167" s="86"/>
      <c r="L167" s="86"/>
      <c r="M167" s="86"/>
      <c r="N167" s="86"/>
      <c r="O167" s="86"/>
      <c r="P167" s="86"/>
      <c r="Q167" s="86"/>
      <c r="R167" s="86"/>
      <c r="S167" s="86"/>
      <c r="T167" s="86"/>
      <c r="U167" s="86"/>
    </row>
    <row r="168" spans="1:21">
      <c r="A168" s="86"/>
      <c r="B168" s="86"/>
      <c r="C168" s="86"/>
      <c r="D168" s="86"/>
      <c r="E168" s="86"/>
      <c r="F168" s="86"/>
      <c r="G168" s="86"/>
      <c r="H168" s="86"/>
      <c r="I168" s="86"/>
      <c r="J168" s="86"/>
      <c r="K168" s="86"/>
      <c r="L168" s="86"/>
      <c r="M168" s="86"/>
      <c r="N168" s="86"/>
      <c r="O168" s="86"/>
      <c r="P168" s="86"/>
      <c r="Q168" s="86"/>
      <c r="R168" s="86"/>
      <c r="S168" s="86"/>
      <c r="T168" s="86"/>
      <c r="U168" s="86"/>
    </row>
    <row r="169" spans="1:21">
      <c r="A169" s="86"/>
      <c r="B169" s="86"/>
      <c r="C169" s="86"/>
      <c r="D169" s="86"/>
      <c r="E169" s="86"/>
      <c r="F169" s="86"/>
      <c r="G169" s="86"/>
      <c r="H169" s="86"/>
      <c r="I169" s="86"/>
      <c r="J169" s="86"/>
      <c r="K169" s="86"/>
      <c r="L169" s="86"/>
      <c r="M169" s="86"/>
      <c r="N169" s="86"/>
      <c r="O169" s="86"/>
      <c r="P169" s="86"/>
      <c r="Q169" s="86"/>
      <c r="R169" s="86"/>
      <c r="S169" s="86"/>
      <c r="T169" s="86"/>
      <c r="U169" s="86"/>
    </row>
    <row r="170" spans="1:21">
      <c r="A170" s="86"/>
      <c r="B170" s="86"/>
      <c r="C170" s="86"/>
      <c r="D170" s="86"/>
      <c r="E170" s="86"/>
      <c r="F170" s="86"/>
      <c r="G170" s="86"/>
      <c r="H170" s="86"/>
      <c r="I170" s="86"/>
      <c r="J170" s="86"/>
      <c r="K170" s="86"/>
      <c r="L170" s="86"/>
      <c r="M170" s="86"/>
      <c r="N170" s="86"/>
      <c r="O170" s="86"/>
      <c r="P170" s="86"/>
      <c r="Q170" s="86"/>
      <c r="R170" s="86"/>
      <c r="S170" s="86"/>
      <c r="T170" s="86"/>
      <c r="U170" s="86"/>
    </row>
    <row r="171" spans="1:21">
      <c r="A171" s="86"/>
      <c r="B171" s="86"/>
      <c r="C171" s="86"/>
      <c r="D171" s="86"/>
      <c r="E171" s="86"/>
      <c r="F171" s="86"/>
      <c r="G171" s="86"/>
      <c r="H171" s="86"/>
      <c r="I171" s="86"/>
      <c r="J171" s="86"/>
      <c r="K171" s="86"/>
      <c r="L171" s="86"/>
      <c r="M171" s="86"/>
      <c r="N171" s="86"/>
      <c r="O171" s="86"/>
      <c r="P171" s="86"/>
      <c r="Q171" s="86"/>
      <c r="R171" s="86"/>
      <c r="S171" s="86"/>
      <c r="T171" s="86"/>
      <c r="U171" s="86"/>
    </row>
    <row r="172" spans="1:21">
      <c r="A172" s="86"/>
      <c r="B172" s="86"/>
      <c r="C172" s="86"/>
      <c r="D172" s="86"/>
      <c r="E172" s="86"/>
      <c r="F172" s="86"/>
      <c r="G172" s="86"/>
      <c r="H172" s="86"/>
      <c r="I172" s="86"/>
      <c r="J172" s="86"/>
      <c r="K172" s="86"/>
      <c r="L172" s="86"/>
      <c r="M172" s="86"/>
      <c r="N172" s="86"/>
      <c r="O172" s="86"/>
      <c r="P172" s="86"/>
      <c r="Q172" s="86"/>
      <c r="R172" s="86"/>
      <c r="S172" s="86"/>
      <c r="T172" s="86"/>
      <c r="U172" s="86"/>
    </row>
    <row r="173" spans="1:21">
      <c r="A173" s="86"/>
      <c r="B173" s="86"/>
      <c r="C173" s="86"/>
      <c r="D173" s="86"/>
      <c r="E173" s="86"/>
      <c r="F173" s="86"/>
      <c r="G173" s="86"/>
      <c r="H173" s="86"/>
      <c r="I173" s="86"/>
      <c r="J173" s="86"/>
      <c r="K173" s="86"/>
      <c r="L173" s="86"/>
      <c r="M173" s="86"/>
      <c r="N173" s="86"/>
      <c r="O173" s="86"/>
      <c r="P173" s="86"/>
      <c r="Q173" s="86"/>
      <c r="R173" s="86"/>
      <c r="S173" s="86"/>
      <c r="T173" s="86"/>
      <c r="U173" s="86"/>
    </row>
    <row r="174" spans="1:21">
      <c r="A174" s="86"/>
      <c r="B174" s="86"/>
      <c r="C174" s="86"/>
      <c r="D174" s="86"/>
      <c r="E174" s="86"/>
      <c r="F174" s="86"/>
      <c r="G174" s="86"/>
      <c r="H174" s="86"/>
      <c r="I174" s="86"/>
      <c r="J174" s="86"/>
      <c r="K174" s="86"/>
      <c r="L174" s="86"/>
      <c r="M174" s="86"/>
      <c r="N174" s="86"/>
      <c r="O174" s="86"/>
      <c r="P174" s="86"/>
      <c r="Q174" s="86"/>
      <c r="R174" s="86"/>
      <c r="S174" s="86"/>
      <c r="T174" s="86"/>
      <c r="U174" s="86"/>
    </row>
    <row r="175" spans="1:21">
      <c r="A175" s="86"/>
      <c r="B175" s="86"/>
      <c r="C175" s="86"/>
      <c r="D175" s="86"/>
      <c r="E175" s="86"/>
      <c r="F175" s="86"/>
      <c r="G175" s="86"/>
      <c r="H175" s="86"/>
      <c r="I175" s="86"/>
      <c r="J175" s="86"/>
      <c r="K175" s="86"/>
      <c r="L175" s="86"/>
      <c r="M175" s="86"/>
      <c r="N175" s="86"/>
      <c r="O175" s="86"/>
      <c r="P175" s="86"/>
      <c r="Q175" s="86"/>
      <c r="R175" s="86"/>
      <c r="S175" s="86"/>
      <c r="T175" s="86"/>
      <c r="U175" s="86"/>
    </row>
    <row r="176" spans="1:21">
      <c r="A176" s="86"/>
      <c r="B176" s="86"/>
      <c r="C176" s="86"/>
      <c r="D176" s="86"/>
      <c r="E176" s="86"/>
      <c r="F176" s="86"/>
      <c r="G176" s="86"/>
      <c r="H176" s="86"/>
      <c r="I176" s="86"/>
      <c r="J176" s="86"/>
      <c r="K176" s="86"/>
      <c r="L176" s="86"/>
      <c r="M176" s="86"/>
      <c r="N176" s="86"/>
      <c r="O176" s="86"/>
      <c r="P176" s="86"/>
      <c r="Q176" s="86"/>
      <c r="R176" s="86"/>
      <c r="S176" s="86"/>
      <c r="T176" s="86"/>
      <c r="U176" s="86"/>
    </row>
    <row r="177" spans="1:21">
      <c r="A177" s="86"/>
      <c r="B177" s="86"/>
      <c r="C177" s="86"/>
      <c r="D177" s="86"/>
      <c r="E177" s="86"/>
      <c r="F177" s="86"/>
      <c r="G177" s="86"/>
      <c r="H177" s="86"/>
      <c r="I177" s="86"/>
      <c r="J177" s="86"/>
      <c r="K177" s="86"/>
      <c r="L177" s="86"/>
      <c r="M177" s="86"/>
      <c r="N177" s="86"/>
      <c r="O177" s="86"/>
      <c r="P177" s="86"/>
      <c r="Q177" s="86"/>
      <c r="R177" s="86"/>
      <c r="S177" s="86"/>
      <c r="T177" s="86"/>
      <c r="U177" s="86"/>
    </row>
    <row r="178" spans="1:21">
      <c r="A178" s="86"/>
      <c r="B178" s="86"/>
      <c r="C178" s="86"/>
      <c r="D178" s="86"/>
      <c r="E178" s="86"/>
      <c r="F178" s="86"/>
      <c r="G178" s="86"/>
      <c r="H178" s="86"/>
      <c r="I178" s="86"/>
      <c r="J178" s="86"/>
      <c r="K178" s="86"/>
      <c r="L178" s="86"/>
      <c r="M178" s="86"/>
      <c r="N178" s="86"/>
      <c r="O178" s="86"/>
      <c r="P178" s="86"/>
      <c r="Q178" s="86"/>
      <c r="R178" s="86"/>
      <c r="S178" s="86"/>
      <c r="T178" s="86"/>
      <c r="U178" s="86"/>
    </row>
    <row r="179" spans="1:21">
      <c r="A179" s="86"/>
      <c r="B179" s="86"/>
      <c r="C179" s="86"/>
      <c r="D179" s="86"/>
      <c r="E179" s="86"/>
      <c r="F179" s="86"/>
      <c r="G179" s="86"/>
      <c r="H179" s="86"/>
      <c r="I179" s="86"/>
      <c r="J179" s="86"/>
      <c r="K179" s="86"/>
      <c r="L179" s="86"/>
      <c r="M179" s="86"/>
      <c r="N179" s="86"/>
      <c r="O179" s="86"/>
      <c r="P179" s="86"/>
      <c r="Q179" s="86"/>
      <c r="R179" s="86"/>
      <c r="S179" s="86"/>
      <c r="T179" s="86"/>
      <c r="U179" s="86"/>
    </row>
    <row r="180" spans="1:21">
      <c r="A180" s="86"/>
      <c r="B180" s="86"/>
      <c r="C180" s="86"/>
      <c r="D180" s="86"/>
      <c r="E180" s="86"/>
      <c r="F180" s="86"/>
      <c r="G180" s="86"/>
      <c r="H180" s="86"/>
      <c r="I180" s="86"/>
      <c r="J180" s="86"/>
      <c r="K180" s="86"/>
      <c r="L180" s="86"/>
      <c r="M180" s="86"/>
      <c r="N180" s="86"/>
      <c r="O180" s="86"/>
      <c r="P180" s="86"/>
      <c r="Q180" s="86"/>
      <c r="R180" s="86"/>
      <c r="S180" s="86"/>
      <c r="T180" s="86"/>
      <c r="U180" s="86"/>
    </row>
    <row r="181" spans="1:21">
      <c r="A181" s="86"/>
      <c r="B181" s="86"/>
      <c r="C181" s="86"/>
      <c r="D181" s="86"/>
      <c r="E181" s="86"/>
      <c r="F181" s="86"/>
      <c r="G181" s="86"/>
      <c r="H181" s="86"/>
      <c r="I181" s="86"/>
      <c r="J181" s="86"/>
      <c r="K181" s="86"/>
      <c r="L181" s="86"/>
      <c r="M181" s="86"/>
      <c r="N181" s="86"/>
      <c r="O181" s="86"/>
      <c r="P181" s="86"/>
      <c r="Q181" s="86"/>
      <c r="R181" s="86"/>
      <c r="S181" s="86"/>
      <c r="T181" s="86"/>
      <c r="U181" s="86"/>
    </row>
    <row r="182" spans="1:21">
      <c r="A182" s="86"/>
      <c r="B182" s="86"/>
      <c r="C182" s="86"/>
      <c r="D182" s="86"/>
      <c r="E182" s="86"/>
      <c r="F182" s="86"/>
      <c r="G182" s="86"/>
      <c r="H182" s="86"/>
      <c r="I182" s="86"/>
      <c r="J182" s="86"/>
      <c r="K182" s="86"/>
      <c r="L182" s="86"/>
      <c r="M182" s="86"/>
      <c r="N182" s="86"/>
      <c r="O182" s="86"/>
      <c r="P182" s="86"/>
      <c r="Q182" s="86"/>
      <c r="R182" s="86"/>
      <c r="S182" s="86"/>
      <c r="T182" s="86"/>
      <c r="U182" s="86"/>
    </row>
    <row r="183" spans="1:21">
      <c r="A183" s="86"/>
      <c r="B183" s="86"/>
      <c r="C183" s="86"/>
      <c r="D183" s="86"/>
      <c r="E183" s="86"/>
      <c r="F183" s="86"/>
      <c r="G183" s="86"/>
      <c r="H183" s="86"/>
      <c r="I183" s="86"/>
      <c r="J183" s="86"/>
      <c r="K183" s="86"/>
      <c r="L183" s="86"/>
      <c r="M183" s="86"/>
      <c r="N183" s="86"/>
      <c r="O183" s="86"/>
      <c r="P183" s="86"/>
      <c r="Q183" s="86"/>
      <c r="R183" s="86"/>
      <c r="S183" s="86"/>
      <c r="T183" s="86"/>
      <c r="U183" s="86"/>
    </row>
    <row r="184" spans="1:21">
      <c r="A184" s="86"/>
      <c r="B184" s="86"/>
      <c r="C184" s="86"/>
      <c r="D184" s="86"/>
      <c r="E184" s="86"/>
      <c r="F184" s="86"/>
      <c r="G184" s="86"/>
      <c r="H184" s="86"/>
      <c r="I184" s="86"/>
      <c r="J184" s="86"/>
      <c r="K184" s="86"/>
      <c r="L184" s="86"/>
      <c r="M184" s="86"/>
      <c r="N184" s="86"/>
      <c r="O184" s="86"/>
      <c r="P184" s="86"/>
      <c r="Q184" s="86"/>
      <c r="R184" s="86"/>
      <c r="S184" s="86"/>
      <c r="T184" s="86"/>
      <c r="U184" s="86"/>
    </row>
    <row r="185" spans="1:21">
      <c r="A185" s="86"/>
      <c r="B185" s="86"/>
      <c r="C185" s="86"/>
      <c r="D185" s="86"/>
      <c r="E185" s="86"/>
      <c r="F185" s="86"/>
      <c r="G185" s="86"/>
      <c r="H185" s="86"/>
      <c r="I185" s="86"/>
      <c r="J185" s="86"/>
      <c r="K185" s="86"/>
      <c r="L185" s="86"/>
      <c r="M185" s="86"/>
      <c r="N185" s="86"/>
      <c r="O185" s="86"/>
      <c r="P185" s="86"/>
      <c r="Q185" s="86"/>
      <c r="R185" s="86"/>
      <c r="S185" s="86"/>
      <c r="T185" s="86"/>
      <c r="U185" s="86"/>
    </row>
    <row r="186" spans="1:21">
      <c r="A186" s="86"/>
      <c r="B186" s="86"/>
      <c r="C186" s="86"/>
      <c r="D186" s="86"/>
      <c r="E186" s="86"/>
      <c r="F186" s="86"/>
      <c r="G186" s="86"/>
      <c r="H186" s="86"/>
      <c r="I186" s="86"/>
      <c r="J186" s="86"/>
      <c r="K186" s="86"/>
      <c r="L186" s="86"/>
      <c r="M186" s="86"/>
      <c r="N186" s="86"/>
      <c r="O186" s="86"/>
      <c r="P186" s="86"/>
      <c r="Q186" s="86"/>
      <c r="R186" s="86"/>
      <c r="S186" s="86"/>
      <c r="T186" s="86"/>
      <c r="U186" s="86"/>
    </row>
    <row r="187" spans="1:21">
      <c r="A187" s="86"/>
      <c r="B187" s="86"/>
      <c r="C187" s="86"/>
      <c r="D187" s="86"/>
      <c r="E187" s="86"/>
      <c r="F187" s="86"/>
      <c r="G187" s="86"/>
      <c r="H187" s="86"/>
      <c r="I187" s="86"/>
      <c r="J187" s="86"/>
      <c r="K187" s="86"/>
      <c r="L187" s="86"/>
      <c r="M187" s="86"/>
      <c r="N187" s="86"/>
      <c r="O187" s="86"/>
      <c r="P187" s="86"/>
      <c r="Q187" s="86"/>
      <c r="R187" s="86"/>
      <c r="S187" s="86"/>
      <c r="T187" s="86"/>
      <c r="U187" s="86"/>
    </row>
    <row r="188" spans="1:21">
      <c r="A188" s="86"/>
      <c r="B188" s="86"/>
      <c r="C188" s="86"/>
      <c r="D188" s="86"/>
      <c r="E188" s="86"/>
      <c r="F188" s="86"/>
      <c r="G188" s="86"/>
      <c r="H188" s="86"/>
      <c r="I188" s="86"/>
      <c r="J188" s="86"/>
      <c r="K188" s="86"/>
      <c r="L188" s="86"/>
      <c r="M188" s="86"/>
      <c r="N188" s="86"/>
      <c r="O188" s="86"/>
      <c r="P188" s="86"/>
      <c r="Q188" s="86"/>
      <c r="R188" s="86"/>
      <c r="S188" s="86"/>
      <c r="T188" s="86"/>
      <c r="U188" s="86"/>
    </row>
    <row r="189" spans="1:21">
      <c r="A189" s="86"/>
      <c r="B189" s="86"/>
      <c r="C189" s="86"/>
      <c r="D189" s="86"/>
      <c r="E189" s="86"/>
      <c r="F189" s="86"/>
      <c r="G189" s="86"/>
      <c r="H189" s="86"/>
      <c r="I189" s="86"/>
      <c r="J189" s="86"/>
      <c r="K189" s="86"/>
      <c r="L189" s="86"/>
      <c r="M189" s="86"/>
      <c r="N189" s="86"/>
      <c r="O189" s="86"/>
      <c r="P189" s="86"/>
      <c r="Q189" s="86"/>
      <c r="R189" s="86"/>
      <c r="S189" s="86"/>
      <c r="T189" s="86"/>
      <c r="U189" s="86"/>
    </row>
    <row r="190" spans="1:21">
      <c r="A190" s="86"/>
      <c r="B190" s="86"/>
      <c r="C190" s="86"/>
      <c r="D190" s="86"/>
      <c r="E190" s="86"/>
      <c r="F190" s="86"/>
      <c r="G190" s="86"/>
      <c r="H190" s="86"/>
      <c r="I190" s="86"/>
      <c r="J190" s="86"/>
      <c r="K190" s="86"/>
      <c r="L190" s="86"/>
      <c r="M190" s="86"/>
      <c r="N190" s="86"/>
      <c r="O190" s="86"/>
      <c r="P190" s="86"/>
      <c r="Q190" s="86"/>
      <c r="R190" s="86"/>
      <c r="S190" s="86"/>
      <c r="T190" s="86"/>
      <c r="U190" s="86"/>
    </row>
    <row r="191" spans="1:21">
      <c r="A191" s="86"/>
      <c r="B191" s="86"/>
      <c r="C191" s="86"/>
      <c r="D191" s="86"/>
      <c r="E191" s="86"/>
      <c r="F191" s="86"/>
      <c r="G191" s="86"/>
      <c r="H191" s="86"/>
      <c r="I191" s="86"/>
      <c r="J191" s="86"/>
      <c r="K191" s="86"/>
      <c r="L191" s="86"/>
      <c r="M191" s="86"/>
      <c r="N191" s="86"/>
      <c r="O191" s="86"/>
      <c r="P191" s="86"/>
      <c r="Q191" s="86"/>
      <c r="R191" s="86"/>
      <c r="S191" s="86"/>
      <c r="T191" s="86"/>
      <c r="U191" s="86"/>
    </row>
    <row r="192" spans="1:21">
      <c r="A192" s="86"/>
      <c r="B192" s="86"/>
      <c r="C192" s="86"/>
      <c r="D192" s="86"/>
      <c r="E192" s="86"/>
      <c r="F192" s="86"/>
      <c r="G192" s="86"/>
      <c r="H192" s="86"/>
      <c r="I192" s="86"/>
      <c r="J192" s="86"/>
      <c r="K192" s="86"/>
      <c r="L192" s="86"/>
      <c r="M192" s="86"/>
      <c r="N192" s="86"/>
      <c r="O192" s="86"/>
      <c r="P192" s="86"/>
      <c r="Q192" s="86"/>
      <c r="R192" s="86"/>
      <c r="S192" s="86"/>
      <c r="T192" s="86"/>
      <c r="U192" s="86"/>
    </row>
    <row r="193" spans="1:21">
      <c r="A193" s="86"/>
      <c r="B193" s="86"/>
      <c r="C193" s="86"/>
      <c r="D193" s="86"/>
      <c r="E193" s="86"/>
      <c r="F193" s="86"/>
      <c r="G193" s="86"/>
      <c r="H193" s="86"/>
      <c r="I193" s="86"/>
      <c r="J193" s="86"/>
      <c r="K193" s="86"/>
      <c r="L193" s="86"/>
      <c r="M193" s="86"/>
      <c r="N193" s="86"/>
      <c r="O193" s="86"/>
      <c r="P193" s="86"/>
      <c r="Q193" s="86"/>
      <c r="R193" s="86"/>
      <c r="S193" s="86"/>
      <c r="T193" s="86"/>
      <c r="U193" s="86"/>
    </row>
    <row r="194" spans="1:21">
      <c r="A194" s="86"/>
      <c r="B194" s="86"/>
      <c r="C194" s="86"/>
      <c r="D194" s="86"/>
      <c r="E194" s="86"/>
      <c r="F194" s="86"/>
      <c r="G194" s="86"/>
      <c r="H194" s="86"/>
      <c r="I194" s="86"/>
      <c r="J194" s="86"/>
      <c r="K194" s="86"/>
      <c r="L194" s="86"/>
      <c r="M194" s="86"/>
      <c r="N194" s="86"/>
      <c r="O194" s="86"/>
      <c r="P194" s="86"/>
      <c r="Q194" s="86"/>
      <c r="R194" s="86"/>
      <c r="S194" s="86"/>
      <c r="T194" s="86"/>
      <c r="U194" s="86"/>
    </row>
    <row r="195" spans="1:21">
      <c r="A195" s="86"/>
      <c r="B195" s="86"/>
      <c r="C195" s="86"/>
      <c r="D195" s="86"/>
      <c r="E195" s="86"/>
      <c r="F195" s="86"/>
      <c r="G195" s="86"/>
      <c r="H195" s="86"/>
      <c r="I195" s="86"/>
      <c r="J195" s="86"/>
      <c r="K195" s="86"/>
      <c r="L195" s="86"/>
      <c r="M195" s="86"/>
      <c r="N195" s="86"/>
      <c r="O195" s="86"/>
      <c r="P195" s="86"/>
      <c r="Q195" s="86"/>
      <c r="R195" s="86"/>
      <c r="S195" s="86"/>
      <c r="T195" s="86"/>
      <c r="U195" s="86"/>
    </row>
    <row r="196" spans="1:21">
      <c r="A196" s="86"/>
      <c r="B196" s="86"/>
      <c r="C196" s="86"/>
      <c r="D196" s="86"/>
      <c r="E196" s="86"/>
      <c r="F196" s="86"/>
      <c r="G196" s="86"/>
      <c r="H196" s="86"/>
      <c r="I196" s="86"/>
      <c r="J196" s="86"/>
      <c r="K196" s="86"/>
      <c r="L196" s="86"/>
      <c r="M196" s="86"/>
      <c r="N196" s="86"/>
      <c r="O196" s="86"/>
      <c r="P196" s="86"/>
      <c r="Q196" s="86"/>
      <c r="R196" s="86"/>
      <c r="S196" s="86"/>
      <c r="T196" s="86"/>
      <c r="U196" s="86"/>
    </row>
    <row r="197" spans="1:21">
      <c r="A197" s="86"/>
      <c r="B197" s="86"/>
      <c r="C197" s="86"/>
      <c r="D197" s="86"/>
      <c r="E197" s="86"/>
      <c r="F197" s="86"/>
      <c r="G197" s="86"/>
      <c r="H197" s="86"/>
      <c r="I197" s="86"/>
      <c r="J197" s="86"/>
      <c r="K197" s="86"/>
      <c r="L197" s="86"/>
      <c r="M197" s="86"/>
      <c r="N197" s="86"/>
      <c r="O197" s="86"/>
      <c r="P197" s="86"/>
      <c r="Q197" s="86"/>
      <c r="R197" s="86"/>
      <c r="S197" s="86"/>
      <c r="T197" s="86"/>
      <c r="U197" s="86"/>
    </row>
    <row r="198" spans="1:21">
      <c r="A198" s="86"/>
      <c r="B198" s="86"/>
      <c r="C198" s="86"/>
      <c r="D198" s="86"/>
      <c r="E198" s="86"/>
      <c r="F198" s="86"/>
      <c r="G198" s="86"/>
      <c r="H198" s="86"/>
      <c r="I198" s="86"/>
      <c r="J198" s="86"/>
      <c r="K198" s="86"/>
      <c r="L198" s="86"/>
      <c r="M198" s="86"/>
      <c r="N198" s="86"/>
      <c r="O198" s="86"/>
      <c r="P198" s="86"/>
      <c r="Q198" s="86"/>
      <c r="R198" s="86"/>
      <c r="S198" s="86"/>
      <c r="T198" s="86"/>
      <c r="U198" s="86"/>
    </row>
    <row r="199" spans="1:21">
      <c r="A199" s="86"/>
      <c r="B199" s="86"/>
      <c r="C199" s="86"/>
      <c r="D199" s="86"/>
      <c r="E199" s="86"/>
      <c r="F199" s="86"/>
      <c r="G199" s="86"/>
      <c r="H199" s="86"/>
      <c r="I199" s="86"/>
      <c r="J199" s="86"/>
      <c r="K199" s="86"/>
      <c r="L199" s="86"/>
      <c r="M199" s="86"/>
      <c r="N199" s="86"/>
      <c r="O199" s="86"/>
      <c r="P199" s="86"/>
      <c r="Q199" s="86"/>
      <c r="R199" s="86"/>
      <c r="S199" s="86"/>
      <c r="T199" s="86"/>
      <c r="U199" s="86"/>
    </row>
    <row r="200" spans="1:21">
      <c r="A200" s="86"/>
      <c r="B200" s="86"/>
      <c r="C200" s="86"/>
      <c r="D200" s="86"/>
      <c r="E200" s="86"/>
      <c r="F200" s="86"/>
      <c r="G200" s="86"/>
      <c r="H200" s="86"/>
      <c r="I200" s="86"/>
      <c r="J200" s="86"/>
      <c r="K200" s="86"/>
      <c r="L200" s="86"/>
      <c r="M200" s="86"/>
      <c r="N200" s="86"/>
      <c r="O200" s="86"/>
      <c r="P200" s="86"/>
      <c r="Q200" s="86"/>
      <c r="R200" s="86"/>
      <c r="S200" s="86"/>
      <c r="T200" s="86"/>
      <c r="U200" s="86"/>
    </row>
    <row r="201" spans="1:21">
      <c r="A201" s="86"/>
      <c r="B201" s="86"/>
      <c r="C201" s="86"/>
      <c r="D201" s="86"/>
      <c r="E201" s="86"/>
      <c r="F201" s="86"/>
      <c r="G201" s="86"/>
      <c r="H201" s="86"/>
      <c r="I201" s="86"/>
      <c r="J201" s="86"/>
      <c r="K201" s="86"/>
      <c r="L201" s="86"/>
      <c r="M201" s="86"/>
      <c r="N201" s="86"/>
      <c r="O201" s="86"/>
      <c r="P201" s="86"/>
      <c r="Q201" s="86"/>
      <c r="R201" s="86"/>
      <c r="S201" s="86"/>
      <c r="T201" s="86"/>
      <c r="U201" s="86"/>
    </row>
    <row r="202" spans="1:21">
      <c r="A202" s="86"/>
      <c r="B202" s="86"/>
      <c r="C202" s="86"/>
      <c r="D202" s="86"/>
      <c r="E202" s="86"/>
      <c r="F202" s="86"/>
      <c r="G202" s="86"/>
      <c r="H202" s="86"/>
      <c r="I202" s="86"/>
      <c r="J202" s="86"/>
      <c r="K202" s="86"/>
      <c r="L202" s="86"/>
      <c r="M202" s="86"/>
      <c r="N202" s="86"/>
      <c r="O202" s="86"/>
      <c r="P202" s="86"/>
      <c r="Q202" s="86"/>
      <c r="R202" s="86"/>
      <c r="S202" s="86"/>
      <c r="T202" s="86"/>
      <c r="U202" s="86"/>
    </row>
    <row r="203" spans="1:21">
      <c r="A203" s="86"/>
      <c r="B203" s="86"/>
      <c r="C203" s="86"/>
      <c r="D203" s="86"/>
      <c r="E203" s="86"/>
      <c r="F203" s="86"/>
      <c r="G203" s="86"/>
      <c r="H203" s="86"/>
      <c r="I203" s="86"/>
      <c r="J203" s="86"/>
      <c r="K203" s="86"/>
      <c r="L203" s="86"/>
      <c r="M203" s="86"/>
      <c r="N203" s="86"/>
      <c r="O203" s="86"/>
      <c r="P203" s="86"/>
      <c r="Q203" s="86"/>
      <c r="R203" s="86"/>
      <c r="S203" s="86"/>
      <c r="T203" s="86"/>
      <c r="U203" s="86"/>
    </row>
    <row r="204" spans="1:21">
      <c r="A204" s="86"/>
      <c r="B204" s="86"/>
      <c r="C204" s="86"/>
      <c r="D204" s="86"/>
      <c r="E204" s="86"/>
      <c r="F204" s="86"/>
      <c r="G204" s="86"/>
      <c r="H204" s="86"/>
      <c r="I204" s="86"/>
      <c r="J204" s="86"/>
      <c r="K204" s="86"/>
      <c r="L204" s="86"/>
      <c r="M204" s="86"/>
      <c r="N204" s="86"/>
      <c r="O204" s="86"/>
      <c r="P204" s="86"/>
      <c r="Q204" s="86"/>
      <c r="R204" s="86"/>
      <c r="S204" s="86"/>
      <c r="T204" s="86"/>
      <c r="U204" s="86"/>
    </row>
    <row r="205" spans="1:21">
      <c r="A205" s="86"/>
      <c r="B205" s="86"/>
      <c r="C205" s="86"/>
      <c r="D205" s="86"/>
      <c r="E205" s="86"/>
      <c r="F205" s="86"/>
      <c r="G205" s="86"/>
      <c r="H205" s="86"/>
      <c r="I205" s="86"/>
      <c r="J205" s="86"/>
      <c r="K205" s="86"/>
      <c r="L205" s="86"/>
      <c r="M205" s="86"/>
      <c r="N205" s="86"/>
      <c r="O205" s="86"/>
      <c r="P205" s="86"/>
      <c r="Q205" s="86"/>
      <c r="R205" s="86"/>
      <c r="S205" s="86"/>
      <c r="T205" s="86"/>
      <c r="U205" s="86"/>
    </row>
    <row r="206" spans="1:21">
      <c r="A206" s="86"/>
      <c r="B206" s="86"/>
      <c r="C206" s="86"/>
      <c r="D206" s="86"/>
      <c r="E206" s="86"/>
      <c r="F206" s="86"/>
      <c r="G206" s="86"/>
      <c r="H206" s="86"/>
      <c r="I206" s="86"/>
      <c r="J206" s="86"/>
      <c r="K206" s="86"/>
      <c r="L206" s="86"/>
      <c r="M206" s="86"/>
      <c r="N206" s="86"/>
      <c r="O206" s="86"/>
      <c r="P206" s="86"/>
      <c r="Q206" s="86"/>
      <c r="R206" s="86"/>
      <c r="S206" s="86"/>
      <c r="T206" s="86"/>
      <c r="U206" s="86"/>
    </row>
    <row r="207" spans="1:21">
      <c r="A207" s="86"/>
      <c r="B207" s="86"/>
      <c r="C207" s="86"/>
      <c r="D207" s="86"/>
      <c r="E207" s="86"/>
      <c r="F207" s="86"/>
      <c r="G207" s="86"/>
      <c r="H207" s="86"/>
      <c r="I207" s="86"/>
      <c r="J207" s="86"/>
      <c r="K207" s="86"/>
      <c r="L207" s="86"/>
      <c r="M207" s="86"/>
      <c r="N207" s="86"/>
      <c r="O207" s="86"/>
      <c r="P207" s="86"/>
      <c r="Q207" s="86"/>
      <c r="R207" s="86"/>
      <c r="S207" s="86"/>
      <c r="T207" s="86"/>
      <c r="U207" s="86"/>
    </row>
    <row r="208" spans="1:21">
      <c r="A208" s="86"/>
      <c r="B208" s="86"/>
      <c r="C208" s="86"/>
      <c r="D208" s="86"/>
      <c r="E208" s="86"/>
      <c r="F208" s="86"/>
      <c r="G208" s="86"/>
      <c r="H208" s="86"/>
      <c r="I208" s="86"/>
      <c r="J208" s="86"/>
      <c r="K208" s="86"/>
      <c r="L208" s="86"/>
      <c r="M208" s="86"/>
      <c r="N208" s="86"/>
      <c r="O208" s="86"/>
      <c r="P208" s="86"/>
      <c r="Q208" s="86"/>
      <c r="R208" s="86"/>
      <c r="S208" s="86"/>
      <c r="T208" s="86"/>
      <c r="U208" s="86"/>
    </row>
    <row r="209" spans="1:21">
      <c r="A209" s="86"/>
      <c r="B209" s="86"/>
      <c r="C209" s="86"/>
      <c r="D209" s="86"/>
      <c r="E209" s="86"/>
      <c r="F209" s="86"/>
      <c r="G209" s="86"/>
      <c r="H209" s="86"/>
      <c r="I209" s="86"/>
      <c r="J209" s="86"/>
      <c r="K209" s="86"/>
      <c r="L209" s="86"/>
      <c r="M209" s="86"/>
      <c r="N209" s="86"/>
      <c r="O209" s="86"/>
      <c r="P209" s="86"/>
      <c r="Q209" s="86"/>
      <c r="R209" s="86"/>
      <c r="S209" s="86"/>
      <c r="T209" s="86"/>
      <c r="U209" s="86"/>
    </row>
    <row r="210" spans="1:21">
      <c r="A210" s="86"/>
      <c r="B210" s="86"/>
      <c r="C210" s="86"/>
      <c r="D210" s="86"/>
      <c r="E210" s="86"/>
      <c r="F210" s="86"/>
      <c r="G210" s="86"/>
      <c r="H210" s="86"/>
      <c r="I210" s="86"/>
      <c r="J210" s="86"/>
      <c r="K210" s="86"/>
      <c r="L210" s="86"/>
      <c r="M210" s="86"/>
      <c r="N210" s="86"/>
      <c r="O210" s="86"/>
      <c r="P210" s="86"/>
      <c r="Q210" s="86"/>
      <c r="R210" s="86"/>
      <c r="S210" s="86"/>
      <c r="T210" s="86"/>
      <c r="U210" s="86"/>
    </row>
    <row r="211" spans="1:21">
      <c r="A211" s="86"/>
      <c r="B211" s="86"/>
      <c r="C211" s="86"/>
      <c r="D211" s="86"/>
      <c r="E211" s="86"/>
      <c r="F211" s="86"/>
      <c r="G211" s="86"/>
      <c r="H211" s="86"/>
      <c r="I211" s="86"/>
      <c r="J211" s="86"/>
      <c r="K211" s="86"/>
      <c r="L211" s="86"/>
      <c r="M211" s="86"/>
      <c r="N211" s="86"/>
      <c r="O211" s="86"/>
      <c r="P211" s="86"/>
      <c r="Q211" s="86"/>
      <c r="R211" s="86"/>
      <c r="S211" s="86"/>
      <c r="T211" s="86"/>
      <c r="U211" s="86"/>
    </row>
    <row r="212" spans="1:21">
      <c r="A212" s="86"/>
      <c r="B212" s="86"/>
      <c r="C212" s="86"/>
      <c r="D212" s="86"/>
      <c r="E212" s="86"/>
      <c r="F212" s="86"/>
      <c r="G212" s="86"/>
      <c r="H212" s="86"/>
      <c r="I212" s="86"/>
      <c r="J212" s="86"/>
      <c r="K212" s="86"/>
      <c r="L212" s="86"/>
      <c r="M212" s="86"/>
      <c r="N212" s="86"/>
      <c r="O212" s="86"/>
      <c r="P212" s="86"/>
      <c r="Q212" s="86"/>
      <c r="R212" s="86"/>
      <c r="S212" s="86"/>
      <c r="T212" s="86"/>
      <c r="U212" s="86"/>
    </row>
    <row r="213" spans="1:21">
      <c r="A213" s="86"/>
      <c r="B213" s="86"/>
      <c r="C213" s="86"/>
      <c r="D213" s="86"/>
      <c r="E213" s="86"/>
      <c r="F213" s="86"/>
      <c r="G213" s="86"/>
      <c r="H213" s="86"/>
      <c r="I213" s="86"/>
      <c r="J213" s="86"/>
      <c r="K213" s="86"/>
      <c r="L213" s="86"/>
      <c r="M213" s="86"/>
      <c r="N213" s="86"/>
      <c r="O213" s="86"/>
      <c r="P213" s="86"/>
      <c r="Q213" s="86"/>
      <c r="R213" s="86"/>
      <c r="S213" s="86"/>
      <c r="T213" s="86"/>
      <c r="U213" s="86"/>
    </row>
    <row r="214" spans="1:21">
      <c r="A214" s="86"/>
      <c r="B214" s="86"/>
      <c r="C214" s="86"/>
      <c r="D214" s="86"/>
      <c r="E214" s="86"/>
      <c r="F214" s="86"/>
      <c r="G214" s="86"/>
      <c r="H214" s="86"/>
      <c r="I214" s="86"/>
      <c r="J214" s="86"/>
      <c r="K214" s="86"/>
      <c r="L214" s="86"/>
      <c r="M214" s="86"/>
      <c r="N214" s="86"/>
      <c r="O214" s="86"/>
      <c r="P214" s="86"/>
      <c r="Q214" s="86"/>
      <c r="R214" s="86"/>
      <c r="S214" s="86"/>
      <c r="T214" s="86"/>
      <c r="U214" s="86"/>
    </row>
    <row r="215" spans="1:21">
      <c r="A215" s="86"/>
      <c r="B215" s="86"/>
      <c r="C215" s="86"/>
      <c r="D215" s="86"/>
      <c r="E215" s="86"/>
      <c r="F215" s="86"/>
      <c r="G215" s="86"/>
      <c r="H215" s="86"/>
      <c r="I215" s="86"/>
      <c r="J215" s="86"/>
      <c r="K215" s="86"/>
      <c r="L215" s="86"/>
      <c r="M215" s="86"/>
      <c r="N215" s="86"/>
      <c r="O215" s="86"/>
      <c r="P215" s="86"/>
      <c r="Q215" s="86"/>
      <c r="R215" s="86"/>
      <c r="S215" s="86"/>
      <c r="T215" s="86"/>
      <c r="U215" s="86"/>
    </row>
    <row r="216" spans="1:21">
      <c r="A216" s="86"/>
      <c r="B216" s="86"/>
      <c r="C216" s="86"/>
      <c r="D216" s="86"/>
      <c r="E216" s="86"/>
      <c r="F216" s="86"/>
      <c r="G216" s="86"/>
      <c r="H216" s="86"/>
      <c r="I216" s="86"/>
      <c r="J216" s="86"/>
      <c r="K216" s="86"/>
      <c r="L216" s="86"/>
      <c r="M216" s="86"/>
      <c r="N216" s="86"/>
      <c r="O216" s="86"/>
      <c r="P216" s="86"/>
      <c r="Q216" s="86"/>
      <c r="R216" s="86"/>
      <c r="S216" s="86"/>
      <c r="T216" s="86"/>
      <c r="U216" s="86"/>
    </row>
    <row r="217" spans="1:21">
      <c r="A217" s="86"/>
      <c r="B217" s="86"/>
      <c r="C217" s="86"/>
      <c r="D217" s="86"/>
      <c r="E217" s="86"/>
      <c r="F217" s="86"/>
      <c r="G217" s="86"/>
      <c r="H217" s="86"/>
      <c r="I217" s="86"/>
      <c r="J217" s="86"/>
      <c r="K217" s="86"/>
      <c r="L217" s="86"/>
      <c r="M217" s="86"/>
      <c r="N217" s="86"/>
      <c r="O217" s="86"/>
      <c r="P217" s="86"/>
      <c r="Q217" s="86"/>
      <c r="R217" s="86"/>
      <c r="S217" s="86"/>
      <c r="T217" s="86"/>
      <c r="U217" s="86"/>
    </row>
    <row r="218" spans="1:21">
      <c r="A218" s="86"/>
      <c r="B218" s="86"/>
      <c r="C218" s="86"/>
      <c r="D218" s="86"/>
      <c r="E218" s="86"/>
      <c r="F218" s="86"/>
      <c r="G218" s="86"/>
      <c r="H218" s="86"/>
      <c r="I218" s="86"/>
      <c r="J218" s="86"/>
      <c r="K218" s="86"/>
      <c r="L218" s="86"/>
      <c r="M218" s="86"/>
      <c r="N218" s="86"/>
      <c r="O218" s="86"/>
      <c r="P218" s="86"/>
      <c r="Q218" s="86"/>
      <c r="R218" s="86"/>
      <c r="S218" s="86"/>
      <c r="T218" s="86"/>
      <c r="U218" s="86"/>
    </row>
    <row r="219" spans="1:21">
      <c r="A219" s="86"/>
      <c r="B219" s="86"/>
      <c r="C219" s="86"/>
      <c r="D219" s="86"/>
      <c r="E219" s="86"/>
      <c r="F219" s="86"/>
      <c r="G219" s="86"/>
      <c r="H219" s="86"/>
      <c r="I219" s="86"/>
      <c r="J219" s="86"/>
      <c r="K219" s="86"/>
      <c r="L219" s="86"/>
      <c r="M219" s="86"/>
      <c r="N219" s="86"/>
      <c r="O219" s="86"/>
      <c r="P219" s="86"/>
      <c r="Q219" s="86"/>
      <c r="R219" s="86"/>
      <c r="S219" s="86"/>
      <c r="T219" s="86"/>
      <c r="U219" s="86"/>
    </row>
    <row r="220" spans="1:21">
      <c r="A220" s="86"/>
      <c r="B220" s="86"/>
      <c r="C220" s="86"/>
      <c r="D220" s="86"/>
      <c r="E220" s="86"/>
      <c r="F220" s="86"/>
      <c r="G220" s="86"/>
      <c r="H220" s="86"/>
      <c r="I220" s="86"/>
      <c r="J220" s="86"/>
      <c r="K220" s="86"/>
      <c r="L220" s="86"/>
      <c r="M220" s="86"/>
      <c r="N220" s="86"/>
      <c r="O220" s="86"/>
      <c r="P220" s="86"/>
      <c r="Q220" s="86"/>
      <c r="R220" s="86"/>
      <c r="S220" s="86"/>
      <c r="T220" s="86"/>
      <c r="U220" s="86"/>
    </row>
    <row r="221" spans="1:21">
      <c r="A221" s="86"/>
      <c r="B221" s="86"/>
      <c r="C221" s="86"/>
      <c r="D221" s="86"/>
      <c r="E221" s="86"/>
      <c r="F221" s="86"/>
      <c r="G221" s="86"/>
      <c r="H221" s="86"/>
      <c r="I221" s="86"/>
      <c r="J221" s="86"/>
      <c r="K221" s="86"/>
      <c r="L221" s="86"/>
      <c r="M221" s="86"/>
      <c r="N221" s="86"/>
      <c r="O221" s="86"/>
      <c r="P221" s="86"/>
      <c r="Q221" s="86"/>
      <c r="R221" s="86"/>
      <c r="S221" s="86"/>
      <c r="T221" s="86"/>
      <c r="U221" s="86"/>
    </row>
    <row r="222" spans="1:21">
      <c r="A222" s="86"/>
      <c r="B222" s="86"/>
      <c r="C222" s="86"/>
      <c r="D222" s="86"/>
      <c r="E222" s="86"/>
      <c r="F222" s="86"/>
      <c r="G222" s="86"/>
      <c r="H222" s="86"/>
      <c r="I222" s="86"/>
      <c r="J222" s="86"/>
      <c r="K222" s="86"/>
      <c r="L222" s="86"/>
      <c r="M222" s="86"/>
      <c r="N222" s="86"/>
      <c r="O222" s="86"/>
      <c r="P222" s="86"/>
      <c r="Q222" s="86"/>
      <c r="R222" s="86"/>
      <c r="S222" s="86"/>
      <c r="T222" s="86"/>
      <c r="U222" s="86"/>
    </row>
    <row r="223" spans="1:21">
      <c r="A223" s="86"/>
      <c r="B223" s="86"/>
      <c r="C223" s="86"/>
      <c r="D223" s="86"/>
      <c r="E223" s="86"/>
      <c r="F223" s="86"/>
      <c r="G223" s="86"/>
      <c r="H223" s="86"/>
      <c r="I223" s="86"/>
      <c r="J223" s="86"/>
      <c r="K223" s="86"/>
      <c r="L223" s="86"/>
      <c r="M223" s="86"/>
      <c r="N223" s="86"/>
      <c r="O223" s="86"/>
      <c r="P223" s="86"/>
      <c r="Q223" s="86"/>
      <c r="R223" s="86"/>
      <c r="S223" s="86"/>
      <c r="T223" s="86"/>
      <c r="U223" s="86"/>
    </row>
    <row r="224" spans="1:21">
      <c r="A224" s="86"/>
      <c r="B224" s="86"/>
      <c r="C224" s="86"/>
      <c r="D224" s="86"/>
      <c r="E224" s="86"/>
      <c r="F224" s="86"/>
      <c r="G224" s="86"/>
      <c r="H224" s="86"/>
      <c r="I224" s="86"/>
      <c r="J224" s="86"/>
      <c r="K224" s="86"/>
      <c r="L224" s="86"/>
      <c r="M224" s="86"/>
      <c r="N224" s="86"/>
      <c r="O224" s="86"/>
      <c r="P224" s="86"/>
      <c r="Q224" s="86"/>
      <c r="R224" s="86"/>
      <c r="S224" s="86"/>
      <c r="T224" s="86"/>
      <c r="U224" s="86"/>
    </row>
    <row r="225" spans="1:21">
      <c r="A225" s="86"/>
      <c r="B225" s="86"/>
      <c r="C225" s="86"/>
      <c r="D225" s="86"/>
      <c r="E225" s="86"/>
      <c r="F225" s="86"/>
      <c r="G225" s="86"/>
      <c r="H225" s="86"/>
      <c r="I225" s="86"/>
      <c r="J225" s="86"/>
      <c r="K225" s="86"/>
      <c r="L225" s="86"/>
      <c r="M225" s="86"/>
      <c r="N225" s="86"/>
      <c r="O225" s="86"/>
      <c r="P225" s="86"/>
      <c r="Q225" s="86"/>
      <c r="R225" s="86"/>
      <c r="S225" s="86"/>
      <c r="T225" s="86"/>
      <c r="U225" s="86"/>
    </row>
    <row r="226" spans="1:21">
      <c r="A226" s="86"/>
      <c r="B226" s="86"/>
      <c r="C226" s="86"/>
      <c r="D226" s="86"/>
      <c r="E226" s="86"/>
      <c r="F226" s="86"/>
      <c r="G226" s="86"/>
      <c r="H226" s="86"/>
      <c r="I226" s="86"/>
      <c r="J226" s="86"/>
      <c r="K226" s="86"/>
      <c r="L226" s="86"/>
      <c r="M226" s="86"/>
      <c r="N226" s="86"/>
      <c r="O226" s="86"/>
      <c r="P226" s="86"/>
      <c r="Q226" s="86"/>
      <c r="R226" s="86"/>
      <c r="S226" s="86"/>
      <c r="T226" s="86"/>
      <c r="U226" s="86"/>
    </row>
    <row r="227" spans="1:21">
      <c r="A227" s="86"/>
      <c r="B227" s="86"/>
      <c r="C227" s="86"/>
      <c r="D227" s="86"/>
      <c r="E227" s="86"/>
      <c r="F227" s="86"/>
      <c r="G227" s="86"/>
      <c r="H227" s="86"/>
      <c r="I227" s="86"/>
      <c r="J227" s="86"/>
      <c r="K227" s="86"/>
      <c r="L227" s="86"/>
      <c r="M227" s="86"/>
      <c r="N227" s="86"/>
      <c r="O227" s="86"/>
      <c r="P227" s="86"/>
      <c r="Q227" s="86"/>
      <c r="R227" s="86"/>
      <c r="S227" s="86"/>
      <c r="T227" s="86"/>
      <c r="U227" s="86"/>
    </row>
    <row r="228" spans="1:21">
      <c r="A228" s="86"/>
      <c r="B228" s="86"/>
      <c r="C228" s="86"/>
      <c r="D228" s="86"/>
      <c r="E228" s="86"/>
      <c r="F228" s="86"/>
      <c r="G228" s="86"/>
      <c r="H228" s="86"/>
      <c r="I228" s="86"/>
      <c r="J228" s="86"/>
      <c r="K228" s="86"/>
      <c r="L228" s="86"/>
      <c r="M228" s="86"/>
      <c r="N228" s="86"/>
      <c r="O228" s="86"/>
      <c r="P228" s="86"/>
      <c r="Q228" s="86"/>
      <c r="R228" s="86"/>
      <c r="S228" s="86"/>
      <c r="T228" s="86"/>
      <c r="U228" s="86"/>
    </row>
    <row r="229" spans="1:21">
      <c r="A229" s="86"/>
      <c r="B229" s="86"/>
      <c r="C229" s="86"/>
      <c r="D229" s="86"/>
      <c r="E229" s="86"/>
      <c r="F229" s="86"/>
      <c r="G229" s="86"/>
      <c r="H229" s="86"/>
      <c r="I229" s="86"/>
      <c r="J229" s="86"/>
      <c r="K229" s="86"/>
      <c r="L229" s="86"/>
      <c r="M229" s="86"/>
      <c r="N229" s="86"/>
      <c r="O229" s="86"/>
      <c r="P229" s="86"/>
      <c r="Q229" s="86"/>
      <c r="R229" s="86"/>
      <c r="S229" s="86"/>
      <c r="T229" s="86"/>
      <c r="U229" s="86"/>
    </row>
    <row r="230" spans="1:21">
      <c r="A230" s="86"/>
      <c r="B230" s="86"/>
      <c r="C230" s="86"/>
      <c r="D230" s="86"/>
      <c r="E230" s="86"/>
      <c r="F230" s="86"/>
      <c r="G230" s="86"/>
      <c r="H230" s="86"/>
      <c r="I230" s="86"/>
      <c r="J230" s="86"/>
      <c r="K230" s="86"/>
      <c r="L230" s="86"/>
      <c r="M230" s="86"/>
      <c r="N230" s="86"/>
      <c r="O230" s="86"/>
      <c r="P230" s="86"/>
      <c r="Q230" s="86"/>
      <c r="R230" s="86"/>
      <c r="S230" s="86"/>
      <c r="T230" s="86"/>
      <c r="U230" s="86"/>
    </row>
    <row r="231" spans="1:21">
      <c r="A231" s="86"/>
      <c r="B231" s="86"/>
      <c r="C231" s="86"/>
      <c r="D231" s="86"/>
      <c r="E231" s="86"/>
      <c r="F231" s="86"/>
      <c r="G231" s="86"/>
      <c r="H231" s="86"/>
      <c r="I231" s="86"/>
      <c r="J231" s="86"/>
      <c r="K231" s="86"/>
      <c r="L231" s="86"/>
      <c r="M231" s="86"/>
      <c r="N231" s="86"/>
      <c r="O231" s="86"/>
      <c r="P231" s="86"/>
      <c r="Q231" s="86"/>
      <c r="R231" s="86"/>
      <c r="S231" s="86"/>
      <c r="T231" s="86"/>
      <c r="U231" s="86"/>
    </row>
    <row r="232" spans="1:21">
      <c r="A232" s="86"/>
      <c r="B232" s="86"/>
      <c r="C232" s="86"/>
      <c r="D232" s="86"/>
      <c r="E232" s="86"/>
      <c r="F232" s="86"/>
      <c r="G232" s="86"/>
      <c r="H232" s="86"/>
      <c r="I232" s="86"/>
      <c r="J232" s="86"/>
      <c r="K232" s="86"/>
      <c r="L232" s="86"/>
      <c r="M232" s="86"/>
      <c r="N232" s="86"/>
      <c r="O232" s="86"/>
      <c r="P232" s="86"/>
      <c r="Q232" s="86"/>
      <c r="R232" s="86"/>
      <c r="S232" s="86"/>
      <c r="T232" s="86"/>
      <c r="U232" s="86"/>
    </row>
    <row r="233" spans="1:21">
      <c r="A233" s="86"/>
      <c r="B233" s="86"/>
      <c r="C233" s="86"/>
      <c r="D233" s="86"/>
      <c r="E233" s="86"/>
      <c r="F233" s="86"/>
      <c r="G233" s="86"/>
      <c r="H233" s="86"/>
      <c r="I233" s="86"/>
      <c r="J233" s="86"/>
      <c r="K233" s="86"/>
      <c r="L233" s="86"/>
      <c r="M233" s="86"/>
      <c r="N233" s="86"/>
      <c r="O233" s="86"/>
      <c r="P233" s="86"/>
      <c r="Q233" s="86"/>
      <c r="R233" s="86"/>
      <c r="S233" s="86"/>
      <c r="T233" s="86"/>
      <c r="U233" s="86"/>
    </row>
    <row r="234" spans="1:21">
      <c r="A234" s="86"/>
      <c r="B234" s="86"/>
      <c r="C234" s="86"/>
      <c r="D234" s="86"/>
      <c r="E234" s="86"/>
      <c r="F234" s="86"/>
      <c r="G234" s="86"/>
      <c r="H234" s="86"/>
      <c r="I234" s="86"/>
      <c r="J234" s="86"/>
      <c r="K234" s="86"/>
      <c r="L234" s="86"/>
      <c r="M234" s="86"/>
      <c r="N234" s="86"/>
      <c r="O234" s="86"/>
      <c r="P234" s="86"/>
      <c r="Q234" s="86"/>
      <c r="R234" s="86"/>
      <c r="S234" s="86"/>
      <c r="T234" s="86"/>
      <c r="U234" s="86"/>
    </row>
    <row r="235" spans="1:21">
      <c r="A235" s="86"/>
      <c r="B235" s="86"/>
      <c r="C235" s="86"/>
      <c r="D235" s="86"/>
      <c r="E235" s="86"/>
      <c r="F235" s="86"/>
      <c r="G235" s="86"/>
      <c r="H235" s="86"/>
      <c r="I235" s="86"/>
      <c r="J235" s="86"/>
      <c r="K235" s="86"/>
      <c r="L235" s="86"/>
      <c r="M235" s="86"/>
      <c r="N235" s="86"/>
      <c r="O235" s="86"/>
      <c r="P235" s="86"/>
      <c r="Q235" s="86"/>
      <c r="R235" s="86"/>
      <c r="S235" s="86"/>
      <c r="T235" s="86"/>
      <c r="U235" s="86"/>
    </row>
    <row r="236" spans="1:21">
      <c r="A236" s="86"/>
      <c r="B236" s="86"/>
      <c r="C236" s="86"/>
      <c r="D236" s="86"/>
      <c r="E236" s="86"/>
      <c r="F236" s="86"/>
      <c r="G236" s="86"/>
      <c r="H236" s="86"/>
      <c r="I236" s="86"/>
      <c r="J236" s="86"/>
      <c r="K236" s="86"/>
      <c r="L236" s="86"/>
      <c r="M236" s="86"/>
      <c r="N236" s="86"/>
      <c r="O236" s="86"/>
      <c r="P236" s="86"/>
      <c r="Q236" s="86"/>
      <c r="R236" s="86"/>
      <c r="S236" s="86"/>
      <c r="T236" s="86"/>
      <c r="U236" s="86"/>
    </row>
    <row r="237" spans="1:21">
      <c r="A237" s="86"/>
      <c r="B237" s="86"/>
      <c r="C237" s="86"/>
      <c r="D237" s="86"/>
      <c r="E237" s="86"/>
      <c r="F237" s="86"/>
      <c r="G237" s="86"/>
      <c r="H237" s="86"/>
      <c r="I237" s="86"/>
      <c r="J237" s="86"/>
      <c r="K237" s="86"/>
      <c r="L237" s="86"/>
      <c r="M237" s="86"/>
      <c r="N237" s="86"/>
      <c r="O237" s="86"/>
      <c r="P237" s="86"/>
      <c r="Q237" s="86"/>
      <c r="R237" s="86"/>
      <c r="S237" s="86"/>
      <c r="T237" s="86"/>
      <c r="U237" s="86"/>
    </row>
    <row r="238" spans="1:21">
      <c r="A238" s="86"/>
      <c r="B238" s="86"/>
      <c r="C238" s="86"/>
      <c r="D238" s="86"/>
      <c r="E238" s="86"/>
      <c r="F238" s="86"/>
      <c r="G238" s="86"/>
      <c r="H238" s="86"/>
      <c r="I238" s="86"/>
      <c r="J238" s="86"/>
      <c r="K238" s="86"/>
      <c r="L238" s="86"/>
      <c r="M238" s="86"/>
      <c r="N238" s="86"/>
      <c r="O238" s="86"/>
      <c r="P238" s="86"/>
      <c r="Q238" s="86"/>
      <c r="R238" s="86"/>
      <c r="S238" s="86"/>
      <c r="T238" s="86"/>
      <c r="U238" s="86"/>
    </row>
    <row r="239" spans="1:21">
      <c r="A239" s="86"/>
      <c r="B239" s="86"/>
      <c r="C239" s="86"/>
      <c r="D239" s="86"/>
      <c r="E239" s="86"/>
      <c r="F239" s="86"/>
      <c r="G239" s="86"/>
      <c r="H239" s="86"/>
      <c r="I239" s="86"/>
      <c r="J239" s="86"/>
      <c r="K239" s="86"/>
      <c r="L239" s="86"/>
      <c r="M239" s="86"/>
      <c r="N239" s="86"/>
      <c r="O239" s="86"/>
      <c r="P239" s="86"/>
      <c r="Q239" s="86"/>
      <c r="R239" s="86"/>
      <c r="S239" s="86"/>
      <c r="T239" s="86"/>
      <c r="U239" s="86"/>
    </row>
    <row r="240" spans="1:21">
      <c r="A240" s="86"/>
      <c r="B240" s="86"/>
      <c r="C240" s="86"/>
      <c r="D240" s="86"/>
      <c r="E240" s="86"/>
      <c r="F240" s="86"/>
      <c r="G240" s="86"/>
      <c r="H240" s="86"/>
      <c r="I240" s="86"/>
      <c r="J240" s="86"/>
      <c r="K240" s="86"/>
      <c r="L240" s="86"/>
      <c r="M240" s="86"/>
      <c r="N240" s="86"/>
      <c r="O240" s="86"/>
      <c r="P240" s="86"/>
      <c r="Q240" s="86"/>
      <c r="R240" s="86"/>
      <c r="S240" s="86"/>
      <c r="T240" s="86"/>
      <c r="U240" s="86"/>
    </row>
    <row r="241" spans="1:21">
      <c r="A241" s="86"/>
      <c r="B241" s="86"/>
      <c r="C241" s="86"/>
      <c r="D241" s="86"/>
      <c r="E241" s="86"/>
      <c r="F241" s="86"/>
      <c r="G241" s="86"/>
      <c r="H241" s="86"/>
      <c r="I241" s="86"/>
      <c r="J241" s="86"/>
      <c r="K241" s="86"/>
      <c r="L241" s="86"/>
      <c r="M241" s="86"/>
      <c r="N241" s="86"/>
      <c r="O241" s="86"/>
      <c r="P241" s="86"/>
      <c r="Q241" s="86"/>
      <c r="R241" s="86"/>
      <c r="S241" s="86"/>
      <c r="T241" s="86"/>
      <c r="U241" s="86"/>
    </row>
    <row r="242" spans="1:21">
      <c r="A242" s="86"/>
      <c r="B242" s="86"/>
      <c r="C242" s="86"/>
      <c r="D242" s="86"/>
      <c r="E242" s="86"/>
      <c r="F242" s="86"/>
      <c r="G242" s="86"/>
      <c r="H242" s="86"/>
      <c r="I242" s="86"/>
      <c r="J242" s="86"/>
      <c r="K242" s="86"/>
      <c r="L242" s="86"/>
      <c r="M242" s="86"/>
      <c r="N242" s="86"/>
      <c r="O242" s="86"/>
      <c r="P242" s="86"/>
      <c r="Q242" s="86"/>
      <c r="R242" s="86"/>
      <c r="S242" s="86"/>
      <c r="T242" s="86"/>
      <c r="U242" s="86"/>
    </row>
    <row r="243" spans="1:21">
      <c r="A243" s="86"/>
      <c r="B243" s="86"/>
      <c r="C243" s="86"/>
      <c r="D243" s="86"/>
      <c r="E243" s="86"/>
      <c r="F243" s="86"/>
      <c r="G243" s="86"/>
      <c r="H243" s="86"/>
      <c r="I243" s="86"/>
      <c r="J243" s="86"/>
      <c r="K243" s="86"/>
      <c r="L243" s="86"/>
      <c r="M243" s="86"/>
      <c r="N243" s="86"/>
      <c r="O243" s="86"/>
      <c r="P243" s="86"/>
      <c r="Q243" s="86"/>
      <c r="R243" s="86"/>
      <c r="S243" s="86"/>
      <c r="T243" s="86"/>
      <c r="U243" s="86"/>
    </row>
    <row r="244" spans="1:21">
      <c r="A244" s="86"/>
      <c r="B244" s="86"/>
      <c r="C244" s="86"/>
      <c r="D244" s="86"/>
      <c r="E244" s="86"/>
      <c r="F244" s="86"/>
      <c r="G244" s="86"/>
      <c r="H244" s="86"/>
      <c r="I244" s="86"/>
      <c r="J244" s="86"/>
      <c r="K244" s="86"/>
      <c r="L244" s="86"/>
      <c r="M244" s="86"/>
      <c r="N244" s="86"/>
      <c r="O244" s="86"/>
      <c r="P244" s="86"/>
      <c r="Q244" s="86"/>
      <c r="R244" s="86"/>
      <c r="S244" s="86"/>
      <c r="T244" s="86"/>
      <c r="U244" s="86"/>
    </row>
    <row r="245" spans="1:21">
      <c r="A245" s="86"/>
      <c r="B245" s="86"/>
      <c r="C245" s="86"/>
      <c r="D245" s="86"/>
      <c r="E245" s="86"/>
      <c r="F245" s="86"/>
      <c r="G245" s="86"/>
      <c r="H245" s="86"/>
      <c r="I245" s="86"/>
      <c r="J245" s="86"/>
      <c r="K245" s="86"/>
      <c r="L245" s="86"/>
      <c r="M245" s="86"/>
      <c r="N245" s="86"/>
      <c r="O245" s="86"/>
      <c r="P245" s="86"/>
      <c r="Q245" s="86"/>
      <c r="R245" s="86"/>
      <c r="S245" s="86"/>
      <c r="T245" s="86"/>
      <c r="U245" s="86"/>
    </row>
    <row r="246" spans="1:21">
      <c r="A246" s="86"/>
      <c r="B246" s="86"/>
      <c r="C246" s="86"/>
      <c r="D246" s="86"/>
      <c r="E246" s="86"/>
      <c r="F246" s="86"/>
      <c r="G246" s="86"/>
      <c r="H246" s="86"/>
      <c r="I246" s="86"/>
      <c r="J246" s="86"/>
      <c r="K246" s="86"/>
      <c r="L246" s="86"/>
      <c r="M246" s="86"/>
      <c r="N246" s="86"/>
      <c r="O246" s="86"/>
      <c r="P246" s="86"/>
      <c r="Q246" s="86"/>
      <c r="R246" s="86"/>
      <c r="S246" s="86"/>
      <c r="T246" s="86"/>
      <c r="U246" s="86"/>
    </row>
    <row r="247" spans="1:21">
      <c r="A247" s="86"/>
      <c r="B247" s="86"/>
      <c r="C247" s="86"/>
      <c r="D247" s="86"/>
      <c r="E247" s="86"/>
      <c r="F247" s="86"/>
      <c r="G247" s="86"/>
      <c r="H247" s="86"/>
      <c r="I247" s="86"/>
      <c r="J247" s="86"/>
      <c r="K247" s="86"/>
      <c r="L247" s="86"/>
      <c r="M247" s="86"/>
      <c r="N247" s="86"/>
      <c r="O247" s="86"/>
      <c r="P247" s="86"/>
      <c r="Q247" s="86"/>
      <c r="R247" s="86"/>
      <c r="S247" s="86"/>
      <c r="T247" s="86"/>
      <c r="U247" s="86"/>
    </row>
    <row r="248" spans="1:21">
      <c r="A248" s="86"/>
      <c r="B248" s="86"/>
      <c r="C248" s="86"/>
      <c r="D248" s="86"/>
      <c r="E248" s="86"/>
      <c r="F248" s="86"/>
      <c r="G248" s="86"/>
      <c r="H248" s="86"/>
      <c r="I248" s="86"/>
      <c r="J248" s="86"/>
      <c r="K248" s="86"/>
      <c r="L248" s="86"/>
      <c r="M248" s="86"/>
      <c r="N248" s="86"/>
      <c r="O248" s="86"/>
      <c r="P248" s="86"/>
      <c r="Q248" s="86"/>
      <c r="R248" s="86"/>
      <c r="S248" s="86"/>
      <c r="T248" s="86"/>
      <c r="U248" s="86"/>
    </row>
    <row r="249" spans="1:21">
      <c r="A249" s="86"/>
      <c r="B249" s="86"/>
      <c r="C249" s="86"/>
      <c r="D249" s="86"/>
      <c r="E249" s="86"/>
      <c r="F249" s="86"/>
      <c r="G249" s="86"/>
      <c r="H249" s="86"/>
      <c r="I249" s="86"/>
      <c r="J249" s="86"/>
      <c r="K249" s="86"/>
      <c r="L249" s="86"/>
      <c r="M249" s="86"/>
      <c r="N249" s="86"/>
      <c r="O249" s="86"/>
      <c r="P249" s="86"/>
      <c r="Q249" s="86"/>
      <c r="R249" s="86"/>
      <c r="S249" s="86"/>
      <c r="T249" s="86"/>
      <c r="U249" s="86"/>
    </row>
    <row r="250" spans="1:21">
      <c r="A250" s="86"/>
      <c r="B250" s="86"/>
      <c r="C250" s="86"/>
      <c r="D250" s="86"/>
      <c r="E250" s="86"/>
      <c r="F250" s="86"/>
      <c r="G250" s="86"/>
      <c r="H250" s="86"/>
      <c r="I250" s="86"/>
      <c r="J250" s="86"/>
      <c r="K250" s="86"/>
      <c r="L250" s="86"/>
      <c r="M250" s="86"/>
      <c r="N250" s="86"/>
      <c r="O250" s="86"/>
      <c r="P250" s="86"/>
      <c r="Q250" s="86"/>
      <c r="R250" s="86"/>
      <c r="S250" s="86"/>
      <c r="T250" s="86"/>
      <c r="U250" s="86"/>
    </row>
    <row r="251" spans="1:21">
      <c r="A251" s="86"/>
      <c r="B251" s="86"/>
      <c r="C251" s="86"/>
      <c r="D251" s="86"/>
      <c r="E251" s="86"/>
      <c r="F251" s="86"/>
      <c r="G251" s="86"/>
      <c r="H251" s="86"/>
      <c r="I251" s="86"/>
      <c r="J251" s="86"/>
      <c r="K251" s="86"/>
      <c r="L251" s="86"/>
      <c r="M251" s="86"/>
      <c r="N251" s="86"/>
      <c r="O251" s="86"/>
      <c r="P251" s="86"/>
      <c r="Q251" s="86"/>
      <c r="R251" s="86"/>
      <c r="S251" s="86"/>
      <c r="T251" s="86"/>
      <c r="U251" s="86"/>
    </row>
    <row r="252" spans="1:21">
      <c r="A252" s="86"/>
      <c r="B252" s="86"/>
      <c r="C252" s="86"/>
      <c r="D252" s="86"/>
      <c r="E252" s="86"/>
      <c r="F252" s="86"/>
      <c r="G252" s="86"/>
      <c r="H252" s="86"/>
      <c r="I252" s="86"/>
      <c r="J252" s="86"/>
      <c r="K252" s="86"/>
      <c r="L252" s="86"/>
      <c r="M252" s="86"/>
      <c r="N252" s="86"/>
      <c r="O252" s="86"/>
      <c r="P252" s="86"/>
      <c r="Q252" s="86"/>
      <c r="R252" s="86"/>
      <c r="S252" s="86"/>
      <c r="T252" s="86"/>
      <c r="U252" s="86"/>
    </row>
    <row r="253" spans="1:21">
      <c r="A253" s="86"/>
      <c r="B253" s="86"/>
      <c r="C253" s="86"/>
      <c r="D253" s="86"/>
      <c r="E253" s="86"/>
      <c r="F253" s="86"/>
      <c r="G253" s="86"/>
      <c r="H253" s="86"/>
      <c r="I253" s="86"/>
      <c r="J253" s="86"/>
      <c r="K253" s="86"/>
      <c r="L253" s="86"/>
      <c r="M253" s="86"/>
      <c r="N253" s="86"/>
      <c r="O253" s="86"/>
      <c r="P253" s="86"/>
      <c r="Q253" s="86"/>
      <c r="R253" s="86"/>
      <c r="S253" s="86"/>
      <c r="T253" s="86"/>
      <c r="U253" s="86"/>
    </row>
    <row r="254" spans="1:21">
      <c r="A254" s="86"/>
      <c r="B254" s="86"/>
      <c r="C254" s="86"/>
      <c r="D254" s="86"/>
      <c r="E254" s="86"/>
      <c r="F254" s="86"/>
      <c r="G254" s="86"/>
      <c r="H254" s="86"/>
      <c r="I254" s="86"/>
      <c r="J254" s="86"/>
      <c r="K254" s="86"/>
      <c r="L254" s="86"/>
      <c r="M254" s="86"/>
      <c r="N254" s="86"/>
      <c r="O254" s="86"/>
      <c r="P254" s="86"/>
      <c r="Q254" s="86"/>
      <c r="R254" s="86"/>
      <c r="S254" s="86"/>
      <c r="T254" s="86"/>
      <c r="U254" s="86"/>
    </row>
    <row r="255" spans="1:21">
      <c r="A255" s="86"/>
      <c r="B255" s="86"/>
      <c r="C255" s="86"/>
      <c r="D255" s="86"/>
      <c r="E255" s="86"/>
      <c r="F255" s="86"/>
      <c r="G255" s="86"/>
      <c r="H255" s="86"/>
      <c r="I255" s="86"/>
      <c r="J255" s="86"/>
      <c r="K255" s="86"/>
      <c r="L255" s="86"/>
      <c r="M255" s="86"/>
      <c r="N255" s="86"/>
      <c r="O255" s="86"/>
      <c r="P255" s="86"/>
      <c r="Q255" s="86"/>
      <c r="R255" s="86"/>
      <c r="S255" s="86"/>
      <c r="T255" s="86"/>
      <c r="U255" s="86"/>
    </row>
    <row r="256" spans="1:21">
      <c r="A256" s="86"/>
      <c r="B256" s="86"/>
      <c r="C256" s="86"/>
      <c r="D256" s="86"/>
      <c r="E256" s="86"/>
      <c r="F256" s="86"/>
      <c r="G256" s="86"/>
      <c r="H256" s="86"/>
      <c r="I256" s="86"/>
      <c r="J256" s="86"/>
      <c r="K256" s="86"/>
      <c r="L256" s="86"/>
      <c r="M256" s="86"/>
      <c r="N256" s="86"/>
      <c r="O256" s="86"/>
      <c r="P256" s="86"/>
      <c r="Q256" s="86"/>
      <c r="R256" s="86"/>
      <c r="S256" s="86"/>
      <c r="T256" s="86"/>
      <c r="U256" s="86"/>
    </row>
    <row r="257" spans="1:21">
      <c r="A257" s="86"/>
      <c r="B257" s="86"/>
      <c r="C257" s="86"/>
      <c r="D257" s="86"/>
      <c r="E257" s="86"/>
      <c r="F257" s="86"/>
      <c r="G257" s="86"/>
      <c r="H257" s="86"/>
      <c r="I257" s="86"/>
      <c r="J257" s="86"/>
      <c r="K257" s="86"/>
      <c r="L257" s="86"/>
      <c r="M257" s="86"/>
      <c r="N257" s="86"/>
      <c r="O257" s="86"/>
      <c r="P257" s="86"/>
      <c r="Q257" s="86"/>
      <c r="R257" s="86"/>
      <c r="S257" s="86"/>
      <c r="T257" s="86"/>
      <c r="U257" s="86"/>
    </row>
    <row r="258" spans="1:21">
      <c r="A258" s="86"/>
      <c r="B258" s="86"/>
      <c r="C258" s="86"/>
      <c r="D258" s="86"/>
      <c r="E258" s="86"/>
      <c r="F258" s="86"/>
      <c r="G258" s="86"/>
      <c r="H258" s="86"/>
      <c r="I258" s="86"/>
      <c r="J258" s="86"/>
      <c r="K258" s="86"/>
      <c r="L258" s="86"/>
      <c r="M258" s="86"/>
      <c r="N258" s="86"/>
      <c r="O258" s="86"/>
      <c r="P258" s="86"/>
      <c r="Q258" s="86"/>
      <c r="R258" s="86"/>
      <c r="S258" s="86"/>
      <c r="T258" s="86"/>
      <c r="U258" s="86"/>
    </row>
    <row r="259" spans="1:21">
      <c r="A259" s="86"/>
      <c r="B259" s="86"/>
      <c r="C259" s="86"/>
      <c r="D259" s="86"/>
      <c r="E259" s="86"/>
      <c r="F259" s="86"/>
      <c r="G259" s="86"/>
      <c r="H259" s="86"/>
      <c r="I259" s="86"/>
      <c r="J259" s="86"/>
      <c r="K259" s="86"/>
      <c r="L259" s="86"/>
      <c r="M259" s="86"/>
      <c r="N259" s="86"/>
      <c r="O259" s="86"/>
      <c r="P259" s="86"/>
      <c r="Q259" s="86"/>
      <c r="R259" s="86"/>
      <c r="S259" s="86"/>
      <c r="T259" s="86"/>
      <c r="U259" s="86"/>
    </row>
    <row r="260" spans="1:21">
      <c r="A260" s="86"/>
      <c r="B260" s="86"/>
      <c r="C260" s="86"/>
      <c r="D260" s="86"/>
      <c r="E260" s="86"/>
      <c r="F260" s="86"/>
      <c r="G260" s="86"/>
      <c r="H260" s="86"/>
      <c r="I260" s="86"/>
      <c r="J260" s="86"/>
      <c r="K260" s="86"/>
      <c r="L260" s="86"/>
      <c r="M260" s="86"/>
      <c r="N260" s="86"/>
      <c r="O260" s="86"/>
      <c r="P260" s="86"/>
      <c r="Q260" s="86"/>
      <c r="R260" s="86"/>
      <c r="S260" s="86"/>
      <c r="T260" s="86"/>
      <c r="U260" s="86"/>
    </row>
    <row r="261" spans="1:21">
      <c r="A261" s="86"/>
      <c r="B261" s="86"/>
      <c r="C261" s="86"/>
      <c r="D261" s="86"/>
      <c r="E261" s="86"/>
      <c r="F261" s="86"/>
      <c r="G261" s="86"/>
      <c r="H261" s="86"/>
      <c r="I261" s="86"/>
      <c r="J261" s="86"/>
      <c r="K261" s="86"/>
      <c r="L261" s="86"/>
      <c r="M261" s="86"/>
      <c r="N261" s="86"/>
      <c r="O261" s="86"/>
      <c r="P261" s="86"/>
      <c r="Q261" s="86"/>
      <c r="R261" s="86"/>
      <c r="S261" s="86"/>
      <c r="T261" s="86"/>
      <c r="U261" s="86"/>
    </row>
    <row r="262" spans="1:21">
      <c r="A262" s="86"/>
      <c r="B262" s="86"/>
      <c r="C262" s="86"/>
      <c r="D262" s="86"/>
      <c r="E262" s="86"/>
      <c r="F262" s="86"/>
      <c r="G262" s="86"/>
      <c r="H262" s="86"/>
      <c r="I262" s="86"/>
      <c r="J262" s="86"/>
      <c r="K262" s="86"/>
      <c r="L262" s="86"/>
      <c r="M262" s="86"/>
      <c r="N262" s="86"/>
      <c r="O262" s="86"/>
      <c r="P262" s="86"/>
      <c r="Q262" s="86"/>
      <c r="R262" s="86"/>
      <c r="S262" s="86"/>
      <c r="T262" s="86"/>
      <c r="U262" s="86"/>
    </row>
    <row r="263" spans="1:21">
      <c r="A263" s="86"/>
      <c r="B263" s="86"/>
      <c r="C263" s="86"/>
      <c r="D263" s="86"/>
      <c r="E263" s="86"/>
      <c r="F263" s="86"/>
      <c r="G263" s="86"/>
      <c r="H263" s="86"/>
      <c r="I263" s="86"/>
      <c r="J263" s="86"/>
      <c r="K263" s="86"/>
      <c r="L263" s="86"/>
      <c r="M263" s="86"/>
      <c r="N263" s="86"/>
      <c r="O263" s="86"/>
      <c r="P263" s="86"/>
      <c r="Q263" s="86"/>
      <c r="R263" s="86"/>
      <c r="S263" s="86"/>
      <c r="T263" s="86"/>
      <c r="U263" s="86"/>
    </row>
    <row r="264" spans="1:21">
      <c r="A264" s="86"/>
      <c r="B264" s="86"/>
      <c r="C264" s="86"/>
      <c r="D264" s="86"/>
      <c r="E264" s="86"/>
      <c r="F264" s="86"/>
      <c r="G264" s="86"/>
      <c r="H264" s="86"/>
      <c r="I264" s="86"/>
      <c r="J264" s="86"/>
      <c r="K264" s="86"/>
      <c r="L264" s="86"/>
      <c r="M264" s="86"/>
      <c r="N264" s="86"/>
      <c r="O264" s="86"/>
      <c r="P264" s="86"/>
      <c r="Q264" s="86"/>
      <c r="R264" s="86"/>
      <c r="S264" s="86"/>
      <c r="T264" s="86"/>
      <c r="U264" s="86"/>
    </row>
    <row r="265" spans="1:21">
      <c r="A265" s="86"/>
      <c r="B265" s="86"/>
      <c r="C265" s="86"/>
      <c r="D265" s="86"/>
      <c r="E265" s="86"/>
      <c r="F265" s="86"/>
      <c r="G265" s="86"/>
      <c r="H265" s="86"/>
      <c r="I265" s="86"/>
      <c r="J265" s="86"/>
      <c r="K265" s="86"/>
      <c r="L265" s="86"/>
      <c r="M265" s="86"/>
      <c r="N265" s="86"/>
      <c r="O265" s="86"/>
      <c r="P265" s="86"/>
      <c r="Q265" s="86"/>
      <c r="R265" s="86"/>
      <c r="S265" s="86"/>
      <c r="T265" s="86"/>
      <c r="U265" s="86"/>
    </row>
    <row r="266" spans="1:21">
      <c r="A266" s="86"/>
      <c r="B266" s="86"/>
      <c r="C266" s="86"/>
      <c r="D266" s="86"/>
      <c r="E266" s="86"/>
      <c r="F266" s="86"/>
      <c r="G266" s="86"/>
      <c r="H266" s="86"/>
      <c r="I266" s="86"/>
      <c r="J266" s="86"/>
      <c r="K266" s="86"/>
      <c r="L266" s="86"/>
      <c r="M266" s="86"/>
      <c r="N266" s="86"/>
      <c r="O266" s="86"/>
      <c r="P266" s="86"/>
      <c r="Q266" s="86"/>
      <c r="R266" s="86"/>
      <c r="S266" s="86"/>
      <c r="T266" s="86"/>
      <c r="U266" s="86"/>
    </row>
    <row r="267" spans="1:21">
      <c r="A267" s="86"/>
      <c r="B267" s="86"/>
      <c r="C267" s="86"/>
      <c r="D267" s="86"/>
      <c r="E267" s="86"/>
      <c r="F267" s="86"/>
      <c r="G267" s="86"/>
      <c r="H267" s="86"/>
      <c r="I267" s="86"/>
      <c r="J267" s="86"/>
      <c r="K267" s="86"/>
      <c r="L267" s="86"/>
      <c r="M267" s="86"/>
      <c r="N267" s="86"/>
      <c r="O267" s="86"/>
      <c r="P267" s="86"/>
      <c r="Q267" s="86"/>
      <c r="R267" s="86"/>
      <c r="S267" s="86"/>
      <c r="T267" s="86"/>
      <c r="U267" s="86"/>
    </row>
    <row r="268" spans="1:21">
      <c r="A268" s="86"/>
      <c r="B268" s="86"/>
      <c r="C268" s="86"/>
      <c r="D268" s="86"/>
      <c r="E268" s="86"/>
      <c r="F268" s="86"/>
      <c r="G268" s="86"/>
      <c r="H268" s="86"/>
      <c r="I268" s="86"/>
      <c r="J268" s="86"/>
      <c r="K268" s="86"/>
      <c r="L268" s="86"/>
      <c r="M268" s="86"/>
      <c r="N268" s="86"/>
      <c r="O268" s="86"/>
      <c r="P268" s="86"/>
      <c r="Q268" s="86"/>
      <c r="R268" s="86"/>
      <c r="S268" s="86"/>
      <c r="T268" s="86"/>
      <c r="U268" s="86"/>
    </row>
    <row r="269" spans="1:21">
      <c r="A269" s="86"/>
      <c r="B269" s="86"/>
      <c r="C269" s="86"/>
      <c r="D269" s="86"/>
      <c r="E269" s="86"/>
      <c r="F269" s="86"/>
      <c r="G269" s="86"/>
      <c r="H269" s="86"/>
      <c r="I269" s="86"/>
      <c r="J269" s="86"/>
      <c r="K269" s="86"/>
      <c r="L269" s="86"/>
      <c r="M269" s="86"/>
      <c r="N269" s="86"/>
      <c r="O269" s="86"/>
      <c r="P269" s="86"/>
      <c r="Q269" s="86"/>
      <c r="R269" s="86"/>
      <c r="S269" s="86"/>
      <c r="T269" s="86"/>
      <c r="U269" s="86"/>
    </row>
    <row r="270" spans="1:21">
      <c r="A270" s="86"/>
      <c r="B270" s="86"/>
      <c r="C270" s="86"/>
      <c r="D270" s="86"/>
      <c r="E270" s="86"/>
      <c r="F270" s="86"/>
      <c r="G270" s="86"/>
      <c r="H270" s="86"/>
      <c r="I270" s="86"/>
      <c r="J270" s="86"/>
      <c r="K270" s="86"/>
      <c r="L270" s="86"/>
      <c r="M270" s="86"/>
      <c r="N270" s="86"/>
      <c r="O270" s="86"/>
      <c r="P270" s="86"/>
      <c r="Q270" s="86"/>
      <c r="R270" s="86"/>
      <c r="S270" s="86"/>
      <c r="T270" s="86"/>
      <c r="U270" s="86"/>
    </row>
    <row r="271" spans="1:21">
      <c r="A271" s="86"/>
      <c r="B271" s="86"/>
      <c r="C271" s="86"/>
      <c r="D271" s="86"/>
      <c r="E271" s="86"/>
      <c r="F271" s="86"/>
      <c r="G271" s="86"/>
      <c r="H271" s="86"/>
      <c r="I271" s="86"/>
      <c r="J271" s="86"/>
      <c r="K271" s="86"/>
      <c r="L271" s="86"/>
      <c r="M271" s="86"/>
      <c r="N271" s="86"/>
      <c r="O271" s="86"/>
      <c r="P271" s="86"/>
      <c r="Q271" s="86"/>
      <c r="R271" s="86"/>
      <c r="S271" s="86"/>
      <c r="T271" s="86"/>
      <c r="U271" s="86"/>
    </row>
    <row r="272" spans="1:21">
      <c r="A272" s="86"/>
      <c r="B272" s="86"/>
      <c r="C272" s="86"/>
      <c r="D272" s="86"/>
      <c r="E272" s="86"/>
      <c r="F272" s="86"/>
      <c r="G272" s="86"/>
      <c r="H272" s="86"/>
      <c r="I272" s="86"/>
      <c r="J272" s="86"/>
      <c r="K272" s="86"/>
      <c r="L272" s="86"/>
      <c r="M272" s="86"/>
      <c r="N272" s="86"/>
      <c r="O272" s="86"/>
      <c r="P272" s="86"/>
      <c r="Q272" s="86"/>
      <c r="R272" s="86"/>
      <c r="S272" s="86"/>
      <c r="T272" s="86"/>
      <c r="U272" s="86"/>
    </row>
    <row r="273" spans="1:21">
      <c r="A273" s="86"/>
      <c r="B273" s="86"/>
      <c r="C273" s="86"/>
      <c r="D273" s="86"/>
      <c r="E273" s="86"/>
      <c r="F273" s="86"/>
      <c r="G273" s="86"/>
      <c r="H273" s="86"/>
      <c r="I273" s="86"/>
      <c r="J273" s="86"/>
      <c r="K273" s="86"/>
      <c r="L273" s="86"/>
      <c r="M273" s="86"/>
      <c r="N273" s="86"/>
      <c r="O273" s="86"/>
      <c r="P273" s="86"/>
      <c r="Q273" s="86"/>
      <c r="R273" s="86"/>
      <c r="S273" s="86"/>
      <c r="T273" s="86"/>
      <c r="U273" s="86"/>
    </row>
    <row r="274" spans="1:21">
      <c r="A274" s="86"/>
      <c r="B274" s="86"/>
      <c r="C274" s="86"/>
      <c r="D274" s="86"/>
      <c r="E274" s="86"/>
      <c r="F274" s="86"/>
      <c r="G274" s="86"/>
      <c r="H274" s="86"/>
      <c r="I274" s="86"/>
      <c r="J274" s="86"/>
      <c r="K274" s="86"/>
      <c r="L274" s="86"/>
      <c r="M274" s="86"/>
      <c r="N274" s="86"/>
      <c r="O274" s="86"/>
      <c r="P274" s="86"/>
      <c r="Q274" s="86"/>
      <c r="R274" s="86"/>
      <c r="S274" s="86"/>
      <c r="T274" s="86"/>
      <c r="U274" s="86"/>
    </row>
    <row r="275" spans="1:21">
      <c r="A275" s="86"/>
      <c r="B275" s="86"/>
      <c r="C275" s="86"/>
      <c r="D275" s="86"/>
      <c r="E275" s="86"/>
      <c r="F275" s="86"/>
      <c r="G275" s="86"/>
      <c r="H275" s="86"/>
      <c r="I275" s="86"/>
      <c r="J275" s="86"/>
      <c r="K275" s="86"/>
      <c r="L275" s="86"/>
      <c r="M275" s="86"/>
      <c r="N275" s="86"/>
      <c r="O275" s="86"/>
      <c r="P275" s="86"/>
      <c r="Q275" s="86"/>
      <c r="R275" s="86"/>
      <c r="S275" s="86"/>
      <c r="T275" s="86"/>
      <c r="U275" s="86"/>
    </row>
    <row r="276" spans="1:21">
      <c r="A276" s="86"/>
      <c r="B276" s="86"/>
      <c r="C276" s="86"/>
      <c r="D276" s="86"/>
      <c r="E276" s="86"/>
      <c r="F276" s="86"/>
      <c r="G276" s="86"/>
      <c r="H276" s="86"/>
      <c r="I276" s="86"/>
      <c r="J276" s="86"/>
      <c r="K276" s="86"/>
      <c r="L276" s="86"/>
      <c r="M276" s="86"/>
      <c r="N276" s="86"/>
      <c r="O276" s="86"/>
      <c r="P276" s="86"/>
      <c r="Q276" s="86"/>
      <c r="R276" s="86"/>
      <c r="S276" s="86"/>
      <c r="T276" s="86"/>
      <c r="U276" s="86"/>
    </row>
    <row r="277" spans="1:21">
      <c r="A277" s="86"/>
      <c r="B277" s="86"/>
      <c r="C277" s="86"/>
      <c r="D277" s="86"/>
      <c r="E277" s="86"/>
      <c r="F277" s="86"/>
      <c r="G277" s="86"/>
      <c r="H277" s="86"/>
      <c r="I277" s="86"/>
      <c r="J277" s="86"/>
      <c r="K277" s="86"/>
      <c r="L277" s="86"/>
      <c r="M277" s="86"/>
      <c r="N277" s="86"/>
      <c r="O277" s="86"/>
      <c r="P277" s="86"/>
      <c r="Q277" s="86"/>
      <c r="R277" s="86"/>
      <c r="S277" s="86"/>
      <c r="T277" s="86"/>
      <c r="U277" s="86"/>
    </row>
    <row r="278" spans="1:21">
      <c r="A278" s="86"/>
      <c r="B278" s="86"/>
      <c r="C278" s="86"/>
      <c r="D278" s="86"/>
      <c r="E278" s="86"/>
      <c r="F278" s="86"/>
      <c r="G278" s="86"/>
      <c r="H278" s="86"/>
      <c r="I278" s="86"/>
      <c r="J278" s="86"/>
      <c r="K278" s="86"/>
      <c r="L278" s="86"/>
      <c r="M278" s="86"/>
      <c r="N278" s="86"/>
      <c r="O278" s="86"/>
      <c r="P278" s="86"/>
      <c r="Q278" s="86"/>
      <c r="R278" s="86"/>
      <c r="S278" s="86"/>
      <c r="T278" s="86"/>
      <c r="U278" s="86"/>
    </row>
    <row r="279" spans="1:21">
      <c r="A279" s="86"/>
      <c r="B279" s="86"/>
      <c r="C279" s="86"/>
      <c r="D279" s="86"/>
      <c r="E279" s="86"/>
      <c r="F279" s="86"/>
      <c r="G279" s="86"/>
      <c r="H279" s="86"/>
      <c r="I279" s="86"/>
      <c r="J279" s="86"/>
      <c r="K279" s="86"/>
      <c r="L279" s="86"/>
      <c r="M279" s="86"/>
      <c r="N279" s="86"/>
      <c r="O279" s="86"/>
      <c r="P279" s="86"/>
      <c r="Q279" s="86"/>
      <c r="R279" s="86"/>
      <c r="S279" s="86"/>
      <c r="T279" s="86"/>
      <c r="U279" s="86"/>
    </row>
    <row r="280" spans="1:21">
      <c r="A280" s="86"/>
      <c r="B280" s="86"/>
      <c r="C280" s="86"/>
      <c r="D280" s="86"/>
      <c r="E280" s="86"/>
      <c r="F280" s="86"/>
      <c r="G280" s="86"/>
      <c r="H280" s="86"/>
      <c r="I280" s="86"/>
      <c r="J280" s="86"/>
      <c r="K280" s="86"/>
      <c r="L280" s="86"/>
      <c r="M280" s="86"/>
      <c r="N280" s="86"/>
      <c r="O280" s="86"/>
      <c r="P280" s="86"/>
      <c r="Q280" s="86"/>
      <c r="R280" s="86"/>
      <c r="S280" s="86"/>
      <c r="T280" s="86"/>
      <c r="U280" s="86"/>
    </row>
    <row r="281" spans="1:21">
      <c r="A281" s="86"/>
      <c r="B281" s="86"/>
      <c r="C281" s="86"/>
      <c r="D281" s="86"/>
      <c r="E281" s="86"/>
      <c r="F281" s="86"/>
      <c r="G281" s="86"/>
      <c r="H281" s="86"/>
      <c r="I281" s="86"/>
      <c r="J281" s="86"/>
      <c r="K281" s="86"/>
      <c r="L281" s="86"/>
      <c r="M281" s="86"/>
      <c r="N281" s="86"/>
      <c r="O281" s="86"/>
      <c r="P281" s="86"/>
      <c r="Q281" s="86"/>
      <c r="R281" s="86"/>
      <c r="S281" s="86"/>
      <c r="T281" s="86"/>
      <c r="U281" s="86"/>
    </row>
    <row r="282" spans="1:21">
      <c r="A282" s="86"/>
      <c r="B282" s="86"/>
      <c r="C282" s="86"/>
      <c r="D282" s="86"/>
      <c r="E282" s="86"/>
      <c r="F282" s="86"/>
      <c r="G282" s="86"/>
      <c r="H282" s="86"/>
      <c r="I282" s="86"/>
      <c r="J282" s="86"/>
      <c r="K282" s="86"/>
      <c r="L282" s="86"/>
      <c r="M282" s="86"/>
      <c r="N282" s="86"/>
      <c r="O282" s="86"/>
      <c r="P282" s="86"/>
      <c r="Q282" s="86"/>
      <c r="R282" s="86"/>
      <c r="S282" s="86"/>
      <c r="T282" s="86"/>
      <c r="U282" s="86"/>
    </row>
    <row r="283" spans="1:21">
      <c r="A283" s="86"/>
      <c r="B283" s="86"/>
      <c r="C283" s="86"/>
      <c r="D283" s="86"/>
      <c r="E283" s="86"/>
      <c r="F283" s="86"/>
      <c r="G283" s="86"/>
      <c r="H283" s="86"/>
      <c r="I283" s="86"/>
      <c r="J283" s="86"/>
      <c r="K283" s="86"/>
      <c r="L283" s="86"/>
      <c r="M283" s="86"/>
      <c r="N283" s="86"/>
      <c r="O283" s="86"/>
      <c r="P283" s="86"/>
      <c r="Q283" s="86"/>
      <c r="R283" s="86"/>
      <c r="S283" s="86"/>
      <c r="T283" s="86"/>
      <c r="U283" s="86"/>
    </row>
    <row r="284" spans="1:21">
      <c r="A284" s="86"/>
      <c r="B284" s="86"/>
      <c r="C284" s="86"/>
      <c r="D284" s="86"/>
      <c r="E284" s="86"/>
      <c r="F284" s="86"/>
      <c r="G284" s="86"/>
      <c r="H284" s="86"/>
      <c r="I284" s="86"/>
      <c r="J284" s="86"/>
      <c r="K284" s="86"/>
      <c r="L284" s="86"/>
      <c r="M284" s="86"/>
      <c r="N284" s="86"/>
      <c r="O284" s="86"/>
      <c r="P284" s="86"/>
      <c r="Q284" s="86"/>
      <c r="R284" s="86"/>
      <c r="S284" s="86"/>
      <c r="T284" s="86"/>
      <c r="U284" s="86"/>
    </row>
    <row r="285" spans="1:21">
      <c r="A285" s="86"/>
      <c r="B285" s="86"/>
      <c r="C285" s="86"/>
      <c r="D285" s="86"/>
      <c r="E285" s="86"/>
      <c r="F285" s="86"/>
      <c r="G285" s="86"/>
      <c r="H285" s="86"/>
      <c r="I285" s="86"/>
      <c r="J285" s="86"/>
      <c r="K285" s="86"/>
      <c r="L285" s="86"/>
      <c r="M285" s="86"/>
      <c r="N285" s="86"/>
      <c r="O285" s="86"/>
      <c r="P285" s="86"/>
      <c r="Q285" s="86"/>
      <c r="R285" s="86"/>
      <c r="S285" s="86"/>
      <c r="T285" s="86"/>
      <c r="U285" s="86"/>
    </row>
    <row r="286" spans="1:21">
      <c r="A286" s="86"/>
      <c r="B286" s="86"/>
      <c r="C286" s="86"/>
      <c r="D286" s="86"/>
      <c r="E286" s="86"/>
      <c r="F286" s="86"/>
      <c r="G286" s="86"/>
      <c r="H286" s="86"/>
      <c r="I286" s="86"/>
      <c r="J286" s="86"/>
      <c r="K286" s="86"/>
      <c r="L286" s="86"/>
      <c r="M286" s="86"/>
      <c r="N286" s="86"/>
      <c r="O286" s="86"/>
      <c r="P286" s="86"/>
      <c r="Q286" s="86"/>
      <c r="R286" s="86"/>
      <c r="S286" s="86"/>
      <c r="T286" s="86"/>
      <c r="U286" s="86"/>
    </row>
    <row r="287" spans="1:21">
      <c r="A287" s="86"/>
      <c r="B287" s="86"/>
      <c r="C287" s="86"/>
      <c r="D287" s="86"/>
      <c r="E287" s="86"/>
      <c r="F287" s="86"/>
      <c r="G287" s="86"/>
      <c r="H287" s="86"/>
      <c r="I287" s="86"/>
      <c r="J287" s="86"/>
      <c r="K287" s="86"/>
      <c r="L287" s="86"/>
      <c r="M287" s="86"/>
      <c r="N287" s="86"/>
      <c r="O287" s="86"/>
      <c r="P287" s="86"/>
      <c r="Q287" s="86"/>
      <c r="R287" s="86"/>
      <c r="S287" s="86"/>
      <c r="T287" s="86"/>
      <c r="U287" s="86"/>
    </row>
    <row r="288" spans="1:21">
      <c r="A288" s="86"/>
      <c r="B288" s="86"/>
      <c r="C288" s="86"/>
      <c r="D288" s="86"/>
      <c r="E288" s="86"/>
      <c r="F288" s="86"/>
      <c r="G288" s="86"/>
      <c r="H288" s="86"/>
      <c r="I288" s="86"/>
      <c r="J288" s="86"/>
      <c r="K288" s="86"/>
      <c r="L288" s="86"/>
      <c r="M288" s="86"/>
      <c r="N288" s="86"/>
      <c r="O288" s="86"/>
      <c r="P288" s="86"/>
      <c r="Q288" s="86"/>
      <c r="R288" s="86"/>
      <c r="S288" s="86"/>
      <c r="T288" s="86"/>
      <c r="U288" s="86"/>
    </row>
    <row r="289" spans="1:21">
      <c r="A289" s="86"/>
      <c r="B289" s="86"/>
      <c r="C289" s="86"/>
      <c r="D289" s="86"/>
      <c r="E289" s="86"/>
      <c r="F289" s="86"/>
      <c r="G289" s="86"/>
      <c r="H289" s="86"/>
      <c r="I289" s="86"/>
      <c r="J289" s="86"/>
      <c r="K289" s="86"/>
      <c r="L289" s="86"/>
      <c r="M289" s="86"/>
      <c r="N289" s="86"/>
      <c r="O289" s="86"/>
      <c r="P289" s="86"/>
      <c r="Q289" s="86"/>
      <c r="R289" s="86"/>
      <c r="S289" s="86"/>
      <c r="T289" s="86"/>
      <c r="U289" s="86"/>
    </row>
    <row r="290" spans="1:21">
      <c r="A290" s="86"/>
      <c r="B290" s="86"/>
      <c r="C290" s="86"/>
      <c r="D290" s="86"/>
      <c r="E290" s="86"/>
      <c r="F290" s="86"/>
      <c r="G290" s="86"/>
      <c r="H290" s="86"/>
      <c r="I290" s="86"/>
      <c r="J290" s="86"/>
      <c r="K290" s="86"/>
      <c r="L290" s="86"/>
      <c r="M290" s="86"/>
      <c r="N290" s="86"/>
      <c r="O290" s="86"/>
      <c r="P290" s="86"/>
      <c r="Q290" s="86"/>
      <c r="R290" s="86"/>
      <c r="S290" s="86"/>
      <c r="T290" s="86"/>
      <c r="U290" s="86"/>
    </row>
    <row r="291" spans="1:21">
      <c r="A291" s="86"/>
      <c r="B291" s="86"/>
      <c r="C291" s="86"/>
      <c r="D291" s="86"/>
      <c r="E291" s="86"/>
      <c r="F291" s="86"/>
      <c r="G291" s="86"/>
      <c r="H291" s="86"/>
      <c r="I291" s="86"/>
      <c r="J291" s="86"/>
      <c r="K291" s="86"/>
      <c r="L291" s="86"/>
      <c r="M291" s="86"/>
      <c r="N291" s="86"/>
      <c r="O291" s="86"/>
      <c r="P291" s="86"/>
      <c r="Q291" s="86"/>
      <c r="R291" s="86"/>
      <c r="S291" s="86"/>
      <c r="T291" s="86"/>
      <c r="U291" s="86"/>
    </row>
    <row r="292" spans="1:21">
      <c r="A292" s="86"/>
      <c r="B292" s="86"/>
      <c r="C292" s="86"/>
      <c r="D292" s="86"/>
      <c r="E292" s="86"/>
      <c r="F292" s="86"/>
      <c r="G292" s="86"/>
      <c r="H292" s="86"/>
      <c r="I292" s="86"/>
      <c r="J292" s="86"/>
      <c r="K292" s="86"/>
      <c r="L292" s="86"/>
      <c r="M292" s="86"/>
      <c r="N292" s="86"/>
      <c r="O292" s="86"/>
      <c r="P292" s="86"/>
      <c r="Q292" s="86"/>
      <c r="R292" s="86"/>
      <c r="S292" s="86"/>
      <c r="T292" s="86"/>
      <c r="U292" s="86"/>
    </row>
    <row r="293" spans="1:21">
      <c r="A293" s="86"/>
      <c r="B293" s="86"/>
      <c r="C293" s="86"/>
      <c r="D293" s="86"/>
      <c r="E293" s="86"/>
      <c r="F293" s="86"/>
      <c r="G293" s="86"/>
      <c r="H293" s="86"/>
      <c r="I293" s="86"/>
      <c r="J293" s="86"/>
      <c r="K293" s="86"/>
      <c r="L293" s="86"/>
      <c r="M293" s="86"/>
      <c r="N293" s="86"/>
      <c r="O293" s="86"/>
      <c r="P293" s="86"/>
      <c r="Q293" s="86"/>
      <c r="R293" s="86"/>
      <c r="S293" s="86"/>
      <c r="T293" s="86"/>
      <c r="U293" s="86"/>
    </row>
    <row r="294" spans="1:21">
      <c r="A294" s="86"/>
      <c r="B294" s="86"/>
      <c r="C294" s="86"/>
      <c r="D294" s="86"/>
      <c r="E294" s="86"/>
      <c r="F294" s="86"/>
      <c r="G294" s="86"/>
      <c r="H294" s="86"/>
      <c r="I294" s="86"/>
      <c r="J294" s="86"/>
      <c r="K294" s="86"/>
      <c r="L294" s="86"/>
      <c r="M294" s="86"/>
      <c r="N294" s="86"/>
      <c r="O294" s="86"/>
      <c r="P294" s="86"/>
      <c r="Q294" s="86"/>
      <c r="R294" s="86"/>
      <c r="S294" s="86"/>
      <c r="T294" s="86"/>
      <c r="U294" s="86"/>
    </row>
    <row r="295" spans="1:21">
      <c r="A295" s="86"/>
      <c r="B295" s="86"/>
      <c r="C295" s="86"/>
      <c r="D295" s="86"/>
      <c r="E295" s="86"/>
      <c r="F295" s="86"/>
      <c r="G295" s="86"/>
      <c r="H295" s="86"/>
      <c r="I295" s="86"/>
      <c r="J295" s="86"/>
      <c r="K295" s="86"/>
      <c r="L295" s="86"/>
      <c r="M295" s="86"/>
      <c r="N295" s="86"/>
      <c r="O295" s="86"/>
      <c r="P295" s="86"/>
      <c r="Q295" s="86"/>
      <c r="R295" s="86"/>
      <c r="S295" s="86"/>
      <c r="T295" s="86"/>
      <c r="U295" s="86"/>
    </row>
    <row r="296" spans="1:21">
      <c r="A296" s="86"/>
      <c r="B296" s="86"/>
      <c r="C296" s="86"/>
      <c r="D296" s="86"/>
      <c r="E296" s="86"/>
      <c r="F296" s="86"/>
      <c r="G296" s="86"/>
      <c r="H296" s="86"/>
      <c r="I296" s="86"/>
      <c r="J296" s="86"/>
      <c r="K296" s="86"/>
      <c r="L296" s="86"/>
      <c r="M296" s="86"/>
      <c r="N296" s="86"/>
      <c r="O296" s="86"/>
      <c r="P296" s="86"/>
      <c r="Q296" s="86"/>
      <c r="R296" s="86"/>
      <c r="S296" s="86"/>
      <c r="T296" s="86"/>
      <c r="U296" s="86"/>
    </row>
    <row r="297" spans="1:21">
      <c r="A297" s="86"/>
      <c r="B297" s="86"/>
      <c r="C297" s="86"/>
      <c r="D297" s="86"/>
      <c r="E297" s="86"/>
      <c r="F297" s="86"/>
      <c r="G297" s="86"/>
      <c r="H297" s="86"/>
      <c r="I297" s="86"/>
      <c r="J297" s="86"/>
      <c r="K297" s="86"/>
      <c r="L297" s="86"/>
      <c r="M297" s="86"/>
      <c r="N297" s="86"/>
      <c r="O297" s="86"/>
      <c r="P297" s="86"/>
      <c r="Q297" s="86"/>
      <c r="R297" s="86"/>
      <c r="S297" s="86"/>
      <c r="T297" s="86"/>
      <c r="U297" s="86"/>
    </row>
    <row r="298" spans="1:21">
      <c r="A298" s="86"/>
      <c r="B298" s="86"/>
      <c r="C298" s="86"/>
      <c r="D298" s="86"/>
      <c r="E298" s="86"/>
      <c r="F298" s="86"/>
      <c r="G298" s="86"/>
      <c r="H298" s="86"/>
      <c r="I298" s="86"/>
      <c r="J298" s="86"/>
      <c r="K298" s="86"/>
      <c r="L298" s="86"/>
      <c r="M298" s="86"/>
      <c r="N298" s="86"/>
      <c r="O298" s="86"/>
      <c r="P298" s="86"/>
      <c r="Q298" s="86"/>
      <c r="R298" s="86"/>
      <c r="S298" s="86"/>
      <c r="T298" s="86"/>
      <c r="U298" s="86"/>
    </row>
    <row r="299" spans="1:21">
      <c r="A299" s="86"/>
      <c r="B299" s="86"/>
      <c r="C299" s="86"/>
      <c r="D299" s="86"/>
      <c r="E299" s="86"/>
      <c r="F299" s="86"/>
      <c r="G299" s="86"/>
      <c r="H299" s="86"/>
      <c r="I299" s="86"/>
      <c r="J299" s="86"/>
      <c r="K299" s="86"/>
      <c r="L299" s="86"/>
      <c r="M299" s="86"/>
      <c r="N299" s="86"/>
      <c r="O299" s="86"/>
      <c r="P299" s="86"/>
      <c r="Q299" s="86"/>
      <c r="R299" s="86"/>
      <c r="S299" s="86"/>
      <c r="T299" s="86"/>
      <c r="U299" s="86"/>
    </row>
    <row r="300" spans="1:21">
      <c r="A300" s="86"/>
      <c r="B300" s="86"/>
      <c r="C300" s="86"/>
      <c r="D300" s="86"/>
      <c r="E300" s="86"/>
      <c r="F300" s="86"/>
      <c r="G300" s="86"/>
      <c r="H300" s="86"/>
      <c r="I300" s="86"/>
      <c r="J300" s="86"/>
      <c r="K300" s="86"/>
      <c r="L300" s="86"/>
      <c r="M300" s="86"/>
      <c r="N300" s="86"/>
      <c r="O300" s="86"/>
      <c r="P300" s="86"/>
      <c r="Q300" s="86"/>
      <c r="R300" s="86"/>
      <c r="S300" s="86"/>
      <c r="T300" s="86"/>
      <c r="U300" s="8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B4793-7A33-47C8-88CD-737365D33BDA}">
  <dimension ref="A2:J76"/>
  <sheetViews>
    <sheetView showGridLines="0" topLeftCell="A38" zoomScale="79" workbookViewId="0"/>
  </sheetViews>
  <sheetFormatPr defaultRowHeight="13.8"/>
  <cols>
    <col min="1" max="1" width="48" customWidth="1"/>
    <col min="2" max="2" width="25" customWidth="1"/>
    <col min="3" max="3" width="24" customWidth="1"/>
    <col min="4" max="4" width="59" customWidth="1"/>
    <col min="5" max="5" width="64" customWidth="1"/>
    <col min="6" max="6" width="69" customWidth="1"/>
    <col min="7" max="10" width="20" customWidth="1"/>
  </cols>
  <sheetData>
    <row r="2" spans="1:6" ht="17.399999999999999" customHeight="1">
      <c r="A2" s="2" t="s">
        <v>736</v>
      </c>
    </row>
    <row r="4" spans="1:6" ht="34.049999999999997" customHeight="1">
      <c r="A4" s="4" t="s">
        <v>737</v>
      </c>
      <c r="B4" s="4" t="s">
        <v>738</v>
      </c>
      <c r="C4" s="4" t="s">
        <v>739</v>
      </c>
      <c r="D4" s="4" t="s">
        <v>740</v>
      </c>
      <c r="E4" s="4" t="s">
        <v>741</v>
      </c>
      <c r="F4" s="4" t="s">
        <v>742</v>
      </c>
    </row>
    <row r="5" spans="1:6" ht="25.95" customHeight="1">
      <c r="A5" s="3" t="s">
        <v>743</v>
      </c>
      <c r="B5" s="19">
        <v>26.270167440000002</v>
      </c>
      <c r="C5" s="3" t="s">
        <v>217</v>
      </c>
      <c r="D5" s="3" t="s">
        <v>744</v>
      </c>
      <c r="E5" s="3" t="s">
        <v>745</v>
      </c>
      <c r="F5" s="3"/>
    </row>
    <row r="6" spans="1:6" ht="25.95" customHeight="1">
      <c r="A6" s="5" t="s">
        <v>746</v>
      </c>
      <c r="B6" s="20">
        <v>35.829006855497198</v>
      </c>
      <c r="C6" s="5" t="s">
        <v>217</v>
      </c>
      <c r="D6" s="5" t="s">
        <v>747</v>
      </c>
      <c r="E6" s="5" t="s">
        <v>745</v>
      </c>
      <c r="F6" s="5"/>
    </row>
    <row r="7" spans="1:6" ht="25.95" customHeight="1">
      <c r="A7" s="3" t="s">
        <v>748</v>
      </c>
      <c r="B7" s="19">
        <v>45.958405923253103</v>
      </c>
      <c r="C7" s="3" t="s">
        <v>217</v>
      </c>
      <c r="D7" s="3" t="s">
        <v>749</v>
      </c>
      <c r="E7" s="3" t="s">
        <v>745</v>
      </c>
      <c r="F7" s="3"/>
    </row>
    <row r="8" spans="1:6" ht="25.95" customHeight="1">
      <c r="A8" s="5" t="s">
        <v>750</v>
      </c>
      <c r="B8" s="20">
        <v>7.1334971104999996</v>
      </c>
      <c r="C8" s="5" t="s">
        <v>217</v>
      </c>
      <c r="D8" s="5" t="s">
        <v>751</v>
      </c>
      <c r="E8" s="5" t="s">
        <v>745</v>
      </c>
      <c r="F8" s="5"/>
    </row>
    <row r="9" spans="1:6" ht="25.95" customHeight="1">
      <c r="A9" s="3" t="s">
        <v>752</v>
      </c>
      <c r="B9" s="19">
        <v>9.4688972852499997</v>
      </c>
      <c r="C9" s="3" t="s">
        <v>217</v>
      </c>
      <c r="D9" s="3" t="s">
        <v>753</v>
      </c>
      <c r="E9" s="3" t="s">
        <v>745</v>
      </c>
      <c r="F9" s="3"/>
    </row>
    <row r="10" spans="1:6" ht="25.95" customHeight="1">
      <c r="A10" s="5" t="s">
        <v>754</v>
      </c>
      <c r="B10" s="20">
        <v>13.7015882191</v>
      </c>
      <c r="C10" s="5" t="s">
        <v>217</v>
      </c>
      <c r="D10" s="5" t="s">
        <v>755</v>
      </c>
      <c r="E10" s="5" t="s">
        <v>745</v>
      </c>
      <c r="F10" s="5"/>
    </row>
    <row r="11" spans="1:6" ht="25.95" customHeight="1">
      <c r="A11" s="3" t="s">
        <v>756</v>
      </c>
      <c r="B11" s="19">
        <v>11.9014270205264</v>
      </c>
      <c r="C11" s="3" t="s">
        <v>217</v>
      </c>
      <c r="D11" s="3" t="s">
        <v>757</v>
      </c>
      <c r="E11" s="3" t="s">
        <v>745</v>
      </c>
      <c r="F11" s="3"/>
    </row>
    <row r="12" spans="1:6" ht="25.95" customHeight="1">
      <c r="A12" s="5" t="s">
        <v>758</v>
      </c>
      <c r="B12" s="20">
        <v>2.63718419871133</v>
      </c>
      <c r="C12" s="5" t="s">
        <v>217</v>
      </c>
      <c r="D12" s="5" t="s">
        <v>759</v>
      </c>
      <c r="E12" s="5" t="s">
        <v>745</v>
      </c>
      <c r="F12" s="5"/>
    </row>
    <row r="13" spans="1:6" ht="25.95" customHeight="1">
      <c r="A13" s="3" t="s">
        <v>760</v>
      </c>
      <c r="B13" s="24">
        <v>0.161181709909933</v>
      </c>
      <c r="C13" s="3" t="s">
        <v>761</v>
      </c>
      <c r="D13" s="3" t="s">
        <v>762</v>
      </c>
      <c r="E13" s="3" t="s">
        <v>745</v>
      </c>
      <c r="F13" s="3"/>
    </row>
    <row r="14" spans="1:6" ht="25.95" customHeight="1">
      <c r="A14" s="5" t="s">
        <v>763</v>
      </c>
      <c r="B14" s="20">
        <v>41.58923909</v>
      </c>
      <c r="C14" s="5" t="s">
        <v>217</v>
      </c>
      <c r="D14" s="5" t="s">
        <v>764</v>
      </c>
      <c r="E14" s="5" t="s">
        <v>745</v>
      </c>
      <c r="F14" s="5"/>
    </row>
    <row r="15" spans="1:6" ht="25.95" customHeight="1">
      <c r="A15" s="3" t="s">
        <v>765</v>
      </c>
      <c r="B15" s="19">
        <v>56.722178717507397</v>
      </c>
      <c r="C15" s="3" t="s">
        <v>217</v>
      </c>
      <c r="D15" s="3" t="s">
        <v>766</v>
      </c>
      <c r="E15" s="3" t="s">
        <v>745</v>
      </c>
      <c r="F15" s="3"/>
    </row>
    <row r="16" spans="1:6" ht="25.95" customHeight="1">
      <c r="A16" s="5" t="s">
        <v>767</v>
      </c>
      <c r="B16" s="20">
        <v>72.758391681474706</v>
      </c>
      <c r="C16" s="5" t="s">
        <v>217</v>
      </c>
      <c r="D16" s="5" t="s">
        <v>768</v>
      </c>
      <c r="E16" s="5" t="s">
        <v>745</v>
      </c>
      <c r="F16" s="5"/>
    </row>
    <row r="17" spans="1:6" ht="25.95" customHeight="1">
      <c r="A17" s="3" t="s">
        <v>769</v>
      </c>
      <c r="B17" s="19">
        <v>74.161058859999997</v>
      </c>
      <c r="C17" s="3" t="s">
        <v>217</v>
      </c>
      <c r="D17" s="3" t="s">
        <v>770</v>
      </c>
      <c r="E17" s="3" t="s">
        <v>745</v>
      </c>
      <c r="F17" s="3"/>
    </row>
    <row r="18" spans="1:6" ht="25.95" customHeight="1">
      <c r="A18" s="5" t="s">
        <v>771</v>
      </c>
      <c r="B18" s="20">
        <v>98.440279435607593</v>
      </c>
      <c r="C18" s="5" t="s">
        <v>217</v>
      </c>
      <c r="D18" s="5" t="s">
        <v>772</v>
      </c>
      <c r="E18" s="5" t="s">
        <v>745</v>
      </c>
      <c r="F18" s="5"/>
    </row>
    <row r="19" spans="1:6" ht="25.95" customHeight="1">
      <c r="A19" s="3" t="s">
        <v>773</v>
      </c>
      <c r="B19" s="19">
        <v>142.44405999639301</v>
      </c>
      <c r="C19" s="3" t="s">
        <v>217</v>
      </c>
      <c r="D19" s="3" t="s">
        <v>774</v>
      </c>
      <c r="E19" s="3" t="s">
        <v>745</v>
      </c>
      <c r="F19" s="3"/>
    </row>
    <row r="20" spans="1:6" ht="25.95" customHeight="1">
      <c r="A20" s="5" t="s">
        <v>775</v>
      </c>
      <c r="B20" s="20">
        <v>59.745018519681501</v>
      </c>
      <c r="C20" s="5" t="s">
        <v>217</v>
      </c>
      <c r="D20" s="5" t="s">
        <v>776</v>
      </c>
      <c r="E20" s="5" t="s">
        <v>745</v>
      </c>
      <c r="F20" s="5"/>
    </row>
    <row r="21" spans="1:6" ht="25.95" customHeight="1">
      <c r="A21" s="3" t="s">
        <v>777</v>
      </c>
      <c r="B21" s="19">
        <v>13.2386325202917</v>
      </c>
      <c r="C21" s="3" t="s">
        <v>217</v>
      </c>
      <c r="D21" s="3" t="s">
        <v>778</v>
      </c>
      <c r="E21" s="3" t="s">
        <v>745</v>
      </c>
      <c r="F21" s="3"/>
    </row>
    <row r="22" spans="1:6" ht="25.95" customHeight="1">
      <c r="A22" s="5" t="s">
        <v>779</v>
      </c>
      <c r="B22" s="25">
        <v>5.3175880448054498E-2</v>
      </c>
      <c r="C22" s="5" t="s">
        <v>761</v>
      </c>
      <c r="D22" s="5" t="s">
        <v>780</v>
      </c>
      <c r="E22" s="5" t="s">
        <v>745</v>
      </c>
      <c r="F22" s="5"/>
    </row>
    <row r="23" spans="1:6" ht="25.95" customHeight="1">
      <c r="A23" s="3" t="s">
        <v>781</v>
      </c>
      <c r="B23" s="24">
        <v>0.05</v>
      </c>
      <c r="C23" s="3" t="s">
        <v>782</v>
      </c>
      <c r="D23" s="3" t="s">
        <v>783</v>
      </c>
      <c r="E23" s="3" t="s">
        <v>784</v>
      </c>
      <c r="F23" s="3" t="s">
        <v>785</v>
      </c>
    </row>
    <row r="24" spans="1:6" ht="25.95" customHeight="1">
      <c r="A24" s="5" t="s">
        <v>786</v>
      </c>
      <c r="B24" s="20">
        <v>1</v>
      </c>
      <c r="C24" s="5" t="s">
        <v>787</v>
      </c>
      <c r="D24" s="5" t="s">
        <v>788</v>
      </c>
      <c r="E24" s="5" t="s">
        <v>789</v>
      </c>
      <c r="F24" s="5"/>
    </row>
    <row r="25" spans="1:6" ht="25.95" customHeight="1">
      <c r="A25" s="3" t="s">
        <v>790</v>
      </c>
      <c r="B25" s="19">
        <v>0.66980693281026704</v>
      </c>
      <c r="C25" s="3" t="s">
        <v>791</v>
      </c>
      <c r="D25" s="3" t="s">
        <v>792</v>
      </c>
      <c r="E25" s="3" t="s">
        <v>793</v>
      </c>
      <c r="F25" s="3" t="s">
        <v>794</v>
      </c>
    </row>
    <row r="26" spans="1:6" ht="25.95" customHeight="1">
      <c r="A26" s="5" t="s">
        <v>795</v>
      </c>
      <c r="B26" s="20">
        <v>0.1</v>
      </c>
      <c r="C26" s="5" t="s">
        <v>791</v>
      </c>
      <c r="D26" s="5" t="s">
        <v>796</v>
      </c>
      <c r="E26" s="5" t="s">
        <v>793</v>
      </c>
      <c r="F26" s="5" t="s">
        <v>797</v>
      </c>
    </row>
    <row r="27" spans="1:6" ht="25.95" customHeight="1">
      <c r="A27" s="3" t="s">
        <v>798</v>
      </c>
      <c r="B27" s="19">
        <v>1</v>
      </c>
      <c r="C27" s="3" t="s">
        <v>791</v>
      </c>
      <c r="D27" s="3" t="s">
        <v>799</v>
      </c>
      <c r="E27" s="3" t="s">
        <v>793</v>
      </c>
      <c r="F27" s="3" t="s">
        <v>800</v>
      </c>
    </row>
    <row r="28" spans="1:6" ht="25.95" customHeight="1">
      <c r="A28" s="5" t="s">
        <v>801</v>
      </c>
      <c r="B28" s="20">
        <v>1</v>
      </c>
      <c r="C28" s="5" t="s">
        <v>791</v>
      </c>
      <c r="D28" s="5" t="s">
        <v>802</v>
      </c>
      <c r="E28" s="5" t="s">
        <v>803</v>
      </c>
      <c r="F28" s="5" t="s">
        <v>804</v>
      </c>
    </row>
    <row r="29" spans="1:6" ht="25.95" customHeight="1">
      <c r="A29" s="3" t="s">
        <v>805</v>
      </c>
      <c r="B29" s="19">
        <v>0.5</v>
      </c>
      <c r="C29" s="3" t="s">
        <v>806</v>
      </c>
      <c r="D29" s="3" t="s">
        <v>807</v>
      </c>
      <c r="E29" s="3" t="s">
        <v>803</v>
      </c>
      <c r="F29" s="3" t="s">
        <v>808</v>
      </c>
    </row>
    <row r="30" spans="1:6" ht="25.95" customHeight="1">
      <c r="A30" s="5" t="s">
        <v>809</v>
      </c>
      <c r="B30" s="20">
        <v>1</v>
      </c>
      <c r="C30" s="5" t="s">
        <v>806</v>
      </c>
      <c r="D30" s="5" t="s">
        <v>810</v>
      </c>
      <c r="E30" s="5" t="s">
        <v>803</v>
      </c>
      <c r="F30" s="5"/>
    </row>
    <row r="31" spans="1:6" ht="25.95" customHeight="1">
      <c r="A31" s="3" t="s">
        <v>811</v>
      </c>
      <c r="B31" s="19">
        <v>60</v>
      </c>
      <c r="C31" s="3" t="s">
        <v>217</v>
      </c>
      <c r="D31" s="3" t="s">
        <v>812</v>
      </c>
      <c r="E31" s="3" t="s">
        <v>803</v>
      </c>
      <c r="F31" s="3" t="s">
        <v>813</v>
      </c>
    </row>
    <row r="32" spans="1:6" ht="25.95" customHeight="1">
      <c r="A32" s="5" t="s">
        <v>814</v>
      </c>
      <c r="B32" s="20">
        <v>30</v>
      </c>
      <c r="C32" s="5" t="s">
        <v>217</v>
      </c>
      <c r="D32" s="5" t="s">
        <v>815</v>
      </c>
      <c r="E32" s="5" t="s">
        <v>803</v>
      </c>
      <c r="F32" s="5" t="s">
        <v>813</v>
      </c>
    </row>
    <row r="34" spans="1:10">
      <c r="A34" s="2" t="s">
        <v>816</v>
      </c>
      <c r="B34" s="1"/>
      <c r="C34" s="1"/>
      <c r="D34" s="1"/>
      <c r="E34" s="1"/>
      <c r="F34" s="1"/>
    </row>
    <row r="35" spans="1:10">
      <c r="A35" s="1"/>
      <c r="B35" s="1"/>
      <c r="C35" s="1"/>
      <c r="D35" s="1"/>
      <c r="E35" s="1"/>
      <c r="F35" s="1"/>
    </row>
    <row r="38" spans="1:10" ht="34.049999999999997" customHeight="1">
      <c r="A38" s="4" t="s">
        <v>94</v>
      </c>
      <c r="B38" s="4" t="s">
        <v>817</v>
      </c>
      <c r="C38" s="4" t="s">
        <v>818</v>
      </c>
      <c r="D38" s="4" t="s">
        <v>819</v>
      </c>
      <c r="E38" s="4" t="s">
        <v>820</v>
      </c>
      <c r="F38" s="4" t="s">
        <v>821</v>
      </c>
      <c r="G38" s="4" t="s">
        <v>822</v>
      </c>
      <c r="H38" s="4" t="s">
        <v>823</v>
      </c>
      <c r="I38" s="4" t="s">
        <v>824</v>
      </c>
      <c r="J38" s="4" t="s">
        <v>825</v>
      </c>
    </row>
    <row r="39" spans="1:10" ht="25.95" customHeight="1">
      <c r="A39" s="3" t="s">
        <v>144</v>
      </c>
      <c r="B39" s="3">
        <v>21.525385664000002</v>
      </c>
      <c r="C39" s="3">
        <v>30.041727572500001</v>
      </c>
      <c r="D39" s="3">
        <v>39.220506915000001</v>
      </c>
      <c r="E39" s="3">
        <v>53.491543757499997</v>
      </c>
      <c r="F39" s="3">
        <v>68.614407632999999</v>
      </c>
      <c r="G39" s="3">
        <v>26.270167440000002</v>
      </c>
      <c r="H39" s="3">
        <v>39.220506915000001</v>
      </c>
      <c r="I39" s="3">
        <v>1.2161286057810999E-2</v>
      </c>
      <c r="J39" s="3">
        <f>IF(I39&lt;0.05,MIN(3,MAX(0.1,G39/H39)),1)</f>
        <v>0.6698069328102666</v>
      </c>
    </row>
    <row r="40" spans="1:10" ht="40.049999999999997" customHeight="1">
      <c r="A40" s="5" t="s">
        <v>152</v>
      </c>
      <c r="B40" s="5">
        <v>23.402666516</v>
      </c>
      <c r="C40" s="5">
        <v>50.090420604999998</v>
      </c>
      <c r="D40" s="5">
        <v>71.334971104999994</v>
      </c>
      <c r="E40" s="5">
        <v>94.688972852500001</v>
      </c>
      <c r="F40" s="5">
        <v>137.015882191</v>
      </c>
      <c r="G40" s="5">
        <v>6.2691795900000002</v>
      </c>
      <c r="H40" s="5">
        <v>71.334971104999994</v>
      </c>
      <c r="I40" s="5">
        <v>6.1648033987079503E-3</v>
      </c>
      <c r="J40" s="5">
        <f>IF(I40&lt;0.05,MIN(3,MAX(0.1,G40/H40)),1)</f>
        <v>0.1</v>
      </c>
    </row>
    <row r="41" spans="1:10" ht="40.049999999999997" customHeight="1">
      <c r="A41" s="3" t="s">
        <v>159</v>
      </c>
      <c r="B41" s="3">
        <v>12.067852686</v>
      </c>
      <c r="C41" s="3">
        <v>20.234332465000001</v>
      </c>
      <c r="D41" s="3">
        <v>31.055697615</v>
      </c>
      <c r="E41" s="3">
        <v>54.461371377500001</v>
      </c>
      <c r="F41" s="3">
        <v>79.786547863999999</v>
      </c>
      <c r="G41" s="3">
        <v>6.7865922100000002</v>
      </c>
      <c r="H41" s="3">
        <v>31.055697615</v>
      </c>
      <c r="I41" s="3">
        <v>9.7497368740119394E-3</v>
      </c>
      <c r="J41" s="3">
        <f>IF(I41&lt;0.05,MIN(3,MAX(0.1,G41/H41)),1)</f>
        <v>0.218529697646272</v>
      </c>
    </row>
    <row r="42" spans="1:10" ht="25.95" customHeight="1">
      <c r="A42" s="5" t="s">
        <v>826</v>
      </c>
      <c r="B42" s="5">
        <v>2.16382217174114E-2</v>
      </c>
      <c r="C42" s="5">
        <v>5.8418494392435197E-2</v>
      </c>
      <c r="D42" s="5">
        <v>0.112723387320506</v>
      </c>
      <c r="E42" s="5">
        <v>0.20957132460768699</v>
      </c>
      <c r="F42" s="5">
        <v>0.359953564723419</v>
      </c>
      <c r="G42" s="5">
        <v>0.311013635392693</v>
      </c>
      <c r="H42" s="5">
        <v>0.112723387320506</v>
      </c>
      <c r="I42" s="5">
        <v>2.7890529120246501E-2</v>
      </c>
      <c r="J42" s="5">
        <f>IF(I42&lt;0.05,MIN(3,MAX(0.1,G42/H42)),1)</f>
        <v>2.7590870252008046</v>
      </c>
    </row>
    <row r="45" spans="1:10" ht="34.049999999999997" customHeight="1">
      <c r="A45" s="4" t="s">
        <v>827</v>
      </c>
      <c r="B45" s="4" t="s">
        <v>828</v>
      </c>
      <c r="C45" s="4" t="s">
        <v>11</v>
      </c>
    </row>
    <row r="46" spans="1:10" ht="40.049999999999997" customHeight="1">
      <c r="A46" s="3" t="s">
        <v>829</v>
      </c>
      <c r="B46" s="23">
        <f>E39*J39*B27*B28</f>
        <v>35.829006855497234</v>
      </c>
      <c r="C46" s="3" t="s">
        <v>830</v>
      </c>
    </row>
    <row r="47" spans="1:10" ht="40.049999999999997" customHeight="1">
      <c r="A47" s="5" t="s">
        <v>831</v>
      </c>
      <c r="B47" s="22">
        <f>F39*J39*B27*B28</f>
        <v>45.958405923253075</v>
      </c>
      <c r="C47" s="5" t="s">
        <v>832</v>
      </c>
    </row>
    <row r="48" spans="1:10" ht="40.049999999999997" customHeight="1">
      <c r="A48" s="3" t="s">
        <v>833</v>
      </c>
      <c r="B48" s="23">
        <f>E40*J40*B27*B28</f>
        <v>9.4688972852499997</v>
      </c>
      <c r="C48" s="3" t="s">
        <v>834</v>
      </c>
    </row>
    <row r="49" spans="1:3" ht="40.049999999999997" customHeight="1">
      <c r="A49" s="5" t="s">
        <v>835</v>
      </c>
      <c r="B49" s="22">
        <f>F40*J40*B27*B28</f>
        <v>13.701588219100001</v>
      </c>
      <c r="C49" s="5" t="s">
        <v>836</v>
      </c>
    </row>
    <row r="50" spans="1:3" ht="40.049999999999997" customHeight="1">
      <c r="A50" s="3" t="s">
        <v>837</v>
      </c>
      <c r="B50" s="23">
        <f>B41*J41*B27</f>
        <v>2.6371841987113314</v>
      </c>
      <c r="C50" s="3" t="s">
        <v>838</v>
      </c>
    </row>
    <row r="51" spans="1:3" ht="40.049999999999997" customHeight="1">
      <c r="A51" s="5" t="s">
        <v>839</v>
      </c>
      <c r="B51" s="22">
        <f>E41*J41*B27</f>
        <v>11.901427020526407</v>
      </c>
      <c r="C51" s="5" t="s">
        <v>840</v>
      </c>
    </row>
    <row r="52" spans="1:3" ht="40.049999999999997" customHeight="1">
      <c r="A52" s="3" t="s">
        <v>841</v>
      </c>
      <c r="B52" s="24">
        <f>C42*J42*B27</f>
        <v>0.16118170990993391</v>
      </c>
      <c r="C52" s="3" t="s">
        <v>842</v>
      </c>
    </row>
    <row r="53" spans="1:3" ht="54" customHeight="1">
      <c r="A53" s="5" t="s">
        <v>843</v>
      </c>
      <c r="B53" s="25">
        <f>C42*J42*B27</f>
        <v>0.16118170990993391</v>
      </c>
      <c r="C53" s="5" t="s">
        <v>844</v>
      </c>
    </row>
    <row r="54" spans="1:3" ht="40.049999999999997" customHeight="1">
      <c r="A54" s="3" t="s">
        <v>845</v>
      </c>
      <c r="B54" s="24">
        <f>D42*J42*B27</f>
        <v>0.311013635392693</v>
      </c>
      <c r="C54" s="3" t="s">
        <v>846</v>
      </c>
    </row>
    <row r="55" spans="1:3" ht="40.049999999999997" customHeight="1">
      <c r="A55" s="5" t="s">
        <v>847</v>
      </c>
      <c r="B55" s="25">
        <f>E42*J42*B27</f>
        <v>0.57822552257921522</v>
      </c>
      <c r="C55" s="5" t="s">
        <v>848</v>
      </c>
    </row>
    <row r="59" spans="1:3" ht="34.049999999999997" customHeight="1">
      <c r="A59" s="4" t="s">
        <v>849</v>
      </c>
      <c r="B59" s="4" t="s">
        <v>850</v>
      </c>
      <c r="C59" s="4" t="s">
        <v>4</v>
      </c>
    </row>
    <row r="60" spans="1:3" ht="25.95" customHeight="1">
      <c r="A60" s="3" t="s">
        <v>851</v>
      </c>
      <c r="B60" s="3">
        <f>B23</f>
        <v>0.05</v>
      </c>
      <c r="C60" s="3" t="s">
        <v>852</v>
      </c>
    </row>
    <row r="61" spans="1:3" ht="25.95" customHeight="1">
      <c r="A61" s="5" t="s">
        <v>853</v>
      </c>
      <c r="B61" s="5">
        <f>B24</f>
        <v>1</v>
      </c>
      <c r="C61" s="5" t="s">
        <v>854</v>
      </c>
    </row>
    <row r="62" spans="1:3" ht="40.049999999999997" customHeight="1">
      <c r="A62" s="3" t="s">
        <v>855</v>
      </c>
      <c r="B62" s="3">
        <v>0.2</v>
      </c>
      <c r="C62" s="3" t="s">
        <v>856</v>
      </c>
    </row>
    <row r="63" spans="1:3" ht="54" customHeight="1">
      <c r="A63" s="5" t="s">
        <v>857</v>
      </c>
      <c r="B63" s="5">
        <v>0.5</v>
      </c>
      <c r="C63" s="5" t="s">
        <v>858</v>
      </c>
    </row>
    <row r="64" spans="1:3" ht="54" customHeight="1">
      <c r="A64" s="3" t="s">
        <v>859</v>
      </c>
      <c r="B64" s="3" t="s">
        <v>860</v>
      </c>
      <c r="C64" s="3" t="s">
        <v>861</v>
      </c>
    </row>
    <row r="65" spans="1:4" ht="54" customHeight="1">
      <c r="A65" s="5" t="s">
        <v>862</v>
      </c>
      <c r="B65" s="5">
        <v>14</v>
      </c>
      <c r="C65" s="5" t="s">
        <v>863</v>
      </c>
    </row>
    <row r="66" spans="1:4" ht="25.95" customHeight="1">
      <c r="A66" s="3" t="s">
        <v>864</v>
      </c>
      <c r="B66" s="3">
        <f>B31</f>
        <v>60</v>
      </c>
      <c r="C66" s="3" t="s">
        <v>865</v>
      </c>
    </row>
    <row r="67" spans="1:4" ht="25.95" customHeight="1">
      <c r="A67" s="5" t="s">
        <v>866</v>
      </c>
      <c r="B67" s="5">
        <f>B32</f>
        <v>30</v>
      </c>
      <c r="C67" s="5" t="s">
        <v>865</v>
      </c>
    </row>
    <row r="68" spans="1:4" ht="40.049999999999997" customHeight="1">
      <c r="A68" s="3" t="s">
        <v>867</v>
      </c>
      <c r="B68" s="3">
        <f>B29</f>
        <v>0.5</v>
      </c>
      <c r="C68" s="3" t="s">
        <v>868</v>
      </c>
    </row>
    <row r="69" spans="1:4" ht="40.049999999999997" customHeight="1">
      <c r="A69" s="5" t="s">
        <v>869</v>
      </c>
      <c r="B69" s="5">
        <f>B30</f>
        <v>1</v>
      </c>
      <c r="C69" s="5" t="s">
        <v>868</v>
      </c>
    </row>
    <row r="73" spans="1:4" ht="34.049999999999997" customHeight="1">
      <c r="A73" s="4" t="s">
        <v>870</v>
      </c>
      <c r="B73" s="4" t="s">
        <v>871</v>
      </c>
      <c r="C73" s="4" t="s">
        <v>872</v>
      </c>
      <c r="D73" s="4" t="s">
        <v>873</v>
      </c>
    </row>
    <row r="74" spans="1:4" ht="40.049999999999997" customHeight="1">
      <c r="A74" s="3" t="s">
        <v>874</v>
      </c>
      <c r="B74" s="3" t="s">
        <v>875</v>
      </c>
      <c r="C74" s="3" t="s">
        <v>876</v>
      </c>
      <c r="D74" s="3" t="s">
        <v>877</v>
      </c>
    </row>
    <row r="75" spans="1:4" ht="40.049999999999997" customHeight="1">
      <c r="A75" s="5" t="s">
        <v>878</v>
      </c>
      <c r="B75" s="5" t="s">
        <v>879</v>
      </c>
      <c r="C75" s="5" t="s">
        <v>880</v>
      </c>
      <c r="D75" s="5" t="s">
        <v>881</v>
      </c>
    </row>
    <row r="76" spans="1:4" ht="40.049999999999997" customHeight="1">
      <c r="A76" s="3" t="s">
        <v>882</v>
      </c>
      <c r="B76" s="3" t="s">
        <v>883</v>
      </c>
      <c r="C76" s="3" t="s">
        <v>884</v>
      </c>
      <c r="D76" s="3" t="s">
        <v>885</v>
      </c>
    </row>
  </sheetData>
  <mergeCells count="1">
    <mergeCell ref="A34:F3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124B0-8516-4FDC-A5A0-ABC857F4E330}">
  <dimension ref="A2:O99"/>
  <sheetViews>
    <sheetView showGridLines="0" zoomScale="81" workbookViewId="0"/>
  </sheetViews>
  <sheetFormatPr defaultRowHeight="13.8"/>
  <cols>
    <col min="1" max="1" width="44" customWidth="1"/>
    <col min="2" max="2" width="27" customWidth="1"/>
    <col min="3" max="3" width="80" customWidth="1"/>
    <col min="4" max="4" width="20" customWidth="1"/>
    <col min="5" max="15" width="23" customWidth="1"/>
  </cols>
  <sheetData>
    <row r="2" spans="1:4" ht="17.399999999999999" customHeight="1">
      <c r="A2" s="2" t="s">
        <v>886</v>
      </c>
    </row>
    <row r="4" spans="1:4" ht="34.049999999999997" customHeight="1">
      <c r="A4" s="4" t="s">
        <v>94</v>
      </c>
      <c r="B4" s="4" t="s">
        <v>828</v>
      </c>
      <c r="C4" s="4" t="s">
        <v>887</v>
      </c>
      <c r="D4" s="4" t="s">
        <v>739</v>
      </c>
    </row>
    <row r="5" spans="1:4" ht="25.95" customHeight="1">
      <c r="A5" s="3" t="s">
        <v>888</v>
      </c>
      <c r="B5" s="8">
        <f>D_F01!B9</f>
        <v>30000000000</v>
      </c>
      <c r="C5" s="3" t="s">
        <v>105</v>
      </c>
      <c r="D5" s="3" t="s">
        <v>108</v>
      </c>
    </row>
    <row r="6" spans="1:4" ht="25.95" customHeight="1">
      <c r="A6" s="5" t="s">
        <v>889</v>
      </c>
      <c r="B6" s="9">
        <f>D_F01!B10</f>
        <v>24000000000</v>
      </c>
      <c r="C6" s="5" t="s">
        <v>113</v>
      </c>
      <c r="D6" s="5" t="s">
        <v>108</v>
      </c>
    </row>
    <row r="7" spans="1:4" ht="25.95" customHeight="1">
      <c r="A7" s="3" t="s">
        <v>367</v>
      </c>
      <c r="B7" s="8">
        <f>D_F01!B8</f>
        <v>171</v>
      </c>
      <c r="C7" s="3" t="s">
        <v>890</v>
      </c>
      <c r="D7" s="3" t="s">
        <v>372</v>
      </c>
    </row>
    <row r="8" spans="1:4" ht="25.95" customHeight="1">
      <c r="A8" s="5" t="s">
        <v>891</v>
      </c>
      <c r="B8" s="9">
        <f>SUM(D_sales!N5:N115)</f>
        <v>6885245902</v>
      </c>
      <c r="C8" s="5" t="s">
        <v>892</v>
      </c>
      <c r="D8" s="5" t="s">
        <v>108</v>
      </c>
    </row>
    <row r="9" spans="1:4" ht="25.95" customHeight="1">
      <c r="A9" s="3" t="s">
        <v>893</v>
      </c>
      <c r="B9" s="8">
        <f>SUM(D_inventory!P5:P37)</f>
        <v>1573770492.0000002</v>
      </c>
      <c r="C9" s="3" t="s">
        <v>894</v>
      </c>
      <c r="D9" s="3" t="s">
        <v>108</v>
      </c>
    </row>
    <row r="10" spans="1:4" ht="25.95" customHeight="1">
      <c r="A10" s="5" t="s">
        <v>895</v>
      </c>
      <c r="B10" s="9">
        <f>SUM(D_purchases!O5:O131)</f>
        <v>1311475410</v>
      </c>
      <c r="C10" s="5" t="s">
        <v>896</v>
      </c>
      <c r="D10" s="5" t="s">
        <v>108</v>
      </c>
    </row>
    <row r="11" spans="1:4" ht="25.95" customHeight="1">
      <c r="A11" s="3" t="s">
        <v>897</v>
      </c>
      <c r="B11" s="8">
        <f>SUM(D_purchases!G5:G131)</f>
        <v>6589780047</v>
      </c>
      <c r="C11" s="3" t="s">
        <v>898</v>
      </c>
      <c r="D11" s="3" t="s">
        <v>108</v>
      </c>
    </row>
    <row r="12" spans="1:4" ht="25.95" customHeight="1">
      <c r="A12" s="5" t="s">
        <v>144</v>
      </c>
      <c r="B12" s="22">
        <f>B8/B5*B7</f>
        <v>39.245901641400003</v>
      </c>
      <c r="C12" s="5" t="s">
        <v>899</v>
      </c>
      <c r="D12" s="5" t="s">
        <v>372</v>
      </c>
    </row>
    <row r="13" spans="1:4" ht="25.95" customHeight="1">
      <c r="A13" s="3" t="s">
        <v>152</v>
      </c>
      <c r="B13" s="23">
        <f>B9/B6*B7</f>
        <v>11.213114755500001</v>
      </c>
      <c r="C13" s="3" t="s">
        <v>900</v>
      </c>
      <c r="D13" s="3" t="s">
        <v>372</v>
      </c>
    </row>
    <row r="14" spans="1:4" ht="25.95" customHeight="1">
      <c r="A14" s="5" t="s">
        <v>159</v>
      </c>
      <c r="B14" s="22">
        <f>B10/B6*B7</f>
        <v>9.344262296250001</v>
      </c>
      <c r="C14" s="5" t="s">
        <v>901</v>
      </c>
      <c r="D14" s="5" t="s">
        <v>372</v>
      </c>
    </row>
    <row r="15" spans="1:4" ht="25.95" customHeight="1">
      <c r="A15" s="3" t="s">
        <v>164</v>
      </c>
      <c r="B15" s="23">
        <f>B12+B13-B14</f>
        <v>41.114754100650003</v>
      </c>
      <c r="C15" s="3" t="s">
        <v>902</v>
      </c>
      <c r="D15" s="3" t="s">
        <v>372</v>
      </c>
    </row>
    <row r="16" spans="1:4" ht="25.95" customHeight="1">
      <c r="A16" s="5" t="s">
        <v>903</v>
      </c>
      <c r="B16" s="9">
        <f>B8+B9-B10</f>
        <v>7147540984</v>
      </c>
      <c r="C16" s="5" t="s">
        <v>904</v>
      </c>
      <c r="D16" s="5" t="s">
        <v>108</v>
      </c>
    </row>
    <row r="17" spans="1:4" ht="25.95" customHeight="1">
      <c r="A17" s="3" t="s">
        <v>905</v>
      </c>
      <c r="B17" s="8">
        <f>SUMIFS(D_sales!N5:N115,D_sales!O5:O115,"&gt;0")</f>
        <v>1260283330</v>
      </c>
      <c r="C17" s="3" t="s">
        <v>906</v>
      </c>
      <c r="D17" s="3" t="s">
        <v>108</v>
      </c>
    </row>
    <row r="18" spans="1:4" ht="25.95" customHeight="1">
      <c r="A18" s="5" t="s">
        <v>907</v>
      </c>
      <c r="B18" s="9">
        <f>SUMIFS(D_purchases!O5:O131,D_purchases!P5:P131,"&gt;0")</f>
        <v>400396507</v>
      </c>
      <c r="C18" s="5" t="s">
        <v>908</v>
      </c>
      <c r="D18" s="5" t="s">
        <v>108</v>
      </c>
    </row>
    <row r="19" spans="1:4" ht="25.95" customHeight="1">
      <c r="A19" s="3" t="s">
        <v>909</v>
      </c>
      <c r="B19" s="8">
        <f>SUMPRODUCT(D_inventory!P5:P37,D_inventory!S5:S37)</f>
        <v>429612993.88988</v>
      </c>
      <c r="C19" s="3" t="s">
        <v>910</v>
      </c>
      <c r="D19" s="3" t="s">
        <v>108</v>
      </c>
    </row>
    <row r="20" spans="1:4" ht="25.95" customHeight="1">
      <c r="A20" s="5" t="s">
        <v>911</v>
      </c>
      <c r="B20" s="9">
        <f>SUM(D_inventory!O5:O37)-B9</f>
        <v>3404999999.999999</v>
      </c>
      <c r="C20" s="5" t="s">
        <v>912</v>
      </c>
      <c r="D20" s="5" t="s">
        <v>108</v>
      </c>
    </row>
    <row r="21" spans="1:4" ht="25.95" customHeight="1">
      <c r="A21" s="3" t="s">
        <v>913</v>
      </c>
      <c r="B21" s="8">
        <f>D_F01!B11+D_F01!B13+D_F01!B14+B8+B9</f>
        <v>12459016394</v>
      </c>
      <c r="C21" s="3" t="s">
        <v>914</v>
      </c>
      <c r="D21" s="3" t="s">
        <v>108</v>
      </c>
    </row>
    <row r="22" spans="1:4" ht="25.95" customHeight="1">
      <c r="A22" s="5" t="s">
        <v>915</v>
      </c>
      <c r="B22" s="9">
        <f>IF(B12&gt;Nguong!B47,2,IF(B12&gt;Nguong!B46,1,0))</f>
        <v>1</v>
      </c>
      <c r="C22" s="5" t="s">
        <v>916</v>
      </c>
      <c r="D22" s="5" t="s">
        <v>394</v>
      </c>
    </row>
    <row r="23" spans="1:4" ht="25.95" customHeight="1">
      <c r="A23" s="3" t="s">
        <v>917</v>
      </c>
      <c r="B23" s="8">
        <f>IF(B13&gt;Nguong!B49,2,IF(B13&gt;Nguong!B48,1,0))</f>
        <v>1</v>
      </c>
      <c r="C23" s="3" t="s">
        <v>918</v>
      </c>
      <c r="D23" s="3" t="s">
        <v>394</v>
      </c>
    </row>
    <row r="24" spans="1:4" ht="25.95" customHeight="1">
      <c r="A24" s="5" t="s">
        <v>919</v>
      </c>
      <c r="B24" s="9">
        <f>IF(AND(ISNUMBER(D_F01!B21),D_F01!B21&gt;0),D_F01!B21,B5*365/B7)</f>
        <v>64035087719.298248</v>
      </c>
      <c r="C24" s="5" t="s">
        <v>920</v>
      </c>
      <c r="D24" s="5" t="s">
        <v>108</v>
      </c>
    </row>
    <row r="25" spans="1:4" ht="25.95" customHeight="1">
      <c r="A25" s="3" t="s">
        <v>921</v>
      </c>
      <c r="B25" s="10">
        <f>(D_F01!B11+D_F01!B13)/B24</f>
        <v>3.1232876712328765E-2</v>
      </c>
      <c r="C25" s="3" t="s">
        <v>922</v>
      </c>
      <c r="D25" s="3" t="s">
        <v>407</v>
      </c>
    </row>
    <row r="26" spans="1:4" ht="25.95" customHeight="1">
      <c r="A26" s="5" t="s">
        <v>923</v>
      </c>
      <c r="B26" s="9">
        <f>IF(AND(B14&lt;Nguong!B50,B25&lt;Nguong!B52),1,0)</f>
        <v>0</v>
      </c>
      <c r="C26" s="5" t="s">
        <v>924</v>
      </c>
      <c r="D26" s="5" t="s">
        <v>414</v>
      </c>
    </row>
    <row r="27" spans="1:4" ht="25.95" customHeight="1">
      <c r="A27" s="3" t="s">
        <v>925</v>
      </c>
      <c r="B27" s="8">
        <f>MAX(0,B12-Nguong!B46)*B5/B7</f>
        <v>599455225.59697711</v>
      </c>
      <c r="C27" s="3" t="s">
        <v>926</v>
      </c>
      <c r="D27" s="3" t="s">
        <v>108</v>
      </c>
    </row>
    <row r="28" spans="1:4" ht="25.95" customHeight="1">
      <c r="A28" s="5" t="s">
        <v>927</v>
      </c>
      <c r="B28" s="9">
        <f>MAX(0,B13-Nguong!B48)*B6/B7</f>
        <v>244802451.9649125</v>
      </c>
      <c r="C28" s="5" t="s">
        <v>928</v>
      </c>
      <c r="D28" s="5" t="s">
        <v>108</v>
      </c>
    </row>
    <row r="29" spans="1:4" ht="25.95" customHeight="1">
      <c r="A29" s="3" t="s">
        <v>428</v>
      </c>
      <c r="B29" s="10">
        <f>MAX(B27,B28)/B21</f>
        <v>4.8114169420762791E-2</v>
      </c>
      <c r="C29" s="3" t="s">
        <v>929</v>
      </c>
      <c r="D29" s="3" t="s">
        <v>407</v>
      </c>
    </row>
    <row r="30" spans="1:4" ht="25.95" customHeight="1">
      <c r="A30" s="5" t="s">
        <v>434</v>
      </c>
      <c r="B30" s="9" t="str">
        <f>IF(OR(B5&lt;=0,B6&lt;=0,B21&lt;=0),"unknown",IF(OR(AND(Nguong!B24=1,MAX(B22,B23)=2),AND(MAX(B22,B23)&gt;=1,B29&gt;=Nguong!B23)),"W2",IF(OR(MAX(B22,B23)&gt;=1,B26=1),"W1","W0")))</f>
        <v>W1</v>
      </c>
      <c r="C30" s="5" t="s">
        <v>930</v>
      </c>
      <c r="D30" s="5" t="s">
        <v>735</v>
      </c>
    </row>
    <row r="31" spans="1:4" ht="25.95" customHeight="1">
      <c r="A31" s="3" t="s">
        <v>931</v>
      </c>
      <c r="B31" s="8">
        <f>B27+B28</f>
        <v>844257677.56188965</v>
      </c>
      <c r="C31" s="3" t="s">
        <v>932</v>
      </c>
      <c r="D31" s="3" t="s">
        <v>108</v>
      </c>
    </row>
    <row r="32" spans="1:4" ht="25.95" customHeight="1">
      <c r="A32" s="5" t="s">
        <v>933</v>
      </c>
      <c r="B32" s="5">
        <f>_xlfn.MAXIFS(D_inventory!N5:N37,D_inventory!E5:E37,"F01")</f>
        <v>228</v>
      </c>
      <c r="C32" s="5" t="s">
        <v>934</v>
      </c>
      <c r="D32" s="5" t="s">
        <v>372</v>
      </c>
    </row>
    <row r="33" spans="1:15" ht="25.95" customHeight="1">
      <c r="A33" s="3" t="s">
        <v>935</v>
      </c>
      <c r="B33" s="3" t="s">
        <v>936</v>
      </c>
      <c r="C33" s="3" t="s">
        <v>937</v>
      </c>
      <c r="D33" s="3" t="s">
        <v>320</v>
      </c>
    </row>
    <row r="40" spans="1:15" ht="34.049999999999997" customHeight="1">
      <c r="A40" s="4" t="s">
        <v>938</v>
      </c>
      <c r="B40" s="4" t="s">
        <v>939</v>
      </c>
      <c r="C40" s="4" t="s">
        <v>891</v>
      </c>
      <c r="D40" s="4" t="s">
        <v>940</v>
      </c>
      <c r="E40" s="4" t="s">
        <v>941</v>
      </c>
      <c r="F40" s="4" t="s">
        <v>942</v>
      </c>
      <c r="G40" s="4" t="s">
        <v>943</v>
      </c>
      <c r="H40" s="4" t="s">
        <v>944</v>
      </c>
      <c r="I40" s="4" t="s">
        <v>945</v>
      </c>
      <c r="J40" s="4" t="s">
        <v>946</v>
      </c>
      <c r="K40" s="4" t="s">
        <v>947</v>
      </c>
      <c r="L40" s="4" t="s">
        <v>948</v>
      </c>
      <c r="M40" s="4" t="s">
        <v>949</v>
      </c>
      <c r="N40" s="4" t="s">
        <v>950</v>
      </c>
      <c r="O40" s="4" t="s">
        <v>951</v>
      </c>
    </row>
    <row r="41" spans="1:15" ht="52.05" customHeight="1">
      <c r="A41" s="3" t="s">
        <v>952</v>
      </c>
      <c r="B41" s="3" t="s">
        <v>953</v>
      </c>
      <c r="C41" s="8">
        <f>SUMIFS(D_sales!$N$5:$N$115,D_sales!$C$5:$C$115,A41)</f>
        <v>3823320516</v>
      </c>
      <c r="D41" s="10">
        <f t="shared" ref="D41:D49" si="0">IF($B$8&gt;0,C41/$B$8,0)</f>
        <v>0.55529178919948474</v>
      </c>
      <c r="E41" s="23">
        <f t="shared" ref="E41:E49" si="1">C41/$B$5*$B$7</f>
        <v>21.792926941200001</v>
      </c>
      <c r="F41" s="8">
        <f>SUMIFS(D_sales!$N$5:$N$115,D_sales!$C$5:$C$115,A41,D_sales!$O$5:$O$115,"&gt;0")</f>
        <v>765714824</v>
      </c>
      <c r="G41" s="8">
        <f>SUMIFS(D_sales!$N$5:$N$115,D_sales!$C$5:$C$115,A41,D_sales!$O$5:$O$115,"&gt;0",D_sales!$O$5:$O$115,"&lt;=30")</f>
        <v>765714824</v>
      </c>
      <c r="H41" s="8">
        <f>SUMIFS(D_sales!$N$5:$N$115,D_sales!$C$5:$C$115,A41,D_sales!$O$5:$O$115,"&gt;30",D_sales!$O$5:$O$115,"&lt;=60")</f>
        <v>0</v>
      </c>
      <c r="I41" s="8">
        <f>SUMIFS(D_sales!$N$5:$N$115,D_sales!$C$5:$C$115,A41,D_sales!$O$5:$O$115,"&gt;60",D_sales!$O$5:$O$115,"&lt;=9999")</f>
        <v>0</v>
      </c>
      <c r="J41" s="3">
        <f>_xlfn.MAXIFS(D_sales!$O$5:$O$115,D_sales!$C$5:$C$115,A41)</f>
        <v>21</v>
      </c>
      <c r="K41" s="23">
        <f>IF(SUMIFS(D_sales!$T$5:$T$115,D_sales!$C$5:$C$115,A41)=0,"n.a.",SUMIFS(D_sales!$Z$5:$Z$115,D_sales!$C$5:$C$115,A41)/SUMIFS(D_sales!$T$5:$T$115,D_sales!$C$5:$C$115,A41))</f>
        <v>18.68153012186092</v>
      </c>
      <c r="L41" s="23">
        <f>IF(SUMIFS(D_sales!$T$5:$T$115,D_sales!$C$5:$C$115,A41)=0,"n.a.",SUMIFS(D_sales!$S$5:$S$115,D_sales!$C$5:$C$115,A41)/SUMIFS(D_sales!$T$5:$T$115,D_sales!$C$5:$C$115,A41))</f>
        <v>18.68153012186092</v>
      </c>
      <c r="M41" s="26">
        <f>COUNTIFS(D_sales!$C$5:$C$115,A41,D_sales!$R$5:$R$115,1)</f>
        <v>14</v>
      </c>
      <c r="N41" s="23">
        <f>IF(SUMIFS(D_sales!$T$5:$T$115,D_sales!$C$5:$C$115,A41)=0,"n.a.",SUMIFS(D_sales!$AA$5:$AA$115,D_sales!$C$5:$C$115,A41)/SUMIFS(D_sales!$T$5:$T$115,D_sales!$C$5:$C$115,A41))</f>
        <v>45</v>
      </c>
      <c r="O41" s="3" t="str">
        <f>IF(D_F01!$B$7-_xlfn.MINIFS(D_sales!$G$5:$G$115,D_sales!$C$5:$C$115,A41)+1&lt;=60,"Mới",IF(AND(COUNTIF(D_sales!$C$5:$C$115,A41)&gt;=12,6&gt;=4),"Thường xuyên","Vãng lai"))</f>
        <v>Thường xuyên</v>
      </c>
    </row>
    <row r="42" spans="1:15" ht="52.05" customHeight="1">
      <c r="A42" s="5" t="s">
        <v>954</v>
      </c>
      <c r="B42" s="5" t="s">
        <v>955</v>
      </c>
      <c r="C42" s="9">
        <f>SUMIFS(D_sales!$N$5:$N$115,D_sales!$C$5:$C$115,A42)</f>
        <v>1101205853</v>
      </c>
      <c r="D42" s="21">
        <f t="shared" si="0"/>
        <v>0.15993704054638425</v>
      </c>
      <c r="E42" s="22">
        <f t="shared" si="1"/>
        <v>6.2768733620999999</v>
      </c>
      <c r="F42" s="9">
        <f>SUMIFS(D_sales!$N$5:$N$115,D_sales!$C$5:$C$115,A42,D_sales!$O$5:$O$115,"&gt;0")</f>
        <v>0</v>
      </c>
      <c r="G42" s="9">
        <f>SUMIFS(D_sales!$N$5:$N$115,D_sales!$C$5:$C$115,A42,D_sales!$O$5:$O$115,"&gt;0",D_sales!$O$5:$O$115,"&lt;=30")</f>
        <v>0</v>
      </c>
      <c r="H42" s="9">
        <f>SUMIFS(D_sales!$N$5:$N$115,D_sales!$C$5:$C$115,A42,D_sales!$O$5:$O$115,"&gt;30",D_sales!$O$5:$O$115,"&lt;=60")</f>
        <v>0</v>
      </c>
      <c r="I42" s="9">
        <f>SUMIFS(D_sales!$N$5:$N$115,D_sales!$C$5:$C$115,A42,D_sales!$O$5:$O$115,"&gt;60",D_sales!$O$5:$O$115,"&lt;=9999")</f>
        <v>0</v>
      </c>
      <c r="J42" s="5">
        <f>_xlfn.MAXIFS(D_sales!$O$5:$O$115,D_sales!$C$5:$C$115,A42)</f>
        <v>0</v>
      </c>
      <c r="K42" s="22">
        <f>IF(SUMIFS(D_sales!$T$5:$T$115,D_sales!$C$5:$C$115,A42)=0,"n.a.",SUMIFS(D_sales!$Z$5:$Z$115,D_sales!$C$5:$C$115,A42)/SUMIFS(D_sales!$T$5:$T$115,D_sales!$C$5:$C$115,A42))</f>
        <v>-1.1383315588254446</v>
      </c>
      <c r="L42" s="22">
        <f>IF(SUMIFS(D_sales!$T$5:$T$115,D_sales!$C$5:$C$115,A42)=0,"n.a.",SUMIFS(D_sales!$S$5:$S$115,D_sales!$C$5:$C$115,A42)/SUMIFS(D_sales!$T$5:$T$115,D_sales!$C$5:$C$115,A42))</f>
        <v>1.1151264697455916</v>
      </c>
      <c r="M42" s="27">
        <f>COUNTIFS(D_sales!$C$5:$C$115,A42,D_sales!$R$5:$R$115,1)</f>
        <v>24</v>
      </c>
      <c r="N42" s="22">
        <f>IF(SUMIFS(D_sales!$T$5:$T$115,D_sales!$C$5:$C$115,A42)=0,"n.a.",SUMIFS(D_sales!$AA$5:$AA$115,D_sales!$C$5:$C$115,A42)/SUMIFS(D_sales!$T$5:$T$115,D_sales!$C$5:$C$115,A42))</f>
        <v>30</v>
      </c>
      <c r="O42" s="5" t="str">
        <f>IF(D_F01!$B$7-_xlfn.MINIFS(D_sales!$G$5:$G$115,D_sales!$C$5:$C$115,A42)+1&lt;=60,"Mới",IF(AND(COUNTIF(D_sales!$C$5:$C$115,A42)&gt;=12,6&gt;=4),"Thường xuyên","Vãng lai"))</f>
        <v>Thường xuyên</v>
      </c>
    </row>
    <row r="43" spans="1:15" ht="52.05" customHeight="1">
      <c r="A43" s="3" t="s">
        <v>956</v>
      </c>
      <c r="B43" s="3" t="s">
        <v>957</v>
      </c>
      <c r="C43" s="8">
        <f>SUMIFS(D_sales!$N$5:$N$115,D_sales!$C$5:$C$115,A43)</f>
        <v>511520154</v>
      </c>
      <c r="D43" s="10">
        <f t="shared" si="0"/>
        <v>7.4292212838965643E-2</v>
      </c>
      <c r="E43" s="23">
        <f t="shared" si="1"/>
        <v>2.9156648777999998</v>
      </c>
      <c r="F43" s="8">
        <f>SUMIFS(D_sales!$N$5:$N$115,D_sales!$C$5:$C$115,A43,D_sales!$O$5:$O$115,"&gt;0")</f>
        <v>389384879</v>
      </c>
      <c r="G43" s="8">
        <f>SUMIFS(D_sales!$N$5:$N$115,D_sales!$C$5:$C$115,A43,D_sales!$O$5:$O$115,"&gt;0",D_sales!$O$5:$O$115,"&lt;=30")</f>
        <v>0</v>
      </c>
      <c r="H43" s="8">
        <f>SUMIFS(D_sales!$N$5:$N$115,D_sales!$C$5:$C$115,A43,D_sales!$O$5:$O$115,"&gt;30",D_sales!$O$5:$O$115,"&lt;=60")</f>
        <v>174551672</v>
      </c>
      <c r="I43" s="8">
        <f>SUMIFS(D_sales!$N$5:$N$115,D_sales!$C$5:$C$115,A43,D_sales!$O$5:$O$115,"&gt;60",D_sales!$O$5:$O$115,"&lt;=9999")</f>
        <v>214833207</v>
      </c>
      <c r="J43" s="3">
        <f>_xlfn.MAXIFS(D_sales!$O$5:$O$115,D_sales!$C$5:$C$115,A43)</f>
        <v>67</v>
      </c>
      <c r="K43" s="23">
        <f>IF(SUMIFS(D_sales!$T$5:$T$115,D_sales!$C$5:$C$115,A43)=0,"n.a.",SUMIFS(D_sales!$Z$5:$Z$115,D_sales!$C$5:$C$115,A43)/SUMIFS(D_sales!$T$5:$T$115,D_sales!$C$5:$C$115,A43))</f>
        <v>5.3203879019740006</v>
      </c>
      <c r="L43" s="23">
        <f>IF(SUMIFS(D_sales!$T$5:$T$115,D_sales!$C$5:$C$115,A43)=0,"n.a.",SUMIFS(D_sales!$S$5:$S$115,D_sales!$C$5:$C$115,A43)/SUMIFS(D_sales!$T$5:$T$115,D_sales!$C$5:$C$115,A43))</f>
        <v>5.3203879019740006</v>
      </c>
      <c r="M43" s="26">
        <f>COUNTIFS(D_sales!$C$5:$C$115,A43,D_sales!$R$5:$R$115,1)</f>
        <v>15</v>
      </c>
      <c r="N43" s="23">
        <f>IF(SUMIFS(D_sales!$T$5:$T$115,D_sales!$C$5:$C$115,A43)=0,"n.a.",SUMIFS(D_sales!$AA$5:$AA$115,D_sales!$C$5:$C$115,A43)/SUMIFS(D_sales!$T$5:$T$115,D_sales!$C$5:$C$115,A43))</f>
        <v>30</v>
      </c>
      <c r="O43" s="3" t="str">
        <f>IF(D_F01!$B$7-_xlfn.MINIFS(D_sales!$G$5:$G$115,D_sales!$C$5:$C$115,A43)+1&lt;=60,"Mới",IF(AND(COUNTIF(D_sales!$C$5:$C$115,A43)&gt;=12,6&gt;=4),"Thường xuyên","Vãng lai"))</f>
        <v>Thường xuyên</v>
      </c>
    </row>
    <row r="44" spans="1:15" ht="52.05" customHeight="1">
      <c r="A44" s="5" t="s">
        <v>958</v>
      </c>
      <c r="B44" s="5" t="s">
        <v>959</v>
      </c>
      <c r="C44" s="9">
        <f>SUMIFS(D_sales!$N$5:$N$115,D_sales!$C$5:$C$115,A44)</f>
        <v>997764531</v>
      </c>
      <c r="D44" s="21">
        <f t="shared" si="0"/>
        <v>0.14491341997098073</v>
      </c>
      <c r="E44" s="22">
        <f t="shared" si="1"/>
        <v>5.6872578266999998</v>
      </c>
      <c r="F44" s="9">
        <f>SUMIFS(D_sales!$N$5:$N$115,D_sales!$C$5:$C$115,A44,D_sales!$O$5:$O$115,"&gt;0")</f>
        <v>0</v>
      </c>
      <c r="G44" s="9">
        <f>SUMIFS(D_sales!$N$5:$N$115,D_sales!$C$5:$C$115,A44,D_sales!$O$5:$O$115,"&gt;0",D_sales!$O$5:$O$115,"&lt;=30")</f>
        <v>0</v>
      </c>
      <c r="H44" s="9">
        <f>SUMIFS(D_sales!$N$5:$N$115,D_sales!$C$5:$C$115,A44,D_sales!$O$5:$O$115,"&gt;30",D_sales!$O$5:$O$115,"&lt;=60")</f>
        <v>0</v>
      </c>
      <c r="I44" s="9">
        <f>SUMIFS(D_sales!$N$5:$N$115,D_sales!$C$5:$C$115,A44,D_sales!$O$5:$O$115,"&gt;60",D_sales!$O$5:$O$115,"&lt;=9999")</f>
        <v>0</v>
      </c>
      <c r="J44" s="5">
        <f>_xlfn.MAXIFS(D_sales!$O$5:$O$115,D_sales!$C$5:$C$115,A44)</f>
        <v>0</v>
      </c>
      <c r="K44" s="22">
        <f>IF(SUMIFS(D_sales!$T$5:$T$115,D_sales!$C$5:$C$115,A44)=0,"n.a.",SUMIFS(D_sales!$Z$5:$Z$115,D_sales!$C$5:$C$115,A44)/SUMIFS(D_sales!$T$5:$T$115,D_sales!$C$5:$C$115,A44))</f>
        <v>0.28424073462019106</v>
      </c>
      <c r="L44" s="22">
        <f>IF(SUMIFS(D_sales!$T$5:$T$115,D_sales!$C$5:$C$115,A44)=0,"n.a.",SUMIFS(D_sales!$S$5:$S$115,D_sales!$C$5:$C$115,A44)/SUMIFS(D_sales!$T$5:$T$115,D_sales!$C$5:$C$115,A44))</f>
        <v>1.4013312392578479</v>
      </c>
      <c r="M44" s="27">
        <f>COUNTIFS(D_sales!$C$5:$C$115,A44,D_sales!$R$5:$R$115,1)</f>
        <v>6</v>
      </c>
      <c r="N44" s="22">
        <f>IF(SUMIFS(D_sales!$T$5:$T$115,D_sales!$C$5:$C$115,A44)=0,"n.a.",SUMIFS(D_sales!$AA$5:$AA$115,D_sales!$C$5:$C$115,A44)/SUMIFS(D_sales!$T$5:$T$115,D_sales!$C$5:$C$115,A44))</f>
        <v>36.437466242590119</v>
      </c>
      <c r="O44" s="5" t="str">
        <f>IF(D_F01!$B$7-_xlfn.MINIFS(D_sales!$G$5:$G$115,D_sales!$C$5:$C$115,A44)+1&lt;=60,"Mới",IF(AND(COUNTIF(D_sales!$C$5:$C$115,A44)&gt;=12,5&gt;=4),"Thường xuyên","Vãng lai"))</f>
        <v>Vãng lai</v>
      </c>
    </row>
    <row r="45" spans="1:15" ht="52.05" customHeight="1">
      <c r="A45" s="3" t="s">
        <v>960</v>
      </c>
      <c r="B45" s="3" t="s">
        <v>961</v>
      </c>
      <c r="C45" s="8">
        <f>SUMIFS(D_sales!$N$5:$N$115,D_sales!$C$5:$C$115,A45)</f>
        <v>249221739</v>
      </c>
      <c r="D45" s="10">
        <f t="shared" si="0"/>
        <v>3.619649066238971E-2</v>
      </c>
      <c r="E45" s="23">
        <f t="shared" si="1"/>
        <v>1.4205639123</v>
      </c>
      <c r="F45" s="8">
        <f>SUMIFS(D_sales!$N$5:$N$115,D_sales!$C$5:$C$115,A45,D_sales!$O$5:$O$115,"&gt;0")</f>
        <v>0</v>
      </c>
      <c r="G45" s="8">
        <f>SUMIFS(D_sales!$N$5:$N$115,D_sales!$C$5:$C$115,A45,D_sales!$O$5:$O$115,"&gt;0",D_sales!$O$5:$O$115,"&lt;=30")</f>
        <v>0</v>
      </c>
      <c r="H45" s="8">
        <f>SUMIFS(D_sales!$N$5:$N$115,D_sales!$C$5:$C$115,A45,D_sales!$O$5:$O$115,"&gt;30",D_sales!$O$5:$O$115,"&lt;=60")</f>
        <v>0</v>
      </c>
      <c r="I45" s="8">
        <f>SUMIFS(D_sales!$N$5:$N$115,D_sales!$C$5:$C$115,A45,D_sales!$O$5:$O$115,"&gt;60",D_sales!$O$5:$O$115,"&lt;=9999")</f>
        <v>0</v>
      </c>
      <c r="J45" s="3">
        <f>_xlfn.MAXIFS(D_sales!$O$5:$O$115,D_sales!$C$5:$C$115,A45)</f>
        <v>0</v>
      </c>
      <c r="K45" s="23">
        <f>IF(SUMIFS(D_sales!$T$5:$T$115,D_sales!$C$5:$C$115,A45)=0,"n.a.",SUMIFS(D_sales!$Z$5:$Z$115,D_sales!$C$5:$C$115,A45)/SUMIFS(D_sales!$T$5:$T$115,D_sales!$C$5:$C$115,A45))</f>
        <v>2.2004129891853714</v>
      </c>
      <c r="L45" s="23">
        <f>IF(SUMIFS(D_sales!$T$5:$T$115,D_sales!$C$5:$C$115,A45)=0,"n.a.",SUMIFS(D_sales!$S$5:$S$115,D_sales!$C$5:$C$115,A45)/SUMIFS(D_sales!$T$5:$T$115,D_sales!$C$5:$C$115,A45))</f>
        <v>2.3803457845775791</v>
      </c>
      <c r="M45" s="26">
        <f>COUNTIFS(D_sales!$C$5:$C$115,A45,D_sales!$R$5:$R$115,1)</f>
        <v>11</v>
      </c>
      <c r="N45" s="23">
        <f>IF(SUMIFS(D_sales!$T$5:$T$115,D_sales!$C$5:$C$115,A45)=0,"n.a.",SUMIFS(D_sales!$AA$5:$AA$115,D_sales!$C$5:$C$115,A45)/SUMIFS(D_sales!$T$5:$T$115,D_sales!$C$5:$C$115,A45))</f>
        <v>30</v>
      </c>
      <c r="O45" s="3" t="str">
        <f>IF(D_F01!$B$7-_xlfn.MINIFS(D_sales!$G$5:$G$115,D_sales!$C$5:$C$115,A45)+1&lt;=60,"Mới",IF(AND(COUNTIF(D_sales!$C$5:$C$115,A45)&gt;=12,5&gt;=4),"Thường xuyên","Vãng lai"))</f>
        <v>Thường xuyên</v>
      </c>
    </row>
    <row r="46" spans="1:15" ht="52.05" customHeight="1">
      <c r="A46" s="5" t="s">
        <v>962</v>
      </c>
      <c r="B46" s="5" t="s">
        <v>963</v>
      </c>
      <c r="C46" s="9">
        <f>SUMIFS(D_sales!$N$5:$N$115,D_sales!$C$5:$C$115,A46)</f>
        <v>0</v>
      </c>
      <c r="D46" s="21">
        <f t="shared" si="0"/>
        <v>0</v>
      </c>
      <c r="E46" s="22">
        <f t="shared" si="1"/>
        <v>0</v>
      </c>
      <c r="F46" s="9">
        <f>SUMIFS(D_sales!$N$5:$N$115,D_sales!$C$5:$C$115,A46,D_sales!$O$5:$O$115,"&gt;0")</f>
        <v>0</v>
      </c>
      <c r="G46" s="9">
        <f>SUMIFS(D_sales!$N$5:$N$115,D_sales!$C$5:$C$115,A46,D_sales!$O$5:$O$115,"&gt;0",D_sales!$O$5:$O$115,"&lt;=30")</f>
        <v>0</v>
      </c>
      <c r="H46" s="9">
        <f>SUMIFS(D_sales!$N$5:$N$115,D_sales!$C$5:$C$115,A46,D_sales!$O$5:$O$115,"&gt;30",D_sales!$O$5:$O$115,"&lt;=60")</f>
        <v>0</v>
      </c>
      <c r="I46" s="9">
        <f>SUMIFS(D_sales!$N$5:$N$115,D_sales!$C$5:$C$115,A46,D_sales!$O$5:$O$115,"&gt;60",D_sales!$O$5:$O$115,"&lt;=9999")</f>
        <v>0</v>
      </c>
      <c r="J46" s="5">
        <f>_xlfn.MAXIFS(D_sales!$O$5:$O$115,D_sales!$C$5:$C$115,A46)</f>
        <v>0</v>
      </c>
      <c r="K46" s="22">
        <f>IF(SUMIFS(D_sales!$T$5:$T$115,D_sales!$C$5:$C$115,A46)=0,"n.a.",SUMIFS(D_sales!$Z$5:$Z$115,D_sales!$C$5:$C$115,A46)/SUMIFS(D_sales!$T$5:$T$115,D_sales!$C$5:$C$115,A46))</f>
        <v>1.1948500074581638</v>
      </c>
      <c r="L46" s="22">
        <f>IF(SUMIFS(D_sales!$T$5:$T$115,D_sales!$C$5:$C$115,A46)=0,"n.a.",SUMIFS(D_sales!$S$5:$S$115,D_sales!$C$5:$C$115,A46)/SUMIFS(D_sales!$T$5:$T$115,D_sales!$C$5:$C$115,A46))</f>
        <v>2.4512708390791924</v>
      </c>
      <c r="M46" s="27">
        <f>COUNTIFS(D_sales!$C$5:$C$115,A46,D_sales!$R$5:$R$115,1)</f>
        <v>3</v>
      </c>
      <c r="N46" s="22">
        <f>IF(SUMIFS(D_sales!$T$5:$T$115,D_sales!$C$5:$C$115,A46)=0,"n.a.",SUMIFS(D_sales!$AA$5:$AA$115,D_sales!$C$5:$C$115,A46)/SUMIFS(D_sales!$T$5:$T$115,D_sales!$C$5:$C$115,A46))</f>
        <v>30</v>
      </c>
      <c r="O46" s="5" t="str">
        <f>IF(D_F01!$B$7-_xlfn.MINIFS(D_sales!$G$5:$G$115,D_sales!$C$5:$C$115,A46)+1&lt;=60,"Mới",IF(AND(COUNTIF(D_sales!$C$5:$C$115,A46)&gt;=12,3&gt;=4),"Thường xuyên","Vãng lai"))</f>
        <v>Vãng lai</v>
      </c>
    </row>
    <row r="47" spans="1:15" ht="52.05" customHeight="1">
      <c r="A47" s="3" t="s">
        <v>964</v>
      </c>
      <c r="B47" s="3" t="s">
        <v>965</v>
      </c>
      <c r="C47" s="8">
        <f>SUMIFS(D_sales!$N$5:$N$115,D_sales!$C$5:$C$115,A47)</f>
        <v>177887054</v>
      </c>
      <c r="D47" s="10">
        <f t="shared" si="0"/>
        <v>2.5835976889122876E-2</v>
      </c>
      <c r="E47" s="23">
        <f t="shared" si="1"/>
        <v>1.0139562078</v>
      </c>
      <c r="F47" s="8">
        <f>SUMIFS(D_sales!$N$5:$N$115,D_sales!$C$5:$C$115,A47,D_sales!$O$5:$O$115,"&gt;0")</f>
        <v>80857572</v>
      </c>
      <c r="G47" s="8">
        <f>SUMIFS(D_sales!$N$5:$N$115,D_sales!$C$5:$C$115,A47,D_sales!$O$5:$O$115,"&gt;0",D_sales!$O$5:$O$115,"&lt;=30")</f>
        <v>80857572</v>
      </c>
      <c r="H47" s="8">
        <f>SUMIFS(D_sales!$N$5:$N$115,D_sales!$C$5:$C$115,A47,D_sales!$O$5:$O$115,"&gt;30",D_sales!$O$5:$O$115,"&lt;=60")</f>
        <v>0</v>
      </c>
      <c r="I47" s="8">
        <f>SUMIFS(D_sales!$N$5:$N$115,D_sales!$C$5:$C$115,A47,D_sales!$O$5:$O$115,"&gt;60",D_sales!$O$5:$O$115,"&lt;=9999")</f>
        <v>0</v>
      </c>
      <c r="J47" s="3">
        <f>_xlfn.MAXIFS(D_sales!$O$5:$O$115,D_sales!$C$5:$C$115,A47)</f>
        <v>19</v>
      </c>
      <c r="K47" s="23" t="str">
        <f>IF(SUMIFS(D_sales!$T$5:$T$115,D_sales!$C$5:$C$115,A47)=0,"n.a.",SUMIFS(D_sales!$Z$5:$Z$115,D_sales!$C$5:$C$115,A47)/SUMIFS(D_sales!$T$5:$T$115,D_sales!$C$5:$C$115,A47))</f>
        <v>n.a.</v>
      </c>
      <c r="L47" s="23" t="str">
        <f>IF(SUMIFS(D_sales!$T$5:$T$115,D_sales!$C$5:$C$115,A47)=0,"n.a.",SUMIFS(D_sales!$S$5:$S$115,D_sales!$C$5:$C$115,A47)/SUMIFS(D_sales!$T$5:$T$115,D_sales!$C$5:$C$115,A47))</f>
        <v>n.a.</v>
      </c>
      <c r="M47" s="26">
        <f>COUNTIFS(D_sales!$C$5:$C$115,A47,D_sales!$R$5:$R$115,1)</f>
        <v>0</v>
      </c>
      <c r="N47" s="23" t="str">
        <f>IF(SUMIFS(D_sales!$T$5:$T$115,D_sales!$C$5:$C$115,A47)=0,"n.a.",SUMIFS(D_sales!$AA$5:$AA$115,D_sales!$C$5:$C$115,A47)/SUMIFS(D_sales!$T$5:$T$115,D_sales!$C$5:$C$115,A47))</f>
        <v>n.a.</v>
      </c>
      <c r="O47" s="3" t="str">
        <f>IF(D_F01!$B$7-_xlfn.MINIFS(D_sales!$G$5:$G$115,D_sales!$C$5:$C$115,A47)+1&lt;=60,"Mới",IF(AND(COUNTIF(D_sales!$C$5:$C$115,A47)&gt;=12,2&gt;=4),"Thường xuyên","Vãng lai"))</f>
        <v>Mới</v>
      </c>
    </row>
    <row r="48" spans="1:15" ht="52.05" customHeight="1">
      <c r="A48" s="5" t="s">
        <v>966</v>
      </c>
      <c r="B48" s="5" t="s">
        <v>967</v>
      </c>
      <c r="C48" s="9">
        <f>SUMIFS(D_sales!$N$5:$N$115,D_sales!$C$5:$C$115,A48)</f>
        <v>24326055</v>
      </c>
      <c r="D48" s="21">
        <f t="shared" si="0"/>
        <v>3.5330698926720771E-3</v>
      </c>
      <c r="E48" s="22">
        <f t="shared" si="1"/>
        <v>0.1386585135</v>
      </c>
      <c r="F48" s="9">
        <f>SUMIFS(D_sales!$N$5:$N$115,D_sales!$C$5:$C$115,A48,D_sales!$O$5:$O$115,"&gt;0")</f>
        <v>24326055</v>
      </c>
      <c r="G48" s="9">
        <f>SUMIFS(D_sales!$N$5:$N$115,D_sales!$C$5:$C$115,A48,D_sales!$O$5:$O$115,"&gt;0",D_sales!$O$5:$O$115,"&lt;=30")</f>
        <v>0</v>
      </c>
      <c r="H48" s="9">
        <f>SUMIFS(D_sales!$N$5:$N$115,D_sales!$C$5:$C$115,A48,D_sales!$O$5:$O$115,"&gt;30",D_sales!$O$5:$O$115,"&lt;=60")</f>
        <v>0</v>
      </c>
      <c r="I48" s="9">
        <f>SUMIFS(D_sales!$N$5:$N$115,D_sales!$C$5:$C$115,A48,D_sales!$O$5:$O$115,"&gt;60",D_sales!$O$5:$O$115,"&lt;=9999")</f>
        <v>24326055</v>
      </c>
      <c r="J48" s="5">
        <f>_xlfn.MAXIFS(D_sales!$O$5:$O$115,D_sales!$C$5:$C$115,A48)</f>
        <v>82</v>
      </c>
      <c r="K48" s="22">
        <f>IF(SUMIFS(D_sales!$T$5:$T$115,D_sales!$C$5:$C$115,A48)=0,"n.a.",SUMIFS(D_sales!$Z$5:$Z$115,D_sales!$C$5:$C$115,A48)/SUMIFS(D_sales!$T$5:$T$115,D_sales!$C$5:$C$115,A48))</f>
        <v>0</v>
      </c>
      <c r="L48" s="22">
        <f>IF(SUMIFS(D_sales!$T$5:$T$115,D_sales!$C$5:$C$115,A48)=0,"n.a.",SUMIFS(D_sales!$S$5:$S$115,D_sales!$C$5:$C$115,A48)/SUMIFS(D_sales!$T$5:$T$115,D_sales!$C$5:$C$115,A48))</f>
        <v>0</v>
      </c>
      <c r="M48" s="27">
        <f>COUNTIFS(D_sales!$C$5:$C$115,A48,D_sales!$R$5:$R$115,1)</f>
        <v>3</v>
      </c>
      <c r="N48" s="22">
        <f>IF(SUMIFS(D_sales!$T$5:$T$115,D_sales!$C$5:$C$115,A48)=0,"n.a.",SUMIFS(D_sales!$AA$5:$AA$115,D_sales!$C$5:$C$115,A48)/SUMIFS(D_sales!$T$5:$T$115,D_sales!$C$5:$C$115,A48))</f>
        <v>30</v>
      </c>
      <c r="O48" s="5" t="str">
        <f>IF(D_F01!$B$7-_xlfn.MINIFS(D_sales!$G$5:$G$115,D_sales!$C$5:$C$115,A48)+1&lt;=60,"Mới",IF(AND(COUNTIF(D_sales!$C$5:$C$115,A48)&gt;=12,2&gt;=4),"Thường xuyên","Vãng lai"))</f>
        <v>Vãng lai</v>
      </c>
    </row>
    <row r="49" spans="1:15" ht="52.05" customHeight="1">
      <c r="A49" s="3" t="s">
        <v>968</v>
      </c>
      <c r="B49" s="3" t="s">
        <v>969</v>
      </c>
      <c r="C49" s="8">
        <f>SUMIFS(D_sales!$N$5:$N$115,D_sales!$C$5:$C$115,A49)</f>
        <v>0</v>
      </c>
      <c r="D49" s="10">
        <f t="shared" si="0"/>
        <v>0</v>
      </c>
      <c r="E49" s="23">
        <f t="shared" si="1"/>
        <v>0</v>
      </c>
      <c r="F49" s="8">
        <f>SUMIFS(D_sales!$N$5:$N$115,D_sales!$C$5:$C$115,A49,D_sales!$O$5:$O$115,"&gt;0")</f>
        <v>0</v>
      </c>
      <c r="G49" s="8">
        <f>SUMIFS(D_sales!$N$5:$N$115,D_sales!$C$5:$C$115,A49,D_sales!$O$5:$O$115,"&gt;0",D_sales!$O$5:$O$115,"&lt;=30")</f>
        <v>0</v>
      </c>
      <c r="H49" s="8">
        <f>SUMIFS(D_sales!$N$5:$N$115,D_sales!$C$5:$C$115,A49,D_sales!$O$5:$O$115,"&gt;30",D_sales!$O$5:$O$115,"&lt;=60")</f>
        <v>0</v>
      </c>
      <c r="I49" s="8">
        <f>SUMIFS(D_sales!$N$5:$N$115,D_sales!$C$5:$C$115,A49,D_sales!$O$5:$O$115,"&gt;60",D_sales!$O$5:$O$115,"&lt;=9999")</f>
        <v>0</v>
      </c>
      <c r="J49" s="3">
        <f>_xlfn.MAXIFS(D_sales!$O$5:$O$115,D_sales!$C$5:$C$115,A49)</f>
        <v>0</v>
      </c>
      <c r="K49" s="23">
        <f>IF(SUMIFS(D_sales!$T$5:$T$115,D_sales!$C$5:$C$115,A49)=0,"n.a.",SUMIFS(D_sales!$Z$5:$Z$115,D_sales!$C$5:$C$115,A49)/SUMIFS(D_sales!$T$5:$T$115,D_sales!$C$5:$C$115,A49))</f>
        <v>-2.584960002421345</v>
      </c>
      <c r="L49" s="23">
        <f>IF(SUMIFS(D_sales!$T$5:$T$115,D_sales!$C$5:$C$115,A49)=0,"n.a.",SUMIFS(D_sales!$S$5:$S$115,D_sales!$C$5:$C$115,A49)/SUMIFS(D_sales!$T$5:$T$115,D_sales!$C$5:$C$115,A49))</f>
        <v>0</v>
      </c>
      <c r="M49" s="26">
        <f>COUNTIFS(D_sales!$C$5:$C$115,A49,D_sales!$R$5:$R$115,1)</f>
        <v>2</v>
      </c>
      <c r="N49" s="23">
        <f>IF(SUMIFS(D_sales!$T$5:$T$115,D_sales!$C$5:$C$115,A49)=0,"n.a.",SUMIFS(D_sales!$AA$5:$AA$115,D_sales!$C$5:$C$115,A49)/SUMIFS(D_sales!$T$5:$T$115,D_sales!$C$5:$C$115,A49))</f>
        <v>30</v>
      </c>
      <c r="O49" s="3" t="str">
        <f>IF(D_F01!$B$7-_xlfn.MINIFS(D_sales!$G$5:$G$115,D_sales!$C$5:$C$115,A49)+1&lt;=60,"Mới",IF(AND(COUNTIF(D_sales!$C$5:$C$115,A49)&gt;=12,1&gt;=4),"Thường xuyên","Vãng lai"))</f>
        <v>Vãng lai</v>
      </c>
    </row>
    <row r="53" spans="1:15" ht="34.049999999999997" customHeight="1">
      <c r="A53" s="4" t="s">
        <v>970</v>
      </c>
      <c r="B53" s="4" t="s">
        <v>939</v>
      </c>
      <c r="C53" s="4" t="s">
        <v>895</v>
      </c>
      <c r="D53" s="4" t="s">
        <v>971</v>
      </c>
      <c r="E53" s="4" t="s">
        <v>943</v>
      </c>
      <c r="F53" s="4" t="s">
        <v>944</v>
      </c>
      <c r="G53" s="4" t="s">
        <v>945</v>
      </c>
      <c r="H53" s="4" t="s">
        <v>946</v>
      </c>
      <c r="I53" s="4" t="s">
        <v>972</v>
      </c>
      <c r="J53" s="4" t="s">
        <v>973</v>
      </c>
      <c r="K53" s="4" t="s">
        <v>974</v>
      </c>
      <c r="L53" s="4" t="s">
        <v>975</v>
      </c>
    </row>
    <row r="54" spans="1:15" ht="52.05" customHeight="1">
      <c r="A54" s="3" t="s">
        <v>976</v>
      </c>
      <c r="B54" s="3" t="s">
        <v>977</v>
      </c>
      <c r="C54" s="8">
        <f>SUMIFS(D_purchases!$O$5:$O$131,D_purchases!$C$5:$C$131,A54)</f>
        <v>279572517</v>
      </c>
      <c r="D54" s="8">
        <f>SUMIFS(D_purchases!$O$5:$O$131,D_purchases!$C$5:$C$131,A54,D_purchases!$P$5:$P$131,"&gt;0")</f>
        <v>0</v>
      </c>
      <c r="E54" s="8">
        <f>SUMIFS(D_purchases!$O$5:$O$131,D_purchases!$C$5:$C$131,A54,D_purchases!$P$5:$P$131,"&gt;0",D_purchases!$P$5:$P$131,"&lt;=30")</f>
        <v>0</v>
      </c>
      <c r="F54" s="8">
        <f>SUMIFS(D_purchases!$O$5:$O$131,D_purchases!$C$5:$C$131,A54,D_purchases!$P$5:$P$131,"&gt;30",D_purchases!$P$5:$P$131,"&lt;=60")</f>
        <v>0</v>
      </c>
      <c r="G54" s="8">
        <f>SUMIFS(D_purchases!$O$5:$O$131,D_purchases!$C$5:$C$131,A54,D_purchases!$P$5:$P$131,"&gt;60",D_purchases!$P$5:$P$131,"&lt;=9999")</f>
        <v>0</v>
      </c>
      <c r="H54" s="3">
        <f>_xlfn.MAXIFS(D_purchases!$P$5:$P$131,D_purchases!$C$5:$C$131,A54)</f>
        <v>0</v>
      </c>
      <c r="I54" s="23">
        <f t="shared" ref="I54:I62" si="2">C54/$B$6*$B$7</f>
        <v>1.9919541836249999</v>
      </c>
      <c r="J54" s="3" t="s">
        <v>978</v>
      </c>
      <c r="K54" s="3">
        <f>SUMIFS(D_purchases!$V$5:$V$131,D_purchases!$C$5:$C$131,A54)</f>
        <v>2</v>
      </c>
      <c r="L54" s="8">
        <f>SUMIFS(D_purchases!$W$5:$W$131,D_purchases!$C$5:$C$131,A54)</f>
        <v>4353417.7</v>
      </c>
    </row>
    <row r="55" spans="1:15" ht="52.05" customHeight="1">
      <c r="A55" s="5" t="s">
        <v>979</v>
      </c>
      <c r="B55" s="5" t="s">
        <v>980</v>
      </c>
      <c r="C55" s="9">
        <f>SUMIFS(D_purchases!$O$5:$O$131,D_purchases!$C$5:$C$131,A55)</f>
        <v>412748532</v>
      </c>
      <c r="D55" s="9">
        <f>SUMIFS(D_purchases!$O$5:$O$131,D_purchases!$C$5:$C$131,A55,D_purchases!$P$5:$P$131,"&gt;0")</f>
        <v>200558957</v>
      </c>
      <c r="E55" s="9">
        <f>SUMIFS(D_purchases!$O$5:$O$131,D_purchases!$C$5:$C$131,A55,D_purchases!$P$5:$P$131,"&gt;0",D_purchases!$P$5:$P$131,"&lt;=30")</f>
        <v>157658786</v>
      </c>
      <c r="F55" s="9">
        <f>SUMIFS(D_purchases!$O$5:$O$131,D_purchases!$C$5:$C$131,A55,D_purchases!$P$5:$P$131,"&gt;30",D_purchases!$P$5:$P$131,"&lt;=60")</f>
        <v>42900171</v>
      </c>
      <c r="G55" s="9">
        <f>SUMIFS(D_purchases!$O$5:$O$131,D_purchases!$C$5:$C$131,A55,D_purchases!$P$5:$P$131,"&gt;60",D_purchases!$P$5:$P$131,"&lt;=9999")</f>
        <v>0</v>
      </c>
      <c r="H55" s="5">
        <f>_xlfn.MAXIFS(D_purchases!$P$5:$P$131,D_purchases!$C$5:$C$131,A55)</f>
        <v>45</v>
      </c>
      <c r="I55" s="22">
        <f t="shared" si="2"/>
        <v>2.9408332905000001</v>
      </c>
      <c r="J55" s="5" t="s">
        <v>981</v>
      </c>
      <c r="K55" s="5">
        <f>SUMIFS(D_purchases!$V$5:$V$131,D_purchases!$C$5:$C$131,A55)</f>
        <v>0</v>
      </c>
      <c r="L55" s="9">
        <f>SUMIFS(D_purchases!$W$5:$W$131,D_purchases!$C$5:$C$131,A55)</f>
        <v>0</v>
      </c>
    </row>
    <row r="56" spans="1:15" ht="52.05" customHeight="1">
      <c r="A56" s="3" t="s">
        <v>982</v>
      </c>
      <c r="B56" s="3" t="s">
        <v>983</v>
      </c>
      <c r="C56" s="8">
        <f>SUMIFS(D_purchases!$O$5:$O$131,D_purchases!$C$5:$C$131,A56)</f>
        <v>91135290</v>
      </c>
      <c r="D56" s="8">
        <f>SUMIFS(D_purchases!$O$5:$O$131,D_purchases!$C$5:$C$131,A56,D_purchases!$P$5:$P$131,"&gt;0")</f>
        <v>0</v>
      </c>
      <c r="E56" s="8">
        <f>SUMIFS(D_purchases!$O$5:$O$131,D_purchases!$C$5:$C$131,A56,D_purchases!$P$5:$P$131,"&gt;0",D_purchases!$P$5:$P$131,"&lt;=30")</f>
        <v>0</v>
      </c>
      <c r="F56" s="8">
        <f>SUMIFS(D_purchases!$O$5:$O$131,D_purchases!$C$5:$C$131,A56,D_purchases!$P$5:$P$131,"&gt;30",D_purchases!$P$5:$P$131,"&lt;=60")</f>
        <v>0</v>
      </c>
      <c r="G56" s="8">
        <f>SUMIFS(D_purchases!$O$5:$O$131,D_purchases!$C$5:$C$131,A56,D_purchases!$P$5:$P$131,"&gt;60",D_purchases!$P$5:$P$131,"&lt;=9999")</f>
        <v>0</v>
      </c>
      <c r="H56" s="3">
        <f>_xlfn.MAXIFS(D_purchases!$P$5:$P$131,D_purchases!$C$5:$C$131,A56)</f>
        <v>0</v>
      </c>
      <c r="I56" s="23">
        <f t="shared" si="2"/>
        <v>0.64933894125000002</v>
      </c>
      <c r="J56" s="3" t="s">
        <v>978</v>
      </c>
      <c r="K56" s="3">
        <f>SUMIFS(D_purchases!$V$5:$V$131,D_purchases!$C$5:$C$131,A56)</f>
        <v>0</v>
      </c>
      <c r="L56" s="8">
        <f>SUMIFS(D_purchases!$W$5:$W$131,D_purchases!$C$5:$C$131,A56)</f>
        <v>0</v>
      </c>
    </row>
    <row r="57" spans="1:15" ht="52.05" customHeight="1">
      <c r="A57" s="5" t="s">
        <v>984</v>
      </c>
      <c r="B57" s="5" t="s">
        <v>985</v>
      </c>
      <c r="C57" s="9">
        <f>SUMIFS(D_purchases!$O$5:$O$131,D_purchases!$C$5:$C$131,A57)</f>
        <v>36595484</v>
      </c>
      <c r="D57" s="9">
        <f>SUMIFS(D_purchases!$O$5:$O$131,D_purchases!$C$5:$C$131,A57,D_purchases!$P$5:$P$131,"&gt;0")</f>
        <v>0</v>
      </c>
      <c r="E57" s="9">
        <f>SUMIFS(D_purchases!$O$5:$O$131,D_purchases!$C$5:$C$131,A57,D_purchases!$P$5:$P$131,"&gt;0",D_purchases!$P$5:$P$131,"&lt;=30")</f>
        <v>0</v>
      </c>
      <c r="F57" s="9">
        <f>SUMIFS(D_purchases!$O$5:$O$131,D_purchases!$C$5:$C$131,A57,D_purchases!$P$5:$P$131,"&gt;30",D_purchases!$P$5:$P$131,"&lt;=60")</f>
        <v>0</v>
      </c>
      <c r="G57" s="9">
        <f>SUMIFS(D_purchases!$O$5:$O$131,D_purchases!$C$5:$C$131,A57,D_purchases!$P$5:$P$131,"&gt;60",D_purchases!$P$5:$P$131,"&lt;=9999")</f>
        <v>0</v>
      </c>
      <c r="H57" s="5">
        <f>_xlfn.MAXIFS(D_purchases!$P$5:$P$131,D_purchases!$C$5:$C$131,A57)</f>
        <v>0</v>
      </c>
      <c r="I57" s="22">
        <f t="shared" si="2"/>
        <v>0.2607428235</v>
      </c>
      <c r="J57" s="5" t="s">
        <v>981</v>
      </c>
      <c r="K57" s="5">
        <f>SUMIFS(D_purchases!$V$5:$V$131,D_purchases!$C$5:$C$131,A57)</f>
        <v>0</v>
      </c>
      <c r="L57" s="9">
        <f>SUMIFS(D_purchases!$W$5:$W$131,D_purchases!$C$5:$C$131,A57)</f>
        <v>0</v>
      </c>
    </row>
    <row r="58" spans="1:15" ht="52.05" customHeight="1">
      <c r="A58" s="3" t="s">
        <v>986</v>
      </c>
      <c r="B58" s="3" t="s">
        <v>987</v>
      </c>
      <c r="C58" s="8">
        <f>SUMIFS(D_purchases!$O$5:$O$131,D_purchases!$C$5:$C$131,A58)</f>
        <v>154290368</v>
      </c>
      <c r="D58" s="8">
        <f>SUMIFS(D_purchases!$O$5:$O$131,D_purchases!$C$5:$C$131,A58,D_purchases!$P$5:$P$131,"&gt;0")</f>
        <v>0</v>
      </c>
      <c r="E58" s="8">
        <f>SUMIFS(D_purchases!$O$5:$O$131,D_purchases!$C$5:$C$131,A58,D_purchases!$P$5:$P$131,"&gt;0",D_purchases!$P$5:$P$131,"&lt;=30")</f>
        <v>0</v>
      </c>
      <c r="F58" s="8">
        <f>SUMIFS(D_purchases!$O$5:$O$131,D_purchases!$C$5:$C$131,A58,D_purchases!$P$5:$P$131,"&gt;30",D_purchases!$P$5:$P$131,"&lt;=60")</f>
        <v>0</v>
      </c>
      <c r="G58" s="8">
        <f>SUMIFS(D_purchases!$O$5:$O$131,D_purchases!$C$5:$C$131,A58,D_purchases!$P$5:$P$131,"&gt;60",D_purchases!$P$5:$P$131,"&lt;=9999")</f>
        <v>0</v>
      </c>
      <c r="H58" s="3">
        <f>_xlfn.MAXIFS(D_purchases!$P$5:$P$131,D_purchases!$C$5:$C$131,A58)</f>
        <v>0</v>
      </c>
      <c r="I58" s="23">
        <f t="shared" si="2"/>
        <v>1.099318872</v>
      </c>
      <c r="J58" s="3" t="s">
        <v>981</v>
      </c>
      <c r="K58" s="3">
        <f>SUMIFS(D_purchases!$V$5:$V$131,D_purchases!$C$5:$C$131,A58)</f>
        <v>0</v>
      </c>
      <c r="L58" s="8">
        <f>SUMIFS(D_purchases!$W$5:$W$131,D_purchases!$C$5:$C$131,A58)</f>
        <v>0</v>
      </c>
    </row>
    <row r="59" spans="1:15" ht="52.05" customHeight="1">
      <c r="A59" s="5" t="s">
        <v>988</v>
      </c>
      <c r="B59" s="5" t="s">
        <v>989</v>
      </c>
      <c r="C59" s="9">
        <f>SUMIFS(D_purchases!$O$5:$O$131,D_purchases!$C$5:$C$131,A59)</f>
        <v>0</v>
      </c>
      <c r="D59" s="9">
        <f>SUMIFS(D_purchases!$O$5:$O$131,D_purchases!$C$5:$C$131,A59,D_purchases!$P$5:$P$131,"&gt;0")</f>
        <v>0</v>
      </c>
      <c r="E59" s="9">
        <f>SUMIFS(D_purchases!$O$5:$O$131,D_purchases!$C$5:$C$131,A59,D_purchases!$P$5:$P$131,"&gt;0",D_purchases!$P$5:$P$131,"&lt;=30")</f>
        <v>0</v>
      </c>
      <c r="F59" s="9">
        <f>SUMIFS(D_purchases!$O$5:$O$131,D_purchases!$C$5:$C$131,A59,D_purchases!$P$5:$P$131,"&gt;30",D_purchases!$P$5:$P$131,"&lt;=60")</f>
        <v>0</v>
      </c>
      <c r="G59" s="9">
        <f>SUMIFS(D_purchases!$O$5:$O$131,D_purchases!$C$5:$C$131,A59,D_purchases!$P$5:$P$131,"&gt;60",D_purchases!$P$5:$P$131,"&lt;=9999")</f>
        <v>0</v>
      </c>
      <c r="H59" s="5">
        <f>_xlfn.MAXIFS(D_purchases!$P$5:$P$131,D_purchases!$C$5:$C$131,A59)</f>
        <v>0</v>
      </c>
      <c r="I59" s="22">
        <f t="shared" si="2"/>
        <v>0</v>
      </c>
      <c r="J59" s="5" t="s">
        <v>978</v>
      </c>
      <c r="K59" s="5">
        <f>SUMIFS(D_purchases!$V$5:$V$131,D_purchases!$C$5:$C$131,A59)</f>
        <v>0</v>
      </c>
      <c r="L59" s="9">
        <f>SUMIFS(D_purchases!$W$5:$W$131,D_purchases!$C$5:$C$131,A59)</f>
        <v>0</v>
      </c>
    </row>
    <row r="60" spans="1:15" ht="52.05" customHeight="1">
      <c r="A60" s="3" t="s">
        <v>990</v>
      </c>
      <c r="B60" s="3" t="s">
        <v>991</v>
      </c>
      <c r="C60" s="8">
        <f>SUMIFS(D_purchases!$O$5:$O$131,D_purchases!$C$5:$C$131,A60)</f>
        <v>163227499</v>
      </c>
      <c r="D60" s="8">
        <f>SUMIFS(D_purchases!$O$5:$O$131,D_purchases!$C$5:$C$131,A60,D_purchases!$P$5:$P$131,"&gt;0")</f>
        <v>163227499</v>
      </c>
      <c r="E60" s="8">
        <f>SUMIFS(D_purchases!$O$5:$O$131,D_purchases!$C$5:$C$131,A60,D_purchases!$P$5:$P$131,"&gt;0",D_purchases!$P$5:$P$131,"&lt;=30")</f>
        <v>0</v>
      </c>
      <c r="F60" s="8">
        <f>SUMIFS(D_purchases!$O$5:$O$131,D_purchases!$C$5:$C$131,A60,D_purchases!$P$5:$P$131,"&gt;30",D_purchases!$P$5:$P$131,"&lt;=60")</f>
        <v>0</v>
      </c>
      <c r="G60" s="8">
        <f>SUMIFS(D_purchases!$O$5:$O$131,D_purchases!$C$5:$C$131,A60,D_purchases!$P$5:$P$131,"&gt;60",D_purchases!$P$5:$P$131,"&lt;=9999")</f>
        <v>163227499</v>
      </c>
      <c r="H60" s="3">
        <f>_xlfn.MAXIFS(D_purchases!$P$5:$P$131,D_purchases!$C$5:$C$131,A60)</f>
        <v>75</v>
      </c>
      <c r="I60" s="23">
        <f t="shared" si="2"/>
        <v>1.1629959303749999</v>
      </c>
      <c r="J60" s="3" t="s">
        <v>992</v>
      </c>
      <c r="K60" s="3">
        <f>SUMIFS(D_purchases!$V$5:$V$131,D_purchases!$C$5:$C$131,A60)</f>
        <v>0</v>
      </c>
      <c r="L60" s="8">
        <f>SUMIFS(D_purchases!$W$5:$W$131,D_purchases!$C$5:$C$131,A60)</f>
        <v>0</v>
      </c>
    </row>
    <row r="61" spans="1:15" ht="52.05" customHeight="1">
      <c r="A61" s="5" t="s">
        <v>993</v>
      </c>
      <c r="B61" s="5" t="s">
        <v>994</v>
      </c>
      <c r="C61" s="9">
        <f>SUMIFS(D_purchases!$O$5:$O$131,D_purchases!$C$5:$C$131,A61)</f>
        <v>87863984</v>
      </c>
      <c r="D61" s="9">
        <f>SUMIFS(D_purchases!$O$5:$O$131,D_purchases!$C$5:$C$131,A61,D_purchases!$P$5:$P$131,"&gt;0")</f>
        <v>36610051</v>
      </c>
      <c r="E61" s="9">
        <f>SUMIFS(D_purchases!$O$5:$O$131,D_purchases!$C$5:$C$131,A61,D_purchases!$P$5:$P$131,"&gt;0",D_purchases!$P$5:$P$131,"&lt;=30")</f>
        <v>36610051</v>
      </c>
      <c r="F61" s="9">
        <f>SUMIFS(D_purchases!$O$5:$O$131,D_purchases!$C$5:$C$131,A61,D_purchases!$P$5:$P$131,"&gt;30",D_purchases!$P$5:$P$131,"&lt;=60")</f>
        <v>0</v>
      </c>
      <c r="G61" s="9">
        <f>SUMIFS(D_purchases!$O$5:$O$131,D_purchases!$C$5:$C$131,A61,D_purchases!$P$5:$P$131,"&gt;60",D_purchases!$P$5:$P$131,"&lt;=9999")</f>
        <v>0</v>
      </c>
      <c r="H61" s="5">
        <f>_xlfn.MAXIFS(D_purchases!$P$5:$P$131,D_purchases!$C$5:$C$131,A61)</f>
        <v>24</v>
      </c>
      <c r="I61" s="22">
        <f t="shared" si="2"/>
        <v>0.62603088600000001</v>
      </c>
      <c r="J61" s="5" t="s">
        <v>981</v>
      </c>
      <c r="K61" s="5">
        <f>SUMIFS(D_purchases!$V$5:$V$131,D_purchases!$C$5:$C$131,A61)</f>
        <v>0</v>
      </c>
      <c r="L61" s="9">
        <f>SUMIFS(D_purchases!$W$5:$W$131,D_purchases!$C$5:$C$131,A61)</f>
        <v>0</v>
      </c>
    </row>
    <row r="62" spans="1:15" ht="52.05" customHeight="1">
      <c r="A62" s="3" t="s">
        <v>995</v>
      </c>
      <c r="B62" s="3" t="s">
        <v>996</v>
      </c>
      <c r="C62" s="8">
        <f>SUMIFS(D_purchases!$O$5:$O$131,D_purchases!$C$5:$C$131,A62)</f>
        <v>86041736</v>
      </c>
      <c r="D62" s="8">
        <f>SUMIFS(D_purchases!$O$5:$O$131,D_purchases!$C$5:$C$131,A62,D_purchases!$P$5:$P$131,"&gt;0")</f>
        <v>0</v>
      </c>
      <c r="E62" s="8">
        <f>SUMIFS(D_purchases!$O$5:$O$131,D_purchases!$C$5:$C$131,A62,D_purchases!$P$5:$P$131,"&gt;0",D_purchases!$P$5:$P$131,"&lt;=30")</f>
        <v>0</v>
      </c>
      <c r="F62" s="8">
        <f>SUMIFS(D_purchases!$O$5:$O$131,D_purchases!$C$5:$C$131,A62,D_purchases!$P$5:$P$131,"&gt;30",D_purchases!$P$5:$P$131,"&lt;=60")</f>
        <v>0</v>
      </c>
      <c r="G62" s="8">
        <f>SUMIFS(D_purchases!$O$5:$O$131,D_purchases!$C$5:$C$131,A62,D_purchases!$P$5:$P$131,"&gt;60",D_purchases!$P$5:$P$131,"&lt;=9999")</f>
        <v>0</v>
      </c>
      <c r="H62" s="3">
        <f>_xlfn.MAXIFS(D_purchases!$P$5:$P$131,D_purchases!$C$5:$C$131,A62)</f>
        <v>0</v>
      </c>
      <c r="I62" s="23">
        <f t="shared" si="2"/>
        <v>0.61304736900000001</v>
      </c>
      <c r="J62" s="3" t="s">
        <v>978</v>
      </c>
      <c r="K62" s="3">
        <f>SUMIFS(D_purchases!$V$5:$V$131,D_purchases!$C$5:$C$131,A62)</f>
        <v>2</v>
      </c>
      <c r="L62" s="8">
        <f>SUMIFS(D_purchases!$W$5:$W$131,D_purchases!$C$5:$C$131,A62)</f>
        <v>860417.3600000001</v>
      </c>
    </row>
    <row r="66" spans="1:10" ht="34.049999999999997" customHeight="1">
      <c r="A66" s="4" t="s">
        <v>997</v>
      </c>
      <c r="B66" s="4" t="s">
        <v>998</v>
      </c>
      <c r="C66" s="4" t="s">
        <v>999</v>
      </c>
      <c r="D66" s="4" t="s">
        <v>1000</v>
      </c>
      <c r="E66" s="4" t="s">
        <v>1001</v>
      </c>
      <c r="F66" s="4" t="s">
        <v>1002</v>
      </c>
      <c r="G66" s="4" t="s">
        <v>1003</v>
      </c>
      <c r="H66" s="4" t="s">
        <v>1004</v>
      </c>
      <c r="I66" s="4" t="s">
        <v>1005</v>
      </c>
      <c r="J66" s="4" t="s">
        <v>1006</v>
      </c>
    </row>
    <row r="67" spans="1:10" ht="52.05" customHeight="1">
      <c r="A67" s="3" t="str">
        <f>D_inventory!A5</f>
        <v>L01</v>
      </c>
      <c r="B67" s="3" t="str">
        <f>D_inventory!C5</f>
        <v>Phụ liệu chính đơn CMT-0826</v>
      </c>
      <c r="C67" s="3" t="str">
        <f>D_inventory!E5</f>
        <v>F01</v>
      </c>
      <c r="D67" s="8">
        <f>D_inventory!P5</f>
        <v>182976252.921</v>
      </c>
      <c r="E67" s="3">
        <f>D_inventory!N5</f>
        <v>32</v>
      </c>
      <c r="F67" s="3">
        <f>D_inventory!Q5</f>
        <v>60</v>
      </c>
      <c r="G67" s="3">
        <f>D_inventory!R5</f>
        <v>0</v>
      </c>
      <c r="H67" s="3" t="str">
        <f>D_inventory!H5</f>
        <v>Đang hoạt động</v>
      </c>
      <c r="I67" s="23">
        <f>D_inventory!T5</f>
        <v>1.3037058020621251</v>
      </c>
      <c r="J67" s="3">
        <f t="shared" ref="J67:J99" si="3">IF(C67="F01",COUNTIFS($C$67:$C$99,"F01",$E$67:$E$99,"&gt;"&amp;E67)+1,"Loại trừ")</f>
        <v>14</v>
      </c>
    </row>
    <row r="68" spans="1:10" ht="52.05" customHeight="1">
      <c r="A68" s="5" t="str">
        <f>D_inventory!A6</f>
        <v>L02</v>
      </c>
      <c r="B68" s="5" t="str">
        <f>D_inventory!C6</f>
        <v>Phụ liệu lót đơn CMT-0826</v>
      </c>
      <c r="C68" s="5" t="str">
        <f>D_inventory!E6</f>
        <v>F01</v>
      </c>
      <c r="D68" s="9">
        <f>D_inventory!P6</f>
        <v>43361559.936499998</v>
      </c>
      <c r="E68" s="5">
        <f>D_inventory!N6</f>
        <v>25</v>
      </c>
      <c r="F68" s="5">
        <f>D_inventory!Q6</f>
        <v>60</v>
      </c>
      <c r="G68" s="5">
        <f>D_inventory!R6</f>
        <v>0</v>
      </c>
      <c r="H68" s="5" t="str">
        <f>D_inventory!H6</f>
        <v>Đang hoạt động</v>
      </c>
      <c r="I68" s="22">
        <f>D_inventory!T6</f>
        <v>0.30895111454756252</v>
      </c>
      <c r="J68" s="5">
        <f t="shared" si="3"/>
        <v>17</v>
      </c>
    </row>
    <row r="69" spans="1:10" ht="52.05" customHeight="1">
      <c r="A69" s="3" t="str">
        <f>D_inventory!A7</f>
        <v>L03</v>
      </c>
      <c r="B69" s="3" t="str">
        <f>D_inventory!C7</f>
        <v>Vải kaki tồn từ mùa trước</v>
      </c>
      <c r="C69" s="3" t="str">
        <f>D_inventory!E7</f>
        <v>F01</v>
      </c>
      <c r="D69" s="8">
        <f>D_inventory!P7</f>
        <v>65375890.364399999</v>
      </c>
      <c r="E69" s="3">
        <f>D_inventory!N7</f>
        <v>171</v>
      </c>
      <c r="F69" s="3">
        <f>D_inventory!Q7</f>
        <v>60</v>
      </c>
      <c r="G69" s="3">
        <f>D_inventory!R7</f>
        <v>1</v>
      </c>
      <c r="H69" s="3" t="str">
        <f>D_inventory!H7</f>
        <v>Không gắn đơn</v>
      </c>
      <c r="I69" s="23">
        <f>D_inventory!T7</f>
        <v>0.46580321884635001</v>
      </c>
      <c r="J69" s="3">
        <f t="shared" si="3"/>
        <v>3</v>
      </c>
    </row>
    <row r="70" spans="1:10" ht="52.05" customHeight="1">
      <c r="A70" s="5" t="str">
        <f>D_inventory!A8</f>
        <v>L04</v>
      </c>
      <c r="B70" s="5" t="str">
        <f>D_inventory!C8</f>
        <v>Vải ren – lụa mua thử (lô cũ nhất)</v>
      </c>
      <c r="C70" s="5" t="str">
        <f>D_inventory!E8</f>
        <v>F01</v>
      </c>
      <c r="D70" s="9">
        <f>D_inventory!P8</f>
        <v>4097905.6642800001</v>
      </c>
      <c r="E70" s="5">
        <f>D_inventory!N8</f>
        <v>228</v>
      </c>
      <c r="F70" s="5">
        <f>D_inventory!Q8</f>
        <v>60</v>
      </c>
      <c r="G70" s="5">
        <f>D_inventory!R8</f>
        <v>1</v>
      </c>
      <c r="H70" s="5" t="str">
        <f>D_inventory!H8</f>
        <v>Không gắn đơn</v>
      </c>
      <c r="I70" s="22">
        <f>D_inventory!T8</f>
        <v>2.9197577857995E-2</v>
      </c>
      <c r="J70" s="5">
        <f t="shared" si="3"/>
        <v>1</v>
      </c>
    </row>
    <row r="71" spans="1:10" ht="52.05" customHeight="1">
      <c r="A71" s="3" t="str">
        <f>D_inventory!A9</f>
        <v>L05</v>
      </c>
      <c r="B71" s="3" t="str">
        <f>D_inventory!C9</f>
        <v>Phụ liệu chuyên dụng (chỉ, nút, khóa)</v>
      </c>
      <c r="C71" s="3" t="str">
        <f>D_inventory!E9</f>
        <v>F01</v>
      </c>
      <c r="D71" s="8">
        <f>D_inventory!P9</f>
        <v>101589940.40000001</v>
      </c>
      <c r="E71" s="3">
        <f>D_inventory!N9</f>
        <v>28</v>
      </c>
      <c r="F71" s="3">
        <f>D_inventory!Q9</f>
        <v>60</v>
      </c>
      <c r="G71" s="3">
        <f>D_inventory!R9</f>
        <v>0</v>
      </c>
      <c r="H71" s="3" t="str">
        <f>D_inventory!H9</f>
        <v>Đang hoạt động</v>
      </c>
      <c r="I71" s="23">
        <f>D_inventory!T9</f>
        <v>0.72382832535000008</v>
      </c>
      <c r="J71" s="3">
        <f t="shared" si="3"/>
        <v>15</v>
      </c>
    </row>
    <row r="72" spans="1:10" ht="52.05" customHeight="1">
      <c r="A72" s="5" t="str">
        <f>D_inventory!A10</f>
        <v>L06</v>
      </c>
      <c r="B72" s="5" t="str">
        <f>D_inventory!C10</f>
        <v>Phụ liệu đơn hàng bị hủy mùa Hè</v>
      </c>
      <c r="C72" s="5" t="str">
        <f>D_inventory!E10</f>
        <v>F01</v>
      </c>
      <c r="D72" s="9">
        <f>D_inventory!P10</f>
        <v>68298427.789999992</v>
      </c>
      <c r="E72" s="5">
        <f>D_inventory!N10</f>
        <v>118</v>
      </c>
      <c r="F72" s="5">
        <f>D_inventory!Q10</f>
        <v>60</v>
      </c>
      <c r="G72" s="5">
        <f>D_inventory!R10</f>
        <v>1</v>
      </c>
      <c r="H72" s="5" t="str">
        <f>D_inventory!H10</f>
        <v>Đã hủy</v>
      </c>
      <c r="I72" s="22">
        <f>D_inventory!T10</f>
        <v>0.48662629800374996</v>
      </c>
      <c r="J72" s="5">
        <f t="shared" si="3"/>
        <v>6</v>
      </c>
    </row>
    <row r="73" spans="1:10" ht="52.05" customHeight="1">
      <c r="A73" s="3" t="str">
        <f>D_inventory!A11</f>
        <v>L07</v>
      </c>
      <c r="B73" s="3" t="str">
        <f>D_inventory!C11</f>
        <v>Bao bì carton, túi PE</v>
      </c>
      <c r="C73" s="3" t="str">
        <f>D_inventory!E11</f>
        <v>F01</v>
      </c>
      <c r="D73" s="8">
        <f>D_inventory!P11</f>
        <v>61548001.710000001</v>
      </c>
      <c r="E73" s="3">
        <f>D_inventory!N11</f>
        <v>20</v>
      </c>
      <c r="F73" s="3">
        <f>D_inventory!Q11</f>
        <v>60</v>
      </c>
      <c r="G73" s="3">
        <f>D_inventory!R11</f>
        <v>0</v>
      </c>
      <c r="H73" s="3" t="str">
        <f>D_inventory!H11</f>
        <v>Không gắn đơn</v>
      </c>
      <c r="I73" s="23">
        <f>D_inventory!T11</f>
        <v>0.43852951218375003</v>
      </c>
      <c r="J73" s="3">
        <f t="shared" si="3"/>
        <v>19</v>
      </c>
    </row>
    <row r="74" spans="1:10" ht="52.05" customHeight="1">
      <c r="A74" s="5" t="str">
        <f>D_inventory!A12</f>
        <v>L08</v>
      </c>
      <c r="B74" s="5" t="str">
        <f>D_inventory!C12</f>
        <v>Nhãn dệt, thẻ bài đã đổi thiết kế</v>
      </c>
      <c r="C74" s="5" t="str">
        <f>D_inventory!E12</f>
        <v>F01</v>
      </c>
      <c r="D74" s="9">
        <f>D_inventory!P12</f>
        <v>14295019.77</v>
      </c>
      <c r="E74" s="5">
        <f>D_inventory!N12</f>
        <v>84</v>
      </c>
      <c r="F74" s="5">
        <f>D_inventory!Q12</f>
        <v>60</v>
      </c>
      <c r="G74" s="5">
        <f>D_inventory!R12</f>
        <v>1</v>
      </c>
      <c r="H74" s="5" t="str">
        <f>D_inventory!H12</f>
        <v>Thay đổi thiết kế</v>
      </c>
      <c r="I74" s="22">
        <f>D_inventory!T12</f>
        <v>0.10185201586124999</v>
      </c>
      <c r="J74" s="5">
        <f t="shared" si="3"/>
        <v>8</v>
      </c>
    </row>
    <row r="75" spans="1:10" ht="52.05" customHeight="1">
      <c r="A75" s="3" t="str">
        <f>D_inventory!A13</f>
        <v>L09</v>
      </c>
      <c r="B75" s="3" t="str">
        <f>D_inventory!C13</f>
        <v>BTP đã cắt chờ may – đơn CMT-0826</v>
      </c>
      <c r="C75" s="3" t="str">
        <f>D_inventory!E13</f>
        <v>F01</v>
      </c>
      <c r="D75" s="8">
        <f>D_inventory!P13</f>
        <v>91170459.351999998</v>
      </c>
      <c r="E75" s="3">
        <f>D_inventory!N13</f>
        <v>9</v>
      </c>
      <c r="F75" s="3">
        <f>D_inventory!Q13</f>
        <v>30</v>
      </c>
      <c r="G75" s="3">
        <f>D_inventory!R13</f>
        <v>0</v>
      </c>
      <c r="H75" s="3" t="str">
        <f>D_inventory!H13</f>
        <v>Đang hoạt động</v>
      </c>
      <c r="I75" s="23">
        <f>D_inventory!T13</f>
        <v>0.64958952288299998</v>
      </c>
      <c r="J75" s="3">
        <f t="shared" si="3"/>
        <v>28</v>
      </c>
    </row>
    <row r="76" spans="1:10" ht="52.05" customHeight="1">
      <c r="A76" s="5" t="str">
        <f>D_inventory!A14</f>
        <v>L10</v>
      </c>
      <c r="B76" s="5" t="str">
        <f>D_inventory!C14</f>
        <v>BTP chờ kiểm QC, sửa lỗi</v>
      </c>
      <c r="C76" s="5" t="str">
        <f>D_inventory!E14</f>
        <v>F01</v>
      </c>
      <c r="D76" s="9">
        <f>D_inventory!P14</f>
        <v>31385510.050000001</v>
      </c>
      <c r="E76" s="5">
        <f>D_inventory!N14</f>
        <v>47</v>
      </c>
      <c r="F76" s="5">
        <f>D_inventory!Q14</f>
        <v>30</v>
      </c>
      <c r="G76" s="5">
        <f>D_inventory!R14</f>
        <v>1</v>
      </c>
      <c r="H76" s="5" t="str">
        <f>D_inventory!H14</f>
        <v>Đang hoạt động</v>
      </c>
      <c r="I76" s="22">
        <f>D_inventory!T14</f>
        <v>0.22362175910624998</v>
      </c>
      <c r="J76" s="5">
        <f t="shared" si="3"/>
        <v>11</v>
      </c>
    </row>
    <row r="77" spans="1:10" ht="52.05" customHeight="1">
      <c r="A77" s="3" t="str">
        <f>D_inventory!A15</f>
        <v>L11</v>
      </c>
      <c r="B77" s="3" t="str">
        <f>D_inventory!C15</f>
        <v>BTP đang may – đơn K2</v>
      </c>
      <c r="C77" s="3" t="str">
        <f>D_inventory!E15</f>
        <v>F01</v>
      </c>
      <c r="D77" s="8">
        <f>D_inventory!P15</f>
        <v>54321075.088</v>
      </c>
      <c r="E77" s="3">
        <f>D_inventory!N15</f>
        <v>11</v>
      </c>
      <c r="F77" s="3">
        <f>D_inventory!Q15</f>
        <v>30</v>
      </c>
      <c r="G77" s="3">
        <f>D_inventory!R15</f>
        <v>0</v>
      </c>
      <c r="H77" s="3" t="str">
        <f>D_inventory!H15</f>
        <v>Đang hoạt động</v>
      </c>
      <c r="I77" s="23">
        <f>D_inventory!T15</f>
        <v>0.38703766000200002</v>
      </c>
      <c r="J77" s="3">
        <f t="shared" si="3"/>
        <v>27</v>
      </c>
    </row>
    <row r="78" spans="1:10" ht="52.05" customHeight="1">
      <c r="A78" s="5" t="str">
        <f>D_inventory!A16</f>
        <v>L12</v>
      </c>
      <c r="B78" s="5" t="str">
        <f>D_inventory!C16</f>
        <v>Thành phẩm chờ xuất – đơn K2</v>
      </c>
      <c r="C78" s="5" t="str">
        <f>D_inventory!E16</f>
        <v>F01</v>
      </c>
      <c r="D78" s="9">
        <f>D_inventory!P16</f>
        <v>81068645.389600009</v>
      </c>
      <c r="E78" s="5">
        <f>D_inventory!N16</f>
        <v>16</v>
      </c>
      <c r="F78" s="5">
        <f>D_inventory!Q16</f>
        <v>30</v>
      </c>
      <c r="G78" s="5">
        <f>D_inventory!R16</f>
        <v>0</v>
      </c>
      <c r="H78" s="5" t="str">
        <f>D_inventory!H16</f>
        <v>Đang hoạt động</v>
      </c>
      <c r="I78" s="22">
        <f>D_inventory!T16</f>
        <v>0.57761409840090006</v>
      </c>
      <c r="J78" s="5">
        <f t="shared" si="3"/>
        <v>24</v>
      </c>
    </row>
    <row r="79" spans="1:10" ht="52.05" customHeight="1">
      <c r="A79" s="3" t="str">
        <f>D_inventory!A17</f>
        <v>L13</v>
      </c>
      <c r="B79" s="3" t="str">
        <f>D_inventory!C17</f>
        <v>Thành phẩm đơn K1 – khách chậm nhận hàng</v>
      </c>
      <c r="C79" s="3" t="str">
        <f>D_inventory!E17</f>
        <v>F01</v>
      </c>
      <c r="D79" s="8">
        <f>D_inventory!P17</f>
        <v>113565990.307</v>
      </c>
      <c r="E79" s="3">
        <f>D_inventory!N17</f>
        <v>43</v>
      </c>
      <c r="F79" s="3">
        <f>D_inventory!Q17</f>
        <v>30</v>
      </c>
      <c r="G79" s="3">
        <f>D_inventory!R17</f>
        <v>1</v>
      </c>
      <c r="H79" s="3" t="str">
        <f>D_inventory!H17</f>
        <v>Đang hoạt động</v>
      </c>
      <c r="I79" s="23">
        <f>D_inventory!T17</f>
        <v>0.80915768093737495</v>
      </c>
      <c r="J79" s="3">
        <f t="shared" si="3"/>
        <v>13</v>
      </c>
    </row>
    <row r="80" spans="1:10" ht="52.05" customHeight="1">
      <c r="A80" s="5" t="str">
        <f>D_inventory!A18</f>
        <v>L14</v>
      </c>
      <c r="B80" s="5" t="str">
        <f>D_inventory!C18</f>
        <v>Thành phẩm lỗi mẫu chờ xử lý</v>
      </c>
      <c r="C80" s="5" t="str">
        <f>D_inventory!E18</f>
        <v>F01</v>
      </c>
      <c r="D80" s="9">
        <f>D_inventory!P18</f>
        <v>7433410.2743999995</v>
      </c>
      <c r="E80" s="5">
        <f>D_inventory!N18</f>
        <v>91</v>
      </c>
      <c r="F80" s="5">
        <f>D_inventory!Q18</f>
        <v>30</v>
      </c>
      <c r="G80" s="5">
        <f>D_inventory!R18</f>
        <v>1</v>
      </c>
      <c r="H80" s="5" t="str">
        <f>D_inventory!H18</f>
        <v>Đang hoạt động</v>
      </c>
      <c r="I80" s="22">
        <f>D_inventory!T18</f>
        <v>5.2963048205099991E-2</v>
      </c>
      <c r="J80" s="5">
        <f t="shared" si="3"/>
        <v>7</v>
      </c>
    </row>
    <row r="81" spans="1:10" ht="52.05" customHeight="1">
      <c r="A81" s="3" t="str">
        <f>D_inventory!A19</f>
        <v>L15</v>
      </c>
      <c r="B81" s="3" t="str">
        <f>D_inventory!C19</f>
        <v>Vải mua về để bán lại (đầu cuộn)</v>
      </c>
      <c r="C81" s="3" t="str">
        <f>D_inventory!E19</f>
        <v>F01</v>
      </c>
      <c r="D81" s="8">
        <f>D_inventory!P19</f>
        <v>36214050.056999996</v>
      </c>
      <c r="E81" s="3">
        <f>D_inventory!N19</f>
        <v>72</v>
      </c>
      <c r="F81" s="3">
        <f>D_inventory!Q19</f>
        <v>60</v>
      </c>
      <c r="G81" s="3">
        <f>D_inventory!R19</f>
        <v>1</v>
      </c>
      <c r="H81" s="3" t="str">
        <f>D_inventory!H19</f>
        <v>Không gắn đơn</v>
      </c>
      <c r="I81" s="23">
        <f>D_inventory!T19</f>
        <v>0.25802510665612499</v>
      </c>
      <c r="J81" s="3">
        <f t="shared" si="3"/>
        <v>9</v>
      </c>
    </row>
    <row r="82" spans="1:10" ht="52.05" customHeight="1">
      <c r="A82" s="5" t="str">
        <f>D_inventory!A20</f>
        <v>L16</v>
      </c>
      <c r="B82" s="5" t="str">
        <f>D_inventory!C20</f>
        <v>Phụ liệu mua bán lại cho khách K3</v>
      </c>
      <c r="C82" s="5" t="str">
        <f>D_inventory!E20</f>
        <v>F01</v>
      </c>
      <c r="D82" s="9">
        <f>D_inventory!P20</f>
        <v>23825032.920000002</v>
      </c>
      <c r="E82" s="5">
        <f>D_inventory!N20</f>
        <v>18</v>
      </c>
      <c r="F82" s="5">
        <f>D_inventory!Q20</f>
        <v>60</v>
      </c>
      <c r="G82" s="5">
        <f>D_inventory!R20</f>
        <v>0</v>
      </c>
      <c r="H82" s="5" t="str">
        <f>D_inventory!H20</f>
        <v>Đang hoạt động</v>
      </c>
      <c r="I82" s="22">
        <f>D_inventory!T20</f>
        <v>0.16975335955500001</v>
      </c>
      <c r="J82" s="5">
        <f t="shared" si="3"/>
        <v>22</v>
      </c>
    </row>
    <row r="83" spans="1:10" ht="52.05" customHeight="1">
      <c r="A83" s="3" t="str">
        <f>D_inventory!A21</f>
        <v>L17</v>
      </c>
      <c r="B83" s="3" t="str">
        <f>D_inventory!C21</f>
        <v>Vải của K1 giao để gia công</v>
      </c>
      <c r="C83" s="3" t="str">
        <f>D_inventory!E21</f>
        <v>BYR-F01-002</v>
      </c>
      <c r="D83" s="8">
        <f>D_inventory!P21</f>
        <v>0</v>
      </c>
      <c r="E83" s="3">
        <f>D_inventory!N21</f>
        <v>20</v>
      </c>
      <c r="F83" s="3">
        <f>D_inventory!Q21</f>
        <v>30</v>
      </c>
      <c r="G83" s="3">
        <f>D_inventory!R21</f>
        <v>0</v>
      </c>
      <c r="H83" s="3" t="str">
        <f>D_inventory!H21</f>
        <v>Đang hoạt động</v>
      </c>
      <c r="I83" s="23">
        <f>D_inventory!T21</f>
        <v>0</v>
      </c>
      <c r="J83" s="3" t="str">
        <f t="shared" si="3"/>
        <v>Loại trừ</v>
      </c>
    </row>
    <row r="84" spans="1:10" ht="52.05" customHeight="1">
      <c r="A84" s="5" t="str">
        <f>D_inventory!A22</f>
        <v>L18</v>
      </c>
      <c r="B84" s="5" t="str">
        <f>D_inventory!C22</f>
        <v>Vải của K2 giao để gia công</v>
      </c>
      <c r="C84" s="5" t="str">
        <f>D_inventory!E22</f>
        <v>BYR-F01-001</v>
      </c>
      <c r="D84" s="9">
        <f>D_inventory!P22</f>
        <v>0</v>
      </c>
      <c r="E84" s="5">
        <f>D_inventory!N22</f>
        <v>15</v>
      </c>
      <c r="F84" s="5">
        <f>D_inventory!Q22</f>
        <v>30</v>
      </c>
      <c r="G84" s="5">
        <f>D_inventory!R22</f>
        <v>0</v>
      </c>
      <c r="H84" s="5" t="str">
        <f>D_inventory!H22</f>
        <v>Đang hoạt động</v>
      </c>
      <c r="I84" s="22">
        <f>D_inventory!T22</f>
        <v>0</v>
      </c>
      <c r="J84" s="5" t="str">
        <f t="shared" si="3"/>
        <v>Loại trừ</v>
      </c>
    </row>
    <row r="85" spans="1:10" ht="52.05" customHeight="1">
      <c r="A85" s="3" t="str">
        <f>D_inventory!A23</f>
        <v>L19</v>
      </c>
      <c r="B85" s="3" t="str">
        <f>D_inventory!C23</f>
        <v>Phụ liệu K3 giao kèm</v>
      </c>
      <c r="C85" s="3" t="str">
        <f>D_inventory!E23</f>
        <v>BYR-F01-003</v>
      </c>
      <c r="D85" s="8">
        <f>D_inventory!P23</f>
        <v>0</v>
      </c>
      <c r="E85" s="3">
        <f>D_inventory!N23</f>
        <v>12</v>
      </c>
      <c r="F85" s="3">
        <f>D_inventory!Q23</f>
        <v>30</v>
      </c>
      <c r="G85" s="3">
        <f>D_inventory!R23</f>
        <v>0</v>
      </c>
      <c r="H85" s="3" t="str">
        <f>D_inventory!H23</f>
        <v>Đang hoạt động</v>
      </c>
      <c r="I85" s="23">
        <f>D_inventory!T23</f>
        <v>0</v>
      </c>
      <c r="J85" s="3" t="str">
        <f t="shared" si="3"/>
        <v>Loại trừ</v>
      </c>
    </row>
    <row r="86" spans="1:10" ht="52.05" customHeight="1">
      <c r="A86" s="5" t="str">
        <f>D_inventory!A24</f>
        <v>L20</v>
      </c>
      <c r="B86" s="5" t="str">
        <f>D_inventory!C24</f>
        <v>Chỉ may &amp; khóa kéo (tiêu hao hằng ngày)</v>
      </c>
      <c r="C86" s="5" t="str">
        <f>D_inventory!E24</f>
        <v>F01</v>
      </c>
      <c r="D86" s="9">
        <f>D_inventory!P24</f>
        <v>28590039.516000003</v>
      </c>
      <c r="E86" s="5">
        <f>D_inventory!N24</f>
        <v>14</v>
      </c>
      <c r="F86" s="5">
        <f>D_inventory!Q24</f>
        <v>60</v>
      </c>
      <c r="G86" s="5">
        <f>D_inventory!R24</f>
        <v>0</v>
      </c>
      <c r="H86" s="5" t="str">
        <f>D_inventory!H24</f>
        <v>Đang hoạt động</v>
      </c>
      <c r="I86" s="22">
        <f>D_inventory!T24</f>
        <v>0.20370403155150002</v>
      </c>
      <c r="J86" s="5">
        <f t="shared" si="3"/>
        <v>25</v>
      </c>
    </row>
    <row r="87" spans="1:10" ht="52.05" customHeight="1">
      <c r="A87" s="3" t="str">
        <f>D_inventory!A25</f>
        <v>L21</v>
      </c>
      <c r="B87" s="3" t="str">
        <f>D_inventory!C25</f>
        <v>Vải lót mùa thu (tuổi &lt; ngưỡng nhưng dùng chậm)</v>
      </c>
      <c r="C87" s="3" t="str">
        <f>D_inventory!E25</f>
        <v>F01</v>
      </c>
      <c r="D87" s="8">
        <f>D_inventory!P25</f>
        <v>33355046.105999999</v>
      </c>
      <c r="E87" s="3">
        <f>D_inventory!N25</f>
        <v>45</v>
      </c>
      <c r="F87" s="3">
        <f>D_inventory!Q25</f>
        <v>60</v>
      </c>
      <c r="G87" s="3">
        <f>D_inventory!R25</f>
        <v>0</v>
      </c>
      <c r="H87" s="3" t="str">
        <f>D_inventory!H25</f>
        <v>Đang hoạt động</v>
      </c>
      <c r="I87" s="23">
        <f>D_inventory!T25</f>
        <v>0.23765470350525</v>
      </c>
      <c r="J87" s="3">
        <f t="shared" si="3"/>
        <v>12</v>
      </c>
    </row>
    <row r="88" spans="1:10" ht="52.05" customHeight="1">
      <c r="A88" s="5" t="str">
        <f>D_inventory!A26</f>
        <v>L22</v>
      </c>
      <c r="B88" s="5" t="str">
        <f>D_inventory!C26</f>
        <v>Vải bộ sưu tập cũ không còn đơn</v>
      </c>
      <c r="C88" s="5" t="str">
        <f>D_inventory!E26</f>
        <v>F01</v>
      </c>
      <c r="D88" s="9">
        <f>D_inventory!P26</f>
        <v>28590039.518000003</v>
      </c>
      <c r="E88" s="5">
        <f>D_inventory!N26</f>
        <v>140</v>
      </c>
      <c r="F88" s="5">
        <f>D_inventory!Q26</f>
        <v>60</v>
      </c>
      <c r="G88" s="5">
        <f>D_inventory!R26</f>
        <v>1</v>
      </c>
      <c r="H88" s="5" t="str">
        <f>D_inventory!H26</f>
        <v>Hoàn tất</v>
      </c>
      <c r="I88" s="22">
        <f>D_inventory!T26</f>
        <v>0.20370403156575004</v>
      </c>
      <c r="J88" s="5">
        <f t="shared" si="3"/>
        <v>5</v>
      </c>
    </row>
    <row r="89" spans="1:10" ht="52.05" customHeight="1">
      <c r="A89" s="3" t="str">
        <f>D_inventory!A27</f>
        <v>L23</v>
      </c>
      <c r="B89" s="3" t="str">
        <f>D_inventory!C27</f>
        <v>Keo, nhãn dệt (tồn an toàn)</v>
      </c>
      <c r="C89" s="3" t="str">
        <f>D_inventory!E27</f>
        <v>F01</v>
      </c>
      <c r="D89" s="8">
        <f>D_inventory!P27</f>
        <v>15248021.0768</v>
      </c>
      <c r="E89" s="3">
        <f>D_inventory!N27</f>
        <v>20</v>
      </c>
      <c r="F89" s="3">
        <f>D_inventory!Q27</f>
        <v>60</v>
      </c>
      <c r="G89" s="3">
        <f>D_inventory!R27</f>
        <v>0</v>
      </c>
      <c r="H89" s="3" t="str">
        <f>D_inventory!H27</f>
        <v>Đang hoạt động</v>
      </c>
      <c r="I89" s="23">
        <f>D_inventory!T27</f>
        <v>0.10864215017220001</v>
      </c>
      <c r="J89" s="3">
        <f t="shared" si="3"/>
        <v>19</v>
      </c>
    </row>
    <row r="90" spans="1:10" ht="52.05" customHeight="1">
      <c r="A90" s="5" t="str">
        <f>D_inventory!A28</f>
        <v>L24</v>
      </c>
      <c r="B90" s="5" t="str">
        <f>D_inventory!C28</f>
        <v>Thân áo cắt sẵn chờ may (K2)</v>
      </c>
      <c r="C90" s="5" t="str">
        <f>D_inventory!E28</f>
        <v>F01</v>
      </c>
      <c r="D90" s="9">
        <f>D_inventory!P28</f>
        <v>75445937.620000005</v>
      </c>
      <c r="E90" s="5">
        <f>D_inventory!N28</f>
        <v>8</v>
      </c>
      <c r="F90" s="5">
        <f>D_inventory!Q28</f>
        <v>30</v>
      </c>
      <c r="G90" s="5">
        <f>D_inventory!R28</f>
        <v>0</v>
      </c>
      <c r="H90" s="5" t="str">
        <f>D_inventory!H28</f>
        <v>Đang hoạt động</v>
      </c>
      <c r="I90" s="22">
        <f>D_inventory!T28</f>
        <v>0.5375523055425</v>
      </c>
      <c r="J90" s="5">
        <f t="shared" si="3"/>
        <v>29</v>
      </c>
    </row>
    <row r="91" spans="1:10" ht="52.05" customHeight="1">
      <c r="A91" s="3" t="str">
        <f>D_inventory!A29</f>
        <v>L25</v>
      </c>
      <c r="B91" s="3" t="str">
        <f>D_inventory!C29</f>
        <v>Áo may xong chờ thêu (tuổi &lt; ngưỡng, ùn)</v>
      </c>
      <c r="C91" s="3" t="str">
        <f>D_inventory!E29</f>
        <v>F01</v>
      </c>
      <c r="D91" s="8">
        <f>D_inventory!P29</f>
        <v>52415072.450999998</v>
      </c>
      <c r="E91" s="3">
        <f>D_inventory!N29</f>
        <v>25</v>
      </c>
      <c r="F91" s="3">
        <f>D_inventory!Q29</f>
        <v>30</v>
      </c>
      <c r="G91" s="3">
        <f>D_inventory!R29</f>
        <v>0</v>
      </c>
      <c r="H91" s="3" t="str">
        <f>D_inventory!H29</f>
        <v>Đang hoạt động</v>
      </c>
      <c r="I91" s="23">
        <f>D_inventory!T29</f>
        <v>0.37345739121337501</v>
      </c>
      <c r="J91" s="3">
        <f t="shared" si="3"/>
        <v>17</v>
      </c>
    </row>
    <row r="92" spans="1:10" ht="52.05" customHeight="1">
      <c r="A92" s="5" t="str">
        <f>D_inventory!A30</f>
        <v>L26</v>
      </c>
      <c r="B92" s="5" t="str">
        <f>D_inventory!C30</f>
        <v>Áo thun basic tồn sẵn bán nhanh</v>
      </c>
      <c r="C92" s="5" t="str">
        <f>D_inventory!E30</f>
        <v>F01</v>
      </c>
      <c r="D92" s="9">
        <f>D_inventory!P30</f>
        <v>71475098.795999989</v>
      </c>
      <c r="E92" s="5">
        <f>D_inventory!N30</f>
        <v>12</v>
      </c>
      <c r="F92" s="5">
        <f>D_inventory!Q30</f>
        <v>30</v>
      </c>
      <c r="G92" s="5">
        <f>D_inventory!R30</f>
        <v>0</v>
      </c>
      <c r="H92" s="5" t="str">
        <f>D_inventory!H30</f>
        <v>Đang hoạt động</v>
      </c>
      <c r="I92" s="22">
        <f>D_inventory!T30</f>
        <v>0.50926007892149994</v>
      </c>
      <c r="J92" s="5">
        <f t="shared" si="3"/>
        <v>26</v>
      </c>
    </row>
    <row r="93" spans="1:10" ht="52.05" customHeight="1">
      <c r="A93" s="3" t="str">
        <f>D_inventory!A31</f>
        <v>L27</v>
      </c>
      <c r="B93" s="3" t="str">
        <f>D_inventory!C31</f>
        <v>Thành phẩm bộ sưu tập mùa trước</v>
      </c>
      <c r="C93" s="3" t="str">
        <f>D_inventory!E31</f>
        <v>F01</v>
      </c>
      <c r="D93" s="8">
        <f>D_inventory!P31</f>
        <v>50826736.921999998</v>
      </c>
      <c r="E93" s="3">
        <f>D_inventory!N31</f>
        <v>150</v>
      </c>
      <c r="F93" s="3">
        <f>D_inventory!Q31</f>
        <v>30</v>
      </c>
      <c r="G93" s="3">
        <f>D_inventory!R31</f>
        <v>1</v>
      </c>
      <c r="H93" s="3" t="str">
        <f>D_inventory!H31</f>
        <v>Hoàn tất</v>
      </c>
      <c r="I93" s="23">
        <f>D_inventory!T31</f>
        <v>0.36214050056925001</v>
      </c>
      <c r="J93" s="3">
        <f t="shared" si="3"/>
        <v>4</v>
      </c>
    </row>
    <row r="94" spans="1:10" ht="52.05" customHeight="1">
      <c r="A94" s="5" t="str">
        <f>D_inventory!A32</f>
        <v>L28</v>
      </c>
      <c r="B94" s="5" t="str">
        <f>D_inventory!C32</f>
        <v>Thành phẩm chờ giao K2</v>
      </c>
      <c r="C94" s="5" t="str">
        <f>D_inventory!E32</f>
        <v>F01</v>
      </c>
      <c r="D94" s="9">
        <f>D_inventory!P32</f>
        <v>114360158.07200001</v>
      </c>
      <c r="E94" s="5">
        <f>D_inventory!N32</f>
        <v>6</v>
      </c>
      <c r="F94" s="5">
        <f>D_inventory!Q32</f>
        <v>30</v>
      </c>
      <c r="G94" s="5">
        <f>D_inventory!R32</f>
        <v>0</v>
      </c>
      <c r="H94" s="5" t="str">
        <f>D_inventory!H32</f>
        <v>Đang hoạt động</v>
      </c>
      <c r="I94" s="22">
        <f>D_inventory!T32</f>
        <v>0.81481612626300015</v>
      </c>
      <c r="J94" s="5">
        <f t="shared" si="3"/>
        <v>30</v>
      </c>
    </row>
    <row r="95" spans="1:10" ht="52.05" customHeight="1">
      <c r="A95" s="3" t="str">
        <f>D_inventory!A33</f>
        <v>L29</v>
      </c>
      <c r="B95" s="3" t="str">
        <f>D_inventory!C33</f>
        <v>Phụ kiện mua về bán lại</v>
      </c>
      <c r="C95" s="3" t="str">
        <f>D_inventory!E33</f>
        <v>F01</v>
      </c>
      <c r="D95" s="8">
        <f>D_inventory!P33</f>
        <v>23825032.932499997</v>
      </c>
      <c r="E95" s="3">
        <f>D_inventory!N33</f>
        <v>18</v>
      </c>
      <c r="F95" s="3">
        <f>D_inventory!Q33</f>
        <v>60</v>
      </c>
      <c r="G95" s="3">
        <f>D_inventory!R33</f>
        <v>0</v>
      </c>
      <c r="H95" s="3" t="str">
        <f>D_inventory!H33</f>
        <v>Đang hoạt động</v>
      </c>
      <c r="I95" s="23">
        <f>D_inventory!T33</f>
        <v>0.16975335964406249</v>
      </c>
      <c r="J95" s="3">
        <f t="shared" si="3"/>
        <v>22</v>
      </c>
    </row>
    <row r="96" spans="1:10" ht="52.05" customHeight="1">
      <c r="A96" s="5" t="str">
        <f>D_inventory!A34</f>
        <v>L30</v>
      </c>
      <c r="B96" s="5" t="str">
        <f>D_inventory!C34</f>
        <v>Hàng hóa lỗi mốt</v>
      </c>
      <c r="C96" s="5" t="str">
        <f>D_inventory!E34</f>
        <v>F01</v>
      </c>
      <c r="D96" s="9">
        <f>D_inventory!P34</f>
        <v>9530013.1728000008</v>
      </c>
      <c r="E96" s="5">
        <f>D_inventory!N34</f>
        <v>210</v>
      </c>
      <c r="F96" s="5">
        <f>D_inventory!Q34</f>
        <v>60</v>
      </c>
      <c r="G96" s="5">
        <f>D_inventory!R34</f>
        <v>1</v>
      </c>
      <c r="H96" s="5" t="str">
        <f>D_inventory!H34</f>
        <v>Hoàn tất</v>
      </c>
      <c r="I96" s="22">
        <f>D_inventory!T34</f>
        <v>6.7901343856200003E-2</v>
      </c>
      <c r="J96" s="5">
        <f t="shared" si="3"/>
        <v>2</v>
      </c>
    </row>
    <row r="97" spans="1:10" ht="52.05" customHeight="1">
      <c r="A97" s="3" t="str">
        <f>D_inventory!A35</f>
        <v>L31</v>
      </c>
      <c r="B97" s="3" t="str">
        <f>D_inventory!C35</f>
        <v>Thành phẩm sát ngưỡng 30 ngày (28 ngày)</v>
      </c>
      <c r="C97" s="3" t="str">
        <f>D_inventory!E35</f>
        <v>F01</v>
      </c>
      <c r="D97" s="8">
        <f>D_inventory!P35</f>
        <v>33355046.104499996</v>
      </c>
      <c r="E97" s="3">
        <f>D_inventory!N35</f>
        <v>28</v>
      </c>
      <c r="F97" s="3">
        <f>D_inventory!Q35</f>
        <v>30</v>
      </c>
      <c r="G97" s="3">
        <f>D_inventory!R35</f>
        <v>0</v>
      </c>
      <c r="H97" s="3" t="str">
        <f>D_inventory!H35</f>
        <v>Đang hoạt động</v>
      </c>
      <c r="I97" s="23">
        <f>D_inventory!T35</f>
        <v>0.23765470349456247</v>
      </c>
      <c r="J97" s="3">
        <f t="shared" si="3"/>
        <v>15</v>
      </c>
    </row>
    <row r="98" spans="1:10" ht="52.05" customHeight="1">
      <c r="A98" s="5" t="str">
        <f>D_inventory!A36</f>
        <v>L32</v>
      </c>
      <c r="B98" s="5" t="str">
        <f>D_inventory!C36</f>
        <v>Vải đúng ngưỡng 60 ngày (không &gt; 60)</v>
      </c>
      <c r="C98" s="5" t="str">
        <f>D_inventory!E36</f>
        <v>F01</v>
      </c>
      <c r="D98" s="9">
        <f>D_inventory!P36</f>
        <v>23825032.932</v>
      </c>
      <c r="E98" s="5">
        <f>D_inventory!N36</f>
        <v>60</v>
      </c>
      <c r="F98" s="5">
        <f>D_inventory!Q36</f>
        <v>60</v>
      </c>
      <c r="G98" s="5">
        <f>D_inventory!R36</f>
        <v>0</v>
      </c>
      <c r="H98" s="5" t="str">
        <f>D_inventory!H36</f>
        <v>Đang hoạt động</v>
      </c>
      <c r="I98" s="22">
        <f>D_inventory!T36</f>
        <v>0.16975335964050001</v>
      </c>
      <c r="J98" s="5">
        <f t="shared" si="3"/>
        <v>10</v>
      </c>
    </row>
    <row r="99" spans="1:10" ht="52.05" customHeight="1">
      <c r="A99" s="3" t="str">
        <f>D_inventory!A37</f>
        <v>L33</v>
      </c>
      <c r="B99" s="3" t="str">
        <f>D_inventory!C37</f>
        <v>Thành phẩm đã cầm cố, luân chuyển tốt</v>
      </c>
      <c r="C99" s="3" t="str">
        <f>D_inventory!E37</f>
        <v>F01</v>
      </c>
      <c r="D99" s="8">
        <f>D_inventory!P37</f>
        <v>32402044.786219969</v>
      </c>
      <c r="E99" s="3">
        <f>D_inventory!N37</f>
        <v>20</v>
      </c>
      <c r="F99" s="3">
        <f>D_inventory!Q37</f>
        <v>30</v>
      </c>
      <c r="G99" s="3">
        <f>D_inventory!R37</f>
        <v>0</v>
      </c>
      <c r="H99" s="3" t="str">
        <f>D_inventory!H37</f>
        <v>Đang hoạt động</v>
      </c>
      <c r="I99" s="23">
        <f>D_inventory!T37</f>
        <v>0.23086456910181727</v>
      </c>
      <c r="J99" s="3">
        <f t="shared" si="3"/>
        <v>19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EA8B5-1A2D-4EE1-BD7C-971680D36D89}">
  <dimension ref="A2:Y343"/>
  <sheetViews>
    <sheetView showGridLines="0" topLeftCell="K234" zoomScale="93" workbookViewId="0">
      <selection activeCell="M238" sqref="M238"/>
    </sheetView>
  </sheetViews>
  <sheetFormatPr defaultRowHeight="13.8"/>
  <cols>
    <col min="1" max="1" width="28" customWidth="1"/>
    <col min="2" max="2" width="27" customWidth="1"/>
    <col min="3" max="3" width="80" customWidth="1"/>
    <col min="4" max="25" width="23" customWidth="1"/>
  </cols>
  <sheetData>
    <row r="2" spans="1:3" ht="17.399999999999999" customHeight="1">
      <c r="A2" s="2" t="s">
        <v>1007</v>
      </c>
    </row>
    <row r="4" spans="1:3" ht="34.049999999999997" customHeight="1">
      <c r="A4" s="4" t="s">
        <v>94</v>
      </c>
      <c r="B4" s="4" t="s">
        <v>828</v>
      </c>
      <c r="C4" s="4" t="s">
        <v>1008</v>
      </c>
    </row>
    <row r="5" spans="1:3" ht="25.95" customHeight="1">
      <c r="A5" s="3" t="s">
        <v>1009</v>
      </c>
      <c r="B5" s="3" t="str">
        <f>CHOOSE(D_F01!B19,"Base","Optimistic","Conservative","Stress7","Continuing")</f>
        <v>Base</v>
      </c>
      <c r="C5" s="3" t="s">
        <v>1010</v>
      </c>
    </row>
    <row r="6" spans="1:3" ht="25.95" customHeight="1">
      <c r="A6" s="5" t="s">
        <v>1011</v>
      </c>
      <c r="B6" s="6">
        <f>D_F01!B7+1</f>
        <v>46194</v>
      </c>
      <c r="C6" s="5" t="s">
        <v>1012</v>
      </c>
    </row>
    <row r="7" spans="1:3" ht="25.95" customHeight="1">
      <c r="A7" s="3" t="s">
        <v>1013</v>
      </c>
      <c r="B7" s="7">
        <f>D_F01!B7+7*D_F01!B18</f>
        <v>46284</v>
      </c>
      <c r="C7" s="3" t="s">
        <v>1014</v>
      </c>
    </row>
    <row r="8" spans="1:3" ht="25.95" customHeight="1">
      <c r="A8" s="5" t="s">
        <v>1015</v>
      </c>
      <c r="B8" s="9">
        <f>D_F01!B11-D_F01!B12</f>
        <v>1200000000</v>
      </c>
      <c r="C8" s="5" t="s">
        <v>1016</v>
      </c>
    </row>
    <row r="9" spans="1:3" ht="25.95" customHeight="1">
      <c r="A9" s="3" t="s">
        <v>1017</v>
      </c>
      <c r="B9" s="8">
        <f>D_F01!B15</f>
        <v>250000000</v>
      </c>
      <c r="C9" s="3" t="s">
        <v>1018</v>
      </c>
    </row>
    <row r="10" spans="1:3" ht="25.95" customHeight="1">
      <c r="A10" s="5" t="s">
        <v>1019</v>
      </c>
      <c r="B10" s="9">
        <f>D_F01!B16</f>
        <v>500000000</v>
      </c>
      <c r="C10" s="5" t="s">
        <v>1020</v>
      </c>
    </row>
    <row r="11" spans="1:3" ht="25.95" customHeight="1">
      <c r="A11" s="3" t="s">
        <v>1021</v>
      </c>
      <c r="B11" s="8">
        <f>D_F01!B17</f>
        <v>1000000000</v>
      </c>
      <c r="C11" s="3" t="s">
        <v>1022</v>
      </c>
    </row>
    <row r="12" spans="1:3" ht="25.95" customHeight="1">
      <c r="A12" s="5" t="s">
        <v>1023</v>
      </c>
      <c r="B12" s="9">
        <f>MIN(G70:G160)</f>
        <v>-3063626768</v>
      </c>
      <c r="C12" s="5" t="s">
        <v>1024</v>
      </c>
    </row>
    <row r="13" spans="1:3" ht="25.95" customHeight="1">
      <c r="A13" s="3" t="s">
        <v>1025</v>
      </c>
      <c r="B13" s="7">
        <f>INDEX(A70:A160,MATCH(B12,G70:G160,0))</f>
        <v>46283</v>
      </c>
      <c r="C13" s="3" t="s">
        <v>1026</v>
      </c>
    </row>
    <row r="14" spans="1:3" ht="25.95" customHeight="1">
      <c r="A14" s="5" t="s">
        <v>1027</v>
      </c>
      <c r="B14" s="9">
        <f>MAX(H70:H160)</f>
        <v>3563626768</v>
      </c>
      <c r="C14" s="5" t="s">
        <v>1028</v>
      </c>
    </row>
    <row r="15" spans="1:3" ht="25.95" customHeight="1">
      <c r="A15" s="3" t="s">
        <v>1029</v>
      </c>
      <c r="B15" s="8">
        <f>MAX(I70:I160)</f>
        <v>3063626768</v>
      </c>
      <c r="C15" s="3" t="s">
        <v>1030</v>
      </c>
    </row>
    <row r="16" spans="1:3" ht="25.95" customHeight="1">
      <c r="A16" s="5" t="s">
        <v>1031</v>
      </c>
      <c r="B16" s="9">
        <f>MIN(0,MIN(D70:D160))</f>
        <v>-4263626768</v>
      </c>
      <c r="C16" s="5" t="s">
        <v>1032</v>
      </c>
    </row>
    <row r="17" spans="1:19" ht="25.95" customHeight="1">
      <c r="A17" s="3" t="s">
        <v>1033</v>
      </c>
      <c r="B17" s="8">
        <f>MAX(0,B10-B16)</f>
        <v>4763626768</v>
      </c>
      <c r="C17" s="3" t="s">
        <v>1034</v>
      </c>
    </row>
    <row r="18" spans="1:19" ht="25.95" customHeight="1">
      <c r="A18" s="5" t="s">
        <v>1035</v>
      </c>
      <c r="B18" s="9">
        <f>MAX(0,-B16)</f>
        <v>4263626768</v>
      </c>
      <c r="C18" s="5" t="s">
        <v>1036</v>
      </c>
    </row>
    <row r="19" spans="1:19" ht="25.95" customHeight="1">
      <c r="A19" s="3" t="s">
        <v>1037</v>
      </c>
      <c r="B19" s="8">
        <f>MAX(0,B17-B8)</f>
        <v>3563626768</v>
      </c>
      <c r="C19" s="3" t="s">
        <v>1038</v>
      </c>
    </row>
    <row r="20" spans="1:19" ht="25.95" customHeight="1">
      <c r="A20" s="5" t="s">
        <v>1039</v>
      </c>
      <c r="B20" s="6">
        <f>IF(COUNTIF(G70:G160,"&lt;"&amp;B10)=0,"n.a.",_xlfn.MINIFS(A70:A160,G70:G160,"&lt;"&amp;B10))</f>
        <v>46203</v>
      </c>
      <c r="C20" s="5" t="s">
        <v>1040</v>
      </c>
    </row>
    <row r="21" spans="1:19" ht="25.95" customHeight="1">
      <c r="A21" s="3" t="s">
        <v>1041</v>
      </c>
      <c r="B21" s="7">
        <f>IF(COUNTIF(G70:G160,"&lt;0")=0,"n.a.",_xlfn.MINIFS(A70:A160,G70:G160,"&lt;0"))</f>
        <v>46234</v>
      </c>
      <c r="C21" s="3" t="s">
        <v>1042</v>
      </c>
    </row>
    <row r="22" spans="1:19" ht="25.95" customHeight="1">
      <c r="A22" s="5" t="s">
        <v>1043</v>
      </c>
      <c r="B22" s="5" t="str">
        <f>CHOOSE(MAX(K70:K160)+1,"Không cảnh báo","Vàng","Cam","Đỏ")</f>
        <v>Đỏ</v>
      </c>
      <c r="C22" s="5" t="s">
        <v>1044</v>
      </c>
    </row>
    <row r="23" spans="1:19" ht="25.95" customHeight="1">
      <c r="A23" s="3" t="s">
        <v>1045</v>
      </c>
      <c r="B23" s="3" t="str">
        <f>IF(D_F01!B19&lt;&gt;1,"Chọn Base để định tuyến",IF(MIN(G70:G160)&lt;B10,"TH01",IF(MAX(M70:M160)&gt;=14,"TH03","TH02")))</f>
        <v>TH01</v>
      </c>
      <c r="C23" s="3" t="s">
        <v>1046</v>
      </c>
    </row>
    <row r="24" spans="1:19" ht="25.95" customHeight="1">
      <c r="A24" s="5" t="s">
        <v>1047</v>
      </c>
      <c r="B24" s="5" t="str">
        <f>IF(D_F01!B19&lt;&gt;1,"n.a.",IF(F01_UC1!B30="unknown","n.a.","M"&amp;(VALUE(RIGHT(F01_UC1!B30,1))*3+VALUE(RIGHT(B23,1)))))</f>
        <v>M4</v>
      </c>
      <c r="C24" s="5" t="s">
        <v>1048</v>
      </c>
    </row>
    <row r="25" spans="1:19" ht="25.95" customHeight="1">
      <c r="A25" s="3" t="s">
        <v>1049</v>
      </c>
      <c r="B25" s="3" t="s">
        <v>1050</v>
      </c>
      <c r="C25" s="3" t="s">
        <v>1051</v>
      </c>
    </row>
    <row r="26" spans="1:19" ht="25.95" customHeight="1">
      <c r="A26" s="5" t="s">
        <v>1052</v>
      </c>
      <c r="B26" s="5" t="str">
        <f>D_F01!B20</f>
        <v>run_off</v>
      </c>
      <c r="C26" s="5" t="s">
        <v>1053</v>
      </c>
    </row>
    <row r="28" spans="1:19" ht="43.95" customHeight="1">
      <c r="A28" s="4" t="s">
        <v>1054</v>
      </c>
      <c r="B28" s="4" t="s">
        <v>1011</v>
      </c>
      <c r="C28" s="4" t="s">
        <v>1013</v>
      </c>
      <c r="D28" s="4" t="s">
        <v>1055</v>
      </c>
      <c r="E28" s="4" t="s">
        <v>1056</v>
      </c>
      <c r="F28" s="4" t="s">
        <v>1057</v>
      </c>
      <c r="G28" s="4" t="s">
        <v>1058</v>
      </c>
      <c r="H28" s="4" t="s">
        <v>1059</v>
      </c>
      <c r="I28" s="4" t="s">
        <v>1060</v>
      </c>
      <c r="J28" s="4" t="s">
        <v>1061</v>
      </c>
      <c r="L28" s="28" t="s">
        <v>1062</v>
      </c>
      <c r="M28" s="28" t="s">
        <v>1011</v>
      </c>
      <c r="N28" s="28" t="s">
        <v>1013</v>
      </c>
      <c r="O28" s="28" t="s">
        <v>1063</v>
      </c>
      <c r="P28" s="28" t="s">
        <v>1049</v>
      </c>
      <c r="Q28" s="28" t="s">
        <v>1061</v>
      </c>
      <c r="R28" s="28" t="s">
        <v>1064</v>
      </c>
      <c r="S28" s="28" t="s">
        <v>742</v>
      </c>
    </row>
    <row r="29" spans="1:19" ht="30" customHeight="1">
      <c r="A29" s="3">
        <v>1</v>
      </c>
      <c r="B29" s="7">
        <f>$B$6+0</f>
        <v>46194</v>
      </c>
      <c r="C29" s="7">
        <f t="shared" ref="C29:C41" si="0">B29+6</f>
        <v>46200</v>
      </c>
      <c r="D29" s="8">
        <f t="shared" ref="D29:D41" si="1">SUMIFS($B$70:$B$160,$A$70:$A$160,"&gt;="&amp;B29,$A$70:$A$160,"&lt;="&amp;C29)</f>
        <v>869815315</v>
      </c>
      <c r="E29" s="8">
        <f t="shared" ref="E29:E41" si="2">SUMIFS($C$70:$C$160,$A$70:$A$160,"&gt;="&amp;B29,$A$70:$A$160,"&lt;="&amp;C29)</f>
        <v>315656774</v>
      </c>
      <c r="F29" s="8">
        <f t="shared" ref="F29:F41" si="3">INDEX($G$70:$G$160,MATCH(C29,$A$70:$A$160,0))</f>
        <v>1754158541</v>
      </c>
      <c r="G29" s="8">
        <f t="shared" ref="G29:G41" si="4">_xlfn.MINIFS($G$70:$G$160,$A$70:$A$160,"&gt;="&amp;B29,$A$70:$A$160,"&lt;="&amp;C29)</f>
        <v>1173205255</v>
      </c>
      <c r="H29" s="7">
        <f t="shared" ref="H29:H41" si="5">_xlfn.MINIFS($A$70:$A$160,$A$70:$A$160,"&gt;="&amp;B29,$A$70:$A$160,"&lt;="&amp;C29,$G$70:$G$160,G29)</f>
        <v>46194</v>
      </c>
      <c r="I29" s="3">
        <f t="shared" ref="I29:I41" si="6">INDEX($K$70:$K$160,MATCH(C29,$A$70:$A$160,0))</f>
        <v>0</v>
      </c>
      <c r="J29" s="3">
        <f t="shared" ref="J29:J41" si="7">_xlfn.MAXIFS($K$70:$K$160,$A$70:$A$160,"&gt;="&amp;B29,$A$70:$A$160,"&lt;="&amp;C29)</f>
        <v>0</v>
      </c>
      <c r="L29">
        <f>1</f>
        <v>1</v>
      </c>
      <c r="M29" s="32">
        <f>$B$6+0</f>
        <v>46194</v>
      </c>
      <c r="N29" s="32">
        <f t="shared" ref="N29:N35" si="8">MIN($B$7,M29+13)</f>
        <v>46207</v>
      </c>
      <c r="O29" s="29">
        <f t="shared" ref="O29:O35" si="9">_xlfn.MINIFS($G$70:$G$160,$A$70:$A$160,"&gt;="&amp;M29,$A$70:$A$160,"&lt;="&amp;N29)</f>
        <v>797304</v>
      </c>
      <c r="P29" t="str">
        <f t="shared" ref="P29:P35" si="10">IF(O29&lt;$B$10,"Thiếu",IF(O29&gt;$B$11,"Dư","Cân bằng"))</f>
        <v>Thiếu</v>
      </c>
      <c r="Q29">
        <f t="shared" ref="Q29:Q35" si="11">_xlfn.MAXIFS($K$70:$K$160,$A$70:$A$160,"&gt;="&amp;M29,$A$70:$A$160,"&lt;="&amp;N29)</f>
        <v>3</v>
      </c>
      <c r="R29">
        <f t="shared" ref="R29:R35" si="12">N29-M29+1</f>
        <v>14</v>
      </c>
      <c r="S29" t="str">
        <f t="shared" ref="S29:S35" si="13">IF(R29=7,"Khối cuối 7 ngày","Khối 14 ngày")</f>
        <v>Khối 14 ngày</v>
      </c>
    </row>
    <row r="30" spans="1:19" ht="30" customHeight="1">
      <c r="A30" s="5">
        <v>2</v>
      </c>
      <c r="B30" s="6">
        <f>$B$6+7</f>
        <v>46201</v>
      </c>
      <c r="C30" s="6">
        <f t="shared" si="0"/>
        <v>46207</v>
      </c>
      <c r="D30" s="9">
        <f t="shared" si="1"/>
        <v>1961945965</v>
      </c>
      <c r="E30" s="9">
        <f t="shared" si="2"/>
        <v>3192473589</v>
      </c>
      <c r="F30" s="9">
        <f t="shared" si="3"/>
        <v>523630917</v>
      </c>
      <c r="G30" s="9">
        <f t="shared" si="4"/>
        <v>797304</v>
      </c>
      <c r="H30" s="6">
        <f t="shared" si="5"/>
        <v>46203</v>
      </c>
      <c r="I30" s="5">
        <f t="shared" si="6"/>
        <v>0</v>
      </c>
      <c r="J30" s="5">
        <f t="shared" si="7"/>
        <v>3</v>
      </c>
      <c r="L30">
        <f>2</f>
        <v>2</v>
      </c>
      <c r="M30" s="32">
        <f>$B$6+14</f>
        <v>46208</v>
      </c>
      <c r="N30" s="32">
        <f t="shared" si="8"/>
        <v>46221</v>
      </c>
      <c r="O30" s="29">
        <f t="shared" si="9"/>
        <v>470478434</v>
      </c>
      <c r="P30" t="str">
        <f t="shared" si="10"/>
        <v>Thiếu</v>
      </c>
      <c r="Q30">
        <f t="shared" si="11"/>
        <v>1</v>
      </c>
      <c r="R30">
        <f t="shared" si="12"/>
        <v>14</v>
      </c>
      <c r="S30" t="str">
        <f t="shared" si="13"/>
        <v>Khối 14 ngày</v>
      </c>
    </row>
    <row r="31" spans="1:19" ht="30" customHeight="1">
      <c r="A31" s="3">
        <v>3</v>
      </c>
      <c r="B31" s="7">
        <f>$B$6+14</f>
        <v>46208</v>
      </c>
      <c r="C31" s="7">
        <f t="shared" si="0"/>
        <v>46214</v>
      </c>
      <c r="D31" s="8">
        <f t="shared" si="1"/>
        <v>918677924</v>
      </c>
      <c r="E31" s="8">
        <f t="shared" si="2"/>
        <v>207442851</v>
      </c>
      <c r="F31" s="8">
        <f t="shared" si="3"/>
        <v>1234865990</v>
      </c>
      <c r="G31" s="8">
        <f t="shared" si="4"/>
        <v>470478434</v>
      </c>
      <c r="H31" s="7">
        <f t="shared" si="5"/>
        <v>46208</v>
      </c>
      <c r="I31" s="3">
        <f t="shared" si="6"/>
        <v>0</v>
      </c>
      <c r="J31" s="3">
        <f t="shared" si="7"/>
        <v>1</v>
      </c>
      <c r="L31">
        <f>3</f>
        <v>3</v>
      </c>
      <c r="M31" s="32">
        <f>$B$6+28</f>
        <v>46222</v>
      </c>
      <c r="N31" s="32">
        <f t="shared" si="8"/>
        <v>46235</v>
      </c>
      <c r="O31" s="29">
        <f t="shared" si="9"/>
        <v>-522821317</v>
      </c>
      <c r="P31" t="str">
        <f t="shared" si="10"/>
        <v>Thiếu</v>
      </c>
      <c r="Q31">
        <f t="shared" si="11"/>
        <v>3</v>
      </c>
      <c r="R31">
        <f t="shared" si="12"/>
        <v>14</v>
      </c>
      <c r="S31" t="str">
        <f t="shared" si="13"/>
        <v>Khối 14 ngày</v>
      </c>
    </row>
    <row r="32" spans="1:19" ht="30" customHeight="1">
      <c r="A32" s="5">
        <v>4</v>
      </c>
      <c r="B32" s="6">
        <f>$B$6+21</f>
        <v>46215</v>
      </c>
      <c r="C32" s="6">
        <f t="shared" si="0"/>
        <v>46221</v>
      </c>
      <c r="D32" s="9">
        <f t="shared" si="1"/>
        <v>743512543</v>
      </c>
      <c r="E32" s="9">
        <f t="shared" si="2"/>
        <v>275438990</v>
      </c>
      <c r="F32" s="9">
        <f t="shared" si="3"/>
        <v>1702939543</v>
      </c>
      <c r="G32" s="9">
        <f t="shared" si="4"/>
        <v>1234865990</v>
      </c>
      <c r="H32" s="6">
        <f t="shared" si="5"/>
        <v>46215</v>
      </c>
      <c r="I32" s="5">
        <f t="shared" si="6"/>
        <v>0</v>
      </c>
      <c r="J32" s="5">
        <f t="shared" si="7"/>
        <v>0</v>
      </c>
      <c r="L32">
        <f>4</f>
        <v>4</v>
      </c>
      <c r="M32" s="32">
        <f>$B$6+42</f>
        <v>46236</v>
      </c>
      <c r="N32" s="32">
        <f t="shared" si="8"/>
        <v>46249</v>
      </c>
      <c r="O32" s="29">
        <f t="shared" si="9"/>
        <v>-522821317</v>
      </c>
      <c r="P32" t="str">
        <f t="shared" si="10"/>
        <v>Thiếu</v>
      </c>
      <c r="Q32">
        <f t="shared" si="11"/>
        <v>3</v>
      </c>
      <c r="R32">
        <f t="shared" si="12"/>
        <v>14</v>
      </c>
      <c r="S32" t="str">
        <f t="shared" si="13"/>
        <v>Khối 14 ngày</v>
      </c>
    </row>
    <row r="33" spans="1:19" ht="30" customHeight="1">
      <c r="A33" s="3">
        <v>5</v>
      </c>
      <c r="B33" s="7">
        <f>$B$6+28</f>
        <v>46222</v>
      </c>
      <c r="C33" s="7">
        <f t="shared" si="0"/>
        <v>46228</v>
      </c>
      <c r="D33" s="8">
        <f t="shared" si="1"/>
        <v>821516015</v>
      </c>
      <c r="E33" s="8">
        <f t="shared" si="2"/>
        <v>343087379</v>
      </c>
      <c r="F33" s="8">
        <f t="shared" si="3"/>
        <v>2181368179</v>
      </c>
      <c r="G33" s="8">
        <f t="shared" si="4"/>
        <v>1964661800</v>
      </c>
      <c r="H33" s="7">
        <f t="shared" si="5"/>
        <v>46222</v>
      </c>
      <c r="I33" s="3">
        <f t="shared" si="6"/>
        <v>0</v>
      </c>
      <c r="J33" s="3">
        <f t="shared" si="7"/>
        <v>0</v>
      </c>
      <c r="L33">
        <f>5</f>
        <v>5</v>
      </c>
      <c r="M33" s="32">
        <f>$B$6+56</f>
        <v>46250</v>
      </c>
      <c r="N33" s="32">
        <f t="shared" si="8"/>
        <v>46263</v>
      </c>
      <c r="O33" s="29">
        <f t="shared" si="9"/>
        <v>-63697085</v>
      </c>
      <c r="P33" t="str">
        <f t="shared" si="10"/>
        <v>Thiếu</v>
      </c>
      <c r="Q33">
        <f t="shared" si="11"/>
        <v>3</v>
      </c>
      <c r="R33">
        <f t="shared" si="12"/>
        <v>14</v>
      </c>
      <c r="S33" t="str">
        <f t="shared" si="13"/>
        <v>Khối 14 ngày</v>
      </c>
    </row>
    <row r="34" spans="1:19" ht="30" customHeight="1">
      <c r="A34" s="5">
        <v>6</v>
      </c>
      <c r="B34" s="6">
        <f>$B$6+35</f>
        <v>46229</v>
      </c>
      <c r="C34" s="6">
        <f t="shared" si="0"/>
        <v>46235</v>
      </c>
      <c r="D34" s="9">
        <f t="shared" si="1"/>
        <v>245153067</v>
      </c>
      <c r="E34" s="9">
        <f t="shared" si="2"/>
        <v>2949342563</v>
      </c>
      <c r="F34" s="9">
        <f t="shared" si="3"/>
        <v>-522821317</v>
      </c>
      <c r="G34" s="9">
        <f t="shared" si="4"/>
        <v>-522821317</v>
      </c>
      <c r="H34" s="6">
        <f t="shared" si="5"/>
        <v>46235</v>
      </c>
      <c r="I34" s="5">
        <f t="shared" si="6"/>
        <v>3</v>
      </c>
      <c r="J34" s="5">
        <f t="shared" si="7"/>
        <v>3</v>
      </c>
      <c r="L34">
        <f>6</f>
        <v>6</v>
      </c>
      <c r="M34" s="32">
        <f>$B$6+70</f>
        <v>46264</v>
      </c>
      <c r="N34" s="32">
        <f t="shared" si="8"/>
        <v>46277</v>
      </c>
      <c r="O34" s="29">
        <f t="shared" si="9"/>
        <v>-2883626768</v>
      </c>
      <c r="P34" t="str">
        <f t="shared" si="10"/>
        <v>Thiếu</v>
      </c>
      <c r="Q34">
        <f t="shared" si="11"/>
        <v>3</v>
      </c>
      <c r="R34">
        <f t="shared" si="12"/>
        <v>14</v>
      </c>
      <c r="S34" t="str">
        <f t="shared" si="13"/>
        <v>Khối 14 ngày</v>
      </c>
    </row>
    <row r="35" spans="1:19" ht="30" customHeight="1">
      <c r="A35" s="3">
        <v>7</v>
      </c>
      <c r="B35" s="7">
        <f>$B$6+42</f>
        <v>46236</v>
      </c>
      <c r="C35" s="7">
        <f t="shared" si="0"/>
        <v>46242</v>
      </c>
      <c r="D35" s="8">
        <f t="shared" si="1"/>
        <v>0</v>
      </c>
      <c r="E35" s="8">
        <f t="shared" si="2"/>
        <v>0</v>
      </c>
      <c r="F35" s="8">
        <f t="shared" si="3"/>
        <v>-522821317</v>
      </c>
      <c r="G35" s="8">
        <f t="shared" si="4"/>
        <v>-522821317</v>
      </c>
      <c r="H35" s="7">
        <f t="shared" si="5"/>
        <v>46236</v>
      </c>
      <c r="I35" s="3">
        <f t="shared" si="6"/>
        <v>3</v>
      </c>
      <c r="J35" s="3">
        <f t="shared" si="7"/>
        <v>3</v>
      </c>
      <c r="L35">
        <f>7</f>
        <v>7</v>
      </c>
      <c r="M35" s="32">
        <f>$B$6+84</f>
        <v>46278</v>
      </c>
      <c r="N35" s="32">
        <f t="shared" si="8"/>
        <v>46284</v>
      </c>
      <c r="O35" s="29">
        <f t="shared" si="9"/>
        <v>-3063626768</v>
      </c>
      <c r="P35" t="str">
        <f t="shared" si="10"/>
        <v>Thiếu</v>
      </c>
      <c r="Q35">
        <f t="shared" si="11"/>
        <v>3</v>
      </c>
      <c r="R35">
        <f t="shared" si="12"/>
        <v>7</v>
      </c>
      <c r="S35" t="str">
        <f t="shared" si="13"/>
        <v>Khối cuối 7 ngày</v>
      </c>
    </row>
    <row r="36" spans="1:19" ht="25.95" customHeight="1">
      <c r="A36" s="5">
        <v>8</v>
      </c>
      <c r="B36" s="6">
        <f>$B$6+49</f>
        <v>46243</v>
      </c>
      <c r="C36" s="6">
        <f t="shared" si="0"/>
        <v>46249</v>
      </c>
      <c r="D36" s="9">
        <f t="shared" si="1"/>
        <v>1044554756</v>
      </c>
      <c r="E36" s="9">
        <f t="shared" si="2"/>
        <v>537397260</v>
      </c>
      <c r="F36" s="9">
        <f t="shared" si="3"/>
        <v>-15663821</v>
      </c>
      <c r="G36" s="9">
        <f t="shared" si="4"/>
        <v>-522821317</v>
      </c>
      <c r="H36" s="6">
        <f t="shared" si="5"/>
        <v>46243</v>
      </c>
      <c r="I36" s="5">
        <f t="shared" si="6"/>
        <v>3</v>
      </c>
      <c r="J36" s="5">
        <f t="shared" si="7"/>
        <v>3</v>
      </c>
    </row>
    <row r="37" spans="1:19" ht="40.049999999999997" customHeight="1">
      <c r="A37" s="3">
        <v>9</v>
      </c>
      <c r="B37" s="7">
        <f>$B$6+56</f>
        <v>46250</v>
      </c>
      <c r="C37" s="7">
        <f t="shared" si="0"/>
        <v>46256</v>
      </c>
      <c r="D37" s="8">
        <f t="shared" si="1"/>
        <v>280070317</v>
      </c>
      <c r="E37" s="8">
        <f t="shared" si="2"/>
        <v>228033264</v>
      </c>
      <c r="F37" s="8">
        <f t="shared" si="3"/>
        <v>36373232</v>
      </c>
      <c r="G37" s="8">
        <f t="shared" si="4"/>
        <v>-63697085</v>
      </c>
      <c r="H37" s="7">
        <f t="shared" si="5"/>
        <v>46252</v>
      </c>
      <c r="I37" s="3">
        <f t="shared" si="6"/>
        <v>3</v>
      </c>
      <c r="J37" s="3">
        <f t="shared" si="7"/>
        <v>3</v>
      </c>
      <c r="L37" s="18" t="s">
        <v>1065</v>
      </c>
      <c r="M37" s="18" t="b">
        <f>OR(AND(P29="Thiếu",P30="Thiếu",R29+R30&gt;=28),AND(P30="Thiếu",P31="Thiếu",R30+R31&gt;=28),AND(P31="Thiếu",P32="Thiếu",R31+R32&gt;=28),AND(P32="Thiếu",P33="Thiếu",R32+R33&gt;=28),AND(P33="Thiếu",P34="Thiếu",R33+R34&gt;=28),AND(P34="Thiếu",P35="Thiếu",R34+R35&gt;=28))</f>
        <v>1</v>
      </c>
    </row>
    <row r="38" spans="1:19" ht="40.049999999999997" customHeight="1">
      <c r="A38" s="5">
        <v>10</v>
      </c>
      <c r="B38" s="6">
        <f>$B$6+63</f>
        <v>46257</v>
      </c>
      <c r="C38" s="6">
        <f t="shared" si="0"/>
        <v>46263</v>
      </c>
      <c r="D38" s="9">
        <f t="shared" si="1"/>
        <v>0</v>
      </c>
      <c r="E38" s="9">
        <f t="shared" si="2"/>
        <v>0</v>
      </c>
      <c r="F38" s="9">
        <f t="shared" si="3"/>
        <v>36373232</v>
      </c>
      <c r="G38" s="9">
        <f t="shared" si="4"/>
        <v>36373232</v>
      </c>
      <c r="H38" s="6">
        <f t="shared" si="5"/>
        <v>46257</v>
      </c>
      <c r="I38" s="5">
        <f t="shared" si="6"/>
        <v>3</v>
      </c>
      <c r="J38" s="5">
        <f t="shared" si="7"/>
        <v>3</v>
      </c>
      <c r="L38" s="18"/>
      <c r="M38" s="18"/>
    </row>
    <row r="39" spans="1:19" ht="40.049999999999997" customHeight="1">
      <c r="A39" s="3">
        <v>11</v>
      </c>
      <c r="B39" s="7">
        <f>$B$6+70</f>
        <v>46264</v>
      </c>
      <c r="C39" s="7">
        <f t="shared" si="0"/>
        <v>46270</v>
      </c>
      <c r="D39" s="8">
        <f t="shared" si="1"/>
        <v>0</v>
      </c>
      <c r="E39" s="8">
        <f t="shared" si="2"/>
        <v>2920000000</v>
      </c>
      <c r="F39" s="8">
        <f t="shared" si="3"/>
        <v>-2883626768</v>
      </c>
      <c r="G39" s="8">
        <f t="shared" si="4"/>
        <v>-2883626768</v>
      </c>
      <c r="H39" s="7">
        <f t="shared" si="5"/>
        <v>46266</v>
      </c>
      <c r="I39" s="3">
        <f t="shared" si="6"/>
        <v>3</v>
      </c>
      <c r="J39" s="3">
        <f t="shared" si="7"/>
        <v>3</v>
      </c>
      <c r="L39" s="18" t="s">
        <v>1066</v>
      </c>
      <c r="M39" s="33">
        <f>SUMIFS(E220:E341,D220:D341,"OUT",Q220:Q341,1)/91</f>
        <v>113122492.34065934</v>
      </c>
    </row>
    <row r="40" spans="1:19" ht="40.049999999999997" customHeight="1">
      <c r="A40" s="5">
        <v>12</v>
      </c>
      <c r="B40" s="6">
        <f>$B$6+77</f>
        <v>46271</v>
      </c>
      <c r="C40" s="6">
        <f t="shared" si="0"/>
        <v>46277</v>
      </c>
      <c r="D40" s="9">
        <f t="shared" si="1"/>
        <v>0</v>
      </c>
      <c r="E40" s="9">
        <f t="shared" si="2"/>
        <v>0</v>
      </c>
      <c r="F40" s="9">
        <f t="shared" si="3"/>
        <v>-2883626768</v>
      </c>
      <c r="G40" s="9">
        <f t="shared" si="4"/>
        <v>-2883626768</v>
      </c>
      <c r="H40" s="6">
        <f t="shared" si="5"/>
        <v>46271</v>
      </c>
      <c r="I40" s="5">
        <f t="shared" si="6"/>
        <v>3</v>
      </c>
      <c r="J40" s="5">
        <f t="shared" si="7"/>
        <v>3</v>
      </c>
      <c r="L40" s="18" t="s">
        <v>1067</v>
      </c>
      <c r="M40" s="33">
        <f>M39*15</f>
        <v>1696837385.10989</v>
      </c>
    </row>
    <row r="41" spans="1:19" ht="66" customHeight="1">
      <c r="A41" s="3">
        <v>13</v>
      </c>
      <c r="B41" s="7">
        <f>$B$6+84</f>
        <v>46278</v>
      </c>
      <c r="C41" s="7">
        <f t="shared" si="0"/>
        <v>46284</v>
      </c>
      <c r="D41" s="8">
        <f t="shared" si="1"/>
        <v>0</v>
      </c>
      <c r="E41" s="8">
        <f t="shared" si="2"/>
        <v>180000000</v>
      </c>
      <c r="F41" s="8">
        <f t="shared" si="3"/>
        <v>-3063626768</v>
      </c>
      <c r="G41" s="8">
        <f t="shared" si="4"/>
        <v>-3063626768</v>
      </c>
      <c r="H41" s="7">
        <f t="shared" si="5"/>
        <v>46283</v>
      </c>
      <c r="I41" s="3">
        <f t="shared" si="6"/>
        <v>3</v>
      </c>
      <c r="J41" s="3">
        <f t="shared" si="7"/>
        <v>3</v>
      </c>
      <c r="L41" s="18" t="s">
        <v>1068</v>
      </c>
      <c r="M41" s="18" t="str">
        <f>IF(B9&lt;M40,"Rmin demo thấp hơn 15 ngày chi thiết yếu","Không thấp hơn 15 ngày chi")</f>
        <v>Rmin demo thấp hơn 15 ngày chi thiết yếu</v>
      </c>
    </row>
    <row r="45" spans="1:19" ht="34.049999999999997" customHeight="1">
      <c r="A45" s="4" t="s">
        <v>938</v>
      </c>
      <c r="B45" s="4" t="s">
        <v>1069</v>
      </c>
      <c r="C45" s="4" t="s">
        <v>1070</v>
      </c>
      <c r="D45" s="4" t="s">
        <v>1071</v>
      </c>
      <c r="E45" s="4" t="s">
        <v>1072</v>
      </c>
      <c r="F45" s="4" t="s">
        <v>1073</v>
      </c>
      <c r="G45" s="4" t="s">
        <v>1074</v>
      </c>
      <c r="H45" s="4" t="s">
        <v>1075</v>
      </c>
      <c r="I45" s="4" t="s">
        <v>1076</v>
      </c>
      <c r="J45" s="4" t="s">
        <v>1077</v>
      </c>
    </row>
    <row r="46" spans="1:19" ht="25.95" customHeight="1">
      <c r="A46" s="3" t="s">
        <v>952</v>
      </c>
      <c r="B46" s="3">
        <f>COUNTIFS(D_sales!$C$5:$C$115,A46,D_sales!$W$5:$W$115,1)</f>
        <v>19</v>
      </c>
      <c r="C46" s="3" t="str">
        <f>IF(B46&gt;=D_F01!$B$26,"customer",IF(SUM(D_sales!$W$5:$W$115)&gt;=D_F01!$B$26,"firm","default"))</f>
        <v>customer</v>
      </c>
      <c r="D46" s="3">
        <f>IF(C46="customer",B46,IF(C46="firm",SUM(D_sales!$W$5:$W$115),0))</f>
        <v>19</v>
      </c>
      <c r="E46" s="3">
        <f>IF(C46="default",D_F01!$B$28,IF(C46="customer",SUMIFS(D_sales!$X$5:$X$115,D_sales!$C$5:$C$115,A46)/SUMIFS(D_sales!$V$5:$V$115,D_sales!$C$5:$C$115,A46),SUM(D_sales!$X$5:$X$115)/SUM(D_sales!$V$5:$V$115)))</f>
        <v>17.652057646717719</v>
      </c>
      <c r="F46" s="3">
        <f>IF(C46="default",D_F01!$B$28,IF(C46="customer",PERCENTILE(_xlfn._xlws.FILTER(D_sales!$U$5:$U$115,(D_sales!$C$5:$C$115=A46)*(D_sales!$W$5:$W$115=1)),0.25),PERCENTILE(_xlfn._xlws.FILTER(D_sales!$U$5:$U$115,D_sales!$W$5:$W$115=1),0.25)))</f>
        <v>12</v>
      </c>
      <c r="G46" s="3">
        <f>IF(C46="default",D_F01!$B$28,IF(C46="customer",PERCENTILE(_xlfn._xlws.FILTER(D_sales!$U$5:$U$115,(D_sales!$C$5:$C$115=A46)*(D_sales!$W$5:$W$115=1)),0.75),PERCENTILE(_xlfn._xlws.FILTER(D_sales!$U$5:$U$115,D_sales!$W$5:$W$115=1),0.75)))</f>
        <v>22.5</v>
      </c>
      <c r="H46" s="3">
        <f t="shared" ref="H46:H54" si="14">MIN(E46,F46)</f>
        <v>12</v>
      </c>
      <c r="I46" s="3">
        <f t="shared" ref="I46:I54" si="15">MAX(E46,G46)</f>
        <v>22.5</v>
      </c>
      <c r="J46" s="3">
        <f>IF(C46="customer",SUMIFS(D_sales!$Y$5:$Y$115,D_sales!$C$5:$C$115,A46),IF(C46="firm",SUM(D_sales!$Y$5:$Y$115),0))</f>
        <v>5</v>
      </c>
    </row>
    <row r="47" spans="1:19" ht="25.95" customHeight="1">
      <c r="A47" s="5" t="s">
        <v>954</v>
      </c>
      <c r="B47" s="5">
        <f>COUNTIFS(D_sales!$C$5:$C$115,A47,D_sales!$W$5:$W$115,1)</f>
        <v>23</v>
      </c>
      <c r="C47" s="5" t="str">
        <f>IF(B47&gt;=D_F01!$B$26,"customer",IF(SUM(D_sales!$W$5:$W$115)&gt;=D_F01!$B$26,"firm","default"))</f>
        <v>customer</v>
      </c>
      <c r="D47" s="5">
        <f>IF(C47="customer",B47,IF(C47="firm",SUM(D_sales!$W$5:$W$115),0))</f>
        <v>23</v>
      </c>
      <c r="E47" s="5">
        <f>IF(C47="default",D_F01!$B$28,IF(C47="customer",SUMIFS(D_sales!$X$5:$X$115,D_sales!$C$5:$C$115,A47)/SUMIFS(D_sales!$V$5:$V$115,D_sales!$C$5:$C$115,A47),SUM(D_sales!$X$5:$X$115)/SUM(D_sales!$V$5:$V$115)))</f>
        <v>1.1726666018725884</v>
      </c>
      <c r="F47" s="5">
        <f>IF(C47="default",D_F01!$B$28,IF(C47="customer",PERCENTILE(_xlfn._xlws.FILTER(D_sales!$U$5:$U$115,(D_sales!$C$5:$C$115=A47)*(D_sales!$W$5:$W$115=1)),0.25),PERCENTILE(_xlfn._xlws.FILTER(D_sales!$U$5:$U$115,D_sales!$W$5:$W$115=1),0.25)))</f>
        <v>0</v>
      </c>
      <c r="G47" s="5">
        <f>IF(C47="default",D_F01!$B$28,IF(C47="customer",PERCENTILE(_xlfn._xlws.FILTER(D_sales!$U$5:$U$115,(D_sales!$C$5:$C$115=A47)*(D_sales!$W$5:$W$115=1)),0.75),PERCENTILE(_xlfn._xlws.FILTER(D_sales!$U$5:$U$115,D_sales!$W$5:$W$115=1),0.75)))</f>
        <v>3</v>
      </c>
      <c r="H47" s="5">
        <f t="shared" si="14"/>
        <v>0</v>
      </c>
      <c r="I47" s="5">
        <f t="shared" si="15"/>
        <v>3</v>
      </c>
      <c r="J47" s="5">
        <f>IF(C47="customer",SUMIFS(D_sales!$Y$5:$Y$115,D_sales!$C$5:$C$115,A47),IF(C47="firm",SUM(D_sales!$Y$5:$Y$115),0))</f>
        <v>0</v>
      </c>
    </row>
    <row r="48" spans="1:19" ht="25.95" customHeight="1">
      <c r="A48" s="3" t="s">
        <v>956</v>
      </c>
      <c r="B48" s="3">
        <f>COUNTIFS(D_sales!$C$5:$C$115,A48,D_sales!$W$5:$W$115,1)</f>
        <v>17</v>
      </c>
      <c r="C48" s="3" t="str">
        <f>IF(B48&gt;=D_F01!$B$26,"customer",IF(SUM(D_sales!$W$5:$W$115)&gt;=D_F01!$B$26,"firm","default"))</f>
        <v>customer</v>
      </c>
      <c r="D48" s="3">
        <f>IF(C48="customer",B48,IF(C48="firm",SUM(D_sales!$W$5:$W$115),0))</f>
        <v>17</v>
      </c>
      <c r="E48" s="3">
        <f>IF(C48="default",D_F01!$B$28,IF(C48="customer",SUMIFS(D_sales!$X$5:$X$115,D_sales!$C$5:$C$115,A48)/SUMIFS(D_sales!$V$5:$V$115,D_sales!$C$5:$C$115,A48),SUM(D_sales!$X$5:$X$115)/SUM(D_sales!$V$5:$V$115)))</f>
        <v>9.766979739074575</v>
      </c>
      <c r="F48" s="3">
        <f>IF(C48="default",D_F01!$B$28,IF(C48="customer",PERCENTILE(_xlfn._xlws.FILTER(D_sales!$U$5:$U$115,(D_sales!$C$5:$C$115=A48)*(D_sales!$W$5:$W$115=1)),0.25),PERCENTILE(_xlfn._xlws.FILTER(D_sales!$U$5:$U$115,D_sales!$W$5:$W$115=1),0.25)))</f>
        <v>4</v>
      </c>
      <c r="G48" s="3">
        <f>IF(C48="default",D_F01!$B$28,IF(C48="customer",PERCENTILE(_xlfn._xlws.FILTER(D_sales!$U$5:$U$115,(D_sales!$C$5:$C$115=A48)*(D_sales!$W$5:$W$115=1)),0.75),PERCENTILE(_xlfn._xlws.FILTER(D_sales!$U$5:$U$115,D_sales!$W$5:$W$115=1),0.75)))</f>
        <v>10</v>
      </c>
      <c r="H48" s="3">
        <f t="shared" si="14"/>
        <v>4</v>
      </c>
      <c r="I48" s="3">
        <f t="shared" si="15"/>
        <v>10</v>
      </c>
      <c r="J48" s="3">
        <f>IF(C48="customer",SUMIFS(D_sales!$Y$5:$Y$115,D_sales!$C$5:$C$115,A48),IF(C48="firm",SUM(D_sales!$Y$5:$Y$115),0))</f>
        <v>2</v>
      </c>
    </row>
    <row r="49" spans="1:10" ht="25.95" customHeight="1">
      <c r="A49" s="5" t="s">
        <v>958</v>
      </c>
      <c r="B49" s="5">
        <f>COUNTIFS(D_sales!$C$5:$C$115,A49,D_sales!$W$5:$W$115,1)</f>
        <v>6</v>
      </c>
      <c r="C49" s="5" t="str">
        <f>IF(B49&gt;=D_F01!$B$26,"customer",IF(SUM(D_sales!$W$5:$W$115)&gt;=D_F01!$B$26,"firm","default"))</f>
        <v>customer</v>
      </c>
      <c r="D49" s="5">
        <f>IF(C49="customer",B49,IF(C49="firm",SUM(D_sales!$W$5:$W$115),0))</f>
        <v>6</v>
      </c>
      <c r="E49" s="5">
        <f>IF(C49="default",D_F01!$B$28,IF(C49="customer",SUMIFS(D_sales!$X$5:$X$115,D_sales!$C$5:$C$115,A49)/SUMIFS(D_sales!$V$5:$V$115,D_sales!$C$5:$C$115,A49),SUM(D_sales!$X$5:$X$115)/SUM(D_sales!$V$5:$V$115)))</f>
        <v>1.4013312392578479</v>
      </c>
      <c r="F49" s="5">
        <f>IF(C49="default",D_F01!$B$28,IF(C49="customer",PERCENTILE(_xlfn._xlws.FILTER(D_sales!$U$5:$U$115,(D_sales!$C$5:$C$115=A49)*(D_sales!$W$5:$W$115=1)),0.25),PERCENTILE(_xlfn._xlws.FILTER(D_sales!$U$5:$U$115,D_sales!$W$5:$W$115=1),0.25)))</f>
        <v>0</v>
      </c>
      <c r="G49" s="5">
        <f>IF(C49="default",D_F01!$B$28,IF(C49="customer",PERCENTILE(_xlfn._xlws.FILTER(D_sales!$U$5:$U$115,(D_sales!$C$5:$C$115=A49)*(D_sales!$W$5:$W$115=1)),0.75),PERCENTILE(_xlfn._xlws.FILTER(D_sales!$U$5:$U$115,D_sales!$W$5:$W$115=1),0.75)))</f>
        <v>2</v>
      </c>
      <c r="H49" s="5">
        <f t="shared" si="14"/>
        <v>0</v>
      </c>
      <c r="I49" s="5">
        <f t="shared" si="15"/>
        <v>2</v>
      </c>
      <c r="J49" s="5">
        <f>IF(C49="customer",SUMIFS(D_sales!$Y$5:$Y$115,D_sales!$C$5:$C$115,A49),IF(C49="firm",SUM(D_sales!$Y$5:$Y$115),0))</f>
        <v>0</v>
      </c>
    </row>
    <row r="50" spans="1:10" ht="25.95" customHeight="1">
      <c r="A50" s="3" t="s">
        <v>960</v>
      </c>
      <c r="B50" s="3">
        <f>COUNTIFS(D_sales!$C$5:$C$115,A50,D_sales!$W$5:$W$115,1)</f>
        <v>11</v>
      </c>
      <c r="C50" s="3" t="str">
        <f>IF(B50&gt;=D_F01!$B$26,"customer",IF(SUM(D_sales!$W$5:$W$115)&gt;=D_F01!$B$26,"firm","default"))</f>
        <v>customer</v>
      </c>
      <c r="D50" s="3">
        <f>IF(C50="customer",B50,IF(C50="firm",SUM(D_sales!$W$5:$W$115),0))</f>
        <v>11</v>
      </c>
      <c r="E50" s="3">
        <f>IF(C50="default",D_F01!$B$28,IF(C50="customer",SUMIFS(D_sales!$X$5:$X$115,D_sales!$C$5:$C$115,A50)/SUMIFS(D_sales!$V$5:$V$115,D_sales!$C$5:$C$115,A50),SUM(D_sales!$X$5:$X$115)/SUM(D_sales!$V$5:$V$115)))</f>
        <v>2.3803457845775791</v>
      </c>
      <c r="F50" s="3">
        <f>IF(C50="default",D_F01!$B$28,IF(C50="customer",PERCENTILE(_xlfn._xlws.FILTER(D_sales!$U$5:$U$115,(D_sales!$C$5:$C$115=A50)*(D_sales!$W$5:$W$115=1)),0.25),PERCENTILE(_xlfn._xlws.FILTER(D_sales!$U$5:$U$115,D_sales!$W$5:$W$115=1),0.25)))</f>
        <v>0</v>
      </c>
      <c r="G50" s="3">
        <f>IF(C50="default",D_F01!$B$28,IF(C50="customer",PERCENTILE(_xlfn._xlws.FILTER(D_sales!$U$5:$U$115,(D_sales!$C$5:$C$115=A50)*(D_sales!$W$5:$W$115=1)),0.75),PERCENTILE(_xlfn._xlws.FILTER(D_sales!$U$5:$U$115,D_sales!$W$5:$W$115=1),0.75)))</f>
        <v>4</v>
      </c>
      <c r="H50" s="3">
        <f t="shared" si="14"/>
        <v>0</v>
      </c>
      <c r="I50" s="3">
        <f t="shared" si="15"/>
        <v>4</v>
      </c>
      <c r="J50" s="3">
        <f>IF(C50="customer",SUMIFS(D_sales!$Y$5:$Y$115,D_sales!$C$5:$C$115,A50),IF(C50="firm",SUM(D_sales!$Y$5:$Y$115),0))</f>
        <v>0</v>
      </c>
    </row>
    <row r="51" spans="1:10" ht="25.95" customHeight="1">
      <c r="A51" s="5" t="s">
        <v>962</v>
      </c>
      <c r="B51" s="5">
        <f>COUNTIFS(D_sales!$C$5:$C$115,A51,D_sales!$W$5:$W$115,1)</f>
        <v>3</v>
      </c>
      <c r="C51" s="5" t="str">
        <f>IF(B51&gt;=D_F01!$B$26,"customer",IF(SUM(D_sales!$W$5:$W$115)&gt;=D_F01!$B$26,"firm","default"))</f>
        <v>firm</v>
      </c>
      <c r="D51" s="5">
        <f>IF(C51="customer",B51,IF(C51="firm",SUM(D_sales!$W$5:$W$115),0))</f>
        <v>86</v>
      </c>
      <c r="E51" s="5">
        <f>IF(C51="default",D_F01!$B$28,IF(C51="customer",SUMIFS(D_sales!$X$5:$X$115,D_sales!$C$5:$C$115,A51)/SUMIFS(D_sales!$V$5:$V$115,D_sales!$C$5:$C$115,A51),SUM(D_sales!$X$5:$X$115)/SUM(D_sales!$V$5:$V$115)))</f>
        <v>6.4473291169980582</v>
      </c>
      <c r="F51" s="5">
        <f>IF(C51="default",D_F01!$B$28,IF(C51="customer",PERCENTILE(_xlfn._xlws.FILTER(D_sales!$U$5:$U$115,(D_sales!$C$5:$C$115=A51)*(D_sales!$W$5:$W$115=1)),0.25),PERCENTILE(_xlfn._xlws.FILTER(D_sales!$U$5:$U$115,D_sales!$W$5:$W$115=1),0.25)))</f>
        <v>0</v>
      </c>
      <c r="G51" s="5">
        <f>IF(C51="default",D_F01!$B$28,IF(C51="customer",PERCENTILE(_xlfn._xlws.FILTER(D_sales!$U$5:$U$115,(D_sales!$C$5:$C$115=A51)*(D_sales!$W$5:$W$115=1)),0.75),PERCENTILE(_xlfn._xlws.FILTER(D_sales!$U$5:$U$115,D_sales!$W$5:$W$115=1),0.75)))</f>
        <v>10</v>
      </c>
      <c r="H51" s="5">
        <f t="shared" si="14"/>
        <v>0</v>
      </c>
      <c r="I51" s="5">
        <f t="shared" si="15"/>
        <v>10</v>
      </c>
      <c r="J51" s="5">
        <f>IF(C51="customer",SUMIFS(D_sales!$Y$5:$Y$115,D_sales!$C$5:$C$115,A51),IF(C51="firm",SUM(D_sales!$Y$5:$Y$115),0))</f>
        <v>9</v>
      </c>
    </row>
    <row r="52" spans="1:10" ht="25.95" customHeight="1">
      <c r="A52" s="3" t="s">
        <v>964</v>
      </c>
      <c r="B52" s="3">
        <f>COUNTIFS(D_sales!$C$5:$C$115,A52,D_sales!$W$5:$W$115,1)</f>
        <v>1</v>
      </c>
      <c r="C52" s="3" t="str">
        <f>IF(B52&gt;=D_F01!$B$26,"customer",IF(SUM(D_sales!$W$5:$W$115)&gt;=D_F01!$B$26,"firm","default"))</f>
        <v>firm</v>
      </c>
      <c r="D52" s="3">
        <f>IF(C52="customer",B52,IF(C52="firm",SUM(D_sales!$W$5:$W$115),0))</f>
        <v>86</v>
      </c>
      <c r="E52" s="3">
        <f>IF(C52="default",D_F01!$B$28,IF(C52="customer",SUMIFS(D_sales!$X$5:$X$115,D_sales!$C$5:$C$115,A52)/SUMIFS(D_sales!$V$5:$V$115,D_sales!$C$5:$C$115,A52),SUM(D_sales!$X$5:$X$115)/SUM(D_sales!$V$5:$V$115)))</f>
        <v>6.4473291169980582</v>
      </c>
      <c r="F52" s="3">
        <f>IF(C52="default",D_F01!$B$28,IF(C52="customer",PERCENTILE(_xlfn._xlws.FILTER(D_sales!$U$5:$U$115,(D_sales!$C$5:$C$115=A52)*(D_sales!$W$5:$W$115=1)),0.25),PERCENTILE(_xlfn._xlws.FILTER(D_sales!$U$5:$U$115,D_sales!$W$5:$W$115=1),0.25)))</f>
        <v>0</v>
      </c>
      <c r="G52" s="3">
        <f>IF(C52="default",D_F01!$B$28,IF(C52="customer",PERCENTILE(_xlfn._xlws.FILTER(D_sales!$U$5:$U$115,(D_sales!$C$5:$C$115=A52)*(D_sales!$W$5:$W$115=1)),0.75),PERCENTILE(_xlfn._xlws.FILTER(D_sales!$U$5:$U$115,D_sales!$W$5:$W$115=1),0.75)))</f>
        <v>10</v>
      </c>
      <c r="H52" s="3">
        <f t="shared" si="14"/>
        <v>0</v>
      </c>
      <c r="I52" s="3">
        <f t="shared" si="15"/>
        <v>10</v>
      </c>
      <c r="J52" s="3">
        <f>IF(C52="customer",SUMIFS(D_sales!$Y$5:$Y$115,D_sales!$C$5:$C$115,A52),IF(C52="firm",SUM(D_sales!$Y$5:$Y$115),0))</f>
        <v>9</v>
      </c>
    </row>
    <row r="53" spans="1:10" ht="25.95" customHeight="1">
      <c r="A53" s="5" t="s">
        <v>966</v>
      </c>
      <c r="B53" s="5">
        <f>COUNTIFS(D_sales!$C$5:$C$115,A53,D_sales!$W$5:$W$115,1)</f>
        <v>4</v>
      </c>
      <c r="C53" s="5" t="str">
        <f>IF(B53&gt;=D_F01!$B$26,"customer",IF(SUM(D_sales!$W$5:$W$115)&gt;=D_F01!$B$26,"firm","default"))</f>
        <v>firm</v>
      </c>
      <c r="D53" s="5">
        <f>IF(C53="customer",B53,IF(C53="firm",SUM(D_sales!$W$5:$W$115),0))</f>
        <v>86</v>
      </c>
      <c r="E53" s="5">
        <f>IF(C53="default",D_F01!$B$28,IF(C53="customer",SUMIFS(D_sales!$X$5:$X$115,D_sales!$C$5:$C$115,A53)/SUMIFS(D_sales!$V$5:$V$115,D_sales!$C$5:$C$115,A53),SUM(D_sales!$X$5:$X$115)/SUM(D_sales!$V$5:$V$115)))</f>
        <v>6.4473291169980582</v>
      </c>
      <c r="F53" s="5">
        <f>IF(C53="default",D_F01!$B$28,IF(C53="customer",PERCENTILE(_xlfn._xlws.FILTER(D_sales!$U$5:$U$115,(D_sales!$C$5:$C$115=A53)*(D_sales!$W$5:$W$115=1)),0.25),PERCENTILE(_xlfn._xlws.FILTER(D_sales!$U$5:$U$115,D_sales!$W$5:$W$115=1),0.25)))</f>
        <v>0</v>
      </c>
      <c r="G53" s="5">
        <f>IF(C53="default",D_F01!$B$28,IF(C53="customer",PERCENTILE(_xlfn._xlws.FILTER(D_sales!$U$5:$U$115,(D_sales!$C$5:$C$115=A53)*(D_sales!$W$5:$W$115=1)),0.75),PERCENTILE(_xlfn._xlws.FILTER(D_sales!$U$5:$U$115,D_sales!$W$5:$W$115=1),0.75)))</f>
        <v>10</v>
      </c>
      <c r="H53" s="5">
        <f t="shared" si="14"/>
        <v>0</v>
      </c>
      <c r="I53" s="5">
        <f t="shared" si="15"/>
        <v>10</v>
      </c>
      <c r="J53" s="5">
        <f>IF(C53="customer",SUMIFS(D_sales!$Y$5:$Y$115,D_sales!$C$5:$C$115,A53),IF(C53="firm",SUM(D_sales!$Y$5:$Y$115),0))</f>
        <v>9</v>
      </c>
    </row>
    <row r="54" spans="1:10" ht="25.95" customHeight="1">
      <c r="A54" s="3" t="s">
        <v>968</v>
      </c>
      <c r="B54" s="3">
        <f>COUNTIFS(D_sales!$C$5:$C$115,A54,D_sales!$W$5:$W$115,1)</f>
        <v>2</v>
      </c>
      <c r="C54" s="3" t="str">
        <f>IF(B54&gt;=D_F01!$B$26,"customer",IF(SUM(D_sales!$W$5:$W$115)&gt;=D_F01!$B$26,"firm","default"))</f>
        <v>firm</v>
      </c>
      <c r="D54" s="3">
        <f>IF(C54="customer",B54,IF(C54="firm",SUM(D_sales!$W$5:$W$115),0))</f>
        <v>86</v>
      </c>
      <c r="E54" s="3">
        <f>IF(C54="default",D_F01!$B$28,IF(C54="customer",SUMIFS(D_sales!$X$5:$X$115,D_sales!$C$5:$C$115,A54)/SUMIFS(D_sales!$V$5:$V$115,D_sales!$C$5:$C$115,A54),SUM(D_sales!$X$5:$X$115)/SUM(D_sales!$V$5:$V$115)))</f>
        <v>6.4473291169980582</v>
      </c>
      <c r="F54" s="3">
        <f>IF(C54="default",D_F01!$B$28,IF(C54="customer",PERCENTILE(_xlfn._xlws.FILTER(D_sales!$U$5:$U$115,(D_sales!$C$5:$C$115=A54)*(D_sales!$W$5:$W$115=1)),0.25),PERCENTILE(_xlfn._xlws.FILTER(D_sales!$U$5:$U$115,D_sales!$W$5:$W$115=1),0.25)))</f>
        <v>0</v>
      </c>
      <c r="G54" s="3">
        <f>IF(C54="default",D_F01!$B$28,IF(C54="customer",PERCENTILE(_xlfn._xlws.FILTER(D_sales!$U$5:$U$115,(D_sales!$C$5:$C$115=A54)*(D_sales!$W$5:$W$115=1)),0.75),PERCENTILE(_xlfn._xlws.FILTER(D_sales!$U$5:$U$115,D_sales!$W$5:$W$115=1),0.75)))</f>
        <v>10</v>
      </c>
      <c r="H54" s="3">
        <f t="shared" si="14"/>
        <v>0</v>
      </c>
      <c r="I54" s="3">
        <f t="shared" si="15"/>
        <v>10</v>
      </c>
      <c r="J54" s="3">
        <f>IF(C54="customer",SUMIFS(D_sales!$Y$5:$Y$115,D_sales!$C$5:$C$115,A54),IF(C54="firm",SUM(D_sales!$Y$5:$Y$115),0))</f>
        <v>9</v>
      </c>
    </row>
    <row r="69" spans="1:17" ht="34.049999999999997" customHeight="1">
      <c r="A69" s="4" t="s">
        <v>1078</v>
      </c>
      <c r="B69" s="4" t="s">
        <v>1079</v>
      </c>
      <c r="C69" s="4" t="s">
        <v>1080</v>
      </c>
      <c r="D69" s="4" t="s">
        <v>1081</v>
      </c>
      <c r="E69" s="4" t="s">
        <v>1082</v>
      </c>
      <c r="F69" s="4" t="s">
        <v>1083</v>
      </c>
      <c r="G69" s="4" t="s">
        <v>1084</v>
      </c>
      <c r="H69" s="4" t="s">
        <v>1085</v>
      </c>
      <c r="I69" s="4" t="s">
        <v>1086</v>
      </c>
      <c r="J69" s="4" t="s">
        <v>1087</v>
      </c>
      <c r="K69" s="4" t="s">
        <v>1088</v>
      </c>
      <c r="L69" s="4" t="s">
        <v>1089</v>
      </c>
      <c r="M69" s="4" t="s">
        <v>1090</v>
      </c>
      <c r="N69" s="4" t="s">
        <v>1091</v>
      </c>
      <c r="O69" s="4" t="s">
        <v>1092</v>
      </c>
      <c r="P69" s="4" t="s">
        <v>1093</v>
      </c>
      <c r="Q69" s="4" t="s">
        <v>1094</v>
      </c>
    </row>
    <row r="70" spans="1:17" ht="25.95" customHeight="1">
      <c r="A70" s="7">
        <f>$B$6+0</f>
        <v>46194</v>
      </c>
      <c r="B70" s="8">
        <f t="shared" ref="B70:B101" si="16">SUMIFS($E$220:$E$341,$D$220:$D$341,"IN",$N$220:$N$341,A70)</f>
        <v>0</v>
      </c>
      <c r="C70" s="8">
        <f t="shared" ref="C70:C101" si="17">SUMIFS($E$220:$E$341,$D$220:$D$341,"OUT",$N$220:$N$341,A70)</f>
        <v>26794745</v>
      </c>
      <c r="D70" s="8">
        <f>SUM($F$70:F70)</f>
        <v>-26794745</v>
      </c>
      <c r="E70" s="8">
        <f>$B$8</f>
        <v>1200000000</v>
      </c>
      <c r="F70" s="8">
        <f t="shared" ref="F70:F101" si="18">B70-C70</f>
        <v>-26794745</v>
      </c>
      <c r="G70" s="8">
        <f t="shared" ref="G70:G101" si="19">E70+F70</f>
        <v>1173205255</v>
      </c>
      <c r="H70" s="8">
        <f t="shared" ref="H70:H101" si="20">MAX(0,$B$10-G70)</f>
        <v>0</v>
      </c>
      <c r="I70" s="8">
        <f t="shared" ref="I70:I101" si="21">MAX(0,-G70)</f>
        <v>0</v>
      </c>
      <c r="J70" s="10">
        <f t="shared" ref="J70:J101" si="22">H70/$B$10</f>
        <v>0</v>
      </c>
      <c r="K70" s="3">
        <f>IF(OR(G70&lt;0,G70&lt;$B$9,J70&gt;Nguong!$B$63),3,IF(J70&gt;Nguong!$B$62,2,IF(J70&gt;0,1,0)))</f>
        <v>0</v>
      </c>
      <c r="L70" s="3">
        <f>IF(G70&lt;$B$10,SUM($N$70:N70),0)</f>
        <v>0</v>
      </c>
      <c r="M70" s="3">
        <f>IF(G70&gt;$B$11,0+1,0)</f>
        <v>1</v>
      </c>
      <c r="N70" s="3">
        <f>IF(AND(G70&lt;$B$10,TRUE),1,0)</f>
        <v>0</v>
      </c>
      <c r="O70" s="3">
        <f t="shared" ref="O70:O101" si="23">IF(AND(G70&lt;$B$10,G71&gt;=$B$10),1,0)</f>
        <v>0</v>
      </c>
      <c r="P70" s="3">
        <f>IF(L70&gt;0,COUNTIF($L$70:L70,L70),0)</f>
        <v>0</v>
      </c>
      <c r="Q70" s="3">
        <f t="shared" ref="Q70:Q101" si="24">$B$10</f>
        <v>500000000</v>
      </c>
    </row>
    <row r="71" spans="1:17" ht="25.95" customHeight="1">
      <c r="A71" s="6">
        <f>$B$6+1</f>
        <v>46195</v>
      </c>
      <c r="B71" s="9">
        <f t="shared" si="16"/>
        <v>0</v>
      </c>
      <c r="C71" s="9">
        <f t="shared" si="17"/>
        <v>0</v>
      </c>
      <c r="D71" s="9">
        <f>SUM($F$70:F71)</f>
        <v>-26794745</v>
      </c>
      <c r="E71" s="9">
        <f t="shared" ref="E71:E102" si="25">G70</f>
        <v>1173205255</v>
      </c>
      <c r="F71" s="9">
        <f t="shared" si="18"/>
        <v>0</v>
      </c>
      <c r="G71" s="9">
        <f t="shared" si="19"/>
        <v>1173205255</v>
      </c>
      <c r="H71" s="9">
        <f t="shared" si="20"/>
        <v>0</v>
      </c>
      <c r="I71" s="9">
        <f t="shared" si="21"/>
        <v>0</v>
      </c>
      <c r="J71" s="21">
        <f t="shared" si="22"/>
        <v>0</v>
      </c>
      <c r="K71" s="5">
        <f>IF(OR(G71&lt;0,G71&lt;$B$9,J71&gt;Nguong!$B$63),3,IF(J71&gt;Nguong!$B$62,2,IF(J71&gt;0,1,0)))</f>
        <v>0</v>
      </c>
      <c r="L71" s="5">
        <f>IF(G71&lt;$B$10,SUM($N$70:N71),0)</f>
        <v>0</v>
      </c>
      <c r="M71" s="5">
        <f t="shared" ref="M71:M102" si="26">IF(G71&gt;$B$11,M70+1,0)</f>
        <v>2</v>
      </c>
      <c r="N71" s="5">
        <f t="shared" ref="N71:N102" si="27">IF(AND(G71&lt;$B$10,G70&gt;=$B$10),1,0)</f>
        <v>0</v>
      </c>
      <c r="O71" s="5">
        <f t="shared" si="23"/>
        <v>0</v>
      </c>
      <c r="P71" s="5">
        <f>IF(L71&gt;0,COUNTIF($L$70:L71,L71),0)</f>
        <v>0</v>
      </c>
      <c r="Q71" s="5">
        <f t="shared" si="24"/>
        <v>500000000</v>
      </c>
    </row>
    <row r="72" spans="1:17" ht="25.95" customHeight="1">
      <c r="A72" s="7">
        <f>$B$6+2</f>
        <v>46196</v>
      </c>
      <c r="B72" s="8">
        <f t="shared" si="16"/>
        <v>0</v>
      </c>
      <c r="C72" s="8">
        <f t="shared" si="17"/>
        <v>0</v>
      </c>
      <c r="D72" s="8">
        <f>SUM($F$70:F72)</f>
        <v>-26794745</v>
      </c>
      <c r="E72" s="8">
        <f t="shared" si="25"/>
        <v>1173205255</v>
      </c>
      <c r="F72" s="8">
        <f t="shared" si="18"/>
        <v>0</v>
      </c>
      <c r="G72" s="8">
        <f t="shared" si="19"/>
        <v>1173205255</v>
      </c>
      <c r="H72" s="8">
        <f t="shared" si="20"/>
        <v>0</v>
      </c>
      <c r="I72" s="8">
        <f t="shared" si="21"/>
        <v>0</v>
      </c>
      <c r="J72" s="10">
        <f t="shared" si="22"/>
        <v>0</v>
      </c>
      <c r="K72" s="3">
        <f>IF(OR(G72&lt;0,G72&lt;$B$9,J72&gt;Nguong!$B$63),3,IF(J72&gt;Nguong!$B$62,2,IF(J72&gt;0,1,0)))</f>
        <v>0</v>
      </c>
      <c r="L72" s="3">
        <f>IF(G72&lt;$B$10,SUM($N$70:N72),0)</f>
        <v>0</v>
      </c>
      <c r="M72" s="3">
        <f t="shared" si="26"/>
        <v>3</v>
      </c>
      <c r="N72" s="3">
        <f t="shared" si="27"/>
        <v>0</v>
      </c>
      <c r="O72" s="3">
        <f t="shared" si="23"/>
        <v>0</v>
      </c>
      <c r="P72" s="3">
        <f>IF(L72&gt;0,COUNTIF($L$70:L72,L72),0)</f>
        <v>0</v>
      </c>
      <c r="Q72" s="3">
        <f t="shared" si="24"/>
        <v>500000000</v>
      </c>
    </row>
    <row r="73" spans="1:17" ht="25.95" customHeight="1">
      <c r="A73" s="6">
        <f>$B$6+3</f>
        <v>46197</v>
      </c>
      <c r="B73" s="9">
        <f t="shared" si="16"/>
        <v>179404035</v>
      </c>
      <c r="C73" s="9">
        <f t="shared" si="17"/>
        <v>0</v>
      </c>
      <c r="D73" s="9">
        <f>SUM($F$70:F73)</f>
        <v>152609290</v>
      </c>
      <c r="E73" s="9">
        <f t="shared" si="25"/>
        <v>1173205255</v>
      </c>
      <c r="F73" s="9">
        <f t="shared" si="18"/>
        <v>179404035</v>
      </c>
      <c r="G73" s="9">
        <f t="shared" si="19"/>
        <v>1352609290</v>
      </c>
      <c r="H73" s="9">
        <f t="shared" si="20"/>
        <v>0</v>
      </c>
      <c r="I73" s="9">
        <f t="shared" si="21"/>
        <v>0</v>
      </c>
      <c r="J73" s="21">
        <f t="shared" si="22"/>
        <v>0</v>
      </c>
      <c r="K73" s="5">
        <f>IF(OR(G73&lt;0,G73&lt;$B$9,J73&gt;Nguong!$B$63),3,IF(J73&gt;Nguong!$B$62,2,IF(J73&gt;0,1,0)))</f>
        <v>0</v>
      </c>
      <c r="L73" s="5">
        <f>IF(G73&lt;$B$10,SUM($N$70:N73),0)</f>
        <v>0</v>
      </c>
      <c r="M73" s="5">
        <f t="shared" si="26"/>
        <v>4</v>
      </c>
      <c r="N73" s="5">
        <f t="shared" si="27"/>
        <v>0</v>
      </c>
      <c r="O73" s="5">
        <f t="shared" si="23"/>
        <v>0</v>
      </c>
      <c r="P73" s="5">
        <f>IF(L73&gt;0,COUNTIF($L$70:L73,L73),0)</f>
        <v>0</v>
      </c>
      <c r="Q73" s="5">
        <f t="shared" si="24"/>
        <v>500000000</v>
      </c>
    </row>
    <row r="74" spans="1:17" ht="25.95" customHeight="1">
      <c r="A74" s="7">
        <f>$B$6+4</f>
        <v>46198</v>
      </c>
      <c r="B74" s="8">
        <f t="shared" si="16"/>
        <v>201847452</v>
      </c>
      <c r="C74" s="8">
        <f t="shared" si="17"/>
        <v>29191344</v>
      </c>
      <c r="D74" s="8">
        <f>SUM($F$70:F74)</f>
        <v>325265398</v>
      </c>
      <c r="E74" s="8">
        <f t="shared" si="25"/>
        <v>1352609290</v>
      </c>
      <c r="F74" s="8">
        <f t="shared" si="18"/>
        <v>172656108</v>
      </c>
      <c r="G74" s="8">
        <f t="shared" si="19"/>
        <v>1525265398</v>
      </c>
      <c r="H74" s="8">
        <f t="shared" si="20"/>
        <v>0</v>
      </c>
      <c r="I74" s="8">
        <f t="shared" si="21"/>
        <v>0</v>
      </c>
      <c r="J74" s="10">
        <f t="shared" si="22"/>
        <v>0</v>
      </c>
      <c r="K74" s="3">
        <f>IF(OR(G74&lt;0,G74&lt;$B$9,J74&gt;Nguong!$B$63),3,IF(J74&gt;Nguong!$B$62,2,IF(J74&gt;0,1,0)))</f>
        <v>0</v>
      </c>
      <c r="L74" s="3">
        <f>IF(G74&lt;$B$10,SUM($N$70:N74),0)</f>
        <v>0</v>
      </c>
      <c r="M74" s="3">
        <f t="shared" si="26"/>
        <v>5</v>
      </c>
      <c r="N74" s="3">
        <f t="shared" si="27"/>
        <v>0</v>
      </c>
      <c r="O74" s="3">
        <f t="shared" si="23"/>
        <v>0</v>
      </c>
      <c r="P74" s="3">
        <f>IF(L74&gt;0,COUNTIF($L$70:L74,L74),0)</f>
        <v>0</v>
      </c>
      <c r="Q74" s="3">
        <f t="shared" si="24"/>
        <v>500000000</v>
      </c>
    </row>
    <row r="75" spans="1:17" ht="25.95" customHeight="1">
      <c r="A75" s="6">
        <f>$B$6+5</f>
        <v>46199</v>
      </c>
      <c r="B75" s="9">
        <f t="shared" si="16"/>
        <v>256596145</v>
      </c>
      <c r="C75" s="9">
        <f t="shared" si="17"/>
        <v>206127670</v>
      </c>
      <c r="D75" s="9">
        <f>SUM($F$70:F75)</f>
        <v>375733873</v>
      </c>
      <c r="E75" s="9">
        <f t="shared" si="25"/>
        <v>1525265398</v>
      </c>
      <c r="F75" s="9">
        <f t="shared" si="18"/>
        <v>50468475</v>
      </c>
      <c r="G75" s="9">
        <f t="shared" si="19"/>
        <v>1575733873</v>
      </c>
      <c r="H75" s="9">
        <f t="shared" si="20"/>
        <v>0</v>
      </c>
      <c r="I75" s="9">
        <f t="shared" si="21"/>
        <v>0</v>
      </c>
      <c r="J75" s="21">
        <f t="shared" si="22"/>
        <v>0</v>
      </c>
      <c r="K75" s="5">
        <f>IF(OR(G75&lt;0,G75&lt;$B$9,J75&gt;Nguong!$B$63),3,IF(J75&gt;Nguong!$B$62,2,IF(J75&gt;0,1,0)))</f>
        <v>0</v>
      </c>
      <c r="L75" s="5">
        <f>IF(G75&lt;$B$10,SUM($N$70:N75),0)</f>
        <v>0</v>
      </c>
      <c r="M75" s="5">
        <f t="shared" si="26"/>
        <v>6</v>
      </c>
      <c r="N75" s="5">
        <f t="shared" si="27"/>
        <v>0</v>
      </c>
      <c r="O75" s="5">
        <f t="shared" si="23"/>
        <v>0</v>
      </c>
      <c r="P75" s="5">
        <f>IF(L75&gt;0,COUNTIF($L$70:L75,L75),0)</f>
        <v>0</v>
      </c>
      <c r="Q75" s="5">
        <f t="shared" si="24"/>
        <v>500000000</v>
      </c>
    </row>
    <row r="76" spans="1:17" ht="25.95" customHeight="1">
      <c r="A76" s="7">
        <f>$B$6+6</f>
        <v>46200</v>
      </c>
      <c r="B76" s="8">
        <f t="shared" si="16"/>
        <v>231967683</v>
      </c>
      <c r="C76" s="8">
        <f t="shared" si="17"/>
        <v>53543015</v>
      </c>
      <c r="D76" s="8">
        <f>SUM($F$70:F76)</f>
        <v>554158541</v>
      </c>
      <c r="E76" s="8">
        <f t="shared" si="25"/>
        <v>1575733873</v>
      </c>
      <c r="F76" s="8">
        <f t="shared" si="18"/>
        <v>178424668</v>
      </c>
      <c r="G76" s="8">
        <f t="shared" si="19"/>
        <v>1754158541</v>
      </c>
      <c r="H76" s="8">
        <f t="shared" si="20"/>
        <v>0</v>
      </c>
      <c r="I76" s="8">
        <f t="shared" si="21"/>
        <v>0</v>
      </c>
      <c r="J76" s="10">
        <f t="shared" si="22"/>
        <v>0</v>
      </c>
      <c r="K76" s="3">
        <f>IF(OR(G76&lt;0,G76&lt;$B$9,J76&gt;Nguong!$B$63),3,IF(J76&gt;Nguong!$B$62,2,IF(J76&gt;0,1,0)))</f>
        <v>0</v>
      </c>
      <c r="L76" s="3">
        <f>IF(G76&lt;$B$10,SUM($N$70:N76),0)</f>
        <v>0</v>
      </c>
      <c r="M76" s="3">
        <f t="shared" si="26"/>
        <v>7</v>
      </c>
      <c r="N76" s="3">
        <f t="shared" si="27"/>
        <v>0</v>
      </c>
      <c r="O76" s="3">
        <f t="shared" si="23"/>
        <v>0</v>
      </c>
      <c r="P76" s="3">
        <f>IF(L76&gt;0,COUNTIF($L$70:L76,L76),0)</f>
        <v>0</v>
      </c>
      <c r="Q76" s="3">
        <f t="shared" si="24"/>
        <v>500000000</v>
      </c>
    </row>
    <row r="77" spans="1:17" ht="25.95" customHeight="1">
      <c r="A77" s="6">
        <f>$B$6+7</f>
        <v>46201</v>
      </c>
      <c r="B77" s="9">
        <f t="shared" si="16"/>
        <v>0</v>
      </c>
      <c r="C77" s="9">
        <f t="shared" si="17"/>
        <v>36610051</v>
      </c>
      <c r="D77" s="9">
        <f>SUM($F$70:F77)</f>
        <v>517548490</v>
      </c>
      <c r="E77" s="9">
        <f t="shared" si="25"/>
        <v>1754158541</v>
      </c>
      <c r="F77" s="9">
        <f t="shared" si="18"/>
        <v>-36610051</v>
      </c>
      <c r="G77" s="9">
        <f t="shared" si="19"/>
        <v>1717548490</v>
      </c>
      <c r="H77" s="9">
        <f t="shared" si="20"/>
        <v>0</v>
      </c>
      <c r="I77" s="9">
        <f t="shared" si="21"/>
        <v>0</v>
      </c>
      <c r="J77" s="21">
        <f t="shared" si="22"/>
        <v>0</v>
      </c>
      <c r="K77" s="5">
        <f>IF(OR(G77&lt;0,G77&lt;$B$9,J77&gt;Nguong!$B$63),3,IF(J77&gt;Nguong!$B$62,2,IF(J77&gt;0,1,0)))</f>
        <v>0</v>
      </c>
      <c r="L77" s="5">
        <f>IF(G77&lt;$B$10,SUM($N$70:N77),0)</f>
        <v>0</v>
      </c>
      <c r="M77" s="5">
        <f t="shared" si="26"/>
        <v>8</v>
      </c>
      <c r="N77" s="5">
        <f t="shared" si="27"/>
        <v>0</v>
      </c>
      <c r="O77" s="5">
        <f t="shared" si="23"/>
        <v>0</v>
      </c>
      <c r="P77" s="5">
        <f>IF(L77&gt;0,COUNTIF($L$70:L77,L77),0)</f>
        <v>0</v>
      </c>
      <c r="Q77" s="5">
        <f t="shared" si="24"/>
        <v>500000000</v>
      </c>
    </row>
    <row r="78" spans="1:17" ht="25.95" customHeight="1">
      <c r="A78" s="7">
        <f>$B$6+8</f>
        <v>46202</v>
      </c>
      <c r="B78" s="8">
        <f t="shared" si="16"/>
        <v>561764351</v>
      </c>
      <c r="C78" s="8">
        <f t="shared" si="17"/>
        <v>86112489</v>
      </c>
      <c r="D78" s="8">
        <f>SUM($F$70:F78)</f>
        <v>993200352</v>
      </c>
      <c r="E78" s="8">
        <f t="shared" si="25"/>
        <v>1717548490</v>
      </c>
      <c r="F78" s="8">
        <f t="shared" si="18"/>
        <v>475651862</v>
      </c>
      <c r="G78" s="8">
        <f t="shared" si="19"/>
        <v>2193200352</v>
      </c>
      <c r="H78" s="8">
        <f t="shared" si="20"/>
        <v>0</v>
      </c>
      <c r="I78" s="8">
        <f t="shared" si="21"/>
        <v>0</v>
      </c>
      <c r="J78" s="10">
        <f t="shared" si="22"/>
        <v>0</v>
      </c>
      <c r="K78" s="3">
        <f>IF(OR(G78&lt;0,G78&lt;$B$9,J78&gt;Nguong!$B$63),3,IF(J78&gt;Nguong!$B$62,2,IF(J78&gt;0,1,0)))</f>
        <v>0</v>
      </c>
      <c r="L78" s="3">
        <f>IF(G78&lt;$B$10,SUM($N$70:N78),0)</f>
        <v>0</v>
      </c>
      <c r="M78" s="3">
        <f t="shared" si="26"/>
        <v>9</v>
      </c>
      <c r="N78" s="3">
        <f t="shared" si="27"/>
        <v>0</v>
      </c>
      <c r="O78" s="3">
        <f t="shared" si="23"/>
        <v>0</v>
      </c>
      <c r="P78" s="3">
        <f>IF(L78&gt;0,COUNTIF($L$70:L78,L78),0)</f>
        <v>0</v>
      </c>
      <c r="Q78" s="3">
        <f t="shared" si="24"/>
        <v>500000000</v>
      </c>
    </row>
    <row r="79" spans="1:17" ht="25.95" customHeight="1">
      <c r="A79" s="6">
        <f>$B$6+9</f>
        <v>46203</v>
      </c>
      <c r="B79" s="9">
        <f t="shared" si="16"/>
        <v>607596952</v>
      </c>
      <c r="C79" s="9">
        <f t="shared" si="17"/>
        <v>2800000000</v>
      </c>
      <c r="D79" s="9">
        <f>SUM($F$70:F79)</f>
        <v>-1199202696</v>
      </c>
      <c r="E79" s="9">
        <f t="shared" si="25"/>
        <v>2193200352</v>
      </c>
      <c r="F79" s="9">
        <f t="shared" si="18"/>
        <v>-2192403048</v>
      </c>
      <c r="G79" s="9">
        <f t="shared" si="19"/>
        <v>797304</v>
      </c>
      <c r="H79" s="9">
        <f t="shared" si="20"/>
        <v>499202696</v>
      </c>
      <c r="I79" s="9">
        <f t="shared" si="21"/>
        <v>0</v>
      </c>
      <c r="J79" s="21">
        <f t="shared" si="22"/>
        <v>0.998405392</v>
      </c>
      <c r="K79" s="5">
        <f>IF(OR(G79&lt;0,G79&lt;$B$9,J79&gt;Nguong!$B$63),3,IF(J79&gt;Nguong!$B$62,2,IF(J79&gt;0,1,0)))</f>
        <v>3</v>
      </c>
      <c r="L79" s="5">
        <f>IF(G79&lt;$B$10,SUM($N$70:N79),0)</f>
        <v>1</v>
      </c>
      <c r="M79" s="5">
        <f t="shared" si="26"/>
        <v>0</v>
      </c>
      <c r="N79" s="5">
        <f t="shared" si="27"/>
        <v>1</v>
      </c>
      <c r="O79" s="5">
        <f t="shared" si="23"/>
        <v>0</v>
      </c>
      <c r="P79" s="5">
        <f>IF(L79&gt;0,COUNTIF($L$70:L79,L79),0)</f>
        <v>1</v>
      </c>
      <c r="Q79" s="5">
        <f t="shared" si="24"/>
        <v>500000000</v>
      </c>
    </row>
    <row r="80" spans="1:17" ht="25.95" customHeight="1">
      <c r="A80" s="7">
        <f>$B$6+10</f>
        <v>46204</v>
      </c>
      <c r="B80" s="8">
        <f t="shared" si="16"/>
        <v>422430363</v>
      </c>
      <c r="C80" s="8">
        <f t="shared" si="17"/>
        <v>171253933</v>
      </c>
      <c r="D80" s="8">
        <f>SUM($F$70:F80)</f>
        <v>-948026266</v>
      </c>
      <c r="E80" s="8">
        <f t="shared" si="25"/>
        <v>797304</v>
      </c>
      <c r="F80" s="8">
        <f t="shared" si="18"/>
        <v>251176430</v>
      </c>
      <c r="G80" s="8">
        <f t="shared" si="19"/>
        <v>251973734</v>
      </c>
      <c r="H80" s="8">
        <f t="shared" si="20"/>
        <v>248026266</v>
      </c>
      <c r="I80" s="8">
        <f t="shared" si="21"/>
        <v>0</v>
      </c>
      <c r="J80" s="10">
        <f t="shared" si="22"/>
        <v>0.49605253199999999</v>
      </c>
      <c r="K80" s="3">
        <f>IF(OR(G80&lt;0,G80&lt;$B$9,J80&gt;Nguong!$B$63),3,IF(J80&gt;Nguong!$B$62,2,IF(J80&gt;0,1,0)))</f>
        <v>2</v>
      </c>
      <c r="L80" s="3">
        <f>IF(G80&lt;$B$10,SUM($N$70:N80),0)</f>
        <v>1</v>
      </c>
      <c r="M80" s="3">
        <f t="shared" si="26"/>
        <v>0</v>
      </c>
      <c r="N80" s="3">
        <f t="shared" si="27"/>
        <v>0</v>
      </c>
      <c r="O80" s="3">
        <f t="shared" si="23"/>
        <v>0</v>
      </c>
      <c r="P80" s="3">
        <f>IF(L80&gt;0,COUNTIF($L$70:L80,L80),0)</f>
        <v>2</v>
      </c>
      <c r="Q80" s="3">
        <f t="shared" si="24"/>
        <v>500000000</v>
      </c>
    </row>
    <row r="81" spans="1:17" ht="25.95" customHeight="1">
      <c r="A81" s="6">
        <f>$B$6+11</f>
        <v>46205</v>
      </c>
      <c r="B81" s="9">
        <f t="shared" si="16"/>
        <v>80857572</v>
      </c>
      <c r="C81" s="9">
        <f t="shared" si="17"/>
        <v>13574256</v>
      </c>
      <c r="D81" s="9">
        <f>SUM($F$70:F81)</f>
        <v>-880742950</v>
      </c>
      <c r="E81" s="9">
        <f t="shared" si="25"/>
        <v>251973734</v>
      </c>
      <c r="F81" s="9">
        <f t="shared" si="18"/>
        <v>67283316</v>
      </c>
      <c r="G81" s="9">
        <f t="shared" si="19"/>
        <v>319257050</v>
      </c>
      <c r="H81" s="9">
        <f t="shared" si="20"/>
        <v>180742950</v>
      </c>
      <c r="I81" s="9">
        <f t="shared" si="21"/>
        <v>0</v>
      </c>
      <c r="J81" s="21">
        <f t="shared" si="22"/>
        <v>0.36148590000000003</v>
      </c>
      <c r="K81" s="5">
        <f>IF(OR(G81&lt;0,G81&lt;$B$9,J81&gt;Nguong!$B$63),3,IF(J81&gt;Nguong!$B$62,2,IF(J81&gt;0,1,0)))</f>
        <v>2</v>
      </c>
      <c r="L81" s="5">
        <f>IF(G81&lt;$B$10,SUM($N$70:N81),0)</f>
        <v>1</v>
      </c>
      <c r="M81" s="5">
        <f t="shared" si="26"/>
        <v>0</v>
      </c>
      <c r="N81" s="5">
        <f t="shared" si="27"/>
        <v>0</v>
      </c>
      <c r="O81" s="5">
        <f t="shared" si="23"/>
        <v>0</v>
      </c>
      <c r="P81" s="5">
        <f>IF(L81&gt;0,COUNTIF($L$70:L81,L81),0)</f>
        <v>3</v>
      </c>
      <c r="Q81" s="5">
        <f t="shared" si="24"/>
        <v>500000000</v>
      </c>
    </row>
    <row r="82" spans="1:17" ht="25.95" customHeight="1">
      <c r="A82" s="7">
        <f>$B$6+12</f>
        <v>46206</v>
      </c>
      <c r="B82" s="8">
        <f t="shared" si="16"/>
        <v>0</v>
      </c>
      <c r="C82" s="8">
        <f t="shared" si="17"/>
        <v>61901632</v>
      </c>
      <c r="D82" s="8">
        <f>SUM($F$70:F82)</f>
        <v>-942644582</v>
      </c>
      <c r="E82" s="8">
        <f t="shared" si="25"/>
        <v>319257050</v>
      </c>
      <c r="F82" s="8">
        <f t="shared" si="18"/>
        <v>-61901632</v>
      </c>
      <c r="G82" s="8">
        <f t="shared" si="19"/>
        <v>257355418</v>
      </c>
      <c r="H82" s="8">
        <f t="shared" si="20"/>
        <v>242644582</v>
      </c>
      <c r="I82" s="8">
        <f t="shared" si="21"/>
        <v>0</v>
      </c>
      <c r="J82" s="10">
        <f t="shared" si="22"/>
        <v>0.485289164</v>
      </c>
      <c r="K82" s="3">
        <f>IF(OR(G82&lt;0,G82&lt;$B$9,J82&gt;Nguong!$B$63),3,IF(J82&gt;Nguong!$B$62,2,IF(J82&gt;0,1,0)))</f>
        <v>2</v>
      </c>
      <c r="L82" s="3">
        <f>IF(G82&lt;$B$10,SUM($N$70:N82),0)</f>
        <v>1</v>
      </c>
      <c r="M82" s="3">
        <f t="shared" si="26"/>
        <v>0</v>
      </c>
      <c r="N82" s="3">
        <f t="shared" si="27"/>
        <v>0</v>
      </c>
      <c r="O82" s="3">
        <f t="shared" si="23"/>
        <v>1</v>
      </c>
      <c r="P82" s="3">
        <f>IF(L82&gt;0,COUNTIF($L$70:L82,L82),0)</f>
        <v>4</v>
      </c>
      <c r="Q82" s="3">
        <f t="shared" si="24"/>
        <v>500000000</v>
      </c>
    </row>
    <row r="83" spans="1:17" ht="25.95" customHeight="1">
      <c r="A83" s="6">
        <f>$B$6+13</f>
        <v>46207</v>
      </c>
      <c r="B83" s="9">
        <f t="shared" si="16"/>
        <v>289296727</v>
      </c>
      <c r="C83" s="9">
        <f t="shared" si="17"/>
        <v>23021228</v>
      </c>
      <c r="D83" s="9">
        <f>SUM($F$70:F83)</f>
        <v>-676369083</v>
      </c>
      <c r="E83" s="9">
        <f t="shared" si="25"/>
        <v>257355418</v>
      </c>
      <c r="F83" s="9">
        <f t="shared" si="18"/>
        <v>266275499</v>
      </c>
      <c r="G83" s="9">
        <f t="shared" si="19"/>
        <v>523630917</v>
      </c>
      <c r="H83" s="9">
        <f t="shared" si="20"/>
        <v>0</v>
      </c>
      <c r="I83" s="9">
        <f t="shared" si="21"/>
        <v>0</v>
      </c>
      <c r="J83" s="21">
        <f t="shared" si="22"/>
        <v>0</v>
      </c>
      <c r="K83" s="5">
        <f>IF(OR(G83&lt;0,G83&lt;$B$9,J83&gt;Nguong!$B$63),3,IF(J83&gt;Nguong!$B$62,2,IF(J83&gt;0,1,0)))</f>
        <v>0</v>
      </c>
      <c r="L83" s="5">
        <f>IF(G83&lt;$B$10,SUM($N$70:N83),0)</f>
        <v>0</v>
      </c>
      <c r="M83" s="5">
        <f t="shared" si="26"/>
        <v>0</v>
      </c>
      <c r="N83" s="5">
        <f t="shared" si="27"/>
        <v>0</v>
      </c>
      <c r="O83" s="5">
        <f t="shared" si="23"/>
        <v>0</v>
      </c>
      <c r="P83" s="5">
        <f>IF(L83&gt;0,COUNTIF($L$70:L83,L83),0)</f>
        <v>0</v>
      </c>
      <c r="Q83" s="5">
        <f t="shared" si="24"/>
        <v>500000000</v>
      </c>
    </row>
    <row r="84" spans="1:17" ht="25.95" customHeight="1">
      <c r="A84" s="7">
        <f>$B$6+14</f>
        <v>46208</v>
      </c>
      <c r="B84" s="8">
        <f t="shared" si="16"/>
        <v>0</v>
      </c>
      <c r="C84" s="8">
        <f t="shared" si="17"/>
        <v>53152483</v>
      </c>
      <c r="D84" s="8">
        <f>SUM($F$70:F84)</f>
        <v>-729521566</v>
      </c>
      <c r="E84" s="8">
        <f t="shared" si="25"/>
        <v>523630917</v>
      </c>
      <c r="F84" s="8">
        <f t="shared" si="18"/>
        <v>-53152483</v>
      </c>
      <c r="G84" s="8">
        <f t="shared" si="19"/>
        <v>470478434</v>
      </c>
      <c r="H84" s="8">
        <f t="shared" si="20"/>
        <v>29521566</v>
      </c>
      <c r="I84" s="8">
        <f t="shared" si="21"/>
        <v>0</v>
      </c>
      <c r="J84" s="10">
        <f t="shared" si="22"/>
        <v>5.9043131999999998E-2</v>
      </c>
      <c r="K84" s="3">
        <f>IF(OR(G84&lt;0,G84&lt;$B$9,J84&gt;Nguong!$B$63),3,IF(J84&gt;Nguong!$B$62,2,IF(J84&gt;0,1,0)))</f>
        <v>1</v>
      </c>
      <c r="L84" s="3">
        <f>IF(G84&lt;$B$10,SUM($N$70:N84),0)</f>
        <v>2</v>
      </c>
      <c r="M84" s="3">
        <f t="shared" si="26"/>
        <v>0</v>
      </c>
      <c r="N84" s="3">
        <f t="shared" si="27"/>
        <v>1</v>
      </c>
      <c r="O84" s="3">
        <f t="shared" si="23"/>
        <v>1</v>
      </c>
      <c r="P84" s="3">
        <f>IF(L84&gt;0,COUNTIF($L$70:L84,L84),0)</f>
        <v>1</v>
      </c>
      <c r="Q84" s="3">
        <f t="shared" si="24"/>
        <v>500000000</v>
      </c>
    </row>
    <row r="85" spans="1:17" ht="25.95" customHeight="1">
      <c r="A85" s="6">
        <f>$B$6+15</f>
        <v>46209</v>
      </c>
      <c r="B85" s="9">
        <f t="shared" si="16"/>
        <v>169068797</v>
      </c>
      <c r="C85" s="9">
        <f t="shared" si="17"/>
        <v>0</v>
      </c>
      <c r="D85" s="9">
        <f>SUM($F$70:F85)</f>
        <v>-560452769</v>
      </c>
      <c r="E85" s="9">
        <f t="shared" si="25"/>
        <v>470478434</v>
      </c>
      <c r="F85" s="9">
        <f t="shared" si="18"/>
        <v>169068797</v>
      </c>
      <c r="G85" s="9">
        <f t="shared" si="19"/>
        <v>639547231</v>
      </c>
      <c r="H85" s="9">
        <f t="shared" si="20"/>
        <v>0</v>
      </c>
      <c r="I85" s="9">
        <f t="shared" si="21"/>
        <v>0</v>
      </c>
      <c r="J85" s="21">
        <f t="shared" si="22"/>
        <v>0</v>
      </c>
      <c r="K85" s="5">
        <f>IF(OR(G85&lt;0,G85&lt;$B$9,J85&gt;Nguong!$B$63),3,IF(J85&gt;Nguong!$B$62,2,IF(J85&gt;0,1,0)))</f>
        <v>0</v>
      </c>
      <c r="L85" s="5">
        <f>IF(G85&lt;$B$10,SUM($N$70:N85),0)</f>
        <v>0</v>
      </c>
      <c r="M85" s="5">
        <f t="shared" si="26"/>
        <v>0</v>
      </c>
      <c r="N85" s="5">
        <f t="shared" si="27"/>
        <v>0</v>
      </c>
      <c r="O85" s="5">
        <f t="shared" si="23"/>
        <v>0</v>
      </c>
      <c r="P85" s="5">
        <f>IF(L85&gt;0,COUNTIF($L$70:L85,L85),0)</f>
        <v>0</v>
      </c>
      <c r="Q85" s="5">
        <f t="shared" si="24"/>
        <v>500000000</v>
      </c>
    </row>
    <row r="86" spans="1:17" ht="25.95" customHeight="1">
      <c r="A86" s="7">
        <f>$B$6+16</f>
        <v>46210</v>
      </c>
      <c r="B86" s="8">
        <f t="shared" si="16"/>
        <v>94348329</v>
      </c>
      <c r="C86" s="8">
        <f t="shared" si="17"/>
        <v>154290368</v>
      </c>
      <c r="D86" s="8">
        <f>SUM($F$70:F86)</f>
        <v>-620394808</v>
      </c>
      <c r="E86" s="8">
        <f t="shared" si="25"/>
        <v>639547231</v>
      </c>
      <c r="F86" s="8">
        <f t="shared" si="18"/>
        <v>-59942039</v>
      </c>
      <c r="G86" s="8">
        <f t="shared" si="19"/>
        <v>579605192</v>
      </c>
      <c r="H86" s="8">
        <f t="shared" si="20"/>
        <v>0</v>
      </c>
      <c r="I86" s="8">
        <f t="shared" si="21"/>
        <v>0</v>
      </c>
      <c r="J86" s="10">
        <f t="shared" si="22"/>
        <v>0</v>
      </c>
      <c r="K86" s="3">
        <f>IF(OR(G86&lt;0,G86&lt;$B$9,J86&gt;Nguong!$B$63),3,IF(J86&gt;Nguong!$B$62,2,IF(J86&gt;0,1,0)))</f>
        <v>0</v>
      </c>
      <c r="L86" s="3">
        <f>IF(G86&lt;$B$10,SUM($N$70:N86),0)</f>
        <v>0</v>
      </c>
      <c r="M86" s="3">
        <f t="shared" si="26"/>
        <v>0</v>
      </c>
      <c r="N86" s="3">
        <f t="shared" si="27"/>
        <v>0</v>
      </c>
      <c r="O86" s="3">
        <f t="shared" si="23"/>
        <v>0</v>
      </c>
      <c r="P86" s="3">
        <f>IF(L86&gt;0,COUNTIF($L$70:L86,L86),0)</f>
        <v>0</v>
      </c>
      <c r="Q86" s="3">
        <f t="shared" si="24"/>
        <v>500000000</v>
      </c>
    </row>
    <row r="87" spans="1:17" ht="25.95" customHeight="1">
      <c r="A87" s="6">
        <f>$B$6+17</f>
        <v>46211</v>
      </c>
      <c r="B87" s="9">
        <f t="shared" si="16"/>
        <v>235003622</v>
      </c>
      <c r="C87" s="9">
        <f t="shared" si="17"/>
        <v>0</v>
      </c>
      <c r="D87" s="9">
        <f>SUM($F$70:F87)</f>
        <v>-385391186</v>
      </c>
      <c r="E87" s="9">
        <f t="shared" si="25"/>
        <v>579605192</v>
      </c>
      <c r="F87" s="9">
        <f t="shared" si="18"/>
        <v>235003622</v>
      </c>
      <c r="G87" s="9">
        <f t="shared" si="19"/>
        <v>814608814</v>
      </c>
      <c r="H87" s="9">
        <f t="shared" si="20"/>
        <v>0</v>
      </c>
      <c r="I87" s="9">
        <f t="shared" si="21"/>
        <v>0</v>
      </c>
      <c r="J87" s="21">
        <f t="shared" si="22"/>
        <v>0</v>
      </c>
      <c r="K87" s="5">
        <f>IF(OR(G87&lt;0,G87&lt;$B$9,J87&gt;Nguong!$B$63),3,IF(J87&gt;Nguong!$B$62,2,IF(J87&gt;0,1,0)))</f>
        <v>0</v>
      </c>
      <c r="L87" s="5">
        <f>IF(G87&lt;$B$10,SUM($N$70:N87),0)</f>
        <v>0</v>
      </c>
      <c r="M87" s="5">
        <f t="shared" si="26"/>
        <v>0</v>
      </c>
      <c r="N87" s="5">
        <f t="shared" si="27"/>
        <v>0</v>
      </c>
      <c r="O87" s="5">
        <f t="shared" si="23"/>
        <v>0</v>
      </c>
      <c r="P87" s="5">
        <f>IF(L87&gt;0,COUNTIF($L$70:L87,L87),0)</f>
        <v>0</v>
      </c>
      <c r="Q87" s="5">
        <f t="shared" si="24"/>
        <v>500000000</v>
      </c>
    </row>
    <row r="88" spans="1:17" ht="25.95" customHeight="1">
      <c r="A88" s="7">
        <f>$B$6+18</f>
        <v>46212</v>
      </c>
      <c r="B88" s="8">
        <f t="shared" si="16"/>
        <v>284573826</v>
      </c>
      <c r="C88" s="8">
        <f t="shared" si="17"/>
        <v>0</v>
      </c>
      <c r="D88" s="8">
        <f>SUM($F$70:F88)</f>
        <v>-100817360</v>
      </c>
      <c r="E88" s="8">
        <f t="shared" si="25"/>
        <v>814608814</v>
      </c>
      <c r="F88" s="8">
        <f t="shared" si="18"/>
        <v>284573826</v>
      </c>
      <c r="G88" s="8">
        <f t="shared" si="19"/>
        <v>1099182640</v>
      </c>
      <c r="H88" s="8">
        <f t="shared" si="20"/>
        <v>0</v>
      </c>
      <c r="I88" s="8">
        <f t="shared" si="21"/>
        <v>0</v>
      </c>
      <c r="J88" s="10">
        <f t="shared" si="22"/>
        <v>0</v>
      </c>
      <c r="K88" s="3">
        <f>IF(OR(G88&lt;0,G88&lt;$B$9,J88&gt;Nguong!$B$63),3,IF(J88&gt;Nguong!$B$62,2,IF(J88&gt;0,1,0)))</f>
        <v>0</v>
      </c>
      <c r="L88" s="3">
        <f>IF(G88&lt;$B$10,SUM($N$70:N88),0)</f>
        <v>0</v>
      </c>
      <c r="M88" s="3">
        <f t="shared" si="26"/>
        <v>1</v>
      </c>
      <c r="N88" s="3">
        <f t="shared" si="27"/>
        <v>0</v>
      </c>
      <c r="O88" s="3">
        <f t="shared" si="23"/>
        <v>0</v>
      </c>
      <c r="P88" s="3">
        <f>IF(L88&gt;0,COUNTIF($L$70:L88,L88),0)</f>
        <v>0</v>
      </c>
      <c r="Q88" s="3">
        <f t="shared" si="24"/>
        <v>500000000</v>
      </c>
    </row>
    <row r="89" spans="1:17" ht="25.95" customHeight="1">
      <c r="A89" s="6">
        <f>$B$6+19</f>
        <v>46213</v>
      </c>
      <c r="B89" s="9">
        <f t="shared" si="16"/>
        <v>135683350</v>
      </c>
      <c r="C89" s="9">
        <f t="shared" si="17"/>
        <v>0</v>
      </c>
      <c r="D89" s="9">
        <f>SUM($F$70:F89)</f>
        <v>34865990</v>
      </c>
      <c r="E89" s="9">
        <f t="shared" si="25"/>
        <v>1099182640</v>
      </c>
      <c r="F89" s="9">
        <f t="shared" si="18"/>
        <v>135683350</v>
      </c>
      <c r="G89" s="9">
        <f t="shared" si="19"/>
        <v>1234865990</v>
      </c>
      <c r="H89" s="9">
        <f t="shared" si="20"/>
        <v>0</v>
      </c>
      <c r="I89" s="9">
        <f t="shared" si="21"/>
        <v>0</v>
      </c>
      <c r="J89" s="21">
        <f t="shared" si="22"/>
        <v>0</v>
      </c>
      <c r="K89" s="5">
        <f>IF(OR(G89&lt;0,G89&lt;$B$9,J89&gt;Nguong!$B$63),3,IF(J89&gt;Nguong!$B$62,2,IF(J89&gt;0,1,0)))</f>
        <v>0</v>
      </c>
      <c r="L89" s="5">
        <f>IF(G89&lt;$B$10,SUM($N$70:N89),0)</f>
        <v>0</v>
      </c>
      <c r="M89" s="5">
        <f t="shared" si="26"/>
        <v>2</v>
      </c>
      <c r="N89" s="5">
        <f t="shared" si="27"/>
        <v>0</v>
      </c>
      <c r="O89" s="5">
        <f t="shared" si="23"/>
        <v>0</v>
      </c>
      <c r="P89" s="5">
        <f>IF(L89&gt;0,COUNTIF($L$70:L89,L89),0)</f>
        <v>0</v>
      </c>
      <c r="Q89" s="5">
        <f t="shared" si="24"/>
        <v>500000000</v>
      </c>
    </row>
    <row r="90" spans="1:17" ht="25.95" customHeight="1">
      <c r="A90" s="7">
        <f>$B$6+20</f>
        <v>46214</v>
      </c>
      <c r="B90" s="8">
        <f t="shared" si="16"/>
        <v>0</v>
      </c>
      <c r="C90" s="8">
        <f t="shared" si="17"/>
        <v>0</v>
      </c>
      <c r="D90" s="8">
        <f>SUM($F$70:F90)</f>
        <v>34865990</v>
      </c>
      <c r="E90" s="8">
        <f t="shared" si="25"/>
        <v>1234865990</v>
      </c>
      <c r="F90" s="8">
        <f t="shared" si="18"/>
        <v>0</v>
      </c>
      <c r="G90" s="8">
        <f t="shared" si="19"/>
        <v>1234865990</v>
      </c>
      <c r="H90" s="8">
        <f t="shared" si="20"/>
        <v>0</v>
      </c>
      <c r="I90" s="8">
        <f t="shared" si="21"/>
        <v>0</v>
      </c>
      <c r="J90" s="10">
        <f t="shared" si="22"/>
        <v>0</v>
      </c>
      <c r="K90" s="3">
        <f>IF(OR(G90&lt;0,G90&lt;$B$9,J90&gt;Nguong!$B$63),3,IF(J90&gt;Nguong!$B$62,2,IF(J90&gt;0,1,0)))</f>
        <v>0</v>
      </c>
      <c r="L90" s="3">
        <f>IF(G90&lt;$B$10,SUM($N$70:N90),0)</f>
        <v>0</v>
      </c>
      <c r="M90" s="3">
        <f t="shared" si="26"/>
        <v>3</v>
      </c>
      <c r="N90" s="3">
        <f t="shared" si="27"/>
        <v>0</v>
      </c>
      <c r="O90" s="3">
        <f t="shared" si="23"/>
        <v>0</v>
      </c>
      <c r="P90" s="3">
        <f>IF(L90&gt;0,COUNTIF($L$70:L90,L90),0)</f>
        <v>0</v>
      </c>
      <c r="Q90" s="3">
        <f t="shared" si="24"/>
        <v>500000000</v>
      </c>
    </row>
    <row r="91" spans="1:17" ht="25.95" customHeight="1">
      <c r="A91" s="6">
        <f>$B$6+21</f>
        <v>46215</v>
      </c>
      <c r="B91" s="9">
        <f t="shared" si="16"/>
        <v>0</v>
      </c>
      <c r="C91" s="9">
        <f t="shared" si="17"/>
        <v>0</v>
      </c>
      <c r="D91" s="9">
        <f>SUM($F$70:F91)</f>
        <v>34865990</v>
      </c>
      <c r="E91" s="9">
        <f t="shared" si="25"/>
        <v>1234865990</v>
      </c>
      <c r="F91" s="9">
        <f t="shared" si="18"/>
        <v>0</v>
      </c>
      <c r="G91" s="9">
        <f t="shared" si="19"/>
        <v>1234865990</v>
      </c>
      <c r="H91" s="9">
        <f t="shared" si="20"/>
        <v>0</v>
      </c>
      <c r="I91" s="9">
        <f t="shared" si="21"/>
        <v>0</v>
      </c>
      <c r="J91" s="21">
        <f t="shared" si="22"/>
        <v>0</v>
      </c>
      <c r="K91" s="5">
        <f>IF(OR(G91&lt;0,G91&lt;$B$9,J91&gt;Nguong!$B$63),3,IF(J91&gt;Nguong!$B$62,2,IF(J91&gt;0,1,0)))</f>
        <v>0</v>
      </c>
      <c r="L91" s="5">
        <f>IF(G91&lt;$B$10,SUM($N$70:N91),0)</f>
        <v>0</v>
      </c>
      <c r="M91" s="5">
        <f t="shared" si="26"/>
        <v>4</v>
      </c>
      <c r="N91" s="5">
        <f t="shared" si="27"/>
        <v>0</v>
      </c>
      <c r="O91" s="5">
        <f t="shared" si="23"/>
        <v>0</v>
      </c>
      <c r="P91" s="5">
        <f>IF(L91&gt;0,COUNTIF($L$70:L91,L91),0)</f>
        <v>0</v>
      </c>
      <c r="Q91" s="5">
        <f t="shared" si="24"/>
        <v>500000000</v>
      </c>
    </row>
    <row r="92" spans="1:17" ht="25.95" customHeight="1">
      <c r="A92" s="7">
        <f>$B$6+22</f>
        <v>46216</v>
      </c>
      <c r="B92" s="8">
        <f t="shared" si="16"/>
        <v>193658718</v>
      </c>
      <c r="C92" s="8">
        <f t="shared" si="17"/>
        <v>0</v>
      </c>
      <c r="D92" s="8">
        <f>SUM($F$70:F92)</f>
        <v>228524708</v>
      </c>
      <c r="E92" s="8">
        <f t="shared" si="25"/>
        <v>1234865990</v>
      </c>
      <c r="F92" s="8">
        <f t="shared" si="18"/>
        <v>193658718</v>
      </c>
      <c r="G92" s="8">
        <f t="shared" si="19"/>
        <v>1428524708</v>
      </c>
      <c r="H92" s="8">
        <f t="shared" si="20"/>
        <v>0</v>
      </c>
      <c r="I92" s="8">
        <f t="shared" si="21"/>
        <v>0</v>
      </c>
      <c r="J92" s="10">
        <f t="shared" si="22"/>
        <v>0</v>
      </c>
      <c r="K92" s="3">
        <f>IF(OR(G92&lt;0,G92&lt;$B$9,J92&gt;Nguong!$B$63),3,IF(J92&gt;Nguong!$B$62,2,IF(J92&gt;0,1,0)))</f>
        <v>0</v>
      </c>
      <c r="L92" s="3">
        <f>IF(G92&lt;$B$10,SUM($N$70:N92),0)</f>
        <v>0</v>
      </c>
      <c r="M92" s="3">
        <f t="shared" si="26"/>
        <v>5</v>
      </c>
      <c r="N92" s="3">
        <f t="shared" si="27"/>
        <v>0</v>
      </c>
      <c r="O92" s="3">
        <f t="shared" si="23"/>
        <v>0</v>
      </c>
      <c r="P92" s="3">
        <f>IF(L92&gt;0,COUNTIF($L$70:L92,L92),0)</f>
        <v>0</v>
      </c>
      <c r="Q92" s="3">
        <f t="shared" si="24"/>
        <v>500000000</v>
      </c>
    </row>
    <row r="93" spans="1:17" ht="25.95" customHeight="1">
      <c r="A93" s="6">
        <f>$B$6+23</f>
        <v>46217</v>
      </c>
      <c r="B93" s="9">
        <f t="shared" si="16"/>
        <v>0</v>
      </c>
      <c r="C93" s="9">
        <f t="shared" si="17"/>
        <v>57768105</v>
      </c>
      <c r="D93" s="9">
        <f>SUM($F$70:F93)</f>
        <v>170756603</v>
      </c>
      <c r="E93" s="9">
        <f t="shared" si="25"/>
        <v>1428524708</v>
      </c>
      <c r="F93" s="9">
        <f t="shared" si="18"/>
        <v>-57768105</v>
      </c>
      <c r="G93" s="9">
        <f t="shared" si="19"/>
        <v>1370756603</v>
      </c>
      <c r="H93" s="9">
        <f t="shared" si="20"/>
        <v>0</v>
      </c>
      <c r="I93" s="9">
        <f t="shared" si="21"/>
        <v>0</v>
      </c>
      <c r="J93" s="21">
        <f t="shared" si="22"/>
        <v>0</v>
      </c>
      <c r="K93" s="5">
        <f>IF(OR(G93&lt;0,G93&lt;$B$9,J93&gt;Nguong!$B$63),3,IF(J93&gt;Nguong!$B$62,2,IF(J93&gt;0,1,0)))</f>
        <v>0</v>
      </c>
      <c r="L93" s="5">
        <f>IF(G93&lt;$B$10,SUM($N$70:N93),0)</f>
        <v>0</v>
      </c>
      <c r="M93" s="5">
        <f t="shared" si="26"/>
        <v>6</v>
      </c>
      <c r="N93" s="5">
        <f t="shared" si="27"/>
        <v>0</v>
      </c>
      <c r="O93" s="5">
        <f t="shared" si="23"/>
        <v>0</v>
      </c>
      <c r="P93" s="5">
        <f>IF(L93&gt;0,COUNTIF($L$70:L93,L93),0)</f>
        <v>0</v>
      </c>
      <c r="Q93" s="5">
        <f t="shared" si="24"/>
        <v>500000000</v>
      </c>
    </row>
    <row r="94" spans="1:17" ht="25.95" customHeight="1">
      <c r="A94" s="7">
        <f>$B$6+24</f>
        <v>46218</v>
      </c>
      <c r="B94" s="8">
        <f t="shared" si="16"/>
        <v>452824343</v>
      </c>
      <c r="C94" s="8">
        <f t="shared" si="17"/>
        <v>122271660</v>
      </c>
      <c r="D94" s="8">
        <f>SUM($F$70:F94)</f>
        <v>501309286</v>
      </c>
      <c r="E94" s="8">
        <f t="shared" si="25"/>
        <v>1370756603</v>
      </c>
      <c r="F94" s="8">
        <f t="shared" si="18"/>
        <v>330552683</v>
      </c>
      <c r="G94" s="8">
        <f t="shared" si="19"/>
        <v>1701309286</v>
      </c>
      <c r="H94" s="8">
        <f t="shared" si="20"/>
        <v>0</v>
      </c>
      <c r="I94" s="8">
        <f t="shared" si="21"/>
        <v>0</v>
      </c>
      <c r="J94" s="10">
        <f t="shared" si="22"/>
        <v>0</v>
      </c>
      <c r="K94" s="3">
        <f>IF(OR(G94&lt;0,G94&lt;$B$9,J94&gt;Nguong!$B$63),3,IF(J94&gt;Nguong!$B$62,2,IF(J94&gt;0,1,0)))</f>
        <v>0</v>
      </c>
      <c r="L94" s="3">
        <f>IF(G94&lt;$B$10,SUM($N$70:N94),0)</f>
        <v>0</v>
      </c>
      <c r="M94" s="3">
        <f t="shared" si="26"/>
        <v>7</v>
      </c>
      <c r="N94" s="3">
        <f t="shared" si="27"/>
        <v>0</v>
      </c>
      <c r="O94" s="3">
        <f t="shared" si="23"/>
        <v>0</v>
      </c>
      <c r="P94" s="3">
        <f>IF(L94&gt;0,COUNTIF($L$70:L94,L94),0)</f>
        <v>0</v>
      </c>
      <c r="Q94" s="3">
        <f t="shared" si="24"/>
        <v>500000000</v>
      </c>
    </row>
    <row r="95" spans="1:17" ht="25.95" customHeight="1">
      <c r="A95" s="6">
        <f>$B$6+25</f>
        <v>46219</v>
      </c>
      <c r="B95" s="9">
        <f t="shared" si="16"/>
        <v>0</v>
      </c>
      <c r="C95" s="9">
        <f t="shared" si="17"/>
        <v>0</v>
      </c>
      <c r="D95" s="9">
        <f>SUM($F$70:F95)</f>
        <v>501309286</v>
      </c>
      <c r="E95" s="9">
        <f t="shared" si="25"/>
        <v>1701309286</v>
      </c>
      <c r="F95" s="9">
        <f t="shared" si="18"/>
        <v>0</v>
      </c>
      <c r="G95" s="9">
        <f t="shared" si="19"/>
        <v>1701309286</v>
      </c>
      <c r="H95" s="9">
        <f t="shared" si="20"/>
        <v>0</v>
      </c>
      <c r="I95" s="9">
        <f t="shared" si="21"/>
        <v>0</v>
      </c>
      <c r="J95" s="21">
        <f t="shared" si="22"/>
        <v>0</v>
      </c>
      <c r="K95" s="5">
        <f>IF(OR(G95&lt;0,G95&lt;$B$9,J95&gt;Nguong!$B$63),3,IF(J95&gt;Nguong!$B$62,2,IF(J95&gt;0,1,0)))</f>
        <v>0</v>
      </c>
      <c r="L95" s="5">
        <f>IF(G95&lt;$B$10,SUM($N$70:N95),0)</f>
        <v>0</v>
      </c>
      <c r="M95" s="5">
        <f t="shared" si="26"/>
        <v>8</v>
      </c>
      <c r="N95" s="5">
        <f t="shared" si="27"/>
        <v>0</v>
      </c>
      <c r="O95" s="5">
        <f t="shared" si="23"/>
        <v>0</v>
      </c>
      <c r="P95" s="5">
        <f>IF(L95&gt;0,COUNTIF($L$70:L95,L95),0)</f>
        <v>0</v>
      </c>
      <c r="Q95" s="5">
        <f t="shared" si="24"/>
        <v>500000000</v>
      </c>
    </row>
    <row r="96" spans="1:17" ht="25.95" customHeight="1">
      <c r="A96" s="7">
        <f>$B$6+26</f>
        <v>46220</v>
      </c>
      <c r="B96" s="8">
        <f t="shared" si="16"/>
        <v>97029482</v>
      </c>
      <c r="C96" s="8">
        <f t="shared" si="17"/>
        <v>0</v>
      </c>
      <c r="D96" s="8">
        <f>SUM($F$70:F96)</f>
        <v>598338768</v>
      </c>
      <c r="E96" s="8">
        <f t="shared" si="25"/>
        <v>1701309286</v>
      </c>
      <c r="F96" s="8">
        <f t="shared" si="18"/>
        <v>97029482</v>
      </c>
      <c r="G96" s="8">
        <f t="shared" si="19"/>
        <v>1798338768</v>
      </c>
      <c r="H96" s="8">
        <f t="shared" si="20"/>
        <v>0</v>
      </c>
      <c r="I96" s="8">
        <f t="shared" si="21"/>
        <v>0</v>
      </c>
      <c r="J96" s="10">
        <f t="shared" si="22"/>
        <v>0</v>
      </c>
      <c r="K96" s="3">
        <f>IF(OR(G96&lt;0,G96&lt;$B$9,J96&gt;Nguong!$B$63),3,IF(J96&gt;Nguong!$B$62,2,IF(J96&gt;0,1,0)))</f>
        <v>0</v>
      </c>
      <c r="L96" s="3">
        <f>IF(G96&lt;$B$10,SUM($N$70:N96),0)</f>
        <v>0</v>
      </c>
      <c r="M96" s="3">
        <f t="shared" si="26"/>
        <v>9</v>
      </c>
      <c r="N96" s="3">
        <f t="shared" si="27"/>
        <v>0</v>
      </c>
      <c r="O96" s="3">
        <f t="shared" si="23"/>
        <v>0</v>
      </c>
      <c r="P96" s="3">
        <f>IF(L96&gt;0,COUNTIF($L$70:L96,L96),0)</f>
        <v>0</v>
      </c>
      <c r="Q96" s="3">
        <f t="shared" si="24"/>
        <v>500000000</v>
      </c>
    </row>
    <row r="97" spans="1:17" ht="25.95" customHeight="1">
      <c r="A97" s="6">
        <f>$B$6+27</f>
        <v>46221</v>
      </c>
      <c r="B97" s="9">
        <f t="shared" si="16"/>
        <v>0</v>
      </c>
      <c r="C97" s="9">
        <f t="shared" si="17"/>
        <v>95399225</v>
      </c>
      <c r="D97" s="9">
        <f>SUM($F$70:F97)</f>
        <v>502939543</v>
      </c>
      <c r="E97" s="9">
        <f t="shared" si="25"/>
        <v>1798338768</v>
      </c>
      <c r="F97" s="9">
        <f t="shared" si="18"/>
        <v>-95399225</v>
      </c>
      <c r="G97" s="9">
        <f t="shared" si="19"/>
        <v>1702939543</v>
      </c>
      <c r="H97" s="9">
        <f t="shared" si="20"/>
        <v>0</v>
      </c>
      <c r="I97" s="9">
        <f t="shared" si="21"/>
        <v>0</v>
      </c>
      <c r="J97" s="21">
        <f t="shared" si="22"/>
        <v>0</v>
      </c>
      <c r="K97" s="5">
        <f>IF(OR(G97&lt;0,G97&lt;$B$9,J97&gt;Nguong!$B$63),3,IF(J97&gt;Nguong!$B$62,2,IF(J97&gt;0,1,0)))</f>
        <v>0</v>
      </c>
      <c r="L97" s="5">
        <f>IF(G97&lt;$B$10,SUM($N$70:N97),0)</f>
        <v>0</v>
      </c>
      <c r="M97" s="5">
        <f t="shared" si="26"/>
        <v>10</v>
      </c>
      <c r="N97" s="5">
        <f t="shared" si="27"/>
        <v>0</v>
      </c>
      <c r="O97" s="5">
        <f t="shared" si="23"/>
        <v>0</v>
      </c>
      <c r="P97" s="5">
        <f>IF(L97&gt;0,COUNTIF($L$70:L97,L97),0)</f>
        <v>0</v>
      </c>
      <c r="Q97" s="5">
        <f t="shared" si="24"/>
        <v>500000000</v>
      </c>
    </row>
    <row r="98" spans="1:17" ht="25.95" customHeight="1">
      <c r="A98" s="7">
        <f>$B$6+28</f>
        <v>46222</v>
      </c>
      <c r="B98" s="8">
        <f t="shared" si="16"/>
        <v>261722257</v>
      </c>
      <c r="C98" s="8">
        <f t="shared" si="17"/>
        <v>0</v>
      </c>
      <c r="D98" s="8">
        <f>SUM($F$70:F98)</f>
        <v>764661800</v>
      </c>
      <c r="E98" s="8">
        <f t="shared" si="25"/>
        <v>1702939543</v>
      </c>
      <c r="F98" s="8">
        <f t="shared" si="18"/>
        <v>261722257</v>
      </c>
      <c r="G98" s="8">
        <f t="shared" si="19"/>
        <v>1964661800</v>
      </c>
      <c r="H98" s="8">
        <f t="shared" si="20"/>
        <v>0</v>
      </c>
      <c r="I98" s="8">
        <f t="shared" si="21"/>
        <v>0</v>
      </c>
      <c r="J98" s="10">
        <f t="shared" si="22"/>
        <v>0</v>
      </c>
      <c r="K98" s="3">
        <f>IF(OR(G98&lt;0,G98&lt;$B$9,J98&gt;Nguong!$B$63),3,IF(J98&gt;Nguong!$B$62,2,IF(J98&gt;0,1,0)))</f>
        <v>0</v>
      </c>
      <c r="L98" s="3">
        <f>IF(G98&lt;$B$10,SUM($N$70:N98),0)</f>
        <v>0</v>
      </c>
      <c r="M98" s="3">
        <f t="shared" si="26"/>
        <v>11</v>
      </c>
      <c r="N98" s="3">
        <f t="shared" si="27"/>
        <v>0</v>
      </c>
      <c r="O98" s="3">
        <f t="shared" si="23"/>
        <v>0</v>
      </c>
      <c r="P98" s="3">
        <f>IF(L98&gt;0,COUNTIF($L$70:L98,L98),0)</f>
        <v>0</v>
      </c>
      <c r="Q98" s="3">
        <f t="shared" si="24"/>
        <v>500000000</v>
      </c>
    </row>
    <row r="99" spans="1:17" ht="25.95" customHeight="1">
      <c r="A99" s="6">
        <f>$B$6+29</f>
        <v>46223</v>
      </c>
      <c r="B99" s="9">
        <f t="shared" si="16"/>
        <v>286928853</v>
      </c>
      <c r="C99" s="9">
        <f t="shared" si="17"/>
        <v>280299942</v>
      </c>
      <c r="D99" s="9">
        <f>SUM($F$70:F99)</f>
        <v>771290711</v>
      </c>
      <c r="E99" s="9">
        <f t="shared" si="25"/>
        <v>1964661800</v>
      </c>
      <c r="F99" s="9">
        <f t="shared" si="18"/>
        <v>6628911</v>
      </c>
      <c r="G99" s="9">
        <f t="shared" si="19"/>
        <v>1971290711</v>
      </c>
      <c r="H99" s="9">
        <f t="shared" si="20"/>
        <v>0</v>
      </c>
      <c r="I99" s="9">
        <f t="shared" si="21"/>
        <v>0</v>
      </c>
      <c r="J99" s="21">
        <f t="shared" si="22"/>
        <v>0</v>
      </c>
      <c r="K99" s="5">
        <f>IF(OR(G99&lt;0,G99&lt;$B$9,J99&gt;Nguong!$B$63),3,IF(J99&gt;Nguong!$B$62,2,IF(J99&gt;0,1,0)))</f>
        <v>0</v>
      </c>
      <c r="L99" s="5">
        <f>IF(G99&lt;$B$10,SUM($N$70:N99),0)</f>
        <v>0</v>
      </c>
      <c r="M99" s="5">
        <f t="shared" si="26"/>
        <v>12</v>
      </c>
      <c r="N99" s="5">
        <f t="shared" si="27"/>
        <v>0</v>
      </c>
      <c r="O99" s="5">
        <f t="shared" si="23"/>
        <v>0</v>
      </c>
      <c r="P99" s="5">
        <f>IF(L99&gt;0,COUNTIF($L$70:L99,L99),0)</f>
        <v>0</v>
      </c>
      <c r="Q99" s="5">
        <f t="shared" si="24"/>
        <v>500000000</v>
      </c>
    </row>
    <row r="100" spans="1:17" ht="25.95" customHeight="1">
      <c r="A100" s="7">
        <f>$B$6+30</f>
        <v>46224</v>
      </c>
      <c r="B100" s="8">
        <f t="shared" si="16"/>
        <v>272864905</v>
      </c>
      <c r="C100" s="8">
        <f t="shared" si="17"/>
        <v>0</v>
      </c>
      <c r="D100" s="8">
        <f>SUM($F$70:F100)</f>
        <v>1044155616</v>
      </c>
      <c r="E100" s="8">
        <f t="shared" si="25"/>
        <v>1971290711</v>
      </c>
      <c r="F100" s="8">
        <f t="shared" si="18"/>
        <v>272864905</v>
      </c>
      <c r="G100" s="8">
        <f t="shared" si="19"/>
        <v>2244155616</v>
      </c>
      <c r="H100" s="8">
        <f t="shared" si="20"/>
        <v>0</v>
      </c>
      <c r="I100" s="8">
        <f t="shared" si="21"/>
        <v>0</v>
      </c>
      <c r="J100" s="10">
        <f t="shared" si="22"/>
        <v>0</v>
      </c>
      <c r="K100" s="3">
        <f>IF(OR(G100&lt;0,G100&lt;$B$9,J100&gt;Nguong!$B$63),3,IF(J100&gt;Nguong!$B$62,2,IF(J100&gt;0,1,0)))</f>
        <v>0</v>
      </c>
      <c r="L100" s="3">
        <f>IF(G100&lt;$B$10,SUM($N$70:N100),0)</f>
        <v>0</v>
      </c>
      <c r="M100" s="3">
        <f t="shared" si="26"/>
        <v>13</v>
      </c>
      <c r="N100" s="3">
        <f t="shared" si="27"/>
        <v>0</v>
      </c>
      <c r="O100" s="3">
        <f t="shared" si="23"/>
        <v>0</v>
      </c>
      <c r="P100" s="3">
        <f>IF(L100&gt;0,COUNTIF($L$70:L100,L100),0)</f>
        <v>0</v>
      </c>
      <c r="Q100" s="3">
        <f t="shared" si="24"/>
        <v>500000000</v>
      </c>
    </row>
    <row r="101" spans="1:17" ht="25.95" customHeight="1">
      <c r="A101" s="6">
        <f>$B$6+31</f>
        <v>46225</v>
      </c>
      <c r="B101" s="9">
        <f t="shared" si="16"/>
        <v>0</v>
      </c>
      <c r="C101" s="9">
        <f t="shared" si="17"/>
        <v>0</v>
      </c>
      <c r="D101" s="9">
        <f>SUM($F$70:F101)</f>
        <v>1044155616</v>
      </c>
      <c r="E101" s="9">
        <f t="shared" si="25"/>
        <v>2244155616</v>
      </c>
      <c r="F101" s="9">
        <f t="shared" si="18"/>
        <v>0</v>
      </c>
      <c r="G101" s="9">
        <f t="shared" si="19"/>
        <v>2244155616</v>
      </c>
      <c r="H101" s="9">
        <f t="shared" si="20"/>
        <v>0</v>
      </c>
      <c r="I101" s="9">
        <f t="shared" si="21"/>
        <v>0</v>
      </c>
      <c r="J101" s="21">
        <f t="shared" si="22"/>
        <v>0</v>
      </c>
      <c r="K101" s="5">
        <f>IF(OR(G101&lt;0,G101&lt;$B$9,J101&gt;Nguong!$B$63),3,IF(J101&gt;Nguong!$B$62,2,IF(J101&gt;0,1,0)))</f>
        <v>0</v>
      </c>
      <c r="L101" s="5">
        <f>IF(G101&lt;$B$10,SUM($N$70:N101),0)</f>
        <v>0</v>
      </c>
      <c r="M101" s="5">
        <f t="shared" si="26"/>
        <v>14</v>
      </c>
      <c r="N101" s="5">
        <f t="shared" si="27"/>
        <v>0</v>
      </c>
      <c r="O101" s="5">
        <f t="shared" si="23"/>
        <v>0</v>
      </c>
      <c r="P101" s="5">
        <f>IF(L101&gt;0,COUNTIF($L$70:L101,L101),0)</f>
        <v>0</v>
      </c>
      <c r="Q101" s="5">
        <f t="shared" si="24"/>
        <v>500000000</v>
      </c>
    </row>
    <row r="102" spans="1:17" ht="25.95" customHeight="1">
      <c r="A102" s="7">
        <f>$B$6+32</f>
        <v>46226</v>
      </c>
      <c r="B102" s="8">
        <f t="shared" ref="B102:B133" si="28">SUMIFS($E$220:$E$341,$D$220:$D$341,"IN",$N$220:$N$341,A102)</f>
        <v>0</v>
      </c>
      <c r="C102" s="8">
        <f t="shared" ref="C102:C133" si="29">SUMIFS($E$220:$E$341,$D$220:$D$341,"OUT",$N$220:$N$341,A102)</f>
        <v>0</v>
      </c>
      <c r="D102" s="8">
        <f>SUM($F$70:F102)</f>
        <v>1044155616</v>
      </c>
      <c r="E102" s="8">
        <f t="shared" si="25"/>
        <v>2244155616</v>
      </c>
      <c r="F102" s="8">
        <f t="shared" ref="F102:F133" si="30">B102-C102</f>
        <v>0</v>
      </c>
      <c r="G102" s="8">
        <f t="shared" ref="G102:G133" si="31">E102+F102</f>
        <v>2244155616</v>
      </c>
      <c r="H102" s="8">
        <f t="shared" ref="H102:H133" si="32">MAX(0,$B$10-G102)</f>
        <v>0</v>
      </c>
      <c r="I102" s="8">
        <f t="shared" ref="I102:I133" si="33">MAX(0,-G102)</f>
        <v>0</v>
      </c>
      <c r="J102" s="10">
        <f t="shared" ref="J102:J133" si="34">H102/$B$10</f>
        <v>0</v>
      </c>
      <c r="K102" s="3">
        <f>IF(OR(G102&lt;0,G102&lt;$B$9,J102&gt;Nguong!$B$63),3,IF(J102&gt;Nguong!$B$62,2,IF(J102&gt;0,1,0)))</f>
        <v>0</v>
      </c>
      <c r="L102" s="3">
        <f>IF(G102&lt;$B$10,SUM($N$70:N102),0)</f>
        <v>0</v>
      </c>
      <c r="M102" s="3">
        <f t="shared" si="26"/>
        <v>15</v>
      </c>
      <c r="N102" s="3">
        <f t="shared" si="27"/>
        <v>0</v>
      </c>
      <c r="O102" s="3">
        <f t="shared" ref="O102:O133" si="35">IF(AND(G102&lt;$B$10,G103&gt;=$B$10),1,0)</f>
        <v>0</v>
      </c>
      <c r="P102" s="3">
        <f>IF(L102&gt;0,COUNTIF($L$70:L102,L102),0)</f>
        <v>0</v>
      </c>
      <c r="Q102" s="3">
        <f t="shared" ref="Q102:Q133" si="36">$B$10</f>
        <v>500000000</v>
      </c>
    </row>
    <row r="103" spans="1:17" ht="25.95" customHeight="1">
      <c r="A103" s="6">
        <f>$B$6+33</f>
        <v>46227</v>
      </c>
      <c r="B103" s="9">
        <f t="shared" si="28"/>
        <v>0</v>
      </c>
      <c r="C103" s="9">
        <f t="shared" si="29"/>
        <v>62787437</v>
      </c>
      <c r="D103" s="9">
        <f>SUM($F$70:F103)</f>
        <v>981368179</v>
      </c>
      <c r="E103" s="9">
        <f t="shared" ref="E103:E134" si="37">G102</f>
        <v>2244155616</v>
      </c>
      <c r="F103" s="9">
        <f t="shared" si="30"/>
        <v>-62787437</v>
      </c>
      <c r="G103" s="9">
        <f t="shared" si="31"/>
        <v>2181368179</v>
      </c>
      <c r="H103" s="9">
        <f t="shared" si="32"/>
        <v>0</v>
      </c>
      <c r="I103" s="9">
        <f t="shared" si="33"/>
        <v>0</v>
      </c>
      <c r="J103" s="21">
        <f t="shared" si="34"/>
        <v>0</v>
      </c>
      <c r="K103" s="5">
        <f>IF(OR(G103&lt;0,G103&lt;$B$9,J103&gt;Nguong!$B$63),3,IF(J103&gt;Nguong!$B$62,2,IF(J103&gt;0,1,0)))</f>
        <v>0</v>
      </c>
      <c r="L103" s="5">
        <f>IF(G103&lt;$B$10,SUM($N$70:N103),0)</f>
        <v>0</v>
      </c>
      <c r="M103" s="5">
        <f t="shared" ref="M103:M134" si="38">IF(G103&gt;$B$11,M102+1,0)</f>
        <v>16</v>
      </c>
      <c r="N103" s="5">
        <f t="shared" ref="N103:N134" si="39">IF(AND(G103&lt;$B$10,G102&gt;=$B$10),1,0)</f>
        <v>0</v>
      </c>
      <c r="O103" s="5">
        <f t="shared" si="35"/>
        <v>0</v>
      </c>
      <c r="P103" s="5">
        <f>IF(L103&gt;0,COUNTIF($L$70:L103,L103),0)</f>
        <v>0</v>
      </c>
      <c r="Q103" s="5">
        <f t="shared" si="36"/>
        <v>500000000</v>
      </c>
    </row>
    <row r="104" spans="1:17" ht="25.95" customHeight="1">
      <c r="A104" s="7">
        <f>$B$6+34</f>
        <v>46228</v>
      </c>
      <c r="B104" s="8">
        <f t="shared" si="28"/>
        <v>0</v>
      </c>
      <c r="C104" s="8">
        <f t="shared" si="29"/>
        <v>0</v>
      </c>
      <c r="D104" s="8">
        <f>SUM($F$70:F104)</f>
        <v>981368179</v>
      </c>
      <c r="E104" s="8">
        <f t="shared" si="37"/>
        <v>2181368179</v>
      </c>
      <c r="F104" s="8">
        <f t="shared" si="30"/>
        <v>0</v>
      </c>
      <c r="G104" s="8">
        <f t="shared" si="31"/>
        <v>2181368179</v>
      </c>
      <c r="H104" s="8">
        <f t="shared" si="32"/>
        <v>0</v>
      </c>
      <c r="I104" s="8">
        <f t="shared" si="33"/>
        <v>0</v>
      </c>
      <c r="J104" s="10">
        <f t="shared" si="34"/>
        <v>0</v>
      </c>
      <c r="K104" s="3">
        <f>IF(OR(G104&lt;0,G104&lt;$B$9,J104&gt;Nguong!$B$63),3,IF(J104&gt;Nguong!$B$62,2,IF(J104&gt;0,1,0)))</f>
        <v>0</v>
      </c>
      <c r="L104" s="3">
        <f>IF(G104&lt;$B$10,SUM($N$70:N104),0)</f>
        <v>0</v>
      </c>
      <c r="M104" s="3">
        <f t="shared" si="38"/>
        <v>17</v>
      </c>
      <c r="N104" s="3">
        <f t="shared" si="39"/>
        <v>0</v>
      </c>
      <c r="O104" s="3">
        <f t="shared" si="35"/>
        <v>0</v>
      </c>
      <c r="P104" s="3">
        <f>IF(L104&gt;0,COUNTIF($L$70:L104,L104),0)</f>
        <v>0</v>
      </c>
      <c r="Q104" s="3">
        <f t="shared" si="36"/>
        <v>500000000</v>
      </c>
    </row>
    <row r="105" spans="1:17" ht="25.95" customHeight="1">
      <c r="A105" s="6">
        <f>$B$6+35</f>
        <v>46229</v>
      </c>
      <c r="B105" s="9">
        <f t="shared" si="28"/>
        <v>0</v>
      </c>
      <c r="C105" s="9">
        <f t="shared" si="29"/>
        <v>0</v>
      </c>
      <c r="D105" s="9">
        <f>SUM($F$70:F105)</f>
        <v>981368179</v>
      </c>
      <c r="E105" s="9">
        <f t="shared" si="37"/>
        <v>2181368179</v>
      </c>
      <c r="F105" s="9">
        <f t="shared" si="30"/>
        <v>0</v>
      </c>
      <c r="G105" s="9">
        <f t="shared" si="31"/>
        <v>2181368179</v>
      </c>
      <c r="H105" s="9">
        <f t="shared" si="32"/>
        <v>0</v>
      </c>
      <c r="I105" s="9">
        <f t="shared" si="33"/>
        <v>0</v>
      </c>
      <c r="J105" s="21">
        <f t="shared" si="34"/>
        <v>0</v>
      </c>
      <c r="K105" s="5">
        <f>IF(OR(G105&lt;0,G105&lt;$B$9,J105&gt;Nguong!$B$63),3,IF(J105&gt;Nguong!$B$62,2,IF(J105&gt;0,1,0)))</f>
        <v>0</v>
      </c>
      <c r="L105" s="5">
        <f>IF(G105&lt;$B$10,SUM($N$70:N105),0)</f>
        <v>0</v>
      </c>
      <c r="M105" s="5">
        <f t="shared" si="38"/>
        <v>18</v>
      </c>
      <c r="N105" s="5">
        <f t="shared" si="39"/>
        <v>0</v>
      </c>
      <c r="O105" s="5">
        <f t="shared" si="35"/>
        <v>0</v>
      </c>
      <c r="P105" s="5">
        <f>IF(L105&gt;0,COUNTIF($L$70:L105,L105),0)</f>
        <v>0</v>
      </c>
      <c r="Q105" s="5">
        <f t="shared" si="36"/>
        <v>500000000</v>
      </c>
    </row>
    <row r="106" spans="1:17" ht="25.95" customHeight="1">
      <c r="A106" s="7">
        <f>$B$6+36</f>
        <v>46230</v>
      </c>
      <c r="B106" s="8">
        <f t="shared" si="28"/>
        <v>0</v>
      </c>
      <c r="C106" s="8">
        <f t="shared" si="29"/>
        <v>0</v>
      </c>
      <c r="D106" s="8">
        <f>SUM($F$70:F106)</f>
        <v>981368179</v>
      </c>
      <c r="E106" s="8">
        <f t="shared" si="37"/>
        <v>2181368179</v>
      </c>
      <c r="F106" s="8">
        <f t="shared" si="30"/>
        <v>0</v>
      </c>
      <c r="G106" s="8">
        <f t="shared" si="31"/>
        <v>2181368179</v>
      </c>
      <c r="H106" s="8">
        <f t="shared" si="32"/>
        <v>0</v>
      </c>
      <c r="I106" s="8">
        <f t="shared" si="33"/>
        <v>0</v>
      </c>
      <c r="J106" s="10">
        <f t="shared" si="34"/>
        <v>0</v>
      </c>
      <c r="K106" s="3">
        <f>IF(OR(G106&lt;0,G106&lt;$B$9,J106&gt;Nguong!$B$63),3,IF(J106&gt;Nguong!$B$62,2,IF(J106&gt;0,1,0)))</f>
        <v>0</v>
      </c>
      <c r="L106" s="3">
        <f>IF(G106&lt;$B$10,SUM($N$70:N106),0)</f>
        <v>0</v>
      </c>
      <c r="M106" s="3">
        <f t="shared" si="38"/>
        <v>19</v>
      </c>
      <c r="N106" s="3">
        <f t="shared" si="39"/>
        <v>0</v>
      </c>
      <c r="O106" s="3">
        <f t="shared" si="35"/>
        <v>0</v>
      </c>
      <c r="P106" s="3">
        <f>IF(L106&gt;0,COUNTIF($L$70:L106,L106),0)</f>
        <v>0</v>
      </c>
      <c r="Q106" s="3">
        <f t="shared" si="36"/>
        <v>500000000</v>
      </c>
    </row>
    <row r="107" spans="1:17" ht="25.95" customHeight="1">
      <c r="A107" s="6">
        <f>$B$6+37</f>
        <v>46231</v>
      </c>
      <c r="B107" s="9">
        <f t="shared" si="28"/>
        <v>245153067</v>
      </c>
      <c r="C107" s="9">
        <f t="shared" si="29"/>
        <v>29342563</v>
      </c>
      <c r="D107" s="9">
        <f>SUM($F$70:F107)</f>
        <v>1197178683</v>
      </c>
      <c r="E107" s="9">
        <f t="shared" si="37"/>
        <v>2181368179</v>
      </c>
      <c r="F107" s="9">
        <f t="shared" si="30"/>
        <v>215810504</v>
      </c>
      <c r="G107" s="9">
        <f t="shared" si="31"/>
        <v>2397178683</v>
      </c>
      <c r="H107" s="9">
        <f t="shared" si="32"/>
        <v>0</v>
      </c>
      <c r="I107" s="9">
        <f t="shared" si="33"/>
        <v>0</v>
      </c>
      <c r="J107" s="21">
        <f t="shared" si="34"/>
        <v>0</v>
      </c>
      <c r="K107" s="5">
        <f>IF(OR(G107&lt;0,G107&lt;$B$9,J107&gt;Nguong!$B$63),3,IF(J107&gt;Nguong!$B$62,2,IF(J107&gt;0,1,0)))</f>
        <v>0</v>
      </c>
      <c r="L107" s="5">
        <f>IF(G107&lt;$B$10,SUM($N$70:N107),0)</f>
        <v>0</v>
      </c>
      <c r="M107" s="5">
        <f t="shared" si="38"/>
        <v>20</v>
      </c>
      <c r="N107" s="5">
        <f t="shared" si="39"/>
        <v>0</v>
      </c>
      <c r="O107" s="5">
        <f t="shared" si="35"/>
        <v>0</v>
      </c>
      <c r="P107" s="5">
        <f>IF(L107&gt;0,COUNTIF($L$70:L107,L107),0)</f>
        <v>0</v>
      </c>
      <c r="Q107" s="5">
        <f t="shared" si="36"/>
        <v>500000000</v>
      </c>
    </row>
    <row r="108" spans="1:17" ht="25.95" customHeight="1">
      <c r="A108" s="7">
        <f>$B$6+38</f>
        <v>46232</v>
      </c>
      <c r="B108" s="8">
        <f t="shared" si="28"/>
        <v>0</v>
      </c>
      <c r="C108" s="8">
        <f t="shared" si="29"/>
        <v>0</v>
      </c>
      <c r="D108" s="8">
        <f>SUM($F$70:F108)</f>
        <v>1197178683</v>
      </c>
      <c r="E108" s="8">
        <f t="shared" si="37"/>
        <v>2397178683</v>
      </c>
      <c r="F108" s="8">
        <f t="shared" si="30"/>
        <v>0</v>
      </c>
      <c r="G108" s="8">
        <f t="shared" si="31"/>
        <v>2397178683</v>
      </c>
      <c r="H108" s="8">
        <f t="shared" si="32"/>
        <v>0</v>
      </c>
      <c r="I108" s="8">
        <f t="shared" si="33"/>
        <v>0</v>
      </c>
      <c r="J108" s="10">
        <f t="shared" si="34"/>
        <v>0</v>
      </c>
      <c r="K108" s="3">
        <f>IF(OR(G108&lt;0,G108&lt;$B$9,J108&gt;Nguong!$B$63),3,IF(J108&gt;Nguong!$B$62,2,IF(J108&gt;0,1,0)))</f>
        <v>0</v>
      </c>
      <c r="L108" s="3">
        <f>IF(G108&lt;$B$10,SUM($N$70:N108),0)</f>
        <v>0</v>
      </c>
      <c r="M108" s="3">
        <f t="shared" si="38"/>
        <v>21</v>
      </c>
      <c r="N108" s="3">
        <f t="shared" si="39"/>
        <v>0</v>
      </c>
      <c r="O108" s="3">
        <f t="shared" si="35"/>
        <v>0</v>
      </c>
      <c r="P108" s="3">
        <f>IF(L108&gt;0,COUNTIF($L$70:L108,L108),0)</f>
        <v>0</v>
      </c>
      <c r="Q108" s="3">
        <f t="shared" si="36"/>
        <v>500000000</v>
      </c>
    </row>
    <row r="109" spans="1:17" ht="25.95" customHeight="1">
      <c r="A109" s="6">
        <f>$B$6+39</f>
        <v>46233</v>
      </c>
      <c r="B109" s="9">
        <f t="shared" si="28"/>
        <v>0</v>
      </c>
      <c r="C109" s="9">
        <f t="shared" si="29"/>
        <v>0</v>
      </c>
      <c r="D109" s="9">
        <f>SUM($F$70:F109)</f>
        <v>1197178683</v>
      </c>
      <c r="E109" s="9">
        <f t="shared" si="37"/>
        <v>2397178683</v>
      </c>
      <c r="F109" s="9">
        <f t="shared" si="30"/>
        <v>0</v>
      </c>
      <c r="G109" s="9">
        <f t="shared" si="31"/>
        <v>2397178683</v>
      </c>
      <c r="H109" s="9">
        <f t="shared" si="32"/>
        <v>0</v>
      </c>
      <c r="I109" s="9">
        <f t="shared" si="33"/>
        <v>0</v>
      </c>
      <c r="J109" s="21">
        <f t="shared" si="34"/>
        <v>0</v>
      </c>
      <c r="K109" s="5">
        <f>IF(OR(G109&lt;0,G109&lt;$B$9,J109&gt;Nguong!$B$63),3,IF(J109&gt;Nguong!$B$62,2,IF(J109&gt;0,1,0)))</f>
        <v>0</v>
      </c>
      <c r="L109" s="5">
        <f>IF(G109&lt;$B$10,SUM($N$70:N109),0)</f>
        <v>0</v>
      </c>
      <c r="M109" s="5">
        <f t="shared" si="38"/>
        <v>22</v>
      </c>
      <c r="N109" s="5">
        <f t="shared" si="39"/>
        <v>0</v>
      </c>
      <c r="O109" s="5">
        <f t="shared" si="35"/>
        <v>0</v>
      </c>
      <c r="P109" s="5">
        <f>IF(L109&gt;0,COUNTIF($L$70:L109,L109),0)</f>
        <v>0</v>
      </c>
      <c r="Q109" s="5">
        <f t="shared" si="36"/>
        <v>500000000</v>
      </c>
    </row>
    <row r="110" spans="1:17" ht="25.95" customHeight="1">
      <c r="A110" s="7">
        <f>$B$6+40</f>
        <v>46234</v>
      </c>
      <c r="B110" s="8">
        <f t="shared" si="28"/>
        <v>0</v>
      </c>
      <c r="C110" s="8">
        <f t="shared" si="29"/>
        <v>2800000000</v>
      </c>
      <c r="D110" s="8">
        <f>SUM($F$70:F110)</f>
        <v>-1602821317</v>
      </c>
      <c r="E110" s="8">
        <f t="shared" si="37"/>
        <v>2397178683</v>
      </c>
      <c r="F110" s="8">
        <f t="shared" si="30"/>
        <v>-2800000000</v>
      </c>
      <c r="G110" s="8">
        <f t="shared" si="31"/>
        <v>-402821317</v>
      </c>
      <c r="H110" s="8">
        <f t="shared" si="32"/>
        <v>902821317</v>
      </c>
      <c r="I110" s="8">
        <f t="shared" si="33"/>
        <v>402821317</v>
      </c>
      <c r="J110" s="10">
        <f t="shared" si="34"/>
        <v>1.805642634</v>
      </c>
      <c r="K110" s="3">
        <f>IF(OR(G110&lt;0,G110&lt;$B$9,J110&gt;Nguong!$B$63),3,IF(J110&gt;Nguong!$B$62,2,IF(J110&gt;0,1,0)))</f>
        <v>3</v>
      </c>
      <c r="L110" s="3">
        <f>IF(G110&lt;$B$10,SUM($N$70:N110),0)</f>
        <v>3</v>
      </c>
      <c r="M110" s="3">
        <f t="shared" si="38"/>
        <v>0</v>
      </c>
      <c r="N110" s="3">
        <f t="shared" si="39"/>
        <v>1</v>
      </c>
      <c r="O110" s="3">
        <f t="shared" si="35"/>
        <v>0</v>
      </c>
      <c r="P110" s="3">
        <f>IF(L110&gt;0,COUNTIF($L$70:L110,L110),0)</f>
        <v>1</v>
      </c>
      <c r="Q110" s="3">
        <f t="shared" si="36"/>
        <v>500000000</v>
      </c>
    </row>
    <row r="111" spans="1:17" ht="25.95" customHeight="1">
      <c r="A111" s="6">
        <f>$B$6+41</f>
        <v>46235</v>
      </c>
      <c r="B111" s="9">
        <f t="shared" si="28"/>
        <v>0</v>
      </c>
      <c r="C111" s="9">
        <f t="shared" si="29"/>
        <v>120000000</v>
      </c>
      <c r="D111" s="9">
        <f>SUM($F$70:F111)</f>
        <v>-1722821317</v>
      </c>
      <c r="E111" s="9">
        <f t="shared" si="37"/>
        <v>-402821317</v>
      </c>
      <c r="F111" s="9">
        <f t="shared" si="30"/>
        <v>-120000000</v>
      </c>
      <c r="G111" s="9">
        <f t="shared" si="31"/>
        <v>-522821317</v>
      </c>
      <c r="H111" s="9">
        <f t="shared" si="32"/>
        <v>1022821317</v>
      </c>
      <c r="I111" s="9">
        <f t="shared" si="33"/>
        <v>522821317</v>
      </c>
      <c r="J111" s="21">
        <f t="shared" si="34"/>
        <v>2.045642634</v>
      </c>
      <c r="K111" s="5">
        <f>IF(OR(G111&lt;0,G111&lt;$B$9,J111&gt;Nguong!$B$63),3,IF(J111&gt;Nguong!$B$62,2,IF(J111&gt;0,1,0)))</f>
        <v>3</v>
      </c>
      <c r="L111" s="5">
        <f>IF(G111&lt;$B$10,SUM($N$70:N111),0)</f>
        <v>3</v>
      </c>
      <c r="M111" s="5">
        <f t="shared" si="38"/>
        <v>0</v>
      </c>
      <c r="N111" s="5">
        <f t="shared" si="39"/>
        <v>0</v>
      </c>
      <c r="O111" s="5">
        <f t="shared" si="35"/>
        <v>0</v>
      </c>
      <c r="P111" s="5">
        <f>IF(L111&gt;0,COUNTIF($L$70:L111,L111),0)</f>
        <v>2</v>
      </c>
      <c r="Q111" s="5">
        <f t="shared" si="36"/>
        <v>500000000</v>
      </c>
    </row>
    <row r="112" spans="1:17" ht="25.95" customHeight="1">
      <c r="A112" s="7">
        <f>$B$6+42</f>
        <v>46236</v>
      </c>
      <c r="B112" s="8">
        <f t="shared" si="28"/>
        <v>0</v>
      </c>
      <c r="C112" s="8">
        <f t="shared" si="29"/>
        <v>0</v>
      </c>
      <c r="D112" s="8">
        <f>SUM($F$70:F112)</f>
        <v>-1722821317</v>
      </c>
      <c r="E112" s="8">
        <f t="shared" si="37"/>
        <v>-522821317</v>
      </c>
      <c r="F112" s="8">
        <f t="shared" si="30"/>
        <v>0</v>
      </c>
      <c r="G112" s="8">
        <f t="shared" si="31"/>
        <v>-522821317</v>
      </c>
      <c r="H112" s="8">
        <f t="shared" si="32"/>
        <v>1022821317</v>
      </c>
      <c r="I112" s="8">
        <f t="shared" si="33"/>
        <v>522821317</v>
      </c>
      <c r="J112" s="10">
        <f t="shared" si="34"/>
        <v>2.045642634</v>
      </c>
      <c r="K112" s="3">
        <f>IF(OR(G112&lt;0,G112&lt;$B$9,J112&gt;Nguong!$B$63),3,IF(J112&gt;Nguong!$B$62,2,IF(J112&gt;0,1,0)))</f>
        <v>3</v>
      </c>
      <c r="L112" s="3">
        <f>IF(G112&lt;$B$10,SUM($N$70:N112),0)</f>
        <v>3</v>
      </c>
      <c r="M112" s="3">
        <f t="shared" si="38"/>
        <v>0</v>
      </c>
      <c r="N112" s="3">
        <f t="shared" si="39"/>
        <v>0</v>
      </c>
      <c r="O112" s="3">
        <f t="shared" si="35"/>
        <v>0</v>
      </c>
      <c r="P112" s="3">
        <f>IF(L112&gt;0,COUNTIF($L$70:L112,L112),0)</f>
        <v>3</v>
      </c>
      <c r="Q112" s="3">
        <f t="shared" si="36"/>
        <v>500000000</v>
      </c>
    </row>
    <row r="113" spans="1:17" ht="25.95" customHeight="1">
      <c r="A113" s="6">
        <f>$B$6+43</f>
        <v>46237</v>
      </c>
      <c r="B113" s="9">
        <f t="shared" si="28"/>
        <v>0</v>
      </c>
      <c r="C113" s="9">
        <f t="shared" si="29"/>
        <v>0</v>
      </c>
      <c r="D113" s="9">
        <f>SUM($F$70:F113)</f>
        <v>-1722821317</v>
      </c>
      <c r="E113" s="9">
        <f t="shared" si="37"/>
        <v>-522821317</v>
      </c>
      <c r="F113" s="9">
        <f t="shared" si="30"/>
        <v>0</v>
      </c>
      <c r="G113" s="9">
        <f t="shared" si="31"/>
        <v>-522821317</v>
      </c>
      <c r="H113" s="9">
        <f t="shared" si="32"/>
        <v>1022821317</v>
      </c>
      <c r="I113" s="9">
        <f t="shared" si="33"/>
        <v>522821317</v>
      </c>
      <c r="J113" s="21">
        <f t="shared" si="34"/>
        <v>2.045642634</v>
      </c>
      <c r="K113" s="5">
        <f>IF(OR(G113&lt;0,G113&lt;$B$9,J113&gt;Nguong!$B$63),3,IF(J113&gt;Nguong!$B$62,2,IF(J113&gt;0,1,0)))</f>
        <v>3</v>
      </c>
      <c r="L113" s="5">
        <f>IF(G113&lt;$B$10,SUM($N$70:N113),0)</f>
        <v>3</v>
      </c>
      <c r="M113" s="5">
        <f t="shared" si="38"/>
        <v>0</v>
      </c>
      <c r="N113" s="5">
        <f t="shared" si="39"/>
        <v>0</v>
      </c>
      <c r="O113" s="5">
        <f t="shared" si="35"/>
        <v>0</v>
      </c>
      <c r="P113" s="5">
        <f>IF(L113&gt;0,COUNTIF($L$70:L113,L113),0)</f>
        <v>4</v>
      </c>
      <c r="Q113" s="5">
        <f t="shared" si="36"/>
        <v>500000000</v>
      </c>
    </row>
    <row r="114" spans="1:17" ht="25.95" customHeight="1">
      <c r="A114" s="7">
        <f>$B$6+44</f>
        <v>46238</v>
      </c>
      <c r="B114" s="8">
        <f t="shared" si="28"/>
        <v>0</v>
      </c>
      <c r="C114" s="8">
        <f t="shared" si="29"/>
        <v>0</v>
      </c>
      <c r="D114" s="8">
        <f>SUM($F$70:F114)</f>
        <v>-1722821317</v>
      </c>
      <c r="E114" s="8">
        <f t="shared" si="37"/>
        <v>-522821317</v>
      </c>
      <c r="F114" s="8">
        <f t="shared" si="30"/>
        <v>0</v>
      </c>
      <c r="G114" s="8">
        <f t="shared" si="31"/>
        <v>-522821317</v>
      </c>
      <c r="H114" s="8">
        <f t="shared" si="32"/>
        <v>1022821317</v>
      </c>
      <c r="I114" s="8">
        <f t="shared" si="33"/>
        <v>522821317</v>
      </c>
      <c r="J114" s="10">
        <f t="shared" si="34"/>
        <v>2.045642634</v>
      </c>
      <c r="K114" s="3">
        <f>IF(OR(G114&lt;0,G114&lt;$B$9,J114&gt;Nguong!$B$63),3,IF(J114&gt;Nguong!$B$62,2,IF(J114&gt;0,1,0)))</f>
        <v>3</v>
      </c>
      <c r="L114" s="3">
        <f>IF(G114&lt;$B$10,SUM($N$70:N114),0)</f>
        <v>3</v>
      </c>
      <c r="M114" s="3">
        <f t="shared" si="38"/>
        <v>0</v>
      </c>
      <c r="N114" s="3">
        <f t="shared" si="39"/>
        <v>0</v>
      </c>
      <c r="O114" s="3">
        <f t="shared" si="35"/>
        <v>0</v>
      </c>
      <c r="P114" s="3">
        <f>IF(L114&gt;0,COUNTIF($L$70:L114,L114),0)</f>
        <v>5</v>
      </c>
      <c r="Q114" s="3">
        <f t="shared" si="36"/>
        <v>500000000</v>
      </c>
    </row>
    <row r="115" spans="1:17" ht="25.95" customHeight="1">
      <c r="A115" s="6">
        <f>$B$6+45</f>
        <v>46239</v>
      </c>
      <c r="B115" s="9">
        <f t="shared" si="28"/>
        <v>0</v>
      </c>
      <c r="C115" s="9">
        <f t="shared" si="29"/>
        <v>0</v>
      </c>
      <c r="D115" s="9">
        <f>SUM($F$70:F115)</f>
        <v>-1722821317</v>
      </c>
      <c r="E115" s="9">
        <f t="shared" si="37"/>
        <v>-522821317</v>
      </c>
      <c r="F115" s="9">
        <f t="shared" si="30"/>
        <v>0</v>
      </c>
      <c r="G115" s="9">
        <f t="shared" si="31"/>
        <v>-522821317</v>
      </c>
      <c r="H115" s="9">
        <f t="shared" si="32"/>
        <v>1022821317</v>
      </c>
      <c r="I115" s="9">
        <f t="shared" si="33"/>
        <v>522821317</v>
      </c>
      <c r="J115" s="21">
        <f t="shared" si="34"/>
        <v>2.045642634</v>
      </c>
      <c r="K115" s="5">
        <f>IF(OR(G115&lt;0,G115&lt;$B$9,J115&gt;Nguong!$B$63),3,IF(J115&gt;Nguong!$B$62,2,IF(J115&gt;0,1,0)))</f>
        <v>3</v>
      </c>
      <c r="L115" s="5">
        <f>IF(G115&lt;$B$10,SUM($N$70:N115),0)</f>
        <v>3</v>
      </c>
      <c r="M115" s="5">
        <f t="shared" si="38"/>
        <v>0</v>
      </c>
      <c r="N115" s="5">
        <f t="shared" si="39"/>
        <v>0</v>
      </c>
      <c r="O115" s="5">
        <f t="shared" si="35"/>
        <v>0</v>
      </c>
      <c r="P115" s="5">
        <f>IF(L115&gt;0,COUNTIF($L$70:L115,L115),0)</f>
        <v>6</v>
      </c>
      <c r="Q115" s="5">
        <f t="shared" si="36"/>
        <v>500000000</v>
      </c>
    </row>
    <row r="116" spans="1:17" ht="25.95" customHeight="1">
      <c r="A116" s="7">
        <f>$B$6+46</f>
        <v>46240</v>
      </c>
      <c r="B116" s="8">
        <f t="shared" si="28"/>
        <v>0</v>
      </c>
      <c r="C116" s="8">
        <f t="shared" si="29"/>
        <v>0</v>
      </c>
      <c r="D116" s="8">
        <f>SUM($F$70:F116)</f>
        <v>-1722821317</v>
      </c>
      <c r="E116" s="8">
        <f t="shared" si="37"/>
        <v>-522821317</v>
      </c>
      <c r="F116" s="8">
        <f t="shared" si="30"/>
        <v>0</v>
      </c>
      <c r="G116" s="8">
        <f t="shared" si="31"/>
        <v>-522821317</v>
      </c>
      <c r="H116" s="8">
        <f t="shared" si="32"/>
        <v>1022821317</v>
      </c>
      <c r="I116" s="8">
        <f t="shared" si="33"/>
        <v>522821317</v>
      </c>
      <c r="J116" s="10">
        <f t="shared" si="34"/>
        <v>2.045642634</v>
      </c>
      <c r="K116" s="3">
        <f>IF(OR(G116&lt;0,G116&lt;$B$9,J116&gt;Nguong!$B$63),3,IF(J116&gt;Nguong!$B$62,2,IF(J116&gt;0,1,0)))</f>
        <v>3</v>
      </c>
      <c r="L116" s="3">
        <f>IF(G116&lt;$B$10,SUM($N$70:N116),0)</f>
        <v>3</v>
      </c>
      <c r="M116" s="3">
        <f t="shared" si="38"/>
        <v>0</v>
      </c>
      <c r="N116" s="3">
        <f t="shared" si="39"/>
        <v>0</v>
      </c>
      <c r="O116" s="3">
        <f t="shared" si="35"/>
        <v>0</v>
      </c>
      <c r="P116" s="3">
        <f>IF(L116&gt;0,COUNTIF($L$70:L116,L116),0)</f>
        <v>7</v>
      </c>
      <c r="Q116" s="3">
        <f t="shared" si="36"/>
        <v>500000000</v>
      </c>
    </row>
    <row r="117" spans="1:17" ht="25.95" customHeight="1">
      <c r="A117" s="6">
        <f>$B$6+47</f>
        <v>46241</v>
      </c>
      <c r="B117" s="9">
        <f t="shared" si="28"/>
        <v>0</v>
      </c>
      <c r="C117" s="9">
        <f t="shared" si="29"/>
        <v>0</v>
      </c>
      <c r="D117" s="9">
        <f>SUM($F$70:F117)</f>
        <v>-1722821317</v>
      </c>
      <c r="E117" s="9">
        <f t="shared" si="37"/>
        <v>-522821317</v>
      </c>
      <c r="F117" s="9">
        <f t="shared" si="30"/>
        <v>0</v>
      </c>
      <c r="G117" s="9">
        <f t="shared" si="31"/>
        <v>-522821317</v>
      </c>
      <c r="H117" s="9">
        <f t="shared" si="32"/>
        <v>1022821317</v>
      </c>
      <c r="I117" s="9">
        <f t="shared" si="33"/>
        <v>522821317</v>
      </c>
      <c r="J117" s="21">
        <f t="shared" si="34"/>
        <v>2.045642634</v>
      </c>
      <c r="K117" s="5">
        <f>IF(OR(G117&lt;0,G117&lt;$B$9,J117&gt;Nguong!$B$63),3,IF(J117&gt;Nguong!$B$62,2,IF(J117&gt;0,1,0)))</f>
        <v>3</v>
      </c>
      <c r="L117" s="5">
        <f>IF(G117&lt;$B$10,SUM($N$70:N117),0)</f>
        <v>3</v>
      </c>
      <c r="M117" s="5">
        <f t="shared" si="38"/>
        <v>0</v>
      </c>
      <c r="N117" s="5">
        <f t="shared" si="39"/>
        <v>0</v>
      </c>
      <c r="O117" s="5">
        <f t="shared" si="35"/>
        <v>0</v>
      </c>
      <c r="P117" s="5">
        <f>IF(L117&gt;0,COUNTIF($L$70:L117,L117),0)</f>
        <v>8</v>
      </c>
      <c r="Q117" s="5">
        <f t="shared" si="36"/>
        <v>500000000</v>
      </c>
    </row>
    <row r="118" spans="1:17" ht="25.95" customHeight="1">
      <c r="A118" s="7">
        <f>$B$6+48</f>
        <v>46242</v>
      </c>
      <c r="B118" s="8">
        <f t="shared" si="28"/>
        <v>0</v>
      </c>
      <c r="C118" s="8">
        <f t="shared" si="29"/>
        <v>0</v>
      </c>
      <c r="D118" s="8">
        <f>SUM($F$70:F118)</f>
        <v>-1722821317</v>
      </c>
      <c r="E118" s="8">
        <f t="shared" si="37"/>
        <v>-522821317</v>
      </c>
      <c r="F118" s="8">
        <f t="shared" si="30"/>
        <v>0</v>
      </c>
      <c r="G118" s="8">
        <f t="shared" si="31"/>
        <v>-522821317</v>
      </c>
      <c r="H118" s="8">
        <f t="shared" si="32"/>
        <v>1022821317</v>
      </c>
      <c r="I118" s="8">
        <f t="shared" si="33"/>
        <v>522821317</v>
      </c>
      <c r="J118" s="10">
        <f t="shared" si="34"/>
        <v>2.045642634</v>
      </c>
      <c r="K118" s="3">
        <f>IF(OR(G118&lt;0,G118&lt;$B$9,J118&gt;Nguong!$B$63),3,IF(J118&gt;Nguong!$B$62,2,IF(J118&gt;0,1,0)))</f>
        <v>3</v>
      </c>
      <c r="L118" s="3">
        <f>IF(G118&lt;$B$10,SUM($N$70:N118),0)</f>
        <v>3</v>
      </c>
      <c r="M118" s="3">
        <f t="shared" si="38"/>
        <v>0</v>
      </c>
      <c r="N118" s="3">
        <f t="shared" si="39"/>
        <v>0</v>
      </c>
      <c r="O118" s="3">
        <f t="shared" si="35"/>
        <v>0</v>
      </c>
      <c r="P118" s="3">
        <f>IF(L118&gt;0,COUNTIF($L$70:L118,L118),0)</f>
        <v>9</v>
      </c>
      <c r="Q118" s="3">
        <f t="shared" si="36"/>
        <v>500000000</v>
      </c>
    </row>
    <row r="119" spans="1:17" ht="25.95" customHeight="1">
      <c r="A119" s="6">
        <f>$B$6+49</f>
        <v>46243</v>
      </c>
      <c r="B119" s="9">
        <f t="shared" si="28"/>
        <v>0</v>
      </c>
      <c r="C119" s="9">
        <f t="shared" si="29"/>
        <v>0</v>
      </c>
      <c r="D119" s="9">
        <f>SUM($F$70:F119)</f>
        <v>-1722821317</v>
      </c>
      <c r="E119" s="9">
        <f t="shared" si="37"/>
        <v>-522821317</v>
      </c>
      <c r="F119" s="9">
        <f t="shared" si="30"/>
        <v>0</v>
      </c>
      <c r="G119" s="9">
        <f t="shared" si="31"/>
        <v>-522821317</v>
      </c>
      <c r="H119" s="9">
        <f t="shared" si="32"/>
        <v>1022821317</v>
      </c>
      <c r="I119" s="9">
        <f t="shared" si="33"/>
        <v>522821317</v>
      </c>
      <c r="J119" s="21">
        <f t="shared" si="34"/>
        <v>2.045642634</v>
      </c>
      <c r="K119" s="5">
        <f>IF(OR(G119&lt;0,G119&lt;$B$9,J119&gt;Nguong!$B$63),3,IF(J119&gt;Nguong!$B$62,2,IF(J119&gt;0,1,0)))</f>
        <v>3</v>
      </c>
      <c r="L119" s="5">
        <f>IF(G119&lt;$B$10,SUM($N$70:N119),0)</f>
        <v>3</v>
      </c>
      <c r="M119" s="5">
        <f t="shared" si="38"/>
        <v>0</v>
      </c>
      <c r="N119" s="5">
        <f t="shared" si="39"/>
        <v>0</v>
      </c>
      <c r="O119" s="5">
        <f t="shared" si="35"/>
        <v>0</v>
      </c>
      <c r="P119" s="5">
        <f>IF(L119&gt;0,COUNTIF($L$70:L119,L119),0)</f>
        <v>10</v>
      </c>
      <c r="Q119" s="5">
        <f t="shared" si="36"/>
        <v>500000000</v>
      </c>
    </row>
    <row r="120" spans="1:17" ht="25.95" customHeight="1">
      <c r="A120" s="7">
        <f>$B$6+50</f>
        <v>46244</v>
      </c>
      <c r="B120" s="8">
        <f t="shared" si="28"/>
        <v>872312651</v>
      </c>
      <c r="C120" s="8">
        <f t="shared" si="29"/>
        <v>0</v>
      </c>
      <c r="D120" s="8">
        <f>SUM($F$70:F120)</f>
        <v>-850508666</v>
      </c>
      <c r="E120" s="8">
        <f t="shared" si="37"/>
        <v>-522821317</v>
      </c>
      <c r="F120" s="8">
        <f t="shared" si="30"/>
        <v>872312651</v>
      </c>
      <c r="G120" s="8">
        <f t="shared" si="31"/>
        <v>349491334</v>
      </c>
      <c r="H120" s="8">
        <f t="shared" si="32"/>
        <v>150508666</v>
      </c>
      <c r="I120" s="8">
        <f t="shared" si="33"/>
        <v>0</v>
      </c>
      <c r="J120" s="10">
        <f t="shared" si="34"/>
        <v>0.30101733200000003</v>
      </c>
      <c r="K120" s="3">
        <f>IF(OR(G120&lt;0,G120&lt;$B$9,J120&gt;Nguong!$B$63),3,IF(J120&gt;Nguong!$B$62,2,IF(J120&gt;0,1,0)))</f>
        <v>2</v>
      </c>
      <c r="L120" s="3">
        <f>IF(G120&lt;$B$10,SUM($N$70:N120),0)</f>
        <v>3</v>
      </c>
      <c r="M120" s="3">
        <f t="shared" si="38"/>
        <v>0</v>
      </c>
      <c r="N120" s="3">
        <f t="shared" si="39"/>
        <v>0</v>
      </c>
      <c r="O120" s="3">
        <f t="shared" si="35"/>
        <v>0</v>
      </c>
      <c r="P120" s="3">
        <f>IF(L120&gt;0,COUNTIF($L$70:L120,L120),0)</f>
        <v>11</v>
      </c>
      <c r="Q120" s="3">
        <f t="shared" si="36"/>
        <v>500000000</v>
      </c>
    </row>
    <row r="121" spans="1:17" ht="25.95" customHeight="1">
      <c r="A121" s="6">
        <f>$B$6+51</f>
        <v>46245</v>
      </c>
      <c r="B121" s="9">
        <f t="shared" si="28"/>
        <v>0</v>
      </c>
      <c r="C121" s="9">
        <f t="shared" si="29"/>
        <v>0</v>
      </c>
      <c r="D121" s="9">
        <f>SUM($F$70:F121)</f>
        <v>-850508666</v>
      </c>
      <c r="E121" s="9">
        <f t="shared" si="37"/>
        <v>349491334</v>
      </c>
      <c r="F121" s="9">
        <f t="shared" si="30"/>
        <v>0</v>
      </c>
      <c r="G121" s="9">
        <f t="shared" si="31"/>
        <v>349491334</v>
      </c>
      <c r="H121" s="9">
        <f t="shared" si="32"/>
        <v>150508666</v>
      </c>
      <c r="I121" s="9">
        <f t="shared" si="33"/>
        <v>0</v>
      </c>
      <c r="J121" s="21">
        <f t="shared" si="34"/>
        <v>0.30101733200000003</v>
      </c>
      <c r="K121" s="5">
        <f>IF(OR(G121&lt;0,G121&lt;$B$9,J121&gt;Nguong!$B$63),3,IF(J121&gt;Nguong!$B$62,2,IF(J121&gt;0,1,0)))</f>
        <v>2</v>
      </c>
      <c r="L121" s="5">
        <f>IF(G121&lt;$B$10,SUM($N$70:N121),0)</f>
        <v>3</v>
      </c>
      <c r="M121" s="5">
        <f t="shared" si="38"/>
        <v>0</v>
      </c>
      <c r="N121" s="5">
        <f t="shared" si="39"/>
        <v>0</v>
      </c>
      <c r="O121" s="5">
        <f t="shared" si="35"/>
        <v>0</v>
      </c>
      <c r="P121" s="5">
        <f>IF(L121&gt;0,COUNTIF($L$70:L121,L121),0)</f>
        <v>12</v>
      </c>
      <c r="Q121" s="5">
        <f t="shared" si="36"/>
        <v>500000000</v>
      </c>
    </row>
    <row r="122" spans="1:17" ht="25.95" customHeight="1">
      <c r="A122" s="7">
        <f>$B$6+52</f>
        <v>46246</v>
      </c>
      <c r="B122" s="8">
        <f t="shared" si="28"/>
        <v>0</v>
      </c>
      <c r="C122" s="8">
        <f t="shared" si="29"/>
        <v>0</v>
      </c>
      <c r="D122" s="8">
        <f>SUM($F$70:F122)</f>
        <v>-850508666</v>
      </c>
      <c r="E122" s="8">
        <f t="shared" si="37"/>
        <v>349491334</v>
      </c>
      <c r="F122" s="8">
        <f t="shared" si="30"/>
        <v>0</v>
      </c>
      <c r="G122" s="8">
        <f t="shared" si="31"/>
        <v>349491334</v>
      </c>
      <c r="H122" s="8">
        <f t="shared" si="32"/>
        <v>150508666</v>
      </c>
      <c r="I122" s="8">
        <f t="shared" si="33"/>
        <v>0</v>
      </c>
      <c r="J122" s="10">
        <f t="shared" si="34"/>
        <v>0.30101733200000003</v>
      </c>
      <c r="K122" s="3">
        <f>IF(OR(G122&lt;0,G122&lt;$B$9,J122&gt;Nguong!$B$63),3,IF(J122&gt;Nguong!$B$62,2,IF(J122&gt;0,1,0)))</f>
        <v>2</v>
      </c>
      <c r="L122" s="3">
        <f>IF(G122&lt;$B$10,SUM($N$70:N122),0)</f>
        <v>3</v>
      </c>
      <c r="M122" s="3">
        <f t="shared" si="38"/>
        <v>0</v>
      </c>
      <c r="N122" s="3">
        <f t="shared" si="39"/>
        <v>0</v>
      </c>
      <c r="O122" s="3">
        <f t="shared" si="35"/>
        <v>1</v>
      </c>
      <c r="P122" s="3">
        <f>IF(L122&gt;0,COUNTIF($L$70:L122,L122),0)</f>
        <v>13</v>
      </c>
      <c r="Q122" s="3">
        <f t="shared" si="36"/>
        <v>500000000</v>
      </c>
    </row>
    <row r="123" spans="1:17" ht="25.95" customHeight="1">
      <c r="A123" s="6">
        <f>$B$6+53</f>
        <v>46247</v>
      </c>
      <c r="B123" s="9">
        <f t="shared" si="28"/>
        <v>172242105</v>
      </c>
      <c r="C123" s="9">
        <f t="shared" si="29"/>
        <v>0</v>
      </c>
      <c r="D123" s="9">
        <f>SUM($F$70:F123)</f>
        <v>-678266561</v>
      </c>
      <c r="E123" s="9">
        <f t="shared" si="37"/>
        <v>349491334</v>
      </c>
      <c r="F123" s="9">
        <f t="shared" si="30"/>
        <v>172242105</v>
      </c>
      <c r="G123" s="9">
        <f t="shared" si="31"/>
        <v>521733439</v>
      </c>
      <c r="H123" s="9">
        <f t="shared" si="32"/>
        <v>0</v>
      </c>
      <c r="I123" s="9">
        <f t="shared" si="33"/>
        <v>0</v>
      </c>
      <c r="J123" s="21">
        <f t="shared" si="34"/>
        <v>0</v>
      </c>
      <c r="K123" s="5">
        <f>IF(OR(G123&lt;0,G123&lt;$B$9,J123&gt;Nguong!$B$63),3,IF(J123&gt;Nguong!$B$62,2,IF(J123&gt;0,1,0)))</f>
        <v>0</v>
      </c>
      <c r="L123" s="5">
        <f>IF(G123&lt;$B$10,SUM($N$70:N123),0)</f>
        <v>0</v>
      </c>
      <c r="M123" s="5">
        <f t="shared" si="38"/>
        <v>0</v>
      </c>
      <c r="N123" s="5">
        <f t="shared" si="39"/>
        <v>0</v>
      </c>
      <c r="O123" s="5">
        <f t="shared" si="35"/>
        <v>0</v>
      </c>
      <c r="P123" s="5">
        <f>IF(L123&gt;0,COUNTIF($L$70:L123,L123),0)</f>
        <v>0</v>
      </c>
      <c r="Q123" s="5">
        <f t="shared" si="36"/>
        <v>500000000</v>
      </c>
    </row>
    <row r="124" spans="1:17" ht="25.95" customHeight="1">
      <c r="A124" s="7">
        <f>$B$6+54</f>
        <v>46248</v>
      </c>
      <c r="B124" s="8">
        <f t="shared" si="28"/>
        <v>0</v>
      </c>
      <c r="C124" s="8">
        <f t="shared" si="29"/>
        <v>0</v>
      </c>
      <c r="D124" s="8">
        <f>SUM($F$70:F124)</f>
        <v>-678266561</v>
      </c>
      <c r="E124" s="8">
        <f t="shared" si="37"/>
        <v>521733439</v>
      </c>
      <c r="F124" s="8">
        <f t="shared" si="30"/>
        <v>0</v>
      </c>
      <c r="G124" s="8">
        <f t="shared" si="31"/>
        <v>521733439</v>
      </c>
      <c r="H124" s="8">
        <f t="shared" si="32"/>
        <v>0</v>
      </c>
      <c r="I124" s="8">
        <f t="shared" si="33"/>
        <v>0</v>
      </c>
      <c r="J124" s="10">
        <f t="shared" si="34"/>
        <v>0</v>
      </c>
      <c r="K124" s="3">
        <f>IF(OR(G124&lt;0,G124&lt;$B$9,J124&gt;Nguong!$B$63),3,IF(J124&gt;Nguong!$B$62,2,IF(J124&gt;0,1,0)))</f>
        <v>0</v>
      </c>
      <c r="L124" s="3">
        <f>IF(G124&lt;$B$10,SUM($N$70:N124),0)</f>
        <v>0</v>
      </c>
      <c r="M124" s="3">
        <f t="shared" si="38"/>
        <v>0</v>
      </c>
      <c r="N124" s="3">
        <f t="shared" si="39"/>
        <v>0</v>
      </c>
      <c r="O124" s="3">
        <f t="shared" si="35"/>
        <v>0</v>
      </c>
      <c r="P124" s="3">
        <f>IF(L124&gt;0,COUNTIF($L$70:L124,L124),0)</f>
        <v>0</v>
      </c>
      <c r="Q124" s="3">
        <f t="shared" si="36"/>
        <v>500000000</v>
      </c>
    </row>
    <row r="125" spans="1:17" ht="25.95" customHeight="1">
      <c r="A125" s="6">
        <f>$B$6+55</f>
        <v>46249</v>
      </c>
      <c r="B125" s="9">
        <f t="shared" si="28"/>
        <v>0</v>
      </c>
      <c r="C125" s="9">
        <f t="shared" si="29"/>
        <v>537397260</v>
      </c>
      <c r="D125" s="9">
        <f>SUM($F$70:F125)</f>
        <v>-1215663821</v>
      </c>
      <c r="E125" s="9">
        <f t="shared" si="37"/>
        <v>521733439</v>
      </c>
      <c r="F125" s="9">
        <f t="shared" si="30"/>
        <v>-537397260</v>
      </c>
      <c r="G125" s="9">
        <f t="shared" si="31"/>
        <v>-15663821</v>
      </c>
      <c r="H125" s="9">
        <f t="shared" si="32"/>
        <v>515663821</v>
      </c>
      <c r="I125" s="9">
        <f t="shared" si="33"/>
        <v>15663821</v>
      </c>
      <c r="J125" s="21">
        <f t="shared" si="34"/>
        <v>1.0313276419999999</v>
      </c>
      <c r="K125" s="5">
        <f>IF(OR(G125&lt;0,G125&lt;$B$9,J125&gt;Nguong!$B$63),3,IF(J125&gt;Nguong!$B$62,2,IF(J125&gt;0,1,0)))</f>
        <v>3</v>
      </c>
      <c r="L125" s="5">
        <f>IF(G125&lt;$B$10,SUM($N$70:N125),0)</f>
        <v>4</v>
      </c>
      <c r="M125" s="5">
        <f t="shared" si="38"/>
        <v>0</v>
      </c>
      <c r="N125" s="5">
        <f t="shared" si="39"/>
        <v>1</v>
      </c>
      <c r="O125" s="5">
        <f t="shared" si="35"/>
        <v>0</v>
      </c>
      <c r="P125" s="5">
        <f>IF(L125&gt;0,COUNTIF($L$70:L125,L125),0)</f>
        <v>1</v>
      </c>
      <c r="Q125" s="5">
        <f t="shared" si="36"/>
        <v>500000000</v>
      </c>
    </row>
    <row r="126" spans="1:17" ht="25.95" customHeight="1">
      <c r="A126" s="7">
        <f>$B$6+56</f>
        <v>46250</v>
      </c>
      <c r="B126" s="8">
        <f t="shared" si="28"/>
        <v>0</v>
      </c>
      <c r="C126" s="8">
        <f t="shared" si="29"/>
        <v>0</v>
      </c>
      <c r="D126" s="8">
        <f>SUM($F$70:F126)</f>
        <v>-1215663821</v>
      </c>
      <c r="E126" s="8">
        <f t="shared" si="37"/>
        <v>-15663821</v>
      </c>
      <c r="F126" s="8">
        <f t="shared" si="30"/>
        <v>0</v>
      </c>
      <c r="G126" s="8">
        <f t="shared" si="31"/>
        <v>-15663821</v>
      </c>
      <c r="H126" s="8">
        <f t="shared" si="32"/>
        <v>515663821</v>
      </c>
      <c r="I126" s="8">
        <f t="shared" si="33"/>
        <v>15663821</v>
      </c>
      <c r="J126" s="10">
        <f t="shared" si="34"/>
        <v>1.0313276419999999</v>
      </c>
      <c r="K126" s="3">
        <f>IF(OR(G126&lt;0,G126&lt;$B$9,J126&gt;Nguong!$B$63),3,IF(J126&gt;Nguong!$B$62,2,IF(J126&gt;0,1,0)))</f>
        <v>3</v>
      </c>
      <c r="L126" s="3">
        <f>IF(G126&lt;$B$10,SUM($N$70:N126),0)</f>
        <v>4</v>
      </c>
      <c r="M126" s="3">
        <f t="shared" si="38"/>
        <v>0</v>
      </c>
      <c r="N126" s="3">
        <f t="shared" si="39"/>
        <v>0</v>
      </c>
      <c r="O126" s="3">
        <f t="shared" si="35"/>
        <v>0</v>
      </c>
      <c r="P126" s="3">
        <f>IF(L126&gt;0,COUNTIF($L$70:L126,L126),0)</f>
        <v>2</v>
      </c>
      <c r="Q126" s="3">
        <f t="shared" si="36"/>
        <v>500000000</v>
      </c>
    </row>
    <row r="127" spans="1:17" ht="25.95" customHeight="1">
      <c r="A127" s="6">
        <f>$B$6+57</f>
        <v>46251</v>
      </c>
      <c r="B127" s="9">
        <f t="shared" si="28"/>
        <v>0</v>
      </c>
      <c r="C127" s="9">
        <f t="shared" si="29"/>
        <v>0</v>
      </c>
      <c r="D127" s="9">
        <f>SUM($F$70:F127)</f>
        <v>-1215663821</v>
      </c>
      <c r="E127" s="9">
        <f t="shared" si="37"/>
        <v>-15663821</v>
      </c>
      <c r="F127" s="9">
        <f t="shared" si="30"/>
        <v>0</v>
      </c>
      <c r="G127" s="9">
        <f t="shared" si="31"/>
        <v>-15663821</v>
      </c>
      <c r="H127" s="9">
        <f t="shared" si="32"/>
        <v>515663821</v>
      </c>
      <c r="I127" s="9">
        <f t="shared" si="33"/>
        <v>15663821</v>
      </c>
      <c r="J127" s="21">
        <f t="shared" si="34"/>
        <v>1.0313276419999999</v>
      </c>
      <c r="K127" s="5">
        <f>IF(OR(G127&lt;0,G127&lt;$B$9,J127&gt;Nguong!$B$63),3,IF(J127&gt;Nguong!$B$62,2,IF(J127&gt;0,1,0)))</f>
        <v>3</v>
      </c>
      <c r="L127" s="5">
        <f>IF(G127&lt;$B$10,SUM($N$70:N127),0)</f>
        <v>4</v>
      </c>
      <c r="M127" s="5">
        <f t="shared" si="38"/>
        <v>0</v>
      </c>
      <c r="N127" s="5">
        <f t="shared" si="39"/>
        <v>0</v>
      </c>
      <c r="O127" s="5">
        <f t="shared" si="35"/>
        <v>0</v>
      </c>
      <c r="P127" s="5">
        <f>IF(L127&gt;0,COUNTIF($L$70:L127,L127),0)</f>
        <v>3</v>
      </c>
      <c r="Q127" s="5">
        <f t="shared" si="36"/>
        <v>500000000</v>
      </c>
    </row>
    <row r="128" spans="1:17" ht="25.95" customHeight="1">
      <c r="A128" s="7">
        <f>$B$6+58</f>
        <v>46252</v>
      </c>
      <c r="B128" s="8">
        <f t="shared" si="28"/>
        <v>0</v>
      </c>
      <c r="C128" s="8">
        <f t="shared" si="29"/>
        <v>48033264</v>
      </c>
      <c r="D128" s="8">
        <f>SUM($F$70:F128)</f>
        <v>-1263697085</v>
      </c>
      <c r="E128" s="8">
        <f t="shared" si="37"/>
        <v>-15663821</v>
      </c>
      <c r="F128" s="8">
        <f t="shared" si="30"/>
        <v>-48033264</v>
      </c>
      <c r="G128" s="8">
        <f t="shared" si="31"/>
        <v>-63697085</v>
      </c>
      <c r="H128" s="8">
        <f t="shared" si="32"/>
        <v>563697085</v>
      </c>
      <c r="I128" s="8">
        <f t="shared" si="33"/>
        <v>63697085</v>
      </c>
      <c r="J128" s="10">
        <f t="shared" si="34"/>
        <v>1.1273941700000001</v>
      </c>
      <c r="K128" s="3">
        <f>IF(OR(G128&lt;0,G128&lt;$B$9,J128&gt;Nguong!$B$63),3,IF(J128&gt;Nguong!$B$62,2,IF(J128&gt;0,1,0)))</f>
        <v>3</v>
      </c>
      <c r="L128" s="3">
        <f>IF(G128&lt;$B$10,SUM($N$70:N128),0)</f>
        <v>4</v>
      </c>
      <c r="M128" s="3">
        <f t="shared" si="38"/>
        <v>0</v>
      </c>
      <c r="N128" s="3">
        <f t="shared" si="39"/>
        <v>0</v>
      </c>
      <c r="O128" s="3">
        <f t="shared" si="35"/>
        <v>0</v>
      </c>
      <c r="P128" s="3">
        <f>IF(L128&gt;0,COUNTIF($L$70:L128,L128),0)</f>
        <v>4</v>
      </c>
      <c r="Q128" s="3">
        <f t="shared" si="36"/>
        <v>500000000</v>
      </c>
    </row>
    <row r="129" spans="1:17" ht="25.95" customHeight="1">
      <c r="A129" s="6">
        <f>$B$6+59</f>
        <v>46253</v>
      </c>
      <c r="B129" s="9">
        <f t="shared" si="28"/>
        <v>280070317</v>
      </c>
      <c r="C129" s="9">
        <f t="shared" si="29"/>
        <v>0</v>
      </c>
      <c r="D129" s="9">
        <f>SUM($F$70:F129)</f>
        <v>-983626768</v>
      </c>
      <c r="E129" s="9">
        <f t="shared" si="37"/>
        <v>-63697085</v>
      </c>
      <c r="F129" s="9">
        <f t="shared" si="30"/>
        <v>280070317</v>
      </c>
      <c r="G129" s="9">
        <f t="shared" si="31"/>
        <v>216373232</v>
      </c>
      <c r="H129" s="9">
        <f t="shared" si="32"/>
        <v>283626768</v>
      </c>
      <c r="I129" s="9">
        <f t="shared" si="33"/>
        <v>0</v>
      </c>
      <c r="J129" s="21">
        <f t="shared" si="34"/>
        <v>0.56725353599999995</v>
      </c>
      <c r="K129" s="5">
        <f>IF(OR(G129&lt;0,G129&lt;$B$9,J129&gt;Nguong!$B$63),3,IF(J129&gt;Nguong!$B$62,2,IF(J129&gt;0,1,0)))</f>
        <v>3</v>
      </c>
      <c r="L129" s="5">
        <f>IF(G129&lt;$B$10,SUM($N$70:N129),0)</f>
        <v>4</v>
      </c>
      <c r="M129" s="5">
        <f t="shared" si="38"/>
        <v>0</v>
      </c>
      <c r="N129" s="5">
        <f t="shared" si="39"/>
        <v>0</v>
      </c>
      <c r="O129" s="5">
        <f t="shared" si="35"/>
        <v>0</v>
      </c>
      <c r="P129" s="5">
        <f>IF(L129&gt;0,COUNTIF($L$70:L129,L129),0)</f>
        <v>5</v>
      </c>
      <c r="Q129" s="5">
        <f t="shared" si="36"/>
        <v>500000000</v>
      </c>
    </row>
    <row r="130" spans="1:17" ht="25.95" customHeight="1">
      <c r="A130" s="7">
        <f>$B$6+60</f>
        <v>46254</v>
      </c>
      <c r="B130" s="8">
        <f t="shared" si="28"/>
        <v>0</v>
      </c>
      <c r="C130" s="8">
        <f t="shared" si="29"/>
        <v>180000000</v>
      </c>
      <c r="D130" s="8">
        <f>SUM($F$70:F130)</f>
        <v>-1163626768</v>
      </c>
      <c r="E130" s="8">
        <f t="shared" si="37"/>
        <v>216373232</v>
      </c>
      <c r="F130" s="8">
        <f t="shared" si="30"/>
        <v>-180000000</v>
      </c>
      <c r="G130" s="8">
        <f t="shared" si="31"/>
        <v>36373232</v>
      </c>
      <c r="H130" s="8">
        <f t="shared" si="32"/>
        <v>463626768</v>
      </c>
      <c r="I130" s="8">
        <f t="shared" si="33"/>
        <v>0</v>
      </c>
      <c r="J130" s="10">
        <f t="shared" si="34"/>
        <v>0.92725353600000004</v>
      </c>
      <c r="K130" s="3">
        <f>IF(OR(G130&lt;0,G130&lt;$B$9,J130&gt;Nguong!$B$63),3,IF(J130&gt;Nguong!$B$62,2,IF(J130&gt;0,1,0)))</f>
        <v>3</v>
      </c>
      <c r="L130" s="3">
        <f>IF(G130&lt;$B$10,SUM($N$70:N130),0)</f>
        <v>4</v>
      </c>
      <c r="M130" s="3">
        <f t="shared" si="38"/>
        <v>0</v>
      </c>
      <c r="N130" s="3">
        <f t="shared" si="39"/>
        <v>0</v>
      </c>
      <c r="O130" s="3">
        <f t="shared" si="35"/>
        <v>0</v>
      </c>
      <c r="P130" s="3">
        <f>IF(L130&gt;0,COUNTIF($L$70:L130,L130),0)</f>
        <v>6</v>
      </c>
      <c r="Q130" s="3">
        <f t="shared" si="36"/>
        <v>500000000</v>
      </c>
    </row>
    <row r="131" spans="1:17" ht="25.95" customHeight="1">
      <c r="A131" s="6">
        <f>$B$6+61</f>
        <v>46255</v>
      </c>
      <c r="B131" s="9">
        <f t="shared" si="28"/>
        <v>0</v>
      </c>
      <c r="C131" s="9">
        <f t="shared" si="29"/>
        <v>0</v>
      </c>
      <c r="D131" s="9">
        <f>SUM($F$70:F131)</f>
        <v>-1163626768</v>
      </c>
      <c r="E131" s="9">
        <f t="shared" si="37"/>
        <v>36373232</v>
      </c>
      <c r="F131" s="9">
        <f t="shared" si="30"/>
        <v>0</v>
      </c>
      <c r="G131" s="9">
        <f t="shared" si="31"/>
        <v>36373232</v>
      </c>
      <c r="H131" s="9">
        <f t="shared" si="32"/>
        <v>463626768</v>
      </c>
      <c r="I131" s="9">
        <f t="shared" si="33"/>
        <v>0</v>
      </c>
      <c r="J131" s="21">
        <f t="shared" si="34"/>
        <v>0.92725353600000004</v>
      </c>
      <c r="K131" s="5">
        <f>IF(OR(G131&lt;0,G131&lt;$B$9,J131&gt;Nguong!$B$63),3,IF(J131&gt;Nguong!$B$62,2,IF(J131&gt;0,1,0)))</f>
        <v>3</v>
      </c>
      <c r="L131" s="5">
        <f>IF(G131&lt;$B$10,SUM($N$70:N131),0)</f>
        <v>4</v>
      </c>
      <c r="M131" s="5">
        <f t="shared" si="38"/>
        <v>0</v>
      </c>
      <c r="N131" s="5">
        <f t="shared" si="39"/>
        <v>0</v>
      </c>
      <c r="O131" s="5">
        <f t="shared" si="35"/>
        <v>0</v>
      </c>
      <c r="P131" s="5">
        <f>IF(L131&gt;0,COUNTIF($L$70:L131,L131),0)</f>
        <v>7</v>
      </c>
      <c r="Q131" s="5">
        <f t="shared" si="36"/>
        <v>500000000</v>
      </c>
    </row>
    <row r="132" spans="1:17" ht="25.95" customHeight="1">
      <c r="A132" s="7">
        <f>$B$6+62</f>
        <v>46256</v>
      </c>
      <c r="B132" s="8">
        <f t="shared" si="28"/>
        <v>0</v>
      </c>
      <c r="C132" s="8">
        <f t="shared" si="29"/>
        <v>0</v>
      </c>
      <c r="D132" s="8">
        <f>SUM($F$70:F132)</f>
        <v>-1163626768</v>
      </c>
      <c r="E132" s="8">
        <f t="shared" si="37"/>
        <v>36373232</v>
      </c>
      <c r="F132" s="8">
        <f t="shared" si="30"/>
        <v>0</v>
      </c>
      <c r="G132" s="8">
        <f t="shared" si="31"/>
        <v>36373232</v>
      </c>
      <c r="H132" s="8">
        <f t="shared" si="32"/>
        <v>463626768</v>
      </c>
      <c r="I132" s="8">
        <f t="shared" si="33"/>
        <v>0</v>
      </c>
      <c r="J132" s="10">
        <f t="shared" si="34"/>
        <v>0.92725353600000004</v>
      </c>
      <c r="K132" s="3">
        <f>IF(OR(G132&lt;0,G132&lt;$B$9,J132&gt;Nguong!$B$63),3,IF(J132&gt;Nguong!$B$62,2,IF(J132&gt;0,1,0)))</f>
        <v>3</v>
      </c>
      <c r="L132" s="3">
        <f>IF(G132&lt;$B$10,SUM($N$70:N132),0)</f>
        <v>4</v>
      </c>
      <c r="M132" s="3">
        <f t="shared" si="38"/>
        <v>0</v>
      </c>
      <c r="N132" s="3">
        <f t="shared" si="39"/>
        <v>0</v>
      </c>
      <c r="O132" s="3">
        <f t="shared" si="35"/>
        <v>0</v>
      </c>
      <c r="P132" s="3">
        <f>IF(L132&gt;0,COUNTIF($L$70:L132,L132),0)</f>
        <v>8</v>
      </c>
      <c r="Q132" s="3">
        <f t="shared" si="36"/>
        <v>500000000</v>
      </c>
    </row>
    <row r="133" spans="1:17" ht="25.95" customHeight="1">
      <c r="A133" s="6">
        <f>$B$6+63</f>
        <v>46257</v>
      </c>
      <c r="B133" s="9">
        <f t="shared" si="28"/>
        <v>0</v>
      </c>
      <c r="C133" s="9">
        <f t="shared" si="29"/>
        <v>0</v>
      </c>
      <c r="D133" s="9">
        <f>SUM($F$70:F133)</f>
        <v>-1163626768</v>
      </c>
      <c r="E133" s="9">
        <f t="shared" si="37"/>
        <v>36373232</v>
      </c>
      <c r="F133" s="9">
        <f t="shared" si="30"/>
        <v>0</v>
      </c>
      <c r="G133" s="9">
        <f t="shared" si="31"/>
        <v>36373232</v>
      </c>
      <c r="H133" s="9">
        <f t="shared" si="32"/>
        <v>463626768</v>
      </c>
      <c r="I133" s="9">
        <f t="shared" si="33"/>
        <v>0</v>
      </c>
      <c r="J133" s="21">
        <f t="shared" si="34"/>
        <v>0.92725353600000004</v>
      </c>
      <c r="K133" s="5">
        <f>IF(OR(G133&lt;0,G133&lt;$B$9,J133&gt;Nguong!$B$63),3,IF(J133&gt;Nguong!$B$62,2,IF(J133&gt;0,1,0)))</f>
        <v>3</v>
      </c>
      <c r="L133" s="5">
        <f>IF(G133&lt;$B$10,SUM($N$70:N133),0)</f>
        <v>4</v>
      </c>
      <c r="M133" s="5">
        <f t="shared" si="38"/>
        <v>0</v>
      </c>
      <c r="N133" s="5">
        <f t="shared" si="39"/>
        <v>0</v>
      </c>
      <c r="O133" s="5">
        <f t="shared" si="35"/>
        <v>0</v>
      </c>
      <c r="P133" s="5">
        <f>IF(L133&gt;0,COUNTIF($L$70:L133,L133),0)</f>
        <v>9</v>
      </c>
      <c r="Q133" s="5">
        <f t="shared" si="36"/>
        <v>500000000</v>
      </c>
    </row>
    <row r="134" spans="1:17" ht="25.95" customHeight="1">
      <c r="A134" s="7">
        <f>$B$6+64</f>
        <v>46258</v>
      </c>
      <c r="B134" s="8">
        <f t="shared" ref="B134:B160" si="40">SUMIFS($E$220:$E$341,$D$220:$D$341,"IN",$N$220:$N$341,A134)</f>
        <v>0</v>
      </c>
      <c r="C134" s="8">
        <f t="shared" ref="C134:C160" si="41">SUMIFS($E$220:$E$341,$D$220:$D$341,"OUT",$N$220:$N$341,A134)</f>
        <v>0</v>
      </c>
      <c r="D134" s="8">
        <f>SUM($F$70:F134)</f>
        <v>-1163626768</v>
      </c>
      <c r="E134" s="8">
        <f t="shared" si="37"/>
        <v>36373232</v>
      </c>
      <c r="F134" s="8">
        <f t="shared" ref="F134:F160" si="42">B134-C134</f>
        <v>0</v>
      </c>
      <c r="G134" s="8">
        <f t="shared" ref="G134:G160" si="43">E134+F134</f>
        <v>36373232</v>
      </c>
      <c r="H134" s="8">
        <f t="shared" ref="H134:H160" si="44">MAX(0,$B$10-G134)</f>
        <v>463626768</v>
      </c>
      <c r="I134" s="8">
        <f t="shared" ref="I134:I160" si="45">MAX(0,-G134)</f>
        <v>0</v>
      </c>
      <c r="J134" s="10">
        <f t="shared" ref="J134:J160" si="46">H134/$B$10</f>
        <v>0.92725353600000004</v>
      </c>
      <c r="K134" s="3">
        <f>IF(OR(G134&lt;0,G134&lt;$B$9,J134&gt;Nguong!$B$63),3,IF(J134&gt;Nguong!$B$62,2,IF(J134&gt;0,1,0)))</f>
        <v>3</v>
      </c>
      <c r="L134" s="3">
        <f>IF(G134&lt;$B$10,SUM($N$70:N134),0)</f>
        <v>4</v>
      </c>
      <c r="M134" s="3">
        <f t="shared" si="38"/>
        <v>0</v>
      </c>
      <c r="N134" s="3">
        <f t="shared" si="39"/>
        <v>0</v>
      </c>
      <c r="O134" s="3">
        <f t="shared" ref="O134:O159" si="47">IF(AND(G134&lt;$B$10,G135&gt;=$B$10),1,0)</f>
        <v>0</v>
      </c>
      <c r="P134" s="3">
        <f>IF(L134&gt;0,COUNTIF($L$70:L134,L134),0)</f>
        <v>10</v>
      </c>
      <c r="Q134" s="3">
        <f t="shared" ref="Q134:Q160" si="48">$B$10</f>
        <v>500000000</v>
      </c>
    </row>
    <row r="135" spans="1:17" ht="25.95" customHeight="1">
      <c r="A135" s="6">
        <f>$B$6+65</f>
        <v>46259</v>
      </c>
      <c r="B135" s="9">
        <f t="shared" si="40"/>
        <v>0</v>
      </c>
      <c r="C135" s="9">
        <f t="shared" si="41"/>
        <v>0</v>
      </c>
      <c r="D135" s="9">
        <f>SUM($F$70:F135)</f>
        <v>-1163626768</v>
      </c>
      <c r="E135" s="9">
        <f t="shared" ref="E135:E160" si="49">G134</f>
        <v>36373232</v>
      </c>
      <c r="F135" s="9">
        <f t="shared" si="42"/>
        <v>0</v>
      </c>
      <c r="G135" s="9">
        <f t="shared" si="43"/>
        <v>36373232</v>
      </c>
      <c r="H135" s="9">
        <f t="shared" si="44"/>
        <v>463626768</v>
      </c>
      <c r="I135" s="9">
        <f t="shared" si="45"/>
        <v>0</v>
      </c>
      <c r="J135" s="21">
        <f t="shared" si="46"/>
        <v>0.92725353600000004</v>
      </c>
      <c r="K135" s="5">
        <f>IF(OR(G135&lt;0,G135&lt;$B$9,J135&gt;Nguong!$B$63),3,IF(J135&gt;Nguong!$B$62,2,IF(J135&gt;0,1,0)))</f>
        <v>3</v>
      </c>
      <c r="L135" s="5">
        <f>IF(G135&lt;$B$10,SUM($N$70:N135),0)</f>
        <v>4</v>
      </c>
      <c r="M135" s="5">
        <f t="shared" ref="M135:M160" si="50">IF(G135&gt;$B$11,M134+1,0)</f>
        <v>0</v>
      </c>
      <c r="N135" s="5">
        <f t="shared" ref="N135:N160" si="51">IF(AND(G135&lt;$B$10,G134&gt;=$B$10),1,0)</f>
        <v>0</v>
      </c>
      <c r="O135" s="5">
        <f t="shared" si="47"/>
        <v>0</v>
      </c>
      <c r="P135" s="5">
        <f>IF(L135&gt;0,COUNTIF($L$70:L135,L135),0)</f>
        <v>11</v>
      </c>
      <c r="Q135" s="5">
        <f t="shared" si="48"/>
        <v>500000000</v>
      </c>
    </row>
    <row r="136" spans="1:17" ht="25.95" customHeight="1">
      <c r="A136" s="7">
        <f>$B$6+66</f>
        <v>46260</v>
      </c>
      <c r="B136" s="8">
        <f t="shared" si="40"/>
        <v>0</v>
      </c>
      <c r="C136" s="8">
        <f t="shared" si="41"/>
        <v>0</v>
      </c>
      <c r="D136" s="8">
        <f>SUM($F$70:F136)</f>
        <v>-1163626768</v>
      </c>
      <c r="E136" s="8">
        <f t="shared" si="49"/>
        <v>36373232</v>
      </c>
      <c r="F136" s="8">
        <f t="shared" si="42"/>
        <v>0</v>
      </c>
      <c r="G136" s="8">
        <f t="shared" si="43"/>
        <v>36373232</v>
      </c>
      <c r="H136" s="8">
        <f t="shared" si="44"/>
        <v>463626768</v>
      </c>
      <c r="I136" s="8">
        <f t="shared" si="45"/>
        <v>0</v>
      </c>
      <c r="J136" s="10">
        <f t="shared" si="46"/>
        <v>0.92725353600000004</v>
      </c>
      <c r="K136" s="3">
        <f>IF(OR(G136&lt;0,G136&lt;$B$9,J136&gt;Nguong!$B$63),3,IF(J136&gt;Nguong!$B$62,2,IF(J136&gt;0,1,0)))</f>
        <v>3</v>
      </c>
      <c r="L136" s="3">
        <f>IF(G136&lt;$B$10,SUM($N$70:N136),0)</f>
        <v>4</v>
      </c>
      <c r="M136" s="3">
        <f t="shared" si="50"/>
        <v>0</v>
      </c>
      <c r="N136" s="3">
        <f t="shared" si="51"/>
        <v>0</v>
      </c>
      <c r="O136" s="3">
        <f t="shared" si="47"/>
        <v>0</v>
      </c>
      <c r="P136" s="3">
        <f>IF(L136&gt;0,COUNTIF($L$70:L136,L136),0)</f>
        <v>12</v>
      </c>
      <c r="Q136" s="3">
        <f t="shared" si="48"/>
        <v>500000000</v>
      </c>
    </row>
    <row r="137" spans="1:17" ht="25.95" customHeight="1">
      <c r="A137" s="6">
        <f>$B$6+67</f>
        <v>46261</v>
      </c>
      <c r="B137" s="9">
        <f t="shared" si="40"/>
        <v>0</v>
      </c>
      <c r="C137" s="9">
        <f t="shared" si="41"/>
        <v>0</v>
      </c>
      <c r="D137" s="9">
        <f>SUM($F$70:F137)</f>
        <v>-1163626768</v>
      </c>
      <c r="E137" s="9">
        <f t="shared" si="49"/>
        <v>36373232</v>
      </c>
      <c r="F137" s="9">
        <f t="shared" si="42"/>
        <v>0</v>
      </c>
      <c r="G137" s="9">
        <f t="shared" si="43"/>
        <v>36373232</v>
      </c>
      <c r="H137" s="9">
        <f t="shared" si="44"/>
        <v>463626768</v>
      </c>
      <c r="I137" s="9">
        <f t="shared" si="45"/>
        <v>0</v>
      </c>
      <c r="J137" s="21">
        <f t="shared" si="46"/>
        <v>0.92725353600000004</v>
      </c>
      <c r="K137" s="5">
        <f>IF(OR(G137&lt;0,G137&lt;$B$9,J137&gt;Nguong!$B$63),3,IF(J137&gt;Nguong!$B$62,2,IF(J137&gt;0,1,0)))</f>
        <v>3</v>
      </c>
      <c r="L137" s="5">
        <f>IF(G137&lt;$B$10,SUM($N$70:N137),0)</f>
        <v>4</v>
      </c>
      <c r="M137" s="5">
        <f t="shared" si="50"/>
        <v>0</v>
      </c>
      <c r="N137" s="5">
        <f t="shared" si="51"/>
        <v>0</v>
      </c>
      <c r="O137" s="5">
        <f t="shared" si="47"/>
        <v>0</v>
      </c>
      <c r="P137" s="5">
        <f>IF(L137&gt;0,COUNTIF($L$70:L137,L137),0)</f>
        <v>13</v>
      </c>
      <c r="Q137" s="5">
        <f t="shared" si="48"/>
        <v>500000000</v>
      </c>
    </row>
    <row r="138" spans="1:17" ht="25.95" customHeight="1">
      <c r="A138" s="7">
        <f>$B$6+68</f>
        <v>46262</v>
      </c>
      <c r="B138" s="8">
        <f t="shared" si="40"/>
        <v>0</v>
      </c>
      <c r="C138" s="8">
        <f t="shared" si="41"/>
        <v>0</v>
      </c>
      <c r="D138" s="8">
        <f>SUM($F$70:F138)</f>
        <v>-1163626768</v>
      </c>
      <c r="E138" s="8">
        <f t="shared" si="49"/>
        <v>36373232</v>
      </c>
      <c r="F138" s="8">
        <f t="shared" si="42"/>
        <v>0</v>
      </c>
      <c r="G138" s="8">
        <f t="shared" si="43"/>
        <v>36373232</v>
      </c>
      <c r="H138" s="8">
        <f t="shared" si="44"/>
        <v>463626768</v>
      </c>
      <c r="I138" s="8">
        <f t="shared" si="45"/>
        <v>0</v>
      </c>
      <c r="J138" s="10">
        <f t="shared" si="46"/>
        <v>0.92725353600000004</v>
      </c>
      <c r="K138" s="3">
        <f>IF(OR(G138&lt;0,G138&lt;$B$9,J138&gt;Nguong!$B$63),3,IF(J138&gt;Nguong!$B$62,2,IF(J138&gt;0,1,0)))</f>
        <v>3</v>
      </c>
      <c r="L138" s="3">
        <f>IF(G138&lt;$B$10,SUM($N$70:N138),0)</f>
        <v>4</v>
      </c>
      <c r="M138" s="3">
        <f t="shared" si="50"/>
        <v>0</v>
      </c>
      <c r="N138" s="3">
        <f t="shared" si="51"/>
        <v>0</v>
      </c>
      <c r="O138" s="3">
        <f t="shared" si="47"/>
        <v>0</v>
      </c>
      <c r="P138" s="3">
        <f>IF(L138&gt;0,COUNTIF($L$70:L138,L138),0)</f>
        <v>14</v>
      </c>
      <c r="Q138" s="3">
        <f t="shared" si="48"/>
        <v>500000000</v>
      </c>
    </row>
    <row r="139" spans="1:17" ht="25.95" customHeight="1">
      <c r="A139" s="6">
        <f>$B$6+69</f>
        <v>46263</v>
      </c>
      <c r="B139" s="9">
        <f t="shared" si="40"/>
        <v>0</v>
      </c>
      <c r="C139" s="9">
        <f t="shared" si="41"/>
        <v>0</v>
      </c>
      <c r="D139" s="9">
        <f>SUM($F$70:F139)</f>
        <v>-1163626768</v>
      </c>
      <c r="E139" s="9">
        <f t="shared" si="49"/>
        <v>36373232</v>
      </c>
      <c r="F139" s="9">
        <f t="shared" si="42"/>
        <v>0</v>
      </c>
      <c r="G139" s="9">
        <f t="shared" si="43"/>
        <v>36373232</v>
      </c>
      <c r="H139" s="9">
        <f t="shared" si="44"/>
        <v>463626768</v>
      </c>
      <c r="I139" s="9">
        <f t="shared" si="45"/>
        <v>0</v>
      </c>
      <c r="J139" s="21">
        <f t="shared" si="46"/>
        <v>0.92725353600000004</v>
      </c>
      <c r="K139" s="5">
        <f>IF(OR(G139&lt;0,G139&lt;$B$9,J139&gt;Nguong!$B$63),3,IF(J139&gt;Nguong!$B$62,2,IF(J139&gt;0,1,0)))</f>
        <v>3</v>
      </c>
      <c r="L139" s="5">
        <f>IF(G139&lt;$B$10,SUM($N$70:N139),0)</f>
        <v>4</v>
      </c>
      <c r="M139" s="5">
        <f t="shared" si="50"/>
        <v>0</v>
      </c>
      <c r="N139" s="5">
        <f t="shared" si="51"/>
        <v>0</v>
      </c>
      <c r="O139" s="5">
        <f t="shared" si="47"/>
        <v>0</v>
      </c>
      <c r="P139" s="5">
        <f>IF(L139&gt;0,COUNTIF($L$70:L139,L139),0)</f>
        <v>15</v>
      </c>
      <c r="Q139" s="5">
        <f t="shared" si="48"/>
        <v>500000000</v>
      </c>
    </row>
    <row r="140" spans="1:17" ht="25.95" customHeight="1">
      <c r="A140" s="7">
        <f>$B$6+70</f>
        <v>46264</v>
      </c>
      <c r="B140" s="8">
        <f t="shared" si="40"/>
        <v>0</v>
      </c>
      <c r="C140" s="8">
        <f t="shared" si="41"/>
        <v>0</v>
      </c>
      <c r="D140" s="8">
        <f>SUM($F$70:F140)</f>
        <v>-1163626768</v>
      </c>
      <c r="E140" s="8">
        <f t="shared" si="49"/>
        <v>36373232</v>
      </c>
      <c r="F140" s="8">
        <f t="shared" si="42"/>
        <v>0</v>
      </c>
      <c r="G140" s="8">
        <f t="shared" si="43"/>
        <v>36373232</v>
      </c>
      <c r="H140" s="8">
        <f t="shared" si="44"/>
        <v>463626768</v>
      </c>
      <c r="I140" s="8">
        <f t="shared" si="45"/>
        <v>0</v>
      </c>
      <c r="J140" s="10">
        <f t="shared" si="46"/>
        <v>0.92725353600000004</v>
      </c>
      <c r="K140" s="3">
        <f>IF(OR(G140&lt;0,G140&lt;$B$9,J140&gt;Nguong!$B$63),3,IF(J140&gt;Nguong!$B$62,2,IF(J140&gt;0,1,0)))</f>
        <v>3</v>
      </c>
      <c r="L140" s="3">
        <f>IF(G140&lt;$B$10,SUM($N$70:N140),0)</f>
        <v>4</v>
      </c>
      <c r="M140" s="3">
        <f t="shared" si="50"/>
        <v>0</v>
      </c>
      <c r="N140" s="3">
        <f t="shared" si="51"/>
        <v>0</v>
      </c>
      <c r="O140" s="3">
        <f t="shared" si="47"/>
        <v>0</v>
      </c>
      <c r="P140" s="3">
        <f>IF(L140&gt;0,COUNTIF($L$70:L140,L140),0)</f>
        <v>16</v>
      </c>
      <c r="Q140" s="3">
        <f t="shared" si="48"/>
        <v>500000000</v>
      </c>
    </row>
    <row r="141" spans="1:17" ht="25.95" customHeight="1">
      <c r="A141" s="6">
        <f>$B$6+71</f>
        <v>46265</v>
      </c>
      <c r="B141" s="9">
        <f t="shared" si="40"/>
        <v>0</v>
      </c>
      <c r="C141" s="9">
        <f t="shared" si="41"/>
        <v>2800000000</v>
      </c>
      <c r="D141" s="9">
        <f>SUM($F$70:F141)</f>
        <v>-3963626768</v>
      </c>
      <c r="E141" s="9">
        <f t="shared" si="49"/>
        <v>36373232</v>
      </c>
      <c r="F141" s="9">
        <f t="shared" si="42"/>
        <v>-2800000000</v>
      </c>
      <c r="G141" s="9">
        <f t="shared" si="43"/>
        <v>-2763626768</v>
      </c>
      <c r="H141" s="9">
        <f t="shared" si="44"/>
        <v>3263626768</v>
      </c>
      <c r="I141" s="9">
        <f t="shared" si="45"/>
        <v>2763626768</v>
      </c>
      <c r="J141" s="21">
        <f t="shared" si="46"/>
        <v>6.5272535359999999</v>
      </c>
      <c r="K141" s="5">
        <f>IF(OR(G141&lt;0,G141&lt;$B$9,J141&gt;Nguong!$B$63),3,IF(J141&gt;Nguong!$B$62,2,IF(J141&gt;0,1,0)))</f>
        <v>3</v>
      </c>
      <c r="L141" s="5">
        <f>IF(G141&lt;$B$10,SUM($N$70:N141),0)</f>
        <v>4</v>
      </c>
      <c r="M141" s="5">
        <f t="shared" si="50"/>
        <v>0</v>
      </c>
      <c r="N141" s="5">
        <f t="shared" si="51"/>
        <v>0</v>
      </c>
      <c r="O141" s="5">
        <f t="shared" si="47"/>
        <v>0</v>
      </c>
      <c r="P141" s="5">
        <f>IF(L141&gt;0,COUNTIF($L$70:L141,L141),0)</f>
        <v>17</v>
      </c>
      <c r="Q141" s="5">
        <f t="shared" si="48"/>
        <v>500000000</v>
      </c>
    </row>
    <row r="142" spans="1:17" ht="25.95" customHeight="1">
      <c r="A142" s="7">
        <f>$B$6+72</f>
        <v>46266</v>
      </c>
      <c r="B142" s="8">
        <f t="shared" si="40"/>
        <v>0</v>
      </c>
      <c r="C142" s="8">
        <f t="shared" si="41"/>
        <v>120000000</v>
      </c>
      <c r="D142" s="8">
        <f>SUM($F$70:F142)</f>
        <v>-4083626768</v>
      </c>
      <c r="E142" s="8">
        <f t="shared" si="49"/>
        <v>-2763626768</v>
      </c>
      <c r="F142" s="8">
        <f t="shared" si="42"/>
        <v>-120000000</v>
      </c>
      <c r="G142" s="8">
        <f t="shared" si="43"/>
        <v>-2883626768</v>
      </c>
      <c r="H142" s="8">
        <f t="shared" si="44"/>
        <v>3383626768</v>
      </c>
      <c r="I142" s="8">
        <f t="shared" si="45"/>
        <v>2883626768</v>
      </c>
      <c r="J142" s="10">
        <f t="shared" si="46"/>
        <v>6.7672535360000001</v>
      </c>
      <c r="K142" s="3">
        <f>IF(OR(G142&lt;0,G142&lt;$B$9,J142&gt;Nguong!$B$63),3,IF(J142&gt;Nguong!$B$62,2,IF(J142&gt;0,1,0)))</f>
        <v>3</v>
      </c>
      <c r="L142" s="3">
        <f>IF(G142&lt;$B$10,SUM($N$70:N142),0)</f>
        <v>4</v>
      </c>
      <c r="M142" s="3">
        <f t="shared" si="50"/>
        <v>0</v>
      </c>
      <c r="N142" s="3">
        <f t="shared" si="51"/>
        <v>0</v>
      </c>
      <c r="O142" s="3">
        <f t="shared" si="47"/>
        <v>0</v>
      </c>
      <c r="P142" s="3">
        <f>IF(L142&gt;0,COUNTIF($L$70:L142,L142),0)</f>
        <v>18</v>
      </c>
      <c r="Q142" s="3">
        <f t="shared" si="48"/>
        <v>500000000</v>
      </c>
    </row>
    <row r="143" spans="1:17" ht="25.95" customHeight="1">
      <c r="A143" s="6">
        <f>$B$6+73</f>
        <v>46267</v>
      </c>
      <c r="B143" s="9">
        <f t="shared" si="40"/>
        <v>0</v>
      </c>
      <c r="C143" s="9">
        <f t="shared" si="41"/>
        <v>0</v>
      </c>
      <c r="D143" s="9">
        <f>SUM($F$70:F143)</f>
        <v>-4083626768</v>
      </c>
      <c r="E143" s="9">
        <f t="shared" si="49"/>
        <v>-2883626768</v>
      </c>
      <c r="F143" s="9">
        <f t="shared" si="42"/>
        <v>0</v>
      </c>
      <c r="G143" s="9">
        <f t="shared" si="43"/>
        <v>-2883626768</v>
      </c>
      <c r="H143" s="9">
        <f t="shared" si="44"/>
        <v>3383626768</v>
      </c>
      <c r="I143" s="9">
        <f t="shared" si="45"/>
        <v>2883626768</v>
      </c>
      <c r="J143" s="21">
        <f t="shared" si="46"/>
        <v>6.7672535360000001</v>
      </c>
      <c r="K143" s="5">
        <f>IF(OR(G143&lt;0,G143&lt;$B$9,J143&gt;Nguong!$B$63),3,IF(J143&gt;Nguong!$B$62,2,IF(J143&gt;0,1,0)))</f>
        <v>3</v>
      </c>
      <c r="L143" s="5">
        <f>IF(G143&lt;$B$10,SUM($N$70:N143),0)</f>
        <v>4</v>
      </c>
      <c r="M143" s="5">
        <f t="shared" si="50"/>
        <v>0</v>
      </c>
      <c r="N143" s="5">
        <f t="shared" si="51"/>
        <v>0</v>
      </c>
      <c r="O143" s="5">
        <f t="shared" si="47"/>
        <v>0</v>
      </c>
      <c r="P143" s="5">
        <f>IF(L143&gt;0,COUNTIF($L$70:L143,L143),0)</f>
        <v>19</v>
      </c>
      <c r="Q143" s="5">
        <f t="shared" si="48"/>
        <v>500000000</v>
      </c>
    </row>
    <row r="144" spans="1:17" ht="25.95" customHeight="1">
      <c r="A144" s="7">
        <f>$B$6+74</f>
        <v>46268</v>
      </c>
      <c r="B144" s="8">
        <f t="shared" si="40"/>
        <v>0</v>
      </c>
      <c r="C144" s="8">
        <f t="shared" si="41"/>
        <v>0</v>
      </c>
      <c r="D144" s="8">
        <f>SUM($F$70:F144)</f>
        <v>-4083626768</v>
      </c>
      <c r="E144" s="8">
        <f t="shared" si="49"/>
        <v>-2883626768</v>
      </c>
      <c r="F144" s="8">
        <f t="shared" si="42"/>
        <v>0</v>
      </c>
      <c r="G144" s="8">
        <f t="shared" si="43"/>
        <v>-2883626768</v>
      </c>
      <c r="H144" s="8">
        <f t="shared" si="44"/>
        <v>3383626768</v>
      </c>
      <c r="I144" s="8">
        <f t="shared" si="45"/>
        <v>2883626768</v>
      </c>
      <c r="J144" s="10">
        <f t="shared" si="46"/>
        <v>6.7672535360000001</v>
      </c>
      <c r="K144" s="3">
        <f>IF(OR(G144&lt;0,G144&lt;$B$9,J144&gt;Nguong!$B$63),3,IF(J144&gt;Nguong!$B$62,2,IF(J144&gt;0,1,0)))</f>
        <v>3</v>
      </c>
      <c r="L144" s="3">
        <f>IF(G144&lt;$B$10,SUM($N$70:N144),0)</f>
        <v>4</v>
      </c>
      <c r="M144" s="3">
        <f t="shared" si="50"/>
        <v>0</v>
      </c>
      <c r="N144" s="3">
        <f t="shared" si="51"/>
        <v>0</v>
      </c>
      <c r="O144" s="3">
        <f t="shared" si="47"/>
        <v>0</v>
      </c>
      <c r="P144" s="3">
        <f>IF(L144&gt;0,COUNTIF($L$70:L144,L144),0)</f>
        <v>20</v>
      </c>
      <c r="Q144" s="3">
        <f t="shared" si="48"/>
        <v>500000000</v>
      </c>
    </row>
    <row r="145" spans="1:17" ht="25.95" customHeight="1">
      <c r="A145" s="6">
        <f>$B$6+75</f>
        <v>46269</v>
      </c>
      <c r="B145" s="9">
        <f t="shared" si="40"/>
        <v>0</v>
      </c>
      <c r="C145" s="9">
        <f t="shared" si="41"/>
        <v>0</v>
      </c>
      <c r="D145" s="9">
        <f>SUM($F$70:F145)</f>
        <v>-4083626768</v>
      </c>
      <c r="E145" s="9">
        <f t="shared" si="49"/>
        <v>-2883626768</v>
      </c>
      <c r="F145" s="9">
        <f t="shared" si="42"/>
        <v>0</v>
      </c>
      <c r="G145" s="9">
        <f t="shared" si="43"/>
        <v>-2883626768</v>
      </c>
      <c r="H145" s="9">
        <f t="shared" si="44"/>
        <v>3383626768</v>
      </c>
      <c r="I145" s="9">
        <f t="shared" si="45"/>
        <v>2883626768</v>
      </c>
      <c r="J145" s="21">
        <f t="shared" si="46"/>
        <v>6.7672535360000001</v>
      </c>
      <c r="K145" s="5">
        <f>IF(OR(G145&lt;0,G145&lt;$B$9,J145&gt;Nguong!$B$63),3,IF(J145&gt;Nguong!$B$62,2,IF(J145&gt;0,1,0)))</f>
        <v>3</v>
      </c>
      <c r="L145" s="5">
        <f>IF(G145&lt;$B$10,SUM($N$70:N145),0)</f>
        <v>4</v>
      </c>
      <c r="M145" s="5">
        <f t="shared" si="50"/>
        <v>0</v>
      </c>
      <c r="N145" s="5">
        <f t="shared" si="51"/>
        <v>0</v>
      </c>
      <c r="O145" s="5">
        <f t="shared" si="47"/>
        <v>0</v>
      </c>
      <c r="P145" s="5">
        <f>IF(L145&gt;0,COUNTIF($L$70:L145,L145),0)</f>
        <v>21</v>
      </c>
      <c r="Q145" s="5">
        <f t="shared" si="48"/>
        <v>500000000</v>
      </c>
    </row>
    <row r="146" spans="1:17" ht="25.95" customHeight="1">
      <c r="A146" s="7">
        <f>$B$6+76</f>
        <v>46270</v>
      </c>
      <c r="B146" s="8">
        <f t="shared" si="40"/>
        <v>0</v>
      </c>
      <c r="C146" s="8">
        <f t="shared" si="41"/>
        <v>0</v>
      </c>
      <c r="D146" s="8">
        <f>SUM($F$70:F146)</f>
        <v>-4083626768</v>
      </c>
      <c r="E146" s="8">
        <f t="shared" si="49"/>
        <v>-2883626768</v>
      </c>
      <c r="F146" s="8">
        <f t="shared" si="42"/>
        <v>0</v>
      </c>
      <c r="G146" s="8">
        <f t="shared" si="43"/>
        <v>-2883626768</v>
      </c>
      <c r="H146" s="8">
        <f t="shared" si="44"/>
        <v>3383626768</v>
      </c>
      <c r="I146" s="8">
        <f t="shared" si="45"/>
        <v>2883626768</v>
      </c>
      <c r="J146" s="10">
        <f t="shared" si="46"/>
        <v>6.7672535360000001</v>
      </c>
      <c r="K146" s="3">
        <f>IF(OR(G146&lt;0,G146&lt;$B$9,J146&gt;Nguong!$B$63),3,IF(J146&gt;Nguong!$B$62,2,IF(J146&gt;0,1,0)))</f>
        <v>3</v>
      </c>
      <c r="L146" s="3">
        <f>IF(G146&lt;$B$10,SUM($N$70:N146),0)</f>
        <v>4</v>
      </c>
      <c r="M146" s="3">
        <f t="shared" si="50"/>
        <v>0</v>
      </c>
      <c r="N146" s="3">
        <f t="shared" si="51"/>
        <v>0</v>
      </c>
      <c r="O146" s="3">
        <f t="shared" si="47"/>
        <v>0</v>
      </c>
      <c r="P146" s="3">
        <f>IF(L146&gt;0,COUNTIF($L$70:L146,L146),0)</f>
        <v>22</v>
      </c>
      <c r="Q146" s="3">
        <f t="shared" si="48"/>
        <v>500000000</v>
      </c>
    </row>
    <row r="147" spans="1:17" ht="25.95" customHeight="1">
      <c r="A147" s="6">
        <f>$B$6+77</f>
        <v>46271</v>
      </c>
      <c r="B147" s="9">
        <f t="shared" si="40"/>
        <v>0</v>
      </c>
      <c r="C147" s="9">
        <f t="shared" si="41"/>
        <v>0</v>
      </c>
      <c r="D147" s="9">
        <f>SUM($F$70:F147)</f>
        <v>-4083626768</v>
      </c>
      <c r="E147" s="9">
        <f t="shared" si="49"/>
        <v>-2883626768</v>
      </c>
      <c r="F147" s="9">
        <f t="shared" si="42"/>
        <v>0</v>
      </c>
      <c r="G147" s="9">
        <f t="shared" si="43"/>
        <v>-2883626768</v>
      </c>
      <c r="H147" s="9">
        <f t="shared" si="44"/>
        <v>3383626768</v>
      </c>
      <c r="I147" s="9">
        <f t="shared" si="45"/>
        <v>2883626768</v>
      </c>
      <c r="J147" s="21">
        <f t="shared" si="46"/>
        <v>6.7672535360000001</v>
      </c>
      <c r="K147" s="5">
        <f>IF(OR(G147&lt;0,G147&lt;$B$9,J147&gt;Nguong!$B$63),3,IF(J147&gt;Nguong!$B$62,2,IF(J147&gt;0,1,0)))</f>
        <v>3</v>
      </c>
      <c r="L147" s="5">
        <f>IF(G147&lt;$B$10,SUM($N$70:N147),0)</f>
        <v>4</v>
      </c>
      <c r="M147" s="5">
        <f t="shared" si="50"/>
        <v>0</v>
      </c>
      <c r="N147" s="5">
        <f t="shared" si="51"/>
        <v>0</v>
      </c>
      <c r="O147" s="5">
        <f t="shared" si="47"/>
        <v>0</v>
      </c>
      <c r="P147" s="5">
        <f>IF(L147&gt;0,COUNTIF($L$70:L147,L147),0)</f>
        <v>23</v>
      </c>
      <c r="Q147" s="5">
        <f t="shared" si="48"/>
        <v>500000000</v>
      </c>
    </row>
    <row r="148" spans="1:17" ht="25.95" customHeight="1">
      <c r="A148" s="7">
        <f>$B$6+78</f>
        <v>46272</v>
      </c>
      <c r="B148" s="8">
        <f t="shared" si="40"/>
        <v>0</v>
      </c>
      <c r="C148" s="8">
        <f t="shared" si="41"/>
        <v>0</v>
      </c>
      <c r="D148" s="8">
        <f>SUM($F$70:F148)</f>
        <v>-4083626768</v>
      </c>
      <c r="E148" s="8">
        <f t="shared" si="49"/>
        <v>-2883626768</v>
      </c>
      <c r="F148" s="8">
        <f t="shared" si="42"/>
        <v>0</v>
      </c>
      <c r="G148" s="8">
        <f t="shared" si="43"/>
        <v>-2883626768</v>
      </c>
      <c r="H148" s="8">
        <f t="shared" si="44"/>
        <v>3383626768</v>
      </c>
      <c r="I148" s="8">
        <f t="shared" si="45"/>
        <v>2883626768</v>
      </c>
      <c r="J148" s="10">
        <f t="shared" si="46"/>
        <v>6.7672535360000001</v>
      </c>
      <c r="K148" s="3">
        <f>IF(OR(G148&lt;0,G148&lt;$B$9,J148&gt;Nguong!$B$63),3,IF(J148&gt;Nguong!$B$62,2,IF(J148&gt;0,1,0)))</f>
        <v>3</v>
      </c>
      <c r="L148" s="3">
        <f>IF(G148&lt;$B$10,SUM($N$70:N148),0)</f>
        <v>4</v>
      </c>
      <c r="M148" s="3">
        <f t="shared" si="50"/>
        <v>0</v>
      </c>
      <c r="N148" s="3">
        <f t="shared" si="51"/>
        <v>0</v>
      </c>
      <c r="O148" s="3">
        <f t="shared" si="47"/>
        <v>0</v>
      </c>
      <c r="P148" s="3">
        <f>IF(L148&gt;0,COUNTIF($L$70:L148,L148),0)</f>
        <v>24</v>
      </c>
      <c r="Q148" s="3">
        <f t="shared" si="48"/>
        <v>500000000</v>
      </c>
    </row>
    <row r="149" spans="1:17" ht="25.95" customHeight="1">
      <c r="A149" s="6">
        <f>$B$6+79</f>
        <v>46273</v>
      </c>
      <c r="B149" s="9">
        <f t="shared" si="40"/>
        <v>0</v>
      </c>
      <c r="C149" s="9">
        <f t="shared" si="41"/>
        <v>0</v>
      </c>
      <c r="D149" s="9">
        <f>SUM($F$70:F149)</f>
        <v>-4083626768</v>
      </c>
      <c r="E149" s="9">
        <f t="shared" si="49"/>
        <v>-2883626768</v>
      </c>
      <c r="F149" s="9">
        <f t="shared" si="42"/>
        <v>0</v>
      </c>
      <c r="G149" s="9">
        <f t="shared" si="43"/>
        <v>-2883626768</v>
      </c>
      <c r="H149" s="9">
        <f t="shared" si="44"/>
        <v>3383626768</v>
      </c>
      <c r="I149" s="9">
        <f t="shared" si="45"/>
        <v>2883626768</v>
      </c>
      <c r="J149" s="21">
        <f t="shared" si="46"/>
        <v>6.7672535360000001</v>
      </c>
      <c r="K149" s="5">
        <f>IF(OR(G149&lt;0,G149&lt;$B$9,J149&gt;Nguong!$B$63),3,IF(J149&gt;Nguong!$B$62,2,IF(J149&gt;0,1,0)))</f>
        <v>3</v>
      </c>
      <c r="L149" s="5">
        <f>IF(G149&lt;$B$10,SUM($N$70:N149),0)</f>
        <v>4</v>
      </c>
      <c r="M149" s="5">
        <f t="shared" si="50"/>
        <v>0</v>
      </c>
      <c r="N149" s="5">
        <f t="shared" si="51"/>
        <v>0</v>
      </c>
      <c r="O149" s="5">
        <f t="shared" si="47"/>
        <v>0</v>
      </c>
      <c r="P149" s="5">
        <f>IF(L149&gt;0,COUNTIF($L$70:L149,L149),0)</f>
        <v>25</v>
      </c>
      <c r="Q149" s="5">
        <f t="shared" si="48"/>
        <v>500000000</v>
      </c>
    </row>
    <row r="150" spans="1:17" ht="25.95" customHeight="1">
      <c r="A150" s="7">
        <f>$B$6+80</f>
        <v>46274</v>
      </c>
      <c r="B150" s="8">
        <f t="shared" si="40"/>
        <v>0</v>
      </c>
      <c r="C150" s="8">
        <f t="shared" si="41"/>
        <v>0</v>
      </c>
      <c r="D150" s="8">
        <f>SUM($F$70:F150)</f>
        <v>-4083626768</v>
      </c>
      <c r="E150" s="8">
        <f t="shared" si="49"/>
        <v>-2883626768</v>
      </c>
      <c r="F150" s="8">
        <f t="shared" si="42"/>
        <v>0</v>
      </c>
      <c r="G150" s="8">
        <f t="shared" si="43"/>
        <v>-2883626768</v>
      </c>
      <c r="H150" s="8">
        <f t="shared" si="44"/>
        <v>3383626768</v>
      </c>
      <c r="I150" s="8">
        <f t="shared" si="45"/>
        <v>2883626768</v>
      </c>
      <c r="J150" s="10">
        <f t="shared" si="46"/>
        <v>6.7672535360000001</v>
      </c>
      <c r="K150" s="3">
        <f>IF(OR(G150&lt;0,G150&lt;$B$9,J150&gt;Nguong!$B$63),3,IF(J150&gt;Nguong!$B$62,2,IF(J150&gt;0,1,0)))</f>
        <v>3</v>
      </c>
      <c r="L150" s="3">
        <f>IF(G150&lt;$B$10,SUM($N$70:N150),0)</f>
        <v>4</v>
      </c>
      <c r="M150" s="3">
        <f t="shared" si="50"/>
        <v>0</v>
      </c>
      <c r="N150" s="3">
        <f t="shared" si="51"/>
        <v>0</v>
      </c>
      <c r="O150" s="3">
        <f t="shared" si="47"/>
        <v>0</v>
      </c>
      <c r="P150" s="3">
        <f>IF(L150&gt;0,COUNTIF($L$70:L150,L150),0)</f>
        <v>26</v>
      </c>
      <c r="Q150" s="3">
        <f t="shared" si="48"/>
        <v>500000000</v>
      </c>
    </row>
    <row r="151" spans="1:17" ht="25.95" customHeight="1">
      <c r="A151" s="6">
        <f>$B$6+81</f>
        <v>46275</v>
      </c>
      <c r="B151" s="9">
        <f t="shared" si="40"/>
        <v>0</v>
      </c>
      <c r="C151" s="9">
        <f t="shared" si="41"/>
        <v>0</v>
      </c>
      <c r="D151" s="9">
        <f>SUM($F$70:F151)</f>
        <v>-4083626768</v>
      </c>
      <c r="E151" s="9">
        <f t="shared" si="49"/>
        <v>-2883626768</v>
      </c>
      <c r="F151" s="9">
        <f t="shared" si="42"/>
        <v>0</v>
      </c>
      <c r="G151" s="9">
        <f t="shared" si="43"/>
        <v>-2883626768</v>
      </c>
      <c r="H151" s="9">
        <f t="shared" si="44"/>
        <v>3383626768</v>
      </c>
      <c r="I151" s="9">
        <f t="shared" si="45"/>
        <v>2883626768</v>
      </c>
      <c r="J151" s="21">
        <f t="shared" si="46"/>
        <v>6.7672535360000001</v>
      </c>
      <c r="K151" s="5">
        <f>IF(OR(G151&lt;0,G151&lt;$B$9,J151&gt;Nguong!$B$63),3,IF(J151&gt;Nguong!$B$62,2,IF(J151&gt;0,1,0)))</f>
        <v>3</v>
      </c>
      <c r="L151" s="5">
        <f>IF(G151&lt;$B$10,SUM($N$70:N151),0)</f>
        <v>4</v>
      </c>
      <c r="M151" s="5">
        <f t="shared" si="50"/>
        <v>0</v>
      </c>
      <c r="N151" s="5">
        <f t="shared" si="51"/>
        <v>0</v>
      </c>
      <c r="O151" s="5">
        <f t="shared" si="47"/>
        <v>0</v>
      </c>
      <c r="P151" s="5">
        <f>IF(L151&gt;0,COUNTIF($L$70:L151,L151),0)</f>
        <v>27</v>
      </c>
      <c r="Q151" s="5">
        <f t="shared" si="48"/>
        <v>500000000</v>
      </c>
    </row>
    <row r="152" spans="1:17" ht="25.95" customHeight="1">
      <c r="A152" s="7">
        <f>$B$6+82</f>
        <v>46276</v>
      </c>
      <c r="B152" s="8">
        <f t="shared" si="40"/>
        <v>0</v>
      </c>
      <c r="C152" s="8">
        <f t="shared" si="41"/>
        <v>0</v>
      </c>
      <c r="D152" s="8">
        <f>SUM($F$70:F152)</f>
        <v>-4083626768</v>
      </c>
      <c r="E152" s="8">
        <f t="shared" si="49"/>
        <v>-2883626768</v>
      </c>
      <c r="F152" s="8">
        <f t="shared" si="42"/>
        <v>0</v>
      </c>
      <c r="G152" s="8">
        <f t="shared" si="43"/>
        <v>-2883626768</v>
      </c>
      <c r="H152" s="8">
        <f t="shared" si="44"/>
        <v>3383626768</v>
      </c>
      <c r="I152" s="8">
        <f t="shared" si="45"/>
        <v>2883626768</v>
      </c>
      <c r="J152" s="10">
        <f t="shared" si="46"/>
        <v>6.7672535360000001</v>
      </c>
      <c r="K152" s="3">
        <f>IF(OR(G152&lt;0,G152&lt;$B$9,J152&gt;Nguong!$B$63),3,IF(J152&gt;Nguong!$B$62,2,IF(J152&gt;0,1,0)))</f>
        <v>3</v>
      </c>
      <c r="L152" s="3">
        <f>IF(G152&lt;$B$10,SUM($N$70:N152),0)</f>
        <v>4</v>
      </c>
      <c r="M152" s="3">
        <f t="shared" si="50"/>
        <v>0</v>
      </c>
      <c r="N152" s="3">
        <f t="shared" si="51"/>
        <v>0</v>
      </c>
      <c r="O152" s="3">
        <f t="shared" si="47"/>
        <v>0</v>
      </c>
      <c r="P152" s="3">
        <f>IF(L152&gt;0,COUNTIF($L$70:L152,L152),0)</f>
        <v>28</v>
      </c>
      <c r="Q152" s="3">
        <f t="shared" si="48"/>
        <v>500000000</v>
      </c>
    </row>
    <row r="153" spans="1:17" ht="25.95" customHeight="1">
      <c r="A153" s="6">
        <f>$B$6+83</f>
        <v>46277</v>
      </c>
      <c r="B153" s="9">
        <f t="shared" si="40"/>
        <v>0</v>
      </c>
      <c r="C153" s="9">
        <f t="shared" si="41"/>
        <v>0</v>
      </c>
      <c r="D153" s="9">
        <f>SUM($F$70:F153)</f>
        <v>-4083626768</v>
      </c>
      <c r="E153" s="9">
        <f t="shared" si="49"/>
        <v>-2883626768</v>
      </c>
      <c r="F153" s="9">
        <f t="shared" si="42"/>
        <v>0</v>
      </c>
      <c r="G153" s="9">
        <f t="shared" si="43"/>
        <v>-2883626768</v>
      </c>
      <c r="H153" s="9">
        <f t="shared" si="44"/>
        <v>3383626768</v>
      </c>
      <c r="I153" s="9">
        <f t="shared" si="45"/>
        <v>2883626768</v>
      </c>
      <c r="J153" s="21">
        <f t="shared" si="46"/>
        <v>6.7672535360000001</v>
      </c>
      <c r="K153" s="5">
        <f>IF(OR(G153&lt;0,G153&lt;$B$9,J153&gt;Nguong!$B$63),3,IF(J153&gt;Nguong!$B$62,2,IF(J153&gt;0,1,0)))</f>
        <v>3</v>
      </c>
      <c r="L153" s="5">
        <f>IF(G153&lt;$B$10,SUM($N$70:N153),0)</f>
        <v>4</v>
      </c>
      <c r="M153" s="5">
        <f t="shared" si="50"/>
        <v>0</v>
      </c>
      <c r="N153" s="5">
        <f t="shared" si="51"/>
        <v>0</v>
      </c>
      <c r="O153" s="5">
        <f t="shared" si="47"/>
        <v>0</v>
      </c>
      <c r="P153" s="5">
        <f>IF(L153&gt;0,COUNTIF($L$70:L153,L153),0)</f>
        <v>29</v>
      </c>
      <c r="Q153" s="5">
        <f t="shared" si="48"/>
        <v>500000000</v>
      </c>
    </row>
    <row r="154" spans="1:17" ht="25.95" customHeight="1">
      <c r="A154" s="7">
        <f>$B$6+84</f>
        <v>46278</v>
      </c>
      <c r="B154" s="8">
        <f t="shared" si="40"/>
        <v>0</v>
      </c>
      <c r="C154" s="8">
        <f t="shared" si="41"/>
        <v>0</v>
      </c>
      <c r="D154" s="8">
        <f>SUM($F$70:F154)</f>
        <v>-4083626768</v>
      </c>
      <c r="E154" s="8">
        <f t="shared" si="49"/>
        <v>-2883626768</v>
      </c>
      <c r="F154" s="8">
        <f t="shared" si="42"/>
        <v>0</v>
      </c>
      <c r="G154" s="8">
        <f t="shared" si="43"/>
        <v>-2883626768</v>
      </c>
      <c r="H154" s="8">
        <f t="shared" si="44"/>
        <v>3383626768</v>
      </c>
      <c r="I154" s="8">
        <f t="shared" si="45"/>
        <v>2883626768</v>
      </c>
      <c r="J154" s="10">
        <f t="shared" si="46"/>
        <v>6.7672535360000001</v>
      </c>
      <c r="K154" s="3">
        <f>IF(OR(G154&lt;0,G154&lt;$B$9,J154&gt;Nguong!$B$63),3,IF(J154&gt;Nguong!$B$62,2,IF(J154&gt;0,1,0)))</f>
        <v>3</v>
      </c>
      <c r="L154" s="3">
        <f>IF(G154&lt;$B$10,SUM($N$70:N154),0)</f>
        <v>4</v>
      </c>
      <c r="M154" s="3">
        <f t="shared" si="50"/>
        <v>0</v>
      </c>
      <c r="N154" s="3">
        <f t="shared" si="51"/>
        <v>0</v>
      </c>
      <c r="O154" s="3">
        <f t="shared" si="47"/>
        <v>0</v>
      </c>
      <c r="P154" s="3">
        <f>IF(L154&gt;0,COUNTIF($L$70:L154,L154),0)</f>
        <v>30</v>
      </c>
      <c r="Q154" s="3">
        <f t="shared" si="48"/>
        <v>500000000</v>
      </c>
    </row>
    <row r="155" spans="1:17" ht="25.95" customHeight="1">
      <c r="A155" s="6">
        <f>$B$6+85</f>
        <v>46279</v>
      </c>
      <c r="B155" s="9">
        <f t="shared" si="40"/>
        <v>0</v>
      </c>
      <c r="C155" s="9">
        <f t="shared" si="41"/>
        <v>0</v>
      </c>
      <c r="D155" s="9">
        <f>SUM($F$70:F155)</f>
        <v>-4083626768</v>
      </c>
      <c r="E155" s="9">
        <f t="shared" si="49"/>
        <v>-2883626768</v>
      </c>
      <c r="F155" s="9">
        <f t="shared" si="42"/>
        <v>0</v>
      </c>
      <c r="G155" s="9">
        <f t="shared" si="43"/>
        <v>-2883626768</v>
      </c>
      <c r="H155" s="9">
        <f t="shared" si="44"/>
        <v>3383626768</v>
      </c>
      <c r="I155" s="9">
        <f t="shared" si="45"/>
        <v>2883626768</v>
      </c>
      <c r="J155" s="21">
        <f t="shared" si="46"/>
        <v>6.7672535360000001</v>
      </c>
      <c r="K155" s="5">
        <f>IF(OR(G155&lt;0,G155&lt;$B$9,J155&gt;Nguong!$B$63),3,IF(J155&gt;Nguong!$B$62,2,IF(J155&gt;0,1,0)))</f>
        <v>3</v>
      </c>
      <c r="L155" s="5">
        <f>IF(G155&lt;$B$10,SUM($N$70:N155),0)</f>
        <v>4</v>
      </c>
      <c r="M155" s="5">
        <f t="shared" si="50"/>
        <v>0</v>
      </c>
      <c r="N155" s="5">
        <f t="shared" si="51"/>
        <v>0</v>
      </c>
      <c r="O155" s="5">
        <f t="shared" si="47"/>
        <v>0</v>
      </c>
      <c r="P155" s="5">
        <f>IF(L155&gt;0,COUNTIF($L$70:L155,L155),0)</f>
        <v>31</v>
      </c>
      <c r="Q155" s="5">
        <f t="shared" si="48"/>
        <v>500000000</v>
      </c>
    </row>
    <row r="156" spans="1:17" ht="25.95" customHeight="1">
      <c r="A156" s="7">
        <f>$B$6+86</f>
        <v>46280</v>
      </c>
      <c r="B156" s="8">
        <f t="shared" si="40"/>
        <v>0</v>
      </c>
      <c r="C156" s="8">
        <f t="shared" si="41"/>
        <v>0</v>
      </c>
      <c r="D156" s="8">
        <f>SUM($F$70:F156)</f>
        <v>-4083626768</v>
      </c>
      <c r="E156" s="8">
        <f t="shared" si="49"/>
        <v>-2883626768</v>
      </c>
      <c r="F156" s="8">
        <f t="shared" si="42"/>
        <v>0</v>
      </c>
      <c r="G156" s="8">
        <f t="shared" si="43"/>
        <v>-2883626768</v>
      </c>
      <c r="H156" s="8">
        <f t="shared" si="44"/>
        <v>3383626768</v>
      </c>
      <c r="I156" s="8">
        <f t="shared" si="45"/>
        <v>2883626768</v>
      </c>
      <c r="J156" s="10">
        <f t="shared" si="46"/>
        <v>6.7672535360000001</v>
      </c>
      <c r="K156" s="3">
        <f>IF(OR(G156&lt;0,G156&lt;$B$9,J156&gt;Nguong!$B$63),3,IF(J156&gt;Nguong!$B$62,2,IF(J156&gt;0,1,0)))</f>
        <v>3</v>
      </c>
      <c r="L156" s="3">
        <f>IF(G156&lt;$B$10,SUM($N$70:N156),0)</f>
        <v>4</v>
      </c>
      <c r="M156" s="3">
        <f t="shared" si="50"/>
        <v>0</v>
      </c>
      <c r="N156" s="3">
        <f t="shared" si="51"/>
        <v>0</v>
      </c>
      <c r="O156" s="3">
        <f t="shared" si="47"/>
        <v>0</v>
      </c>
      <c r="P156" s="3">
        <f>IF(L156&gt;0,COUNTIF($L$70:L156,L156),0)</f>
        <v>32</v>
      </c>
      <c r="Q156" s="3">
        <f t="shared" si="48"/>
        <v>500000000</v>
      </c>
    </row>
    <row r="157" spans="1:17" ht="25.95" customHeight="1">
      <c r="A157" s="6">
        <f>$B$6+87</f>
        <v>46281</v>
      </c>
      <c r="B157" s="9">
        <f t="shared" si="40"/>
        <v>0</v>
      </c>
      <c r="C157" s="9">
        <f t="shared" si="41"/>
        <v>0</v>
      </c>
      <c r="D157" s="9">
        <f>SUM($F$70:F157)</f>
        <v>-4083626768</v>
      </c>
      <c r="E157" s="9">
        <f t="shared" si="49"/>
        <v>-2883626768</v>
      </c>
      <c r="F157" s="9">
        <f t="shared" si="42"/>
        <v>0</v>
      </c>
      <c r="G157" s="9">
        <f t="shared" si="43"/>
        <v>-2883626768</v>
      </c>
      <c r="H157" s="9">
        <f t="shared" si="44"/>
        <v>3383626768</v>
      </c>
      <c r="I157" s="9">
        <f t="shared" si="45"/>
        <v>2883626768</v>
      </c>
      <c r="J157" s="21">
        <f t="shared" si="46"/>
        <v>6.7672535360000001</v>
      </c>
      <c r="K157" s="5">
        <f>IF(OR(G157&lt;0,G157&lt;$B$9,J157&gt;Nguong!$B$63),3,IF(J157&gt;Nguong!$B$62,2,IF(J157&gt;0,1,0)))</f>
        <v>3</v>
      </c>
      <c r="L157" s="5">
        <f>IF(G157&lt;$B$10,SUM($N$70:N157),0)</f>
        <v>4</v>
      </c>
      <c r="M157" s="5">
        <f t="shared" si="50"/>
        <v>0</v>
      </c>
      <c r="N157" s="5">
        <f t="shared" si="51"/>
        <v>0</v>
      </c>
      <c r="O157" s="5">
        <f t="shared" si="47"/>
        <v>0</v>
      </c>
      <c r="P157" s="5">
        <f>IF(L157&gt;0,COUNTIF($L$70:L157,L157),0)</f>
        <v>33</v>
      </c>
      <c r="Q157" s="5">
        <f t="shared" si="48"/>
        <v>500000000</v>
      </c>
    </row>
    <row r="158" spans="1:17" ht="25.95" customHeight="1">
      <c r="A158" s="7">
        <f>$B$6+88</f>
        <v>46282</v>
      </c>
      <c r="B158" s="8">
        <f t="shared" si="40"/>
        <v>0</v>
      </c>
      <c r="C158" s="8">
        <f t="shared" si="41"/>
        <v>0</v>
      </c>
      <c r="D158" s="8">
        <f>SUM($F$70:F158)</f>
        <v>-4083626768</v>
      </c>
      <c r="E158" s="8">
        <f t="shared" si="49"/>
        <v>-2883626768</v>
      </c>
      <c r="F158" s="8">
        <f t="shared" si="42"/>
        <v>0</v>
      </c>
      <c r="G158" s="8">
        <f t="shared" si="43"/>
        <v>-2883626768</v>
      </c>
      <c r="H158" s="8">
        <f t="shared" si="44"/>
        <v>3383626768</v>
      </c>
      <c r="I158" s="8">
        <f t="shared" si="45"/>
        <v>2883626768</v>
      </c>
      <c r="J158" s="10">
        <f t="shared" si="46"/>
        <v>6.7672535360000001</v>
      </c>
      <c r="K158" s="3">
        <f>IF(OR(G158&lt;0,G158&lt;$B$9,J158&gt;Nguong!$B$63),3,IF(J158&gt;Nguong!$B$62,2,IF(J158&gt;0,1,0)))</f>
        <v>3</v>
      </c>
      <c r="L158" s="3">
        <f>IF(G158&lt;$B$10,SUM($N$70:N158),0)</f>
        <v>4</v>
      </c>
      <c r="M158" s="3">
        <f t="shared" si="50"/>
        <v>0</v>
      </c>
      <c r="N158" s="3">
        <f t="shared" si="51"/>
        <v>0</v>
      </c>
      <c r="O158" s="3">
        <f t="shared" si="47"/>
        <v>0</v>
      </c>
      <c r="P158" s="3">
        <f>IF(L158&gt;0,COUNTIF($L$70:L158,L158),0)</f>
        <v>34</v>
      </c>
      <c r="Q158" s="3">
        <f t="shared" si="48"/>
        <v>500000000</v>
      </c>
    </row>
    <row r="159" spans="1:17" ht="25.95" customHeight="1">
      <c r="A159" s="6">
        <f>$B$6+89</f>
        <v>46283</v>
      </c>
      <c r="B159" s="9">
        <f t="shared" si="40"/>
        <v>0</v>
      </c>
      <c r="C159" s="9">
        <f t="shared" si="41"/>
        <v>180000000</v>
      </c>
      <c r="D159" s="9">
        <f>SUM($F$70:F159)</f>
        <v>-4263626768</v>
      </c>
      <c r="E159" s="9">
        <f t="shared" si="49"/>
        <v>-2883626768</v>
      </c>
      <c r="F159" s="9">
        <f t="shared" si="42"/>
        <v>-180000000</v>
      </c>
      <c r="G159" s="9">
        <f t="shared" si="43"/>
        <v>-3063626768</v>
      </c>
      <c r="H159" s="9">
        <f t="shared" si="44"/>
        <v>3563626768</v>
      </c>
      <c r="I159" s="9">
        <f t="shared" si="45"/>
        <v>3063626768</v>
      </c>
      <c r="J159" s="21">
        <f t="shared" si="46"/>
        <v>7.1272535359999996</v>
      </c>
      <c r="K159" s="5">
        <f>IF(OR(G159&lt;0,G159&lt;$B$9,J159&gt;Nguong!$B$63),3,IF(J159&gt;Nguong!$B$62,2,IF(J159&gt;0,1,0)))</f>
        <v>3</v>
      </c>
      <c r="L159" s="5">
        <f>IF(G159&lt;$B$10,SUM($N$70:N159),0)</f>
        <v>4</v>
      </c>
      <c r="M159" s="5">
        <f t="shared" si="50"/>
        <v>0</v>
      </c>
      <c r="N159" s="5">
        <f t="shared" si="51"/>
        <v>0</v>
      </c>
      <c r="O159" s="5">
        <f t="shared" si="47"/>
        <v>0</v>
      </c>
      <c r="P159" s="5">
        <f>IF(L159&gt;0,COUNTIF($L$70:L159,L159),0)</f>
        <v>35</v>
      </c>
      <c r="Q159" s="5">
        <f t="shared" si="48"/>
        <v>500000000</v>
      </c>
    </row>
    <row r="160" spans="1:17" ht="25.95" customHeight="1">
      <c r="A160" s="7">
        <f>$B$6+90</f>
        <v>46284</v>
      </c>
      <c r="B160" s="8">
        <f t="shared" si="40"/>
        <v>0</v>
      </c>
      <c r="C160" s="8">
        <f t="shared" si="41"/>
        <v>0</v>
      </c>
      <c r="D160" s="8">
        <f>SUM($F$70:F160)</f>
        <v>-4263626768</v>
      </c>
      <c r="E160" s="8">
        <f t="shared" si="49"/>
        <v>-3063626768</v>
      </c>
      <c r="F160" s="8">
        <f t="shared" si="42"/>
        <v>0</v>
      </c>
      <c r="G160" s="8">
        <f t="shared" si="43"/>
        <v>-3063626768</v>
      </c>
      <c r="H160" s="8">
        <f t="shared" si="44"/>
        <v>3563626768</v>
      </c>
      <c r="I160" s="8">
        <f t="shared" si="45"/>
        <v>3063626768</v>
      </c>
      <c r="J160" s="10">
        <f t="shared" si="46"/>
        <v>7.1272535359999996</v>
      </c>
      <c r="K160" s="3">
        <f>IF(OR(G160&lt;0,G160&lt;$B$9,J160&gt;Nguong!$B$63),3,IF(J160&gt;Nguong!$B$62,2,IF(J160&gt;0,1,0)))</f>
        <v>3</v>
      </c>
      <c r="L160" s="3">
        <f>IF(G160&lt;$B$10,SUM($N$70:N160),0)</f>
        <v>4</v>
      </c>
      <c r="M160" s="3">
        <f t="shared" si="50"/>
        <v>0</v>
      </c>
      <c r="N160" s="3">
        <f t="shared" si="51"/>
        <v>0</v>
      </c>
      <c r="O160" s="3">
        <f>IF(AND(G160&lt;$B$10,TRUE),1,0)</f>
        <v>1</v>
      </c>
      <c r="P160" s="3">
        <f>IF(L160&gt;0,COUNTIF($L$70:L160,L160),0)</f>
        <v>36</v>
      </c>
      <c r="Q160" s="3">
        <f t="shared" si="48"/>
        <v>500000000</v>
      </c>
    </row>
    <row r="165" spans="1:9" ht="34.049999999999997" customHeight="1">
      <c r="A165" s="4" t="s">
        <v>1095</v>
      </c>
      <c r="B165" s="4" t="s">
        <v>1011</v>
      </c>
      <c r="C165" s="4" t="s">
        <v>1096</v>
      </c>
      <c r="D165" s="4" t="s">
        <v>1064</v>
      </c>
      <c r="E165" s="4" t="s">
        <v>1097</v>
      </c>
      <c r="F165" s="4" t="s">
        <v>1059</v>
      </c>
      <c r="G165" s="4" t="s">
        <v>1098</v>
      </c>
      <c r="H165" s="4" t="s">
        <v>1099</v>
      </c>
      <c r="I165" s="4" t="s">
        <v>1100</v>
      </c>
    </row>
    <row r="166" spans="1:9" ht="25.95" customHeight="1">
      <c r="A166" s="3">
        <f>IF(MAX($L$70:$L$160)&gt;=1,1,"")</f>
        <v>1</v>
      </c>
      <c r="B166" s="7">
        <f t="shared" ref="B166:B211" si="52">IF(ISNUMBER(A166),_xlfn.MINIFS($A$70:$A$160,$L$70:$L$160,A166),"")</f>
        <v>46203</v>
      </c>
      <c r="C166" s="7">
        <f t="shared" ref="C166:C211" si="53">IF(ISNUMBER(A166),_xlfn.MAXIFS($A$70:$A$160,$L$70:$L$160,A166),"")</f>
        <v>46206</v>
      </c>
      <c r="D166" s="3">
        <f t="shared" ref="D166:D211" si="54">IF(ISNUMBER(A166),COUNTIF($L$70:$L$160,A166),"")</f>
        <v>4</v>
      </c>
      <c r="E166" s="8">
        <f t="shared" ref="E166:E211" si="55">IF(ISNUMBER(A166),_xlfn.MINIFS($G$70:$G$160,$L$70:$L$160,A166),"")</f>
        <v>797304</v>
      </c>
      <c r="F166" s="7">
        <f t="shared" ref="F166:F211" si="56">IF(ISNUMBER(A166),_xlfn.MINIFS($A$70:$A$160,$L$70:$L$160,A166,$G$70:$G$160,E166),"")</f>
        <v>46203</v>
      </c>
      <c r="G166" s="8">
        <f t="shared" ref="G166:G211" si="57">IF(ISNUMBER(A166),_xlfn.MAXIFS($H$70:$H$160,$L$70:$L$160,A166),"")</f>
        <v>499202696</v>
      </c>
      <c r="H166" s="7">
        <f t="shared" ref="H166:H211" si="58">IF(ISNUMBER(A166),IF(C166=$B$7,"n.a.",C166+1),"")</f>
        <v>46207</v>
      </c>
      <c r="I166" s="3" t="b">
        <f t="shared" ref="I166:I211" si="59">IF(ISNUMBER(A166),IF(C166=$B$7,TRUE,FALSE),"")</f>
        <v>0</v>
      </c>
    </row>
    <row r="167" spans="1:9" ht="25.95" customHeight="1">
      <c r="A167" s="5">
        <f>IF(MAX($L$70:$L$160)&gt;=2,2,"")</f>
        <v>2</v>
      </c>
      <c r="B167" s="6">
        <f t="shared" si="52"/>
        <v>46208</v>
      </c>
      <c r="C167" s="6">
        <f t="shared" si="53"/>
        <v>46208</v>
      </c>
      <c r="D167" s="5">
        <f t="shared" si="54"/>
        <v>1</v>
      </c>
      <c r="E167" s="9">
        <f t="shared" si="55"/>
        <v>470478434</v>
      </c>
      <c r="F167" s="6">
        <f t="shared" si="56"/>
        <v>46208</v>
      </c>
      <c r="G167" s="9">
        <f t="shared" si="57"/>
        <v>29521566</v>
      </c>
      <c r="H167" s="6">
        <f t="shared" si="58"/>
        <v>46209</v>
      </c>
      <c r="I167" s="5" t="b">
        <f t="shared" si="59"/>
        <v>0</v>
      </c>
    </row>
    <row r="168" spans="1:9" ht="25.95" customHeight="1">
      <c r="A168" s="3">
        <f>IF(MAX($L$70:$L$160)&gt;=3,3,"")</f>
        <v>3</v>
      </c>
      <c r="B168" s="7">
        <f t="shared" si="52"/>
        <v>46234</v>
      </c>
      <c r="C168" s="7">
        <f t="shared" si="53"/>
        <v>46246</v>
      </c>
      <c r="D168" s="3">
        <f t="shared" si="54"/>
        <v>13</v>
      </c>
      <c r="E168" s="8">
        <f t="shared" si="55"/>
        <v>-522821317</v>
      </c>
      <c r="F168" s="7">
        <f t="shared" si="56"/>
        <v>46235</v>
      </c>
      <c r="G168" s="8">
        <f t="shared" si="57"/>
        <v>1022821317</v>
      </c>
      <c r="H168" s="7">
        <f t="shared" si="58"/>
        <v>46247</v>
      </c>
      <c r="I168" s="3" t="b">
        <f t="shared" si="59"/>
        <v>0</v>
      </c>
    </row>
    <row r="169" spans="1:9" ht="25.95" customHeight="1">
      <c r="A169" s="5">
        <f>IF(MAX($L$70:$L$160)&gt;=4,4,"")</f>
        <v>4</v>
      </c>
      <c r="B169" s="6">
        <f t="shared" si="52"/>
        <v>46249</v>
      </c>
      <c r="C169" s="6">
        <f t="shared" si="53"/>
        <v>46284</v>
      </c>
      <c r="D169" s="5">
        <f t="shared" si="54"/>
        <v>36</v>
      </c>
      <c r="E169" s="9">
        <f t="shared" si="55"/>
        <v>-3063626768</v>
      </c>
      <c r="F169" s="6">
        <f t="shared" si="56"/>
        <v>46283</v>
      </c>
      <c r="G169" s="9">
        <f t="shared" si="57"/>
        <v>3563626768</v>
      </c>
      <c r="H169" s="6" t="str">
        <f t="shared" si="58"/>
        <v>n.a.</v>
      </c>
      <c r="I169" s="5" t="b">
        <f t="shared" si="59"/>
        <v>1</v>
      </c>
    </row>
    <row r="170" spans="1:9" ht="25.95" customHeight="1">
      <c r="A170" s="3" t="str">
        <f>IF(MAX($L$70:$L$160)&gt;=5,5,"")</f>
        <v/>
      </c>
      <c r="B170" s="7" t="str">
        <f t="shared" si="52"/>
        <v/>
      </c>
      <c r="C170" s="7" t="str">
        <f t="shared" si="53"/>
        <v/>
      </c>
      <c r="D170" s="3" t="str">
        <f t="shared" si="54"/>
        <v/>
      </c>
      <c r="E170" s="8" t="str">
        <f t="shared" si="55"/>
        <v/>
      </c>
      <c r="F170" s="7" t="str">
        <f t="shared" si="56"/>
        <v/>
      </c>
      <c r="G170" s="8" t="str">
        <f t="shared" si="57"/>
        <v/>
      </c>
      <c r="H170" s="7" t="str">
        <f t="shared" si="58"/>
        <v/>
      </c>
      <c r="I170" s="3" t="str">
        <f t="shared" si="59"/>
        <v/>
      </c>
    </row>
    <row r="171" spans="1:9" ht="25.95" customHeight="1">
      <c r="A171" s="5" t="str">
        <f>IF(MAX($L$70:$L$160)&gt;=6,6,"")</f>
        <v/>
      </c>
      <c r="B171" s="6" t="str">
        <f t="shared" si="52"/>
        <v/>
      </c>
      <c r="C171" s="6" t="str">
        <f t="shared" si="53"/>
        <v/>
      </c>
      <c r="D171" s="5" t="str">
        <f t="shared" si="54"/>
        <v/>
      </c>
      <c r="E171" s="9" t="str">
        <f t="shared" si="55"/>
        <v/>
      </c>
      <c r="F171" s="6" t="str">
        <f t="shared" si="56"/>
        <v/>
      </c>
      <c r="G171" s="9" t="str">
        <f t="shared" si="57"/>
        <v/>
      </c>
      <c r="H171" s="6" t="str">
        <f t="shared" si="58"/>
        <v/>
      </c>
      <c r="I171" s="5" t="str">
        <f t="shared" si="59"/>
        <v/>
      </c>
    </row>
    <row r="172" spans="1:9" ht="25.95" customHeight="1">
      <c r="A172" s="3" t="str">
        <f>IF(MAX($L$70:$L$160)&gt;=7,7,"")</f>
        <v/>
      </c>
      <c r="B172" s="7" t="str">
        <f t="shared" si="52"/>
        <v/>
      </c>
      <c r="C172" s="7" t="str">
        <f t="shared" si="53"/>
        <v/>
      </c>
      <c r="D172" s="3" t="str">
        <f t="shared" si="54"/>
        <v/>
      </c>
      <c r="E172" s="8" t="str">
        <f t="shared" si="55"/>
        <v/>
      </c>
      <c r="F172" s="7" t="str">
        <f t="shared" si="56"/>
        <v/>
      </c>
      <c r="G172" s="8" t="str">
        <f t="shared" si="57"/>
        <v/>
      </c>
      <c r="H172" s="7" t="str">
        <f t="shared" si="58"/>
        <v/>
      </c>
      <c r="I172" s="3" t="str">
        <f t="shared" si="59"/>
        <v/>
      </c>
    </row>
    <row r="173" spans="1:9" ht="25.95" customHeight="1">
      <c r="A173" s="5" t="str">
        <f>IF(MAX($L$70:$L$160)&gt;=8,8,"")</f>
        <v/>
      </c>
      <c r="B173" s="6" t="str">
        <f t="shared" si="52"/>
        <v/>
      </c>
      <c r="C173" s="6" t="str">
        <f t="shared" si="53"/>
        <v/>
      </c>
      <c r="D173" s="5" t="str">
        <f t="shared" si="54"/>
        <v/>
      </c>
      <c r="E173" s="9" t="str">
        <f t="shared" si="55"/>
        <v/>
      </c>
      <c r="F173" s="6" t="str">
        <f t="shared" si="56"/>
        <v/>
      </c>
      <c r="G173" s="9" t="str">
        <f t="shared" si="57"/>
        <v/>
      </c>
      <c r="H173" s="6" t="str">
        <f t="shared" si="58"/>
        <v/>
      </c>
      <c r="I173" s="5" t="str">
        <f t="shared" si="59"/>
        <v/>
      </c>
    </row>
    <row r="174" spans="1:9" ht="25.95" customHeight="1">
      <c r="A174" s="3" t="str">
        <f>IF(MAX($L$70:$L$160)&gt;=9,9,"")</f>
        <v/>
      </c>
      <c r="B174" s="7" t="str">
        <f t="shared" si="52"/>
        <v/>
      </c>
      <c r="C174" s="7" t="str">
        <f t="shared" si="53"/>
        <v/>
      </c>
      <c r="D174" s="3" t="str">
        <f t="shared" si="54"/>
        <v/>
      </c>
      <c r="E174" s="8" t="str">
        <f t="shared" si="55"/>
        <v/>
      </c>
      <c r="F174" s="7" t="str">
        <f t="shared" si="56"/>
        <v/>
      </c>
      <c r="G174" s="8" t="str">
        <f t="shared" si="57"/>
        <v/>
      </c>
      <c r="H174" s="7" t="str">
        <f t="shared" si="58"/>
        <v/>
      </c>
      <c r="I174" s="3" t="str">
        <f t="shared" si="59"/>
        <v/>
      </c>
    </row>
    <row r="175" spans="1:9" ht="25.95" customHeight="1">
      <c r="A175" s="5" t="str">
        <f>IF(MAX($L$70:$L$160)&gt;=10,10,"")</f>
        <v/>
      </c>
      <c r="B175" s="6" t="str">
        <f t="shared" si="52"/>
        <v/>
      </c>
      <c r="C175" s="6" t="str">
        <f t="shared" si="53"/>
        <v/>
      </c>
      <c r="D175" s="5" t="str">
        <f t="shared" si="54"/>
        <v/>
      </c>
      <c r="E175" s="9" t="str">
        <f t="shared" si="55"/>
        <v/>
      </c>
      <c r="F175" s="6" t="str">
        <f t="shared" si="56"/>
        <v/>
      </c>
      <c r="G175" s="9" t="str">
        <f t="shared" si="57"/>
        <v/>
      </c>
      <c r="H175" s="6" t="str">
        <f t="shared" si="58"/>
        <v/>
      </c>
      <c r="I175" s="5" t="str">
        <f t="shared" si="59"/>
        <v/>
      </c>
    </row>
    <row r="176" spans="1:9" ht="25.95" customHeight="1">
      <c r="A176" s="3" t="str">
        <f>IF(MAX($L$70:$L$160)&gt;=11,11,"")</f>
        <v/>
      </c>
      <c r="B176" s="7" t="str">
        <f t="shared" si="52"/>
        <v/>
      </c>
      <c r="C176" s="7" t="str">
        <f t="shared" si="53"/>
        <v/>
      </c>
      <c r="D176" s="3" t="str">
        <f t="shared" si="54"/>
        <v/>
      </c>
      <c r="E176" s="8" t="str">
        <f t="shared" si="55"/>
        <v/>
      </c>
      <c r="F176" s="7" t="str">
        <f t="shared" si="56"/>
        <v/>
      </c>
      <c r="G176" s="8" t="str">
        <f t="shared" si="57"/>
        <v/>
      </c>
      <c r="H176" s="7" t="str">
        <f t="shared" si="58"/>
        <v/>
      </c>
      <c r="I176" s="3" t="str">
        <f t="shared" si="59"/>
        <v/>
      </c>
    </row>
    <row r="177" spans="1:9" ht="25.95" customHeight="1">
      <c r="A177" s="5" t="str">
        <f>IF(MAX($L$70:$L$160)&gt;=12,12,"")</f>
        <v/>
      </c>
      <c r="B177" s="6" t="str">
        <f t="shared" si="52"/>
        <v/>
      </c>
      <c r="C177" s="6" t="str">
        <f t="shared" si="53"/>
        <v/>
      </c>
      <c r="D177" s="5" t="str">
        <f t="shared" si="54"/>
        <v/>
      </c>
      <c r="E177" s="9" t="str">
        <f t="shared" si="55"/>
        <v/>
      </c>
      <c r="F177" s="6" t="str">
        <f t="shared" si="56"/>
        <v/>
      </c>
      <c r="G177" s="9" t="str">
        <f t="shared" si="57"/>
        <v/>
      </c>
      <c r="H177" s="6" t="str">
        <f t="shared" si="58"/>
        <v/>
      </c>
      <c r="I177" s="5" t="str">
        <f t="shared" si="59"/>
        <v/>
      </c>
    </row>
    <row r="178" spans="1:9" ht="25.95" customHeight="1">
      <c r="A178" s="3" t="str">
        <f>IF(MAX($L$70:$L$160)&gt;=13,13,"")</f>
        <v/>
      </c>
      <c r="B178" s="7" t="str">
        <f t="shared" si="52"/>
        <v/>
      </c>
      <c r="C178" s="7" t="str">
        <f t="shared" si="53"/>
        <v/>
      </c>
      <c r="D178" s="3" t="str">
        <f t="shared" si="54"/>
        <v/>
      </c>
      <c r="E178" s="8" t="str">
        <f t="shared" si="55"/>
        <v/>
      </c>
      <c r="F178" s="7" t="str">
        <f t="shared" si="56"/>
        <v/>
      </c>
      <c r="G178" s="8" t="str">
        <f t="shared" si="57"/>
        <v/>
      </c>
      <c r="H178" s="7" t="str">
        <f t="shared" si="58"/>
        <v/>
      </c>
      <c r="I178" s="3" t="str">
        <f t="shared" si="59"/>
        <v/>
      </c>
    </row>
    <row r="179" spans="1:9" ht="25.95" customHeight="1">
      <c r="A179" s="5" t="str">
        <f>IF(MAX($L$70:$L$160)&gt;=14,14,"")</f>
        <v/>
      </c>
      <c r="B179" s="6" t="str">
        <f t="shared" si="52"/>
        <v/>
      </c>
      <c r="C179" s="6" t="str">
        <f t="shared" si="53"/>
        <v/>
      </c>
      <c r="D179" s="5" t="str">
        <f t="shared" si="54"/>
        <v/>
      </c>
      <c r="E179" s="9" t="str">
        <f t="shared" si="55"/>
        <v/>
      </c>
      <c r="F179" s="6" t="str">
        <f t="shared" si="56"/>
        <v/>
      </c>
      <c r="G179" s="9" t="str">
        <f t="shared" si="57"/>
        <v/>
      </c>
      <c r="H179" s="6" t="str">
        <f t="shared" si="58"/>
        <v/>
      </c>
      <c r="I179" s="5" t="str">
        <f t="shared" si="59"/>
        <v/>
      </c>
    </row>
    <row r="180" spans="1:9" ht="25.95" customHeight="1">
      <c r="A180" s="3" t="str">
        <f>IF(MAX($L$70:$L$160)&gt;=15,15,"")</f>
        <v/>
      </c>
      <c r="B180" s="7" t="str">
        <f t="shared" si="52"/>
        <v/>
      </c>
      <c r="C180" s="7" t="str">
        <f t="shared" si="53"/>
        <v/>
      </c>
      <c r="D180" s="3" t="str">
        <f t="shared" si="54"/>
        <v/>
      </c>
      <c r="E180" s="8" t="str">
        <f t="shared" si="55"/>
        <v/>
      </c>
      <c r="F180" s="7" t="str">
        <f t="shared" si="56"/>
        <v/>
      </c>
      <c r="G180" s="8" t="str">
        <f t="shared" si="57"/>
        <v/>
      </c>
      <c r="H180" s="7" t="str">
        <f t="shared" si="58"/>
        <v/>
      </c>
      <c r="I180" s="3" t="str">
        <f t="shared" si="59"/>
        <v/>
      </c>
    </row>
    <row r="181" spans="1:9" ht="25.95" customHeight="1">
      <c r="A181" s="5" t="str">
        <f>IF(MAX($L$70:$L$160)&gt;=16,16,"")</f>
        <v/>
      </c>
      <c r="B181" s="6" t="str">
        <f t="shared" si="52"/>
        <v/>
      </c>
      <c r="C181" s="6" t="str">
        <f t="shared" si="53"/>
        <v/>
      </c>
      <c r="D181" s="5" t="str">
        <f t="shared" si="54"/>
        <v/>
      </c>
      <c r="E181" s="9" t="str">
        <f t="shared" si="55"/>
        <v/>
      </c>
      <c r="F181" s="6" t="str">
        <f t="shared" si="56"/>
        <v/>
      </c>
      <c r="G181" s="9" t="str">
        <f t="shared" si="57"/>
        <v/>
      </c>
      <c r="H181" s="6" t="str">
        <f t="shared" si="58"/>
        <v/>
      </c>
      <c r="I181" s="5" t="str">
        <f t="shared" si="59"/>
        <v/>
      </c>
    </row>
    <row r="182" spans="1:9" ht="25.95" customHeight="1">
      <c r="A182" s="3" t="str">
        <f>IF(MAX($L$70:$L$160)&gt;=17,17,"")</f>
        <v/>
      </c>
      <c r="B182" s="7" t="str">
        <f t="shared" si="52"/>
        <v/>
      </c>
      <c r="C182" s="7" t="str">
        <f t="shared" si="53"/>
        <v/>
      </c>
      <c r="D182" s="3" t="str">
        <f t="shared" si="54"/>
        <v/>
      </c>
      <c r="E182" s="8" t="str">
        <f t="shared" si="55"/>
        <v/>
      </c>
      <c r="F182" s="7" t="str">
        <f t="shared" si="56"/>
        <v/>
      </c>
      <c r="G182" s="8" t="str">
        <f t="shared" si="57"/>
        <v/>
      </c>
      <c r="H182" s="7" t="str">
        <f t="shared" si="58"/>
        <v/>
      </c>
      <c r="I182" s="3" t="str">
        <f t="shared" si="59"/>
        <v/>
      </c>
    </row>
    <row r="183" spans="1:9" ht="25.95" customHeight="1">
      <c r="A183" s="5" t="str">
        <f>IF(MAX($L$70:$L$160)&gt;=18,18,"")</f>
        <v/>
      </c>
      <c r="B183" s="6" t="str">
        <f t="shared" si="52"/>
        <v/>
      </c>
      <c r="C183" s="6" t="str">
        <f t="shared" si="53"/>
        <v/>
      </c>
      <c r="D183" s="5" t="str">
        <f t="shared" si="54"/>
        <v/>
      </c>
      <c r="E183" s="9" t="str">
        <f t="shared" si="55"/>
        <v/>
      </c>
      <c r="F183" s="6" t="str">
        <f t="shared" si="56"/>
        <v/>
      </c>
      <c r="G183" s="9" t="str">
        <f t="shared" si="57"/>
        <v/>
      </c>
      <c r="H183" s="6" t="str">
        <f t="shared" si="58"/>
        <v/>
      </c>
      <c r="I183" s="5" t="str">
        <f t="shared" si="59"/>
        <v/>
      </c>
    </row>
    <row r="184" spans="1:9" ht="25.95" customHeight="1">
      <c r="A184" s="3" t="str">
        <f>IF(MAX($L$70:$L$160)&gt;=19,19,"")</f>
        <v/>
      </c>
      <c r="B184" s="7" t="str">
        <f t="shared" si="52"/>
        <v/>
      </c>
      <c r="C184" s="7" t="str">
        <f t="shared" si="53"/>
        <v/>
      </c>
      <c r="D184" s="3" t="str">
        <f t="shared" si="54"/>
        <v/>
      </c>
      <c r="E184" s="8" t="str">
        <f t="shared" si="55"/>
        <v/>
      </c>
      <c r="F184" s="7" t="str">
        <f t="shared" si="56"/>
        <v/>
      </c>
      <c r="G184" s="8" t="str">
        <f t="shared" si="57"/>
        <v/>
      </c>
      <c r="H184" s="7" t="str">
        <f t="shared" si="58"/>
        <v/>
      </c>
      <c r="I184" s="3" t="str">
        <f t="shared" si="59"/>
        <v/>
      </c>
    </row>
    <row r="185" spans="1:9" ht="25.95" customHeight="1">
      <c r="A185" s="5" t="str">
        <f>IF(MAX($L$70:$L$160)&gt;=20,20,"")</f>
        <v/>
      </c>
      <c r="B185" s="6" t="str">
        <f t="shared" si="52"/>
        <v/>
      </c>
      <c r="C185" s="6" t="str">
        <f t="shared" si="53"/>
        <v/>
      </c>
      <c r="D185" s="5" t="str">
        <f t="shared" si="54"/>
        <v/>
      </c>
      <c r="E185" s="9" t="str">
        <f t="shared" si="55"/>
        <v/>
      </c>
      <c r="F185" s="6" t="str">
        <f t="shared" si="56"/>
        <v/>
      </c>
      <c r="G185" s="9" t="str">
        <f t="shared" si="57"/>
        <v/>
      </c>
      <c r="H185" s="6" t="str">
        <f t="shared" si="58"/>
        <v/>
      </c>
      <c r="I185" s="5" t="str">
        <f t="shared" si="59"/>
        <v/>
      </c>
    </row>
    <row r="186" spans="1:9" ht="25.95" customHeight="1">
      <c r="A186" s="3" t="str">
        <f>IF(MAX($L$70:$L$160)&gt;=21,21,"")</f>
        <v/>
      </c>
      <c r="B186" s="7" t="str">
        <f t="shared" si="52"/>
        <v/>
      </c>
      <c r="C186" s="7" t="str">
        <f t="shared" si="53"/>
        <v/>
      </c>
      <c r="D186" s="3" t="str">
        <f t="shared" si="54"/>
        <v/>
      </c>
      <c r="E186" s="8" t="str">
        <f t="shared" si="55"/>
        <v/>
      </c>
      <c r="F186" s="7" t="str">
        <f t="shared" si="56"/>
        <v/>
      </c>
      <c r="G186" s="8" t="str">
        <f t="shared" si="57"/>
        <v/>
      </c>
      <c r="H186" s="7" t="str">
        <f t="shared" si="58"/>
        <v/>
      </c>
      <c r="I186" s="3" t="str">
        <f t="shared" si="59"/>
        <v/>
      </c>
    </row>
    <row r="187" spans="1:9" ht="25.95" customHeight="1">
      <c r="A187" s="5" t="str">
        <f>IF(MAX($L$70:$L$160)&gt;=22,22,"")</f>
        <v/>
      </c>
      <c r="B187" s="6" t="str">
        <f t="shared" si="52"/>
        <v/>
      </c>
      <c r="C187" s="6" t="str">
        <f t="shared" si="53"/>
        <v/>
      </c>
      <c r="D187" s="5" t="str">
        <f t="shared" si="54"/>
        <v/>
      </c>
      <c r="E187" s="9" t="str">
        <f t="shared" si="55"/>
        <v/>
      </c>
      <c r="F187" s="6" t="str">
        <f t="shared" si="56"/>
        <v/>
      </c>
      <c r="G187" s="9" t="str">
        <f t="shared" si="57"/>
        <v/>
      </c>
      <c r="H187" s="6" t="str">
        <f t="shared" si="58"/>
        <v/>
      </c>
      <c r="I187" s="5" t="str">
        <f t="shared" si="59"/>
        <v/>
      </c>
    </row>
    <row r="188" spans="1:9" ht="25.95" customHeight="1">
      <c r="A188" s="3" t="str">
        <f>IF(MAX($L$70:$L$160)&gt;=23,23,"")</f>
        <v/>
      </c>
      <c r="B188" s="7" t="str">
        <f t="shared" si="52"/>
        <v/>
      </c>
      <c r="C188" s="7" t="str">
        <f t="shared" si="53"/>
        <v/>
      </c>
      <c r="D188" s="3" t="str">
        <f t="shared" si="54"/>
        <v/>
      </c>
      <c r="E188" s="8" t="str">
        <f t="shared" si="55"/>
        <v/>
      </c>
      <c r="F188" s="7" t="str">
        <f t="shared" si="56"/>
        <v/>
      </c>
      <c r="G188" s="8" t="str">
        <f t="shared" si="57"/>
        <v/>
      </c>
      <c r="H188" s="7" t="str">
        <f t="shared" si="58"/>
        <v/>
      </c>
      <c r="I188" s="3" t="str">
        <f t="shared" si="59"/>
        <v/>
      </c>
    </row>
    <row r="189" spans="1:9" ht="25.95" customHeight="1">
      <c r="A189" s="5" t="str">
        <f>IF(MAX($L$70:$L$160)&gt;=24,24,"")</f>
        <v/>
      </c>
      <c r="B189" s="6" t="str">
        <f t="shared" si="52"/>
        <v/>
      </c>
      <c r="C189" s="6" t="str">
        <f t="shared" si="53"/>
        <v/>
      </c>
      <c r="D189" s="5" t="str">
        <f t="shared" si="54"/>
        <v/>
      </c>
      <c r="E189" s="9" t="str">
        <f t="shared" si="55"/>
        <v/>
      </c>
      <c r="F189" s="6" t="str">
        <f t="shared" si="56"/>
        <v/>
      </c>
      <c r="G189" s="9" t="str">
        <f t="shared" si="57"/>
        <v/>
      </c>
      <c r="H189" s="6" t="str">
        <f t="shared" si="58"/>
        <v/>
      </c>
      <c r="I189" s="5" t="str">
        <f t="shared" si="59"/>
        <v/>
      </c>
    </row>
    <row r="190" spans="1:9" ht="25.95" customHeight="1">
      <c r="A190" s="3" t="str">
        <f>IF(MAX($L$70:$L$160)&gt;=25,25,"")</f>
        <v/>
      </c>
      <c r="B190" s="7" t="str">
        <f t="shared" si="52"/>
        <v/>
      </c>
      <c r="C190" s="7" t="str">
        <f t="shared" si="53"/>
        <v/>
      </c>
      <c r="D190" s="3" t="str">
        <f t="shared" si="54"/>
        <v/>
      </c>
      <c r="E190" s="8" t="str">
        <f t="shared" si="55"/>
        <v/>
      </c>
      <c r="F190" s="7" t="str">
        <f t="shared" si="56"/>
        <v/>
      </c>
      <c r="G190" s="8" t="str">
        <f t="shared" si="57"/>
        <v/>
      </c>
      <c r="H190" s="7" t="str">
        <f t="shared" si="58"/>
        <v/>
      </c>
      <c r="I190" s="3" t="str">
        <f t="shared" si="59"/>
        <v/>
      </c>
    </row>
    <row r="191" spans="1:9" ht="25.95" customHeight="1">
      <c r="A191" s="5" t="str">
        <f>IF(MAX($L$70:$L$160)&gt;=26,26,"")</f>
        <v/>
      </c>
      <c r="B191" s="6" t="str">
        <f t="shared" si="52"/>
        <v/>
      </c>
      <c r="C191" s="6" t="str">
        <f t="shared" si="53"/>
        <v/>
      </c>
      <c r="D191" s="5" t="str">
        <f t="shared" si="54"/>
        <v/>
      </c>
      <c r="E191" s="9" t="str">
        <f t="shared" si="55"/>
        <v/>
      </c>
      <c r="F191" s="6" t="str">
        <f t="shared" si="56"/>
        <v/>
      </c>
      <c r="G191" s="9" t="str">
        <f t="shared" si="57"/>
        <v/>
      </c>
      <c r="H191" s="6" t="str">
        <f t="shared" si="58"/>
        <v/>
      </c>
      <c r="I191" s="5" t="str">
        <f t="shared" si="59"/>
        <v/>
      </c>
    </row>
    <row r="192" spans="1:9" ht="25.95" customHeight="1">
      <c r="A192" s="3" t="str">
        <f>IF(MAX($L$70:$L$160)&gt;=27,27,"")</f>
        <v/>
      </c>
      <c r="B192" s="7" t="str">
        <f t="shared" si="52"/>
        <v/>
      </c>
      <c r="C192" s="7" t="str">
        <f t="shared" si="53"/>
        <v/>
      </c>
      <c r="D192" s="3" t="str">
        <f t="shared" si="54"/>
        <v/>
      </c>
      <c r="E192" s="8" t="str">
        <f t="shared" si="55"/>
        <v/>
      </c>
      <c r="F192" s="7" t="str">
        <f t="shared" si="56"/>
        <v/>
      </c>
      <c r="G192" s="8" t="str">
        <f t="shared" si="57"/>
        <v/>
      </c>
      <c r="H192" s="7" t="str">
        <f t="shared" si="58"/>
        <v/>
      </c>
      <c r="I192" s="3" t="str">
        <f t="shared" si="59"/>
        <v/>
      </c>
    </row>
    <row r="193" spans="1:9" ht="25.95" customHeight="1">
      <c r="A193" s="5" t="str">
        <f>IF(MAX($L$70:$L$160)&gt;=28,28,"")</f>
        <v/>
      </c>
      <c r="B193" s="6" t="str">
        <f t="shared" si="52"/>
        <v/>
      </c>
      <c r="C193" s="6" t="str">
        <f t="shared" si="53"/>
        <v/>
      </c>
      <c r="D193" s="5" t="str">
        <f t="shared" si="54"/>
        <v/>
      </c>
      <c r="E193" s="9" t="str">
        <f t="shared" si="55"/>
        <v/>
      </c>
      <c r="F193" s="6" t="str">
        <f t="shared" si="56"/>
        <v/>
      </c>
      <c r="G193" s="9" t="str">
        <f t="shared" si="57"/>
        <v/>
      </c>
      <c r="H193" s="6" t="str">
        <f t="shared" si="58"/>
        <v/>
      </c>
      <c r="I193" s="5" t="str">
        <f t="shared" si="59"/>
        <v/>
      </c>
    </row>
    <row r="194" spans="1:9" ht="25.95" customHeight="1">
      <c r="A194" s="3" t="str">
        <f>IF(MAX($L$70:$L$160)&gt;=29,29,"")</f>
        <v/>
      </c>
      <c r="B194" s="7" t="str">
        <f t="shared" si="52"/>
        <v/>
      </c>
      <c r="C194" s="7" t="str">
        <f t="shared" si="53"/>
        <v/>
      </c>
      <c r="D194" s="3" t="str">
        <f t="shared" si="54"/>
        <v/>
      </c>
      <c r="E194" s="8" t="str">
        <f t="shared" si="55"/>
        <v/>
      </c>
      <c r="F194" s="7" t="str">
        <f t="shared" si="56"/>
        <v/>
      </c>
      <c r="G194" s="8" t="str">
        <f t="shared" si="57"/>
        <v/>
      </c>
      <c r="H194" s="7" t="str">
        <f t="shared" si="58"/>
        <v/>
      </c>
      <c r="I194" s="3" t="str">
        <f t="shared" si="59"/>
        <v/>
      </c>
    </row>
    <row r="195" spans="1:9" ht="25.95" customHeight="1">
      <c r="A195" s="5" t="str">
        <f>IF(MAX($L$70:$L$160)&gt;=30,30,"")</f>
        <v/>
      </c>
      <c r="B195" s="6" t="str">
        <f t="shared" si="52"/>
        <v/>
      </c>
      <c r="C195" s="6" t="str">
        <f t="shared" si="53"/>
        <v/>
      </c>
      <c r="D195" s="5" t="str">
        <f t="shared" si="54"/>
        <v/>
      </c>
      <c r="E195" s="9" t="str">
        <f t="shared" si="55"/>
        <v/>
      </c>
      <c r="F195" s="6" t="str">
        <f t="shared" si="56"/>
        <v/>
      </c>
      <c r="G195" s="9" t="str">
        <f t="shared" si="57"/>
        <v/>
      </c>
      <c r="H195" s="6" t="str">
        <f t="shared" si="58"/>
        <v/>
      </c>
      <c r="I195" s="5" t="str">
        <f t="shared" si="59"/>
        <v/>
      </c>
    </row>
    <row r="196" spans="1:9" ht="25.95" customHeight="1">
      <c r="A196" s="3" t="str">
        <f>IF(MAX($L$70:$L$160)&gt;=31,31,"")</f>
        <v/>
      </c>
      <c r="B196" s="7" t="str">
        <f t="shared" si="52"/>
        <v/>
      </c>
      <c r="C196" s="7" t="str">
        <f t="shared" si="53"/>
        <v/>
      </c>
      <c r="D196" s="3" t="str">
        <f t="shared" si="54"/>
        <v/>
      </c>
      <c r="E196" s="8" t="str">
        <f t="shared" si="55"/>
        <v/>
      </c>
      <c r="F196" s="7" t="str">
        <f t="shared" si="56"/>
        <v/>
      </c>
      <c r="G196" s="8" t="str">
        <f t="shared" si="57"/>
        <v/>
      </c>
      <c r="H196" s="7" t="str">
        <f t="shared" si="58"/>
        <v/>
      </c>
      <c r="I196" s="3" t="str">
        <f t="shared" si="59"/>
        <v/>
      </c>
    </row>
    <row r="197" spans="1:9" ht="25.95" customHeight="1">
      <c r="A197" s="5" t="str">
        <f>IF(MAX($L$70:$L$160)&gt;=32,32,"")</f>
        <v/>
      </c>
      <c r="B197" s="6" t="str">
        <f t="shared" si="52"/>
        <v/>
      </c>
      <c r="C197" s="6" t="str">
        <f t="shared" si="53"/>
        <v/>
      </c>
      <c r="D197" s="5" t="str">
        <f t="shared" si="54"/>
        <v/>
      </c>
      <c r="E197" s="9" t="str">
        <f t="shared" si="55"/>
        <v/>
      </c>
      <c r="F197" s="6" t="str">
        <f t="shared" si="56"/>
        <v/>
      </c>
      <c r="G197" s="9" t="str">
        <f t="shared" si="57"/>
        <v/>
      </c>
      <c r="H197" s="6" t="str">
        <f t="shared" si="58"/>
        <v/>
      </c>
      <c r="I197" s="5" t="str">
        <f t="shared" si="59"/>
        <v/>
      </c>
    </row>
    <row r="198" spans="1:9" ht="25.95" customHeight="1">
      <c r="A198" s="3" t="str">
        <f>IF(MAX($L$70:$L$160)&gt;=33,33,"")</f>
        <v/>
      </c>
      <c r="B198" s="7" t="str">
        <f t="shared" si="52"/>
        <v/>
      </c>
      <c r="C198" s="7" t="str">
        <f t="shared" si="53"/>
        <v/>
      </c>
      <c r="D198" s="3" t="str">
        <f t="shared" si="54"/>
        <v/>
      </c>
      <c r="E198" s="8" t="str">
        <f t="shared" si="55"/>
        <v/>
      </c>
      <c r="F198" s="7" t="str">
        <f t="shared" si="56"/>
        <v/>
      </c>
      <c r="G198" s="8" t="str">
        <f t="shared" si="57"/>
        <v/>
      </c>
      <c r="H198" s="7" t="str">
        <f t="shared" si="58"/>
        <v/>
      </c>
      <c r="I198" s="3" t="str">
        <f t="shared" si="59"/>
        <v/>
      </c>
    </row>
    <row r="199" spans="1:9" ht="25.95" customHeight="1">
      <c r="A199" s="5" t="str">
        <f>IF(MAX($L$70:$L$160)&gt;=34,34,"")</f>
        <v/>
      </c>
      <c r="B199" s="6" t="str">
        <f t="shared" si="52"/>
        <v/>
      </c>
      <c r="C199" s="6" t="str">
        <f t="shared" si="53"/>
        <v/>
      </c>
      <c r="D199" s="5" t="str">
        <f t="shared" si="54"/>
        <v/>
      </c>
      <c r="E199" s="9" t="str">
        <f t="shared" si="55"/>
        <v/>
      </c>
      <c r="F199" s="6" t="str">
        <f t="shared" si="56"/>
        <v/>
      </c>
      <c r="G199" s="9" t="str">
        <f t="shared" si="57"/>
        <v/>
      </c>
      <c r="H199" s="6" t="str">
        <f t="shared" si="58"/>
        <v/>
      </c>
      <c r="I199" s="5" t="str">
        <f t="shared" si="59"/>
        <v/>
      </c>
    </row>
    <row r="200" spans="1:9" ht="25.95" customHeight="1">
      <c r="A200" s="3" t="str">
        <f>IF(MAX($L$70:$L$160)&gt;=35,35,"")</f>
        <v/>
      </c>
      <c r="B200" s="7" t="str">
        <f t="shared" si="52"/>
        <v/>
      </c>
      <c r="C200" s="7" t="str">
        <f t="shared" si="53"/>
        <v/>
      </c>
      <c r="D200" s="3" t="str">
        <f t="shared" si="54"/>
        <v/>
      </c>
      <c r="E200" s="8" t="str">
        <f t="shared" si="55"/>
        <v/>
      </c>
      <c r="F200" s="7" t="str">
        <f t="shared" si="56"/>
        <v/>
      </c>
      <c r="G200" s="8" t="str">
        <f t="shared" si="57"/>
        <v/>
      </c>
      <c r="H200" s="7" t="str">
        <f t="shared" si="58"/>
        <v/>
      </c>
      <c r="I200" s="3" t="str">
        <f t="shared" si="59"/>
        <v/>
      </c>
    </row>
    <row r="201" spans="1:9" ht="25.95" customHeight="1">
      <c r="A201" s="5" t="str">
        <f>IF(MAX($L$70:$L$160)&gt;=36,36,"")</f>
        <v/>
      </c>
      <c r="B201" s="6" t="str">
        <f t="shared" si="52"/>
        <v/>
      </c>
      <c r="C201" s="6" t="str">
        <f t="shared" si="53"/>
        <v/>
      </c>
      <c r="D201" s="5" t="str">
        <f t="shared" si="54"/>
        <v/>
      </c>
      <c r="E201" s="9" t="str">
        <f t="shared" si="55"/>
        <v/>
      </c>
      <c r="F201" s="6" t="str">
        <f t="shared" si="56"/>
        <v/>
      </c>
      <c r="G201" s="9" t="str">
        <f t="shared" si="57"/>
        <v/>
      </c>
      <c r="H201" s="6" t="str">
        <f t="shared" si="58"/>
        <v/>
      </c>
      <c r="I201" s="5" t="str">
        <f t="shared" si="59"/>
        <v/>
      </c>
    </row>
    <row r="202" spans="1:9" ht="25.95" customHeight="1">
      <c r="A202" s="3" t="str">
        <f>IF(MAX($L$70:$L$160)&gt;=37,37,"")</f>
        <v/>
      </c>
      <c r="B202" s="7" t="str">
        <f t="shared" si="52"/>
        <v/>
      </c>
      <c r="C202" s="7" t="str">
        <f t="shared" si="53"/>
        <v/>
      </c>
      <c r="D202" s="3" t="str">
        <f t="shared" si="54"/>
        <v/>
      </c>
      <c r="E202" s="8" t="str">
        <f t="shared" si="55"/>
        <v/>
      </c>
      <c r="F202" s="7" t="str">
        <f t="shared" si="56"/>
        <v/>
      </c>
      <c r="G202" s="8" t="str">
        <f t="shared" si="57"/>
        <v/>
      </c>
      <c r="H202" s="7" t="str">
        <f t="shared" si="58"/>
        <v/>
      </c>
      <c r="I202" s="3" t="str">
        <f t="shared" si="59"/>
        <v/>
      </c>
    </row>
    <row r="203" spans="1:9" ht="25.95" customHeight="1">
      <c r="A203" s="5" t="str">
        <f>IF(MAX($L$70:$L$160)&gt;=38,38,"")</f>
        <v/>
      </c>
      <c r="B203" s="6" t="str">
        <f t="shared" si="52"/>
        <v/>
      </c>
      <c r="C203" s="6" t="str">
        <f t="shared" si="53"/>
        <v/>
      </c>
      <c r="D203" s="5" t="str">
        <f t="shared" si="54"/>
        <v/>
      </c>
      <c r="E203" s="9" t="str">
        <f t="shared" si="55"/>
        <v/>
      </c>
      <c r="F203" s="6" t="str">
        <f t="shared" si="56"/>
        <v/>
      </c>
      <c r="G203" s="9" t="str">
        <f t="shared" si="57"/>
        <v/>
      </c>
      <c r="H203" s="6" t="str">
        <f t="shared" si="58"/>
        <v/>
      </c>
      <c r="I203" s="5" t="str">
        <f t="shared" si="59"/>
        <v/>
      </c>
    </row>
    <row r="204" spans="1:9" ht="25.95" customHeight="1">
      <c r="A204" s="3" t="str">
        <f>IF(MAX($L$70:$L$160)&gt;=39,39,"")</f>
        <v/>
      </c>
      <c r="B204" s="7" t="str">
        <f t="shared" si="52"/>
        <v/>
      </c>
      <c r="C204" s="7" t="str">
        <f t="shared" si="53"/>
        <v/>
      </c>
      <c r="D204" s="3" t="str">
        <f t="shared" si="54"/>
        <v/>
      </c>
      <c r="E204" s="8" t="str">
        <f t="shared" si="55"/>
        <v/>
      </c>
      <c r="F204" s="7" t="str">
        <f t="shared" si="56"/>
        <v/>
      </c>
      <c r="G204" s="8" t="str">
        <f t="shared" si="57"/>
        <v/>
      </c>
      <c r="H204" s="7" t="str">
        <f t="shared" si="58"/>
        <v/>
      </c>
      <c r="I204" s="3" t="str">
        <f t="shared" si="59"/>
        <v/>
      </c>
    </row>
    <row r="205" spans="1:9" ht="25.95" customHeight="1">
      <c r="A205" s="5" t="str">
        <f>IF(MAX($L$70:$L$160)&gt;=40,40,"")</f>
        <v/>
      </c>
      <c r="B205" s="6" t="str">
        <f t="shared" si="52"/>
        <v/>
      </c>
      <c r="C205" s="6" t="str">
        <f t="shared" si="53"/>
        <v/>
      </c>
      <c r="D205" s="5" t="str">
        <f t="shared" si="54"/>
        <v/>
      </c>
      <c r="E205" s="9" t="str">
        <f t="shared" si="55"/>
        <v/>
      </c>
      <c r="F205" s="6" t="str">
        <f t="shared" si="56"/>
        <v/>
      </c>
      <c r="G205" s="9" t="str">
        <f t="shared" si="57"/>
        <v/>
      </c>
      <c r="H205" s="6" t="str">
        <f t="shared" si="58"/>
        <v/>
      </c>
      <c r="I205" s="5" t="str">
        <f t="shared" si="59"/>
        <v/>
      </c>
    </row>
    <row r="206" spans="1:9" ht="25.95" customHeight="1">
      <c r="A206" s="3" t="str">
        <f>IF(MAX($L$70:$L$160)&gt;=41,41,"")</f>
        <v/>
      </c>
      <c r="B206" s="7" t="str">
        <f t="shared" si="52"/>
        <v/>
      </c>
      <c r="C206" s="7" t="str">
        <f t="shared" si="53"/>
        <v/>
      </c>
      <c r="D206" s="3" t="str">
        <f t="shared" si="54"/>
        <v/>
      </c>
      <c r="E206" s="8" t="str">
        <f t="shared" si="55"/>
        <v/>
      </c>
      <c r="F206" s="7" t="str">
        <f t="shared" si="56"/>
        <v/>
      </c>
      <c r="G206" s="8" t="str">
        <f t="shared" si="57"/>
        <v/>
      </c>
      <c r="H206" s="7" t="str">
        <f t="shared" si="58"/>
        <v/>
      </c>
      <c r="I206" s="3" t="str">
        <f t="shared" si="59"/>
        <v/>
      </c>
    </row>
    <row r="207" spans="1:9" ht="25.95" customHeight="1">
      <c r="A207" s="5" t="str">
        <f>IF(MAX($L$70:$L$160)&gt;=42,42,"")</f>
        <v/>
      </c>
      <c r="B207" s="6" t="str">
        <f t="shared" si="52"/>
        <v/>
      </c>
      <c r="C207" s="6" t="str">
        <f t="shared" si="53"/>
        <v/>
      </c>
      <c r="D207" s="5" t="str">
        <f t="shared" si="54"/>
        <v/>
      </c>
      <c r="E207" s="9" t="str">
        <f t="shared" si="55"/>
        <v/>
      </c>
      <c r="F207" s="6" t="str">
        <f t="shared" si="56"/>
        <v/>
      </c>
      <c r="G207" s="9" t="str">
        <f t="shared" si="57"/>
        <v/>
      </c>
      <c r="H207" s="6" t="str">
        <f t="shared" si="58"/>
        <v/>
      </c>
      <c r="I207" s="5" t="str">
        <f t="shared" si="59"/>
        <v/>
      </c>
    </row>
    <row r="208" spans="1:9" ht="25.95" customHeight="1">
      <c r="A208" s="3" t="str">
        <f>IF(MAX($L$70:$L$160)&gt;=43,43,"")</f>
        <v/>
      </c>
      <c r="B208" s="7" t="str">
        <f t="shared" si="52"/>
        <v/>
      </c>
      <c r="C208" s="7" t="str">
        <f t="shared" si="53"/>
        <v/>
      </c>
      <c r="D208" s="3" t="str">
        <f t="shared" si="54"/>
        <v/>
      </c>
      <c r="E208" s="8" t="str">
        <f t="shared" si="55"/>
        <v/>
      </c>
      <c r="F208" s="7" t="str">
        <f t="shared" si="56"/>
        <v/>
      </c>
      <c r="G208" s="8" t="str">
        <f t="shared" si="57"/>
        <v/>
      </c>
      <c r="H208" s="7" t="str">
        <f t="shared" si="58"/>
        <v/>
      </c>
      <c r="I208" s="3" t="str">
        <f t="shared" si="59"/>
        <v/>
      </c>
    </row>
    <row r="209" spans="1:25" ht="25.95" customHeight="1">
      <c r="A209" s="5" t="str">
        <f>IF(MAX($L$70:$L$160)&gt;=44,44,"")</f>
        <v/>
      </c>
      <c r="B209" s="6" t="str">
        <f t="shared" si="52"/>
        <v/>
      </c>
      <c r="C209" s="6" t="str">
        <f t="shared" si="53"/>
        <v/>
      </c>
      <c r="D209" s="5" t="str">
        <f t="shared" si="54"/>
        <v/>
      </c>
      <c r="E209" s="9" t="str">
        <f t="shared" si="55"/>
        <v/>
      </c>
      <c r="F209" s="6" t="str">
        <f t="shared" si="56"/>
        <v/>
      </c>
      <c r="G209" s="9" t="str">
        <f t="shared" si="57"/>
        <v/>
      </c>
      <c r="H209" s="6" t="str">
        <f t="shared" si="58"/>
        <v/>
      </c>
      <c r="I209" s="5" t="str">
        <f t="shared" si="59"/>
        <v/>
      </c>
    </row>
    <row r="210" spans="1:25" ht="25.95" customHeight="1">
      <c r="A210" s="3" t="str">
        <f>IF(MAX($L$70:$L$160)&gt;=45,45,"")</f>
        <v/>
      </c>
      <c r="B210" s="7" t="str">
        <f t="shared" si="52"/>
        <v/>
      </c>
      <c r="C210" s="7" t="str">
        <f t="shared" si="53"/>
        <v/>
      </c>
      <c r="D210" s="3" t="str">
        <f t="shared" si="54"/>
        <v/>
      </c>
      <c r="E210" s="8" t="str">
        <f t="shared" si="55"/>
        <v/>
      </c>
      <c r="F210" s="7" t="str">
        <f t="shared" si="56"/>
        <v/>
      </c>
      <c r="G210" s="8" t="str">
        <f t="shared" si="57"/>
        <v/>
      </c>
      <c r="H210" s="7" t="str">
        <f t="shared" si="58"/>
        <v/>
      </c>
      <c r="I210" s="3" t="str">
        <f t="shared" si="59"/>
        <v/>
      </c>
    </row>
    <row r="211" spans="1:25" ht="25.95" customHeight="1">
      <c r="A211" s="5" t="str">
        <f>IF(MAX($L$70:$L$160)&gt;=46,46,"")</f>
        <v/>
      </c>
      <c r="B211" s="6" t="str">
        <f t="shared" si="52"/>
        <v/>
      </c>
      <c r="C211" s="6" t="str">
        <f t="shared" si="53"/>
        <v/>
      </c>
      <c r="D211" s="5" t="str">
        <f t="shared" si="54"/>
        <v/>
      </c>
      <c r="E211" s="9" t="str">
        <f t="shared" si="55"/>
        <v/>
      </c>
      <c r="F211" s="6" t="str">
        <f t="shared" si="56"/>
        <v/>
      </c>
      <c r="G211" s="9" t="str">
        <f t="shared" si="57"/>
        <v/>
      </c>
      <c r="H211" s="6" t="str">
        <f t="shared" si="58"/>
        <v/>
      </c>
      <c r="I211" s="5" t="str">
        <f t="shared" si="59"/>
        <v/>
      </c>
    </row>
    <row r="219" spans="1:25" ht="34.049999999999997" customHeight="1">
      <c r="A219" s="4" t="s">
        <v>1101</v>
      </c>
      <c r="B219" s="4" t="s">
        <v>1102</v>
      </c>
      <c r="C219" s="4" t="s">
        <v>1103</v>
      </c>
      <c r="D219" s="4" t="s">
        <v>1104</v>
      </c>
      <c r="E219" s="4" t="s">
        <v>1105</v>
      </c>
      <c r="F219" s="4" t="s">
        <v>1106</v>
      </c>
      <c r="G219" s="4" t="s">
        <v>1107</v>
      </c>
      <c r="H219" s="4" t="s">
        <v>1108</v>
      </c>
      <c r="I219" s="4" t="s">
        <v>1109</v>
      </c>
      <c r="J219" s="4" t="s">
        <v>1110</v>
      </c>
      <c r="K219" s="4" t="s">
        <v>1111</v>
      </c>
      <c r="L219" s="4" t="s">
        <v>1112</v>
      </c>
      <c r="M219" s="4" t="s">
        <v>1113</v>
      </c>
      <c r="N219" s="4" t="s">
        <v>1114</v>
      </c>
      <c r="O219" s="4" t="s">
        <v>1115</v>
      </c>
      <c r="P219" s="4" t="s">
        <v>1116</v>
      </c>
      <c r="Q219" s="4" t="s">
        <v>1117</v>
      </c>
      <c r="R219" s="4" t="s">
        <v>1118</v>
      </c>
      <c r="S219" s="4" t="s">
        <v>1119</v>
      </c>
      <c r="T219" s="4" t="s">
        <v>1120</v>
      </c>
      <c r="U219" s="4" t="s">
        <v>1121</v>
      </c>
      <c r="V219" s="4" t="s">
        <v>1122</v>
      </c>
      <c r="W219" s="4" t="s">
        <v>1123</v>
      </c>
      <c r="X219" s="4" t="s">
        <v>1124</v>
      </c>
      <c r="Y219" s="4" t="s">
        <v>1125</v>
      </c>
    </row>
    <row r="220" spans="1:25" ht="25.95" customHeight="1">
      <c r="A220" s="3" t="s">
        <v>1126</v>
      </c>
      <c r="B220" s="3" t="s">
        <v>1127</v>
      </c>
      <c r="C220" s="3" t="s">
        <v>966</v>
      </c>
      <c r="D220" s="3" t="s">
        <v>1128</v>
      </c>
      <c r="E220" s="8">
        <f>D_sales!N42</f>
        <v>24326055</v>
      </c>
      <c r="F220" s="7">
        <f>D_sales!H42</f>
        <v>46111</v>
      </c>
      <c r="G220" s="3">
        <f>D_sales!O42</f>
        <v>82</v>
      </c>
      <c r="H220" s="3" t="str">
        <f>C53</f>
        <v>firm</v>
      </c>
      <c r="I220" s="3">
        <f>IF(H220="default",0,IF(H220="customer",COUNTIFS(D_sales!$C$5:$C$115,C220,D_sales!$W$5:$W$115,1,D_sales!$U$5:$U$115,"&gt;="&amp;G220),COUNTIFS(D_sales!$W$5:$W$115,1,D_sales!$U$5:$U$115,"&gt;="&amp;G220)))</f>
        <v>1</v>
      </c>
      <c r="J220" s="7">
        <f t="shared" ref="J220:J252" si="60">IF(ISNUMBER(M220),M220,MAX($B$6,F220+ROUNDUP(W220,0)))</f>
        <v>46196</v>
      </c>
      <c r="K220" s="7">
        <f t="shared" ref="K220:K252" si="61">IF(ISNUMBER(M220),M220,MAX($B$6,F220+ROUNDUP(X220,0)))</f>
        <v>46203</v>
      </c>
      <c r="L220" s="7">
        <f t="shared" ref="L220:L252" si="62">IF(ISNUMBER(M220),M220,MAX($B$6,F220+ROUNDUP(Y220,0)))</f>
        <v>46214</v>
      </c>
      <c r="M220" s="7"/>
      <c r="N220" s="7">
        <f>CHOOSE(D_F01!$B$19,K220,J220,L220,IF(ISNUMBER(M220),M220,K220+7),K220)</f>
        <v>46203</v>
      </c>
      <c r="O220" s="3" t="str">
        <f t="shared" ref="O220:O252" si="63">IF(ISNUMBER(M220),"confirmed",IF(G220&gt;0,"conditional_or_residual_assumption","history_or_fallback"))</f>
        <v>conditional_or_residual_assumption</v>
      </c>
      <c r="P220" s="3" t="s">
        <v>1129</v>
      </c>
      <c r="Q220" s="3">
        <v>0</v>
      </c>
      <c r="R220" s="7">
        <v>46193</v>
      </c>
      <c r="S220" s="3" t="str">
        <f t="shared" ref="S220:S252" si="64">IF(N220&gt;$B$7,"beyond_horizon",IF(N220&lt;$B$6,"invalid_past","in_horizon"))</f>
        <v>in_horizon</v>
      </c>
      <c r="T220" s="3">
        <f>IF(I220&gt;=D_F01!$B$27,IF(H220="customer",SUMIFS(D_sales!$X$5:$X$115,D_sales!$C$5:$C$115,C220,D_sales!$W$5:$W$115,1,D_sales!$U$5:$U$115,"&gt;="&amp;G220),SUMIFS(D_sales!$X$5:$X$115,D_sales!$W$5:$W$115,1,D_sales!$U$5:$U$115,"&gt;="&amp;G220))/IF(H220="customer",SUMIFS(D_sales!$V$5:$V$115,D_sales!$C$5:$C$115,C220,D_sales!$W$5:$W$115,1,D_sales!$U$5:$U$115,"&gt;="&amp;G220),SUMIFS(D_sales!$V$5:$V$115,D_sales!$W$5:$W$115,1,D_sales!$U$5:$U$115,"&gt;="&amp;G220)),0)</f>
        <v>0</v>
      </c>
      <c r="U220" s="3">
        <f>IF(I220&gt;=D_F01!$B$27,IF(H220="customer",PERCENTILE(_xlfn._xlws.FILTER(D_sales!$U$5:$U$115,(D_sales!$W$5:$W$115=1)*(D_sales!$U$5:$U$115&gt;=G220)*(D_sales!$C$5:$C$115=C220)),0.25),PERCENTILE(_xlfn._xlws.FILTER(D_sales!$U$5:$U$115,(D_sales!$W$5:$W$115=1)*(D_sales!$U$5:$U$115&gt;=G220)),0.25)),0)</f>
        <v>0</v>
      </c>
      <c r="V220" s="3">
        <f>IF(I220&gt;=D_F01!$B$27,IF(H220="customer",PERCENTILE(_xlfn._xlws.FILTER(D_sales!$U$5:$U$115,(D_sales!$W$5:$W$115=1)*(D_sales!$U$5:$U$115&gt;=G220)*(D_sales!$C$5:$C$115=C220)),0.75),PERCENTILE(_xlfn._xlws.FILTER(D_sales!$U$5:$U$115,(D_sales!$W$5:$W$115=1)*(D_sales!$U$5:$U$115&gt;=G220)),0.75)),0)</f>
        <v>0</v>
      </c>
      <c r="W220" s="3">
        <f>IF(G220&gt;0,IF(I220&gt;=D_F01!$B$27,MIN(T220,U220),G220+3),H53)</f>
        <v>85</v>
      </c>
      <c r="X220" s="3">
        <f>IF(G220&gt;0,IF(I220&gt;=D_F01!$B$27,T220,G220+10),E53)</f>
        <v>92</v>
      </c>
      <c r="Y220" s="3">
        <f>IF(G220&gt;0,IF(I220&gt;=D_F01!$B$27,MAX(T220,V220),G220+21),I53)</f>
        <v>103</v>
      </c>
    </row>
    <row r="221" spans="1:25" ht="25.95" customHeight="1">
      <c r="A221" s="5" t="s">
        <v>1130</v>
      </c>
      <c r="B221" s="5" t="s">
        <v>1131</v>
      </c>
      <c r="C221" s="5" t="s">
        <v>956</v>
      </c>
      <c r="D221" s="5" t="s">
        <v>1128</v>
      </c>
      <c r="E221" s="9">
        <f>D_sales!N55</f>
        <v>214833207</v>
      </c>
      <c r="F221" s="6">
        <f>D_sales!H55</f>
        <v>46126</v>
      </c>
      <c r="G221" s="5">
        <f>D_sales!O55</f>
        <v>67</v>
      </c>
      <c r="H221" s="5" t="str">
        <f>C48</f>
        <v>customer</v>
      </c>
      <c r="I221" s="5">
        <f>IF(H221="default",0,IF(H221="customer",COUNTIFS(D_sales!$C$5:$C$115,C221,D_sales!$W$5:$W$115,1,D_sales!$U$5:$U$115,"&gt;="&amp;G221),COUNTIFS(D_sales!$W$5:$W$115,1,D_sales!$U$5:$U$115,"&gt;="&amp;G221)))</f>
        <v>1</v>
      </c>
      <c r="J221" s="6">
        <f t="shared" si="60"/>
        <v>46196</v>
      </c>
      <c r="K221" s="6">
        <f t="shared" si="61"/>
        <v>46203</v>
      </c>
      <c r="L221" s="6">
        <f t="shared" si="62"/>
        <v>46214</v>
      </c>
      <c r="M221" s="6"/>
      <c r="N221" s="6">
        <f>CHOOSE(D_F01!$B$19,K221,J221,L221,IF(ISNUMBER(M221),M221,K221+7),K221)</f>
        <v>46203</v>
      </c>
      <c r="O221" s="5" t="str">
        <f t="shared" si="63"/>
        <v>conditional_or_residual_assumption</v>
      </c>
      <c r="P221" s="5" t="s">
        <v>1129</v>
      </c>
      <c r="Q221" s="5">
        <v>0</v>
      </c>
      <c r="R221" s="6">
        <v>46193</v>
      </c>
      <c r="S221" s="5" t="str">
        <f t="shared" si="64"/>
        <v>in_horizon</v>
      </c>
      <c r="T221" s="5">
        <f>IF(I221&gt;=D_F01!$B$27,IF(H221="customer",SUMIFS(D_sales!$X$5:$X$115,D_sales!$C$5:$C$115,C221,D_sales!$W$5:$W$115,1,D_sales!$U$5:$U$115,"&gt;="&amp;G221),SUMIFS(D_sales!$X$5:$X$115,D_sales!$W$5:$W$115,1,D_sales!$U$5:$U$115,"&gt;="&amp;G221))/IF(H221="customer",SUMIFS(D_sales!$V$5:$V$115,D_sales!$C$5:$C$115,C221,D_sales!$W$5:$W$115,1,D_sales!$U$5:$U$115,"&gt;="&amp;G221),SUMIFS(D_sales!$V$5:$V$115,D_sales!$W$5:$W$115,1,D_sales!$U$5:$U$115,"&gt;="&amp;G221)),0)</f>
        <v>0</v>
      </c>
      <c r="U221" s="5">
        <f>IF(I221&gt;=D_F01!$B$27,IF(H221="customer",PERCENTILE(_xlfn._xlws.FILTER(D_sales!$U$5:$U$115,(D_sales!$W$5:$W$115=1)*(D_sales!$U$5:$U$115&gt;=G221)*(D_sales!$C$5:$C$115=C221)),0.25),PERCENTILE(_xlfn._xlws.FILTER(D_sales!$U$5:$U$115,(D_sales!$W$5:$W$115=1)*(D_sales!$U$5:$U$115&gt;=G221)),0.25)),0)</f>
        <v>0</v>
      </c>
      <c r="V221" s="5">
        <f>IF(I221&gt;=D_F01!$B$27,IF(H221="customer",PERCENTILE(_xlfn._xlws.FILTER(D_sales!$U$5:$U$115,(D_sales!$W$5:$W$115=1)*(D_sales!$U$5:$U$115&gt;=G221)*(D_sales!$C$5:$C$115=C221)),0.75),PERCENTILE(_xlfn._xlws.FILTER(D_sales!$U$5:$U$115,(D_sales!$W$5:$W$115=1)*(D_sales!$U$5:$U$115&gt;=G221)),0.75)),0)</f>
        <v>0</v>
      </c>
      <c r="W221" s="5">
        <f>IF(G221&gt;0,IF(I221&gt;=D_F01!$B$27,MIN(T221,U221),G221+3),H48)</f>
        <v>70</v>
      </c>
      <c r="X221" s="5">
        <f>IF(G221&gt;0,IF(I221&gt;=D_F01!$B$27,T221,G221+10),E48)</f>
        <v>77</v>
      </c>
      <c r="Y221" s="5">
        <f>IF(G221&gt;0,IF(I221&gt;=D_F01!$B$27,MAX(T221,V221),G221+21),I48)</f>
        <v>88</v>
      </c>
    </row>
    <row r="222" spans="1:25" ht="25.95" customHeight="1">
      <c r="A222" s="3" t="s">
        <v>1132</v>
      </c>
      <c r="B222" s="3" t="s">
        <v>1133</v>
      </c>
      <c r="C222" s="3" t="s">
        <v>956</v>
      </c>
      <c r="D222" s="3" t="s">
        <v>1128</v>
      </c>
      <c r="E222" s="8">
        <f>D_sales!N60</f>
        <v>174551672</v>
      </c>
      <c r="F222" s="7">
        <f>D_sales!H60</f>
        <v>46137</v>
      </c>
      <c r="G222" s="3">
        <f>D_sales!O60</f>
        <v>56</v>
      </c>
      <c r="H222" s="3" t="str">
        <f>C48</f>
        <v>customer</v>
      </c>
      <c r="I222" s="3">
        <f>IF(H222="default",0,IF(H222="customer",COUNTIFS(D_sales!$C$5:$C$115,C222,D_sales!$W$5:$W$115,1,D_sales!$U$5:$U$115,"&gt;="&amp;G222),COUNTIFS(D_sales!$W$5:$W$115,1,D_sales!$U$5:$U$115,"&gt;="&amp;G222)))</f>
        <v>2</v>
      </c>
      <c r="J222" s="7">
        <f t="shared" si="60"/>
        <v>46196</v>
      </c>
      <c r="K222" s="7">
        <f t="shared" si="61"/>
        <v>46203</v>
      </c>
      <c r="L222" s="7">
        <f t="shared" si="62"/>
        <v>46214</v>
      </c>
      <c r="M222" s="7"/>
      <c r="N222" s="7">
        <f>CHOOSE(D_F01!$B$19,K222,J222,L222,IF(ISNUMBER(M222),M222,K222+7),K222)</f>
        <v>46203</v>
      </c>
      <c r="O222" s="3" t="str">
        <f t="shared" si="63"/>
        <v>conditional_or_residual_assumption</v>
      </c>
      <c r="P222" s="3" t="s">
        <v>1129</v>
      </c>
      <c r="Q222" s="3">
        <v>0</v>
      </c>
      <c r="R222" s="7">
        <v>46193</v>
      </c>
      <c r="S222" s="3" t="str">
        <f t="shared" si="64"/>
        <v>in_horizon</v>
      </c>
      <c r="T222" s="3">
        <f>IF(I222&gt;=D_F01!$B$27,IF(H222="customer",SUMIFS(D_sales!$X$5:$X$115,D_sales!$C$5:$C$115,C222,D_sales!$W$5:$W$115,1,D_sales!$U$5:$U$115,"&gt;="&amp;G222),SUMIFS(D_sales!$X$5:$X$115,D_sales!$W$5:$W$115,1,D_sales!$U$5:$U$115,"&gt;="&amp;G222))/IF(H222="customer",SUMIFS(D_sales!$V$5:$V$115,D_sales!$C$5:$C$115,C222,D_sales!$W$5:$W$115,1,D_sales!$U$5:$U$115,"&gt;="&amp;G222),SUMIFS(D_sales!$V$5:$V$115,D_sales!$W$5:$W$115,1,D_sales!$U$5:$U$115,"&gt;="&amp;G222)),0)</f>
        <v>0</v>
      </c>
      <c r="U222" s="3">
        <f>IF(I222&gt;=D_F01!$B$27,IF(H222="customer",PERCENTILE(_xlfn._xlws.FILTER(D_sales!$U$5:$U$115,(D_sales!$W$5:$W$115=1)*(D_sales!$U$5:$U$115&gt;=G222)*(D_sales!$C$5:$C$115=C222)),0.25),PERCENTILE(_xlfn._xlws.FILTER(D_sales!$U$5:$U$115,(D_sales!$W$5:$W$115=1)*(D_sales!$U$5:$U$115&gt;=G222)),0.25)),0)</f>
        <v>0</v>
      </c>
      <c r="V222" s="3">
        <f>IF(I222&gt;=D_F01!$B$27,IF(H222="customer",PERCENTILE(_xlfn._xlws.FILTER(D_sales!$U$5:$U$115,(D_sales!$W$5:$W$115=1)*(D_sales!$U$5:$U$115&gt;=G222)*(D_sales!$C$5:$C$115=C222)),0.75),PERCENTILE(_xlfn._xlws.FILTER(D_sales!$U$5:$U$115,(D_sales!$W$5:$W$115=1)*(D_sales!$U$5:$U$115&gt;=G222)),0.75)),0)</f>
        <v>0</v>
      </c>
      <c r="W222" s="3">
        <f>IF(G222&gt;0,IF(I222&gt;=D_F01!$B$27,MIN(T222,U222),G222+3),H48)</f>
        <v>59</v>
      </c>
      <c r="X222" s="3">
        <f>IF(G222&gt;0,IF(I222&gt;=D_F01!$B$27,T222,G222+10),E48)</f>
        <v>66</v>
      </c>
      <c r="Y222" s="3">
        <f>IF(G222&gt;0,IF(I222&gt;=D_F01!$B$27,MAX(T222,V222),G222+21),I48)</f>
        <v>77</v>
      </c>
    </row>
    <row r="223" spans="1:25" ht="25.95" customHeight="1">
      <c r="A223" s="5" t="s">
        <v>1134</v>
      </c>
      <c r="B223" s="5" t="s">
        <v>1135</v>
      </c>
      <c r="C223" s="5" t="s">
        <v>952</v>
      </c>
      <c r="D223" s="5" t="s">
        <v>1128</v>
      </c>
      <c r="E223" s="9">
        <f>D_sales!N73</f>
        <v>201847452</v>
      </c>
      <c r="F223" s="6">
        <f>D_sales!H73</f>
        <v>46172</v>
      </c>
      <c r="G223" s="5">
        <f>D_sales!O73</f>
        <v>21</v>
      </c>
      <c r="H223" s="5" t="str">
        <f>C46</f>
        <v>customer</v>
      </c>
      <c r="I223" s="5">
        <f>IF(H223="default",0,IF(H223="customer",COUNTIFS(D_sales!$C$5:$C$115,C223,D_sales!$W$5:$W$115,1,D_sales!$U$5:$U$115,"&gt;="&amp;G223),COUNTIFS(D_sales!$W$5:$W$115,1,D_sales!$U$5:$U$115,"&gt;="&amp;G223)))</f>
        <v>7</v>
      </c>
      <c r="J223" s="6">
        <f t="shared" si="60"/>
        <v>46195</v>
      </c>
      <c r="K223" s="6">
        <f t="shared" si="61"/>
        <v>46198</v>
      </c>
      <c r="L223" s="6">
        <f t="shared" si="62"/>
        <v>46200</v>
      </c>
      <c r="M223" s="6"/>
      <c r="N223" s="6">
        <f>CHOOSE(D_F01!$B$19,K223,J223,L223,IF(ISNUMBER(M223),M223,K223+7),K223)</f>
        <v>46198</v>
      </c>
      <c r="O223" s="5" t="str">
        <f t="shared" si="63"/>
        <v>conditional_or_residual_assumption</v>
      </c>
      <c r="P223" s="5" t="s">
        <v>1129</v>
      </c>
      <c r="Q223" s="5">
        <v>0</v>
      </c>
      <c r="R223" s="6">
        <v>46193</v>
      </c>
      <c r="S223" s="5" t="str">
        <f t="shared" si="64"/>
        <v>in_horizon</v>
      </c>
      <c r="T223" s="5">
        <f>IF(I223&gt;=D_F01!$B$27,IF(H223="customer",SUMIFS(D_sales!$X$5:$X$115,D_sales!$C$5:$C$115,C223,D_sales!$W$5:$W$115,1,D_sales!$U$5:$U$115,"&gt;="&amp;G223),SUMIFS(D_sales!$X$5:$X$115,D_sales!$W$5:$W$115,1,D_sales!$U$5:$U$115,"&gt;="&amp;G223))/IF(H223="customer",SUMIFS(D_sales!$V$5:$V$115,D_sales!$C$5:$C$115,C223,D_sales!$W$5:$W$115,1,D_sales!$U$5:$U$115,"&gt;="&amp;G223),SUMIFS(D_sales!$V$5:$V$115,D_sales!$W$5:$W$115,1,D_sales!$U$5:$U$115,"&gt;="&amp;G223)),0)</f>
        <v>25.548195665494113</v>
      </c>
      <c r="U223" s="5">
        <f>IF(I223&gt;=D_F01!$B$27,IF(H223="customer",PERCENTILE(_xlfn._xlws.FILTER(D_sales!$U$5:$U$115,(D_sales!$W$5:$W$115=1)*(D_sales!$U$5:$U$115&gt;=G223)*(D_sales!$C$5:$C$115=C223)),0.25),PERCENTILE(_xlfn._xlws.FILTER(D_sales!$U$5:$U$115,(D_sales!$W$5:$W$115=1)*(D_sales!$U$5:$U$115&gt;=G223)),0.25)),0)</f>
        <v>22.5</v>
      </c>
      <c r="V223" s="5">
        <f>IF(I223&gt;=D_F01!$B$27,IF(H223="customer",PERCENTILE(_xlfn._xlws.FILTER(D_sales!$U$5:$U$115,(D_sales!$W$5:$W$115=1)*(D_sales!$U$5:$U$115&gt;=G223)*(D_sales!$C$5:$C$115=C223)),0.75),PERCENTILE(_xlfn._xlws.FILTER(D_sales!$U$5:$U$115,(D_sales!$W$5:$W$115=1)*(D_sales!$U$5:$U$115&gt;=G223)),0.75)),0)</f>
        <v>27.5</v>
      </c>
      <c r="W223" s="5">
        <f>IF(G223&gt;0,IF(I223&gt;=D_F01!$B$27,MIN(T223,U223),G223+3),H46)</f>
        <v>22.5</v>
      </c>
      <c r="X223" s="5">
        <f>IF(G223&gt;0,IF(I223&gt;=D_F01!$B$27,T223,G223+10),E46)</f>
        <v>25.548195665494113</v>
      </c>
      <c r="Y223" s="5">
        <f>IF(G223&gt;0,IF(I223&gt;=D_F01!$B$27,MAX(T223,V223),G223+21),I46)</f>
        <v>27.5</v>
      </c>
    </row>
    <row r="224" spans="1:25" ht="25.95" customHeight="1">
      <c r="A224" s="3" t="s">
        <v>1136</v>
      </c>
      <c r="B224" s="3" t="s">
        <v>1137</v>
      </c>
      <c r="C224" s="3" t="s">
        <v>952</v>
      </c>
      <c r="D224" s="3" t="s">
        <v>1128</v>
      </c>
      <c r="E224" s="8">
        <f>D_sales!N75</f>
        <v>120620270</v>
      </c>
      <c r="F224" s="7">
        <f>D_sales!H75</f>
        <v>46177</v>
      </c>
      <c r="G224" s="3">
        <f>D_sales!O75</f>
        <v>16</v>
      </c>
      <c r="H224" s="3" t="str">
        <f>C46</f>
        <v>customer</v>
      </c>
      <c r="I224" s="3">
        <f>IF(H224="default",0,IF(H224="customer",COUNTIFS(D_sales!$C$5:$C$115,C224,D_sales!$W$5:$W$115,1,D_sales!$U$5:$U$115,"&gt;="&amp;G224),COUNTIFS(D_sales!$W$5:$W$115,1,D_sales!$U$5:$U$115,"&gt;="&amp;G224)))</f>
        <v>13</v>
      </c>
      <c r="J224" s="7">
        <f t="shared" si="60"/>
        <v>46194</v>
      </c>
      <c r="K224" s="7">
        <f t="shared" si="61"/>
        <v>46200</v>
      </c>
      <c r="L224" s="7">
        <f t="shared" si="62"/>
        <v>46200</v>
      </c>
      <c r="M224" s="7"/>
      <c r="N224" s="7">
        <f>CHOOSE(D_F01!$B$19,K224,J224,L224,IF(ISNUMBER(M224),M224,K224+7),K224)</f>
        <v>46200</v>
      </c>
      <c r="O224" s="3" t="str">
        <f t="shared" si="63"/>
        <v>conditional_or_residual_assumption</v>
      </c>
      <c r="P224" s="3" t="s">
        <v>1129</v>
      </c>
      <c r="Q224" s="3">
        <v>0</v>
      </c>
      <c r="R224" s="7">
        <v>46193</v>
      </c>
      <c r="S224" s="3" t="str">
        <f t="shared" si="64"/>
        <v>in_horizon</v>
      </c>
      <c r="T224" s="3">
        <f>IF(I224&gt;=D_F01!$B$27,IF(H224="customer",SUMIFS(D_sales!$X$5:$X$115,D_sales!$C$5:$C$115,C224,D_sales!$W$5:$W$115,1,D_sales!$U$5:$U$115,"&gt;="&amp;G224),SUMIFS(D_sales!$X$5:$X$115,D_sales!$W$5:$W$115,1,D_sales!$U$5:$U$115,"&gt;="&amp;G224))/IF(H224="customer",SUMIFS(D_sales!$V$5:$V$115,D_sales!$C$5:$C$115,C224,D_sales!$W$5:$W$115,1,D_sales!$U$5:$U$115,"&gt;="&amp;G224),SUMIFS(D_sales!$V$5:$V$115,D_sales!$W$5:$W$115,1,D_sales!$U$5:$U$115,"&gt;="&amp;G224)),0)</f>
        <v>22.032951383187758</v>
      </c>
      <c r="U224" s="3">
        <f>IF(I224&gt;=D_F01!$B$27,IF(H224="customer",PERCENTILE(_xlfn._xlws.FILTER(D_sales!$U$5:$U$115,(D_sales!$W$5:$W$115=1)*(D_sales!$U$5:$U$115&gt;=G224)*(D_sales!$C$5:$C$115=C224)),0.25),PERCENTILE(_xlfn._xlws.FILTER(D_sales!$U$5:$U$115,(D_sales!$W$5:$W$115=1)*(D_sales!$U$5:$U$115&gt;=G224)),0.25)),0)</f>
        <v>17</v>
      </c>
      <c r="V224" s="3">
        <f>IF(I224&gt;=D_F01!$B$27,IF(H224="customer",PERCENTILE(_xlfn._xlws.FILTER(D_sales!$U$5:$U$115,(D_sales!$W$5:$W$115=1)*(D_sales!$U$5:$U$115&gt;=G224)*(D_sales!$C$5:$C$115=C224)),0.75),PERCENTILE(_xlfn._xlws.FILTER(D_sales!$U$5:$U$115,(D_sales!$W$5:$W$115=1)*(D_sales!$U$5:$U$115&gt;=G224)),0.75)),0)</f>
        <v>23</v>
      </c>
      <c r="W224" s="3">
        <f>IF(G224&gt;0,IF(I224&gt;=D_F01!$B$27,MIN(T224,U224),G224+3),H46)</f>
        <v>17</v>
      </c>
      <c r="X224" s="3">
        <f>IF(G224&gt;0,IF(I224&gt;=D_F01!$B$27,T224,G224+10),E46)</f>
        <v>22.032951383187758</v>
      </c>
      <c r="Y224" s="3">
        <f>IF(G224&gt;0,IF(I224&gt;=D_F01!$B$27,MAX(T224,V224),G224+21),I46)</f>
        <v>23</v>
      </c>
    </row>
    <row r="225" spans="1:25" ht="25.95" customHeight="1">
      <c r="A225" s="5" t="s">
        <v>1138</v>
      </c>
      <c r="B225" s="5" t="s">
        <v>1139</v>
      </c>
      <c r="C225" s="5" t="s">
        <v>952</v>
      </c>
      <c r="D225" s="5" t="s">
        <v>1128</v>
      </c>
      <c r="E225" s="9">
        <f>D_sales!N79</f>
        <v>193886018</v>
      </c>
      <c r="F225" s="6">
        <f>D_sales!H79</f>
        <v>46182</v>
      </c>
      <c r="G225" s="5">
        <f>D_sales!O79</f>
        <v>11</v>
      </c>
      <c r="H225" s="5" t="str">
        <f>C46</f>
        <v>customer</v>
      </c>
      <c r="I225" s="5">
        <f>IF(H225="default",0,IF(H225="customer",COUNTIFS(D_sales!$C$5:$C$115,C225,D_sales!$W$5:$W$115,1,D_sales!$U$5:$U$115,"&gt;="&amp;G225),COUNTIFS(D_sales!$W$5:$W$115,1,D_sales!$U$5:$U$115,"&gt;="&amp;G225)))</f>
        <v>15</v>
      </c>
      <c r="J225" s="6">
        <f t="shared" si="60"/>
        <v>46199</v>
      </c>
      <c r="K225" s="6">
        <f t="shared" si="61"/>
        <v>46203</v>
      </c>
      <c r="L225" s="6">
        <f t="shared" si="62"/>
        <v>46205</v>
      </c>
      <c r="M225" s="6"/>
      <c r="N225" s="6">
        <f>CHOOSE(D_F01!$B$19,K225,J225,L225,IF(ISNUMBER(M225),M225,K225+7),K225)</f>
        <v>46203</v>
      </c>
      <c r="O225" s="5" t="str">
        <f t="shared" si="63"/>
        <v>conditional_or_residual_assumption</v>
      </c>
      <c r="P225" s="5" t="s">
        <v>1129</v>
      </c>
      <c r="Q225" s="5">
        <v>0</v>
      </c>
      <c r="R225" s="6">
        <v>46193</v>
      </c>
      <c r="S225" s="5" t="str">
        <f t="shared" si="64"/>
        <v>in_horizon</v>
      </c>
      <c r="T225" s="5">
        <f>IF(I225&gt;=D_F01!$B$27,IF(H225="customer",SUMIFS(D_sales!$X$5:$X$115,D_sales!$C$5:$C$115,C225,D_sales!$W$5:$W$115,1,D_sales!$U$5:$U$115,"&gt;="&amp;G225),SUMIFS(D_sales!$X$5:$X$115,D_sales!$W$5:$W$115,1,D_sales!$U$5:$U$115,"&gt;="&amp;G225))/IF(H225="customer",SUMIFS(D_sales!$V$5:$V$115,D_sales!$C$5:$C$115,C225,D_sales!$W$5:$W$115,1,D_sales!$U$5:$U$115,"&gt;="&amp;G225),SUMIFS(D_sales!$V$5:$V$115,D_sales!$W$5:$W$115,1,D_sales!$U$5:$U$115,"&gt;="&amp;G225)),0)</f>
        <v>20.879412588090574</v>
      </c>
      <c r="U225" s="5">
        <f>IF(I225&gt;=D_F01!$B$27,IF(H225="customer",PERCENTILE(_xlfn._xlws.FILTER(D_sales!$U$5:$U$115,(D_sales!$W$5:$W$115=1)*(D_sales!$U$5:$U$115&gt;=G225)*(D_sales!$C$5:$C$115=C225)),0.25),PERCENTILE(_xlfn._xlws.FILTER(D_sales!$U$5:$U$115,(D_sales!$W$5:$W$115=1)*(D_sales!$U$5:$U$115&gt;=G225)),0.25)),0)</f>
        <v>16.5</v>
      </c>
      <c r="V225" s="5">
        <f>IF(I225&gt;=D_F01!$B$27,IF(H225="customer",PERCENTILE(_xlfn._xlws.FILTER(D_sales!$U$5:$U$115,(D_sales!$W$5:$W$115=1)*(D_sales!$U$5:$U$115&gt;=G225)*(D_sales!$C$5:$C$115=C225)),0.75),PERCENTILE(_xlfn._xlws.FILTER(D_sales!$U$5:$U$115,(D_sales!$W$5:$W$115=1)*(D_sales!$U$5:$U$115&gt;=G225)),0.75)),0)</f>
        <v>23</v>
      </c>
      <c r="W225" s="5">
        <f>IF(G225&gt;0,IF(I225&gt;=D_F01!$B$27,MIN(T225,U225),G225+3),H46)</f>
        <v>16.5</v>
      </c>
      <c r="X225" s="5">
        <f>IF(G225&gt;0,IF(I225&gt;=D_F01!$B$27,T225,G225+10),E46)</f>
        <v>20.879412588090574</v>
      </c>
      <c r="Y225" s="5">
        <f>IF(G225&gt;0,IF(I225&gt;=D_F01!$B$27,MAX(T225,V225),G225+21),I46)</f>
        <v>23</v>
      </c>
    </row>
    <row r="226" spans="1:25" ht="25.95" customHeight="1">
      <c r="A226" s="3" t="s">
        <v>1140</v>
      </c>
      <c r="B226" s="3" t="s">
        <v>1141</v>
      </c>
      <c r="C226" s="3" t="s">
        <v>952</v>
      </c>
      <c r="D226" s="3" t="s">
        <v>1128</v>
      </c>
      <c r="E226" s="8">
        <f>D_sales!N80</f>
        <v>80292287</v>
      </c>
      <c r="F226" s="7">
        <f>D_sales!H80</f>
        <v>46183</v>
      </c>
      <c r="G226" s="3">
        <f>D_sales!O80</f>
        <v>10</v>
      </c>
      <c r="H226" s="3" t="str">
        <f>C46</f>
        <v>customer</v>
      </c>
      <c r="I226" s="3">
        <f>IF(H226="default",0,IF(H226="customer",COUNTIFS(D_sales!$C$5:$C$115,C226,D_sales!$W$5:$W$115,1,D_sales!$U$5:$U$115,"&gt;="&amp;G226),COUNTIFS(D_sales!$W$5:$W$115,1,D_sales!$U$5:$U$115,"&gt;="&amp;G226)))</f>
        <v>16</v>
      </c>
      <c r="J226" s="7">
        <f t="shared" si="60"/>
        <v>46199</v>
      </c>
      <c r="K226" s="7">
        <f t="shared" si="61"/>
        <v>46204</v>
      </c>
      <c r="L226" s="7">
        <f t="shared" si="62"/>
        <v>46206</v>
      </c>
      <c r="M226" s="7"/>
      <c r="N226" s="7">
        <f>CHOOSE(D_F01!$B$19,K226,J226,L226,IF(ISNUMBER(M226),M226,K226+7),K226)</f>
        <v>46204</v>
      </c>
      <c r="O226" s="3" t="str">
        <f t="shared" si="63"/>
        <v>conditional_or_residual_assumption</v>
      </c>
      <c r="P226" s="3" t="s">
        <v>1129</v>
      </c>
      <c r="Q226" s="3">
        <v>0</v>
      </c>
      <c r="R226" s="7">
        <v>46193</v>
      </c>
      <c r="S226" s="3" t="str">
        <f t="shared" si="64"/>
        <v>in_horizon</v>
      </c>
      <c r="T226" s="3">
        <f>IF(I226&gt;=D_F01!$B$27,IF(H226="customer",SUMIFS(D_sales!$X$5:$X$115,D_sales!$C$5:$C$115,C226,D_sales!$W$5:$W$115,1,D_sales!$U$5:$U$115,"&gt;="&amp;G226),SUMIFS(D_sales!$X$5:$X$115,D_sales!$W$5:$W$115,1,D_sales!$U$5:$U$115,"&gt;="&amp;G226))/IF(H226="customer",SUMIFS(D_sales!$V$5:$V$115,D_sales!$C$5:$C$115,C226,D_sales!$W$5:$W$115,1,D_sales!$U$5:$U$115,"&gt;="&amp;G226),SUMIFS(D_sales!$V$5:$V$115,D_sales!$W$5:$W$115,1,D_sales!$U$5:$U$115,"&gt;="&amp;G226)),0)</f>
        <v>20.655950022027422</v>
      </c>
      <c r="U226" s="3">
        <f>IF(I226&gt;=D_F01!$B$27,IF(H226="customer",PERCENTILE(_xlfn._xlws.FILTER(D_sales!$U$5:$U$115,(D_sales!$W$5:$W$115=1)*(D_sales!$U$5:$U$115&gt;=G226)*(D_sales!$C$5:$C$115=C226)),0.25),PERCENTILE(_xlfn._xlws.FILTER(D_sales!$U$5:$U$115,(D_sales!$W$5:$W$115=1)*(D_sales!$U$5:$U$115&gt;=G226)),0.25)),0)</f>
        <v>16</v>
      </c>
      <c r="V226" s="3">
        <f>IF(I226&gt;=D_F01!$B$27,IF(H226="customer",PERCENTILE(_xlfn._xlws.FILTER(D_sales!$U$5:$U$115,(D_sales!$W$5:$W$115=1)*(D_sales!$U$5:$U$115&gt;=G226)*(D_sales!$C$5:$C$115=C226)),0.75),PERCENTILE(_xlfn._xlws.FILTER(D_sales!$U$5:$U$115,(D_sales!$W$5:$W$115=1)*(D_sales!$U$5:$U$115&gt;=G226)),0.75)),0)</f>
        <v>23</v>
      </c>
      <c r="W226" s="3">
        <f>IF(G226&gt;0,IF(I226&gt;=D_F01!$B$27,MIN(T226,U226),G226+3),H46)</f>
        <v>16</v>
      </c>
      <c r="X226" s="3">
        <f>IF(G226&gt;0,IF(I226&gt;=D_F01!$B$27,T226,G226+10),E46)</f>
        <v>20.655950022027422</v>
      </c>
      <c r="Y226" s="3">
        <f>IF(G226&gt;0,IF(I226&gt;=D_F01!$B$27,MAX(T226,V226),G226+21),I46)</f>
        <v>23</v>
      </c>
    </row>
    <row r="227" spans="1:25" ht="25.95" customHeight="1">
      <c r="A227" s="5" t="s">
        <v>1142</v>
      </c>
      <c r="B227" s="5" t="s">
        <v>1143</v>
      </c>
      <c r="C227" s="5" t="s">
        <v>964</v>
      </c>
      <c r="D227" s="5" t="s">
        <v>1128</v>
      </c>
      <c r="E227" s="9">
        <f>D_sales!N83</f>
        <v>80857572</v>
      </c>
      <c r="F227" s="6">
        <f>D_sales!H83</f>
        <v>46174</v>
      </c>
      <c r="G227" s="5">
        <f>D_sales!O83</f>
        <v>19</v>
      </c>
      <c r="H227" s="5" t="str">
        <f>C52</f>
        <v>firm</v>
      </c>
      <c r="I227" s="5">
        <f>IF(H227="default",0,IF(H227="customer",COUNTIFS(D_sales!$C$5:$C$115,C227,D_sales!$W$5:$W$115,1,D_sales!$U$5:$U$115,"&gt;="&amp;G227),COUNTIFS(D_sales!$W$5:$W$115,1,D_sales!$U$5:$U$115,"&gt;="&amp;G227)))</f>
        <v>12</v>
      </c>
      <c r="J227" s="6">
        <f t="shared" si="60"/>
        <v>46196</v>
      </c>
      <c r="K227" s="6">
        <f t="shared" si="61"/>
        <v>46205</v>
      </c>
      <c r="L227" s="6">
        <f t="shared" si="62"/>
        <v>46211</v>
      </c>
      <c r="M227" s="6"/>
      <c r="N227" s="6">
        <f>CHOOSE(D_F01!$B$19,K227,J227,L227,IF(ISNUMBER(M227),M227,K227+7),K227)</f>
        <v>46205</v>
      </c>
      <c r="O227" s="5" t="str">
        <f t="shared" si="63"/>
        <v>conditional_or_residual_assumption</v>
      </c>
      <c r="P227" s="5" t="s">
        <v>1129</v>
      </c>
      <c r="Q227" s="5">
        <v>0</v>
      </c>
      <c r="R227" s="6">
        <v>46193</v>
      </c>
      <c r="S227" s="5" t="str">
        <f t="shared" si="64"/>
        <v>in_horizon</v>
      </c>
      <c r="T227" s="5">
        <f>IF(I227&gt;=D_F01!$B$27,IF(H227="customer",SUMIFS(D_sales!$X$5:$X$115,D_sales!$C$5:$C$115,C227,D_sales!$W$5:$W$115,1,D_sales!$U$5:$U$115,"&gt;="&amp;G227),SUMIFS(D_sales!$X$5:$X$115,D_sales!$W$5:$W$115,1,D_sales!$U$5:$U$115,"&gt;="&amp;G227))/IF(H227="customer",SUMIFS(D_sales!$V$5:$V$115,D_sales!$C$5:$C$115,C227,D_sales!$W$5:$W$115,1,D_sales!$U$5:$U$115,"&gt;="&amp;G227),SUMIFS(D_sales!$V$5:$V$115,D_sales!$W$5:$W$115,1,D_sales!$U$5:$U$115,"&gt;="&amp;G227)),0)</f>
        <v>30.577080487242469</v>
      </c>
      <c r="U227" s="5">
        <f>IF(I227&gt;=D_F01!$B$27,IF(H227="customer",PERCENTILE(_xlfn._xlws.FILTER(D_sales!$U$5:$U$115,(D_sales!$W$5:$W$115=1)*(D_sales!$U$5:$U$115&gt;=G227)*(D_sales!$C$5:$C$115=C227)),0.25),PERCENTILE(_xlfn._xlws.FILTER(D_sales!$U$5:$U$115,(D_sales!$W$5:$W$115=1)*(D_sales!$U$5:$U$115&gt;=G227)),0.25)),0)</f>
        <v>21.75</v>
      </c>
      <c r="V227" s="5">
        <f>IF(I227&gt;=D_F01!$B$27,IF(H227="customer",PERCENTILE(_xlfn._xlws.FILTER(D_sales!$U$5:$U$115,(D_sales!$W$5:$W$115=1)*(D_sales!$U$5:$U$115&gt;=G227)*(D_sales!$C$5:$C$115=C227)),0.75),PERCENTILE(_xlfn._xlws.FILTER(D_sales!$U$5:$U$115,(D_sales!$W$5:$W$115=1)*(D_sales!$U$5:$U$115&gt;=G227)),0.75)),0)</f>
        <v>36.5</v>
      </c>
      <c r="W227" s="5">
        <f>IF(G227&gt;0,IF(I227&gt;=D_F01!$B$27,MIN(T227,U227),G227+3),H52)</f>
        <v>21.75</v>
      </c>
      <c r="X227" s="5">
        <f>IF(G227&gt;0,IF(I227&gt;=D_F01!$B$27,T227,G227+10),E52)</f>
        <v>30.577080487242469</v>
      </c>
      <c r="Y227" s="5">
        <f>IF(G227&gt;0,IF(I227&gt;=D_F01!$B$27,MAX(T227,V227),G227+21),I52)</f>
        <v>36.5</v>
      </c>
    </row>
    <row r="228" spans="1:25" ht="25.95" customHeight="1">
      <c r="A228" s="3" t="s">
        <v>1144</v>
      </c>
      <c r="B228" s="3" t="s">
        <v>1145</v>
      </c>
      <c r="C228" s="3" t="s">
        <v>952</v>
      </c>
      <c r="D228" s="3" t="s">
        <v>1128</v>
      </c>
      <c r="E228" s="8">
        <f>D_sales!N87</f>
        <v>169068797</v>
      </c>
      <c r="F228" s="7">
        <f>D_sales!H87</f>
        <v>46191</v>
      </c>
      <c r="G228" s="3">
        <f>D_sales!O87</f>
        <v>2</v>
      </c>
      <c r="H228" s="3" t="str">
        <f>C46</f>
        <v>customer</v>
      </c>
      <c r="I228" s="3">
        <f>IF(H228="default",0,IF(H228="customer",COUNTIFS(D_sales!$C$5:$C$115,C228,D_sales!$W$5:$W$115,1,D_sales!$U$5:$U$115,"&gt;="&amp;G228),COUNTIFS(D_sales!$W$5:$W$115,1,D_sales!$U$5:$U$115,"&gt;="&amp;G228)))</f>
        <v>19</v>
      </c>
      <c r="J228" s="7">
        <f t="shared" si="60"/>
        <v>46203</v>
      </c>
      <c r="K228" s="7">
        <f t="shared" si="61"/>
        <v>46209</v>
      </c>
      <c r="L228" s="7">
        <f t="shared" si="62"/>
        <v>46214</v>
      </c>
      <c r="M228" s="7"/>
      <c r="N228" s="7">
        <f>CHOOSE(D_F01!$B$19,K228,J228,L228,IF(ISNUMBER(M228),M228,K228+7),K228)</f>
        <v>46209</v>
      </c>
      <c r="O228" s="3" t="str">
        <f t="shared" si="63"/>
        <v>conditional_or_residual_assumption</v>
      </c>
      <c r="P228" s="3" t="s">
        <v>1129</v>
      </c>
      <c r="Q228" s="3">
        <v>0</v>
      </c>
      <c r="R228" s="7">
        <v>46193</v>
      </c>
      <c r="S228" s="3" t="str">
        <f t="shared" si="64"/>
        <v>in_horizon</v>
      </c>
      <c r="T228" s="3">
        <f>IF(I228&gt;=D_F01!$B$27,IF(H228="customer",SUMIFS(D_sales!$X$5:$X$115,D_sales!$C$5:$C$115,C228,D_sales!$W$5:$W$115,1,D_sales!$U$5:$U$115,"&gt;="&amp;G228),SUMIFS(D_sales!$X$5:$X$115,D_sales!$W$5:$W$115,1,D_sales!$U$5:$U$115,"&gt;="&amp;G228))/IF(H228="customer",SUMIFS(D_sales!$V$5:$V$115,D_sales!$C$5:$C$115,C228,D_sales!$W$5:$W$115,1,D_sales!$U$5:$U$115,"&gt;="&amp;G228),SUMIFS(D_sales!$V$5:$V$115,D_sales!$W$5:$W$115,1,D_sales!$U$5:$U$115,"&gt;="&amp;G228)),0)</f>
        <v>17.652057646717719</v>
      </c>
      <c r="U228" s="3">
        <f>IF(I228&gt;=D_F01!$B$27,IF(H228="customer",PERCENTILE(_xlfn._xlws.FILTER(D_sales!$U$5:$U$115,(D_sales!$W$5:$W$115=1)*(D_sales!$U$5:$U$115&gt;=G228)*(D_sales!$C$5:$C$115=C228)),0.25),PERCENTILE(_xlfn._xlws.FILTER(D_sales!$U$5:$U$115,(D_sales!$W$5:$W$115=1)*(D_sales!$U$5:$U$115&gt;=G228)),0.25)),0)</f>
        <v>12</v>
      </c>
      <c r="V228" s="3">
        <f>IF(I228&gt;=D_F01!$B$27,IF(H228="customer",PERCENTILE(_xlfn._xlws.FILTER(D_sales!$U$5:$U$115,(D_sales!$W$5:$W$115=1)*(D_sales!$U$5:$U$115&gt;=G228)*(D_sales!$C$5:$C$115=C228)),0.75),PERCENTILE(_xlfn._xlws.FILTER(D_sales!$U$5:$U$115,(D_sales!$W$5:$W$115=1)*(D_sales!$U$5:$U$115&gt;=G228)),0.75)),0)</f>
        <v>22.5</v>
      </c>
      <c r="W228" s="3">
        <f>IF(G228&gt;0,IF(I228&gt;=D_F01!$B$27,MIN(T228,U228),G228+3),H46)</f>
        <v>12</v>
      </c>
      <c r="X228" s="3">
        <f>IF(G228&gt;0,IF(I228&gt;=D_F01!$B$27,T228,G228+10),E46)</f>
        <v>17.652057646717719</v>
      </c>
      <c r="Y228" s="3">
        <f>IF(G228&gt;0,IF(I228&gt;=D_F01!$B$27,MAX(T228,V228),G228+21),I46)</f>
        <v>22.5</v>
      </c>
    </row>
    <row r="229" spans="1:25" ht="25.95" customHeight="1">
      <c r="A229" s="5" t="s">
        <v>1146</v>
      </c>
      <c r="B229" s="5" t="s">
        <v>1147</v>
      </c>
      <c r="C229" s="5" t="s">
        <v>952</v>
      </c>
      <c r="D229" s="5" t="s">
        <v>1128</v>
      </c>
      <c r="E229" s="9">
        <f>D_sales!N89</f>
        <v>284573826</v>
      </c>
      <c r="F229" s="6">
        <f>D_sales!H89</f>
        <v>46194</v>
      </c>
      <c r="G229" s="5">
        <f>D_sales!O89</f>
        <v>0</v>
      </c>
      <c r="H229" s="5" t="str">
        <f>C46</f>
        <v>customer</v>
      </c>
      <c r="I229" s="5">
        <f>IF(H229="default",0,IF(H229="customer",COUNTIFS(D_sales!$C$5:$C$115,C229,D_sales!$W$5:$W$115,1,D_sales!$U$5:$U$115,"&gt;="&amp;G229),COUNTIFS(D_sales!$W$5:$W$115,1,D_sales!$U$5:$U$115,"&gt;="&amp;G229)))</f>
        <v>19</v>
      </c>
      <c r="J229" s="6">
        <f t="shared" si="60"/>
        <v>46206</v>
      </c>
      <c r="K229" s="6">
        <f t="shared" si="61"/>
        <v>46212</v>
      </c>
      <c r="L229" s="6">
        <f t="shared" si="62"/>
        <v>46217</v>
      </c>
      <c r="M229" s="6"/>
      <c r="N229" s="6">
        <f>CHOOSE(D_F01!$B$19,K229,J229,L229,IF(ISNUMBER(M229),M229,K229+7),K229)</f>
        <v>46212</v>
      </c>
      <c r="O229" s="5" t="str">
        <f t="shared" si="63"/>
        <v>history_or_fallback</v>
      </c>
      <c r="P229" s="5" t="s">
        <v>1129</v>
      </c>
      <c r="Q229" s="5">
        <v>0</v>
      </c>
      <c r="R229" s="6">
        <v>46193</v>
      </c>
      <c r="S229" s="5" t="str">
        <f t="shared" si="64"/>
        <v>in_horizon</v>
      </c>
      <c r="T229" s="5">
        <f>IF(I229&gt;=D_F01!$B$27,IF(H229="customer",SUMIFS(D_sales!$X$5:$X$115,D_sales!$C$5:$C$115,C229,D_sales!$W$5:$W$115,1,D_sales!$U$5:$U$115,"&gt;="&amp;G229),SUMIFS(D_sales!$X$5:$X$115,D_sales!$W$5:$W$115,1,D_sales!$U$5:$U$115,"&gt;="&amp;G229))/IF(H229="customer",SUMIFS(D_sales!$V$5:$V$115,D_sales!$C$5:$C$115,C229,D_sales!$W$5:$W$115,1,D_sales!$U$5:$U$115,"&gt;="&amp;G229),SUMIFS(D_sales!$V$5:$V$115,D_sales!$W$5:$W$115,1,D_sales!$U$5:$U$115,"&gt;="&amp;G229)),0)</f>
        <v>17.652057646717719</v>
      </c>
      <c r="U229" s="5">
        <f>IF(I229&gt;=D_F01!$B$27,IF(H229="customer",PERCENTILE(_xlfn._xlws.FILTER(D_sales!$U$5:$U$115,(D_sales!$W$5:$W$115=1)*(D_sales!$U$5:$U$115&gt;=G229)*(D_sales!$C$5:$C$115=C229)),0.25),PERCENTILE(_xlfn._xlws.FILTER(D_sales!$U$5:$U$115,(D_sales!$W$5:$W$115=1)*(D_sales!$U$5:$U$115&gt;=G229)),0.25)),0)</f>
        <v>12</v>
      </c>
      <c r="V229" s="5">
        <f>IF(I229&gt;=D_F01!$B$27,IF(H229="customer",PERCENTILE(_xlfn._xlws.FILTER(D_sales!$U$5:$U$115,(D_sales!$W$5:$W$115=1)*(D_sales!$U$5:$U$115&gt;=G229)*(D_sales!$C$5:$C$115=C229)),0.75),PERCENTILE(_xlfn._xlws.FILTER(D_sales!$U$5:$U$115,(D_sales!$W$5:$W$115=1)*(D_sales!$U$5:$U$115&gt;=G229)),0.75)),0)</f>
        <v>22.5</v>
      </c>
      <c r="W229" s="5">
        <f>IF(G229&gt;0,IF(I229&gt;=D_F01!$B$27,MIN(T229,U229),G229+3),H46)</f>
        <v>12</v>
      </c>
      <c r="X229" s="5">
        <f>IF(G229&gt;0,IF(I229&gt;=D_F01!$B$27,T229,G229+10),E46)</f>
        <v>17.652057646717719</v>
      </c>
      <c r="Y229" s="5">
        <f>IF(G229&gt;0,IF(I229&gt;=D_F01!$B$27,MAX(T229,V229),G229+21),I46)</f>
        <v>22.5</v>
      </c>
    </row>
    <row r="230" spans="1:25" ht="25.95" customHeight="1">
      <c r="A230" s="3" t="s">
        <v>1148</v>
      </c>
      <c r="B230" s="3" t="s">
        <v>1149</v>
      </c>
      <c r="C230" s="3" t="s">
        <v>952</v>
      </c>
      <c r="D230" s="3" t="s">
        <v>1128</v>
      </c>
      <c r="E230" s="8">
        <f>D_sales!N90</f>
        <v>135683350</v>
      </c>
      <c r="F230" s="7">
        <f>D_sales!H90</f>
        <v>46195</v>
      </c>
      <c r="G230" s="3">
        <f>D_sales!O90</f>
        <v>0</v>
      </c>
      <c r="H230" s="3" t="str">
        <f>C46</f>
        <v>customer</v>
      </c>
      <c r="I230" s="3">
        <f>IF(H230="default",0,IF(H230="customer",COUNTIFS(D_sales!$C$5:$C$115,C230,D_sales!$W$5:$W$115,1,D_sales!$U$5:$U$115,"&gt;="&amp;G230),COUNTIFS(D_sales!$W$5:$W$115,1,D_sales!$U$5:$U$115,"&gt;="&amp;G230)))</f>
        <v>19</v>
      </c>
      <c r="J230" s="7">
        <f t="shared" si="60"/>
        <v>46207</v>
      </c>
      <c r="K230" s="7">
        <f t="shared" si="61"/>
        <v>46213</v>
      </c>
      <c r="L230" s="7">
        <f t="shared" si="62"/>
        <v>46218</v>
      </c>
      <c r="M230" s="7"/>
      <c r="N230" s="7">
        <f>CHOOSE(D_F01!$B$19,K230,J230,L230,IF(ISNUMBER(M230),M230,K230+7),K230)</f>
        <v>46213</v>
      </c>
      <c r="O230" s="3" t="str">
        <f t="shared" si="63"/>
        <v>history_or_fallback</v>
      </c>
      <c r="P230" s="3" t="s">
        <v>1129</v>
      </c>
      <c r="Q230" s="3">
        <v>0</v>
      </c>
      <c r="R230" s="7">
        <v>46193</v>
      </c>
      <c r="S230" s="3" t="str">
        <f t="shared" si="64"/>
        <v>in_horizon</v>
      </c>
      <c r="T230" s="3">
        <f>IF(I230&gt;=D_F01!$B$27,IF(H230="customer",SUMIFS(D_sales!$X$5:$X$115,D_sales!$C$5:$C$115,C230,D_sales!$W$5:$W$115,1,D_sales!$U$5:$U$115,"&gt;="&amp;G230),SUMIFS(D_sales!$X$5:$X$115,D_sales!$W$5:$W$115,1,D_sales!$U$5:$U$115,"&gt;="&amp;G230))/IF(H230="customer",SUMIFS(D_sales!$V$5:$V$115,D_sales!$C$5:$C$115,C230,D_sales!$W$5:$W$115,1,D_sales!$U$5:$U$115,"&gt;="&amp;G230),SUMIFS(D_sales!$V$5:$V$115,D_sales!$W$5:$W$115,1,D_sales!$U$5:$U$115,"&gt;="&amp;G230)),0)</f>
        <v>17.652057646717719</v>
      </c>
      <c r="U230" s="3">
        <f>IF(I230&gt;=D_F01!$B$27,IF(H230="customer",PERCENTILE(_xlfn._xlws.FILTER(D_sales!$U$5:$U$115,(D_sales!$W$5:$W$115=1)*(D_sales!$U$5:$U$115&gt;=G230)*(D_sales!$C$5:$C$115=C230)),0.25),PERCENTILE(_xlfn._xlws.FILTER(D_sales!$U$5:$U$115,(D_sales!$W$5:$W$115=1)*(D_sales!$U$5:$U$115&gt;=G230)),0.25)),0)</f>
        <v>12</v>
      </c>
      <c r="V230" s="3">
        <f>IF(I230&gt;=D_F01!$B$27,IF(H230="customer",PERCENTILE(_xlfn._xlws.FILTER(D_sales!$U$5:$U$115,(D_sales!$W$5:$W$115=1)*(D_sales!$U$5:$U$115&gt;=G230)*(D_sales!$C$5:$C$115=C230)),0.75),PERCENTILE(_xlfn._xlws.FILTER(D_sales!$U$5:$U$115,(D_sales!$W$5:$W$115=1)*(D_sales!$U$5:$U$115&gt;=G230)),0.75)),0)</f>
        <v>22.5</v>
      </c>
      <c r="W230" s="3">
        <f>IF(G230&gt;0,IF(I230&gt;=D_F01!$B$27,MIN(T230,U230),G230+3),H46)</f>
        <v>12</v>
      </c>
      <c r="X230" s="3">
        <f>IF(G230&gt;0,IF(I230&gt;=D_F01!$B$27,T230,G230+10),E46)</f>
        <v>17.652057646717719</v>
      </c>
      <c r="Y230" s="3">
        <f>IF(G230&gt;0,IF(I230&gt;=D_F01!$B$27,MAX(T230,V230),G230+21),I46)</f>
        <v>22.5</v>
      </c>
    </row>
    <row r="231" spans="1:25" ht="25.95" customHeight="1">
      <c r="A231" s="5" t="s">
        <v>1150</v>
      </c>
      <c r="B231" s="5" t="s">
        <v>1151</v>
      </c>
      <c r="C231" s="5" t="s">
        <v>958</v>
      </c>
      <c r="D231" s="5" t="s">
        <v>1128</v>
      </c>
      <c r="E231" s="9">
        <f>D_sales!N92</f>
        <v>179404035</v>
      </c>
      <c r="F231" s="6">
        <f>D_sales!H92</f>
        <v>46195</v>
      </c>
      <c r="G231" s="5">
        <f>D_sales!O92</f>
        <v>0</v>
      </c>
      <c r="H231" s="5" t="str">
        <f>C49</f>
        <v>customer</v>
      </c>
      <c r="I231" s="5">
        <f>IF(H231="default",0,IF(H231="customer",COUNTIFS(D_sales!$C$5:$C$115,C231,D_sales!$W$5:$W$115,1,D_sales!$U$5:$U$115,"&gt;="&amp;G231),COUNTIFS(D_sales!$W$5:$W$115,1,D_sales!$U$5:$U$115,"&gt;="&amp;G231)))</f>
        <v>6</v>
      </c>
      <c r="J231" s="6">
        <f t="shared" si="60"/>
        <v>46195</v>
      </c>
      <c r="K231" s="6">
        <f t="shared" si="61"/>
        <v>46197</v>
      </c>
      <c r="L231" s="6">
        <f t="shared" si="62"/>
        <v>46197</v>
      </c>
      <c r="M231" s="6"/>
      <c r="N231" s="6">
        <f>CHOOSE(D_F01!$B$19,K231,J231,L231,IF(ISNUMBER(M231),M231,K231+7),K231)</f>
        <v>46197</v>
      </c>
      <c r="O231" s="5" t="str">
        <f t="shared" si="63"/>
        <v>history_or_fallback</v>
      </c>
      <c r="P231" s="5" t="s">
        <v>1129</v>
      </c>
      <c r="Q231" s="5">
        <v>0</v>
      </c>
      <c r="R231" s="6">
        <v>46193</v>
      </c>
      <c r="S231" s="5" t="str">
        <f t="shared" si="64"/>
        <v>in_horizon</v>
      </c>
      <c r="T231" s="5">
        <f>IF(I231&gt;=D_F01!$B$27,IF(H231="customer",SUMIFS(D_sales!$X$5:$X$115,D_sales!$C$5:$C$115,C231,D_sales!$W$5:$W$115,1,D_sales!$U$5:$U$115,"&gt;="&amp;G231),SUMIFS(D_sales!$X$5:$X$115,D_sales!$W$5:$W$115,1,D_sales!$U$5:$U$115,"&gt;="&amp;G231))/IF(H231="customer",SUMIFS(D_sales!$V$5:$V$115,D_sales!$C$5:$C$115,C231,D_sales!$W$5:$W$115,1,D_sales!$U$5:$U$115,"&gt;="&amp;G231),SUMIFS(D_sales!$V$5:$V$115,D_sales!$W$5:$W$115,1,D_sales!$U$5:$U$115,"&gt;="&amp;G231)),0)</f>
        <v>1.4013312392578479</v>
      </c>
      <c r="U231" s="5">
        <f>IF(I231&gt;=D_F01!$B$27,IF(H231="customer",PERCENTILE(_xlfn._xlws.FILTER(D_sales!$U$5:$U$115,(D_sales!$W$5:$W$115=1)*(D_sales!$U$5:$U$115&gt;=G231)*(D_sales!$C$5:$C$115=C231)),0.25),PERCENTILE(_xlfn._xlws.FILTER(D_sales!$U$5:$U$115,(D_sales!$W$5:$W$115=1)*(D_sales!$U$5:$U$115&gt;=G231)),0.25)),0)</f>
        <v>0</v>
      </c>
      <c r="V231" s="5">
        <f>IF(I231&gt;=D_F01!$B$27,IF(H231="customer",PERCENTILE(_xlfn._xlws.FILTER(D_sales!$U$5:$U$115,(D_sales!$W$5:$W$115=1)*(D_sales!$U$5:$U$115&gt;=G231)*(D_sales!$C$5:$C$115=C231)),0.75),PERCENTILE(_xlfn._xlws.FILTER(D_sales!$U$5:$U$115,(D_sales!$W$5:$W$115=1)*(D_sales!$U$5:$U$115&gt;=G231)),0.75)),0)</f>
        <v>2</v>
      </c>
      <c r="W231" s="5">
        <f>IF(G231&gt;0,IF(I231&gt;=D_F01!$B$27,MIN(T231,U231),G231+3),H49)</f>
        <v>0</v>
      </c>
      <c r="X231" s="5">
        <f>IF(G231&gt;0,IF(I231&gt;=D_F01!$B$27,T231,G231+10),E49)</f>
        <v>1.4013312392578479</v>
      </c>
      <c r="Y231" s="5">
        <f>IF(G231&gt;0,IF(I231&gt;=D_F01!$B$27,MAX(T231,V231),G231+21),I49)</f>
        <v>2</v>
      </c>
    </row>
    <row r="232" spans="1:25" ht="25.95" customHeight="1">
      <c r="A232" s="3" t="s">
        <v>1152</v>
      </c>
      <c r="B232" s="3" t="s">
        <v>1153</v>
      </c>
      <c r="C232" s="3" t="s">
        <v>952</v>
      </c>
      <c r="D232" s="3" t="s">
        <v>1128</v>
      </c>
      <c r="E232" s="8">
        <f>D_sales!N93</f>
        <v>193658718</v>
      </c>
      <c r="F232" s="7">
        <f>D_sales!H93</f>
        <v>46198</v>
      </c>
      <c r="G232" s="3">
        <f>D_sales!O93</f>
        <v>0</v>
      </c>
      <c r="H232" s="3" t="str">
        <f>C46</f>
        <v>customer</v>
      </c>
      <c r="I232" s="3">
        <f>IF(H232="default",0,IF(H232="customer",COUNTIFS(D_sales!$C$5:$C$115,C232,D_sales!$W$5:$W$115,1,D_sales!$U$5:$U$115,"&gt;="&amp;G232),COUNTIFS(D_sales!$W$5:$W$115,1,D_sales!$U$5:$U$115,"&gt;="&amp;G232)))</f>
        <v>19</v>
      </c>
      <c r="J232" s="7">
        <f t="shared" si="60"/>
        <v>46210</v>
      </c>
      <c r="K232" s="7">
        <f t="shared" si="61"/>
        <v>46216</v>
      </c>
      <c r="L232" s="7">
        <f t="shared" si="62"/>
        <v>46221</v>
      </c>
      <c r="M232" s="7"/>
      <c r="N232" s="7">
        <f>CHOOSE(D_F01!$B$19,K232,J232,L232,IF(ISNUMBER(M232),M232,K232+7),K232)</f>
        <v>46216</v>
      </c>
      <c r="O232" s="3" t="str">
        <f t="shared" si="63"/>
        <v>history_or_fallback</v>
      </c>
      <c r="P232" s="3" t="s">
        <v>1129</v>
      </c>
      <c r="Q232" s="3">
        <v>0</v>
      </c>
      <c r="R232" s="7">
        <v>46193</v>
      </c>
      <c r="S232" s="3" t="str">
        <f t="shared" si="64"/>
        <v>in_horizon</v>
      </c>
      <c r="T232" s="3">
        <f>IF(I232&gt;=D_F01!$B$27,IF(H232="customer",SUMIFS(D_sales!$X$5:$X$115,D_sales!$C$5:$C$115,C232,D_sales!$W$5:$W$115,1,D_sales!$U$5:$U$115,"&gt;="&amp;G232),SUMIFS(D_sales!$X$5:$X$115,D_sales!$W$5:$W$115,1,D_sales!$U$5:$U$115,"&gt;="&amp;G232))/IF(H232="customer",SUMIFS(D_sales!$V$5:$V$115,D_sales!$C$5:$C$115,C232,D_sales!$W$5:$W$115,1,D_sales!$U$5:$U$115,"&gt;="&amp;G232),SUMIFS(D_sales!$V$5:$V$115,D_sales!$W$5:$W$115,1,D_sales!$U$5:$U$115,"&gt;="&amp;G232)),0)</f>
        <v>17.652057646717719</v>
      </c>
      <c r="U232" s="3">
        <f>IF(I232&gt;=D_F01!$B$27,IF(H232="customer",PERCENTILE(_xlfn._xlws.FILTER(D_sales!$U$5:$U$115,(D_sales!$W$5:$W$115=1)*(D_sales!$U$5:$U$115&gt;=G232)*(D_sales!$C$5:$C$115=C232)),0.25),PERCENTILE(_xlfn._xlws.FILTER(D_sales!$U$5:$U$115,(D_sales!$W$5:$W$115=1)*(D_sales!$U$5:$U$115&gt;=G232)),0.25)),0)</f>
        <v>12</v>
      </c>
      <c r="V232" s="3">
        <f>IF(I232&gt;=D_F01!$B$27,IF(H232="customer",PERCENTILE(_xlfn._xlws.FILTER(D_sales!$U$5:$U$115,(D_sales!$W$5:$W$115=1)*(D_sales!$U$5:$U$115&gt;=G232)*(D_sales!$C$5:$C$115=C232)),0.75),PERCENTILE(_xlfn._xlws.FILTER(D_sales!$U$5:$U$115,(D_sales!$W$5:$W$115=1)*(D_sales!$U$5:$U$115&gt;=G232)),0.75)),0)</f>
        <v>22.5</v>
      </c>
      <c r="W232" s="3">
        <f>IF(G232&gt;0,IF(I232&gt;=D_F01!$B$27,MIN(T232,U232),G232+3),H46)</f>
        <v>12</v>
      </c>
      <c r="X232" s="3">
        <f>IF(G232&gt;0,IF(I232&gt;=D_F01!$B$27,T232,G232+10),E46)</f>
        <v>17.652057646717719</v>
      </c>
      <c r="Y232" s="3">
        <f>IF(G232&gt;0,IF(I232&gt;=D_F01!$B$27,MAX(T232,V232),G232+21),I46)</f>
        <v>22.5</v>
      </c>
    </row>
    <row r="233" spans="1:25" ht="25.95" customHeight="1">
      <c r="A233" s="5" t="s">
        <v>1154</v>
      </c>
      <c r="B233" s="5" t="s">
        <v>1155</v>
      </c>
      <c r="C233" s="5" t="s">
        <v>952</v>
      </c>
      <c r="D233" s="5" t="s">
        <v>1128</v>
      </c>
      <c r="E233" s="9">
        <f>D_sales!N94</f>
        <v>174530918</v>
      </c>
      <c r="F233" s="6">
        <f>D_sales!H94</f>
        <v>46200</v>
      </c>
      <c r="G233" s="5">
        <f>D_sales!O94</f>
        <v>0</v>
      </c>
      <c r="H233" s="5" t="str">
        <f>C46</f>
        <v>customer</v>
      </c>
      <c r="I233" s="5">
        <f>IF(H233="default",0,IF(H233="customer",COUNTIFS(D_sales!$C$5:$C$115,C233,D_sales!$W$5:$W$115,1,D_sales!$U$5:$U$115,"&gt;="&amp;G233),COUNTIFS(D_sales!$W$5:$W$115,1,D_sales!$U$5:$U$115,"&gt;="&amp;G233)))</f>
        <v>19</v>
      </c>
      <c r="J233" s="6">
        <f t="shared" si="60"/>
        <v>46212</v>
      </c>
      <c r="K233" s="6">
        <f t="shared" si="61"/>
        <v>46218</v>
      </c>
      <c r="L233" s="6">
        <f t="shared" si="62"/>
        <v>46223</v>
      </c>
      <c r="M233" s="6"/>
      <c r="N233" s="6">
        <f>CHOOSE(D_F01!$B$19,K233,J233,L233,IF(ISNUMBER(M233),M233,K233+7),K233)</f>
        <v>46218</v>
      </c>
      <c r="O233" s="5" t="str">
        <f t="shared" si="63"/>
        <v>history_or_fallback</v>
      </c>
      <c r="P233" s="5" t="s">
        <v>1129</v>
      </c>
      <c r="Q233" s="5">
        <v>0</v>
      </c>
      <c r="R233" s="6">
        <v>46193</v>
      </c>
      <c r="S233" s="5" t="str">
        <f t="shared" si="64"/>
        <v>in_horizon</v>
      </c>
      <c r="T233" s="5">
        <f>IF(I233&gt;=D_F01!$B$27,IF(H233="customer",SUMIFS(D_sales!$X$5:$X$115,D_sales!$C$5:$C$115,C233,D_sales!$W$5:$W$115,1,D_sales!$U$5:$U$115,"&gt;="&amp;G233),SUMIFS(D_sales!$X$5:$X$115,D_sales!$W$5:$W$115,1,D_sales!$U$5:$U$115,"&gt;="&amp;G233))/IF(H233="customer",SUMIFS(D_sales!$V$5:$V$115,D_sales!$C$5:$C$115,C233,D_sales!$W$5:$W$115,1,D_sales!$U$5:$U$115,"&gt;="&amp;G233),SUMIFS(D_sales!$V$5:$V$115,D_sales!$W$5:$W$115,1,D_sales!$U$5:$U$115,"&gt;="&amp;G233)),0)</f>
        <v>17.652057646717719</v>
      </c>
      <c r="U233" s="5">
        <f>IF(I233&gt;=D_F01!$B$27,IF(H233="customer",PERCENTILE(_xlfn._xlws.FILTER(D_sales!$U$5:$U$115,(D_sales!$W$5:$W$115=1)*(D_sales!$U$5:$U$115&gt;=G233)*(D_sales!$C$5:$C$115=C233)),0.25),PERCENTILE(_xlfn._xlws.FILTER(D_sales!$U$5:$U$115,(D_sales!$W$5:$W$115=1)*(D_sales!$U$5:$U$115&gt;=G233)),0.25)),0)</f>
        <v>12</v>
      </c>
      <c r="V233" s="5">
        <f>IF(I233&gt;=D_F01!$B$27,IF(H233="customer",PERCENTILE(_xlfn._xlws.FILTER(D_sales!$U$5:$U$115,(D_sales!$W$5:$W$115=1)*(D_sales!$U$5:$U$115&gt;=G233)*(D_sales!$C$5:$C$115=C233)),0.75),PERCENTILE(_xlfn._xlws.FILTER(D_sales!$U$5:$U$115,(D_sales!$W$5:$W$115=1)*(D_sales!$U$5:$U$115&gt;=G233)),0.75)),0)</f>
        <v>22.5</v>
      </c>
      <c r="W233" s="5">
        <f>IF(G233&gt;0,IF(I233&gt;=D_F01!$B$27,MIN(T233,U233),G233+3),H46)</f>
        <v>12</v>
      </c>
      <c r="X233" s="5">
        <f>IF(G233&gt;0,IF(I233&gt;=D_F01!$B$27,T233,G233+10),E46)</f>
        <v>17.652057646717719</v>
      </c>
      <c r="Y233" s="5">
        <f>IF(G233&gt;0,IF(I233&gt;=D_F01!$B$27,MAX(T233,V233),G233+21),I46)</f>
        <v>22.5</v>
      </c>
    </row>
    <row r="234" spans="1:25" ht="25.95" customHeight="1">
      <c r="A234" s="3" t="s">
        <v>1156</v>
      </c>
      <c r="B234" s="3" t="s">
        <v>1157</v>
      </c>
      <c r="C234" s="3" t="s">
        <v>952</v>
      </c>
      <c r="D234" s="3" t="s">
        <v>1128</v>
      </c>
      <c r="E234" s="8">
        <f>D_sales!N96</f>
        <v>261722257</v>
      </c>
      <c r="F234" s="7">
        <f>D_sales!H96</f>
        <v>46204</v>
      </c>
      <c r="G234" s="3">
        <f>D_sales!O96</f>
        <v>0</v>
      </c>
      <c r="H234" s="3" t="str">
        <f>C46</f>
        <v>customer</v>
      </c>
      <c r="I234" s="3">
        <f>IF(H234="default",0,IF(H234="customer",COUNTIFS(D_sales!$C$5:$C$115,C234,D_sales!$W$5:$W$115,1,D_sales!$U$5:$U$115,"&gt;="&amp;G234),COUNTIFS(D_sales!$W$5:$W$115,1,D_sales!$U$5:$U$115,"&gt;="&amp;G234)))</f>
        <v>19</v>
      </c>
      <c r="J234" s="7">
        <f t="shared" si="60"/>
        <v>46216</v>
      </c>
      <c r="K234" s="7">
        <f t="shared" si="61"/>
        <v>46222</v>
      </c>
      <c r="L234" s="7">
        <f t="shared" si="62"/>
        <v>46227</v>
      </c>
      <c r="M234" s="7"/>
      <c r="N234" s="7">
        <f>CHOOSE(D_F01!$B$19,K234,J234,L234,IF(ISNUMBER(M234),M234,K234+7),K234)</f>
        <v>46222</v>
      </c>
      <c r="O234" s="3" t="str">
        <f t="shared" si="63"/>
        <v>history_or_fallback</v>
      </c>
      <c r="P234" s="3" t="s">
        <v>1129</v>
      </c>
      <c r="Q234" s="3">
        <v>0</v>
      </c>
      <c r="R234" s="7">
        <v>46193</v>
      </c>
      <c r="S234" s="3" t="str">
        <f t="shared" si="64"/>
        <v>in_horizon</v>
      </c>
      <c r="T234" s="3">
        <f>IF(I234&gt;=D_F01!$B$27,IF(H234="customer",SUMIFS(D_sales!$X$5:$X$115,D_sales!$C$5:$C$115,C234,D_sales!$W$5:$W$115,1,D_sales!$U$5:$U$115,"&gt;="&amp;G234),SUMIFS(D_sales!$X$5:$X$115,D_sales!$W$5:$W$115,1,D_sales!$U$5:$U$115,"&gt;="&amp;G234))/IF(H234="customer",SUMIFS(D_sales!$V$5:$V$115,D_sales!$C$5:$C$115,C234,D_sales!$W$5:$W$115,1,D_sales!$U$5:$U$115,"&gt;="&amp;G234),SUMIFS(D_sales!$V$5:$V$115,D_sales!$W$5:$W$115,1,D_sales!$U$5:$U$115,"&gt;="&amp;G234)),0)</f>
        <v>17.652057646717719</v>
      </c>
      <c r="U234" s="3">
        <f>IF(I234&gt;=D_F01!$B$27,IF(H234="customer",PERCENTILE(_xlfn._xlws.FILTER(D_sales!$U$5:$U$115,(D_sales!$W$5:$W$115=1)*(D_sales!$U$5:$U$115&gt;=G234)*(D_sales!$C$5:$C$115=C234)),0.25),PERCENTILE(_xlfn._xlws.FILTER(D_sales!$U$5:$U$115,(D_sales!$W$5:$W$115=1)*(D_sales!$U$5:$U$115&gt;=G234)),0.25)),0)</f>
        <v>12</v>
      </c>
      <c r="V234" s="3">
        <f>IF(I234&gt;=D_F01!$B$27,IF(H234="customer",PERCENTILE(_xlfn._xlws.FILTER(D_sales!$U$5:$U$115,(D_sales!$W$5:$W$115=1)*(D_sales!$U$5:$U$115&gt;=G234)*(D_sales!$C$5:$C$115=C234)),0.75),PERCENTILE(_xlfn._xlws.FILTER(D_sales!$U$5:$U$115,(D_sales!$W$5:$W$115=1)*(D_sales!$U$5:$U$115&gt;=G234)),0.75)),0)</f>
        <v>22.5</v>
      </c>
      <c r="W234" s="3">
        <f>IF(G234&gt;0,IF(I234&gt;=D_F01!$B$27,MIN(T234,U234),G234+3),H46)</f>
        <v>12</v>
      </c>
      <c r="X234" s="3">
        <f>IF(G234&gt;0,IF(I234&gt;=D_F01!$B$27,T234,G234+10),E46)</f>
        <v>17.652057646717719</v>
      </c>
      <c r="Y234" s="3">
        <f>IF(G234&gt;0,IF(I234&gt;=D_F01!$B$27,MAX(T234,V234),G234+21),I46)</f>
        <v>22.5</v>
      </c>
    </row>
    <row r="235" spans="1:25" ht="25.95" customHeight="1">
      <c r="A235" s="5" t="s">
        <v>1158</v>
      </c>
      <c r="B235" s="5" t="s">
        <v>1159</v>
      </c>
      <c r="C235" s="5" t="s">
        <v>952</v>
      </c>
      <c r="D235" s="5" t="s">
        <v>1128</v>
      </c>
      <c r="E235" s="9">
        <f>D_sales!N97</f>
        <v>164793578</v>
      </c>
      <c r="F235" s="6">
        <f>D_sales!H97</f>
        <v>46205</v>
      </c>
      <c r="G235" s="5">
        <f>D_sales!O97</f>
        <v>0</v>
      </c>
      <c r="H235" s="5" t="str">
        <f>C46</f>
        <v>customer</v>
      </c>
      <c r="I235" s="5">
        <f>IF(H235="default",0,IF(H235="customer",COUNTIFS(D_sales!$C$5:$C$115,C235,D_sales!$W$5:$W$115,1,D_sales!$U$5:$U$115,"&gt;="&amp;G235),COUNTIFS(D_sales!$W$5:$W$115,1,D_sales!$U$5:$U$115,"&gt;="&amp;G235)))</f>
        <v>19</v>
      </c>
      <c r="J235" s="6">
        <f t="shared" si="60"/>
        <v>46217</v>
      </c>
      <c r="K235" s="6">
        <f t="shared" si="61"/>
        <v>46223</v>
      </c>
      <c r="L235" s="6">
        <f t="shared" si="62"/>
        <v>46228</v>
      </c>
      <c r="M235" s="6"/>
      <c r="N235" s="6">
        <f>CHOOSE(D_F01!$B$19,K235,J235,L235,IF(ISNUMBER(M235),M235,K235+7),K235)</f>
        <v>46223</v>
      </c>
      <c r="O235" s="5" t="str">
        <f t="shared" si="63"/>
        <v>history_or_fallback</v>
      </c>
      <c r="P235" s="5" t="s">
        <v>1129</v>
      </c>
      <c r="Q235" s="5">
        <v>0</v>
      </c>
      <c r="R235" s="6">
        <v>46193</v>
      </c>
      <c r="S235" s="5" t="str">
        <f t="shared" si="64"/>
        <v>in_horizon</v>
      </c>
      <c r="T235" s="5">
        <f>IF(I235&gt;=D_F01!$B$27,IF(H235="customer",SUMIFS(D_sales!$X$5:$X$115,D_sales!$C$5:$C$115,C235,D_sales!$W$5:$W$115,1,D_sales!$U$5:$U$115,"&gt;="&amp;G235),SUMIFS(D_sales!$X$5:$X$115,D_sales!$W$5:$W$115,1,D_sales!$U$5:$U$115,"&gt;="&amp;G235))/IF(H235="customer",SUMIFS(D_sales!$V$5:$V$115,D_sales!$C$5:$C$115,C235,D_sales!$W$5:$W$115,1,D_sales!$U$5:$U$115,"&gt;="&amp;G235),SUMIFS(D_sales!$V$5:$V$115,D_sales!$W$5:$W$115,1,D_sales!$U$5:$U$115,"&gt;="&amp;G235)),0)</f>
        <v>17.652057646717719</v>
      </c>
      <c r="U235" s="5">
        <f>IF(I235&gt;=D_F01!$B$27,IF(H235="customer",PERCENTILE(_xlfn._xlws.FILTER(D_sales!$U$5:$U$115,(D_sales!$W$5:$W$115=1)*(D_sales!$U$5:$U$115&gt;=G235)*(D_sales!$C$5:$C$115=C235)),0.25),PERCENTILE(_xlfn._xlws.FILTER(D_sales!$U$5:$U$115,(D_sales!$W$5:$W$115=1)*(D_sales!$U$5:$U$115&gt;=G235)),0.25)),0)</f>
        <v>12</v>
      </c>
      <c r="V235" s="5">
        <f>IF(I235&gt;=D_F01!$B$27,IF(H235="customer",PERCENTILE(_xlfn._xlws.FILTER(D_sales!$U$5:$U$115,(D_sales!$W$5:$W$115=1)*(D_sales!$U$5:$U$115&gt;=G235)*(D_sales!$C$5:$C$115=C235)),0.75),PERCENTILE(_xlfn._xlws.FILTER(D_sales!$U$5:$U$115,(D_sales!$W$5:$W$115=1)*(D_sales!$U$5:$U$115&gt;=G235)),0.75)),0)</f>
        <v>22.5</v>
      </c>
      <c r="W235" s="5">
        <f>IF(G235&gt;0,IF(I235&gt;=D_F01!$B$27,MIN(T235,U235),G235+3),H46)</f>
        <v>12</v>
      </c>
      <c r="X235" s="5">
        <f>IF(G235&gt;0,IF(I235&gt;=D_F01!$B$27,T235,G235+10),E46)</f>
        <v>17.652057646717719</v>
      </c>
      <c r="Y235" s="5">
        <f>IF(G235&gt;0,IF(I235&gt;=D_F01!$B$27,MAX(T235,V235),G235+21),I46)</f>
        <v>22.5</v>
      </c>
    </row>
    <row r="236" spans="1:25" ht="25.95" customHeight="1">
      <c r="A236" s="3" t="s">
        <v>1160</v>
      </c>
      <c r="B236" s="3" t="s">
        <v>1161</v>
      </c>
      <c r="C236" s="3" t="s">
        <v>952</v>
      </c>
      <c r="D236" s="3" t="s">
        <v>1128</v>
      </c>
      <c r="E236" s="8">
        <f>D_sales!N98</f>
        <v>272864905</v>
      </c>
      <c r="F236" s="7">
        <f>D_sales!H98</f>
        <v>46206</v>
      </c>
      <c r="G236" s="3">
        <f>D_sales!O98</f>
        <v>0</v>
      </c>
      <c r="H236" s="3" t="str">
        <f>C46</f>
        <v>customer</v>
      </c>
      <c r="I236" s="3">
        <f>IF(H236="default",0,IF(H236="customer",COUNTIFS(D_sales!$C$5:$C$115,C236,D_sales!$W$5:$W$115,1,D_sales!$U$5:$U$115,"&gt;="&amp;G236),COUNTIFS(D_sales!$W$5:$W$115,1,D_sales!$U$5:$U$115,"&gt;="&amp;G236)))</f>
        <v>19</v>
      </c>
      <c r="J236" s="7">
        <f t="shared" si="60"/>
        <v>46218</v>
      </c>
      <c r="K236" s="7">
        <f t="shared" si="61"/>
        <v>46224</v>
      </c>
      <c r="L236" s="7">
        <f t="shared" si="62"/>
        <v>46229</v>
      </c>
      <c r="M236" s="7"/>
      <c r="N236" s="7">
        <f>CHOOSE(D_F01!$B$19,K236,J236,L236,IF(ISNUMBER(M236),M236,K236+7),K236)</f>
        <v>46224</v>
      </c>
      <c r="O236" s="3" t="str">
        <f t="shared" si="63"/>
        <v>history_or_fallback</v>
      </c>
      <c r="P236" s="3" t="s">
        <v>1129</v>
      </c>
      <c r="Q236" s="3">
        <v>0</v>
      </c>
      <c r="R236" s="7">
        <v>46193</v>
      </c>
      <c r="S236" s="3" t="str">
        <f t="shared" si="64"/>
        <v>in_horizon</v>
      </c>
      <c r="T236" s="3">
        <f>IF(I236&gt;=D_F01!$B$27,IF(H236="customer",SUMIFS(D_sales!$X$5:$X$115,D_sales!$C$5:$C$115,C236,D_sales!$W$5:$W$115,1,D_sales!$U$5:$U$115,"&gt;="&amp;G236),SUMIFS(D_sales!$X$5:$X$115,D_sales!$W$5:$W$115,1,D_sales!$U$5:$U$115,"&gt;="&amp;G236))/IF(H236="customer",SUMIFS(D_sales!$V$5:$V$115,D_sales!$C$5:$C$115,C236,D_sales!$W$5:$W$115,1,D_sales!$U$5:$U$115,"&gt;="&amp;G236),SUMIFS(D_sales!$V$5:$V$115,D_sales!$W$5:$W$115,1,D_sales!$U$5:$U$115,"&gt;="&amp;G236)),0)</f>
        <v>17.652057646717719</v>
      </c>
      <c r="U236" s="3">
        <f>IF(I236&gt;=D_F01!$B$27,IF(H236="customer",PERCENTILE(_xlfn._xlws.FILTER(D_sales!$U$5:$U$115,(D_sales!$W$5:$W$115=1)*(D_sales!$U$5:$U$115&gt;=G236)*(D_sales!$C$5:$C$115=C236)),0.25),PERCENTILE(_xlfn._xlws.FILTER(D_sales!$U$5:$U$115,(D_sales!$W$5:$W$115=1)*(D_sales!$U$5:$U$115&gt;=G236)),0.25)),0)</f>
        <v>12</v>
      </c>
      <c r="V236" s="3">
        <f>IF(I236&gt;=D_F01!$B$27,IF(H236="customer",PERCENTILE(_xlfn._xlws.FILTER(D_sales!$U$5:$U$115,(D_sales!$W$5:$W$115=1)*(D_sales!$U$5:$U$115&gt;=G236)*(D_sales!$C$5:$C$115=C236)),0.75),PERCENTILE(_xlfn._xlws.FILTER(D_sales!$U$5:$U$115,(D_sales!$W$5:$W$115=1)*(D_sales!$U$5:$U$115&gt;=G236)),0.75)),0)</f>
        <v>22.5</v>
      </c>
      <c r="W236" s="3">
        <f>IF(G236&gt;0,IF(I236&gt;=D_F01!$B$27,MIN(T236,U236),G236+3),H46)</f>
        <v>12</v>
      </c>
      <c r="X236" s="3">
        <f>IF(G236&gt;0,IF(I236&gt;=D_F01!$B$27,T236,G236+10),E46)</f>
        <v>17.652057646717719</v>
      </c>
      <c r="Y236" s="3">
        <f>IF(G236&gt;0,IF(I236&gt;=D_F01!$B$27,MAX(T236,V236),G236+21),I46)</f>
        <v>22.5</v>
      </c>
    </row>
    <row r="237" spans="1:25" ht="25.95" customHeight="1">
      <c r="A237" s="5" t="s">
        <v>1162</v>
      </c>
      <c r="B237" s="5" t="s">
        <v>1163</v>
      </c>
      <c r="C237" s="5" t="s">
        <v>954</v>
      </c>
      <c r="D237" s="5" t="s">
        <v>1128</v>
      </c>
      <c r="E237" s="9">
        <f>D_sales!N100</f>
        <v>289296727</v>
      </c>
      <c r="F237" s="6">
        <f>D_sales!H100</f>
        <v>46196</v>
      </c>
      <c r="G237" s="5">
        <f>D_sales!O100</f>
        <v>0</v>
      </c>
      <c r="H237" s="5" t="str">
        <f>C47</f>
        <v>customer</v>
      </c>
      <c r="I237" s="5">
        <f>IF(H237="default",0,IF(H237="customer",COUNTIFS(D_sales!$C$5:$C$115,C237,D_sales!$W$5:$W$115,1,D_sales!$U$5:$U$115,"&gt;="&amp;G237),COUNTIFS(D_sales!$W$5:$W$115,1,D_sales!$U$5:$U$115,"&gt;="&amp;G237)))</f>
        <v>23</v>
      </c>
      <c r="J237" s="6">
        <f t="shared" si="60"/>
        <v>46207</v>
      </c>
      <c r="K237" s="6">
        <f t="shared" si="61"/>
        <v>46207</v>
      </c>
      <c r="L237" s="6">
        <f t="shared" si="62"/>
        <v>46207</v>
      </c>
      <c r="M237" s="6">
        <f>D_flows!B52</f>
        <v>46207</v>
      </c>
      <c r="N237" s="6">
        <f>CHOOSE(D_F01!$B$19,K237,J237,L237,IF(ISNUMBER(M237),M237,K237+7),K237)</f>
        <v>46207</v>
      </c>
      <c r="O237" s="5" t="str">
        <f t="shared" si="63"/>
        <v>confirmed</v>
      </c>
      <c r="P237" s="5" t="s">
        <v>1129</v>
      </c>
      <c r="Q237" s="5">
        <v>0</v>
      </c>
      <c r="R237" s="6">
        <v>46193</v>
      </c>
      <c r="S237" s="5" t="str">
        <f t="shared" si="64"/>
        <v>in_horizon</v>
      </c>
      <c r="T237" s="5">
        <f>IF(I237&gt;=D_F01!$B$27,IF(H237="customer",SUMIFS(D_sales!$X$5:$X$115,D_sales!$C$5:$C$115,C237,D_sales!$W$5:$W$115,1,D_sales!$U$5:$U$115,"&gt;="&amp;G237),SUMIFS(D_sales!$X$5:$X$115,D_sales!$W$5:$W$115,1,D_sales!$U$5:$U$115,"&gt;="&amp;G237))/IF(H237="customer",SUMIFS(D_sales!$V$5:$V$115,D_sales!$C$5:$C$115,C237,D_sales!$W$5:$W$115,1,D_sales!$U$5:$U$115,"&gt;="&amp;G237),SUMIFS(D_sales!$V$5:$V$115,D_sales!$W$5:$W$115,1,D_sales!$U$5:$U$115,"&gt;="&amp;G237)),0)</f>
        <v>1.1726666018725884</v>
      </c>
      <c r="U237" s="5">
        <f>IF(I237&gt;=D_F01!$B$27,IF(H237="customer",PERCENTILE(_xlfn._xlws.FILTER(D_sales!$U$5:$U$115,(D_sales!$W$5:$W$115=1)*(D_sales!$U$5:$U$115&gt;=G237)*(D_sales!$C$5:$C$115=C237)),0.25),PERCENTILE(_xlfn._xlws.FILTER(D_sales!$U$5:$U$115,(D_sales!$W$5:$W$115=1)*(D_sales!$U$5:$U$115&gt;=G237)),0.25)),0)</f>
        <v>0</v>
      </c>
      <c r="V237" s="5">
        <f>IF(I237&gt;=D_F01!$B$27,IF(H237="customer",PERCENTILE(_xlfn._xlws.FILTER(D_sales!$U$5:$U$115,(D_sales!$W$5:$W$115=1)*(D_sales!$U$5:$U$115&gt;=G237)*(D_sales!$C$5:$C$115=C237)),0.75),PERCENTILE(_xlfn._xlws.FILTER(D_sales!$U$5:$U$115,(D_sales!$W$5:$W$115=1)*(D_sales!$U$5:$U$115&gt;=G237)),0.75)),0)</f>
        <v>3</v>
      </c>
      <c r="W237" s="5">
        <f>IF(G237&gt;0,IF(I237&gt;=D_F01!$B$27,MIN(T237,U237),G237+3),H47)</f>
        <v>0</v>
      </c>
      <c r="X237" s="5">
        <f>IF(G237&gt;0,IF(I237&gt;=D_F01!$B$27,T237,G237+10),E47)</f>
        <v>1.1726666018725884</v>
      </c>
      <c r="Y237" s="5">
        <f>IF(G237&gt;0,IF(I237&gt;=D_F01!$B$27,MAX(T237,V237),G237+21),I47)</f>
        <v>3</v>
      </c>
    </row>
    <row r="238" spans="1:25" ht="25.95" customHeight="1">
      <c r="A238" s="3" t="s">
        <v>1164</v>
      </c>
      <c r="B238" s="3" t="s">
        <v>1165</v>
      </c>
      <c r="C238" s="3" t="s">
        <v>960</v>
      </c>
      <c r="D238" s="3" t="s">
        <v>1128</v>
      </c>
      <c r="E238" s="8">
        <f>D_sales!N101</f>
        <v>111347413</v>
      </c>
      <c r="F238" s="7">
        <f>D_sales!H101</f>
        <v>46197</v>
      </c>
      <c r="G238" s="3">
        <f>D_sales!O101</f>
        <v>0</v>
      </c>
      <c r="H238" s="3" t="str">
        <f>C50</f>
        <v>customer</v>
      </c>
      <c r="I238" s="3">
        <f>IF(H238="default",0,IF(H238="customer",COUNTIFS(D_sales!$C$5:$C$115,C238,D_sales!$W$5:$W$115,1,D_sales!$U$5:$U$115,"&gt;="&amp;G238),COUNTIFS(D_sales!$W$5:$W$115,1,D_sales!$U$5:$U$115,"&gt;="&amp;G238)))</f>
        <v>11</v>
      </c>
      <c r="J238" s="7">
        <f t="shared" si="60"/>
        <v>46197</v>
      </c>
      <c r="K238" s="7">
        <f t="shared" si="61"/>
        <v>46200</v>
      </c>
      <c r="L238" s="7">
        <f t="shared" si="62"/>
        <v>46201</v>
      </c>
      <c r="M238" s="7"/>
      <c r="N238" s="7">
        <f>CHOOSE(D_F01!$B$19,K238,J238,L238,IF(ISNUMBER(M238),M238,K238+7),K238)</f>
        <v>46200</v>
      </c>
      <c r="O238" s="3" t="str">
        <f t="shared" si="63"/>
        <v>history_or_fallback</v>
      </c>
      <c r="P238" s="3" t="s">
        <v>1129</v>
      </c>
      <c r="Q238" s="3">
        <v>0</v>
      </c>
      <c r="R238" s="7">
        <v>46193</v>
      </c>
      <c r="S238" s="3" t="str">
        <f t="shared" si="64"/>
        <v>in_horizon</v>
      </c>
      <c r="T238" s="3">
        <f>IF(I238&gt;=D_F01!$B$27,IF(H238="customer",SUMIFS(D_sales!$X$5:$X$115,D_sales!$C$5:$C$115,C238,D_sales!$W$5:$W$115,1,D_sales!$U$5:$U$115,"&gt;="&amp;G238),SUMIFS(D_sales!$X$5:$X$115,D_sales!$W$5:$W$115,1,D_sales!$U$5:$U$115,"&gt;="&amp;G238))/IF(H238="customer",SUMIFS(D_sales!$V$5:$V$115,D_sales!$C$5:$C$115,C238,D_sales!$W$5:$W$115,1,D_sales!$U$5:$U$115,"&gt;="&amp;G238),SUMIFS(D_sales!$V$5:$V$115,D_sales!$W$5:$W$115,1,D_sales!$U$5:$U$115,"&gt;="&amp;G238)),0)</f>
        <v>2.3803457845775791</v>
      </c>
      <c r="U238" s="3">
        <f>IF(I238&gt;=D_F01!$B$27,IF(H238="customer",PERCENTILE(_xlfn._xlws.FILTER(D_sales!$U$5:$U$115,(D_sales!$W$5:$W$115=1)*(D_sales!$U$5:$U$115&gt;=G238)*(D_sales!$C$5:$C$115=C238)),0.25),PERCENTILE(_xlfn._xlws.FILTER(D_sales!$U$5:$U$115,(D_sales!$W$5:$W$115=1)*(D_sales!$U$5:$U$115&gt;=G238)),0.25)),0)</f>
        <v>0</v>
      </c>
      <c r="V238" s="3">
        <f>IF(I238&gt;=D_F01!$B$27,IF(H238="customer",PERCENTILE(_xlfn._xlws.FILTER(D_sales!$U$5:$U$115,(D_sales!$W$5:$W$115=1)*(D_sales!$U$5:$U$115&gt;=G238)*(D_sales!$C$5:$C$115=C238)),0.75),PERCENTILE(_xlfn._xlws.FILTER(D_sales!$U$5:$U$115,(D_sales!$W$5:$W$115=1)*(D_sales!$U$5:$U$115&gt;=G238)),0.75)),0)</f>
        <v>4</v>
      </c>
      <c r="W238" s="3">
        <f>IF(G238&gt;0,IF(I238&gt;=D_F01!$B$27,MIN(T238,U238),G238+3),H50)</f>
        <v>0</v>
      </c>
      <c r="X238" s="3">
        <f>IF(G238&gt;0,IF(I238&gt;=D_F01!$B$27,T238,G238+10),E50)</f>
        <v>2.3803457845775791</v>
      </c>
      <c r="Y238" s="3">
        <f>IF(G238&gt;0,IF(I238&gt;=D_F01!$B$27,MAX(T238,V238),G238+21),I50)</f>
        <v>4</v>
      </c>
    </row>
    <row r="239" spans="1:25" ht="25.95" customHeight="1">
      <c r="A239" s="5" t="s">
        <v>1166</v>
      </c>
      <c r="B239" s="5" t="s">
        <v>1167</v>
      </c>
      <c r="C239" s="5" t="s">
        <v>958</v>
      </c>
      <c r="D239" s="5" t="s">
        <v>1128</v>
      </c>
      <c r="E239" s="9">
        <f>D_sales!N102</f>
        <v>256596145</v>
      </c>
      <c r="F239" s="6">
        <f>D_sales!H102</f>
        <v>46197</v>
      </c>
      <c r="G239" s="5">
        <f>D_sales!O102</f>
        <v>0</v>
      </c>
      <c r="H239" s="5" t="str">
        <f>C49</f>
        <v>customer</v>
      </c>
      <c r="I239" s="5">
        <f>IF(H239="default",0,IF(H239="customer",COUNTIFS(D_sales!$C$5:$C$115,C239,D_sales!$W$5:$W$115,1,D_sales!$U$5:$U$115,"&gt;="&amp;G239),COUNTIFS(D_sales!$W$5:$W$115,1,D_sales!$U$5:$U$115,"&gt;="&amp;G239)))</f>
        <v>6</v>
      </c>
      <c r="J239" s="6">
        <f t="shared" si="60"/>
        <v>46197</v>
      </c>
      <c r="K239" s="6">
        <f t="shared" si="61"/>
        <v>46199</v>
      </c>
      <c r="L239" s="6">
        <f t="shared" si="62"/>
        <v>46199</v>
      </c>
      <c r="M239" s="6"/>
      <c r="N239" s="6">
        <f>CHOOSE(D_F01!$B$19,K239,J239,L239,IF(ISNUMBER(M239),M239,K239+7),K239)</f>
        <v>46199</v>
      </c>
      <c r="O239" s="5" t="str">
        <f t="shared" si="63"/>
        <v>history_or_fallback</v>
      </c>
      <c r="P239" s="5" t="s">
        <v>1129</v>
      </c>
      <c r="Q239" s="5">
        <v>0</v>
      </c>
      <c r="R239" s="6">
        <v>46193</v>
      </c>
      <c r="S239" s="5" t="str">
        <f t="shared" si="64"/>
        <v>in_horizon</v>
      </c>
      <c r="T239" s="5">
        <f>IF(I239&gt;=D_F01!$B$27,IF(H239="customer",SUMIFS(D_sales!$X$5:$X$115,D_sales!$C$5:$C$115,C239,D_sales!$W$5:$W$115,1,D_sales!$U$5:$U$115,"&gt;="&amp;G239),SUMIFS(D_sales!$X$5:$X$115,D_sales!$W$5:$W$115,1,D_sales!$U$5:$U$115,"&gt;="&amp;G239))/IF(H239="customer",SUMIFS(D_sales!$V$5:$V$115,D_sales!$C$5:$C$115,C239,D_sales!$W$5:$W$115,1,D_sales!$U$5:$U$115,"&gt;="&amp;G239),SUMIFS(D_sales!$V$5:$V$115,D_sales!$W$5:$W$115,1,D_sales!$U$5:$U$115,"&gt;="&amp;G239)),0)</f>
        <v>1.4013312392578479</v>
      </c>
      <c r="U239" s="5">
        <f>IF(I239&gt;=D_F01!$B$27,IF(H239="customer",PERCENTILE(_xlfn._xlws.FILTER(D_sales!$U$5:$U$115,(D_sales!$W$5:$W$115=1)*(D_sales!$U$5:$U$115&gt;=G239)*(D_sales!$C$5:$C$115=C239)),0.25),PERCENTILE(_xlfn._xlws.FILTER(D_sales!$U$5:$U$115,(D_sales!$W$5:$W$115=1)*(D_sales!$U$5:$U$115&gt;=G239)),0.25)),0)</f>
        <v>0</v>
      </c>
      <c r="V239" s="5">
        <f>IF(I239&gt;=D_F01!$B$27,IF(H239="customer",PERCENTILE(_xlfn._xlws.FILTER(D_sales!$U$5:$U$115,(D_sales!$W$5:$W$115=1)*(D_sales!$U$5:$U$115&gt;=G239)*(D_sales!$C$5:$C$115=C239)),0.75),PERCENTILE(_xlfn._xlws.FILTER(D_sales!$U$5:$U$115,(D_sales!$W$5:$W$115=1)*(D_sales!$U$5:$U$115&gt;=G239)),0.75)),0)</f>
        <v>2</v>
      </c>
      <c r="W239" s="5">
        <f>IF(G239&gt;0,IF(I239&gt;=D_F01!$B$27,MIN(T239,U239),G239+3),H49)</f>
        <v>0</v>
      </c>
      <c r="X239" s="5">
        <f>IF(G239&gt;0,IF(I239&gt;=D_F01!$B$27,T239,G239+10),E49)</f>
        <v>1.4013312392578479</v>
      </c>
      <c r="Y239" s="5">
        <f>IF(G239&gt;0,IF(I239&gt;=D_F01!$B$27,MAX(T239,V239),G239+21),I49)</f>
        <v>2</v>
      </c>
    </row>
    <row r="240" spans="1:25" ht="25.95" customHeight="1">
      <c r="A240" s="3" t="s">
        <v>1168</v>
      </c>
      <c r="B240" s="3" t="s">
        <v>1169</v>
      </c>
      <c r="C240" s="3" t="s">
        <v>952</v>
      </c>
      <c r="D240" s="3" t="s">
        <v>1128</v>
      </c>
      <c r="E240" s="8">
        <f>D_sales!N103</f>
        <v>245153067</v>
      </c>
      <c r="F240" s="7">
        <f>D_sales!H103</f>
        <v>46213</v>
      </c>
      <c r="G240" s="3">
        <f>D_sales!O103</f>
        <v>0</v>
      </c>
      <c r="H240" s="3" t="str">
        <f>C46</f>
        <v>customer</v>
      </c>
      <c r="I240" s="3">
        <f>IF(H240="default",0,IF(H240="customer",COUNTIFS(D_sales!$C$5:$C$115,C240,D_sales!$W$5:$W$115,1,D_sales!$U$5:$U$115,"&gt;="&amp;G240),COUNTIFS(D_sales!$W$5:$W$115,1,D_sales!$U$5:$U$115,"&gt;="&amp;G240)))</f>
        <v>19</v>
      </c>
      <c r="J240" s="7">
        <f t="shared" si="60"/>
        <v>46225</v>
      </c>
      <c r="K240" s="7">
        <f t="shared" si="61"/>
        <v>46231</v>
      </c>
      <c r="L240" s="7">
        <f t="shared" si="62"/>
        <v>46236</v>
      </c>
      <c r="M240" s="7"/>
      <c r="N240" s="7">
        <f>CHOOSE(D_F01!$B$19,K240,J240,L240,IF(ISNUMBER(M240),M240,K240+7),K240)</f>
        <v>46231</v>
      </c>
      <c r="O240" s="3" t="str">
        <f t="shared" si="63"/>
        <v>history_or_fallback</v>
      </c>
      <c r="P240" s="3" t="s">
        <v>1129</v>
      </c>
      <c r="Q240" s="3">
        <v>0</v>
      </c>
      <c r="R240" s="7">
        <v>46193</v>
      </c>
      <c r="S240" s="3" t="str">
        <f t="shared" si="64"/>
        <v>in_horizon</v>
      </c>
      <c r="T240" s="3">
        <f>IF(I240&gt;=D_F01!$B$27,IF(H240="customer",SUMIFS(D_sales!$X$5:$X$115,D_sales!$C$5:$C$115,C240,D_sales!$W$5:$W$115,1,D_sales!$U$5:$U$115,"&gt;="&amp;G240),SUMIFS(D_sales!$X$5:$X$115,D_sales!$W$5:$W$115,1,D_sales!$U$5:$U$115,"&gt;="&amp;G240))/IF(H240="customer",SUMIFS(D_sales!$V$5:$V$115,D_sales!$C$5:$C$115,C240,D_sales!$W$5:$W$115,1,D_sales!$U$5:$U$115,"&gt;="&amp;G240),SUMIFS(D_sales!$V$5:$V$115,D_sales!$W$5:$W$115,1,D_sales!$U$5:$U$115,"&gt;="&amp;G240)),0)</f>
        <v>17.652057646717719</v>
      </c>
      <c r="U240" s="3">
        <f>IF(I240&gt;=D_F01!$B$27,IF(H240="customer",PERCENTILE(_xlfn._xlws.FILTER(D_sales!$U$5:$U$115,(D_sales!$W$5:$W$115=1)*(D_sales!$U$5:$U$115&gt;=G240)*(D_sales!$C$5:$C$115=C240)),0.25),PERCENTILE(_xlfn._xlws.FILTER(D_sales!$U$5:$U$115,(D_sales!$W$5:$W$115=1)*(D_sales!$U$5:$U$115&gt;=G240)),0.25)),0)</f>
        <v>12</v>
      </c>
      <c r="V240" s="3">
        <f>IF(I240&gt;=D_F01!$B$27,IF(H240="customer",PERCENTILE(_xlfn._xlws.FILTER(D_sales!$U$5:$U$115,(D_sales!$W$5:$W$115=1)*(D_sales!$U$5:$U$115&gt;=G240)*(D_sales!$C$5:$C$115=C240)),0.75),PERCENTILE(_xlfn._xlws.FILTER(D_sales!$U$5:$U$115,(D_sales!$W$5:$W$115=1)*(D_sales!$U$5:$U$115&gt;=G240)),0.75)),0)</f>
        <v>22.5</v>
      </c>
      <c r="W240" s="3">
        <f>IF(G240&gt;0,IF(I240&gt;=D_F01!$B$27,MIN(T240,U240),G240+3),H46)</f>
        <v>12</v>
      </c>
      <c r="X240" s="3">
        <f>IF(G240&gt;0,IF(I240&gt;=D_F01!$B$27,T240,G240+10),E46)</f>
        <v>17.652057646717719</v>
      </c>
      <c r="Y240" s="3">
        <f>IF(G240&gt;0,IF(I240&gt;=D_F01!$B$27,MAX(T240,V240),G240+21),I46)</f>
        <v>22.5</v>
      </c>
    </row>
    <row r="241" spans="1:25" ht="25.95" customHeight="1">
      <c r="A241" s="5" t="s">
        <v>1170</v>
      </c>
      <c r="B241" s="5" t="s">
        <v>1171</v>
      </c>
      <c r="C241" s="5" t="s">
        <v>958</v>
      </c>
      <c r="D241" s="5" t="s">
        <v>1128</v>
      </c>
      <c r="E241" s="9">
        <f>D_sales!N104</f>
        <v>561764351</v>
      </c>
      <c r="F241" s="6">
        <f>D_sales!H104</f>
        <v>46200</v>
      </c>
      <c r="G241" s="5">
        <f>D_sales!O104</f>
        <v>0</v>
      </c>
      <c r="H241" s="5" t="str">
        <f>C49</f>
        <v>customer</v>
      </c>
      <c r="I241" s="5">
        <f>IF(H241="default",0,IF(H241="customer",COUNTIFS(D_sales!$C$5:$C$115,C241,D_sales!$W$5:$W$115,1,D_sales!$U$5:$U$115,"&gt;="&amp;G241),COUNTIFS(D_sales!$W$5:$W$115,1,D_sales!$U$5:$U$115,"&gt;="&amp;G241)))</f>
        <v>6</v>
      </c>
      <c r="J241" s="6">
        <f t="shared" si="60"/>
        <v>46200</v>
      </c>
      <c r="K241" s="6">
        <f t="shared" si="61"/>
        <v>46202</v>
      </c>
      <c r="L241" s="6">
        <f t="shared" si="62"/>
        <v>46202</v>
      </c>
      <c r="M241" s="6"/>
      <c r="N241" s="6">
        <f>CHOOSE(D_F01!$B$19,K241,J241,L241,IF(ISNUMBER(M241),M241,K241+7),K241)</f>
        <v>46202</v>
      </c>
      <c r="O241" s="5" t="str">
        <f t="shared" si="63"/>
        <v>history_or_fallback</v>
      </c>
      <c r="P241" s="5" t="s">
        <v>1129</v>
      </c>
      <c r="Q241" s="5">
        <v>0</v>
      </c>
      <c r="R241" s="6">
        <v>46193</v>
      </c>
      <c r="S241" s="5" t="str">
        <f t="shared" si="64"/>
        <v>in_horizon</v>
      </c>
      <c r="T241" s="5">
        <f>IF(I241&gt;=D_F01!$B$27,IF(H241="customer",SUMIFS(D_sales!$X$5:$X$115,D_sales!$C$5:$C$115,C241,D_sales!$W$5:$W$115,1,D_sales!$U$5:$U$115,"&gt;="&amp;G241),SUMIFS(D_sales!$X$5:$X$115,D_sales!$W$5:$W$115,1,D_sales!$U$5:$U$115,"&gt;="&amp;G241))/IF(H241="customer",SUMIFS(D_sales!$V$5:$V$115,D_sales!$C$5:$C$115,C241,D_sales!$W$5:$W$115,1,D_sales!$U$5:$U$115,"&gt;="&amp;G241),SUMIFS(D_sales!$V$5:$V$115,D_sales!$W$5:$W$115,1,D_sales!$U$5:$U$115,"&gt;="&amp;G241)),0)</f>
        <v>1.4013312392578479</v>
      </c>
      <c r="U241" s="5">
        <f>IF(I241&gt;=D_F01!$B$27,IF(H241="customer",PERCENTILE(_xlfn._xlws.FILTER(D_sales!$U$5:$U$115,(D_sales!$W$5:$W$115=1)*(D_sales!$U$5:$U$115&gt;=G241)*(D_sales!$C$5:$C$115=C241)),0.25),PERCENTILE(_xlfn._xlws.FILTER(D_sales!$U$5:$U$115,(D_sales!$W$5:$W$115=1)*(D_sales!$U$5:$U$115&gt;=G241)),0.25)),0)</f>
        <v>0</v>
      </c>
      <c r="V241" s="5">
        <f>IF(I241&gt;=D_F01!$B$27,IF(H241="customer",PERCENTILE(_xlfn._xlws.FILTER(D_sales!$U$5:$U$115,(D_sales!$W$5:$W$115=1)*(D_sales!$U$5:$U$115&gt;=G241)*(D_sales!$C$5:$C$115=C241)),0.75),PERCENTILE(_xlfn._xlws.FILTER(D_sales!$U$5:$U$115,(D_sales!$W$5:$W$115=1)*(D_sales!$U$5:$U$115&gt;=G241)),0.75)),0)</f>
        <v>2</v>
      </c>
      <c r="W241" s="5">
        <f>IF(G241&gt;0,IF(I241&gt;=D_F01!$B$27,MIN(T241,U241),G241+3),H49)</f>
        <v>0</v>
      </c>
      <c r="X241" s="5">
        <f>IF(G241&gt;0,IF(I241&gt;=D_F01!$B$27,T241,G241+10),E49)</f>
        <v>1.4013312392578479</v>
      </c>
      <c r="Y241" s="5">
        <f>IF(G241&gt;0,IF(I241&gt;=D_F01!$B$27,MAX(T241,V241),G241+21),I49)</f>
        <v>2</v>
      </c>
    </row>
    <row r="242" spans="1:25" ht="25.95" customHeight="1">
      <c r="A242" s="3" t="s">
        <v>1172</v>
      </c>
      <c r="B242" s="3" t="s">
        <v>1173</v>
      </c>
      <c r="C242" s="3" t="s">
        <v>960</v>
      </c>
      <c r="D242" s="3" t="s">
        <v>1128</v>
      </c>
      <c r="E242" s="8">
        <f>D_sales!N105</f>
        <v>43525997</v>
      </c>
      <c r="F242" s="7">
        <f>D_sales!H105</f>
        <v>46201</v>
      </c>
      <c r="G242" s="3">
        <f>D_sales!O105</f>
        <v>0</v>
      </c>
      <c r="H242" s="3" t="str">
        <f>C50</f>
        <v>customer</v>
      </c>
      <c r="I242" s="3">
        <f>IF(H242="default",0,IF(H242="customer",COUNTIFS(D_sales!$C$5:$C$115,C242,D_sales!$W$5:$W$115,1,D_sales!$U$5:$U$115,"&gt;="&amp;G242),COUNTIFS(D_sales!$W$5:$W$115,1,D_sales!$U$5:$U$115,"&gt;="&amp;G242)))</f>
        <v>11</v>
      </c>
      <c r="J242" s="7">
        <f t="shared" si="60"/>
        <v>46201</v>
      </c>
      <c r="K242" s="7">
        <f t="shared" si="61"/>
        <v>46204</v>
      </c>
      <c r="L242" s="7">
        <f t="shared" si="62"/>
        <v>46205</v>
      </c>
      <c r="M242" s="7"/>
      <c r="N242" s="7">
        <f>CHOOSE(D_F01!$B$19,K242,J242,L242,IF(ISNUMBER(M242),M242,K242+7),K242)</f>
        <v>46204</v>
      </c>
      <c r="O242" s="3" t="str">
        <f t="shared" si="63"/>
        <v>history_or_fallback</v>
      </c>
      <c r="P242" s="3" t="s">
        <v>1129</v>
      </c>
      <c r="Q242" s="3">
        <v>0</v>
      </c>
      <c r="R242" s="7">
        <v>46193</v>
      </c>
      <c r="S242" s="3" t="str">
        <f t="shared" si="64"/>
        <v>in_horizon</v>
      </c>
      <c r="T242" s="3">
        <f>IF(I242&gt;=D_F01!$B$27,IF(H242="customer",SUMIFS(D_sales!$X$5:$X$115,D_sales!$C$5:$C$115,C242,D_sales!$W$5:$W$115,1,D_sales!$U$5:$U$115,"&gt;="&amp;G242),SUMIFS(D_sales!$X$5:$X$115,D_sales!$W$5:$W$115,1,D_sales!$U$5:$U$115,"&gt;="&amp;G242))/IF(H242="customer",SUMIFS(D_sales!$V$5:$V$115,D_sales!$C$5:$C$115,C242,D_sales!$W$5:$W$115,1,D_sales!$U$5:$U$115,"&gt;="&amp;G242),SUMIFS(D_sales!$V$5:$V$115,D_sales!$W$5:$W$115,1,D_sales!$U$5:$U$115,"&gt;="&amp;G242)),0)</f>
        <v>2.3803457845775791</v>
      </c>
      <c r="U242" s="3">
        <f>IF(I242&gt;=D_F01!$B$27,IF(H242="customer",PERCENTILE(_xlfn._xlws.FILTER(D_sales!$U$5:$U$115,(D_sales!$W$5:$W$115=1)*(D_sales!$U$5:$U$115&gt;=G242)*(D_sales!$C$5:$C$115=C242)),0.25),PERCENTILE(_xlfn._xlws.FILTER(D_sales!$U$5:$U$115,(D_sales!$W$5:$W$115=1)*(D_sales!$U$5:$U$115&gt;=G242)),0.25)),0)</f>
        <v>0</v>
      </c>
      <c r="V242" s="3">
        <f>IF(I242&gt;=D_F01!$B$27,IF(H242="customer",PERCENTILE(_xlfn._xlws.FILTER(D_sales!$U$5:$U$115,(D_sales!$W$5:$W$115=1)*(D_sales!$U$5:$U$115&gt;=G242)*(D_sales!$C$5:$C$115=C242)),0.75),PERCENTILE(_xlfn._xlws.FILTER(D_sales!$U$5:$U$115,(D_sales!$W$5:$W$115=1)*(D_sales!$U$5:$U$115&gt;=G242)),0.75)),0)</f>
        <v>4</v>
      </c>
      <c r="W242" s="3">
        <f>IF(G242&gt;0,IF(I242&gt;=D_F01!$B$27,MIN(T242,U242),G242+3),H50)</f>
        <v>0</v>
      </c>
      <c r="X242" s="3">
        <f>IF(G242&gt;0,IF(I242&gt;=D_F01!$B$27,T242,G242+10),E50)</f>
        <v>2.3803457845775791</v>
      </c>
      <c r="Y242" s="3">
        <f>IF(G242&gt;0,IF(I242&gt;=D_F01!$B$27,MAX(T242,V242),G242+21),I50)</f>
        <v>4</v>
      </c>
    </row>
    <row r="243" spans="1:25" ht="25.95" customHeight="1">
      <c r="A243" s="5" t="s">
        <v>1174</v>
      </c>
      <c r="B243" s="5" t="s">
        <v>1175</v>
      </c>
      <c r="C243" s="5" t="s">
        <v>954</v>
      </c>
      <c r="D243" s="5" t="s">
        <v>1128</v>
      </c>
      <c r="E243" s="9">
        <f>D_sales!N106</f>
        <v>298612079</v>
      </c>
      <c r="F243" s="6">
        <f>D_sales!H106</f>
        <v>46202</v>
      </c>
      <c r="G243" s="5">
        <f>D_sales!O106</f>
        <v>0</v>
      </c>
      <c r="H243" s="5" t="str">
        <f>C47</f>
        <v>customer</v>
      </c>
      <c r="I243" s="5">
        <f>IF(H243="default",0,IF(H243="customer",COUNTIFS(D_sales!$C$5:$C$115,C243,D_sales!$W$5:$W$115,1,D_sales!$U$5:$U$115,"&gt;="&amp;G243),COUNTIFS(D_sales!$W$5:$W$115,1,D_sales!$U$5:$U$115,"&gt;="&amp;G243)))</f>
        <v>23</v>
      </c>
      <c r="J243" s="6">
        <f t="shared" si="60"/>
        <v>46202</v>
      </c>
      <c r="K243" s="6">
        <f t="shared" si="61"/>
        <v>46204</v>
      </c>
      <c r="L243" s="6">
        <f t="shared" si="62"/>
        <v>46205</v>
      </c>
      <c r="M243" s="6"/>
      <c r="N243" s="6">
        <f>CHOOSE(D_F01!$B$19,K243,J243,L243,IF(ISNUMBER(M243),M243,K243+7),K243)</f>
        <v>46204</v>
      </c>
      <c r="O243" s="5" t="str">
        <f t="shared" si="63"/>
        <v>history_or_fallback</v>
      </c>
      <c r="P243" s="5" t="s">
        <v>1129</v>
      </c>
      <c r="Q243" s="5">
        <v>0</v>
      </c>
      <c r="R243" s="6">
        <v>46193</v>
      </c>
      <c r="S243" s="5" t="str">
        <f t="shared" si="64"/>
        <v>in_horizon</v>
      </c>
      <c r="T243" s="5">
        <f>IF(I243&gt;=D_F01!$B$27,IF(H243="customer",SUMIFS(D_sales!$X$5:$X$115,D_sales!$C$5:$C$115,C243,D_sales!$W$5:$W$115,1,D_sales!$U$5:$U$115,"&gt;="&amp;G243),SUMIFS(D_sales!$X$5:$X$115,D_sales!$W$5:$W$115,1,D_sales!$U$5:$U$115,"&gt;="&amp;G243))/IF(H243="customer",SUMIFS(D_sales!$V$5:$V$115,D_sales!$C$5:$C$115,C243,D_sales!$W$5:$W$115,1,D_sales!$U$5:$U$115,"&gt;="&amp;G243),SUMIFS(D_sales!$V$5:$V$115,D_sales!$W$5:$W$115,1,D_sales!$U$5:$U$115,"&gt;="&amp;G243)),0)</f>
        <v>1.1726666018725884</v>
      </c>
      <c r="U243" s="5">
        <f>IF(I243&gt;=D_F01!$B$27,IF(H243="customer",PERCENTILE(_xlfn._xlws.FILTER(D_sales!$U$5:$U$115,(D_sales!$W$5:$W$115=1)*(D_sales!$U$5:$U$115&gt;=G243)*(D_sales!$C$5:$C$115=C243)),0.25),PERCENTILE(_xlfn._xlws.FILTER(D_sales!$U$5:$U$115,(D_sales!$W$5:$W$115=1)*(D_sales!$U$5:$U$115&gt;=G243)),0.25)),0)</f>
        <v>0</v>
      </c>
      <c r="V243" s="5">
        <f>IF(I243&gt;=D_F01!$B$27,IF(H243="customer",PERCENTILE(_xlfn._xlws.FILTER(D_sales!$U$5:$U$115,(D_sales!$W$5:$W$115=1)*(D_sales!$U$5:$U$115&gt;=G243)*(D_sales!$C$5:$C$115=C243)),0.75),PERCENTILE(_xlfn._xlws.FILTER(D_sales!$U$5:$U$115,(D_sales!$W$5:$W$115=1)*(D_sales!$U$5:$U$115&gt;=G243)),0.75)),0)</f>
        <v>3</v>
      </c>
      <c r="W243" s="5">
        <f>IF(G243&gt;0,IF(I243&gt;=D_F01!$B$27,MIN(T243,U243),G243+3),H47)</f>
        <v>0</v>
      </c>
      <c r="X243" s="5">
        <f>IF(G243&gt;0,IF(I243&gt;=D_F01!$B$27,T243,G243+10),E47)</f>
        <v>1.1726666018725884</v>
      </c>
      <c r="Y243" s="5">
        <f>IF(G243&gt;0,IF(I243&gt;=D_F01!$B$27,MAX(T243,V243),G243+21),I47)</f>
        <v>3</v>
      </c>
    </row>
    <row r="244" spans="1:25" ht="25.95" customHeight="1">
      <c r="A244" s="3" t="s">
        <v>1176</v>
      </c>
      <c r="B244" s="3" t="s">
        <v>1177</v>
      </c>
      <c r="C244" s="3" t="s">
        <v>960</v>
      </c>
      <c r="D244" s="3" t="s">
        <v>1128</v>
      </c>
      <c r="E244" s="8">
        <f>D_sales!N107</f>
        <v>94348329</v>
      </c>
      <c r="F244" s="7">
        <f>D_sales!H107</f>
        <v>46207</v>
      </c>
      <c r="G244" s="3">
        <f>D_sales!O107</f>
        <v>0</v>
      </c>
      <c r="H244" s="3" t="str">
        <f>C50</f>
        <v>customer</v>
      </c>
      <c r="I244" s="3">
        <f>IF(H244="default",0,IF(H244="customer",COUNTIFS(D_sales!$C$5:$C$115,C244,D_sales!$W$5:$W$115,1,D_sales!$U$5:$U$115,"&gt;="&amp;G244),COUNTIFS(D_sales!$W$5:$W$115,1,D_sales!$U$5:$U$115,"&gt;="&amp;G244)))</f>
        <v>11</v>
      </c>
      <c r="J244" s="7">
        <f t="shared" si="60"/>
        <v>46207</v>
      </c>
      <c r="K244" s="7">
        <f t="shared" si="61"/>
        <v>46210</v>
      </c>
      <c r="L244" s="7">
        <f t="shared" si="62"/>
        <v>46211</v>
      </c>
      <c r="M244" s="7"/>
      <c r="N244" s="7">
        <f>CHOOSE(D_F01!$B$19,K244,J244,L244,IF(ISNUMBER(M244),M244,K244+7),K244)</f>
        <v>46210</v>
      </c>
      <c r="O244" s="3" t="str">
        <f t="shared" si="63"/>
        <v>history_or_fallback</v>
      </c>
      <c r="P244" s="3" t="s">
        <v>1129</v>
      </c>
      <c r="Q244" s="3">
        <v>0</v>
      </c>
      <c r="R244" s="7">
        <v>46193</v>
      </c>
      <c r="S244" s="3" t="str">
        <f t="shared" si="64"/>
        <v>in_horizon</v>
      </c>
      <c r="T244" s="3">
        <f>IF(I244&gt;=D_F01!$B$27,IF(H244="customer",SUMIFS(D_sales!$X$5:$X$115,D_sales!$C$5:$C$115,C244,D_sales!$W$5:$W$115,1,D_sales!$U$5:$U$115,"&gt;="&amp;G244),SUMIFS(D_sales!$X$5:$X$115,D_sales!$W$5:$W$115,1,D_sales!$U$5:$U$115,"&gt;="&amp;G244))/IF(H244="customer",SUMIFS(D_sales!$V$5:$V$115,D_sales!$C$5:$C$115,C244,D_sales!$W$5:$W$115,1,D_sales!$U$5:$U$115,"&gt;="&amp;G244),SUMIFS(D_sales!$V$5:$V$115,D_sales!$W$5:$W$115,1,D_sales!$U$5:$U$115,"&gt;="&amp;G244)),0)</f>
        <v>2.3803457845775791</v>
      </c>
      <c r="U244" s="3">
        <f>IF(I244&gt;=D_F01!$B$27,IF(H244="customer",PERCENTILE(_xlfn._xlws.FILTER(D_sales!$U$5:$U$115,(D_sales!$W$5:$W$115=1)*(D_sales!$U$5:$U$115&gt;=G244)*(D_sales!$C$5:$C$115=C244)),0.25),PERCENTILE(_xlfn._xlws.FILTER(D_sales!$U$5:$U$115,(D_sales!$W$5:$W$115=1)*(D_sales!$U$5:$U$115&gt;=G244)),0.25)),0)</f>
        <v>0</v>
      </c>
      <c r="V244" s="3">
        <f>IF(I244&gt;=D_F01!$B$27,IF(H244="customer",PERCENTILE(_xlfn._xlws.FILTER(D_sales!$U$5:$U$115,(D_sales!$W$5:$W$115=1)*(D_sales!$U$5:$U$115&gt;=G244)*(D_sales!$C$5:$C$115=C244)),0.75),PERCENTILE(_xlfn._xlws.FILTER(D_sales!$U$5:$U$115,(D_sales!$W$5:$W$115=1)*(D_sales!$U$5:$U$115&gt;=G244)),0.75)),0)</f>
        <v>4</v>
      </c>
      <c r="W244" s="3">
        <f>IF(G244&gt;0,IF(I244&gt;=D_F01!$B$27,MIN(T244,U244),G244+3),H50)</f>
        <v>0</v>
      </c>
      <c r="X244" s="3">
        <f>IF(G244&gt;0,IF(I244&gt;=D_F01!$B$27,T244,G244+10),E50)</f>
        <v>2.3803457845775791</v>
      </c>
      <c r="Y244" s="3">
        <f>IF(G244&gt;0,IF(I244&gt;=D_F01!$B$27,MAX(T244,V244),G244+21),I50)</f>
        <v>4</v>
      </c>
    </row>
    <row r="245" spans="1:25" ht="25.95" customHeight="1">
      <c r="A245" s="5" t="s">
        <v>1178</v>
      </c>
      <c r="B245" s="5" t="s">
        <v>1179</v>
      </c>
      <c r="C245" s="5" t="s">
        <v>954</v>
      </c>
      <c r="D245" s="5" t="s">
        <v>1128</v>
      </c>
      <c r="E245" s="9">
        <f>D_sales!N108</f>
        <v>235003622</v>
      </c>
      <c r="F245" s="6">
        <f>D_sales!H108</f>
        <v>46209</v>
      </c>
      <c r="G245" s="5">
        <f>D_sales!O108</f>
        <v>0</v>
      </c>
      <c r="H245" s="5" t="str">
        <f>C47</f>
        <v>customer</v>
      </c>
      <c r="I245" s="5">
        <f>IF(H245="default",0,IF(H245="customer",COUNTIFS(D_sales!$C$5:$C$115,C245,D_sales!$W$5:$W$115,1,D_sales!$U$5:$U$115,"&gt;="&amp;G245),COUNTIFS(D_sales!$W$5:$W$115,1,D_sales!$U$5:$U$115,"&gt;="&amp;G245)))</f>
        <v>23</v>
      </c>
      <c r="J245" s="6">
        <f t="shared" si="60"/>
        <v>46209</v>
      </c>
      <c r="K245" s="6">
        <f t="shared" si="61"/>
        <v>46211</v>
      </c>
      <c r="L245" s="6">
        <f t="shared" si="62"/>
        <v>46212</v>
      </c>
      <c r="M245" s="6"/>
      <c r="N245" s="6">
        <f>CHOOSE(D_F01!$B$19,K245,J245,L245,IF(ISNUMBER(M245),M245,K245+7),K245)</f>
        <v>46211</v>
      </c>
      <c r="O245" s="5" t="str">
        <f t="shared" si="63"/>
        <v>history_or_fallback</v>
      </c>
      <c r="P245" s="5" t="s">
        <v>1129</v>
      </c>
      <c r="Q245" s="5">
        <v>0</v>
      </c>
      <c r="R245" s="6">
        <v>46193</v>
      </c>
      <c r="S245" s="5" t="str">
        <f t="shared" si="64"/>
        <v>in_horizon</v>
      </c>
      <c r="T245" s="5">
        <f>IF(I245&gt;=D_F01!$B$27,IF(H245="customer",SUMIFS(D_sales!$X$5:$X$115,D_sales!$C$5:$C$115,C245,D_sales!$W$5:$W$115,1,D_sales!$U$5:$U$115,"&gt;="&amp;G245),SUMIFS(D_sales!$X$5:$X$115,D_sales!$W$5:$W$115,1,D_sales!$U$5:$U$115,"&gt;="&amp;G245))/IF(H245="customer",SUMIFS(D_sales!$V$5:$V$115,D_sales!$C$5:$C$115,C245,D_sales!$W$5:$W$115,1,D_sales!$U$5:$U$115,"&gt;="&amp;G245),SUMIFS(D_sales!$V$5:$V$115,D_sales!$W$5:$W$115,1,D_sales!$U$5:$U$115,"&gt;="&amp;G245)),0)</f>
        <v>1.1726666018725884</v>
      </c>
      <c r="U245" s="5">
        <f>IF(I245&gt;=D_F01!$B$27,IF(H245="customer",PERCENTILE(_xlfn._xlws.FILTER(D_sales!$U$5:$U$115,(D_sales!$W$5:$W$115=1)*(D_sales!$U$5:$U$115&gt;=G245)*(D_sales!$C$5:$C$115=C245)),0.25),PERCENTILE(_xlfn._xlws.FILTER(D_sales!$U$5:$U$115,(D_sales!$W$5:$W$115=1)*(D_sales!$U$5:$U$115&gt;=G245)),0.25)),0)</f>
        <v>0</v>
      </c>
      <c r="V245" s="5">
        <f>IF(I245&gt;=D_F01!$B$27,IF(H245="customer",PERCENTILE(_xlfn._xlws.FILTER(D_sales!$U$5:$U$115,(D_sales!$W$5:$W$115=1)*(D_sales!$U$5:$U$115&gt;=G245)*(D_sales!$C$5:$C$115=C245)),0.75),PERCENTILE(_xlfn._xlws.FILTER(D_sales!$U$5:$U$115,(D_sales!$W$5:$W$115=1)*(D_sales!$U$5:$U$115&gt;=G245)),0.75)),0)</f>
        <v>3</v>
      </c>
      <c r="W245" s="5">
        <f>IF(G245&gt;0,IF(I245&gt;=D_F01!$B$27,MIN(T245,U245),G245+3),H47)</f>
        <v>0</v>
      </c>
      <c r="X245" s="5">
        <f>IF(G245&gt;0,IF(I245&gt;=D_F01!$B$27,T245,G245+10),E47)</f>
        <v>1.1726666018725884</v>
      </c>
      <c r="Y245" s="5">
        <f>IF(G245&gt;0,IF(I245&gt;=D_F01!$B$27,MAX(T245,V245),G245+21),I47)</f>
        <v>3</v>
      </c>
    </row>
    <row r="246" spans="1:25" ht="25.95" customHeight="1">
      <c r="A246" s="3" t="s">
        <v>1180</v>
      </c>
      <c r="B246" s="3" t="s">
        <v>1181</v>
      </c>
      <c r="C246" s="3" t="s">
        <v>952</v>
      </c>
      <c r="D246" s="3" t="s">
        <v>1128</v>
      </c>
      <c r="E246" s="8">
        <f>D_sales!N109</f>
        <v>332813830</v>
      </c>
      <c r="F246" s="7">
        <f>D_sales!H109</f>
        <v>46226</v>
      </c>
      <c r="G246" s="3">
        <f>D_sales!O109</f>
        <v>0</v>
      </c>
      <c r="H246" s="3" t="str">
        <f>C46</f>
        <v>customer</v>
      </c>
      <c r="I246" s="3">
        <f>IF(H246="default",0,IF(H246="customer",COUNTIFS(D_sales!$C$5:$C$115,C246,D_sales!$W$5:$W$115,1,D_sales!$U$5:$U$115,"&gt;="&amp;G246),COUNTIFS(D_sales!$W$5:$W$115,1,D_sales!$U$5:$U$115,"&gt;="&amp;G246)))</f>
        <v>19</v>
      </c>
      <c r="J246" s="7">
        <f t="shared" si="60"/>
        <v>46238</v>
      </c>
      <c r="K246" s="7">
        <f t="shared" si="61"/>
        <v>46244</v>
      </c>
      <c r="L246" s="7">
        <f t="shared" si="62"/>
        <v>46249</v>
      </c>
      <c r="M246" s="7"/>
      <c r="N246" s="7">
        <f>CHOOSE(D_F01!$B$19,K246,J246,L246,IF(ISNUMBER(M246),M246,K246+7),K246)</f>
        <v>46244</v>
      </c>
      <c r="O246" s="3" t="str">
        <f t="shared" si="63"/>
        <v>history_or_fallback</v>
      </c>
      <c r="P246" s="3" t="s">
        <v>1129</v>
      </c>
      <c r="Q246" s="3">
        <v>0</v>
      </c>
      <c r="R246" s="7">
        <v>46193</v>
      </c>
      <c r="S246" s="3" t="str">
        <f t="shared" si="64"/>
        <v>in_horizon</v>
      </c>
      <c r="T246" s="3">
        <f>IF(I246&gt;=D_F01!$B$27,IF(H246="customer",SUMIFS(D_sales!$X$5:$X$115,D_sales!$C$5:$C$115,C246,D_sales!$W$5:$W$115,1,D_sales!$U$5:$U$115,"&gt;="&amp;G246),SUMIFS(D_sales!$X$5:$X$115,D_sales!$W$5:$W$115,1,D_sales!$U$5:$U$115,"&gt;="&amp;G246))/IF(H246="customer",SUMIFS(D_sales!$V$5:$V$115,D_sales!$C$5:$C$115,C246,D_sales!$W$5:$W$115,1,D_sales!$U$5:$U$115,"&gt;="&amp;G246),SUMIFS(D_sales!$V$5:$V$115,D_sales!$W$5:$W$115,1,D_sales!$U$5:$U$115,"&gt;="&amp;G246)),0)</f>
        <v>17.652057646717719</v>
      </c>
      <c r="U246" s="3">
        <f>IF(I246&gt;=D_F01!$B$27,IF(H246="customer",PERCENTILE(_xlfn._xlws.FILTER(D_sales!$U$5:$U$115,(D_sales!$W$5:$W$115=1)*(D_sales!$U$5:$U$115&gt;=G246)*(D_sales!$C$5:$C$115=C246)),0.25),PERCENTILE(_xlfn._xlws.FILTER(D_sales!$U$5:$U$115,(D_sales!$W$5:$W$115=1)*(D_sales!$U$5:$U$115&gt;=G246)),0.25)),0)</f>
        <v>12</v>
      </c>
      <c r="V246" s="3">
        <f>IF(I246&gt;=D_F01!$B$27,IF(H246="customer",PERCENTILE(_xlfn._xlws.FILTER(D_sales!$U$5:$U$115,(D_sales!$W$5:$W$115=1)*(D_sales!$U$5:$U$115&gt;=G246)*(D_sales!$C$5:$C$115=C246)),0.75),PERCENTILE(_xlfn._xlws.FILTER(D_sales!$U$5:$U$115,(D_sales!$W$5:$W$115=1)*(D_sales!$U$5:$U$115&gt;=G246)),0.75)),0)</f>
        <v>22.5</v>
      </c>
      <c r="W246" s="3">
        <f>IF(G246&gt;0,IF(I246&gt;=D_F01!$B$27,MIN(T246,U246),G246+3),H46)</f>
        <v>12</v>
      </c>
      <c r="X246" s="3">
        <f>IF(G246&gt;0,IF(I246&gt;=D_F01!$B$27,T246,G246+10),E46)</f>
        <v>17.652057646717719</v>
      </c>
      <c r="Y246" s="3">
        <f>IF(G246&gt;0,IF(I246&gt;=D_F01!$B$27,MAX(T246,V246),G246+21),I46)</f>
        <v>22.5</v>
      </c>
    </row>
    <row r="247" spans="1:25" ht="25.95" customHeight="1">
      <c r="A247" s="5" t="s">
        <v>1182</v>
      </c>
      <c r="B247" s="5" t="s">
        <v>1183</v>
      </c>
      <c r="C247" s="5" t="s">
        <v>952</v>
      </c>
      <c r="D247" s="5" t="s">
        <v>1128</v>
      </c>
      <c r="E247" s="9">
        <f>D_sales!N110</f>
        <v>539498821</v>
      </c>
      <c r="F247" s="6">
        <f>D_sales!H110</f>
        <v>46226</v>
      </c>
      <c r="G247" s="5">
        <f>D_sales!O110</f>
        <v>0</v>
      </c>
      <c r="H247" s="5" t="str">
        <f>C46</f>
        <v>customer</v>
      </c>
      <c r="I247" s="5">
        <f>IF(H247="default",0,IF(H247="customer",COUNTIFS(D_sales!$C$5:$C$115,C247,D_sales!$W$5:$W$115,1,D_sales!$U$5:$U$115,"&gt;="&amp;G247),COUNTIFS(D_sales!$W$5:$W$115,1,D_sales!$U$5:$U$115,"&gt;="&amp;G247)))</f>
        <v>19</v>
      </c>
      <c r="J247" s="6">
        <f t="shared" si="60"/>
        <v>46238</v>
      </c>
      <c r="K247" s="6">
        <f t="shared" si="61"/>
        <v>46244</v>
      </c>
      <c r="L247" s="6">
        <f t="shared" si="62"/>
        <v>46249</v>
      </c>
      <c r="M247" s="6"/>
      <c r="N247" s="6">
        <f>CHOOSE(D_F01!$B$19,K247,J247,L247,IF(ISNUMBER(M247),M247,K247+7),K247)</f>
        <v>46244</v>
      </c>
      <c r="O247" s="5" t="str">
        <f t="shared" si="63"/>
        <v>history_or_fallback</v>
      </c>
      <c r="P247" s="5" t="s">
        <v>1129</v>
      </c>
      <c r="Q247" s="5">
        <v>0</v>
      </c>
      <c r="R247" s="6">
        <v>46193</v>
      </c>
      <c r="S247" s="5" t="str">
        <f t="shared" si="64"/>
        <v>in_horizon</v>
      </c>
      <c r="T247" s="5">
        <f>IF(I247&gt;=D_F01!$B$27,IF(H247="customer",SUMIFS(D_sales!$X$5:$X$115,D_sales!$C$5:$C$115,C247,D_sales!$W$5:$W$115,1,D_sales!$U$5:$U$115,"&gt;="&amp;G247),SUMIFS(D_sales!$X$5:$X$115,D_sales!$W$5:$W$115,1,D_sales!$U$5:$U$115,"&gt;="&amp;G247))/IF(H247="customer",SUMIFS(D_sales!$V$5:$V$115,D_sales!$C$5:$C$115,C247,D_sales!$W$5:$W$115,1,D_sales!$U$5:$U$115,"&gt;="&amp;G247),SUMIFS(D_sales!$V$5:$V$115,D_sales!$W$5:$W$115,1,D_sales!$U$5:$U$115,"&gt;="&amp;G247)),0)</f>
        <v>17.652057646717719</v>
      </c>
      <c r="U247" s="5">
        <f>IF(I247&gt;=D_F01!$B$27,IF(H247="customer",PERCENTILE(_xlfn._xlws.FILTER(D_sales!$U$5:$U$115,(D_sales!$W$5:$W$115=1)*(D_sales!$U$5:$U$115&gt;=G247)*(D_sales!$C$5:$C$115=C247)),0.25),PERCENTILE(_xlfn._xlws.FILTER(D_sales!$U$5:$U$115,(D_sales!$W$5:$W$115=1)*(D_sales!$U$5:$U$115&gt;=G247)),0.25)),0)</f>
        <v>12</v>
      </c>
      <c r="V247" s="5">
        <f>IF(I247&gt;=D_F01!$B$27,IF(H247="customer",PERCENTILE(_xlfn._xlws.FILTER(D_sales!$U$5:$U$115,(D_sales!$W$5:$W$115=1)*(D_sales!$U$5:$U$115&gt;=G247)*(D_sales!$C$5:$C$115=C247)),0.75),PERCENTILE(_xlfn._xlws.FILTER(D_sales!$U$5:$U$115,(D_sales!$W$5:$W$115=1)*(D_sales!$U$5:$U$115&gt;=G247)),0.75)),0)</f>
        <v>22.5</v>
      </c>
      <c r="W247" s="5">
        <f>IF(G247&gt;0,IF(I247&gt;=D_F01!$B$27,MIN(T247,U247),G247+3),H46)</f>
        <v>12</v>
      </c>
      <c r="X247" s="5">
        <f>IF(G247&gt;0,IF(I247&gt;=D_F01!$B$27,T247,G247+10),E46)</f>
        <v>17.652057646717719</v>
      </c>
      <c r="Y247" s="5">
        <f>IF(G247&gt;0,IF(I247&gt;=D_F01!$B$27,MAX(T247,V247),G247+21),I46)</f>
        <v>22.5</v>
      </c>
    </row>
    <row r="248" spans="1:25" ht="25.95" customHeight="1">
      <c r="A248" s="3" t="s">
        <v>1184</v>
      </c>
      <c r="B248" s="3" t="s">
        <v>1185</v>
      </c>
      <c r="C248" s="3" t="s">
        <v>964</v>
      </c>
      <c r="D248" s="3" t="s">
        <v>1128</v>
      </c>
      <c r="E248" s="8">
        <f>D_sales!N111</f>
        <v>97029482</v>
      </c>
      <c r="F248" s="7">
        <f>D_sales!H111</f>
        <v>46213</v>
      </c>
      <c r="G248" s="3">
        <f>D_sales!O111</f>
        <v>0</v>
      </c>
      <c r="H248" s="3" t="str">
        <f>C52</f>
        <v>firm</v>
      </c>
      <c r="I248" s="3">
        <f>IF(H248="default",0,IF(H248="customer",COUNTIFS(D_sales!$C$5:$C$115,C248,D_sales!$W$5:$W$115,1,D_sales!$U$5:$U$115,"&gt;="&amp;G248),COUNTIFS(D_sales!$W$5:$W$115,1,D_sales!$U$5:$U$115,"&gt;="&amp;G248)))</f>
        <v>86</v>
      </c>
      <c r="J248" s="7">
        <f t="shared" si="60"/>
        <v>46213</v>
      </c>
      <c r="K248" s="7">
        <f t="shared" si="61"/>
        <v>46220</v>
      </c>
      <c r="L248" s="7">
        <f t="shared" si="62"/>
        <v>46223</v>
      </c>
      <c r="M248" s="7"/>
      <c r="N248" s="7">
        <f>CHOOSE(D_F01!$B$19,K248,J248,L248,IF(ISNUMBER(M248),M248,K248+7),K248)</f>
        <v>46220</v>
      </c>
      <c r="O248" s="3" t="str">
        <f t="shared" si="63"/>
        <v>history_or_fallback</v>
      </c>
      <c r="P248" s="3" t="s">
        <v>1129</v>
      </c>
      <c r="Q248" s="3">
        <v>0</v>
      </c>
      <c r="R248" s="7">
        <v>46193</v>
      </c>
      <c r="S248" s="3" t="str">
        <f t="shared" si="64"/>
        <v>in_horizon</v>
      </c>
      <c r="T248" s="3">
        <f>IF(I248&gt;=D_F01!$B$27,IF(H248="customer",SUMIFS(D_sales!$X$5:$X$115,D_sales!$C$5:$C$115,C248,D_sales!$W$5:$W$115,1,D_sales!$U$5:$U$115,"&gt;="&amp;G248),SUMIFS(D_sales!$X$5:$X$115,D_sales!$W$5:$W$115,1,D_sales!$U$5:$U$115,"&gt;="&amp;G248))/IF(H248="customer",SUMIFS(D_sales!$V$5:$V$115,D_sales!$C$5:$C$115,C248,D_sales!$W$5:$W$115,1,D_sales!$U$5:$U$115,"&gt;="&amp;G248),SUMIFS(D_sales!$V$5:$V$115,D_sales!$W$5:$W$115,1,D_sales!$U$5:$U$115,"&gt;="&amp;G248)),0)</f>
        <v>6.4473291169980582</v>
      </c>
      <c r="U248" s="3">
        <f>IF(I248&gt;=D_F01!$B$27,IF(H248="customer",PERCENTILE(_xlfn._xlws.FILTER(D_sales!$U$5:$U$115,(D_sales!$W$5:$W$115=1)*(D_sales!$U$5:$U$115&gt;=G248)*(D_sales!$C$5:$C$115=C248)),0.25),PERCENTILE(_xlfn._xlws.FILTER(D_sales!$U$5:$U$115,(D_sales!$W$5:$W$115=1)*(D_sales!$U$5:$U$115&gt;=G248)),0.25)),0)</f>
        <v>0</v>
      </c>
      <c r="V248" s="3">
        <f>IF(I248&gt;=D_F01!$B$27,IF(H248="customer",PERCENTILE(_xlfn._xlws.FILTER(D_sales!$U$5:$U$115,(D_sales!$W$5:$W$115=1)*(D_sales!$U$5:$U$115&gt;=G248)*(D_sales!$C$5:$C$115=C248)),0.75),PERCENTILE(_xlfn._xlws.FILTER(D_sales!$U$5:$U$115,(D_sales!$W$5:$W$115=1)*(D_sales!$U$5:$U$115&gt;=G248)),0.75)),0)</f>
        <v>10</v>
      </c>
      <c r="W248" s="3">
        <f>IF(G248&gt;0,IF(I248&gt;=D_F01!$B$27,MIN(T248,U248),G248+3),H52)</f>
        <v>0</v>
      </c>
      <c r="X248" s="3">
        <f>IF(G248&gt;0,IF(I248&gt;=D_F01!$B$27,T248,G248+10),E52)</f>
        <v>6.4473291169980582</v>
      </c>
      <c r="Y248" s="3">
        <f>IF(G248&gt;0,IF(I248&gt;=D_F01!$B$27,MAX(T248,V248),G248+21),I52)</f>
        <v>10</v>
      </c>
    </row>
    <row r="249" spans="1:25" ht="25.95" customHeight="1">
      <c r="A249" s="5" t="s">
        <v>1186</v>
      </c>
      <c r="B249" s="5" t="s">
        <v>1187</v>
      </c>
      <c r="C249" s="5" t="s">
        <v>956</v>
      </c>
      <c r="D249" s="5" t="s">
        <v>1128</v>
      </c>
      <c r="E249" s="9">
        <f>D_sales!N112</f>
        <v>122135275</v>
      </c>
      <c r="F249" s="6">
        <f>D_sales!H112</f>
        <v>46213</v>
      </c>
      <c r="G249" s="5">
        <f>D_sales!O112</f>
        <v>0</v>
      </c>
      <c r="H249" s="5" t="str">
        <f>C48</f>
        <v>customer</v>
      </c>
      <c r="I249" s="5">
        <f>IF(H249="default",0,IF(H249="customer",COUNTIFS(D_sales!$C$5:$C$115,C249,D_sales!$W$5:$W$115,1,D_sales!$U$5:$U$115,"&gt;="&amp;G249),COUNTIFS(D_sales!$W$5:$W$115,1,D_sales!$U$5:$U$115,"&gt;="&amp;G249)))</f>
        <v>17</v>
      </c>
      <c r="J249" s="6">
        <f t="shared" si="60"/>
        <v>46217</v>
      </c>
      <c r="K249" s="6">
        <f t="shared" si="61"/>
        <v>46223</v>
      </c>
      <c r="L249" s="6">
        <f t="shared" si="62"/>
        <v>46223</v>
      </c>
      <c r="M249" s="6"/>
      <c r="N249" s="6">
        <f>CHOOSE(D_F01!$B$19,K249,J249,L249,IF(ISNUMBER(M249),M249,K249+7),K249)</f>
        <v>46223</v>
      </c>
      <c r="O249" s="5" t="str">
        <f t="shared" si="63"/>
        <v>history_or_fallback</v>
      </c>
      <c r="P249" s="5" t="s">
        <v>1129</v>
      </c>
      <c r="Q249" s="5">
        <v>0</v>
      </c>
      <c r="R249" s="6">
        <v>46193</v>
      </c>
      <c r="S249" s="5" t="str">
        <f t="shared" si="64"/>
        <v>in_horizon</v>
      </c>
      <c r="T249" s="5">
        <f>IF(I249&gt;=D_F01!$B$27,IF(H249="customer",SUMIFS(D_sales!$X$5:$X$115,D_sales!$C$5:$C$115,C249,D_sales!$W$5:$W$115,1,D_sales!$U$5:$U$115,"&gt;="&amp;G249),SUMIFS(D_sales!$X$5:$X$115,D_sales!$W$5:$W$115,1,D_sales!$U$5:$U$115,"&gt;="&amp;G249))/IF(H249="customer",SUMIFS(D_sales!$V$5:$V$115,D_sales!$C$5:$C$115,C249,D_sales!$W$5:$W$115,1,D_sales!$U$5:$U$115,"&gt;="&amp;G249),SUMIFS(D_sales!$V$5:$V$115,D_sales!$W$5:$W$115,1,D_sales!$U$5:$U$115,"&gt;="&amp;G249)),0)</f>
        <v>9.766979739074575</v>
      </c>
      <c r="U249" s="5">
        <f>IF(I249&gt;=D_F01!$B$27,IF(H249="customer",PERCENTILE(_xlfn._xlws.FILTER(D_sales!$U$5:$U$115,(D_sales!$W$5:$W$115=1)*(D_sales!$U$5:$U$115&gt;=G249)*(D_sales!$C$5:$C$115=C249)),0.25),PERCENTILE(_xlfn._xlws.FILTER(D_sales!$U$5:$U$115,(D_sales!$W$5:$W$115=1)*(D_sales!$U$5:$U$115&gt;=G249)),0.25)),0)</f>
        <v>4</v>
      </c>
      <c r="V249" s="5">
        <f>IF(I249&gt;=D_F01!$B$27,IF(H249="customer",PERCENTILE(_xlfn._xlws.FILTER(D_sales!$U$5:$U$115,(D_sales!$W$5:$W$115=1)*(D_sales!$U$5:$U$115&gt;=G249)*(D_sales!$C$5:$C$115=C249)),0.75),PERCENTILE(_xlfn._xlws.FILTER(D_sales!$U$5:$U$115,(D_sales!$W$5:$W$115=1)*(D_sales!$U$5:$U$115&gt;=G249)),0.75)),0)</f>
        <v>10</v>
      </c>
      <c r="W249" s="5">
        <f>IF(G249&gt;0,IF(I249&gt;=D_F01!$B$27,MIN(T249,U249),G249+3),H48)</f>
        <v>4</v>
      </c>
      <c r="X249" s="5">
        <f>IF(G249&gt;0,IF(I249&gt;=D_F01!$B$27,T249,G249+10),E48)</f>
        <v>9.766979739074575</v>
      </c>
      <c r="Y249" s="5">
        <f>IF(G249&gt;0,IF(I249&gt;=D_F01!$B$27,MAX(T249,V249),G249+21),I48)</f>
        <v>10</v>
      </c>
    </row>
    <row r="250" spans="1:25" ht="25.95" customHeight="1">
      <c r="A250" s="3" t="s">
        <v>1188</v>
      </c>
      <c r="B250" s="3" t="s">
        <v>1189</v>
      </c>
      <c r="C250" s="3" t="s">
        <v>952</v>
      </c>
      <c r="D250" s="3" t="s">
        <v>1128</v>
      </c>
      <c r="E250" s="8">
        <f>D_sales!N113</f>
        <v>172242105</v>
      </c>
      <c r="F250" s="7">
        <f>D_sales!H113</f>
        <v>46229</v>
      </c>
      <c r="G250" s="3">
        <f>D_sales!O113</f>
        <v>0</v>
      </c>
      <c r="H250" s="3" t="str">
        <f>C46</f>
        <v>customer</v>
      </c>
      <c r="I250" s="3">
        <f>IF(H250="default",0,IF(H250="customer",COUNTIFS(D_sales!$C$5:$C$115,C250,D_sales!$W$5:$W$115,1,D_sales!$U$5:$U$115,"&gt;="&amp;G250),COUNTIFS(D_sales!$W$5:$W$115,1,D_sales!$U$5:$U$115,"&gt;="&amp;G250)))</f>
        <v>19</v>
      </c>
      <c r="J250" s="7">
        <f t="shared" si="60"/>
        <v>46241</v>
      </c>
      <c r="K250" s="7">
        <f t="shared" si="61"/>
        <v>46247</v>
      </c>
      <c r="L250" s="7">
        <f t="shared" si="62"/>
        <v>46252</v>
      </c>
      <c r="M250" s="7"/>
      <c r="N250" s="7">
        <f>CHOOSE(D_F01!$B$19,K250,J250,L250,IF(ISNUMBER(M250),M250,K250+7),K250)</f>
        <v>46247</v>
      </c>
      <c r="O250" s="3" t="str">
        <f t="shared" si="63"/>
        <v>history_or_fallback</v>
      </c>
      <c r="P250" s="3" t="s">
        <v>1129</v>
      </c>
      <c r="Q250" s="3">
        <v>0</v>
      </c>
      <c r="R250" s="7">
        <v>46193</v>
      </c>
      <c r="S250" s="3" t="str">
        <f t="shared" si="64"/>
        <v>in_horizon</v>
      </c>
      <c r="T250" s="3">
        <f>IF(I250&gt;=D_F01!$B$27,IF(H250="customer",SUMIFS(D_sales!$X$5:$X$115,D_sales!$C$5:$C$115,C250,D_sales!$W$5:$W$115,1,D_sales!$U$5:$U$115,"&gt;="&amp;G250),SUMIFS(D_sales!$X$5:$X$115,D_sales!$W$5:$W$115,1,D_sales!$U$5:$U$115,"&gt;="&amp;G250))/IF(H250="customer",SUMIFS(D_sales!$V$5:$V$115,D_sales!$C$5:$C$115,C250,D_sales!$W$5:$W$115,1,D_sales!$U$5:$U$115,"&gt;="&amp;G250),SUMIFS(D_sales!$V$5:$V$115,D_sales!$W$5:$W$115,1,D_sales!$U$5:$U$115,"&gt;="&amp;G250)),0)</f>
        <v>17.652057646717719</v>
      </c>
      <c r="U250" s="3">
        <f>IF(I250&gt;=D_F01!$B$27,IF(H250="customer",PERCENTILE(_xlfn._xlws.FILTER(D_sales!$U$5:$U$115,(D_sales!$W$5:$W$115=1)*(D_sales!$U$5:$U$115&gt;=G250)*(D_sales!$C$5:$C$115=C250)),0.25),PERCENTILE(_xlfn._xlws.FILTER(D_sales!$U$5:$U$115,(D_sales!$W$5:$W$115=1)*(D_sales!$U$5:$U$115&gt;=G250)),0.25)),0)</f>
        <v>12</v>
      </c>
      <c r="V250" s="3">
        <f>IF(I250&gt;=D_F01!$B$27,IF(H250="customer",PERCENTILE(_xlfn._xlws.FILTER(D_sales!$U$5:$U$115,(D_sales!$W$5:$W$115=1)*(D_sales!$U$5:$U$115&gt;=G250)*(D_sales!$C$5:$C$115=C250)),0.75),PERCENTILE(_xlfn._xlws.FILTER(D_sales!$U$5:$U$115,(D_sales!$W$5:$W$115=1)*(D_sales!$U$5:$U$115&gt;=G250)),0.75)),0)</f>
        <v>22.5</v>
      </c>
      <c r="W250" s="3">
        <f>IF(G250&gt;0,IF(I250&gt;=D_F01!$B$27,MIN(T250,U250),G250+3),H46)</f>
        <v>12</v>
      </c>
      <c r="X250" s="3">
        <f>IF(G250&gt;0,IF(I250&gt;=D_F01!$B$27,T250,G250+10),E46)</f>
        <v>17.652057646717719</v>
      </c>
      <c r="Y250" s="3">
        <f>IF(G250&gt;0,IF(I250&gt;=D_F01!$B$27,MAX(T250,V250),G250+21),I46)</f>
        <v>22.5</v>
      </c>
    </row>
    <row r="251" spans="1:25" ht="25.95" customHeight="1">
      <c r="A251" s="5" t="s">
        <v>1190</v>
      </c>
      <c r="B251" s="5" t="s">
        <v>1191</v>
      </c>
      <c r="C251" s="5" t="s">
        <v>954</v>
      </c>
      <c r="D251" s="5" t="s">
        <v>1128</v>
      </c>
      <c r="E251" s="9">
        <f>D_sales!N114</f>
        <v>278293425</v>
      </c>
      <c r="F251" s="6">
        <f>D_sales!H114</f>
        <v>46216</v>
      </c>
      <c r="G251" s="5">
        <f>D_sales!O114</f>
        <v>0</v>
      </c>
      <c r="H251" s="5" t="str">
        <f>C47</f>
        <v>customer</v>
      </c>
      <c r="I251" s="5">
        <f>IF(H251="default",0,IF(H251="customer",COUNTIFS(D_sales!$C$5:$C$115,C251,D_sales!$W$5:$W$115,1,D_sales!$U$5:$U$115,"&gt;="&amp;G251),COUNTIFS(D_sales!$W$5:$W$115,1,D_sales!$U$5:$U$115,"&gt;="&amp;G251)))</f>
        <v>23</v>
      </c>
      <c r="J251" s="6">
        <f t="shared" si="60"/>
        <v>46216</v>
      </c>
      <c r="K251" s="6">
        <f t="shared" si="61"/>
        <v>46218</v>
      </c>
      <c r="L251" s="6">
        <f t="shared" si="62"/>
        <v>46219</v>
      </c>
      <c r="M251" s="6"/>
      <c r="N251" s="6">
        <f>CHOOSE(D_F01!$B$19,K251,J251,L251,IF(ISNUMBER(M251),M251,K251+7),K251)</f>
        <v>46218</v>
      </c>
      <c r="O251" s="5" t="str">
        <f t="shared" si="63"/>
        <v>history_or_fallback</v>
      </c>
      <c r="P251" s="5" t="s">
        <v>1129</v>
      </c>
      <c r="Q251" s="5">
        <v>0</v>
      </c>
      <c r="R251" s="6">
        <v>46193</v>
      </c>
      <c r="S251" s="5" t="str">
        <f t="shared" si="64"/>
        <v>in_horizon</v>
      </c>
      <c r="T251" s="5">
        <f>IF(I251&gt;=D_F01!$B$27,IF(H251="customer",SUMIFS(D_sales!$X$5:$X$115,D_sales!$C$5:$C$115,C251,D_sales!$W$5:$W$115,1,D_sales!$U$5:$U$115,"&gt;="&amp;G251),SUMIFS(D_sales!$X$5:$X$115,D_sales!$W$5:$W$115,1,D_sales!$U$5:$U$115,"&gt;="&amp;G251))/IF(H251="customer",SUMIFS(D_sales!$V$5:$V$115,D_sales!$C$5:$C$115,C251,D_sales!$W$5:$W$115,1,D_sales!$U$5:$U$115,"&gt;="&amp;G251),SUMIFS(D_sales!$V$5:$V$115,D_sales!$W$5:$W$115,1,D_sales!$U$5:$U$115,"&gt;="&amp;G251)),0)</f>
        <v>1.1726666018725884</v>
      </c>
      <c r="U251" s="5">
        <f>IF(I251&gt;=D_F01!$B$27,IF(H251="customer",PERCENTILE(_xlfn._xlws.FILTER(D_sales!$U$5:$U$115,(D_sales!$W$5:$W$115=1)*(D_sales!$U$5:$U$115&gt;=G251)*(D_sales!$C$5:$C$115=C251)),0.25),PERCENTILE(_xlfn._xlws.FILTER(D_sales!$U$5:$U$115,(D_sales!$W$5:$W$115=1)*(D_sales!$U$5:$U$115&gt;=G251)),0.25)),0)</f>
        <v>0</v>
      </c>
      <c r="V251" s="5">
        <f>IF(I251&gt;=D_F01!$B$27,IF(H251="customer",PERCENTILE(_xlfn._xlws.FILTER(D_sales!$U$5:$U$115,(D_sales!$W$5:$W$115=1)*(D_sales!$U$5:$U$115&gt;=G251)*(D_sales!$C$5:$C$115=C251)),0.75),PERCENTILE(_xlfn._xlws.FILTER(D_sales!$U$5:$U$115,(D_sales!$W$5:$W$115=1)*(D_sales!$U$5:$U$115&gt;=G251)),0.75)),0)</f>
        <v>3</v>
      </c>
      <c r="W251" s="5">
        <f>IF(G251&gt;0,IF(I251&gt;=D_F01!$B$27,MIN(T251,U251),G251+3),H47)</f>
        <v>0</v>
      </c>
      <c r="X251" s="5">
        <f>IF(G251&gt;0,IF(I251&gt;=D_F01!$B$27,T251,G251+10),E47)</f>
        <v>1.1726666018725884</v>
      </c>
      <c r="Y251" s="5">
        <f>IF(G251&gt;0,IF(I251&gt;=D_F01!$B$27,MAX(T251,V251),G251+21),I47)</f>
        <v>3</v>
      </c>
    </row>
    <row r="252" spans="1:25" ht="25.95" customHeight="1">
      <c r="A252" s="3" t="s">
        <v>1192</v>
      </c>
      <c r="B252" s="3" t="s">
        <v>1193</v>
      </c>
      <c r="C252" s="3" t="s">
        <v>952</v>
      </c>
      <c r="D252" s="3" t="s">
        <v>1128</v>
      </c>
      <c r="E252" s="8">
        <f>D_sales!N115</f>
        <v>280070317</v>
      </c>
      <c r="F252" s="7">
        <f>D_sales!H115</f>
        <v>46235</v>
      </c>
      <c r="G252" s="3">
        <f>D_sales!O115</f>
        <v>0</v>
      </c>
      <c r="H252" s="3" t="str">
        <f>C46</f>
        <v>customer</v>
      </c>
      <c r="I252" s="3">
        <f>IF(H252="default",0,IF(H252="customer",COUNTIFS(D_sales!$C$5:$C$115,C252,D_sales!$W$5:$W$115,1,D_sales!$U$5:$U$115,"&gt;="&amp;G252),COUNTIFS(D_sales!$W$5:$W$115,1,D_sales!$U$5:$U$115,"&gt;="&amp;G252)))</f>
        <v>19</v>
      </c>
      <c r="J252" s="7">
        <f t="shared" si="60"/>
        <v>46247</v>
      </c>
      <c r="K252" s="7">
        <f t="shared" si="61"/>
        <v>46253</v>
      </c>
      <c r="L252" s="7">
        <f t="shared" si="62"/>
        <v>46258</v>
      </c>
      <c r="M252" s="7"/>
      <c r="N252" s="7">
        <f>CHOOSE(D_F01!$B$19,K252,J252,L252,IF(ISNUMBER(M252),M252,K252+7),K252)</f>
        <v>46253</v>
      </c>
      <c r="O252" s="3" t="str">
        <f t="shared" si="63"/>
        <v>history_or_fallback</v>
      </c>
      <c r="P252" s="3" t="s">
        <v>1129</v>
      </c>
      <c r="Q252" s="3">
        <v>0</v>
      </c>
      <c r="R252" s="7">
        <v>46193</v>
      </c>
      <c r="S252" s="3" t="str">
        <f t="shared" si="64"/>
        <v>in_horizon</v>
      </c>
      <c r="T252" s="3">
        <f>IF(I252&gt;=D_F01!$B$27,IF(H252="customer",SUMIFS(D_sales!$X$5:$X$115,D_sales!$C$5:$C$115,C252,D_sales!$W$5:$W$115,1,D_sales!$U$5:$U$115,"&gt;="&amp;G252),SUMIFS(D_sales!$X$5:$X$115,D_sales!$W$5:$W$115,1,D_sales!$U$5:$U$115,"&gt;="&amp;G252))/IF(H252="customer",SUMIFS(D_sales!$V$5:$V$115,D_sales!$C$5:$C$115,C252,D_sales!$W$5:$W$115,1,D_sales!$U$5:$U$115,"&gt;="&amp;G252),SUMIFS(D_sales!$V$5:$V$115,D_sales!$W$5:$W$115,1,D_sales!$U$5:$U$115,"&gt;="&amp;G252)),0)</f>
        <v>17.652057646717719</v>
      </c>
      <c r="U252" s="3">
        <f>IF(I252&gt;=D_F01!$B$27,IF(H252="customer",PERCENTILE(_xlfn._xlws.FILTER(D_sales!$U$5:$U$115,(D_sales!$W$5:$W$115=1)*(D_sales!$U$5:$U$115&gt;=G252)*(D_sales!$C$5:$C$115=C252)),0.25),PERCENTILE(_xlfn._xlws.FILTER(D_sales!$U$5:$U$115,(D_sales!$W$5:$W$115=1)*(D_sales!$U$5:$U$115&gt;=G252)),0.25)),0)</f>
        <v>12</v>
      </c>
      <c r="V252" s="3">
        <f>IF(I252&gt;=D_F01!$B$27,IF(H252="customer",PERCENTILE(_xlfn._xlws.FILTER(D_sales!$U$5:$U$115,(D_sales!$W$5:$W$115=1)*(D_sales!$U$5:$U$115&gt;=G252)*(D_sales!$C$5:$C$115=C252)),0.75),PERCENTILE(_xlfn._xlws.FILTER(D_sales!$U$5:$U$115,(D_sales!$W$5:$W$115=1)*(D_sales!$U$5:$U$115&gt;=G252)),0.75)),0)</f>
        <v>22.5</v>
      </c>
      <c r="W252" s="3">
        <f>IF(G252&gt;0,IF(I252&gt;=D_F01!$B$27,MIN(T252,U252),G252+3),H46)</f>
        <v>12</v>
      </c>
      <c r="X252" s="3">
        <f>IF(G252&gt;0,IF(I252&gt;=D_F01!$B$27,T252,G252+10),E46)</f>
        <v>17.652057646717719</v>
      </c>
      <c r="Y252" s="3">
        <f>IF(G252&gt;0,IF(I252&gt;=D_F01!$B$27,MAX(T252,V252),G252+21),I46)</f>
        <v>22.5</v>
      </c>
    </row>
    <row r="253" spans="1:25" ht="25.95" customHeight="1">
      <c r="A253" s="5" t="s">
        <v>1194</v>
      </c>
      <c r="B253" s="5" t="s">
        <v>1195</v>
      </c>
      <c r="C253" s="5" t="s">
        <v>979</v>
      </c>
      <c r="D253" s="5" t="s">
        <v>1196</v>
      </c>
      <c r="E253" s="9">
        <f>D_purchases!O83</f>
        <v>42900171</v>
      </c>
      <c r="F253" s="6">
        <f>D_purchases!I83</f>
        <v>46148</v>
      </c>
      <c r="G253" s="5">
        <f>D_purchases!P83</f>
        <v>45</v>
      </c>
      <c r="H253" s="5" t="s">
        <v>1197</v>
      </c>
      <c r="I253" s="5">
        <v>0</v>
      </c>
      <c r="J253" s="6">
        <f>IF(G253&gt;0,D_F01!$B$7+10+MOD(1,5),MAX($B$6,F253+IF(Q253=1,0,ROUNDUP(IFERROR(SUMIFS(D_purchases!$S$5:$S$131,D_purchases!$C$5:$C$131,C253)/SUMIFS(D_purchases!$T$5:$T$131,D_purchases!$C$5:$C$131,C253),0),0))))</f>
        <v>46204</v>
      </c>
      <c r="K253" s="6">
        <f>IF(G253&gt;0,D_F01!$B$7+5+MOD(1,5),MAX($B$6,F253+IF(Q253=1,0,ROUNDUP(IFERROR(SUMIFS(D_purchases!$S$5:$S$131,D_purchases!$C$5:$C$131,C253)/SUMIFS(D_purchases!$T$5:$T$131,D_purchases!$C$5:$C$131,C253),0),0))))</f>
        <v>46199</v>
      </c>
      <c r="L253" s="6">
        <f>IF(G253&gt;0,D_F01!$B$7+1+MOD(1,5),MAX($B$6,F253))</f>
        <v>46195</v>
      </c>
      <c r="M253" s="6"/>
      <c r="N253" s="6">
        <f>CHOOSE(D_F01!$B$19,K253,J253,L253,K253,K253)</f>
        <v>46199</v>
      </c>
      <c r="O253" s="5" t="str">
        <f t="shared" ref="O253:O274" si="65">IF(G253&gt;0,"assumed_overdue_spread_not_approved",IF(Q253=1,"essential_due","historical_policy"))</f>
        <v>assumed_overdue_spread_not_approved</v>
      </c>
      <c r="P253" s="5" t="s">
        <v>1198</v>
      </c>
      <c r="Q253" s="5">
        <f>D_purchases!U83</f>
        <v>0</v>
      </c>
      <c r="R253" s="6">
        <v>46193</v>
      </c>
      <c r="S253" s="5" t="str">
        <f t="shared" ref="S253:S284" si="66">IF(N253&gt;$B$7,"beyond_horizon","in_horizon")</f>
        <v>in_horizon</v>
      </c>
      <c r="T253" s="5">
        <v>0</v>
      </c>
      <c r="U253" s="5">
        <v>0</v>
      </c>
      <c r="V253" s="5">
        <v>0</v>
      </c>
      <c r="W253" s="5">
        <v>0</v>
      </c>
      <c r="X253" s="5">
        <v>0</v>
      </c>
      <c r="Y253" s="5">
        <v>0</v>
      </c>
    </row>
    <row r="254" spans="1:25" ht="25.95" customHeight="1">
      <c r="A254" s="3" t="s">
        <v>1199</v>
      </c>
      <c r="B254" s="3" t="s">
        <v>1200</v>
      </c>
      <c r="C254" s="3" t="s">
        <v>979</v>
      </c>
      <c r="D254" s="3" t="s">
        <v>1196</v>
      </c>
      <c r="E254" s="8">
        <f>D_purchases!O84</f>
        <v>42354953</v>
      </c>
      <c r="F254" s="7">
        <f>D_purchases!I84</f>
        <v>46180</v>
      </c>
      <c r="G254" s="3">
        <f>D_purchases!P84</f>
        <v>13</v>
      </c>
      <c r="H254" s="3" t="s">
        <v>1197</v>
      </c>
      <c r="I254" s="3">
        <v>0</v>
      </c>
      <c r="J254" s="7">
        <f>IF(G254&gt;0,D_F01!$B$7+10+MOD(2,5),MAX($B$6,F254+IF(Q254=1,0,ROUNDUP(IFERROR(SUMIFS(D_purchases!$S$5:$S$131,D_purchases!$C$5:$C$131,C254)/SUMIFS(D_purchases!$T$5:$T$131,D_purchases!$C$5:$C$131,C254),0),0))))</f>
        <v>46205</v>
      </c>
      <c r="K254" s="7">
        <f>IF(G254&gt;0,D_F01!$B$7+5+MOD(2,5),MAX($B$6,F254+IF(Q254=1,0,ROUNDUP(IFERROR(SUMIFS(D_purchases!$S$5:$S$131,D_purchases!$C$5:$C$131,C254)/SUMIFS(D_purchases!$T$5:$T$131,D_purchases!$C$5:$C$131,C254),0),0))))</f>
        <v>46200</v>
      </c>
      <c r="L254" s="7">
        <f>IF(G254&gt;0,D_F01!$B$7+1+MOD(2,5),MAX($B$6,F254))</f>
        <v>46196</v>
      </c>
      <c r="M254" s="7"/>
      <c r="N254" s="7">
        <f>CHOOSE(D_F01!$B$19,K254,J254,L254,K254,K254)</f>
        <v>46200</v>
      </c>
      <c r="O254" s="3" t="str">
        <f t="shared" si="65"/>
        <v>assumed_overdue_spread_not_approved</v>
      </c>
      <c r="P254" s="3" t="s">
        <v>1198</v>
      </c>
      <c r="Q254" s="3">
        <f>D_purchases!U84</f>
        <v>0</v>
      </c>
      <c r="R254" s="7">
        <v>46193</v>
      </c>
      <c r="S254" s="3" t="str">
        <f t="shared" si="66"/>
        <v>in_horizon</v>
      </c>
      <c r="T254" s="3">
        <v>0</v>
      </c>
      <c r="U254" s="3">
        <v>0</v>
      </c>
      <c r="V254" s="3">
        <v>0</v>
      </c>
      <c r="W254" s="3">
        <v>0</v>
      </c>
      <c r="X254" s="3">
        <v>0</v>
      </c>
      <c r="Y254" s="3">
        <v>0</v>
      </c>
    </row>
    <row r="255" spans="1:25" ht="25.95" customHeight="1">
      <c r="A255" s="5" t="s">
        <v>1201</v>
      </c>
      <c r="B255" s="5" t="s">
        <v>1202</v>
      </c>
      <c r="C255" s="5" t="s">
        <v>993</v>
      </c>
      <c r="D255" s="5" t="s">
        <v>1196</v>
      </c>
      <c r="E255" s="9">
        <f>D_purchases!O89</f>
        <v>36610051</v>
      </c>
      <c r="F255" s="6">
        <f>D_purchases!I89</f>
        <v>46169</v>
      </c>
      <c r="G255" s="5">
        <f>D_purchases!P89</f>
        <v>24</v>
      </c>
      <c r="H255" s="5" t="s">
        <v>1197</v>
      </c>
      <c r="I255" s="5">
        <v>0</v>
      </c>
      <c r="J255" s="6">
        <f>IF(G255&gt;0,D_F01!$B$7+10+MOD(3,5),MAX($B$6,F255+IF(Q255=1,0,ROUNDUP(IFERROR(SUMIFS(D_purchases!$S$5:$S$131,D_purchases!$C$5:$C$131,C255)/SUMIFS(D_purchases!$T$5:$T$131,D_purchases!$C$5:$C$131,C255),0),0))))</f>
        <v>46206</v>
      </c>
      <c r="K255" s="6">
        <f>IF(G255&gt;0,D_F01!$B$7+5+MOD(3,5),MAX($B$6,F255+IF(Q255=1,0,ROUNDUP(IFERROR(SUMIFS(D_purchases!$S$5:$S$131,D_purchases!$C$5:$C$131,C255)/SUMIFS(D_purchases!$T$5:$T$131,D_purchases!$C$5:$C$131,C255),0),0))))</f>
        <v>46201</v>
      </c>
      <c r="L255" s="6">
        <f>IF(G255&gt;0,D_F01!$B$7+1+MOD(3,5),MAX($B$6,F255))</f>
        <v>46197</v>
      </c>
      <c r="M255" s="6"/>
      <c r="N255" s="6">
        <f>CHOOSE(D_F01!$B$19,K255,J255,L255,K255,K255)</f>
        <v>46201</v>
      </c>
      <c r="O255" s="5" t="str">
        <f t="shared" si="65"/>
        <v>assumed_overdue_spread_not_approved</v>
      </c>
      <c r="P255" s="5" t="s">
        <v>1198</v>
      </c>
      <c r="Q255" s="5">
        <f>D_purchases!U89</f>
        <v>0</v>
      </c>
      <c r="R255" s="6">
        <v>46193</v>
      </c>
      <c r="S255" s="5" t="str">
        <f t="shared" si="66"/>
        <v>in_horizon</v>
      </c>
      <c r="T255" s="5">
        <v>0</v>
      </c>
      <c r="U255" s="5">
        <v>0</v>
      </c>
      <c r="V255" s="5">
        <v>0</v>
      </c>
      <c r="W255" s="5">
        <v>0</v>
      </c>
      <c r="X255" s="5">
        <v>0</v>
      </c>
      <c r="Y255" s="5">
        <v>0</v>
      </c>
    </row>
    <row r="256" spans="1:25" ht="25.95" customHeight="1">
      <c r="A256" s="3" t="s">
        <v>1203</v>
      </c>
      <c r="B256" s="3" t="s">
        <v>1204</v>
      </c>
      <c r="C256" s="3" t="s">
        <v>979</v>
      </c>
      <c r="D256" s="3" t="s">
        <v>1196</v>
      </c>
      <c r="E256" s="8">
        <f>D_purchases!O90</f>
        <v>86112489</v>
      </c>
      <c r="F256" s="7">
        <f>D_purchases!I90</f>
        <v>46185</v>
      </c>
      <c r="G256" s="3">
        <f>D_purchases!P90</f>
        <v>8</v>
      </c>
      <c r="H256" s="3" t="s">
        <v>1197</v>
      </c>
      <c r="I256" s="3">
        <v>0</v>
      </c>
      <c r="J256" s="7">
        <f>IF(G256&gt;0,D_F01!$B$7+10+MOD(4,5),MAX($B$6,F256+IF(Q256=1,0,ROUNDUP(IFERROR(SUMIFS(D_purchases!$S$5:$S$131,D_purchases!$C$5:$C$131,C256)/SUMIFS(D_purchases!$T$5:$T$131,D_purchases!$C$5:$C$131,C256),0),0))))</f>
        <v>46207</v>
      </c>
      <c r="K256" s="7">
        <f>IF(G256&gt;0,D_F01!$B$7+5+MOD(4,5),MAX($B$6,F256+IF(Q256=1,0,ROUNDUP(IFERROR(SUMIFS(D_purchases!$S$5:$S$131,D_purchases!$C$5:$C$131,C256)/SUMIFS(D_purchases!$T$5:$T$131,D_purchases!$C$5:$C$131,C256),0),0))))</f>
        <v>46202</v>
      </c>
      <c r="L256" s="7">
        <f>IF(G256&gt;0,D_F01!$B$7+1+MOD(4,5),MAX($B$6,F256))</f>
        <v>46198</v>
      </c>
      <c r="M256" s="7"/>
      <c r="N256" s="7">
        <f>CHOOSE(D_F01!$B$19,K256,J256,L256,K256,K256)</f>
        <v>46202</v>
      </c>
      <c r="O256" s="3" t="str">
        <f t="shared" si="65"/>
        <v>assumed_overdue_spread_not_approved</v>
      </c>
      <c r="P256" s="3" t="s">
        <v>1198</v>
      </c>
      <c r="Q256" s="3">
        <f>D_purchases!U90</f>
        <v>0</v>
      </c>
      <c r="R256" s="7">
        <v>46193</v>
      </c>
      <c r="S256" s="3" t="str">
        <f t="shared" si="66"/>
        <v>in_horizon</v>
      </c>
      <c r="T256" s="3">
        <v>0</v>
      </c>
      <c r="U256" s="3">
        <v>0</v>
      </c>
      <c r="V256" s="3">
        <v>0</v>
      </c>
      <c r="W256" s="3">
        <v>0</v>
      </c>
      <c r="X256" s="3">
        <v>0</v>
      </c>
      <c r="Y256" s="3">
        <v>0</v>
      </c>
    </row>
    <row r="257" spans="1:25" ht="25.95" customHeight="1">
      <c r="A257" s="5" t="s">
        <v>1205</v>
      </c>
      <c r="B257" s="5" t="s">
        <v>1206</v>
      </c>
      <c r="C257" s="5" t="s">
        <v>979</v>
      </c>
      <c r="D257" s="5" t="s">
        <v>1196</v>
      </c>
      <c r="E257" s="9">
        <f>D_purchases!O96</f>
        <v>29191344</v>
      </c>
      <c r="F257" s="6">
        <f>D_purchases!I96</f>
        <v>46192</v>
      </c>
      <c r="G257" s="5">
        <f>D_purchases!P96</f>
        <v>1</v>
      </c>
      <c r="H257" s="5" t="s">
        <v>1197</v>
      </c>
      <c r="I257" s="5">
        <v>0</v>
      </c>
      <c r="J257" s="6">
        <f>IF(G257&gt;0,D_F01!$B$7+10+MOD(5,5),MAX($B$6,F257+IF(Q257=1,0,ROUNDUP(IFERROR(SUMIFS(D_purchases!$S$5:$S$131,D_purchases!$C$5:$C$131,C257)/SUMIFS(D_purchases!$T$5:$T$131,D_purchases!$C$5:$C$131,C257),0),0))))</f>
        <v>46203</v>
      </c>
      <c r="K257" s="6">
        <f>IF(G257&gt;0,D_F01!$B$7+5+MOD(5,5),MAX($B$6,F257+IF(Q257=1,0,ROUNDUP(IFERROR(SUMIFS(D_purchases!$S$5:$S$131,D_purchases!$C$5:$C$131,C257)/SUMIFS(D_purchases!$T$5:$T$131,D_purchases!$C$5:$C$131,C257),0),0))))</f>
        <v>46198</v>
      </c>
      <c r="L257" s="6">
        <f>IF(G257&gt;0,D_F01!$B$7+1+MOD(5,5),MAX($B$6,F257))</f>
        <v>46194</v>
      </c>
      <c r="M257" s="6"/>
      <c r="N257" s="6">
        <f>CHOOSE(D_F01!$B$19,K257,J257,L257,K257,K257)</f>
        <v>46198</v>
      </c>
      <c r="O257" s="5" t="str">
        <f t="shared" si="65"/>
        <v>assumed_overdue_spread_not_approved</v>
      </c>
      <c r="P257" s="5" t="s">
        <v>1198</v>
      </c>
      <c r="Q257" s="5">
        <f>D_purchases!U96</f>
        <v>0</v>
      </c>
      <c r="R257" s="6">
        <v>46193</v>
      </c>
      <c r="S257" s="5" t="str">
        <f t="shared" si="66"/>
        <v>in_horizon</v>
      </c>
      <c r="T257" s="5">
        <v>0</v>
      </c>
      <c r="U257" s="5">
        <v>0</v>
      </c>
      <c r="V257" s="5">
        <v>0</v>
      </c>
      <c r="W257" s="5">
        <v>0</v>
      </c>
      <c r="X257" s="5">
        <v>0</v>
      </c>
      <c r="Y257" s="5">
        <v>0</v>
      </c>
    </row>
    <row r="258" spans="1:25" ht="25.95" customHeight="1">
      <c r="A258" s="3" t="s">
        <v>1207</v>
      </c>
      <c r="B258" s="3" t="s">
        <v>1208</v>
      </c>
      <c r="C258" s="3" t="s">
        <v>979</v>
      </c>
      <c r="D258" s="3" t="s">
        <v>1196</v>
      </c>
      <c r="E258" s="8">
        <f>D_purchases!O109</f>
        <v>72026311</v>
      </c>
      <c r="F258" s="7">
        <f>D_purchases!I109</f>
        <v>46208</v>
      </c>
      <c r="G258" s="3">
        <f>D_purchases!P109</f>
        <v>0</v>
      </c>
      <c r="H258" s="3" t="s">
        <v>1197</v>
      </c>
      <c r="I258" s="3">
        <v>0</v>
      </c>
      <c r="J258" s="7">
        <f>IF(G258&gt;0,D_F01!$B$7+10+MOD(6,5),MAX($B$6,F258+IF(Q258=1,0,ROUNDUP(IFERROR(SUMIFS(D_purchases!$S$5:$S$131,D_purchases!$C$5:$C$131,C258)/SUMIFS(D_purchases!$T$5:$T$131,D_purchases!$C$5:$C$131,C258),0),0))))</f>
        <v>46223</v>
      </c>
      <c r="K258" s="7">
        <f>IF(G258&gt;0,D_F01!$B$7+5+MOD(6,5),MAX($B$6,F258+IF(Q258=1,0,ROUNDUP(IFERROR(SUMIFS(D_purchases!$S$5:$S$131,D_purchases!$C$5:$C$131,C258)/SUMIFS(D_purchases!$T$5:$T$131,D_purchases!$C$5:$C$131,C258),0),0))))</f>
        <v>46223</v>
      </c>
      <c r="L258" s="7">
        <f>IF(G258&gt;0,D_F01!$B$7+1+MOD(6,5),MAX($B$6,F258))</f>
        <v>46208</v>
      </c>
      <c r="M258" s="7"/>
      <c r="N258" s="7">
        <f>CHOOSE(D_F01!$B$19,K258,J258,L258,K258,K258)</f>
        <v>46223</v>
      </c>
      <c r="O258" s="3" t="str">
        <f t="shared" si="65"/>
        <v>historical_policy</v>
      </c>
      <c r="P258" s="3" t="s">
        <v>1198</v>
      </c>
      <c r="Q258" s="3">
        <f>D_purchases!U109</f>
        <v>0</v>
      </c>
      <c r="R258" s="7">
        <v>46193</v>
      </c>
      <c r="S258" s="3" t="str">
        <f t="shared" si="66"/>
        <v>in_horizon</v>
      </c>
      <c r="T258" s="3">
        <v>0</v>
      </c>
      <c r="U258" s="3">
        <v>0</v>
      </c>
      <c r="V258" s="3">
        <v>0</v>
      </c>
      <c r="W258" s="3">
        <v>0</v>
      </c>
      <c r="X258" s="3">
        <v>0</v>
      </c>
      <c r="Y258" s="3">
        <v>0</v>
      </c>
    </row>
    <row r="259" spans="1:25" ht="25.95" customHeight="1">
      <c r="A259" s="5" t="s">
        <v>1209</v>
      </c>
      <c r="B259" s="5" t="s">
        <v>1210</v>
      </c>
      <c r="C259" s="5" t="s">
        <v>979</v>
      </c>
      <c r="D259" s="5" t="s">
        <v>1196</v>
      </c>
      <c r="E259" s="9">
        <f>D_purchases!O110</f>
        <v>62787437</v>
      </c>
      <c r="F259" s="6">
        <f>D_purchases!I110</f>
        <v>46212</v>
      </c>
      <c r="G259" s="5">
        <f>D_purchases!P110</f>
        <v>0</v>
      </c>
      <c r="H259" s="5" t="s">
        <v>1197</v>
      </c>
      <c r="I259" s="5">
        <v>0</v>
      </c>
      <c r="J259" s="6">
        <f>IF(G259&gt;0,D_F01!$B$7+10+MOD(7,5),MAX($B$6,F259+IF(Q259=1,0,ROUNDUP(IFERROR(SUMIFS(D_purchases!$S$5:$S$131,D_purchases!$C$5:$C$131,C259)/SUMIFS(D_purchases!$T$5:$T$131,D_purchases!$C$5:$C$131,C259),0),0))))</f>
        <v>46227</v>
      </c>
      <c r="K259" s="6">
        <f>IF(G259&gt;0,D_F01!$B$7+5+MOD(7,5),MAX($B$6,F259+IF(Q259=1,0,ROUNDUP(IFERROR(SUMIFS(D_purchases!$S$5:$S$131,D_purchases!$C$5:$C$131,C259)/SUMIFS(D_purchases!$T$5:$T$131,D_purchases!$C$5:$C$131,C259),0),0))))</f>
        <v>46227</v>
      </c>
      <c r="L259" s="6">
        <f>IF(G259&gt;0,D_F01!$B$7+1+MOD(7,5),MAX($B$6,F259))</f>
        <v>46212</v>
      </c>
      <c r="M259" s="6"/>
      <c r="N259" s="6">
        <f>CHOOSE(D_F01!$B$19,K259,J259,L259,K259,K259)</f>
        <v>46227</v>
      </c>
      <c r="O259" s="5" t="str">
        <f t="shared" si="65"/>
        <v>historical_policy</v>
      </c>
      <c r="P259" s="5" t="s">
        <v>1198</v>
      </c>
      <c r="Q259" s="5">
        <f>D_purchases!U110</f>
        <v>0</v>
      </c>
      <c r="R259" s="6">
        <v>46193</v>
      </c>
      <c r="S259" s="5" t="str">
        <f t="shared" si="66"/>
        <v>in_horizon</v>
      </c>
      <c r="T259" s="5">
        <v>0</v>
      </c>
      <c r="U259" s="5">
        <v>0</v>
      </c>
      <c r="V259" s="5">
        <v>0</v>
      </c>
      <c r="W259" s="5">
        <v>0</v>
      </c>
      <c r="X259" s="5">
        <v>0</v>
      </c>
      <c r="Y259" s="5">
        <v>0</v>
      </c>
    </row>
    <row r="260" spans="1:25" ht="25.95" customHeight="1">
      <c r="A260" s="3" t="s">
        <v>1211</v>
      </c>
      <c r="B260" s="3" t="s">
        <v>1212</v>
      </c>
      <c r="C260" s="3" t="s">
        <v>979</v>
      </c>
      <c r="D260" s="3" t="s">
        <v>1196</v>
      </c>
      <c r="E260" s="8">
        <f>D_purchases!O113</f>
        <v>29342563</v>
      </c>
      <c r="F260" s="7">
        <f>D_purchases!I113</f>
        <v>46216</v>
      </c>
      <c r="G260" s="3">
        <f>D_purchases!P113</f>
        <v>0</v>
      </c>
      <c r="H260" s="3" t="s">
        <v>1197</v>
      </c>
      <c r="I260" s="3">
        <v>0</v>
      </c>
      <c r="J260" s="7">
        <f>IF(G260&gt;0,D_F01!$B$7+10+MOD(8,5),MAX($B$6,F260+IF(Q260=1,0,ROUNDUP(IFERROR(SUMIFS(D_purchases!$S$5:$S$131,D_purchases!$C$5:$C$131,C260)/SUMIFS(D_purchases!$T$5:$T$131,D_purchases!$C$5:$C$131,C260),0),0))))</f>
        <v>46231</v>
      </c>
      <c r="K260" s="7">
        <f>IF(G260&gt;0,D_F01!$B$7+5+MOD(8,5),MAX($B$6,F260+IF(Q260=1,0,ROUNDUP(IFERROR(SUMIFS(D_purchases!$S$5:$S$131,D_purchases!$C$5:$C$131,C260)/SUMIFS(D_purchases!$T$5:$T$131,D_purchases!$C$5:$C$131,C260),0),0))))</f>
        <v>46231</v>
      </c>
      <c r="L260" s="7">
        <f>IF(G260&gt;0,D_F01!$B$7+1+MOD(8,5),MAX($B$6,F260))</f>
        <v>46216</v>
      </c>
      <c r="M260" s="7"/>
      <c r="N260" s="7">
        <f>CHOOSE(D_F01!$B$19,K260,J260,L260,K260,K260)</f>
        <v>46231</v>
      </c>
      <c r="O260" s="3" t="str">
        <f t="shared" si="65"/>
        <v>historical_policy</v>
      </c>
      <c r="P260" s="3" t="s">
        <v>1198</v>
      </c>
      <c r="Q260" s="3">
        <f>D_purchases!U113</f>
        <v>0</v>
      </c>
      <c r="R260" s="7">
        <v>46193</v>
      </c>
      <c r="S260" s="3" t="str">
        <f t="shared" si="66"/>
        <v>in_horizon</v>
      </c>
      <c r="T260" s="3">
        <v>0</v>
      </c>
      <c r="U260" s="3">
        <v>0</v>
      </c>
      <c r="V260" s="3">
        <v>0</v>
      </c>
      <c r="W260" s="3">
        <v>0</v>
      </c>
      <c r="X260" s="3">
        <v>0</v>
      </c>
      <c r="Y260" s="3">
        <v>0</v>
      </c>
    </row>
    <row r="261" spans="1:25" ht="25.95" customHeight="1">
      <c r="A261" s="5" t="s">
        <v>1213</v>
      </c>
      <c r="B261" s="5" t="s">
        <v>1214</v>
      </c>
      <c r="C261" s="5" t="s">
        <v>993</v>
      </c>
      <c r="D261" s="5" t="s">
        <v>1196</v>
      </c>
      <c r="E261" s="9">
        <f>D_purchases!O116</f>
        <v>51253933</v>
      </c>
      <c r="F261" s="6">
        <f>D_purchases!I116</f>
        <v>46203</v>
      </c>
      <c r="G261" s="5">
        <f>D_purchases!P116</f>
        <v>0</v>
      </c>
      <c r="H261" s="5" t="s">
        <v>1197</v>
      </c>
      <c r="I261" s="5">
        <v>0</v>
      </c>
      <c r="J261" s="6">
        <f>IF(G261&gt;0,D_F01!$B$7+10+MOD(9,5),MAX($B$6,F261+IF(Q261=1,0,ROUNDUP(IFERROR(SUMIFS(D_purchases!$S$5:$S$131,D_purchases!$C$5:$C$131,C261)/SUMIFS(D_purchases!$T$5:$T$131,D_purchases!$C$5:$C$131,C261),0),0))))</f>
        <v>46204</v>
      </c>
      <c r="K261" s="6">
        <f>IF(G261&gt;0,D_F01!$B$7+5+MOD(9,5),MAX($B$6,F261+IF(Q261=1,0,ROUNDUP(IFERROR(SUMIFS(D_purchases!$S$5:$S$131,D_purchases!$C$5:$C$131,C261)/SUMIFS(D_purchases!$T$5:$T$131,D_purchases!$C$5:$C$131,C261),0),0))))</f>
        <v>46204</v>
      </c>
      <c r="L261" s="6">
        <f>IF(G261&gt;0,D_F01!$B$7+1+MOD(9,5),MAX($B$6,F261))</f>
        <v>46203</v>
      </c>
      <c r="M261" s="6"/>
      <c r="N261" s="6">
        <f>CHOOSE(D_F01!$B$19,K261,J261,L261,K261,K261)</f>
        <v>46204</v>
      </c>
      <c r="O261" s="5" t="str">
        <f t="shared" si="65"/>
        <v>historical_policy</v>
      </c>
      <c r="P261" s="5" t="s">
        <v>1198</v>
      </c>
      <c r="Q261" s="5">
        <f>D_purchases!U116</f>
        <v>0</v>
      </c>
      <c r="R261" s="6">
        <v>46193</v>
      </c>
      <c r="S261" s="5" t="str">
        <f t="shared" si="66"/>
        <v>in_horizon</v>
      </c>
      <c r="T261" s="5">
        <v>0</v>
      </c>
      <c r="U261" s="5">
        <v>0</v>
      </c>
      <c r="V261" s="5">
        <v>0</v>
      </c>
      <c r="W261" s="5">
        <v>0</v>
      </c>
      <c r="X261" s="5">
        <v>0</v>
      </c>
      <c r="Y261" s="5">
        <v>0</v>
      </c>
    </row>
    <row r="262" spans="1:25" ht="25.95" customHeight="1">
      <c r="A262" s="3" t="s">
        <v>1215</v>
      </c>
      <c r="B262" s="3" t="s">
        <v>1216</v>
      </c>
      <c r="C262" s="3" t="s">
        <v>976</v>
      </c>
      <c r="D262" s="3" t="s">
        <v>1196</v>
      </c>
      <c r="E262" s="8">
        <f>D_purchases!O118</f>
        <v>61901632</v>
      </c>
      <c r="F262" s="7">
        <f>D_purchases!I118</f>
        <v>46206</v>
      </c>
      <c r="G262" s="3">
        <f>D_purchases!P118</f>
        <v>0</v>
      </c>
      <c r="H262" s="3" t="s">
        <v>1197</v>
      </c>
      <c r="I262" s="3">
        <v>0</v>
      </c>
      <c r="J262" s="7">
        <f>IF(G262&gt;0,D_F01!$B$7+10+MOD(10,5),MAX($B$6,F262+IF(Q262=1,0,ROUNDUP(IFERROR(SUMIFS(D_purchases!$S$5:$S$131,D_purchases!$C$5:$C$131,C262)/SUMIFS(D_purchases!$T$5:$T$131,D_purchases!$C$5:$C$131,C262),0),0))))</f>
        <v>46206</v>
      </c>
      <c r="K262" s="7">
        <f>IF(G262&gt;0,D_F01!$B$7+5+MOD(10,5),MAX($B$6,F262+IF(Q262=1,0,ROUNDUP(IFERROR(SUMIFS(D_purchases!$S$5:$S$131,D_purchases!$C$5:$C$131,C262)/SUMIFS(D_purchases!$T$5:$T$131,D_purchases!$C$5:$C$131,C262),0),0))))</f>
        <v>46206</v>
      </c>
      <c r="L262" s="7">
        <f>IF(G262&gt;0,D_F01!$B$7+1+MOD(10,5),MAX($B$6,F262))</f>
        <v>46206</v>
      </c>
      <c r="M262" s="7"/>
      <c r="N262" s="7">
        <f>CHOOSE(D_F01!$B$19,K262,J262,L262,K262,K262)</f>
        <v>46206</v>
      </c>
      <c r="O262" s="3" t="str">
        <f t="shared" si="65"/>
        <v>essential_due</v>
      </c>
      <c r="P262" s="3" t="s">
        <v>1198</v>
      </c>
      <c r="Q262" s="3">
        <f>D_purchases!U118</f>
        <v>1</v>
      </c>
      <c r="R262" s="7">
        <v>46193</v>
      </c>
      <c r="S262" s="3" t="str">
        <f t="shared" si="66"/>
        <v>in_horizon</v>
      </c>
      <c r="T262" s="3">
        <v>0</v>
      </c>
      <c r="U262" s="3">
        <v>0</v>
      </c>
      <c r="V262" s="3">
        <v>0</v>
      </c>
      <c r="W262" s="3">
        <v>0</v>
      </c>
      <c r="X262" s="3">
        <v>0</v>
      </c>
      <c r="Y262" s="3">
        <v>0</v>
      </c>
    </row>
    <row r="263" spans="1:25" ht="25.95" customHeight="1">
      <c r="A263" s="5" t="s">
        <v>1217</v>
      </c>
      <c r="B263" s="5" t="s">
        <v>1218</v>
      </c>
      <c r="C263" s="5" t="s">
        <v>990</v>
      </c>
      <c r="D263" s="5" t="s">
        <v>1196</v>
      </c>
      <c r="E263" s="9">
        <f>D_purchases!O119</f>
        <v>163227499</v>
      </c>
      <c r="F263" s="6">
        <f>D_purchases!I119</f>
        <v>46118</v>
      </c>
      <c r="G263" s="5">
        <f>D_purchases!P119</f>
        <v>75</v>
      </c>
      <c r="H263" s="5" t="s">
        <v>1197</v>
      </c>
      <c r="I263" s="5">
        <v>0</v>
      </c>
      <c r="J263" s="6">
        <f>IF(G263&gt;0,D_F01!$B$7+10+MOD(11,5),MAX($B$6,F263+IF(Q263=1,0,ROUNDUP(IFERROR(SUMIFS(D_purchases!$S$5:$S$131,D_purchases!$C$5:$C$131,C263)/SUMIFS(D_purchases!$T$5:$T$131,D_purchases!$C$5:$C$131,C263),0),0))))</f>
        <v>46204</v>
      </c>
      <c r="K263" s="6">
        <f>IF(G263&gt;0,D_F01!$B$7+5+MOD(11,5),MAX($B$6,F263+IF(Q263=1,0,ROUNDUP(IFERROR(SUMIFS(D_purchases!$S$5:$S$131,D_purchases!$C$5:$C$131,C263)/SUMIFS(D_purchases!$T$5:$T$131,D_purchases!$C$5:$C$131,C263),0),0))))</f>
        <v>46199</v>
      </c>
      <c r="L263" s="6">
        <f>IF(G263&gt;0,D_F01!$B$7+1+MOD(11,5),MAX($B$6,F263))</f>
        <v>46195</v>
      </c>
      <c r="M263" s="6"/>
      <c r="N263" s="6">
        <f>CHOOSE(D_F01!$B$19,K263,J263,L263,K263,K263)</f>
        <v>46199</v>
      </c>
      <c r="O263" s="5" t="str">
        <f t="shared" si="65"/>
        <v>assumed_overdue_spread_not_approved</v>
      </c>
      <c r="P263" s="5" t="s">
        <v>1198</v>
      </c>
      <c r="Q263" s="5">
        <f>D_purchases!U119</f>
        <v>0</v>
      </c>
      <c r="R263" s="6">
        <v>46193</v>
      </c>
      <c r="S263" s="5" t="str">
        <f t="shared" si="66"/>
        <v>in_horizon</v>
      </c>
      <c r="T263" s="5">
        <v>0</v>
      </c>
      <c r="U263" s="5">
        <v>0</v>
      </c>
      <c r="V263" s="5">
        <v>0</v>
      </c>
      <c r="W263" s="5">
        <v>0</v>
      </c>
      <c r="X263" s="5">
        <v>0</v>
      </c>
      <c r="Y263" s="5">
        <v>0</v>
      </c>
    </row>
    <row r="264" spans="1:25" ht="25.95" customHeight="1">
      <c r="A264" s="3" t="s">
        <v>1219</v>
      </c>
      <c r="B264" s="3" t="s">
        <v>1220</v>
      </c>
      <c r="C264" s="3" t="s">
        <v>982</v>
      </c>
      <c r="D264" s="3" t="s">
        <v>1196</v>
      </c>
      <c r="E264" s="8">
        <f>D_purchases!O120</f>
        <v>26794745</v>
      </c>
      <c r="F264" s="7">
        <f>D_purchases!I120</f>
        <v>46194</v>
      </c>
      <c r="G264" s="3">
        <f>D_purchases!P120</f>
        <v>0</v>
      </c>
      <c r="H264" s="3" t="s">
        <v>1197</v>
      </c>
      <c r="I264" s="3">
        <v>0</v>
      </c>
      <c r="J264" s="7">
        <f>IF(G264&gt;0,D_F01!$B$7+10+MOD(12,5),MAX($B$6,F264+IF(Q264=1,0,ROUNDUP(IFERROR(SUMIFS(D_purchases!$S$5:$S$131,D_purchases!$C$5:$C$131,C264)/SUMIFS(D_purchases!$T$5:$T$131,D_purchases!$C$5:$C$131,C264),0),0))))</f>
        <v>46194</v>
      </c>
      <c r="K264" s="7">
        <f>IF(G264&gt;0,D_F01!$B$7+5+MOD(12,5),MAX($B$6,F264+IF(Q264=1,0,ROUNDUP(IFERROR(SUMIFS(D_purchases!$S$5:$S$131,D_purchases!$C$5:$C$131,C264)/SUMIFS(D_purchases!$T$5:$T$131,D_purchases!$C$5:$C$131,C264),0),0))))</f>
        <v>46194</v>
      </c>
      <c r="L264" s="7">
        <f>IF(G264&gt;0,D_F01!$B$7+1+MOD(12,5),MAX($B$6,F264))</f>
        <v>46194</v>
      </c>
      <c r="M264" s="7"/>
      <c r="N264" s="7">
        <f>CHOOSE(D_F01!$B$19,K264,J264,L264,K264,K264)</f>
        <v>46194</v>
      </c>
      <c r="O264" s="3" t="str">
        <f t="shared" si="65"/>
        <v>essential_due</v>
      </c>
      <c r="P264" s="3" t="s">
        <v>1198</v>
      </c>
      <c r="Q264" s="3">
        <f>D_purchases!U120</f>
        <v>1</v>
      </c>
      <c r="R264" s="7">
        <v>46193</v>
      </c>
      <c r="S264" s="3" t="str">
        <f t="shared" si="66"/>
        <v>in_horizon</v>
      </c>
      <c r="T264" s="3">
        <v>0</v>
      </c>
      <c r="U264" s="3">
        <v>0</v>
      </c>
      <c r="V264" s="3">
        <v>0</v>
      </c>
      <c r="W264" s="3">
        <v>0</v>
      </c>
      <c r="X264" s="3">
        <v>0</v>
      </c>
      <c r="Y264" s="3">
        <v>0</v>
      </c>
    </row>
    <row r="265" spans="1:25" ht="25.95" customHeight="1">
      <c r="A265" s="5" t="s">
        <v>1221</v>
      </c>
      <c r="B265" s="5" t="s">
        <v>1222</v>
      </c>
      <c r="C265" s="5" t="s">
        <v>986</v>
      </c>
      <c r="D265" s="5" t="s">
        <v>1196</v>
      </c>
      <c r="E265" s="9">
        <f>D_purchases!O121</f>
        <v>154290368</v>
      </c>
      <c r="F265" s="6">
        <f>D_purchases!I121</f>
        <v>46209</v>
      </c>
      <c r="G265" s="5">
        <f>D_purchases!P121</f>
        <v>0</v>
      </c>
      <c r="H265" s="5" t="s">
        <v>1197</v>
      </c>
      <c r="I265" s="5">
        <v>0</v>
      </c>
      <c r="J265" s="6">
        <f>IF(G265&gt;0,D_F01!$B$7+10+MOD(13,5),MAX($B$6,F265+IF(Q265=1,0,ROUNDUP(IFERROR(SUMIFS(D_purchases!$S$5:$S$131,D_purchases!$C$5:$C$131,C265)/SUMIFS(D_purchases!$T$5:$T$131,D_purchases!$C$5:$C$131,C265),0),0))))</f>
        <v>46210</v>
      </c>
      <c r="K265" s="6">
        <f>IF(G265&gt;0,D_F01!$B$7+5+MOD(13,5),MAX($B$6,F265+IF(Q265=1,0,ROUNDUP(IFERROR(SUMIFS(D_purchases!$S$5:$S$131,D_purchases!$C$5:$C$131,C265)/SUMIFS(D_purchases!$T$5:$T$131,D_purchases!$C$5:$C$131,C265),0),0))))</f>
        <v>46210</v>
      </c>
      <c r="L265" s="6">
        <f>IF(G265&gt;0,D_F01!$B$7+1+MOD(13,5),MAX($B$6,F265))</f>
        <v>46209</v>
      </c>
      <c r="M265" s="6"/>
      <c r="N265" s="6">
        <f>CHOOSE(D_F01!$B$19,K265,J265,L265,K265,K265)</f>
        <v>46210</v>
      </c>
      <c r="O265" s="5" t="str">
        <f t="shared" si="65"/>
        <v>historical_policy</v>
      </c>
      <c r="P265" s="5" t="s">
        <v>1198</v>
      </c>
      <c r="Q265" s="5">
        <f>D_purchases!U121</f>
        <v>0</v>
      </c>
      <c r="R265" s="6">
        <v>46193</v>
      </c>
      <c r="S265" s="5" t="str">
        <f t="shared" si="66"/>
        <v>in_horizon</v>
      </c>
      <c r="T265" s="5">
        <v>0</v>
      </c>
      <c r="U265" s="5">
        <v>0</v>
      </c>
      <c r="V265" s="5">
        <v>0</v>
      </c>
      <c r="W265" s="5">
        <v>0</v>
      </c>
      <c r="X265" s="5">
        <v>0</v>
      </c>
      <c r="Y265" s="5">
        <v>0</v>
      </c>
    </row>
    <row r="266" spans="1:25" ht="25.95" customHeight="1">
      <c r="A266" s="3" t="s">
        <v>1223</v>
      </c>
      <c r="B266" s="3" t="s">
        <v>1224</v>
      </c>
      <c r="C266" s="3" t="s">
        <v>982</v>
      </c>
      <c r="D266" s="3" t="s">
        <v>1196</v>
      </c>
      <c r="E266" s="8">
        <f>D_purchases!O123</f>
        <v>11188062</v>
      </c>
      <c r="F266" s="7">
        <f>D_purchases!I123</f>
        <v>46200</v>
      </c>
      <c r="G266" s="3">
        <f>D_purchases!P123</f>
        <v>0</v>
      </c>
      <c r="H266" s="3" t="s">
        <v>1197</v>
      </c>
      <c r="I266" s="3">
        <v>0</v>
      </c>
      <c r="J266" s="7">
        <f>IF(G266&gt;0,D_F01!$B$7+10+MOD(14,5),MAX($B$6,F266+IF(Q266=1,0,ROUNDUP(IFERROR(SUMIFS(D_purchases!$S$5:$S$131,D_purchases!$C$5:$C$131,C266)/SUMIFS(D_purchases!$T$5:$T$131,D_purchases!$C$5:$C$131,C266),0),0))))</f>
        <v>46200</v>
      </c>
      <c r="K266" s="7">
        <f>IF(G266&gt;0,D_F01!$B$7+5+MOD(14,5),MAX($B$6,F266+IF(Q266=1,0,ROUNDUP(IFERROR(SUMIFS(D_purchases!$S$5:$S$131,D_purchases!$C$5:$C$131,C266)/SUMIFS(D_purchases!$T$5:$T$131,D_purchases!$C$5:$C$131,C266),0),0))))</f>
        <v>46200</v>
      </c>
      <c r="L266" s="7">
        <f>IF(G266&gt;0,D_F01!$B$7+1+MOD(14,5),MAX($B$6,F266))</f>
        <v>46200</v>
      </c>
      <c r="M266" s="7"/>
      <c r="N266" s="7">
        <f>CHOOSE(D_F01!$B$19,K266,J266,L266,K266,K266)</f>
        <v>46200</v>
      </c>
      <c r="O266" s="3" t="str">
        <f t="shared" si="65"/>
        <v>essential_due</v>
      </c>
      <c r="P266" s="3" t="s">
        <v>1198</v>
      </c>
      <c r="Q266" s="3">
        <f>D_purchases!U123</f>
        <v>1</v>
      </c>
      <c r="R266" s="7">
        <v>46193</v>
      </c>
      <c r="S266" s="3" t="str">
        <f t="shared" si="66"/>
        <v>in_horizon</v>
      </c>
      <c r="T266" s="3">
        <v>0</v>
      </c>
      <c r="U266" s="3">
        <v>0</v>
      </c>
      <c r="V266" s="3">
        <v>0</v>
      </c>
      <c r="W266" s="3">
        <v>0</v>
      </c>
      <c r="X266" s="3">
        <v>0</v>
      </c>
      <c r="Y266" s="3">
        <v>0</v>
      </c>
    </row>
    <row r="267" spans="1:25" ht="25.95" customHeight="1">
      <c r="A267" s="5" t="s">
        <v>1225</v>
      </c>
      <c r="B267" s="5" t="s">
        <v>1226</v>
      </c>
      <c r="C267" s="5" t="s">
        <v>995</v>
      </c>
      <c r="D267" s="5" t="s">
        <v>1196</v>
      </c>
      <c r="E267" s="9">
        <f>D_purchases!O124</f>
        <v>57768105</v>
      </c>
      <c r="F267" s="6">
        <f>D_purchases!I124</f>
        <v>46217</v>
      </c>
      <c r="G267" s="5">
        <f>D_purchases!P124</f>
        <v>0</v>
      </c>
      <c r="H267" s="5" t="s">
        <v>1197</v>
      </c>
      <c r="I267" s="5">
        <v>0</v>
      </c>
      <c r="J267" s="6">
        <f>IF(G267&gt;0,D_F01!$B$7+10+MOD(15,5),MAX($B$6,F267+IF(Q267=1,0,ROUNDUP(IFERROR(SUMIFS(D_purchases!$S$5:$S$131,D_purchases!$C$5:$C$131,C267)/SUMIFS(D_purchases!$T$5:$T$131,D_purchases!$C$5:$C$131,C267),0),0))))</f>
        <v>46217</v>
      </c>
      <c r="K267" s="6">
        <f>IF(G267&gt;0,D_F01!$B$7+5+MOD(15,5),MAX($B$6,F267+IF(Q267=1,0,ROUNDUP(IFERROR(SUMIFS(D_purchases!$S$5:$S$131,D_purchases!$C$5:$C$131,C267)/SUMIFS(D_purchases!$T$5:$T$131,D_purchases!$C$5:$C$131,C267),0),0))))</f>
        <v>46217</v>
      </c>
      <c r="L267" s="6">
        <f>IF(G267&gt;0,D_F01!$B$7+1+MOD(15,5),MAX($B$6,F267))</f>
        <v>46217</v>
      </c>
      <c r="M267" s="6"/>
      <c r="N267" s="6">
        <f>CHOOSE(D_F01!$B$19,K267,J267,L267,K267,K267)</f>
        <v>46217</v>
      </c>
      <c r="O267" s="5" t="str">
        <f t="shared" si="65"/>
        <v>essential_due</v>
      </c>
      <c r="P267" s="5" t="s">
        <v>1198</v>
      </c>
      <c r="Q267" s="5">
        <f>D_purchases!U124</f>
        <v>1</v>
      </c>
      <c r="R267" s="6">
        <v>46193</v>
      </c>
      <c r="S267" s="5" t="str">
        <f t="shared" si="66"/>
        <v>in_horizon</v>
      </c>
      <c r="T267" s="5">
        <v>0</v>
      </c>
      <c r="U267" s="5">
        <v>0</v>
      </c>
      <c r="V267" s="5">
        <v>0</v>
      </c>
      <c r="W267" s="5">
        <v>0</v>
      </c>
      <c r="X267" s="5">
        <v>0</v>
      </c>
      <c r="Y267" s="5">
        <v>0</v>
      </c>
    </row>
    <row r="268" spans="1:25" ht="25.95" customHeight="1">
      <c r="A268" s="3" t="s">
        <v>1227</v>
      </c>
      <c r="B268" s="3" t="s">
        <v>1228</v>
      </c>
      <c r="C268" s="3" t="s">
        <v>976</v>
      </c>
      <c r="D268" s="3" t="s">
        <v>1196</v>
      </c>
      <c r="E268" s="8">
        <f>D_purchases!O125</f>
        <v>122271660</v>
      </c>
      <c r="F268" s="7">
        <f>D_purchases!I125</f>
        <v>46218</v>
      </c>
      <c r="G268" s="3">
        <f>D_purchases!P125</f>
        <v>0</v>
      </c>
      <c r="H268" s="3" t="s">
        <v>1197</v>
      </c>
      <c r="I268" s="3">
        <v>0</v>
      </c>
      <c r="J268" s="7">
        <f>IF(G268&gt;0,D_F01!$B$7+10+MOD(16,5),MAX($B$6,F268+IF(Q268=1,0,ROUNDUP(IFERROR(SUMIFS(D_purchases!$S$5:$S$131,D_purchases!$C$5:$C$131,C268)/SUMIFS(D_purchases!$T$5:$T$131,D_purchases!$C$5:$C$131,C268),0),0))))</f>
        <v>46218</v>
      </c>
      <c r="K268" s="7">
        <f>IF(G268&gt;0,D_F01!$B$7+5+MOD(16,5),MAX($B$6,F268+IF(Q268=1,0,ROUNDUP(IFERROR(SUMIFS(D_purchases!$S$5:$S$131,D_purchases!$C$5:$C$131,C268)/SUMIFS(D_purchases!$T$5:$T$131,D_purchases!$C$5:$C$131,C268),0),0))))</f>
        <v>46218</v>
      </c>
      <c r="L268" s="7">
        <f>IF(G268&gt;0,D_F01!$B$7+1+MOD(16,5),MAX($B$6,F268))</f>
        <v>46218</v>
      </c>
      <c r="M268" s="7"/>
      <c r="N268" s="7">
        <f>CHOOSE(D_F01!$B$19,K268,J268,L268,K268,K268)</f>
        <v>46218</v>
      </c>
      <c r="O268" s="3" t="str">
        <f t="shared" si="65"/>
        <v>essential_due</v>
      </c>
      <c r="P268" s="3" t="s">
        <v>1198</v>
      </c>
      <c r="Q268" s="3">
        <f>D_purchases!U125</f>
        <v>1</v>
      </c>
      <c r="R268" s="7">
        <v>46193</v>
      </c>
      <c r="S268" s="3" t="str">
        <f t="shared" si="66"/>
        <v>in_horizon</v>
      </c>
      <c r="T268" s="3">
        <v>0</v>
      </c>
      <c r="U268" s="3">
        <v>0</v>
      </c>
      <c r="V268" s="3">
        <v>0</v>
      </c>
      <c r="W268" s="3">
        <v>0</v>
      </c>
      <c r="X268" s="3">
        <v>0</v>
      </c>
      <c r="Y268" s="3">
        <v>0</v>
      </c>
    </row>
    <row r="269" spans="1:25" ht="25.95" customHeight="1">
      <c r="A269" s="5" t="s">
        <v>1229</v>
      </c>
      <c r="B269" s="5" t="s">
        <v>1230</v>
      </c>
      <c r="C269" s="5" t="s">
        <v>984</v>
      </c>
      <c r="D269" s="5" t="s">
        <v>1196</v>
      </c>
      <c r="E269" s="9">
        <f>D_purchases!O126</f>
        <v>13574256</v>
      </c>
      <c r="F269" s="6">
        <f>D_purchases!I126</f>
        <v>46204</v>
      </c>
      <c r="G269" s="5">
        <f>D_purchases!P126</f>
        <v>0</v>
      </c>
      <c r="H269" s="5" t="s">
        <v>1197</v>
      </c>
      <c r="I269" s="5">
        <v>0</v>
      </c>
      <c r="J269" s="6">
        <f>IF(G269&gt;0,D_F01!$B$7+10+MOD(17,5),MAX($B$6,F269+IF(Q269=1,0,ROUNDUP(IFERROR(SUMIFS(D_purchases!$S$5:$S$131,D_purchases!$C$5:$C$131,C269)/SUMIFS(D_purchases!$T$5:$T$131,D_purchases!$C$5:$C$131,C269),0),0))))</f>
        <v>46205</v>
      </c>
      <c r="K269" s="6">
        <f>IF(G269&gt;0,D_F01!$B$7+5+MOD(17,5),MAX($B$6,F269+IF(Q269=1,0,ROUNDUP(IFERROR(SUMIFS(D_purchases!$S$5:$S$131,D_purchases!$C$5:$C$131,C269)/SUMIFS(D_purchases!$T$5:$T$131,D_purchases!$C$5:$C$131,C269),0),0))))</f>
        <v>46205</v>
      </c>
      <c r="L269" s="6">
        <f>IF(G269&gt;0,D_F01!$B$7+1+MOD(17,5),MAX($B$6,F269))</f>
        <v>46204</v>
      </c>
      <c r="M269" s="6"/>
      <c r="N269" s="6">
        <f>CHOOSE(D_F01!$B$19,K269,J269,L269,K269,K269)</f>
        <v>46205</v>
      </c>
      <c r="O269" s="5" t="str">
        <f t="shared" si="65"/>
        <v>historical_policy</v>
      </c>
      <c r="P269" s="5" t="s">
        <v>1198</v>
      </c>
      <c r="Q269" s="5">
        <f>D_purchases!U126</f>
        <v>0</v>
      </c>
      <c r="R269" s="6">
        <v>46193</v>
      </c>
      <c r="S269" s="5" t="str">
        <f t="shared" si="66"/>
        <v>in_horizon</v>
      </c>
      <c r="T269" s="5">
        <v>0</v>
      </c>
      <c r="U269" s="5">
        <v>0</v>
      </c>
      <c r="V269" s="5">
        <v>0</v>
      </c>
      <c r="W269" s="5">
        <v>0</v>
      </c>
      <c r="X269" s="5">
        <v>0</v>
      </c>
      <c r="Y269" s="5">
        <v>0</v>
      </c>
    </row>
    <row r="270" spans="1:25" ht="25.95" customHeight="1">
      <c r="A270" s="3" t="s">
        <v>1231</v>
      </c>
      <c r="B270" s="3" t="s">
        <v>1232</v>
      </c>
      <c r="C270" s="3" t="s">
        <v>976</v>
      </c>
      <c r="D270" s="3" t="s">
        <v>1196</v>
      </c>
      <c r="E270" s="8">
        <f>D_purchases!O127</f>
        <v>95399225</v>
      </c>
      <c r="F270" s="7">
        <f>D_purchases!I127</f>
        <v>46221</v>
      </c>
      <c r="G270" s="3">
        <f>D_purchases!P127</f>
        <v>0</v>
      </c>
      <c r="H270" s="3" t="s">
        <v>1197</v>
      </c>
      <c r="I270" s="3">
        <v>0</v>
      </c>
      <c r="J270" s="7">
        <f>IF(G270&gt;0,D_F01!$B$7+10+MOD(18,5),MAX($B$6,F270+IF(Q270=1,0,ROUNDUP(IFERROR(SUMIFS(D_purchases!$S$5:$S$131,D_purchases!$C$5:$C$131,C270)/SUMIFS(D_purchases!$T$5:$T$131,D_purchases!$C$5:$C$131,C270),0),0))))</f>
        <v>46221</v>
      </c>
      <c r="K270" s="7">
        <f>IF(G270&gt;0,D_F01!$B$7+5+MOD(18,5),MAX($B$6,F270+IF(Q270=1,0,ROUNDUP(IFERROR(SUMIFS(D_purchases!$S$5:$S$131,D_purchases!$C$5:$C$131,C270)/SUMIFS(D_purchases!$T$5:$T$131,D_purchases!$C$5:$C$131,C270),0),0))))</f>
        <v>46221</v>
      </c>
      <c r="L270" s="7">
        <f>IF(G270&gt;0,D_F01!$B$7+1+MOD(18,5),MAX($B$6,F270))</f>
        <v>46221</v>
      </c>
      <c r="M270" s="7"/>
      <c r="N270" s="7">
        <f>CHOOSE(D_F01!$B$19,K270,J270,L270,K270,K270)</f>
        <v>46221</v>
      </c>
      <c r="O270" s="3" t="str">
        <f t="shared" si="65"/>
        <v>essential_due</v>
      </c>
      <c r="P270" s="3" t="s">
        <v>1198</v>
      </c>
      <c r="Q270" s="3">
        <f>D_purchases!U127</f>
        <v>1</v>
      </c>
      <c r="R270" s="7">
        <v>46193</v>
      </c>
      <c r="S270" s="3" t="str">
        <f t="shared" si="66"/>
        <v>in_horizon</v>
      </c>
      <c r="T270" s="3">
        <v>0</v>
      </c>
      <c r="U270" s="3">
        <v>0</v>
      </c>
      <c r="V270" s="3">
        <v>0</v>
      </c>
      <c r="W270" s="3">
        <v>0</v>
      </c>
      <c r="X270" s="3">
        <v>0</v>
      </c>
      <c r="Y270" s="3">
        <v>0</v>
      </c>
    </row>
    <row r="271" spans="1:25" ht="25.95" customHeight="1">
      <c r="A271" s="5" t="s">
        <v>1233</v>
      </c>
      <c r="B271" s="5" t="s">
        <v>1234</v>
      </c>
      <c r="C271" s="5" t="s">
        <v>984</v>
      </c>
      <c r="D271" s="5" t="s">
        <v>1196</v>
      </c>
      <c r="E271" s="9">
        <f>D_purchases!O128</f>
        <v>23021228</v>
      </c>
      <c r="F271" s="6">
        <f>D_purchases!I128</f>
        <v>46206</v>
      </c>
      <c r="G271" s="5">
        <f>D_purchases!P128</f>
        <v>0</v>
      </c>
      <c r="H271" s="5" t="s">
        <v>1197</v>
      </c>
      <c r="I271" s="5">
        <v>0</v>
      </c>
      <c r="J271" s="6">
        <f>IF(G271&gt;0,D_F01!$B$7+10+MOD(19,5),MAX($B$6,F271+IF(Q271=1,0,ROUNDUP(IFERROR(SUMIFS(D_purchases!$S$5:$S$131,D_purchases!$C$5:$C$131,C271)/SUMIFS(D_purchases!$T$5:$T$131,D_purchases!$C$5:$C$131,C271),0),0))))</f>
        <v>46207</v>
      </c>
      <c r="K271" s="6">
        <f>IF(G271&gt;0,D_F01!$B$7+5+MOD(19,5),MAX($B$6,F271+IF(Q271=1,0,ROUNDUP(IFERROR(SUMIFS(D_purchases!$S$5:$S$131,D_purchases!$C$5:$C$131,C271)/SUMIFS(D_purchases!$T$5:$T$131,D_purchases!$C$5:$C$131,C271),0),0))))</f>
        <v>46207</v>
      </c>
      <c r="L271" s="6">
        <f>IF(G271&gt;0,D_F01!$B$7+1+MOD(19,5),MAX($B$6,F271))</f>
        <v>46206</v>
      </c>
      <c r="M271" s="6"/>
      <c r="N271" s="6">
        <f>CHOOSE(D_F01!$B$19,K271,J271,L271,K271,K271)</f>
        <v>46207</v>
      </c>
      <c r="O271" s="5" t="str">
        <f t="shared" si="65"/>
        <v>historical_policy</v>
      </c>
      <c r="P271" s="5" t="s">
        <v>1198</v>
      </c>
      <c r="Q271" s="5">
        <f>D_purchases!U128</f>
        <v>0</v>
      </c>
      <c r="R271" s="6">
        <v>46193</v>
      </c>
      <c r="S271" s="5" t="str">
        <f t="shared" si="66"/>
        <v>in_horizon</v>
      </c>
      <c r="T271" s="5">
        <v>0</v>
      </c>
      <c r="U271" s="5">
        <v>0</v>
      </c>
      <c r="V271" s="5">
        <v>0</v>
      </c>
      <c r="W271" s="5">
        <v>0</v>
      </c>
      <c r="X271" s="5">
        <v>0</v>
      </c>
      <c r="Y271" s="5">
        <v>0</v>
      </c>
    </row>
    <row r="272" spans="1:25" ht="25.95" customHeight="1">
      <c r="A272" s="3" t="s">
        <v>1235</v>
      </c>
      <c r="B272" s="3" t="s">
        <v>1236</v>
      </c>
      <c r="C272" s="3" t="s">
        <v>979</v>
      </c>
      <c r="D272" s="3" t="s">
        <v>1196</v>
      </c>
      <c r="E272" s="8">
        <f>D_purchases!O129</f>
        <v>48033264</v>
      </c>
      <c r="F272" s="7">
        <f>D_purchases!I129</f>
        <v>46237</v>
      </c>
      <c r="G272" s="3">
        <f>D_purchases!P129</f>
        <v>0</v>
      </c>
      <c r="H272" s="3" t="s">
        <v>1197</v>
      </c>
      <c r="I272" s="3">
        <v>0</v>
      </c>
      <c r="J272" s="7">
        <f>IF(G272&gt;0,D_F01!$B$7+10+MOD(20,5),MAX($B$6,F272+IF(Q272=1,0,ROUNDUP(IFERROR(SUMIFS(D_purchases!$S$5:$S$131,D_purchases!$C$5:$C$131,C272)/SUMIFS(D_purchases!$T$5:$T$131,D_purchases!$C$5:$C$131,C272),0),0))))</f>
        <v>46252</v>
      </c>
      <c r="K272" s="7">
        <f>IF(G272&gt;0,D_F01!$B$7+5+MOD(20,5),MAX($B$6,F272+IF(Q272=1,0,ROUNDUP(IFERROR(SUMIFS(D_purchases!$S$5:$S$131,D_purchases!$C$5:$C$131,C272)/SUMIFS(D_purchases!$T$5:$T$131,D_purchases!$C$5:$C$131,C272),0),0))))</f>
        <v>46252</v>
      </c>
      <c r="L272" s="7">
        <f>IF(G272&gt;0,D_F01!$B$7+1+MOD(20,5),MAX($B$6,F272))</f>
        <v>46237</v>
      </c>
      <c r="M272" s="7"/>
      <c r="N272" s="7">
        <f>CHOOSE(D_F01!$B$19,K272,J272,L272,K272,K272)</f>
        <v>46252</v>
      </c>
      <c r="O272" s="3" t="str">
        <f t="shared" si="65"/>
        <v>historical_policy</v>
      </c>
      <c r="P272" s="3" t="s">
        <v>1198</v>
      </c>
      <c r="Q272" s="3">
        <f>D_purchases!U129</f>
        <v>0</v>
      </c>
      <c r="R272" s="7">
        <v>46193</v>
      </c>
      <c r="S272" s="3" t="str">
        <f t="shared" si="66"/>
        <v>in_horizon</v>
      </c>
      <c r="T272" s="3">
        <v>0</v>
      </c>
      <c r="U272" s="3">
        <v>0</v>
      </c>
      <c r="V272" s="3">
        <v>0</v>
      </c>
      <c r="W272" s="3">
        <v>0</v>
      </c>
      <c r="X272" s="3">
        <v>0</v>
      </c>
      <c r="Y272" s="3">
        <v>0</v>
      </c>
    </row>
    <row r="273" spans="1:25" ht="25.95" customHeight="1">
      <c r="A273" s="5" t="s">
        <v>1237</v>
      </c>
      <c r="B273" s="5" t="s">
        <v>1238</v>
      </c>
      <c r="C273" s="5" t="s">
        <v>982</v>
      </c>
      <c r="D273" s="5" t="s">
        <v>1196</v>
      </c>
      <c r="E273" s="9">
        <f>D_purchases!O130</f>
        <v>53152483</v>
      </c>
      <c r="F273" s="6">
        <f>D_purchases!I130</f>
        <v>46208</v>
      </c>
      <c r="G273" s="5">
        <f>D_purchases!P130</f>
        <v>0</v>
      </c>
      <c r="H273" s="5" t="s">
        <v>1197</v>
      </c>
      <c r="I273" s="5">
        <v>0</v>
      </c>
      <c r="J273" s="6">
        <f>IF(G273&gt;0,D_F01!$B$7+10+MOD(21,5),MAX($B$6,F273+IF(Q273=1,0,ROUNDUP(IFERROR(SUMIFS(D_purchases!$S$5:$S$131,D_purchases!$C$5:$C$131,C273)/SUMIFS(D_purchases!$T$5:$T$131,D_purchases!$C$5:$C$131,C273),0),0))))</f>
        <v>46208</v>
      </c>
      <c r="K273" s="6">
        <f>IF(G273&gt;0,D_F01!$B$7+5+MOD(21,5),MAX($B$6,F273+IF(Q273=1,0,ROUNDUP(IFERROR(SUMIFS(D_purchases!$S$5:$S$131,D_purchases!$C$5:$C$131,C273)/SUMIFS(D_purchases!$T$5:$T$131,D_purchases!$C$5:$C$131,C273),0),0))))</f>
        <v>46208</v>
      </c>
      <c r="L273" s="6">
        <f>IF(G273&gt;0,D_F01!$B$7+1+MOD(21,5),MAX($B$6,F273))</f>
        <v>46208</v>
      </c>
      <c r="M273" s="6"/>
      <c r="N273" s="6">
        <f>CHOOSE(D_F01!$B$19,K273,J273,L273,K273,K273)</f>
        <v>46208</v>
      </c>
      <c r="O273" s="5" t="str">
        <f t="shared" si="65"/>
        <v>essential_due</v>
      </c>
      <c r="P273" s="5" t="s">
        <v>1198</v>
      </c>
      <c r="Q273" s="5">
        <f>D_purchases!U130</f>
        <v>1</v>
      </c>
      <c r="R273" s="6">
        <v>46193</v>
      </c>
      <c r="S273" s="5" t="str">
        <f t="shared" si="66"/>
        <v>in_horizon</v>
      </c>
      <c r="T273" s="5">
        <v>0</v>
      </c>
      <c r="U273" s="5">
        <v>0</v>
      </c>
      <c r="V273" s="5">
        <v>0</v>
      </c>
      <c r="W273" s="5">
        <v>0</v>
      </c>
      <c r="X273" s="5">
        <v>0</v>
      </c>
      <c r="Y273" s="5">
        <v>0</v>
      </c>
    </row>
    <row r="274" spans="1:25" ht="25.95" customHeight="1">
      <c r="A274" s="3" t="s">
        <v>1239</v>
      </c>
      <c r="B274" s="3" t="s">
        <v>1240</v>
      </c>
      <c r="C274" s="3" t="s">
        <v>995</v>
      </c>
      <c r="D274" s="3" t="s">
        <v>1196</v>
      </c>
      <c r="E274" s="8">
        <f>D_purchases!O131</f>
        <v>28273631</v>
      </c>
      <c r="F274" s="7">
        <f>D_purchases!I131</f>
        <v>46223</v>
      </c>
      <c r="G274" s="3">
        <f>D_purchases!P131</f>
        <v>0</v>
      </c>
      <c r="H274" s="3" t="s">
        <v>1197</v>
      </c>
      <c r="I274" s="3">
        <v>0</v>
      </c>
      <c r="J274" s="7">
        <f>IF(G274&gt;0,D_F01!$B$7+10+MOD(22,5),MAX($B$6,F274+IF(Q274=1,0,ROUNDUP(IFERROR(SUMIFS(D_purchases!$S$5:$S$131,D_purchases!$C$5:$C$131,C274)/SUMIFS(D_purchases!$T$5:$T$131,D_purchases!$C$5:$C$131,C274),0),0))))</f>
        <v>46223</v>
      </c>
      <c r="K274" s="7">
        <f>IF(G274&gt;0,D_F01!$B$7+5+MOD(22,5),MAX($B$6,F274+IF(Q274=1,0,ROUNDUP(IFERROR(SUMIFS(D_purchases!$S$5:$S$131,D_purchases!$C$5:$C$131,C274)/SUMIFS(D_purchases!$T$5:$T$131,D_purchases!$C$5:$C$131,C274),0),0))))</f>
        <v>46223</v>
      </c>
      <c r="L274" s="7">
        <f>IF(G274&gt;0,D_F01!$B$7+1+MOD(22,5),MAX($B$6,F274))</f>
        <v>46223</v>
      </c>
      <c r="M274" s="7"/>
      <c r="N274" s="7">
        <f>CHOOSE(D_F01!$B$19,K274,J274,L274,K274,K274)</f>
        <v>46223</v>
      </c>
      <c r="O274" s="3" t="str">
        <f t="shared" si="65"/>
        <v>essential_due</v>
      </c>
      <c r="P274" s="3" t="s">
        <v>1198</v>
      </c>
      <c r="Q274" s="3">
        <f>D_purchases!U131</f>
        <v>1</v>
      </c>
      <c r="R274" s="7">
        <v>46193</v>
      </c>
      <c r="S274" s="3" t="str">
        <f t="shared" si="66"/>
        <v>in_horizon</v>
      </c>
      <c r="T274" s="3">
        <v>0</v>
      </c>
      <c r="U274" s="3">
        <v>0</v>
      </c>
      <c r="V274" s="3">
        <v>0</v>
      </c>
      <c r="W274" s="3">
        <v>0</v>
      </c>
      <c r="X274" s="3">
        <v>0</v>
      </c>
      <c r="Y274" s="3">
        <v>0</v>
      </c>
    </row>
    <row r="275" spans="1:25" ht="40.049999999999997" customHeight="1">
      <c r="A275" s="5" t="s">
        <v>1241</v>
      </c>
      <c r="B275" s="5" t="s">
        <v>1241</v>
      </c>
      <c r="C275" s="5" t="s">
        <v>1242</v>
      </c>
      <c r="D275" s="5" t="s">
        <v>1196</v>
      </c>
      <c r="E275" s="9">
        <f>D_flows!F5</f>
        <v>2800000000</v>
      </c>
      <c r="F275" s="6">
        <f>D_flows!E5</f>
        <v>46203</v>
      </c>
      <c r="G275" s="5">
        <v>0</v>
      </c>
      <c r="H275" s="5" t="s">
        <v>1243</v>
      </c>
      <c r="I275" s="5">
        <v>0</v>
      </c>
      <c r="J275" s="6">
        <f t="shared" ref="J275:J285" si="67">F275</f>
        <v>46203</v>
      </c>
      <c r="K275" s="6">
        <f t="shared" ref="K275:K285" si="68">F275</f>
        <v>46203</v>
      </c>
      <c r="L275" s="6">
        <f t="shared" ref="L275:L285" si="69">F275</f>
        <v>46203</v>
      </c>
      <c r="M275" s="6">
        <f>D_flows!E5</f>
        <v>46203</v>
      </c>
      <c r="N275" s="6">
        <f t="shared" ref="N275:N285" si="70">F275</f>
        <v>46203</v>
      </c>
      <c r="O275" s="5" t="s">
        <v>1244</v>
      </c>
      <c r="P275" s="5" t="s">
        <v>1245</v>
      </c>
      <c r="Q275" s="5">
        <v>1</v>
      </c>
      <c r="R275" s="6">
        <v>46193</v>
      </c>
      <c r="S275" s="5" t="str">
        <f t="shared" si="66"/>
        <v>in_horizon</v>
      </c>
      <c r="T275" s="5">
        <v>0</v>
      </c>
      <c r="U275" s="5">
        <v>0</v>
      </c>
      <c r="V275" s="5">
        <v>0</v>
      </c>
      <c r="W275" s="5">
        <v>0</v>
      </c>
      <c r="X275" s="5">
        <v>0</v>
      </c>
      <c r="Y275" s="5">
        <v>0</v>
      </c>
    </row>
    <row r="276" spans="1:25" ht="40.049999999999997" customHeight="1">
      <c r="A276" s="3" t="s">
        <v>1246</v>
      </c>
      <c r="B276" s="3" t="s">
        <v>1246</v>
      </c>
      <c r="C276" s="3" t="s">
        <v>1242</v>
      </c>
      <c r="D276" s="3" t="s">
        <v>1196</v>
      </c>
      <c r="E276" s="8">
        <f>D_flows!F6</f>
        <v>2800000000</v>
      </c>
      <c r="F276" s="7">
        <f>D_flows!E6</f>
        <v>46234</v>
      </c>
      <c r="G276" s="3">
        <v>0</v>
      </c>
      <c r="H276" s="3" t="s">
        <v>1243</v>
      </c>
      <c r="I276" s="3">
        <v>0</v>
      </c>
      <c r="J276" s="7">
        <f t="shared" si="67"/>
        <v>46234</v>
      </c>
      <c r="K276" s="7">
        <f t="shared" si="68"/>
        <v>46234</v>
      </c>
      <c r="L276" s="7">
        <f t="shared" si="69"/>
        <v>46234</v>
      </c>
      <c r="M276" s="7">
        <f>D_flows!E6</f>
        <v>46234</v>
      </c>
      <c r="N276" s="7">
        <f t="shared" si="70"/>
        <v>46234</v>
      </c>
      <c r="O276" s="3" t="s">
        <v>1244</v>
      </c>
      <c r="P276" s="3" t="s">
        <v>1245</v>
      </c>
      <c r="Q276" s="3">
        <v>1</v>
      </c>
      <c r="R276" s="7">
        <v>46193</v>
      </c>
      <c r="S276" s="3" t="str">
        <f t="shared" si="66"/>
        <v>in_horizon</v>
      </c>
      <c r="T276" s="3">
        <v>0</v>
      </c>
      <c r="U276" s="3">
        <v>0</v>
      </c>
      <c r="V276" s="3">
        <v>0</v>
      </c>
      <c r="W276" s="3">
        <v>0</v>
      </c>
      <c r="X276" s="3">
        <v>0</v>
      </c>
      <c r="Y276" s="3">
        <v>0</v>
      </c>
    </row>
    <row r="277" spans="1:25" ht="40.049999999999997" customHeight="1">
      <c r="A277" s="5" t="s">
        <v>1247</v>
      </c>
      <c r="B277" s="5" t="s">
        <v>1247</v>
      </c>
      <c r="C277" s="5" t="s">
        <v>1242</v>
      </c>
      <c r="D277" s="5" t="s">
        <v>1196</v>
      </c>
      <c r="E277" s="9">
        <f>D_flows!F7</f>
        <v>2800000000</v>
      </c>
      <c r="F277" s="6">
        <f>D_flows!E7</f>
        <v>46265</v>
      </c>
      <c r="G277" s="5">
        <v>0</v>
      </c>
      <c r="H277" s="5" t="s">
        <v>1243</v>
      </c>
      <c r="I277" s="5">
        <v>0</v>
      </c>
      <c r="J277" s="6">
        <f t="shared" si="67"/>
        <v>46265</v>
      </c>
      <c r="K277" s="6">
        <f t="shared" si="68"/>
        <v>46265</v>
      </c>
      <c r="L277" s="6">
        <f t="shared" si="69"/>
        <v>46265</v>
      </c>
      <c r="M277" s="6">
        <f>D_flows!E7</f>
        <v>46265</v>
      </c>
      <c r="N277" s="6">
        <f t="shared" si="70"/>
        <v>46265</v>
      </c>
      <c r="O277" s="5" t="s">
        <v>1244</v>
      </c>
      <c r="P277" s="5" t="s">
        <v>1245</v>
      </c>
      <c r="Q277" s="5">
        <v>1</v>
      </c>
      <c r="R277" s="6">
        <v>46193</v>
      </c>
      <c r="S277" s="5" t="str">
        <f t="shared" si="66"/>
        <v>in_horizon</v>
      </c>
      <c r="T277" s="5">
        <v>0</v>
      </c>
      <c r="U277" s="5">
        <v>0</v>
      </c>
      <c r="V277" s="5">
        <v>0</v>
      </c>
      <c r="W277" s="5">
        <v>0</v>
      </c>
      <c r="X277" s="5">
        <v>0</v>
      </c>
      <c r="Y277" s="5">
        <v>0</v>
      </c>
    </row>
    <row r="278" spans="1:25" ht="40.049999999999997" customHeight="1">
      <c r="A278" s="3" t="s">
        <v>1248</v>
      </c>
      <c r="B278" s="3" t="s">
        <v>1248</v>
      </c>
      <c r="C278" s="3" t="s">
        <v>1249</v>
      </c>
      <c r="D278" s="3" t="s">
        <v>1196</v>
      </c>
      <c r="E278" s="8">
        <f>D_flows!F8</f>
        <v>180000000</v>
      </c>
      <c r="F278" s="7">
        <f>D_flows!E8</f>
        <v>46223</v>
      </c>
      <c r="G278" s="3">
        <v>0</v>
      </c>
      <c r="H278" s="3" t="s">
        <v>1243</v>
      </c>
      <c r="I278" s="3">
        <v>0</v>
      </c>
      <c r="J278" s="7">
        <f t="shared" si="67"/>
        <v>46223</v>
      </c>
      <c r="K278" s="7">
        <f t="shared" si="68"/>
        <v>46223</v>
      </c>
      <c r="L278" s="7">
        <f t="shared" si="69"/>
        <v>46223</v>
      </c>
      <c r="M278" s="6">
        <f>D_flows!E8</f>
        <v>46223</v>
      </c>
      <c r="N278" s="7">
        <f t="shared" si="70"/>
        <v>46223</v>
      </c>
      <c r="O278" s="3" t="s">
        <v>1244</v>
      </c>
      <c r="P278" s="3" t="s">
        <v>1250</v>
      </c>
      <c r="Q278" s="3">
        <v>1</v>
      </c>
      <c r="R278" s="7">
        <v>46193</v>
      </c>
      <c r="S278" s="3" t="str">
        <f t="shared" si="66"/>
        <v>in_horizon</v>
      </c>
      <c r="T278" s="3">
        <v>0</v>
      </c>
      <c r="U278" s="3">
        <v>0</v>
      </c>
      <c r="V278" s="3">
        <v>0</v>
      </c>
      <c r="W278" s="3">
        <v>0</v>
      </c>
      <c r="X278" s="3">
        <v>0</v>
      </c>
      <c r="Y278" s="3">
        <v>0</v>
      </c>
    </row>
    <row r="279" spans="1:25" ht="40.049999999999997" customHeight="1">
      <c r="A279" s="5" t="s">
        <v>1251</v>
      </c>
      <c r="B279" s="5" t="s">
        <v>1251</v>
      </c>
      <c r="C279" s="5" t="s">
        <v>1249</v>
      </c>
      <c r="D279" s="5" t="s">
        <v>1196</v>
      </c>
      <c r="E279" s="9">
        <f>D_flows!F9</f>
        <v>180000000</v>
      </c>
      <c r="F279" s="6">
        <f>D_flows!E9</f>
        <v>46254</v>
      </c>
      <c r="G279" s="5">
        <v>0</v>
      </c>
      <c r="H279" s="5" t="s">
        <v>1243</v>
      </c>
      <c r="I279" s="5">
        <v>0</v>
      </c>
      <c r="J279" s="6">
        <f t="shared" si="67"/>
        <v>46254</v>
      </c>
      <c r="K279" s="6">
        <f t="shared" si="68"/>
        <v>46254</v>
      </c>
      <c r="L279" s="6">
        <f t="shared" si="69"/>
        <v>46254</v>
      </c>
      <c r="M279" s="7">
        <f>D_flows!E9</f>
        <v>46254</v>
      </c>
      <c r="N279" s="6">
        <f t="shared" si="70"/>
        <v>46254</v>
      </c>
      <c r="O279" s="5" t="s">
        <v>1244</v>
      </c>
      <c r="P279" s="5" t="s">
        <v>1250</v>
      </c>
      <c r="Q279" s="5">
        <v>1</v>
      </c>
      <c r="R279" s="6">
        <v>46193</v>
      </c>
      <c r="S279" s="5" t="str">
        <f t="shared" si="66"/>
        <v>in_horizon</v>
      </c>
      <c r="T279" s="5">
        <v>0</v>
      </c>
      <c r="U279" s="5">
        <v>0</v>
      </c>
      <c r="V279" s="5">
        <v>0</v>
      </c>
      <c r="W279" s="5">
        <v>0</v>
      </c>
      <c r="X279" s="5">
        <v>0</v>
      </c>
      <c r="Y279" s="5">
        <v>0</v>
      </c>
    </row>
    <row r="280" spans="1:25" ht="40.049999999999997" customHeight="1">
      <c r="A280" s="3" t="s">
        <v>1252</v>
      </c>
      <c r="B280" s="3" t="s">
        <v>1252</v>
      </c>
      <c r="C280" s="3" t="s">
        <v>1249</v>
      </c>
      <c r="D280" s="3" t="s">
        <v>1196</v>
      </c>
      <c r="E280" s="8">
        <f>D_flows!F10</f>
        <v>180000000</v>
      </c>
      <c r="F280" s="7">
        <f>D_flows!E10</f>
        <v>46283</v>
      </c>
      <c r="G280" s="3">
        <v>0</v>
      </c>
      <c r="H280" s="3" t="s">
        <v>1243</v>
      </c>
      <c r="I280" s="3">
        <v>0</v>
      </c>
      <c r="J280" s="7">
        <f t="shared" si="67"/>
        <v>46283</v>
      </c>
      <c r="K280" s="7">
        <f t="shared" si="68"/>
        <v>46283</v>
      </c>
      <c r="L280" s="7">
        <f t="shared" si="69"/>
        <v>46283</v>
      </c>
      <c r="M280" s="6">
        <f>D_flows!E10</f>
        <v>46283</v>
      </c>
      <c r="N280" s="7">
        <f t="shared" si="70"/>
        <v>46283</v>
      </c>
      <c r="O280" s="3" t="s">
        <v>1244</v>
      </c>
      <c r="P280" s="3" t="s">
        <v>1250</v>
      </c>
      <c r="Q280" s="3">
        <v>1</v>
      </c>
      <c r="R280" s="7">
        <v>46193</v>
      </c>
      <c r="S280" s="3" t="str">
        <f t="shared" si="66"/>
        <v>in_horizon</v>
      </c>
      <c r="T280" s="3">
        <v>0</v>
      </c>
      <c r="U280" s="3">
        <v>0</v>
      </c>
      <c r="V280" s="3">
        <v>0</v>
      </c>
      <c r="W280" s="3">
        <v>0</v>
      </c>
      <c r="X280" s="3">
        <v>0</v>
      </c>
      <c r="Y280" s="3">
        <v>0</v>
      </c>
    </row>
    <row r="281" spans="1:25" ht="40.049999999999997" customHeight="1">
      <c r="A281" s="5" t="s">
        <v>1253</v>
      </c>
      <c r="B281" s="5" t="s">
        <v>1253</v>
      </c>
      <c r="C281" s="5" t="s">
        <v>1254</v>
      </c>
      <c r="D281" s="5" t="s">
        <v>1196</v>
      </c>
      <c r="E281" s="9">
        <f>D_flows!F11</f>
        <v>120000000</v>
      </c>
      <c r="F281" s="6">
        <f>D_flows!E11</f>
        <v>46204</v>
      </c>
      <c r="G281" s="5">
        <v>0</v>
      </c>
      <c r="H281" s="5" t="s">
        <v>1243</v>
      </c>
      <c r="I281" s="5">
        <v>0</v>
      </c>
      <c r="J281" s="6">
        <f t="shared" si="67"/>
        <v>46204</v>
      </c>
      <c r="K281" s="6">
        <f t="shared" si="68"/>
        <v>46204</v>
      </c>
      <c r="L281" s="6">
        <f t="shared" si="69"/>
        <v>46204</v>
      </c>
      <c r="M281" s="6">
        <f>D_flows!E11</f>
        <v>46204</v>
      </c>
      <c r="N281" s="6">
        <f t="shared" si="70"/>
        <v>46204</v>
      </c>
      <c r="O281" s="5" t="s">
        <v>1244</v>
      </c>
      <c r="P281" s="5" t="s">
        <v>1255</v>
      </c>
      <c r="Q281" s="5">
        <v>1</v>
      </c>
      <c r="R281" s="6">
        <v>46193</v>
      </c>
      <c r="S281" s="5" t="str">
        <f t="shared" si="66"/>
        <v>in_horizon</v>
      </c>
      <c r="T281" s="5">
        <v>0</v>
      </c>
      <c r="U281" s="5">
        <v>0</v>
      </c>
      <c r="V281" s="5">
        <v>0</v>
      </c>
      <c r="W281" s="5">
        <v>0</v>
      </c>
      <c r="X281" s="5">
        <v>0</v>
      </c>
      <c r="Y281" s="5">
        <v>0</v>
      </c>
    </row>
    <row r="282" spans="1:25" ht="40.049999999999997" customHeight="1">
      <c r="A282" s="3" t="s">
        <v>1256</v>
      </c>
      <c r="B282" s="3" t="s">
        <v>1256</v>
      </c>
      <c r="C282" s="3" t="s">
        <v>1254</v>
      </c>
      <c r="D282" s="3" t="s">
        <v>1196</v>
      </c>
      <c r="E282" s="8">
        <f>D_flows!F12</f>
        <v>120000000</v>
      </c>
      <c r="F282" s="7">
        <f>D_flows!E12</f>
        <v>46235</v>
      </c>
      <c r="G282" s="3">
        <v>0</v>
      </c>
      <c r="H282" s="3" t="s">
        <v>1243</v>
      </c>
      <c r="I282" s="3">
        <v>0</v>
      </c>
      <c r="J282" s="7">
        <f t="shared" si="67"/>
        <v>46235</v>
      </c>
      <c r="K282" s="7">
        <f t="shared" si="68"/>
        <v>46235</v>
      </c>
      <c r="L282" s="7">
        <f t="shared" si="69"/>
        <v>46235</v>
      </c>
      <c r="M282" s="7">
        <f>D_flows!E12</f>
        <v>46235</v>
      </c>
      <c r="N282" s="7">
        <f t="shared" si="70"/>
        <v>46235</v>
      </c>
      <c r="O282" s="3" t="s">
        <v>1244</v>
      </c>
      <c r="P282" s="3" t="s">
        <v>1255</v>
      </c>
      <c r="Q282" s="3">
        <v>1</v>
      </c>
      <c r="R282" s="7">
        <v>46193</v>
      </c>
      <c r="S282" s="3" t="str">
        <f t="shared" si="66"/>
        <v>in_horizon</v>
      </c>
      <c r="T282" s="3">
        <v>0</v>
      </c>
      <c r="U282" s="3">
        <v>0</v>
      </c>
      <c r="V282" s="3">
        <v>0</v>
      </c>
      <c r="W282" s="3">
        <v>0</v>
      </c>
      <c r="X282" s="3">
        <v>0</v>
      </c>
      <c r="Y282" s="3">
        <v>0</v>
      </c>
    </row>
    <row r="283" spans="1:25" ht="40.049999999999997" customHeight="1">
      <c r="A283" s="5" t="s">
        <v>1257</v>
      </c>
      <c r="B283" s="5" t="s">
        <v>1257</v>
      </c>
      <c r="C283" s="5" t="s">
        <v>1254</v>
      </c>
      <c r="D283" s="5" t="s">
        <v>1196</v>
      </c>
      <c r="E283" s="9">
        <f>D_flows!F13</f>
        <v>120000000</v>
      </c>
      <c r="F283" s="6">
        <f>D_flows!E13</f>
        <v>46266</v>
      </c>
      <c r="G283" s="5">
        <v>0</v>
      </c>
      <c r="H283" s="5" t="s">
        <v>1243</v>
      </c>
      <c r="I283" s="5">
        <v>0</v>
      </c>
      <c r="J283" s="6">
        <f t="shared" si="67"/>
        <v>46266</v>
      </c>
      <c r="K283" s="6">
        <f t="shared" si="68"/>
        <v>46266</v>
      </c>
      <c r="L283" s="6">
        <f t="shared" si="69"/>
        <v>46266</v>
      </c>
      <c r="M283" s="6">
        <f>D_flows!E13</f>
        <v>46266</v>
      </c>
      <c r="N283" s="6">
        <f t="shared" si="70"/>
        <v>46266</v>
      </c>
      <c r="O283" s="5" t="s">
        <v>1244</v>
      </c>
      <c r="P283" s="5" t="s">
        <v>1255</v>
      </c>
      <c r="Q283" s="5">
        <v>1</v>
      </c>
      <c r="R283" s="6">
        <v>46193</v>
      </c>
      <c r="S283" s="5" t="str">
        <f t="shared" si="66"/>
        <v>in_horizon</v>
      </c>
      <c r="T283" s="5">
        <v>0</v>
      </c>
      <c r="U283" s="5">
        <v>0</v>
      </c>
      <c r="V283" s="5">
        <v>0</v>
      </c>
      <c r="W283" s="5">
        <v>0</v>
      </c>
      <c r="X283" s="5">
        <v>0</v>
      </c>
      <c r="Y283" s="5">
        <v>0</v>
      </c>
    </row>
    <row r="284" spans="1:25" ht="40.049999999999997" customHeight="1">
      <c r="A284" s="3" t="s">
        <v>1258</v>
      </c>
      <c r="B284" s="3" t="s">
        <v>1258</v>
      </c>
      <c r="C284" s="3" t="s">
        <v>1259</v>
      </c>
      <c r="D284" s="3" t="s">
        <v>1196</v>
      </c>
      <c r="E284" s="8">
        <f>D_flows!F14</f>
        <v>500000000</v>
      </c>
      <c r="F284" s="7">
        <f>D_flows!E14</f>
        <v>46249</v>
      </c>
      <c r="G284" s="3">
        <v>0</v>
      </c>
      <c r="H284" s="3" t="s">
        <v>1243</v>
      </c>
      <c r="I284" s="3">
        <v>0</v>
      </c>
      <c r="J284" s="7">
        <f t="shared" si="67"/>
        <v>46249</v>
      </c>
      <c r="K284" s="7">
        <f t="shared" si="68"/>
        <v>46249</v>
      </c>
      <c r="L284" s="7">
        <f t="shared" si="69"/>
        <v>46249</v>
      </c>
      <c r="M284" s="6">
        <f>D_flows!E14</f>
        <v>46249</v>
      </c>
      <c r="N284" s="7">
        <f t="shared" si="70"/>
        <v>46249</v>
      </c>
      <c r="O284" s="3" t="s">
        <v>1244</v>
      </c>
      <c r="P284" s="3" t="s">
        <v>1260</v>
      </c>
      <c r="Q284" s="3">
        <v>1</v>
      </c>
      <c r="R284" s="7">
        <v>46193</v>
      </c>
      <c r="S284" s="3" t="str">
        <f t="shared" si="66"/>
        <v>in_horizon</v>
      </c>
      <c r="T284" s="3">
        <v>0</v>
      </c>
      <c r="U284" s="3">
        <v>0</v>
      </c>
      <c r="V284" s="3">
        <v>0</v>
      </c>
      <c r="W284" s="3">
        <v>0</v>
      </c>
      <c r="X284" s="3">
        <v>0</v>
      </c>
      <c r="Y284" s="3">
        <v>0</v>
      </c>
    </row>
    <row r="285" spans="1:25" ht="40.049999999999997" customHeight="1">
      <c r="A285" s="5" t="s">
        <v>1261</v>
      </c>
      <c r="B285" s="5" t="s">
        <v>1261</v>
      </c>
      <c r="C285" s="5" t="s">
        <v>1259</v>
      </c>
      <c r="D285" s="5" t="s">
        <v>1196</v>
      </c>
      <c r="E285" s="9">
        <f>D_flows!F15</f>
        <v>37397260</v>
      </c>
      <c r="F285" s="6">
        <f>D_flows!E15</f>
        <v>46249</v>
      </c>
      <c r="G285" s="5">
        <v>0</v>
      </c>
      <c r="H285" s="5" t="s">
        <v>1243</v>
      </c>
      <c r="I285" s="5">
        <v>0</v>
      </c>
      <c r="J285" s="6">
        <f t="shared" si="67"/>
        <v>46249</v>
      </c>
      <c r="K285" s="6">
        <f t="shared" si="68"/>
        <v>46249</v>
      </c>
      <c r="L285" s="6">
        <f t="shared" si="69"/>
        <v>46249</v>
      </c>
      <c r="M285" s="7">
        <f>D_flows!E15</f>
        <v>46249</v>
      </c>
      <c r="N285" s="6">
        <f t="shared" si="70"/>
        <v>46249</v>
      </c>
      <c r="O285" s="5" t="s">
        <v>1244</v>
      </c>
      <c r="P285" s="5" t="s">
        <v>1262</v>
      </c>
      <c r="Q285" s="5">
        <v>1</v>
      </c>
      <c r="R285" s="6">
        <v>46193</v>
      </c>
      <c r="S285" s="5" t="str">
        <f t="shared" ref="S285:S311" si="71">IF(N285&gt;$B$7,"beyond_horizon","in_horizon")</f>
        <v>in_horizon</v>
      </c>
      <c r="T285" s="5">
        <v>0</v>
      </c>
      <c r="U285" s="5">
        <v>0</v>
      </c>
      <c r="V285" s="5">
        <v>0</v>
      </c>
      <c r="W285" s="5">
        <v>0</v>
      </c>
      <c r="X285" s="5">
        <v>0</v>
      </c>
      <c r="Y285" s="5">
        <v>0</v>
      </c>
    </row>
    <row r="286" spans="1:25" ht="40.049999999999997" customHeight="1">
      <c r="A286" s="3" t="s">
        <v>1263</v>
      </c>
      <c r="B286" s="3" t="s">
        <v>1264</v>
      </c>
      <c r="C286" s="3" t="s">
        <v>1265</v>
      </c>
      <c r="D286" s="3" t="s">
        <v>1128</v>
      </c>
      <c r="E286" s="8">
        <f>IF(D_F01!$B$19=5,D_F01!$B$9/D_F01!$B$8*7,0)</f>
        <v>0</v>
      </c>
      <c r="F286" s="7">
        <f>$B$6+0</f>
        <v>46194</v>
      </c>
      <c r="G286" s="3">
        <v>0</v>
      </c>
      <c r="H286" s="3" t="s">
        <v>1266</v>
      </c>
      <c r="I286" s="3">
        <v>0</v>
      </c>
      <c r="J286" s="7">
        <f>F286+D_F01!$B$31+ROUNDUP(SUM(D_sales!$X$5:$X$115)/SUM(D_sales!$V$5:$V$115),0)</f>
        <v>46246</v>
      </c>
      <c r="K286" s="7">
        <f t="shared" ref="K286:K311" si="72">J286</f>
        <v>46246</v>
      </c>
      <c r="L286" s="7">
        <f t="shared" ref="L286:L311" si="73">J286</f>
        <v>46246</v>
      </c>
      <c r="M286" s="7"/>
      <c r="N286" s="7">
        <f t="shared" ref="N286:N311" si="74">J286</f>
        <v>46246</v>
      </c>
      <c r="O286" s="3" t="s">
        <v>1267</v>
      </c>
      <c r="P286" s="3" t="s">
        <v>1268</v>
      </c>
      <c r="Q286" s="3">
        <v>0</v>
      </c>
      <c r="R286" s="7">
        <v>46193</v>
      </c>
      <c r="S286" s="3" t="str">
        <f t="shared" si="71"/>
        <v>in_horizon</v>
      </c>
      <c r="T286" s="3">
        <v>0</v>
      </c>
      <c r="U286" s="3">
        <v>0</v>
      </c>
      <c r="V286" s="3">
        <v>0</v>
      </c>
      <c r="W286" s="3">
        <v>0</v>
      </c>
      <c r="X286" s="3">
        <v>0</v>
      </c>
      <c r="Y286" s="3">
        <v>0</v>
      </c>
    </row>
    <row r="287" spans="1:25" ht="40.049999999999997" customHeight="1">
      <c r="A287" s="5" t="s">
        <v>1269</v>
      </c>
      <c r="B287" s="5" t="s">
        <v>1264</v>
      </c>
      <c r="C287" s="5" t="s">
        <v>1270</v>
      </c>
      <c r="D287" s="5" t="s">
        <v>1196</v>
      </c>
      <c r="E287" s="9">
        <f>IF(D_F01!$B$19=5,D_F01!$B$9/D_F01!$B$8*7*D_F01!$B$29,0)</f>
        <v>0</v>
      </c>
      <c r="F287" s="6">
        <f>$B$6+0</f>
        <v>46194</v>
      </c>
      <c r="G287" s="5">
        <v>0</v>
      </c>
      <c r="H287" s="5" t="s">
        <v>1266</v>
      </c>
      <c r="I287" s="5">
        <v>0</v>
      </c>
      <c r="J287" s="6">
        <f>F287+D_F01!$B$30</f>
        <v>46201</v>
      </c>
      <c r="K287" s="6">
        <f t="shared" si="72"/>
        <v>46201</v>
      </c>
      <c r="L287" s="6">
        <f t="shared" si="73"/>
        <v>46201</v>
      </c>
      <c r="M287" s="6"/>
      <c r="N287" s="6">
        <f t="shared" si="74"/>
        <v>46201</v>
      </c>
      <c r="O287" s="5" t="s">
        <v>1267</v>
      </c>
      <c r="P287" s="5" t="s">
        <v>1268</v>
      </c>
      <c r="Q287" s="5">
        <v>0</v>
      </c>
      <c r="R287" s="6">
        <v>46193</v>
      </c>
      <c r="S287" s="5" t="str">
        <f t="shared" si="71"/>
        <v>in_horizon</v>
      </c>
      <c r="T287" s="5">
        <v>0</v>
      </c>
      <c r="U287" s="5">
        <v>0</v>
      </c>
      <c r="V287" s="5">
        <v>0</v>
      </c>
      <c r="W287" s="5">
        <v>0</v>
      </c>
      <c r="X287" s="5">
        <v>0</v>
      </c>
      <c r="Y287" s="5">
        <v>0</v>
      </c>
    </row>
    <row r="288" spans="1:25" ht="40.049999999999997" customHeight="1">
      <c r="A288" s="3" t="s">
        <v>1271</v>
      </c>
      <c r="B288" s="3" t="s">
        <v>1272</v>
      </c>
      <c r="C288" s="3" t="s">
        <v>1265</v>
      </c>
      <c r="D288" s="3" t="s">
        <v>1128</v>
      </c>
      <c r="E288" s="8">
        <f>IF(D_F01!$B$19=5,D_F01!$B$9/D_F01!$B$8*7,0)</f>
        <v>0</v>
      </c>
      <c r="F288" s="7">
        <f>$B$6+7</f>
        <v>46201</v>
      </c>
      <c r="G288" s="3">
        <v>0</v>
      </c>
      <c r="H288" s="3" t="s">
        <v>1266</v>
      </c>
      <c r="I288" s="3">
        <v>0</v>
      </c>
      <c r="J288" s="7">
        <f>F288+D_F01!$B$31+ROUNDUP(SUM(D_sales!$X$5:$X$115)/SUM(D_sales!$V$5:$V$115),0)</f>
        <v>46253</v>
      </c>
      <c r="K288" s="7">
        <f t="shared" si="72"/>
        <v>46253</v>
      </c>
      <c r="L288" s="7">
        <f t="shared" si="73"/>
        <v>46253</v>
      </c>
      <c r="M288" s="7"/>
      <c r="N288" s="7">
        <f t="shared" si="74"/>
        <v>46253</v>
      </c>
      <c r="O288" s="3" t="s">
        <v>1267</v>
      </c>
      <c r="P288" s="3" t="s">
        <v>1268</v>
      </c>
      <c r="Q288" s="3">
        <v>0</v>
      </c>
      <c r="R288" s="7">
        <v>46193</v>
      </c>
      <c r="S288" s="3" t="str">
        <f t="shared" si="71"/>
        <v>in_horizon</v>
      </c>
      <c r="T288" s="3">
        <v>0</v>
      </c>
      <c r="U288" s="3">
        <v>0</v>
      </c>
      <c r="V288" s="3">
        <v>0</v>
      </c>
      <c r="W288" s="3">
        <v>0</v>
      </c>
      <c r="X288" s="3">
        <v>0</v>
      </c>
      <c r="Y288" s="3">
        <v>0</v>
      </c>
    </row>
    <row r="289" spans="1:25" ht="40.049999999999997" customHeight="1">
      <c r="A289" s="5" t="s">
        <v>1273</v>
      </c>
      <c r="B289" s="5" t="s">
        <v>1272</v>
      </c>
      <c r="C289" s="5" t="s">
        <v>1270</v>
      </c>
      <c r="D289" s="5" t="s">
        <v>1196</v>
      </c>
      <c r="E289" s="9">
        <f>IF(D_F01!$B$19=5,D_F01!$B$9/D_F01!$B$8*7*D_F01!$B$29,0)</f>
        <v>0</v>
      </c>
      <c r="F289" s="6">
        <f>$B$6+7</f>
        <v>46201</v>
      </c>
      <c r="G289" s="5">
        <v>0</v>
      </c>
      <c r="H289" s="5" t="s">
        <v>1266</v>
      </c>
      <c r="I289" s="5">
        <v>0</v>
      </c>
      <c r="J289" s="6">
        <f>F289+D_F01!$B$30</f>
        <v>46208</v>
      </c>
      <c r="K289" s="6">
        <f t="shared" si="72"/>
        <v>46208</v>
      </c>
      <c r="L289" s="6">
        <f t="shared" si="73"/>
        <v>46208</v>
      </c>
      <c r="M289" s="6"/>
      <c r="N289" s="6">
        <f t="shared" si="74"/>
        <v>46208</v>
      </c>
      <c r="O289" s="5" t="s">
        <v>1267</v>
      </c>
      <c r="P289" s="5" t="s">
        <v>1268</v>
      </c>
      <c r="Q289" s="5">
        <v>0</v>
      </c>
      <c r="R289" s="6">
        <v>46193</v>
      </c>
      <c r="S289" s="5" t="str">
        <f t="shared" si="71"/>
        <v>in_horizon</v>
      </c>
      <c r="T289" s="5">
        <v>0</v>
      </c>
      <c r="U289" s="5">
        <v>0</v>
      </c>
      <c r="V289" s="5">
        <v>0</v>
      </c>
      <c r="W289" s="5">
        <v>0</v>
      </c>
      <c r="X289" s="5">
        <v>0</v>
      </c>
      <c r="Y289" s="5">
        <v>0</v>
      </c>
    </row>
    <row r="290" spans="1:25" ht="40.049999999999997" customHeight="1">
      <c r="A290" s="3" t="s">
        <v>1274</v>
      </c>
      <c r="B290" s="3" t="s">
        <v>1275</v>
      </c>
      <c r="C290" s="3" t="s">
        <v>1265</v>
      </c>
      <c r="D290" s="3" t="s">
        <v>1128</v>
      </c>
      <c r="E290" s="8">
        <f>IF(D_F01!$B$19=5,D_F01!$B$9/D_F01!$B$8*7,0)</f>
        <v>0</v>
      </c>
      <c r="F290" s="7">
        <f>$B$6+14</f>
        <v>46208</v>
      </c>
      <c r="G290" s="3">
        <v>0</v>
      </c>
      <c r="H290" s="3" t="s">
        <v>1266</v>
      </c>
      <c r="I290" s="3">
        <v>0</v>
      </c>
      <c r="J290" s="7">
        <f>F290+D_F01!$B$31+ROUNDUP(SUM(D_sales!$X$5:$X$115)/SUM(D_sales!$V$5:$V$115),0)</f>
        <v>46260</v>
      </c>
      <c r="K290" s="7">
        <f t="shared" si="72"/>
        <v>46260</v>
      </c>
      <c r="L290" s="7">
        <f t="shared" si="73"/>
        <v>46260</v>
      </c>
      <c r="M290" s="7"/>
      <c r="N290" s="7">
        <f t="shared" si="74"/>
        <v>46260</v>
      </c>
      <c r="O290" s="3" t="s">
        <v>1267</v>
      </c>
      <c r="P290" s="3" t="s">
        <v>1268</v>
      </c>
      <c r="Q290" s="3">
        <v>0</v>
      </c>
      <c r="R290" s="7">
        <v>46193</v>
      </c>
      <c r="S290" s="3" t="str">
        <f t="shared" si="71"/>
        <v>in_horizon</v>
      </c>
      <c r="T290" s="3">
        <v>0</v>
      </c>
      <c r="U290" s="3">
        <v>0</v>
      </c>
      <c r="V290" s="3">
        <v>0</v>
      </c>
      <c r="W290" s="3">
        <v>0</v>
      </c>
      <c r="X290" s="3">
        <v>0</v>
      </c>
      <c r="Y290" s="3">
        <v>0</v>
      </c>
    </row>
    <row r="291" spans="1:25" ht="40.049999999999997" customHeight="1">
      <c r="A291" s="5" t="s">
        <v>1276</v>
      </c>
      <c r="B291" s="5" t="s">
        <v>1275</v>
      </c>
      <c r="C291" s="5" t="s">
        <v>1270</v>
      </c>
      <c r="D291" s="5" t="s">
        <v>1196</v>
      </c>
      <c r="E291" s="9">
        <f>IF(D_F01!$B$19=5,D_F01!$B$9/D_F01!$B$8*7*D_F01!$B$29,0)</f>
        <v>0</v>
      </c>
      <c r="F291" s="6">
        <f>$B$6+14</f>
        <v>46208</v>
      </c>
      <c r="G291" s="5">
        <v>0</v>
      </c>
      <c r="H291" s="5" t="s">
        <v>1266</v>
      </c>
      <c r="I291" s="5">
        <v>0</v>
      </c>
      <c r="J291" s="6">
        <f>F291+D_F01!$B$30</f>
        <v>46215</v>
      </c>
      <c r="K291" s="6">
        <f t="shared" si="72"/>
        <v>46215</v>
      </c>
      <c r="L291" s="6">
        <f t="shared" si="73"/>
        <v>46215</v>
      </c>
      <c r="M291" s="6"/>
      <c r="N291" s="6">
        <f t="shared" si="74"/>
        <v>46215</v>
      </c>
      <c r="O291" s="5" t="s">
        <v>1267</v>
      </c>
      <c r="P291" s="5" t="s">
        <v>1268</v>
      </c>
      <c r="Q291" s="5">
        <v>0</v>
      </c>
      <c r="R291" s="6">
        <v>46193</v>
      </c>
      <c r="S291" s="5" t="str">
        <f t="shared" si="71"/>
        <v>in_horizon</v>
      </c>
      <c r="T291" s="5">
        <v>0</v>
      </c>
      <c r="U291" s="5">
        <v>0</v>
      </c>
      <c r="V291" s="5">
        <v>0</v>
      </c>
      <c r="W291" s="5">
        <v>0</v>
      </c>
      <c r="X291" s="5">
        <v>0</v>
      </c>
      <c r="Y291" s="5">
        <v>0</v>
      </c>
    </row>
    <row r="292" spans="1:25" ht="40.049999999999997" customHeight="1">
      <c r="A292" s="3" t="s">
        <v>1277</v>
      </c>
      <c r="B292" s="3" t="s">
        <v>1278</v>
      </c>
      <c r="C292" s="3" t="s">
        <v>1265</v>
      </c>
      <c r="D292" s="3" t="s">
        <v>1128</v>
      </c>
      <c r="E292" s="8">
        <f>IF(D_F01!$B$19=5,D_F01!$B$9/D_F01!$B$8*7,0)</f>
        <v>0</v>
      </c>
      <c r="F292" s="7">
        <f>$B$6+21</f>
        <v>46215</v>
      </c>
      <c r="G292" s="3">
        <v>0</v>
      </c>
      <c r="H292" s="3" t="s">
        <v>1266</v>
      </c>
      <c r="I292" s="3">
        <v>0</v>
      </c>
      <c r="J292" s="7">
        <f>F292+D_F01!$B$31+ROUNDUP(SUM(D_sales!$X$5:$X$115)/SUM(D_sales!$V$5:$V$115),0)</f>
        <v>46267</v>
      </c>
      <c r="K292" s="7">
        <f t="shared" si="72"/>
        <v>46267</v>
      </c>
      <c r="L292" s="7">
        <f t="shared" si="73"/>
        <v>46267</v>
      </c>
      <c r="M292" s="7"/>
      <c r="N292" s="7">
        <f t="shared" si="74"/>
        <v>46267</v>
      </c>
      <c r="O292" s="3" t="s">
        <v>1267</v>
      </c>
      <c r="P292" s="3" t="s">
        <v>1268</v>
      </c>
      <c r="Q292" s="3">
        <v>0</v>
      </c>
      <c r="R292" s="7">
        <v>46193</v>
      </c>
      <c r="S292" s="3" t="str">
        <f t="shared" si="71"/>
        <v>in_horizon</v>
      </c>
      <c r="T292" s="3">
        <v>0</v>
      </c>
      <c r="U292" s="3">
        <v>0</v>
      </c>
      <c r="V292" s="3">
        <v>0</v>
      </c>
      <c r="W292" s="3">
        <v>0</v>
      </c>
      <c r="X292" s="3">
        <v>0</v>
      </c>
      <c r="Y292" s="3">
        <v>0</v>
      </c>
    </row>
    <row r="293" spans="1:25" ht="40.049999999999997" customHeight="1">
      <c r="A293" s="5" t="s">
        <v>1279</v>
      </c>
      <c r="B293" s="5" t="s">
        <v>1278</v>
      </c>
      <c r="C293" s="5" t="s">
        <v>1270</v>
      </c>
      <c r="D293" s="5" t="s">
        <v>1196</v>
      </c>
      <c r="E293" s="9">
        <f>IF(D_F01!$B$19=5,D_F01!$B$9/D_F01!$B$8*7*D_F01!$B$29,0)</f>
        <v>0</v>
      </c>
      <c r="F293" s="6">
        <f>$B$6+21</f>
        <v>46215</v>
      </c>
      <c r="G293" s="5">
        <v>0</v>
      </c>
      <c r="H293" s="5" t="s">
        <v>1266</v>
      </c>
      <c r="I293" s="5">
        <v>0</v>
      </c>
      <c r="J293" s="6">
        <f>F293+D_F01!$B$30</f>
        <v>46222</v>
      </c>
      <c r="K293" s="6">
        <f t="shared" si="72"/>
        <v>46222</v>
      </c>
      <c r="L293" s="6">
        <f t="shared" si="73"/>
        <v>46222</v>
      </c>
      <c r="M293" s="6"/>
      <c r="N293" s="6">
        <f t="shared" si="74"/>
        <v>46222</v>
      </c>
      <c r="O293" s="5" t="s">
        <v>1267</v>
      </c>
      <c r="P293" s="5" t="s">
        <v>1268</v>
      </c>
      <c r="Q293" s="5">
        <v>0</v>
      </c>
      <c r="R293" s="6">
        <v>46193</v>
      </c>
      <c r="S293" s="5" t="str">
        <f t="shared" si="71"/>
        <v>in_horizon</v>
      </c>
      <c r="T293" s="5">
        <v>0</v>
      </c>
      <c r="U293" s="5">
        <v>0</v>
      </c>
      <c r="V293" s="5">
        <v>0</v>
      </c>
      <c r="W293" s="5">
        <v>0</v>
      </c>
      <c r="X293" s="5">
        <v>0</v>
      </c>
      <c r="Y293" s="5">
        <v>0</v>
      </c>
    </row>
    <row r="294" spans="1:25" ht="40.049999999999997" customHeight="1">
      <c r="A294" s="3" t="s">
        <v>1280</v>
      </c>
      <c r="B294" s="3" t="s">
        <v>1281</v>
      </c>
      <c r="C294" s="3" t="s">
        <v>1265</v>
      </c>
      <c r="D294" s="3" t="s">
        <v>1128</v>
      </c>
      <c r="E294" s="8">
        <f>IF(D_F01!$B$19=5,D_F01!$B$9/D_F01!$B$8*7,0)</f>
        <v>0</v>
      </c>
      <c r="F294" s="7">
        <f>$B$6+28</f>
        <v>46222</v>
      </c>
      <c r="G294" s="3">
        <v>0</v>
      </c>
      <c r="H294" s="3" t="s">
        <v>1266</v>
      </c>
      <c r="I294" s="3">
        <v>0</v>
      </c>
      <c r="J294" s="7">
        <f>F294+D_F01!$B$31+ROUNDUP(SUM(D_sales!$X$5:$X$115)/SUM(D_sales!$V$5:$V$115),0)</f>
        <v>46274</v>
      </c>
      <c r="K294" s="7">
        <f t="shared" si="72"/>
        <v>46274</v>
      </c>
      <c r="L294" s="7">
        <f t="shared" si="73"/>
        <v>46274</v>
      </c>
      <c r="M294" s="7"/>
      <c r="N294" s="7">
        <f t="shared" si="74"/>
        <v>46274</v>
      </c>
      <c r="O294" s="3" t="s">
        <v>1267</v>
      </c>
      <c r="P294" s="3" t="s">
        <v>1268</v>
      </c>
      <c r="Q294" s="3">
        <v>0</v>
      </c>
      <c r="R294" s="7">
        <v>46193</v>
      </c>
      <c r="S294" s="3" t="str">
        <f t="shared" si="71"/>
        <v>in_horizon</v>
      </c>
      <c r="T294" s="3">
        <v>0</v>
      </c>
      <c r="U294" s="3">
        <v>0</v>
      </c>
      <c r="V294" s="3">
        <v>0</v>
      </c>
      <c r="W294" s="3">
        <v>0</v>
      </c>
      <c r="X294" s="3">
        <v>0</v>
      </c>
      <c r="Y294" s="3">
        <v>0</v>
      </c>
    </row>
    <row r="295" spans="1:25" ht="40.049999999999997" customHeight="1">
      <c r="A295" s="5" t="s">
        <v>1282</v>
      </c>
      <c r="B295" s="5" t="s">
        <v>1281</v>
      </c>
      <c r="C295" s="5" t="s">
        <v>1270</v>
      </c>
      <c r="D295" s="5" t="s">
        <v>1196</v>
      </c>
      <c r="E295" s="9">
        <f>IF(D_F01!$B$19=5,D_F01!$B$9/D_F01!$B$8*7*D_F01!$B$29,0)</f>
        <v>0</v>
      </c>
      <c r="F295" s="6">
        <f>$B$6+28</f>
        <v>46222</v>
      </c>
      <c r="G295" s="5">
        <v>0</v>
      </c>
      <c r="H295" s="5" t="s">
        <v>1266</v>
      </c>
      <c r="I295" s="5">
        <v>0</v>
      </c>
      <c r="J295" s="6">
        <f>F295+D_F01!$B$30</f>
        <v>46229</v>
      </c>
      <c r="K295" s="6">
        <f t="shared" si="72"/>
        <v>46229</v>
      </c>
      <c r="L295" s="6">
        <f t="shared" si="73"/>
        <v>46229</v>
      </c>
      <c r="M295" s="6"/>
      <c r="N295" s="6">
        <f t="shared" si="74"/>
        <v>46229</v>
      </c>
      <c r="O295" s="5" t="s">
        <v>1267</v>
      </c>
      <c r="P295" s="5" t="s">
        <v>1268</v>
      </c>
      <c r="Q295" s="5">
        <v>0</v>
      </c>
      <c r="R295" s="6">
        <v>46193</v>
      </c>
      <c r="S295" s="5" t="str">
        <f t="shared" si="71"/>
        <v>in_horizon</v>
      </c>
      <c r="T295" s="5">
        <v>0</v>
      </c>
      <c r="U295" s="5">
        <v>0</v>
      </c>
      <c r="V295" s="5">
        <v>0</v>
      </c>
      <c r="W295" s="5">
        <v>0</v>
      </c>
      <c r="X295" s="5">
        <v>0</v>
      </c>
      <c r="Y295" s="5">
        <v>0</v>
      </c>
    </row>
    <row r="296" spans="1:25" ht="40.049999999999997" customHeight="1">
      <c r="A296" s="3" t="s">
        <v>1283</v>
      </c>
      <c r="B296" s="3" t="s">
        <v>1284</v>
      </c>
      <c r="C296" s="3" t="s">
        <v>1265</v>
      </c>
      <c r="D296" s="3" t="s">
        <v>1128</v>
      </c>
      <c r="E296" s="8">
        <f>IF(D_F01!$B$19=5,D_F01!$B$9/D_F01!$B$8*7,0)</f>
        <v>0</v>
      </c>
      <c r="F296" s="7">
        <f>$B$6+35</f>
        <v>46229</v>
      </c>
      <c r="G296" s="3">
        <v>0</v>
      </c>
      <c r="H296" s="3" t="s">
        <v>1266</v>
      </c>
      <c r="I296" s="3">
        <v>0</v>
      </c>
      <c r="J296" s="7">
        <f>F296+D_F01!$B$31+ROUNDUP(SUM(D_sales!$X$5:$X$115)/SUM(D_sales!$V$5:$V$115),0)</f>
        <v>46281</v>
      </c>
      <c r="K296" s="7">
        <f t="shared" si="72"/>
        <v>46281</v>
      </c>
      <c r="L296" s="7">
        <f t="shared" si="73"/>
        <v>46281</v>
      </c>
      <c r="M296" s="7"/>
      <c r="N296" s="7">
        <f t="shared" si="74"/>
        <v>46281</v>
      </c>
      <c r="O296" s="3" t="s">
        <v>1267</v>
      </c>
      <c r="P296" s="3" t="s">
        <v>1268</v>
      </c>
      <c r="Q296" s="3">
        <v>0</v>
      </c>
      <c r="R296" s="7">
        <v>46193</v>
      </c>
      <c r="S296" s="3" t="str">
        <f t="shared" si="71"/>
        <v>in_horizon</v>
      </c>
      <c r="T296" s="3">
        <v>0</v>
      </c>
      <c r="U296" s="3">
        <v>0</v>
      </c>
      <c r="V296" s="3">
        <v>0</v>
      </c>
      <c r="W296" s="3">
        <v>0</v>
      </c>
      <c r="X296" s="3">
        <v>0</v>
      </c>
      <c r="Y296" s="3">
        <v>0</v>
      </c>
    </row>
    <row r="297" spans="1:25" ht="40.049999999999997" customHeight="1">
      <c r="A297" s="5" t="s">
        <v>1285</v>
      </c>
      <c r="B297" s="5" t="s">
        <v>1284</v>
      </c>
      <c r="C297" s="5" t="s">
        <v>1270</v>
      </c>
      <c r="D297" s="5" t="s">
        <v>1196</v>
      </c>
      <c r="E297" s="9">
        <f>IF(D_F01!$B$19=5,D_F01!$B$9/D_F01!$B$8*7*D_F01!$B$29,0)</f>
        <v>0</v>
      </c>
      <c r="F297" s="6">
        <f>$B$6+35</f>
        <v>46229</v>
      </c>
      <c r="G297" s="5">
        <v>0</v>
      </c>
      <c r="H297" s="5" t="s">
        <v>1266</v>
      </c>
      <c r="I297" s="5">
        <v>0</v>
      </c>
      <c r="J297" s="6">
        <f>F297+D_F01!$B$30</f>
        <v>46236</v>
      </c>
      <c r="K297" s="6">
        <f t="shared" si="72"/>
        <v>46236</v>
      </c>
      <c r="L297" s="6">
        <f t="shared" si="73"/>
        <v>46236</v>
      </c>
      <c r="M297" s="6"/>
      <c r="N297" s="6">
        <f t="shared" si="74"/>
        <v>46236</v>
      </c>
      <c r="O297" s="5" t="s">
        <v>1267</v>
      </c>
      <c r="P297" s="5" t="s">
        <v>1268</v>
      </c>
      <c r="Q297" s="5">
        <v>0</v>
      </c>
      <c r="R297" s="6">
        <v>46193</v>
      </c>
      <c r="S297" s="5" t="str">
        <f t="shared" si="71"/>
        <v>in_horizon</v>
      </c>
      <c r="T297" s="5">
        <v>0</v>
      </c>
      <c r="U297" s="5">
        <v>0</v>
      </c>
      <c r="V297" s="5">
        <v>0</v>
      </c>
      <c r="W297" s="5">
        <v>0</v>
      </c>
      <c r="X297" s="5">
        <v>0</v>
      </c>
      <c r="Y297" s="5">
        <v>0</v>
      </c>
    </row>
    <row r="298" spans="1:25" ht="40.049999999999997" customHeight="1">
      <c r="A298" s="3" t="s">
        <v>1286</v>
      </c>
      <c r="B298" s="3" t="s">
        <v>1287</v>
      </c>
      <c r="C298" s="3" t="s">
        <v>1265</v>
      </c>
      <c r="D298" s="3" t="s">
        <v>1128</v>
      </c>
      <c r="E298" s="8">
        <f>IF(D_F01!$B$19=5,D_F01!$B$9/D_F01!$B$8*7,0)</f>
        <v>0</v>
      </c>
      <c r="F298" s="7">
        <f>$B$6+42</f>
        <v>46236</v>
      </c>
      <c r="G298" s="3">
        <v>0</v>
      </c>
      <c r="H298" s="3" t="s">
        <v>1266</v>
      </c>
      <c r="I298" s="3">
        <v>0</v>
      </c>
      <c r="J298" s="7">
        <f>F298+D_F01!$B$31+ROUNDUP(SUM(D_sales!$X$5:$X$115)/SUM(D_sales!$V$5:$V$115),0)</f>
        <v>46288</v>
      </c>
      <c r="K298" s="7">
        <f t="shared" si="72"/>
        <v>46288</v>
      </c>
      <c r="L298" s="7">
        <f t="shared" si="73"/>
        <v>46288</v>
      </c>
      <c r="M298" s="7"/>
      <c r="N298" s="7">
        <f t="shared" si="74"/>
        <v>46288</v>
      </c>
      <c r="O298" s="3" t="s">
        <v>1267</v>
      </c>
      <c r="P298" s="3" t="s">
        <v>1268</v>
      </c>
      <c r="Q298" s="3">
        <v>0</v>
      </c>
      <c r="R298" s="7">
        <v>46193</v>
      </c>
      <c r="S298" s="3" t="str">
        <f t="shared" si="71"/>
        <v>beyond_horizon</v>
      </c>
      <c r="T298" s="3">
        <v>0</v>
      </c>
      <c r="U298" s="3">
        <v>0</v>
      </c>
      <c r="V298" s="3">
        <v>0</v>
      </c>
      <c r="W298" s="3">
        <v>0</v>
      </c>
      <c r="X298" s="3">
        <v>0</v>
      </c>
      <c r="Y298" s="3">
        <v>0</v>
      </c>
    </row>
    <row r="299" spans="1:25" ht="40.049999999999997" customHeight="1">
      <c r="A299" s="5" t="s">
        <v>1288</v>
      </c>
      <c r="B299" s="5" t="s">
        <v>1287</v>
      </c>
      <c r="C299" s="5" t="s">
        <v>1270</v>
      </c>
      <c r="D299" s="5" t="s">
        <v>1196</v>
      </c>
      <c r="E299" s="9">
        <f>IF(D_F01!$B$19=5,D_F01!$B$9/D_F01!$B$8*7*D_F01!$B$29,0)</f>
        <v>0</v>
      </c>
      <c r="F299" s="6">
        <f>$B$6+42</f>
        <v>46236</v>
      </c>
      <c r="G299" s="5">
        <v>0</v>
      </c>
      <c r="H299" s="5" t="s">
        <v>1266</v>
      </c>
      <c r="I299" s="5">
        <v>0</v>
      </c>
      <c r="J299" s="6">
        <f>F299+D_F01!$B$30</f>
        <v>46243</v>
      </c>
      <c r="K299" s="6">
        <f t="shared" si="72"/>
        <v>46243</v>
      </c>
      <c r="L299" s="6">
        <f t="shared" si="73"/>
        <v>46243</v>
      </c>
      <c r="M299" s="6"/>
      <c r="N299" s="6">
        <f t="shared" si="74"/>
        <v>46243</v>
      </c>
      <c r="O299" s="5" t="s">
        <v>1267</v>
      </c>
      <c r="P299" s="5" t="s">
        <v>1268</v>
      </c>
      <c r="Q299" s="5">
        <v>0</v>
      </c>
      <c r="R299" s="6">
        <v>46193</v>
      </c>
      <c r="S299" s="5" t="str">
        <f t="shared" si="71"/>
        <v>in_horizon</v>
      </c>
      <c r="T299" s="5">
        <v>0</v>
      </c>
      <c r="U299" s="5">
        <v>0</v>
      </c>
      <c r="V299" s="5">
        <v>0</v>
      </c>
      <c r="W299" s="5">
        <v>0</v>
      </c>
      <c r="X299" s="5">
        <v>0</v>
      </c>
      <c r="Y299" s="5">
        <v>0</v>
      </c>
    </row>
    <row r="300" spans="1:25" ht="40.049999999999997" customHeight="1">
      <c r="A300" s="3" t="s">
        <v>1289</v>
      </c>
      <c r="B300" s="3" t="s">
        <v>1290</v>
      </c>
      <c r="C300" s="3" t="s">
        <v>1265</v>
      </c>
      <c r="D300" s="3" t="s">
        <v>1128</v>
      </c>
      <c r="E300" s="8">
        <f>IF(D_F01!$B$19=5,D_F01!$B$9/D_F01!$B$8*7,0)</f>
        <v>0</v>
      </c>
      <c r="F300" s="7">
        <f>$B$6+49</f>
        <v>46243</v>
      </c>
      <c r="G300" s="3">
        <v>0</v>
      </c>
      <c r="H300" s="3" t="s">
        <v>1266</v>
      </c>
      <c r="I300" s="3">
        <v>0</v>
      </c>
      <c r="J300" s="7">
        <f>F300+D_F01!$B$31+ROUNDUP(SUM(D_sales!$X$5:$X$115)/SUM(D_sales!$V$5:$V$115),0)</f>
        <v>46295</v>
      </c>
      <c r="K300" s="7">
        <f t="shared" si="72"/>
        <v>46295</v>
      </c>
      <c r="L300" s="7">
        <f t="shared" si="73"/>
        <v>46295</v>
      </c>
      <c r="M300" s="7"/>
      <c r="N300" s="7">
        <f t="shared" si="74"/>
        <v>46295</v>
      </c>
      <c r="O300" s="3" t="s">
        <v>1267</v>
      </c>
      <c r="P300" s="3" t="s">
        <v>1268</v>
      </c>
      <c r="Q300" s="3">
        <v>0</v>
      </c>
      <c r="R300" s="7">
        <v>46193</v>
      </c>
      <c r="S300" s="3" t="str">
        <f t="shared" si="71"/>
        <v>beyond_horizon</v>
      </c>
      <c r="T300" s="3">
        <v>0</v>
      </c>
      <c r="U300" s="3">
        <v>0</v>
      </c>
      <c r="V300" s="3">
        <v>0</v>
      </c>
      <c r="W300" s="3">
        <v>0</v>
      </c>
      <c r="X300" s="3">
        <v>0</v>
      </c>
      <c r="Y300" s="3">
        <v>0</v>
      </c>
    </row>
    <row r="301" spans="1:25" ht="40.049999999999997" customHeight="1">
      <c r="A301" s="5" t="s">
        <v>1291</v>
      </c>
      <c r="B301" s="5" t="s">
        <v>1290</v>
      </c>
      <c r="C301" s="5" t="s">
        <v>1270</v>
      </c>
      <c r="D301" s="5" t="s">
        <v>1196</v>
      </c>
      <c r="E301" s="9">
        <f>IF(D_F01!$B$19=5,D_F01!$B$9/D_F01!$B$8*7*D_F01!$B$29,0)</f>
        <v>0</v>
      </c>
      <c r="F301" s="6">
        <f>$B$6+49</f>
        <v>46243</v>
      </c>
      <c r="G301" s="5">
        <v>0</v>
      </c>
      <c r="H301" s="5" t="s">
        <v>1266</v>
      </c>
      <c r="I301" s="5">
        <v>0</v>
      </c>
      <c r="J301" s="6">
        <f>F301+D_F01!$B$30</f>
        <v>46250</v>
      </c>
      <c r="K301" s="6">
        <f t="shared" si="72"/>
        <v>46250</v>
      </c>
      <c r="L301" s="6">
        <f t="shared" si="73"/>
        <v>46250</v>
      </c>
      <c r="M301" s="6"/>
      <c r="N301" s="6">
        <f t="shared" si="74"/>
        <v>46250</v>
      </c>
      <c r="O301" s="5" t="s">
        <v>1267</v>
      </c>
      <c r="P301" s="5" t="s">
        <v>1268</v>
      </c>
      <c r="Q301" s="5">
        <v>0</v>
      </c>
      <c r="R301" s="6">
        <v>46193</v>
      </c>
      <c r="S301" s="5" t="str">
        <f t="shared" si="71"/>
        <v>in_horizon</v>
      </c>
      <c r="T301" s="5">
        <v>0</v>
      </c>
      <c r="U301" s="5">
        <v>0</v>
      </c>
      <c r="V301" s="5">
        <v>0</v>
      </c>
      <c r="W301" s="5">
        <v>0</v>
      </c>
      <c r="X301" s="5">
        <v>0</v>
      </c>
      <c r="Y301" s="5">
        <v>0</v>
      </c>
    </row>
    <row r="302" spans="1:25" ht="40.049999999999997" customHeight="1">
      <c r="A302" s="3" t="s">
        <v>1292</v>
      </c>
      <c r="B302" s="3" t="s">
        <v>1293</v>
      </c>
      <c r="C302" s="3" t="s">
        <v>1265</v>
      </c>
      <c r="D302" s="3" t="s">
        <v>1128</v>
      </c>
      <c r="E302" s="8">
        <f>IF(D_F01!$B$19=5,D_F01!$B$9/D_F01!$B$8*7,0)</f>
        <v>0</v>
      </c>
      <c r="F302" s="7">
        <f>$B$6+56</f>
        <v>46250</v>
      </c>
      <c r="G302" s="3">
        <v>0</v>
      </c>
      <c r="H302" s="3" t="s">
        <v>1266</v>
      </c>
      <c r="I302" s="3">
        <v>0</v>
      </c>
      <c r="J302" s="7">
        <f>F302+D_F01!$B$31+ROUNDUP(SUM(D_sales!$X$5:$X$115)/SUM(D_sales!$V$5:$V$115),0)</f>
        <v>46302</v>
      </c>
      <c r="K302" s="7">
        <f t="shared" si="72"/>
        <v>46302</v>
      </c>
      <c r="L302" s="7">
        <f t="shared" si="73"/>
        <v>46302</v>
      </c>
      <c r="M302" s="7"/>
      <c r="N302" s="7">
        <f t="shared" si="74"/>
        <v>46302</v>
      </c>
      <c r="O302" s="3" t="s">
        <v>1267</v>
      </c>
      <c r="P302" s="3" t="s">
        <v>1268</v>
      </c>
      <c r="Q302" s="3">
        <v>0</v>
      </c>
      <c r="R302" s="7">
        <v>46193</v>
      </c>
      <c r="S302" s="3" t="str">
        <f t="shared" si="71"/>
        <v>beyond_horizon</v>
      </c>
      <c r="T302" s="3">
        <v>0</v>
      </c>
      <c r="U302" s="3">
        <v>0</v>
      </c>
      <c r="V302" s="3">
        <v>0</v>
      </c>
      <c r="W302" s="3">
        <v>0</v>
      </c>
      <c r="X302" s="3">
        <v>0</v>
      </c>
      <c r="Y302" s="3">
        <v>0</v>
      </c>
    </row>
    <row r="303" spans="1:25" ht="40.049999999999997" customHeight="1">
      <c r="A303" s="5" t="s">
        <v>1294</v>
      </c>
      <c r="B303" s="5" t="s">
        <v>1293</v>
      </c>
      <c r="C303" s="5" t="s">
        <v>1270</v>
      </c>
      <c r="D303" s="5" t="s">
        <v>1196</v>
      </c>
      <c r="E303" s="9">
        <f>IF(D_F01!$B$19=5,D_F01!$B$9/D_F01!$B$8*7*D_F01!$B$29,0)</f>
        <v>0</v>
      </c>
      <c r="F303" s="6">
        <f>$B$6+56</f>
        <v>46250</v>
      </c>
      <c r="G303" s="5">
        <v>0</v>
      </c>
      <c r="H303" s="5" t="s">
        <v>1266</v>
      </c>
      <c r="I303" s="5">
        <v>0</v>
      </c>
      <c r="J303" s="6">
        <f>F303+D_F01!$B$30</f>
        <v>46257</v>
      </c>
      <c r="K303" s="6">
        <f t="shared" si="72"/>
        <v>46257</v>
      </c>
      <c r="L303" s="6">
        <f t="shared" si="73"/>
        <v>46257</v>
      </c>
      <c r="M303" s="6"/>
      <c r="N303" s="6">
        <f t="shared" si="74"/>
        <v>46257</v>
      </c>
      <c r="O303" s="5" t="s">
        <v>1267</v>
      </c>
      <c r="P303" s="5" t="s">
        <v>1268</v>
      </c>
      <c r="Q303" s="5">
        <v>0</v>
      </c>
      <c r="R303" s="6">
        <v>46193</v>
      </c>
      <c r="S303" s="5" t="str">
        <f t="shared" si="71"/>
        <v>in_horizon</v>
      </c>
      <c r="T303" s="5">
        <v>0</v>
      </c>
      <c r="U303" s="5">
        <v>0</v>
      </c>
      <c r="V303" s="5">
        <v>0</v>
      </c>
      <c r="W303" s="5">
        <v>0</v>
      </c>
      <c r="X303" s="5">
        <v>0</v>
      </c>
      <c r="Y303" s="5">
        <v>0</v>
      </c>
    </row>
    <row r="304" spans="1:25" ht="40.049999999999997" customHeight="1">
      <c r="A304" s="3" t="s">
        <v>1295</v>
      </c>
      <c r="B304" s="3" t="s">
        <v>1296</v>
      </c>
      <c r="C304" s="3" t="s">
        <v>1265</v>
      </c>
      <c r="D304" s="3" t="s">
        <v>1128</v>
      </c>
      <c r="E304" s="8">
        <f>IF(D_F01!$B$19=5,D_F01!$B$9/D_F01!$B$8*7,0)</f>
        <v>0</v>
      </c>
      <c r="F304" s="7">
        <f>$B$6+63</f>
        <v>46257</v>
      </c>
      <c r="G304" s="3">
        <v>0</v>
      </c>
      <c r="H304" s="3" t="s">
        <v>1266</v>
      </c>
      <c r="I304" s="3">
        <v>0</v>
      </c>
      <c r="J304" s="7">
        <f>F304+D_F01!$B$31+ROUNDUP(SUM(D_sales!$X$5:$X$115)/SUM(D_sales!$V$5:$V$115),0)</f>
        <v>46309</v>
      </c>
      <c r="K304" s="7">
        <f t="shared" si="72"/>
        <v>46309</v>
      </c>
      <c r="L304" s="7">
        <f t="shared" si="73"/>
        <v>46309</v>
      </c>
      <c r="M304" s="7"/>
      <c r="N304" s="7">
        <f t="shared" si="74"/>
        <v>46309</v>
      </c>
      <c r="O304" s="3" t="s">
        <v>1267</v>
      </c>
      <c r="P304" s="3" t="s">
        <v>1268</v>
      </c>
      <c r="Q304" s="3">
        <v>0</v>
      </c>
      <c r="R304" s="7">
        <v>46193</v>
      </c>
      <c r="S304" s="3" t="str">
        <f t="shared" si="71"/>
        <v>beyond_horizon</v>
      </c>
      <c r="T304" s="3">
        <v>0</v>
      </c>
      <c r="U304" s="3">
        <v>0</v>
      </c>
      <c r="V304" s="3">
        <v>0</v>
      </c>
      <c r="W304" s="3">
        <v>0</v>
      </c>
      <c r="X304" s="3">
        <v>0</v>
      </c>
      <c r="Y304" s="3">
        <v>0</v>
      </c>
    </row>
    <row r="305" spans="1:25" ht="40.049999999999997" customHeight="1">
      <c r="A305" s="5" t="s">
        <v>1297</v>
      </c>
      <c r="B305" s="5" t="s">
        <v>1296</v>
      </c>
      <c r="C305" s="5" t="s">
        <v>1270</v>
      </c>
      <c r="D305" s="5" t="s">
        <v>1196</v>
      </c>
      <c r="E305" s="9">
        <f>IF(D_F01!$B$19=5,D_F01!$B$9/D_F01!$B$8*7*D_F01!$B$29,0)</f>
        <v>0</v>
      </c>
      <c r="F305" s="6">
        <f>$B$6+63</f>
        <v>46257</v>
      </c>
      <c r="G305" s="5">
        <v>0</v>
      </c>
      <c r="H305" s="5" t="s">
        <v>1266</v>
      </c>
      <c r="I305" s="5">
        <v>0</v>
      </c>
      <c r="J305" s="6">
        <f>F305+D_F01!$B$30</f>
        <v>46264</v>
      </c>
      <c r="K305" s="6">
        <f t="shared" si="72"/>
        <v>46264</v>
      </c>
      <c r="L305" s="6">
        <f t="shared" si="73"/>
        <v>46264</v>
      </c>
      <c r="M305" s="6"/>
      <c r="N305" s="6">
        <f t="shared" si="74"/>
        <v>46264</v>
      </c>
      <c r="O305" s="5" t="s">
        <v>1267</v>
      </c>
      <c r="P305" s="5" t="s">
        <v>1268</v>
      </c>
      <c r="Q305" s="5">
        <v>0</v>
      </c>
      <c r="R305" s="6">
        <v>46193</v>
      </c>
      <c r="S305" s="5" t="str">
        <f t="shared" si="71"/>
        <v>in_horizon</v>
      </c>
      <c r="T305" s="5">
        <v>0</v>
      </c>
      <c r="U305" s="5">
        <v>0</v>
      </c>
      <c r="V305" s="5">
        <v>0</v>
      </c>
      <c r="W305" s="5">
        <v>0</v>
      </c>
      <c r="X305" s="5">
        <v>0</v>
      </c>
      <c r="Y305" s="5">
        <v>0</v>
      </c>
    </row>
    <row r="306" spans="1:25" ht="40.049999999999997" customHeight="1">
      <c r="A306" s="3" t="s">
        <v>1298</v>
      </c>
      <c r="B306" s="3" t="s">
        <v>1299</v>
      </c>
      <c r="C306" s="3" t="s">
        <v>1265</v>
      </c>
      <c r="D306" s="3" t="s">
        <v>1128</v>
      </c>
      <c r="E306" s="8">
        <f>IF(D_F01!$B$19=5,D_F01!$B$9/D_F01!$B$8*7,0)</f>
        <v>0</v>
      </c>
      <c r="F306" s="7">
        <f>$B$6+70</f>
        <v>46264</v>
      </c>
      <c r="G306" s="3">
        <v>0</v>
      </c>
      <c r="H306" s="3" t="s">
        <v>1266</v>
      </c>
      <c r="I306" s="3">
        <v>0</v>
      </c>
      <c r="J306" s="7">
        <f>F306+D_F01!$B$31+ROUNDUP(SUM(D_sales!$X$5:$X$115)/SUM(D_sales!$V$5:$V$115),0)</f>
        <v>46316</v>
      </c>
      <c r="K306" s="7">
        <f t="shared" si="72"/>
        <v>46316</v>
      </c>
      <c r="L306" s="7">
        <f t="shared" si="73"/>
        <v>46316</v>
      </c>
      <c r="M306" s="7"/>
      <c r="N306" s="7">
        <f t="shared" si="74"/>
        <v>46316</v>
      </c>
      <c r="O306" s="3" t="s">
        <v>1267</v>
      </c>
      <c r="P306" s="3" t="s">
        <v>1268</v>
      </c>
      <c r="Q306" s="3">
        <v>0</v>
      </c>
      <c r="R306" s="7">
        <v>46193</v>
      </c>
      <c r="S306" s="3" t="str">
        <f t="shared" si="71"/>
        <v>beyond_horizon</v>
      </c>
      <c r="T306" s="3">
        <v>0</v>
      </c>
      <c r="U306" s="3">
        <v>0</v>
      </c>
      <c r="V306" s="3">
        <v>0</v>
      </c>
      <c r="W306" s="3">
        <v>0</v>
      </c>
      <c r="X306" s="3">
        <v>0</v>
      </c>
      <c r="Y306" s="3">
        <v>0</v>
      </c>
    </row>
    <row r="307" spans="1:25" ht="40.049999999999997" customHeight="1">
      <c r="A307" s="5" t="s">
        <v>1300</v>
      </c>
      <c r="B307" s="5" t="s">
        <v>1299</v>
      </c>
      <c r="C307" s="5" t="s">
        <v>1270</v>
      </c>
      <c r="D307" s="5" t="s">
        <v>1196</v>
      </c>
      <c r="E307" s="9">
        <f>IF(D_F01!$B$19=5,D_F01!$B$9/D_F01!$B$8*7*D_F01!$B$29,0)</f>
        <v>0</v>
      </c>
      <c r="F307" s="6">
        <f>$B$6+70</f>
        <v>46264</v>
      </c>
      <c r="G307" s="5">
        <v>0</v>
      </c>
      <c r="H307" s="5" t="s">
        <v>1266</v>
      </c>
      <c r="I307" s="5">
        <v>0</v>
      </c>
      <c r="J307" s="6">
        <f>F307+D_F01!$B$30</f>
        <v>46271</v>
      </c>
      <c r="K307" s="6">
        <f t="shared" si="72"/>
        <v>46271</v>
      </c>
      <c r="L307" s="6">
        <f t="shared" si="73"/>
        <v>46271</v>
      </c>
      <c r="M307" s="6"/>
      <c r="N307" s="6">
        <f t="shared" si="74"/>
        <v>46271</v>
      </c>
      <c r="O307" s="5" t="s">
        <v>1267</v>
      </c>
      <c r="P307" s="5" t="s">
        <v>1268</v>
      </c>
      <c r="Q307" s="5">
        <v>0</v>
      </c>
      <c r="R307" s="6">
        <v>46193</v>
      </c>
      <c r="S307" s="5" t="str">
        <f t="shared" si="71"/>
        <v>in_horizon</v>
      </c>
      <c r="T307" s="5">
        <v>0</v>
      </c>
      <c r="U307" s="5">
        <v>0</v>
      </c>
      <c r="V307" s="5">
        <v>0</v>
      </c>
      <c r="W307" s="5">
        <v>0</v>
      </c>
      <c r="X307" s="5">
        <v>0</v>
      </c>
      <c r="Y307" s="5">
        <v>0</v>
      </c>
    </row>
    <row r="308" spans="1:25" ht="40.049999999999997" customHeight="1">
      <c r="A308" s="3" t="s">
        <v>1301</v>
      </c>
      <c r="B308" s="3" t="s">
        <v>1302</v>
      </c>
      <c r="C308" s="3" t="s">
        <v>1265</v>
      </c>
      <c r="D308" s="3" t="s">
        <v>1128</v>
      </c>
      <c r="E308" s="8">
        <f>IF(D_F01!$B$19=5,D_F01!$B$9/D_F01!$B$8*7,0)</f>
        <v>0</v>
      </c>
      <c r="F308" s="7">
        <f>$B$6+77</f>
        <v>46271</v>
      </c>
      <c r="G308" s="3">
        <v>0</v>
      </c>
      <c r="H308" s="3" t="s">
        <v>1266</v>
      </c>
      <c r="I308" s="3">
        <v>0</v>
      </c>
      <c r="J308" s="7">
        <f>F308+D_F01!$B$31+ROUNDUP(SUM(D_sales!$X$5:$X$115)/SUM(D_sales!$V$5:$V$115),0)</f>
        <v>46323</v>
      </c>
      <c r="K308" s="7">
        <f t="shared" si="72"/>
        <v>46323</v>
      </c>
      <c r="L308" s="7">
        <f t="shared" si="73"/>
        <v>46323</v>
      </c>
      <c r="M308" s="7"/>
      <c r="N308" s="7">
        <f t="shared" si="74"/>
        <v>46323</v>
      </c>
      <c r="O308" s="3" t="s">
        <v>1267</v>
      </c>
      <c r="P308" s="3" t="s">
        <v>1268</v>
      </c>
      <c r="Q308" s="3">
        <v>0</v>
      </c>
      <c r="R308" s="7">
        <v>46193</v>
      </c>
      <c r="S308" s="3" t="str">
        <f t="shared" si="71"/>
        <v>beyond_horizon</v>
      </c>
      <c r="T308" s="3">
        <v>0</v>
      </c>
      <c r="U308" s="3">
        <v>0</v>
      </c>
      <c r="V308" s="3">
        <v>0</v>
      </c>
      <c r="W308" s="3">
        <v>0</v>
      </c>
      <c r="X308" s="3">
        <v>0</v>
      </c>
      <c r="Y308" s="3">
        <v>0</v>
      </c>
    </row>
    <row r="309" spans="1:25" ht="40.049999999999997" customHeight="1">
      <c r="A309" s="5" t="s">
        <v>1303</v>
      </c>
      <c r="B309" s="5" t="s">
        <v>1302</v>
      </c>
      <c r="C309" s="5" t="s">
        <v>1270</v>
      </c>
      <c r="D309" s="5" t="s">
        <v>1196</v>
      </c>
      <c r="E309" s="9">
        <f>IF(D_F01!$B$19=5,D_F01!$B$9/D_F01!$B$8*7*D_F01!$B$29,0)</f>
        <v>0</v>
      </c>
      <c r="F309" s="6">
        <f>$B$6+77</f>
        <v>46271</v>
      </c>
      <c r="G309" s="5">
        <v>0</v>
      </c>
      <c r="H309" s="5" t="s">
        <v>1266</v>
      </c>
      <c r="I309" s="5">
        <v>0</v>
      </c>
      <c r="J309" s="6">
        <f>F309+D_F01!$B$30</f>
        <v>46278</v>
      </c>
      <c r="K309" s="6">
        <f t="shared" si="72"/>
        <v>46278</v>
      </c>
      <c r="L309" s="6">
        <f t="shared" si="73"/>
        <v>46278</v>
      </c>
      <c r="M309" s="6"/>
      <c r="N309" s="6">
        <f t="shared" si="74"/>
        <v>46278</v>
      </c>
      <c r="O309" s="5" t="s">
        <v>1267</v>
      </c>
      <c r="P309" s="5" t="s">
        <v>1268</v>
      </c>
      <c r="Q309" s="5">
        <v>0</v>
      </c>
      <c r="R309" s="6">
        <v>46193</v>
      </c>
      <c r="S309" s="5" t="str">
        <f t="shared" si="71"/>
        <v>in_horizon</v>
      </c>
      <c r="T309" s="5">
        <v>0</v>
      </c>
      <c r="U309" s="5">
        <v>0</v>
      </c>
      <c r="V309" s="5">
        <v>0</v>
      </c>
      <c r="W309" s="5">
        <v>0</v>
      </c>
      <c r="X309" s="5">
        <v>0</v>
      </c>
      <c r="Y309" s="5">
        <v>0</v>
      </c>
    </row>
    <row r="310" spans="1:25" ht="40.049999999999997" customHeight="1">
      <c r="A310" s="3" t="s">
        <v>1304</v>
      </c>
      <c r="B310" s="3" t="s">
        <v>1305</v>
      </c>
      <c r="C310" s="3" t="s">
        <v>1265</v>
      </c>
      <c r="D310" s="3" t="s">
        <v>1128</v>
      </c>
      <c r="E310" s="8">
        <f>IF(D_F01!$B$19=5,D_F01!$B$9/D_F01!$B$8*7,0)</f>
        <v>0</v>
      </c>
      <c r="F310" s="7">
        <f>$B$6+84</f>
        <v>46278</v>
      </c>
      <c r="G310" s="3">
        <v>0</v>
      </c>
      <c r="H310" s="3" t="s">
        <v>1266</v>
      </c>
      <c r="I310" s="3">
        <v>0</v>
      </c>
      <c r="J310" s="7">
        <f>F310+D_F01!$B$31+ROUNDUP(SUM(D_sales!$X$5:$X$115)/SUM(D_sales!$V$5:$V$115),0)</f>
        <v>46330</v>
      </c>
      <c r="K310" s="7">
        <f t="shared" si="72"/>
        <v>46330</v>
      </c>
      <c r="L310" s="7">
        <f t="shared" si="73"/>
        <v>46330</v>
      </c>
      <c r="M310" s="7"/>
      <c r="N310" s="7">
        <f t="shared" si="74"/>
        <v>46330</v>
      </c>
      <c r="O310" s="3" t="s">
        <v>1267</v>
      </c>
      <c r="P310" s="3" t="s">
        <v>1268</v>
      </c>
      <c r="Q310" s="3">
        <v>0</v>
      </c>
      <c r="R310" s="7">
        <v>46193</v>
      </c>
      <c r="S310" s="3" t="str">
        <f t="shared" si="71"/>
        <v>beyond_horizon</v>
      </c>
      <c r="T310" s="3">
        <v>0</v>
      </c>
      <c r="U310" s="3">
        <v>0</v>
      </c>
      <c r="V310" s="3">
        <v>0</v>
      </c>
      <c r="W310" s="3">
        <v>0</v>
      </c>
      <c r="X310" s="3">
        <v>0</v>
      </c>
      <c r="Y310" s="3">
        <v>0</v>
      </c>
    </row>
    <row r="311" spans="1:25" ht="40.049999999999997" customHeight="1">
      <c r="A311" s="5" t="s">
        <v>1306</v>
      </c>
      <c r="B311" s="5" t="s">
        <v>1305</v>
      </c>
      <c r="C311" s="5" t="s">
        <v>1270</v>
      </c>
      <c r="D311" s="5" t="s">
        <v>1196</v>
      </c>
      <c r="E311" s="9">
        <f>IF(D_F01!$B$19=5,D_F01!$B$9/D_F01!$B$8*7*D_F01!$B$29,0)</f>
        <v>0</v>
      </c>
      <c r="F311" s="6">
        <f>$B$6+84</f>
        <v>46278</v>
      </c>
      <c r="G311" s="5">
        <v>0</v>
      </c>
      <c r="H311" s="5" t="s">
        <v>1266</v>
      </c>
      <c r="I311" s="5">
        <v>0</v>
      </c>
      <c r="J311" s="6">
        <f>F311+D_F01!$B$30</f>
        <v>46285</v>
      </c>
      <c r="K311" s="6">
        <f t="shared" si="72"/>
        <v>46285</v>
      </c>
      <c r="L311" s="6">
        <f t="shared" si="73"/>
        <v>46285</v>
      </c>
      <c r="M311" s="6"/>
      <c r="N311" s="6">
        <f t="shared" si="74"/>
        <v>46285</v>
      </c>
      <c r="O311" s="5" t="s">
        <v>1267</v>
      </c>
      <c r="P311" s="5" t="s">
        <v>1268</v>
      </c>
      <c r="Q311" s="5">
        <v>0</v>
      </c>
      <c r="R311" s="6">
        <v>46193</v>
      </c>
      <c r="S311" s="5" t="str">
        <f t="shared" si="71"/>
        <v>beyond_horizon</v>
      </c>
      <c r="T311" s="5">
        <v>0</v>
      </c>
      <c r="U311" s="5">
        <v>0</v>
      </c>
      <c r="V311" s="5">
        <v>0</v>
      </c>
      <c r="W311" s="5">
        <v>0</v>
      </c>
      <c r="X311" s="5">
        <v>0</v>
      </c>
      <c r="Y311" s="5">
        <v>0</v>
      </c>
    </row>
    <row r="312" spans="1:25" ht="40.049999999999997" customHeight="1">
      <c r="A312" s="51" t="str">
        <f>D_flows!A16</f>
        <v>ELEC-F01-0003</v>
      </c>
      <c r="B312" s="51" t="str">
        <f>D_flows!H16</f>
        <v>BILL-F01-0003</v>
      </c>
      <c r="C312" s="51" t="str">
        <f>D_flows!I16</f>
        <v>Điện lực khu công nghiệp</v>
      </c>
      <c r="D312" s="51" t="str">
        <f>D_flows!C16</f>
        <v>OUT</v>
      </c>
      <c r="E312" s="9">
        <f>IF(AND(F312&gt;=$B$6,COUNTIF($B$253:$B$274,B312)=0),D_flows!F16,0)</f>
        <v>0</v>
      </c>
      <c r="F312" s="52">
        <f>D_flows!E16</f>
        <v>46038</v>
      </c>
      <c r="G312" s="5">
        <v>0</v>
      </c>
      <c r="H312" s="5" t="s">
        <v>1243</v>
      </c>
      <c r="I312" s="5">
        <v>0</v>
      </c>
      <c r="J312" s="6">
        <f t="shared" ref="J312:J341" si="75">F312</f>
        <v>46038</v>
      </c>
      <c r="K312" s="6">
        <f t="shared" ref="K312:K341" si="76">F312</f>
        <v>46038</v>
      </c>
      <c r="L312" s="6">
        <f t="shared" ref="L312:L341" si="77">F312</f>
        <v>46038</v>
      </c>
      <c r="M312" s="6"/>
      <c r="N312" s="6">
        <f t="shared" ref="N312:N341" si="78">F312</f>
        <v>46038</v>
      </c>
      <c r="O312" s="5" t="str">
        <f t="shared" ref="O312:O341" si="79">IF(F312&lt;$B$6,"excluded_settled_before_as_of",IF(COUNTIF($B$253:$B$274,B312)&gt;0,"excluded_already_in_PAY_BILL","included_from_D_flows"))</f>
        <v>excluded_settled_before_as_of</v>
      </c>
      <c r="P312" s="51" t="str">
        <f>D_flows!D16</f>
        <v>Tiện ích (điện)</v>
      </c>
      <c r="Q312" s="51">
        <f>D_flows!J16</f>
        <v>1</v>
      </c>
      <c r="R312" s="52">
        <f>D_flows!L16</f>
        <v>46193</v>
      </c>
      <c r="S312" s="5" t="str">
        <f t="shared" ref="S312:S341" si="80">IF(N312&gt;$B$7,"beyond_horizon",IF(N312&lt;$B$6,"invalid_past","in_horizon"))</f>
        <v>invalid_past</v>
      </c>
      <c r="T312" s="5">
        <v>0</v>
      </c>
      <c r="U312" s="5">
        <v>0</v>
      </c>
      <c r="V312" s="5">
        <v>0</v>
      </c>
      <c r="W312" s="5">
        <v>0</v>
      </c>
      <c r="X312" s="5">
        <v>0</v>
      </c>
      <c r="Y312" s="5">
        <v>0</v>
      </c>
    </row>
    <row r="313" spans="1:25" ht="40.049999999999997" customHeight="1">
      <c r="A313" s="51" t="str">
        <f>D_flows!A17</f>
        <v>TRANS-F01-0006</v>
      </c>
      <c r="B313" s="51" t="str">
        <f>D_flows!H17</f>
        <v>BILL-F01-0006</v>
      </c>
      <c r="C313" s="51" t="str">
        <f>D_flows!I17</f>
        <v>Vận tải nội địa NCC5</v>
      </c>
      <c r="D313" s="51" t="str">
        <f>D_flows!C17</f>
        <v>OUT</v>
      </c>
      <c r="E313" s="9">
        <f>IF(AND(F313&gt;=$B$6,COUNTIF($B$253:$B$274,B313)=0),D_flows!F17,0)</f>
        <v>0</v>
      </c>
      <c r="F313" s="52">
        <f>D_flows!E17</f>
        <v>46043</v>
      </c>
      <c r="G313" s="5">
        <v>0</v>
      </c>
      <c r="H313" s="5" t="s">
        <v>1243</v>
      </c>
      <c r="I313" s="5">
        <v>0</v>
      </c>
      <c r="J313" s="6">
        <f t="shared" si="75"/>
        <v>46043</v>
      </c>
      <c r="K313" s="6">
        <f t="shared" si="76"/>
        <v>46043</v>
      </c>
      <c r="L313" s="6">
        <f t="shared" si="77"/>
        <v>46043</v>
      </c>
      <c r="M313" s="6"/>
      <c r="N313" s="6">
        <f t="shared" si="78"/>
        <v>46043</v>
      </c>
      <c r="O313" s="5" t="str">
        <f t="shared" si="79"/>
        <v>excluded_settled_before_as_of</v>
      </c>
      <c r="P313" s="51" t="str">
        <f>D_flows!D17</f>
        <v>Vận tải</v>
      </c>
      <c r="Q313" s="51">
        <f>D_flows!J17</f>
        <v>0</v>
      </c>
      <c r="R313" s="52">
        <f>D_flows!L17</f>
        <v>46193</v>
      </c>
      <c r="S313" s="5" t="str">
        <f t="shared" si="80"/>
        <v>invalid_past</v>
      </c>
      <c r="T313" s="5">
        <v>0</v>
      </c>
      <c r="U313" s="5">
        <v>0</v>
      </c>
      <c r="V313" s="5">
        <v>0</v>
      </c>
      <c r="W313" s="5">
        <v>0</v>
      </c>
      <c r="X313" s="5">
        <v>0</v>
      </c>
      <c r="Y313" s="5">
        <v>0</v>
      </c>
    </row>
    <row r="314" spans="1:25" ht="40.049999999999997" customHeight="1">
      <c r="A314" s="51" t="str">
        <f>D_flows!A18</f>
        <v>TRANS-F01-0009</v>
      </c>
      <c r="B314" s="51" t="str">
        <f>D_flows!H18</f>
        <v>BILL-F01-0009</v>
      </c>
      <c r="C314" s="51" t="str">
        <f>D_flows!I18</f>
        <v>Vận tải nội địa NCC5</v>
      </c>
      <c r="D314" s="51" t="str">
        <f>D_flows!C18</f>
        <v>OUT</v>
      </c>
      <c r="E314" s="9">
        <f>IF(AND(F314&gt;=$B$6,COUNTIF($B$253:$B$274,B314)=0),D_flows!F18,0)</f>
        <v>0</v>
      </c>
      <c r="F314" s="52">
        <f>D_flows!E18</f>
        <v>46048</v>
      </c>
      <c r="G314" s="5">
        <v>0</v>
      </c>
      <c r="H314" s="5" t="s">
        <v>1243</v>
      </c>
      <c r="I314" s="5">
        <v>0</v>
      </c>
      <c r="J314" s="6">
        <f t="shared" si="75"/>
        <v>46048</v>
      </c>
      <c r="K314" s="6">
        <f t="shared" si="76"/>
        <v>46048</v>
      </c>
      <c r="L314" s="6">
        <f t="shared" si="77"/>
        <v>46048</v>
      </c>
      <c r="M314" s="6"/>
      <c r="N314" s="6">
        <f t="shared" si="78"/>
        <v>46048</v>
      </c>
      <c r="O314" s="5" t="str">
        <f t="shared" si="79"/>
        <v>excluded_settled_before_as_of</v>
      </c>
      <c r="P314" s="51" t="str">
        <f>D_flows!D18</f>
        <v>Vận tải</v>
      </c>
      <c r="Q314" s="51">
        <f>D_flows!J18</f>
        <v>0</v>
      </c>
      <c r="R314" s="52">
        <f>D_flows!L18</f>
        <v>46193</v>
      </c>
      <c r="S314" s="5" t="str">
        <f t="shared" si="80"/>
        <v>invalid_past</v>
      </c>
      <c r="T314" s="5">
        <v>0</v>
      </c>
      <c r="U314" s="5">
        <v>0</v>
      </c>
      <c r="V314" s="5">
        <v>0</v>
      </c>
      <c r="W314" s="5">
        <v>0</v>
      </c>
      <c r="X314" s="5">
        <v>0</v>
      </c>
      <c r="Y314" s="5">
        <v>0</v>
      </c>
    </row>
    <row r="315" spans="1:25" ht="40.049999999999997" customHeight="1">
      <c r="A315" s="51" t="str">
        <f>D_flows!A19</f>
        <v>TRANS-F01-0013</v>
      </c>
      <c r="B315" s="51" t="str">
        <f>D_flows!H19</f>
        <v>BILL-F01-0013</v>
      </c>
      <c r="C315" s="51" t="str">
        <f>D_flows!I19</f>
        <v>Vận tải nội địa NCC5</v>
      </c>
      <c r="D315" s="51" t="str">
        <f>D_flows!C19</f>
        <v>OUT</v>
      </c>
      <c r="E315" s="9">
        <f>IF(AND(F315&gt;=$B$6,COUNTIF($B$253:$B$274,B315)=0),D_flows!F19,0)</f>
        <v>0</v>
      </c>
      <c r="F315" s="52">
        <f>D_flows!E19</f>
        <v>46052</v>
      </c>
      <c r="G315" s="5">
        <v>0</v>
      </c>
      <c r="H315" s="5" t="s">
        <v>1243</v>
      </c>
      <c r="I315" s="5">
        <v>0</v>
      </c>
      <c r="J315" s="6">
        <f t="shared" si="75"/>
        <v>46052</v>
      </c>
      <c r="K315" s="6">
        <f t="shared" si="76"/>
        <v>46052</v>
      </c>
      <c r="L315" s="6">
        <f t="shared" si="77"/>
        <v>46052</v>
      </c>
      <c r="M315" s="6"/>
      <c r="N315" s="6">
        <f t="shared" si="78"/>
        <v>46052</v>
      </c>
      <c r="O315" s="5" t="str">
        <f t="shared" si="79"/>
        <v>excluded_settled_before_as_of</v>
      </c>
      <c r="P315" s="51" t="str">
        <f>D_flows!D19</f>
        <v>Vận tải</v>
      </c>
      <c r="Q315" s="51">
        <f>D_flows!J19</f>
        <v>0</v>
      </c>
      <c r="R315" s="52">
        <f>D_flows!L19</f>
        <v>46193</v>
      </c>
      <c r="S315" s="5" t="str">
        <f t="shared" si="80"/>
        <v>invalid_past</v>
      </c>
      <c r="T315" s="5">
        <v>0</v>
      </c>
      <c r="U315" s="5">
        <v>0</v>
      </c>
      <c r="V315" s="5">
        <v>0</v>
      </c>
      <c r="W315" s="5">
        <v>0</v>
      </c>
      <c r="X315" s="5">
        <v>0</v>
      </c>
      <c r="Y315" s="5">
        <v>0</v>
      </c>
    </row>
    <row r="316" spans="1:25" ht="40.049999999999997" customHeight="1">
      <c r="A316" s="51" t="str">
        <f>D_flows!A20</f>
        <v>TRANS-F01-0015</v>
      </c>
      <c r="B316" s="51" t="str">
        <f>D_flows!H20</f>
        <v>BILL-F01-0015</v>
      </c>
      <c r="C316" s="51" t="str">
        <f>D_flows!I20</f>
        <v>Vận tải nội địa NCC5</v>
      </c>
      <c r="D316" s="51" t="str">
        <f>D_flows!C20</f>
        <v>OUT</v>
      </c>
      <c r="E316" s="9">
        <f>IF(AND(F316&gt;=$B$6,COUNTIF($B$253:$B$274,B316)=0),D_flows!F20,0)</f>
        <v>0</v>
      </c>
      <c r="F316" s="52">
        <f>D_flows!E20</f>
        <v>46059</v>
      </c>
      <c r="G316" s="5">
        <v>0</v>
      </c>
      <c r="H316" s="5" t="s">
        <v>1243</v>
      </c>
      <c r="I316" s="5">
        <v>0</v>
      </c>
      <c r="J316" s="6">
        <f t="shared" si="75"/>
        <v>46059</v>
      </c>
      <c r="K316" s="6">
        <f t="shared" si="76"/>
        <v>46059</v>
      </c>
      <c r="L316" s="6">
        <f t="shared" si="77"/>
        <v>46059</v>
      </c>
      <c r="M316" s="6"/>
      <c r="N316" s="6">
        <f t="shared" si="78"/>
        <v>46059</v>
      </c>
      <c r="O316" s="5" t="str">
        <f t="shared" si="79"/>
        <v>excluded_settled_before_as_of</v>
      </c>
      <c r="P316" s="51" t="str">
        <f>D_flows!D20</f>
        <v>Vận tải</v>
      </c>
      <c r="Q316" s="51">
        <f>D_flows!J20</f>
        <v>0</v>
      </c>
      <c r="R316" s="52">
        <f>D_flows!L20</f>
        <v>46193</v>
      </c>
      <c r="S316" s="5" t="str">
        <f t="shared" si="80"/>
        <v>invalid_past</v>
      </c>
      <c r="T316" s="5">
        <v>0</v>
      </c>
      <c r="U316" s="5">
        <v>0</v>
      </c>
      <c r="V316" s="5">
        <v>0</v>
      </c>
      <c r="W316" s="5">
        <v>0</v>
      </c>
      <c r="X316" s="5">
        <v>0</v>
      </c>
      <c r="Y316" s="5">
        <v>0</v>
      </c>
    </row>
    <row r="317" spans="1:25" ht="40.049999999999997" customHeight="1">
      <c r="A317" s="51" t="str">
        <f>D_flows!A21</f>
        <v>ELEC-F01-0018</v>
      </c>
      <c r="B317" s="51" t="str">
        <f>D_flows!H21</f>
        <v>BILL-F01-0018</v>
      </c>
      <c r="C317" s="51" t="str">
        <f>D_flows!I21</f>
        <v>Điện lực khu công nghiệp</v>
      </c>
      <c r="D317" s="51" t="str">
        <f>D_flows!C21</f>
        <v>OUT</v>
      </c>
      <c r="E317" s="9">
        <f>IF(AND(F317&gt;=$B$6,COUNTIF($B$253:$B$274,B317)=0),D_flows!F21,0)</f>
        <v>0</v>
      </c>
      <c r="F317" s="52">
        <f>D_flows!E21</f>
        <v>46061</v>
      </c>
      <c r="G317" s="5">
        <v>0</v>
      </c>
      <c r="H317" s="5" t="s">
        <v>1243</v>
      </c>
      <c r="I317" s="5">
        <v>0</v>
      </c>
      <c r="J317" s="6">
        <f t="shared" si="75"/>
        <v>46061</v>
      </c>
      <c r="K317" s="6">
        <f t="shared" si="76"/>
        <v>46061</v>
      </c>
      <c r="L317" s="6">
        <f t="shared" si="77"/>
        <v>46061</v>
      </c>
      <c r="M317" s="6"/>
      <c r="N317" s="6">
        <f t="shared" si="78"/>
        <v>46061</v>
      </c>
      <c r="O317" s="5" t="str">
        <f t="shared" si="79"/>
        <v>excluded_settled_before_as_of</v>
      </c>
      <c r="P317" s="51" t="str">
        <f>D_flows!D21</f>
        <v>Tiện ích (điện)</v>
      </c>
      <c r="Q317" s="51">
        <f>D_flows!J21</f>
        <v>1</v>
      </c>
      <c r="R317" s="52">
        <f>D_flows!L21</f>
        <v>46193</v>
      </c>
      <c r="S317" s="5" t="str">
        <f t="shared" si="80"/>
        <v>invalid_past</v>
      </c>
      <c r="T317" s="5">
        <v>0</v>
      </c>
      <c r="U317" s="5">
        <v>0</v>
      </c>
      <c r="V317" s="5">
        <v>0</v>
      </c>
      <c r="W317" s="5">
        <v>0</v>
      </c>
      <c r="X317" s="5">
        <v>0</v>
      </c>
      <c r="Y317" s="5">
        <v>0</v>
      </c>
    </row>
    <row r="318" spans="1:25" ht="40.049999999999997" customHeight="1">
      <c r="A318" s="51" t="str">
        <f>D_flows!A22</f>
        <v>TRANS-F01-0020</v>
      </c>
      <c r="B318" s="51" t="str">
        <f>D_flows!H22</f>
        <v>BILL-F01-0020</v>
      </c>
      <c r="C318" s="51" t="str">
        <f>D_flows!I22</f>
        <v>Vận tải nội địa NCC5</v>
      </c>
      <c r="D318" s="51" t="str">
        <f>D_flows!C22</f>
        <v>OUT</v>
      </c>
      <c r="E318" s="9">
        <f>IF(AND(F318&gt;=$B$6,COUNTIF($B$253:$B$274,B318)=0),D_flows!F22,0)</f>
        <v>0</v>
      </c>
      <c r="F318" s="52">
        <f>D_flows!E22</f>
        <v>46059</v>
      </c>
      <c r="G318" s="5">
        <v>0</v>
      </c>
      <c r="H318" s="5" t="s">
        <v>1243</v>
      </c>
      <c r="I318" s="5">
        <v>0</v>
      </c>
      <c r="J318" s="6">
        <f t="shared" si="75"/>
        <v>46059</v>
      </c>
      <c r="K318" s="6">
        <f t="shared" si="76"/>
        <v>46059</v>
      </c>
      <c r="L318" s="6">
        <f t="shared" si="77"/>
        <v>46059</v>
      </c>
      <c r="M318" s="6"/>
      <c r="N318" s="6">
        <f t="shared" si="78"/>
        <v>46059</v>
      </c>
      <c r="O318" s="5" t="str">
        <f t="shared" si="79"/>
        <v>excluded_settled_before_as_of</v>
      </c>
      <c r="P318" s="51" t="str">
        <f>D_flows!D22</f>
        <v>Vận tải</v>
      </c>
      <c r="Q318" s="51">
        <f>D_flows!J22</f>
        <v>0</v>
      </c>
      <c r="R318" s="52">
        <f>D_flows!L22</f>
        <v>46193</v>
      </c>
      <c r="S318" s="5" t="str">
        <f t="shared" si="80"/>
        <v>invalid_past</v>
      </c>
      <c r="T318" s="5">
        <v>0</v>
      </c>
      <c r="U318" s="5">
        <v>0</v>
      </c>
      <c r="V318" s="5">
        <v>0</v>
      </c>
      <c r="W318" s="5">
        <v>0</v>
      </c>
      <c r="X318" s="5">
        <v>0</v>
      </c>
      <c r="Y318" s="5">
        <v>0</v>
      </c>
    </row>
    <row r="319" spans="1:25" ht="40.049999999999997" customHeight="1">
      <c r="A319" s="51" t="str">
        <f>D_flows!A23</f>
        <v>TRANS-F01-0030</v>
      </c>
      <c r="B319" s="51" t="str">
        <f>D_flows!H23</f>
        <v>BILL-F01-0030</v>
      </c>
      <c r="C319" s="51" t="str">
        <f>D_flows!I23</f>
        <v>Vận tải nội địa NCC5</v>
      </c>
      <c r="D319" s="51" t="str">
        <f>D_flows!C23</f>
        <v>OUT</v>
      </c>
      <c r="E319" s="9">
        <f>IF(AND(F319&gt;=$B$6,COUNTIF($B$253:$B$274,B319)=0),D_flows!F23,0)</f>
        <v>0</v>
      </c>
      <c r="F319" s="52">
        <f>D_flows!E23</f>
        <v>46079</v>
      </c>
      <c r="G319" s="5">
        <v>0</v>
      </c>
      <c r="H319" s="5" t="s">
        <v>1243</v>
      </c>
      <c r="I319" s="5">
        <v>0</v>
      </c>
      <c r="J319" s="6">
        <f t="shared" si="75"/>
        <v>46079</v>
      </c>
      <c r="K319" s="6">
        <f t="shared" si="76"/>
        <v>46079</v>
      </c>
      <c r="L319" s="6">
        <f t="shared" si="77"/>
        <v>46079</v>
      </c>
      <c r="M319" s="6"/>
      <c r="N319" s="6">
        <f t="shared" si="78"/>
        <v>46079</v>
      </c>
      <c r="O319" s="5" t="str">
        <f t="shared" si="79"/>
        <v>excluded_settled_before_as_of</v>
      </c>
      <c r="P319" s="51" t="str">
        <f>D_flows!D23</f>
        <v>Vận tải</v>
      </c>
      <c r="Q319" s="51">
        <f>D_flows!J23</f>
        <v>0</v>
      </c>
      <c r="R319" s="52">
        <f>D_flows!L23</f>
        <v>46193</v>
      </c>
      <c r="S319" s="5" t="str">
        <f t="shared" si="80"/>
        <v>invalid_past</v>
      </c>
      <c r="T319" s="5">
        <v>0</v>
      </c>
      <c r="U319" s="5">
        <v>0</v>
      </c>
      <c r="V319" s="5">
        <v>0</v>
      </c>
      <c r="W319" s="5">
        <v>0</v>
      </c>
      <c r="X319" s="5">
        <v>0</v>
      </c>
      <c r="Y319" s="5">
        <v>0</v>
      </c>
    </row>
    <row r="320" spans="1:25" ht="40.049999999999997" customHeight="1">
      <c r="A320" s="51" t="str">
        <f>D_flows!A24</f>
        <v>TRANS-F01-0035</v>
      </c>
      <c r="B320" s="51" t="str">
        <f>D_flows!H24</f>
        <v>BILL-F01-0035</v>
      </c>
      <c r="C320" s="51" t="str">
        <f>D_flows!I24</f>
        <v>Vận tải nội địa NCC5</v>
      </c>
      <c r="D320" s="51" t="str">
        <f>D_flows!C24</f>
        <v>OUT</v>
      </c>
      <c r="E320" s="9">
        <f>IF(AND(F320&gt;=$B$6,COUNTIF($B$253:$B$274,B320)=0),D_flows!F24,0)</f>
        <v>0</v>
      </c>
      <c r="F320" s="52">
        <f>D_flows!E24</f>
        <v>46091</v>
      </c>
      <c r="G320" s="5">
        <v>0</v>
      </c>
      <c r="H320" s="5" t="s">
        <v>1243</v>
      </c>
      <c r="I320" s="5">
        <v>0</v>
      </c>
      <c r="J320" s="6">
        <f t="shared" si="75"/>
        <v>46091</v>
      </c>
      <c r="K320" s="6">
        <f t="shared" si="76"/>
        <v>46091</v>
      </c>
      <c r="L320" s="6">
        <f t="shared" si="77"/>
        <v>46091</v>
      </c>
      <c r="M320" s="6"/>
      <c r="N320" s="6">
        <f t="shared" si="78"/>
        <v>46091</v>
      </c>
      <c r="O320" s="5" t="str">
        <f t="shared" si="79"/>
        <v>excluded_settled_before_as_of</v>
      </c>
      <c r="P320" s="51" t="str">
        <f>D_flows!D24</f>
        <v>Vận tải</v>
      </c>
      <c r="Q320" s="51">
        <f>D_flows!J24</f>
        <v>0</v>
      </c>
      <c r="R320" s="52">
        <f>D_flows!L24</f>
        <v>46193</v>
      </c>
      <c r="S320" s="5" t="str">
        <f t="shared" si="80"/>
        <v>invalid_past</v>
      </c>
      <c r="T320" s="5">
        <v>0</v>
      </c>
      <c r="U320" s="5">
        <v>0</v>
      </c>
      <c r="V320" s="5">
        <v>0</v>
      </c>
      <c r="W320" s="5">
        <v>0</v>
      </c>
      <c r="X320" s="5">
        <v>0</v>
      </c>
      <c r="Y320" s="5">
        <v>0</v>
      </c>
    </row>
    <row r="321" spans="1:25" ht="40.049999999999997" customHeight="1">
      <c r="A321" s="51" t="str">
        <f>D_flows!A25</f>
        <v>ELEC-F01-0036</v>
      </c>
      <c r="B321" s="51" t="str">
        <f>D_flows!H25</f>
        <v>BILL-F01-0036</v>
      </c>
      <c r="C321" s="51" t="str">
        <f>D_flows!I25</f>
        <v>Điện lực khu công nghiệp</v>
      </c>
      <c r="D321" s="51" t="str">
        <f>D_flows!C25</f>
        <v>OUT</v>
      </c>
      <c r="E321" s="9">
        <f>IF(AND(F321&gt;=$B$6,COUNTIF($B$253:$B$274,B321)=0),D_flows!F25,0)</f>
        <v>0</v>
      </c>
      <c r="F321" s="52">
        <f>D_flows!E25</f>
        <v>46091</v>
      </c>
      <c r="G321" s="5">
        <v>0</v>
      </c>
      <c r="H321" s="5" t="s">
        <v>1243</v>
      </c>
      <c r="I321" s="5">
        <v>0</v>
      </c>
      <c r="J321" s="6">
        <f t="shared" si="75"/>
        <v>46091</v>
      </c>
      <c r="K321" s="6">
        <f t="shared" si="76"/>
        <v>46091</v>
      </c>
      <c r="L321" s="6">
        <f t="shared" si="77"/>
        <v>46091</v>
      </c>
      <c r="M321" s="6"/>
      <c r="N321" s="6">
        <f t="shared" si="78"/>
        <v>46091</v>
      </c>
      <c r="O321" s="5" t="str">
        <f t="shared" si="79"/>
        <v>excluded_settled_before_as_of</v>
      </c>
      <c r="P321" s="51" t="str">
        <f>D_flows!D25</f>
        <v>Tiện ích (điện)</v>
      </c>
      <c r="Q321" s="51">
        <f>D_flows!J25</f>
        <v>1</v>
      </c>
      <c r="R321" s="52">
        <f>D_flows!L25</f>
        <v>46193</v>
      </c>
      <c r="S321" s="5" t="str">
        <f t="shared" si="80"/>
        <v>invalid_past</v>
      </c>
      <c r="T321" s="5">
        <v>0</v>
      </c>
      <c r="U321" s="5">
        <v>0</v>
      </c>
      <c r="V321" s="5">
        <v>0</v>
      </c>
      <c r="W321" s="5">
        <v>0</v>
      </c>
      <c r="X321" s="5">
        <v>0</v>
      </c>
      <c r="Y321" s="5">
        <v>0</v>
      </c>
    </row>
    <row r="322" spans="1:25" ht="40.049999999999997" customHeight="1">
      <c r="A322" s="51" t="str">
        <f>D_flows!A26</f>
        <v>TRANS-F01-0037</v>
      </c>
      <c r="B322" s="51" t="str">
        <f>D_flows!H26</f>
        <v>BILL-F01-0037</v>
      </c>
      <c r="C322" s="51" t="str">
        <f>D_flows!I26</f>
        <v>Vận tải nội địa NCC5</v>
      </c>
      <c r="D322" s="51" t="str">
        <f>D_flows!C26</f>
        <v>OUT</v>
      </c>
      <c r="E322" s="9">
        <f>IF(AND(F322&gt;=$B$6,COUNTIF($B$253:$B$274,B322)=0),D_flows!F26,0)</f>
        <v>0</v>
      </c>
      <c r="F322" s="52">
        <f>D_flows!E26</f>
        <v>46094</v>
      </c>
      <c r="G322" s="5">
        <v>0</v>
      </c>
      <c r="H322" s="5" t="s">
        <v>1243</v>
      </c>
      <c r="I322" s="5">
        <v>0</v>
      </c>
      <c r="J322" s="6">
        <f t="shared" si="75"/>
        <v>46094</v>
      </c>
      <c r="K322" s="6">
        <f t="shared" si="76"/>
        <v>46094</v>
      </c>
      <c r="L322" s="6">
        <f t="shared" si="77"/>
        <v>46094</v>
      </c>
      <c r="M322" s="6"/>
      <c r="N322" s="6">
        <f t="shared" si="78"/>
        <v>46094</v>
      </c>
      <c r="O322" s="5" t="str">
        <f t="shared" si="79"/>
        <v>excluded_settled_before_as_of</v>
      </c>
      <c r="P322" s="51" t="str">
        <f>D_flows!D26</f>
        <v>Vận tải</v>
      </c>
      <c r="Q322" s="51">
        <f>D_flows!J26</f>
        <v>0</v>
      </c>
      <c r="R322" s="52">
        <f>D_flows!L26</f>
        <v>46193</v>
      </c>
      <c r="S322" s="5" t="str">
        <f t="shared" si="80"/>
        <v>invalid_past</v>
      </c>
      <c r="T322" s="5">
        <v>0</v>
      </c>
      <c r="U322" s="5">
        <v>0</v>
      </c>
      <c r="V322" s="5">
        <v>0</v>
      </c>
      <c r="W322" s="5">
        <v>0</v>
      </c>
      <c r="X322" s="5">
        <v>0</v>
      </c>
      <c r="Y322" s="5">
        <v>0</v>
      </c>
    </row>
    <row r="323" spans="1:25" ht="40.049999999999997" customHeight="1">
      <c r="A323" s="51" t="str">
        <f>D_flows!A27</f>
        <v>TRANS-F01-0039</v>
      </c>
      <c r="B323" s="51" t="str">
        <f>D_flows!H27</f>
        <v>BILL-F01-0039</v>
      </c>
      <c r="C323" s="51" t="str">
        <f>D_flows!I27</f>
        <v>Vận tải nội địa NCC5</v>
      </c>
      <c r="D323" s="51" t="str">
        <f>D_flows!C27</f>
        <v>OUT</v>
      </c>
      <c r="E323" s="9">
        <f>IF(AND(F323&gt;=$B$6,COUNTIF($B$253:$B$274,B323)=0),D_flows!F27,0)</f>
        <v>0</v>
      </c>
      <c r="F323" s="52">
        <f>D_flows!E27</f>
        <v>46098</v>
      </c>
      <c r="G323" s="5">
        <v>0</v>
      </c>
      <c r="H323" s="5" t="s">
        <v>1243</v>
      </c>
      <c r="I323" s="5">
        <v>0</v>
      </c>
      <c r="J323" s="6">
        <f t="shared" si="75"/>
        <v>46098</v>
      </c>
      <c r="K323" s="6">
        <f t="shared" si="76"/>
        <v>46098</v>
      </c>
      <c r="L323" s="6">
        <f t="shared" si="77"/>
        <v>46098</v>
      </c>
      <c r="M323" s="6"/>
      <c r="N323" s="6">
        <f t="shared" si="78"/>
        <v>46098</v>
      </c>
      <c r="O323" s="5" t="str">
        <f t="shared" si="79"/>
        <v>excluded_settled_before_as_of</v>
      </c>
      <c r="P323" s="51" t="str">
        <f>D_flows!D27</f>
        <v>Vận tải</v>
      </c>
      <c r="Q323" s="51">
        <f>D_flows!J27</f>
        <v>0</v>
      </c>
      <c r="R323" s="52">
        <f>D_flows!L27</f>
        <v>46193</v>
      </c>
      <c r="S323" s="5" t="str">
        <f t="shared" si="80"/>
        <v>invalid_past</v>
      </c>
      <c r="T323" s="5">
        <v>0</v>
      </c>
      <c r="U323" s="5">
        <v>0</v>
      </c>
      <c r="V323" s="5">
        <v>0</v>
      </c>
      <c r="W323" s="5">
        <v>0</v>
      </c>
      <c r="X323" s="5">
        <v>0</v>
      </c>
      <c r="Y323" s="5">
        <v>0</v>
      </c>
    </row>
    <row r="324" spans="1:25" ht="40.049999999999997" customHeight="1">
      <c r="A324" s="51" t="str">
        <f>D_flows!A28</f>
        <v>TRANS-F01-0042</v>
      </c>
      <c r="B324" s="51" t="str">
        <f>D_flows!H28</f>
        <v>BILL-F01-0042</v>
      </c>
      <c r="C324" s="51" t="str">
        <f>D_flows!I28</f>
        <v>Vận tải nội địa NCC5</v>
      </c>
      <c r="D324" s="51" t="str">
        <f>D_flows!C28</f>
        <v>OUT</v>
      </c>
      <c r="E324" s="9">
        <f>IF(AND(F324&gt;=$B$6,COUNTIF($B$253:$B$274,B324)=0),D_flows!F28,0)</f>
        <v>0</v>
      </c>
      <c r="F324" s="52">
        <f>D_flows!E28</f>
        <v>46099</v>
      </c>
      <c r="G324" s="5">
        <v>0</v>
      </c>
      <c r="H324" s="5" t="s">
        <v>1243</v>
      </c>
      <c r="I324" s="5">
        <v>0</v>
      </c>
      <c r="J324" s="6">
        <f t="shared" si="75"/>
        <v>46099</v>
      </c>
      <c r="K324" s="6">
        <f t="shared" si="76"/>
        <v>46099</v>
      </c>
      <c r="L324" s="6">
        <f t="shared" si="77"/>
        <v>46099</v>
      </c>
      <c r="M324" s="6"/>
      <c r="N324" s="6">
        <f t="shared" si="78"/>
        <v>46099</v>
      </c>
      <c r="O324" s="5" t="str">
        <f t="shared" si="79"/>
        <v>excluded_settled_before_as_of</v>
      </c>
      <c r="P324" s="51" t="str">
        <f>D_flows!D28</f>
        <v>Vận tải</v>
      </c>
      <c r="Q324" s="51">
        <f>D_flows!J28</f>
        <v>0</v>
      </c>
      <c r="R324" s="52">
        <f>D_flows!L28</f>
        <v>46193</v>
      </c>
      <c r="S324" s="5" t="str">
        <f t="shared" si="80"/>
        <v>invalid_past</v>
      </c>
      <c r="T324" s="5">
        <v>0</v>
      </c>
      <c r="U324" s="5">
        <v>0</v>
      </c>
      <c r="V324" s="5">
        <v>0</v>
      </c>
      <c r="W324" s="5">
        <v>0</v>
      </c>
      <c r="X324" s="5">
        <v>0</v>
      </c>
      <c r="Y324" s="5">
        <v>0</v>
      </c>
    </row>
    <row r="325" spans="1:25" ht="40.049999999999997" customHeight="1">
      <c r="A325" s="51" t="str">
        <f>D_flows!A29</f>
        <v>TRANS-F01-0043</v>
      </c>
      <c r="B325" s="51" t="str">
        <f>D_flows!H29</f>
        <v>BILL-F01-0043</v>
      </c>
      <c r="C325" s="51" t="str">
        <f>D_flows!I29</f>
        <v>Vận tải nội địa NCC5</v>
      </c>
      <c r="D325" s="51" t="str">
        <f>D_flows!C29</f>
        <v>OUT</v>
      </c>
      <c r="E325" s="9">
        <f>IF(AND(F325&gt;=$B$6,COUNTIF($B$253:$B$274,B325)=0),D_flows!F29,0)</f>
        <v>0</v>
      </c>
      <c r="F325" s="52">
        <f>D_flows!E29</f>
        <v>46101</v>
      </c>
      <c r="G325" s="5">
        <v>0</v>
      </c>
      <c r="H325" s="5" t="s">
        <v>1243</v>
      </c>
      <c r="I325" s="5">
        <v>0</v>
      </c>
      <c r="J325" s="6">
        <f t="shared" si="75"/>
        <v>46101</v>
      </c>
      <c r="K325" s="6">
        <f t="shared" si="76"/>
        <v>46101</v>
      </c>
      <c r="L325" s="6">
        <f t="shared" si="77"/>
        <v>46101</v>
      </c>
      <c r="M325" s="6"/>
      <c r="N325" s="6">
        <f t="shared" si="78"/>
        <v>46101</v>
      </c>
      <c r="O325" s="5" t="str">
        <f t="shared" si="79"/>
        <v>excluded_settled_before_as_of</v>
      </c>
      <c r="P325" s="51" t="str">
        <f>D_flows!D29</f>
        <v>Vận tải</v>
      </c>
      <c r="Q325" s="51">
        <f>D_flows!J29</f>
        <v>0</v>
      </c>
      <c r="R325" s="52">
        <f>D_flows!L29</f>
        <v>46193</v>
      </c>
      <c r="S325" s="5" t="str">
        <f t="shared" si="80"/>
        <v>invalid_past</v>
      </c>
      <c r="T325" s="5">
        <v>0</v>
      </c>
      <c r="U325" s="5">
        <v>0</v>
      </c>
      <c r="V325" s="5">
        <v>0</v>
      </c>
      <c r="W325" s="5">
        <v>0</v>
      </c>
      <c r="X325" s="5">
        <v>0</v>
      </c>
      <c r="Y325" s="5">
        <v>0</v>
      </c>
    </row>
    <row r="326" spans="1:25" ht="40.049999999999997" customHeight="1">
      <c r="A326" s="51" t="str">
        <f>D_flows!A30</f>
        <v>TRANS-F01-0047</v>
      </c>
      <c r="B326" s="51" t="str">
        <f>D_flows!H30</f>
        <v>BILL-F01-0047</v>
      </c>
      <c r="C326" s="51" t="str">
        <f>D_flows!I30</f>
        <v>Vận tải nội địa NCC5</v>
      </c>
      <c r="D326" s="51" t="str">
        <f>D_flows!C30</f>
        <v>OUT</v>
      </c>
      <c r="E326" s="9">
        <f>IF(AND(F326&gt;=$B$6,COUNTIF($B$253:$B$274,B326)=0),D_flows!F30,0)</f>
        <v>0</v>
      </c>
      <c r="F326" s="52">
        <f>D_flows!E30</f>
        <v>46106</v>
      </c>
      <c r="G326" s="5">
        <v>0</v>
      </c>
      <c r="H326" s="5" t="s">
        <v>1243</v>
      </c>
      <c r="I326" s="5">
        <v>0</v>
      </c>
      <c r="J326" s="6">
        <f t="shared" si="75"/>
        <v>46106</v>
      </c>
      <c r="K326" s="6">
        <f t="shared" si="76"/>
        <v>46106</v>
      </c>
      <c r="L326" s="6">
        <f t="shared" si="77"/>
        <v>46106</v>
      </c>
      <c r="M326" s="6"/>
      <c r="N326" s="6">
        <f t="shared" si="78"/>
        <v>46106</v>
      </c>
      <c r="O326" s="5" t="str">
        <f t="shared" si="79"/>
        <v>excluded_settled_before_as_of</v>
      </c>
      <c r="P326" s="51" t="str">
        <f>D_flows!D30</f>
        <v>Vận tải</v>
      </c>
      <c r="Q326" s="51">
        <f>D_flows!J30</f>
        <v>0</v>
      </c>
      <c r="R326" s="52">
        <f>D_flows!L30</f>
        <v>46193</v>
      </c>
      <c r="S326" s="5" t="str">
        <f t="shared" si="80"/>
        <v>invalid_past</v>
      </c>
      <c r="T326" s="5">
        <v>0</v>
      </c>
      <c r="U326" s="5">
        <v>0</v>
      </c>
      <c r="V326" s="5">
        <v>0</v>
      </c>
      <c r="W326" s="5">
        <v>0</v>
      </c>
      <c r="X326" s="5">
        <v>0</v>
      </c>
      <c r="Y326" s="5">
        <v>0</v>
      </c>
    </row>
    <row r="327" spans="1:25" ht="40.049999999999997" customHeight="1">
      <c r="A327" s="51" t="str">
        <f>D_flows!A31</f>
        <v>TRANS-F01-0051</v>
      </c>
      <c r="B327" s="51" t="str">
        <f>D_flows!H31</f>
        <v>BILL-F01-0051</v>
      </c>
      <c r="C327" s="51" t="str">
        <f>D_flows!I31</f>
        <v>Vận tải nội địa NCC5</v>
      </c>
      <c r="D327" s="51" t="str">
        <f>D_flows!C31</f>
        <v>OUT</v>
      </c>
      <c r="E327" s="9">
        <f>IF(AND(F327&gt;=$B$6,COUNTIF($B$253:$B$274,B327)=0),D_flows!F31,0)</f>
        <v>0</v>
      </c>
      <c r="F327" s="52">
        <f>D_flows!E31</f>
        <v>46112</v>
      </c>
      <c r="G327" s="5">
        <v>0</v>
      </c>
      <c r="H327" s="5" t="s">
        <v>1243</v>
      </c>
      <c r="I327" s="5">
        <v>0</v>
      </c>
      <c r="J327" s="6">
        <f t="shared" si="75"/>
        <v>46112</v>
      </c>
      <c r="K327" s="6">
        <f t="shared" si="76"/>
        <v>46112</v>
      </c>
      <c r="L327" s="6">
        <f t="shared" si="77"/>
        <v>46112</v>
      </c>
      <c r="M327" s="6"/>
      <c r="N327" s="6">
        <f t="shared" si="78"/>
        <v>46112</v>
      </c>
      <c r="O327" s="5" t="str">
        <f t="shared" si="79"/>
        <v>excluded_settled_before_as_of</v>
      </c>
      <c r="P327" s="51" t="str">
        <f>D_flows!D31</f>
        <v>Vận tải</v>
      </c>
      <c r="Q327" s="51">
        <f>D_flows!J31</f>
        <v>0</v>
      </c>
      <c r="R327" s="52">
        <f>D_flows!L31</f>
        <v>46193</v>
      </c>
      <c r="S327" s="5" t="str">
        <f t="shared" si="80"/>
        <v>invalid_past</v>
      </c>
      <c r="T327" s="5">
        <v>0</v>
      </c>
      <c r="U327" s="5">
        <v>0</v>
      </c>
      <c r="V327" s="5">
        <v>0</v>
      </c>
      <c r="W327" s="5">
        <v>0</v>
      </c>
      <c r="X327" s="5">
        <v>0</v>
      </c>
      <c r="Y327" s="5">
        <v>0</v>
      </c>
    </row>
    <row r="328" spans="1:25" ht="40.049999999999997" customHeight="1">
      <c r="A328" s="51" t="str">
        <f>D_flows!A32</f>
        <v>TRANS-F01-0054</v>
      </c>
      <c r="B328" s="51" t="str">
        <f>D_flows!H32</f>
        <v>BILL-F01-0054</v>
      </c>
      <c r="C328" s="51" t="str">
        <f>D_flows!I32</f>
        <v>Vận tải nội địa NCC5</v>
      </c>
      <c r="D328" s="51" t="str">
        <f>D_flows!C32</f>
        <v>OUT</v>
      </c>
      <c r="E328" s="9">
        <f>IF(AND(F328&gt;=$B$6,COUNTIF($B$253:$B$274,B328)=0),D_flows!F32,0)</f>
        <v>0</v>
      </c>
      <c r="F328" s="52">
        <f>D_flows!E32</f>
        <v>46113</v>
      </c>
      <c r="G328" s="5">
        <v>0</v>
      </c>
      <c r="H328" s="5" t="s">
        <v>1243</v>
      </c>
      <c r="I328" s="5">
        <v>0</v>
      </c>
      <c r="J328" s="6">
        <f t="shared" si="75"/>
        <v>46113</v>
      </c>
      <c r="K328" s="6">
        <f t="shared" si="76"/>
        <v>46113</v>
      </c>
      <c r="L328" s="6">
        <f t="shared" si="77"/>
        <v>46113</v>
      </c>
      <c r="M328" s="6"/>
      <c r="N328" s="6">
        <f t="shared" si="78"/>
        <v>46113</v>
      </c>
      <c r="O328" s="5" t="str">
        <f t="shared" si="79"/>
        <v>excluded_settled_before_as_of</v>
      </c>
      <c r="P328" s="51" t="str">
        <f>D_flows!D32</f>
        <v>Vận tải</v>
      </c>
      <c r="Q328" s="51">
        <f>D_flows!J32</f>
        <v>0</v>
      </c>
      <c r="R328" s="52">
        <f>D_flows!L32</f>
        <v>46193</v>
      </c>
      <c r="S328" s="5" t="str">
        <f t="shared" si="80"/>
        <v>invalid_past</v>
      </c>
      <c r="T328" s="5">
        <v>0</v>
      </c>
      <c r="U328" s="5">
        <v>0</v>
      </c>
      <c r="V328" s="5">
        <v>0</v>
      </c>
      <c r="W328" s="5">
        <v>0</v>
      </c>
      <c r="X328" s="5">
        <v>0</v>
      </c>
      <c r="Y328" s="5">
        <v>0</v>
      </c>
    </row>
    <row r="329" spans="1:25" ht="40.049999999999997" customHeight="1">
      <c r="A329" s="51" t="str">
        <f>D_flows!A33</f>
        <v>ELEC-F01-0060</v>
      </c>
      <c r="B329" s="51" t="str">
        <f>D_flows!H33</f>
        <v>BILL-F01-0060</v>
      </c>
      <c r="C329" s="51" t="str">
        <f>D_flows!I33</f>
        <v>Điện lực khu công nghiệp</v>
      </c>
      <c r="D329" s="51" t="str">
        <f>D_flows!C33</f>
        <v>OUT</v>
      </c>
      <c r="E329" s="9">
        <f>IF(AND(F329&gt;=$B$6,COUNTIF($B$253:$B$274,B329)=0),D_flows!F33,0)</f>
        <v>0</v>
      </c>
      <c r="F329" s="52">
        <f>D_flows!E33</f>
        <v>46125</v>
      </c>
      <c r="G329" s="5">
        <v>0</v>
      </c>
      <c r="H329" s="5" t="s">
        <v>1243</v>
      </c>
      <c r="I329" s="5">
        <v>0</v>
      </c>
      <c r="J329" s="6">
        <f t="shared" si="75"/>
        <v>46125</v>
      </c>
      <c r="K329" s="6">
        <f t="shared" si="76"/>
        <v>46125</v>
      </c>
      <c r="L329" s="6">
        <f t="shared" si="77"/>
        <v>46125</v>
      </c>
      <c r="M329" s="6"/>
      <c r="N329" s="6">
        <f t="shared" si="78"/>
        <v>46125</v>
      </c>
      <c r="O329" s="5" t="str">
        <f t="shared" si="79"/>
        <v>excluded_settled_before_as_of</v>
      </c>
      <c r="P329" s="51" t="str">
        <f>D_flows!D33</f>
        <v>Tiện ích (điện)</v>
      </c>
      <c r="Q329" s="51">
        <f>D_flows!J33</f>
        <v>1</v>
      </c>
      <c r="R329" s="52">
        <f>D_flows!L33</f>
        <v>46193</v>
      </c>
      <c r="S329" s="5" t="str">
        <f t="shared" si="80"/>
        <v>invalid_past</v>
      </c>
      <c r="T329" s="5">
        <v>0</v>
      </c>
      <c r="U329" s="5">
        <v>0</v>
      </c>
      <c r="V329" s="5">
        <v>0</v>
      </c>
      <c r="W329" s="5">
        <v>0</v>
      </c>
      <c r="X329" s="5">
        <v>0</v>
      </c>
      <c r="Y329" s="5">
        <v>0</v>
      </c>
    </row>
    <row r="330" spans="1:25" ht="40.049999999999997" customHeight="1">
      <c r="A330" s="51" t="str">
        <f>D_flows!A34</f>
        <v>TRANS-F01-0066</v>
      </c>
      <c r="B330" s="51" t="str">
        <f>D_flows!H34</f>
        <v>BILL-F01-0066</v>
      </c>
      <c r="C330" s="51" t="str">
        <f>D_flows!I34</f>
        <v>Vận tải nội địa NCC5</v>
      </c>
      <c r="D330" s="51" t="str">
        <f>D_flows!C34</f>
        <v>OUT</v>
      </c>
      <c r="E330" s="9">
        <f>IF(AND(F330&gt;=$B$6,COUNTIF($B$253:$B$274,B330)=0),D_flows!F34,0)</f>
        <v>0</v>
      </c>
      <c r="F330" s="52">
        <f>D_flows!E34</f>
        <v>46130</v>
      </c>
      <c r="G330" s="5">
        <v>0</v>
      </c>
      <c r="H330" s="5" t="s">
        <v>1243</v>
      </c>
      <c r="I330" s="5">
        <v>0</v>
      </c>
      <c r="J330" s="6">
        <f t="shared" si="75"/>
        <v>46130</v>
      </c>
      <c r="K330" s="6">
        <f t="shared" si="76"/>
        <v>46130</v>
      </c>
      <c r="L330" s="6">
        <f t="shared" si="77"/>
        <v>46130</v>
      </c>
      <c r="M330" s="6"/>
      <c r="N330" s="6">
        <f t="shared" si="78"/>
        <v>46130</v>
      </c>
      <c r="O330" s="5" t="str">
        <f t="shared" si="79"/>
        <v>excluded_settled_before_as_of</v>
      </c>
      <c r="P330" s="51" t="str">
        <f>D_flows!D34</f>
        <v>Vận tải</v>
      </c>
      <c r="Q330" s="51">
        <f>D_flows!J34</f>
        <v>0</v>
      </c>
      <c r="R330" s="52">
        <f>D_flows!L34</f>
        <v>46193</v>
      </c>
      <c r="S330" s="5" t="str">
        <f t="shared" si="80"/>
        <v>invalid_past</v>
      </c>
      <c r="T330" s="5">
        <v>0</v>
      </c>
      <c r="U330" s="5">
        <v>0</v>
      </c>
      <c r="V330" s="5">
        <v>0</v>
      </c>
      <c r="W330" s="5">
        <v>0</v>
      </c>
      <c r="X330" s="5">
        <v>0</v>
      </c>
      <c r="Y330" s="5">
        <v>0</v>
      </c>
    </row>
    <row r="331" spans="1:25" ht="40.049999999999997" customHeight="1">
      <c r="A331" s="51" t="str">
        <f>D_flows!A35</f>
        <v>TRANS-F01-0078</v>
      </c>
      <c r="B331" s="51" t="str">
        <f>D_flows!H35</f>
        <v>BILL-F01-0078</v>
      </c>
      <c r="C331" s="51" t="str">
        <f>D_flows!I35</f>
        <v>Vận tải nội địa NCC5</v>
      </c>
      <c r="D331" s="51" t="str">
        <f>D_flows!C35</f>
        <v>OUT</v>
      </c>
      <c r="E331" s="9">
        <f>IF(AND(F331&gt;=$B$6,COUNTIF($B$253:$B$274,B331)=0),D_flows!F35,0)</f>
        <v>0</v>
      </c>
      <c r="F331" s="52">
        <f>D_flows!E35</f>
        <v>46146</v>
      </c>
      <c r="G331" s="5">
        <v>0</v>
      </c>
      <c r="H331" s="5" t="s">
        <v>1243</v>
      </c>
      <c r="I331" s="5">
        <v>0</v>
      </c>
      <c r="J331" s="6">
        <f t="shared" si="75"/>
        <v>46146</v>
      </c>
      <c r="K331" s="6">
        <f t="shared" si="76"/>
        <v>46146</v>
      </c>
      <c r="L331" s="6">
        <f t="shared" si="77"/>
        <v>46146</v>
      </c>
      <c r="M331" s="6"/>
      <c r="N331" s="6">
        <f t="shared" si="78"/>
        <v>46146</v>
      </c>
      <c r="O331" s="5" t="str">
        <f t="shared" si="79"/>
        <v>excluded_settled_before_as_of</v>
      </c>
      <c r="P331" s="51" t="str">
        <f>D_flows!D35</f>
        <v>Vận tải</v>
      </c>
      <c r="Q331" s="51">
        <f>D_flows!J35</f>
        <v>0</v>
      </c>
      <c r="R331" s="52">
        <f>D_flows!L35</f>
        <v>46193</v>
      </c>
      <c r="S331" s="5" t="str">
        <f t="shared" si="80"/>
        <v>invalid_past</v>
      </c>
      <c r="T331" s="5">
        <v>0</v>
      </c>
      <c r="U331" s="5">
        <v>0</v>
      </c>
      <c r="V331" s="5">
        <v>0</v>
      </c>
      <c r="W331" s="5">
        <v>0</v>
      </c>
      <c r="X331" s="5">
        <v>0</v>
      </c>
      <c r="Y331" s="5">
        <v>0</v>
      </c>
    </row>
    <row r="332" spans="1:25" ht="40.049999999999997" customHeight="1">
      <c r="A332" s="51" t="str">
        <f>D_flows!A36</f>
        <v>ELEC-F01-0084</v>
      </c>
      <c r="B332" s="51" t="str">
        <f>D_flows!H36</f>
        <v>BILL-F01-0084</v>
      </c>
      <c r="C332" s="51" t="str">
        <f>D_flows!I36</f>
        <v>Điện lực khu công nghiệp</v>
      </c>
      <c r="D332" s="51" t="str">
        <f>D_flows!C36</f>
        <v>OUT</v>
      </c>
      <c r="E332" s="9">
        <f>IF(AND(F332&gt;=$B$6,COUNTIF($B$253:$B$274,B332)=0),D_flows!F36,0)</f>
        <v>0</v>
      </c>
      <c r="F332" s="52">
        <f>D_flows!E36</f>
        <v>46155</v>
      </c>
      <c r="G332" s="5">
        <v>0</v>
      </c>
      <c r="H332" s="5" t="s">
        <v>1243</v>
      </c>
      <c r="I332" s="5">
        <v>0</v>
      </c>
      <c r="J332" s="6">
        <f t="shared" si="75"/>
        <v>46155</v>
      </c>
      <c r="K332" s="6">
        <f t="shared" si="76"/>
        <v>46155</v>
      </c>
      <c r="L332" s="6">
        <f t="shared" si="77"/>
        <v>46155</v>
      </c>
      <c r="M332" s="6"/>
      <c r="N332" s="6">
        <f t="shared" si="78"/>
        <v>46155</v>
      </c>
      <c r="O332" s="5" t="str">
        <f t="shared" si="79"/>
        <v>excluded_settled_before_as_of</v>
      </c>
      <c r="P332" s="51" t="str">
        <f>D_flows!D36</f>
        <v>Tiện ích (điện)</v>
      </c>
      <c r="Q332" s="51">
        <f>D_flows!J36</f>
        <v>1</v>
      </c>
      <c r="R332" s="52">
        <f>D_flows!L36</f>
        <v>46193</v>
      </c>
      <c r="S332" s="5" t="str">
        <f t="shared" si="80"/>
        <v>invalid_past</v>
      </c>
      <c r="T332" s="5">
        <v>0</v>
      </c>
      <c r="U332" s="5">
        <v>0</v>
      </c>
      <c r="V332" s="5">
        <v>0</v>
      </c>
      <c r="W332" s="5">
        <v>0</v>
      </c>
      <c r="X332" s="5">
        <v>0</v>
      </c>
      <c r="Y332" s="5">
        <v>0</v>
      </c>
    </row>
    <row r="333" spans="1:25" ht="40.049999999999997" customHeight="1">
      <c r="A333" s="51" t="str">
        <f>D_flows!A37</f>
        <v>TRANS-F01-0087</v>
      </c>
      <c r="B333" s="51" t="str">
        <f>D_flows!H37</f>
        <v>BILL-F01-0087</v>
      </c>
      <c r="C333" s="51" t="str">
        <f>D_flows!I37</f>
        <v>Vận tải nội địa NCC5</v>
      </c>
      <c r="D333" s="51" t="str">
        <f>D_flows!C37</f>
        <v>OUT</v>
      </c>
      <c r="E333" s="9">
        <f>IF(AND(F333&gt;=$B$6,COUNTIF($B$253:$B$274,B333)=0),D_flows!F37,0)</f>
        <v>0</v>
      </c>
      <c r="F333" s="52">
        <f>D_flows!E37</f>
        <v>46155</v>
      </c>
      <c r="G333" s="5">
        <v>0</v>
      </c>
      <c r="H333" s="5" t="s">
        <v>1243</v>
      </c>
      <c r="I333" s="5">
        <v>0</v>
      </c>
      <c r="J333" s="6">
        <f t="shared" si="75"/>
        <v>46155</v>
      </c>
      <c r="K333" s="6">
        <f t="shared" si="76"/>
        <v>46155</v>
      </c>
      <c r="L333" s="6">
        <f t="shared" si="77"/>
        <v>46155</v>
      </c>
      <c r="M333" s="6"/>
      <c r="N333" s="6">
        <f t="shared" si="78"/>
        <v>46155</v>
      </c>
      <c r="O333" s="5" t="str">
        <f t="shared" si="79"/>
        <v>excluded_settled_before_as_of</v>
      </c>
      <c r="P333" s="51" t="str">
        <f>D_flows!D37</f>
        <v>Vận tải</v>
      </c>
      <c r="Q333" s="51">
        <f>D_flows!J37</f>
        <v>0</v>
      </c>
      <c r="R333" s="52">
        <f>D_flows!L37</f>
        <v>46193</v>
      </c>
      <c r="S333" s="5" t="str">
        <f t="shared" si="80"/>
        <v>invalid_past</v>
      </c>
      <c r="T333" s="5">
        <v>0</v>
      </c>
      <c r="U333" s="5">
        <v>0</v>
      </c>
      <c r="V333" s="5">
        <v>0</v>
      </c>
      <c r="W333" s="5">
        <v>0</v>
      </c>
      <c r="X333" s="5">
        <v>0</v>
      </c>
      <c r="Y333" s="5">
        <v>0</v>
      </c>
    </row>
    <row r="334" spans="1:25" ht="40.049999999999997" customHeight="1">
      <c r="A334" s="51" t="str">
        <f>D_flows!A38</f>
        <v>TRANS-F01-0098</v>
      </c>
      <c r="B334" s="51" t="str">
        <f>D_flows!H38</f>
        <v>BILL-F01-0098</v>
      </c>
      <c r="C334" s="51" t="str">
        <f>D_flows!I38</f>
        <v>Vận tải nội địa NCC5</v>
      </c>
      <c r="D334" s="51" t="str">
        <f>D_flows!C38</f>
        <v>OUT</v>
      </c>
      <c r="E334" s="9">
        <f>IF(AND(F334&gt;=$B$6,COUNTIF($B$253:$B$274,B334)=0),D_flows!F38,0)</f>
        <v>0</v>
      </c>
      <c r="F334" s="52">
        <f>D_flows!E38</f>
        <v>46170</v>
      </c>
      <c r="G334" s="5">
        <v>0</v>
      </c>
      <c r="H334" s="5" t="s">
        <v>1243</v>
      </c>
      <c r="I334" s="5">
        <v>0</v>
      </c>
      <c r="J334" s="6">
        <f t="shared" si="75"/>
        <v>46170</v>
      </c>
      <c r="K334" s="6">
        <f t="shared" si="76"/>
        <v>46170</v>
      </c>
      <c r="L334" s="6">
        <f t="shared" si="77"/>
        <v>46170</v>
      </c>
      <c r="M334" s="6"/>
      <c r="N334" s="6">
        <f t="shared" si="78"/>
        <v>46170</v>
      </c>
      <c r="O334" s="5" t="str">
        <f t="shared" si="79"/>
        <v>excluded_settled_before_as_of</v>
      </c>
      <c r="P334" s="51" t="str">
        <f>D_flows!D38</f>
        <v>Vận tải</v>
      </c>
      <c r="Q334" s="51">
        <f>D_flows!J38</f>
        <v>0</v>
      </c>
      <c r="R334" s="52">
        <f>D_flows!L38</f>
        <v>46193</v>
      </c>
      <c r="S334" s="5" t="str">
        <f t="shared" si="80"/>
        <v>invalid_past</v>
      </c>
      <c r="T334" s="5">
        <v>0</v>
      </c>
      <c r="U334" s="5">
        <v>0</v>
      </c>
      <c r="V334" s="5">
        <v>0</v>
      </c>
      <c r="W334" s="5">
        <v>0</v>
      </c>
      <c r="X334" s="5">
        <v>0</v>
      </c>
      <c r="Y334" s="5">
        <v>0</v>
      </c>
    </row>
    <row r="335" spans="1:25" ht="40.049999999999997" customHeight="1">
      <c r="A335" s="51" t="str">
        <f>D_flows!A39</f>
        <v>TRANS-F01-0101</v>
      </c>
      <c r="B335" s="51" t="str">
        <f>D_flows!H39</f>
        <v>BILL-F01-0101</v>
      </c>
      <c r="C335" s="51" t="str">
        <f>D_flows!I39</f>
        <v>Vận tải nội địa NCC5</v>
      </c>
      <c r="D335" s="51" t="str">
        <f>D_flows!C39</f>
        <v>OUT</v>
      </c>
      <c r="E335" s="9">
        <f>IF(AND(F335&gt;=$B$6,COUNTIF($B$253:$B$274,B335)=0),D_flows!F39,0)</f>
        <v>0</v>
      </c>
      <c r="F335" s="52">
        <f>D_flows!E39</f>
        <v>46169</v>
      </c>
      <c r="G335" s="5">
        <v>0</v>
      </c>
      <c r="H335" s="5" t="s">
        <v>1243</v>
      </c>
      <c r="I335" s="5">
        <v>0</v>
      </c>
      <c r="J335" s="6">
        <f t="shared" si="75"/>
        <v>46169</v>
      </c>
      <c r="K335" s="6">
        <f t="shared" si="76"/>
        <v>46169</v>
      </c>
      <c r="L335" s="6">
        <f t="shared" si="77"/>
        <v>46169</v>
      </c>
      <c r="M335" s="6"/>
      <c r="N335" s="6">
        <f t="shared" si="78"/>
        <v>46169</v>
      </c>
      <c r="O335" s="5" t="str">
        <f t="shared" si="79"/>
        <v>excluded_settled_before_as_of</v>
      </c>
      <c r="P335" s="51" t="str">
        <f>D_flows!D39</f>
        <v>Vận tải</v>
      </c>
      <c r="Q335" s="51">
        <f>D_flows!J39</f>
        <v>0</v>
      </c>
      <c r="R335" s="52">
        <f>D_flows!L39</f>
        <v>46193</v>
      </c>
      <c r="S335" s="5" t="str">
        <f t="shared" si="80"/>
        <v>invalid_past</v>
      </c>
      <c r="T335" s="5">
        <v>0</v>
      </c>
      <c r="U335" s="5">
        <v>0</v>
      </c>
      <c r="V335" s="5">
        <v>0</v>
      </c>
      <c r="W335" s="5">
        <v>0</v>
      </c>
      <c r="X335" s="5">
        <v>0</v>
      </c>
      <c r="Y335" s="5">
        <v>0</v>
      </c>
    </row>
    <row r="336" spans="1:25" ht="40.049999999999997" customHeight="1">
      <c r="A336" s="51" t="str">
        <f>D_flows!A40</f>
        <v>TRANS-F01-0102</v>
      </c>
      <c r="B336" s="51" t="str">
        <f>D_flows!H40</f>
        <v>BILL-F01-0102</v>
      </c>
      <c r="C336" s="51" t="str">
        <f>D_flows!I40</f>
        <v>Vận tải nội địa NCC5</v>
      </c>
      <c r="D336" s="51" t="str">
        <f>D_flows!C40</f>
        <v>OUT</v>
      </c>
      <c r="E336" s="9">
        <f>IF(AND(F336&gt;=$B$6,COUNTIF($B$253:$B$274,B336)=0),D_flows!F40,0)</f>
        <v>0</v>
      </c>
      <c r="F336" s="52">
        <f>D_flows!E40</f>
        <v>46175</v>
      </c>
      <c r="G336" s="5">
        <v>0</v>
      </c>
      <c r="H336" s="5" t="s">
        <v>1243</v>
      </c>
      <c r="I336" s="5">
        <v>0</v>
      </c>
      <c r="J336" s="6">
        <f t="shared" si="75"/>
        <v>46175</v>
      </c>
      <c r="K336" s="6">
        <f t="shared" si="76"/>
        <v>46175</v>
      </c>
      <c r="L336" s="6">
        <f t="shared" si="77"/>
        <v>46175</v>
      </c>
      <c r="M336" s="6"/>
      <c r="N336" s="6">
        <f t="shared" si="78"/>
        <v>46175</v>
      </c>
      <c r="O336" s="5" t="str">
        <f t="shared" si="79"/>
        <v>excluded_settled_before_as_of</v>
      </c>
      <c r="P336" s="51" t="str">
        <f>D_flows!D40</f>
        <v>Vận tải</v>
      </c>
      <c r="Q336" s="51">
        <f>D_flows!J40</f>
        <v>0</v>
      </c>
      <c r="R336" s="52">
        <f>D_flows!L40</f>
        <v>46193</v>
      </c>
      <c r="S336" s="5" t="str">
        <f t="shared" si="80"/>
        <v>invalid_past</v>
      </c>
      <c r="T336" s="5">
        <v>0</v>
      </c>
      <c r="U336" s="5">
        <v>0</v>
      </c>
      <c r="V336" s="5">
        <v>0</v>
      </c>
      <c r="W336" s="5">
        <v>0</v>
      </c>
      <c r="X336" s="5">
        <v>0</v>
      </c>
      <c r="Y336" s="5">
        <v>0</v>
      </c>
    </row>
    <row r="337" spans="1:25" ht="40.049999999999997" customHeight="1">
      <c r="A337" s="51" t="str">
        <f>D_flows!A41</f>
        <v>ELEC-F01-0107</v>
      </c>
      <c r="B337" s="51" t="str">
        <f>D_flows!H41</f>
        <v>BILL-F01-0107</v>
      </c>
      <c r="C337" s="51" t="str">
        <f>D_flows!I41</f>
        <v>Điện lực khu công nghiệp</v>
      </c>
      <c r="D337" s="51" t="str">
        <f>D_flows!C41</f>
        <v>OUT</v>
      </c>
      <c r="E337" s="9">
        <f>IF(AND(F337&gt;=$B$6,COUNTIF($B$253:$B$274,B337)=0),D_flows!F41,0)</f>
        <v>0</v>
      </c>
      <c r="F337" s="52">
        <f>D_flows!E41</f>
        <v>46186</v>
      </c>
      <c r="G337" s="5">
        <v>0</v>
      </c>
      <c r="H337" s="5" t="s">
        <v>1243</v>
      </c>
      <c r="I337" s="5">
        <v>0</v>
      </c>
      <c r="J337" s="6">
        <f t="shared" si="75"/>
        <v>46186</v>
      </c>
      <c r="K337" s="6">
        <f t="shared" si="76"/>
        <v>46186</v>
      </c>
      <c r="L337" s="6">
        <f t="shared" si="77"/>
        <v>46186</v>
      </c>
      <c r="M337" s="6"/>
      <c r="N337" s="6">
        <f t="shared" si="78"/>
        <v>46186</v>
      </c>
      <c r="O337" s="5" t="str">
        <f t="shared" si="79"/>
        <v>excluded_settled_before_as_of</v>
      </c>
      <c r="P337" s="51" t="str">
        <f>D_flows!D41</f>
        <v>Tiện ích (điện)</v>
      </c>
      <c r="Q337" s="51">
        <f>D_flows!J41</f>
        <v>1</v>
      </c>
      <c r="R337" s="52">
        <f>D_flows!L41</f>
        <v>46193</v>
      </c>
      <c r="S337" s="5" t="str">
        <f t="shared" si="80"/>
        <v>invalid_past</v>
      </c>
      <c r="T337" s="5">
        <v>0</v>
      </c>
      <c r="U337" s="5">
        <v>0</v>
      </c>
      <c r="V337" s="5">
        <v>0</v>
      </c>
      <c r="W337" s="5">
        <v>0</v>
      </c>
      <c r="X337" s="5">
        <v>0</v>
      </c>
      <c r="Y337" s="5">
        <v>0</v>
      </c>
    </row>
    <row r="338" spans="1:25" ht="40.049999999999997" customHeight="1">
      <c r="A338" s="51" t="str">
        <f>D_flows!A42</f>
        <v>TRANS-F01-0110</v>
      </c>
      <c r="B338" s="51" t="str">
        <f>D_flows!H42</f>
        <v>BILL-F01-0110</v>
      </c>
      <c r="C338" s="51" t="str">
        <f>D_flows!I42</f>
        <v>Vận tải nội địa NCC5</v>
      </c>
      <c r="D338" s="51" t="str">
        <f>D_flows!C42</f>
        <v>OUT</v>
      </c>
      <c r="E338" s="9">
        <f>IF(AND(F338&gt;=$B$6,COUNTIF($B$253:$B$274,B338)=0),D_flows!F42,0)</f>
        <v>0</v>
      </c>
      <c r="F338" s="52">
        <f>D_flows!E42</f>
        <v>46186</v>
      </c>
      <c r="G338" s="5">
        <v>0</v>
      </c>
      <c r="H338" s="5" t="s">
        <v>1243</v>
      </c>
      <c r="I338" s="5">
        <v>0</v>
      </c>
      <c r="J338" s="6">
        <f t="shared" si="75"/>
        <v>46186</v>
      </c>
      <c r="K338" s="6">
        <f t="shared" si="76"/>
        <v>46186</v>
      </c>
      <c r="L338" s="6">
        <f t="shared" si="77"/>
        <v>46186</v>
      </c>
      <c r="M338" s="6"/>
      <c r="N338" s="6">
        <f t="shared" si="78"/>
        <v>46186</v>
      </c>
      <c r="O338" s="5" t="str">
        <f t="shared" si="79"/>
        <v>excluded_settled_before_as_of</v>
      </c>
      <c r="P338" s="51" t="str">
        <f>D_flows!D42</f>
        <v>Vận tải</v>
      </c>
      <c r="Q338" s="51">
        <f>D_flows!J42</f>
        <v>0</v>
      </c>
      <c r="R338" s="52">
        <f>D_flows!L42</f>
        <v>46193</v>
      </c>
      <c r="S338" s="5" t="str">
        <f t="shared" si="80"/>
        <v>invalid_past</v>
      </c>
      <c r="T338" s="5">
        <v>0</v>
      </c>
      <c r="U338" s="5">
        <v>0</v>
      </c>
      <c r="V338" s="5">
        <v>0</v>
      </c>
      <c r="W338" s="5">
        <v>0</v>
      </c>
      <c r="X338" s="5">
        <v>0</v>
      </c>
      <c r="Y338" s="5">
        <v>0</v>
      </c>
    </row>
    <row r="339" spans="1:25" ht="40.049999999999997" customHeight="1">
      <c r="A339" s="51" t="str">
        <f>D_flows!A43</f>
        <v>TRANS-F01-0113</v>
      </c>
      <c r="B339" s="51" t="str">
        <f>D_flows!H43</f>
        <v>BILL-F01-0113</v>
      </c>
      <c r="C339" s="51" t="str">
        <f>D_flows!I43</f>
        <v>Vận tải nội địa NCC5</v>
      </c>
      <c r="D339" s="51" t="str">
        <f>D_flows!C43</f>
        <v>OUT</v>
      </c>
      <c r="E339" s="9">
        <f>IF(AND(F339&gt;=$B$6,COUNTIF($B$253:$B$274,B339)=0),D_flows!F43,0)</f>
        <v>0</v>
      </c>
      <c r="F339" s="52">
        <f>D_flows!E43</f>
        <v>46188</v>
      </c>
      <c r="G339" s="5">
        <v>0</v>
      </c>
      <c r="H339" s="5" t="s">
        <v>1243</v>
      </c>
      <c r="I339" s="5">
        <v>0</v>
      </c>
      <c r="J339" s="6">
        <f t="shared" si="75"/>
        <v>46188</v>
      </c>
      <c r="K339" s="6">
        <f t="shared" si="76"/>
        <v>46188</v>
      </c>
      <c r="L339" s="6">
        <f t="shared" si="77"/>
        <v>46188</v>
      </c>
      <c r="M339" s="6"/>
      <c r="N339" s="6">
        <f t="shared" si="78"/>
        <v>46188</v>
      </c>
      <c r="O339" s="5" t="str">
        <f t="shared" si="79"/>
        <v>excluded_settled_before_as_of</v>
      </c>
      <c r="P339" s="51" t="str">
        <f>D_flows!D43</f>
        <v>Vận tải</v>
      </c>
      <c r="Q339" s="51">
        <f>D_flows!J43</f>
        <v>0</v>
      </c>
      <c r="R339" s="52">
        <f>D_flows!L43</f>
        <v>46193</v>
      </c>
      <c r="S339" s="5" t="str">
        <f t="shared" si="80"/>
        <v>invalid_past</v>
      </c>
      <c r="T339" s="5">
        <v>0</v>
      </c>
      <c r="U339" s="5">
        <v>0</v>
      </c>
      <c r="V339" s="5">
        <v>0</v>
      </c>
      <c r="W339" s="5">
        <v>0</v>
      </c>
      <c r="X339" s="5">
        <v>0</v>
      </c>
      <c r="Y339" s="5">
        <v>0</v>
      </c>
    </row>
    <row r="340" spans="1:25" ht="40.049999999999997" customHeight="1">
      <c r="A340" s="51" t="str">
        <f>D_flows!A44</f>
        <v>TRANS-F01-0122</v>
      </c>
      <c r="B340" s="51" t="str">
        <f>D_flows!H44</f>
        <v>BILL-F01-0122</v>
      </c>
      <c r="C340" s="51" t="str">
        <f>D_flows!I44</f>
        <v>Vận tải nội địa NCC5</v>
      </c>
      <c r="D340" s="51" t="str">
        <f>D_flows!C44</f>
        <v>OUT</v>
      </c>
      <c r="E340" s="9">
        <f>IF(AND(F340&gt;=$B$6,COUNTIF($B$253:$B$274,B340)=0),D_flows!F44,0)</f>
        <v>0</v>
      </c>
      <c r="F340" s="52">
        <f>D_flows!E44</f>
        <v>46204</v>
      </c>
      <c r="G340" s="5">
        <v>0</v>
      </c>
      <c r="H340" s="5" t="s">
        <v>1243</v>
      </c>
      <c r="I340" s="5">
        <v>0</v>
      </c>
      <c r="J340" s="6">
        <f t="shared" si="75"/>
        <v>46204</v>
      </c>
      <c r="K340" s="6">
        <f t="shared" si="76"/>
        <v>46204</v>
      </c>
      <c r="L340" s="6">
        <f t="shared" si="77"/>
        <v>46204</v>
      </c>
      <c r="M340" s="6"/>
      <c r="N340" s="6">
        <f t="shared" si="78"/>
        <v>46204</v>
      </c>
      <c r="O340" s="5" t="str">
        <f t="shared" si="79"/>
        <v>excluded_already_in_PAY_BILL</v>
      </c>
      <c r="P340" s="51" t="str">
        <f>D_flows!D44</f>
        <v>Vận tải</v>
      </c>
      <c r="Q340" s="51">
        <f>D_flows!J44</f>
        <v>0</v>
      </c>
      <c r="R340" s="52">
        <f>D_flows!L44</f>
        <v>46193</v>
      </c>
      <c r="S340" s="5" t="str">
        <f t="shared" si="80"/>
        <v>in_horizon</v>
      </c>
      <c r="T340" s="5">
        <v>0</v>
      </c>
      <c r="U340" s="5">
        <v>0</v>
      </c>
      <c r="V340" s="5">
        <v>0</v>
      </c>
      <c r="W340" s="5">
        <v>0</v>
      </c>
      <c r="X340" s="5">
        <v>0</v>
      </c>
      <c r="Y340" s="5">
        <v>0</v>
      </c>
    </row>
    <row r="341" spans="1:25" ht="40.049999999999997" customHeight="1">
      <c r="A341" s="51" t="str">
        <f>D_flows!A45</f>
        <v>TRANS-F01-0124</v>
      </c>
      <c r="B341" s="51" t="str">
        <f>D_flows!H45</f>
        <v>BILL-F01-0124</v>
      </c>
      <c r="C341" s="51" t="str">
        <f>D_flows!I45</f>
        <v>Vận tải nội địa NCC5</v>
      </c>
      <c r="D341" s="51" t="str">
        <f>D_flows!C45</f>
        <v>OUT</v>
      </c>
      <c r="E341" s="9">
        <f>IF(AND(F341&gt;=$B$6,COUNTIF($B$253:$B$274,B341)=0),D_flows!F45,0)</f>
        <v>0</v>
      </c>
      <c r="F341" s="52">
        <f>D_flows!E45</f>
        <v>46206</v>
      </c>
      <c r="G341" s="5">
        <v>0</v>
      </c>
      <c r="H341" s="5" t="s">
        <v>1243</v>
      </c>
      <c r="I341" s="5">
        <v>0</v>
      </c>
      <c r="J341" s="6">
        <f t="shared" si="75"/>
        <v>46206</v>
      </c>
      <c r="K341" s="6">
        <f t="shared" si="76"/>
        <v>46206</v>
      </c>
      <c r="L341" s="6">
        <f t="shared" si="77"/>
        <v>46206</v>
      </c>
      <c r="M341" s="6"/>
      <c r="N341" s="6">
        <f t="shared" si="78"/>
        <v>46206</v>
      </c>
      <c r="O341" s="5" t="str">
        <f t="shared" si="79"/>
        <v>excluded_already_in_PAY_BILL</v>
      </c>
      <c r="P341" s="51" t="str">
        <f>D_flows!D45</f>
        <v>Vận tải</v>
      </c>
      <c r="Q341" s="51">
        <f>D_flows!J45</f>
        <v>0</v>
      </c>
      <c r="R341" s="52">
        <f>D_flows!L45</f>
        <v>46193</v>
      </c>
      <c r="S341" s="5" t="str">
        <f t="shared" si="80"/>
        <v>in_horizon</v>
      </c>
      <c r="T341" s="5">
        <v>0</v>
      </c>
      <c r="U341" s="5">
        <v>0</v>
      </c>
      <c r="V341" s="5">
        <v>0</v>
      </c>
      <c r="W341" s="5">
        <v>0</v>
      </c>
      <c r="X341" s="5">
        <v>0</v>
      </c>
      <c r="Y341" s="5">
        <v>0</v>
      </c>
    </row>
    <row r="343" spans="1:25">
      <c r="A343" s="53" t="s">
        <v>1307</v>
      </c>
    </row>
  </sheetData>
  <conditionalFormatting sqref="I29:J41">
    <cfRule type="cellIs" dxfId="9" priority="2" operator="equal">
      <formula>1</formula>
    </cfRule>
    <cfRule type="cellIs" dxfId="8" priority="4" operator="equal">
      <formula>2</formula>
    </cfRule>
    <cfRule type="cellIs" dxfId="7" priority="6" operator="equal">
      <formula>3</formula>
    </cfRule>
  </conditionalFormatting>
  <conditionalFormatting sqref="K70:K160">
    <cfRule type="cellIs" dxfId="6" priority="1" operator="equal">
      <formula>1</formula>
    </cfRule>
    <cfRule type="cellIs" dxfId="5" priority="3" operator="equal">
      <formula>2</formula>
    </cfRule>
    <cfRule type="cellIs" dxfId="4" priority="5" operator="equal">
      <formula>3</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A3DC5-15F1-4C1E-A206-B343BE17DD86}">
  <dimension ref="A2:Z132"/>
  <sheetViews>
    <sheetView showGridLines="0" topLeftCell="A111" workbookViewId="0">
      <selection activeCell="N110" sqref="N110"/>
    </sheetView>
  </sheetViews>
  <sheetFormatPr defaultColWidth="9" defaultRowHeight="10.199999999999999"/>
  <cols>
    <col min="1" max="1" width="28.19921875" style="61" customWidth="1"/>
    <col min="2" max="2" width="30" style="61" customWidth="1"/>
    <col min="3" max="26" width="16" style="61" customWidth="1"/>
    <col min="27" max="16384" width="9" style="61"/>
  </cols>
  <sheetData>
    <row r="2" spans="1:3">
      <c r="A2" s="60" t="s">
        <v>2660</v>
      </c>
    </row>
    <row r="3" spans="1:3">
      <c r="A3" s="62" t="s">
        <v>2661</v>
      </c>
    </row>
    <row r="5" spans="1:3" ht="19.95" customHeight="1">
      <c r="A5" s="63" t="s">
        <v>2662</v>
      </c>
      <c r="B5" s="63" t="s">
        <v>828</v>
      </c>
      <c r="C5" s="63" t="s">
        <v>2606</v>
      </c>
    </row>
    <row r="6" spans="1:3">
      <c r="A6" s="64" t="s">
        <v>1047</v>
      </c>
      <c r="B6" s="64" t="str">
        <f>$B$35</f>
        <v>M4</v>
      </c>
      <c r="C6" s="62" t="s">
        <v>2663</v>
      </c>
    </row>
    <row r="7" spans="1:3">
      <c r="A7" s="64" t="s">
        <v>2296</v>
      </c>
      <c r="B7" s="64" t="str">
        <f>$B$33</f>
        <v>TH01</v>
      </c>
      <c r="C7" s="62"/>
    </row>
    <row r="8" spans="1:3">
      <c r="A8" s="64" t="s">
        <v>2295</v>
      </c>
      <c r="B8" s="64" t="str">
        <f>$B$34</f>
        <v>W1</v>
      </c>
      <c r="C8" s="62"/>
    </row>
    <row r="9" spans="1:3">
      <c r="A9" s="64" t="s">
        <v>1009</v>
      </c>
      <c r="B9" s="65" t="str">
        <f>$B$88</f>
        <v>B2</v>
      </c>
      <c r="C9" s="62" t="s">
        <v>2664</v>
      </c>
    </row>
    <row r="10" spans="1:3">
      <c r="A10" s="64" t="s">
        <v>2665</v>
      </c>
      <c r="B10" s="64" t="str">
        <f>$B$60</f>
        <v>không phân loại được</v>
      </c>
      <c r="C10" s="62"/>
    </row>
    <row r="11" spans="1:3">
      <c r="A11" s="64" t="s">
        <v>2666</v>
      </c>
      <c r="B11" s="64" t="str">
        <f>$B$61</f>
        <v>REVIEW_MANUAL</v>
      </c>
      <c r="C11" s="62"/>
    </row>
    <row r="12" spans="1:3">
      <c r="A12" s="64" t="s">
        <v>2667</v>
      </c>
      <c r="B12" s="66">
        <f>IF($B$33&lt;&gt;"TH01",0,IF($B$60="tăng một lần",2,1))</f>
        <v>1</v>
      </c>
      <c r="C12" s="62" t="s">
        <v>2668</v>
      </c>
    </row>
    <row r="13" spans="1:3">
      <c r="A13" s="64" t="s">
        <v>2669</v>
      </c>
      <c r="B13" s="67">
        <f>$B$65</f>
        <v>46203</v>
      </c>
      <c r="C13" s="62"/>
    </row>
    <row r="14" spans="1:3">
      <c r="A14" s="64" t="s">
        <v>2670</v>
      </c>
      <c r="B14" s="66">
        <f>$B$73</f>
        <v>10</v>
      </c>
      <c r="C14" s="62"/>
    </row>
    <row r="15" spans="1:3">
      <c r="A15" s="64" t="s">
        <v>1052</v>
      </c>
      <c r="B15" s="64" t="str">
        <f>IF($B$74=1,"KHẨN","THƯỜNG")</f>
        <v>THƯỜNG</v>
      </c>
      <c r="C15" s="62"/>
    </row>
    <row r="16" spans="1:3">
      <c r="A16" s="64" t="s">
        <v>2671</v>
      </c>
      <c r="B16" s="66">
        <f>$B$72</f>
        <v>3563626768</v>
      </c>
      <c r="C16" s="62"/>
    </row>
    <row r="17" spans="1:3">
      <c r="A17" s="64" t="s">
        <v>2672</v>
      </c>
      <c r="B17" s="66">
        <f>$B$68</f>
        <v>82</v>
      </c>
      <c r="C17" s="62"/>
    </row>
    <row r="18" spans="1:3">
      <c r="A18" s="64" t="s">
        <v>2673</v>
      </c>
      <c r="B18" s="64" t="str">
        <f>C109&amp;IF(C110&lt;&gt;""," &gt; "&amp;C110,"")&amp;IF(C111&lt;&gt;""," &gt; "&amp;C111,"")</f>
        <v>NB-01 &gt; RF-001 &gt; FAC-001</v>
      </c>
      <c r="C18" s="62" t="s">
        <v>2674</v>
      </c>
    </row>
    <row r="19" spans="1:3">
      <c r="A19" s="64" t="s">
        <v>2675</v>
      </c>
      <c r="B19" s="64" t="str">
        <f>$B$132</f>
        <v>NB-01 + RF-001</v>
      </c>
      <c r="C19" s="62"/>
    </row>
    <row r="20" spans="1:3">
      <c r="A20" s="64" t="s">
        <v>2676</v>
      </c>
      <c r="B20" s="66">
        <f>$B$125</f>
        <v>3563626768</v>
      </c>
      <c r="C20" s="62"/>
    </row>
    <row r="21" spans="1:3">
      <c r="A21" s="64" t="s">
        <v>2677</v>
      </c>
      <c r="B21" s="66">
        <f>$B$126</f>
        <v>14310286.552109588</v>
      </c>
      <c r="C21" s="62"/>
    </row>
    <row r="22" spans="1:3">
      <c r="A22" s="64" t="s">
        <v>2678</v>
      </c>
      <c r="B22" s="68">
        <f>$B$127</f>
        <v>4.0000000000000001E-3</v>
      </c>
      <c r="C22" s="62"/>
    </row>
    <row r="23" spans="1:3">
      <c r="A23" s="64" t="s">
        <v>2679</v>
      </c>
      <c r="B23" s="66">
        <f>$B$128</f>
        <v>0</v>
      </c>
      <c r="C23" s="62"/>
    </row>
    <row r="24" spans="1:3">
      <c r="A24" s="64" t="s">
        <v>2680</v>
      </c>
      <c r="B24" s="66">
        <f>$B$131</f>
        <v>1</v>
      </c>
      <c r="C24" s="62"/>
    </row>
    <row r="25" spans="1:3">
      <c r="A25" s="64" t="s">
        <v>2681</v>
      </c>
      <c r="B25" s="64" t="str">
        <f>IF($B$33&lt;&gt;"TH01","false",IF(OR($B$61&lt;&gt;"",$B$128&gt;0,$B$131&gt;0),"true","false"))</f>
        <v>true</v>
      </c>
      <c r="C25" s="62" t="s">
        <v>2682</v>
      </c>
    </row>
    <row r="30" spans="1:3" ht="19.95" customHeight="1">
      <c r="A30" s="63" t="s">
        <v>2683</v>
      </c>
      <c r="B30" s="63" t="s">
        <v>828</v>
      </c>
      <c r="C30" s="63" t="s">
        <v>2684</v>
      </c>
    </row>
    <row r="31" spans="1:3">
      <c r="A31" s="64" t="s">
        <v>2685</v>
      </c>
      <c r="B31" s="69">
        <f>D_F01!B7</f>
        <v>46193</v>
      </c>
      <c r="C31" s="62" t="s">
        <v>2686</v>
      </c>
    </row>
    <row r="32" spans="1:3">
      <c r="A32" s="64" t="s">
        <v>1019</v>
      </c>
      <c r="B32" s="70">
        <f>F01_UC2!B10</f>
        <v>500000000</v>
      </c>
      <c r="C32" s="62" t="s">
        <v>2687</v>
      </c>
    </row>
    <row r="33" spans="1:3">
      <c r="A33" s="64" t="s">
        <v>2296</v>
      </c>
      <c r="B33" s="71" t="str">
        <f>F01_UC2!B23</f>
        <v>TH01</v>
      </c>
      <c r="C33" s="62" t="s">
        <v>2688</v>
      </c>
    </row>
    <row r="34" spans="1:3">
      <c r="A34" s="64" t="s">
        <v>2295</v>
      </c>
      <c r="B34" s="71" t="str">
        <f>F01_UC1!B30</f>
        <v>W1</v>
      </c>
      <c r="C34" s="62" t="s">
        <v>2689</v>
      </c>
    </row>
    <row r="35" spans="1:3">
      <c r="A35" s="64" t="s">
        <v>1047</v>
      </c>
      <c r="B35" s="71" t="str">
        <f>F01_UC2!B24</f>
        <v>M4</v>
      </c>
      <c r="C35" s="62" t="s">
        <v>2690</v>
      </c>
    </row>
    <row r="36" spans="1:3">
      <c r="A36" s="64" t="s">
        <v>2691</v>
      </c>
      <c r="B36" s="64">
        <f>IF(AND($B$33="TH01",F01_UC2!M37=TRUE),1,0)</f>
        <v>1</v>
      </c>
      <c r="C36" s="62" t="s">
        <v>2692</v>
      </c>
    </row>
    <row r="37" spans="1:3">
      <c r="A37" s="64" t="s">
        <v>2693</v>
      </c>
      <c r="B37" s="64">
        <f>IF(F01_UC1!B22&gt;=1,1,0)</f>
        <v>1</v>
      </c>
      <c r="C37" s="62" t="s">
        <v>2694</v>
      </c>
    </row>
    <row r="38" spans="1:3">
      <c r="A38" s="64" t="s">
        <v>2695</v>
      </c>
      <c r="B38" s="64">
        <f>IF(F01_UC1!B23&gt;=1,1,0)</f>
        <v>1</v>
      </c>
      <c r="C38" s="62" t="s">
        <v>2696</v>
      </c>
    </row>
    <row r="39" spans="1:3">
      <c r="A39" s="64" t="s">
        <v>2697</v>
      </c>
      <c r="B39" s="64">
        <f>IF(F01_UC1!B26&gt;=1,1,0)</f>
        <v>0</v>
      </c>
      <c r="C39" s="62" t="s">
        <v>923</v>
      </c>
    </row>
    <row r="40" spans="1:3">
      <c r="A40" s="64" t="s">
        <v>2698</v>
      </c>
      <c r="B40" s="64">
        <f>$B$37+$B$38+$B$39</f>
        <v>2</v>
      </c>
      <c r="C40" s="62" t="s">
        <v>2699</v>
      </c>
    </row>
    <row r="41" spans="1:3">
      <c r="A41" s="64" t="s">
        <v>2700</v>
      </c>
      <c r="B41" s="70">
        <f>F01_UC1!B27</f>
        <v>599455225.59697711</v>
      </c>
      <c r="C41" s="62" t="s">
        <v>2701</v>
      </c>
    </row>
    <row r="42" spans="1:3">
      <c r="A42" s="64" t="s">
        <v>2702</v>
      </c>
      <c r="B42" s="70">
        <f>F01_UC1!B28</f>
        <v>244802451.9649125</v>
      </c>
      <c r="C42" s="62" t="s">
        <v>2703</v>
      </c>
    </row>
    <row r="43" spans="1:3">
      <c r="A43" s="64" t="s">
        <v>2704</v>
      </c>
      <c r="B43" s="70">
        <f>F01_UC1!B18</f>
        <v>400396507</v>
      </c>
      <c r="C43" s="62" t="s">
        <v>2705</v>
      </c>
    </row>
    <row r="44" spans="1:3">
      <c r="A44" s="64" t="s">
        <v>2706</v>
      </c>
      <c r="B44" s="71" t="str">
        <f>D_UC03!$C$17</f>
        <v>ok</v>
      </c>
      <c r="C44" s="62" t="s">
        <v>2707</v>
      </c>
    </row>
    <row r="46" spans="1:3">
      <c r="A46" s="63" t="s">
        <v>2708</v>
      </c>
      <c r="B46" s="63" t="s">
        <v>828</v>
      </c>
      <c r="C46" s="63" t="s">
        <v>2709</v>
      </c>
    </row>
    <row r="47" spans="1:3">
      <c r="A47" s="64" t="s">
        <v>2710</v>
      </c>
      <c r="B47" s="66">
        <f>$B$32*D_UC03!$C$5</f>
        <v>125000000</v>
      </c>
      <c r="C47" s="62" t="s">
        <v>2330</v>
      </c>
    </row>
    <row r="49" spans="1:8">
      <c r="A49" s="63" t="s">
        <v>1062</v>
      </c>
      <c r="B49" s="63" t="s">
        <v>1011</v>
      </c>
      <c r="C49" s="63" t="s">
        <v>1013</v>
      </c>
      <c r="D49" s="63" t="s">
        <v>1064</v>
      </c>
      <c r="E49" s="63" t="s">
        <v>1063</v>
      </c>
      <c r="F49" s="63" t="s">
        <v>2711</v>
      </c>
      <c r="G49" s="63" t="s">
        <v>2712</v>
      </c>
      <c r="H49" s="63" t="s">
        <v>2713</v>
      </c>
    </row>
    <row r="50" spans="1:8">
      <c r="A50" s="70">
        <f>F01_UC2!L29</f>
        <v>1</v>
      </c>
      <c r="B50" s="69">
        <f>F01_UC2!M29</f>
        <v>46194</v>
      </c>
      <c r="C50" s="69">
        <f>F01_UC2!N29</f>
        <v>46207</v>
      </c>
      <c r="D50" s="70">
        <f>F01_UC2!R29</f>
        <v>14</v>
      </c>
      <c r="E50" s="70">
        <f>F01_UC2!O29</f>
        <v>797304</v>
      </c>
      <c r="F50" s="66">
        <f t="shared" ref="F50:F56" si="0">MAX(0,$B$32-E50)</f>
        <v>499202696</v>
      </c>
      <c r="G50" s="64"/>
      <c r="H50" s="66">
        <v>0</v>
      </c>
    </row>
    <row r="51" spans="1:8">
      <c r="A51" s="70">
        <f>F01_UC2!L30</f>
        <v>2</v>
      </c>
      <c r="B51" s="69">
        <f>F01_UC2!M30</f>
        <v>46208</v>
      </c>
      <c r="C51" s="69">
        <f>F01_UC2!N30</f>
        <v>46221</v>
      </c>
      <c r="D51" s="70">
        <f>F01_UC2!R30</f>
        <v>14</v>
      </c>
      <c r="E51" s="70">
        <f>F01_UC2!O30</f>
        <v>470478434</v>
      </c>
      <c r="F51" s="66">
        <f t="shared" si="0"/>
        <v>29521566</v>
      </c>
      <c r="G51" s="66">
        <f t="shared" ref="G51:G56" si="1">ABS(F51-F50)</f>
        <v>469681130</v>
      </c>
      <c r="H51" s="66">
        <f>IF(AND(G51&gt;=$B$47,D51&gt;=D_UC03!$C$6),1,0)</f>
        <v>1</v>
      </c>
    </row>
    <row r="52" spans="1:8">
      <c r="A52" s="70">
        <f>F01_UC2!L31</f>
        <v>3</v>
      </c>
      <c r="B52" s="69">
        <f>F01_UC2!M31</f>
        <v>46222</v>
      </c>
      <c r="C52" s="69">
        <f>F01_UC2!N31</f>
        <v>46235</v>
      </c>
      <c r="D52" s="70">
        <f>F01_UC2!R31</f>
        <v>14</v>
      </c>
      <c r="E52" s="70">
        <f>F01_UC2!O31</f>
        <v>-522821317</v>
      </c>
      <c r="F52" s="66">
        <f t="shared" si="0"/>
        <v>1022821317</v>
      </c>
      <c r="G52" s="66">
        <f t="shared" si="1"/>
        <v>993299751</v>
      </c>
      <c r="H52" s="66">
        <f>IF(AND(G52&gt;=$B$47,D52&gt;=D_UC03!$C$6),1,0)</f>
        <v>1</v>
      </c>
    </row>
    <row r="53" spans="1:8">
      <c r="A53" s="70">
        <f>F01_UC2!L32</f>
        <v>4</v>
      </c>
      <c r="B53" s="69">
        <f>F01_UC2!M32</f>
        <v>46236</v>
      </c>
      <c r="C53" s="69">
        <f>F01_UC2!N32</f>
        <v>46249</v>
      </c>
      <c r="D53" s="70">
        <f>F01_UC2!R32</f>
        <v>14</v>
      </c>
      <c r="E53" s="70">
        <f>F01_UC2!O32</f>
        <v>-522821317</v>
      </c>
      <c r="F53" s="66">
        <f t="shared" si="0"/>
        <v>1022821317</v>
      </c>
      <c r="G53" s="66">
        <f t="shared" si="1"/>
        <v>0</v>
      </c>
      <c r="H53" s="66">
        <f>IF(AND(G53&gt;=$B$47,D53&gt;=D_UC03!$C$6),1,0)</f>
        <v>0</v>
      </c>
    </row>
    <row r="54" spans="1:8">
      <c r="A54" s="70">
        <f>F01_UC2!L33</f>
        <v>5</v>
      </c>
      <c r="B54" s="69">
        <f>F01_UC2!M33</f>
        <v>46250</v>
      </c>
      <c r="C54" s="69">
        <f>F01_UC2!N33</f>
        <v>46263</v>
      </c>
      <c r="D54" s="70">
        <f>F01_UC2!R33</f>
        <v>14</v>
      </c>
      <c r="E54" s="70">
        <f>F01_UC2!O33</f>
        <v>-63697085</v>
      </c>
      <c r="F54" s="66">
        <f t="shared" si="0"/>
        <v>563697085</v>
      </c>
      <c r="G54" s="66">
        <f t="shared" si="1"/>
        <v>459124232</v>
      </c>
      <c r="H54" s="66">
        <f>IF(AND(G54&gt;=$B$47,D54&gt;=D_UC03!$C$6),1,0)</f>
        <v>1</v>
      </c>
    </row>
    <row r="55" spans="1:8">
      <c r="A55" s="70">
        <f>F01_UC2!L34</f>
        <v>6</v>
      </c>
      <c r="B55" s="69">
        <f>F01_UC2!M34</f>
        <v>46264</v>
      </c>
      <c r="C55" s="69">
        <f>F01_UC2!N34</f>
        <v>46277</v>
      </c>
      <c r="D55" s="70">
        <f>F01_UC2!R34</f>
        <v>14</v>
      </c>
      <c r="E55" s="70">
        <f>F01_UC2!O34</f>
        <v>-2883626768</v>
      </c>
      <c r="F55" s="66">
        <f t="shared" si="0"/>
        <v>3383626768</v>
      </c>
      <c r="G55" s="66">
        <f t="shared" si="1"/>
        <v>2819929683</v>
      </c>
      <c r="H55" s="66">
        <f>IF(AND(G55&gt;=$B$47,D55&gt;=D_UC03!$C$6),1,0)</f>
        <v>1</v>
      </c>
    </row>
    <row r="56" spans="1:8">
      <c r="A56" s="70">
        <f>F01_UC2!L35</f>
        <v>7</v>
      </c>
      <c r="B56" s="69">
        <f>F01_UC2!M35</f>
        <v>46278</v>
      </c>
      <c r="C56" s="69">
        <f>F01_UC2!N35</f>
        <v>46284</v>
      </c>
      <c r="D56" s="70">
        <f>F01_UC2!R35</f>
        <v>7</v>
      </c>
      <c r="E56" s="70">
        <f>F01_UC2!O35</f>
        <v>-3063626768</v>
      </c>
      <c r="F56" s="66">
        <f t="shared" si="0"/>
        <v>3563626768</v>
      </c>
      <c r="G56" s="66">
        <f t="shared" si="1"/>
        <v>180000000</v>
      </c>
      <c r="H56" s="66">
        <f>IF(AND(G56&gt;=$B$47,D56&gt;=D_UC03!$C$6),1,0)</f>
        <v>0</v>
      </c>
    </row>
    <row r="58" spans="1:8">
      <c r="A58" s="64" t="s">
        <v>2714</v>
      </c>
      <c r="B58" s="66">
        <f>SUM(H51:H56)</f>
        <v>4</v>
      </c>
      <c r="C58" s="62" t="s">
        <v>2338</v>
      </c>
    </row>
    <row r="59" spans="1:8">
      <c r="A59" s="64" t="s">
        <v>2715</v>
      </c>
      <c r="B59" s="66">
        <f>SUMPRODUCT(H51:H56*(F51:F56-F50:F55))</f>
        <v>2884424072</v>
      </c>
      <c r="C59" s="62" t="s">
        <v>2716</v>
      </c>
    </row>
    <row r="60" spans="1:8">
      <c r="A60" s="64" t="s">
        <v>2665</v>
      </c>
      <c r="B60" s="64" t="str">
        <f>IF($B$58=0,"đồng đều",IF($B$58=1,IF($B$59&gt;0,"tăng một lần","giảm một lần"),"không phân loại được"))</f>
        <v>không phân loại được</v>
      </c>
      <c r="C60" s="62" t="s">
        <v>2338</v>
      </c>
    </row>
    <row r="61" spans="1:8">
      <c r="A61" s="64" t="s">
        <v>2666</v>
      </c>
      <c r="B61" s="64" t="str">
        <f>IF($B$60="không phân loại được","REVIEW_MANUAL","")</f>
        <v>REVIEW_MANUAL</v>
      </c>
      <c r="C61" s="62" t="s">
        <v>2717</v>
      </c>
    </row>
    <row r="62" spans="1:8">
      <c r="A62" s="64" t="s">
        <v>2718</v>
      </c>
      <c r="B62" s="66">
        <f>MAX(F50:F56)</f>
        <v>3563626768</v>
      </c>
      <c r="C62" s="62" t="s">
        <v>2719</v>
      </c>
    </row>
    <row r="63" spans="1:8">
      <c r="A63" s="64" t="s">
        <v>2720</v>
      </c>
      <c r="B63" s="66">
        <f>IFERROR(MATCH(1,H50:H56,0),0)</f>
        <v>2</v>
      </c>
      <c r="C63" s="62" t="s">
        <v>2721</v>
      </c>
    </row>
    <row r="64" spans="1:8">
      <c r="A64" s="64" t="s">
        <v>2722</v>
      </c>
      <c r="B64" s="66">
        <f>IF($B$60="tăng một lần",INDEX(F50:F56,$B$63-1),$B$62)</f>
        <v>3563626768</v>
      </c>
      <c r="C64" s="62" t="s">
        <v>2723</v>
      </c>
    </row>
    <row r="65" spans="1:3">
      <c r="A65" s="64" t="s">
        <v>2669</v>
      </c>
      <c r="B65" s="69">
        <f>F01_UC2!B20</f>
        <v>46203</v>
      </c>
      <c r="C65" s="62" t="s">
        <v>2724</v>
      </c>
    </row>
    <row r="66" spans="1:3">
      <c r="A66" s="64" t="s">
        <v>2725</v>
      </c>
      <c r="B66" s="67">
        <f>IF($B$63&gt;0,INDEX(B50:B56,$B$63),"n.a.")</f>
        <v>46208</v>
      </c>
      <c r="C66" s="62" t="s">
        <v>2726</v>
      </c>
    </row>
    <row r="67" spans="1:3">
      <c r="A67" s="64" t="s">
        <v>2727</v>
      </c>
      <c r="B67" s="67">
        <f>_xlfn.MAXIFS(F01_UC2!A70:A160,F01_UC2!G70:G160,"&lt;"&amp;$B$32)</f>
        <v>46284</v>
      </c>
      <c r="C67" s="62"/>
    </row>
    <row r="68" spans="1:3">
      <c r="A68" s="64" t="s">
        <v>2728</v>
      </c>
      <c r="B68" s="66">
        <f>IF(AND($B$60="giảm một lần",ISNUMBER($B$66)),$B$66-$B$65,$B$67-$B$65+1)</f>
        <v>82</v>
      </c>
      <c r="C68" s="62" t="s">
        <v>2729</v>
      </c>
    </row>
    <row r="69" spans="1:3">
      <c r="A69" s="64" t="s">
        <v>2730</v>
      </c>
      <c r="B69" s="66" t="str">
        <f>IF($B$60="tăng một lần",$B$62,"không có")</f>
        <v>không có</v>
      </c>
      <c r="C69" s="62" t="s">
        <v>2731</v>
      </c>
    </row>
    <row r="70" spans="1:3">
      <c r="A70" s="64" t="s">
        <v>2732</v>
      </c>
      <c r="B70" s="67" t="str">
        <f>IF($B$60="tăng một lần",$B$66,"không có")</f>
        <v>không có</v>
      </c>
      <c r="C70" s="62"/>
    </row>
    <row r="71" spans="1:3">
      <c r="A71" s="64" t="s">
        <v>2733</v>
      </c>
      <c r="B71" s="66" t="str">
        <f>IF($B$60="tăng một lần",$B$62-$B$64,"không có")</f>
        <v>không có</v>
      </c>
      <c r="C71" s="62" t="s">
        <v>2734</v>
      </c>
    </row>
    <row r="72" spans="1:3">
      <c r="A72" s="64" t="s">
        <v>2735</v>
      </c>
      <c r="B72" s="66">
        <f>IF($B$33="TH01",$B$64,0)</f>
        <v>3563626768</v>
      </c>
      <c r="C72" s="62" t="s">
        <v>2736</v>
      </c>
    </row>
    <row r="73" spans="1:3">
      <c r="A73" s="64" t="s">
        <v>2670</v>
      </c>
      <c r="B73" s="66">
        <f>IFERROR($B$65-$B$31,0)</f>
        <v>10</v>
      </c>
      <c r="C73" s="62" t="s">
        <v>2359</v>
      </c>
    </row>
    <row r="74" spans="1:3">
      <c r="A74" s="64" t="s">
        <v>2737</v>
      </c>
      <c r="B74" s="66">
        <f>IF($B$73&lt;=D_UC03!$C$12,1,0)</f>
        <v>0</v>
      </c>
      <c r="C74" s="62" t="s">
        <v>2738</v>
      </c>
    </row>
    <row r="75" spans="1:3">
      <c r="A75" s="64" t="s">
        <v>2739</v>
      </c>
      <c r="B75" s="64" t="str">
        <f>IF($B$72&gt;=$B$47,"NẶNG","NHẸ")</f>
        <v>NẶNG</v>
      </c>
      <c r="C75" s="62" t="s">
        <v>2352</v>
      </c>
    </row>
    <row r="76" spans="1:3">
      <c r="A76" s="64" t="s">
        <v>2740</v>
      </c>
      <c r="B76" s="66">
        <f>$B$72*D_UC03!$C$10</f>
        <v>178181338.40000001</v>
      </c>
      <c r="C76" s="62" t="s">
        <v>2741</v>
      </c>
    </row>
    <row r="78" spans="1:3">
      <c r="A78" s="63" t="s">
        <v>2742</v>
      </c>
      <c r="B78" s="63" t="s">
        <v>828</v>
      </c>
      <c r="C78" s="63" t="s">
        <v>2709</v>
      </c>
    </row>
    <row r="79" spans="1:3">
      <c r="A79" s="64" t="s">
        <v>2743</v>
      </c>
      <c r="B79" s="72">
        <f>IF($B$62&gt;0,MIN(1,$B$41/$B$62),0)</f>
        <v>0.1682149295150252</v>
      </c>
      <c r="C79" s="62" t="s">
        <v>2744</v>
      </c>
    </row>
    <row r="80" spans="1:3">
      <c r="A80" s="64" t="s">
        <v>2745</v>
      </c>
      <c r="B80" s="72">
        <f>IF($B$62&gt;0,MIN(1,$B$42/$B$62),0)</f>
        <v>6.8694750573529334E-2</v>
      </c>
      <c r="C80" s="62" t="s">
        <v>2744</v>
      </c>
    </row>
    <row r="81" spans="1:26">
      <c r="A81" s="64" t="s">
        <v>2746</v>
      </c>
      <c r="B81" s="72">
        <f>IF($B$62&gt;0,MIN(1,$B$43/$B$62),0)</f>
        <v>0.11235646521555144</v>
      </c>
      <c r="C81" s="62" t="s">
        <v>2744</v>
      </c>
    </row>
    <row r="82" spans="1:26">
      <c r="A82" s="64" t="s">
        <v>2747</v>
      </c>
      <c r="B82" s="64" t="str">
        <f>IF($B$79&gt;=D_UC03!$C$7,"CHÍNH",IF($B$79&gt;=D_UC03!$C$8,"PHỤ","BỎ QUA"))</f>
        <v>PHỤ</v>
      </c>
      <c r="C82" s="62" t="s">
        <v>2748</v>
      </c>
    </row>
    <row r="83" spans="1:26">
      <c r="A83" s="64" t="s">
        <v>2749</v>
      </c>
      <c r="B83" s="64" t="str">
        <f>IF($B$80&gt;=D_UC03!$C$7,"CHÍNH",IF($B$80&gt;=D_UC03!$C$8,"PHỤ","BỎ QUA"))</f>
        <v>BỎ QUA</v>
      </c>
      <c r="C83" s="62" t="s">
        <v>2748</v>
      </c>
    </row>
    <row r="84" spans="1:26">
      <c r="A84" s="64" t="s">
        <v>2750</v>
      </c>
      <c r="B84" s="64" t="str">
        <f>IF($B$81&gt;=D_UC03!$C$7,"CHÍNH",IF($B$81&gt;=D_UC03!$C$8,"PHỤ","BỎ QUA"))</f>
        <v>BỎ QUA</v>
      </c>
      <c r="C84" s="62" t="s">
        <v>2748</v>
      </c>
    </row>
    <row r="85" spans="1:26">
      <c r="A85" s="64" t="s">
        <v>2751</v>
      </c>
      <c r="B85" s="64" t="str">
        <f>IF(AND($B$79&gt;=D_UC03!$C$7,$B$79&gt;=$B$80,$B$79&gt;=$B$81),"AR",IF(AND($B$80&gt;=D_UC03!$C$7,$B$80&gt;=$B$81),"INV",IF($B$81&gt;=D_UC03!$C$7,"AP","")))</f>
        <v/>
      </c>
      <c r="C85" s="62" t="s">
        <v>2752</v>
      </c>
    </row>
    <row r="86" spans="1:26">
      <c r="A86" s="64" t="s">
        <v>2753</v>
      </c>
      <c r="B86" s="66">
        <f>MAX($O$92:$O$105)</f>
        <v>3057605692</v>
      </c>
      <c r="C86" s="62" t="s">
        <v>2397</v>
      </c>
    </row>
    <row r="87" spans="1:26">
      <c r="A87" s="64" t="s">
        <v>2754</v>
      </c>
      <c r="B87" s="64" t="str">
        <f>IF($B$85="AR","A1",IF($B$85="INV","A2",IF($B$85="AP","A4","A3")))</f>
        <v>A3</v>
      </c>
      <c r="C87" s="62" t="s">
        <v>2390</v>
      </c>
    </row>
    <row r="88" spans="1:26">
      <c r="A88" s="65" t="s">
        <v>1009</v>
      </c>
      <c r="B88" s="65" t="str">
        <f>IF($B$33="TH02",IF($B$34="W0","C1","C2"),IF($B$33="TH03","D",IF($B$33&lt;&gt;"TH01","n.a.",IF($B$36=1,IF(OR(AND($B$34="W2",$B$40&gt;=2),$B$86&lt;$B$72),"B2",IF(AND($B$40&gt;0,$B$38=0,D_UC03!$C$16=1),"B1","B2")),$B$87))))</f>
        <v>B2</v>
      </c>
      <c r="C88" s="62" t="s">
        <v>2755</v>
      </c>
    </row>
    <row r="90" spans="1:26">
      <c r="A90" s="60" t="s">
        <v>2756</v>
      </c>
    </row>
    <row r="91" spans="1:26" ht="20.399999999999999">
      <c r="A91" s="63" t="s">
        <v>92</v>
      </c>
      <c r="B91" s="63" t="s">
        <v>2757</v>
      </c>
      <c r="C91" s="63" t="s">
        <v>2758</v>
      </c>
      <c r="D91" s="63" t="s">
        <v>2759</v>
      </c>
      <c r="E91" s="63" t="s">
        <v>2207</v>
      </c>
      <c r="F91" s="63" t="s">
        <v>2760</v>
      </c>
      <c r="G91" s="63" t="s">
        <v>2761</v>
      </c>
      <c r="H91" s="63" t="s">
        <v>2762</v>
      </c>
      <c r="I91" s="63" t="s">
        <v>2763</v>
      </c>
      <c r="J91" s="63" t="s">
        <v>2764</v>
      </c>
      <c r="K91" s="63" t="s">
        <v>2508</v>
      </c>
      <c r="L91" s="63" t="s">
        <v>2765</v>
      </c>
      <c r="M91" s="63" t="s">
        <v>2766</v>
      </c>
      <c r="N91" s="63" t="s">
        <v>2767</v>
      </c>
      <c r="O91" s="63" t="s">
        <v>2768</v>
      </c>
      <c r="P91" s="63" t="s">
        <v>2678</v>
      </c>
      <c r="Q91" s="63" t="s">
        <v>2769</v>
      </c>
      <c r="R91" s="63" t="s">
        <v>2521</v>
      </c>
      <c r="S91" s="63" t="s">
        <v>2529</v>
      </c>
      <c r="T91" s="63" t="s">
        <v>2770</v>
      </c>
      <c r="U91" s="63" t="s">
        <v>2771</v>
      </c>
      <c r="V91" s="63" t="s">
        <v>2772</v>
      </c>
      <c r="W91" s="63" t="s">
        <v>2544</v>
      </c>
      <c r="X91" s="63" t="s">
        <v>2773</v>
      </c>
      <c r="Y91" s="63" t="s">
        <v>2774</v>
      </c>
      <c r="Z91" s="63" t="s">
        <v>2775</v>
      </c>
    </row>
    <row r="92" spans="1:26">
      <c r="A92" s="71" t="str">
        <f>D_UC03!$A$23</f>
        <v>NB-01</v>
      </c>
      <c r="B92" s="71" t="str">
        <f>D_UC03!$C$23</f>
        <v>NB</v>
      </c>
      <c r="C92" s="71" t="str">
        <f>D_UC03!$D$23</f>
        <v>O0</v>
      </c>
      <c r="D92" s="71" t="str">
        <f>D_UC03!$E$23</f>
        <v>OBJ-NB</v>
      </c>
      <c r="E92" s="70">
        <f>D_UC03!$F$23</f>
        <v>800000000</v>
      </c>
      <c r="F92" s="68">
        <f>IF(B92="INV_SALE",1-D_UC03!$H$23,D_UC03!$G$23)</f>
        <v>1</v>
      </c>
      <c r="G92" s="66">
        <f t="shared" ref="G92:G105" si="2">E92*F92</f>
        <v>800000000</v>
      </c>
      <c r="H92" s="66">
        <f>IF(D_UC03!$S$23=1,MIN(D_UC03!$L$23,$B$68),D_UC03!$L$23)</f>
        <v>0</v>
      </c>
      <c r="I92" s="66">
        <f>IF(B92="INV_SALE",E92*D_UC03!$H$23+D_UC03!$K$23,G92*D_UC03!$I$23*H92/365+G92*D_UC03!$J$23+D_UC03!$K$23)</f>
        <v>0</v>
      </c>
      <c r="J92" s="70">
        <f>D_UC03!$M$23</f>
        <v>2</v>
      </c>
      <c r="K92" s="66">
        <f t="shared" ref="K92:K105" si="3">IF(J92&lt;=$B$73,1,0)</f>
        <v>1</v>
      </c>
      <c r="L92" s="66">
        <f>IF(AND(D_UC03!$Q$23&lt;&gt;"Y",D_UC03!$P$23&lt;&gt;"Y",D_UC03!$R$23&lt;&gt;"N",G92&gt;0,NOT(AND($B$68&lt;D_UC03!$C$13,OR(D_UC03!$S$23=0,D_UC03!$K$23&gt;0)))),1,0)</f>
        <v>1</v>
      </c>
      <c r="M92" s="66">
        <f>IF($B$33&lt;&gt;"TH01",0,IF(OR(IFERROR(INDEX(D_UC03!$B$41:$G$48,MATCH(B92,D_UC03!$A$41:$A$48,0),MATCH($B$88,D_UC03!$B$40:$G$40,0)),0)=1,IF(D_UC03!$T$23="AR",$B$37,IF(D_UC03!$T$23="INV",$B$38,IF(D_UC03!$T$23="AP",$B$39,0)))&gt;0),1,0))</f>
        <v>1</v>
      </c>
      <c r="N92" s="66">
        <f t="shared" ref="N92:N105" si="4">L92*M92</f>
        <v>1</v>
      </c>
      <c r="O92" s="66">
        <f t="shared" ref="O92:O105" si="5">IF(AND(L92=1,K92=1),G92,0)</f>
        <v>800000000</v>
      </c>
      <c r="P92" s="68">
        <f t="shared" ref="P92:P105" si="6">IF(AND(G92&gt;0,$B$72&gt;0),ROUND(I92/MIN(G92,$B$72),4),0)</f>
        <v>0</v>
      </c>
      <c r="Q92" s="66">
        <f>IF(OR($B$74=1,B92="NB"),0,IF(IFERROR(INDEX(D_UC03!$B$52:$G$59,MATCH(B92,D_UC03!$A$52:$A$59,0),MATCH($B$88,D_UC03!$B$51:$G$51,0)),0)=1,0,1))</f>
        <v>0</v>
      </c>
      <c r="R92" s="66">
        <f t="shared" ref="R92:R105" si="7">IF(J92&lt;=3,1,IF(J92&lt;=10,2,3))</f>
        <v>1</v>
      </c>
      <c r="S92" s="66">
        <f>IF($B$44="degraded",3,IF(D_UC03!$N$23="Cao",1,IF(D_UC03!$N$23="Trung bình",2,3)))</f>
        <v>1</v>
      </c>
      <c r="T92" s="70">
        <f>D_UC03!$O$23</f>
        <v>0</v>
      </c>
      <c r="U92" s="66">
        <f t="shared" ref="U92:U105" si="8">IF(K92=1,0,2)</f>
        <v>0</v>
      </c>
      <c r="V92" s="66">
        <v>1</v>
      </c>
      <c r="W92" s="66">
        <f t="shared" ref="W92:W105" si="9">IF(N92=1,U92*10^13+Q92*10^12+R92*10^11+S92*10^10+MIN(99999,ROUND(P92*10000,0))*10^5+T92*10^4+MIN(99,J92)*100+V92,9*10^14+V92)</f>
        <v>110000000201</v>
      </c>
      <c r="X92" s="66">
        <f t="shared" ref="X92:X105" si="10">IF(N92=1,SUMPRODUCT(($W$92:$W$105&lt;W92)*($N$92:$N$105=1))+1,"")</f>
        <v>1</v>
      </c>
      <c r="Y92" s="64" t="str">
        <f>IF(D_UC03!$Q$23="Y","PLEDGED",IF(D_UC03!$P$23="Y","STRATEGIC_OR_CRITICAL",IF(D_UC03!$R$23="N","NO_PRODUCT_DATA",IF(G92&lt;=0,"NO_NET_CASH",IF(L92=0,"SHORT_DURATION_LOCKED",IF(M92=0,"OUT_OF_SCENARIO",IF(K92=0,"TOO_SLOW",IF(G92&lt;$B$76,"BELOW_MIN_DRAW",""))))))))</f>
        <v/>
      </c>
      <c r="Z92" s="64" t="str">
        <f>IF(AND(D_UC03!$S$23=0,D_UC03!$L$23&lt;$B$68),"NOT_COVERING_DURATION","")</f>
        <v/>
      </c>
    </row>
    <row r="93" spans="1:26">
      <c r="A93" s="71" t="str">
        <f>D_UC03!$A$24</f>
        <v>EX-01</v>
      </c>
      <c r="B93" s="71" t="str">
        <f>D_UC03!$C$24</f>
        <v>AP_EXT</v>
      </c>
      <c r="C93" s="71" t="str">
        <f>D_UC03!$D$24</f>
        <v>O1</v>
      </c>
      <c r="D93" s="71" t="str">
        <f>D_UC03!$E$24</f>
        <v>OBJ-APX</v>
      </c>
      <c r="E93" s="70">
        <f>D_UC03!$F$24</f>
        <v>190885852</v>
      </c>
      <c r="F93" s="68">
        <f>IF(B93="INV_SALE",1-D_UC03!$H$24,D_UC03!$G$24)</f>
        <v>1</v>
      </c>
      <c r="G93" s="66">
        <f t="shared" si="2"/>
        <v>190885852</v>
      </c>
      <c r="H93" s="66">
        <f>IF(D_UC03!$S$24=1,MIN(D_UC03!$L$24,$B$68),D_UC03!$L$24)</f>
        <v>0</v>
      </c>
      <c r="I93" s="66">
        <f>IF(B93="INV_SALE",E93*D_UC03!$H$24+D_UC03!$K$24,G93*D_UC03!$I$24*H93/365+G93*D_UC03!$J$24+D_UC03!$K$24)</f>
        <v>0</v>
      </c>
      <c r="J93" s="70">
        <f>D_UC03!$M$24</f>
        <v>2</v>
      </c>
      <c r="K93" s="66">
        <f t="shared" si="3"/>
        <v>1</v>
      </c>
      <c r="L93" s="66">
        <f>IF(AND(D_UC03!$Q$24&lt;&gt;"Y",D_UC03!$P$24&lt;&gt;"Y",D_UC03!$R$24&lt;&gt;"N",G93&gt;0,NOT(AND($B$68&lt;D_UC03!$C$13,OR(D_UC03!$S$24=0,D_UC03!$K$24&gt;0)))),1,0)</f>
        <v>1</v>
      </c>
      <c r="M93" s="66">
        <f>IF($B$33&lt;&gt;"TH01",0,IF(OR(IFERROR(INDEX(D_UC03!$B$41:$G$48,MATCH(B93,D_UC03!$A$41:$A$48,0),MATCH($B$88,D_UC03!$B$40:$G$40,0)),0)=1,IF(D_UC03!$T$24="AR",$B$37,IF(D_UC03!$T$24="INV",$B$38,IF(D_UC03!$T$24="AP",$B$39,0)))&gt;0),1,0))</f>
        <v>1</v>
      </c>
      <c r="N93" s="66">
        <f t="shared" si="4"/>
        <v>1</v>
      </c>
      <c r="O93" s="66">
        <f t="shared" si="5"/>
        <v>190885852</v>
      </c>
      <c r="P93" s="68">
        <f t="shared" si="6"/>
        <v>0</v>
      </c>
      <c r="Q93" s="66">
        <f>IF(OR($B$74=1,B93="NB"),0,IF(IFERROR(INDEX(D_UC03!$B$52:$G$59,MATCH(B93,D_UC03!$A$52:$A$59,0),MATCH($B$88,D_UC03!$B$51:$G$51,0)),0)=1,0,1))</f>
        <v>0</v>
      </c>
      <c r="R93" s="66">
        <f t="shared" si="7"/>
        <v>1</v>
      </c>
      <c r="S93" s="66">
        <f>IF($B$44="degraded",3,IF(D_UC03!$N$24="Cao",1,IF(D_UC03!$N$24="Trung bình",2,3)))</f>
        <v>3</v>
      </c>
      <c r="T93" s="70">
        <f>D_UC03!$O$24</f>
        <v>1</v>
      </c>
      <c r="U93" s="66">
        <f t="shared" si="8"/>
        <v>0</v>
      </c>
      <c r="V93" s="66">
        <v>2</v>
      </c>
      <c r="W93" s="66">
        <f t="shared" si="9"/>
        <v>130000010202</v>
      </c>
      <c r="X93" s="66">
        <f t="shared" si="10"/>
        <v>5</v>
      </c>
      <c r="Y93" s="64" t="str">
        <f>IF(D_UC03!$Q$24="Y","PLEDGED",IF(D_UC03!$P$24="Y","STRATEGIC_OR_CRITICAL",IF(D_UC03!$R$24="N","NO_PRODUCT_DATA",IF(G93&lt;=0,"NO_NET_CASH",IF(L93=0,"SHORT_DURATION_LOCKED",IF(M93=0,"OUT_OF_SCENARIO",IF(K93=0,"TOO_SLOW",IF(G93&lt;$B$76,"BELOW_MIN_DRAW",""))))))))</f>
        <v/>
      </c>
      <c r="Z93" s="64" t="str">
        <f>IF(AND(D_UC03!$S$24=0,D_UC03!$L$24&lt;$B$68),"NOT_COVERING_DURATION","")</f>
        <v/>
      </c>
    </row>
    <row r="94" spans="1:26" ht="20.399999999999999">
      <c r="A94" s="71" t="str">
        <f>D_UC03!$A$25</f>
        <v>EX-02</v>
      </c>
      <c r="B94" s="71" t="str">
        <f>D_UC03!$C$25</f>
        <v>AP_EXT</v>
      </c>
      <c r="C94" s="71" t="str">
        <f>D_UC03!$D$25</f>
        <v>O1</v>
      </c>
      <c r="D94" s="71" t="str">
        <f>D_UC03!$E$25</f>
        <v>OBJ-APS</v>
      </c>
      <c r="E94" s="70">
        <f>D_UC03!$F$25</f>
        <v>456749543</v>
      </c>
      <c r="F94" s="68">
        <f>IF(B94="INV_SALE",1-D_UC03!$H$25,D_UC03!$G$25)</f>
        <v>1</v>
      </c>
      <c r="G94" s="66">
        <f t="shared" si="2"/>
        <v>456749543</v>
      </c>
      <c r="H94" s="66">
        <f>IF(D_UC03!$S$25=1,MIN(D_UC03!$L$25,$B$68),D_UC03!$L$25)</f>
        <v>0</v>
      </c>
      <c r="I94" s="66">
        <f>IF(B94="INV_SALE",E94*D_UC03!$H$25+D_UC03!$K$25,G94*D_UC03!$I$25*H94/365+G94*D_UC03!$J$25+D_UC03!$K$25)</f>
        <v>0</v>
      </c>
      <c r="J94" s="70">
        <f>D_UC03!$M$25</f>
        <v>2</v>
      </c>
      <c r="K94" s="66">
        <f t="shared" si="3"/>
        <v>1</v>
      </c>
      <c r="L94" s="66">
        <f>IF(AND(D_UC03!$Q$25&lt;&gt;"Y",D_UC03!$P$25&lt;&gt;"Y",D_UC03!$R$25&lt;&gt;"N",G94&gt;0,NOT(AND($B$68&lt;D_UC03!$C$13,OR(D_UC03!$S$25=0,D_UC03!$K$25&gt;0)))),1,0)</f>
        <v>0</v>
      </c>
      <c r="M94" s="66">
        <f>IF($B$33&lt;&gt;"TH01",0,IF(OR(IFERROR(INDEX(D_UC03!$B$41:$G$48,MATCH(B94,D_UC03!$A$41:$A$48,0),MATCH($B$88,D_UC03!$B$40:$G$40,0)),0)=1,IF(D_UC03!$T$25="AR",$B$37,IF(D_UC03!$T$25="INV",$B$38,IF(D_UC03!$T$25="AP",$B$39,0)))&gt;0),1,0))</f>
        <v>1</v>
      </c>
      <c r="N94" s="66">
        <f t="shared" si="4"/>
        <v>0</v>
      </c>
      <c r="O94" s="66">
        <f t="shared" si="5"/>
        <v>0</v>
      </c>
      <c r="P94" s="68">
        <f t="shared" si="6"/>
        <v>0</v>
      </c>
      <c r="Q94" s="66">
        <f>IF(OR($B$74=1,B94="NB"),0,IF(IFERROR(INDEX(D_UC03!$B$52:$G$59,MATCH(B94,D_UC03!$A$52:$A$59,0),MATCH($B$88,D_UC03!$B$51:$G$51,0)),0)=1,0,1))</f>
        <v>0</v>
      </c>
      <c r="R94" s="66">
        <f t="shared" si="7"/>
        <v>1</v>
      </c>
      <c r="S94" s="66">
        <f>IF($B$44="degraded",3,IF(D_UC03!$N$25="Cao",1,IF(D_UC03!$N$25="Trung bình",2,3)))</f>
        <v>3</v>
      </c>
      <c r="T94" s="70">
        <f>D_UC03!$O$25</f>
        <v>2</v>
      </c>
      <c r="U94" s="66">
        <f t="shared" si="8"/>
        <v>0</v>
      </c>
      <c r="V94" s="66">
        <v>3</v>
      </c>
      <c r="W94" s="66">
        <f t="shared" si="9"/>
        <v>900000000000003</v>
      </c>
      <c r="X94" s="66" t="str">
        <f t="shared" si="10"/>
        <v/>
      </c>
      <c r="Y94" s="64" t="str">
        <f>IF(D_UC03!$Q$25="Y","PLEDGED",IF(D_UC03!$P$25="Y","STRATEGIC_OR_CRITICAL",IF(D_UC03!$R$25="N","NO_PRODUCT_DATA",IF(G94&lt;=0,"NO_NET_CASH",IF(L94=0,"SHORT_DURATION_LOCKED",IF(M94=0,"OUT_OF_SCENARIO",IF(K94=0,"TOO_SLOW",IF(G94&lt;$B$76,"BELOW_MIN_DRAW",""))))))))</f>
        <v>STRATEGIC_OR_CRITICAL</v>
      </c>
      <c r="Z94" s="64" t="str">
        <f>IF(AND(D_UC03!$S$25=0,D_UC03!$L$25&lt;$B$68),"NOT_COVERING_DURATION","")</f>
        <v/>
      </c>
    </row>
    <row r="95" spans="1:26">
      <c r="A95" s="71" t="str">
        <f>D_UC03!$A$26</f>
        <v>AR-01</v>
      </c>
      <c r="B95" s="71" t="str">
        <f>D_UC03!$C$26</f>
        <v>AR_EARLY</v>
      </c>
      <c r="C95" s="71" t="str">
        <f>D_UC03!$D$26</f>
        <v>O4</v>
      </c>
      <c r="D95" s="71" t="str">
        <f>D_UC03!$E$26</f>
        <v>OBJ-AR-K1</v>
      </c>
      <c r="E95" s="70">
        <f>D_UC03!$F$26</f>
        <v>3057605692</v>
      </c>
      <c r="F95" s="68">
        <f>IF(B95="INV_SALE",1-D_UC03!$H$26,D_UC03!$G$26)</f>
        <v>1</v>
      </c>
      <c r="G95" s="66">
        <f t="shared" si="2"/>
        <v>3057605692</v>
      </c>
      <c r="H95" s="66">
        <f>IF(D_UC03!$S$26=1,MIN(D_UC03!$L$26,$B$68),D_UC03!$L$26)</f>
        <v>0</v>
      </c>
      <c r="I95" s="66">
        <f>IF(B95="INV_SALE",E95*D_UC03!$H$26+D_UC03!$K$26,G95*D_UC03!$I$26*H95/365+G95*D_UC03!$J$26+D_UC03!$K$26)</f>
        <v>30576056.920000002</v>
      </c>
      <c r="J95" s="70">
        <f>D_UC03!$M$26</f>
        <v>5</v>
      </c>
      <c r="K95" s="66">
        <f t="shared" si="3"/>
        <v>1</v>
      </c>
      <c r="L95" s="66">
        <f>IF(AND(D_UC03!$Q$26&lt;&gt;"Y",D_UC03!$P$26&lt;&gt;"Y",D_UC03!$R$26&lt;&gt;"N",G95&gt;0,NOT(AND($B$68&lt;D_UC03!$C$13,OR(D_UC03!$S$26=0,D_UC03!$K$26&gt;0)))),1,0)</f>
        <v>1</v>
      </c>
      <c r="M95" s="66">
        <f>IF($B$33&lt;&gt;"TH01",0,IF(OR(IFERROR(INDEX(D_UC03!$B$41:$G$48,MATCH(B95,D_UC03!$A$41:$A$48,0),MATCH($B$88,D_UC03!$B$40:$G$40,0)),0)=1,IF(D_UC03!$T$26="AR",$B$37,IF(D_UC03!$T$26="INV",$B$38,IF(D_UC03!$T$26="AP",$B$39,0)))&gt;0),1,0))</f>
        <v>1</v>
      </c>
      <c r="N95" s="66">
        <f t="shared" si="4"/>
        <v>1</v>
      </c>
      <c r="O95" s="66">
        <f t="shared" si="5"/>
        <v>3057605692</v>
      </c>
      <c r="P95" s="68">
        <f t="shared" si="6"/>
        <v>0.01</v>
      </c>
      <c r="Q95" s="66">
        <f>IF(OR($B$74=1,B95="NB"),0,IF(IFERROR(INDEX(D_UC03!$B$52:$G$59,MATCH(B95,D_UC03!$A$52:$A$59,0),MATCH($B$88,D_UC03!$B$51:$G$51,0)),0)=1,0,1))</f>
        <v>0</v>
      </c>
      <c r="R95" s="66">
        <f t="shared" si="7"/>
        <v>2</v>
      </c>
      <c r="S95" s="66">
        <f>IF($B$44="degraded",3,IF(D_UC03!$N$26="Cao",1,IF(D_UC03!$N$26="Trung bình",2,3)))</f>
        <v>2</v>
      </c>
      <c r="T95" s="70">
        <f>D_UC03!$O$26</f>
        <v>1</v>
      </c>
      <c r="U95" s="66">
        <f t="shared" si="8"/>
        <v>0</v>
      </c>
      <c r="V95" s="66">
        <v>4</v>
      </c>
      <c r="W95" s="66">
        <f t="shared" si="9"/>
        <v>220010010504</v>
      </c>
      <c r="X95" s="66">
        <f t="shared" si="10"/>
        <v>6</v>
      </c>
      <c r="Y95" s="64" t="str">
        <f>IF(D_UC03!$Q$26="Y","PLEDGED",IF(D_UC03!$P$26="Y","STRATEGIC_OR_CRITICAL",IF(D_UC03!$R$26="N","NO_PRODUCT_DATA",IF(G95&lt;=0,"NO_NET_CASH",IF(L95=0,"SHORT_DURATION_LOCKED",IF(M95=0,"OUT_OF_SCENARIO",IF(K95=0,"TOO_SLOW",IF(G95&lt;$B$76,"BELOW_MIN_DRAW",""))))))))</f>
        <v/>
      </c>
      <c r="Z95" s="64" t="str">
        <f>IF(AND(D_UC03!$S$26=0,D_UC03!$L$26&lt;$B$68),"NOT_COVERING_DURATION","")</f>
        <v/>
      </c>
    </row>
    <row r="96" spans="1:26" ht="20.399999999999999">
      <c r="A96" s="71" t="str">
        <f>D_UC03!$A$27</f>
        <v>AR-02</v>
      </c>
      <c r="B96" s="71" t="str">
        <f>D_UC03!$C$27</f>
        <v>AR_EARLY</v>
      </c>
      <c r="C96" s="71" t="str">
        <f>D_UC03!$D$27</f>
        <v>O4</v>
      </c>
      <c r="D96" s="71" t="str">
        <f>D_UC03!$E$27</f>
        <v>OBJ-AR-K2</v>
      </c>
      <c r="E96" s="70">
        <f>D_UC03!$F$27</f>
        <v>1101205853</v>
      </c>
      <c r="F96" s="68">
        <f>IF(B96="INV_SALE",1-D_UC03!$H$27,D_UC03!$G$27)</f>
        <v>1</v>
      </c>
      <c r="G96" s="66">
        <f t="shared" si="2"/>
        <v>1101205853</v>
      </c>
      <c r="H96" s="66">
        <f>IF(D_UC03!$S$27=1,MIN(D_UC03!$L$27,$B$68),D_UC03!$L$27)</f>
        <v>0</v>
      </c>
      <c r="I96" s="66">
        <f>IF(B96="INV_SALE",E96*D_UC03!$H$27+D_UC03!$K$27,G96*D_UC03!$I$27*H96/365+G96*D_UC03!$J$27+D_UC03!$K$27)</f>
        <v>11012058.529999999</v>
      </c>
      <c r="J96" s="70">
        <f>D_UC03!$M$27</f>
        <v>5</v>
      </c>
      <c r="K96" s="66">
        <f t="shared" si="3"/>
        <v>1</v>
      </c>
      <c r="L96" s="66">
        <f>IF(AND(D_UC03!$Q$27&lt;&gt;"Y",D_UC03!$P$27&lt;&gt;"Y",D_UC03!$R$27&lt;&gt;"N",G96&gt;0,NOT(AND($B$68&lt;D_UC03!$C$13,OR(D_UC03!$S$27=0,D_UC03!$K$27&gt;0)))),1,0)</f>
        <v>0</v>
      </c>
      <c r="M96" s="66">
        <f>IF($B$33&lt;&gt;"TH01",0,IF(OR(IFERROR(INDEX(D_UC03!$B$41:$G$48,MATCH(B96,D_UC03!$A$41:$A$48,0),MATCH($B$88,D_UC03!$B$40:$G$40,0)),0)=1,IF(D_UC03!$T$27="AR",$B$37,IF(D_UC03!$T$27="INV",$B$38,IF(D_UC03!$T$27="AP",$B$39,0)))&gt;0),1,0))</f>
        <v>1</v>
      </c>
      <c r="N96" s="66">
        <f t="shared" si="4"/>
        <v>0</v>
      </c>
      <c r="O96" s="66">
        <f t="shared" si="5"/>
        <v>0</v>
      </c>
      <c r="P96" s="68">
        <f t="shared" si="6"/>
        <v>0.01</v>
      </c>
      <c r="Q96" s="66">
        <f>IF(OR($B$74=1,B96="NB"),0,IF(IFERROR(INDEX(D_UC03!$B$52:$G$59,MATCH(B96,D_UC03!$A$52:$A$59,0),MATCH($B$88,D_UC03!$B$51:$G$51,0)),0)=1,0,1))</f>
        <v>0</v>
      </c>
      <c r="R96" s="66">
        <f t="shared" si="7"/>
        <v>2</v>
      </c>
      <c r="S96" s="66">
        <f>IF($B$44="degraded",3,IF(D_UC03!$N$27="Cao",1,IF(D_UC03!$N$27="Trung bình",2,3)))</f>
        <v>2</v>
      </c>
      <c r="T96" s="70">
        <f>D_UC03!$O$27</f>
        <v>2</v>
      </c>
      <c r="U96" s="66">
        <f t="shared" si="8"/>
        <v>0</v>
      </c>
      <c r="V96" s="66">
        <v>5</v>
      </c>
      <c r="W96" s="66">
        <f t="shared" si="9"/>
        <v>900000000000005</v>
      </c>
      <c r="X96" s="66" t="str">
        <f t="shared" si="10"/>
        <v/>
      </c>
      <c r="Y96" s="64" t="str">
        <f>IF(D_UC03!$Q$27="Y","PLEDGED",IF(D_UC03!$P$27="Y","STRATEGIC_OR_CRITICAL",IF(D_UC03!$R$27="N","NO_PRODUCT_DATA",IF(G96&lt;=0,"NO_NET_CASH",IF(L96=0,"SHORT_DURATION_LOCKED",IF(M96=0,"OUT_OF_SCENARIO",IF(K96=0,"TOO_SLOW",IF(G96&lt;$B$76,"BELOW_MIN_DRAW",""))))))))</f>
        <v>STRATEGIC_OR_CRITICAL</v>
      </c>
      <c r="Z96" s="64" t="str">
        <f>IF(AND(D_UC03!$S$27=0,D_UC03!$L$27&lt;$B$68),"NOT_COVERING_DURATION","")</f>
        <v/>
      </c>
    </row>
    <row r="97" spans="1:26" ht="20.399999999999999">
      <c r="A97" s="71" t="str">
        <f>D_UC03!$A$28</f>
        <v>RF-001</v>
      </c>
      <c r="B97" s="71" t="str">
        <f>D_UC03!$C$28</f>
        <v>RF</v>
      </c>
      <c r="C97" s="71" t="str">
        <f>D_UC03!$D$28</f>
        <v>O2</v>
      </c>
      <c r="D97" s="71" t="str">
        <f>D_UC03!$E$28</f>
        <v>OBJ-AR-K1</v>
      </c>
      <c r="E97" s="70">
        <f>D_UC03!$F$28</f>
        <v>3057605692</v>
      </c>
      <c r="F97" s="68">
        <f>IF(B97="INV_SALE",1-D_UC03!$H$28,D_UC03!$G$28)</f>
        <v>0.95</v>
      </c>
      <c r="G97" s="66">
        <f t="shared" si="2"/>
        <v>2904725407.4000001</v>
      </c>
      <c r="H97" s="66">
        <f>IF(D_UC03!$S$28=1,MIN(D_UC03!$L$28,$B$68),D_UC03!$L$28)</f>
        <v>21</v>
      </c>
      <c r="I97" s="66">
        <f>IF(B97="INV_SALE",E97*D_UC03!$H$28+D_UC03!$K$28,G97*D_UC03!$I$28*H97/365+G97*D_UC03!$J$28+D_UC03!$K$28)</f>
        <v>15040906.904071232</v>
      </c>
      <c r="J97" s="70">
        <f>D_UC03!$M$28</f>
        <v>1</v>
      </c>
      <c r="K97" s="66">
        <f t="shared" si="3"/>
        <v>1</v>
      </c>
      <c r="L97" s="66">
        <f>IF(AND(D_UC03!$Q$28&lt;&gt;"Y",D_UC03!$P$28&lt;&gt;"Y",D_UC03!$R$28&lt;&gt;"N",G97&gt;0,NOT(AND($B$68&lt;D_UC03!$C$13,OR(D_UC03!$S$28=0,D_UC03!$K$28&gt;0)))),1,0)</f>
        <v>1</v>
      </c>
      <c r="M97" s="66">
        <f>IF($B$33&lt;&gt;"TH01",0,IF(OR(IFERROR(INDEX(D_UC03!$B$41:$G$48,MATCH(B97,D_UC03!$A$41:$A$48,0),MATCH($B$88,D_UC03!$B$40:$G$40,0)),0)=1,IF(D_UC03!$T$28="AR",$B$37,IF(D_UC03!$T$28="INV",$B$38,IF(D_UC03!$T$28="AP",$B$39,0)))&gt;0),1,0))</f>
        <v>1</v>
      </c>
      <c r="N97" s="66">
        <f t="shared" si="4"/>
        <v>1</v>
      </c>
      <c r="O97" s="66">
        <f t="shared" si="5"/>
        <v>2904725407.4000001</v>
      </c>
      <c r="P97" s="68">
        <f t="shared" si="6"/>
        <v>5.1999999999999998E-3</v>
      </c>
      <c r="Q97" s="66">
        <f>IF(OR($B$74=1,B97="NB"),0,IF(IFERROR(INDEX(D_UC03!$B$52:$G$59,MATCH(B97,D_UC03!$A$52:$A$59,0),MATCH($B$88,D_UC03!$B$51:$G$51,0)),0)=1,0,1))</f>
        <v>0</v>
      </c>
      <c r="R97" s="66">
        <f t="shared" si="7"/>
        <v>1</v>
      </c>
      <c r="S97" s="66">
        <f>IF($B$44="degraded",3,IF(D_UC03!$N$28="Cao",1,IF(D_UC03!$N$28="Trung bình",2,3)))</f>
        <v>2</v>
      </c>
      <c r="T97" s="70">
        <f>D_UC03!$O$28</f>
        <v>0</v>
      </c>
      <c r="U97" s="66">
        <f t="shared" si="8"/>
        <v>0</v>
      </c>
      <c r="V97" s="66">
        <v>6</v>
      </c>
      <c r="W97" s="66">
        <f t="shared" si="9"/>
        <v>120005200106</v>
      </c>
      <c r="X97" s="66">
        <f t="shared" si="10"/>
        <v>2</v>
      </c>
      <c r="Y97" s="64" t="str">
        <f>IF(D_UC03!$Q$28="Y","PLEDGED",IF(D_UC03!$P$28="Y","STRATEGIC_OR_CRITICAL",IF(D_UC03!$R$28="N","NO_PRODUCT_DATA",IF(G97&lt;=0,"NO_NET_CASH",IF(L97=0,"SHORT_DURATION_LOCKED",IF(M97=0,"OUT_OF_SCENARIO",IF(K97=0,"TOO_SLOW",IF(G97&lt;$B$76,"BELOW_MIN_DRAW",""))))))))</f>
        <v/>
      </c>
      <c r="Z97" s="64" t="str">
        <f>IF(AND(D_UC03!$S$28=0,D_UC03!$L$28&lt;$B$68),"NOT_COVERING_DURATION","")</f>
        <v>NOT_COVERING_DURATION</v>
      </c>
    </row>
    <row r="98" spans="1:26" ht="20.399999999999999">
      <c r="A98" s="71" t="str">
        <f>D_UC03!$A$29</f>
        <v>FAC-001</v>
      </c>
      <c r="B98" s="71" t="str">
        <f>D_UC03!$C$29</f>
        <v>FAC</v>
      </c>
      <c r="C98" s="71" t="str">
        <f>D_UC03!$D$29</f>
        <v>O2</v>
      </c>
      <c r="D98" s="71" t="str">
        <f>D_UC03!$E$29</f>
        <v>OBJ-AR-K1</v>
      </c>
      <c r="E98" s="70">
        <f>D_UC03!$F$29</f>
        <v>3057605692</v>
      </c>
      <c r="F98" s="68">
        <f>IF(B98="INV_SALE",1-D_UC03!$H$29,D_UC03!$G$29)</f>
        <v>0.85</v>
      </c>
      <c r="G98" s="66">
        <f t="shared" si="2"/>
        <v>2598964838.1999998</v>
      </c>
      <c r="H98" s="66">
        <f>IF(D_UC03!$S$29=1,MIN(D_UC03!$L$29,$B$68),D_UC03!$L$29)</f>
        <v>21</v>
      </c>
      <c r="I98" s="66">
        <f>IF(B98="INV_SALE",E98*D_UC03!$H$29+D_UC03!$K$29,G98*D_UC03!$I$29*H98/365+G98*D_UC03!$J$29+D_UC03!$K$29)</f>
        <v>30938362.251997259</v>
      </c>
      <c r="J98" s="70">
        <f>D_UC03!$M$29</f>
        <v>3</v>
      </c>
      <c r="K98" s="66">
        <f t="shared" si="3"/>
        <v>1</v>
      </c>
      <c r="L98" s="66">
        <f>IF(AND(D_UC03!$Q$29&lt;&gt;"Y",D_UC03!$P$29&lt;&gt;"Y",D_UC03!$R$29&lt;&gt;"N",G98&gt;0,NOT(AND($B$68&lt;D_UC03!$C$13,OR(D_UC03!$S$29=0,D_UC03!$K$29&gt;0)))),1,0)</f>
        <v>1</v>
      </c>
      <c r="M98" s="66">
        <f>IF($B$33&lt;&gt;"TH01",0,IF(OR(IFERROR(INDEX(D_UC03!$B$41:$G$48,MATCH(B98,D_UC03!$A$41:$A$48,0),MATCH($B$88,D_UC03!$B$40:$G$40,0)),0)=1,IF(D_UC03!$T$29="AR",$B$37,IF(D_UC03!$T$29="INV",$B$38,IF(D_UC03!$T$29="AP",$B$39,0)))&gt;0),1,0))</f>
        <v>1</v>
      </c>
      <c r="N98" s="66">
        <f t="shared" si="4"/>
        <v>1</v>
      </c>
      <c r="O98" s="66">
        <f t="shared" si="5"/>
        <v>2598964838.1999998</v>
      </c>
      <c r="P98" s="68">
        <f t="shared" si="6"/>
        <v>1.1900000000000001E-2</v>
      </c>
      <c r="Q98" s="66">
        <f>IF(OR($B$74=1,B98="NB"),0,IF(IFERROR(INDEX(D_UC03!$B$52:$G$59,MATCH(B98,D_UC03!$A$52:$A$59,0),MATCH($B$88,D_UC03!$B$51:$G$51,0)),0)=1,0,1))</f>
        <v>0</v>
      </c>
      <c r="R98" s="66">
        <f t="shared" si="7"/>
        <v>1</v>
      </c>
      <c r="S98" s="66">
        <f>IF($B$44="degraded",3,IF(D_UC03!$N$29="Cao",1,IF(D_UC03!$N$29="Trung bình",2,3)))</f>
        <v>2</v>
      </c>
      <c r="T98" s="70">
        <f>D_UC03!$O$29</f>
        <v>1</v>
      </c>
      <c r="U98" s="66">
        <f t="shared" si="8"/>
        <v>0</v>
      </c>
      <c r="V98" s="66">
        <v>7</v>
      </c>
      <c r="W98" s="66">
        <f t="shared" si="9"/>
        <v>120011910307</v>
      </c>
      <c r="X98" s="66">
        <f t="shared" si="10"/>
        <v>3</v>
      </c>
      <c r="Y98" s="64" t="str">
        <f>IF(D_UC03!$Q$29="Y","PLEDGED",IF(D_UC03!$P$29="Y","STRATEGIC_OR_CRITICAL",IF(D_UC03!$R$29="N","NO_PRODUCT_DATA",IF(G98&lt;=0,"NO_NET_CASH",IF(L98=0,"SHORT_DURATION_LOCKED",IF(M98=0,"OUT_OF_SCENARIO",IF(K98=0,"TOO_SLOW",IF(G98&lt;$B$76,"BELOW_MIN_DRAW",""))))))))</f>
        <v/>
      </c>
      <c r="Z98" s="64" t="str">
        <f>IF(AND(D_UC03!$S$29=0,D_UC03!$L$29&lt;$B$68),"NOT_COVERING_DURATION","")</f>
        <v>NOT_COVERING_DURATION</v>
      </c>
    </row>
    <row r="99" spans="1:26" ht="20.399999999999999">
      <c r="A99" s="71" t="str">
        <f>D_UC03!$A$30</f>
        <v>FAC-002</v>
      </c>
      <c r="B99" s="71" t="str">
        <f>D_UC03!$C$30</f>
        <v>FAC</v>
      </c>
      <c r="C99" s="71" t="str">
        <f>D_UC03!$D$30</f>
        <v>O2</v>
      </c>
      <c r="D99" s="71" t="str">
        <f>D_UC03!$E$30</f>
        <v>OBJ-AR-K6</v>
      </c>
      <c r="E99" s="70">
        <f>D_UC03!$F$30</f>
        <v>997764531</v>
      </c>
      <c r="F99" s="68">
        <f>IF(B99="INV_SALE",1-D_UC03!$H$30,D_UC03!$G$30)</f>
        <v>0.8</v>
      </c>
      <c r="G99" s="66">
        <f t="shared" si="2"/>
        <v>798211624.80000007</v>
      </c>
      <c r="H99" s="66">
        <f>IF(D_UC03!$S$30=1,MIN(D_UC03!$L$30,$B$68),D_UC03!$L$30)</f>
        <v>30</v>
      </c>
      <c r="I99" s="66">
        <f>IF(B99="INV_SALE",E99*D_UC03!$H$30+D_UC03!$K$30,G99*D_UC03!$I$30*H99/365+G99*D_UC03!$J$30+D_UC03!$K$30)</f>
        <v>12519894.662958905</v>
      </c>
      <c r="J99" s="70">
        <f>D_UC03!$M$30</f>
        <v>3</v>
      </c>
      <c r="K99" s="66">
        <f t="shared" si="3"/>
        <v>1</v>
      </c>
      <c r="L99" s="66">
        <f>IF(AND(D_UC03!$Q$30&lt;&gt;"Y",D_UC03!$P$30&lt;&gt;"Y",D_UC03!$R$30&lt;&gt;"N",G99&gt;0,NOT(AND($B$68&lt;D_UC03!$C$13,OR(D_UC03!$S$30=0,D_UC03!$K$30&gt;0)))),1,0)</f>
        <v>1</v>
      </c>
      <c r="M99" s="66">
        <f>IF($B$33&lt;&gt;"TH01",0,IF(OR(IFERROR(INDEX(D_UC03!$B$41:$G$48,MATCH(B99,D_UC03!$A$41:$A$48,0),MATCH($B$88,D_UC03!$B$40:$G$40,0)),0)=1,IF(D_UC03!$T$30="AR",$B$37,IF(D_UC03!$T$30="INV",$B$38,IF(D_UC03!$T$30="AP",$B$39,0)))&gt;0),1,0))</f>
        <v>1</v>
      </c>
      <c r="N99" s="66">
        <f t="shared" si="4"/>
        <v>1</v>
      </c>
      <c r="O99" s="66">
        <f t="shared" si="5"/>
        <v>798211624.80000007</v>
      </c>
      <c r="P99" s="68">
        <f t="shared" si="6"/>
        <v>1.5699999999999999E-2</v>
      </c>
      <c r="Q99" s="66">
        <f>IF(OR($B$74=1,B99="NB"),0,IF(IFERROR(INDEX(D_UC03!$B$52:$G$59,MATCH(B99,D_UC03!$A$52:$A$59,0),MATCH($B$88,D_UC03!$B$51:$G$51,0)),0)=1,0,1))</f>
        <v>0</v>
      </c>
      <c r="R99" s="66">
        <f t="shared" si="7"/>
        <v>1</v>
      </c>
      <c r="S99" s="66">
        <f>IF($B$44="degraded",3,IF(D_UC03!$N$30="Cao",1,IF(D_UC03!$N$30="Trung bình",2,3)))</f>
        <v>2</v>
      </c>
      <c r="T99" s="70">
        <f>D_UC03!$O$30</f>
        <v>0</v>
      </c>
      <c r="U99" s="66">
        <f t="shared" si="8"/>
        <v>0</v>
      </c>
      <c r="V99" s="66">
        <v>8</v>
      </c>
      <c r="W99" s="66">
        <f t="shared" si="9"/>
        <v>120015700308</v>
      </c>
      <c r="X99" s="66">
        <f t="shared" si="10"/>
        <v>4</v>
      </c>
      <c r="Y99" s="64" t="str">
        <f>IF(D_UC03!$Q$30="Y","PLEDGED",IF(D_UC03!$P$30="Y","STRATEGIC_OR_CRITICAL",IF(D_UC03!$R$30="N","NO_PRODUCT_DATA",IF(G99&lt;=0,"NO_NET_CASH",IF(L99=0,"SHORT_DURATION_LOCKED",IF(M99=0,"OUT_OF_SCENARIO",IF(K99=0,"TOO_SLOW",IF(G99&lt;$B$76,"BELOW_MIN_DRAW",""))))))))</f>
        <v/>
      </c>
      <c r="Z99" s="64" t="str">
        <f>IF(AND(D_UC03!$S$30=0,D_UC03!$L$30&lt;$B$68),"NOT_COVERING_DURATION","")</f>
        <v>NOT_COVERING_DURATION</v>
      </c>
    </row>
    <row r="100" spans="1:26">
      <c r="A100" s="71" t="str">
        <f>D_UC03!$A$31</f>
        <v>INV-001</v>
      </c>
      <c r="B100" s="71" t="str">
        <f>D_UC03!$C$31</f>
        <v>INV_LOAN</v>
      </c>
      <c r="C100" s="71" t="str">
        <f>D_UC03!$D$31</f>
        <v>O2</v>
      </c>
      <c r="D100" s="71" t="str">
        <f>D_UC03!$E$31</f>
        <v>OBJ-INV-NOR</v>
      </c>
      <c r="E100" s="70">
        <f>D_UC03!$F$31</f>
        <v>756460678.92780006</v>
      </c>
      <c r="F100" s="68">
        <f>IF(B100="INV_SALE",1-D_UC03!$H$31,D_UC03!$G$31)</f>
        <v>0.6</v>
      </c>
      <c r="G100" s="66">
        <f t="shared" si="2"/>
        <v>453876407.35668004</v>
      </c>
      <c r="H100" s="66">
        <f>IF(D_UC03!$S$31=1,MIN(D_UC03!$L$31,$B$68),D_UC03!$L$31)</f>
        <v>60</v>
      </c>
      <c r="I100" s="66">
        <f>IF(B100="INV_SALE",E100*D_UC03!$H$31+D_UC03!$K$31,G100*D_UC03!$I$31*H100/365+G100*D_UC03!$J$31+D_UC03!$K$31)</f>
        <v>8207080.2426139405</v>
      </c>
      <c r="J100" s="70">
        <f>D_UC03!$M$31</f>
        <v>5</v>
      </c>
      <c r="K100" s="66">
        <f t="shared" si="3"/>
        <v>1</v>
      </c>
      <c r="L100" s="66">
        <f>IF(AND(D_UC03!$Q$31&lt;&gt;"Y",D_UC03!$P$31&lt;&gt;"Y",D_UC03!$R$31&lt;&gt;"N",G100&gt;0,NOT(AND($B$68&lt;D_UC03!$C$13,OR(D_UC03!$S$31=0,D_UC03!$K$31&gt;0)))),1,0)</f>
        <v>1</v>
      </c>
      <c r="M100" s="66">
        <f>IF($B$33&lt;&gt;"TH01",0,IF(OR(IFERROR(INDEX(D_UC03!$B$41:$G$48,MATCH(B100,D_UC03!$A$41:$A$48,0),MATCH($B$88,D_UC03!$B$40:$G$40,0)),0)=1,IF(D_UC03!$T$31="AR",$B$37,IF(D_UC03!$T$31="INV",$B$38,IF(D_UC03!$T$31="AP",$B$39,0)))&gt;0),1,0))</f>
        <v>1</v>
      </c>
      <c r="N100" s="66">
        <f t="shared" si="4"/>
        <v>1</v>
      </c>
      <c r="O100" s="66">
        <f t="shared" si="5"/>
        <v>453876407.35668004</v>
      </c>
      <c r="P100" s="68">
        <f t="shared" si="6"/>
        <v>1.8100000000000002E-2</v>
      </c>
      <c r="Q100" s="66">
        <f>IF(OR($B$74=1,B100="NB"),0,IF(IFERROR(INDEX(D_UC03!$B$52:$G$59,MATCH(B100,D_UC03!$A$52:$A$59,0),MATCH($B$88,D_UC03!$B$51:$G$51,0)),0)=1,0,1))</f>
        <v>0</v>
      </c>
      <c r="R100" s="66">
        <f t="shared" si="7"/>
        <v>2</v>
      </c>
      <c r="S100" s="66">
        <f>IF($B$44="degraded",3,IF(D_UC03!$N$31="Cao",1,IF(D_UC03!$N$31="Trung bình",2,3)))</f>
        <v>2</v>
      </c>
      <c r="T100" s="70">
        <f>D_UC03!$O$31</f>
        <v>0</v>
      </c>
      <c r="U100" s="66">
        <f t="shared" si="8"/>
        <v>0</v>
      </c>
      <c r="V100" s="66">
        <v>9</v>
      </c>
      <c r="W100" s="66">
        <f t="shared" si="9"/>
        <v>220018100509</v>
      </c>
      <c r="X100" s="66">
        <f t="shared" si="10"/>
        <v>7</v>
      </c>
      <c r="Y100" s="64" t="str">
        <f>IF(D_UC03!$Q$31="Y","PLEDGED",IF(D_UC03!$P$31="Y","STRATEGIC_OR_CRITICAL",IF(D_UC03!$R$31="N","NO_PRODUCT_DATA",IF(G100&lt;=0,"NO_NET_CASH",IF(L100=0,"SHORT_DURATION_LOCKED",IF(M100=0,"OUT_OF_SCENARIO",IF(K100=0,"TOO_SLOW",IF(G100&lt;$B$76,"BELOW_MIN_DRAW",""))))))))</f>
        <v/>
      </c>
      <c r="Z100" s="64" t="str">
        <f>IF(AND(D_UC03!$S$31=0,D_UC03!$L$31&lt;$B$68),"NOT_COVERING_DURATION","")</f>
        <v/>
      </c>
    </row>
    <row r="101" spans="1:26">
      <c r="A101" s="71" t="str">
        <f>D_UC03!$A$32</f>
        <v>INV-002</v>
      </c>
      <c r="B101" s="71" t="str">
        <f>D_UC03!$C$32</f>
        <v>INV_SALE</v>
      </c>
      <c r="C101" s="71" t="str">
        <f>D_UC03!$D$32</f>
        <v>O3</v>
      </c>
      <c r="D101" s="71" t="str">
        <f>D_UC03!$E$32</f>
        <v>OBJ-INV-SLOW</v>
      </c>
      <c r="E101" s="70">
        <f>D_UC03!$F$32</f>
        <v>60356750.094799995</v>
      </c>
      <c r="F101" s="68">
        <f>IF(B101="INV_SALE",1-D_UC03!$H$32,D_UC03!$G$32)</f>
        <v>0.875</v>
      </c>
      <c r="G101" s="66">
        <f t="shared" si="2"/>
        <v>52812156.332949996</v>
      </c>
      <c r="H101" s="66">
        <f>IF(D_UC03!$S$32=1,MIN(D_UC03!$L$32,$B$68),D_UC03!$L$32)</f>
        <v>0</v>
      </c>
      <c r="I101" s="66">
        <f>IF(B101="INV_SALE",E101*D_UC03!$H$32+D_UC03!$K$32,G101*D_UC03!$I$32*H101/365+G101*D_UC03!$J$32+D_UC03!$K$32)</f>
        <v>7544593.7618499994</v>
      </c>
      <c r="J101" s="70">
        <f>D_UC03!$M$32</f>
        <v>30</v>
      </c>
      <c r="K101" s="66">
        <f t="shared" si="3"/>
        <v>0</v>
      </c>
      <c r="L101" s="66">
        <f>IF(AND(D_UC03!$Q$32&lt;&gt;"Y",D_UC03!$P$32&lt;&gt;"Y",D_UC03!$R$32&lt;&gt;"N",G101&gt;0,NOT(AND($B$68&lt;D_UC03!$C$13,OR(D_UC03!$S$32=0,D_UC03!$K$32&gt;0)))),1,0)</f>
        <v>1</v>
      </c>
      <c r="M101" s="66">
        <f>IF($B$33&lt;&gt;"TH01",0,IF(OR(IFERROR(INDEX(D_UC03!$B$41:$G$48,MATCH(B101,D_UC03!$A$41:$A$48,0),MATCH($B$88,D_UC03!$B$40:$G$40,0)),0)=1,IF(D_UC03!$T$32="AR",$B$37,IF(D_UC03!$T$32="INV",$B$38,IF(D_UC03!$T$32="AP",$B$39,0)))&gt;0),1,0))</f>
        <v>1</v>
      </c>
      <c r="N101" s="66">
        <f t="shared" si="4"/>
        <v>1</v>
      </c>
      <c r="O101" s="66">
        <f t="shared" si="5"/>
        <v>0</v>
      </c>
      <c r="P101" s="68">
        <f t="shared" si="6"/>
        <v>0.1429</v>
      </c>
      <c r="Q101" s="66">
        <f>IF(OR($B$74=1,B101="NB"),0,IF(IFERROR(INDEX(D_UC03!$B$52:$G$59,MATCH(B101,D_UC03!$A$52:$A$59,0),MATCH($B$88,D_UC03!$B$51:$G$51,0)),0)=1,0,1))</f>
        <v>0</v>
      </c>
      <c r="R101" s="66">
        <f t="shared" si="7"/>
        <v>3</v>
      </c>
      <c r="S101" s="66">
        <f>IF($B$44="degraded",3,IF(D_UC03!$N$32="Cao",1,IF(D_UC03!$N$32="Trung bình",2,3)))</f>
        <v>3</v>
      </c>
      <c r="T101" s="70">
        <f>D_UC03!$O$32</f>
        <v>1</v>
      </c>
      <c r="U101" s="66">
        <f t="shared" si="8"/>
        <v>2</v>
      </c>
      <c r="V101" s="66">
        <v>10</v>
      </c>
      <c r="W101" s="66">
        <f t="shared" si="9"/>
        <v>20330142913010</v>
      </c>
      <c r="X101" s="66">
        <f t="shared" si="10"/>
        <v>10</v>
      </c>
      <c r="Y101" s="64" t="str">
        <f>IF(D_UC03!$Q$32="Y","PLEDGED",IF(D_UC03!$P$32="Y","STRATEGIC_OR_CRITICAL",IF(D_UC03!$R$32="N","NO_PRODUCT_DATA",IF(G101&lt;=0,"NO_NET_CASH",IF(L101=0,"SHORT_DURATION_LOCKED",IF(M101=0,"OUT_OF_SCENARIO",IF(K101=0,"TOO_SLOW",IF(G101&lt;$B$76,"BELOW_MIN_DRAW",""))))))))</f>
        <v>TOO_SLOW</v>
      </c>
      <c r="Z101" s="64" t="str">
        <f>IF(AND(D_UC03!$S$32=0,D_UC03!$L$32&lt;$B$68),"NOT_COVERING_DURATION","")</f>
        <v/>
      </c>
    </row>
    <row r="102" spans="1:26">
      <c r="A102" s="71" t="str">
        <f>D_UC03!$A$33</f>
        <v>INV-003</v>
      </c>
      <c r="B102" s="71" t="str">
        <f>D_UC03!$C$33</f>
        <v>INV_LOAN</v>
      </c>
      <c r="C102" s="71" t="str">
        <f>D_UC03!$D$33</f>
        <v>O2</v>
      </c>
      <c r="D102" s="71" t="str">
        <f>D_UC03!$E$33</f>
        <v>OBJ-INV-PLG</v>
      </c>
      <c r="E102" s="70">
        <f>D_UC03!$F$33</f>
        <v>93950046.496219963</v>
      </c>
      <c r="F102" s="68">
        <f>IF(B102="INV_SALE",1-D_UC03!$H$33,D_UC03!$G$33)</f>
        <v>0.6</v>
      </c>
      <c r="G102" s="66">
        <f t="shared" si="2"/>
        <v>56370027.897731975</v>
      </c>
      <c r="H102" s="66">
        <f>IF(D_UC03!$S$33=1,MIN(D_UC03!$L$33,$B$68),D_UC03!$L$33)</f>
        <v>60</v>
      </c>
      <c r="I102" s="66">
        <f>IF(B102="INV_SALE",E102*D_UC03!$H$33+D_UC03!$K$33,G102*D_UC03!$I$33*H102/365+G102*D_UC03!$J$33+D_UC03!$K$33)</f>
        <v>1019293.6551370714</v>
      </c>
      <c r="J102" s="70">
        <f>D_UC03!$M$33</f>
        <v>5</v>
      </c>
      <c r="K102" s="66">
        <f t="shared" si="3"/>
        <v>1</v>
      </c>
      <c r="L102" s="66">
        <f>IF(AND(D_UC03!$Q$33&lt;&gt;"Y",D_UC03!$P$33&lt;&gt;"Y",D_UC03!$R$33&lt;&gt;"N",G102&gt;0,NOT(AND($B$68&lt;D_UC03!$C$13,OR(D_UC03!$S$33=0,D_UC03!$K$33&gt;0)))),1,0)</f>
        <v>0</v>
      </c>
      <c r="M102" s="66">
        <f>IF($B$33&lt;&gt;"TH01",0,IF(OR(IFERROR(INDEX(D_UC03!$B$41:$G$48,MATCH(B102,D_UC03!$A$41:$A$48,0),MATCH($B$88,D_UC03!$B$40:$G$40,0)),0)=1,IF(D_UC03!$T$33="AR",$B$37,IF(D_UC03!$T$33="INV",$B$38,IF(D_UC03!$T$33="AP",$B$39,0)))&gt;0),1,0))</f>
        <v>1</v>
      </c>
      <c r="N102" s="66">
        <f t="shared" si="4"/>
        <v>0</v>
      </c>
      <c r="O102" s="66">
        <f t="shared" si="5"/>
        <v>0</v>
      </c>
      <c r="P102" s="68">
        <f t="shared" si="6"/>
        <v>1.8100000000000002E-2</v>
      </c>
      <c r="Q102" s="66">
        <f>IF(OR($B$74=1,B102="NB"),0,IF(IFERROR(INDEX(D_UC03!$B$52:$G$59,MATCH(B102,D_UC03!$A$52:$A$59,0),MATCH($B$88,D_UC03!$B$51:$G$51,0)),0)=1,0,1))</f>
        <v>0</v>
      </c>
      <c r="R102" s="66">
        <f t="shared" si="7"/>
        <v>2</v>
      </c>
      <c r="S102" s="66">
        <f>IF($B$44="degraded",3,IF(D_UC03!$N$33="Cao",1,IF(D_UC03!$N$33="Trung bình",2,3)))</f>
        <v>2</v>
      </c>
      <c r="T102" s="70">
        <f>D_UC03!$O$33</f>
        <v>0</v>
      </c>
      <c r="U102" s="66">
        <f t="shared" si="8"/>
        <v>0</v>
      </c>
      <c r="V102" s="66">
        <v>11</v>
      </c>
      <c r="W102" s="66">
        <f t="shared" si="9"/>
        <v>900000000000011</v>
      </c>
      <c r="X102" s="66" t="str">
        <f t="shared" si="10"/>
        <v/>
      </c>
      <c r="Y102" s="64" t="str">
        <f>IF(D_UC03!$Q$33="Y","PLEDGED",IF(D_UC03!$P$33="Y","STRATEGIC_OR_CRITICAL",IF(D_UC03!$R$33="N","NO_PRODUCT_DATA",IF(G102&lt;=0,"NO_NET_CASH",IF(L102=0,"SHORT_DURATION_LOCKED",IF(M102=0,"OUT_OF_SCENARIO",IF(K102=0,"TOO_SLOW",IF(G102&lt;$B$76,"BELOW_MIN_DRAW",""))))))))</f>
        <v>PLEDGED</v>
      </c>
      <c r="Z102" s="64" t="str">
        <f>IF(AND(D_UC03!$S$33=0,D_UC03!$L$33&lt;$B$68),"NOT_COVERING_DURATION","")</f>
        <v/>
      </c>
    </row>
    <row r="103" spans="1:26">
      <c r="A103" s="71" t="str">
        <f>D_UC03!$A$34</f>
        <v>CL-001</v>
      </c>
      <c r="B103" s="71" t="str">
        <f>D_UC03!$C$34</f>
        <v>CL</v>
      </c>
      <c r="C103" s="71" t="str">
        <f>D_UC03!$D$34</f>
        <v>O2</v>
      </c>
      <c r="D103" s="71" t="str">
        <f>D_UC03!$E$34</f>
        <v>LIM-CL-001</v>
      </c>
      <c r="E103" s="70">
        <f>D_UC03!$F$34</f>
        <v>1000000000</v>
      </c>
      <c r="F103" s="68">
        <f>IF(B103="INV_SALE",1-D_UC03!$H$34,D_UC03!$G$34)</f>
        <v>1</v>
      </c>
      <c r="G103" s="66">
        <f t="shared" si="2"/>
        <v>1000000000</v>
      </c>
      <c r="H103" s="66">
        <f>IF(D_UC03!$S$34=1,MIN(D_UC03!$L$34,$B$68),D_UC03!$L$34)</f>
        <v>30</v>
      </c>
      <c r="I103" s="66">
        <f>IF(B103="INV_SALE",E103*D_UC03!$H$34+D_UC03!$K$34,G103*D_UC03!$I$34*H103/365+G103*D_UC03!$J$34+D_UC03!$K$34)</f>
        <v>8219178.0821917811</v>
      </c>
      <c r="J103" s="70">
        <f>D_UC03!$M$34</f>
        <v>1</v>
      </c>
      <c r="K103" s="66">
        <f t="shared" si="3"/>
        <v>1</v>
      </c>
      <c r="L103" s="66">
        <f>IF(AND(D_UC03!$Q$34&lt;&gt;"Y",D_UC03!$P$34&lt;&gt;"Y",D_UC03!$R$34&lt;&gt;"N",G103&gt;0,NOT(AND($B$68&lt;D_UC03!$C$13,OR(D_UC03!$S$34=0,D_UC03!$K$34&gt;0)))),1,0)</f>
        <v>1</v>
      </c>
      <c r="M103" s="66">
        <f>IF($B$33&lt;&gt;"TH01",0,IF(OR(IFERROR(INDEX(D_UC03!$B$41:$G$48,MATCH(B103,D_UC03!$A$41:$A$48,0),MATCH($B$88,D_UC03!$B$40:$G$40,0)),0)=1,IF(D_UC03!$T$34="AR",$B$37,IF(D_UC03!$T$34="INV",$B$38,IF(D_UC03!$T$34="AP",$B$39,0)))&gt;0),1,0))</f>
        <v>1</v>
      </c>
      <c r="N103" s="66">
        <f t="shared" si="4"/>
        <v>1</v>
      </c>
      <c r="O103" s="66">
        <f t="shared" si="5"/>
        <v>1000000000</v>
      </c>
      <c r="P103" s="68">
        <f t="shared" si="6"/>
        <v>8.2000000000000007E-3</v>
      </c>
      <c r="Q103" s="66">
        <f>IF(OR($B$74=1,B103="NB"),0,IF(IFERROR(INDEX(D_UC03!$B$52:$G$59,MATCH(B103,D_UC03!$A$52:$A$59,0),MATCH($B$88,D_UC03!$B$51:$G$51,0)),0)=1,0,1))</f>
        <v>1</v>
      </c>
      <c r="R103" s="66">
        <f t="shared" si="7"/>
        <v>1</v>
      </c>
      <c r="S103" s="66">
        <f>IF($B$44="degraded",3,IF(D_UC03!$N$34="Cao",1,IF(D_UC03!$N$34="Trung bình",2,3)))</f>
        <v>1</v>
      </c>
      <c r="T103" s="70">
        <f>D_UC03!$O$34</f>
        <v>0</v>
      </c>
      <c r="U103" s="66">
        <f t="shared" si="8"/>
        <v>0</v>
      </c>
      <c r="V103" s="66">
        <v>12</v>
      </c>
      <c r="W103" s="66">
        <f t="shared" si="9"/>
        <v>1110008200112</v>
      </c>
      <c r="X103" s="66">
        <f t="shared" si="10"/>
        <v>8</v>
      </c>
      <c r="Y103" s="64" t="str">
        <f>IF(D_UC03!$Q$34="Y","PLEDGED",IF(D_UC03!$P$34="Y","STRATEGIC_OR_CRITICAL",IF(D_UC03!$R$34="N","NO_PRODUCT_DATA",IF(G103&lt;=0,"NO_NET_CASH",IF(L103=0,"SHORT_DURATION_LOCKED",IF(M103=0,"OUT_OF_SCENARIO",IF(K103=0,"TOO_SLOW",IF(G103&lt;$B$76,"BELOW_MIN_DRAW",""))))))))</f>
        <v/>
      </c>
      <c r="Z103" s="64" t="str">
        <f>IF(AND(D_UC03!$S$34=0,D_UC03!$L$34&lt;$B$68),"NOT_COVERING_DURATION","")</f>
        <v/>
      </c>
    </row>
    <row r="104" spans="1:26">
      <c r="A104" s="71" t="str">
        <f>D_UC03!$A$35</f>
        <v>CL-002</v>
      </c>
      <c r="B104" s="71" t="str">
        <f>D_UC03!$C$35</f>
        <v>CL</v>
      </c>
      <c r="C104" s="71" t="str">
        <f>D_UC03!$D$35</f>
        <v>O2</v>
      </c>
      <c r="D104" s="71" t="str">
        <f>D_UC03!$E$35</f>
        <v>LIM-CL-002</v>
      </c>
      <c r="E104" s="70">
        <f>D_UC03!$F$35</f>
        <v>500000000</v>
      </c>
      <c r="F104" s="68">
        <f>IF(B104="INV_SALE",1-D_UC03!$H$35,D_UC03!$G$35)</f>
        <v>1</v>
      </c>
      <c r="G104" s="66">
        <f t="shared" si="2"/>
        <v>500000000</v>
      </c>
      <c r="H104" s="66">
        <f>IF(D_UC03!$S$35=1,MIN(D_UC03!$L$35,$B$68),D_UC03!$L$35)</f>
        <v>30</v>
      </c>
      <c r="I104" s="66">
        <f>IF(B104="INV_SALE",E104*D_UC03!$H$35+D_UC03!$K$35,G104*D_UC03!$I$35*H104/365+G104*D_UC03!$J$35+D_UC03!$K$35)</f>
        <v>4931506.8493150687</v>
      </c>
      <c r="J104" s="70">
        <f>D_UC03!$M$35</f>
        <v>2</v>
      </c>
      <c r="K104" s="66">
        <f t="shared" si="3"/>
        <v>1</v>
      </c>
      <c r="L104" s="66">
        <f>IF(AND(D_UC03!$Q$35&lt;&gt;"Y",D_UC03!$P$35&lt;&gt;"Y",D_UC03!$R$35&lt;&gt;"N",G104&gt;0,NOT(AND($B$68&lt;D_UC03!$C$13,OR(D_UC03!$S$35=0,D_UC03!$K$35&gt;0)))),1,0)</f>
        <v>1</v>
      </c>
      <c r="M104" s="66">
        <f>IF($B$33&lt;&gt;"TH01",0,IF(OR(IFERROR(INDEX(D_UC03!$B$41:$G$48,MATCH(B104,D_UC03!$A$41:$A$48,0),MATCH($B$88,D_UC03!$B$40:$G$40,0)),0)=1,IF(D_UC03!$T$35="AR",$B$37,IF(D_UC03!$T$35="INV",$B$38,IF(D_UC03!$T$35="AP",$B$39,0)))&gt;0),1,0))</f>
        <v>1</v>
      </c>
      <c r="N104" s="66">
        <f t="shared" si="4"/>
        <v>1</v>
      </c>
      <c r="O104" s="66">
        <f t="shared" si="5"/>
        <v>500000000</v>
      </c>
      <c r="P104" s="68">
        <f t="shared" si="6"/>
        <v>9.9000000000000008E-3</v>
      </c>
      <c r="Q104" s="66">
        <f>IF(OR($B$74=1,B104="NB"),0,IF(IFERROR(INDEX(D_UC03!$B$52:$G$59,MATCH(B104,D_UC03!$A$52:$A$59,0),MATCH($B$88,D_UC03!$B$51:$G$51,0)),0)=1,0,1))</f>
        <v>1</v>
      </c>
      <c r="R104" s="66">
        <f t="shared" si="7"/>
        <v>1</v>
      </c>
      <c r="S104" s="66">
        <f>IF($B$44="degraded",3,IF(D_UC03!$N$35="Cao",1,IF(D_UC03!$N$35="Trung bình",2,3)))</f>
        <v>1</v>
      </c>
      <c r="T104" s="70">
        <f>D_UC03!$O$35</f>
        <v>0</v>
      </c>
      <c r="U104" s="66">
        <f t="shared" si="8"/>
        <v>0</v>
      </c>
      <c r="V104" s="66">
        <v>13</v>
      </c>
      <c r="W104" s="66">
        <f t="shared" si="9"/>
        <v>1110009900213</v>
      </c>
      <c r="X104" s="66">
        <f t="shared" si="10"/>
        <v>9</v>
      </c>
      <c r="Y104" s="64" t="str">
        <f>IF(D_UC03!$Q$35="Y","PLEDGED",IF(D_UC03!$P$35="Y","STRATEGIC_OR_CRITICAL",IF(D_UC03!$R$35="N","NO_PRODUCT_DATA",IF(G104&lt;=0,"NO_NET_CASH",IF(L104=0,"SHORT_DURATION_LOCKED",IF(M104=0,"OUT_OF_SCENARIO",IF(K104=0,"TOO_SLOW",IF(G104&lt;$B$76,"BELOW_MIN_DRAW",""))))))))</f>
        <v/>
      </c>
      <c r="Z104" s="64" t="str">
        <f>IF(AND(D_UC03!$S$35=0,D_UC03!$L$35&lt;$B$68),"NOT_COVERING_DURATION","")</f>
        <v/>
      </c>
    </row>
    <row r="105" spans="1:26">
      <c r="A105" s="71" t="str">
        <f>D_UC03!$A$36</f>
        <v>TT-001</v>
      </c>
      <c r="B105" s="71" t="str">
        <f>D_UC03!$C$36</f>
        <v>CL</v>
      </c>
      <c r="C105" s="71" t="str">
        <f>D_UC03!$D$36</f>
        <v>O2</v>
      </c>
      <c r="D105" s="71" t="str">
        <f>D_UC03!$E$36</f>
        <v>LIM-TT-001</v>
      </c>
      <c r="E105" s="70">
        <f>D_UC03!$F$36</f>
        <v>0</v>
      </c>
      <c r="F105" s="68">
        <f>IF(B105="INV_SALE",1-D_UC03!$H$36,D_UC03!$G$36)</f>
        <v>1</v>
      </c>
      <c r="G105" s="66">
        <f t="shared" si="2"/>
        <v>0</v>
      </c>
      <c r="H105" s="66">
        <f>IF(D_UC03!$S$36=1,MIN(D_UC03!$L$36,$B$68),D_UC03!$L$36)</f>
        <v>0</v>
      </c>
      <c r="I105" s="66">
        <f>IF(B105="INV_SALE",E105*D_UC03!$H$36+D_UC03!$K$36,G105*D_UC03!$I$36*H105/365+G105*D_UC03!$J$36+D_UC03!$K$36)</f>
        <v>0</v>
      </c>
      <c r="J105" s="70">
        <f>D_UC03!$M$36</f>
        <v>0</v>
      </c>
      <c r="K105" s="66">
        <f t="shared" si="3"/>
        <v>1</v>
      </c>
      <c r="L105" s="66">
        <f>IF(AND(D_UC03!$Q$36&lt;&gt;"Y",D_UC03!$P$36&lt;&gt;"Y",D_UC03!$R$36&lt;&gt;"N",G105&gt;0,NOT(AND($B$68&lt;D_UC03!$C$13,OR(D_UC03!$S$36=0,D_UC03!$K$36&gt;0)))),1,0)</f>
        <v>0</v>
      </c>
      <c r="M105" s="66">
        <f>IF($B$33&lt;&gt;"TH01",0,IF(OR(IFERROR(INDEX(D_UC03!$B$41:$G$48,MATCH(B105,D_UC03!$A$41:$A$48,0),MATCH($B$88,D_UC03!$B$40:$G$40,0)),0)=1,IF(D_UC03!$T$36="AR",$B$37,IF(D_UC03!$T$36="INV",$B$38,IF(D_UC03!$T$36="AP",$B$39,0)))&gt;0),1,0))</f>
        <v>1</v>
      </c>
      <c r="N105" s="66">
        <f t="shared" si="4"/>
        <v>0</v>
      </c>
      <c r="O105" s="66">
        <f t="shared" si="5"/>
        <v>0</v>
      </c>
      <c r="P105" s="68">
        <f t="shared" si="6"/>
        <v>0</v>
      </c>
      <c r="Q105" s="66">
        <f>IF(OR($B$74=1,B105="NB"),0,IF(IFERROR(INDEX(D_UC03!$B$52:$G$59,MATCH(B105,D_UC03!$A$52:$A$59,0),MATCH($B$88,D_UC03!$B$51:$G$51,0)),0)=1,0,1))</f>
        <v>1</v>
      </c>
      <c r="R105" s="66">
        <f t="shared" si="7"/>
        <v>1</v>
      </c>
      <c r="S105" s="66">
        <f>IF($B$44="degraded",3,IF(D_UC03!$N$36="Cao",1,IF(D_UC03!$N$36="Trung bình",2,3)))</f>
        <v>1</v>
      </c>
      <c r="T105" s="70">
        <f>D_UC03!$O$36</f>
        <v>0</v>
      </c>
      <c r="U105" s="66">
        <f t="shared" si="8"/>
        <v>0</v>
      </c>
      <c r="V105" s="66">
        <v>14</v>
      </c>
      <c r="W105" s="66">
        <f t="shared" si="9"/>
        <v>900000000000014</v>
      </c>
      <c r="X105" s="66" t="str">
        <f t="shared" si="10"/>
        <v/>
      </c>
      <c r="Y105" s="64" t="str">
        <f>IF(D_UC03!$Q$36="Y","PLEDGED",IF(D_UC03!$P$36="Y","STRATEGIC_OR_CRITICAL",IF(D_UC03!$R$36="N","NO_PRODUCT_DATA",IF(G105&lt;=0,"NO_NET_CASH",IF(L105=0,"SHORT_DURATION_LOCKED",IF(M105=0,"OUT_OF_SCENARIO",IF(K105=0,"TOO_SLOW",IF(G105&lt;$B$76,"BELOW_MIN_DRAW",""))))))))</f>
        <v>NO_PRODUCT_DATA</v>
      </c>
      <c r="Z105" s="64" t="str">
        <f>IF(AND(D_UC03!$S$36=0,D_UC03!$L$36&lt;$B$68),"NOT_COVERING_DURATION","")</f>
        <v/>
      </c>
    </row>
    <row r="107" spans="1:26">
      <c r="A107" s="73" t="s">
        <v>2930</v>
      </c>
      <c r="B107" s="74"/>
      <c r="C107" s="74"/>
      <c r="D107" s="74"/>
      <c r="E107" s="74"/>
      <c r="F107" s="74"/>
      <c r="G107" s="74"/>
      <c r="H107" s="74"/>
      <c r="I107" s="74"/>
      <c r="J107" s="74"/>
      <c r="K107" s="74"/>
      <c r="L107" s="74"/>
      <c r="M107" s="74"/>
      <c r="N107" s="74"/>
      <c r="O107" s="74"/>
      <c r="P107" s="74"/>
      <c r="Q107" s="74"/>
      <c r="R107" s="74"/>
    </row>
    <row r="108" spans="1:26" ht="20.399999999999999">
      <c r="A108" s="75" t="s">
        <v>2773</v>
      </c>
      <c r="B108" s="75" t="s">
        <v>2776</v>
      </c>
      <c r="C108" s="75" t="s">
        <v>92</v>
      </c>
      <c r="D108" s="75" t="s">
        <v>2758</v>
      </c>
      <c r="E108" s="75" t="s">
        <v>2759</v>
      </c>
      <c r="F108" s="75" t="s">
        <v>2777</v>
      </c>
      <c r="G108" s="75" t="s">
        <v>2778</v>
      </c>
      <c r="H108" s="75" t="s">
        <v>2771</v>
      </c>
      <c r="I108" s="75" t="s">
        <v>2779</v>
      </c>
      <c r="J108" s="75" t="s">
        <v>2780</v>
      </c>
      <c r="K108" s="75" t="s">
        <v>2781</v>
      </c>
      <c r="L108" s="75" t="s">
        <v>2782</v>
      </c>
      <c r="M108" s="75" t="s">
        <v>2783</v>
      </c>
      <c r="N108" s="75" t="s">
        <v>2784</v>
      </c>
      <c r="O108" s="75" t="s">
        <v>2775</v>
      </c>
      <c r="P108" s="75" t="s">
        <v>2785</v>
      </c>
      <c r="Q108" s="75" t="s">
        <v>2764</v>
      </c>
      <c r="R108" s="75" t="s">
        <v>2529</v>
      </c>
    </row>
    <row r="109" spans="1:26">
      <c r="A109" s="76">
        <v>1</v>
      </c>
      <c r="B109" s="76">
        <f t="shared" ref="B109:B122" si="11">IFERROR(MATCH(A109,$X$92:$X$105,0),0)</f>
        <v>1</v>
      </c>
      <c r="C109" s="77" t="str">
        <f t="shared" ref="C109:C122" si="12">IF(B109=0,"",INDEX($A$92:$A$105,B109))</f>
        <v>NB-01</v>
      </c>
      <c r="D109" s="77" t="str">
        <f t="shared" ref="D109:D122" si="13">IF(B109=0,"",INDEX($C$92:$C$105,B109))</f>
        <v>O0</v>
      </c>
      <c r="E109" s="77" t="str">
        <f t="shared" ref="E109:E122" si="14">IF(B109=0,"",INDEX($D$92:$D$105,B109))</f>
        <v>OBJ-NB</v>
      </c>
      <c r="F109" s="76">
        <f t="shared" ref="F109:F122" si="15">IF(B109=0,0,INDEX($G$92:$G$105,B109))</f>
        <v>800000000</v>
      </c>
      <c r="G109" s="76">
        <f t="shared" ref="G109:G122" si="16">IF(B109=0,0,INDEX($I$92:$I$105,B109))</f>
        <v>0</v>
      </c>
      <c r="H109" s="76">
        <f t="shared" ref="H109:H122" si="17">IF(B109=0,"",INDEX($U$92:$U$105,B109))</f>
        <v>0</v>
      </c>
      <c r="I109" s="77" t="str">
        <f>IF(C109="","",IF(H109=2,"TOO_SLOW",IF(F109&lt;$B$76,"BELOW_MIN_DRAW",IF(COUNTIFS(E$108:E108,E109,J$108:J108,1)&gt;0,"OBJECT_USED",IF(N109&gt;=D_UC03!$C$15,"MAX_PER_OPTION",IF(K109&gt;=$B$72,"GAP_COVERED",IF(COUNTIFS(J$108:J108,1)&gt;=D_UC03!$C$11,"MAX_SOURCES","")))))))</f>
        <v/>
      </c>
      <c r="J109" s="76">
        <f t="shared" ref="J109:J122" si="18">IF(AND(C109&lt;&gt;"",I109=""),1,0)</f>
        <v>1</v>
      </c>
      <c r="K109" s="76">
        <f>SUM(L$108:L108)</f>
        <v>0</v>
      </c>
      <c r="L109" s="76">
        <f t="shared" ref="L109:L122" si="19">IF(J109=1,MIN(F109,$B$72-K109),0)</f>
        <v>800000000</v>
      </c>
      <c r="M109" s="76">
        <f t="shared" ref="M109:M122" si="20">IF(J109=1,G109*L109/F109,0)</f>
        <v>0</v>
      </c>
      <c r="N109" s="76">
        <f>COUNTIFS(D$108:D108,D109,J$108:J108,1)</f>
        <v>0</v>
      </c>
      <c r="O109" s="77" t="str">
        <f t="shared" ref="O109:O122" si="21">IF(B109=0,"",INDEX($Z$92:$Z$105,B109))</f>
        <v/>
      </c>
      <c r="P109" s="77" t="str">
        <f>IF(J109=1,C109,"")</f>
        <v>NB-01</v>
      </c>
      <c r="Q109" s="76">
        <f t="shared" ref="Q109:Q122" si="22">IF(B109=0,"",INDEX($J$92:$J$105,B109))</f>
        <v>2</v>
      </c>
      <c r="R109" s="77" t="str">
        <f>IF(B109=0,"",INDEX(D_UC03!$N$23:$N$36,B109))</f>
        <v>Cao</v>
      </c>
    </row>
    <row r="110" spans="1:26" ht="20.399999999999999">
      <c r="A110" s="76">
        <v>2</v>
      </c>
      <c r="B110" s="76">
        <f t="shared" si="11"/>
        <v>6</v>
      </c>
      <c r="C110" s="77" t="str">
        <f t="shared" si="12"/>
        <v>RF-001</v>
      </c>
      <c r="D110" s="77" t="str">
        <f t="shared" si="13"/>
        <v>O2</v>
      </c>
      <c r="E110" s="77" t="str">
        <f t="shared" si="14"/>
        <v>OBJ-AR-K1</v>
      </c>
      <c r="F110" s="76">
        <f t="shared" si="15"/>
        <v>2904725407.4000001</v>
      </c>
      <c r="G110" s="76">
        <f t="shared" si="16"/>
        <v>15040906.904071232</v>
      </c>
      <c r="H110" s="76">
        <f t="shared" si="17"/>
        <v>0</v>
      </c>
      <c r="I110" s="77" t="str">
        <f>IF(C110="","",IF(H110=2,"TOO_SLOW",IF(F110&lt;$B$76,"BELOW_MIN_DRAW",IF(COUNTIFS(E$108:E109,E110,J$108:J109,1)&gt;0,"OBJECT_USED",IF(N110&gt;=D_UC03!$C$15,"MAX_PER_OPTION",IF(K110&gt;=$B$72,"GAP_COVERED",IF(COUNTIFS(J$108:J109,1)&gt;=D_UC03!$C$11,"MAX_SOURCES","")))))))</f>
        <v/>
      </c>
      <c r="J110" s="76">
        <f t="shared" si="18"/>
        <v>1</v>
      </c>
      <c r="K110" s="76">
        <f>SUM(L$108:L109)</f>
        <v>800000000</v>
      </c>
      <c r="L110" s="76">
        <f t="shared" si="19"/>
        <v>2763626768</v>
      </c>
      <c r="M110" s="76">
        <f t="shared" si="20"/>
        <v>14310286.552109588</v>
      </c>
      <c r="N110" s="76">
        <f>COUNTIFS(D$108:D109,D110,J$108:J109,1)</f>
        <v>0</v>
      </c>
      <c r="O110" s="77" t="str">
        <f t="shared" si="21"/>
        <v>NOT_COVERING_DURATION</v>
      </c>
      <c r="P110" s="77" t="str">
        <f t="shared" ref="P110:P122" si="23">IF(J110=1,IF(P109="",C110,P109&amp;" + "&amp;C110),P109)</f>
        <v>NB-01 + RF-001</v>
      </c>
      <c r="Q110" s="76">
        <f t="shared" si="22"/>
        <v>1</v>
      </c>
      <c r="R110" s="77" t="str">
        <f>IF(B110=0,"",INDEX(D_UC03!$N$23:$N$36,B110))</f>
        <v>Trung bình</v>
      </c>
    </row>
    <row r="111" spans="1:26" ht="20.399999999999999">
      <c r="A111" s="76">
        <v>3</v>
      </c>
      <c r="B111" s="76">
        <f t="shared" si="11"/>
        <v>7</v>
      </c>
      <c r="C111" s="77" t="str">
        <f t="shared" si="12"/>
        <v>FAC-001</v>
      </c>
      <c r="D111" s="77" t="str">
        <f t="shared" si="13"/>
        <v>O2</v>
      </c>
      <c r="E111" s="77" t="str">
        <f t="shared" si="14"/>
        <v>OBJ-AR-K1</v>
      </c>
      <c r="F111" s="76">
        <f t="shared" si="15"/>
        <v>2598964838.1999998</v>
      </c>
      <c r="G111" s="76">
        <f t="shared" si="16"/>
        <v>30938362.251997259</v>
      </c>
      <c r="H111" s="76">
        <f t="shared" si="17"/>
        <v>0</v>
      </c>
      <c r="I111" s="77" t="str">
        <f>IF(C111="","",IF(H111=2,"TOO_SLOW",IF(F111&lt;$B$76,"BELOW_MIN_DRAW",IF(COUNTIFS(E$108:E110,E111,J$108:J110,1)&gt;0,"OBJECT_USED",IF(N111&gt;=D_UC03!$C$15,"MAX_PER_OPTION",IF(K111&gt;=$B$72,"GAP_COVERED",IF(COUNTIFS(J$108:J110,1)&gt;=D_UC03!$C$11,"MAX_SOURCES","")))))))</f>
        <v>OBJECT_USED</v>
      </c>
      <c r="J111" s="76">
        <f t="shared" si="18"/>
        <v>0</v>
      </c>
      <c r="K111" s="76">
        <f>SUM(L$108:L110)</f>
        <v>3563626768</v>
      </c>
      <c r="L111" s="76">
        <f t="shared" si="19"/>
        <v>0</v>
      </c>
      <c r="M111" s="76">
        <f t="shared" si="20"/>
        <v>0</v>
      </c>
      <c r="N111" s="76">
        <f>COUNTIFS(D$108:D110,D111,J$108:J110,1)</f>
        <v>1</v>
      </c>
      <c r="O111" s="77" t="str">
        <f t="shared" si="21"/>
        <v>NOT_COVERING_DURATION</v>
      </c>
      <c r="P111" s="77" t="str">
        <f t="shared" si="23"/>
        <v>NB-01 + RF-001</v>
      </c>
      <c r="Q111" s="76">
        <f t="shared" si="22"/>
        <v>3</v>
      </c>
      <c r="R111" s="77" t="str">
        <f>IF(B111=0,"",INDEX(D_UC03!$N$23:$N$36,B111))</f>
        <v>Trung bình</v>
      </c>
    </row>
    <row r="112" spans="1:26" ht="20.399999999999999">
      <c r="A112" s="76">
        <v>4</v>
      </c>
      <c r="B112" s="76">
        <f t="shared" si="11"/>
        <v>8</v>
      </c>
      <c r="C112" s="77" t="str">
        <f t="shared" si="12"/>
        <v>FAC-002</v>
      </c>
      <c r="D112" s="77" t="str">
        <f t="shared" si="13"/>
        <v>O2</v>
      </c>
      <c r="E112" s="77" t="str">
        <f t="shared" si="14"/>
        <v>OBJ-AR-K6</v>
      </c>
      <c r="F112" s="76">
        <f t="shared" si="15"/>
        <v>798211624.80000007</v>
      </c>
      <c r="G112" s="76">
        <f t="shared" si="16"/>
        <v>12519894.662958905</v>
      </c>
      <c r="H112" s="76">
        <f t="shared" si="17"/>
        <v>0</v>
      </c>
      <c r="I112" s="77" t="str">
        <f>IF(C112="","",IF(H112=2,"TOO_SLOW",IF(F112&lt;$B$76,"BELOW_MIN_DRAW",IF(COUNTIFS(E$108:E111,E112,J$108:J111,1)&gt;0,"OBJECT_USED",IF(N112&gt;=D_UC03!$C$15,"MAX_PER_OPTION",IF(K112&gt;=$B$72,"GAP_COVERED",IF(COUNTIFS(J$108:J111,1)&gt;=D_UC03!$C$11,"MAX_SOURCES","")))))))</f>
        <v>GAP_COVERED</v>
      </c>
      <c r="J112" s="76">
        <f t="shared" si="18"/>
        <v>0</v>
      </c>
      <c r="K112" s="76">
        <f>SUM(L$108:L111)</f>
        <v>3563626768</v>
      </c>
      <c r="L112" s="76">
        <f t="shared" si="19"/>
        <v>0</v>
      </c>
      <c r="M112" s="76">
        <f t="shared" si="20"/>
        <v>0</v>
      </c>
      <c r="N112" s="76">
        <f>COUNTIFS(D$108:D111,D112,J$108:J111,1)</f>
        <v>1</v>
      </c>
      <c r="O112" s="77" t="str">
        <f t="shared" si="21"/>
        <v>NOT_COVERING_DURATION</v>
      </c>
      <c r="P112" s="77" t="str">
        <f t="shared" si="23"/>
        <v>NB-01 + RF-001</v>
      </c>
      <c r="Q112" s="76">
        <f t="shared" si="22"/>
        <v>3</v>
      </c>
      <c r="R112" s="77" t="str">
        <f>IF(B112=0,"",INDEX(D_UC03!$N$23:$N$36,B112))</f>
        <v>Trung bình</v>
      </c>
    </row>
    <row r="113" spans="1:18">
      <c r="A113" s="76">
        <v>5</v>
      </c>
      <c r="B113" s="76">
        <f t="shared" si="11"/>
        <v>2</v>
      </c>
      <c r="C113" s="77" t="str">
        <f t="shared" si="12"/>
        <v>EX-01</v>
      </c>
      <c r="D113" s="77" t="str">
        <f t="shared" si="13"/>
        <v>O1</v>
      </c>
      <c r="E113" s="77" t="str">
        <f t="shared" si="14"/>
        <v>OBJ-APX</v>
      </c>
      <c r="F113" s="76">
        <f t="shared" si="15"/>
        <v>190885852</v>
      </c>
      <c r="G113" s="76">
        <f t="shared" si="16"/>
        <v>0</v>
      </c>
      <c r="H113" s="76">
        <f t="shared" si="17"/>
        <v>0</v>
      </c>
      <c r="I113" s="77" t="str">
        <f>IF(C113="","",IF(H113=2,"TOO_SLOW",IF(F113&lt;$B$76,"BELOW_MIN_DRAW",IF(COUNTIFS(E$108:E112,E113,J$108:J112,1)&gt;0,"OBJECT_USED",IF(N113&gt;=D_UC03!$C$15,"MAX_PER_OPTION",IF(K113&gt;=$B$72,"GAP_COVERED",IF(COUNTIFS(J$108:J112,1)&gt;=D_UC03!$C$11,"MAX_SOURCES","")))))))</f>
        <v>GAP_COVERED</v>
      </c>
      <c r="J113" s="76">
        <f t="shared" si="18"/>
        <v>0</v>
      </c>
      <c r="K113" s="76">
        <f>SUM(L$108:L112)</f>
        <v>3563626768</v>
      </c>
      <c r="L113" s="76">
        <f t="shared" si="19"/>
        <v>0</v>
      </c>
      <c r="M113" s="76">
        <f t="shared" si="20"/>
        <v>0</v>
      </c>
      <c r="N113" s="76">
        <f>COUNTIFS(D$108:D112,D113,J$108:J112,1)</f>
        <v>0</v>
      </c>
      <c r="O113" s="77" t="str">
        <f t="shared" si="21"/>
        <v/>
      </c>
      <c r="P113" s="77" t="str">
        <f t="shared" si="23"/>
        <v>NB-01 + RF-001</v>
      </c>
      <c r="Q113" s="76">
        <f t="shared" si="22"/>
        <v>2</v>
      </c>
      <c r="R113" s="77" t="str">
        <f>IF(B113=0,"",INDEX(D_UC03!$N$23:$N$36,B113))</f>
        <v>Thấp</v>
      </c>
    </row>
    <row r="114" spans="1:18">
      <c r="A114" s="76">
        <v>6</v>
      </c>
      <c r="B114" s="76">
        <f t="shared" si="11"/>
        <v>4</v>
      </c>
      <c r="C114" s="77" t="str">
        <f t="shared" si="12"/>
        <v>AR-01</v>
      </c>
      <c r="D114" s="77" t="str">
        <f t="shared" si="13"/>
        <v>O4</v>
      </c>
      <c r="E114" s="77" t="str">
        <f t="shared" si="14"/>
        <v>OBJ-AR-K1</v>
      </c>
      <c r="F114" s="76">
        <f t="shared" si="15"/>
        <v>3057605692</v>
      </c>
      <c r="G114" s="76">
        <f t="shared" si="16"/>
        <v>30576056.920000002</v>
      </c>
      <c r="H114" s="76">
        <f t="shared" si="17"/>
        <v>0</v>
      </c>
      <c r="I114" s="77" t="str">
        <f>IF(C114="","",IF(H114=2,"TOO_SLOW",IF(F114&lt;$B$76,"BELOW_MIN_DRAW",IF(COUNTIFS(E$108:E113,E114,J$108:J113,1)&gt;0,"OBJECT_USED",IF(N114&gt;=D_UC03!$C$15,"MAX_PER_OPTION",IF(K114&gt;=$B$72,"GAP_COVERED",IF(COUNTIFS(J$108:J113,1)&gt;=D_UC03!$C$11,"MAX_SOURCES","")))))))</f>
        <v>OBJECT_USED</v>
      </c>
      <c r="J114" s="76">
        <f t="shared" si="18"/>
        <v>0</v>
      </c>
      <c r="K114" s="76">
        <f>SUM(L$108:L113)</f>
        <v>3563626768</v>
      </c>
      <c r="L114" s="76">
        <f t="shared" si="19"/>
        <v>0</v>
      </c>
      <c r="M114" s="76">
        <f t="shared" si="20"/>
        <v>0</v>
      </c>
      <c r="N114" s="76">
        <f>COUNTIFS(D$108:D113,D114,J$108:J113,1)</f>
        <v>0</v>
      </c>
      <c r="O114" s="77" t="str">
        <f t="shared" si="21"/>
        <v/>
      </c>
      <c r="P114" s="77" t="str">
        <f t="shared" si="23"/>
        <v>NB-01 + RF-001</v>
      </c>
      <c r="Q114" s="76">
        <f t="shared" si="22"/>
        <v>5</v>
      </c>
      <c r="R114" s="77" t="str">
        <f>IF(B114=0,"",INDEX(D_UC03!$N$23:$N$36,B114))</f>
        <v>Trung bình</v>
      </c>
    </row>
    <row r="115" spans="1:18">
      <c r="A115" s="76">
        <v>7</v>
      </c>
      <c r="B115" s="76">
        <f t="shared" si="11"/>
        <v>9</v>
      </c>
      <c r="C115" s="77" t="str">
        <f t="shared" si="12"/>
        <v>INV-001</v>
      </c>
      <c r="D115" s="77" t="str">
        <f t="shared" si="13"/>
        <v>O2</v>
      </c>
      <c r="E115" s="77" t="str">
        <f t="shared" si="14"/>
        <v>OBJ-INV-NOR</v>
      </c>
      <c r="F115" s="76">
        <f t="shared" si="15"/>
        <v>453876407.35668004</v>
      </c>
      <c r="G115" s="76">
        <f t="shared" si="16"/>
        <v>8207080.2426139405</v>
      </c>
      <c r="H115" s="76">
        <f t="shared" si="17"/>
        <v>0</v>
      </c>
      <c r="I115" s="77" t="str">
        <f>IF(C115="","",IF(H115=2,"TOO_SLOW",IF(F115&lt;$B$76,"BELOW_MIN_DRAW",IF(COUNTIFS(E$108:E114,E115,J$108:J114,1)&gt;0,"OBJECT_USED",IF(N115&gt;=D_UC03!$C$15,"MAX_PER_OPTION",IF(K115&gt;=$B$72,"GAP_COVERED",IF(COUNTIFS(J$108:J114,1)&gt;=D_UC03!$C$11,"MAX_SOURCES","")))))))</f>
        <v>GAP_COVERED</v>
      </c>
      <c r="J115" s="76">
        <f t="shared" si="18"/>
        <v>0</v>
      </c>
      <c r="K115" s="76">
        <f>SUM(L$108:L114)</f>
        <v>3563626768</v>
      </c>
      <c r="L115" s="76">
        <f t="shared" si="19"/>
        <v>0</v>
      </c>
      <c r="M115" s="76">
        <f t="shared" si="20"/>
        <v>0</v>
      </c>
      <c r="N115" s="76">
        <f>COUNTIFS(D$108:D114,D115,J$108:J114,1)</f>
        <v>1</v>
      </c>
      <c r="O115" s="77" t="str">
        <f t="shared" si="21"/>
        <v/>
      </c>
      <c r="P115" s="77" t="str">
        <f t="shared" si="23"/>
        <v>NB-01 + RF-001</v>
      </c>
      <c r="Q115" s="76">
        <f t="shared" si="22"/>
        <v>5</v>
      </c>
      <c r="R115" s="77" t="str">
        <f>IF(B115=0,"",INDEX(D_UC03!$N$23:$N$36,B115))</f>
        <v>Trung bình</v>
      </c>
    </row>
    <row r="116" spans="1:18">
      <c r="A116" s="76">
        <v>8</v>
      </c>
      <c r="B116" s="76">
        <f t="shared" si="11"/>
        <v>12</v>
      </c>
      <c r="C116" s="77" t="str">
        <f t="shared" si="12"/>
        <v>CL-001</v>
      </c>
      <c r="D116" s="77" t="str">
        <f t="shared" si="13"/>
        <v>O2</v>
      </c>
      <c r="E116" s="77" t="str">
        <f t="shared" si="14"/>
        <v>LIM-CL-001</v>
      </c>
      <c r="F116" s="76">
        <f t="shared" si="15"/>
        <v>1000000000</v>
      </c>
      <c r="G116" s="76">
        <f t="shared" si="16"/>
        <v>8219178.0821917811</v>
      </c>
      <c r="H116" s="76">
        <f t="shared" si="17"/>
        <v>0</v>
      </c>
      <c r="I116" s="77" t="str">
        <f>IF(C116="","",IF(H116=2,"TOO_SLOW",IF(F116&lt;$B$76,"BELOW_MIN_DRAW",IF(COUNTIFS(E$108:E115,E116,J$108:J115,1)&gt;0,"OBJECT_USED",IF(N116&gt;=D_UC03!$C$15,"MAX_PER_OPTION",IF(K116&gt;=$B$72,"GAP_COVERED",IF(COUNTIFS(J$108:J115,1)&gt;=D_UC03!$C$11,"MAX_SOURCES","")))))))</f>
        <v>GAP_COVERED</v>
      </c>
      <c r="J116" s="76">
        <f t="shared" si="18"/>
        <v>0</v>
      </c>
      <c r="K116" s="76">
        <f>SUM(L$108:L115)</f>
        <v>3563626768</v>
      </c>
      <c r="L116" s="76">
        <f t="shared" si="19"/>
        <v>0</v>
      </c>
      <c r="M116" s="76">
        <f t="shared" si="20"/>
        <v>0</v>
      </c>
      <c r="N116" s="76">
        <f>COUNTIFS(D$108:D115,D116,J$108:J115,1)</f>
        <v>1</v>
      </c>
      <c r="O116" s="77" t="str">
        <f t="shared" si="21"/>
        <v/>
      </c>
      <c r="P116" s="77" t="str">
        <f t="shared" si="23"/>
        <v>NB-01 + RF-001</v>
      </c>
      <c r="Q116" s="76">
        <f t="shared" si="22"/>
        <v>1</v>
      </c>
      <c r="R116" s="77" t="str">
        <f>IF(B116=0,"",INDEX(D_UC03!$N$23:$N$36,B116))</f>
        <v>Cao</v>
      </c>
    </row>
    <row r="117" spans="1:18">
      <c r="A117" s="76">
        <v>9</v>
      </c>
      <c r="B117" s="76">
        <f t="shared" si="11"/>
        <v>13</v>
      </c>
      <c r="C117" s="77" t="str">
        <f t="shared" si="12"/>
        <v>CL-002</v>
      </c>
      <c r="D117" s="77" t="str">
        <f t="shared" si="13"/>
        <v>O2</v>
      </c>
      <c r="E117" s="77" t="str">
        <f t="shared" si="14"/>
        <v>LIM-CL-002</v>
      </c>
      <c r="F117" s="76">
        <f t="shared" si="15"/>
        <v>500000000</v>
      </c>
      <c r="G117" s="76">
        <f t="shared" si="16"/>
        <v>4931506.8493150687</v>
      </c>
      <c r="H117" s="76">
        <f t="shared" si="17"/>
        <v>0</v>
      </c>
      <c r="I117" s="77" t="str">
        <f>IF(C117="","",IF(H117=2,"TOO_SLOW",IF(F117&lt;$B$76,"BELOW_MIN_DRAW",IF(COUNTIFS(E$108:E116,E117,J$108:J116,1)&gt;0,"OBJECT_USED",IF(N117&gt;=D_UC03!$C$15,"MAX_PER_OPTION",IF(K117&gt;=$B$72,"GAP_COVERED",IF(COUNTIFS(J$108:J116,1)&gt;=D_UC03!$C$11,"MAX_SOURCES","")))))))</f>
        <v>GAP_COVERED</v>
      </c>
      <c r="J117" s="76">
        <f t="shared" si="18"/>
        <v>0</v>
      </c>
      <c r="K117" s="76">
        <f>SUM(L$108:L116)</f>
        <v>3563626768</v>
      </c>
      <c r="L117" s="76">
        <f t="shared" si="19"/>
        <v>0</v>
      </c>
      <c r="M117" s="76">
        <f t="shared" si="20"/>
        <v>0</v>
      </c>
      <c r="N117" s="76">
        <f>COUNTIFS(D$108:D116,D117,J$108:J116,1)</f>
        <v>1</v>
      </c>
      <c r="O117" s="77" t="str">
        <f t="shared" si="21"/>
        <v/>
      </c>
      <c r="P117" s="77" t="str">
        <f t="shared" si="23"/>
        <v>NB-01 + RF-001</v>
      </c>
      <c r="Q117" s="76">
        <f t="shared" si="22"/>
        <v>2</v>
      </c>
      <c r="R117" s="77" t="str">
        <f>IF(B117=0,"",INDEX(D_UC03!$N$23:$N$36,B117))</f>
        <v>Cao</v>
      </c>
    </row>
    <row r="118" spans="1:18">
      <c r="A118" s="76">
        <v>10</v>
      </c>
      <c r="B118" s="76">
        <f t="shared" si="11"/>
        <v>10</v>
      </c>
      <c r="C118" s="77" t="str">
        <f t="shared" si="12"/>
        <v>INV-002</v>
      </c>
      <c r="D118" s="77" t="str">
        <f t="shared" si="13"/>
        <v>O3</v>
      </c>
      <c r="E118" s="77" t="str">
        <f t="shared" si="14"/>
        <v>OBJ-INV-SLOW</v>
      </c>
      <c r="F118" s="76">
        <f t="shared" si="15"/>
        <v>52812156.332949996</v>
      </c>
      <c r="G118" s="76">
        <f t="shared" si="16"/>
        <v>7544593.7618499994</v>
      </c>
      <c r="H118" s="76">
        <f t="shared" si="17"/>
        <v>2</v>
      </c>
      <c r="I118" s="77" t="str">
        <f>IF(C118="","",IF(H118=2,"TOO_SLOW",IF(F118&lt;$B$76,"BELOW_MIN_DRAW",IF(COUNTIFS(E$108:E117,E118,J$108:J117,1)&gt;0,"OBJECT_USED",IF(N118&gt;=D_UC03!$C$15,"MAX_PER_OPTION",IF(K118&gt;=$B$72,"GAP_COVERED",IF(COUNTIFS(J$108:J117,1)&gt;=D_UC03!$C$11,"MAX_SOURCES","")))))))</f>
        <v>TOO_SLOW</v>
      </c>
      <c r="J118" s="76">
        <f t="shared" si="18"/>
        <v>0</v>
      </c>
      <c r="K118" s="76">
        <f>SUM(L$108:L117)</f>
        <v>3563626768</v>
      </c>
      <c r="L118" s="76">
        <f t="shared" si="19"/>
        <v>0</v>
      </c>
      <c r="M118" s="76">
        <f t="shared" si="20"/>
        <v>0</v>
      </c>
      <c r="N118" s="76">
        <f>COUNTIFS(D$108:D117,D118,J$108:J117,1)</f>
        <v>0</v>
      </c>
      <c r="O118" s="77" t="str">
        <f t="shared" si="21"/>
        <v/>
      </c>
      <c r="P118" s="77" t="str">
        <f t="shared" si="23"/>
        <v>NB-01 + RF-001</v>
      </c>
      <c r="Q118" s="76">
        <f t="shared" si="22"/>
        <v>30</v>
      </c>
      <c r="R118" s="77" t="str">
        <f>IF(B118=0,"",INDEX(D_UC03!$N$23:$N$36,B118))</f>
        <v>Thấp</v>
      </c>
    </row>
    <row r="119" spans="1:18">
      <c r="A119" s="76">
        <v>11</v>
      </c>
      <c r="B119" s="76">
        <f t="shared" si="11"/>
        <v>0</v>
      </c>
      <c r="C119" s="77" t="str">
        <f t="shared" si="12"/>
        <v/>
      </c>
      <c r="D119" s="77" t="str">
        <f t="shared" si="13"/>
        <v/>
      </c>
      <c r="E119" s="77" t="str">
        <f t="shared" si="14"/>
        <v/>
      </c>
      <c r="F119" s="76">
        <f t="shared" si="15"/>
        <v>0</v>
      </c>
      <c r="G119" s="76">
        <f t="shared" si="16"/>
        <v>0</v>
      </c>
      <c r="H119" s="76" t="str">
        <f t="shared" si="17"/>
        <v/>
      </c>
      <c r="I119" s="77" t="str">
        <f>IF(C119="","",IF(H119=2,"TOO_SLOW",IF(F119&lt;$B$76,"BELOW_MIN_DRAW",IF(COUNTIFS(E$108:E118,E119,J$108:J118,1)&gt;0,"OBJECT_USED",IF(N119&gt;=D_UC03!$C$15,"MAX_PER_OPTION",IF(K119&gt;=$B$72,"GAP_COVERED",IF(COUNTIFS(J$108:J118,1)&gt;=D_UC03!$C$11,"MAX_SOURCES","")))))))</f>
        <v/>
      </c>
      <c r="J119" s="76">
        <f t="shared" si="18"/>
        <v>0</v>
      </c>
      <c r="K119" s="76">
        <f>SUM(L$108:L118)</f>
        <v>3563626768</v>
      </c>
      <c r="L119" s="76">
        <f t="shared" si="19"/>
        <v>0</v>
      </c>
      <c r="M119" s="76">
        <f t="shared" si="20"/>
        <v>0</v>
      </c>
      <c r="N119" s="76">
        <f>COUNTIFS(D$108:D118,D119,J$108:J118,1)</f>
        <v>0</v>
      </c>
      <c r="O119" s="77" t="str">
        <f t="shared" si="21"/>
        <v/>
      </c>
      <c r="P119" s="77" t="str">
        <f t="shared" si="23"/>
        <v>NB-01 + RF-001</v>
      </c>
      <c r="Q119" s="76" t="str">
        <f t="shared" si="22"/>
        <v/>
      </c>
      <c r="R119" s="77" t="str">
        <f>IF(B119=0,"",INDEX(D_UC03!$N$23:$N$36,B119))</f>
        <v/>
      </c>
    </row>
    <row r="120" spans="1:18">
      <c r="A120" s="76">
        <v>12</v>
      </c>
      <c r="B120" s="76">
        <f t="shared" si="11"/>
        <v>0</v>
      </c>
      <c r="C120" s="77" t="str">
        <f t="shared" si="12"/>
        <v/>
      </c>
      <c r="D120" s="77" t="str">
        <f t="shared" si="13"/>
        <v/>
      </c>
      <c r="E120" s="77" t="str">
        <f t="shared" si="14"/>
        <v/>
      </c>
      <c r="F120" s="76">
        <f t="shared" si="15"/>
        <v>0</v>
      </c>
      <c r="G120" s="76">
        <f t="shared" si="16"/>
        <v>0</v>
      </c>
      <c r="H120" s="76" t="str">
        <f t="shared" si="17"/>
        <v/>
      </c>
      <c r="I120" s="77" t="str">
        <f>IF(C120="","",IF(H120=2,"TOO_SLOW",IF(F120&lt;$B$76,"BELOW_MIN_DRAW",IF(COUNTIFS(E$108:E119,E120,J$108:J119,1)&gt;0,"OBJECT_USED",IF(N120&gt;=D_UC03!$C$15,"MAX_PER_OPTION",IF(K120&gt;=$B$72,"GAP_COVERED",IF(COUNTIFS(J$108:J119,1)&gt;=D_UC03!$C$11,"MAX_SOURCES","")))))))</f>
        <v/>
      </c>
      <c r="J120" s="76">
        <f t="shared" si="18"/>
        <v>0</v>
      </c>
      <c r="K120" s="76">
        <f>SUM(L$108:L119)</f>
        <v>3563626768</v>
      </c>
      <c r="L120" s="76">
        <f t="shared" si="19"/>
        <v>0</v>
      </c>
      <c r="M120" s="76">
        <f t="shared" si="20"/>
        <v>0</v>
      </c>
      <c r="N120" s="76">
        <f>COUNTIFS(D$108:D119,D120,J$108:J119,1)</f>
        <v>0</v>
      </c>
      <c r="O120" s="77" t="str">
        <f t="shared" si="21"/>
        <v/>
      </c>
      <c r="P120" s="77" t="str">
        <f t="shared" si="23"/>
        <v>NB-01 + RF-001</v>
      </c>
      <c r="Q120" s="76" t="str">
        <f t="shared" si="22"/>
        <v/>
      </c>
      <c r="R120" s="77" t="str">
        <f>IF(B120=0,"",INDEX(D_UC03!$N$23:$N$36,B120))</f>
        <v/>
      </c>
    </row>
    <row r="121" spans="1:18">
      <c r="A121" s="76">
        <v>13</v>
      </c>
      <c r="B121" s="76">
        <f t="shared" si="11"/>
        <v>0</v>
      </c>
      <c r="C121" s="77" t="str">
        <f t="shared" si="12"/>
        <v/>
      </c>
      <c r="D121" s="77" t="str">
        <f t="shared" si="13"/>
        <v/>
      </c>
      <c r="E121" s="77" t="str">
        <f t="shared" si="14"/>
        <v/>
      </c>
      <c r="F121" s="76">
        <f t="shared" si="15"/>
        <v>0</v>
      </c>
      <c r="G121" s="76">
        <f t="shared" si="16"/>
        <v>0</v>
      </c>
      <c r="H121" s="76" t="str">
        <f t="shared" si="17"/>
        <v/>
      </c>
      <c r="I121" s="77" t="str">
        <f>IF(C121="","",IF(H121=2,"TOO_SLOW",IF(F121&lt;$B$76,"BELOW_MIN_DRAW",IF(COUNTIFS(E$108:E120,E121,J$108:J120,1)&gt;0,"OBJECT_USED",IF(N121&gt;=D_UC03!$C$15,"MAX_PER_OPTION",IF(K121&gt;=$B$72,"GAP_COVERED",IF(COUNTIFS(J$108:J120,1)&gt;=D_UC03!$C$11,"MAX_SOURCES","")))))))</f>
        <v/>
      </c>
      <c r="J121" s="76">
        <f t="shared" si="18"/>
        <v>0</v>
      </c>
      <c r="K121" s="76">
        <f>SUM(L$108:L120)</f>
        <v>3563626768</v>
      </c>
      <c r="L121" s="76">
        <f t="shared" si="19"/>
        <v>0</v>
      </c>
      <c r="M121" s="76">
        <f t="shared" si="20"/>
        <v>0</v>
      </c>
      <c r="N121" s="76">
        <f>COUNTIFS(D$108:D120,D121,J$108:J120,1)</f>
        <v>0</v>
      </c>
      <c r="O121" s="77" t="str">
        <f t="shared" si="21"/>
        <v/>
      </c>
      <c r="P121" s="77" t="str">
        <f t="shared" si="23"/>
        <v>NB-01 + RF-001</v>
      </c>
      <c r="Q121" s="76" t="str">
        <f t="shared" si="22"/>
        <v/>
      </c>
      <c r="R121" s="77" t="str">
        <f>IF(B121=0,"",INDEX(D_UC03!$N$23:$N$36,B121))</f>
        <v/>
      </c>
    </row>
    <row r="122" spans="1:18">
      <c r="A122" s="76">
        <v>14</v>
      </c>
      <c r="B122" s="76">
        <f t="shared" si="11"/>
        <v>0</v>
      </c>
      <c r="C122" s="77" t="str">
        <f t="shared" si="12"/>
        <v/>
      </c>
      <c r="D122" s="77" t="str">
        <f t="shared" si="13"/>
        <v/>
      </c>
      <c r="E122" s="77" t="str">
        <f t="shared" si="14"/>
        <v/>
      </c>
      <c r="F122" s="76">
        <f t="shared" si="15"/>
        <v>0</v>
      </c>
      <c r="G122" s="76">
        <f t="shared" si="16"/>
        <v>0</v>
      </c>
      <c r="H122" s="76" t="str">
        <f t="shared" si="17"/>
        <v/>
      </c>
      <c r="I122" s="77" t="str">
        <f>IF(C122="","",IF(H122=2,"TOO_SLOW",IF(F122&lt;$B$76,"BELOW_MIN_DRAW",IF(COUNTIFS(E$108:E121,E122,J$108:J121,1)&gt;0,"OBJECT_USED",IF(N122&gt;=D_UC03!$C$15,"MAX_PER_OPTION",IF(K122&gt;=$B$72,"GAP_COVERED",IF(COUNTIFS(J$108:J121,1)&gt;=D_UC03!$C$11,"MAX_SOURCES","")))))))</f>
        <v/>
      </c>
      <c r="J122" s="76">
        <f t="shared" si="18"/>
        <v>0</v>
      </c>
      <c r="K122" s="76">
        <f>SUM(L$108:L121)</f>
        <v>3563626768</v>
      </c>
      <c r="L122" s="76">
        <f t="shared" si="19"/>
        <v>0</v>
      </c>
      <c r="M122" s="76">
        <f t="shared" si="20"/>
        <v>0</v>
      </c>
      <c r="N122" s="76">
        <f>COUNTIFS(D$108:D121,D122,J$108:J121,1)</f>
        <v>0</v>
      </c>
      <c r="O122" s="77" t="str">
        <f t="shared" si="21"/>
        <v/>
      </c>
      <c r="P122" s="77" t="str">
        <f t="shared" si="23"/>
        <v>NB-01 + RF-001</v>
      </c>
      <c r="Q122" s="76" t="str">
        <f t="shared" si="22"/>
        <v/>
      </c>
      <c r="R122" s="77" t="str">
        <f>IF(B122=0,"",INDEX(D_UC03!$N$23:$N$36,B122))</f>
        <v/>
      </c>
    </row>
    <row r="124" spans="1:18">
      <c r="A124" s="63" t="s">
        <v>2786</v>
      </c>
      <c r="B124" s="63" t="s">
        <v>828</v>
      </c>
      <c r="C124" s="63" t="s">
        <v>2606</v>
      </c>
    </row>
    <row r="125" spans="1:18">
      <c r="A125" s="64" t="s">
        <v>2787</v>
      </c>
      <c r="B125" s="66">
        <f>SUM(L109:L122)</f>
        <v>3563626768</v>
      </c>
      <c r="C125" s="62" t="s">
        <v>2558</v>
      </c>
    </row>
    <row r="126" spans="1:18">
      <c r="A126" s="64" t="s">
        <v>2788</v>
      </c>
      <c r="B126" s="66">
        <f>SUM(M109:M122)</f>
        <v>14310286.552109588</v>
      </c>
      <c r="C126" s="62" t="s">
        <v>2494</v>
      </c>
    </row>
    <row r="127" spans="1:18">
      <c r="A127" s="64" t="s">
        <v>2789</v>
      </c>
      <c r="B127" s="68">
        <f>IF($B$125&gt;0,ROUND($B$126/MIN($B$125,$B$72),4),0)</f>
        <v>4.0000000000000001E-3</v>
      </c>
      <c r="C127" s="62"/>
    </row>
    <row r="128" spans="1:18">
      <c r="A128" s="64" t="s">
        <v>2790</v>
      </c>
      <c r="B128" s="66">
        <f>MAX(0,$B$72-$B$125)</f>
        <v>0</v>
      </c>
      <c r="C128" s="62" t="s">
        <v>2791</v>
      </c>
    </row>
    <row r="129" spans="1:3">
      <c r="A129" s="64" t="s">
        <v>2792</v>
      </c>
      <c r="B129" s="66">
        <f>SUM(J109:J122)</f>
        <v>2</v>
      </c>
      <c r="C129" s="62"/>
    </row>
    <row r="130" spans="1:3">
      <c r="A130" s="64" t="s">
        <v>2793</v>
      </c>
      <c r="B130" s="66">
        <f>SUM($N$92:$N$105)</f>
        <v>10</v>
      </c>
      <c r="C130" s="62"/>
    </row>
    <row r="131" spans="1:3" ht="20.399999999999999">
      <c r="A131" s="64" t="s">
        <v>2794</v>
      </c>
      <c r="B131" s="66">
        <f>SUMPRODUCT((J109:J122=1)*(O109:O122="NOT_COVERING_DURATION"))</f>
        <v>1</v>
      </c>
      <c r="C131" s="62" t="s">
        <v>2795</v>
      </c>
    </row>
    <row r="132" spans="1:3">
      <c r="A132" s="64" t="s">
        <v>2796</v>
      </c>
      <c r="B132" s="64" t="str">
        <f>P122</f>
        <v>NB-01 + RF-001</v>
      </c>
      <c r="C132" s="6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333"/>
  <sheetViews>
    <sheetView showGridLines="0" workbookViewId="0">
      <pane ySplit="4" topLeftCell="A5" activePane="bottomLeft" state="frozen"/>
      <selection pane="bottomLeft"/>
    </sheetView>
  </sheetViews>
  <sheetFormatPr defaultRowHeight="13.8"/>
  <cols>
    <col min="1" max="1" width="34" customWidth="1"/>
    <col min="2" max="2" width="31" customWidth="1"/>
    <col min="3" max="3" width="56" customWidth="1"/>
    <col min="4" max="4" width="16" customWidth="1"/>
    <col min="5" max="5" width="40" customWidth="1"/>
    <col min="6" max="6" width="25" customWidth="1"/>
    <col min="7" max="7" width="30" customWidth="1"/>
    <col min="8" max="8" width="65" customWidth="1"/>
    <col min="9" max="9" width="22" customWidth="1"/>
    <col min="10" max="10" width="24" customWidth="1"/>
    <col min="11" max="11" width="22" customWidth="1"/>
    <col min="12" max="12" width="23" customWidth="1"/>
    <col min="13" max="13" width="22" customWidth="1"/>
    <col min="14" max="14" width="24" customWidth="1"/>
    <col min="15" max="15" width="23" customWidth="1"/>
    <col min="16" max="16" width="26" customWidth="1"/>
    <col min="17" max="17" width="23" customWidth="1"/>
    <col min="18" max="18" width="26" customWidth="1"/>
    <col min="19" max="19" width="24" customWidth="1"/>
  </cols>
  <sheetData>
    <row r="1" spans="1:21">
      <c r="A1" s="86"/>
      <c r="B1" s="86"/>
      <c r="C1" s="86"/>
      <c r="D1" s="86"/>
      <c r="E1" s="86"/>
      <c r="F1" s="86"/>
      <c r="G1" s="86"/>
      <c r="H1" s="86"/>
      <c r="I1" s="86"/>
      <c r="J1" s="86"/>
      <c r="K1" s="86"/>
      <c r="L1" s="86"/>
      <c r="M1" s="86"/>
      <c r="N1" s="86"/>
      <c r="O1" s="86"/>
      <c r="P1" s="86"/>
      <c r="Q1" s="86"/>
      <c r="R1" s="86"/>
      <c r="S1" s="86"/>
      <c r="T1" s="86"/>
      <c r="U1" s="86"/>
    </row>
    <row r="2" spans="1:21" ht="17.399999999999999">
      <c r="A2" s="89" t="s">
        <v>3385</v>
      </c>
      <c r="B2" s="86"/>
      <c r="C2" s="86"/>
      <c r="D2" s="86"/>
      <c r="E2" s="86"/>
      <c r="F2" s="86"/>
      <c r="G2" s="86"/>
      <c r="H2" s="86"/>
      <c r="I2" s="86"/>
      <c r="J2" s="86"/>
      <c r="K2" s="86"/>
      <c r="L2" s="86"/>
      <c r="M2" s="86"/>
      <c r="N2" s="86"/>
      <c r="O2" s="86"/>
      <c r="P2" s="86"/>
      <c r="Q2" s="86"/>
      <c r="R2" s="86"/>
      <c r="S2" s="86"/>
      <c r="T2" s="86"/>
      <c r="U2" s="86"/>
    </row>
    <row r="3" spans="1:21">
      <c r="A3" s="86"/>
      <c r="B3" s="86"/>
      <c r="C3" s="86"/>
      <c r="D3" s="86"/>
      <c r="E3" s="86"/>
      <c r="F3" s="86"/>
      <c r="G3" s="86"/>
      <c r="H3" s="86"/>
      <c r="I3" s="86"/>
      <c r="J3" s="86"/>
      <c r="K3" s="86"/>
      <c r="L3" s="86"/>
      <c r="M3" s="86"/>
      <c r="N3" s="86"/>
      <c r="O3" s="86"/>
      <c r="P3" s="86"/>
      <c r="Q3" s="86"/>
      <c r="R3" s="86"/>
      <c r="S3" s="86"/>
      <c r="T3" s="86"/>
      <c r="U3" s="86"/>
    </row>
    <row r="4" spans="1:21" ht="30" customHeight="1">
      <c r="A4" s="102" t="s">
        <v>3386</v>
      </c>
      <c r="B4" s="102" t="s">
        <v>828</v>
      </c>
      <c r="C4" s="102" t="s">
        <v>3387</v>
      </c>
      <c r="D4" s="86"/>
      <c r="E4" s="102" t="s">
        <v>3388</v>
      </c>
      <c r="F4" s="102" t="s">
        <v>3389</v>
      </c>
      <c r="G4" s="102" t="s">
        <v>3390</v>
      </c>
      <c r="H4" s="102" t="s">
        <v>11</v>
      </c>
      <c r="I4" s="86"/>
      <c r="J4" s="86"/>
      <c r="K4" s="86"/>
      <c r="L4" s="86"/>
      <c r="M4" s="86"/>
      <c r="N4" s="86"/>
      <c r="O4" s="86"/>
      <c r="P4" s="86"/>
      <c r="Q4" s="86"/>
      <c r="R4" s="86"/>
      <c r="S4" s="86"/>
      <c r="T4" s="86"/>
      <c r="U4" s="86"/>
    </row>
    <row r="5" spans="1:21" ht="54" customHeight="1">
      <c r="A5" s="87" t="s">
        <v>3391</v>
      </c>
      <c r="B5" s="90">
        <v>1</v>
      </c>
      <c r="C5" s="87" t="s">
        <v>3392</v>
      </c>
      <c r="D5" s="86"/>
      <c r="E5" s="87" t="s">
        <v>1009</v>
      </c>
      <c r="F5" s="87" t="str">
        <f>F01_UC2!B5</f>
        <v>Base</v>
      </c>
      <c r="G5" s="87" t="str">
        <f>IF($B$34="Hợp lệ",B6,"Chưa tính")</f>
        <v>Thực hiện giả định</v>
      </c>
      <c r="H5" s="87" t="s">
        <v>3393</v>
      </c>
      <c r="I5" s="86"/>
      <c r="J5" s="86"/>
      <c r="K5" s="86"/>
      <c r="L5" s="86"/>
      <c r="M5" s="86"/>
      <c r="N5" s="86"/>
      <c r="O5" s="86"/>
      <c r="P5" s="86"/>
      <c r="Q5" s="86"/>
      <c r="R5" s="86"/>
      <c r="S5" s="86"/>
      <c r="T5" s="86"/>
      <c r="U5" s="86"/>
    </row>
    <row r="6" spans="1:21" ht="54" customHeight="1">
      <c r="A6" s="87" t="s">
        <v>3200</v>
      </c>
      <c r="B6" s="87" t="str">
        <f>CHOOSE(B5+1,"Giữ nguyên","Thực hiện giả định","Thu sớm chỉ đạt một phần","NCC từ chối giãn","Bán tồn chậm","Bất lợi kết hợp","Khách trả chậm")</f>
        <v>Thực hiện giả định</v>
      </c>
      <c r="C6" s="87" t="s">
        <v>3394</v>
      </c>
      <c r="D6" s="86"/>
      <c r="E6" s="87" t="s">
        <v>3395</v>
      </c>
      <c r="F6" s="91">
        <f>F01_UC2!B12</f>
        <v>-3063626768</v>
      </c>
      <c r="G6" s="91">
        <f>IF($B$34="Hợp lệ",MIN(H51:H141),"Chưa tính")</f>
        <v>-3063518220.9990759</v>
      </c>
      <c r="H6" s="87" t="s">
        <v>3396</v>
      </c>
      <c r="I6" s="86"/>
      <c r="J6" s="86"/>
      <c r="K6" s="86"/>
      <c r="L6" s="86"/>
      <c r="M6" s="86"/>
      <c r="N6" s="86"/>
      <c r="O6" s="86"/>
      <c r="P6" s="86"/>
      <c r="Q6" s="86"/>
      <c r="R6" s="86"/>
      <c r="S6" s="86"/>
      <c r="T6" s="86"/>
      <c r="U6" s="86"/>
    </row>
    <row r="7" spans="1:21" ht="54" customHeight="1">
      <c r="A7" s="87" t="s">
        <v>3397</v>
      </c>
      <c r="B7" s="90" t="s">
        <v>952</v>
      </c>
      <c r="C7" s="87" t="str">
        <f>IFERROR(INDEX(D_F01!B38:B46,MATCH(B7,D_F01!A38:A46,0))&amp;"; chọn bằng ID","Không tìm thấy khách")</f>
        <v>Nhà xuất khẩu Lớn K1; chọn bằng ID</v>
      </c>
      <c r="D7" s="86"/>
      <c r="E7" s="87" t="s">
        <v>3398</v>
      </c>
      <c r="F7" s="92">
        <f>F01_UC2!B13</f>
        <v>46283</v>
      </c>
      <c r="G7" s="92">
        <f>IF($B$34="Hợp lệ",INDEX(A51:A141,MATCH(G6,H51:H141,0)),"Chưa tính")</f>
        <v>46283</v>
      </c>
      <c r="H7" s="87" t="s">
        <v>3399</v>
      </c>
      <c r="I7" s="86"/>
      <c r="J7" s="86"/>
      <c r="K7" s="86"/>
      <c r="L7" s="86"/>
      <c r="M7" s="86"/>
      <c r="N7" s="86"/>
      <c r="O7" s="86"/>
      <c r="P7" s="86"/>
      <c r="Q7" s="86"/>
      <c r="R7" s="86"/>
      <c r="S7" s="86"/>
      <c r="T7" s="86"/>
      <c r="U7" s="86"/>
    </row>
    <row r="8" spans="1:21" ht="54" customHeight="1">
      <c r="A8" s="87" t="s">
        <v>3400</v>
      </c>
      <c r="B8" s="93">
        <v>0.5</v>
      </c>
      <c r="C8" s="87" t="s">
        <v>3401</v>
      </c>
      <c r="D8" s="86"/>
      <c r="E8" s="87" t="s">
        <v>3402</v>
      </c>
      <c r="F8" s="91">
        <f>F01_UC2!B14</f>
        <v>3563626768</v>
      </c>
      <c r="G8" s="91">
        <f>IF($B$34="Hợp lệ",MAX(J51:J141),"Chưa tính")</f>
        <v>3563518220.9990759</v>
      </c>
      <c r="H8" s="87" t="s">
        <v>3403</v>
      </c>
      <c r="I8" s="86"/>
      <c r="J8" s="86"/>
      <c r="K8" s="86"/>
      <c r="L8" s="86"/>
      <c r="M8" s="86"/>
      <c r="N8" s="86"/>
      <c r="O8" s="86"/>
      <c r="P8" s="86"/>
      <c r="Q8" s="86"/>
      <c r="R8" s="86"/>
      <c r="S8" s="86"/>
      <c r="T8" s="86"/>
      <c r="U8" s="86"/>
    </row>
    <row r="9" spans="1:21" ht="54" customHeight="1">
      <c r="A9" s="87" t="s">
        <v>3404</v>
      </c>
      <c r="B9" s="90">
        <v>7</v>
      </c>
      <c r="C9" s="87" t="s">
        <v>3405</v>
      </c>
      <c r="D9" s="86"/>
      <c r="E9" s="87" t="s">
        <v>3406</v>
      </c>
      <c r="F9" s="91">
        <f>F01_UC2!B15</f>
        <v>3063626768</v>
      </c>
      <c r="G9" s="91">
        <f>IF($B$34="Hợp lệ",MAX(0,-G6),"Chưa tính")</f>
        <v>3063518220.9990759</v>
      </c>
      <c r="H9" s="87" t="s">
        <v>3407</v>
      </c>
      <c r="I9" s="86"/>
      <c r="J9" s="86"/>
      <c r="K9" s="86"/>
      <c r="L9" s="86"/>
      <c r="M9" s="86"/>
      <c r="N9" s="86"/>
      <c r="O9" s="86"/>
      <c r="P9" s="86"/>
      <c r="Q9" s="86"/>
      <c r="R9" s="86"/>
      <c r="S9" s="86"/>
      <c r="T9" s="86"/>
      <c r="U9" s="86"/>
    </row>
    <row r="10" spans="1:21" ht="54" customHeight="1">
      <c r="A10" s="87" t="s">
        <v>3408</v>
      </c>
      <c r="B10" s="93">
        <v>0.01</v>
      </c>
      <c r="C10" s="87" t="s">
        <v>3409</v>
      </c>
      <c r="D10" s="86"/>
      <c r="E10" s="87" t="s">
        <v>3410</v>
      </c>
      <c r="F10" s="91">
        <f>COUNTIF(I51:I141,"&gt;0")</f>
        <v>54</v>
      </c>
      <c r="G10" s="91">
        <f>IF($B$34="Hợp lệ",COUNTIF(J51:J141,"&gt;0"),"Chưa tính")</f>
        <v>50</v>
      </c>
      <c r="H10" s="87" t="s">
        <v>3411</v>
      </c>
      <c r="I10" s="86"/>
      <c r="J10" s="86"/>
      <c r="K10" s="86"/>
      <c r="L10" s="86"/>
      <c r="M10" s="86"/>
      <c r="N10" s="86"/>
      <c r="O10" s="86"/>
      <c r="P10" s="86"/>
      <c r="Q10" s="86"/>
      <c r="R10" s="86"/>
      <c r="S10" s="86"/>
      <c r="T10" s="86"/>
      <c r="U10" s="86"/>
    </row>
    <row r="11" spans="1:21" ht="54" customHeight="1">
      <c r="A11" s="87" t="s">
        <v>3412</v>
      </c>
      <c r="B11" s="90">
        <v>14</v>
      </c>
      <c r="C11" s="87" t="s">
        <v>3413</v>
      </c>
      <c r="D11" s="86"/>
      <c r="E11" s="87" t="s">
        <v>3414</v>
      </c>
      <c r="F11" s="91">
        <f>COUNTIF(B51:B141,"&lt;0")</f>
        <v>34</v>
      </c>
      <c r="G11" s="91">
        <f>IF($B$34="Hợp lệ",COUNTIF(H51:H141,"&lt;0"),"Chưa tính")</f>
        <v>26</v>
      </c>
      <c r="H11" s="87" t="s">
        <v>3415</v>
      </c>
      <c r="I11" s="86"/>
      <c r="J11" s="86"/>
      <c r="K11" s="86"/>
      <c r="L11" s="86"/>
      <c r="M11" s="86"/>
      <c r="N11" s="86"/>
      <c r="O11" s="86"/>
      <c r="P11" s="86"/>
      <c r="Q11" s="86"/>
      <c r="R11" s="86"/>
      <c r="S11" s="86"/>
      <c r="T11" s="86"/>
      <c r="U11" s="86"/>
    </row>
    <row r="12" spans="1:21" ht="54" customHeight="1">
      <c r="A12" s="87" t="s">
        <v>3416</v>
      </c>
      <c r="B12" s="90">
        <v>0</v>
      </c>
      <c r="C12" s="87" t="s">
        <v>3417</v>
      </c>
      <c r="D12" s="86"/>
      <c r="E12" s="87" t="s">
        <v>3418</v>
      </c>
      <c r="F12" s="91" t="str">
        <f>F01_UC2!B22</f>
        <v>Đỏ</v>
      </c>
      <c r="G12" s="91" t="str">
        <f>IF($B$34="Hợp lệ",CHOOSE(MAX(K51:K141)+1,"Không cảnh báo","Vàng","Cam","Đỏ"),"Chưa tính")</f>
        <v>Đỏ</v>
      </c>
      <c r="H12" s="87" t="s">
        <v>3419</v>
      </c>
      <c r="I12" s="86"/>
      <c r="J12" s="86"/>
      <c r="K12" s="86"/>
      <c r="L12" s="86"/>
      <c r="M12" s="86"/>
      <c r="N12" s="86"/>
      <c r="O12" s="86"/>
      <c r="P12" s="86"/>
      <c r="Q12" s="86"/>
      <c r="R12" s="86"/>
      <c r="S12" s="86"/>
      <c r="T12" s="86"/>
      <c r="U12" s="86"/>
    </row>
    <row r="13" spans="1:21" ht="54" customHeight="1">
      <c r="A13" s="87" t="s">
        <v>3420</v>
      </c>
      <c r="B13" s="90" t="s">
        <v>976</v>
      </c>
      <c r="C13" s="87" t="str">
        <f>IFERROR(INDEX(D_F01!B51:B59,MATCH(B13,D_F01!A51:A59,0))&amp;"; chỉ khoản Trả NCC","Không tìm thấy NCC")</f>
        <v>Nhà phân phối vải Beta (F02); chỉ khoản Trả NCC</v>
      </c>
      <c r="D13" s="86"/>
      <c r="E13" s="87" t="s">
        <v>3421</v>
      </c>
      <c r="F13" s="91">
        <f>F01_UC2!G160</f>
        <v>-3063626768</v>
      </c>
      <c r="G13" s="91">
        <f>IF($B$34="Hợp lệ",H141,"Chưa tính")</f>
        <v>-3063518220.9990759</v>
      </c>
      <c r="H13" s="87" t="s">
        <v>3422</v>
      </c>
      <c r="I13" s="86"/>
      <c r="J13" s="86"/>
      <c r="K13" s="86"/>
      <c r="L13" s="86"/>
      <c r="M13" s="86"/>
      <c r="N13" s="86"/>
      <c r="O13" s="86"/>
      <c r="P13" s="86"/>
      <c r="Q13" s="86"/>
      <c r="R13" s="86"/>
      <c r="S13" s="86"/>
      <c r="T13" s="86"/>
      <c r="U13" s="86"/>
    </row>
    <row r="14" spans="1:21" ht="54" customHeight="1">
      <c r="A14" s="87" t="s">
        <v>3423</v>
      </c>
      <c r="B14" s="93">
        <v>0.5</v>
      </c>
      <c r="C14" s="87" t="s">
        <v>3424</v>
      </c>
      <c r="D14" s="86"/>
      <c r="E14" s="87" t="s">
        <v>3425</v>
      </c>
      <c r="F14" s="91">
        <f>INDEX(B51:B141,MATCH($B$26,A51:A141,0))</f>
        <v>-3063626768</v>
      </c>
      <c r="G14" s="91">
        <f>IF($B$34="Hợp lệ",INDEX(H51:H141,MATCH($B$26,A51:A141,0)),"Chưa tính")</f>
        <v>-3063518220.9990759</v>
      </c>
      <c r="H14" s="87" t="s">
        <v>3426</v>
      </c>
      <c r="I14" s="86"/>
      <c r="J14" s="86"/>
      <c r="K14" s="86"/>
      <c r="L14" s="86"/>
      <c r="M14" s="86"/>
      <c r="N14" s="86"/>
      <c r="O14" s="86"/>
      <c r="P14" s="86"/>
      <c r="Q14" s="86"/>
      <c r="R14" s="86"/>
      <c r="S14" s="86"/>
      <c r="T14" s="86"/>
      <c r="U14" s="86"/>
    </row>
    <row r="15" spans="1:21" ht="54" customHeight="1">
      <c r="A15" s="87" t="s">
        <v>3427</v>
      </c>
      <c r="B15" s="90">
        <v>14</v>
      </c>
      <c r="C15" s="87" t="s">
        <v>3428</v>
      </c>
      <c r="D15" s="86"/>
      <c r="E15" s="87" t="s">
        <v>3429</v>
      </c>
      <c r="F15" s="91"/>
      <c r="G15" s="91">
        <f>IF($B$34="Hợp lệ",F8-G8,"Chưa tính")</f>
        <v>108547.00092411041</v>
      </c>
      <c r="H15" s="87" t="s">
        <v>3430</v>
      </c>
      <c r="I15" s="86"/>
      <c r="J15" s="86"/>
      <c r="K15" s="86"/>
      <c r="L15" s="86"/>
      <c r="M15" s="86"/>
      <c r="N15" s="86"/>
      <c r="O15" s="86"/>
      <c r="P15" s="86"/>
      <c r="Q15" s="86"/>
      <c r="R15" s="86"/>
      <c r="S15" s="86"/>
      <c r="T15" s="86"/>
      <c r="U15" s="86"/>
    </row>
    <row r="16" spans="1:21" ht="54" customHeight="1">
      <c r="A16" s="87" t="s">
        <v>3431</v>
      </c>
      <c r="B16" s="93">
        <v>5.0000000000000001E-3</v>
      </c>
      <c r="C16" s="87" t="s">
        <v>3432</v>
      </c>
      <c r="D16" s="86"/>
      <c r="E16" s="87" t="s">
        <v>3433</v>
      </c>
      <c r="F16" s="91"/>
      <c r="G16" s="91">
        <f>IF($B$34="Hợp lệ",SUM(L51:L141),"Chưa tính")</f>
        <v>0</v>
      </c>
      <c r="H16" s="87" t="s">
        <v>3434</v>
      </c>
      <c r="I16" s="86"/>
      <c r="J16" s="86"/>
      <c r="K16" s="86"/>
      <c r="L16" s="86"/>
      <c r="M16" s="86"/>
      <c r="N16" s="86"/>
      <c r="O16" s="86"/>
      <c r="P16" s="86"/>
      <c r="Q16" s="86"/>
      <c r="R16" s="86"/>
      <c r="S16" s="86"/>
      <c r="T16" s="86"/>
      <c r="U16" s="86"/>
    </row>
    <row r="17" spans="1:21" ht="54" customHeight="1">
      <c r="A17" s="87" t="s">
        <v>3435</v>
      </c>
      <c r="B17" s="90">
        <v>1</v>
      </c>
      <c r="C17" s="87" t="s">
        <v>3436</v>
      </c>
      <c r="D17" s="86"/>
      <c r="E17" s="87" t="s">
        <v>3437</v>
      </c>
      <c r="F17" s="91"/>
      <c r="G17" s="91">
        <f>IF($B$34="Hợp lệ",SUM(M51:M141),"Chưa tính")</f>
        <v>0</v>
      </c>
      <c r="H17" s="87" t="s">
        <v>3438</v>
      </c>
      <c r="I17" s="86"/>
      <c r="J17" s="86"/>
      <c r="K17" s="86"/>
      <c r="L17" s="86"/>
      <c r="M17" s="86"/>
      <c r="N17" s="86"/>
      <c r="O17" s="86"/>
      <c r="P17" s="86"/>
      <c r="Q17" s="86"/>
      <c r="R17" s="86"/>
      <c r="S17" s="86"/>
      <c r="T17" s="86"/>
      <c r="U17" s="86"/>
    </row>
    <row r="18" spans="1:21" ht="54" customHeight="1">
      <c r="A18" s="87" t="s">
        <v>3439</v>
      </c>
      <c r="B18" s="90" t="s">
        <v>1974</v>
      </c>
      <c r="C18" s="87" t="str">
        <f>IFERROR(INDEX(D_inventory!C5:C37,MATCH(B18,D_inventory!A5:A37,0))&amp;"; kiểm quyền sở hữu/cầm cố","Không tìm thấy lô")</f>
        <v>Thành phẩm bộ sưu tập mùa trước; kiểm quyền sở hữu/cầm cố</v>
      </c>
      <c r="D18" s="86"/>
      <c r="E18" s="87" t="s">
        <v>3440</v>
      </c>
      <c r="F18" s="91"/>
      <c r="G18" s="91">
        <f>IF($B$34="Hợp lệ",SUM(M151:M272),"Chưa tính")</f>
        <v>19116602.579999998</v>
      </c>
      <c r="H18" s="87" t="s">
        <v>3441</v>
      </c>
      <c r="I18" s="86"/>
      <c r="J18" s="86"/>
      <c r="K18" s="86"/>
      <c r="L18" s="86"/>
      <c r="M18" s="86"/>
      <c r="N18" s="86"/>
      <c r="O18" s="86"/>
      <c r="P18" s="86"/>
      <c r="Q18" s="86"/>
      <c r="R18" s="86"/>
      <c r="S18" s="86"/>
      <c r="T18" s="86"/>
      <c r="U18" s="86"/>
    </row>
    <row r="19" spans="1:21" ht="54" customHeight="1">
      <c r="A19" s="87" t="s">
        <v>3442</v>
      </c>
      <c r="B19" s="93">
        <v>0.5</v>
      </c>
      <c r="C19" s="87" t="s">
        <v>3443</v>
      </c>
      <c r="D19" s="86"/>
      <c r="E19" s="87" t="s">
        <v>3444</v>
      </c>
      <c r="F19" s="91"/>
      <c r="G19" s="91">
        <f>IF($B$34="Hợp lệ",SUM(Q151:Q272),"Chưa tính")</f>
        <v>698931.29249999998</v>
      </c>
      <c r="H19" s="87" t="s">
        <v>3445</v>
      </c>
      <c r="I19" s="86"/>
      <c r="J19" s="86"/>
      <c r="K19" s="86"/>
      <c r="L19" s="86"/>
      <c r="M19" s="86"/>
      <c r="N19" s="86"/>
      <c r="O19" s="86"/>
      <c r="P19" s="86"/>
      <c r="Q19" s="86"/>
      <c r="R19" s="86"/>
      <c r="S19" s="86"/>
      <c r="T19" s="86"/>
      <c r="U19" s="86"/>
    </row>
    <row r="20" spans="1:21" ht="54" customHeight="1">
      <c r="A20" s="87" t="s">
        <v>3446</v>
      </c>
      <c r="B20" s="93">
        <v>0.8</v>
      </c>
      <c r="C20" s="87" t="s">
        <v>3447</v>
      </c>
      <c r="D20" s="86"/>
      <c r="E20" s="87" t="s">
        <v>3448</v>
      </c>
      <c r="F20" s="91"/>
      <c r="G20" s="91">
        <f>IF($B$34="Hợp lệ",B47,"Chưa tính")</f>
        <v>406613.89537600003</v>
      </c>
      <c r="H20" s="87" t="s">
        <v>3449</v>
      </c>
      <c r="I20" s="86"/>
      <c r="J20" s="86"/>
      <c r="K20" s="86"/>
      <c r="L20" s="86"/>
      <c r="M20" s="86"/>
      <c r="N20" s="86"/>
      <c r="O20" s="86"/>
      <c r="P20" s="86"/>
      <c r="Q20" s="86"/>
      <c r="R20" s="86"/>
      <c r="S20" s="86"/>
      <c r="T20" s="86"/>
      <c r="U20" s="86"/>
    </row>
    <row r="21" spans="1:21" ht="54" customHeight="1">
      <c r="A21" s="87" t="s">
        <v>3450</v>
      </c>
      <c r="B21" s="90">
        <v>14</v>
      </c>
      <c r="C21" s="87" t="s">
        <v>3451</v>
      </c>
      <c r="D21" s="86"/>
      <c r="E21" s="87" t="s">
        <v>3452</v>
      </c>
      <c r="F21" s="91"/>
      <c r="G21" s="91">
        <f>IF($B$34="Hợp lệ",MAX(0,B45-B46),"Chưa tính")</f>
        <v>5082673.6921999976</v>
      </c>
      <c r="H21" s="87" t="s">
        <v>3453</v>
      </c>
      <c r="I21" s="86"/>
      <c r="J21" s="86"/>
      <c r="K21" s="86"/>
      <c r="L21" s="86"/>
      <c r="M21" s="86"/>
      <c r="N21" s="86"/>
      <c r="O21" s="86"/>
      <c r="P21" s="86"/>
      <c r="Q21" s="86"/>
      <c r="R21" s="86"/>
      <c r="S21" s="86"/>
      <c r="T21" s="86"/>
      <c r="U21" s="86"/>
    </row>
    <row r="22" spans="1:21" ht="54" customHeight="1">
      <c r="A22" s="87" t="s">
        <v>3454</v>
      </c>
      <c r="B22" s="93">
        <v>0.02</v>
      </c>
      <c r="C22" s="87" t="s">
        <v>3455</v>
      </c>
      <c r="D22" s="86"/>
      <c r="E22" s="87" t="s">
        <v>3456</v>
      </c>
      <c r="F22" s="91"/>
      <c r="G22" s="91">
        <f>IF($B$34="Hợp lệ",SUM(G18:G20),"Chưa tính")</f>
        <v>20222147.767875999</v>
      </c>
      <c r="H22" s="87" t="s">
        <v>3457</v>
      </c>
      <c r="I22" s="86"/>
      <c r="J22" s="86"/>
      <c r="K22" s="86"/>
      <c r="L22" s="86"/>
      <c r="M22" s="86"/>
      <c r="N22" s="86"/>
      <c r="O22" s="86"/>
      <c r="P22" s="86"/>
      <c r="Q22" s="86"/>
      <c r="R22" s="86"/>
      <c r="S22" s="86"/>
      <c r="T22" s="86"/>
      <c r="U22" s="86"/>
    </row>
    <row r="23" spans="1:21" ht="54" customHeight="1">
      <c r="A23" s="87" t="s">
        <v>3458</v>
      </c>
      <c r="B23" s="90">
        <v>21</v>
      </c>
      <c r="C23" s="87" t="s">
        <v>3459</v>
      </c>
      <c r="D23" s="86"/>
      <c r="E23" s="87" t="s">
        <v>3460</v>
      </c>
      <c r="F23" s="91"/>
      <c r="G23" s="91">
        <f>IF($B$34="Hợp lệ",G22+G21,"Chưa tính")</f>
        <v>25304821.460075997</v>
      </c>
      <c r="H23" s="87" t="s">
        <v>3461</v>
      </c>
      <c r="I23" s="86"/>
      <c r="J23" s="86"/>
      <c r="K23" s="86"/>
      <c r="L23" s="86"/>
      <c r="M23" s="86"/>
      <c r="N23" s="86"/>
      <c r="O23" s="86"/>
      <c r="P23" s="86"/>
      <c r="Q23" s="86"/>
      <c r="R23" s="86"/>
      <c r="S23" s="86"/>
      <c r="T23" s="86"/>
      <c r="U23" s="86"/>
    </row>
    <row r="24" spans="1:21" ht="54" customHeight="1">
      <c r="A24" s="87" t="s">
        <v>3462</v>
      </c>
      <c r="B24" s="90">
        <v>1</v>
      </c>
      <c r="C24" s="87" t="s">
        <v>3463</v>
      </c>
      <c r="D24" s="86"/>
      <c r="E24" s="87" t="s">
        <v>3464</v>
      </c>
      <c r="F24" s="91"/>
      <c r="G24" s="91">
        <f>IF($B$34="Hợp lệ",SUMIFS(P151:P272,O151:O272,"&gt;"&amp;F01_UC2!B7),"Chưa tính")</f>
        <v>0</v>
      </c>
      <c r="H24" s="87" t="s">
        <v>3465</v>
      </c>
      <c r="I24" s="86"/>
      <c r="J24" s="86"/>
      <c r="K24" s="86"/>
      <c r="L24" s="86"/>
      <c r="M24" s="86"/>
      <c r="N24" s="86"/>
      <c r="O24" s="86"/>
      <c r="P24" s="86"/>
      <c r="Q24" s="86"/>
      <c r="R24" s="86"/>
      <c r="S24" s="86"/>
      <c r="T24" s="86"/>
      <c r="U24" s="86"/>
    </row>
    <row r="25" spans="1:21" ht="54" customHeight="1">
      <c r="A25" s="87" t="s">
        <v>3466</v>
      </c>
      <c r="B25" s="93">
        <v>0.5</v>
      </c>
      <c r="C25" s="87" t="s">
        <v>3467</v>
      </c>
      <c r="D25" s="86"/>
      <c r="E25" s="87" t="s">
        <v>3468</v>
      </c>
      <c r="F25" s="91"/>
      <c r="G25" s="91">
        <f>IF($B$34="Hợp lệ",SUMIFS(L151:L272,K151:K272,"&gt;"&amp;F01_UC2!B7)+IF(B33&gt;F01_UC2!B7,B48,0),"Chưa tính")</f>
        <v>0</v>
      </c>
      <c r="H25" s="87" t="s">
        <v>3469</v>
      </c>
      <c r="I25" s="86"/>
      <c r="J25" s="86"/>
      <c r="K25" s="86"/>
      <c r="L25" s="86"/>
      <c r="M25" s="86"/>
      <c r="N25" s="86"/>
      <c r="O25" s="86"/>
      <c r="P25" s="86"/>
      <c r="Q25" s="86"/>
      <c r="R25" s="86"/>
      <c r="S25" s="86"/>
      <c r="T25" s="86"/>
      <c r="U25" s="86"/>
    </row>
    <row r="26" spans="1:21" ht="54" customHeight="1">
      <c r="A26" s="87" t="s">
        <v>3470</v>
      </c>
      <c r="B26" s="94">
        <f>F01_UC2!B13</f>
        <v>46283</v>
      </c>
      <c r="C26" s="87" t="s">
        <v>3471</v>
      </c>
      <c r="D26" s="86"/>
      <c r="E26" s="87" t="s">
        <v>3472</v>
      </c>
      <c r="F26" s="91" t="str">
        <f>F01_UC1!B30</f>
        <v>W1</v>
      </c>
      <c r="G26" s="91" t="str">
        <f>IF($B$34="Hợp lệ",F01_UC1!B30,"Chưa tính")</f>
        <v>W1</v>
      </c>
      <c r="H26" s="87" t="s">
        <v>3473</v>
      </c>
      <c r="I26" s="86"/>
      <c r="J26" s="86"/>
      <c r="K26" s="86"/>
      <c r="L26" s="86"/>
      <c r="M26" s="86"/>
      <c r="N26" s="86"/>
      <c r="O26" s="86"/>
      <c r="P26" s="86"/>
      <c r="Q26" s="86"/>
      <c r="R26" s="86"/>
      <c r="S26" s="86"/>
      <c r="T26" s="86"/>
      <c r="U26" s="86"/>
    </row>
    <row r="27" spans="1:21" ht="54" customHeight="1">
      <c r="A27" s="87" t="s">
        <v>3474</v>
      </c>
      <c r="B27" s="90">
        <v>1</v>
      </c>
      <c r="C27" s="87" t="s">
        <v>3475</v>
      </c>
      <c r="D27" s="86"/>
      <c r="E27" s="87" t="s">
        <v>3476</v>
      </c>
      <c r="F27" s="91" t="str">
        <f>F01_UC2!B23</f>
        <v>TH01</v>
      </c>
      <c r="G27" s="91" t="str">
        <f>IF($B$34="Hợp lệ",IF(MIN(H51:H141)&lt;F01_UC2!B10,"TH01",IF(MAX(N51:N141)&gt;=Nguong!B65,"TH03","TH02")),"Chưa tính")</f>
        <v>TH01</v>
      </c>
      <c r="H27" s="87" t="s">
        <v>3477</v>
      </c>
      <c r="I27" s="86"/>
      <c r="J27" s="86"/>
      <c r="K27" s="86"/>
      <c r="L27" s="86"/>
      <c r="M27" s="86"/>
      <c r="N27" s="86"/>
      <c r="O27" s="86"/>
      <c r="P27" s="86"/>
      <c r="Q27" s="86"/>
      <c r="R27" s="86"/>
      <c r="S27" s="86"/>
      <c r="T27" s="86"/>
      <c r="U27" s="86"/>
    </row>
    <row r="28" spans="1:21" ht="54" customHeight="1">
      <c r="A28" s="87" t="s">
        <v>3478</v>
      </c>
      <c r="B28" s="87">
        <f>IF(B5=0,0,IF(OR(B5=2,B5=5),B8*B25,B8))</f>
        <v>0.5</v>
      </c>
      <c r="C28" s="87" t="s">
        <v>3479</v>
      </c>
      <c r="D28" s="86"/>
      <c r="E28" s="87" t="s">
        <v>3480</v>
      </c>
      <c r="F28" s="91" t="str">
        <f>F01_UC2!B24</f>
        <v>M4</v>
      </c>
      <c r="G28" s="91" t="str">
        <f>IF($B$34="Hợp lệ",IF(F01_UC1!B30="unknown","n.a.","M"&amp;(VALUE(RIGHT(F01_UC1!B30,1))*3+VALUE(RIGHT(G27,1)))),"Chưa tính")</f>
        <v>M4</v>
      </c>
      <c r="H28" s="87" t="s">
        <v>3481</v>
      </c>
      <c r="I28" s="86"/>
      <c r="J28" s="86"/>
      <c r="K28" s="86"/>
      <c r="L28" s="86"/>
      <c r="M28" s="86"/>
      <c r="N28" s="86"/>
      <c r="O28" s="86"/>
      <c r="P28" s="86"/>
      <c r="Q28" s="86"/>
      <c r="R28" s="86"/>
      <c r="S28" s="86"/>
      <c r="T28" s="86"/>
      <c r="U28" s="86"/>
    </row>
    <row r="29" spans="1:21" ht="54" customHeight="1">
      <c r="A29" s="87" t="s">
        <v>3482</v>
      </c>
      <c r="B29" s="87">
        <f>IF(B5=6,B11,-B9)</f>
        <v>-7</v>
      </c>
      <c r="C29" s="87" t="s">
        <v>3483</v>
      </c>
      <c r="D29" s="86"/>
      <c r="E29" s="87" t="s">
        <v>3484</v>
      </c>
      <c r="F29" s="91"/>
      <c r="G29" s="91">
        <f>IF($B$34="Hợp lệ",SUM(J151:J272),"Chưa tính")</f>
        <v>1911660258</v>
      </c>
      <c r="H29" s="87" t="s">
        <v>3485</v>
      </c>
      <c r="I29" s="86"/>
      <c r="J29" s="86"/>
      <c r="K29" s="86"/>
      <c r="L29" s="86"/>
      <c r="M29" s="86"/>
      <c r="N29" s="86"/>
      <c r="O29" s="86"/>
      <c r="P29" s="86"/>
      <c r="Q29" s="86"/>
      <c r="R29" s="86"/>
      <c r="S29" s="86"/>
      <c r="T29" s="86"/>
      <c r="U29" s="86"/>
    </row>
    <row r="30" spans="1:21" ht="54" customHeight="1">
      <c r="A30" s="87" t="s">
        <v>3486</v>
      </c>
      <c r="B30" s="87">
        <f>IF(B5=6,0,B10)</f>
        <v>0.01</v>
      </c>
      <c r="C30" s="87" t="s">
        <v>3487</v>
      </c>
      <c r="D30" s="86"/>
      <c r="E30" s="87" t="s">
        <v>3488</v>
      </c>
      <c r="F30" s="91"/>
      <c r="G30" s="91">
        <f>IF($B$34="Hợp lệ",SUM(N151:N272),"Chưa tính")</f>
        <v>139786258.5</v>
      </c>
      <c r="H30" s="87" t="s">
        <v>3489</v>
      </c>
      <c r="I30" s="86"/>
      <c r="J30" s="86"/>
      <c r="K30" s="86"/>
      <c r="L30" s="86"/>
      <c r="M30" s="86"/>
      <c r="N30" s="86"/>
      <c r="O30" s="86"/>
      <c r="P30" s="86"/>
      <c r="Q30" s="86"/>
      <c r="R30" s="86"/>
      <c r="S30" s="86"/>
      <c r="T30" s="86"/>
      <c r="U30" s="86"/>
    </row>
    <row r="31" spans="1:21" ht="54" customHeight="1">
      <c r="A31" s="87" t="s">
        <v>3490</v>
      </c>
      <c r="B31" s="87">
        <f>IF(OR(B5=0,B5=3,B5=5,B5=6),0,B14)</f>
        <v>0.5</v>
      </c>
      <c r="C31" s="87" t="s">
        <v>3491</v>
      </c>
      <c r="D31" s="86"/>
      <c r="E31" s="87" t="s">
        <v>3492</v>
      </c>
      <c r="F31" s="91"/>
      <c r="G31" s="91">
        <f>IF($B$34="Hợp lệ",B48,"Chưa tính")</f>
        <v>19924080.873424001</v>
      </c>
      <c r="H31" s="87" t="s">
        <v>3493</v>
      </c>
      <c r="I31" s="86"/>
      <c r="J31" s="86"/>
      <c r="K31" s="86"/>
      <c r="L31" s="86"/>
      <c r="M31" s="86"/>
      <c r="N31" s="86"/>
      <c r="O31" s="86"/>
      <c r="P31" s="86"/>
      <c r="Q31" s="86"/>
      <c r="R31" s="86"/>
      <c r="S31" s="86"/>
      <c r="T31" s="86"/>
      <c r="U31" s="86"/>
    </row>
    <row r="32" spans="1:21" ht="54" customHeight="1">
      <c r="A32" s="87" t="s">
        <v>3494</v>
      </c>
      <c r="B32" s="87">
        <f>IF(OR(B5=0,B5=6),0,B19)</f>
        <v>0.5</v>
      </c>
      <c r="C32" s="87" t="s">
        <v>3495</v>
      </c>
      <c r="D32" s="86"/>
      <c r="E32" s="87" t="s">
        <v>3496</v>
      </c>
      <c r="F32" s="92">
        <f>F01_UC2!B20</f>
        <v>46203</v>
      </c>
      <c r="G32" s="92">
        <f>IF($B$34="Hợp lệ",IF(COUNTIF(J51:J141,"&gt;0")=0,"Không có",_xlfn.MINIFS(A51:A141,J51:J141,"&gt;0")),"Chưa tính")</f>
        <v>46203</v>
      </c>
      <c r="H32" s="87" t="s">
        <v>3497</v>
      </c>
      <c r="I32" s="86"/>
      <c r="J32" s="86"/>
      <c r="K32" s="86"/>
      <c r="L32" s="86"/>
      <c r="M32" s="86"/>
      <c r="N32" s="86"/>
      <c r="O32" s="86"/>
      <c r="P32" s="86"/>
      <c r="Q32" s="86"/>
      <c r="R32" s="86"/>
      <c r="S32" s="86"/>
      <c r="T32" s="86"/>
      <c r="U32" s="86"/>
    </row>
    <row r="33" spans="1:21" ht="54" customHeight="1">
      <c r="A33" s="87" t="s">
        <v>3498</v>
      </c>
      <c r="B33" s="92">
        <f>F01_UC2!B6+B21+IF(OR(B5=4,B5=5),B23,0)</f>
        <v>46208</v>
      </c>
      <c r="C33" s="87" t="s">
        <v>3499</v>
      </c>
      <c r="D33" s="86"/>
      <c r="E33" s="87" t="s">
        <v>3500</v>
      </c>
      <c r="F33" s="95"/>
      <c r="G33" s="95">
        <f>IF($B$34="Hợp lệ",IF(F01_UC1!B5&lt;=0,"n.a.",SUMPRODUCT(J151:J272,F151:F272-K151:K272)/F01_UC1!B5),"Chưa tính")</f>
        <v>0.43395134976666666</v>
      </c>
      <c r="H33" s="87" t="s">
        <v>3501</v>
      </c>
      <c r="I33" s="86"/>
      <c r="J33" s="86"/>
      <c r="K33" s="86"/>
      <c r="L33" s="86"/>
      <c r="M33" s="86"/>
      <c r="N33" s="86"/>
      <c r="O33" s="86"/>
      <c r="P33" s="86"/>
      <c r="Q33" s="86"/>
      <c r="R33" s="86"/>
      <c r="S33" s="86"/>
      <c r="T33" s="86"/>
      <c r="U33" s="86"/>
    </row>
    <row r="34" spans="1:21" ht="54" customHeight="1">
      <c r="A34" s="87" t="s">
        <v>3502</v>
      </c>
      <c r="B34" s="87" t="str">
        <f>IF(OR(B5&lt;0,B5&gt;6,MOD(B5,1)&lt;&gt;0,COUNT(B5,B8:B12,B14:B17,B19:B27)&lt;&gt;19,B8&lt;0,B8&gt;1,B14&lt;0,B14&gt;1,B19&lt;0,B19&gt;1,B20&lt;0,B20&gt;1,B10&lt;0,B10&gt;1,B16&lt;0,B16&gt;1,B22&lt;0,B22&gt;1,B25&lt;0,B25&gt;1,B9&lt;0,MOD(B9,1)&lt;&gt;0,B11&lt;0,MOD(B11,1)&lt;&gt;0,B15&lt;0,MOD(B15,1)&lt;&gt;0,B21&lt;0,MOD(B21,1)&lt;&gt;0,B23&lt;0,MOD(B23,1)&lt;&gt;0,B12&lt;0,B12&gt;1,MOD(B12,1)&lt;&gt;0,B17&lt;0,B17&gt;1,MOD(B17,1)&lt;&gt;0,B24&lt;0,B24&gt;1,MOD(B24,1)&lt;&gt;0,B27&lt;=0,B26&lt;F01_UC2!B6,B26&gt;F01_UC2!B7,D_F01!B15&lt;0,D_F01!B16&lt;=0,D_F01!B15&gt;D_F01!B16,D_F01!B16&gt;D_F01!B17),"LỖI tham số",IF(OR(COUNTIF(D_sales!C5:C115,B7)=0,COUNTIF(D_purchases!C5:C131,B13)=0),"LỖI ID đối tác",IF(AND(B32&gt;0,OR(B38&lt;&gt;D_F01!B5,B39&lt;&gt;"không",B24&lt;&gt;1)),"CHẶN lô hàng",IF(AND(B31&gt;0,B15&gt;0,B17&lt;&gt;1,COUNTIFS(F01_UC2!C220:C341,B13,F01_UC2!P220:P341,"Trả NCC",F01_UC2!Q220:Q341,1)&gt;0),"CHẶN NCC thiết yếu","Hợp lệ"))))</f>
        <v>Hợp lệ</v>
      </c>
      <c r="C34" s="87" t="s">
        <v>3503</v>
      </c>
      <c r="D34" s="86"/>
      <c r="E34" s="87" t="s">
        <v>3504</v>
      </c>
      <c r="F34" s="95"/>
      <c r="G34" s="95">
        <f>IF($B$34="Hợp lệ",IF(F01_UC1!B6&lt;=0,"n.a.",SUMPRODUCT(N151:N272,O151:O272-F151:F272)/F01_UC1!B6),"Chưa tính")</f>
        <v>8.1541984124999994E-2</v>
      </c>
      <c r="H34" s="87" t="s">
        <v>3505</v>
      </c>
      <c r="I34" s="86"/>
      <c r="J34" s="86"/>
      <c r="K34" s="86"/>
      <c r="L34" s="86"/>
      <c r="M34" s="86"/>
      <c r="N34" s="86"/>
      <c r="O34" s="86"/>
      <c r="P34" s="86"/>
      <c r="Q34" s="86"/>
      <c r="R34" s="86"/>
      <c r="S34" s="86"/>
      <c r="T34" s="86"/>
      <c r="U34" s="86"/>
    </row>
    <row r="35" spans="1:21" ht="54" customHeight="1">
      <c r="A35" s="87" t="s">
        <v>3506</v>
      </c>
      <c r="B35" s="87" t="str">
        <f>F01_UC2!B5</f>
        <v>Base</v>
      </c>
      <c r="C35" s="87" t="s">
        <v>3507</v>
      </c>
      <c r="D35" s="86"/>
      <c r="E35" s="87" t="s">
        <v>3135</v>
      </c>
      <c r="F35" s="95">
        <f>F01_UC1!B15</f>
        <v>41.114754100650003</v>
      </c>
      <c r="G35" s="95">
        <f>IF($B$34="Hợp lệ",F01_UC1!B15,"Chưa tính")</f>
        <v>41.114754100650003</v>
      </c>
      <c r="H35" s="87" t="s">
        <v>3508</v>
      </c>
      <c r="I35" s="86"/>
      <c r="J35" s="86"/>
      <c r="K35" s="86"/>
      <c r="L35" s="86"/>
      <c r="M35" s="86"/>
      <c r="N35" s="86"/>
      <c r="O35" s="86"/>
      <c r="P35" s="86"/>
      <c r="Q35" s="86"/>
      <c r="R35" s="86"/>
      <c r="S35" s="86"/>
      <c r="T35" s="86"/>
      <c r="U35" s="86"/>
    </row>
    <row r="36" spans="1:21" ht="54" customHeight="1">
      <c r="A36" s="87" t="s">
        <v>3509</v>
      </c>
      <c r="B36" s="87" t="str">
        <f>D_F01!B22</f>
        <v>F01-20260620-SYN171-v1</v>
      </c>
      <c r="C36" s="87" t="s">
        <v>3510</v>
      </c>
      <c r="D36" s="86"/>
      <c r="E36" s="87" t="s">
        <v>3511</v>
      </c>
      <c r="F36" s="91"/>
      <c r="G36" s="91" t="str">
        <f>IF($B$34="Hợp lệ",IF(G24&gt;0,"Chưa đủ đánh giá: có nợ sau kỳ",IF(G8&lt;=B27,"Không thiếu trong phạm vi mô phỏng",IF(G17&gt;0,"Có ngày thiếu xấu đi",IF(OR(G15&gt;B27,G10&lt;F10,MAX(O51:O141)&gt;B27),"Cải thiện một phần","Không cải thiện")))),"Chưa tính")</f>
        <v>Cải thiện một phần</v>
      </c>
      <c r="H36" s="87" t="s">
        <v>3512</v>
      </c>
      <c r="I36" s="86"/>
      <c r="J36" s="86"/>
      <c r="K36" s="86"/>
      <c r="L36" s="86"/>
      <c r="M36" s="86"/>
      <c r="N36" s="86"/>
      <c r="O36" s="86"/>
      <c r="P36" s="86"/>
      <c r="Q36" s="86"/>
      <c r="R36" s="86"/>
      <c r="S36" s="86"/>
      <c r="T36" s="86"/>
      <c r="U36" s="86"/>
    </row>
    <row r="37" spans="1:21" ht="54" customHeight="1">
      <c r="A37" s="87" t="s">
        <v>3513</v>
      </c>
      <c r="B37" s="96">
        <f>IFERROR(INDEX(D_inventory!O5:O37,MATCH(B18,D_inventory!A5:A37,0)),0)</f>
        <v>50826736.921999998</v>
      </c>
      <c r="C37" s="87" t="s">
        <v>3514</v>
      </c>
      <c r="D37" s="86"/>
      <c r="E37" s="87" t="s">
        <v>1049</v>
      </c>
      <c r="F37" s="91"/>
      <c r="G37" s="91" t="str">
        <f>IF($B$34="Hợp lệ","provisional","Chưa tính")</f>
        <v>provisional</v>
      </c>
      <c r="H37" s="87" t="s">
        <v>3515</v>
      </c>
      <c r="I37" s="86"/>
      <c r="J37" s="86"/>
      <c r="K37" s="86"/>
      <c r="L37" s="86"/>
      <c r="M37" s="86"/>
      <c r="N37" s="86"/>
      <c r="O37" s="86"/>
      <c r="P37" s="86"/>
      <c r="Q37" s="86"/>
      <c r="R37" s="86"/>
      <c r="S37" s="86"/>
      <c r="T37" s="86"/>
      <c r="U37" s="86"/>
    </row>
    <row r="38" spans="1:21" ht="54" customHeight="1">
      <c r="A38" s="87" t="s">
        <v>3516</v>
      </c>
      <c r="B38" s="87" t="str">
        <f>IFERROR(INDEX(D_inventory!E5:E37,MATCH(B18,D_inventory!A5:A37,0)),"Không tìm thấy")</f>
        <v>F01</v>
      </c>
      <c r="C38" s="87" t="s">
        <v>3517</v>
      </c>
      <c r="D38" s="86"/>
      <c r="E38" s="87" t="s">
        <v>3518</v>
      </c>
      <c r="F38" s="91"/>
      <c r="G38" s="91">
        <f>IF($B$34="Hợp lệ",COUNTIFS(J151:J272,"&gt;0",G151:G272,"&gt;0"),"Chưa tính")</f>
        <v>0</v>
      </c>
      <c r="H38" s="87" t="s">
        <v>3519</v>
      </c>
      <c r="I38" s="86"/>
      <c r="J38" s="86"/>
      <c r="K38" s="86"/>
      <c r="L38" s="86"/>
      <c r="M38" s="86"/>
      <c r="N38" s="86"/>
      <c r="O38" s="86"/>
      <c r="P38" s="86"/>
      <c r="Q38" s="86"/>
      <c r="R38" s="86"/>
      <c r="S38" s="86"/>
      <c r="T38" s="86"/>
      <c r="U38" s="86"/>
    </row>
    <row r="39" spans="1:21" ht="54" customHeight="1">
      <c r="A39" s="87" t="s">
        <v>3520</v>
      </c>
      <c r="B39" s="87" t="str">
        <f>IFERROR(INDEX(D_inventory!M5:M37,MATCH(B18,D_inventory!A5:A37,0)),"Không tìm thấy")</f>
        <v>không</v>
      </c>
      <c r="C39" s="87" t="s">
        <v>3521</v>
      </c>
      <c r="D39" s="86"/>
      <c r="E39" s="87" t="s">
        <v>3522</v>
      </c>
      <c r="F39" s="91">
        <f>F01_UC2!B10</f>
        <v>500000000</v>
      </c>
      <c r="G39" s="91">
        <f>IF($B$34="Hợp lệ",F01_UC2!B10,"Chưa tính")</f>
        <v>500000000</v>
      </c>
      <c r="H39" s="87" t="s">
        <v>3523</v>
      </c>
      <c r="I39" s="86"/>
      <c r="J39" s="86"/>
      <c r="K39" s="86"/>
      <c r="L39" s="86"/>
      <c r="M39" s="86"/>
      <c r="N39" s="86"/>
      <c r="O39" s="86"/>
      <c r="P39" s="86"/>
      <c r="Q39" s="86"/>
      <c r="R39" s="86"/>
      <c r="S39" s="86"/>
      <c r="T39" s="86"/>
      <c r="U39" s="86"/>
    </row>
    <row r="40" spans="1:21" ht="54" customHeight="1">
      <c r="A40" s="87" t="s">
        <v>3524</v>
      </c>
      <c r="B40" s="87" t="s">
        <v>803</v>
      </c>
      <c r="C40" s="87" t="s">
        <v>3525</v>
      </c>
      <c r="D40" s="86"/>
      <c r="E40" s="87" t="s">
        <v>742</v>
      </c>
      <c r="F40" s="87" t="s">
        <v>3526</v>
      </c>
      <c r="G40" s="87" t="s">
        <v>3527</v>
      </c>
      <c r="H40" s="87" t="s">
        <v>3528</v>
      </c>
      <c r="I40" s="86"/>
      <c r="J40" s="86"/>
      <c r="K40" s="86"/>
      <c r="L40" s="86"/>
      <c r="M40" s="86"/>
      <c r="N40" s="86"/>
      <c r="O40" s="86"/>
      <c r="P40" s="86"/>
      <c r="Q40" s="86"/>
      <c r="R40" s="86"/>
      <c r="S40" s="86"/>
      <c r="T40" s="86"/>
      <c r="U40" s="86"/>
    </row>
    <row r="41" spans="1:21">
      <c r="A41" s="86"/>
      <c r="B41" s="86"/>
      <c r="C41" s="86"/>
      <c r="D41" s="86"/>
      <c r="E41" s="86"/>
      <c r="F41" s="86"/>
      <c r="G41" s="86"/>
      <c r="H41" s="86"/>
      <c r="I41" s="86"/>
      <c r="J41" s="86"/>
      <c r="K41" s="86"/>
      <c r="L41" s="86"/>
      <c r="M41" s="86"/>
      <c r="N41" s="86"/>
      <c r="O41" s="86"/>
      <c r="P41" s="86"/>
      <c r="Q41" s="86"/>
      <c r="R41" s="86"/>
      <c r="S41" s="86"/>
      <c r="T41" s="86"/>
      <c r="U41" s="86"/>
    </row>
    <row r="42" spans="1:21">
      <c r="A42" s="86"/>
      <c r="B42" s="86"/>
      <c r="C42" s="86"/>
      <c r="D42" s="86"/>
      <c r="E42" s="86"/>
      <c r="F42" s="86"/>
      <c r="G42" s="86"/>
      <c r="H42" s="86"/>
      <c r="I42" s="86"/>
      <c r="J42" s="86"/>
      <c r="K42" s="86"/>
      <c r="L42" s="86"/>
      <c r="M42" s="86"/>
      <c r="N42" s="86"/>
      <c r="O42" s="86"/>
      <c r="P42" s="86"/>
      <c r="Q42" s="86"/>
      <c r="R42" s="86"/>
      <c r="S42" s="86"/>
      <c r="T42" s="86"/>
      <c r="U42" s="86"/>
    </row>
    <row r="43" spans="1:21">
      <c r="A43" s="86"/>
      <c r="B43" s="86"/>
      <c r="C43" s="86"/>
      <c r="D43" s="86"/>
      <c r="E43" s="86"/>
      <c r="F43" s="86"/>
      <c r="G43" s="86"/>
      <c r="H43" s="86"/>
      <c r="I43" s="86"/>
      <c r="J43" s="86"/>
      <c r="K43" s="86"/>
      <c r="L43" s="86"/>
      <c r="M43" s="86"/>
      <c r="N43" s="86"/>
      <c r="O43" s="86"/>
      <c r="P43" s="86"/>
      <c r="Q43" s="86"/>
      <c r="R43" s="86"/>
      <c r="S43" s="86"/>
      <c r="T43" s="86"/>
      <c r="U43" s="86"/>
    </row>
    <row r="44" spans="1:21" ht="30" customHeight="1">
      <c r="A44" s="102" t="s">
        <v>3529</v>
      </c>
      <c r="B44" s="102" t="s">
        <v>828</v>
      </c>
      <c r="C44" s="102" t="s">
        <v>3387</v>
      </c>
      <c r="D44" s="86"/>
      <c r="E44" s="86"/>
      <c r="F44" s="86"/>
      <c r="G44" s="86"/>
      <c r="H44" s="86"/>
      <c r="I44" s="86"/>
      <c r="J44" s="86"/>
      <c r="K44" s="86"/>
      <c r="L44" s="86"/>
      <c r="M44" s="86"/>
      <c r="N44" s="86"/>
      <c r="O44" s="86"/>
      <c r="P44" s="86"/>
      <c r="Q44" s="86"/>
      <c r="R44" s="86"/>
      <c r="S44" s="86"/>
      <c r="T44" s="86"/>
      <c r="U44" s="86"/>
    </row>
    <row r="45" spans="1:21">
      <c r="A45" s="86" t="s">
        <v>3530</v>
      </c>
      <c r="B45" s="97">
        <f>IF(B34="Hợp lệ",B37*B32,0)</f>
        <v>25413368.460999999</v>
      </c>
      <c r="C45" s="86" t="s">
        <v>3531</v>
      </c>
      <c r="D45" s="86"/>
      <c r="E45" s="86"/>
      <c r="F45" s="86"/>
      <c r="G45" s="86"/>
      <c r="H45" s="86"/>
      <c r="I45" s="86"/>
      <c r="J45" s="86"/>
      <c r="K45" s="86"/>
      <c r="L45" s="86"/>
      <c r="M45" s="86"/>
      <c r="N45" s="86"/>
      <c r="O45" s="86"/>
      <c r="P45" s="86"/>
      <c r="Q45" s="86"/>
      <c r="R45" s="86"/>
      <c r="S45" s="86"/>
      <c r="T45" s="86"/>
      <c r="U45" s="86"/>
    </row>
    <row r="46" spans="1:21">
      <c r="A46" s="86" t="s">
        <v>3532</v>
      </c>
      <c r="B46" s="97">
        <f>B45*B20</f>
        <v>20330694.768800002</v>
      </c>
      <c r="C46" s="86" t="s">
        <v>3533</v>
      </c>
      <c r="D46" s="86"/>
      <c r="E46" s="86"/>
      <c r="F46" s="86"/>
      <c r="G46" s="86"/>
      <c r="H46" s="86"/>
      <c r="I46" s="86"/>
      <c r="J46" s="86"/>
      <c r="K46" s="86"/>
      <c r="L46" s="86"/>
      <c r="M46" s="86"/>
      <c r="N46" s="86"/>
      <c r="O46" s="86"/>
      <c r="P46" s="86"/>
      <c r="Q46" s="86"/>
      <c r="R46" s="86"/>
      <c r="S46" s="86"/>
      <c r="T46" s="86"/>
      <c r="U46" s="86"/>
    </row>
    <row r="47" spans="1:21">
      <c r="A47" s="86" t="s">
        <v>3534</v>
      </c>
      <c r="B47" s="97">
        <f>B46*B22</f>
        <v>406613.89537600003</v>
      </c>
      <c r="C47" s="86" t="s">
        <v>3535</v>
      </c>
      <c r="D47" s="86"/>
      <c r="E47" s="86"/>
      <c r="F47" s="86"/>
      <c r="G47" s="86"/>
      <c r="H47" s="86"/>
      <c r="I47" s="86"/>
      <c r="J47" s="86"/>
      <c r="K47" s="86"/>
      <c r="L47" s="86"/>
      <c r="M47" s="86"/>
      <c r="N47" s="86"/>
      <c r="O47" s="86"/>
      <c r="P47" s="86"/>
      <c r="Q47" s="86"/>
      <c r="R47" s="86"/>
      <c r="S47" s="86"/>
      <c r="T47" s="86"/>
      <c r="U47" s="86"/>
    </row>
    <row r="48" spans="1:21">
      <c r="A48" s="86" t="s">
        <v>3536</v>
      </c>
      <c r="B48" s="97">
        <f>B46-B47</f>
        <v>19924080.873424001</v>
      </c>
      <c r="C48" s="86" t="s">
        <v>3537</v>
      </c>
      <c r="D48" s="86"/>
      <c r="E48" s="86"/>
      <c r="F48" s="86"/>
      <c r="G48" s="86"/>
      <c r="H48" s="86"/>
      <c r="I48" s="86"/>
      <c r="J48" s="86"/>
      <c r="K48" s="86"/>
      <c r="L48" s="86"/>
      <c r="M48" s="86"/>
      <c r="N48" s="86"/>
      <c r="O48" s="86"/>
      <c r="P48" s="86"/>
      <c r="Q48" s="86"/>
      <c r="R48" s="86"/>
      <c r="S48" s="86"/>
      <c r="T48" s="86"/>
      <c r="U48" s="86"/>
    </row>
    <row r="49" spans="1:21">
      <c r="A49" s="86"/>
      <c r="B49" s="86"/>
      <c r="C49" s="86"/>
      <c r="D49" s="86"/>
      <c r="E49" s="86"/>
      <c r="F49" s="86"/>
      <c r="G49" s="86"/>
      <c r="H49" s="86"/>
      <c r="I49" s="86"/>
      <c r="J49" s="86"/>
      <c r="K49" s="86"/>
      <c r="L49" s="86"/>
      <c r="M49" s="86"/>
      <c r="N49" s="86"/>
      <c r="O49" s="86"/>
      <c r="P49" s="86"/>
      <c r="Q49" s="86"/>
      <c r="R49" s="86"/>
      <c r="S49" s="86"/>
      <c r="T49" s="86"/>
      <c r="U49" s="86"/>
    </row>
    <row r="50" spans="1:21" ht="30" customHeight="1">
      <c r="A50" s="102" t="s">
        <v>372</v>
      </c>
      <c r="B50" s="102" t="s">
        <v>3538</v>
      </c>
      <c r="C50" s="102" t="s">
        <v>3539</v>
      </c>
      <c r="D50" s="102" t="s">
        <v>3540</v>
      </c>
      <c r="E50" s="102" t="s">
        <v>3541</v>
      </c>
      <c r="F50" s="102" t="s">
        <v>3542</v>
      </c>
      <c r="G50" s="102" t="s">
        <v>3543</v>
      </c>
      <c r="H50" s="102" t="s">
        <v>3544</v>
      </c>
      <c r="I50" s="102" t="s">
        <v>3545</v>
      </c>
      <c r="J50" s="102" t="s">
        <v>3546</v>
      </c>
      <c r="K50" s="102" t="s">
        <v>3547</v>
      </c>
      <c r="L50" s="102" t="s">
        <v>3548</v>
      </c>
      <c r="M50" s="102" t="s">
        <v>3549</v>
      </c>
      <c r="N50" s="102" t="s">
        <v>3550</v>
      </c>
      <c r="O50" s="102" t="s">
        <v>3551</v>
      </c>
      <c r="P50" s="86"/>
      <c r="Q50" s="86"/>
      <c r="R50" s="86"/>
      <c r="S50" s="86"/>
      <c r="T50" s="86"/>
      <c r="U50" s="86"/>
    </row>
    <row r="51" spans="1:21" ht="22.95" customHeight="1">
      <c r="A51" s="98">
        <f>F01_UC2!A70</f>
        <v>46194</v>
      </c>
      <c r="B51" s="99">
        <f>F01_UC2!G70</f>
        <v>1173205255</v>
      </c>
      <c r="C51" s="99">
        <f t="shared" ref="C51:C82" si="0">SUMIFS($L$151:$L$272,$K$151:$K$272,A51)-SUMIFS($J$151:$J$272,$F$151:$F$272,A51)</f>
        <v>159621522.38999999</v>
      </c>
      <c r="D51" s="99">
        <f t="shared" ref="D51:D82" si="1">SUMIFS($N$151:$N$272,$F$151:$F$272,A51)-SUMIFS($P$151:$P$272,$O$151:$O$272,A51)</f>
        <v>0</v>
      </c>
      <c r="E51" s="99">
        <f t="shared" ref="E51:E82" si="2">IF(A51=$B$33,$B$48,0)</f>
        <v>0</v>
      </c>
      <c r="F51" s="99">
        <f t="shared" ref="F51:F82" si="3">SUM(C51:E51)</f>
        <v>159621522.38999999</v>
      </c>
      <c r="G51" s="99">
        <f>SUM($F$51:F51)</f>
        <v>159621522.38999999</v>
      </c>
      <c r="H51" s="99">
        <f t="shared" ref="H51:H82" si="4">IF($B$34="Hợp lệ",B51+G51,"Chưa tính")</f>
        <v>1332826777.3899999</v>
      </c>
      <c r="I51" s="99">
        <f>F01_UC2!H70</f>
        <v>0</v>
      </c>
      <c r="J51" s="99">
        <f>IF($B$34="Hợp lệ",MAX(0,F01_UC2!$B$10-H51),"Chưa tính")</f>
        <v>0</v>
      </c>
      <c r="K51" s="86">
        <f>IF($B$34&lt;&gt;"Hợp lệ","Chưa tính",IF(OR(H51&lt;0,H51&lt;F01_UC2!$B$9,J51/F01_UC2!$B$10&gt;Nguong!$B$63),3,IF(J51/F01_UC2!$B$10&gt;Nguong!$B$62,2,IF(J51&gt;0,1,0))))</f>
        <v>0</v>
      </c>
      <c r="L51" s="86">
        <f t="shared" ref="L51:L82" si="5">IF($B$34="Hợp lệ",IF(AND(I51=0,J51&gt;$B$27),1,0),"Chưa tính")</f>
        <v>0</v>
      </c>
      <c r="M51" s="86">
        <f t="shared" ref="M51:M82" si="6">IF($B$34="Hợp lệ",IF(J51&gt;I51+$B$27,1,0),"Chưa tính")</f>
        <v>0</v>
      </c>
      <c r="N51" s="86">
        <f>IF($B$34&lt;&gt;"Hợp lệ","Chưa tính",IF(H51&gt;F01_UC2!$B$11,1,0))</f>
        <v>1</v>
      </c>
      <c r="O51" s="86">
        <f t="shared" ref="O51:O82" si="7">IF($B$34="Hợp lệ",I51-J51,"Chưa tính")</f>
        <v>0</v>
      </c>
      <c r="P51" s="86"/>
      <c r="Q51" s="86"/>
      <c r="R51" s="86"/>
      <c r="S51" s="86"/>
      <c r="T51" s="86"/>
      <c r="U51" s="86"/>
    </row>
    <row r="52" spans="1:21" ht="22.95" customHeight="1">
      <c r="A52" s="98">
        <f>F01_UC2!A71</f>
        <v>46195</v>
      </c>
      <c r="B52" s="99">
        <f>F01_UC2!G71</f>
        <v>1173205255</v>
      </c>
      <c r="C52" s="99">
        <f t="shared" si="0"/>
        <v>0</v>
      </c>
      <c r="D52" s="99">
        <f t="shared" si="1"/>
        <v>0</v>
      </c>
      <c r="E52" s="99">
        <f t="shared" si="2"/>
        <v>0</v>
      </c>
      <c r="F52" s="99">
        <f t="shared" si="3"/>
        <v>0</v>
      </c>
      <c r="G52" s="99">
        <f>SUM($F$51:F52)</f>
        <v>159621522.38999999</v>
      </c>
      <c r="H52" s="99">
        <f t="shared" si="4"/>
        <v>1332826777.3899999</v>
      </c>
      <c r="I52" s="99">
        <f>F01_UC2!H71</f>
        <v>0</v>
      </c>
      <c r="J52" s="99">
        <f>IF($B$34="Hợp lệ",MAX(0,F01_UC2!$B$10-H52),"Chưa tính")</f>
        <v>0</v>
      </c>
      <c r="K52" s="86">
        <f>IF($B$34&lt;&gt;"Hợp lệ","Chưa tính",IF(OR(H52&lt;0,H52&lt;F01_UC2!$B$9,J52/F01_UC2!$B$10&gt;Nguong!$B$63),3,IF(J52/F01_UC2!$B$10&gt;Nguong!$B$62,2,IF(J52&gt;0,1,0))))</f>
        <v>0</v>
      </c>
      <c r="L52" s="86">
        <f t="shared" si="5"/>
        <v>0</v>
      </c>
      <c r="M52" s="86">
        <f t="shared" si="6"/>
        <v>0</v>
      </c>
      <c r="N52" s="86">
        <f>IF($B$34&lt;&gt;"Hợp lệ","Chưa tính",IF(H52&gt;F01_UC2!$B$11,N51+1,0))</f>
        <v>2</v>
      </c>
      <c r="O52" s="86">
        <f t="shared" si="7"/>
        <v>0</v>
      </c>
      <c r="P52" s="86"/>
      <c r="Q52" s="86"/>
      <c r="R52" s="86"/>
      <c r="S52" s="86"/>
      <c r="T52" s="86"/>
      <c r="U52" s="86"/>
    </row>
    <row r="53" spans="1:21" ht="22.95" customHeight="1">
      <c r="A53" s="98">
        <f>F01_UC2!A72</f>
        <v>46196</v>
      </c>
      <c r="B53" s="99">
        <f>F01_UC2!G72</f>
        <v>1173205255</v>
      </c>
      <c r="C53" s="99">
        <f t="shared" si="0"/>
        <v>95973578.909999996</v>
      </c>
      <c r="D53" s="99">
        <f t="shared" si="1"/>
        <v>0</v>
      </c>
      <c r="E53" s="99">
        <f t="shared" si="2"/>
        <v>0</v>
      </c>
      <c r="F53" s="99">
        <f t="shared" si="3"/>
        <v>95973578.909999996</v>
      </c>
      <c r="G53" s="99">
        <f>SUM($F$51:F53)</f>
        <v>255595101.29999998</v>
      </c>
      <c r="H53" s="99">
        <f t="shared" si="4"/>
        <v>1428800356.3</v>
      </c>
      <c r="I53" s="99">
        <f>F01_UC2!H72</f>
        <v>0</v>
      </c>
      <c r="J53" s="99">
        <f>IF($B$34="Hợp lệ",MAX(0,F01_UC2!$B$10-H53),"Chưa tính")</f>
        <v>0</v>
      </c>
      <c r="K53" s="86">
        <f>IF($B$34&lt;&gt;"Hợp lệ","Chưa tính",IF(OR(H53&lt;0,H53&lt;F01_UC2!$B$9,J53/F01_UC2!$B$10&gt;Nguong!$B$63),3,IF(J53/F01_UC2!$B$10&gt;Nguong!$B$62,2,IF(J53&gt;0,1,0))))</f>
        <v>0</v>
      </c>
      <c r="L53" s="86">
        <f t="shared" si="5"/>
        <v>0</v>
      </c>
      <c r="M53" s="86">
        <f t="shared" si="6"/>
        <v>0</v>
      </c>
      <c r="N53" s="86">
        <f>IF($B$34&lt;&gt;"Hợp lệ","Chưa tính",IF(H53&gt;F01_UC2!$B$11,N52+1,0))</f>
        <v>3</v>
      </c>
      <c r="O53" s="86">
        <f t="shared" si="7"/>
        <v>0</v>
      </c>
      <c r="P53" s="86"/>
      <c r="Q53" s="86"/>
      <c r="R53" s="86"/>
      <c r="S53" s="86"/>
      <c r="T53" s="86"/>
      <c r="U53" s="86"/>
    </row>
    <row r="54" spans="1:21" ht="22.95" customHeight="1">
      <c r="A54" s="98">
        <f>F01_UC2!A73</f>
        <v>46197</v>
      </c>
      <c r="B54" s="99">
        <f>F01_UC2!G73</f>
        <v>1352609290</v>
      </c>
      <c r="C54" s="99">
        <f t="shared" si="0"/>
        <v>39744682.064999998</v>
      </c>
      <c r="D54" s="99">
        <f t="shared" si="1"/>
        <v>0</v>
      </c>
      <c r="E54" s="99">
        <f t="shared" si="2"/>
        <v>0</v>
      </c>
      <c r="F54" s="99">
        <f t="shared" si="3"/>
        <v>39744682.064999998</v>
      </c>
      <c r="G54" s="99">
        <f>SUM($F$51:F54)</f>
        <v>295339783.36500001</v>
      </c>
      <c r="H54" s="99">
        <f t="shared" si="4"/>
        <v>1647949073.365</v>
      </c>
      <c r="I54" s="99">
        <f>F01_UC2!H73</f>
        <v>0</v>
      </c>
      <c r="J54" s="99">
        <f>IF($B$34="Hợp lệ",MAX(0,F01_UC2!$B$10-H54),"Chưa tính")</f>
        <v>0</v>
      </c>
      <c r="K54" s="86">
        <f>IF($B$34&lt;&gt;"Hợp lệ","Chưa tính",IF(OR(H54&lt;0,H54&lt;F01_UC2!$B$9,J54/F01_UC2!$B$10&gt;Nguong!$B$63),3,IF(J54/F01_UC2!$B$10&gt;Nguong!$B$62,2,IF(J54&gt;0,1,0))))</f>
        <v>0</v>
      </c>
      <c r="L54" s="86">
        <f t="shared" si="5"/>
        <v>0</v>
      </c>
      <c r="M54" s="86">
        <f t="shared" si="6"/>
        <v>0</v>
      </c>
      <c r="N54" s="86">
        <f>IF($B$34&lt;&gt;"Hợp lệ","Chưa tính",IF(H54&gt;F01_UC2!$B$11,N53+1,0))</f>
        <v>4</v>
      </c>
      <c r="O54" s="86">
        <f t="shared" si="7"/>
        <v>0</v>
      </c>
      <c r="P54" s="86"/>
      <c r="Q54" s="86"/>
      <c r="R54" s="86"/>
      <c r="S54" s="86"/>
      <c r="T54" s="86"/>
      <c r="U54" s="86"/>
    </row>
    <row r="55" spans="1:21" ht="22.95" customHeight="1">
      <c r="A55" s="98">
        <f>F01_UC2!A74</f>
        <v>46198</v>
      </c>
      <c r="B55" s="99">
        <f>F01_UC2!G74</f>
        <v>1525265398</v>
      </c>
      <c r="C55" s="99">
        <f t="shared" si="0"/>
        <v>-100923726</v>
      </c>
      <c r="D55" s="99">
        <f t="shared" si="1"/>
        <v>0</v>
      </c>
      <c r="E55" s="99">
        <f t="shared" si="2"/>
        <v>0</v>
      </c>
      <c r="F55" s="99">
        <f t="shared" si="3"/>
        <v>-100923726</v>
      </c>
      <c r="G55" s="99">
        <f>SUM($F$51:F55)</f>
        <v>194416057.36500001</v>
      </c>
      <c r="H55" s="99">
        <f t="shared" si="4"/>
        <v>1719681455.365</v>
      </c>
      <c r="I55" s="99">
        <f>F01_UC2!H74</f>
        <v>0</v>
      </c>
      <c r="J55" s="99">
        <f>IF($B$34="Hợp lệ",MAX(0,F01_UC2!$B$10-H55),"Chưa tính")</f>
        <v>0</v>
      </c>
      <c r="K55" s="86">
        <f>IF($B$34&lt;&gt;"Hợp lệ","Chưa tính",IF(OR(H55&lt;0,H55&lt;F01_UC2!$B$9,J55/F01_UC2!$B$10&gt;Nguong!$B$63),3,IF(J55/F01_UC2!$B$10&gt;Nguong!$B$62,2,IF(J55&gt;0,1,0))))</f>
        <v>0</v>
      </c>
      <c r="L55" s="86">
        <f t="shared" si="5"/>
        <v>0</v>
      </c>
      <c r="M55" s="86">
        <f t="shared" si="6"/>
        <v>0</v>
      </c>
      <c r="N55" s="86">
        <f>IF($B$34&lt;&gt;"Hợp lệ","Chưa tính",IF(H55&gt;F01_UC2!$B$11,N54+1,0))</f>
        <v>5</v>
      </c>
      <c r="O55" s="86">
        <f t="shared" si="7"/>
        <v>0</v>
      </c>
      <c r="P55" s="86"/>
      <c r="Q55" s="86"/>
      <c r="R55" s="86"/>
      <c r="S55" s="86"/>
      <c r="T55" s="86"/>
      <c r="U55" s="86"/>
    </row>
    <row r="56" spans="1:21" ht="22.95" customHeight="1">
      <c r="A56" s="98">
        <f>F01_UC2!A75</f>
        <v>46199</v>
      </c>
      <c r="B56" s="99">
        <f>F01_UC2!G75</f>
        <v>1575733873</v>
      </c>
      <c r="C56" s="99">
        <f t="shared" si="0"/>
        <v>0</v>
      </c>
      <c r="D56" s="99">
        <f t="shared" si="1"/>
        <v>0</v>
      </c>
      <c r="E56" s="99">
        <f t="shared" si="2"/>
        <v>0</v>
      </c>
      <c r="F56" s="99">
        <f t="shared" si="3"/>
        <v>0</v>
      </c>
      <c r="G56" s="99">
        <f>SUM($F$51:F56)</f>
        <v>194416057.36500001</v>
      </c>
      <c r="H56" s="99">
        <f t="shared" si="4"/>
        <v>1770149930.365</v>
      </c>
      <c r="I56" s="99">
        <f>F01_UC2!H75</f>
        <v>0</v>
      </c>
      <c r="J56" s="99">
        <f>IF($B$34="Hợp lệ",MAX(0,F01_UC2!$B$10-H56),"Chưa tính")</f>
        <v>0</v>
      </c>
      <c r="K56" s="86">
        <f>IF($B$34&lt;&gt;"Hợp lệ","Chưa tính",IF(OR(H56&lt;0,H56&lt;F01_UC2!$B$9,J56/F01_UC2!$B$10&gt;Nguong!$B$63),3,IF(J56/F01_UC2!$B$10&gt;Nguong!$B$62,2,IF(J56&gt;0,1,0))))</f>
        <v>0</v>
      </c>
      <c r="L56" s="86">
        <f t="shared" si="5"/>
        <v>0</v>
      </c>
      <c r="M56" s="86">
        <f t="shared" si="6"/>
        <v>0</v>
      </c>
      <c r="N56" s="86">
        <f>IF($B$34&lt;&gt;"Hợp lệ","Chưa tính",IF(H56&gt;F01_UC2!$B$11,N55+1,0))</f>
        <v>6</v>
      </c>
      <c r="O56" s="86">
        <f t="shared" si="7"/>
        <v>0</v>
      </c>
      <c r="P56" s="86"/>
      <c r="Q56" s="86"/>
      <c r="R56" s="86"/>
      <c r="S56" s="86"/>
      <c r="T56" s="86"/>
      <c r="U56" s="86"/>
    </row>
    <row r="57" spans="1:21" ht="22.95" customHeight="1">
      <c r="A57" s="98">
        <f>F01_UC2!A76</f>
        <v>46200</v>
      </c>
      <c r="B57" s="99">
        <f>F01_UC2!G76</f>
        <v>1754158541</v>
      </c>
      <c r="C57" s="99">
        <f t="shared" si="0"/>
        <v>-60310135</v>
      </c>
      <c r="D57" s="99">
        <f t="shared" si="1"/>
        <v>0</v>
      </c>
      <c r="E57" s="99">
        <f t="shared" si="2"/>
        <v>0</v>
      </c>
      <c r="F57" s="99">
        <f t="shared" si="3"/>
        <v>-60310135</v>
      </c>
      <c r="G57" s="99">
        <f>SUM($F$51:F57)</f>
        <v>134105922.36500001</v>
      </c>
      <c r="H57" s="99">
        <f t="shared" si="4"/>
        <v>1888264463.365</v>
      </c>
      <c r="I57" s="99">
        <f>F01_UC2!H76</f>
        <v>0</v>
      </c>
      <c r="J57" s="99">
        <f>IF($B$34="Hợp lệ",MAX(0,F01_UC2!$B$10-H57),"Chưa tính")</f>
        <v>0</v>
      </c>
      <c r="K57" s="86">
        <f>IF($B$34&lt;&gt;"Hợp lệ","Chưa tính",IF(OR(H57&lt;0,H57&lt;F01_UC2!$B$9,J57/F01_UC2!$B$10&gt;Nguong!$B$63),3,IF(J57/F01_UC2!$B$10&gt;Nguong!$B$62,2,IF(J57&gt;0,1,0))))</f>
        <v>0</v>
      </c>
      <c r="L57" s="86">
        <f t="shared" si="5"/>
        <v>0</v>
      </c>
      <c r="M57" s="86">
        <f t="shared" si="6"/>
        <v>0</v>
      </c>
      <c r="N57" s="86">
        <f>IF($B$34&lt;&gt;"Hợp lệ","Chưa tính",IF(H57&gt;F01_UC2!$B$11,N56+1,0))</f>
        <v>7</v>
      </c>
      <c r="O57" s="86">
        <f t="shared" si="7"/>
        <v>0</v>
      </c>
      <c r="P57" s="86"/>
      <c r="Q57" s="86"/>
      <c r="R57" s="86"/>
      <c r="S57" s="86"/>
      <c r="T57" s="86"/>
      <c r="U57" s="86"/>
    </row>
    <row r="58" spans="1:21" ht="22.95" customHeight="1">
      <c r="A58" s="98">
        <f>F01_UC2!A77</f>
        <v>46201</v>
      </c>
      <c r="B58" s="99">
        <f>F01_UC2!G77</f>
        <v>1717548490</v>
      </c>
      <c r="C58" s="99">
        <f t="shared" si="0"/>
        <v>0</v>
      </c>
      <c r="D58" s="99">
        <f t="shared" si="1"/>
        <v>0</v>
      </c>
      <c r="E58" s="99">
        <f t="shared" si="2"/>
        <v>0</v>
      </c>
      <c r="F58" s="99">
        <f t="shared" si="3"/>
        <v>0</v>
      </c>
      <c r="G58" s="99">
        <f>SUM($F$51:F58)</f>
        <v>134105922.36500001</v>
      </c>
      <c r="H58" s="99">
        <f t="shared" si="4"/>
        <v>1851654412.365</v>
      </c>
      <c r="I58" s="99">
        <f>F01_UC2!H77</f>
        <v>0</v>
      </c>
      <c r="J58" s="99">
        <f>IF($B$34="Hợp lệ",MAX(0,F01_UC2!$B$10-H58),"Chưa tính")</f>
        <v>0</v>
      </c>
      <c r="K58" s="86">
        <f>IF($B$34&lt;&gt;"Hợp lệ","Chưa tính",IF(OR(H58&lt;0,H58&lt;F01_UC2!$B$9,J58/F01_UC2!$B$10&gt;Nguong!$B$63),3,IF(J58/F01_UC2!$B$10&gt;Nguong!$B$62,2,IF(J58&gt;0,1,0))))</f>
        <v>0</v>
      </c>
      <c r="L58" s="86">
        <f t="shared" si="5"/>
        <v>0</v>
      </c>
      <c r="M58" s="86">
        <f t="shared" si="6"/>
        <v>0</v>
      </c>
      <c r="N58" s="86">
        <f>IF($B$34&lt;&gt;"Hợp lệ","Chưa tính",IF(H58&gt;F01_UC2!$B$11,N57+1,0))</f>
        <v>8</v>
      </c>
      <c r="O58" s="86">
        <f t="shared" si="7"/>
        <v>0</v>
      </c>
      <c r="P58" s="86"/>
      <c r="Q58" s="86"/>
      <c r="R58" s="86"/>
      <c r="S58" s="86"/>
      <c r="T58" s="86"/>
      <c r="U58" s="86"/>
    </row>
    <row r="59" spans="1:21" ht="22.95" customHeight="1">
      <c r="A59" s="98">
        <f>F01_UC2!A78</f>
        <v>46202</v>
      </c>
      <c r="B59" s="99">
        <f>F01_UC2!G78</f>
        <v>2193200352</v>
      </c>
      <c r="C59" s="99">
        <f t="shared" si="0"/>
        <v>83689054.515000001</v>
      </c>
      <c r="D59" s="99">
        <f t="shared" si="1"/>
        <v>0</v>
      </c>
      <c r="E59" s="99">
        <f t="shared" si="2"/>
        <v>0</v>
      </c>
      <c r="F59" s="99">
        <f t="shared" si="3"/>
        <v>83689054.515000001</v>
      </c>
      <c r="G59" s="99">
        <f>SUM($F$51:F59)</f>
        <v>217794976.88</v>
      </c>
      <c r="H59" s="99">
        <f t="shared" si="4"/>
        <v>2410995328.8800001</v>
      </c>
      <c r="I59" s="99">
        <f>F01_UC2!H78</f>
        <v>0</v>
      </c>
      <c r="J59" s="99">
        <f>IF($B$34="Hợp lệ",MAX(0,F01_UC2!$B$10-H59),"Chưa tính")</f>
        <v>0</v>
      </c>
      <c r="K59" s="86">
        <f>IF($B$34&lt;&gt;"Hợp lệ","Chưa tính",IF(OR(H59&lt;0,H59&lt;F01_UC2!$B$9,J59/F01_UC2!$B$10&gt;Nguong!$B$63),3,IF(J59/F01_UC2!$B$10&gt;Nguong!$B$62,2,IF(J59&gt;0,1,0))))</f>
        <v>0</v>
      </c>
      <c r="L59" s="86">
        <f t="shared" si="5"/>
        <v>0</v>
      </c>
      <c r="M59" s="86">
        <f t="shared" si="6"/>
        <v>0</v>
      </c>
      <c r="N59" s="86">
        <f>IF($B$34&lt;&gt;"Hợp lệ","Chưa tính",IF(H59&gt;F01_UC2!$B$11,N58+1,0))</f>
        <v>9</v>
      </c>
      <c r="O59" s="86">
        <f t="shared" si="7"/>
        <v>0</v>
      </c>
      <c r="P59" s="86"/>
      <c r="Q59" s="86"/>
      <c r="R59" s="86"/>
      <c r="S59" s="86"/>
      <c r="T59" s="86"/>
      <c r="U59" s="86"/>
    </row>
    <row r="60" spans="1:21" ht="22.95" customHeight="1">
      <c r="A60" s="98">
        <f>F01_UC2!A79</f>
        <v>46203</v>
      </c>
      <c r="B60" s="99">
        <f>F01_UC2!G79</f>
        <v>797304</v>
      </c>
      <c r="C60" s="99">
        <f t="shared" si="0"/>
        <v>-96943009</v>
      </c>
      <c r="D60" s="99">
        <f t="shared" si="1"/>
        <v>0</v>
      </c>
      <c r="E60" s="99">
        <f t="shared" si="2"/>
        <v>0</v>
      </c>
      <c r="F60" s="99">
        <f t="shared" si="3"/>
        <v>-96943009</v>
      </c>
      <c r="G60" s="99">
        <f>SUM($F$51:F60)</f>
        <v>120851967.88</v>
      </c>
      <c r="H60" s="99">
        <f t="shared" si="4"/>
        <v>121649271.88</v>
      </c>
      <c r="I60" s="99">
        <f>F01_UC2!H79</f>
        <v>499202696</v>
      </c>
      <c r="J60" s="99">
        <f>IF($B$34="Hợp lệ",MAX(0,F01_UC2!$B$10-H60),"Chưa tính")</f>
        <v>378350728.12</v>
      </c>
      <c r="K60" s="86">
        <f>IF($B$34&lt;&gt;"Hợp lệ","Chưa tính",IF(OR(H60&lt;0,H60&lt;F01_UC2!$B$9,J60/F01_UC2!$B$10&gt;Nguong!$B$63),3,IF(J60/F01_UC2!$B$10&gt;Nguong!$B$62,2,IF(J60&gt;0,1,0))))</f>
        <v>3</v>
      </c>
      <c r="L60" s="86">
        <f t="shared" si="5"/>
        <v>0</v>
      </c>
      <c r="M60" s="86">
        <f t="shared" si="6"/>
        <v>0</v>
      </c>
      <c r="N60" s="86">
        <f>IF($B$34&lt;&gt;"Hợp lệ","Chưa tính",IF(H60&gt;F01_UC2!$B$11,N59+1,0))</f>
        <v>0</v>
      </c>
      <c r="O60" s="86">
        <f t="shared" si="7"/>
        <v>120851967.88</v>
      </c>
      <c r="P60" s="86"/>
      <c r="Q60" s="86"/>
      <c r="R60" s="86"/>
      <c r="S60" s="86"/>
      <c r="T60" s="86"/>
      <c r="U60" s="86"/>
    </row>
    <row r="61" spans="1:21" ht="22.95" customHeight="1">
      <c r="A61" s="98">
        <f>F01_UC2!A80</f>
        <v>46204</v>
      </c>
      <c r="B61" s="99">
        <f>F01_UC2!G80</f>
        <v>251973734</v>
      </c>
      <c r="C61" s="99">
        <f t="shared" si="0"/>
        <v>-40146143.5</v>
      </c>
      <c r="D61" s="99">
        <f t="shared" si="1"/>
        <v>0</v>
      </c>
      <c r="E61" s="99">
        <f t="shared" si="2"/>
        <v>0</v>
      </c>
      <c r="F61" s="99">
        <f t="shared" si="3"/>
        <v>-40146143.5</v>
      </c>
      <c r="G61" s="99">
        <f>SUM($F$51:F61)</f>
        <v>80705824.379999995</v>
      </c>
      <c r="H61" s="99">
        <f t="shared" si="4"/>
        <v>332679558.38</v>
      </c>
      <c r="I61" s="99">
        <f>F01_UC2!H80</f>
        <v>248026266</v>
      </c>
      <c r="J61" s="99">
        <f>IF($B$34="Hợp lệ",MAX(0,F01_UC2!$B$10-H61),"Chưa tính")</f>
        <v>167320441.62</v>
      </c>
      <c r="K61" s="86">
        <f>IF($B$34&lt;&gt;"Hợp lệ","Chưa tính",IF(OR(H61&lt;0,H61&lt;F01_UC2!$B$9,J61/F01_UC2!$B$10&gt;Nguong!$B$63),3,IF(J61/F01_UC2!$B$10&gt;Nguong!$B$62,2,IF(J61&gt;0,1,0))))</f>
        <v>2</v>
      </c>
      <c r="L61" s="86">
        <f t="shared" si="5"/>
        <v>0</v>
      </c>
      <c r="M61" s="86">
        <f t="shared" si="6"/>
        <v>0</v>
      </c>
      <c r="N61" s="86">
        <f>IF($B$34&lt;&gt;"Hợp lệ","Chưa tính",IF(H61&gt;F01_UC2!$B$11,N60+1,0))</f>
        <v>0</v>
      </c>
      <c r="O61" s="86">
        <f t="shared" si="7"/>
        <v>80705824.379999995</v>
      </c>
      <c r="P61" s="86"/>
      <c r="Q61" s="86"/>
      <c r="R61" s="86"/>
      <c r="S61" s="86"/>
      <c r="T61" s="86"/>
      <c r="U61" s="86"/>
    </row>
    <row r="62" spans="1:21" ht="22.95" customHeight="1">
      <c r="A62" s="98">
        <f>F01_UC2!A81</f>
        <v>46205</v>
      </c>
      <c r="B62" s="99">
        <f>F01_UC2!G81</f>
        <v>319257050</v>
      </c>
      <c r="C62" s="99">
        <f t="shared" si="0"/>
        <v>140864043.87</v>
      </c>
      <c r="D62" s="99">
        <f t="shared" si="1"/>
        <v>0</v>
      </c>
      <c r="E62" s="99">
        <f t="shared" si="2"/>
        <v>0</v>
      </c>
      <c r="F62" s="99">
        <f t="shared" si="3"/>
        <v>140864043.87</v>
      </c>
      <c r="G62" s="99">
        <f>SUM($F$51:F62)</f>
        <v>221569868.25</v>
      </c>
      <c r="H62" s="99">
        <f t="shared" si="4"/>
        <v>540826918.25</v>
      </c>
      <c r="I62" s="99">
        <f>F01_UC2!H81</f>
        <v>180742950</v>
      </c>
      <c r="J62" s="99">
        <f>IF($B$34="Hợp lệ",MAX(0,F01_UC2!$B$10-H62),"Chưa tính")</f>
        <v>0</v>
      </c>
      <c r="K62" s="86">
        <f>IF($B$34&lt;&gt;"Hợp lệ","Chưa tính",IF(OR(H62&lt;0,H62&lt;F01_UC2!$B$9,J62/F01_UC2!$B$10&gt;Nguong!$B$63),3,IF(J62/F01_UC2!$B$10&gt;Nguong!$B$62,2,IF(J62&gt;0,1,0))))</f>
        <v>0</v>
      </c>
      <c r="L62" s="86">
        <f t="shared" si="5"/>
        <v>0</v>
      </c>
      <c r="M62" s="86">
        <f t="shared" si="6"/>
        <v>0</v>
      </c>
      <c r="N62" s="86">
        <f>IF($B$34&lt;&gt;"Hợp lệ","Chưa tính",IF(H62&gt;F01_UC2!$B$11,N61+1,0))</f>
        <v>0</v>
      </c>
      <c r="O62" s="86">
        <f t="shared" si="7"/>
        <v>180742950</v>
      </c>
      <c r="P62" s="86"/>
      <c r="Q62" s="86"/>
      <c r="R62" s="86"/>
      <c r="S62" s="86"/>
      <c r="T62" s="86"/>
      <c r="U62" s="86"/>
    </row>
    <row r="63" spans="1:21" ht="22.95" customHeight="1">
      <c r="A63" s="98">
        <f>F01_UC2!A82</f>
        <v>46206</v>
      </c>
      <c r="B63" s="99">
        <f>F01_UC2!G82</f>
        <v>257355418</v>
      </c>
      <c r="C63" s="99">
        <f t="shared" si="0"/>
        <v>67163258.25</v>
      </c>
      <c r="D63" s="99">
        <f t="shared" si="1"/>
        <v>30950816</v>
      </c>
      <c r="E63" s="99">
        <f t="shared" si="2"/>
        <v>0</v>
      </c>
      <c r="F63" s="99">
        <f t="shared" si="3"/>
        <v>98114074.25</v>
      </c>
      <c r="G63" s="99">
        <f>SUM($F$51:F63)</f>
        <v>319683942.5</v>
      </c>
      <c r="H63" s="99">
        <f t="shared" si="4"/>
        <v>577039360.5</v>
      </c>
      <c r="I63" s="99">
        <f>F01_UC2!H82</f>
        <v>242644582</v>
      </c>
      <c r="J63" s="99">
        <f>IF($B$34="Hợp lệ",MAX(0,F01_UC2!$B$10-H63),"Chưa tính")</f>
        <v>0</v>
      </c>
      <c r="K63" s="86">
        <f>IF($B$34&lt;&gt;"Hợp lệ","Chưa tính",IF(OR(H63&lt;0,H63&lt;F01_UC2!$B$9,J63/F01_UC2!$B$10&gt;Nguong!$B$63),3,IF(J63/F01_UC2!$B$10&gt;Nguong!$B$62,2,IF(J63&gt;0,1,0))))</f>
        <v>0</v>
      </c>
      <c r="L63" s="86">
        <f t="shared" si="5"/>
        <v>0</v>
      </c>
      <c r="M63" s="86">
        <f t="shared" si="6"/>
        <v>0</v>
      </c>
      <c r="N63" s="86">
        <f>IF($B$34&lt;&gt;"Hợp lệ","Chưa tính",IF(H63&gt;F01_UC2!$B$11,N62+1,0))</f>
        <v>0</v>
      </c>
      <c r="O63" s="86">
        <f t="shared" si="7"/>
        <v>242644582</v>
      </c>
      <c r="P63" s="86"/>
      <c r="Q63" s="86"/>
      <c r="R63" s="86"/>
      <c r="S63" s="86"/>
      <c r="T63" s="86"/>
      <c r="U63" s="86"/>
    </row>
    <row r="64" spans="1:21" ht="22.95" customHeight="1">
      <c r="A64" s="98">
        <f>F01_UC2!A83</f>
        <v>46207</v>
      </c>
      <c r="B64" s="99">
        <f>F01_UC2!G83</f>
        <v>523630917</v>
      </c>
      <c r="C64" s="99">
        <f t="shared" si="0"/>
        <v>0</v>
      </c>
      <c r="D64" s="99">
        <f t="shared" si="1"/>
        <v>0</v>
      </c>
      <c r="E64" s="99">
        <f t="shared" si="2"/>
        <v>0</v>
      </c>
      <c r="F64" s="99">
        <f t="shared" si="3"/>
        <v>0</v>
      </c>
      <c r="G64" s="99">
        <f>SUM($F$51:F64)</f>
        <v>319683942.5</v>
      </c>
      <c r="H64" s="99">
        <f t="shared" si="4"/>
        <v>843314859.5</v>
      </c>
      <c r="I64" s="99">
        <f>F01_UC2!H83</f>
        <v>0</v>
      </c>
      <c r="J64" s="99">
        <f>IF($B$34="Hợp lệ",MAX(0,F01_UC2!$B$10-H64),"Chưa tính")</f>
        <v>0</v>
      </c>
      <c r="K64" s="86">
        <f>IF($B$34&lt;&gt;"Hợp lệ","Chưa tính",IF(OR(H64&lt;0,H64&lt;F01_UC2!$B$9,J64/F01_UC2!$B$10&gt;Nguong!$B$63),3,IF(J64/F01_UC2!$B$10&gt;Nguong!$B$62,2,IF(J64&gt;0,1,0))))</f>
        <v>0</v>
      </c>
      <c r="L64" s="86">
        <f t="shared" si="5"/>
        <v>0</v>
      </c>
      <c r="M64" s="86">
        <f t="shared" si="6"/>
        <v>0</v>
      </c>
      <c r="N64" s="86">
        <f>IF($B$34&lt;&gt;"Hợp lệ","Chưa tính",IF(H64&gt;F01_UC2!$B$11,N63+1,0))</f>
        <v>0</v>
      </c>
      <c r="O64" s="86">
        <f t="shared" si="7"/>
        <v>0</v>
      </c>
      <c r="P64" s="86"/>
      <c r="Q64" s="86"/>
      <c r="R64" s="86"/>
      <c r="S64" s="86"/>
      <c r="T64" s="86"/>
      <c r="U64" s="86"/>
    </row>
    <row r="65" spans="1:21" ht="22.95" customHeight="1">
      <c r="A65" s="98">
        <f>F01_UC2!A84</f>
        <v>46208</v>
      </c>
      <c r="B65" s="99">
        <f>F01_UC2!G84</f>
        <v>470478434</v>
      </c>
      <c r="C65" s="99">
        <f t="shared" si="0"/>
        <v>0</v>
      </c>
      <c r="D65" s="99">
        <f t="shared" si="1"/>
        <v>0</v>
      </c>
      <c r="E65" s="99">
        <f t="shared" si="2"/>
        <v>19924080.873424001</v>
      </c>
      <c r="F65" s="99">
        <f t="shared" si="3"/>
        <v>19924080.873424001</v>
      </c>
      <c r="G65" s="99">
        <f>SUM($F$51:F65)</f>
        <v>339608023.37342399</v>
      </c>
      <c r="H65" s="99">
        <f t="shared" si="4"/>
        <v>810086457.37342405</v>
      </c>
      <c r="I65" s="99">
        <f>F01_UC2!H84</f>
        <v>29521566</v>
      </c>
      <c r="J65" s="99">
        <f>IF($B$34="Hợp lệ",MAX(0,F01_UC2!$B$10-H65),"Chưa tính")</f>
        <v>0</v>
      </c>
      <c r="K65" s="86">
        <f>IF($B$34&lt;&gt;"Hợp lệ","Chưa tính",IF(OR(H65&lt;0,H65&lt;F01_UC2!$B$9,J65/F01_UC2!$B$10&gt;Nguong!$B$63),3,IF(J65/F01_UC2!$B$10&gt;Nguong!$B$62,2,IF(J65&gt;0,1,0))))</f>
        <v>0</v>
      </c>
      <c r="L65" s="86">
        <f t="shared" si="5"/>
        <v>0</v>
      </c>
      <c r="M65" s="86">
        <f t="shared" si="6"/>
        <v>0</v>
      </c>
      <c r="N65" s="86">
        <f>IF($B$34&lt;&gt;"Hợp lệ","Chưa tính",IF(H65&gt;F01_UC2!$B$11,N64+1,0))</f>
        <v>0</v>
      </c>
      <c r="O65" s="86">
        <f t="shared" si="7"/>
        <v>29521566</v>
      </c>
      <c r="P65" s="86"/>
      <c r="Q65" s="86"/>
      <c r="R65" s="86"/>
      <c r="S65" s="86"/>
      <c r="T65" s="86"/>
      <c r="U65" s="86"/>
    </row>
    <row r="66" spans="1:21" ht="22.95" customHeight="1">
      <c r="A66" s="98">
        <f>F01_UC2!A85</f>
        <v>46209</v>
      </c>
      <c r="B66" s="99">
        <f>F01_UC2!G85</f>
        <v>639547231</v>
      </c>
      <c r="C66" s="99">
        <f t="shared" si="0"/>
        <v>11326666.909999996</v>
      </c>
      <c r="D66" s="99">
        <f t="shared" si="1"/>
        <v>0</v>
      </c>
      <c r="E66" s="99">
        <f t="shared" si="2"/>
        <v>0</v>
      </c>
      <c r="F66" s="99">
        <f t="shared" si="3"/>
        <v>11326666.909999996</v>
      </c>
      <c r="G66" s="99">
        <f>SUM($F$51:F66)</f>
        <v>350934690.28342402</v>
      </c>
      <c r="H66" s="99">
        <f t="shared" si="4"/>
        <v>990481921.28342402</v>
      </c>
      <c r="I66" s="99">
        <f>F01_UC2!H85</f>
        <v>0</v>
      </c>
      <c r="J66" s="99">
        <f>IF($B$34="Hợp lệ",MAX(0,F01_UC2!$B$10-H66),"Chưa tính")</f>
        <v>0</v>
      </c>
      <c r="K66" s="86">
        <f>IF($B$34&lt;&gt;"Hợp lệ","Chưa tính",IF(OR(H66&lt;0,H66&lt;F01_UC2!$B$9,J66/F01_UC2!$B$10&gt;Nguong!$B$63),3,IF(J66/F01_UC2!$B$10&gt;Nguong!$B$62,2,IF(J66&gt;0,1,0))))</f>
        <v>0</v>
      </c>
      <c r="L66" s="86">
        <f t="shared" si="5"/>
        <v>0</v>
      </c>
      <c r="M66" s="86">
        <f t="shared" si="6"/>
        <v>0</v>
      </c>
      <c r="N66" s="86">
        <f>IF($B$34&lt;&gt;"Hợp lệ","Chưa tính",IF(H66&gt;F01_UC2!$B$11,N65+1,0))</f>
        <v>0</v>
      </c>
      <c r="O66" s="86">
        <f t="shared" si="7"/>
        <v>0</v>
      </c>
      <c r="P66" s="86"/>
      <c r="Q66" s="86"/>
      <c r="R66" s="86"/>
      <c r="S66" s="86"/>
      <c r="T66" s="86"/>
      <c r="U66" s="86"/>
    </row>
    <row r="67" spans="1:21" ht="22.95" customHeight="1">
      <c r="A67" s="98">
        <f>F01_UC2!A86</f>
        <v>46210</v>
      </c>
      <c r="B67" s="99">
        <f>F01_UC2!G86</f>
        <v>579605192</v>
      </c>
      <c r="C67" s="99">
        <f t="shared" si="0"/>
        <v>0</v>
      </c>
      <c r="D67" s="99">
        <f t="shared" si="1"/>
        <v>0</v>
      </c>
      <c r="E67" s="99">
        <f t="shared" si="2"/>
        <v>0</v>
      </c>
      <c r="F67" s="99">
        <f t="shared" si="3"/>
        <v>0</v>
      </c>
      <c r="G67" s="99">
        <f>SUM($F$51:F67)</f>
        <v>350934690.28342402</v>
      </c>
      <c r="H67" s="99">
        <f t="shared" si="4"/>
        <v>930539882.28342402</v>
      </c>
      <c r="I67" s="99">
        <f>F01_UC2!H86</f>
        <v>0</v>
      </c>
      <c r="J67" s="99">
        <f>IF($B$34="Hợp lệ",MAX(0,F01_UC2!$B$10-H67),"Chưa tính")</f>
        <v>0</v>
      </c>
      <c r="K67" s="86">
        <f>IF($B$34&lt;&gt;"Hợp lệ","Chưa tính",IF(OR(H67&lt;0,H67&lt;F01_UC2!$B$9,J67/F01_UC2!$B$10&gt;Nguong!$B$63),3,IF(J67/F01_UC2!$B$10&gt;Nguong!$B$62,2,IF(J67&gt;0,1,0))))</f>
        <v>0</v>
      </c>
      <c r="L67" s="86">
        <f t="shared" si="5"/>
        <v>0</v>
      </c>
      <c r="M67" s="86">
        <f t="shared" si="6"/>
        <v>0</v>
      </c>
      <c r="N67" s="86">
        <f>IF($B$34&lt;&gt;"Hợp lệ","Chưa tính",IF(H67&gt;F01_UC2!$B$11,N66+1,0))</f>
        <v>0</v>
      </c>
      <c r="O67" s="86">
        <f t="shared" si="7"/>
        <v>0</v>
      </c>
      <c r="P67" s="86"/>
      <c r="Q67" s="86"/>
      <c r="R67" s="86"/>
      <c r="S67" s="86"/>
      <c r="T67" s="86"/>
      <c r="U67" s="86"/>
    </row>
    <row r="68" spans="1:21" ht="22.95" customHeight="1">
      <c r="A68" s="98">
        <f>F01_UC2!A87</f>
        <v>46211</v>
      </c>
      <c r="B68" s="99">
        <f>F01_UC2!G87</f>
        <v>814608814</v>
      </c>
      <c r="C68" s="99">
        <f t="shared" si="0"/>
        <v>86392804.409999996</v>
      </c>
      <c r="D68" s="99">
        <f t="shared" si="1"/>
        <v>0</v>
      </c>
      <c r="E68" s="99">
        <f t="shared" si="2"/>
        <v>0</v>
      </c>
      <c r="F68" s="99">
        <f t="shared" si="3"/>
        <v>86392804.409999996</v>
      </c>
      <c r="G68" s="99">
        <f>SUM($F$51:F68)</f>
        <v>437327494.69342399</v>
      </c>
      <c r="H68" s="99">
        <f t="shared" si="4"/>
        <v>1251936308.693424</v>
      </c>
      <c r="I68" s="99">
        <f>F01_UC2!H87</f>
        <v>0</v>
      </c>
      <c r="J68" s="99">
        <f>IF($B$34="Hợp lệ",MAX(0,F01_UC2!$B$10-H68),"Chưa tính")</f>
        <v>0</v>
      </c>
      <c r="K68" s="86">
        <f>IF($B$34&lt;&gt;"Hợp lệ","Chưa tính",IF(OR(H68&lt;0,H68&lt;F01_UC2!$B$9,J68/F01_UC2!$B$10&gt;Nguong!$B$63),3,IF(J68/F01_UC2!$B$10&gt;Nguong!$B$62,2,IF(J68&gt;0,1,0))))</f>
        <v>0</v>
      </c>
      <c r="L68" s="86">
        <f t="shared" si="5"/>
        <v>0</v>
      </c>
      <c r="M68" s="86">
        <f t="shared" si="6"/>
        <v>0</v>
      </c>
      <c r="N68" s="86">
        <f>IF($B$34&lt;&gt;"Hợp lệ","Chưa tính",IF(H68&gt;F01_UC2!$B$11,N67+1,0))</f>
        <v>1</v>
      </c>
      <c r="O68" s="86">
        <f t="shared" si="7"/>
        <v>0</v>
      </c>
      <c r="P68" s="86"/>
      <c r="Q68" s="86"/>
      <c r="R68" s="86"/>
      <c r="S68" s="86"/>
      <c r="T68" s="86"/>
      <c r="U68" s="86"/>
    </row>
    <row r="69" spans="1:21" ht="22.95" customHeight="1">
      <c r="A69" s="98">
        <f>F01_UC2!A88</f>
        <v>46212</v>
      </c>
      <c r="B69" s="99">
        <f>F01_UC2!G88</f>
        <v>1099182640</v>
      </c>
      <c r="C69" s="99">
        <f t="shared" si="0"/>
        <v>-142286913</v>
      </c>
      <c r="D69" s="99">
        <f t="shared" si="1"/>
        <v>0</v>
      </c>
      <c r="E69" s="99">
        <f t="shared" si="2"/>
        <v>0</v>
      </c>
      <c r="F69" s="99">
        <f t="shared" si="3"/>
        <v>-142286913</v>
      </c>
      <c r="G69" s="99">
        <f>SUM($F$51:F69)</f>
        <v>295040581.69342399</v>
      </c>
      <c r="H69" s="99">
        <f t="shared" si="4"/>
        <v>1394223221.693424</v>
      </c>
      <c r="I69" s="99">
        <f>F01_UC2!H88</f>
        <v>0</v>
      </c>
      <c r="J69" s="99">
        <f>IF($B$34="Hợp lệ",MAX(0,F01_UC2!$B$10-H69),"Chưa tính")</f>
        <v>0</v>
      </c>
      <c r="K69" s="86">
        <f>IF($B$34&lt;&gt;"Hợp lệ","Chưa tính",IF(OR(H69&lt;0,H69&lt;F01_UC2!$B$9,J69/F01_UC2!$B$10&gt;Nguong!$B$63),3,IF(J69/F01_UC2!$B$10&gt;Nguong!$B$62,2,IF(J69&gt;0,1,0))))</f>
        <v>0</v>
      </c>
      <c r="L69" s="86">
        <f t="shared" si="5"/>
        <v>0</v>
      </c>
      <c r="M69" s="86">
        <f t="shared" si="6"/>
        <v>0</v>
      </c>
      <c r="N69" s="86">
        <f>IF($B$34&lt;&gt;"Hợp lệ","Chưa tính",IF(H69&gt;F01_UC2!$B$11,N68+1,0))</f>
        <v>2</v>
      </c>
      <c r="O69" s="86">
        <f t="shared" si="7"/>
        <v>0</v>
      </c>
      <c r="P69" s="86"/>
      <c r="Q69" s="86"/>
      <c r="R69" s="86"/>
      <c r="S69" s="86"/>
      <c r="T69" s="86"/>
      <c r="U69" s="86"/>
    </row>
    <row r="70" spans="1:21" ht="22.95" customHeight="1">
      <c r="A70" s="98">
        <f>F01_UC2!A89</f>
        <v>46213</v>
      </c>
      <c r="B70" s="99">
        <f>F01_UC2!G89</f>
        <v>1234865990</v>
      </c>
      <c r="C70" s="99">
        <f t="shared" si="0"/>
        <v>-67841675</v>
      </c>
      <c r="D70" s="99">
        <f t="shared" si="1"/>
        <v>0</v>
      </c>
      <c r="E70" s="99">
        <f t="shared" si="2"/>
        <v>0</v>
      </c>
      <c r="F70" s="99">
        <f t="shared" si="3"/>
        <v>-67841675</v>
      </c>
      <c r="G70" s="99">
        <f>SUM($F$51:F70)</f>
        <v>227198906.69342399</v>
      </c>
      <c r="H70" s="99">
        <f t="shared" si="4"/>
        <v>1462064896.693424</v>
      </c>
      <c r="I70" s="99">
        <f>F01_UC2!H89</f>
        <v>0</v>
      </c>
      <c r="J70" s="99">
        <f>IF($B$34="Hợp lệ",MAX(0,F01_UC2!$B$10-H70),"Chưa tính")</f>
        <v>0</v>
      </c>
      <c r="K70" s="86">
        <f>IF($B$34&lt;&gt;"Hợp lệ","Chưa tính",IF(OR(H70&lt;0,H70&lt;F01_UC2!$B$9,J70/F01_UC2!$B$10&gt;Nguong!$B$63),3,IF(J70/F01_UC2!$B$10&gt;Nguong!$B$62,2,IF(J70&gt;0,1,0))))</f>
        <v>0</v>
      </c>
      <c r="L70" s="86">
        <f t="shared" si="5"/>
        <v>0</v>
      </c>
      <c r="M70" s="86">
        <f t="shared" si="6"/>
        <v>0</v>
      </c>
      <c r="N70" s="86">
        <f>IF($B$34&lt;&gt;"Hợp lệ","Chưa tính",IF(H70&gt;F01_UC2!$B$11,N69+1,0))</f>
        <v>3</v>
      </c>
      <c r="O70" s="86">
        <f t="shared" si="7"/>
        <v>0</v>
      </c>
      <c r="P70" s="86"/>
      <c r="Q70" s="86"/>
      <c r="R70" s="86"/>
      <c r="S70" s="86"/>
      <c r="T70" s="86"/>
      <c r="U70" s="86"/>
    </row>
    <row r="71" spans="1:21" ht="22.95" customHeight="1">
      <c r="A71" s="98">
        <f>F01_UC2!A90</f>
        <v>46214</v>
      </c>
      <c r="B71" s="99">
        <f>F01_UC2!G90</f>
        <v>1234865990</v>
      </c>
      <c r="C71" s="99">
        <f t="shared" si="0"/>
        <v>0</v>
      </c>
      <c r="D71" s="99">
        <f t="shared" si="1"/>
        <v>0</v>
      </c>
      <c r="E71" s="99">
        <f t="shared" si="2"/>
        <v>0</v>
      </c>
      <c r="F71" s="99">
        <f t="shared" si="3"/>
        <v>0</v>
      </c>
      <c r="G71" s="99">
        <f>SUM($F$51:F71)</f>
        <v>227198906.69342399</v>
      </c>
      <c r="H71" s="99">
        <f t="shared" si="4"/>
        <v>1462064896.693424</v>
      </c>
      <c r="I71" s="99">
        <f>F01_UC2!H90</f>
        <v>0</v>
      </c>
      <c r="J71" s="99">
        <f>IF($B$34="Hợp lệ",MAX(0,F01_UC2!$B$10-H71),"Chưa tính")</f>
        <v>0</v>
      </c>
      <c r="K71" s="86">
        <f>IF($B$34&lt;&gt;"Hợp lệ","Chưa tính",IF(OR(H71&lt;0,H71&lt;F01_UC2!$B$9,J71/F01_UC2!$B$10&gt;Nguong!$B$63),3,IF(J71/F01_UC2!$B$10&gt;Nguong!$B$62,2,IF(J71&gt;0,1,0))))</f>
        <v>0</v>
      </c>
      <c r="L71" s="86">
        <f t="shared" si="5"/>
        <v>0</v>
      </c>
      <c r="M71" s="86">
        <f t="shared" si="6"/>
        <v>0</v>
      </c>
      <c r="N71" s="86">
        <f>IF($B$34&lt;&gt;"Hợp lệ","Chưa tính",IF(H71&gt;F01_UC2!$B$11,N70+1,0))</f>
        <v>4</v>
      </c>
      <c r="O71" s="86">
        <f t="shared" si="7"/>
        <v>0</v>
      </c>
      <c r="P71" s="86"/>
      <c r="Q71" s="86"/>
      <c r="R71" s="86"/>
      <c r="S71" s="86"/>
      <c r="T71" s="86"/>
      <c r="U71" s="86"/>
    </row>
    <row r="72" spans="1:21" ht="22.95" customHeight="1">
      <c r="A72" s="98">
        <f>F01_UC2!A91</f>
        <v>46215</v>
      </c>
      <c r="B72" s="99">
        <f>F01_UC2!G91</f>
        <v>1234865990</v>
      </c>
      <c r="C72" s="99">
        <f t="shared" si="0"/>
        <v>129552517.215</v>
      </c>
      <c r="D72" s="99">
        <f t="shared" si="1"/>
        <v>0</v>
      </c>
      <c r="E72" s="99">
        <f t="shared" si="2"/>
        <v>0</v>
      </c>
      <c r="F72" s="99">
        <f t="shared" si="3"/>
        <v>129552517.215</v>
      </c>
      <c r="G72" s="99">
        <f>SUM($F$51:F72)</f>
        <v>356751423.90842402</v>
      </c>
      <c r="H72" s="99">
        <f t="shared" si="4"/>
        <v>1591617413.9084239</v>
      </c>
      <c r="I72" s="99">
        <f>F01_UC2!H91</f>
        <v>0</v>
      </c>
      <c r="J72" s="99">
        <f>IF($B$34="Hợp lệ",MAX(0,F01_UC2!$B$10-H72),"Chưa tính")</f>
        <v>0</v>
      </c>
      <c r="K72" s="86">
        <f>IF($B$34&lt;&gt;"Hợp lệ","Chưa tính",IF(OR(H72&lt;0,H72&lt;F01_UC2!$B$9,J72/F01_UC2!$B$10&gt;Nguong!$B$63),3,IF(J72/F01_UC2!$B$10&gt;Nguong!$B$62,2,IF(J72&gt;0,1,0))))</f>
        <v>0</v>
      </c>
      <c r="L72" s="86">
        <f t="shared" si="5"/>
        <v>0</v>
      </c>
      <c r="M72" s="86">
        <f t="shared" si="6"/>
        <v>0</v>
      </c>
      <c r="N72" s="86">
        <f>IF($B$34&lt;&gt;"Hợp lệ","Chưa tính",IF(H72&gt;F01_UC2!$B$11,N71+1,0))</f>
        <v>5</v>
      </c>
      <c r="O72" s="86">
        <f t="shared" si="7"/>
        <v>0</v>
      </c>
      <c r="P72" s="86"/>
      <c r="Q72" s="86"/>
      <c r="R72" s="86"/>
      <c r="S72" s="86"/>
      <c r="T72" s="86"/>
      <c r="U72" s="86"/>
    </row>
    <row r="73" spans="1:21" ht="22.95" customHeight="1">
      <c r="A73" s="98">
        <f>F01_UC2!A92</f>
        <v>46216</v>
      </c>
      <c r="B73" s="99">
        <f>F01_UC2!G92</f>
        <v>1428524708</v>
      </c>
      <c r="C73" s="99">
        <f t="shared" si="0"/>
        <v>-15256537.890000001</v>
      </c>
      <c r="D73" s="99">
        <f t="shared" si="1"/>
        <v>0</v>
      </c>
      <c r="E73" s="99">
        <f t="shared" si="2"/>
        <v>0</v>
      </c>
      <c r="F73" s="99">
        <f t="shared" si="3"/>
        <v>-15256537.890000001</v>
      </c>
      <c r="G73" s="99">
        <f>SUM($F$51:F73)</f>
        <v>341494886.01842403</v>
      </c>
      <c r="H73" s="99">
        <f t="shared" si="4"/>
        <v>1770019594.018424</v>
      </c>
      <c r="I73" s="99">
        <f>F01_UC2!H92</f>
        <v>0</v>
      </c>
      <c r="J73" s="99">
        <f>IF($B$34="Hợp lệ",MAX(0,F01_UC2!$B$10-H73),"Chưa tính")</f>
        <v>0</v>
      </c>
      <c r="K73" s="86">
        <f>IF($B$34&lt;&gt;"Hợp lệ","Chưa tính",IF(OR(H73&lt;0,H73&lt;F01_UC2!$B$9,J73/F01_UC2!$B$10&gt;Nguong!$B$63),3,IF(J73/F01_UC2!$B$10&gt;Nguong!$B$62,2,IF(J73&gt;0,1,0))))</f>
        <v>0</v>
      </c>
      <c r="L73" s="86">
        <f t="shared" si="5"/>
        <v>0</v>
      </c>
      <c r="M73" s="86">
        <f t="shared" si="6"/>
        <v>0</v>
      </c>
      <c r="N73" s="86">
        <f>IF($B$34&lt;&gt;"Hợp lệ","Chưa tính",IF(H73&gt;F01_UC2!$B$11,N72+1,0))</f>
        <v>6</v>
      </c>
      <c r="O73" s="86">
        <f t="shared" si="7"/>
        <v>0</v>
      </c>
      <c r="P73" s="86"/>
      <c r="Q73" s="86"/>
      <c r="R73" s="86"/>
      <c r="S73" s="86"/>
      <c r="T73" s="86"/>
      <c r="U73" s="86"/>
    </row>
    <row r="74" spans="1:21" ht="22.95" customHeight="1">
      <c r="A74" s="98">
        <f>F01_UC2!A93</f>
        <v>46217</v>
      </c>
      <c r="B74" s="99">
        <f>F01_UC2!G93</f>
        <v>1370756603</v>
      </c>
      <c r="C74" s="99">
        <f t="shared" si="0"/>
        <v>135068127.97499999</v>
      </c>
      <c r="D74" s="99">
        <f t="shared" si="1"/>
        <v>0</v>
      </c>
      <c r="E74" s="99">
        <f t="shared" si="2"/>
        <v>0</v>
      </c>
      <c r="F74" s="99">
        <f t="shared" si="3"/>
        <v>135068127.97499999</v>
      </c>
      <c r="G74" s="99">
        <f>SUM($F$51:F74)</f>
        <v>476563013.99342406</v>
      </c>
      <c r="H74" s="99">
        <f t="shared" si="4"/>
        <v>1847319616.9934239</v>
      </c>
      <c r="I74" s="99">
        <f>F01_UC2!H93</f>
        <v>0</v>
      </c>
      <c r="J74" s="99">
        <f>IF($B$34="Hợp lệ",MAX(0,F01_UC2!$B$10-H74),"Chưa tính")</f>
        <v>0</v>
      </c>
      <c r="K74" s="86">
        <f>IF($B$34&lt;&gt;"Hợp lệ","Chưa tính",IF(OR(H74&lt;0,H74&lt;F01_UC2!$B$9,J74/F01_UC2!$B$10&gt;Nguong!$B$63),3,IF(J74/F01_UC2!$B$10&gt;Nguong!$B$62,2,IF(J74&gt;0,1,0))))</f>
        <v>0</v>
      </c>
      <c r="L74" s="86">
        <f t="shared" si="5"/>
        <v>0</v>
      </c>
      <c r="M74" s="86">
        <f t="shared" si="6"/>
        <v>0</v>
      </c>
      <c r="N74" s="86">
        <f>IF($B$34&lt;&gt;"Hợp lệ","Chưa tính",IF(H74&gt;F01_UC2!$B$11,N73+1,0))</f>
        <v>7</v>
      </c>
      <c r="O74" s="86">
        <f t="shared" si="7"/>
        <v>0</v>
      </c>
      <c r="P74" s="86"/>
      <c r="Q74" s="86"/>
      <c r="R74" s="86"/>
      <c r="S74" s="86"/>
      <c r="T74" s="86"/>
      <c r="U74" s="86"/>
    </row>
    <row r="75" spans="1:21" ht="22.95" customHeight="1">
      <c r="A75" s="98">
        <f>F01_UC2!A94</f>
        <v>46218</v>
      </c>
      <c r="B75" s="99">
        <f>F01_UC2!G94</f>
        <v>1701309286</v>
      </c>
      <c r="C75" s="99">
        <f t="shared" si="0"/>
        <v>-87265459</v>
      </c>
      <c r="D75" s="99">
        <f t="shared" si="1"/>
        <v>61135830</v>
      </c>
      <c r="E75" s="99">
        <f t="shared" si="2"/>
        <v>0</v>
      </c>
      <c r="F75" s="99">
        <f t="shared" si="3"/>
        <v>-26129629</v>
      </c>
      <c r="G75" s="99">
        <f>SUM($F$51:F75)</f>
        <v>450433384.99342406</v>
      </c>
      <c r="H75" s="99">
        <f t="shared" si="4"/>
        <v>2151742670.9934239</v>
      </c>
      <c r="I75" s="99">
        <f>F01_UC2!H94</f>
        <v>0</v>
      </c>
      <c r="J75" s="99">
        <f>IF($B$34="Hợp lệ",MAX(0,F01_UC2!$B$10-H75),"Chưa tính")</f>
        <v>0</v>
      </c>
      <c r="K75" s="86">
        <f>IF($B$34&lt;&gt;"Hợp lệ","Chưa tính",IF(OR(H75&lt;0,H75&lt;F01_UC2!$B$9,J75/F01_UC2!$B$10&gt;Nguong!$B$63),3,IF(J75/F01_UC2!$B$10&gt;Nguong!$B$62,2,IF(J75&gt;0,1,0))))</f>
        <v>0</v>
      </c>
      <c r="L75" s="86">
        <f t="shared" si="5"/>
        <v>0</v>
      </c>
      <c r="M75" s="86">
        <f t="shared" si="6"/>
        <v>0</v>
      </c>
      <c r="N75" s="86">
        <f>IF($B$34&lt;&gt;"Hợp lệ","Chưa tính",IF(H75&gt;F01_UC2!$B$11,N74+1,0))</f>
        <v>8</v>
      </c>
      <c r="O75" s="86">
        <f t="shared" si="7"/>
        <v>0</v>
      </c>
      <c r="P75" s="86"/>
      <c r="Q75" s="86"/>
      <c r="R75" s="86"/>
      <c r="S75" s="86"/>
      <c r="T75" s="86"/>
      <c r="U75" s="86"/>
    </row>
    <row r="76" spans="1:21" ht="22.95" customHeight="1">
      <c r="A76" s="98">
        <f>F01_UC2!A95</f>
        <v>46219</v>
      </c>
      <c r="B76" s="99">
        <f>F01_UC2!G95</f>
        <v>1701309286</v>
      </c>
      <c r="C76" s="99">
        <f t="shared" si="0"/>
        <v>0</v>
      </c>
      <c r="D76" s="99">
        <f t="shared" si="1"/>
        <v>0</v>
      </c>
      <c r="E76" s="99">
        <f t="shared" si="2"/>
        <v>0</v>
      </c>
      <c r="F76" s="99">
        <f t="shared" si="3"/>
        <v>0</v>
      </c>
      <c r="G76" s="99">
        <f>SUM($F$51:F76)</f>
        <v>450433384.99342406</v>
      </c>
      <c r="H76" s="99">
        <f t="shared" si="4"/>
        <v>2151742670.9934239</v>
      </c>
      <c r="I76" s="99">
        <f>F01_UC2!H95</f>
        <v>0</v>
      </c>
      <c r="J76" s="99">
        <f>IF($B$34="Hợp lệ",MAX(0,F01_UC2!$B$10-H76),"Chưa tính")</f>
        <v>0</v>
      </c>
      <c r="K76" s="86">
        <f>IF($B$34&lt;&gt;"Hợp lệ","Chưa tính",IF(OR(H76&lt;0,H76&lt;F01_UC2!$B$9,J76/F01_UC2!$B$10&gt;Nguong!$B$63),3,IF(J76/F01_UC2!$B$10&gt;Nguong!$B$62,2,IF(J76&gt;0,1,0))))</f>
        <v>0</v>
      </c>
      <c r="L76" s="86">
        <f t="shared" si="5"/>
        <v>0</v>
      </c>
      <c r="M76" s="86">
        <f t="shared" si="6"/>
        <v>0</v>
      </c>
      <c r="N76" s="86">
        <f>IF($B$34&lt;&gt;"Hợp lệ","Chưa tính",IF(H76&gt;F01_UC2!$B$11,N75+1,0))</f>
        <v>9</v>
      </c>
      <c r="O76" s="86">
        <f t="shared" si="7"/>
        <v>0</v>
      </c>
      <c r="P76" s="86"/>
      <c r="Q76" s="86"/>
      <c r="R76" s="86"/>
      <c r="S76" s="86"/>
      <c r="T76" s="86"/>
      <c r="U76" s="86"/>
    </row>
    <row r="77" spans="1:21" ht="22.95" customHeight="1">
      <c r="A77" s="98">
        <f>F01_UC2!A96</f>
        <v>46220</v>
      </c>
      <c r="B77" s="99">
        <f>F01_UC2!G96</f>
        <v>1798338768</v>
      </c>
      <c r="C77" s="99">
        <f t="shared" si="0"/>
        <v>0</v>
      </c>
      <c r="D77" s="99">
        <f t="shared" si="1"/>
        <v>-31105570.079999998</v>
      </c>
      <c r="E77" s="99">
        <f t="shared" si="2"/>
        <v>0</v>
      </c>
      <c r="F77" s="99">
        <f t="shared" si="3"/>
        <v>-31105570.079999998</v>
      </c>
      <c r="G77" s="99">
        <f>SUM($F$51:F77)</f>
        <v>419327814.91342407</v>
      </c>
      <c r="H77" s="99">
        <f t="shared" si="4"/>
        <v>2217666582.913424</v>
      </c>
      <c r="I77" s="99">
        <f>F01_UC2!H96</f>
        <v>0</v>
      </c>
      <c r="J77" s="99">
        <f>IF($B$34="Hợp lệ",MAX(0,F01_UC2!$B$10-H77),"Chưa tính")</f>
        <v>0</v>
      </c>
      <c r="K77" s="86">
        <f>IF($B$34&lt;&gt;"Hợp lệ","Chưa tính",IF(OR(H77&lt;0,H77&lt;F01_UC2!$B$9,J77/F01_UC2!$B$10&gt;Nguong!$B$63),3,IF(J77/F01_UC2!$B$10&gt;Nguong!$B$62,2,IF(J77&gt;0,1,0))))</f>
        <v>0</v>
      </c>
      <c r="L77" s="86">
        <f t="shared" si="5"/>
        <v>0</v>
      </c>
      <c r="M77" s="86">
        <f t="shared" si="6"/>
        <v>0</v>
      </c>
      <c r="N77" s="86">
        <f>IF($B$34&lt;&gt;"Hợp lệ","Chưa tính",IF(H77&gt;F01_UC2!$B$11,N76+1,0))</f>
        <v>10</v>
      </c>
      <c r="O77" s="86">
        <f t="shared" si="7"/>
        <v>0</v>
      </c>
      <c r="P77" s="86"/>
      <c r="Q77" s="86"/>
      <c r="R77" s="86"/>
      <c r="S77" s="86"/>
      <c r="T77" s="86"/>
      <c r="U77" s="86"/>
    </row>
    <row r="78" spans="1:21" ht="22.95" customHeight="1">
      <c r="A78" s="98">
        <f>F01_UC2!A97</f>
        <v>46221</v>
      </c>
      <c r="B78" s="99">
        <f>F01_UC2!G97</f>
        <v>1702939543</v>
      </c>
      <c r="C78" s="99">
        <f t="shared" si="0"/>
        <v>0</v>
      </c>
      <c r="D78" s="99">
        <f t="shared" si="1"/>
        <v>47699612.5</v>
      </c>
      <c r="E78" s="99">
        <f t="shared" si="2"/>
        <v>0</v>
      </c>
      <c r="F78" s="99">
        <f t="shared" si="3"/>
        <v>47699612.5</v>
      </c>
      <c r="G78" s="99">
        <f>SUM($F$51:F78)</f>
        <v>467027427.41342407</v>
      </c>
      <c r="H78" s="99">
        <f t="shared" si="4"/>
        <v>2169966970.413424</v>
      </c>
      <c r="I78" s="99">
        <f>F01_UC2!H97</f>
        <v>0</v>
      </c>
      <c r="J78" s="99">
        <f>IF($B$34="Hợp lệ",MAX(0,F01_UC2!$B$10-H78),"Chưa tính")</f>
        <v>0</v>
      </c>
      <c r="K78" s="86">
        <f>IF($B$34&lt;&gt;"Hợp lệ","Chưa tính",IF(OR(H78&lt;0,H78&lt;F01_UC2!$B$9,J78/F01_UC2!$B$10&gt;Nguong!$B$63),3,IF(J78/F01_UC2!$B$10&gt;Nguong!$B$62,2,IF(J78&gt;0,1,0))))</f>
        <v>0</v>
      </c>
      <c r="L78" s="86">
        <f t="shared" si="5"/>
        <v>0</v>
      </c>
      <c r="M78" s="86">
        <f t="shared" si="6"/>
        <v>0</v>
      </c>
      <c r="N78" s="86">
        <f>IF($B$34&lt;&gt;"Hợp lệ","Chưa tính",IF(H78&gt;F01_UC2!$B$11,N77+1,0))</f>
        <v>11</v>
      </c>
      <c r="O78" s="86">
        <f t="shared" si="7"/>
        <v>0</v>
      </c>
      <c r="P78" s="86"/>
      <c r="Q78" s="86"/>
      <c r="R78" s="86"/>
      <c r="S78" s="86"/>
      <c r="T78" s="86"/>
      <c r="U78" s="86"/>
    </row>
    <row r="79" spans="1:21" ht="22.95" customHeight="1">
      <c r="A79" s="98">
        <f>F01_UC2!A98</f>
        <v>46222</v>
      </c>
      <c r="B79" s="99">
        <f>F01_UC2!G98</f>
        <v>1964661800</v>
      </c>
      <c r="C79" s="99">
        <f t="shared" si="0"/>
        <v>-130861128.5</v>
      </c>
      <c r="D79" s="99">
        <f t="shared" si="1"/>
        <v>0</v>
      </c>
      <c r="E79" s="99">
        <f t="shared" si="2"/>
        <v>0</v>
      </c>
      <c r="F79" s="99">
        <f t="shared" si="3"/>
        <v>-130861128.5</v>
      </c>
      <c r="G79" s="99">
        <f>SUM($F$51:F79)</f>
        <v>336166298.91342407</v>
      </c>
      <c r="H79" s="99">
        <f t="shared" si="4"/>
        <v>2300828098.913424</v>
      </c>
      <c r="I79" s="99">
        <f>F01_UC2!H98</f>
        <v>0</v>
      </c>
      <c r="J79" s="99">
        <f>IF($B$34="Hợp lệ",MAX(0,F01_UC2!$B$10-H79),"Chưa tính")</f>
        <v>0</v>
      </c>
      <c r="K79" s="86">
        <f>IF($B$34&lt;&gt;"Hợp lệ","Chưa tính",IF(OR(H79&lt;0,H79&lt;F01_UC2!$B$9,J79/F01_UC2!$B$10&gt;Nguong!$B$63),3,IF(J79/F01_UC2!$B$10&gt;Nguong!$B$62,2,IF(J79&gt;0,1,0))))</f>
        <v>0</v>
      </c>
      <c r="L79" s="86">
        <f t="shared" si="5"/>
        <v>0</v>
      </c>
      <c r="M79" s="86">
        <f t="shared" si="6"/>
        <v>0</v>
      </c>
      <c r="N79" s="86">
        <f>IF($B$34&lt;&gt;"Hợp lệ","Chưa tính",IF(H79&gt;F01_UC2!$B$11,N78+1,0))</f>
        <v>12</v>
      </c>
      <c r="O79" s="86">
        <f t="shared" si="7"/>
        <v>0</v>
      </c>
      <c r="P79" s="86"/>
      <c r="Q79" s="86"/>
      <c r="R79" s="86"/>
      <c r="S79" s="86"/>
      <c r="T79" s="86"/>
      <c r="U79" s="86"/>
    </row>
    <row r="80" spans="1:21" ht="22.95" customHeight="1">
      <c r="A80" s="98">
        <f>F01_UC2!A99</f>
        <v>46223</v>
      </c>
      <c r="B80" s="99">
        <f>F01_UC2!G99</f>
        <v>1971290711</v>
      </c>
      <c r="C80" s="99">
        <f t="shared" si="0"/>
        <v>-82396789</v>
      </c>
      <c r="D80" s="99">
        <f t="shared" si="1"/>
        <v>0</v>
      </c>
      <c r="E80" s="99">
        <f t="shared" si="2"/>
        <v>0</v>
      </c>
      <c r="F80" s="99">
        <f t="shared" si="3"/>
        <v>-82396789</v>
      </c>
      <c r="G80" s="99">
        <f>SUM($F$51:F80)</f>
        <v>253769509.91342407</v>
      </c>
      <c r="H80" s="99">
        <f t="shared" si="4"/>
        <v>2225060220.913424</v>
      </c>
      <c r="I80" s="99">
        <f>F01_UC2!H99</f>
        <v>0</v>
      </c>
      <c r="J80" s="99">
        <f>IF($B$34="Hợp lệ",MAX(0,F01_UC2!$B$10-H80),"Chưa tính")</f>
        <v>0</v>
      </c>
      <c r="K80" s="86">
        <f>IF($B$34&lt;&gt;"Hợp lệ","Chưa tính",IF(OR(H80&lt;0,H80&lt;F01_UC2!$B$9,J80/F01_UC2!$B$10&gt;Nguong!$B$63),3,IF(J80/F01_UC2!$B$10&gt;Nguong!$B$62,2,IF(J80&gt;0,1,0))))</f>
        <v>0</v>
      </c>
      <c r="L80" s="86">
        <f t="shared" si="5"/>
        <v>0</v>
      </c>
      <c r="M80" s="86">
        <f t="shared" si="6"/>
        <v>0</v>
      </c>
      <c r="N80" s="86">
        <f>IF($B$34&lt;&gt;"Hợp lệ","Chưa tính",IF(H80&gt;F01_UC2!$B$11,N79+1,0))</f>
        <v>13</v>
      </c>
      <c r="O80" s="86">
        <f t="shared" si="7"/>
        <v>0</v>
      </c>
      <c r="P80" s="86"/>
      <c r="Q80" s="86"/>
      <c r="R80" s="86"/>
      <c r="S80" s="86"/>
      <c r="T80" s="86"/>
      <c r="U80" s="86"/>
    </row>
    <row r="81" spans="1:21" ht="22.95" customHeight="1">
      <c r="A81" s="98">
        <f>F01_UC2!A100</f>
        <v>46224</v>
      </c>
      <c r="B81" s="99">
        <f>F01_UC2!G100</f>
        <v>2244155616</v>
      </c>
      <c r="C81" s="99">
        <f t="shared" si="0"/>
        <v>-15081684.334999993</v>
      </c>
      <c r="D81" s="99">
        <f t="shared" si="1"/>
        <v>0</v>
      </c>
      <c r="E81" s="99">
        <f t="shared" si="2"/>
        <v>0</v>
      </c>
      <c r="F81" s="99">
        <f t="shared" si="3"/>
        <v>-15081684.334999993</v>
      </c>
      <c r="G81" s="99">
        <f>SUM($F$51:F81)</f>
        <v>238687825.5784241</v>
      </c>
      <c r="H81" s="99">
        <f t="shared" si="4"/>
        <v>2482843441.578424</v>
      </c>
      <c r="I81" s="99">
        <f>F01_UC2!H100</f>
        <v>0</v>
      </c>
      <c r="J81" s="99">
        <f>IF($B$34="Hợp lệ",MAX(0,F01_UC2!$B$10-H81),"Chưa tính")</f>
        <v>0</v>
      </c>
      <c r="K81" s="86">
        <f>IF($B$34&lt;&gt;"Hợp lệ","Chưa tính",IF(OR(H81&lt;0,H81&lt;F01_UC2!$B$9,J81/F01_UC2!$B$10&gt;Nguong!$B$63),3,IF(J81/F01_UC2!$B$10&gt;Nguong!$B$62,2,IF(J81&gt;0,1,0))))</f>
        <v>0</v>
      </c>
      <c r="L81" s="86">
        <f t="shared" si="5"/>
        <v>0</v>
      </c>
      <c r="M81" s="86">
        <f t="shared" si="6"/>
        <v>0</v>
      </c>
      <c r="N81" s="86">
        <f>IF($B$34&lt;&gt;"Hợp lệ","Chưa tính",IF(H81&gt;F01_UC2!$B$11,N80+1,0))</f>
        <v>14</v>
      </c>
      <c r="O81" s="86">
        <f t="shared" si="7"/>
        <v>0</v>
      </c>
      <c r="P81" s="86"/>
      <c r="Q81" s="86"/>
      <c r="R81" s="86"/>
      <c r="S81" s="86"/>
      <c r="T81" s="86"/>
      <c r="U81" s="86"/>
    </row>
    <row r="82" spans="1:21" ht="22.95" customHeight="1">
      <c r="A82" s="98">
        <f>F01_UC2!A101</f>
        <v>46225</v>
      </c>
      <c r="B82" s="99">
        <f>F01_UC2!G101</f>
        <v>2244155616</v>
      </c>
      <c r="C82" s="99">
        <f t="shared" si="0"/>
        <v>0</v>
      </c>
      <c r="D82" s="99">
        <f t="shared" si="1"/>
        <v>0</v>
      </c>
      <c r="E82" s="99">
        <f t="shared" si="2"/>
        <v>0</v>
      </c>
      <c r="F82" s="99">
        <f t="shared" si="3"/>
        <v>0</v>
      </c>
      <c r="G82" s="99">
        <f>SUM($F$51:F82)</f>
        <v>238687825.5784241</v>
      </c>
      <c r="H82" s="99">
        <f t="shared" si="4"/>
        <v>2482843441.578424</v>
      </c>
      <c r="I82" s="99">
        <f>F01_UC2!H101</f>
        <v>0</v>
      </c>
      <c r="J82" s="99">
        <f>IF($B$34="Hợp lệ",MAX(0,F01_UC2!$B$10-H82),"Chưa tính")</f>
        <v>0</v>
      </c>
      <c r="K82" s="86">
        <f>IF($B$34&lt;&gt;"Hợp lệ","Chưa tính",IF(OR(H82&lt;0,H82&lt;F01_UC2!$B$9,J82/F01_UC2!$B$10&gt;Nguong!$B$63),3,IF(J82/F01_UC2!$B$10&gt;Nguong!$B$62,2,IF(J82&gt;0,1,0))))</f>
        <v>0</v>
      </c>
      <c r="L82" s="86">
        <f t="shared" si="5"/>
        <v>0</v>
      </c>
      <c r="M82" s="86">
        <f t="shared" si="6"/>
        <v>0</v>
      </c>
      <c r="N82" s="86">
        <f>IF($B$34&lt;&gt;"Hợp lệ","Chưa tính",IF(H82&gt;F01_UC2!$B$11,N81+1,0))</f>
        <v>15</v>
      </c>
      <c r="O82" s="86">
        <f t="shared" si="7"/>
        <v>0</v>
      </c>
      <c r="P82" s="86"/>
      <c r="Q82" s="86"/>
      <c r="R82" s="86"/>
      <c r="S82" s="86"/>
      <c r="T82" s="86"/>
      <c r="U82" s="86"/>
    </row>
    <row r="83" spans="1:21" ht="22.95" customHeight="1">
      <c r="A83" s="98">
        <f>F01_UC2!A102</f>
        <v>46226</v>
      </c>
      <c r="B83" s="99">
        <f>F01_UC2!G102</f>
        <v>2244155616</v>
      </c>
      <c r="C83" s="99">
        <f t="shared" ref="C83:C114" si="8">SUMIFS($L$151:$L$272,$K$151:$K$272,A83)-SUMIFS($J$151:$J$272,$F$151:$F$272,A83)</f>
        <v>0</v>
      </c>
      <c r="D83" s="99">
        <f t="shared" ref="D83:D114" si="9">SUMIFS($N$151:$N$272,$F$151:$F$272,A83)-SUMIFS($P$151:$P$272,$O$151:$O$272,A83)</f>
        <v>0</v>
      </c>
      <c r="E83" s="99">
        <f t="shared" ref="E83:E114" si="10">IF(A83=$B$33,$B$48,0)</f>
        <v>0</v>
      </c>
      <c r="F83" s="99">
        <f t="shared" ref="F83:F114" si="11">SUM(C83:E83)</f>
        <v>0</v>
      </c>
      <c r="G83" s="99">
        <f>SUM($F$51:F83)</f>
        <v>238687825.5784241</v>
      </c>
      <c r="H83" s="99">
        <f t="shared" ref="H83:H114" si="12">IF($B$34="Hợp lệ",B83+G83,"Chưa tính")</f>
        <v>2482843441.578424</v>
      </c>
      <c r="I83" s="99">
        <f>F01_UC2!H102</f>
        <v>0</v>
      </c>
      <c r="J83" s="99">
        <f>IF($B$34="Hợp lệ",MAX(0,F01_UC2!$B$10-H83),"Chưa tính")</f>
        <v>0</v>
      </c>
      <c r="K83" s="86">
        <f>IF($B$34&lt;&gt;"Hợp lệ","Chưa tính",IF(OR(H83&lt;0,H83&lt;F01_UC2!$B$9,J83/F01_UC2!$B$10&gt;Nguong!$B$63),3,IF(J83/F01_UC2!$B$10&gt;Nguong!$B$62,2,IF(J83&gt;0,1,0))))</f>
        <v>0</v>
      </c>
      <c r="L83" s="86">
        <f t="shared" ref="L83:L114" si="13">IF($B$34="Hợp lệ",IF(AND(I83=0,J83&gt;$B$27),1,0),"Chưa tính")</f>
        <v>0</v>
      </c>
      <c r="M83" s="86">
        <f t="shared" ref="M83:M114" si="14">IF($B$34="Hợp lệ",IF(J83&gt;I83+$B$27,1,0),"Chưa tính")</f>
        <v>0</v>
      </c>
      <c r="N83" s="86">
        <f>IF($B$34&lt;&gt;"Hợp lệ","Chưa tính",IF(H83&gt;F01_UC2!$B$11,N82+1,0))</f>
        <v>16</v>
      </c>
      <c r="O83" s="86">
        <f t="shared" ref="O83:O114" si="15">IF($B$34="Hợp lệ",I83-J83,"Chưa tính")</f>
        <v>0</v>
      </c>
      <c r="P83" s="86"/>
      <c r="Q83" s="86"/>
      <c r="R83" s="86"/>
      <c r="S83" s="86"/>
      <c r="T83" s="86"/>
      <c r="U83" s="86"/>
    </row>
    <row r="84" spans="1:21" ht="22.95" customHeight="1">
      <c r="A84" s="98">
        <f>F01_UC2!A103</f>
        <v>46227</v>
      </c>
      <c r="B84" s="99">
        <f>F01_UC2!G103</f>
        <v>2181368179</v>
      </c>
      <c r="C84" s="99">
        <f t="shared" si="8"/>
        <v>0</v>
      </c>
      <c r="D84" s="99">
        <f t="shared" si="9"/>
        <v>0</v>
      </c>
      <c r="E84" s="99">
        <f t="shared" si="10"/>
        <v>0</v>
      </c>
      <c r="F84" s="99">
        <f t="shared" si="11"/>
        <v>0</v>
      </c>
      <c r="G84" s="99">
        <f>SUM($F$51:F84)</f>
        <v>238687825.5784241</v>
      </c>
      <c r="H84" s="99">
        <f t="shared" si="12"/>
        <v>2420056004.578424</v>
      </c>
      <c r="I84" s="99">
        <f>F01_UC2!H103</f>
        <v>0</v>
      </c>
      <c r="J84" s="99">
        <f>IF($B$34="Hợp lệ",MAX(0,F01_UC2!$B$10-H84),"Chưa tính")</f>
        <v>0</v>
      </c>
      <c r="K84" s="86">
        <f>IF($B$34&lt;&gt;"Hợp lệ","Chưa tính",IF(OR(H84&lt;0,H84&lt;F01_UC2!$B$9,J84/F01_UC2!$B$10&gt;Nguong!$B$63),3,IF(J84/F01_UC2!$B$10&gt;Nguong!$B$62,2,IF(J84&gt;0,1,0))))</f>
        <v>0</v>
      </c>
      <c r="L84" s="86">
        <f t="shared" si="13"/>
        <v>0</v>
      </c>
      <c r="M84" s="86">
        <f t="shared" si="14"/>
        <v>0</v>
      </c>
      <c r="N84" s="86">
        <f>IF($B$34&lt;&gt;"Hợp lệ","Chưa tính",IF(H84&gt;F01_UC2!$B$11,N83+1,0))</f>
        <v>17</v>
      </c>
      <c r="O84" s="86">
        <f t="shared" si="15"/>
        <v>0</v>
      </c>
      <c r="P84" s="86"/>
      <c r="Q84" s="86"/>
      <c r="R84" s="86"/>
      <c r="S84" s="86"/>
      <c r="T84" s="86"/>
      <c r="U84" s="86"/>
    </row>
    <row r="85" spans="1:21" ht="22.95" customHeight="1">
      <c r="A85" s="98">
        <f>F01_UC2!A104</f>
        <v>46228</v>
      </c>
      <c r="B85" s="99">
        <f>F01_UC2!G104</f>
        <v>2181368179</v>
      </c>
      <c r="C85" s="99">
        <f t="shared" si="8"/>
        <v>0</v>
      </c>
      <c r="D85" s="99">
        <f t="shared" si="9"/>
        <v>0</v>
      </c>
      <c r="E85" s="99">
        <f t="shared" si="10"/>
        <v>0</v>
      </c>
      <c r="F85" s="99">
        <f t="shared" si="11"/>
        <v>0</v>
      </c>
      <c r="G85" s="99">
        <f>SUM($F$51:F85)</f>
        <v>238687825.5784241</v>
      </c>
      <c r="H85" s="99">
        <f t="shared" si="12"/>
        <v>2420056004.578424</v>
      </c>
      <c r="I85" s="99">
        <f>F01_UC2!H104</f>
        <v>0</v>
      </c>
      <c r="J85" s="99">
        <f>IF($B$34="Hợp lệ",MAX(0,F01_UC2!$B$10-H85),"Chưa tính")</f>
        <v>0</v>
      </c>
      <c r="K85" s="86">
        <f>IF($B$34&lt;&gt;"Hợp lệ","Chưa tính",IF(OR(H85&lt;0,H85&lt;F01_UC2!$B$9,J85/F01_UC2!$B$10&gt;Nguong!$B$63),3,IF(J85/F01_UC2!$B$10&gt;Nguong!$B$62,2,IF(J85&gt;0,1,0))))</f>
        <v>0</v>
      </c>
      <c r="L85" s="86">
        <f t="shared" si="13"/>
        <v>0</v>
      </c>
      <c r="M85" s="86">
        <f t="shared" si="14"/>
        <v>0</v>
      </c>
      <c r="N85" s="86">
        <f>IF($B$34&lt;&gt;"Hợp lệ","Chưa tính",IF(H85&gt;F01_UC2!$B$11,N84+1,0))</f>
        <v>18</v>
      </c>
      <c r="O85" s="86">
        <f t="shared" si="15"/>
        <v>0</v>
      </c>
      <c r="P85" s="86"/>
      <c r="Q85" s="86"/>
      <c r="R85" s="86"/>
      <c r="S85" s="86"/>
      <c r="T85" s="86"/>
      <c r="U85" s="86"/>
    </row>
    <row r="86" spans="1:21" ht="22.95" customHeight="1">
      <c r="A86" s="98">
        <f>F01_UC2!A105</f>
        <v>46229</v>
      </c>
      <c r="B86" s="99">
        <f>F01_UC2!G105</f>
        <v>2181368179</v>
      </c>
      <c r="C86" s="99">
        <f t="shared" si="8"/>
        <v>0</v>
      </c>
      <c r="D86" s="99">
        <f t="shared" si="9"/>
        <v>0</v>
      </c>
      <c r="E86" s="99">
        <f t="shared" si="10"/>
        <v>0</v>
      </c>
      <c r="F86" s="99">
        <f t="shared" si="11"/>
        <v>0</v>
      </c>
      <c r="G86" s="99">
        <f>SUM($F$51:F86)</f>
        <v>238687825.5784241</v>
      </c>
      <c r="H86" s="99">
        <f t="shared" si="12"/>
        <v>2420056004.578424</v>
      </c>
      <c r="I86" s="99">
        <f>F01_UC2!H105</f>
        <v>0</v>
      </c>
      <c r="J86" s="99">
        <f>IF($B$34="Hợp lệ",MAX(0,F01_UC2!$B$10-H86),"Chưa tính")</f>
        <v>0</v>
      </c>
      <c r="K86" s="86">
        <f>IF($B$34&lt;&gt;"Hợp lệ","Chưa tính",IF(OR(H86&lt;0,H86&lt;F01_UC2!$B$9,J86/F01_UC2!$B$10&gt;Nguong!$B$63),3,IF(J86/F01_UC2!$B$10&gt;Nguong!$B$62,2,IF(J86&gt;0,1,0))))</f>
        <v>0</v>
      </c>
      <c r="L86" s="86">
        <f t="shared" si="13"/>
        <v>0</v>
      </c>
      <c r="M86" s="86">
        <f t="shared" si="14"/>
        <v>0</v>
      </c>
      <c r="N86" s="86">
        <f>IF($B$34&lt;&gt;"Hợp lệ","Chưa tính",IF(H86&gt;F01_UC2!$B$11,N85+1,0))</f>
        <v>19</v>
      </c>
      <c r="O86" s="86">
        <f t="shared" si="15"/>
        <v>0</v>
      </c>
      <c r="P86" s="86"/>
      <c r="Q86" s="86"/>
      <c r="R86" s="86"/>
      <c r="S86" s="86"/>
      <c r="T86" s="86"/>
      <c r="U86" s="86"/>
    </row>
    <row r="87" spans="1:21" ht="22.95" customHeight="1">
      <c r="A87" s="98">
        <f>F01_UC2!A106</f>
        <v>46230</v>
      </c>
      <c r="B87" s="99">
        <f>F01_UC2!G106</f>
        <v>2181368179</v>
      </c>
      <c r="C87" s="99">
        <f t="shared" si="8"/>
        <v>0</v>
      </c>
      <c r="D87" s="99">
        <f t="shared" si="9"/>
        <v>0</v>
      </c>
      <c r="E87" s="99">
        <f t="shared" si="10"/>
        <v>0</v>
      </c>
      <c r="F87" s="99">
        <f t="shared" si="11"/>
        <v>0</v>
      </c>
      <c r="G87" s="99">
        <f>SUM($F$51:F87)</f>
        <v>238687825.5784241</v>
      </c>
      <c r="H87" s="99">
        <f t="shared" si="12"/>
        <v>2420056004.578424</v>
      </c>
      <c r="I87" s="99">
        <f>F01_UC2!H106</f>
        <v>0</v>
      </c>
      <c r="J87" s="99">
        <f>IF($B$34="Hợp lệ",MAX(0,F01_UC2!$B$10-H87),"Chưa tính")</f>
        <v>0</v>
      </c>
      <c r="K87" s="86">
        <f>IF($B$34&lt;&gt;"Hợp lệ","Chưa tính",IF(OR(H87&lt;0,H87&lt;F01_UC2!$B$9,J87/F01_UC2!$B$10&gt;Nguong!$B$63),3,IF(J87/F01_UC2!$B$10&gt;Nguong!$B$62,2,IF(J87&gt;0,1,0))))</f>
        <v>0</v>
      </c>
      <c r="L87" s="86">
        <f t="shared" si="13"/>
        <v>0</v>
      </c>
      <c r="M87" s="86">
        <f t="shared" si="14"/>
        <v>0</v>
      </c>
      <c r="N87" s="86">
        <f>IF($B$34&lt;&gt;"Hợp lệ","Chưa tính",IF(H87&gt;F01_UC2!$B$11,N86+1,0))</f>
        <v>20</v>
      </c>
      <c r="O87" s="86">
        <f t="shared" si="15"/>
        <v>0</v>
      </c>
      <c r="P87" s="86"/>
      <c r="Q87" s="86"/>
      <c r="R87" s="86"/>
      <c r="S87" s="86"/>
      <c r="T87" s="86"/>
      <c r="U87" s="86"/>
    </row>
    <row r="88" spans="1:21" ht="22.95" customHeight="1">
      <c r="A88" s="98">
        <f>F01_UC2!A107</f>
        <v>46231</v>
      </c>
      <c r="B88" s="99">
        <f>F01_UC2!G107</f>
        <v>2397178683</v>
      </c>
      <c r="C88" s="99">
        <f t="shared" si="8"/>
        <v>-122576533.5</v>
      </c>
      <c r="D88" s="99">
        <f t="shared" si="9"/>
        <v>0</v>
      </c>
      <c r="E88" s="99">
        <f t="shared" si="10"/>
        <v>0</v>
      </c>
      <c r="F88" s="99">
        <f t="shared" si="11"/>
        <v>-122576533.5</v>
      </c>
      <c r="G88" s="99">
        <f>SUM($F$51:F88)</f>
        <v>116111292.0784241</v>
      </c>
      <c r="H88" s="99">
        <f t="shared" si="12"/>
        <v>2513289975.078424</v>
      </c>
      <c r="I88" s="99">
        <f>F01_UC2!H107</f>
        <v>0</v>
      </c>
      <c r="J88" s="99">
        <f>IF($B$34="Hợp lệ",MAX(0,F01_UC2!$B$10-H88),"Chưa tính")</f>
        <v>0</v>
      </c>
      <c r="K88" s="86">
        <f>IF($B$34&lt;&gt;"Hợp lệ","Chưa tính",IF(OR(H88&lt;0,H88&lt;F01_UC2!$B$9,J88/F01_UC2!$B$10&gt;Nguong!$B$63),3,IF(J88/F01_UC2!$B$10&gt;Nguong!$B$62,2,IF(J88&gt;0,1,0))))</f>
        <v>0</v>
      </c>
      <c r="L88" s="86">
        <f t="shared" si="13"/>
        <v>0</v>
      </c>
      <c r="M88" s="86">
        <f t="shared" si="14"/>
        <v>0</v>
      </c>
      <c r="N88" s="86">
        <f>IF($B$34&lt;&gt;"Hợp lệ","Chưa tính",IF(H88&gt;F01_UC2!$B$11,N87+1,0))</f>
        <v>21</v>
      </c>
      <c r="O88" s="86">
        <f t="shared" si="15"/>
        <v>0</v>
      </c>
      <c r="P88" s="86"/>
      <c r="Q88" s="86"/>
      <c r="R88" s="86"/>
      <c r="S88" s="86"/>
      <c r="T88" s="86"/>
      <c r="U88" s="86"/>
    </row>
    <row r="89" spans="1:21" ht="22.95" customHeight="1">
      <c r="A89" s="98">
        <f>F01_UC2!A108</f>
        <v>46232</v>
      </c>
      <c r="B89" s="99">
        <f>F01_UC2!G108</f>
        <v>2397178683</v>
      </c>
      <c r="C89" s="99">
        <f t="shared" si="8"/>
        <v>0</v>
      </c>
      <c r="D89" s="99">
        <f t="shared" si="9"/>
        <v>-61441509.149999999</v>
      </c>
      <c r="E89" s="99">
        <f t="shared" si="10"/>
        <v>0</v>
      </c>
      <c r="F89" s="99">
        <f t="shared" si="11"/>
        <v>-61441509.149999999</v>
      </c>
      <c r="G89" s="99">
        <f>SUM($F$51:F89)</f>
        <v>54669782.928424098</v>
      </c>
      <c r="H89" s="99">
        <f t="shared" si="12"/>
        <v>2451848465.9284239</v>
      </c>
      <c r="I89" s="99">
        <f>F01_UC2!H108</f>
        <v>0</v>
      </c>
      <c r="J89" s="99">
        <f>IF($B$34="Hợp lệ",MAX(0,F01_UC2!$B$10-H89),"Chưa tính")</f>
        <v>0</v>
      </c>
      <c r="K89" s="86">
        <f>IF($B$34&lt;&gt;"Hợp lệ","Chưa tính",IF(OR(H89&lt;0,H89&lt;F01_UC2!$B$9,J89/F01_UC2!$B$10&gt;Nguong!$B$63),3,IF(J89/F01_UC2!$B$10&gt;Nguong!$B$62,2,IF(J89&gt;0,1,0))))</f>
        <v>0</v>
      </c>
      <c r="L89" s="86">
        <f t="shared" si="13"/>
        <v>0</v>
      </c>
      <c r="M89" s="86">
        <f t="shared" si="14"/>
        <v>0</v>
      </c>
      <c r="N89" s="86">
        <f>IF($B$34&lt;&gt;"Hợp lệ","Chưa tính",IF(H89&gt;F01_UC2!$B$11,N88+1,0))</f>
        <v>22</v>
      </c>
      <c r="O89" s="86">
        <f t="shared" si="15"/>
        <v>0</v>
      </c>
      <c r="P89" s="86"/>
      <c r="Q89" s="86"/>
      <c r="R89" s="86"/>
      <c r="S89" s="86"/>
      <c r="T89" s="86"/>
      <c r="U89" s="86"/>
    </row>
    <row r="90" spans="1:21" ht="22.95" customHeight="1">
      <c r="A90" s="98">
        <f>F01_UC2!A109</f>
        <v>46233</v>
      </c>
      <c r="B90" s="99">
        <f>F01_UC2!G109</f>
        <v>2397178683</v>
      </c>
      <c r="C90" s="99">
        <f t="shared" si="8"/>
        <v>0</v>
      </c>
      <c r="D90" s="99">
        <f t="shared" si="9"/>
        <v>0</v>
      </c>
      <c r="E90" s="99">
        <f t="shared" si="10"/>
        <v>0</v>
      </c>
      <c r="F90" s="99">
        <f t="shared" si="11"/>
        <v>0</v>
      </c>
      <c r="G90" s="99">
        <f>SUM($F$51:F90)</f>
        <v>54669782.928424098</v>
      </c>
      <c r="H90" s="99">
        <f t="shared" si="12"/>
        <v>2451848465.9284239</v>
      </c>
      <c r="I90" s="99">
        <f>F01_UC2!H109</f>
        <v>0</v>
      </c>
      <c r="J90" s="99">
        <f>IF($B$34="Hợp lệ",MAX(0,F01_UC2!$B$10-H90),"Chưa tính")</f>
        <v>0</v>
      </c>
      <c r="K90" s="86">
        <f>IF($B$34&lt;&gt;"Hợp lệ","Chưa tính",IF(OR(H90&lt;0,H90&lt;F01_UC2!$B$9,J90/F01_UC2!$B$10&gt;Nguong!$B$63),3,IF(J90/F01_UC2!$B$10&gt;Nguong!$B$62,2,IF(J90&gt;0,1,0))))</f>
        <v>0</v>
      </c>
      <c r="L90" s="86">
        <f t="shared" si="13"/>
        <v>0</v>
      </c>
      <c r="M90" s="86">
        <f t="shared" si="14"/>
        <v>0</v>
      </c>
      <c r="N90" s="86">
        <f>IF($B$34&lt;&gt;"Hợp lệ","Chưa tính",IF(H90&gt;F01_UC2!$B$11,N89+1,0))</f>
        <v>23</v>
      </c>
      <c r="O90" s="86">
        <f t="shared" si="15"/>
        <v>0</v>
      </c>
      <c r="P90" s="86"/>
      <c r="Q90" s="86"/>
      <c r="R90" s="86"/>
      <c r="S90" s="86"/>
      <c r="T90" s="86"/>
      <c r="U90" s="86"/>
    </row>
    <row r="91" spans="1:21" ht="22.95" customHeight="1">
      <c r="A91" s="98">
        <f>F01_UC2!A110</f>
        <v>46234</v>
      </c>
      <c r="B91" s="99">
        <f>F01_UC2!G110</f>
        <v>-402821317</v>
      </c>
      <c r="C91" s="99">
        <f t="shared" si="8"/>
        <v>0</v>
      </c>
      <c r="D91" s="99">
        <f t="shared" si="9"/>
        <v>0</v>
      </c>
      <c r="E91" s="99">
        <f t="shared" si="10"/>
        <v>0</v>
      </c>
      <c r="F91" s="99">
        <f t="shared" si="11"/>
        <v>0</v>
      </c>
      <c r="G91" s="99">
        <f>SUM($F$51:F91)</f>
        <v>54669782.928424098</v>
      </c>
      <c r="H91" s="99">
        <f t="shared" si="12"/>
        <v>-348151534.07157588</v>
      </c>
      <c r="I91" s="99">
        <f>F01_UC2!H110</f>
        <v>902821317</v>
      </c>
      <c r="J91" s="99">
        <f>IF($B$34="Hợp lệ",MAX(0,F01_UC2!$B$10-H91),"Chưa tính")</f>
        <v>848151534.07157588</v>
      </c>
      <c r="K91" s="86">
        <f>IF($B$34&lt;&gt;"Hợp lệ","Chưa tính",IF(OR(H91&lt;0,H91&lt;F01_UC2!$B$9,J91/F01_UC2!$B$10&gt;Nguong!$B$63),3,IF(J91/F01_UC2!$B$10&gt;Nguong!$B$62,2,IF(J91&gt;0,1,0))))</f>
        <v>3</v>
      </c>
      <c r="L91" s="86">
        <f t="shared" si="13"/>
        <v>0</v>
      </c>
      <c r="M91" s="86">
        <f t="shared" si="14"/>
        <v>0</v>
      </c>
      <c r="N91" s="86">
        <f>IF($B$34&lt;&gt;"Hợp lệ","Chưa tính",IF(H91&gt;F01_UC2!$B$11,N90+1,0))</f>
        <v>0</v>
      </c>
      <c r="O91" s="86">
        <f t="shared" si="15"/>
        <v>54669782.92842412</v>
      </c>
      <c r="P91" s="86"/>
      <c r="Q91" s="86"/>
      <c r="R91" s="86"/>
      <c r="S91" s="86"/>
      <c r="T91" s="86"/>
      <c r="U91" s="86"/>
    </row>
    <row r="92" spans="1:21" ht="22.95" customHeight="1">
      <c r="A92" s="98">
        <f>F01_UC2!A111</f>
        <v>46235</v>
      </c>
      <c r="B92" s="99">
        <f>F01_UC2!G111</f>
        <v>-522821317</v>
      </c>
      <c r="C92" s="99">
        <f t="shared" si="8"/>
        <v>0</v>
      </c>
      <c r="D92" s="99">
        <f t="shared" si="9"/>
        <v>-47938110.5625</v>
      </c>
      <c r="E92" s="99">
        <f t="shared" si="10"/>
        <v>0</v>
      </c>
      <c r="F92" s="99">
        <f t="shared" si="11"/>
        <v>-47938110.5625</v>
      </c>
      <c r="G92" s="99">
        <f>SUM($F$51:F92)</f>
        <v>6731672.3659240976</v>
      </c>
      <c r="H92" s="99">
        <f t="shared" si="12"/>
        <v>-516089644.63407588</v>
      </c>
      <c r="I92" s="99">
        <f>F01_UC2!H111</f>
        <v>1022821317</v>
      </c>
      <c r="J92" s="99">
        <f>IF($B$34="Hợp lệ",MAX(0,F01_UC2!$B$10-H92),"Chưa tính")</f>
        <v>1016089644.6340759</v>
      </c>
      <c r="K92" s="86">
        <f>IF($B$34&lt;&gt;"Hợp lệ","Chưa tính",IF(OR(H92&lt;0,H92&lt;F01_UC2!$B$9,J92/F01_UC2!$B$10&gt;Nguong!$B$63),3,IF(J92/F01_UC2!$B$10&gt;Nguong!$B$62,2,IF(J92&gt;0,1,0))))</f>
        <v>3</v>
      </c>
      <c r="L92" s="86">
        <f t="shared" si="13"/>
        <v>0</v>
      </c>
      <c r="M92" s="86">
        <f t="shared" si="14"/>
        <v>0</v>
      </c>
      <c r="N92" s="86">
        <f>IF($B$34&lt;&gt;"Hợp lệ","Chưa tính",IF(H92&gt;F01_UC2!$B$11,N91+1,0))</f>
        <v>0</v>
      </c>
      <c r="O92" s="86">
        <f t="shared" si="15"/>
        <v>6731672.3659241199</v>
      </c>
      <c r="P92" s="86"/>
      <c r="Q92" s="86"/>
      <c r="R92" s="86"/>
      <c r="S92" s="86"/>
      <c r="T92" s="86"/>
      <c r="U92" s="86"/>
    </row>
    <row r="93" spans="1:21" ht="22.95" customHeight="1">
      <c r="A93" s="98">
        <f>F01_UC2!A112</f>
        <v>46236</v>
      </c>
      <c r="B93" s="99">
        <f>F01_UC2!G112</f>
        <v>-522821317</v>
      </c>
      <c r="C93" s="99">
        <f t="shared" si="8"/>
        <v>0</v>
      </c>
      <c r="D93" s="99">
        <f t="shared" si="9"/>
        <v>0</v>
      </c>
      <c r="E93" s="99">
        <f t="shared" si="10"/>
        <v>0</v>
      </c>
      <c r="F93" s="99">
        <f t="shared" si="11"/>
        <v>0</v>
      </c>
      <c r="G93" s="99">
        <f>SUM($F$51:F93)</f>
        <v>6731672.3659240976</v>
      </c>
      <c r="H93" s="99">
        <f t="shared" si="12"/>
        <v>-516089644.63407588</v>
      </c>
      <c r="I93" s="99">
        <f>F01_UC2!H112</f>
        <v>1022821317</v>
      </c>
      <c r="J93" s="99">
        <f>IF($B$34="Hợp lệ",MAX(0,F01_UC2!$B$10-H93),"Chưa tính")</f>
        <v>1016089644.6340759</v>
      </c>
      <c r="K93" s="86">
        <f>IF($B$34&lt;&gt;"Hợp lệ","Chưa tính",IF(OR(H93&lt;0,H93&lt;F01_UC2!$B$9,J93/F01_UC2!$B$10&gt;Nguong!$B$63),3,IF(J93/F01_UC2!$B$10&gt;Nguong!$B$62,2,IF(J93&gt;0,1,0))))</f>
        <v>3</v>
      </c>
      <c r="L93" s="86">
        <f t="shared" si="13"/>
        <v>0</v>
      </c>
      <c r="M93" s="86">
        <f t="shared" si="14"/>
        <v>0</v>
      </c>
      <c r="N93" s="86">
        <f>IF($B$34&lt;&gt;"Hợp lệ","Chưa tính",IF(H93&gt;F01_UC2!$B$11,N92+1,0))</f>
        <v>0</v>
      </c>
      <c r="O93" s="86">
        <f t="shared" si="15"/>
        <v>6731672.3659241199</v>
      </c>
      <c r="P93" s="86"/>
      <c r="Q93" s="86"/>
      <c r="R93" s="86"/>
      <c r="S93" s="86"/>
      <c r="T93" s="86"/>
      <c r="U93" s="86"/>
    </row>
    <row r="94" spans="1:21" ht="22.95" customHeight="1">
      <c r="A94" s="98">
        <f>F01_UC2!A113</f>
        <v>46237</v>
      </c>
      <c r="B94" s="99">
        <f>F01_UC2!G113</f>
        <v>-522821317</v>
      </c>
      <c r="C94" s="99">
        <f t="shared" si="8"/>
        <v>431794762.245</v>
      </c>
      <c r="D94" s="99">
        <f t="shared" si="9"/>
        <v>0</v>
      </c>
      <c r="E94" s="99">
        <f t="shared" si="10"/>
        <v>0</v>
      </c>
      <c r="F94" s="99">
        <f t="shared" si="11"/>
        <v>431794762.245</v>
      </c>
      <c r="G94" s="99">
        <f>SUM($F$51:F94)</f>
        <v>438526434.61092412</v>
      </c>
      <c r="H94" s="99">
        <f t="shared" si="12"/>
        <v>-84294882.389075875</v>
      </c>
      <c r="I94" s="99">
        <f>F01_UC2!H113</f>
        <v>1022821317</v>
      </c>
      <c r="J94" s="99">
        <f>IF($B$34="Hợp lệ",MAX(0,F01_UC2!$B$10-H94),"Chưa tính")</f>
        <v>584294882.38907588</v>
      </c>
      <c r="K94" s="86">
        <f>IF($B$34&lt;&gt;"Hợp lệ","Chưa tính",IF(OR(H94&lt;0,H94&lt;F01_UC2!$B$9,J94/F01_UC2!$B$10&gt;Nguong!$B$63),3,IF(J94/F01_UC2!$B$10&gt;Nguong!$B$62,2,IF(J94&gt;0,1,0))))</f>
        <v>3</v>
      </c>
      <c r="L94" s="86">
        <f t="shared" si="13"/>
        <v>0</v>
      </c>
      <c r="M94" s="86">
        <f t="shared" si="14"/>
        <v>0</v>
      </c>
      <c r="N94" s="86">
        <f>IF($B$34&lt;&gt;"Hợp lệ","Chưa tính",IF(H94&gt;F01_UC2!$B$11,N93+1,0))</f>
        <v>0</v>
      </c>
      <c r="O94" s="86">
        <f t="shared" si="15"/>
        <v>438526434.61092412</v>
      </c>
      <c r="P94" s="86"/>
      <c r="Q94" s="86"/>
      <c r="R94" s="86"/>
      <c r="S94" s="86"/>
      <c r="T94" s="86"/>
      <c r="U94" s="86"/>
    </row>
    <row r="95" spans="1:21" ht="22.95" customHeight="1">
      <c r="A95" s="98">
        <f>F01_UC2!A114</f>
        <v>46238</v>
      </c>
      <c r="B95" s="99">
        <f>F01_UC2!G114</f>
        <v>-522821317</v>
      </c>
      <c r="C95" s="99">
        <f t="shared" si="8"/>
        <v>0</v>
      </c>
      <c r="D95" s="99">
        <f t="shared" si="9"/>
        <v>0</v>
      </c>
      <c r="E95" s="99">
        <f t="shared" si="10"/>
        <v>0</v>
      </c>
      <c r="F95" s="99">
        <f t="shared" si="11"/>
        <v>0</v>
      </c>
      <c r="G95" s="99">
        <f>SUM($F$51:F95)</f>
        <v>438526434.61092412</v>
      </c>
      <c r="H95" s="99">
        <f t="shared" si="12"/>
        <v>-84294882.389075875</v>
      </c>
      <c r="I95" s="99">
        <f>F01_UC2!H114</f>
        <v>1022821317</v>
      </c>
      <c r="J95" s="99">
        <f>IF($B$34="Hợp lệ",MAX(0,F01_UC2!$B$10-H95),"Chưa tính")</f>
        <v>584294882.38907588</v>
      </c>
      <c r="K95" s="86">
        <f>IF($B$34&lt;&gt;"Hợp lệ","Chưa tính",IF(OR(H95&lt;0,H95&lt;F01_UC2!$B$9,J95/F01_UC2!$B$10&gt;Nguong!$B$63),3,IF(J95/F01_UC2!$B$10&gt;Nguong!$B$62,2,IF(J95&gt;0,1,0))))</f>
        <v>3</v>
      </c>
      <c r="L95" s="86">
        <f t="shared" si="13"/>
        <v>0</v>
      </c>
      <c r="M95" s="86">
        <f t="shared" si="14"/>
        <v>0</v>
      </c>
      <c r="N95" s="86">
        <f>IF($B$34&lt;&gt;"Hợp lệ","Chưa tính",IF(H95&gt;F01_UC2!$B$11,N94+1,0))</f>
        <v>0</v>
      </c>
      <c r="O95" s="86">
        <f t="shared" si="15"/>
        <v>438526434.61092412</v>
      </c>
      <c r="P95" s="86"/>
      <c r="Q95" s="86"/>
      <c r="R95" s="86"/>
      <c r="S95" s="86"/>
      <c r="T95" s="86"/>
      <c r="U95" s="86"/>
    </row>
    <row r="96" spans="1:21" ht="22.95" customHeight="1">
      <c r="A96" s="98">
        <f>F01_UC2!A115</f>
        <v>46239</v>
      </c>
      <c r="B96" s="99">
        <f>F01_UC2!G115</f>
        <v>-522821317</v>
      </c>
      <c r="C96" s="99">
        <f t="shared" si="8"/>
        <v>0</v>
      </c>
      <c r="D96" s="99">
        <f t="shared" si="9"/>
        <v>0</v>
      </c>
      <c r="E96" s="99">
        <f t="shared" si="10"/>
        <v>0</v>
      </c>
      <c r="F96" s="99">
        <f t="shared" si="11"/>
        <v>0</v>
      </c>
      <c r="G96" s="99">
        <f>SUM($F$51:F96)</f>
        <v>438526434.61092412</v>
      </c>
      <c r="H96" s="99">
        <f t="shared" si="12"/>
        <v>-84294882.389075875</v>
      </c>
      <c r="I96" s="99">
        <f>F01_UC2!H115</f>
        <v>1022821317</v>
      </c>
      <c r="J96" s="99">
        <f>IF($B$34="Hợp lệ",MAX(0,F01_UC2!$B$10-H96),"Chưa tính")</f>
        <v>584294882.38907588</v>
      </c>
      <c r="K96" s="86">
        <f>IF($B$34&lt;&gt;"Hợp lệ","Chưa tính",IF(OR(H96&lt;0,H96&lt;F01_UC2!$B$9,J96/F01_UC2!$B$10&gt;Nguong!$B$63),3,IF(J96/F01_UC2!$B$10&gt;Nguong!$B$62,2,IF(J96&gt;0,1,0))))</f>
        <v>3</v>
      </c>
      <c r="L96" s="86">
        <f t="shared" si="13"/>
        <v>0</v>
      </c>
      <c r="M96" s="86">
        <f t="shared" si="14"/>
        <v>0</v>
      </c>
      <c r="N96" s="86">
        <f>IF($B$34&lt;&gt;"Hợp lệ","Chưa tính",IF(H96&gt;F01_UC2!$B$11,N95+1,0))</f>
        <v>0</v>
      </c>
      <c r="O96" s="86">
        <f t="shared" si="15"/>
        <v>438526434.61092412</v>
      </c>
      <c r="P96" s="86"/>
      <c r="Q96" s="86"/>
      <c r="R96" s="86"/>
      <c r="S96" s="86"/>
      <c r="T96" s="86"/>
      <c r="U96" s="86"/>
    </row>
    <row r="97" spans="1:21" ht="22.95" customHeight="1">
      <c r="A97" s="98">
        <f>F01_UC2!A116</f>
        <v>46240</v>
      </c>
      <c r="B97" s="99">
        <f>F01_UC2!G116</f>
        <v>-522821317</v>
      </c>
      <c r="C97" s="99">
        <f t="shared" si="8"/>
        <v>85259841.974999994</v>
      </c>
      <c r="D97" s="99">
        <f t="shared" si="9"/>
        <v>0</v>
      </c>
      <c r="E97" s="99">
        <f t="shared" si="10"/>
        <v>0</v>
      </c>
      <c r="F97" s="99">
        <f t="shared" si="11"/>
        <v>85259841.974999994</v>
      </c>
      <c r="G97" s="99">
        <f>SUM($F$51:F97)</f>
        <v>523786276.58592415</v>
      </c>
      <c r="H97" s="99">
        <f t="shared" si="12"/>
        <v>964959.58592414856</v>
      </c>
      <c r="I97" s="99">
        <f>F01_UC2!H116</f>
        <v>1022821317</v>
      </c>
      <c r="J97" s="99">
        <f>IF($B$34="Hợp lệ",MAX(0,F01_UC2!$B$10-H97),"Chưa tính")</f>
        <v>499035040.41407585</v>
      </c>
      <c r="K97" s="86">
        <f>IF($B$34&lt;&gt;"Hợp lệ","Chưa tính",IF(OR(H97&lt;0,H97&lt;F01_UC2!$B$9,J97/F01_UC2!$B$10&gt;Nguong!$B$63),3,IF(J97/F01_UC2!$B$10&gt;Nguong!$B$62,2,IF(J97&gt;0,1,0))))</f>
        <v>3</v>
      </c>
      <c r="L97" s="86">
        <f t="shared" si="13"/>
        <v>0</v>
      </c>
      <c r="M97" s="86">
        <f t="shared" si="14"/>
        <v>0</v>
      </c>
      <c r="N97" s="86">
        <f>IF($B$34&lt;&gt;"Hợp lệ","Chưa tính",IF(H97&gt;F01_UC2!$B$11,N96+1,0))</f>
        <v>0</v>
      </c>
      <c r="O97" s="86">
        <f t="shared" si="15"/>
        <v>523786276.58592415</v>
      </c>
      <c r="P97" s="86"/>
      <c r="Q97" s="86"/>
      <c r="R97" s="86"/>
      <c r="S97" s="86"/>
      <c r="T97" s="86"/>
      <c r="U97" s="86"/>
    </row>
    <row r="98" spans="1:21" ht="22.95" customHeight="1">
      <c r="A98" s="98">
        <f>F01_UC2!A117</f>
        <v>46241</v>
      </c>
      <c r="B98" s="99">
        <f>F01_UC2!G117</f>
        <v>-522821317</v>
      </c>
      <c r="C98" s="99">
        <f t="shared" si="8"/>
        <v>0</v>
      </c>
      <c r="D98" s="99">
        <f t="shared" si="9"/>
        <v>0</v>
      </c>
      <c r="E98" s="99">
        <f t="shared" si="10"/>
        <v>0</v>
      </c>
      <c r="F98" s="99">
        <f t="shared" si="11"/>
        <v>0</v>
      </c>
      <c r="G98" s="99">
        <f>SUM($F$51:F98)</f>
        <v>523786276.58592415</v>
      </c>
      <c r="H98" s="99">
        <f t="shared" si="12"/>
        <v>964959.58592414856</v>
      </c>
      <c r="I98" s="99">
        <f>F01_UC2!H117</f>
        <v>1022821317</v>
      </c>
      <c r="J98" s="99">
        <f>IF($B$34="Hợp lệ",MAX(0,F01_UC2!$B$10-H98),"Chưa tính")</f>
        <v>499035040.41407585</v>
      </c>
      <c r="K98" s="86">
        <f>IF($B$34&lt;&gt;"Hợp lệ","Chưa tính",IF(OR(H98&lt;0,H98&lt;F01_UC2!$B$9,J98/F01_UC2!$B$10&gt;Nguong!$B$63),3,IF(J98/F01_UC2!$B$10&gt;Nguong!$B$62,2,IF(J98&gt;0,1,0))))</f>
        <v>3</v>
      </c>
      <c r="L98" s="86">
        <f t="shared" si="13"/>
        <v>0</v>
      </c>
      <c r="M98" s="86">
        <f t="shared" si="14"/>
        <v>0</v>
      </c>
      <c r="N98" s="86">
        <f>IF($B$34&lt;&gt;"Hợp lệ","Chưa tính",IF(H98&gt;F01_UC2!$B$11,N97+1,0))</f>
        <v>0</v>
      </c>
      <c r="O98" s="86">
        <f t="shared" si="15"/>
        <v>523786276.58592415</v>
      </c>
      <c r="P98" s="86"/>
      <c r="Q98" s="86"/>
      <c r="R98" s="86"/>
      <c r="S98" s="86"/>
      <c r="T98" s="86"/>
      <c r="U98" s="86"/>
    </row>
    <row r="99" spans="1:21" ht="22.95" customHeight="1">
      <c r="A99" s="98">
        <f>F01_UC2!A118</f>
        <v>46242</v>
      </c>
      <c r="B99" s="99">
        <f>F01_UC2!G118</f>
        <v>-522821317</v>
      </c>
      <c r="C99" s="99">
        <f t="shared" si="8"/>
        <v>0</v>
      </c>
      <c r="D99" s="99">
        <f t="shared" si="9"/>
        <v>0</v>
      </c>
      <c r="E99" s="99">
        <f t="shared" si="10"/>
        <v>0</v>
      </c>
      <c r="F99" s="99">
        <f t="shared" si="11"/>
        <v>0</v>
      </c>
      <c r="G99" s="99">
        <f>SUM($F$51:F99)</f>
        <v>523786276.58592415</v>
      </c>
      <c r="H99" s="99">
        <f t="shared" si="12"/>
        <v>964959.58592414856</v>
      </c>
      <c r="I99" s="99">
        <f>F01_UC2!H118</f>
        <v>1022821317</v>
      </c>
      <c r="J99" s="99">
        <f>IF($B$34="Hợp lệ",MAX(0,F01_UC2!$B$10-H99),"Chưa tính")</f>
        <v>499035040.41407585</v>
      </c>
      <c r="K99" s="86">
        <f>IF($B$34&lt;&gt;"Hợp lệ","Chưa tính",IF(OR(H99&lt;0,H99&lt;F01_UC2!$B$9,J99/F01_UC2!$B$10&gt;Nguong!$B$63),3,IF(J99/F01_UC2!$B$10&gt;Nguong!$B$62,2,IF(J99&gt;0,1,0))))</f>
        <v>3</v>
      </c>
      <c r="L99" s="86">
        <f t="shared" si="13"/>
        <v>0</v>
      </c>
      <c r="M99" s="86">
        <f t="shared" si="14"/>
        <v>0</v>
      </c>
      <c r="N99" s="86">
        <f>IF($B$34&lt;&gt;"Hợp lệ","Chưa tính",IF(H99&gt;F01_UC2!$B$11,N98+1,0))</f>
        <v>0</v>
      </c>
      <c r="O99" s="86">
        <f t="shared" si="15"/>
        <v>523786276.58592415</v>
      </c>
      <c r="P99" s="86"/>
      <c r="Q99" s="86"/>
      <c r="R99" s="86"/>
      <c r="S99" s="86"/>
      <c r="T99" s="86"/>
      <c r="U99" s="86"/>
    </row>
    <row r="100" spans="1:21" ht="22.95" customHeight="1">
      <c r="A100" s="98">
        <f>F01_UC2!A119</f>
        <v>46243</v>
      </c>
      <c r="B100" s="99">
        <f>F01_UC2!G119</f>
        <v>-522821317</v>
      </c>
      <c r="C100" s="99">
        <f t="shared" si="8"/>
        <v>0</v>
      </c>
      <c r="D100" s="99">
        <f t="shared" si="9"/>
        <v>0</v>
      </c>
      <c r="E100" s="99">
        <f t="shared" si="10"/>
        <v>0</v>
      </c>
      <c r="F100" s="99">
        <f t="shared" si="11"/>
        <v>0</v>
      </c>
      <c r="G100" s="99">
        <f>SUM($F$51:F100)</f>
        <v>523786276.58592415</v>
      </c>
      <c r="H100" s="99">
        <f t="shared" si="12"/>
        <v>964959.58592414856</v>
      </c>
      <c r="I100" s="99">
        <f>F01_UC2!H119</f>
        <v>1022821317</v>
      </c>
      <c r="J100" s="99">
        <f>IF($B$34="Hợp lệ",MAX(0,F01_UC2!$B$10-H100),"Chưa tính")</f>
        <v>499035040.41407585</v>
      </c>
      <c r="K100" s="86">
        <f>IF($B$34&lt;&gt;"Hợp lệ","Chưa tính",IF(OR(H100&lt;0,H100&lt;F01_UC2!$B$9,J100/F01_UC2!$B$10&gt;Nguong!$B$63),3,IF(J100/F01_UC2!$B$10&gt;Nguong!$B$62,2,IF(J100&gt;0,1,0))))</f>
        <v>3</v>
      </c>
      <c r="L100" s="86">
        <f t="shared" si="13"/>
        <v>0</v>
      </c>
      <c r="M100" s="86">
        <f t="shared" si="14"/>
        <v>0</v>
      </c>
      <c r="N100" s="86">
        <f>IF($B$34&lt;&gt;"Hợp lệ","Chưa tính",IF(H100&gt;F01_UC2!$B$11,N99+1,0))</f>
        <v>0</v>
      </c>
      <c r="O100" s="86">
        <f t="shared" si="15"/>
        <v>523786276.58592415</v>
      </c>
      <c r="P100" s="86"/>
      <c r="Q100" s="86"/>
      <c r="R100" s="86"/>
      <c r="S100" s="86"/>
      <c r="T100" s="86"/>
      <c r="U100" s="86"/>
    </row>
    <row r="101" spans="1:21" ht="22.95" customHeight="1">
      <c r="A101" s="98">
        <f>F01_UC2!A120</f>
        <v>46244</v>
      </c>
      <c r="B101" s="99">
        <f>F01_UC2!G120</f>
        <v>349491334</v>
      </c>
      <c r="C101" s="99">
        <f t="shared" si="8"/>
        <v>-436156325.5</v>
      </c>
      <c r="D101" s="99">
        <f t="shared" si="9"/>
        <v>0</v>
      </c>
      <c r="E101" s="99">
        <f t="shared" si="10"/>
        <v>0</v>
      </c>
      <c r="F101" s="99">
        <f t="shared" si="11"/>
        <v>-436156325.5</v>
      </c>
      <c r="G101" s="99">
        <f>SUM($F$51:F101)</f>
        <v>87629951.085924149</v>
      </c>
      <c r="H101" s="99">
        <f t="shared" si="12"/>
        <v>437121285.08592415</v>
      </c>
      <c r="I101" s="99">
        <f>F01_UC2!H120</f>
        <v>150508666</v>
      </c>
      <c r="J101" s="99">
        <f>IF($B$34="Hợp lệ",MAX(0,F01_UC2!$B$10-H101),"Chưa tính")</f>
        <v>62878714.914075851</v>
      </c>
      <c r="K101" s="86">
        <f>IF($B$34&lt;&gt;"Hợp lệ","Chưa tính",IF(OR(H101&lt;0,H101&lt;F01_UC2!$B$9,J101/F01_UC2!$B$10&gt;Nguong!$B$63),3,IF(J101/F01_UC2!$B$10&gt;Nguong!$B$62,2,IF(J101&gt;0,1,0))))</f>
        <v>1</v>
      </c>
      <c r="L101" s="86">
        <f t="shared" si="13"/>
        <v>0</v>
      </c>
      <c r="M101" s="86">
        <f t="shared" si="14"/>
        <v>0</v>
      </c>
      <c r="N101" s="86">
        <f>IF($B$34&lt;&gt;"Hợp lệ","Chưa tính",IF(H101&gt;F01_UC2!$B$11,N100+1,0))</f>
        <v>0</v>
      </c>
      <c r="O101" s="86">
        <f t="shared" si="15"/>
        <v>87629951.085924149</v>
      </c>
      <c r="P101" s="86"/>
      <c r="Q101" s="86"/>
      <c r="R101" s="86"/>
      <c r="S101" s="86"/>
      <c r="T101" s="86"/>
      <c r="U101" s="86"/>
    </row>
    <row r="102" spans="1:21" ht="22.95" customHeight="1">
      <c r="A102" s="98">
        <f>F01_UC2!A121</f>
        <v>46245</v>
      </c>
      <c r="B102" s="99">
        <f>F01_UC2!G121</f>
        <v>349491334</v>
      </c>
      <c r="C102" s="99">
        <f t="shared" si="8"/>
        <v>0</v>
      </c>
      <c r="D102" s="99">
        <f t="shared" si="9"/>
        <v>0</v>
      </c>
      <c r="E102" s="99">
        <f t="shared" si="10"/>
        <v>0</v>
      </c>
      <c r="F102" s="99">
        <f t="shared" si="11"/>
        <v>0</v>
      </c>
      <c r="G102" s="99">
        <f>SUM($F$51:F102)</f>
        <v>87629951.085924149</v>
      </c>
      <c r="H102" s="99">
        <f t="shared" si="12"/>
        <v>437121285.08592415</v>
      </c>
      <c r="I102" s="99">
        <f>F01_UC2!H121</f>
        <v>150508666</v>
      </c>
      <c r="J102" s="99">
        <f>IF($B$34="Hợp lệ",MAX(0,F01_UC2!$B$10-H102),"Chưa tính")</f>
        <v>62878714.914075851</v>
      </c>
      <c r="K102" s="86">
        <f>IF($B$34&lt;&gt;"Hợp lệ","Chưa tính",IF(OR(H102&lt;0,H102&lt;F01_UC2!$B$9,J102/F01_UC2!$B$10&gt;Nguong!$B$63),3,IF(J102/F01_UC2!$B$10&gt;Nguong!$B$62,2,IF(J102&gt;0,1,0))))</f>
        <v>1</v>
      </c>
      <c r="L102" s="86">
        <f t="shared" si="13"/>
        <v>0</v>
      </c>
      <c r="M102" s="86">
        <f t="shared" si="14"/>
        <v>0</v>
      </c>
      <c r="N102" s="86">
        <f>IF($B$34&lt;&gt;"Hợp lệ","Chưa tính",IF(H102&gt;F01_UC2!$B$11,N101+1,0))</f>
        <v>0</v>
      </c>
      <c r="O102" s="86">
        <f t="shared" si="15"/>
        <v>87629951.085924149</v>
      </c>
      <c r="P102" s="86"/>
      <c r="Q102" s="86"/>
      <c r="R102" s="86"/>
      <c r="S102" s="86"/>
      <c r="T102" s="86"/>
      <c r="U102" s="86"/>
    </row>
    <row r="103" spans="1:21" ht="22.95" customHeight="1">
      <c r="A103" s="98">
        <f>F01_UC2!A122</f>
        <v>46246</v>
      </c>
      <c r="B103" s="99">
        <f>F01_UC2!G122</f>
        <v>349491334</v>
      </c>
      <c r="C103" s="99">
        <f t="shared" si="8"/>
        <v>138634806.91499999</v>
      </c>
      <c r="D103" s="99">
        <f t="shared" si="9"/>
        <v>0</v>
      </c>
      <c r="E103" s="99">
        <f t="shared" si="10"/>
        <v>0</v>
      </c>
      <c r="F103" s="99">
        <f t="shared" si="11"/>
        <v>138634806.91499999</v>
      </c>
      <c r="G103" s="99">
        <f>SUM($F$51:F103)</f>
        <v>226264758.00092414</v>
      </c>
      <c r="H103" s="99">
        <f t="shared" si="12"/>
        <v>575756092.00092411</v>
      </c>
      <c r="I103" s="99">
        <f>F01_UC2!H122</f>
        <v>150508666</v>
      </c>
      <c r="J103" s="99">
        <f>IF($B$34="Hợp lệ",MAX(0,F01_UC2!$B$10-H103),"Chưa tính")</f>
        <v>0</v>
      </c>
      <c r="K103" s="86">
        <f>IF($B$34&lt;&gt;"Hợp lệ","Chưa tính",IF(OR(H103&lt;0,H103&lt;F01_UC2!$B$9,J103/F01_UC2!$B$10&gt;Nguong!$B$63),3,IF(J103/F01_UC2!$B$10&gt;Nguong!$B$62,2,IF(J103&gt;0,1,0))))</f>
        <v>0</v>
      </c>
      <c r="L103" s="86">
        <f t="shared" si="13"/>
        <v>0</v>
      </c>
      <c r="M103" s="86">
        <f t="shared" si="14"/>
        <v>0</v>
      </c>
      <c r="N103" s="86">
        <f>IF($B$34&lt;&gt;"Hợp lệ","Chưa tính",IF(H103&gt;F01_UC2!$B$11,N102+1,0))</f>
        <v>0</v>
      </c>
      <c r="O103" s="86">
        <f t="shared" si="15"/>
        <v>150508666</v>
      </c>
      <c r="P103" s="86"/>
      <c r="Q103" s="86"/>
      <c r="R103" s="86"/>
      <c r="S103" s="86"/>
      <c r="T103" s="86"/>
      <c r="U103" s="86"/>
    </row>
    <row r="104" spans="1:21" ht="22.95" customHeight="1">
      <c r="A104" s="98">
        <f>F01_UC2!A123</f>
        <v>46247</v>
      </c>
      <c r="B104" s="99">
        <f>F01_UC2!G123</f>
        <v>521733439</v>
      </c>
      <c r="C104" s="99">
        <f t="shared" si="8"/>
        <v>-86121052.5</v>
      </c>
      <c r="D104" s="99">
        <f t="shared" si="9"/>
        <v>0</v>
      </c>
      <c r="E104" s="99">
        <f t="shared" si="10"/>
        <v>0</v>
      </c>
      <c r="F104" s="99">
        <f t="shared" si="11"/>
        <v>-86121052.5</v>
      </c>
      <c r="G104" s="99">
        <f>SUM($F$51:F104)</f>
        <v>140143705.50092414</v>
      </c>
      <c r="H104" s="99">
        <f t="shared" si="12"/>
        <v>661877144.50092411</v>
      </c>
      <c r="I104" s="99">
        <f>F01_UC2!H123</f>
        <v>0</v>
      </c>
      <c r="J104" s="99">
        <f>IF($B$34="Hợp lệ",MAX(0,F01_UC2!$B$10-H104),"Chưa tính")</f>
        <v>0</v>
      </c>
      <c r="K104" s="86">
        <f>IF($B$34&lt;&gt;"Hợp lệ","Chưa tính",IF(OR(H104&lt;0,H104&lt;F01_UC2!$B$9,J104/F01_UC2!$B$10&gt;Nguong!$B$63),3,IF(J104/F01_UC2!$B$10&gt;Nguong!$B$62,2,IF(J104&gt;0,1,0))))</f>
        <v>0</v>
      </c>
      <c r="L104" s="86">
        <f t="shared" si="13"/>
        <v>0</v>
      </c>
      <c r="M104" s="86">
        <f t="shared" si="14"/>
        <v>0</v>
      </c>
      <c r="N104" s="86">
        <f>IF($B$34&lt;&gt;"Hợp lệ","Chưa tính",IF(H104&gt;F01_UC2!$B$11,N103+1,0))</f>
        <v>0</v>
      </c>
      <c r="O104" s="86">
        <f t="shared" si="15"/>
        <v>0</v>
      </c>
      <c r="P104" s="86"/>
      <c r="Q104" s="86"/>
      <c r="R104" s="86"/>
      <c r="S104" s="86"/>
      <c r="T104" s="86"/>
      <c r="U104" s="86"/>
    </row>
    <row r="105" spans="1:21" ht="22.95" customHeight="1">
      <c r="A105" s="98">
        <f>F01_UC2!A124</f>
        <v>46248</v>
      </c>
      <c r="B105" s="99">
        <f>F01_UC2!G124</f>
        <v>521733439</v>
      </c>
      <c r="C105" s="99">
        <f t="shared" si="8"/>
        <v>0</v>
      </c>
      <c r="D105" s="99">
        <f t="shared" si="9"/>
        <v>0</v>
      </c>
      <c r="E105" s="99">
        <f t="shared" si="10"/>
        <v>0</v>
      </c>
      <c r="F105" s="99">
        <f t="shared" si="11"/>
        <v>0</v>
      </c>
      <c r="G105" s="99">
        <f>SUM($F$51:F105)</f>
        <v>140143705.50092414</v>
      </c>
      <c r="H105" s="99">
        <f t="shared" si="12"/>
        <v>661877144.50092411</v>
      </c>
      <c r="I105" s="99">
        <f>F01_UC2!H124</f>
        <v>0</v>
      </c>
      <c r="J105" s="99">
        <f>IF($B$34="Hợp lệ",MAX(0,F01_UC2!$B$10-H105),"Chưa tính")</f>
        <v>0</v>
      </c>
      <c r="K105" s="86">
        <f>IF($B$34&lt;&gt;"Hợp lệ","Chưa tính",IF(OR(H105&lt;0,H105&lt;F01_UC2!$B$9,J105/F01_UC2!$B$10&gt;Nguong!$B$63),3,IF(J105/F01_UC2!$B$10&gt;Nguong!$B$62,2,IF(J105&gt;0,1,0))))</f>
        <v>0</v>
      </c>
      <c r="L105" s="86">
        <f t="shared" si="13"/>
        <v>0</v>
      </c>
      <c r="M105" s="86">
        <f t="shared" si="14"/>
        <v>0</v>
      </c>
      <c r="N105" s="86">
        <f>IF($B$34&lt;&gt;"Hợp lệ","Chưa tính",IF(H105&gt;F01_UC2!$B$11,N104+1,0))</f>
        <v>0</v>
      </c>
      <c r="O105" s="86">
        <f t="shared" si="15"/>
        <v>0</v>
      </c>
      <c r="P105" s="86"/>
      <c r="Q105" s="86"/>
      <c r="R105" s="86"/>
      <c r="S105" s="86"/>
      <c r="T105" s="86"/>
      <c r="U105" s="86"/>
    </row>
    <row r="106" spans="1:21" ht="22.95" customHeight="1">
      <c r="A106" s="98">
        <f>F01_UC2!A125</f>
        <v>46249</v>
      </c>
      <c r="B106" s="99">
        <f>F01_UC2!G125</f>
        <v>-15663821</v>
      </c>
      <c r="C106" s="99">
        <f t="shared" si="8"/>
        <v>0</v>
      </c>
      <c r="D106" s="99">
        <f t="shared" si="9"/>
        <v>0</v>
      </c>
      <c r="E106" s="99">
        <f t="shared" si="10"/>
        <v>0</v>
      </c>
      <c r="F106" s="99">
        <f t="shared" si="11"/>
        <v>0</v>
      </c>
      <c r="G106" s="99">
        <f>SUM($F$51:F106)</f>
        <v>140143705.50092414</v>
      </c>
      <c r="H106" s="99">
        <f t="shared" si="12"/>
        <v>124479884.50092414</v>
      </c>
      <c r="I106" s="99">
        <f>F01_UC2!H125</f>
        <v>515663821</v>
      </c>
      <c r="J106" s="99">
        <f>IF($B$34="Hợp lệ",MAX(0,F01_UC2!$B$10-H106),"Chưa tính")</f>
        <v>375520115.49907589</v>
      </c>
      <c r="K106" s="86">
        <f>IF($B$34&lt;&gt;"Hợp lệ","Chưa tính",IF(OR(H106&lt;0,H106&lt;F01_UC2!$B$9,J106/F01_UC2!$B$10&gt;Nguong!$B$63),3,IF(J106/F01_UC2!$B$10&gt;Nguong!$B$62,2,IF(J106&gt;0,1,0))))</f>
        <v>3</v>
      </c>
      <c r="L106" s="86">
        <f t="shared" si="13"/>
        <v>0</v>
      </c>
      <c r="M106" s="86">
        <f t="shared" si="14"/>
        <v>0</v>
      </c>
      <c r="N106" s="86">
        <f>IF($B$34&lt;&gt;"Hợp lệ","Chưa tính",IF(H106&gt;F01_UC2!$B$11,N105+1,0))</f>
        <v>0</v>
      </c>
      <c r="O106" s="86">
        <f t="shared" si="15"/>
        <v>140143705.50092411</v>
      </c>
      <c r="P106" s="86"/>
      <c r="Q106" s="86"/>
      <c r="R106" s="86"/>
      <c r="S106" s="86"/>
      <c r="T106" s="86"/>
      <c r="U106" s="86"/>
    </row>
    <row r="107" spans="1:21" ht="22.95" customHeight="1">
      <c r="A107" s="98">
        <f>F01_UC2!A126</f>
        <v>46250</v>
      </c>
      <c r="B107" s="99">
        <f>F01_UC2!G126</f>
        <v>-15663821</v>
      </c>
      <c r="C107" s="99">
        <f t="shared" si="8"/>
        <v>0</v>
      </c>
      <c r="D107" s="99">
        <f t="shared" si="9"/>
        <v>0</v>
      </c>
      <c r="E107" s="99">
        <f t="shared" si="10"/>
        <v>0</v>
      </c>
      <c r="F107" s="99">
        <f t="shared" si="11"/>
        <v>0</v>
      </c>
      <c r="G107" s="99">
        <f>SUM($F$51:F107)</f>
        <v>140143705.50092414</v>
      </c>
      <c r="H107" s="99">
        <f t="shared" si="12"/>
        <v>124479884.50092414</v>
      </c>
      <c r="I107" s="99">
        <f>F01_UC2!H126</f>
        <v>515663821</v>
      </c>
      <c r="J107" s="99">
        <f>IF($B$34="Hợp lệ",MAX(0,F01_UC2!$B$10-H107),"Chưa tính")</f>
        <v>375520115.49907589</v>
      </c>
      <c r="K107" s="86">
        <f>IF($B$34&lt;&gt;"Hợp lệ","Chưa tính",IF(OR(H107&lt;0,H107&lt;F01_UC2!$B$9,J107/F01_UC2!$B$10&gt;Nguong!$B$63),3,IF(J107/F01_UC2!$B$10&gt;Nguong!$B$62,2,IF(J107&gt;0,1,0))))</f>
        <v>3</v>
      </c>
      <c r="L107" s="86">
        <f t="shared" si="13"/>
        <v>0</v>
      </c>
      <c r="M107" s="86">
        <f t="shared" si="14"/>
        <v>0</v>
      </c>
      <c r="N107" s="86">
        <f>IF($B$34&lt;&gt;"Hợp lệ","Chưa tính",IF(H107&gt;F01_UC2!$B$11,N106+1,0))</f>
        <v>0</v>
      </c>
      <c r="O107" s="86">
        <f t="shared" si="15"/>
        <v>140143705.50092411</v>
      </c>
      <c r="P107" s="86"/>
      <c r="Q107" s="86"/>
      <c r="R107" s="86"/>
      <c r="S107" s="86"/>
      <c r="T107" s="86"/>
      <c r="U107" s="86"/>
    </row>
    <row r="108" spans="1:21" ht="22.95" customHeight="1">
      <c r="A108" s="98">
        <f>F01_UC2!A127</f>
        <v>46251</v>
      </c>
      <c r="B108" s="99">
        <f>F01_UC2!G127</f>
        <v>-15663821</v>
      </c>
      <c r="C108" s="99">
        <f t="shared" si="8"/>
        <v>0</v>
      </c>
      <c r="D108" s="99">
        <f t="shared" si="9"/>
        <v>0</v>
      </c>
      <c r="E108" s="99">
        <f t="shared" si="10"/>
        <v>0</v>
      </c>
      <c r="F108" s="99">
        <f t="shared" si="11"/>
        <v>0</v>
      </c>
      <c r="G108" s="99">
        <f>SUM($F$51:F108)</f>
        <v>140143705.50092414</v>
      </c>
      <c r="H108" s="99">
        <f t="shared" si="12"/>
        <v>124479884.50092414</v>
      </c>
      <c r="I108" s="99">
        <f>F01_UC2!H127</f>
        <v>515663821</v>
      </c>
      <c r="J108" s="99">
        <f>IF($B$34="Hợp lệ",MAX(0,F01_UC2!$B$10-H108),"Chưa tính")</f>
        <v>375520115.49907589</v>
      </c>
      <c r="K108" s="86">
        <f>IF($B$34&lt;&gt;"Hợp lệ","Chưa tính",IF(OR(H108&lt;0,H108&lt;F01_UC2!$B$9,J108/F01_UC2!$B$10&gt;Nguong!$B$63),3,IF(J108/F01_UC2!$B$10&gt;Nguong!$B$62,2,IF(J108&gt;0,1,0))))</f>
        <v>3</v>
      </c>
      <c r="L108" s="86">
        <f t="shared" si="13"/>
        <v>0</v>
      </c>
      <c r="M108" s="86">
        <f t="shared" si="14"/>
        <v>0</v>
      </c>
      <c r="N108" s="86">
        <f>IF($B$34&lt;&gt;"Hợp lệ","Chưa tính",IF(H108&gt;F01_UC2!$B$11,N107+1,0))</f>
        <v>0</v>
      </c>
      <c r="O108" s="86">
        <f t="shared" si="15"/>
        <v>140143705.50092411</v>
      </c>
      <c r="P108" s="86"/>
      <c r="Q108" s="86"/>
      <c r="R108" s="86"/>
      <c r="S108" s="86"/>
      <c r="T108" s="86"/>
      <c r="U108" s="86"/>
    </row>
    <row r="109" spans="1:21" ht="22.95" customHeight="1">
      <c r="A109" s="98">
        <f>F01_UC2!A128</f>
        <v>46252</v>
      </c>
      <c r="B109" s="99">
        <f>F01_UC2!G128</f>
        <v>-63697085</v>
      </c>
      <c r="C109" s="99">
        <f t="shared" si="8"/>
        <v>0</v>
      </c>
      <c r="D109" s="99">
        <f t="shared" si="9"/>
        <v>0</v>
      </c>
      <c r="E109" s="99">
        <f t="shared" si="10"/>
        <v>0</v>
      </c>
      <c r="F109" s="99">
        <f t="shared" si="11"/>
        <v>0</v>
      </c>
      <c r="G109" s="99">
        <f>SUM($F$51:F109)</f>
        <v>140143705.50092414</v>
      </c>
      <c r="H109" s="99">
        <f t="shared" si="12"/>
        <v>76446620.50092414</v>
      </c>
      <c r="I109" s="99">
        <f>F01_UC2!H128</f>
        <v>563697085</v>
      </c>
      <c r="J109" s="99">
        <f>IF($B$34="Hợp lệ",MAX(0,F01_UC2!$B$10-H109),"Chưa tính")</f>
        <v>423553379.49907589</v>
      </c>
      <c r="K109" s="86">
        <f>IF($B$34&lt;&gt;"Hợp lệ","Chưa tính",IF(OR(H109&lt;0,H109&lt;F01_UC2!$B$9,J109/F01_UC2!$B$10&gt;Nguong!$B$63),3,IF(J109/F01_UC2!$B$10&gt;Nguong!$B$62,2,IF(J109&gt;0,1,0))))</f>
        <v>3</v>
      </c>
      <c r="L109" s="86">
        <f t="shared" si="13"/>
        <v>0</v>
      </c>
      <c r="M109" s="86">
        <f t="shared" si="14"/>
        <v>0</v>
      </c>
      <c r="N109" s="86">
        <f>IF($B$34&lt;&gt;"Hợp lệ","Chưa tính",IF(H109&gt;F01_UC2!$B$11,N108+1,0))</f>
        <v>0</v>
      </c>
      <c r="O109" s="86">
        <f t="shared" si="15"/>
        <v>140143705.50092411</v>
      </c>
      <c r="P109" s="86"/>
      <c r="Q109" s="86"/>
      <c r="R109" s="86"/>
      <c r="S109" s="86"/>
      <c r="T109" s="86"/>
      <c r="U109" s="86"/>
    </row>
    <row r="110" spans="1:21" ht="22.95" customHeight="1">
      <c r="A110" s="98">
        <f>F01_UC2!A129</f>
        <v>46253</v>
      </c>
      <c r="B110" s="99">
        <f>F01_UC2!G129</f>
        <v>216373232</v>
      </c>
      <c r="C110" s="99">
        <f t="shared" si="8"/>
        <v>-140035158.5</v>
      </c>
      <c r="D110" s="99">
        <f t="shared" si="9"/>
        <v>0</v>
      </c>
      <c r="E110" s="99">
        <f t="shared" si="10"/>
        <v>0</v>
      </c>
      <c r="F110" s="99">
        <f t="shared" si="11"/>
        <v>-140035158.5</v>
      </c>
      <c r="G110" s="99">
        <f>SUM($F$51:F110)</f>
        <v>108547.00092414021</v>
      </c>
      <c r="H110" s="99">
        <f t="shared" si="12"/>
        <v>216481779.00092414</v>
      </c>
      <c r="I110" s="99">
        <f>F01_UC2!H129</f>
        <v>283626768</v>
      </c>
      <c r="J110" s="99">
        <f>IF($B$34="Hợp lệ",MAX(0,F01_UC2!$B$10-H110),"Chưa tính")</f>
        <v>283518220.99907589</v>
      </c>
      <c r="K110" s="86">
        <f>IF($B$34&lt;&gt;"Hợp lệ","Chưa tính",IF(OR(H110&lt;0,H110&lt;F01_UC2!$B$9,J110/F01_UC2!$B$10&gt;Nguong!$B$63),3,IF(J110/F01_UC2!$B$10&gt;Nguong!$B$62,2,IF(J110&gt;0,1,0))))</f>
        <v>3</v>
      </c>
      <c r="L110" s="86">
        <f t="shared" si="13"/>
        <v>0</v>
      </c>
      <c r="M110" s="86">
        <f t="shared" si="14"/>
        <v>0</v>
      </c>
      <c r="N110" s="86">
        <f>IF($B$34&lt;&gt;"Hợp lệ","Chưa tính",IF(H110&gt;F01_UC2!$B$11,N109+1,0))</f>
        <v>0</v>
      </c>
      <c r="O110" s="86">
        <f t="shared" si="15"/>
        <v>108547.00092411041</v>
      </c>
      <c r="P110" s="86"/>
      <c r="Q110" s="86"/>
      <c r="R110" s="86"/>
      <c r="S110" s="86"/>
      <c r="T110" s="86"/>
      <c r="U110" s="86"/>
    </row>
    <row r="111" spans="1:21" ht="22.95" customHeight="1">
      <c r="A111" s="98">
        <f>F01_UC2!A130</f>
        <v>46254</v>
      </c>
      <c r="B111" s="99">
        <f>F01_UC2!G130</f>
        <v>36373232</v>
      </c>
      <c r="C111" s="99">
        <f t="shared" si="8"/>
        <v>0</v>
      </c>
      <c r="D111" s="99">
        <f t="shared" si="9"/>
        <v>0</v>
      </c>
      <c r="E111" s="99">
        <f t="shared" si="10"/>
        <v>0</v>
      </c>
      <c r="F111" s="99">
        <f t="shared" si="11"/>
        <v>0</v>
      </c>
      <c r="G111" s="99">
        <f>SUM($F$51:F111)</f>
        <v>108547.00092414021</v>
      </c>
      <c r="H111" s="99">
        <f t="shared" si="12"/>
        <v>36481779.00092414</v>
      </c>
      <c r="I111" s="99">
        <f>F01_UC2!H130</f>
        <v>463626768</v>
      </c>
      <c r="J111" s="99">
        <f>IF($B$34="Hợp lệ",MAX(0,F01_UC2!$B$10-H111),"Chưa tính")</f>
        <v>463518220.99907589</v>
      </c>
      <c r="K111" s="86">
        <f>IF($B$34&lt;&gt;"Hợp lệ","Chưa tính",IF(OR(H111&lt;0,H111&lt;F01_UC2!$B$9,J111/F01_UC2!$B$10&gt;Nguong!$B$63),3,IF(J111/F01_UC2!$B$10&gt;Nguong!$B$62,2,IF(J111&gt;0,1,0))))</f>
        <v>3</v>
      </c>
      <c r="L111" s="86">
        <f t="shared" si="13"/>
        <v>0</v>
      </c>
      <c r="M111" s="86">
        <f t="shared" si="14"/>
        <v>0</v>
      </c>
      <c r="N111" s="86">
        <f>IF($B$34&lt;&gt;"Hợp lệ","Chưa tính",IF(H111&gt;F01_UC2!$B$11,N110+1,0))</f>
        <v>0</v>
      </c>
      <c r="O111" s="86">
        <f t="shared" si="15"/>
        <v>108547.00092411041</v>
      </c>
      <c r="P111" s="86"/>
      <c r="Q111" s="86"/>
      <c r="R111" s="86"/>
      <c r="S111" s="86"/>
      <c r="T111" s="86"/>
      <c r="U111" s="86"/>
    </row>
    <row r="112" spans="1:21" ht="22.95" customHeight="1">
      <c r="A112" s="98">
        <f>F01_UC2!A131</f>
        <v>46255</v>
      </c>
      <c r="B112" s="99">
        <f>F01_UC2!G131</f>
        <v>36373232</v>
      </c>
      <c r="C112" s="99">
        <f t="shared" si="8"/>
        <v>0</v>
      </c>
      <c r="D112" s="99">
        <f t="shared" si="9"/>
        <v>0</v>
      </c>
      <c r="E112" s="99">
        <f t="shared" si="10"/>
        <v>0</v>
      </c>
      <c r="F112" s="99">
        <f t="shared" si="11"/>
        <v>0</v>
      </c>
      <c r="G112" s="99">
        <f>SUM($F$51:F112)</f>
        <v>108547.00092414021</v>
      </c>
      <c r="H112" s="99">
        <f t="shared" si="12"/>
        <v>36481779.00092414</v>
      </c>
      <c r="I112" s="99">
        <f>F01_UC2!H131</f>
        <v>463626768</v>
      </c>
      <c r="J112" s="99">
        <f>IF($B$34="Hợp lệ",MAX(0,F01_UC2!$B$10-H112),"Chưa tính")</f>
        <v>463518220.99907589</v>
      </c>
      <c r="K112" s="86">
        <f>IF($B$34&lt;&gt;"Hợp lệ","Chưa tính",IF(OR(H112&lt;0,H112&lt;F01_UC2!$B$9,J112/F01_UC2!$B$10&gt;Nguong!$B$63),3,IF(J112/F01_UC2!$B$10&gt;Nguong!$B$62,2,IF(J112&gt;0,1,0))))</f>
        <v>3</v>
      </c>
      <c r="L112" s="86">
        <f t="shared" si="13"/>
        <v>0</v>
      </c>
      <c r="M112" s="86">
        <f t="shared" si="14"/>
        <v>0</v>
      </c>
      <c r="N112" s="86">
        <f>IF($B$34&lt;&gt;"Hợp lệ","Chưa tính",IF(H112&gt;F01_UC2!$B$11,N111+1,0))</f>
        <v>0</v>
      </c>
      <c r="O112" s="86">
        <f t="shared" si="15"/>
        <v>108547.00092411041</v>
      </c>
      <c r="P112" s="86"/>
      <c r="Q112" s="86"/>
      <c r="R112" s="86"/>
      <c r="S112" s="86"/>
      <c r="T112" s="86"/>
      <c r="U112" s="86"/>
    </row>
    <row r="113" spans="1:21" ht="22.95" customHeight="1">
      <c r="A113" s="98">
        <f>F01_UC2!A132</f>
        <v>46256</v>
      </c>
      <c r="B113" s="99">
        <f>F01_UC2!G132</f>
        <v>36373232</v>
      </c>
      <c r="C113" s="99">
        <f t="shared" si="8"/>
        <v>0</v>
      </c>
      <c r="D113" s="99">
        <f t="shared" si="9"/>
        <v>0</v>
      </c>
      <c r="E113" s="99">
        <f t="shared" si="10"/>
        <v>0</v>
      </c>
      <c r="F113" s="99">
        <f t="shared" si="11"/>
        <v>0</v>
      </c>
      <c r="G113" s="99">
        <f>SUM($F$51:F113)</f>
        <v>108547.00092414021</v>
      </c>
      <c r="H113" s="99">
        <f t="shared" si="12"/>
        <v>36481779.00092414</v>
      </c>
      <c r="I113" s="99">
        <f>F01_UC2!H132</f>
        <v>463626768</v>
      </c>
      <c r="J113" s="99">
        <f>IF($B$34="Hợp lệ",MAX(0,F01_UC2!$B$10-H113),"Chưa tính")</f>
        <v>463518220.99907589</v>
      </c>
      <c r="K113" s="86">
        <f>IF($B$34&lt;&gt;"Hợp lệ","Chưa tính",IF(OR(H113&lt;0,H113&lt;F01_UC2!$B$9,J113/F01_UC2!$B$10&gt;Nguong!$B$63),3,IF(J113/F01_UC2!$B$10&gt;Nguong!$B$62,2,IF(J113&gt;0,1,0))))</f>
        <v>3</v>
      </c>
      <c r="L113" s="86">
        <f t="shared" si="13"/>
        <v>0</v>
      </c>
      <c r="M113" s="86">
        <f t="shared" si="14"/>
        <v>0</v>
      </c>
      <c r="N113" s="86">
        <f>IF($B$34&lt;&gt;"Hợp lệ","Chưa tính",IF(H113&gt;F01_UC2!$B$11,N112+1,0))</f>
        <v>0</v>
      </c>
      <c r="O113" s="86">
        <f t="shared" si="15"/>
        <v>108547.00092411041</v>
      </c>
      <c r="P113" s="86"/>
      <c r="Q113" s="86"/>
      <c r="R113" s="86"/>
      <c r="S113" s="86"/>
      <c r="T113" s="86"/>
      <c r="U113" s="86"/>
    </row>
    <row r="114" spans="1:21" ht="22.95" customHeight="1">
      <c r="A114" s="98">
        <f>F01_UC2!A133</f>
        <v>46257</v>
      </c>
      <c r="B114" s="99">
        <f>F01_UC2!G133</f>
        <v>36373232</v>
      </c>
      <c r="C114" s="99">
        <f t="shared" si="8"/>
        <v>0</v>
      </c>
      <c r="D114" s="99">
        <f t="shared" si="9"/>
        <v>0</v>
      </c>
      <c r="E114" s="99">
        <f t="shared" si="10"/>
        <v>0</v>
      </c>
      <c r="F114" s="99">
        <f t="shared" si="11"/>
        <v>0</v>
      </c>
      <c r="G114" s="99">
        <f>SUM($F$51:F114)</f>
        <v>108547.00092414021</v>
      </c>
      <c r="H114" s="99">
        <f t="shared" si="12"/>
        <v>36481779.00092414</v>
      </c>
      <c r="I114" s="99">
        <f>F01_UC2!H133</f>
        <v>463626768</v>
      </c>
      <c r="J114" s="99">
        <f>IF($B$34="Hợp lệ",MAX(0,F01_UC2!$B$10-H114),"Chưa tính")</f>
        <v>463518220.99907589</v>
      </c>
      <c r="K114" s="86">
        <f>IF($B$34&lt;&gt;"Hợp lệ","Chưa tính",IF(OR(H114&lt;0,H114&lt;F01_UC2!$B$9,J114/F01_UC2!$B$10&gt;Nguong!$B$63),3,IF(J114/F01_UC2!$B$10&gt;Nguong!$B$62,2,IF(J114&gt;0,1,0))))</f>
        <v>3</v>
      </c>
      <c r="L114" s="86">
        <f t="shared" si="13"/>
        <v>0</v>
      </c>
      <c r="M114" s="86">
        <f t="shared" si="14"/>
        <v>0</v>
      </c>
      <c r="N114" s="86">
        <f>IF($B$34&lt;&gt;"Hợp lệ","Chưa tính",IF(H114&gt;F01_UC2!$B$11,N113+1,0))</f>
        <v>0</v>
      </c>
      <c r="O114" s="86">
        <f t="shared" si="15"/>
        <v>108547.00092411041</v>
      </c>
      <c r="P114" s="86"/>
      <c r="Q114" s="86"/>
      <c r="R114" s="86"/>
      <c r="S114" s="86"/>
      <c r="T114" s="86"/>
      <c r="U114" s="86"/>
    </row>
    <row r="115" spans="1:21" ht="22.95" customHeight="1">
      <c r="A115" s="98">
        <f>F01_UC2!A134</f>
        <v>46258</v>
      </c>
      <c r="B115" s="99">
        <f>F01_UC2!G134</f>
        <v>36373232</v>
      </c>
      <c r="C115" s="99">
        <f t="shared" ref="C115:C141" si="16">SUMIFS($L$151:$L$272,$K$151:$K$272,A115)-SUMIFS($J$151:$J$272,$F$151:$F$272,A115)</f>
        <v>0</v>
      </c>
      <c r="D115" s="99">
        <f t="shared" ref="D115:D141" si="17">SUMIFS($N$151:$N$272,$F$151:$F$272,A115)-SUMIFS($P$151:$P$272,$O$151:$O$272,A115)</f>
        <v>0</v>
      </c>
      <c r="E115" s="99">
        <f t="shared" ref="E115:E141" si="18">IF(A115=$B$33,$B$48,0)</f>
        <v>0</v>
      </c>
      <c r="F115" s="99">
        <f t="shared" ref="F115:F146" si="19">SUM(C115:E115)</f>
        <v>0</v>
      </c>
      <c r="G115" s="99">
        <f>SUM($F$51:F115)</f>
        <v>108547.00092414021</v>
      </c>
      <c r="H115" s="99">
        <f t="shared" ref="H115:H146" si="20">IF($B$34="Hợp lệ",B115+G115,"Chưa tính")</f>
        <v>36481779.00092414</v>
      </c>
      <c r="I115" s="99">
        <f>F01_UC2!H134</f>
        <v>463626768</v>
      </c>
      <c r="J115" s="99">
        <f>IF($B$34="Hợp lệ",MAX(0,F01_UC2!$B$10-H115),"Chưa tính")</f>
        <v>463518220.99907589</v>
      </c>
      <c r="K115" s="86">
        <f>IF($B$34&lt;&gt;"Hợp lệ","Chưa tính",IF(OR(H115&lt;0,H115&lt;F01_UC2!$B$9,J115/F01_UC2!$B$10&gt;Nguong!$B$63),3,IF(J115/F01_UC2!$B$10&gt;Nguong!$B$62,2,IF(J115&gt;0,1,0))))</f>
        <v>3</v>
      </c>
      <c r="L115" s="86">
        <f t="shared" ref="L115:L141" si="21">IF($B$34="Hợp lệ",IF(AND(I115=0,J115&gt;$B$27),1,0),"Chưa tính")</f>
        <v>0</v>
      </c>
      <c r="M115" s="86">
        <f t="shared" ref="M115:M141" si="22">IF($B$34="Hợp lệ",IF(J115&gt;I115+$B$27,1,0),"Chưa tính")</f>
        <v>0</v>
      </c>
      <c r="N115" s="86">
        <f>IF($B$34&lt;&gt;"Hợp lệ","Chưa tính",IF(H115&gt;F01_UC2!$B$11,N114+1,0))</f>
        <v>0</v>
      </c>
      <c r="O115" s="86">
        <f t="shared" ref="O115:O141" si="23">IF($B$34="Hợp lệ",I115-J115,"Chưa tính")</f>
        <v>108547.00092411041</v>
      </c>
      <c r="P115" s="86"/>
      <c r="Q115" s="86"/>
      <c r="R115" s="86"/>
      <c r="S115" s="86"/>
      <c r="T115" s="86"/>
      <c r="U115" s="86"/>
    </row>
    <row r="116" spans="1:21" ht="22.95" customHeight="1">
      <c r="A116" s="98">
        <f>F01_UC2!A135</f>
        <v>46259</v>
      </c>
      <c r="B116" s="99">
        <f>F01_UC2!G135</f>
        <v>36373232</v>
      </c>
      <c r="C116" s="99">
        <f t="shared" si="16"/>
        <v>0</v>
      </c>
      <c r="D116" s="99">
        <f t="shared" si="17"/>
        <v>0</v>
      </c>
      <c r="E116" s="99">
        <f t="shared" si="18"/>
        <v>0</v>
      </c>
      <c r="F116" s="99">
        <f t="shared" si="19"/>
        <v>0</v>
      </c>
      <c r="G116" s="99">
        <f>SUM($F$51:F116)</f>
        <v>108547.00092414021</v>
      </c>
      <c r="H116" s="99">
        <f t="shared" si="20"/>
        <v>36481779.00092414</v>
      </c>
      <c r="I116" s="99">
        <f>F01_UC2!H135</f>
        <v>463626768</v>
      </c>
      <c r="J116" s="99">
        <f>IF($B$34="Hợp lệ",MAX(0,F01_UC2!$B$10-H116),"Chưa tính")</f>
        <v>463518220.99907589</v>
      </c>
      <c r="K116" s="86">
        <f>IF($B$34&lt;&gt;"Hợp lệ","Chưa tính",IF(OR(H116&lt;0,H116&lt;F01_UC2!$B$9,J116/F01_UC2!$B$10&gt;Nguong!$B$63),3,IF(J116/F01_UC2!$B$10&gt;Nguong!$B$62,2,IF(J116&gt;0,1,0))))</f>
        <v>3</v>
      </c>
      <c r="L116" s="86">
        <f t="shared" si="21"/>
        <v>0</v>
      </c>
      <c r="M116" s="86">
        <f t="shared" si="22"/>
        <v>0</v>
      </c>
      <c r="N116" s="86">
        <f>IF($B$34&lt;&gt;"Hợp lệ","Chưa tính",IF(H116&gt;F01_UC2!$B$11,N115+1,0))</f>
        <v>0</v>
      </c>
      <c r="O116" s="86">
        <f t="shared" si="23"/>
        <v>108547.00092411041</v>
      </c>
      <c r="P116" s="86"/>
      <c r="Q116" s="86"/>
      <c r="R116" s="86"/>
      <c r="S116" s="86"/>
      <c r="T116" s="86"/>
      <c r="U116" s="86"/>
    </row>
    <row r="117" spans="1:21" ht="22.95" customHeight="1">
      <c r="A117" s="98">
        <f>F01_UC2!A136</f>
        <v>46260</v>
      </c>
      <c r="B117" s="99">
        <f>F01_UC2!G136</f>
        <v>36373232</v>
      </c>
      <c r="C117" s="99">
        <f t="shared" si="16"/>
        <v>0</v>
      </c>
      <c r="D117" s="99">
        <f t="shared" si="17"/>
        <v>0</v>
      </c>
      <c r="E117" s="99">
        <f t="shared" si="18"/>
        <v>0</v>
      </c>
      <c r="F117" s="99">
        <f t="shared" si="19"/>
        <v>0</v>
      </c>
      <c r="G117" s="99">
        <f>SUM($F$51:F117)</f>
        <v>108547.00092414021</v>
      </c>
      <c r="H117" s="99">
        <f t="shared" si="20"/>
        <v>36481779.00092414</v>
      </c>
      <c r="I117" s="99">
        <f>F01_UC2!H136</f>
        <v>463626768</v>
      </c>
      <c r="J117" s="99">
        <f>IF($B$34="Hợp lệ",MAX(0,F01_UC2!$B$10-H117),"Chưa tính")</f>
        <v>463518220.99907589</v>
      </c>
      <c r="K117" s="86">
        <f>IF($B$34&lt;&gt;"Hợp lệ","Chưa tính",IF(OR(H117&lt;0,H117&lt;F01_UC2!$B$9,J117/F01_UC2!$B$10&gt;Nguong!$B$63),3,IF(J117/F01_UC2!$B$10&gt;Nguong!$B$62,2,IF(J117&gt;0,1,0))))</f>
        <v>3</v>
      </c>
      <c r="L117" s="86">
        <f t="shared" si="21"/>
        <v>0</v>
      </c>
      <c r="M117" s="86">
        <f t="shared" si="22"/>
        <v>0</v>
      </c>
      <c r="N117" s="86">
        <f>IF($B$34&lt;&gt;"Hợp lệ","Chưa tính",IF(H117&gt;F01_UC2!$B$11,N116+1,0))</f>
        <v>0</v>
      </c>
      <c r="O117" s="86">
        <f t="shared" si="23"/>
        <v>108547.00092411041</v>
      </c>
      <c r="P117" s="86"/>
      <c r="Q117" s="86"/>
      <c r="R117" s="86"/>
      <c r="S117" s="86"/>
      <c r="T117" s="86"/>
      <c r="U117" s="86"/>
    </row>
    <row r="118" spans="1:21" ht="22.95" customHeight="1">
      <c r="A118" s="98">
        <f>F01_UC2!A137</f>
        <v>46261</v>
      </c>
      <c r="B118" s="99">
        <f>F01_UC2!G137</f>
        <v>36373232</v>
      </c>
      <c r="C118" s="99">
        <f t="shared" si="16"/>
        <v>0</v>
      </c>
      <c r="D118" s="99">
        <f t="shared" si="17"/>
        <v>0</v>
      </c>
      <c r="E118" s="99">
        <f t="shared" si="18"/>
        <v>0</v>
      </c>
      <c r="F118" s="99">
        <f t="shared" si="19"/>
        <v>0</v>
      </c>
      <c r="G118" s="99">
        <f>SUM($F$51:F118)</f>
        <v>108547.00092414021</v>
      </c>
      <c r="H118" s="99">
        <f t="shared" si="20"/>
        <v>36481779.00092414</v>
      </c>
      <c r="I118" s="99">
        <f>F01_UC2!H137</f>
        <v>463626768</v>
      </c>
      <c r="J118" s="99">
        <f>IF($B$34="Hợp lệ",MAX(0,F01_UC2!$B$10-H118),"Chưa tính")</f>
        <v>463518220.99907589</v>
      </c>
      <c r="K118" s="86">
        <f>IF($B$34&lt;&gt;"Hợp lệ","Chưa tính",IF(OR(H118&lt;0,H118&lt;F01_UC2!$B$9,J118/F01_UC2!$B$10&gt;Nguong!$B$63),3,IF(J118/F01_UC2!$B$10&gt;Nguong!$B$62,2,IF(J118&gt;0,1,0))))</f>
        <v>3</v>
      </c>
      <c r="L118" s="86">
        <f t="shared" si="21"/>
        <v>0</v>
      </c>
      <c r="M118" s="86">
        <f t="shared" si="22"/>
        <v>0</v>
      </c>
      <c r="N118" s="86">
        <f>IF($B$34&lt;&gt;"Hợp lệ","Chưa tính",IF(H118&gt;F01_UC2!$B$11,N117+1,0))</f>
        <v>0</v>
      </c>
      <c r="O118" s="86">
        <f t="shared" si="23"/>
        <v>108547.00092411041</v>
      </c>
      <c r="P118" s="86"/>
      <c r="Q118" s="86"/>
      <c r="R118" s="86"/>
      <c r="S118" s="86"/>
      <c r="T118" s="86"/>
      <c r="U118" s="86"/>
    </row>
    <row r="119" spans="1:21" ht="22.95" customHeight="1">
      <c r="A119" s="98">
        <f>F01_UC2!A138</f>
        <v>46262</v>
      </c>
      <c r="B119" s="99">
        <f>F01_UC2!G138</f>
        <v>36373232</v>
      </c>
      <c r="C119" s="99">
        <f t="shared" si="16"/>
        <v>0</v>
      </c>
      <c r="D119" s="99">
        <f t="shared" si="17"/>
        <v>0</v>
      </c>
      <c r="E119" s="99">
        <f t="shared" si="18"/>
        <v>0</v>
      </c>
      <c r="F119" s="99">
        <f t="shared" si="19"/>
        <v>0</v>
      </c>
      <c r="G119" s="99">
        <f>SUM($F$51:F119)</f>
        <v>108547.00092414021</v>
      </c>
      <c r="H119" s="99">
        <f t="shared" si="20"/>
        <v>36481779.00092414</v>
      </c>
      <c r="I119" s="99">
        <f>F01_UC2!H138</f>
        <v>463626768</v>
      </c>
      <c r="J119" s="99">
        <f>IF($B$34="Hợp lệ",MAX(0,F01_UC2!$B$10-H119),"Chưa tính")</f>
        <v>463518220.99907589</v>
      </c>
      <c r="K119" s="86">
        <f>IF($B$34&lt;&gt;"Hợp lệ","Chưa tính",IF(OR(H119&lt;0,H119&lt;F01_UC2!$B$9,J119/F01_UC2!$B$10&gt;Nguong!$B$63),3,IF(J119/F01_UC2!$B$10&gt;Nguong!$B$62,2,IF(J119&gt;0,1,0))))</f>
        <v>3</v>
      </c>
      <c r="L119" s="86">
        <f t="shared" si="21"/>
        <v>0</v>
      </c>
      <c r="M119" s="86">
        <f t="shared" si="22"/>
        <v>0</v>
      </c>
      <c r="N119" s="86">
        <f>IF($B$34&lt;&gt;"Hợp lệ","Chưa tính",IF(H119&gt;F01_UC2!$B$11,N118+1,0))</f>
        <v>0</v>
      </c>
      <c r="O119" s="86">
        <f t="shared" si="23"/>
        <v>108547.00092411041</v>
      </c>
      <c r="P119" s="86"/>
      <c r="Q119" s="86"/>
      <c r="R119" s="86"/>
      <c r="S119" s="86"/>
      <c r="T119" s="86"/>
      <c r="U119" s="86"/>
    </row>
    <row r="120" spans="1:21" ht="22.95" customHeight="1">
      <c r="A120" s="98">
        <f>F01_UC2!A139</f>
        <v>46263</v>
      </c>
      <c r="B120" s="99">
        <f>F01_UC2!G139</f>
        <v>36373232</v>
      </c>
      <c r="C120" s="99">
        <f t="shared" si="16"/>
        <v>0</v>
      </c>
      <c r="D120" s="99">
        <f t="shared" si="17"/>
        <v>0</v>
      </c>
      <c r="E120" s="99">
        <f t="shared" si="18"/>
        <v>0</v>
      </c>
      <c r="F120" s="99">
        <f t="shared" si="19"/>
        <v>0</v>
      </c>
      <c r="G120" s="99">
        <f>SUM($F$51:F120)</f>
        <v>108547.00092414021</v>
      </c>
      <c r="H120" s="99">
        <f t="shared" si="20"/>
        <v>36481779.00092414</v>
      </c>
      <c r="I120" s="99">
        <f>F01_UC2!H139</f>
        <v>463626768</v>
      </c>
      <c r="J120" s="99">
        <f>IF($B$34="Hợp lệ",MAX(0,F01_UC2!$B$10-H120),"Chưa tính")</f>
        <v>463518220.99907589</v>
      </c>
      <c r="K120" s="86">
        <f>IF($B$34&lt;&gt;"Hợp lệ","Chưa tính",IF(OR(H120&lt;0,H120&lt;F01_UC2!$B$9,J120/F01_UC2!$B$10&gt;Nguong!$B$63),3,IF(J120/F01_UC2!$B$10&gt;Nguong!$B$62,2,IF(J120&gt;0,1,0))))</f>
        <v>3</v>
      </c>
      <c r="L120" s="86">
        <f t="shared" si="21"/>
        <v>0</v>
      </c>
      <c r="M120" s="86">
        <f t="shared" si="22"/>
        <v>0</v>
      </c>
      <c r="N120" s="86">
        <f>IF($B$34&lt;&gt;"Hợp lệ","Chưa tính",IF(H120&gt;F01_UC2!$B$11,N119+1,0))</f>
        <v>0</v>
      </c>
      <c r="O120" s="86">
        <f t="shared" si="23"/>
        <v>108547.00092411041</v>
      </c>
      <c r="P120" s="86"/>
      <c r="Q120" s="86"/>
      <c r="R120" s="86"/>
      <c r="S120" s="86"/>
      <c r="T120" s="86"/>
      <c r="U120" s="86"/>
    </row>
    <row r="121" spans="1:21" ht="22.95" customHeight="1">
      <c r="A121" s="98">
        <f>F01_UC2!A140</f>
        <v>46264</v>
      </c>
      <c r="B121" s="99">
        <f>F01_UC2!G140</f>
        <v>36373232</v>
      </c>
      <c r="C121" s="99">
        <f t="shared" si="16"/>
        <v>0</v>
      </c>
      <c r="D121" s="99">
        <f t="shared" si="17"/>
        <v>0</v>
      </c>
      <c r="E121" s="99">
        <f t="shared" si="18"/>
        <v>0</v>
      </c>
      <c r="F121" s="99">
        <f t="shared" si="19"/>
        <v>0</v>
      </c>
      <c r="G121" s="99">
        <f>SUM($F$51:F121)</f>
        <v>108547.00092414021</v>
      </c>
      <c r="H121" s="99">
        <f t="shared" si="20"/>
        <v>36481779.00092414</v>
      </c>
      <c r="I121" s="99">
        <f>F01_UC2!H140</f>
        <v>463626768</v>
      </c>
      <c r="J121" s="99">
        <f>IF($B$34="Hợp lệ",MAX(0,F01_UC2!$B$10-H121),"Chưa tính")</f>
        <v>463518220.99907589</v>
      </c>
      <c r="K121" s="86">
        <f>IF($B$34&lt;&gt;"Hợp lệ","Chưa tính",IF(OR(H121&lt;0,H121&lt;F01_UC2!$B$9,J121/F01_UC2!$B$10&gt;Nguong!$B$63),3,IF(J121/F01_UC2!$B$10&gt;Nguong!$B$62,2,IF(J121&gt;0,1,0))))</f>
        <v>3</v>
      </c>
      <c r="L121" s="86">
        <f t="shared" si="21"/>
        <v>0</v>
      </c>
      <c r="M121" s="86">
        <f t="shared" si="22"/>
        <v>0</v>
      </c>
      <c r="N121" s="86">
        <f>IF($B$34&lt;&gt;"Hợp lệ","Chưa tính",IF(H121&gt;F01_UC2!$B$11,N120+1,0))</f>
        <v>0</v>
      </c>
      <c r="O121" s="86">
        <f t="shared" si="23"/>
        <v>108547.00092411041</v>
      </c>
      <c r="P121" s="86"/>
      <c r="Q121" s="86"/>
      <c r="R121" s="86"/>
      <c r="S121" s="86"/>
      <c r="T121" s="86"/>
      <c r="U121" s="86"/>
    </row>
    <row r="122" spans="1:21" ht="22.95" customHeight="1">
      <c r="A122" s="98">
        <f>F01_UC2!A141</f>
        <v>46265</v>
      </c>
      <c r="B122" s="99">
        <f>F01_UC2!G141</f>
        <v>-2763626768</v>
      </c>
      <c r="C122" s="99">
        <f t="shared" si="16"/>
        <v>0</v>
      </c>
      <c r="D122" s="99">
        <f t="shared" si="17"/>
        <v>0</v>
      </c>
      <c r="E122" s="99">
        <f t="shared" si="18"/>
        <v>0</v>
      </c>
      <c r="F122" s="99">
        <f t="shared" si="19"/>
        <v>0</v>
      </c>
      <c r="G122" s="99">
        <f>SUM($F$51:F122)</f>
        <v>108547.00092414021</v>
      </c>
      <c r="H122" s="99">
        <f t="shared" si="20"/>
        <v>-2763518220.9990759</v>
      </c>
      <c r="I122" s="99">
        <f>F01_UC2!H141</f>
        <v>3263626768</v>
      </c>
      <c r="J122" s="99">
        <f>IF($B$34="Hợp lệ",MAX(0,F01_UC2!$B$10-H122),"Chưa tính")</f>
        <v>3263518220.9990759</v>
      </c>
      <c r="K122" s="86">
        <f>IF($B$34&lt;&gt;"Hợp lệ","Chưa tính",IF(OR(H122&lt;0,H122&lt;F01_UC2!$B$9,J122/F01_UC2!$B$10&gt;Nguong!$B$63),3,IF(J122/F01_UC2!$B$10&gt;Nguong!$B$62,2,IF(J122&gt;0,1,0))))</f>
        <v>3</v>
      </c>
      <c r="L122" s="86">
        <f t="shared" si="21"/>
        <v>0</v>
      </c>
      <c r="M122" s="86">
        <f t="shared" si="22"/>
        <v>0</v>
      </c>
      <c r="N122" s="86">
        <f>IF($B$34&lt;&gt;"Hợp lệ","Chưa tính",IF(H122&gt;F01_UC2!$B$11,N121+1,0))</f>
        <v>0</v>
      </c>
      <c r="O122" s="86">
        <f t="shared" si="23"/>
        <v>108547.00092411041</v>
      </c>
      <c r="P122" s="86"/>
      <c r="Q122" s="86"/>
      <c r="R122" s="86"/>
      <c r="S122" s="86"/>
      <c r="T122" s="86"/>
      <c r="U122" s="86"/>
    </row>
    <row r="123" spans="1:21" ht="22.95" customHeight="1">
      <c r="A123" s="98">
        <f>F01_UC2!A142</f>
        <v>46266</v>
      </c>
      <c r="B123" s="99">
        <f>F01_UC2!G142</f>
        <v>-2883626768</v>
      </c>
      <c r="C123" s="99">
        <f t="shared" si="16"/>
        <v>0</v>
      </c>
      <c r="D123" s="99">
        <f t="shared" si="17"/>
        <v>0</v>
      </c>
      <c r="E123" s="99">
        <f t="shared" si="18"/>
        <v>0</v>
      </c>
      <c r="F123" s="99">
        <f t="shared" si="19"/>
        <v>0</v>
      </c>
      <c r="G123" s="99">
        <f>SUM($F$51:F123)</f>
        <v>108547.00092414021</v>
      </c>
      <c r="H123" s="99">
        <f t="shared" si="20"/>
        <v>-2883518220.9990759</v>
      </c>
      <c r="I123" s="99">
        <f>F01_UC2!H142</f>
        <v>3383626768</v>
      </c>
      <c r="J123" s="99">
        <f>IF($B$34="Hợp lệ",MAX(0,F01_UC2!$B$10-H123),"Chưa tính")</f>
        <v>3383518220.9990759</v>
      </c>
      <c r="K123" s="86">
        <f>IF($B$34&lt;&gt;"Hợp lệ","Chưa tính",IF(OR(H123&lt;0,H123&lt;F01_UC2!$B$9,J123/F01_UC2!$B$10&gt;Nguong!$B$63),3,IF(J123/F01_UC2!$B$10&gt;Nguong!$B$62,2,IF(J123&gt;0,1,0))))</f>
        <v>3</v>
      </c>
      <c r="L123" s="86">
        <f t="shared" si="21"/>
        <v>0</v>
      </c>
      <c r="M123" s="86">
        <f t="shared" si="22"/>
        <v>0</v>
      </c>
      <c r="N123" s="86">
        <f>IF($B$34&lt;&gt;"Hợp lệ","Chưa tính",IF(H123&gt;F01_UC2!$B$11,N122+1,0))</f>
        <v>0</v>
      </c>
      <c r="O123" s="86">
        <f t="shared" si="23"/>
        <v>108547.00092411041</v>
      </c>
      <c r="P123" s="86"/>
      <c r="Q123" s="86"/>
      <c r="R123" s="86"/>
      <c r="S123" s="86"/>
      <c r="T123" s="86"/>
      <c r="U123" s="86"/>
    </row>
    <row r="124" spans="1:21" ht="22.95" customHeight="1">
      <c r="A124" s="98">
        <f>F01_UC2!A143</f>
        <v>46267</v>
      </c>
      <c r="B124" s="99">
        <f>F01_UC2!G143</f>
        <v>-2883626768</v>
      </c>
      <c r="C124" s="99">
        <f t="shared" si="16"/>
        <v>0</v>
      </c>
      <c r="D124" s="99">
        <f t="shared" si="17"/>
        <v>0</v>
      </c>
      <c r="E124" s="99">
        <f t="shared" si="18"/>
        <v>0</v>
      </c>
      <c r="F124" s="99">
        <f t="shared" si="19"/>
        <v>0</v>
      </c>
      <c r="G124" s="99">
        <f>SUM($F$51:F124)</f>
        <v>108547.00092414021</v>
      </c>
      <c r="H124" s="99">
        <f t="shared" si="20"/>
        <v>-2883518220.9990759</v>
      </c>
      <c r="I124" s="99">
        <f>F01_UC2!H143</f>
        <v>3383626768</v>
      </c>
      <c r="J124" s="99">
        <f>IF($B$34="Hợp lệ",MAX(0,F01_UC2!$B$10-H124),"Chưa tính")</f>
        <v>3383518220.9990759</v>
      </c>
      <c r="K124" s="86">
        <f>IF($B$34&lt;&gt;"Hợp lệ","Chưa tính",IF(OR(H124&lt;0,H124&lt;F01_UC2!$B$9,J124/F01_UC2!$B$10&gt;Nguong!$B$63),3,IF(J124/F01_UC2!$B$10&gt;Nguong!$B$62,2,IF(J124&gt;0,1,0))))</f>
        <v>3</v>
      </c>
      <c r="L124" s="86">
        <f t="shared" si="21"/>
        <v>0</v>
      </c>
      <c r="M124" s="86">
        <f t="shared" si="22"/>
        <v>0</v>
      </c>
      <c r="N124" s="86">
        <f>IF($B$34&lt;&gt;"Hợp lệ","Chưa tính",IF(H124&gt;F01_UC2!$B$11,N123+1,0))</f>
        <v>0</v>
      </c>
      <c r="O124" s="86">
        <f t="shared" si="23"/>
        <v>108547.00092411041</v>
      </c>
      <c r="P124" s="86"/>
      <c r="Q124" s="86"/>
      <c r="R124" s="86"/>
      <c r="S124" s="86"/>
      <c r="T124" s="86"/>
      <c r="U124" s="86"/>
    </row>
    <row r="125" spans="1:21" ht="22.95" customHeight="1">
      <c r="A125" s="98">
        <f>F01_UC2!A144</f>
        <v>46268</v>
      </c>
      <c r="B125" s="99">
        <f>F01_UC2!G144</f>
        <v>-2883626768</v>
      </c>
      <c r="C125" s="99">
        <f t="shared" si="16"/>
        <v>0</v>
      </c>
      <c r="D125" s="99">
        <f t="shared" si="17"/>
        <v>0</v>
      </c>
      <c r="E125" s="99">
        <f t="shared" si="18"/>
        <v>0</v>
      </c>
      <c r="F125" s="99">
        <f t="shared" si="19"/>
        <v>0</v>
      </c>
      <c r="G125" s="99">
        <f>SUM($F$51:F125)</f>
        <v>108547.00092414021</v>
      </c>
      <c r="H125" s="99">
        <f t="shared" si="20"/>
        <v>-2883518220.9990759</v>
      </c>
      <c r="I125" s="99">
        <f>F01_UC2!H144</f>
        <v>3383626768</v>
      </c>
      <c r="J125" s="99">
        <f>IF($B$34="Hợp lệ",MAX(0,F01_UC2!$B$10-H125),"Chưa tính")</f>
        <v>3383518220.9990759</v>
      </c>
      <c r="K125" s="86">
        <f>IF($B$34&lt;&gt;"Hợp lệ","Chưa tính",IF(OR(H125&lt;0,H125&lt;F01_UC2!$B$9,J125/F01_UC2!$B$10&gt;Nguong!$B$63),3,IF(J125/F01_UC2!$B$10&gt;Nguong!$B$62,2,IF(J125&gt;0,1,0))))</f>
        <v>3</v>
      </c>
      <c r="L125" s="86">
        <f t="shared" si="21"/>
        <v>0</v>
      </c>
      <c r="M125" s="86">
        <f t="shared" si="22"/>
        <v>0</v>
      </c>
      <c r="N125" s="86">
        <f>IF($B$34&lt;&gt;"Hợp lệ","Chưa tính",IF(H125&gt;F01_UC2!$B$11,N124+1,0))</f>
        <v>0</v>
      </c>
      <c r="O125" s="86">
        <f t="shared" si="23"/>
        <v>108547.00092411041</v>
      </c>
      <c r="P125" s="86"/>
      <c r="Q125" s="86"/>
      <c r="R125" s="86"/>
      <c r="S125" s="86"/>
      <c r="T125" s="86"/>
      <c r="U125" s="86"/>
    </row>
    <row r="126" spans="1:21" ht="22.95" customHeight="1">
      <c r="A126" s="98">
        <f>F01_UC2!A145</f>
        <v>46269</v>
      </c>
      <c r="B126" s="99">
        <f>F01_UC2!G145</f>
        <v>-2883626768</v>
      </c>
      <c r="C126" s="99">
        <f t="shared" si="16"/>
        <v>0</v>
      </c>
      <c r="D126" s="99">
        <f t="shared" si="17"/>
        <v>0</v>
      </c>
      <c r="E126" s="99">
        <f t="shared" si="18"/>
        <v>0</v>
      </c>
      <c r="F126" s="99">
        <f t="shared" si="19"/>
        <v>0</v>
      </c>
      <c r="G126" s="99">
        <f>SUM($F$51:F126)</f>
        <v>108547.00092414021</v>
      </c>
      <c r="H126" s="99">
        <f t="shared" si="20"/>
        <v>-2883518220.9990759</v>
      </c>
      <c r="I126" s="99">
        <f>F01_UC2!H145</f>
        <v>3383626768</v>
      </c>
      <c r="J126" s="99">
        <f>IF($B$34="Hợp lệ",MAX(0,F01_UC2!$B$10-H126),"Chưa tính")</f>
        <v>3383518220.9990759</v>
      </c>
      <c r="K126" s="86">
        <f>IF($B$34&lt;&gt;"Hợp lệ","Chưa tính",IF(OR(H126&lt;0,H126&lt;F01_UC2!$B$9,J126/F01_UC2!$B$10&gt;Nguong!$B$63),3,IF(J126/F01_UC2!$B$10&gt;Nguong!$B$62,2,IF(J126&gt;0,1,0))))</f>
        <v>3</v>
      </c>
      <c r="L126" s="86">
        <f t="shared" si="21"/>
        <v>0</v>
      </c>
      <c r="M126" s="86">
        <f t="shared" si="22"/>
        <v>0</v>
      </c>
      <c r="N126" s="86">
        <f>IF($B$34&lt;&gt;"Hợp lệ","Chưa tính",IF(H126&gt;F01_UC2!$B$11,N125+1,0))</f>
        <v>0</v>
      </c>
      <c r="O126" s="86">
        <f t="shared" si="23"/>
        <v>108547.00092411041</v>
      </c>
      <c r="P126" s="86"/>
      <c r="Q126" s="86"/>
      <c r="R126" s="86"/>
      <c r="S126" s="86"/>
      <c r="T126" s="86"/>
      <c r="U126" s="86"/>
    </row>
    <row r="127" spans="1:21" ht="22.95" customHeight="1">
      <c r="A127" s="98">
        <f>F01_UC2!A146</f>
        <v>46270</v>
      </c>
      <c r="B127" s="99">
        <f>F01_UC2!G146</f>
        <v>-2883626768</v>
      </c>
      <c r="C127" s="99">
        <f t="shared" si="16"/>
        <v>0</v>
      </c>
      <c r="D127" s="99">
        <f t="shared" si="17"/>
        <v>0</v>
      </c>
      <c r="E127" s="99">
        <f t="shared" si="18"/>
        <v>0</v>
      </c>
      <c r="F127" s="99">
        <f t="shared" si="19"/>
        <v>0</v>
      </c>
      <c r="G127" s="99">
        <f>SUM($F$51:F127)</f>
        <v>108547.00092414021</v>
      </c>
      <c r="H127" s="99">
        <f t="shared" si="20"/>
        <v>-2883518220.9990759</v>
      </c>
      <c r="I127" s="99">
        <f>F01_UC2!H146</f>
        <v>3383626768</v>
      </c>
      <c r="J127" s="99">
        <f>IF($B$34="Hợp lệ",MAX(0,F01_UC2!$B$10-H127),"Chưa tính")</f>
        <v>3383518220.9990759</v>
      </c>
      <c r="K127" s="86">
        <f>IF($B$34&lt;&gt;"Hợp lệ","Chưa tính",IF(OR(H127&lt;0,H127&lt;F01_UC2!$B$9,J127/F01_UC2!$B$10&gt;Nguong!$B$63),3,IF(J127/F01_UC2!$B$10&gt;Nguong!$B$62,2,IF(J127&gt;0,1,0))))</f>
        <v>3</v>
      </c>
      <c r="L127" s="86">
        <f t="shared" si="21"/>
        <v>0</v>
      </c>
      <c r="M127" s="86">
        <f t="shared" si="22"/>
        <v>0</v>
      </c>
      <c r="N127" s="86">
        <f>IF($B$34&lt;&gt;"Hợp lệ","Chưa tính",IF(H127&gt;F01_UC2!$B$11,N126+1,0))</f>
        <v>0</v>
      </c>
      <c r="O127" s="86">
        <f t="shared" si="23"/>
        <v>108547.00092411041</v>
      </c>
      <c r="P127" s="86"/>
      <c r="Q127" s="86"/>
      <c r="R127" s="86"/>
      <c r="S127" s="86"/>
      <c r="T127" s="86"/>
      <c r="U127" s="86"/>
    </row>
    <row r="128" spans="1:21" ht="22.95" customHeight="1">
      <c r="A128" s="98">
        <f>F01_UC2!A147</f>
        <v>46271</v>
      </c>
      <c r="B128" s="99">
        <f>F01_UC2!G147</f>
        <v>-2883626768</v>
      </c>
      <c r="C128" s="99">
        <f t="shared" si="16"/>
        <v>0</v>
      </c>
      <c r="D128" s="99">
        <f t="shared" si="17"/>
        <v>0</v>
      </c>
      <c r="E128" s="99">
        <f t="shared" si="18"/>
        <v>0</v>
      </c>
      <c r="F128" s="99">
        <f t="shared" si="19"/>
        <v>0</v>
      </c>
      <c r="G128" s="99">
        <f>SUM($F$51:F128)</f>
        <v>108547.00092414021</v>
      </c>
      <c r="H128" s="99">
        <f t="shared" si="20"/>
        <v>-2883518220.9990759</v>
      </c>
      <c r="I128" s="99">
        <f>F01_UC2!H147</f>
        <v>3383626768</v>
      </c>
      <c r="J128" s="99">
        <f>IF($B$34="Hợp lệ",MAX(0,F01_UC2!$B$10-H128),"Chưa tính")</f>
        <v>3383518220.9990759</v>
      </c>
      <c r="K128" s="86">
        <f>IF($B$34&lt;&gt;"Hợp lệ","Chưa tính",IF(OR(H128&lt;0,H128&lt;F01_UC2!$B$9,J128/F01_UC2!$B$10&gt;Nguong!$B$63),3,IF(J128/F01_UC2!$B$10&gt;Nguong!$B$62,2,IF(J128&gt;0,1,0))))</f>
        <v>3</v>
      </c>
      <c r="L128" s="86">
        <f t="shared" si="21"/>
        <v>0</v>
      </c>
      <c r="M128" s="86">
        <f t="shared" si="22"/>
        <v>0</v>
      </c>
      <c r="N128" s="86">
        <f>IF($B$34&lt;&gt;"Hợp lệ","Chưa tính",IF(H128&gt;F01_UC2!$B$11,N127+1,0))</f>
        <v>0</v>
      </c>
      <c r="O128" s="86">
        <f t="shared" si="23"/>
        <v>108547.00092411041</v>
      </c>
      <c r="P128" s="86"/>
      <c r="Q128" s="86"/>
      <c r="R128" s="86"/>
      <c r="S128" s="86"/>
      <c r="T128" s="86"/>
      <c r="U128" s="86"/>
    </row>
    <row r="129" spans="1:21" ht="22.95" customHeight="1">
      <c r="A129" s="98">
        <f>F01_UC2!A148</f>
        <v>46272</v>
      </c>
      <c r="B129" s="99">
        <f>F01_UC2!G148</f>
        <v>-2883626768</v>
      </c>
      <c r="C129" s="99">
        <f t="shared" si="16"/>
        <v>0</v>
      </c>
      <c r="D129" s="99">
        <f t="shared" si="17"/>
        <v>0</v>
      </c>
      <c r="E129" s="99">
        <f t="shared" si="18"/>
        <v>0</v>
      </c>
      <c r="F129" s="99">
        <f t="shared" si="19"/>
        <v>0</v>
      </c>
      <c r="G129" s="99">
        <f>SUM($F$51:F129)</f>
        <v>108547.00092414021</v>
      </c>
      <c r="H129" s="99">
        <f t="shared" si="20"/>
        <v>-2883518220.9990759</v>
      </c>
      <c r="I129" s="99">
        <f>F01_UC2!H148</f>
        <v>3383626768</v>
      </c>
      <c r="J129" s="99">
        <f>IF($B$34="Hợp lệ",MAX(0,F01_UC2!$B$10-H129),"Chưa tính")</f>
        <v>3383518220.9990759</v>
      </c>
      <c r="K129" s="86">
        <f>IF($B$34&lt;&gt;"Hợp lệ","Chưa tính",IF(OR(H129&lt;0,H129&lt;F01_UC2!$B$9,J129/F01_UC2!$B$10&gt;Nguong!$B$63),3,IF(J129/F01_UC2!$B$10&gt;Nguong!$B$62,2,IF(J129&gt;0,1,0))))</f>
        <v>3</v>
      </c>
      <c r="L129" s="86">
        <f t="shared" si="21"/>
        <v>0</v>
      </c>
      <c r="M129" s="86">
        <f t="shared" si="22"/>
        <v>0</v>
      </c>
      <c r="N129" s="86">
        <f>IF($B$34&lt;&gt;"Hợp lệ","Chưa tính",IF(H129&gt;F01_UC2!$B$11,N128+1,0))</f>
        <v>0</v>
      </c>
      <c r="O129" s="86">
        <f t="shared" si="23"/>
        <v>108547.00092411041</v>
      </c>
      <c r="P129" s="86"/>
      <c r="Q129" s="86"/>
      <c r="R129" s="86"/>
      <c r="S129" s="86"/>
      <c r="T129" s="86"/>
      <c r="U129" s="86"/>
    </row>
    <row r="130" spans="1:21" ht="22.95" customHeight="1">
      <c r="A130" s="98">
        <f>F01_UC2!A149</f>
        <v>46273</v>
      </c>
      <c r="B130" s="99">
        <f>F01_UC2!G149</f>
        <v>-2883626768</v>
      </c>
      <c r="C130" s="99">
        <f t="shared" si="16"/>
        <v>0</v>
      </c>
      <c r="D130" s="99">
        <f t="shared" si="17"/>
        <v>0</v>
      </c>
      <c r="E130" s="99">
        <f t="shared" si="18"/>
        <v>0</v>
      </c>
      <c r="F130" s="99">
        <f t="shared" si="19"/>
        <v>0</v>
      </c>
      <c r="G130" s="99">
        <f>SUM($F$51:F130)</f>
        <v>108547.00092414021</v>
      </c>
      <c r="H130" s="99">
        <f t="shared" si="20"/>
        <v>-2883518220.9990759</v>
      </c>
      <c r="I130" s="99">
        <f>F01_UC2!H149</f>
        <v>3383626768</v>
      </c>
      <c r="J130" s="99">
        <f>IF($B$34="Hợp lệ",MAX(0,F01_UC2!$B$10-H130),"Chưa tính")</f>
        <v>3383518220.9990759</v>
      </c>
      <c r="K130" s="86">
        <f>IF($B$34&lt;&gt;"Hợp lệ","Chưa tính",IF(OR(H130&lt;0,H130&lt;F01_UC2!$B$9,J130/F01_UC2!$B$10&gt;Nguong!$B$63),3,IF(J130/F01_UC2!$B$10&gt;Nguong!$B$62,2,IF(J130&gt;0,1,0))))</f>
        <v>3</v>
      </c>
      <c r="L130" s="86">
        <f t="shared" si="21"/>
        <v>0</v>
      </c>
      <c r="M130" s="86">
        <f t="shared" si="22"/>
        <v>0</v>
      </c>
      <c r="N130" s="86">
        <f>IF($B$34&lt;&gt;"Hợp lệ","Chưa tính",IF(H130&gt;F01_UC2!$B$11,N129+1,0))</f>
        <v>0</v>
      </c>
      <c r="O130" s="86">
        <f t="shared" si="23"/>
        <v>108547.00092411041</v>
      </c>
      <c r="P130" s="86"/>
      <c r="Q130" s="86"/>
      <c r="R130" s="86"/>
      <c r="S130" s="86"/>
      <c r="T130" s="86"/>
      <c r="U130" s="86"/>
    </row>
    <row r="131" spans="1:21" ht="22.95" customHeight="1">
      <c r="A131" s="98">
        <f>F01_UC2!A150</f>
        <v>46274</v>
      </c>
      <c r="B131" s="99">
        <f>F01_UC2!G150</f>
        <v>-2883626768</v>
      </c>
      <c r="C131" s="99">
        <f t="shared" si="16"/>
        <v>0</v>
      </c>
      <c r="D131" s="99">
        <f t="shared" si="17"/>
        <v>0</v>
      </c>
      <c r="E131" s="99">
        <f t="shared" si="18"/>
        <v>0</v>
      </c>
      <c r="F131" s="99">
        <f t="shared" si="19"/>
        <v>0</v>
      </c>
      <c r="G131" s="99">
        <f>SUM($F$51:F131)</f>
        <v>108547.00092414021</v>
      </c>
      <c r="H131" s="99">
        <f t="shared" si="20"/>
        <v>-2883518220.9990759</v>
      </c>
      <c r="I131" s="99">
        <f>F01_UC2!H150</f>
        <v>3383626768</v>
      </c>
      <c r="J131" s="99">
        <f>IF($B$34="Hợp lệ",MAX(0,F01_UC2!$B$10-H131),"Chưa tính")</f>
        <v>3383518220.9990759</v>
      </c>
      <c r="K131" s="86">
        <f>IF($B$34&lt;&gt;"Hợp lệ","Chưa tính",IF(OR(H131&lt;0,H131&lt;F01_UC2!$B$9,J131/F01_UC2!$B$10&gt;Nguong!$B$63),3,IF(J131/F01_UC2!$B$10&gt;Nguong!$B$62,2,IF(J131&gt;0,1,0))))</f>
        <v>3</v>
      </c>
      <c r="L131" s="86">
        <f t="shared" si="21"/>
        <v>0</v>
      </c>
      <c r="M131" s="86">
        <f t="shared" si="22"/>
        <v>0</v>
      </c>
      <c r="N131" s="86">
        <f>IF($B$34&lt;&gt;"Hợp lệ","Chưa tính",IF(H131&gt;F01_UC2!$B$11,N130+1,0))</f>
        <v>0</v>
      </c>
      <c r="O131" s="86">
        <f t="shared" si="23"/>
        <v>108547.00092411041</v>
      </c>
      <c r="P131" s="86"/>
      <c r="Q131" s="86"/>
      <c r="R131" s="86"/>
      <c r="S131" s="86"/>
      <c r="T131" s="86"/>
      <c r="U131" s="86"/>
    </row>
    <row r="132" spans="1:21" ht="22.95" customHeight="1">
      <c r="A132" s="98">
        <f>F01_UC2!A151</f>
        <v>46275</v>
      </c>
      <c r="B132" s="99">
        <f>F01_UC2!G151</f>
        <v>-2883626768</v>
      </c>
      <c r="C132" s="99">
        <f t="shared" si="16"/>
        <v>0</v>
      </c>
      <c r="D132" s="99">
        <f t="shared" si="17"/>
        <v>0</v>
      </c>
      <c r="E132" s="99">
        <f t="shared" si="18"/>
        <v>0</v>
      </c>
      <c r="F132" s="99">
        <f t="shared" si="19"/>
        <v>0</v>
      </c>
      <c r="G132" s="99">
        <f>SUM($F$51:F132)</f>
        <v>108547.00092414021</v>
      </c>
      <c r="H132" s="99">
        <f t="shared" si="20"/>
        <v>-2883518220.9990759</v>
      </c>
      <c r="I132" s="99">
        <f>F01_UC2!H151</f>
        <v>3383626768</v>
      </c>
      <c r="J132" s="99">
        <f>IF($B$34="Hợp lệ",MAX(0,F01_UC2!$B$10-H132),"Chưa tính")</f>
        <v>3383518220.9990759</v>
      </c>
      <c r="K132" s="86">
        <f>IF($B$34&lt;&gt;"Hợp lệ","Chưa tính",IF(OR(H132&lt;0,H132&lt;F01_UC2!$B$9,J132/F01_UC2!$B$10&gt;Nguong!$B$63),3,IF(J132/F01_UC2!$B$10&gt;Nguong!$B$62,2,IF(J132&gt;0,1,0))))</f>
        <v>3</v>
      </c>
      <c r="L132" s="86">
        <f t="shared" si="21"/>
        <v>0</v>
      </c>
      <c r="M132" s="86">
        <f t="shared" si="22"/>
        <v>0</v>
      </c>
      <c r="N132" s="86">
        <f>IF($B$34&lt;&gt;"Hợp lệ","Chưa tính",IF(H132&gt;F01_UC2!$B$11,N131+1,0))</f>
        <v>0</v>
      </c>
      <c r="O132" s="86">
        <f t="shared" si="23"/>
        <v>108547.00092411041</v>
      </c>
      <c r="P132" s="86"/>
      <c r="Q132" s="86"/>
      <c r="R132" s="86"/>
      <c r="S132" s="86"/>
      <c r="T132" s="86"/>
      <c r="U132" s="86"/>
    </row>
    <row r="133" spans="1:21" ht="22.95" customHeight="1">
      <c r="A133" s="98">
        <f>F01_UC2!A152</f>
        <v>46276</v>
      </c>
      <c r="B133" s="99">
        <f>F01_UC2!G152</f>
        <v>-2883626768</v>
      </c>
      <c r="C133" s="99">
        <f t="shared" si="16"/>
        <v>0</v>
      </c>
      <c r="D133" s="99">
        <f t="shared" si="17"/>
        <v>0</v>
      </c>
      <c r="E133" s="99">
        <f t="shared" si="18"/>
        <v>0</v>
      </c>
      <c r="F133" s="99">
        <f t="shared" si="19"/>
        <v>0</v>
      </c>
      <c r="G133" s="99">
        <f>SUM($F$51:F133)</f>
        <v>108547.00092414021</v>
      </c>
      <c r="H133" s="99">
        <f t="shared" si="20"/>
        <v>-2883518220.9990759</v>
      </c>
      <c r="I133" s="99">
        <f>F01_UC2!H152</f>
        <v>3383626768</v>
      </c>
      <c r="J133" s="99">
        <f>IF($B$34="Hợp lệ",MAX(0,F01_UC2!$B$10-H133),"Chưa tính")</f>
        <v>3383518220.9990759</v>
      </c>
      <c r="K133" s="86">
        <f>IF($B$34&lt;&gt;"Hợp lệ","Chưa tính",IF(OR(H133&lt;0,H133&lt;F01_UC2!$B$9,J133/F01_UC2!$B$10&gt;Nguong!$B$63),3,IF(J133/F01_UC2!$B$10&gt;Nguong!$B$62,2,IF(J133&gt;0,1,0))))</f>
        <v>3</v>
      </c>
      <c r="L133" s="86">
        <f t="shared" si="21"/>
        <v>0</v>
      </c>
      <c r="M133" s="86">
        <f t="shared" si="22"/>
        <v>0</v>
      </c>
      <c r="N133" s="86">
        <f>IF($B$34&lt;&gt;"Hợp lệ","Chưa tính",IF(H133&gt;F01_UC2!$B$11,N132+1,0))</f>
        <v>0</v>
      </c>
      <c r="O133" s="86">
        <f t="shared" si="23"/>
        <v>108547.00092411041</v>
      </c>
      <c r="P133" s="86"/>
      <c r="Q133" s="86"/>
      <c r="R133" s="86"/>
      <c r="S133" s="86"/>
      <c r="T133" s="86"/>
      <c r="U133" s="86"/>
    </row>
    <row r="134" spans="1:21" ht="22.95" customHeight="1">
      <c r="A134" s="98">
        <f>F01_UC2!A153</f>
        <v>46277</v>
      </c>
      <c r="B134" s="99">
        <f>F01_UC2!G153</f>
        <v>-2883626768</v>
      </c>
      <c r="C134" s="99">
        <f t="shared" si="16"/>
        <v>0</v>
      </c>
      <c r="D134" s="99">
        <f t="shared" si="17"/>
        <v>0</v>
      </c>
      <c r="E134" s="99">
        <f t="shared" si="18"/>
        <v>0</v>
      </c>
      <c r="F134" s="99">
        <f t="shared" si="19"/>
        <v>0</v>
      </c>
      <c r="G134" s="99">
        <f>SUM($F$51:F134)</f>
        <v>108547.00092414021</v>
      </c>
      <c r="H134" s="99">
        <f t="shared" si="20"/>
        <v>-2883518220.9990759</v>
      </c>
      <c r="I134" s="99">
        <f>F01_UC2!H153</f>
        <v>3383626768</v>
      </c>
      <c r="J134" s="99">
        <f>IF($B$34="Hợp lệ",MAX(0,F01_UC2!$B$10-H134),"Chưa tính")</f>
        <v>3383518220.9990759</v>
      </c>
      <c r="K134" s="86">
        <f>IF($B$34&lt;&gt;"Hợp lệ","Chưa tính",IF(OR(H134&lt;0,H134&lt;F01_UC2!$B$9,J134/F01_UC2!$B$10&gt;Nguong!$B$63),3,IF(J134/F01_UC2!$B$10&gt;Nguong!$B$62,2,IF(J134&gt;0,1,0))))</f>
        <v>3</v>
      </c>
      <c r="L134" s="86">
        <f t="shared" si="21"/>
        <v>0</v>
      </c>
      <c r="M134" s="86">
        <f t="shared" si="22"/>
        <v>0</v>
      </c>
      <c r="N134" s="86">
        <f>IF($B$34&lt;&gt;"Hợp lệ","Chưa tính",IF(H134&gt;F01_UC2!$B$11,N133+1,0))</f>
        <v>0</v>
      </c>
      <c r="O134" s="86">
        <f t="shared" si="23"/>
        <v>108547.00092411041</v>
      </c>
      <c r="P134" s="86"/>
      <c r="Q134" s="86"/>
      <c r="R134" s="86"/>
      <c r="S134" s="86"/>
      <c r="T134" s="86"/>
      <c r="U134" s="86"/>
    </row>
    <row r="135" spans="1:21" ht="22.95" customHeight="1">
      <c r="A135" s="98">
        <f>F01_UC2!A154</f>
        <v>46278</v>
      </c>
      <c r="B135" s="99">
        <f>F01_UC2!G154</f>
        <v>-2883626768</v>
      </c>
      <c r="C135" s="99">
        <f t="shared" si="16"/>
        <v>0</v>
      </c>
      <c r="D135" s="99">
        <f t="shared" si="17"/>
        <v>0</v>
      </c>
      <c r="E135" s="99">
        <f t="shared" si="18"/>
        <v>0</v>
      </c>
      <c r="F135" s="99">
        <f t="shared" si="19"/>
        <v>0</v>
      </c>
      <c r="G135" s="99">
        <f>SUM($F$51:F135)</f>
        <v>108547.00092414021</v>
      </c>
      <c r="H135" s="99">
        <f t="shared" si="20"/>
        <v>-2883518220.9990759</v>
      </c>
      <c r="I135" s="99">
        <f>F01_UC2!H154</f>
        <v>3383626768</v>
      </c>
      <c r="J135" s="99">
        <f>IF($B$34="Hợp lệ",MAX(0,F01_UC2!$B$10-H135),"Chưa tính")</f>
        <v>3383518220.9990759</v>
      </c>
      <c r="K135" s="86">
        <f>IF($B$34&lt;&gt;"Hợp lệ","Chưa tính",IF(OR(H135&lt;0,H135&lt;F01_UC2!$B$9,J135/F01_UC2!$B$10&gt;Nguong!$B$63),3,IF(J135/F01_UC2!$B$10&gt;Nguong!$B$62,2,IF(J135&gt;0,1,0))))</f>
        <v>3</v>
      </c>
      <c r="L135" s="86">
        <f t="shared" si="21"/>
        <v>0</v>
      </c>
      <c r="M135" s="86">
        <f t="shared" si="22"/>
        <v>0</v>
      </c>
      <c r="N135" s="86">
        <f>IF($B$34&lt;&gt;"Hợp lệ","Chưa tính",IF(H135&gt;F01_UC2!$B$11,N134+1,0))</f>
        <v>0</v>
      </c>
      <c r="O135" s="86">
        <f t="shared" si="23"/>
        <v>108547.00092411041</v>
      </c>
      <c r="P135" s="86"/>
      <c r="Q135" s="86"/>
      <c r="R135" s="86"/>
      <c r="S135" s="86"/>
      <c r="T135" s="86"/>
      <c r="U135" s="86"/>
    </row>
    <row r="136" spans="1:21" ht="22.95" customHeight="1">
      <c r="A136" s="98">
        <f>F01_UC2!A155</f>
        <v>46279</v>
      </c>
      <c r="B136" s="99">
        <f>F01_UC2!G155</f>
        <v>-2883626768</v>
      </c>
      <c r="C136" s="99">
        <f t="shared" si="16"/>
        <v>0</v>
      </c>
      <c r="D136" s="99">
        <f t="shared" si="17"/>
        <v>0</v>
      </c>
      <c r="E136" s="99">
        <f t="shared" si="18"/>
        <v>0</v>
      </c>
      <c r="F136" s="99">
        <f t="shared" si="19"/>
        <v>0</v>
      </c>
      <c r="G136" s="99">
        <f>SUM($F$51:F136)</f>
        <v>108547.00092414021</v>
      </c>
      <c r="H136" s="99">
        <f t="shared" si="20"/>
        <v>-2883518220.9990759</v>
      </c>
      <c r="I136" s="99">
        <f>F01_UC2!H155</f>
        <v>3383626768</v>
      </c>
      <c r="J136" s="99">
        <f>IF($B$34="Hợp lệ",MAX(0,F01_UC2!$B$10-H136),"Chưa tính")</f>
        <v>3383518220.9990759</v>
      </c>
      <c r="K136" s="86">
        <f>IF($B$34&lt;&gt;"Hợp lệ","Chưa tính",IF(OR(H136&lt;0,H136&lt;F01_UC2!$B$9,J136/F01_UC2!$B$10&gt;Nguong!$B$63),3,IF(J136/F01_UC2!$B$10&gt;Nguong!$B$62,2,IF(J136&gt;0,1,0))))</f>
        <v>3</v>
      </c>
      <c r="L136" s="86">
        <f t="shared" si="21"/>
        <v>0</v>
      </c>
      <c r="M136" s="86">
        <f t="shared" si="22"/>
        <v>0</v>
      </c>
      <c r="N136" s="86">
        <f>IF($B$34&lt;&gt;"Hợp lệ","Chưa tính",IF(H136&gt;F01_UC2!$B$11,N135+1,0))</f>
        <v>0</v>
      </c>
      <c r="O136" s="86">
        <f t="shared" si="23"/>
        <v>108547.00092411041</v>
      </c>
      <c r="P136" s="86"/>
      <c r="Q136" s="86"/>
      <c r="R136" s="86"/>
      <c r="S136" s="86"/>
      <c r="T136" s="86"/>
      <c r="U136" s="86"/>
    </row>
    <row r="137" spans="1:21" ht="22.95" customHeight="1">
      <c r="A137" s="98">
        <f>F01_UC2!A156</f>
        <v>46280</v>
      </c>
      <c r="B137" s="99">
        <f>F01_UC2!G156</f>
        <v>-2883626768</v>
      </c>
      <c r="C137" s="99">
        <f t="shared" si="16"/>
        <v>0</v>
      </c>
      <c r="D137" s="99">
        <f t="shared" si="17"/>
        <v>0</v>
      </c>
      <c r="E137" s="99">
        <f t="shared" si="18"/>
        <v>0</v>
      </c>
      <c r="F137" s="99">
        <f t="shared" si="19"/>
        <v>0</v>
      </c>
      <c r="G137" s="99">
        <f>SUM($F$51:F137)</f>
        <v>108547.00092414021</v>
      </c>
      <c r="H137" s="99">
        <f t="shared" si="20"/>
        <v>-2883518220.9990759</v>
      </c>
      <c r="I137" s="99">
        <f>F01_UC2!H156</f>
        <v>3383626768</v>
      </c>
      <c r="J137" s="99">
        <f>IF($B$34="Hợp lệ",MAX(0,F01_UC2!$B$10-H137),"Chưa tính")</f>
        <v>3383518220.9990759</v>
      </c>
      <c r="K137" s="86">
        <f>IF($B$34&lt;&gt;"Hợp lệ","Chưa tính",IF(OR(H137&lt;0,H137&lt;F01_UC2!$B$9,J137/F01_UC2!$B$10&gt;Nguong!$B$63),3,IF(J137/F01_UC2!$B$10&gt;Nguong!$B$62,2,IF(J137&gt;0,1,0))))</f>
        <v>3</v>
      </c>
      <c r="L137" s="86">
        <f t="shared" si="21"/>
        <v>0</v>
      </c>
      <c r="M137" s="86">
        <f t="shared" si="22"/>
        <v>0</v>
      </c>
      <c r="N137" s="86">
        <f>IF($B$34&lt;&gt;"Hợp lệ","Chưa tính",IF(H137&gt;F01_UC2!$B$11,N136+1,0))</f>
        <v>0</v>
      </c>
      <c r="O137" s="86">
        <f t="shared" si="23"/>
        <v>108547.00092411041</v>
      </c>
      <c r="P137" s="86"/>
      <c r="Q137" s="86"/>
      <c r="R137" s="86"/>
      <c r="S137" s="86"/>
      <c r="T137" s="86"/>
      <c r="U137" s="86"/>
    </row>
    <row r="138" spans="1:21" ht="22.95" customHeight="1">
      <c r="A138" s="98">
        <f>F01_UC2!A157</f>
        <v>46281</v>
      </c>
      <c r="B138" s="99">
        <f>F01_UC2!G157</f>
        <v>-2883626768</v>
      </c>
      <c r="C138" s="99">
        <f t="shared" si="16"/>
        <v>0</v>
      </c>
      <c r="D138" s="99">
        <f t="shared" si="17"/>
        <v>0</v>
      </c>
      <c r="E138" s="99">
        <f t="shared" si="18"/>
        <v>0</v>
      </c>
      <c r="F138" s="99">
        <f t="shared" si="19"/>
        <v>0</v>
      </c>
      <c r="G138" s="99">
        <f>SUM($F$51:F138)</f>
        <v>108547.00092414021</v>
      </c>
      <c r="H138" s="99">
        <f t="shared" si="20"/>
        <v>-2883518220.9990759</v>
      </c>
      <c r="I138" s="99">
        <f>F01_UC2!H157</f>
        <v>3383626768</v>
      </c>
      <c r="J138" s="99">
        <f>IF($B$34="Hợp lệ",MAX(0,F01_UC2!$B$10-H138),"Chưa tính")</f>
        <v>3383518220.9990759</v>
      </c>
      <c r="K138" s="86">
        <f>IF($B$34&lt;&gt;"Hợp lệ","Chưa tính",IF(OR(H138&lt;0,H138&lt;F01_UC2!$B$9,J138/F01_UC2!$B$10&gt;Nguong!$B$63),3,IF(J138/F01_UC2!$B$10&gt;Nguong!$B$62,2,IF(J138&gt;0,1,0))))</f>
        <v>3</v>
      </c>
      <c r="L138" s="86">
        <f t="shared" si="21"/>
        <v>0</v>
      </c>
      <c r="M138" s="86">
        <f t="shared" si="22"/>
        <v>0</v>
      </c>
      <c r="N138" s="86">
        <f>IF($B$34&lt;&gt;"Hợp lệ","Chưa tính",IF(H138&gt;F01_UC2!$B$11,N137+1,0))</f>
        <v>0</v>
      </c>
      <c r="O138" s="86">
        <f t="shared" si="23"/>
        <v>108547.00092411041</v>
      </c>
      <c r="P138" s="86"/>
      <c r="Q138" s="86"/>
      <c r="R138" s="86"/>
      <c r="S138" s="86"/>
      <c r="T138" s="86"/>
      <c r="U138" s="86"/>
    </row>
    <row r="139" spans="1:21" ht="22.95" customHeight="1">
      <c r="A139" s="98">
        <f>F01_UC2!A158</f>
        <v>46282</v>
      </c>
      <c r="B139" s="99">
        <f>F01_UC2!G158</f>
        <v>-2883626768</v>
      </c>
      <c r="C139" s="99">
        <f t="shared" si="16"/>
        <v>0</v>
      </c>
      <c r="D139" s="99">
        <f t="shared" si="17"/>
        <v>0</v>
      </c>
      <c r="E139" s="99">
        <f t="shared" si="18"/>
        <v>0</v>
      </c>
      <c r="F139" s="99">
        <f t="shared" si="19"/>
        <v>0</v>
      </c>
      <c r="G139" s="99">
        <f>SUM($F$51:F139)</f>
        <v>108547.00092414021</v>
      </c>
      <c r="H139" s="99">
        <f t="shared" si="20"/>
        <v>-2883518220.9990759</v>
      </c>
      <c r="I139" s="99">
        <f>F01_UC2!H158</f>
        <v>3383626768</v>
      </c>
      <c r="J139" s="99">
        <f>IF($B$34="Hợp lệ",MAX(0,F01_UC2!$B$10-H139),"Chưa tính")</f>
        <v>3383518220.9990759</v>
      </c>
      <c r="K139" s="86">
        <f>IF($B$34&lt;&gt;"Hợp lệ","Chưa tính",IF(OR(H139&lt;0,H139&lt;F01_UC2!$B$9,J139/F01_UC2!$B$10&gt;Nguong!$B$63),3,IF(J139/F01_UC2!$B$10&gt;Nguong!$B$62,2,IF(J139&gt;0,1,0))))</f>
        <v>3</v>
      </c>
      <c r="L139" s="86">
        <f t="shared" si="21"/>
        <v>0</v>
      </c>
      <c r="M139" s="86">
        <f t="shared" si="22"/>
        <v>0</v>
      </c>
      <c r="N139" s="86">
        <f>IF($B$34&lt;&gt;"Hợp lệ","Chưa tính",IF(H139&gt;F01_UC2!$B$11,N138+1,0))</f>
        <v>0</v>
      </c>
      <c r="O139" s="86">
        <f t="shared" si="23"/>
        <v>108547.00092411041</v>
      </c>
      <c r="P139" s="86"/>
      <c r="Q139" s="86"/>
      <c r="R139" s="86"/>
      <c r="S139" s="86"/>
      <c r="T139" s="86"/>
      <c r="U139" s="86"/>
    </row>
    <row r="140" spans="1:21" ht="22.95" customHeight="1">
      <c r="A140" s="98">
        <f>F01_UC2!A159</f>
        <v>46283</v>
      </c>
      <c r="B140" s="99">
        <f>F01_UC2!G159</f>
        <v>-3063626768</v>
      </c>
      <c r="C140" s="99">
        <f t="shared" si="16"/>
        <v>0</v>
      </c>
      <c r="D140" s="99">
        <f t="shared" si="17"/>
        <v>0</v>
      </c>
      <c r="E140" s="99">
        <f t="shared" si="18"/>
        <v>0</v>
      </c>
      <c r="F140" s="99">
        <f t="shared" si="19"/>
        <v>0</v>
      </c>
      <c r="G140" s="99">
        <f>SUM($F$51:F140)</f>
        <v>108547.00092414021</v>
      </c>
      <c r="H140" s="99">
        <f t="shared" si="20"/>
        <v>-3063518220.9990759</v>
      </c>
      <c r="I140" s="99">
        <f>F01_UC2!H159</f>
        <v>3563626768</v>
      </c>
      <c r="J140" s="99">
        <f>IF($B$34="Hợp lệ",MAX(0,F01_UC2!$B$10-H140),"Chưa tính")</f>
        <v>3563518220.9990759</v>
      </c>
      <c r="K140" s="86">
        <f>IF($B$34&lt;&gt;"Hợp lệ","Chưa tính",IF(OR(H140&lt;0,H140&lt;F01_UC2!$B$9,J140/F01_UC2!$B$10&gt;Nguong!$B$63),3,IF(J140/F01_UC2!$B$10&gt;Nguong!$B$62,2,IF(J140&gt;0,1,0))))</f>
        <v>3</v>
      </c>
      <c r="L140" s="86">
        <f t="shared" si="21"/>
        <v>0</v>
      </c>
      <c r="M140" s="86">
        <f t="shared" si="22"/>
        <v>0</v>
      </c>
      <c r="N140" s="86">
        <f>IF($B$34&lt;&gt;"Hợp lệ","Chưa tính",IF(H140&gt;F01_UC2!$B$11,N139+1,0))</f>
        <v>0</v>
      </c>
      <c r="O140" s="86">
        <f t="shared" si="23"/>
        <v>108547.00092411041</v>
      </c>
      <c r="P140" s="86"/>
      <c r="Q140" s="86"/>
      <c r="R140" s="86"/>
      <c r="S140" s="86"/>
      <c r="T140" s="86"/>
      <c r="U140" s="86"/>
    </row>
    <row r="141" spans="1:21" ht="22.95" customHeight="1">
      <c r="A141" s="98">
        <f>F01_UC2!A160</f>
        <v>46284</v>
      </c>
      <c r="B141" s="99">
        <f>F01_UC2!G160</f>
        <v>-3063626768</v>
      </c>
      <c r="C141" s="99">
        <f t="shared" si="16"/>
        <v>0</v>
      </c>
      <c r="D141" s="99">
        <f t="shared" si="17"/>
        <v>0</v>
      </c>
      <c r="E141" s="99">
        <f t="shared" si="18"/>
        <v>0</v>
      </c>
      <c r="F141" s="99">
        <f t="shared" si="19"/>
        <v>0</v>
      </c>
      <c r="G141" s="99">
        <f>SUM($F$51:F141)</f>
        <v>108547.00092414021</v>
      </c>
      <c r="H141" s="99">
        <f t="shared" si="20"/>
        <v>-3063518220.9990759</v>
      </c>
      <c r="I141" s="99">
        <f>F01_UC2!H160</f>
        <v>3563626768</v>
      </c>
      <c r="J141" s="99">
        <f>IF($B$34="Hợp lệ",MAX(0,F01_UC2!$B$10-H141),"Chưa tính")</f>
        <v>3563518220.9990759</v>
      </c>
      <c r="K141" s="86">
        <f>IF($B$34&lt;&gt;"Hợp lệ","Chưa tính",IF(OR(H141&lt;0,H141&lt;F01_UC2!$B$9,J141/F01_UC2!$B$10&gt;Nguong!$B$63),3,IF(J141/F01_UC2!$B$10&gt;Nguong!$B$62,2,IF(J141&gt;0,1,0))))</f>
        <v>3</v>
      </c>
      <c r="L141" s="86">
        <f t="shared" si="21"/>
        <v>0</v>
      </c>
      <c r="M141" s="86">
        <f t="shared" si="22"/>
        <v>0</v>
      </c>
      <c r="N141" s="86">
        <f>IF($B$34&lt;&gt;"Hợp lệ","Chưa tính",IF(H141&gt;F01_UC2!$B$11,N140+1,0))</f>
        <v>0</v>
      </c>
      <c r="O141" s="86">
        <f t="shared" si="23"/>
        <v>108547.00092411041</v>
      </c>
      <c r="P141" s="86"/>
      <c r="Q141" s="86"/>
      <c r="R141" s="86"/>
      <c r="S141" s="86"/>
      <c r="T141" s="86"/>
      <c r="U141" s="86"/>
    </row>
    <row r="142" spans="1:21">
      <c r="A142" s="86"/>
      <c r="B142" s="86"/>
      <c r="C142" s="86"/>
      <c r="D142" s="86"/>
      <c r="E142" s="86"/>
      <c r="F142" s="86"/>
      <c r="G142" s="86"/>
      <c r="H142" s="86"/>
      <c r="I142" s="86"/>
      <c r="J142" s="86"/>
      <c r="K142" s="86"/>
      <c r="L142" s="86"/>
      <c r="M142" s="86"/>
      <c r="N142" s="86"/>
      <c r="O142" s="86"/>
      <c r="P142" s="86"/>
      <c r="Q142" s="86"/>
      <c r="R142" s="86"/>
      <c r="S142" s="86"/>
      <c r="T142" s="86"/>
      <c r="U142" s="86"/>
    </row>
    <row r="143" spans="1:21">
      <c r="A143" s="86"/>
      <c r="B143" s="86"/>
      <c r="C143" s="86"/>
      <c r="D143" s="86"/>
      <c r="E143" s="86"/>
      <c r="F143" s="86"/>
      <c r="G143" s="86"/>
      <c r="H143" s="86"/>
      <c r="I143" s="86"/>
      <c r="J143" s="86"/>
      <c r="K143" s="86"/>
      <c r="L143" s="86"/>
      <c r="M143" s="86"/>
      <c r="N143" s="86"/>
      <c r="O143" s="86"/>
      <c r="P143" s="86"/>
      <c r="Q143" s="86"/>
      <c r="R143" s="86"/>
      <c r="S143" s="86"/>
      <c r="T143" s="86"/>
      <c r="U143" s="86"/>
    </row>
    <row r="144" spans="1:21">
      <c r="A144" s="86"/>
      <c r="B144" s="86"/>
      <c r="C144" s="86"/>
      <c r="D144" s="86"/>
      <c r="E144" s="86"/>
      <c r="F144" s="86"/>
      <c r="G144" s="86"/>
      <c r="H144" s="86"/>
      <c r="I144" s="86"/>
      <c r="J144" s="86"/>
      <c r="K144" s="86"/>
      <c r="L144" s="86"/>
      <c r="M144" s="86"/>
      <c r="N144" s="86"/>
      <c r="O144" s="86"/>
      <c r="P144" s="86"/>
      <c r="Q144" s="86"/>
      <c r="R144" s="86"/>
      <c r="S144" s="86"/>
      <c r="T144" s="86"/>
      <c r="U144" s="86"/>
    </row>
    <row r="145" spans="1:21">
      <c r="A145" s="86"/>
      <c r="B145" s="86"/>
      <c r="C145" s="86"/>
      <c r="D145" s="86"/>
      <c r="E145" s="86"/>
      <c r="F145" s="86"/>
      <c r="G145" s="86"/>
      <c r="H145" s="86"/>
      <c r="I145" s="86"/>
      <c r="J145" s="86"/>
      <c r="K145" s="86"/>
      <c r="L145" s="86"/>
      <c r="M145" s="86"/>
      <c r="N145" s="86"/>
      <c r="O145" s="86"/>
      <c r="P145" s="86"/>
      <c r="Q145" s="86"/>
      <c r="R145" s="86"/>
      <c r="S145" s="86"/>
      <c r="T145" s="86"/>
      <c r="U145" s="86"/>
    </row>
    <row r="146" spans="1:21">
      <c r="A146" s="86"/>
      <c r="B146" s="86"/>
      <c r="C146" s="86"/>
      <c r="D146" s="86"/>
      <c r="E146" s="86"/>
      <c r="F146" s="86"/>
      <c r="G146" s="86"/>
      <c r="H146" s="86"/>
      <c r="I146" s="86"/>
      <c r="J146" s="86"/>
      <c r="K146" s="86"/>
      <c r="L146" s="86"/>
      <c r="M146" s="86"/>
      <c r="N146" s="86"/>
      <c r="O146" s="86"/>
      <c r="P146" s="86"/>
      <c r="Q146" s="86"/>
      <c r="R146" s="86"/>
      <c r="S146" s="86"/>
      <c r="T146" s="86"/>
      <c r="U146" s="86"/>
    </row>
    <row r="147" spans="1:21">
      <c r="A147" s="86"/>
      <c r="B147" s="86"/>
      <c r="C147" s="86"/>
      <c r="D147" s="86"/>
      <c r="E147" s="86"/>
      <c r="F147" s="86"/>
      <c r="G147" s="86"/>
      <c r="H147" s="86"/>
      <c r="I147" s="86"/>
      <c r="J147" s="86"/>
      <c r="K147" s="86"/>
      <c r="L147" s="86"/>
      <c r="M147" s="86"/>
      <c r="N147" s="86"/>
      <c r="O147" s="86"/>
      <c r="P147" s="86"/>
      <c r="Q147" s="86"/>
      <c r="R147" s="86"/>
      <c r="S147" s="86"/>
      <c r="T147" s="86"/>
      <c r="U147" s="86"/>
    </row>
    <row r="148" spans="1:21">
      <c r="A148" s="86"/>
      <c r="B148" s="86"/>
      <c r="C148" s="86"/>
      <c r="D148" s="86"/>
      <c r="E148" s="86"/>
      <c r="F148" s="86"/>
      <c r="G148" s="86"/>
      <c r="H148" s="86"/>
      <c r="I148" s="86"/>
      <c r="J148" s="86"/>
      <c r="K148" s="86"/>
      <c r="L148" s="86"/>
      <c r="M148" s="86"/>
      <c r="N148" s="86"/>
      <c r="O148" s="86"/>
      <c r="P148" s="86"/>
      <c r="Q148" s="86"/>
      <c r="R148" s="86"/>
      <c r="S148" s="86"/>
      <c r="T148" s="86"/>
      <c r="U148" s="86"/>
    </row>
    <row r="149" spans="1:21">
      <c r="A149" s="86"/>
      <c r="B149" s="86"/>
      <c r="C149" s="86"/>
      <c r="D149" s="86"/>
      <c r="E149" s="86"/>
      <c r="F149" s="86"/>
      <c r="G149" s="86"/>
      <c r="H149" s="86"/>
      <c r="I149" s="86"/>
      <c r="J149" s="86"/>
      <c r="K149" s="86"/>
      <c r="L149" s="86"/>
      <c r="M149" s="86"/>
      <c r="N149" s="86"/>
      <c r="O149" s="86"/>
      <c r="P149" s="86"/>
      <c r="Q149" s="86"/>
      <c r="R149" s="86"/>
      <c r="S149" s="86"/>
      <c r="T149" s="86"/>
      <c r="U149" s="86"/>
    </row>
    <row r="150" spans="1:21" ht="48" customHeight="1">
      <c r="A150" s="103" t="s">
        <v>1101</v>
      </c>
      <c r="B150" s="103" t="s">
        <v>1102</v>
      </c>
      <c r="C150" s="103" t="s">
        <v>1103</v>
      </c>
      <c r="D150" s="103" t="s">
        <v>3552</v>
      </c>
      <c r="E150" s="103" t="s">
        <v>3538</v>
      </c>
      <c r="F150" s="103" t="s">
        <v>3553</v>
      </c>
      <c r="G150" s="103" t="s">
        <v>3554</v>
      </c>
      <c r="H150" s="103" t="s">
        <v>3555</v>
      </c>
      <c r="I150" s="103" t="s">
        <v>973</v>
      </c>
      <c r="J150" s="103" t="s">
        <v>3556</v>
      </c>
      <c r="K150" s="103" t="s">
        <v>3557</v>
      </c>
      <c r="L150" s="103" t="s">
        <v>3558</v>
      </c>
      <c r="M150" s="103" t="s">
        <v>3559</v>
      </c>
      <c r="N150" s="103" t="s">
        <v>3560</v>
      </c>
      <c r="O150" s="103" t="s">
        <v>3561</v>
      </c>
      <c r="P150" s="103" t="s">
        <v>3562</v>
      </c>
      <c r="Q150" s="103" t="s">
        <v>3563</v>
      </c>
      <c r="R150" s="103" t="s">
        <v>3564</v>
      </c>
      <c r="S150" s="103" t="s">
        <v>3565</v>
      </c>
      <c r="T150" s="86"/>
      <c r="U150" s="86"/>
    </row>
    <row r="151" spans="1:21" ht="24" customHeight="1">
      <c r="A151" s="86" t="str">
        <f>F01_UC2!A220</f>
        <v>RCV-INV-F01-0038</v>
      </c>
      <c r="B151" s="86" t="str">
        <f>F01_UC2!B220</f>
        <v>INV-F01-0038</v>
      </c>
      <c r="C151" s="86" t="str">
        <f>F01_UC2!C220</f>
        <v>BYR-F01-008</v>
      </c>
      <c r="D151" s="86" t="str">
        <f>F01_UC2!D220</f>
        <v>IN</v>
      </c>
      <c r="E151" s="99">
        <f>F01_UC2!E220</f>
        <v>24326055</v>
      </c>
      <c r="F151" s="100">
        <f>F01_UC2!N220</f>
        <v>46203</v>
      </c>
      <c r="G151" s="100">
        <f>F01_UC2!M220</f>
        <v>0</v>
      </c>
      <c r="H151" s="86" t="str">
        <f>F01_UC2!P220</f>
        <v>Thu công nợ</v>
      </c>
      <c r="I151" s="86">
        <f>F01_UC2!Q220</f>
        <v>0</v>
      </c>
      <c r="J151" s="99">
        <f t="shared" ref="J151:J182" si="24">IF(AND($B$34="Hợp lệ",D151="IN",H151="Thu công nợ",C151=$B$7,OR(G151=0,$B$12=1),K151&lt;&gt;F151),E151*$B$28,0)</f>
        <v>0</v>
      </c>
      <c r="K151" s="98">
        <f>MAX(F01_UC2!$B$6,F151+$B$29)</f>
        <v>46196</v>
      </c>
      <c r="L151" s="99">
        <f t="shared" ref="L151:L182" si="25">J151-M151</f>
        <v>0</v>
      </c>
      <c r="M151" s="99">
        <f t="shared" ref="M151:M182" si="26">IF(K151&lt;F151,J151*$B$30,0)</f>
        <v>0</v>
      </c>
      <c r="N151" s="99">
        <f t="shared" ref="N151:N182" si="27">IF(AND($B$34="Hợp lệ",D151="OUT",H151="Trả NCC",C151=$B$13,OR(I151=0,$B$17=1),O151&lt;&gt;F151),E151*$B$31,0)</f>
        <v>0</v>
      </c>
      <c r="O151" s="98">
        <f t="shared" ref="O151:O182" si="28">F151+$B$15</f>
        <v>46217</v>
      </c>
      <c r="P151" s="99">
        <f t="shared" ref="P151:P182" si="29">N151+Q151</f>
        <v>0</v>
      </c>
      <c r="Q151" s="99">
        <f t="shared" ref="Q151:Q182" si="30">N151*$B$16</f>
        <v>0</v>
      </c>
      <c r="R151" s="99">
        <f t="shared" ref="R151:R182" si="31">E151-J151-N151</f>
        <v>24326055</v>
      </c>
      <c r="S151" s="86" t="str">
        <f t="shared" ref="S151:S182" si="32">IF(AND(J151&gt;=0,N151&gt;=0,R151&gt;=0,ABS(R151+J151+N151-E151)&lt;=$B$27),"Khớp","LỆCH")</f>
        <v>Khớp</v>
      </c>
      <c r="T151" s="86"/>
      <c r="U151" s="86"/>
    </row>
    <row r="152" spans="1:21" ht="24" customHeight="1">
      <c r="A152" s="86" t="str">
        <f>F01_UC2!A221</f>
        <v>RCV-INV-F01-0051</v>
      </c>
      <c r="B152" s="86" t="str">
        <f>F01_UC2!B221</f>
        <v>INV-F01-0051</v>
      </c>
      <c r="C152" s="86" t="str">
        <f>F01_UC2!C221</f>
        <v>BYR-F01-005</v>
      </c>
      <c r="D152" s="86" t="str">
        <f>F01_UC2!D221</f>
        <v>IN</v>
      </c>
      <c r="E152" s="99">
        <f>F01_UC2!E221</f>
        <v>214833207</v>
      </c>
      <c r="F152" s="100">
        <f>F01_UC2!N221</f>
        <v>46203</v>
      </c>
      <c r="G152" s="100">
        <f>F01_UC2!M221</f>
        <v>0</v>
      </c>
      <c r="H152" s="86" t="str">
        <f>F01_UC2!P221</f>
        <v>Thu công nợ</v>
      </c>
      <c r="I152" s="86">
        <f>F01_UC2!Q221</f>
        <v>0</v>
      </c>
      <c r="J152" s="99">
        <f t="shared" si="24"/>
        <v>0</v>
      </c>
      <c r="K152" s="98">
        <f>MAX(F01_UC2!$B$6,F152+$B$29)</f>
        <v>46196</v>
      </c>
      <c r="L152" s="99">
        <f t="shared" si="25"/>
        <v>0</v>
      </c>
      <c r="M152" s="99">
        <f t="shared" si="26"/>
        <v>0</v>
      </c>
      <c r="N152" s="99">
        <f t="shared" si="27"/>
        <v>0</v>
      </c>
      <c r="O152" s="98">
        <f t="shared" si="28"/>
        <v>46217</v>
      </c>
      <c r="P152" s="99">
        <f t="shared" si="29"/>
        <v>0</v>
      </c>
      <c r="Q152" s="99">
        <f t="shared" si="30"/>
        <v>0</v>
      </c>
      <c r="R152" s="99">
        <f t="shared" si="31"/>
        <v>214833207</v>
      </c>
      <c r="S152" s="86" t="str">
        <f t="shared" si="32"/>
        <v>Khớp</v>
      </c>
      <c r="T152" s="86"/>
      <c r="U152" s="86"/>
    </row>
    <row r="153" spans="1:21" ht="24" customHeight="1">
      <c r="A153" s="86" t="str">
        <f>F01_UC2!A222</f>
        <v>RCV-INV-F01-0056</v>
      </c>
      <c r="B153" s="86" t="str">
        <f>F01_UC2!B222</f>
        <v>INV-F01-0056</v>
      </c>
      <c r="C153" s="86" t="str">
        <f>F01_UC2!C222</f>
        <v>BYR-F01-005</v>
      </c>
      <c r="D153" s="86" t="str">
        <f>F01_UC2!D222</f>
        <v>IN</v>
      </c>
      <c r="E153" s="99">
        <f>F01_UC2!E222</f>
        <v>174551672</v>
      </c>
      <c r="F153" s="100">
        <f>F01_UC2!N222</f>
        <v>46203</v>
      </c>
      <c r="G153" s="100">
        <f>F01_UC2!M222</f>
        <v>0</v>
      </c>
      <c r="H153" s="86" t="str">
        <f>F01_UC2!P222</f>
        <v>Thu công nợ</v>
      </c>
      <c r="I153" s="86">
        <f>F01_UC2!Q222</f>
        <v>0</v>
      </c>
      <c r="J153" s="99">
        <f t="shared" si="24"/>
        <v>0</v>
      </c>
      <c r="K153" s="98">
        <f>MAX(F01_UC2!$B$6,F153+$B$29)</f>
        <v>46196</v>
      </c>
      <c r="L153" s="99">
        <f t="shared" si="25"/>
        <v>0</v>
      </c>
      <c r="M153" s="99">
        <f t="shared" si="26"/>
        <v>0</v>
      </c>
      <c r="N153" s="99">
        <f t="shared" si="27"/>
        <v>0</v>
      </c>
      <c r="O153" s="98">
        <f t="shared" si="28"/>
        <v>46217</v>
      </c>
      <c r="P153" s="99">
        <f t="shared" si="29"/>
        <v>0</v>
      </c>
      <c r="Q153" s="99">
        <f t="shared" si="30"/>
        <v>0</v>
      </c>
      <c r="R153" s="99">
        <f t="shared" si="31"/>
        <v>174551672</v>
      </c>
      <c r="S153" s="86" t="str">
        <f t="shared" si="32"/>
        <v>Khớp</v>
      </c>
      <c r="T153" s="86"/>
      <c r="U153" s="86"/>
    </row>
    <row r="154" spans="1:21" ht="24" customHeight="1">
      <c r="A154" s="86" t="str">
        <f>F01_UC2!A223</f>
        <v>RCV-INV-F01-0069</v>
      </c>
      <c r="B154" s="86" t="str">
        <f>F01_UC2!B223</f>
        <v>INV-F01-0069</v>
      </c>
      <c r="C154" s="86" t="str">
        <f>F01_UC2!C223</f>
        <v>BYR-F01-002</v>
      </c>
      <c r="D154" s="86" t="str">
        <f>F01_UC2!D223</f>
        <v>IN</v>
      </c>
      <c r="E154" s="99">
        <f>F01_UC2!E223</f>
        <v>201847452</v>
      </c>
      <c r="F154" s="100">
        <f>F01_UC2!N223</f>
        <v>46198</v>
      </c>
      <c r="G154" s="100">
        <f>F01_UC2!M223</f>
        <v>0</v>
      </c>
      <c r="H154" s="86" t="str">
        <f>F01_UC2!P223</f>
        <v>Thu công nợ</v>
      </c>
      <c r="I154" s="86">
        <f>F01_UC2!Q223</f>
        <v>0</v>
      </c>
      <c r="J154" s="99">
        <f t="shared" si="24"/>
        <v>100923726</v>
      </c>
      <c r="K154" s="98">
        <f>MAX(F01_UC2!$B$6,F154+$B$29)</f>
        <v>46194</v>
      </c>
      <c r="L154" s="99">
        <f t="shared" si="25"/>
        <v>99914488.739999995</v>
      </c>
      <c r="M154" s="99">
        <f t="shared" si="26"/>
        <v>1009237.26</v>
      </c>
      <c r="N154" s="99">
        <f t="shared" si="27"/>
        <v>0</v>
      </c>
      <c r="O154" s="98">
        <f t="shared" si="28"/>
        <v>46212</v>
      </c>
      <c r="P154" s="99">
        <f t="shared" si="29"/>
        <v>0</v>
      </c>
      <c r="Q154" s="99">
        <f t="shared" si="30"/>
        <v>0</v>
      </c>
      <c r="R154" s="99">
        <f t="shared" si="31"/>
        <v>100923726</v>
      </c>
      <c r="S154" s="86" t="str">
        <f t="shared" si="32"/>
        <v>Khớp</v>
      </c>
      <c r="T154" s="86"/>
      <c r="U154" s="86"/>
    </row>
    <row r="155" spans="1:21" ht="24" customHeight="1">
      <c r="A155" s="86" t="str">
        <f>F01_UC2!A224</f>
        <v>RCV-INV-F01-0071</v>
      </c>
      <c r="B155" s="86" t="str">
        <f>F01_UC2!B224</f>
        <v>INV-F01-0071</v>
      </c>
      <c r="C155" s="86" t="str">
        <f>F01_UC2!C224</f>
        <v>BYR-F01-002</v>
      </c>
      <c r="D155" s="86" t="str">
        <f>F01_UC2!D224</f>
        <v>IN</v>
      </c>
      <c r="E155" s="99">
        <f>F01_UC2!E224</f>
        <v>120620270</v>
      </c>
      <c r="F155" s="100">
        <f>F01_UC2!N224</f>
        <v>46200</v>
      </c>
      <c r="G155" s="100">
        <f>F01_UC2!M224</f>
        <v>0</v>
      </c>
      <c r="H155" s="86" t="str">
        <f>F01_UC2!P224</f>
        <v>Thu công nợ</v>
      </c>
      <c r="I155" s="86">
        <f>F01_UC2!Q224</f>
        <v>0</v>
      </c>
      <c r="J155" s="99">
        <f t="shared" si="24"/>
        <v>60310135</v>
      </c>
      <c r="K155" s="98">
        <f>MAX(F01_UC2!$B$6,F155+$B$29)</f>
        <v>46194</v>
      </c>
      <c r="L155" s="99">
        <f t="shared" si="25"/>
        <v>59707033.649999999</v>
      </c>
      <c r="M155" s="99">
        <f t="shared" si="26"/>
        <v>603101.35</v>
      </c>
      <c r="N155" s="99">
        <f t="shared" si="27"/>
        <v>0</v>
      </c>
      <c r="O155" s="98">
        <f t="shared" si="28"/>
        <v>46214</v>
      </c>
      <c r="P155" s="99">
        <f t="shared" si="29"/>
        <v>0</v>
      </c>
      <c r="Q155" s="99">
        <f t="shared" si="30"/>
        <v>0</v>
      </c>
      <c r="R155" s="99">
        <f t="shared" si="31"/>
        <v>60310135</v>
      </c>
      <c r="S155" s="86" t="str">
        <f t="shared" si="32"/>
        <v>Khớp</v>
      </c>
      <c r="T155" s="86"/>
      <c r="U155" s="86"/>
    </row>
    <row r="156" spans="1:21" ht="24" customHeight="1">
      <c r="A156" s="86" t="str">
        <f>F01_UC2!A225</f>
        <v>RCV-INV-F01-0075</v>
      </c>
      <c r="B156" s="86" t="str">
        <f>F01_UC2!B225</f>
        <v>INV-F01-0075</v>
      </c>
      <c r="C156" s="86" t="str">
        <f>F01_UC2!C225</f>
        <v>BYR-F01-002</v>
      </c>
      <c r="D156" s="86" t="str">
        <f>F01_UC2!D225</f>
        <v>IN</v>
      </c>
      <c r="E156" s="99">
        <f>F01_UC2!E225</f>
        <v>193886018</v>
      </c>
      <c r="F156" s="100">
        <f>F01_UC2!N225</f>
        <v>46203</v>
      </c>
      <c r="G156" s="100">
        <f>F01_UC2!M225</f>
        <v>0</v>
      </c>
      <c r="H156" s="86" t="str">
        <f>F01_UC2!P225</f>
        <v>Thu công nợ</v>
      </c>
      <c r="I156" s="86">
        <f>F01_UC2!Q225</f>
        <v>0</v>
      </c>
      <c r="J156" s="99">
        <f t="shared" si="24"/>
        <v>96943009</v>
      </c>
      <c r="K156" s="98">
        <f>MAX(F01_UC2!$B$6,F156+$B$29)</f>
        <v>46196</v>
      </c>
      <c r="L156" s="99">
        <f t="shared" si="25"/>
        <v>95973578.909999996</v>
      </c>
      <c r="M156" s="99">
        <f t="shared" si="26"/>
        <v>969430.09</v>
      </c>
      <c r="N156" s="99">
        <f t="shared" si="27"/>
        <v>0</v>
      </c>
      <c r="O156" s="98">
        <f t="shared" si="28"/>
        <v>46217</v>
      </c>
      <c r="P156" s="99">
        <f t="shared" si="29"/>
        <v>0</v>
      </c>
      <c r="Q156" s="99">
        <f t="shared" si="30"/>
        <v>0</v>
      </c>
      <c r="R156" s="99">
        <f t="shared" si="31"/>
        <v>96943009</v>
      </c>
      <c r="S156" s="86" t="str">
        <f t="shared" si="32"/>
        <v>Khớp</v>
      </c>
      <c r="T156" s="86"/>
      <c r="U156" s="86"/>
    </row>
    <row r="157" spans="1:21" ht="24" customHeight="1">
      <c r="A157" s="86" t="str">
        <f>F01_UC2!A226</f>
        <v>RCV-INV-F01-0076</v>
      </c>
      <c r="B157" s="86" t="str">
        <f>F01_UC2!B226</f>
        <v>INV-F01-0076</v>
      </c>
      <c r="C157" s="86" t="str">
        <f>F01_UC2!C226</f>
        <v>BYR-F01-002</v>
      </c>
      <c r="D157" s="86" t="str">
        <f>F01_UC2!D226</f>
        <v>IN</v>
      </c>
      <c r="E157" s="99">
        <f>F01_UC2!E226</f>
        <v>80292287</v>
      </c>
      <c r="F157" s="100">
        <f>F01_UC2!N226</f>
        <v>46204</v>
      </c>
      <c r="G157" s="100">
        <f>F01_UC2!M226</f>
        <v>0</v>
      </c>
      <c r="H157" s="86" t="str">
        <f>F01_UC2!P226</f>
        <v>Thu công nợ</v>
      </c>
      <c r="I157" s="86">
        <f>F01_UC2!Q226</f>
        <v>0</v>
      </c>
      <c r="J157" s="99">
        <f t="shared" si="24"/>
        <v>40146143.5</v>
      </c>
      <c r="K157" s="98">
        <f>MAX(F01_UC2!$B$6,F157+$B$29)</f>
        <v>46197</v>
      </c>
      <c r="L157" s="99">
        <f t="shared" si="25"/>
        <v>39744682.064999998</v>
      </c>
      <c r="M157" s="99">
        <f t="shared" si="26"/>
        <v>401461.435</v>
      </c>
      <c r="N157" s="99">
        <f t="shared" si="27"/>
        <v>0</v>
      </c>
      <c r="O157" s="98">
        <f t="shared" si="28"/>
        <v>46218</v>
      </c>
      <c r="P157" s="99">
        <f t="shared" si="29"/>
        <v>0</v>
      </c>
      <c r="Q157" s="99">
        <f t="shared" si="30"/>
        <v>0</v>
      </c>
      <c r="R157" s="99">
        <f t="shared" si="31"/>
        <v>40146143.5</v>
      </c>
      <c r="S157" s="86" t="str">
        <f t="shared" si="32"/>
        <v>Khớp</v>
      </c>
      <c r="T157" s="86"/>
      <c r="U157" s="86"/>
    </row>
    <row r="158" spans="1:21" ht="24" customHeight="1">
      <c r="A158" s="86" t="str">
        <f>F01_UC2!A227</f>
        <v>RCV-INV-F01-0079</v>
      </c>
      <c r="B158" s="86" t="str">
        <f>F01_UC2!B227</f>
        <v>INV-F01-0079</v>
      </c>
      <c r="C158" s="86" t="str">
        <f>F01_UC2!C227</f>
        <v>BYR-F01-004</v>
      </c>
      <c r="D158" s="86" t="str">
        <f>F01_UC2!D227</f>
        <v>IN</v>
      </c>
      <c r="E158" s="99">
        <f>F01_UC2!E227</f>
        <v>80857572</v>
      </c>
      <c r="F158" s="100">
        <f>F01_UC2!N227</f>
        <v>46205</v>
      </c>
      <c r="G158" s="100">
        <f>F01_UC2!M227</f>
        <v>0</v>
      </c>
      <c r="H158" s="86" t="str">
        <f>F01_UC2!P227</f>
        <v>Thu công nợ</v>
      </c>
      <c r="I158" s="86">
        <f>F01_UC2!Q227</f>
        <v>0</v>
      </c>
      <c r="J158" s="99">
        <f t="shared" si="24"/>
        <v>0</v>
      </c>
      <c r="K158" s="98">
        <f>MAX(F01_UC2!$B$6,F158+$B$29)</f>
        <v>46198</v>
      </c>
      <c r="L158" s="99">
        <f t="shared" si="25"/>
        <v>0</v>
      </c>
      <c r="M158" s="99">
        <f t="shared" si="26"/>
        <v>0</v>
      </c>
      <c r="N158" s="99">
        <f t="shared" si="27"/>
        <v>0</v>
      </c>
      <c r="O158" s="98">
        <f t="shared" si="28"/>
        <v>46219</v>
      </c>
      <c r="P158" s="99">
        <f t="shared" si="29"/>
        <v>0</v>
      </c>
      <c r="Q158" s="99">
        <f t="shared" si="30"/>
        <v>0</v>
      </c>
      <c r="R158" s="99">
        <f t="shared" si="31"/>
        <v>80857572</v>
      </c>
      <c r="S158" s="86" t="str">
        <f t="shared" si="32"/>
        <v>Khớp</v>
      </c>
      <c r="T158" s="86"/>
      <c r="U158" s="86"/>
    </row>
    <row r="159" spans="1:21" ht="24" customHeight="1">
      <c r="A159" s="86" t="str">
        <f>F01_UC2!A228</f>
        <v>RCV-INV-F01-0083</v>
      </c>
      <c r="B159" s="86" t="str">
        <f>F01_UC2!B228</f>
        <v>INV-F01-0083</v>
      </c>
      <c r="C159" s="86" t="str">
        <f>F01_UC2!C228</f>
        <v>BYR-F01-002</v>
      </c>
      <c r="D159" s="86" t="str">
        <f>F01_UC2!D228</f>
        <v>IN</v>
      </c>
      <c r="E159" s="99">
        <f>F01_UC2!E228</f>
        <v>169068797</v>
      </c>
      <c r="F159" s="100">
        <f>F01_UC2!N228</f>
        <v>46209</v>
      </c>
      <c r="G159" s="100">
        <f>F01_UC2!M228</f>
        <v>0</v>
      </c>
      <c r="H159" s="86" t="str">
        <f>F01_UC2!P228</f>
        <v>Thu công nợ</v>
      </c>
      <c r="I159" s="86">
        <f>F01_UC2!Q228</f>
        <v>0</v>
      </c>
      <c r="J159" s="99">
        <f t="shared" si="24"/>
        <v>84534398.5</v>
      </c>
      <c r="K159" s="98">
        <f>MAX(F01_UC2!$B$6,F159+$B$29)</f>
        <v>46202</v>
      </c>
      <c r="L159" s="99">
        <f t="shared" si="25"/>
        <v>83689054.515000001</v>
      </c>
      <c r="M159" s="99">
        <f t="shared" si="26"/>
        <v>845343.98499999999</v>
      </c>
      <c r="N159" s="99">
        <f t="shared" si="27"/>
        <v>0</v>
      </c>
      <c r="O159" s="98">
        <f t="shared" si="28"/>
        <v>46223</v>
      </c>
      <c r="P159" s="99">
        <f t="shared" si="29"/>
        <v>0</v>
      </c>
      <c r="Q159" s="99">
        <f t="shared" si="30"/>
        <v>0</v>
      </c>
      <c r="R159" s="99">
        <f t="shared" si="31"/>
        <v>84534398.5</v>
      </c>
      <c r="S159" s="86" t="str">
        <f t="shared" si="32"/>
        <v>Khớp</v>
      </c>
      <c r="T159" s="86"/>
      <c r="U159" s="86"/>
    </row>
    <row r="160" spans="1:21" ht="24" customHeight="1">
      <c r="A160" s="86" t="str">
        <f>F01_UC2!A229</f>
        <v>RCV-INV-F01-0085</v>
      </c>
      <c r="B160" s="86" t="str">
        <f>F01_UC2!B229</f>
        <v>INV-F01-0085</v>
      </c>
      <c r="C160" s="86" t="str">
        <f>F01_UC2!C229</f>
        <v>BYR-F01-002</v>
      </c>
      <c r="D160" s="86" t="str">
        <f>F01_UC2!D229</f>
        <v>IN</v>
      </c>
      <c r="E160" s="99">
        <f>F01_UC2!E229</f>
        <v>284573826</v>
      </c>
      <c r="F160" s="100">
        <f>F01_UC2!N229</f>
        <v>46212</v>
      </c>
      <c r="G160" s="100">
        <f>F01_UC2!M229</f>
        <v>0</v>
      </c>
      <c r="H160" s="86" t="str">
        <f>F01_UC2!P229</f>
        <v>Thu công nợ</v>
      </c>
      <c r="I160" s="86">
        <f>F01_UC2!Q229</f>
        <v>0</v>
      </c>
      <c r="J160" s="99">
        <f t="shared" si="24"/>
        <v>142286913</v>
      </c>
      <c r="K160" s="98">
        <f>MAX(F01_UC2!$B$6,F160+$B$29)</f>
        <v>46205</v>
      </c>
      <c r="L160" s="99">
        <f t="shared" si="25"/>
        <v>140864043.87</v>
      </c>
      <c r="M160" s="99">
        <f t="shared" si="26"/>
        <v>1422869.1300000001</v>
      </c>
      <c r="N160" s="99">
        <f t="shared" si="27"/>
        <v>0</v>
      </c>
      <c r="O160" s="98">
        <f t="shared" si="28"/>
        <v>46226</v>
      </c>
      <c r="P160" s="99">
        <f t="shared" si="29"/>
        <v>0</v>
      </c>
      <c r="Q160" s="99">
        <f t="shared" si="30"/>
        <v>0</v>
      </c>
      <c r="R160" s="99">
        <f t="shared" si="31"/>
        <v>142286913</v>
      </c>
      <c r="S160" s="86" t="str">
        <f t="shared" si="32"/>
        <v>Khớp</v>
      </c>
      <c r="T160" s="86"/>
      <c r="U160" s="86"/>
    </row>
    <row r="161" spans="1:21" ht="24" customHeight="1">
      <c r="A161" s="86" t="str">
        <f>F01_UC2!A230</f>
        <v>RCV-INV-F01-0086</v>
      </c>
      <c r="B161" s="86" t="str">
        <f>F01_UC2!B230</f>
        <v>INV-F01-0086</v>
      </c>
      <c r="C161" s="86" t="str">
        <f>F01_UC2!C230</f>
        <v>BYR-F01-002</v>
      </c>
      <c r="D161" s="86" t="str">
        <f>F01_UC2!D230</f>
        <v>IN</v>
      </c>
      <c r="E161" s="99">
        <f>F01_UC2!E230</f>
        <v>135683350</v>
      </c>
      <c r="F161" s="100">
        <f>F01_UC2!N230</f>
        <v>46213</v>
      </c>
      <c r="G161" s="100">
        <f>F01_UC2!M230</f>
        <v>0</v>
      </c>
      <c r="H161" s="86" t="str">
        <f>F01_UC2!P230</f>
        <v>Thu công nợ</v>
      </c>
      <c r="I161" s="86">
        <f>F01_UC2!Q230</f>
        <v>0</v>
      </c>
      <c r="J161" s="99">
        <f t="shared" si="24"/>
        <v>67841675</v>
      </c>
      <c r="K161" s="98">
        <f>MAX(F01_UC2!$B$6,F161+$B$29)</f>
        <v>46206</v>
      </c>
      <c r="L161" s="99">
        <f t="shared" si="25"/>
        <v>67163258.25</v>
      </c>
      <c r="M161" s="99">
        <f t="shared" si="26"/>
        <v>678416.75</v>
      </c>
      <c r="N161" s="99">
        <f t="shared" si="27"/>
        <v>0</v>
      </c>
      <c r="O161" s="98">
        <f t="shared" si="28"/>
        <v>46227</v>
      </c>
      <c r="P161" s="99">
        <f t="shared" si="29"/>
        <v>0</v>
      </c>
      <c r="Q161" s="99">
        <f t="shared" si="30"/>
        <v>0</v>
      </c>
      <c r="R161" s="99">
        <f t="shared" si="31"/>
        <v>67841675</v>
      </c>
      <c r="S161" s="86" t="str">
        <f t="shared" si="32"/>
        <v>Khớp</v>
      </c>
      <c r="T161" s="86"/>
      <c r="U161" s="86"/>
    </row>
    <row r="162" spans="1:21" ht="24" customHeight="1">
      <c r="A162" s="86" t="str">
        <f>F01_UC2!A231</f>
        <v>RCV-INV-F01-0088</v>
      </c>
      <c r="B162" s="86" t="str">
        <f>F01_UC2!B231</f>
        <v>INV-F01-0088</v>
      </c>
      <c r="C162" s="86" t="str">
        <f>F01_UC2!C231</f>
        <v>BYR-F01-006</v>
      </c>
      <c r="D162" s="86" t="str">
        <f>F01_UC2!D231</f>
        <v>IN</v>
      </c>
      <c r="E162" s="99">
        <f>F01_UC2!E231</f>
        <v>179404035</v>
      </c>
      <c r="F162" s="100">
        <f>F01_UC2!N231</f>
        <v>46197</v>
      </c>
      <c r="G162" s="100">
        <f>F01_UC2!M231</f>
        <v>0</v>
      </c>
      <c r="H162" s="86" t="str">
        <f>F01_UC2!P231</f>
        <v>Thu công nợ</v>
      </c>
      <c r="I162" s="86">
        <f>F01_UC2!Q231</f>
        <v>0</v>
      </c>
      <c r="J162" s="99">
        <f t="shared" si="24"/>
        <v>0</v>
      </c>
      <c r="K162" s="98">
        <f>MAX(F01_UC2!$B$6,F162+$B$29)</f>
        <v>46194</v>
      </c>
      <c r="L162" s="99">
        <f t="shared" si="25"/>
        <v>0</v>
      </c>
      <c r="M162" s="99">
        <f t="shared" si="26"/>
        <v>0</v>
      </c>
      <c r="N162" s="99">
        <f t="shared" si="27"/>
        <v>0</v>
      </c>
      <c r="O162" s="98">
        <f t="shared" si="28"/>
        <v>46211</v>
      </c>
      <c r="P162" s="99">
        <f t="shared" si="29"/>
        <v>0</v>
      </c>
      <c r="Q162" s="99">
        <f t="shared" si="30"/>
        <v>0</v>
      </c>
      <c r="R162" s="99">
        <f t="shared" si="31"/>
        <v>179404035</v>
      </c>
      <c r="S162" s="86" t="str">
        <f t="shared" si="32"/>
        <v>Khớp</v>
      </c>
      <c r="T162" s="86"/>
      <c r="U162" s="86"/>
    </row>
    <row r="163" spans="1:21" ht="24" customHeight="1">
      <c r="A163" s="86" t="str">
        <f>F01_UC2!A232</f>
        <v>RCV-INV-F01-0089</v>
      </c>
      <c r="B163" s="86" t="str">
        <f>F01_UC2!B232</f>
        <v>INV-F01-0089</v>
      </c>
      <c r="C163" s="86" t="str">
        <f>F01_UC2!C232</f>
        <v>BYR-F01-002</v>
      </c>
      <c r="D163" s="86" t="str">
        <f>F01_UC2!D232</f>
        <v>IN</v>
      </c>
      <c r="E163" s="99">
        <f>F01_UC2!E232</f>
        <v>193658718</v>
      </c>
      <c r="F163" s="100">
        <f>F01_UC2!N232</f>
        <v>46216</v>
      </c>
      <c r="G163" s="100">
        <f>F01_UC2!M232</f>
        <v>0</v>
      </c>
      <c r="H163" s="86" t="str">
        <f>F01_UC2!P232</f>
        <v>Thu công nợ</v>
      </c>
      <c r="I163" s="86">
        <f>F01_UC2!Q232</f>
        <v>0</v>
      </c>
      <c r="J163" s="99">
        <f t="shared" si="24"/>
        <v>96829359</v>
      </c>
      <c r="K163" s="98">
        <f>MAX(F01_UC2!$B$6,F163+$B$29)</f>
        <v>46209</v>
      </c>
      <c r="L163" s="99">
        <f t="shared" si="25"/>
        <v>95861065.409999996</v>
      </c>
      <c r="M163" s="99">
        <f t="shared" si="26"/>
        <v>968293.59</v>
      </c>
      <c r="N163" s="99">
        <f t="shared" si="27"/>
        <v>0</v>
      </c>
      <c r="O163" s="98">
        <f t="shared" si="28"/>
        <v>46230</v>
      </c>
      <c r="P163" s="99">
        <f t="shared" si="29"/>
        <v>0</v>
      </c>
      <c r="Q163" s="99">
        <f t="shared" si="30"/>
        <v>0</v>
      </c>
      <c r="R163" s="99">
        <f t="shared" si="31"/>
        <v>96829359</v>
      </c>
      <c r="S163" s="86" t="str">
        <f t="shared" si="32"/>
        <v>Khớp</v>
      </c>
      <c r="T163" s="86"/>
      <c r="U163" s="86"/>
    </row>
    <row r="164" spans="1:21" ht="24" customHeight="1">
      <c r="A164" s="86" t="str">
        <f>F01_UC2!A233</f>
        <v>RCV-INV-F01-0090</v>
      </c>
      <c r="B164" s="86" t="str">
        <f>F01_UC2!B233</f>
        <v>INV-F01-0090</v>
      </c>
      <c r="C164" s="86" t="str">
        <f>F01_UC2!C233</f>
        <v>BYR-F01-002</v>
      </c>
      <c r="D164" s="86" t="str">
        <f>F01_UC2!D233</f>
        <v>IN</v>
      </c>
      <c r="E164" s="99">
        <f>F01_UC2!E233</f>
        <v>174530918</v>
      </c>
      <c r="F164" s="100">
        <f>F01_UC2!N233</f>
        <v>46218</v>
      </c>
      <c r="G164" s="100">
        <f>F01_UC2!M233</f>
        <v>0</v>
      </c>
      <c r="H164" s="86" t="str">
        <f>F01_UC2!P233</f>
        <v>Thu công nợ</v>
      </c>
      <c r="I164" s="86">
        <f>F01_UC2!Q233</f>
        <v>0</v>
      </c>
      <c r="J164" s="99">
        <f t="shared" si="24"/>
        <v>87265459</v>
      </c>
      <c r="K164" s="98">
        <f>MAX(F01_UC2!$B$6,F164+$B$29)</f>
        <v>46211</v>
      </c>
      <c r="L164" s="99">
        <f t="shared" si="25"/>
        <v>86392804.409999996</v>
      </c>
      <c r="M164" s="99">
        <f t="shared" si="26"/>
        <v>872654.59</v>
      </c>
      <c r="N164" s="99">
        <f t="shared" si="27"/>
        <v>0</v>
      </c>
      <c r="O164" s="98">
        <f t="shared" si="28"/>
        <v>46232</v>
      </c>
      <c r="P164" s="99">
        <f t="shared" si="29"/>
        <v>0</v>
      </c>
      <c r="Q164" s="99">
        <f t="shared" si="30"/>
        <v>0</v>
      </c>
      <c r="R164" s="99">
        <f t="shared" si="31"/>
        <v>87265459</v>
      </c>
      <c r="S164" s="86" t="str">
        <f t="shared" si="32"/>
        <v>Khớp</v>
      </c>
      <c r="T164" s="86"/>
      <c r="U164" s="86"/>
    </row>
    <row r="165" spans="1:21" ht="24" customHeight="1">
      <c r="A165" s="86" t="str">
        <f>F01_UC2!A234</f>
        <v>RCV-INV-F01-0092</v>
      </c>
      <c r="B165" s="86" t="str">
        <f>F01_UC2!B234</f>
        <v>INV-F01-0092</v>
      </c>
      <c r="C165" s="86" t="str">
        <f>F01_UC2!C234</f>
        <v>BYR-F01-002</v>
      </c>
      <c r="D165" s="86" t="str">
        <f>F01_UC2!D234</f>
        <v>IN</v>
      </c>
      <c r="E165" s="99">
        <f>F01_UC2!E234</f>
        <v>261722257</v>
      </c>
      <c r="F165" s="100">
        <f>F01_UC2!N234</f>
        <v>46222</v>
      </c>
      <c r="G165" s="100">
        <f>F01_UC2!M234</f>
        <v>0</v>
      </c>
      <c r="H165" s="86" t="str">
        <f>F01_UC2!P234</f>
        <v>Thu công nợ</v>
      </c>
      <c r="I165" s="86">
        <f>F01_UC2!Q234</f>
        <v>0</v>
      </c>
      <c r="J165" s="99">
        <f t="shared" si="24"/>
        <v>130861128.5</v>
      </c>
      <c r="K165" s="98">
        <f>MAX(F01_UC2!$B$6,F165+$B$29)</f>
        <v>46215</v>
      </c>
      <c r="L165" s="99">
        <f t="shared" si="25"/>
        <v>129552517.215</v>
      </c>
      <c r="M165" s="99">
        <f t="shared" si="26"/>
        <v>1308611.2849999999</v>
      </c>
      <c r="N165" s="99">
        <f t="shared" si="27"/>
        <v>0</v>
      </c>
      <c r="O165" s="98">
        <f t="shared" si="28"/>
        <v>46236</v>
      </c>
      <c r="P165" s="99">
        <f t="shared" si="29"/>
        <v>0</v>
      </c>
      <c r="Q165" s="99">
        <f t="shared" si="30"/>
        <v>0</v>
      </c>
      <c r="R165" s="99">
        <f t="shared" si="31"/>
        <v>130861128.5</v>
      </c>
      <c r="S165" s="86" t="str">
        <f t="shared" si="32"/>
        <v>Khớp</v>
      </c>
      <c r="T165" s="86"/>
      <c r="U165" s="86"/>
    </row>
    <row r="166" spans="1:21" ht="24" customHeight="1">
      <c r="A166" s="86" t="str">
        <f>F01_UC2!A235</f>
        <v>RCV-INV-F01-0093</v>
      </c>
      <c r="B166" s="86" t="str">
        <f>F01_UC2!B235</f>
        <v>INV-F01-0093</v>
      </c>
      <c r="C166" s="86" t="str">
        <f>F01_UC2!C235</f>
        <v>BYR-F01-002</v>
      </c>
      <c r="D166" s="86" t="str">
        <f>F01_UC2!D235</f>
        <v>IN</v>
      </c>
      <c r="E166" s="99">
        <f>F01_UC2!E235</f>
        <v>164793578</v>
      </c>
      <c r="F166" s="100">
        <f>F01_UC2!N235</f>
        <v>46223</v>
      </c>
      <c r="G166" s="100">
        <f>F01_UC2!M235</f>
        <v>0</v>
      </c>
      <c r="H166" s="86" t="str">
        <f>F01_UC2!P235</f>
        <v>Thu công nợ</v>
      </c>
      <c r="I166" s="86">
        <f>F01_UC2!Q235</f>
        <v>0</v>
      </c>
      <c r="J166" s="99">
        <f t="shared" si="24"/>
        <v>82396789</v>
      </c>
      <c r="K166" s="98">
        <f>MAX(F01_UC2!$B$6,F166+$B$29)</f>
        <v>46216</v>
      </c>
      <c r="L166" s="99">
        <f t="shared" si="25"/>
        <v>81572821.109999999</v>
      </c>
      <c r="M166" s="99">
        <f t="shared" si="26"/>
        <v>823967.89</v>
      </c>
      <c r="N166" s="99">
        <f t="shared" si="27"/>
        <v>0</v>
      </c>
      <c r="O166" s="98">
        <f t="shared" si="28"/>
        <v>46237</v>
      </c>
      <c r="P166" s="99">
        <f t="shared" si="29"/>
        <v>0</v>
      </c>
      <c r="Q166" s="99">
        <f t="shared" si="30"/>
        <v>0</v>
      </c>
      <c r="R166" s="99">
        <f t="shared" si="31"/>
        <v>82396789</v>
      </c>
      <c r="S166" s="86" t="str">
        <f t="shared" si="32"/>
        <v>Khớp</v>
      </c>
      <c r="T166" s="86"/>
      <c r="U166" s="86"/>
    </row>
    <row r="167" spans="1:21" ht="24" customHeight="1">
      <c r="A167" s="86" t="str">
        <f>F01_UC2!A236</f>
        <v>RCV-INV-F01-0094</v>
      </c>
      <c r="B167" s="86" t="str">
        <f>F01_UC2!B236</f>
        <v>INV-F01-0094</v>
      </c>
      <c r="C167" s="86" t="str">
        <f>F01_UC2!C236</f>
        <v>BYR-F01-002</v>
      </c>
      <c r="D167" s="86" t="str">
        <f>F01_UC2!D236</f>
        <v>IN</v>
      </c>
      <c r="E167" s="99">
        <f>F01_UC2!E236</f>
        <v>272864905</v>
      </c>
      <c r="F167" s="100">
        <f>F01_UC2!N236</f>
        <v>46224</v>
      </c>
      <c r="G167" s="100">
        <f>F01_UC2!M236</f>
        <v>0</v>
      </c>
      <c r="H167" s="86" t="str">
        <f>F01_UC2!P236</f>
        <v>Thu công nợ</v>
      </c>
      <c r="I167" s="86">
        <f>F01_UC2!Q236</f>
        <v>0</v>
      </c>
      <c r="J167" s="99">
        <f t="shared" si="24"/>
        <v>136432452.5</v>
      </c>
      <c r="K167" s="98">
        <f>MAX(F01_UC2!$B$6,F167+$B$29)</f>
        <v>46217</v>
      </c>
      <c r="L167" s="99">
        <f t="shared" si="25"/>
        <v>135068127.97499999</v>
      </c>
      <c r="M167" s="99">
        <f t="shared" si="26"/>
        <v>1364324.5250000001</v>
      </c>
      <c r="N167" s="99">
        <f t="shared" si="27"/>
        <v>0</v>
      </c>
      <c r="O167" s="98">
        <f t="shared" si="28"/>
        <v>46238</v>
      </c>
      <c r="P167" s="99">
        <f t="shared" si="29"/>
        <v>0</v>
      </c>
      <c r="Q167" s="99">
        <f t="shared" si="30"/>
        <v>0</v>
      </c>
      <c r="R167" s="99">
        <f t="shared" si="31"/>
        <v>136432452.5</v>
      </c>
      <c r="S167" s="86" t="str">
        <f t="shared" si="32"/>
        <v>Khớp</v>
      </c>
      <c r="T167" s="86"/>
      <c r="U167" s="86"/>
    </row>
    <row r="168" spans="1:21" ht="24" customHeight="1">
      <c r="A168" s="86" t="str">
        <f>F01_UC2!A237</f>
        <v>RCV-INV-F01-0096</v>
      </c>
      <c r="B168" s="86" t="str">
        <f>F01_UC2!B237</f>
        <v>INV-F01-0096</v>
      </c>
      <c r="C168" s="86" t="str">
        <f>F01_UC2!C237</f>
        <v>BYR-F01-001</v>
      </c>
      <c r="D168" s="86" t="str">
        <f>F01_UC2!D237</f>
        <v>IN</v>
      </c>
      <c r="E168" s="99">
        <f>F01_UC2!E237</f>
        <v>289296727</v>
      </c>
      <c r="F168" s="100">
        <f>F01_UC2!N237</f>
        <v>46207</v>
      </c>
      <c r="G168" s="100">
        <f>F01_UC2!M237</f>
        <v>46207</v>
      </c>
      <c r="H168" s="86" t="str">
        <f>F01_UC2!P237</f>
        <v>Thu công nợ</v>
      </c>
      <c r="I168" s="86">
        <f>F01_UC2!Q237</f>
        <v>0</v>
      </c>
      <c r="J168" s="99">
        <f t="shared" si="24"/>
        <v>0</v>
      </c>
      <c r="K168" s="98">
        <f>MAX(F01_UC2!$B$6,F168+$B$29)</f>
        <v>46200</v>
      </c>
      <c r="L168" s="99">
        <f t="shared" si="25"/>
        <v>0</v>
      </c>
      <c r="M168" s="99">
        <f t="shared" si="26"/>
        <v>0</v>
      </c>
      <c r="N168" s="99">
        <f t="shared" si="27"/>
        <v>0</v>
      </c>
      <c r="O168" s="98">
        <f t="shared" si="28"/>
        <v>46221</v>
      </c>
      <c r="P168" s="99">
        <f t="shared" si="29"/>
        <v>0</v>
      </c>
      <c r="Q168" s="99">
        <f t="shared" si="30"/>
        <v>0</v>
      </c>
      <c r="R168" s="99">
        <f t="shared" si="31"/>
        <v>289296727</v>
      </c>
      <c r="S168" s="86" t="str">
        <f t="shared" si="32"/>
        <v>Khớp</v>
      </c>
      <c r="T168" s="86"/>
      <c r="U168" s="86"/>
    </row>
    <row r="169" spans="1:21" ht="24" customHeight="1">
      <c r="A169" s="86" t="str">
        <f>F01_UC2!A238</f>
        <v>RCV-INV-F01-0097</v>
      </c>
      <c r="B169" s="86" t="str">
        <f>F01_UC2!B238</f>
        <v>INV-F01-0097</v>
      </c>
      <c r="C169" s="86" t="str">
        <f>F01_UC2!C238</f>
        <v>BYR-F01-003</v>
      </c>
      <c r="D169" s="86" t="str">
        <f>F01_UC2!D238</f>
        <v>IN</v>
      </c>
      <c r="E169" s="99">
        <f>F01_UC2!E238</f>
        <v>111347413</v>
      </c>
      <c r="F169" s="100">
        <f>F01_UC2!N238</f>
        <v>46200</v>
      </c>
      <c r="G169" s="100">
        <f>F01_UC2!M238</f>
        <v>0</v>
      </c>
      <c r="H169" s="86" t="str">
        <f>F01_UC2!P238</f>
        <v>Thu công nợ</v>
      </c>
      <c r="I169" s="86">
        <f>F01_UC2!Q238</f>
        <v>0</v>
      </c>
      <c r="J169" s="99">
        <f t="shared" si="24"/>
        <v>0</v>
      </c>
      <c r="K169" s="98">
        <f>MAX(F01_UC2!$B$6,F169+$B$29)</f>
        <v>46194</v>
      </c>
      <c r="L169" s="99">
        <f t="shared" si="25"/>
        <v>0</v>
      </c>
      <c r="M169" s="99">
        <f t="shared" si="26"/>
        <v>0</v>
      </c>
      <c r="N169" s="99">
        <f t="shared" si="27"/>
        <v>0</v>
      </c>
      <c r="O169" s="98">
        <f t="shared" si="28"/>
        <v>46214</v>
      </c>
      <c r="P169" s="99">
        <f t="shared" si="29"/>
        <v>0</v>
      </c>
      <c r="Q169" s="99">
        <f t="shared" si="30"/>
        <v>0</v>
      </c>
      <c r="R169" s="99">
        <f t="shared" si="31"/>
        <v>111347413</v>
      </c>
      <c r="S169" s="86" t="str">
        <f t="shared" si="32"/>
        <v>Khớp</v>
      </c>
      <c r="T169" s="86"/>
      <c r="U169" s="86"/>
    </row>
    <row r="170" spans="1:21" ht="24" customHeight="1">
      <c r="A170" s="86" t="str">
        <f>F01_UC2!A239</f>
        <v>RCV-INV-F01-0098</v>
      </c>
      <c r="B170" s="86" t="str">
        <f>F01_UC2!B239</f>
        <v>INV-F01-0098</v>
      </c>
      <c r="C170" s="86" t="str">
        <f>F01_UC2!C239</f>
        <v>BYR-F01-006</v>
      </c>
      <c r="D170" s="86" t="str">
        <f>F01_UC2!D239</f>
        <v>IN</v>
      </c>
      <c r="E170" s="99">
        <f>F01_UC2!E239</f>
        <v>256596145</v>
      </c>
      <c r="F170" s="100">
        <f>F01_UC2!N239</f>
        <v>46199</v>
      </c>
      <c r="G170" s="100">
        <f>F01_UC2!M239</f>
        <v>0</v>
      </c>
      <c r="H170" s="86" t="str">
        <f>F01_UC2!P239</f>
        <v>Thu công nợ</v>
      </c>
      <c r="I170" s="86">
        <f>F01_UC2!Q239</f>
        <v>0</v>
      </c>
      <c r="J170" s="99">
        <f t="shared" si="24"/>
        <v>0</v>
      </c>
      <c r="K170" s="98">
        <f>MAX(F01_UC2!$B$6,F170+$B$29)</f>
        <v>46194</v>
      </c>
      <c r="L170" s="99">
        <f t="shared" si="25"/>
        <v>0</v>
      </c>
      <c r="M170" s="99">
        <f t="shared" si="26"/>
        <v>0</v>
      </c>
      <c r="N170" s="99">
        <f t="shared" si="27"/>
        <v>0</v>
      </c>
      <c r="O170" s="98">
        <f t="shared" si="28"/>
        <v>46213</v>
      </c>
      <c r="P170" s="99">
        <f t="shared" si="29"/>
        <v>0</v>
      </c>
      <c r="Q170" s="99">
        <f t="shared" si="30"/>
        <v>0</v>
      </c>
      <c r="R170" s="99">
        <f t="shared" si="31"/>
        <v>256596145</v>
      </c>
      <c r="S170" s="86" t="str">
        <f t="shared" si="32"/>
        <v>Khớp</v>
      </c>
      <c r="T170" s="86"/>
      <c r="U170" s="86"/>
    </row>
    <row r="171" spans="1:21" ht="24" customHeight="1">
      <c r="A171" s="86" t="str">
        <f>F01_UC2!A240</f>
        <v>RCV-INV-F01-0099</v>
      </c>
      <c r="B171" s="86" t="str">
        <f>F01_UC2!B240</f>
        <v>INV-F01-0099</v>
      </c>
      <c r="C171" s="86" t="str">
        <f>F01_UC2!C240</f>
        <v>BYR-F01-002</v>
      </c>
      <c r="D171" s="86" t="str">
        <f>F01_UC2!D240</f>
        <v>IN</v>
      </c>
      <c r="E171" s="99">
        <f>F01_UC2!E240</f>
        <v>245153067</v>
      </c>
      <c r="F171" s="100">
        <f>F01_UC2!N240</f>
        <v>46231</v>
      </c>
      <c r="G171" s="100">
        <f>F01_UC2!M240</f>
        <v>0</v>
      </c>
      <c r="H171" s="86" t="str">
        <f>F01_UC2!P240</f>
        <v>Thu công nợ</v>
      </c>
      <c r="I171" s="86">
        <f>F01_UC2!Q240</f>
        <v>0</v>
      </c>
      <c r="J171" s="99">
        <f t="shared" si="24"/>
        <v>122576533.5</v>
      </c>
      <c r="K171" s="98">
        <f>MAX(F01_UC2!$B$6,F171+$B$29)</f>
        <v>46224</v>
      </c>
      <c r="L171" s="99">
        <f t="shared" si="25"/>
        <v>121350768.16500001</v>
      </c>
      <c r="M171" s="99">
        <f t="shared" si="26"/>
        <v>1225765.335</v>
      </c>
      <c r="N171" s="99">
        <f t="shared" si="27"/>
        <v>0</v>
      </c>
      <c r="O171" s="98">
        <f t="shared" si="28"/>
        <v>46245</v>
      </c>
      <c r="P171" s="99">
        <f t="shared" si="29"/>
        <v>0</v>
      </c>
      <c r="Q171" s="99">
        <f t="shared" si="30"/>
        <v>0</v>
      </c>
      <c r="R171" s="99">
        <f t="shared" si="31"/>
        <v>122576533.5</v>
      </c>
      <c r="S171" s="86" t="str">
        <f t="shared" si="32"/>
        <v>Khớp</v>
      </c>
      <c r="T171" s="86"/>
      <c r="U171" s="86"/>
    </row>
    <row r="172" spans="1:21" ht="24" customHeight="1">
      <c r="A172" s="86" t="str">
        <f>F01_UC2!A241</f>
        <v>RCV-INV-F01-0100</v>
      </c>
      <c r="B172" s="86" t="str">
        <f>F01_UC2!B241</f>
        <v>INV-F01-0100</v>
      </c>
      <c r="C172" s="86" t="str">
        <f>F01_UC2!C241</f>
        <v>BYR-F01-006</v>
      </c>
      <c r="D172" s="86" t="str">
        <f>F01_UC2!D241</f>
        <v>IN</v>
      </c>
      <c r="E172" s="99">
        <f>F01_UC2!E241</f>
        <v>561764351</v>
      </c>
      <c r="F172" s="100">
        <f>F01_UC2!N241</f>
        <v>46202</v>
      </c>
      <c r="G172" s="100">
        <f>F01_UC2!M241</f>
        <v>0</v>
      </c>
      <c r="H172" s="86" t="str">
        <f>F01_UC2!P241</f>
        <v>Thu công nợ</v>
      </c>
      <c r="I172" s="86">
        <f>F01_UC2!Q241</f>
        <v>0</v>
      </c>
      <c r="J172" s="99">
        <f t="shared" si="24"/>
        <v>0</v>
      </c>
      <c r="K172" s="98">
        <f>MAX(F01_UC2!$B$6,F172+$B$29)</f>
        <v>46195</v>
      </c>
      <c r="L172" s="99">
        <f t="shared" si="25"/>
        <v>0</v>
      </c>
      <c r="M172" s="99">
        <f t="shared" si="26"/>
        <v>0</v>
      </c>
      <c r="N172" s="99">
        <f t="shared" si="27"/>
        <v>0</v>
      </c>
      <c r="O172" s="98">
        <f t="shared" si="28"/>
        <v>46216</v>
      </c>
      <c r="P172" s="99">
        <f t="shared" si="29"/>
        <v>0</v>
      </c>
      <c r="Q172" s="99">
        <f t="shared" si="30"/>
        <v>0</v>
      </c>
      <c r="R172" s="99">
        <f t="shared" si="31"/>
        <v>561764351</v>
      </c>
      <c r="S172" s="86" t="str">
        <f t="shared" si="32"/>
        <v>Khớp</v>
      </c>
      <c r="T172" s="86"/>
      <c r="U172" s="86"/>
    </row>
    <row r="173" spans="1:21" ht="24" customHeight="1">
      <c r="A173" s="86" t="str">
        <f>F01_UC2!A242</f>
        <v>RCV-INV-F01-0101</v>
      </c>
      <c r="B173" s="86" t="str">
        <f>F01_UC2!B242</f>
        <v>INV-F01-0101</v>
      </c>
      <c r="C173" s="86" t="str">
        <f>F01_UC2!C242</f>
        <v>BYR-F01-003</v>
      </c>
      <c r="D173" s="86" t="str">
        <f>F01_UC2!D242</f>
        <v>IN</v>
      </c>
      <c r="E173" s="99">
        <f>F01_UC2!E242</f>
        <v>43525997</v>
      </c>
      <c r="F173" s="100">
        <f>F01_UC2!N242</f>
        <v>46204</v>
      </c>
      <c r="G173" s="100">
        <f>F01_UC2!M242</f>
        <v>0</v>
      </c>
      <c r="H173" s="86" t="str">
        <f>F01_UC2!P242</f>
        <v>Thu công nợ</v>
      </c>
      <c r="I173" s="86">
        <f>F01_UC2!Q242</f>
        <v>0</v>
      </c>
      <c r="J173" s="99">
        <f t="shared" si="24"/>
        <v>0</v>
      </c>
      <c r="K173" s="98">
        <f>MAX(F01_UC2!$B$6,F173+$B$29)</f>
        <v>46197</v>
      </c>
      <c r="L173" s="99">
        <f t="shared" si="25"/>
        <v>0</v>
      </c>
      <c r="M173" s="99">
        <f t="shared" si="26"/>
        <v>0</v>
      </c>
      <c r="N173" s="99">
        <f t="shared" si="27"/>
        <v>0</v>
      </c>
      <c r="O173" s="98">
        <f t="shared" si="28"/>
        <v>46218</v>
      </c>
      <c r="P173" s="99">
        <f t="shared" si="29"/>
        <v>0</v>
      </c>
      <c r="Q173" s="99">
        <f t="shared" si="30"/>
        <v>0</v>
      </c>
      <c r="R173" s="99">
        <f t="shared" si="31"/>
        <v>43525997</v>
      </c>
      <c r="S173" s="86" t="str">
        <f t="shared" si="32"/>
        <v>Khớp</v>
      </c>
      <c r="T173" s="86"/>
      <c r="U173" s="86"/>
    </row>
    <row r="174" spans="1:21" ht="24" customHeight="1">
      <c r="A174" s="86" t="str">
        <f>F01_UC2!A243</f>
        <v>RCV-INV-F01-0102</v>
      </c>
      <c r="B174" s="86" t="str">
        <f>F01_UC2!B243</f>
        <v>INV-F01-0102</v>
      </c>
      <c r="C174" s="86" t="str">
        <f>F01_UC2!C243</f>
        <v>BYR-F01-001</v>
      </c>
      <c r="D174" s="86" t="str">
        <f>F01_UC2!D243</f>
        <v>IN</v>
      </c>
      <c r="E174" s="99">
        <f>F01_UC2!E243</f>
        <v>298612079</v>
      </c>
      <c r="F174" s="100">
        <f>F01_UC2!N243</f>
        <v>46204</v>
      </c>
      <c r="G174" s="100">
        <f>F01_UC2!M243</f>
        <v>0</v>
      </c>
      <c r="H174" s="86" t="str">
        <f>F01_UC2!P243</f>
        <v>Thu công nợ</v>
      </c>
      <c r="I174" s="86">
        <f>F01_UC2!Q243</f>
        <v>0</v>
      </c>
      <c r="J174" s="99">
        <f t="shared" si="24"/>
        <v>0</v>
      </c>
      <c r="K174" s="98">
        <f>MAX(F01_UC2!$B$6,F174+$B$29)</f>
        <v>46197</v>
      </c>
      <c r="L174" s="99">
        <f t="shared" si="25"/>
        <v>0</v>
      </c>
      <c r="M174" s="99">
        <f t="shared" si="26"/>
        <v>0</v>
      </c>
      <c r="N174" s="99">
        <f t="shared" si="27"/>
        <v>0</v>
      </c>
      <c r="O174" s="98">
        <f t="shared" si="28"/>
        <v>46218</v>
      </c>
      <c r="P174" s="99">
        <f t="shared" si="29"/>
        <v>0</v>
      </c>
      <c r="Q174" s="99">
        <f t="shared" si="30"/>
        <v>0</v>
      </c>
      <c r="R174" s="99">
        <f t="shared" si="31"/>
        <v>298612079</v>
      </c>
      <c r="S174" s="86" t="str">
        <f t="shared" si="32"/>
        <v>Khớp</v>
      </c>
      <c r="T174" s="86"/>
      <c r="U174" s="86"/>
    </row>
    <row r="175" spans="1:21" ht="24" customHeight="1">
      <c r="A175" s="86" t="str">
        <f>F01_UC2!A244</f>
        <v>RCV-INV-F01-0103</v>
      </c>
      <c r="B175" s="86" t="str">
        <f>F01_UC2!B244</f>
        <v>INV-F01-0103</v>
      </c>
      <c r="C175" s="86" t="str">
        <f>F01_UC2!C244</f>
        <v>BYR-F01-003</v>
      </c>
      <c r="D175" s="86" t="str">
        <f>F01_UC2!D244</f>
        <v>IN</v>
      </c>
      <c r="E175" s="99">
        <f>F01_UC2!E244</f>
        <v>94348329</v>
      </c>
      <c r="F175" s="100">
        <f>F01_UC2!N244</f>
        <v>46210</v>
      </c>
      <c r="G175" s="100">
        <f>F01_UC2!M244</f>
        <v>0</v>
      </c>
      <c r="H175" s="86" t="str">
        <f>F01_UC2!P244</f>
        <v>Thu công nợ</v>
      </c>
      <c r="I175" s="86">
        <f>F01_UC2!Q244</f>
        <v>0</v>
      </c>
      <c r="J175" s="99">
        <f t="shared" si="24"/>
        <v>0</v>
      </c>
      <c r="K175" s="98">
        <f>MAX(F01_UC2!$B$6,F175+$B$29)</f>
        <v>46203</v>
      </c>
      <c r="L175" s="99">
        <f t="shared" si="25"/>
        <v>0</v>
      </c>
      <c r="M175" s="99">
        <f t="shared" si="26"/>
        <v>0</v>
      </c>
      <c r="N175" s="99">
        <f t="shared" si="27"/>
        <v>0</v>
      </c>
      <c r="O175" s="98">
        <f t="shared" si="28"/>
        <v>46224</v>
      </c>
      <c r="P175" s="99">
        <f t="shared" si="29"/>
        <v>0</v>
      </c>
      <c r="Q175" s="99">
        <f t="shared" si="30"/>
        <v>0</v>
      </c>
      <c r="R175" s="99">
        <f t="shared" si="31"/>
        <v>94348329</v>
      </c>
      <c r="S175" s="86" t="str">
        <f t="shared" si="32"/>
        <v>Khớp</v>
      </c>
      <c r="T175" s="86"/>
      <c r="U175" s="86"/>
    </row>
    <row r="176" spans="1:21" ht="24" customHeight="1">
      <c r="A176" s="86" t="str">
        <f>F01_UC2!A245</f>
        <v>RCV-INV-F01-0104</v>
      </c>
      <c r="B176" s="86" t="str">
        <f>F01_UC2!B245</f>
        <v>INV-F01-0104</v>
      </c>
      <c r="C176" s="86" t="str">
        <f>F01_UC2!C245</f>
        <v>BYR-F01-001</v>
      </c>
      <c r="D176" s="86" t="str">
        <f>F01_UC2!D245</f>
        <v>IN</v>
      </c>
      <c r="E176" s="99">
        <f>F01_UC2!E245</f>
        <v>235003622</v>
      </c>
      <c r="F176" s="100">
        <f>F01_UC2!N245</f>
        <v>46211</v>
      </c>
      <c r="G176" s="100">
        <f>F01_UC2!M245</f>
        <v>0</v>
      </c>
      <c r="H176" s="86" t="str">
        <f>F01_UC2!P245</f>
        <v>Thu công nợ</v>
      </c>
      <c r="I176" s="86">
        <f>F01_UC2!Q245</f>
        <v>0</v>
      </c>
      <c r="J176" s="99">
        <f t="shared" si="24"/>
        <v>0</v>
      </c>
      <c r="K176" s="98">
        <f>MAX(F01_UC2!$B$6,F176+$B$29)</f>
        <v>46204</v>
      </c>
      <c r="L176" s="99">
        <f t="shared" si="25"/>
        <v>0</v>
      </c>
      <c r="M176" s="99">
        <f t="shared" si="26"/>
        <v>0</v>
      </c>
      <c r="N176" s="99">
        <f t="shared" si="27"/>
        <v>0</v>
      </c>
      <c r="O176" s="98">
        <f t="shared" si="28"/>
        <v>46225</v>
      </c>
      <c r="P176" s="99">
        <f t="shared" si="29"/>
        <v>0</v>
      </c>
      <c r="Q176" s="99">
        <f t="shared" si="30"/>
        <v>0</v>
      </c>
      <c r="R176" s="99">
        <f t="shared" si="31"/>
        <v>235003622</v>
      </c>
      <c r="S176" s="86" t="str">
        <f t="shared" si="32"/>
        <v>Khớp</v>
      </c>
      <c r="T176" s="86"/>
      <c r="U176" s="86"/>
    </row>
    <row r="177" spans="1:21" ht="24" customHeight="1">
      <c r="A177" s="86" t="str">
        <f>F01_UC2!A246</f>
        <v>RCV-INV-F01-0105</v>
      </c>
      <c r="B177" s="86" t="str">
        <f>F01_UC2!B246</f>
        <v>INV-F01-0105</v>
      </c>
      <c r="C177" s="86" t="str">
        <f>F01_UC2!C246</f>
        <v>BYR-F01-002</v>
      </c>
      <c r="D177" s="86" t="str">
        <f>F01_UC2!D246</f>
        <v>IN</v>
      </c>
      <c r="E177" s="99">
        <f>F01_UC2!E246</f>
        <v>332813830</v>
      </c>
      <c r="F177" s="100">
        <f>F01_UC2!N246</f>
        <v>46244</v>
      </c>
      <c r="G177" s="100">
        <f>F01_UC2!M246</f>
        <v>0</v>
      </c>
      <c r="H177" s="86" t="str">
        <f>F01_UC2!P246</f>
        <v>Thu công nợ</v>
      </c>
      <c r="I177" s="86">
        <f>F01_UC2!Q246</f>
        <v>0</v>
      </c>
      <c r="J177" s="99">
        <f t="shared" si="24"/>
        <v>166406915</v>
      </c>
      <c r="K177" s="98">
        <f>MAX(F01_UC2!$B$6,F177+$B$29)</f>
        <v>46237</v>
      </c>
      <c r="L177" s="99">
        <f t="shared" si="25"/>
        <v>164742845.84999999</v>
      </c>
      <c r="M177" s="99">
        <f t="shared" si="26"/>
        <v>1664069.1500000001</v>
      </c>
      <c r="N177" s="99">
        <f t="shared" si="27"/>
        <v>0</v>
      </c>
      <c r="O177" s="98">
        <f t="shared" si="28"/>
        <v>46258</v>
      </c>
      <c r="P177" s="99">
        <f t="shared" si="29"/>
        <v>0</v>
      </c>
      <c r="Q177" s="99">
        <f t="shared" si="30"/>
        <v>0</v>
      </c>
      <c r="R177" s="99">
        <f t="shared" si="31"/>
        <v>166406915</v>
      </c>
      <c r="S177" s="86" t="str">
        <f t="shared" si="32"/>
        <v>Khớp</v>
      </c>
      <c r="T177" s="86"/>
      <c r="U177" s="86"/>
    </row>
    <row r="178" spans="1:21" ht="24" customHeight="1">
      <c r="A178" s="86" t="str">
        <f>F01_UC2!A247</f>
        <v>RCV-INV-F01-0106</v>
      </c>
      <c r="B178" s="86" t="str">
        <f>F01_UC2!B247</f>
        <v>INV-F01-0106</v>
      </c>
      <c r="C178" s="86" t="str">
        <f>F01_UC2!C247</f>
        <v>BYR-F01-002</v>
      </c>
      <c r="D178" s="86" t="str">
        <f>F01_UC2!D247</f>
        <v>IN</v>
      </c>
      <c r="E178" s="99">
        <f>F01_UC2!E247</f>
        <v>539498821</v>
      </c>
      <c r="F178" s="100">
        <f>F01_UC2!N247</f>
        <v>46244</v>
      </c>
      <c r="G178" s="100">
        <f>F01_UC2!M247</f>
        <v>0</v>
      </c>
      <c r="H178" s="86" t="str">
        <f>F01_UC2!P247</f>
        <v>Thu công nợ</v>
      </c>
      <c r="I178" s="86">
        <f>F01_UC2!Q247</f>
        <v>0</v>
      </c>
      <c r="J178" s="99">
        <f t="shared" si="24"/>
        <v>269749410.5</v>
      </c>
      <c r="K178" s="98">
        <f>MAX(F01_UC2!$B$6,F178+$B$29)</f>
        <v>46237</v>
      </c>
      <c r="L178" s="99">
        <f t="shared" si="25"/>
        <v>267051916.39500001</v>
      </c>
      <c r="M178" s="99">
        <f t="shared" si="26"/>
        <v>2697494.105</v>
      </c>
      <c r="N178" s="99">
        <f t="shared" si="27"/>
        <v>0</v>
      </c>
      <c r="O178" s="98">
        <f t="shared" si="28"/>
        <v>46258</v>
      </c>
      <c r="P178" s="99">
        <f t="shared" si="29"/>
        <v>0</v>
      </c>
      <c r="Q178" s="99">
        <f t="shared" si="30"/>
        <v>0</v>
      </c>
      <c r="R178" s="99">
        <f t="shared" si="31"/>
        <v>269749410.5</v>
      </c>
      <c r="S178" s="86" t="str">
        <f t="shared" si="32"/>
        <v>Khớp</v>
      </c>
      <c r="T178" s="86"/>
      <c r="U178" s="86"/>
    </row>
    <row r="179" spans="1:21" ht="24" customHeight="1">
      <c r="A179" s="86" t="str">
        <f>F01_UC2!A248</f>
        <v>RCV-INV-F01-0107</v>
      </c>
      <c r="B179" s="86" t="str">
        <f>F01_UC2!B248</f>
        <v>INV-F01-0107</v>
      </c>
      <c r="C179" s="86" t="str">
        <f>F01_UC2!C248</f>
        <v>BYR-F01-004</v>
      </c>
      <c r="D179" s="86" t="str">
        <f>F01_UC2!D248</f>
        <v>IN</v>
      </c>
      <c r="E179" s="99">
        <f>F01_UC2!E248</f>
        <v>97029482</v>
      </c>
      <c r="F179" s="100">
        <f>F01_UC2!N248</f>
        <v>46220</v>
      </c>
      <c r="G179" s="100">
        <f>F01_UC2!M248</f>
        <v>0</v>
      </c>
      <c r="H179" s="86" t="str">
        <f>F01_UC2!P248</f>
        <v>Thu công nợ</v>
      </c>
      <c r="I179" s="86">
        <f>F01_UC2!Q248</f>
        <v>0</v>
      </c>
      <c r="J179" s="99">
        <f t="shared" si="24"/>
        <v>0</v>
      </c>
      <c r="K179" s="98">
        <f>MAX(F01_UC2!$B$6,F179+$B$29)</f>
        <v>46213</v>
      </c>
      <c r="L179" s="99">
        <f t="shared" si="25"/>
        <v>0</v>
      </c>
      <c r="M179" s="99">
        <f t="shared" si="26"/>
        <v>0</v>
      </c>
      <c r="N179" s="99">
        <f t="shared" si="27"/>
        <v>0</v>
      </c>
      <c r="O179" s="98">
        <f t="shared" si="28"/>
        <v>46234</v>
      </c>
      <c r="P179" s="99">
        <f t="shared" si="29"/>
        <v>0</v>
      </c>
      <c r="Q179" s="99">
        <f t="shared" si="30"/>
        <v>0</v>
      </c>
      <c r="R179" s="99">
        <f t="shared" si="31"/>
        <v>97029482</v>
      </c>
      <c r="S179" s="86" t="str">
        <f t="shared" si="32"/>
        <v>Khớp</v>
      </c>
      <c r="T179" s="86"/>
      <c r="U179" s="86"/>
    </row>
    <row r="180" spans="1:21" ht="24" customHeight="1">
      <c r="A180" s="86" t="str">
        <f>F01_UC2!A249</f>
        <v>RCV-INV-F01-0108</v>
      </c>
      <c r="B180" s="86" t="str">
        <f>F01_UC2!B249</f>
        <v>INV-F01-0108</v>
      </c>
      <c r="C180" s="86" t="str">
        <f>F01_UC2!C249</f>
        <v>BYR-F01-005</v>
      </c>
      <c r="D180" s="86" t="str">
        <f>F01_UC2!D249</f>
        <v>IN</v>
      </c>
      <c r="E180" s="99">
        <f>F01_UC2!E249</f>
        <v>122135275</v>
      </c>
      <c r="F180" s="100">
        <f>F01_UC2!N249</f>
        <v>46223</v>
      </c>
      <c r="G180" s="100">
        <f>F01_UC2!M249</f>
        <v>0</v>
      </c>
      <c r="H180" s="86" t="str">
        <f>F01_UC2!P249</f>
        <v>Thu công nợ</v>
      </c>
      <c r="I180" s="86">
        <f>F01_UC2!Q249</f>
        <v>0</v>
      </c>
      <c r="J180" s="99">
        <f t="shared" si="24"/>
        <v>0</v>
      </c>
      <c r="K180" s="98">
        <f>MAX(F01_UC2!$B$6,F180+$B$29)</f>
        <v>46216</v>
      </c>
      <c r="L180" s="99">
        <f t="shared" si="25"/>
        <v>0</v>
      </c>
      <c r="M180" s="99">
        <f t="shared" si="26"/>
        <v>0</v>
      </c>
      <c r="N180" s="99">
        <f t="shared" si="27"/>
        <v>0</v>
      </c>
      <c r="O180" s="98">
        <f t="shared" si="28"/>
        <v>46237</v>
      </c>
      <c r="P180" s="99">
        <f t="shared" si="29"/>
        <v>0</v>
      </c>
      <c r="Q180" s="99">
        <f t="shared" si="30"/>
        <v>0</v>
      </c>
      <c r="R180" s="99">
        <f t="shared" si="31"/>
        <v>122135275</v>
      </c>
      <c r="S180" s="86" t="str">
        <f t="shared" si="32"/>
        <v>Khớp</v>
      </c>
      <c r="T180" s="86"/>
      <c r="U180" s="86"/>
    </row>
    <row r="181" spans="1:21" ht="24" customHeight="1">
      <c r="A181" s="86" t="str">
        <f>F01_UC2!A250</f>
        <v>RCV-INV-F01-0109</v>
      </c>
      <c r="B181" s="86" t="str">
        <f>F01_UC2!B250</f>
        <v>INV-F01-0109</v>
      </c>
      <c r="C181" s="86" t="str">
        <f>F01_UC2!C250</f>
        <v>BYR-F01-002</v>
      </c>
      <c r="D181" s="86" t="str">
        <f>F01_UC2!D250</f>
        <v>IN</v>
      </c>
      <c r="E181" s="99">
        <f>F01_UC2!E250</f>
        <v>172242105</v>
      </c>
      <c r="F181" s="100">
        <f>F01_UC2!N250</f>
        <v>46247</v>
      </c>
      <c r="G181" s="100">
        <f>F01_UC2!M250</f>
        <v>0</v>
      </c>
      <c r="H181" s="86" t="str">
        <f>F01_UC2!P250</f>
        <v>Thu công nợ</v>
      </c>
      <c r="I181" s="86">
        <f>F01_UC2!Q250</f>
        <v>0</v>
      </c>
      <c r="J181" s="99">
        <f t="shared" si="24"/>
        <v>86121052.5</v>
      </c>
      <c r="K181" s="98">
        <f>MAX(F01_UC2!$B$6,F181+$B$29)</f>
        <v>46240</v>
      </c>
      <c r="L181" s="99">
        <f t="shared" si="25"/>
        <v>85259841.974999994</v>
      </c>
      <c r="M181" s="99">
        <f t="shared" si="26"/>
        <v>861210.52500000002</v>
      </c>
      <c r="N181" s="99">
        <f t="shared" si="27"/>
        <v>0</v>
      </c>
      <c r="O181" s="98">
        <f t="shared" si="28"/>
        <v>46261</v>
      </c>
      <c r="P181" s="99">
        <f t="shared" si="29"/>
        <v>0</v>
      </c>
      <c r="Q181" s="99">
        <f t="shared" si="30"/>
        <v>0</v>
      </c>
      <c r="R181" s="99">
        <f t="shared" si="31"/>
        <v>86121052.5</v>
      </c>
      <c r="S181" s="86" t="str">
        <f t="shared" si="32"/>
        <v>Khớp</v>
      </c>
      <c r="T181" s="86"/>
      <c r="U181" s="86"/>
    </row>
    <row r="182" spans="1:21" ht="24" customHeight="1">
      <c r="A182" s="86" t="str">
        <f>F01_UC2!A251</f>
        <v>RCV-INV-F01-0110</v>
      </c>
      <c r="B182" s="86" t="str">
        <f>F01_UC2!B251</f>
        <v>INV-F01-0110</v>
      </c>
      <c r="C182" s="86" t="str">
        <f>F01_UC2!C251</f>
        <v>BYR-F01-001</v>
      </c>
      <c r="D182" s="86" t="str">
        <f>F01_UC2!D251</f>
        <v>IN</v>
      </c>
      <c r="E182" s="99">
        <f>F01_UC2!E251</f>
        <v>278293425</v>
      </c>
      <c r="F182" s="100">
        <f>F01_UC2!N251</f>
        <v>46218</v>
      </c>
      <c r="G182" s="100">
        <f>F01_UC2!M251</f>
        <v>0</v>
      </c>
      <c r="H182" s="86" t="str">
        <f>F01_UC2!P251</f>
        <v>Thu công nợ</v>
      </c>
      <c r="I182" s="86">
        <f>F01_UC2!Q251</f>
        <v>0</v>
      </c>
      <c r="J182" s="99">
        <f t="shared" si="24"/>
        <v>0</v>
      </c>
      <c r="K182" s="98">
        <f>MAX(F01_UC2!$B$6,F182+$B$29)</f>
        <v>46211</v>
      </c>
      <c r="L182" s="99">
        <f t="shared" si="25"/>
        <v>0</v>
      </c>
      <c r="M182" s="99">
        <f t="shared" si="26"/>
        <v>0</v>
      </c>
      <c r="N182" s="99">
        <f t="shared" si="27"/>
        <v>0</v>
      </c>
      <c r="O182" s="98">
        <f t="shared" si="28"/>
        <v>46232</v>
      </c>
      <c r="P182" s="99">
        <f t="shared" si="29"/>
        <v>0</v>
      </c>
      <c r="Q182" s="99">
        <f t="shared" si="30"/>
        <v>0</v>
      </c>
      <c r="R182" s="99">
        <f t="shared" si="31"/>
        <v>278293425</v>
      </c>
      <c r="S182" s="86" t="str">
        <f t="shared" si="32"/>
        <v>Khớp</v>
      </c>
      <c r="T182" s="86"/>
      <c r="U182" s="86"/>
    </row>
    <row r="183" spans="1:21" ht="24" customHeight="1">
      <c r="A183" s="86" t="str">
        <f>F01_UC2!A252</f>
        <v>RCV-INV-F01-0111</v>
      </c>
      <c r="B183" s="86" t="str">
        <f>F01_UC2!B252</f>
        <v>INV-F01-0111</v>
      </c>
      <c r="C183" s="86" t="str">
        <f>F01_UC2!C252</f>
        <v>BYR-F01-002</v>
      </c>
      <c r="D183" s="86" t="str">
        <f>F01_UC2!D252</f>
        <v>IN</v>
      </c>
      <c r="E183" s="99">
        <f>F01_UC2!E252</f>
        <v>280070317</v>
      </c>
      <c r="F183" s="100">
        <f>F01_UC2!N252</f>
        <v>46253</v>
      </c>
      <c r="G183" s="100">
        <f>F01_UC2!M252</f>
        <v>0</v>
      </c>
      <c r="H183" s="86" t="str">
        <f>F01_UC2!P252</f>
        <v>Thu công nợ</v>
      </c>
      <c r="I183" s="86">
        <f>F01_UC2!Q252</f>
        <v>0</v>
      </c>
      <c r="J183" s="99">
        <f t="shared" ref="J183:J214" si="33">IF(AND($B$34="Hợp lệ",D183="IN",H183="Thu công nợ",C183=$B$7,OR(G183=0,$B$12=1),K183&lt;&gt;F183),E183*$B$28,0)</f>
        <v>140035158.5</v>
      </c>
      <c r="K183" s="98">
        <f>MAX(F01_UC2!$B$6,F183+$B$29)</f>
        <v>46246</v>
      </c>
      <c r="L183" s="99">
        <f t="shared" ref="L183:L214" si="34">J183-M183</f>
        <v>138634806.91499999</v>
      </c>
      <c r="M183" s="99">
        <f t="shared" ref="M183:M214" si="35">IF(K183&lt;F183,J183*$B$30,0)</f>
        <v>1400351.585</v>
      </c>
      <c r="N183" s="99">
        <f t="shared" ref="N183:N214" si="36">IF(AND($B$34="Hợp lệ",D183="OUT",H183="Trả NCC",C183=$B$13,OR(I183=0,$B$17=1),O183&lt;&gt;F183),E183*$B$31,0)</f>
        <v>0</v>
      </c>
      <c r="O183" s="98">
        <f t="shared" ref="O183:O214" si="37">F183+$B$15</f>
        <v>46267</v>
      </c>
      <c r="P183" s="99">
        <f t="shared" ref="P183:P214" si="38">N183+Q183</f>
        <v>0</v>
      </c>
      <c r="Q183" s="99">
        <f t="shared" ref="Q183:Q214" si="39">N183*$B$16</f>
        <v>0</v>
      </c>
      <c r="R183" s="99">
        <f t="shared" ref="R183:R214" si="40">E183-J183-N183</f>
        <v>140035158.5</v>
      </c>
      <c r="S183" s="86" t="str">
        <f t="shared" ref="S183:S214" si="41">IF(AND(J183&gt;=0,N183&gt;=0,R183&gt;=0,ABS(R183+J183+N183-E183)&lt;=$B$27),"Khớp","LỆCH")</f>
        <v>Khớp</v>
      </c>
      <c r="T183" s="86"/>
      <c r="U183" s="86"/>
    </row>
    <row r="184" spans="1:21" ht="24" customHeight="1">
      <c r="A184" s="86" t="str">
        <f>F01_UC2!A253</f>
        <v>PAY-BILL-F01-0079</v>
      </c>
      <c r="B184" s="86" t="str">
        <f>F01_UC2!B253</f>
        <v>BILL-F01-0079</v>
      </c>
      <c r="C184" s="86" t="str">
        <f>F01_UC2!C253</f>
        <v>SUP-F01-002</v>
      </c>
      <c r="D184" s="86" t="str">
        <f>F01_UC2!D253</f>
        <v>OUT</v>
      </c>
      <c r="E184" s="99">
        <f>F01_UC2!E253</f>
        <v>42900171</v>
      </c>
      <c r="F184" s="100">
        <f>F01_UC2!N253</f>
        <v>46199</v>
      </c>
      <c r="G184" s="100">
        <f>F01_UC2!M253</f>
        <v>0</v>
      </c>
      <c r="H184" s="86" t="str">
        <f>F01_UC2!P253</f>
        <v>Trả NCC</v>
      </c>
      <c r="I184" s="86">
        <f>F01_UC2!Q253</f>
        <v>0</v>
      </c>
      <c r="J184" s="99">
        <f t="shared" si="33"/>
        <v>0</v>
      </c>
      <c r="K184" s="98">
        <f>MAX(F01_UC2!$B$6,F184+$B$29)</f>
        <v>46194</v>
      </c>
      <c r="L184" s="99">
        <f t="shared" si="34"/>
        <v>0</v>
      </c>
      <c r="M184" s="99">
        <f t="shared" si="35"/>
        <v>0</v>
      </c>
      <c r="N184" s="99">
        <f t="shared" si="36"/>
        <v>0</v>
      </c>
      <c r="O184" s="98">
        <f t="shared" si="37"/>
        <v>46213</v>
      </c>
      <c r="P184" s="99">
        <f t="shared" si="38"/>
        <v>0</v>
      </c>
      <c r="Q184" s="99">
        <f t="shared" si="39"/>
        <v>0</v>
      </c>
      <c r="R184" s="99">
        <f t="shared" si="40"/>
        <v>42900171</v>
      </c>
      <c r="S184" s="86" t="str">
        <f t="shared" si="41"/>
        <v>Khớp</v>
      </c>
      <c r="T184" s="86"/>
      <c r="U184" s="86"/>
    </row>
    <row r="185" spans="1:21" ht="24" customHeight="1">
      <c r="A185" s="86" t="str">
        <f>F01_UC2!A254</f>
        <v>PAY-BILL-F01-0080</v>
      </c>
      <c r="B185" s="86" t="str">
        <f>F01_UC2!B254</f>
        <v>BILL-F01-0080</v>
      </c>
      <c r="C185" s="86" t="str">
        <f>F01_UC2!C254</f>
        <v>SUP-F01-002</v>
      </c>
      <c r="D185" s="86" t="str">
        <f>F01_UC2!D254</f>
        <v>OUT</v>
      </c>
      <c r="E185" s="99">
        <f>F01_UC2!E254</f>
        <v>42354953</v>
      </c>
      <c r="F185" s="100">
        <f>F01_UC2!N254</f>
        <v>46200</v>
      </c>
      <c r="G185" s="100">
        <f>F01_UC2!M254</f>
        <v>0</v>
      </c>
      <c r="H185" s="86" t="str">
        <f>F01_UC2!P254</f>
        <v>Trả NCC</v>
      </c>
      <c r="I185" s="86">
        <f>F01_UC2!Q254</f>
        <v>0</v>
      </c>
      <c r="J185" s="99">
        <f t="shared" si="33"/>
        <v>0</v>
      </c>
      <c r="K185" s="98">
        <f>MAX(F01_UC2!$B$6,F185+$B$29)</f>
        <v>46194</v>
      </c>
      <c r="L185" s="99">
        <f t="shared" si="34"/>
        <v>0</v>
      </c>
      <c r="M185" s="99">
        <f t="shared" si="35"/>
        <v>0</v>
      </c>
      <c r="N185" s="99">
        <f t="shared" si="36"/>
        <v>0</v>
      </c>
      <c r="O185" s="98">
        <f t="shared" si="37"/>
        <v>46214</v>
      </c>
      <c r="P185" s="99">
        <f t="shared" si="38"/>
        <v>0</v>
      </c>
      <c r="Q185" s="99">
        <f t="shared" si="39"/>
        <v>0</v>
      </c>
      <c r="R185" s="99">
        <f t="shared" si="40"/>
        <v>42354953</v>
      </c>
      <c r="S185" s="86" t="str">
        <f t="shared" si="41"/>
        <v>Khớp</v>
      </c>
      <c r="T185" s="86"/>
      <c r="U185" s="86"/>
    </row>
    <row r="186" spans="1:21" ht="24" customHeight="1">
      <c r="A186" s="86" t="str">
        <f>F01_UC2!A255</f>
        <v>PAY-BILL-F01-0085</v>
      </c>
      <c r="B186" s="86" t="str">
        <f>F01_UC2!B255</f>
        <v>BILL-F01-0085</v>
      </c>
      <c r="C186" s="86" t="str">
        <f>F01_UC2!C255</f>
        <v>SUP-F01-008</v>
      </c>
      <c r="D186" s="86" t="str">
        <f>F01_UC2!D255</f>
        <v>OUT</v>
      </c>
      <c r="E186" s="99">
        <f>F01_UC2!E255</f>
        <v>36610051</v>
      </c>
      <c r="F186" s="100">
        <f>F01_UC2!N255</f>
        <v>46201</v>
      </c>
      <c r="G186" s="100">
        <f>F01_UC2!M255</f>
        <v>0</v>
      </c>
      <c r="H186" s="86" t="str">
        <f>F01_UC2!P255</f>
        <v>Trả NCC</v>
      </c>
      <c r="I186" s="86">
        <f>F01_UC2!Q255</f>
        <v>0</v>
      </c>
      <c r="J186" s="99">
        <f t="shared" si="33"/>
        <v>0</v>
      </c>
      <c r="K186" s="98">
        <f>MAX(F01_UC2!$B$6,F186+$B$29)</f>
        <v>46194</v>
      </c>
      <c r="L186" s="99">
        <f t="shared" si="34"/>
        <v>0</v>
      </c>
      <c r="M186" s="99">
        <f t="shared" si="35"/>
        <v>0</v>
      </c>
      <c r="N186" s="99">
        <f t="shared" si="36"/>
        <v>0</v>
      </c>
      <c r="O186" s="98">
        <f t="shared" si="37"/>
        <v>46215</v>
      </c>
      <c r="P186" s="99">
        <f t="shared" si="38"/>
        <v>0</v>
      </c>
      <c r="Q186" s="99">
        <f t="shared" si="39"/>
        <v>0</v>
      </c>
      <c r="R186" s="99">
        <f t="shared" si="40"/>
        <v>36610051</v>
      </c>
      <c r="S186" s="86" t="str">
        <f t="shared" si="41"/>
        <v>Khớp</v>
      </c>
      <c r="T186" s="86"/>
      <c r="U186" s="86"/>
    </row>
    <row r="187" spans="1:21" ht="24" customHeight="1">
      <c r="A187" s="86" t="str">
        <f>F01_UC2!A256</f>
        <v>PAY-BILL-F01-0086</v>
      </c>
      <c r="B187" s="86" t="str">
        <f>F01_UC2!B256</f>
        <v>BILL-F01-0086</v>
      </c>
      <c r="C187" s="86" t="str">
        <f>F01_UC2!C256</f>
        <v>SUP-F01-002</v>
      </c>
      <c r="D187" s="86" t="str">
        <f>F01_UC2!D256</f>
        <v>OUT</v>
      </c>
      <c r="E187" s="99">
        <f>F01_UC2!E256</f>
        <v>86112489</v>
      </c>
      <c r="F187" s="100">
        <f>F01_UC2!N256</f>
        <v>46202</v>
      </c>
      <c r="G187" s="100">
        <f>F01_UC2!M256</f>
        <v>0</v>
      </c>
      <c r="H187" s="86" t="str">
        <f>F01_UC2!P256</f>
        <v>Trả NCC</v>
      </c>
      <c r="I187" s="86">
        <f>F01_UC2!Q256</f>
        <v>0</v>
      </c>
      <c r="J187" s="99">
        <f t="shared" si="33"/>
        <v>0</v>
      </c>
      <c r="K187" s="98">
        <f>MAX(F01_UC2!$B$6,F187+$B$29)</f>
        <v>46195</v>
      </c>
      <c r="L187" s="99">
        <f t="shared" si="34"/>
        <v>0</v>
      </c>
      <c r="M187" s="99">
        <f t="shared" si="35"/>
        <v>0</v>
      </c>
      <c r="N187" s="99">
        <f t="shared" si="36"/>
        <v>0</v>
      </c>
      <c r="O187" s="98">
        <f t="shared" si="37"/>
        <v>46216</v>
      </c>
      <c r="P187" s="99">
        <f t="shared" si="38"/>
        <v>0</v>
      </c>
      <c r="Q187" s="99">
        <f t="shared" si="39"/>
        <v>0</v>
      </c>
      <c r="R187" s="99">
        <f t="shared" si="40"/>
        <v>86112489</v>
      </c>
      <c r="S187" s="86" t="str">
        <f t="shared" si="41"/>
        <v>Khớp</v>
      </c>
      <c r="T187" s="86"/>
      <c r="U187" s="86"/>
    </row>
    <row r="188" spans="1:21" ht="24" customHeight="1">
      <c r="A188" s="86" t="str">
        <f>F01_UC2!A257</f>
        <v>PAY-BILL-F01-0092</v>
      </c>
      <c r="B188" s="86" t="str">
        <f>F01_UC2!B257</f>
        <v>BILL-F01-0092</v>
      </c>
      <c r="C188" s="86" t="str">
        <f>F01_UC2!C257</f>
        <v>SUP-F01-002</v>
      </c>
      <c r="D188" s="86" t="str">
        <f>F01_UC2!D257</f>
        <v>OUT</v>
      </c>
      <c r="E188" s="99">
        <f>F01_UC2!E257</f>
        <v>29191344</v>
      </c>
      <c r="F188" s="100">
        <f>F01_UC2!N257</f>
        <v>46198</v>
      </c>
      <c r="G188" s="100">
        <f>F01_UC2!M257</f>
        <v>0</v>
      </c>
      <c r="H188" s="86" t="str">
        <f>F01_UC2!P257</f>
        <v>Trả NCC</v>
      </c>
      <c r="I188" s="86">
        <f>F01_UC2!Q257</f>
        <v>0</v>
      </c>
      <c r="J188" s="99">
        <f t="shared" si="33"/>
        <v>0</v>
      </c>
      <c r="K188" s="98">
        <f>MAX(F01_UC2!$B$6,F188+$B$29)</f>
        <v>46194</v>
      </c>
      <c r="L188" s="99">
        <f t="shared" si="34"/>
        <v>0</v>
      </c>
      <c r="M188" s="99">
        <f t="shared" si="35"/>
        <v>0</v>
      </c>
      <c r="N188" s="99">
        <f t="shared" si="36"/>
        <v>0</v>
      </c>
      <c r="O188" s="98">
        <f t="shared" si="37"/>
        <v>46212</v>
      </c>
      <c r="P188" s="99">
        <f t="shared" si="38"/>
        <v>0</v>
      </c>
      <c r="Q188" s="99">
        <f t="shared" si="39"/>
        <v>0</v>
      </c>
      <c r="R188" s="99">
        <f t="shared" si="40"/>
        <v>29191344</v>
      </c>
      <c r="S188" s="86" t="str">
        <f t="shared" si="41"/>
        <v>Khớp</v>
      </c>
      <c r="T188" s="86"/>
      <c r="U188" s="86"/>
    </row>
    <row r="189" spans="1:21" ht="24" customHeight="1">
      <c r="A189" s="86" t="str">
        <f>F01_UC2!A258</f>
        <v>PAY-BILL-F01-0105</v>
      </c>
      <c r="B189" s="86" t="str">
        <f>F01_UC2!B258</f>
        <v>BILL-F01-0105</v>
      </c>
      <c r="C189" s="86" t="str">
        <f>F01_UC2!C258</f>
        <v>SUP-F01-002</v>
      </c>
      <c r="D189" s="86" t="str">
        <f>F01_UC2!D258</f>
        <v>OUT</v>
      </c>
      <c r="E189" s="99">
        <f>F01_UC2!E258</f>
        <v>72026311</v>
      </c>
      <c r="F189" s="100">
        <f>F01_UC2!N258</f>
        <v>46223</v>
      </c>
      <c r="G189" s="100">
        <f>F01_UC2!M258</f>
        <v>0</v>
      </c>
      <c r="H189" s="86" t="str">
        <f>F01_UC2!P258</f>
        <v>Trả NCC</v>
      </c>
      <c r="I189" s="86">
        <f>F01_UC2!Q258</f>
        <v>0</v>
      </c>
      <c r="J189" s="99">
        <f t="shared" si="33"/>
        <v>0</v>
      </c>
      <c r="K189" s="98">
        <f>MAX(F01_UC2!$B$6,F189+$B$29)</f>
        <v>46216</v>
      </c>
      <c r="L189" s="99">
        <f t="shared" si="34"/>
        <v>0</v>
      </c>
      <c r="M189" s="99">
        <f t="shared" si="35"/>
        <v>0</v>
      </c>
      <c r="N189" s="99">
        <f t="shared" si="36"/>
        <v>0</v>
      </c>
      <c r="O189" s="98">
        <f t="shared" si="37"/>
        <v>46237</v>
      </c>
      <c r="P189" s="99">
        <f t="shared" si="38"/>
        <v>0</v>
      </c>
      <c r="Q189" s="99">
        <f t="shared" si="39"/>
        <v>0</v>
      </c>
      <c r="R189" s="99">
        <f t="shared" si="40"/>
        <v>72026311</v>
      </c>
      <c r="S189" s="86" t="str">
        <f t="shared" si="41"/>
        <v>Khớp</v>
      </c>
      <c r="T189" s="86"/>
      <c r="U189" s="86"/>
    </row>
    <row r="190" spans="1:21" ht="24" customHeight="1">
      <c r="A190" s="86" t="str">
        <f>F01_UC2!A259</f>
        <v>PAY-BILL-F01-0106</v>
      </c>
      <c r="B190" s="86" t="str">
        <f>F01_UC2!B259</f>
        <v>BILL-F01-0106</v>
      </c>
      <c r="C190" s="86" t="str">
        <f>F01_UC2!C259</f>
        <v>SUP-F01-002</v>
      </c>
      <c r="D190" s="86" t="str">
        <f>F01_UC2!D259</f>
        <v>OUT</v>
      </c>
      <c r="E190" s="99">
        <f>F01_UC2!E259</f>
        <v>62787437</v>
      </c>
      <c r="F190" s="100">
        <f>F01_UC2!N259</f>
        <v>46227</v>
      </c>
      <c r="G190" s="100">
        <f>F01_UC2!M259</f>
        <v>0</v>
      </c>
      <c r="H190" s="86" t="str">
        <f>F01_UC2!P259</f>
        <v>Trả NCC</v>
      </c>
      <c r="I190" s="86">
        <f>F01_UC2!Q259</f>
        <v>0</v>
      </c>
      <c r="J190" s="99">
        <f t="shared" si="33"/>
        <v>0</v>
      </c>
      <c r="K190" s="98">
        <f>MAX(F01_UC2!$B$6,F190+$B$29)</f>
        <v>46220</v>
      </c>
      <c r="L190" s="99">
        <f t="shared" si="34"/>
        <v>0</v>
      </c>
      <c r="M190" s="99">
        <f t="shared" si="35"/>
        <v>0</v>
      </c>
      <c r="N190" s="99">
        <f t="shared" si="36"/>
        <v>0</v>
      </c>
      <c r="O190" s="98">
        <f t="shared" si="37"/>
        <v>46241</v>
      </c>
      <c r="P190" s="99">
        <f t="shared" si="38"/>
        <v>0</v>
      </c>
      <c r="Q190" s="99">
        <f t="shared" si="39"/>
        <v>0</v>
      </c>
      <c r="R190" s="99">
        <f t="shared" si="40"/>
        <v>62787437</v>
      </c>
      <c r="S190" s="86" t="str">
        <f t="shared" si="41"/>
        <v>Khớp</v>
      </c>
      <c r="T190" s="86"/>
      <c r="U190" s="86"/>
    </row>
    <row r="191" spans="1:21" ht="24" customHeight="1">
      <c r="A191" s="86" t="str">
        <f>F01_UC2!A260</f>
        <v>PAY-BILL-F01-0109</v>
      </c>
      <c r="B191" s="86" t="str">
        <f>F01_UC2!B260</f>
        <v>BILL-F01-0109</v>
      </c>
      <c r="C191" s="86" t="str">
        <f>F01_UC2!C260</f>
        <v>SUP-F01-002</v>
      </c>
      <c r="D191" s="86" t="str">
        <f>F01_UC2!D260</f>
        <v>OUT</v>
      </c>
      <c r="E191" s="99">
        <f>F01_UC2!E260</f>
        <v>29342563</v>
      </c>
      <c r="F191" s="100">
        <f>F01_UC2!N260</f>
        <v>46231</v>
      </c>
      <c r="G191" s="100">
        <f>F01_UC2!M260</f>
        <v>0</v>
      </c>
      <c r="H191" s="86" t="str">
        <f>F01_UC2!P260</f>
        <v>Trả NCC</v>
      </c>
      <c r="I191" s="86">
        <f>F01_UC2!Q260</f>
        <v>0</v>
      </c>
      <c r="J191" s="99">
        <f t="shared" si="33"/>
        <v>0</v>
      </c>
      <c r="K191" s="98">
        <f>MAX(F01_UC2!$B$6,F191+$B$29)</f>
        <v>46224</v>
      </c>
      <c r="L191" s="99">
        <f t="shared" si="34"/>
        <v>0</v>
      </c>
      <c r="M191" s="99">
        <f t="shared" si="35"/>
        <v>0</v>
      </c>
      <c r="N191" s="99">
        <f t="shared" si="36"/>
        <v>0</v>
      </c>
      <c r="O191" s="98">
        <f t="shared" si="37"/>
        <v>46245</v>
      </c>
      <c r="P191" s="99">
        <f t="shared" si="38"/>
        <v>0</v>
      </c>
      <c r="Q191" s="99">
        <f t="shared" si="39"/>
        <v>0</v>
      </c>
      <c r="R191" s="99">
        <f t="shared" si="40"/>
        <v>29342563</v>
      </c>
      <c r="S191" s="86" t="str">
        <f t="shared" si="41"/>
        <v>Khớp</v>
      </c>
      <c r="T191" s="86"/>
      <c r="U191" s="86"/>
    </row>
    <row r="192" spans="1:21" ht="24" customHeight="1">
      <c r="A192" s="86" t="str">
        <f>F01_UC2!A261</f>
        <v>PAY-BILL-F01-0112</v>
      </c>
      <c r="B192" s="86" t="str">
        <f>F01_UC2!B261</f>
        <v>BILL-F01-0112</v>
      </c>
      <c r="C192" s="86" t="str">
        <f>F01_UC2!C261</f>
        <v>SUP-F01-008</v>
      </c>
      <c r="D192" s="86" t="str">
        <f>F01_UC2!D261</f>
        <v>OUT</v>
      </c>
      <c r="E192" s="99">
        <f>F01_UC2!E261</f>
        <v>51253933</v>
      </c>
      <c r="F192" s="100">
        <f>F01_UC2!N261</f>
        <v>46204</v>
      </c>
      <c r="G192" s="100">
        <f>F01_UC2!M261</f>
        <v>0</v>
      </c>
      <c r="H192" s="86" t="str">
        <f>F01_UC2!P261</f>
        <v>Trả NCC</v>
      </c>
      <c r="I192" s="86">
        <f>F01_UC2!Q261</f>
        <v>0</v>
      </c>
      <c r="J192" s="99">
        <f t="shared" si="33"/>
        <v>0</v>
      </c>
      <c r="K192" s="98">
        <f>MAX(F01_UC2!$B$6,F192+$B$29)</f>
        <v>46197</v>
      </c>
      <c r="L192" s="99">
        <f t="shared" si="34"/>
        <v>0</v>
      </c>
      <c r="M192" s="99">
        <f t="shared" si="35"/>
        <v>0</v>
      </c>
      <c r="N192" s="99">
        <f t="shared" si="36"/>
        <v>0</v>
      </c>
      <c r="O192" s="98">
        <f t="shared" si="37"/>
        <v>46218</v>
      </c>
      <c r="P192" s="99">
        <f t="shared" si="38"/>
        <v>0</v>
      </c>
      <c r="Q192" s="99">
        <f t="shared" si="39"/>
        <v>0</v>
      </c>
      <c r="R192" s="99">
        <f t="shared" si="40"/>
        <v>51253933</v>
      </c>
      <c r="S192" s="86" t="str">
        <f t="shared" si="41"/>
        <v>Khớp</v>
      </c>
      <c r="T192" s="86"/>
      <c r="U192" s="86"/>
    </row>
    <row r="193" spans="1:21" ht="24" customHeight="1">
      <c r="A193" s="86" t="str">
        <f>F01_UC2!A262</f>
        <v>PAY-BILL-F01-0114</v>
      </c>
      <c r="B193" s="86" t="str">
        <f>F01_UC2!B262</f>
        <v>BILL-F01-0114</v>
      </c>
      <c r="C193" s="86" t="str">
        <f>F01_UC2!C262</f>
        <v>SUP-F01-001</v>
      </c>
      <c r="D193" s="86" t="str">
        <f>F01_UC2!D262</f>
        <v>OUT</v>
      </c>
      <c r="E193" s="99">
        <f>F01_UC2!E262</f>
        <v>61901632</v>
      </c>
      <c r="F193" s="100">
        <f>F01_UC2!N262</f>
        <v>46206</v>
      </c>
      <c r="G193" s="100">
        <f>F01_UC2!M262</f>
        <v>0</v>
      </c>
      <c r="H193" s="86" t="str">
        <f>F01_UC2!P262</f>
        <v>Trả NCC</v>
      </c>
      <c r="I193" s="86">
        <f>F01_UC2!Q262</f>
        <v>1</v>
      </c>
      <c r="J193" s="99">
        <f t="shared" si="33"/>
        <v>0</v>
      </c>
      <c r="K193" s="98">
        <f>MAX(F01_UC2!$B$6,F193+$B$29)</f>
        <v>46199</v>
      </c>
      <c r="L193" s="99">
        <f t="shared" si="34"/>
        <v>0</v>
      </c>
      <c r="M193" s="99">
        <f t="shared" si="35"/>
        <v>0</v>
      </c>
      <c r="N193" s="99">
        <f t="shared" si="36"/>
        <v>30950816</v>
      </c>
      <c r="O193" s="98">
        <f t="shared" si="37"/>
        <v>46220</v>
      </c>
      <c r="P193" s="99">
        <f t="shared" si="38"/>
        <v>31105570.079999998</v>
      </c>
      <c r="Q193" s="99">
        <f t="shared" si="39"/>
        <v>154754.08000000002</v>
      </c>
      <c r="R193" s="99">
        <f t="shared" si="40"/>
        <v>30950816</v>
      </c>
      <c r="S193" s="86" t="str">
        <f t="shared" si="41"/>
        <v>Khớp</v>
      </c>
      <c r="T193" s="86"/>
      <c r="U193" s="86"/>
    </row>
    <row r="194" spans="1:21" ht="24" customHeight="1">
      <c r="A194" s="86" t="str">
        <f>F01_UC2!A263</f>
        <v>PAY-BILL-F01-0115</v>
      </c>
      <c r="B194" s="86" t="str">
        <f>F01_UC2!B263</f>
        <v>BILL-F01-0115</v>
      </c>
      <c r="C194" s="86" t="str">
        <f>F01_UC2!C263</f>
        <v>SUP-F01-007</v>
      </c>
      <c r="D194" s="86" t="str">
        <f>F01_UC2!D263</f>
        <v>OUT</v>
      </c>
      <c r="E194" s="99">
        <f>F01_UC2!E263</f>
        <v>163227499</v>
      </c>
      <c r="F194" s="100">
        <f>F01_UC2!N263</f>
        <v>46199</v>
      </c>
      <c r="G194" s="100">
        <f>F01_UC2!M263</f>
        <v>0</v>
      </c>
      <c r="H194" s="86" t="str">
        <f>F01_UC2!P263</f>
        <v>Trả NCC</v>
      </c>
      <c r="I194" s="86">
        <f>F01_UC2!Q263</f>
        <v>0</v>
      </c>
      <c r="J194" s="99">
        <f t="shared" si="33"/>
        <v>0</v>
      </c>
      <c r="K194" s="98">
        <f>MAX(F01_UC2!$B$6,F194+$B$29)</f>
        <v>46194</v>
      </c>
      <c r="L194" s="99">
        <f t="shared" si="34"/>
        <v>0</v>
      </c>
      <c r="M194" s="99">
        <f t="shared" si="35"/>
        <v>0</v>
      </c>
      <c r="N194" s="99">
        <f t="shared" si="36"/>
        <v>0</v>
      </c>
      <c r="O194" s="98">
        <f t="shared" si="37"/>
        <v>46213</v>
      </c>
      <c r="P194" s="99">
        <f t="shared" si="38"/>
        <v>0</v>
      </c>
      <c r="Q194" s="99">
        <f t="shared" si="39"/>
        <v>0</v>
      </c>
      <c r="R194" s="99">
        <f t="shared" si="40"/>
        <v>163227499</v>
      </c>
      <c r="S194" s="86" t="str">
        <f t="shared" si="41"/>
        <v>Khớp</v>
      </c>
      <c r="T194" s="86"/>
      <c r="U194" s="86"/>
    </row>
    <row r="195" spans="1:21" ht="24" customHeight="1">
      <c r="A195" s="86" t="str">
        <f>F01_UC2!A264</f>
        <v>PAY-BILL-F01-0116</v>
      </c>
      <c r="B195" s="86" t="str">
        <f>F01_UC2!B264</f>
        <v>BILL-F01-0116</v>
      </c>
      <c r="C195" s="86" t="str">
        <f>F01_UC2!C264</f>
        <v>SUP-F01-003</v>
      </c>
      <c r="D195" s="86" t="str">
        <f>F01_UC2!D264</f>
        <v>OUT</v>
      </c>
      <c r="E195" s="99">
        <f>F01_UC2!E264</f>
        <v>26794745</v>
      </c>
      <c r="F195" s="100">
        <f>F01_UC2!N264</f>
        <v>46194</v>
      </c>
      <c r="G195" s="100">
        <f>F01_UC2!M264</f>
        <v>0</v>
      </c>
      <c r="H195" s="86" t="str">
        <f>F01_UC2!P264</f>
        <v>Trả NCC</v>
      </c>
      <c r="I195" s="86">
        <f>F01_UC2!Q264</f>
        <v>1</v>
      </c>
      <c r="J195" s="99">
        <f t="shared" si="33"/>
        <v>0</v>
      </c>
      <c r="K195" s="98">
        <f>MAX(F01_UC2!$B$6,F195+$B$29)</f>
        <v>46194</v>
      </c>
      <c r="L195" s="99">
        <f t="shared" si="34"/>
        <v>0</v>
      </c>
      <c r="M195" s="99">
        <f t="shared" si="35"/>
        <v>0</v>
      </c>
      <c r="N195" s="99">
        <f t="shared" si="36"/>
        <v>0</v>
      </c>
      <c r="O195" s="98">
        <f t="shared" si="37"/>
        <v>46208</v>
      </c>
      <c r="P195" s="99">
        <f t="shared" si="38"/>
        <v>0</v>
      </c>
      <c r="Q195" s="99">
        <f t="shared" si="39"/>
        <v>0</v>
      </c>
      <c r="R195" s="99">
        <f t="shared" si="40"/>
        <v>26794745</v>
      </c>
      <c r="S195" s="86" t="str">
        <f t="shared" si="41"/>
        <v>Khớp</v>
      </c>
      <c r="T195" s="86"/>
      <c r="U195" s="86"/>
    </row>
    <row r="196" spans="1:21" ht="24" customHeight="1">
      <c r="A196" s="86" t="str">
        <f>F01_UC2!A265</f>
        <v>PAY-BILL-F01-0117</v>
      </c>
      <c r="B196" s="86" t="str">
        <f>F01_UC2!B265</f>
        <v>BILL-F01-0117</v>
      </c>
      <c r="C196" s="86" t="str">
        <f>F01_UC2!C265</f>
        <v>SUP-F01-005</v>
      </c>
      <c r="D196" s="86" t="str">
        <f>F01_UC2!D265</f>
        <v>OUT</v>
      </c>
      <c r="E196" s="99">
        <f>F01_UC2!E265</f>
        <v>154290368</v>
      </c>
      <c r="F196" s="100">
        <f>F01_UC2!N265</f>
        <v>46210</v>
      </c>
      <c r="G196" s="100">
        <f>F01_UC2!M265</f>
        <v>0</v>
      </c>
      <c r="H196" s="86" t="str">
        <f>F01_UC2!P265</f>
        <v>Trả NCC</v>
      </c>
      <c r="I196" s="86">
        <f>F01_UC2!Q265</f>
        <v>0</v>
      </c>
      <c r="J196" s="99">
        <f t="shared" si="33"/>
        <v>0</v>
      </c>
      <c r="K196" s="98">
        <f>MAX(F01_UC2!$B$6,F196+$B$29)</f>
        <v>46203</v>
      </c>
      <c r="L196" s="99">
        <f t="shared" si="34"/>
        <v>0</v>
      </c>
      <c r="M196" s="99">
        <f t="shared" si="35"/>
        <v>0</v>
      </c>
      <c r="N196" s="99">
        <f t="shared" si="36"/>
        <v>0</v>
      </c>
      <c r="O196" s="98">
        <f t="shared" si="37"/>
        <v>46224</v>
      </c>
      <c r="P196" s="99">
        <f t="shared" si="38"/>
        <v>0</v>
      </c>
      <c r="Q196" s="99">
        <f t="shared" si="39"/>
        <v>0</v>
      </c>
      <c r="R196" s="99">
        <f t="shared" si="40"/>
        <v>154290368</v>
      </c>
      <c r="S196" s="86" t="str">
        <f t="shared" si="41"/>
        <v>Khớp</v>
      </c>
      <c r="T196" s="86"/>
      <c r="U196" s="86"/>
    </row>
    <row r="197" spans="1:21" ht="24" customHeight="1">
      <c r="A197" s="86" t="str">
        <f>F01_UC2!A266</f>
        <v>PAY-BILL-F01-0119</v>
      </c>
      <c r="B197" s="86" t="str">
        <f>F01_UC2!B266</f>
        <v>BILL-F01-0119</v>
      </c>
      <c r="C197" s="86" t="str">
        <f>F01_UC2!C266</f>
        <v>SUP-F01-003</v>
      </c>
      <c r="D197" s="86" t="str">
        <f>F01_UC2!D266</f>
        <v>OUT</v>
      </c>
      <c r="E197" s="99">
        <f>F01_UC2!E266</f>
        <v>11188062</v>
      </c>
      <c r="F197" s="100">
        <f>F01_UC2!N266</f>
        <v>46200</v>
      </c>
      <c r="G197" s="100">
        <f>F01_UC2!M266</f>
        <v>0</v>
      </c>
      <c r="H197" s="86" t="str">
        <f>F01_UC2!P266</f>
        <v>Trả NCC</v>
      </c>
      <c r="I197" s="86">
        <f>F01_UC2!Q266</f>
        <v>1</v>
      </c>
      <c r="J197" s="99">
        <f t="shared" si="33"/>
        <v>0</v>
      </c>
      <c r="K197" s="98">
        <f>MAX(F01_UC2!$B$6,F197+$B$29)</f>
        <v>46194</v>
      </c>
      <c r="L197" s="99">
        <f t="shared" si="34"/>
        <v>0</v>
      </c>
      <c r="M197" s="99">
        <f t="shared" si="35"/>
        <v>0</v>
      </c>
      <c r="N197" s="99">
        <f t="shared" si="36"/>
        <v>0</v>
      </c>
      <c r="O197" s="98">
        <f t="shared" si="37"/>
        <v>46214</v>
      </c>
      <c r="P197" s="99">
        <f t="shared" si="38"/>
        <v>0</v>
      </c>
      <c r="Q197" s="99">
        <f t="shared" si="39"/>
        <v>0</v>
      </c>
      <c r="R197" s="99">
        <f t="shared" si="40"/>
        <v>11188062</v>
      </c>
      <c r="S197" s="86" t="str">
        <f t="shared" si="41"/>
        <v>Khớp</v>
      </c>
      <c r="T197" s="86"/>
      <c r="U197" s="86"/>
    </row>
    <row r="198" spans="1:21" ht="24" customHeight="1">
      <c r="A198" s="86" t="str">
        <f>F01_UC2!A267</f>
        <v>PAY-BILL-F01-0120</v>
      </c>
      <c r="B198" s="86" t="str">
        <f>F01_UC2!B267</f>
        <v>BILL-F01-0120</v>
      </c>
      <c r="C198" s="86" t="str">
        <f>F01_UC2!C267</f>
        <v>SUP-F01-009</v>
      </c>
      <c r="D198" s="86" t="str">
        <f>F01_UC2!D267</f>
        <v>OUT</v>
      </c>
      <c r="E198" s="99">
        <f>F01_UC2!E267</f>
        <v>57768105</v>
      </c>
      <c r="F198" s="100">
        <f>F01_UC2!N267</f>
        <v>46217</v>
      </c>
      <c r="G198" s="100">
        <f>F01_UC2!M267</f>
        <v>0</v>
      </c>
      <c r="H198" s="86" t="str">
        <f>F01_UC2!P267</f>
        <v>Trả NCC</v>
      </c>
      <c r="I198" s="86">
        <f>F01_UC2!Q267</f>
        <v>1</v>
      </c>
      <c r="J198" s="99">
        <f t="shared" si="33"/>
        <v>0</v>
      </c>
      <c r="K198" s="98">
        <f>MAX(F01_UC2!$B$6,F198+$B$29)</f>
        <v>46210</v>
      </c>
      <c r="L198" s="99">
        <f t="shared" si="34"/>
        <v>0</v>
      </c>
      <c r="M198" s="99">
        <f t="shared" si="35"/>
        <v>0</v>
      </c>
      <c r="N198" s="99">
        <f t="shared" si="36"/>
        <v>0</v>
      </c>
      <c r="O198" s="98">
        <f t="shared" si="37"/>
        <v>46231</v>
      </c>
      <c r="P198" s="99">
        <f t="shared" si="38"/>
        <v>0</v>
      </c>
      <c r="Q198" s="99">
        <f t="shared" si="39"/>
        <v>0</v>
      </c>
      <c r="R198" s="99">
        <f t="shared" si="40"/>
        <v>57768105</v>
      </c>
      <c r="S198" s="86" t="str">
        <f t="shared" si="41"/>
        <v>Khớp</v>
      </c>
      <c r="T198" s="86"/>
      <c r="U198" s="86"/>
    </row>
    <row r="199" spans="1:21" ht="24" customHeight="1">
      <c r="A199" s="86" t="str">
        <f>F01_UC2!A268</f>
        <v>PAY-BILL-F01-0121</v>
      </c>
      <c r="B199" s="86" t="str">
        <f>F01_UC2!B268</f>
        <v>BILL-F01-0121</v>
      </c>
      <c r="C199" s="86" t="str">
        <f>F01_UC2!C268</f>
        <v>SUP-F01-001</v>
      </c>
      <c r="D199" s="86" t="str">
        <f>F01_UC2!D268</f>
        <v>OUT</v>
      </c>
      <c r="E199" s="99">
        <f>F01_UC2!E268</f>
        <v>122271660</v>
      </c>
      <c r="F199" s="100">
        <f>F01_UC2!N268</f>
        <v>46218</v>
      </c>
      <c r="G199" s="100">
        <f>F01_UC2!M268</f>
        <v>0</v>
      </c>
      <c r="H199" s="86" t="str">
        <f>F01_UC2!P268</f>
        <v>Trả NCC</v>
      </c>
      <c r="I199" s="86">
        <f>F01_UC2!Q268</f>
        <v>1</v>
      </c>
      <c r="J199" s="99">
        <f t="shared" si="33"/>
        <v>0</v>
      </c>
      <c r="K199" s="98">
        <f>MAX(F01_UC2!$B$6,F199+$B$29)</f>
        <v>46211</v>
      </c>
      <c r="L199" s="99">
        <f t="shared" si="34"/>
        <v>0</v>
      </c>
      <c r="M199" s="99">
        <f t="shared" si="35"/>
        <v>0</v>
      </c>
      <c r="N199" s="99">
        <f t="shared" si="36"/>
        <v>61135830</v>
      </c>
      <c r="O199" s="98">
        <f t="shared" si="37"/>
        <v>46232</v>
      </c>
      <c r="P199" s="99">
        <f t="shared" si="38"/>
        <v>61441509.149999999</v>
      </c>
      <c r="Q199" s="99">
        <f t="shared" si="39"/>
        <v>305679.15000000002</v>
      </c>
      <c r="R199" s="99">
        <f t="shared" si="40"/>
        <v>61135830</v>
      </c>
      <c r="S199" s="86" t="str">
        <f t="shared" si="41"/>
        <v>Khớp</v>
      </c>
      <c r="T199" s="86"/>
      <c r="U199" s="86"/>
    </row>
    <row r="200" spans="1:21" ht="24" customHeight="1">
      <c r="A200" s="86" t="str">
        <f>F01_UC2!A269</f>
        <v>PAY-BILL-F01-0122</v>
      </c>
      <c r="B200" s="86" t="str">
        <f>F01_UC2!B269</f>
        <v>BILL-F01-0122</v>
      </c>
      <c r="C200" s="86" t="str">
        <f>F01_UC2!C269</f>
        <v>SUP-F01-004</v>
      </c>
      <c r="D200" s="86" t="str">
        <f>F01_UC2!D269</f>
        <v>OUT</v>
      </c>
      <c r="E200" s="99">
        <f>F01_UC2!E269</f>
        <v>13574256</v>
      </c>
      <c r="F200" s="100">
        <f>F01_UC2!N269</f>
        <v>46205</v>
      </c>
      <c r="G200" s="100">
        <f>F01_UC2!M269</f>
        <v>0</v>
      </c>
      <c r="H200" s="86" t="str">
        <f>F01_UC2!P269</f>
        <v>Trả NCC</v>
      </c>
      <c r="I200" s="86">
        <f>F01_UC2!Q269</f>
        <v>0</v>
      </c>
      <c r="J200" s="99">
        <f t="shared" si="33"/>
        <v>0</v>
      </c>
      <c r="K200" s="98">
        <f>MAX(F01_UC2!$B$6,F200+$B$29)</f>
        <v>46198</v>
      </c>
      <c r="L200" s="99">
        <f t="shared" si="34"/>
        <v>0</v>
      </c>
      <c r="M200" s="99">
        <f t="shared" si="35"/>
        <v>0</v>
      </c>
      <c r="N200" s="99">
        <f t="shared" si="36"/>
        <v>0</v>
      </c>
      <c r="O200" s="98">
        <f t="shared" si="37"/>
        <v>46219</v>
      </c>
      <c r="P200" s="99">
        <f t="shared" si="38"/>
        <v>0</v>
      </c>
      <c r="Q200" s="99">
        <f t="shared" si="39"/>
        <v>0</v>
      </c>
      <c r="R200" s="99">
        <f t="shared" si="40"/>
        <v>13574256</v>
      </c>
      <c r="S200" s="86" t="str">
        <f t="shared" si="41"/>
        <v>Khớp</v>
      </c>
      <c r="T200" s="86"/>
      <c r="U200" s="86"/>
    </row>
    <row r="201" spans="1:21" ht="24" customHeight="1">
      <c r="A201" s="86" t="str">
        <f>F01_UC2!A270</f>
        <v>PAY-BILL-F01-0123</v>
      </c>
      <c r="B201" s="86" t="str">
        <f>F01_UC2!B270</f>
        <v>BILL-F01-0123</v>
      </c>
      <c r="C201" s="86" t="str">
        <f>F01_UC2!C270</f>
        <v>SUP-F01-001</v>
      </c>
      <c r="D201" s="86" t="str">
        <f>F01_UC2!D270</f>
        <v>OUT</v>
      </c>
      <c r="E201" s="99">
        <f>F01_UC2!E270</f>
        <v>95399225</v>
      </c>
      <c r="F201" s="100">
        <f>F01_UC2!N270</f>
        <v>46221</v>
      </c>
      <c r="G201" s="100">
        <f>F01_UC2!M270</f>
        <v>0</v>
      </c>
      <c r="H201" s="86" t="str">
        <f>F01_UC2!P270</f>
        <v>Trả NCC</v>
      </c>
      <c r="I201" s="86">
        <f>F01_UC2!Q270</f>
        <v>1</v>
      </c>
      <c r="J201" s="99">
        <f t="shared" si="33"/>
        <v>0</v>
      </c>
      <c r="K201" s="98">
        <f>MAX(F01_UC2!$B$6,F201+$B$29)</f>
        <v>46214</v>
      </c>
      <c r="L201" s="99">
        <f t="shared" si="34"/>
        <v>0</v>
      </c>
      <c r="M201" s="99">
        <f t="shared" si="35"/>
        <v>0</v>
      </c>
      <c r="N201" s="99">
        <f t="shared" si="36"/>
        <v>47699612.5</v>
      </c>
      <c r="O201" s="98">
        <f t="shared" si="37"/>
        <v>46235</v>
      </c>
      <c r="P201" s="99">
        <f t="shared" si="38"/>
        <v>47938110.5625</v>
      </c>
      <c r="Q201" s="99">
        <f t="shared" si="39"/>
        <v>238498.0625</v>
      </c>
      <c r="R201" s="99">
        <f t="shared" si="40"/>
        <v>47699612.5</v>
      </c>
      <c r="S201" s="86" t="str">
        <f t="shared" si="41"/>
        <v>Khớp</v>
      </c>
      <c r="T201" s="86"/>
      <c r="U201" s="86"/>
    </row>
    <row r="202" spans="1:21" ht="24" customHeight="1">
      <c r="A202" s="86" t="str">
        <f>F01_UC2!A271</f>
        <v>PAY-BILL-F01-0124</v>
      </c>
      <c r="B202" s="86" t="str">
        <f>F01_UC2!B271</f>
        <v>BILL-F01-0124</v>
      </c>
      <c r="C202" s="86" t="str">
        <f>F01_UC2!C271</f>
        <v>SUP-F01-004</v>
      </c>
      <c r="D202" s="86" t="str">
        <f>F01_UC2!D271</f>
        <v>OUT</v>
      </c>
      <c r="E202" s="99">
        <f>F01_UC2!E271</f>
        <v>23021228</v>
      </c>
      <c r="F202" s="100">
        <f>F01_UC2!N271</f>
        <v>46207</v>
      </c>
      <c r="G202" s="100">
        <f>F01_UC2!M271</f>
        <v>0</v>
      </c>
      <c r="H202" s="86" t="str">
        <f>F01_UC2!P271</f>
        <v>Trả NCC</v>
      </c>
      <c r="I202" s="86">
        <f>F01_UC2!Q271</f>
        <v>0</v>
      </c>
      <c r="J202" s="99">
        <f t="shared" si="33"/>
        <v>0</v>
      </c>
      <c r="K202" s="98">
        <f>MAX(F01_UC2!$B$6,F202+$B$29)</f>
        <v>46200</v>
      </c>
      <c r="L202" s="99">
        <f t="shared" si="34"/>
        <v>0</v>
      </c>
      <c r="M202" s="99">
        <f t="shared" si="35"/>
        <v>0</v>
      </c>
      <c r="N202" s="99">
        <f t="shared" si="36"/>
        <v>0</v>
      </c>
      <c r="O202" s="98">
        <f t="shared" si="37"/>
        <v>46221</v>
      </c>
      <c r="P202" s="99">
        <f t="shared" si="38"/>
        <v>0</v>
      </c>
      <c r="Q202" s="99">
        <f t="shared" si="39"/>
        <v>0</v>
      </c>
      <c r="R202" s="99">
        <f t="shared" si="40"/>
        <v>23021228</v>
      </c>
      <c r="S202" s="86" t="str">
        <f t="shared" si="41"/>
        <v>Khớp</v>
      </c>
      <c r="T202" s="86"/>
      <c r="U202" s="86"/>
    </row>
    <row r="203" spans="1:21" ht="24" customHeight="1">
      <c r="A203" s="86" t="str">
        <f>F01_UC2!A272</f>
        <v>PAY-BILL-F01-0125</v>
      </c>
      <c r="B203" s="86" t="str">
        <f>F01_UC2!B272</f>
        <v>BILL-F01-0125</v>
      </c>
      <c r="C203" s="86" t="str">
        <f>F01_UC2!C272</f>
        <v>SUP-F01-002</v>
      </c>
      <c r="D203" s="86" t="str">
        <f>F01_UC2!D272</f>
        <v>OUT</v>
      </c>
      <c r="E203" s="99">
        <f>F01_UC2!E272</f>
        <v>48033264</v>
      </c>
      <c r="F203" s="100">
        <f>F01_UC2!N272</f>
        <v>46252</v>
      </c>
      <c r="G203" s="100">
        <f>F01_UC2!M272</f>
        <v>0</v>
      </c>
      <c r="H203" s="86" t="str">
        <f>F01_UC2!P272</f>
        <v>Trả NCC</v>
      </c>
      <c r="I203" s="86">
        <f>F01_UC2!Q272</f>
        <v>0</v>
      </c>
      <c r="J203" s="99">
        <f t="shared" si="33"/>
        <v>0</v>
      </c>
      <c r="K203" s="98">
        <f>MAX(F01_UC2!$B$6,F203+$B$29)</f>
        <v>46245</v>
      </c>
      <c r="L203" s="99">
        <f t="shared" si="34"/>
        <v>0</v>
      </c>
      <c r="M203" s="99">
        <f t="shared" si="35"/>
        <v>0</v>
      </c>
      <c r="N203" s="99">
        <f t="shared" si="36"/>
        <v>0</v>
      </c>
      <c r="O203" s="98">
        <f t="shared" si="37"/>
        <v>46266</v>
      </c>
      <c r="P203" s="99">
        <f t="shared" si="38"/>
        <v>0</v>
      </c>
      <c r="Q203" s="99">
        <f t="shared" si="39"/>
        <v>0</v>
      </c>
      <c r="R203" s="99">
        <f t="shared" si="40"/>
        <v>48033264</v>
      </c>
      <c r="S203" s="86" t="str">
        <f t="shared" si="41"/>
        <v>Khớp</v>
      </c>
      <c r="T203" s="86"/>
      <c r="U203" s="86"/>
    </row>
    <row r="204" spans="1:21" ht="24" customHeight="1">
      <c r="A204" s="86" t="str">
        <f>F01_UC2!A273</f>
        <v>PAY-BILL-F01-0126</v>
      </c>
      <c r="B204" s="86" t="str">
        <f>F01_UC2!B273</f>
        <v>BILL-F01-0126</v>
      </c>
      <c r="C204" s="86" t="str">
        <f>F01_UC2!C273</f>
        <v>SUP-F01-003</v>
      </c>
      <c r="D204" s="86" t="str">
        <f>F01_UC2!D273</f>
        <v>OUT</v>
      </c>
      <c r="E204" s="99">
        <f>F01_UC2!E273</f>
        <v>53152483</v>
      </c>
      <c r="F204" s="100">
        <f>F01_UC2!N273</f>
        <v>46208</v>
      </c>
      <c r="G204" s="100">
        <f>F01_UC2!M273</f>
        <v>0</v>
      </c>
      <c r="H204" s="86" t="str">
        <f>F01_UC2!P273</f>
        <v>Trả NCC</v>
      </c>
      <c r="I204" s="86">
        <f>F01_UC2!Q273</f>
        <v>1</v>
      </c>
      <c r="J204" s="99">
        <f t="shared" si="33"/>
        <v>0</v>
      </c>
      <c r="K204" s="98">
        <f>MAX(F01_UC2!$B$6,F204+$B$29)</f>
        <v>46201</v>
      </c>
      <c r="L204" s="99">
        <f t="shared" si="34"/>
        <v>0</v>
      </c>
      <c r="M204" s="99">
        <f t="shared" si="35"/>
        <v>0</v>
      </c>
      <c r="N204" s="99">
        <f t="shared" si="36"/>
        <v>0</v>
      </c>
      <c r="O204" s="98">
        <f t="shared" si="37"/>
        <v>46222</v>
      </c>
      <c r="P204" s="99">
        <f t="shared" si="38"/>
        <v>0</v>
      </c>
      <c r="Q204" s="99">
        <f t="shared" si="39"/>
        <v>0</v>
      </c>
      <c r="R204" s="99">
        <f t="shared" si="40"/>
        <v>53152483</v>
      </c>
      <c r="S204" s="86" t="str">
        <f t="shared" si="41"/>
        <v>Khớp</v>
      </c>
      <c r="T204" s="86"/>
      <c r="U204" s="86"/>
    </row>
    <row r="205" spans="1:21" ht="24" customHeight="1">
      <c r="A205" s="86" t="str">
        <f>F01_UC2!A274</f>
        <v>PAY-BILL-F01-0127</v>
      </c>
      <c r="B205" s="86" t="str">
        <f>F01_UC2!B274</f>
        <v>BILL-F01-0127</v>
      </c>
      <c r="C205" s="86" t="str">
        <f>F01_UC2!C274</f>
        <v>SUP-F01-009</v>
      </c>
      <c r="D205" s="86" t="str">
        <f>F01_UC2!D274</f>
        <v>OUT</v>
      </c>
      <c r="E205" s="99">
        <f>F01_UC2!E274</f>
        <v>28273631</v>
      </c>
      <c r="F205" s="100">
        <f>F01_UC2!N274</f>
        <v>46223</v>
      </c>
      <c r="G205" s="100">
        <f>F01_UC2!M274</f>
        <v>0</v>
      </c>
      <c r="H205" s="86" t="str">
        <f>F01_UC2!P274</f>
        <v>Trả NCC</v>
      </c>
      <c r="I205" s="86">
        <f>F01_UC2!Q274</f>
        <v>1</v>
      </c>
      <c r="J205" s="99">
        <f t="shared" si="33"/>
        <v>0</v>
      </c>
      <c r="K205" s="98">
        <f>MAX(F01_UC2!$B$6,F205+$B$29)</f>
        <v>46216</v>
      </c>
      <c r="L205" s="99">
        <f t="shared" si="34"/>
        <v>0</v>
      </c>
      <c r="M205" s="99">
        <f t="shared" si="35"/>
        <v>0</v>
      </c>
      <c r="N205" s="99">
        <f t="shared" si="36"/>
        <v>0</v>
      </c>
      <c r="O205" s="98">
        <f t="shared" si="37"/>
        <v>46237</v>
      </c>
      <c r="P205" s="99">
        <f t="shared" si="38"/>
        <v>0</v>
      </c>
      <c r="Q205" s="99">
        <f t="shared" si="39"/>
        <v>0</v>
      </c>
      <c r="R205" s="99">
        <f t="shared" si="40"/>
        <v>28273631</v>
      </c>
      <c r="S205" s="86" t="str">
        <f t="shared" si="41"/>
        <v>Khớp</v>
      </c>
      <c r="T205" s="86"/>
      <c r="U205" s="86"/>
    </row>
    <row r="206" spans="1:21" ht="24" customHeight="1">
      <c r="A206" s="86" t="str">
        <f>F01_UC2!A275</f>
        <v>PAYROLL-6</v>
      </c>
      <c r="B206" s="86" t="str">
        <f>F01_UC2!B275</f>
        <v>PAYROLL-6</v>
      </c>
      <c r="C206" s="86" t="str">
        <f>F01_UC2!C275</f>
        <v>Nhân viên</v>
      </c>
      <c r="D206" s="86" t="str">
        <f>F01_UC2!D275</f>
        <v>OUT</v>
      </c>
      <c r="E206" s="99">
        <f>F01_UC2!E275</f>
        <v>2800000000</v>
      </c>
      <c r="F206" s="100">
        <f>F01_UC2!N275</f>
        <v>46203</v>
      </c>
      <c r="G206" s="100">
        <f>F01_UC2!M275</f>
        <v>46203</v>
      </c>
      <c r="H206" s="86" t="str">
        <f>F01_UC2!P275</f>
        <v>Lương</v>
      </c>
      <c r="I206" s="86">
        <f>F01_UC2!Q275</f>
        <v>1</v>
      </c>
      <c r="J206" s="99">
        <f t="shared" si="33"/>
        <v>0</v>
      </c>
      <c r="K206" s="98">
        <f>MAX(F01_UC2!$B$6,F206+$B$29)</f>
        <v>46196</v>
      </c>
      <c r="L206" s="99">
        <f t="shared" si="34"/>
        <v>0</v>
      </c>
      <c r="M206" s="99">
        <f t="shared" si="35"/>
        <v>0</v>
      </c>
      <c r="N206" s="99">
        <f t="shared" si="36"/>
        <v>0</v>
      </c>
      <c r="O206" s="98">
        <f t="shared" si="37"/>
        <v>46217</v>
      </c>
      <c r="P206" s="99">
        <f t="shared" si="38"/>
        <v>0</v>
      </c>
      <c r="Q206" s="99">
        <f t="shared" si="39"/>
        <v>0</v>
      </c>
      <c r="R206" s="99">
        <f t="shared" si="40"/>
        <v>2800000000</v>
      </c>
      <c r="S206" s="86" t="str">
        <f t="shared" si="41"/>
        <v>Khớp</v>
      </c>
      <c r="T206" s="86"/>
      <c r="U206" s="86"/>
    </row>
    <row r="207" spans="1:21" ht="24" customHeight="1">
      <c r="A207" s="86" t="str">
        <f>F01_UC2!A276</f>
        <v>PAYROLL-7</v>
      </c>
      <c r="B207" s="86" t="str">
        <f>F01_UC2!B276</f>
        <v>PAYROLL-7</v>
      </c>
      <c r="C207" s="86" t="str">
        <f>F01_UC2!C276</f>
        <v>Nhân viên</v>
      </c>
      <c r="D207" s="86" t="str">
        <f>F01_UC2!D276</f>
        <v>OUT</v>
      </c>
      <c r="E207" s="99">
        <f>F01_UC2!E276</f>
        <v>2800000000</v>
      </c>
      <c r="F207" s="100">
        <f>F01_UC2!N276</f>
        <v>46234</v>
      </c>
      <c r="G207" s="100">
        <f>F01_UC2!M276</f>
        <v>46234</v>
      </c>
      <c r="H207" s="86" t="str">
        <f>F01_UC2!P276</f>
        <v>Lương</v>
      </c>
      <c r="I207" s="86">
        <f>F01_UC2!Q276</f>
        <v>1</v>
      </c>
      <c r="J207" s="99">
        <f t="shared" si="33"/>
        <v>0</v>
      </c>
      <c r="K207" s="98">
        <f>MAX(F01_UC2!$B$6,F207+$B$29)</f>
        <v>46227</v>
      </c>
      <c r="L207" s="99">
        <f t="shared" si="34"/>
        <v>0</v>
      </c>
      <c r="M207" s="99">
        <f t="shared" si="35"/>
        <v>0</v>
      </c>
      <c r="N207" s="99">
        <f t="shared" si="36"/>
        <v>0</v>
      </c>
      <c r="O207" s="98">
        <f t="shared" si="37"/>
        <v>46248</v>
      </c>
      <c r="P207" s="99">
        <f t="shared" si="38"/>
        <v>0</v>
      </c>
      <c r="Q207" s="99">
        <f t="shared" si="39"/>
        <v>0</v>
      </c>
      <c r="R207" s="99">
        <f t="shared" si="40"/>
        <v>2800000000</v>
      </c>
      <c r="S207" s="86" t="str">
        <f t="shared" si="41"/>
        <v>Khớp</v>
      </c>
      <c r="T207" s="86"/>
      <c r="U207" s="86"/>
    </row>
    <row r="208" spans="1:21" ht="24" customHeight="1">
      <c r="A208" s="86" t="str">
        <f>F01_UC2!A277</f>
        <v>PAYROLL-8</v>
      </c>
      <c r="B208" s="86" t="str">
        <f>F01_UC2!B277</f>
        <v>PAYROLL-8</v>
      </c>
      <c r="C208" s="86" t="str">
        <f>F01_UC2!C277</f>
        <v>Nhân viên</v>
      </c>
      <c r="D208" s="86" t="str">
        <f>F01_UC2!D277</f>
        <v>OUT</v>
      </c>
      <c r="E208" s="99">
        <f>F01_UC2!E277</f>
        <v>2800000000</v>
      </c>
      <c r="F208" s="100">
        <f>F01_UC2!N277</f>
        <v>46265</v>
      </c>
      <c r="G208" s="100">
        <f>F01_UC2!M277</f>
        <v>46265</v>
      </c>
      <c r="H208" s="86" t="str">
        <f>F01_UC2!P277</f>
        <v>Lương</v>
      </c>
      <c r="I208" s="86">
        <f>F01_UC2!Q277</f>
        <v>1</v>
      </c>
      <c r="J208" s="99">
        <f t="shared" si="33"/>
        <v>0</v>
      </c>
      <c r="K208" s="98">
        <f>MAX(F01_UC2!$B$6,F208+$B$29)</f>
        <v>46258</v>
      </c>
      <c r="L208" s="99">
        <f t="shared" si="34"/>
        <v>0</v>
      </c>
      <c r="M208" s="99">
        <f t="shared" si="35"/>
        <v>0</v>
      </c>
      <c r="N208" s="99">
        <f t="shared" si="36"/>
        <v>0</v>
      </c>
      <c r="O208" s="98">
        <f t="shared" si="37"/>
        <v>46279</v>
      </c>
      <c r="P208" s="99">
        <f t="shared" si="38"/>
        <v>0</v>
      </c>
      <c r="Q208" s="99">
        <f t="shared" si="39"/>
        <v>0</v>
      </c>
      <c r="R208" s="99">
        <f t="shared" si="40"/>
        <v>2800000000</v>
      </c>
      <c r="S208" s="86" t="str">
        <f t="shared" si="41"/>
        <v>Khớp</v>
      </c>
      <c r="T208" s="86"/>
      <c r="U208" s="86"/>
    </row>
    <row r="209" spans="1:21" ht="24" customHeight="1">
      <c r="A209" s="86" t="str">
        <f>F01_UC2!A278</f>
        <v>TAX-7</v>
      </c>
      <c r="B209" s="86" t="str">
        <f>F01_UC2!B278</f>
        <v>TAX-7</v>
      </c>
      <c r="C209" s="86" t="str">
        <f>F01_UC2!C278</f>
        <v>Cơ quan thuế</v>
      </c>
      <c r="D209" s="86" t="str">
        <f>F01_UC2!D278</f>
        <v>OUT</v>
      </c>
      <c r="E209" s="99">
        <f>F01_UC2!E278</f>
        <v>180000000</v>
      </c>
      <c r="F209" s="100">
        <f>F01_UC2!N278</f>
        <v>46223</v>
      </c>
      <c r="G209" s="100">
        <f>F01_UC2!M278</f>
        <v>46223</v>
      </c>
      <c r="H209" s="86" t="str">
        <f>F01_UC2!P278</f>
        <v>Thuế</v>
      </c>
      <c r="I209" s="86">
        <f>F01_UC2!Q278</f>
        <v>1</v>
      </c>
      <c r="J209" s="99">
        <f t="shared" si="33"/>
        <v>0</v>
      </c>
      <c r="K209" s="98">
        <f>MAX(F01_UC2!$B$6,F209+$B$29)</f>
        <v>46216</v>
      </c>
      <c r="L209" s="99">
        <f t="shared" si="34"/>
        <v>0</v>
      </c>
      <c r="M209" s="99">
        <f t="shared" si="35"/>
        <v>0</v>
      </c>
      <c r="N209" s="99">
        <f t="shared" si="36"/>
        <v>0</v>
      </c>
      <c r="O209" s="98">
        <f t="shared" si="37"/>
        <v>46237</v>
      </c>
      <c r="P209" s="99">
        <f t="shared" si="38"/>
        <v>0</v>
      </c>
      <c r="Q209" s="99">
        <f t="shared" si="39"/>
        <v>0</v>
      </c>
      <c r="R209" s="99">
        <f t="shared" si="40"/>
        <v>180000000</v>
      </c>
      <c r="S209" s="86" t="str">
        <f t="shared" si="41"/>
        <v>Khớp</v>
      </c>
      <c r="T209" s="86"/>
      <c r="U209" s="86"/>
    </row>
    <row r="210" spans="1:21" ht="24" customHeight="1">
      <c r="A210" s="86" t="str">
        <f>F01_UC2!A279</f>
        <v>TAX-8</v>
      </c>
      <c r="B210" s="86" t="str">
        <f>F01_UC2!B279</f>
        <v>TAX-8</v>
      </c>
      <c r="C210" s="86" t="str">
        <f>F01_UC2!C279</f>
        <v>Cơ quan thuế</v>
      </c>
      <c r="D210" s="86" t="str">
        <f>F01_UC2!D279</f>
        <v>OUT</v>
      </c>
      <c r="E210" s="99">
        <f>F01_UC2!E279</f>
        <v>180000000</v>
      </c>
      <c r="F210" s="100">
        <f>F01_UC2!N279</f>
        <v>46254</v>
      </c>
      <c r="G210" s="100">
        <f>F01_UC2!M279</f>
        <v>46254</v>
      </c>
      <c r="H210" s="86" t="str">
        <f>F01_UC2!P279</f>
        <v>Thuế</v>
      </c>
      <c r="I210" s="86">
        <f>F01_UC2!Q279</f>
        <v>1</v>
      </c>
      <c r="J210" s="99">
        <f t="shared" si="33"/>
        <v>0</v>
      </c>
      <c r="K210" s="98">
        <f>MAX(F01_UC2!$B$6,F210+$B$29)</f>
        <v>46247</v>
      </c>
      <c r="L210" s="99">
        <f t="shared" si="34"/>
        <v>0</v>
      </c>
      <c r="M210" s="99">
        <f t="shared" si="35"/>
        <v>0</v>
      </c>
      <c r="N210" s="99">
        <f t="shared" si="36"/>
        <v>0</v>
      </c>
      <c r="O210" s="98">
        <f t="shared" si="37"/>
        <v>46268</v>
      </c>
      <c r="P210" s="99">
        <f t="shared" si="38"/>
        <v>0</v>
      </c>
      <c r="Q210" s="99">
        <f t="shared" si="39"/>
        <v>0</v>
      </c>
      <c r="R210" s="99">
        <f t="shared" si="40"/>
        <v>180000000</v>
      </c>
      <c r="S210" s="86" t="str">
        <f t="shared" si="41"/>
        <v>Khớp</v>
      </c>
      <c r="T210" s="86"/>
      <c r="U210" s="86"/>
    </row>
    <row r="211" spans="1:21" ht="24" customHeight="1">
      <c r="A211" s="86" t="str">
        <f>F01_UC2!A280</f>
        <v>TAX-9</v>
      </c>
      <c r="B211" s="86" t="str">
        <f>F01_UC2!B280</f>
        <v>TAX-9</v>
      </c>
      <c r="C211" s="86" t="str">
        <f>F01_UC2!C280</f>
        <v>Cơ quan thuế</v>
      </c>
      <c r="D211" s="86" t="str">
        <f>F01_UC2!D280</f>
        <v>OUT</v>
      </c>
      <c r="E211" s="99">
        <f>F01_UC2!E280</f>
        <v>180000000</v>
      </c>
      <c r="F211" s="100">
        <f>F01_UC2!N280</f>
        <v>46283</v>
      </c>
      <c r="G211" s="100">
        <f>F01_UC2!M280</f>
        <v>46283</v>
      </c>
      <c r="H211" s="86" t="str">
        <f>F01_UC2!P280</f>
        <v>Thuế</v>
      </c>
      <c r="I211" s="86">
        <f>F01_UC2!Q280</f>
        <v>1</v>
      </c>
      <c r="J211" s="99">
        <f t="shared" si="33"/>
        <v>0</v>
      </c>
      <c r="K211" s="98">
        <f>MAX(F01_UC2!$B$6,F211+$B$29)</f>
        <v>46276</v>
      </c>
      <c r="L211" s="99">
        <f t="shared" si="34"/>
        <v>0</v>
      </c>
      <c r="M211" s="99">
        <f t="shared" si="35"/>
        <v>0</v>
      </c>
      <c r="N211" s="99">
        <f t="shared" si="36"/>
        <v>0</v>
      </c>
      <c r="O211" s="98">
        <f t="shared" si="37"/>
        <v>46297</v>
      </c>
      <c r="P211" s="99">
        <f t="shared" si="38"/>
        <v>0</v>
      </c>
      <c r="Q211" s="99">
        <f t="shared" si="39"/>
        <v>0</v>
      </c>
      <c r="R211" s="99">
        <f t="shared" si="40"/>
        <v>180000000</v>
      </c>
      <c r="S211" s="86" t="str">
        <f t="shared" si="41"/>
        <v>Khớp</v>
      </c>
      <c r="T211" s="86"/>
      <c r="U211" s="86"/>
    </row>
    <row r="212" spans="1:21" ht="24" customHeight="1">
      <c r="A212" s="86" t="str">
        <f>F01_UC2!A281</f>
        <v>RENT-7</v>
      </c>
      <c r="B212" s="86" t="str">
        <f>F01_UC2!B281</f>
        <v>RENT-7</v>
      </c>
      <c r="C212" s="86" t="str">
        <f>F01_UC2!C281</f>
        <v>Bên cho thuê</v>
      </c>
      <c r="D212" s="86" t="str">
        <f>F01_UC2!D281</f>
        <v>OUT</v>
      </c>
      <c r="E212" s="99">
        <f>F01_UC2!E281</f>
        <v>120000000</v>
      </c>
      <c r="F212" s="100">
        <f>F01_UC2!N281</f>
        <v>46204</v>
      </c>
      <c r="G212" s="100">
        <f>F01_UC2!M281</f>
        <v>46204</v>
      </c>
      <c r="H212" s="86" t="str">
        <f>F01_UC2!P281</f>
        <v>Thuê xưởng</v>
      </c>
      <c r="I212" s="86">
        <f>F01_UC2!Q281</f>
        <v>1</v>
      </c>
      <c r="J212" s="99">
        <f t="shared" si="33"/>
        <v>0</v>
      </c>
      <c r="K212" s="98">
        <f>MAX(F01_UC2!$B$6,F212+$B$29)</f>
        <v>46197</v>
      </c>
      <c r="L212" s="99">
        <f t="shared" si="34"/>
        <v>0</v>
      </c>
      <c r="M212" s="99">
        <f t="shared" si="35"/>
        <v>0</v>
      </c>
      <c r="N212" s="99">
        <f t="shared" si="36"/>
        <v>0</v>
      </c>
      <c r="O212" s="98">
        <f t="shared" si="37"/>
        <v>46218</v>
      </c>
      <c r="P212" s="99">
        <f t="shared" si="38"/>
        <v>0</v>
      </c>
      <c r="Q212" s="99">
        <f t="shared" si="39"/>
        <v>0</v>
      </c>
      <c r="R212" s="99">
        <f t="shared" si="40"/>
        <v>120000000</v>
      </c>
      <c r="S212" s="86" t="str">
        <f t="shared" si="41"/>
        <v>Khớp</v>
      </c>
      <c r="T212" s="86"/>
      <c r="U212" s="86"/>
    </row>
    <row r="213" spans="1:21" ht="24" customHeight="1">
      <c r="A213" s="86" t="str">
        <f>F01_UC2!A282</f>
        <v>RENT-8</v>
      </c>
      <c r="B213" s="86" t="str">
        <f>F01_UC2!B282</f>
        <v>RENT-8</v>
      </c>
      <c r="C213" s="86" t="str">
        <f>F01_UC2!C282</f>
        <v>Bên cho thuê</v>
      </c>
      <c r="D213" s="86" t="str">
        <f>F01_UC2!D282</f>
        <v>OUT</v>
      </c>
      <c r="E213" s="99">
        <f>F01_UC2!E282</f>
        <v>120000000</v>
      </c>
      <c r="F213" s="100">
        <f>F01_UC2!N282</f>
        <v>46235</v>
      </c>
      <c r="G213" s="100">
        <f>F01_UC2!M282</f>
        <v>46235</v>
      </c>
      <c r="H213" s="86" t="str">
        <f>F01_UC2!P282</f>
        <v>Thuê xưởng</v>
      </c>
      <c r="I213" s="86">
        <f>F01_UC2!Q282</f>
        <v>1</v>
      </c>
      <c r="J213" s="99">
        <f t="shared" si="33"/>
        <v>0</v>
      </c>
      <c r="K213" s="98">
        <f>MAX(F01_UC2!$B$6,F213+$B$29)</f>
        <v>46228</v>
      </c>
      <c r="L213" s="99">
        <f t="shared" si="34"/>
        <v>0</v>
      </c>
      <c r="M213" s="99">
        <f t="shared" si="35"/>
        <v>0</v>
      </c>
      <c r="N213" s="99">
        <f t="shared" si="36"/>
        <v>0</v>
      </c>
      <c r="O213" s="98">
        <f t="shared" si="37"/>
        <v>46249</v>
      </c>
      <c r="P213" s="99">
        <f t="shared" si="38"/>
        <v>0</v>
      </c>
      <c r="Q213" s="99">
        <f t="shared" si="39"/>
        <v>0</v>
      </c>
      <c r="R213" s="99">
        <f t="shared" si="40"/>
        <v>120000000</v>
      </c>
      <c r="S213" s="86" t="str">
        <f t="shared" si="41"/>
        <v>Khớp</v>
      </c>
      <c r="T213" s="86"/>
      <c r="U213" s="86"/>
    </row>
    <row r="214" spans="1:21" ht="24" customHeight="1">
      <c r="A214" s="86" t="str">
        <f>F01_UC2!A283</f>
        <v>RENT-9</v>
      </c>
      <c r="B214" s="86" t="str">
        <f>F01_UC2!B283</f>
        <v>RENT-9</v>
      </c>
      <c r="C214" s="86" t="str">
        <f>F01_UC2!C283</f>
        <v>Bên cho thuê</v>
      </c>
      <c r="D214" s="86" t="str">
        <f>F01_UC2!D283</f>
        <v>OUT</v>
      </c>
      <c r="E214" s="99">
        <f>F01_UC2!E283</f>
        <v>120000000</v>
      </c>
      <c r="F214" s="100">
        <f>F01_UC2!N283</f>
        <v>46266</v>
      </c>
      <c r="G214" s="100">
        <f>F01_UC2!M283</f>
        <v>46266</v>
      </c>
      <c r="H214" s="86" t="str">
        <f>F01_UC2!P283</f>
        <v>Thuê xưởng</v>
      </c>
      <c r="I214" s="86">
        <f>F01_UC2!Q283</f>
        <v>1</v>
      </c>
      <c r="J214" s="99">
        <f t="shared" si="33"/>
        <v>0</v>
      </c>
      <c r="K214" s="98">
        <f>MAX(F01_UC2!$B$6,F214+$B$29)</f>
        <v>46259</v>
      </c>
      <c r="L214" s="99">
        <f t="shared" si="34"/>
        <v>0</v>
      </c>
      <c r="M214" s="99">
        <f t="shared" si="35"/>
        <v>0</v>
      </c>
      <c r="N214" s="99">
        <f t="shared" si="36"/>
        <v>0</v>
      </c>
      <c r="O214" s="98">
        <f t="shared" si="37"/>
        <v>46280</v>
      </c>
      <c r="P214" s="99">
        <f t="shared" si="38"/>
        <v>0</v>
      </c>
      <c r="Q214" s="99">
        <f t="shared" si="39"/>
        <v>0</v>
      </c>
      <c r="R214" s="99">
        <f t="shared" si="40"/>
        <v>120000000</v>
      </c>
      <c r="S214" s="86" t="str">
        <f t="shared" si="41"/>
        <v>Khớp</v>
      </c>
      <c r="T214" s="86"/>
      <c r="U214" s="86"/>
    </row>
    <row r="215" spans="1:21" ht="24" customHeight="1">
      <c r="A215" s="86" t="str">
        <f>F01_UC2!A284</f>
        <v>DEBT-PRINCIPAL</v>
      </c>
      <c r="B215" s="86" t="str">
        <f>F01_UC2!B284</f>
        <v>DEBT-PRINCIPAL</v>
      </c>
      <c r="C215" s="86" t="str">
        <f>F01_UC2!C284</f>
        <v>Ngân hàng</v>
      </c>
      <c r="D215" s="86" t="str">
        <f>F01_UC2!D284</f>
        <v>OUT</v>
      </c>
      <c r="E215" s="99">
        <f>F01_UC2!E284</f>
        <v>500000000</v>
      </c>
      <c r="F215" s="100">
        <f>F01_UC2!N284</f>
        <v>46249</v>
      </c>
      <c r="G215" s="100">
        <f>F01_UC2!M284</f>
        <v>46249</v>
      </c>
      <c r="H215" s="86" t="str">
        <f>F01_UC2!P284</f>
        <v>Gốc vay</v>
      </c>
      <c r="I215" s="86">
        <f>F01_UC2!Q284</f>
        <v>1</v>
      </c>
      <c r="J215" s="99">
        <f t="shared" ref="J215:J246" si="42">IF(AND($B$34="Hợp lệ",D215="IN",H215="Thu công nợ",C215=$B$7,OR(G215=0,$B$12=1),K215&lt;&gt;F215),E215*$B$28,0)</f>
        <v>0</v>
      </c>
      <c r="K215" s="98">
        <f>MAX(F01_UC2!$B$6,F215+$B$29)</f>
        <v>46242</v>
      </c>
      <c r="L215" s="99">
        <f t="shared" ref="L215:L246" si="43">J215-M215</f>
        <v>0</v>
      </c>
      <c r="M215" s="99">
        <f t="shared" ref="M215:M246" si="44">IF(K215&lt;F215,J215*$B$30,0)</f>
        <v>0</v>
      </c>
      <c r="N215" s="99">
        <f t="shared" ref="N215:N246" si="45">IF(AND($B$34="Hợp lệ",D215="OUT",H215="Trả NCC",C215=$B$13,OR(I215=0,$B$17=1),O215&lt;&gt;F215),E215*$B$31,0)</f>
        <v>0</v>
      </c>
      <c r="O215" s="98">
        <f t="shared" ref="O215:O246" si="46">F215+$B$15</f>
        <v>46263</v>
      </c>
      <c r="P215" s="99">
        <f t="shared" ref="P215:P246" si="47">N215+Q215</f>
        <v>0</v>
      </c>
      <c r="Q215" s="99">
        <f t="shared" ref="Q215:Q246" si="48">N215*$B$16</f>
        <v>0</v>
      </c>
      <c r="R215" s="99">
        <f t="shared" ref="R215:R246" si="49">E215-J215-N215</f>
        <v>500000000</v>
      </c>
      <c r="S215" s="86" t="str">
        <f t="shared" ref="S215:S246" si="50">IF(AND(J215&gt;=0,N215&gt;=0,R215&gt;=0,ABS(R215+J215+N215-E215)&lt;=$B$27),"Khớp","LỆCH")</f>
        <v>Khớp</v>
      </c>
      <c r="T215" s="86"/>
      <c r="U215" s="86"/>
    </row>
    <row r="216" spans="1:21" ht="24" customHeight="1">
      <c r="A216" s="86" t="str">
        <f>F01_UC2!A285</f>
        <v>DEBT-INTEREST</v>
      </c>
      <c r="B216" s="86" t="str">
        <f>F01_UC2!B285</f>
        <v>DEBT-INTEREST</v>
      </c>
      <c r="C216" s="86" t="str">
        <f>F01_UC2!C285</f>
        <v>Ngân hàng</v>
      </c>
      <c r="D216" s="86" t="str">
        <f>F01_UC2!D285</f>
        <v>OUT</v>
      </c>
      <c r="E216" s="99">
        <f>F01_UC2!E285</f>
        <v>37397260</v>
      </c>
      <c r="F216" s="100">
        <f>F01_UC2!N285</f>
        <v>46249</v>
      </c>
      <c r="G216" s="100">
        <f>F01_UC2!M285</f>
        <v>46249</v>
      </c>
      <c r="H216" s="86" t="str">
        <f>F01_UC2!P285</f>
        <v>Lãi vay</v>
      </c>
      <c r="I216" s="86">
        <f>F01_UC2!Q285</f>
        <v>1</v>
      </c>
      <c r="J216" s="99">
        <f t="shared" si="42"/>
        <v>0</v>
      </c>
      <c r="K216" s="98">
        <f>MAX(F01_UC2!$B$6,F216+$B$29)</f>
        <v>46242</v>
      </c>
      <c r="L216" s="99">
        <f t="shared" si="43"/>
        <v>0</v>
      </c>
      <c r="M216" s="99">
        <f t="shared" si="44"/>
        <v>0</v>
      </c>
      <c r="N216" s="99">
        <f t="shared" si="45"/>
        <v>0</v>
      </c>
      <c r="O216" s="98">
        <f t="shared" si="46"/>
        <v>46263</v>
      </c>
      <c r="P216" s="99">
        <f t="shared" si="47"/>
        <v>0</v>
      </c>
      <c r="Q216" s="99">
        <f t="shared" si="48"/>
        <v>0</v>
      </c>
      <c r="R216" s="99">
        <f t="shared" si="49"/>
        <v>37397260</v>
      </c>
      <c r="S216" s="86" t="str">
        <f t="shared" si="50"/>
        <v>Khớp</v>
      </c>
      <c r="T216" s="86"/>
      <c r="U216" s="86"/>
    </row>
    <row r="217" spans="1:21" ht="24" customHeight="1">
      <c r="A217" s="86" t="str">
        <f>F01_UC2!A286</f>
        <v>NEW-1-IN</v>
      </c>
      <c r="B217" s="86" t="str">
        <f>F01_UC2!B286</f>
        <v>NEW-1</v>
      </c>
      <c r="C217" s="86" t="str">
        <f>F01_UC2!C286</f>
        <v>NEW_CUSTOMERS</v>
      </c>
      <c r="D217" s="86" t="str">
        <f>F01_UC2!D286</f>
        <v>IN</v>
      </c>
      <c r="E217" s="99">
        <f>F01_UC2!E286</f>
        <v>0</v>
      </c>
      <c r="F217" s="100">
        <f>F01_UC2!N286</f>
        <v>46246</v>
      </c>
      <c r="G217" s="100">
        <f>F01_UC2!M286</f>
        <v>0</v>
      </c>
      <c r="H217" s="86" t="str">
        <f>F01_UC2!P286</f>
        <v>Hoạt động mới</v>
      </c>
      <c r="I217" s="86">
        <f>F01_UC2!Q286</f>
        <v>0</v>
      </c>
      <c r="J217" s="99">
        <f t="shared" si="42"/>
        <v>0</v>
      </c>
      <c r="K217" s="98">
        <f>MAX(F01_UC2!$B$6,F217+$B$29)</f>
        <v>46239</v>
      </c>
      <c r="L217" s="99">
        <f t="shared" si="43"/>
        <v>0</v>
      </c>
      <c r="M217" s="99">
        <f t="shared" si="44"/>
        <v>0</v>
      </c>
      <c r="N217" s="99">
        <f t="shared" si="45"/>
        <v>0</v>
      </c>
      <c r="O217" s="98">
        <f t="shared" si="46"/>
        <v>46260</v>
      </c>
      <c r="P217" s="99">
        <f t="shared" si="47"/>
        <v>0</v>
      </c>
      <c r="Q217" s="99">
        <f t="shared" si="48"/>
        <v>0</v>
      </c>
      <c r="R217" s="99">
        <f t="shared" si="49"/>
        <v>0</v>
      </c>
      <c r="S217" s="86" t="str">
        <f t="shared" si="50"/>
        <v>Khớp</v>
      </c>
      <c r="T217" s="86"/>
      <c r="U217" s="86"/>
    </row>
    <row r="218" spans="1:21" ht="24" customHeight="1">
      <c r="A218" s="86" t="str">
        <f>F01_UC2!A287</f>
        <v>NEW-1-OUT</v>
      </c>
      <c r="B218" s="86" t="str">
        <f>F01_UC2!B287</f>
        <v>NEW-1</v>
      </c>
      <c r="C218" s="86" t="str">
        <f>F01_UC2!C287</f>
        <v>VARIABLE_COST</v>
      </c>
      <c r="D218" s="86" t="str">
        <f>F01_UC2!D287</f>
        <v>OUT</v>
      </c>
      <c r="E218" s="99">
        <f>F01_UC2!E287</f>
        <v>0</v>
      </c>
      <c r="F218" s="100">
        <f>F01_UC2!N287</f>
        <v>46201</v>
      </c>
      <c r="G218" s="100">
        <f>F01_UC2!M287</f>
        <v>0</v>
      </c>
      <c r="H218" s="86" t="str">
        <f>F01_UC2!P287</f>
        <v>Hoạt động mới</v>
      </c>
      <c r="I218" s="86">
        <f>F01_UC2!Q287</f>
        <v>0</v>
      </c>
      <c r="J218" s="99">
        <f t="shared" si="42"/>
        <v>0</v>
      </c>
      <c r="K218" s="98">
        <f>MAX(F01_UC2!$B$6,F218+$B$29)</f>
        <v>46194</v>
      </c>
      <c r="L218" s="99">
        <f t="shared" si="43"/>
        <v>0</v>
      </c>
      <c r="M218" s="99">
        <f t="shared" si="44"/>
        <v>0</v>
      </c>
      <c r="N218" s="99">
        <f t="shared" si="45"/>
        <v>0</v>
      </c>
      <c r="O218" s="98">
        <f t="shared" si="46"/>
        <v>46215</v>
      </c>
      <c r="P218" s="99">
        <f t="shared" si="47"/>
        <v>0</v>
      </c>
      <c r="Q218" s="99">
        <f t="shared" si="48"/>
        <v>0</v>
      </c>
      <c r="R218" s="99">
        <f t="shared" si="49"/>
        <v>0</v>
      </c>
      <c r="S218" s="86" t="str">
        <f t="shared" si="50"/>
        <v>Khớp</v>
      </c>
      <c r="T218" s="86"/>
      <c r="U218" s="86"/>
    </row>
    <row r="219" spans="1:21" ht="24" customHeight="1">
      <c r="A219" s="86" t="str">
        <f>F01_UC2!A288</f>
        <v>NEW-2-IN</v>
      </c>
      <c r="B219" s="86" t="str">
        <f>F01_UC2!B288</f>
        <v>NEW-2</v>
      </c>
      <c r="C219" s="86" t="str">
        <f>F01_UC2!C288</f>
        <v>NEW_CUSTOMERS</v>
      </c>
      <c r="D219" s="86" t="str">
        <f>F01_UC2!D288</f>
        <v>IN</v>
      </c>
      <c r="E219" s="99">
        <f>F01_UC2!E288</f>
        <v>0</v>
      </c>
      <c r="F219" s="100">
        <f>F01_UC2!N288</f>
        <v>46253</v>
      </c>
      <c r="G219" s="100">
        <f>F01_UC2!M288</f>
        <v>0</v>
      </c>
      <c r="H219" s="86" t="str">
        <f>F01_UC2!P288</f>
        <v>Hoạt động mới</v>
      </c>
      <c r="I219" s="86">
        <f>F01_UC2!Q288</f>
        <v>0</v>
      </c>
      <c r="J219" s="99">
        <f t="shared" si="42"/>
        <v>0</v>
      </c>
      <c r="K219" s="98">
        <f>MAX(F01_UC2!$B$6,F219+$B$29)</f>
        <v>46246</v>
      </c>
      <c r="L219" s="99">
        <f t="shared" si="43"/>
        <v>0</v>
      </c>
      <c r="M219" s="99">
        <f t="shared" si="44"/>
        <v>0</v>
      </c>
      <c r="N219" s="99">
        <f t="shared" si="45"/>
        <v>0</v>
      </c>
      <c r="O219" s="98">
        <f t="shared" si="46"/>
        <v>46267</v>
      </c>
      <c r="P219" s="99">
        <f t="shared" si="47"/>
        <v>0</v>
      </c>
      <c r="Q219" s="99">
        <f t="shared" si="48"/>
        <v>0</v>
      </c>
      <c r="R219" s="99">
        <f t="shared" si="49"/>
        <v>0</v>
      </c>
      <c r="S219" s="86" t="str">
        <f t="shared" si="50"/>
        <v>Khớp</v>
      </c>
      <c r="T219" s="86"/>
      <c r="U219" s="86"/>
    </row>
    <row r="220" spans="1:21" ht="24" customHeight="1">
      <c r="A220" s="86" t="str">
        <f>F01_UC2!A289</f>
        <v>NEW-2-OUT</v>
      </c>
      <c r="B220" s="86" t="str">
        <f>F01_UC2!B289</f>
        <v>NEW-2</v>
      </c>
      <c r="C220" s="86" t="str">
        <f>F01_UC2!C289</f>
        <v>VARIABLE_COST</v>
      </c>
      <c r="D220" s="86" t="str">
        <f>F01_UC2!D289</f>
        <v>OUT</v>
      </c>
      <c r="E220" s="99">
        <f>F01_UC2!E289</f>
        <v>0</v>
      </c>
      <c r="F220" s="100">
        <f>F01_UC2!N289</f>
        <v>46208</v>
      </c>
      <c r="G220" s="100">
        <f>F01_UC2!M289</f>
        <v>0</v>
      </c>
      <c r="H220" s="86" t="str">
        <f>F01_UC2!P289</f>
        <v>Hoạt động mới</v>
      </c>
      <c r="I220" s="86">
        <f>F01_UC2!Q289</f>
        <v>0</v>
      </c>
      <c r="J220" s="99">
        <f t="shared" si="42"/>
        <v>0</v>
      </c>
      <c r="K220" s="98">
        <f>MAX(F01_UC2!$B$6,F220+$B$29)</f>
        <v>46201</v>
      </c>
      <c r="L220" s="99">
        <f t="shared" si="43"/>
        <v>0</v>
      </c>
      <c r="M220" s="99">
        <f t="shared" si="44"/>
        <v>0</v>
      </c>
      <c r="N220" s="99">
        <f t="shared" si="45"/>
        <v>0</v>
      </c>
      <c r="O220" s="98">
        <f t="shared" si="46"/>
        <v>46222</v>
      </c>
      <c r="P220" s="99">
        <f t="shared" si="47"/>
        <v>0</v>
      </c>
      <c r="Q220" s="99">
        <f t="shared" si="48"/>
        <v>0</v>
      </c>
      <c r="R220" s="99">
        <f t="shared" si="49"/>
        <v>0</v>
      </c>
      <c r="S220" s="86" t="str">
        <f t="shared" si="50"/>
        <v>Khớp</v>
      </c>
      <c r="T220" s="86"/>
      <c r="U220" s="86"/>
    </row>
    <row r="221" spans="1:21" ht="24" customHeight="1">
      <c r="A221" s="86" t="str">
        <f>F01_UC2!A290</f>
        <v>NEW-3-IN</v>
      </c>
      <c r="B221" s="86" t="str">
        <f>F01_UC2!B290</f>
        <v>NEW-3</v>
      </c>
      <c r="C221" s="86" t="str">
        <f>F01_UC2!C290</f>
        <v>NEW_CUSTOMERS</v>
      </c>
      <c r="D221" s="86" t="str">
        <f>F01_UC2!D290</f>
        <v>IN</v>
      </c>
      <c r="E221" s="99">
        <f>F01_UC2!E290</f>
        <v>0</v>
      </c>
      <c r="F221" s="100">
        <f>F01_UC2!N290</f>
        <v>46260</v>
      </c>
      <c r="G221" s="100">
        <f>F01_UC2!M290</f>
        <v>0</v>
      </c>
      <c r="H221" s="86" t="str">
        <f>F01_UC2!P290</f>
        <v>Hoạt động mới</v>
      </c>
      <c r="I221" s="86">
        <f>F01_UC2!Q290</f>
        <v>0</v>
      </c>
      <c r="J221" s="99">
        <f t="shared" si="42"/>
        <v>0</v>
      </c>
      <c r="K221" s="98">
        <f>MAX(F01_UC2!$B$6,F221+$B$29)</f>
        <v>46253</v>
      </c>
      <c r="L221" s="99">
        <f t="shared" si="43"/>
        <v>0</v>
      </c>
      <c r="M221" s="99">
        <f t="shared" si="44"/>
        <v>0</v>
      </c>
      <c r="N221" s="99">
        <f t="shared" si="45"/>
        <v>0</v>
      </c>
      <c r="O221" s="98">
        <f t="shared" si="46"/>
        <v>46274</v>
      </c>
      <c r="P221" s="99">
        <f t="shared" si="47"/>
        <v>0</v>
      </c>
      <c r="Q221" s="99">
        <f t="shared" si="48"/>
        <v>0</v>
      </c>
      <c r="R221" s="99">
        <f t="shared" si="49"/>
        <v>0</v>
      </c>
      <c r="S221" s="86" t="str">
        <f t="shared" si="50"/>
        <v>Khớp</v>
      </c>
      <c r="T221" s="86"/>
      <c r="U221" s="86"/>
    </row>
    <row r="222" spans="1:21" ht="24" customHeight="1">
      <c r="A222" s="86" t="str">
        <f>F01_UC2!A291</f>
        <v>NEW-3-OUT</v>
      </c>
      <c r="B222" s="86" t="str">
        <f>F01_UC2!B291</f>
        <v>NEW-3</v>
      </c>
      <c r="C222" s="86" t="str">
        <f>F01_UC2!C291</f>
        <v>VARIABLE_COST</v>
      </c>
      <c r="D222" s="86" t="str">
        <f>F01_UC2!D291</f>
        <v>OUT</v>
      </c>
      <c r="E222" s="99">
        <f>F01_UC2!E291</f>
        <v>0</v>
      </c>
      <c r="F222" s="100">
        <f>F01_UC2!N291</f>
        <v>46215</v>
      </c>
      <c r="G222" s="100">
        <f>F01_UC2!M291</f>
        <v>0</v>
      </c>
      <c r="H222" s="86" t="str">
        <f>F01_UC2!P291</f>
        <v>Hoạt động mới</v>
      </c>
      <c r="I222" s="86">
        <f>F01_UC2!Q291</f>
        <v>0</v>
      </c>
      <c r="J222" s="99">
        <f t="shared" si="42"/>
        <v>0</v>
      </c>
      <c r="K222" s="98">
        <f>MAX(F01_UC2!$B$6,F222+$B$29)</f>
        <v>46208</v>
      </c>
      <c r="L222" s="99">
        <f t="shared" si="43"/>
        <v>0</v>
      </c>
      <c r="M222" s="99">
        <f t="shared" si="44"/>
        <v>0</v>
      </c>
      <c r="N222" s="99">
        <f t="shared" si="45"/>
        <v>0</v>
      </c>
      <c r="O222" s="98">
        <f t="shared" si="46"/>
        <v>46229</v>
      </c>
      <c r="P222" s="99">
        <f t="shared" si="47"/>
        <v>0</v>
      </c>
      <c r="Q222" s="99">
        <f t="shared" si="48"/>
        <v>0</v>
      </c>
      <c r="R222" s="99">
        <f t="shared" si="49"/>
        <v>0</v>
      </c>
      <c r="S222" s="86" t="str">
        <f t="shared" si="50"/>
        <v>Khớp</v>
      </c>
      <c r="T222" s="86"/>
      <c r="U222" s="86"/>
    </row>
    <row r="223" spans="1:21" ht="24" customHeight="1">
      <c r="A223" s="86" t="str">
        <f>F01_UC2!A292</f>
        <v>NEW-4-IN</v>
      </c>
      <c r="B223" s="86" t="str">
        <f>F01_UC2!B292</f>
        <v>NEW-4</v>
      </c>
      <c r="C223" s="86" t="str">
        <f>F01_UC2!C292</f>
        <v>NEW_CUSTOMERS</v>
      </c>
      <c r="D223" s="86" t="str">
        <f>F01_UC2!D292</f>
        <v>IN</v>
      </c>
      <c r="E223" s="99">
        <f>F01_UC2!E292</f>
        <v>0</v>
      </c>
      <c r="F223" s="100">
        <f>F01_UC2!N292</f>
        <v>46267</v>
      </c>
      <c r="G223" s="100">
        <f>F01_UC2!M292</f>
        <v>0</v>
      </c>
      <c r="H223" s="86" t="str">
        <f>F01_UC2!P292</f>
        <v>Hoạt động mới</v>
      </c>
      <c r="I223" s="86">
        <f>F01_UC2!Q292</f>
        <v>0</v>
      </c>
      <c r="J223" s="99">
        <f t="shared" si="42"/>
        <v>0</v>
      </c>
      <c r="K223" s="98">
        <f>MAX(F01_UC2!$B$6,F223+$B$29)</f>
        <v>46260</v>
      </c>
      <c r="L223" s="99">
        <f t="shared" si="43"/>
        <v>0</v>
      </c>
      <c r="M223" s="99">
        <f t="shared" si="44"/>
        <v>0</v>
      </c>
      <c r="N223" s="99">
        <f t="shared" si="45"/>
        <v>0</v>
      </c>
      <c r="O223" s="98">
        <f t="shared" si="46"/>
        <v>46281</v>
      </c>
      <c r="P223" s="99">
        <f t="shared" si="47"/>
        <v>0</v>
      </c>
      <c r="Q223" s="99">
        <f t="shared" si="48"/>
        <v>0</v>
      </c>
      <c r="R223" s="99">
        <f t="shared" si="49"/>
        <v>0</v>
      </c>
      <c r="S223" s="86" t="str">
        <f t="shared" si="50"/>
        <v>Khớp</v>
      </c>
      <c r="T223" s="86"/>
      <c r="U223" s="86"/>
    </row>
    <row r="224" spans="1:21" ht="24" customHeight="1">
      <c r="A224" s="86" t="str">
        <f>F01_UC2!A293</f>
        <v>NEW-4-OUT</v>
      </c>
      <c r="B224" s="86" t="str">
        <f>F01_UC2!B293</f>
        <v>NEW-4</v>
      </c>
      <c r="C224" s="86" t="str">
        <f>F01_UC2!C293</f>
        <v>VARIABLE_COST</v>
      </c>
      <c r="D224" s="86" t="str">
        <f>F01_UC2!D293</f>
        <v>OUT</v>
      </c>
      <c r="E224" s="99">
        <f>F01_UC2!E293</f>
        <v>0</v>
      </c>
      <c r="F224" s="100">
        <f>F01_UC2!N293</f>
        <v>46222</v>
      </c>
      <c r="G224" s="100">
        <f>F01_UC2!M293</f>
        <v>0</v>
      </c>
      <c r="H224" s="86" t="str">
        <f>F01_UC2!P293</f>
        <v>Hoạt động mới</v>
      </c>
      <c r="I224" s="86">
        <f>F01_UC2!Q293</f>
        <v>0</v>
      </c>
      <c r="J224" s="99">
        <f t="shared" si="42"/>
        <v>0</v>
      </c>
      <c r="K224" s="98">
        <f>MAX(F01_UC2!$B$6,F224+$B$29)</f>
        <v>46215</v>
      </c>
      <c r="L224" s="99">
        <f t="shared" si="43"/>
        <v>0</v>
      </c>
      <c r="M224" s="99">
        <f t="shared" si="44"/>
        <v>0</v>
      </c>
      <c r="N224" s="99">
        <f t="shared" si="45"/>
        <v>0</v>
      </c>
      <c r="O224" s="98">
        <f t="shared" si="46"/>
        <v>46236</v>
      </c>
      <c r="P224" s="99">
        <f t="shared" si="47"/>
        <v>0</v>
      </c>
      <c r="Q224" s="99">
        <f t="shared" si="48"/>
        <v>0</v>
      </c>
      <c r="R224" s="99">
        <f t="shared" si="49"/>
        <v>0</v>
      </c>
      <c r="S224" s="86" t="str">
        <f t="shared" si="50"/>
        <v>Khớp</v>
      </c>
      <c r="T224" s="86"/>
      <c r="U224" s="86"/>
    </row>
    <row r="225" spans="1:21" ht="24" customHeight="1">
      <c r="A225" s="86" t="str">
        <f>F01_UC2!A294</f>
        <v>NEW-5-IN</v>
      </c>
      <c r="B225" s="86" t="str">
        <f>F01_UC2!B294</f>
        <v>NEW-5</v>
      </c>
      <c r="C225" s="86" t="str">
        <f>F01_UC2!C294</f>
        <v>NEW_CUSTOMERS</v>
      </c>
      <c r="D225" s="86" t="str">
        <f>F01_UC2!D294</f>
        <v>IN</v>
      </c>
      <c r="E225" s="99">
        <f>F01_UC2!E294</f>
        <v>0</v>
      </c>
      <c r="F225" s="100">
        <f>F01_UC2!N294</f>
        <v>46274</v>
      </c>
      <c r="G225" s="100">
        <f>F01_UC2!M294</f>
        <v>0</v>
      </c>
      <c r="H225" s="86" t="str">
        <f>F01_UC2!P294</f>
        <v>Hoạt động mới</v>
      </c>
      <c r="I225" s="86">
        <f>F01_UC2!Q294</f>
        <v>0</v>
      </c>
      <c r="J225" s="99">
        <f t="shared" si="42"/>
        <v>0</v>
      </c>
      <c r="K225" s="98">
        <f>MAX(F01_UC2!$B$6,F225+$B$29)</f>
        <v>46267</v>
      </c>
      <c r="L225" s="99">
        <f t="shared" si="43"/>
        <v>0</v>
      </c>
      <c r="M225" s="99">
        <f t="shared" si="44"/>
        <v>0</v>
      </c>
      <c r="N225" s="99">
        <f t="shared" si="45"/>
        <v>0</v>
      </c>
      <c r="O225" s="98">
        <f t="shared" si="46"/>
        <v>46288</v>
      </c>
      <c r="P225" s="99">
        <f t="shared" si="47"/>
        <v>0</v>
      </c>
      <c r="Q225" s="99">
        <f t="shared" si="48"/>
        <v>0</v>
      </c>
      <c r="R225" s="99">
        <f t="shared" si="49"/>
        <v>0</v>
      </c>
      <c r="S225" s="86" t="str">
        <f t="shared" si="50"/>
        <v>Khớp</v>
      </c>
      <c r="T225" s="86"/>
      <c r="U225" s="86"/>
    </row>
    <row r="226" spans="1:21" ht="24" customHeight="1">
      <c r="A226" s="86" t="str">
        <f>F01_UC2!A295</f>
        <v>NEW-5-OUT</v>
      </c>
      <c r="B226" s="86" t="str">
        <f>F01_UC2!B295</f>
        <v>NEW-5</v>
      </c>
      <c r="C226" s="86" t="str">
        <f>F01_UC2!C295</f>
        <v>VARIABLE_COST</v>
      </c>
      <c r="D226" s="86" t="str">
        <f>F01_UC2!D295</f>
        <v>OUT</v>
      </c>
      <c r="E226" s="99">
        <f>F01_UC2!E295</f>
        <v>0</v>
      </c>
      <c r="F226" s="100">
        <f>F01_UC2!N295</f>
        <v>46229</v>
      </c>
      <c r="G226" s="100">
        <f>F01_UC2!M295</f>
        <v>0</v>
      </c>
      <c r="H226" s="86" t="str">
        <f>F01_UC2!P295</f>
        <v>Hoạt động mới</v>
      </c>
      <c r="I226" s="86">
        <f>F01_UC2!Q295</f>
        <v>0</v>
      </c>
      <c r="J226" s="99">
        <f t="shared" si="42"/>
        <v>0</v>
      </c>
      <c r="K226" s="98">
        <f>MAX(F01_UC2!$B$6,F226+$B$29)</f>
        <v>46222</v>
      </c>
      <c r="L226" s="99">
        <f t="shared" si="43"/>
        <v>0</v>
      </c>
      <c r="M226" s="99">
        <f t="shared" si="44"/>
        <v>0</v>
      </c>
      <c r="N226" s="99">
        <f t="shared" si="45"/>
        <v>0</v>
      </c>
      <c r="O226" s="98">
        <f t="shared" si="46"/>
        <v>46243</v>
      </c>
      <c r="P226" s="99">
        <f t="shared" si="47"/>
        <v>0</v>
      </c>
      <c r="Q226" s="99">
        <f t="shared" si="48"/>
        <v>0</v>
      </c>
      <c r="R226" s="99">
        <f t="shared" si="49"/>
        <v>0</v>
      </c>
      <c r="S226" s="86" t="str">
        <f t="shared" si="50"/>
        <v>Khớp</v>
      </c>
      <c r="T226" s="86"/>
      <c r="U226" s="86"/>
    </row>
    <row r="227" spans="1:21" ht="24" customHeight="1">
      <c r="A227" s="86" t="str">
        <f>F01_UC2!A296</f>
        <v>NEW-6-IN</v>
      </c>
      <c r="B227" s="86" t="str">
        <f>F01_UC2!B296</f>
        <v>NEW-6</v>
      </c>
      <c r="C227" s="86" t="str">
        <f>F01_UC2!C296</f>
        <v>NEW_CUSTOMERS</v>
      </c>
      <c r="D227" s="86" t="str">
        <f>F01_UC2!D296</f>
        <v>IN</v>
      </c>
      <c r="E227" s="99">
        <f>F01_UC2!E296</f>
        <v>0</v>
      </c>
      <c r="F227" s="100">
        <f>F01_UC2!N296</f>
        <v>46281</v>
      </c>
      <c r="G227" s="100">
        <f>F01_UC2!M296</f>
        <v>0</v>
      </c>
      <c r="H227" s="86" t="str">
        <f>F01_UC2!P296</f>
        <v>Hoạt động mới</v>
      </c>
      <c r="I227" s="86">
        <f>F01_UC2!Q296</f>
        <v>0</v>
      </c>
      <c r="J227" s="99">
        <f t="shared" si="42"/>
        <v>0</v>
      </c>
      <c r="K227" s="98">
        <f>MAX(F01_UC2!$B$6,F227+$B$29)</f>
        <v>46274</v>
      </c>
      <c r="L227" s="99">
        <f t="shared" si="43"/>
        <v>0</v>
      </c>
      <c r="M227" s="99">
        <f t="shared" si="44"/>
        <v>0</v>
      </c>
      <c r="N227" s="99">
        <f t="shared" si="45"/>
        <v>0</v>
      </c>
      <c r="O227" s="98">
        <f t="shared" si="46"/>
        <v>46295</v>
      </c>
      <c r="P227" s="99">
        <f t="shared" si="47"/>
        <v>0</v>
      </c>
      <c r="Q227" s="99">
        <f t="shared" si="48"/>
        <v>0</v>
      </c>
      <c r="R227" s="99">
        <f t="shared" si="49"/>
        <v>0</v>
      </c>
      <c r="S227" s="86" t="str">
        <f t="shared" si="50"/>
        <v>Khớp</v>
      </c>
      <c r="T227" s="86"/>
      <c r="U227" s="86"/>
    </row>
    <row r="228" spans="1:21" ht="24" customHeight="1">
      <c r="A228" s="86" t="str">
        <f>F01_UC2!A297</f>
        <v>NEW-6-OUT</v>
      </c>
      <c r="B228" s="86" t="str">
        <f>F01_UC2!B297</f>
        <v>NEW-6</v>
      </c>
      <c r="C228" s="86" t="str">
        <f>F01_UC2!C297</f>
        <v>VARIABLE_COST</v>
      </c>
      <c r="D228" s="86" t="str">
        <f>F01_UC2!D297</f>
        <v>OUT</v>
      </c>
      <c r="E228" s="99">
        <f>F01_UC2!E297</f>
        <v>0</v>
      </c>
      <c r="F228" s="100">
        <f>F01_UC2!N297</f>
        <v>46236</v>
      </c>
      <c r="G228" s="100">
        <f>F01_UC2!M297</f>
        <v>0</v>
      </c>
      <c r="H228" s="86" t="str">
        <f>F01_UC2!P297</f>
        <v>Hoạt động mới</v>
      </c>
      <c r="I228" s="86">
        <f>F01_UC2!Q297</f>
        <v>0</v>
      </c>
      <c r="J228" s="99">
        <f t="shared" si="42"/>
        <v>0</v>
      </c>
      <c r="K228" s="98">
        <f>MAX(F01_UC2!$B$6,F228+$B$29)</f>
        <v>46229</v>
      </c>
      <c r="L228" s="99">
        <f t="shared" si="43"/>
        <v>0</v>
      </c>
      <c r="M228" s="99">
        <f t="shared" si="44"/>
        <v>0</v>
      </c>
      <c r="N228" s="99">
        <f t="shared" si="45"/>
        <v>0</v>
      </c>
      <c r="O228" s="98">
        <f t="shared" si="46"/>
        <v>46250</v>
      </c>
      <c r="P228" s="99">
        <f t="shared" si="47"/>
        <v>0</v>
      </c>
      <c r="Q228" s="99">
        <f t="shared" si="48"/>
        <v>0</v>
      </c>
      <c r="R228" s="99">
        <f t="shared" si="49"/>
        <v>0</v>
      </c>
      <c r="S228" s="86" t="str">
        <f t="shared" si="50"/>
        <v>Khớp</v>
      </c>
      <c r="T228" s="86"/>
      <c r="U228" s="86"/>
    </row>
    <row r="229" spans="1:21" ht="24" customHeight="1">
      <c r="A229" s="86" t="str">
        <f>F01_UC2!A298</f>
        <v>NEW-7-IN</v>
      </c>
      <c r="B229" s="86" t="str">
        <f>F01_UC2!B298</f>
        <v>NEW-7</v>
      </c>
      <c r="C229" s="86" t="str">
        <f>F01_UC2!C298</f>
        <v>NEW_CUSTOMERS</v>
      </c>
      <c r="D229" s="86" t="str">
        <f>F01_UC2!D298</f>
        <v>IN</v>
      </c>
      <c r="E229" s="99">
        <f>F01_UC2!E298</f>
        <v>0</v>
      </c>
      <c r="F229" s="100">
        <f>F01_UC2!N298</f>
        <v>46288</v>
      </c>
      <c r="G229" s="100">
        <f>F01_UC2!M298</f>
        <v>0</v>
      </c>
      <c r="H229" s="86" t="str">
        <f>F01_UC2!P298</f>
        <v>Hoạt động mới</v>
      </c>
      <c r="I229" s="86">
        <f>F01_UC2!Q298</f>
        <v>0</v>
      </c>
      <c r="J229" s="99">
        <f t="shared" si="42"/>
        <v>0</v>
      </c>
      <c r="K229" s="98">
        <f>MAX(F01_UC2!$B$6,F229+$B$29)</f>
        <v>46281</v>
      </c>
      <c r="L229" s="99">
        <f t="shared" si="43"/>
        <v>0</v>
      </c>
      <c r="M229" s="99">
        <f t="shared" si="44"/>
        <v>0</v>
      </c>
      <c r="N229" s="99">
        <f t="shared" si="45"/>
        <v>0</v>
      </c>
      <c r="O229" s="98">
        <f t="shared" si="46"/>
        <v>46302</v>
      </c>
      <c r="P229" s="99">
        <f t="shared" si="47"/>
        <v>0</v>
      </c>
      <c r="Q229" s="99">
        <f t="shared" si="48"/>
        <v>0</v>
      </c>
      <c r="R229" s="99">
        <f t="shared" si="49"/>
        <v>0</v>
      </c>
      <c r="S229" s="86" t="str">
        <f t="shared" si="50"/>
        <v>Khớp</v>
      </c>
      <c r="T229" s="86"/>
      <c r="U229" s="86"/>
    </row>
    <row r="230" spans="1:21" ht="24" customHeight="1">
      <c r="A230" s="86" t="str">
        <f>F01_UC2!A299</f>
        <v>NEW-7-OUT</v>
      </c>
      <c r="B230" s="86" t="str">
        <f>F01_UC2!B299</f>
        <v>NEW-7</v>
      </c>
      <c r="C230" s="86" t="str">
        <f>F01_UC2!C299</f>
        <v>VARIABLE_COST</v>
      </c>
      <c r="D230" s="86" t="str">
        <f>F01_UC2!D299</f>
        <v>OUT</v>
      </c>
      <c r="E230" s="99">
        <f>F01_UC2!E299</f>
        <v>0</v>
      </c>
      <c r="F230" s="100">
        <f>F01_UC2!N299</f>
        <v>46243</v>
      </c>
      <c r="G230" s="100">
        <f>F01_UC2!M299</f>
        <v>0</v>
      </c>
      <c r="H230" s="86" t="str">
        <f>F01_UC2!P299</f>
        <v>Hoạt động mới</v>
      </c>
      <c r="I230" s="86">
        <f>F01_UC2!Q299</f>
        <v>0</v>
      </c>
      <c r="J230" s="99">
        <f t="shared" si="42"/>
        <v>0</v>
      </c>
      <c r="K230" s="98">
        <f>MAX(F01_UC2!$B$6,F230+$B$29)</f>
        <v>46236</v>
      </c>
      <c r="L230" s="99">
        <f t="shared" si="43"/>
        <v>0</v>
      </c>
      <c r="M230" s="99">
        <f t="shared" si="44"/>
        <v>0</v>
      </c>
      <c r="N230" s="99">
        <f t="shared" si="45"/>
        <v>0</v>
      </c>
      <c r="O230" s="98">
        <f t="shared" si="46"/>
        <v>46257</v>
      </c>
      <c r="P230" s="99">
        <f t="shared" si="47"/>
        <v>0</v>
      </c>
      <c r="Q230" s="99">
        <f t="shared" si="48"/>
        <v>0</v>
      </c>
      <c r="R230" s="99">
        <f t="shared" si="49"/>
        <v>0</v>
      </c>
      <c r="S230" s="86" t="str">
        <f t="shared" si="50"/>
        <v>Khớp</v>
      </c>
      <c r="T230" s="86"/>
      <c r="U230" s="86"/>
    </row>
    <row r="231" spans="1:21" ht="24" customHeight="1">
      <c r="A231" s="86" t="str">
        <f>F01_UC2!A300</f>
        <v>NEW-8-IN</v>
      </c>
      <c r="B231" s="86" t="str">
        <f>F01_UC2!B300</f>
        <v>NEW-8</v>
      </c>
      <c r="C231" s="86" t="str">
        <f>F01_UC2!C300</f>
        <v>NEW_CUSTOMERS</v>
      </c>
      <c r="D231" s="86" t="str">
        <f>F01_UC2!D300</f>
        <v>IN</v>
      </c>
      <c r="E231" s="99">
        <f>F01_UC2!E300</f>
        <v>0</v>
      </c>
      <c r="F231" s="100">
        <f>F01_UC2!N300</f>
        <v>46295</v>
      </c>
      <c r="G231" s="100">
        <f>F01_UC2!M300</f>
        <v>0</v>
      </c>
      <c r="H231" s="86" t="str">
        <f>F01_UC2!P300</f>
        <v>Hoạt động mới</v>
      </c>
      <c r="I231" s="86">
        <f>F01_UC2!Q300</f>
        <v>0</v>
      </c>
      <c r="J231" s="99">
        <f t="shared" si="42"/>
        <v>0</v>
      </c>
      <c r="K231" s="98">
        <f>MAX(F01_UC2!$B$6,F231+$B$29)</f>
        <v>46288</v>
      </c>
      <c r="L231" s="99">
        <f t="shared" si="43"/>
        <v>0</v>
      </c>
      <c r="M231" s="99">
        <f t="shared" si="44"/>
        <v>0</v>
      </c>
      <c r="N231" s="99">
        <f t="shared" si="45"/>
        <v>0</v>
      </c>
      <c r="O231" s="98">
        <f t="shared" si="46"/>
        <v>46309</v>
      </c>
      <c r="P231" s="99">
        <f t="shared" si="47"/>
        <v>0</v>
      </c>
      <c r="Q231" s="99">
        <f t="shared" si="48"/>
        <v>0</v>
      </c>
      <c r="R231" s="99">
        <f t="shared" si="49"/>
        <v>0</v>
      </c>
      <c r="S231" s="86" t="str">
        <f t="shared" si="50"/>
        <v>Khớp</v>
      </c>
      <c r="T231" s="86"/>
      <c r="U231" s="86"/>
    </row>
    <row r="232" spans="1:21" ht="24" customHeight="1">
      <c r="A232" s="86" t="str">
        <f>F01_UC2!A301</f>
        <v>NEW-8-OUT</v>
      </c>
      <c r="B232" s="86" t="str">
        <f>F01_UC2!B301</f>
        <v>NEW-8</v>
      </c>
      <c r="C232" s="86" t="str">
        <f>F01_UC2!C301</f>
        <v>VARIABLE_COST</v>
      </c>
      <c r="D232" s="86" t="str">
        <f>F01_UC2!D301</f>
        <v>OUT</v>
      </c>
      <c r="E232" s="99">
        <f>F01_UC2!E301</f>
        <v>0</v>
      </c>
      <c r="F232" s="100">
        <f>F01_UC2!N301</f>
        <v>46250</v>
      </c>
      <c r="G232" s="100">
        <f>F01_UC2!M301</f>
        <v>0</v>
      </c>
      <c r="H232" s="86" t="str">
        <f>F01_UC2!P301</f>
        <v>Hoạt động mới</v>
      </c>
      <c r="I232" s="86">
        <f>F01_UC2!Q301</f>
        <v>0</v>
      </c>
      <c r="J232" s="99">
        <f t="shared" si="42"/>
        <v>0</v>
      </c>
      <c r="K232" s="98">
        <f>MAX(F01_UC2!$B$6,F232+$B$29)</f>
        <v>46243</v>
      </c>
      <c r="L232" s="99">
        <f t="shared" si="43"/>
        <v>0</v>
      </c>
      <c r="M232" s="99">
        <f t="shared" si="44"/>
        <v>0</v>
      </c>
      <c r="N232" s="99">
        <f t="shared" si="45"/>
        <v>0</v>
      </c>
      <c r="O232" s="98">
        <f t="shared" si="46"/>
        <v>46264</v>
      </c>
      <c r="P232" s="99">
        <f t="shared" si="47"/>
        <v>0</v>
      </c>
      <c r="Q232" s="99">
        <f t="shared" si="48"/>
        <v>0</v>
      </c>
      <c r="R232" s="99">
        <f t="shared" si="49"/>
        <v>0</v>
      </c>
      <c r="S232" s="86" t="str">
        <f t="shared" si="50"/>
        <v>Khớp</v>
      </c>
      <c r="T232" s="86"/>
      <c r="U232" s="86"/>
    </row>
    <row r="233" spans="1:21" ht="24" customHeight="1">
      <c r="A233" s="86" t="str">
        <f>F01_UC2!A302</f>
        <v>NEW-9-IN</v>
      </c>
      <c r="B233" s="86" t="str">
        <f>F01_UC2!B302</f>
        <v>NEW-9</v>
      </c>
      <c r="C233" s="86" t="str">
        <f>F01_UC2!C302</f>
        <v>NEW_CUSTOMERS</v>
      </c>
      <c r="D233" s="86" t="str">
        <f>F01_UC2!D302</f>
        <v>IN</v>
      </c>
      <c r="E233" s="99">
        <f>F01_UC2!E302</f>
        <v>0</v>
      </c>
      <c r="F233" s="100">
        <f>F01_UC2!N302</f>
        <v>46302</v>
      </c>
      <c r="G233" s="100">
        <f>F01_UC2!M302</f>
        <v>0</v>
      </c>
      <c r="H233" s="86" t="str">
        <f>F01_UC2!P302</f>
        <v>Hoạt động mới</v>
      </c>
      <c r="I233" s="86">
        <f>F01_UC2!Q302</f>
        <v>0</v>
      </c>
      <c r="J233" s="99">
        <f t="shared" si="42"/>
        <v>0</v>
      </c>
      <c r="K233" s="98">
        <f>MAX(F01_UC2!$B$6,F233+$B$29)</f>
        <v>46295</v>
      </c>
      <c r="L233" s="99">
        <f t="shared" si="43"/>
        <v>0</v>
      </c>
      <c r="M233" s="99">
        <f t="shared" si="44"/>
        <v>0</v>
      </c>
      <c r="N233" s="99">
        <f t="shared" si="45"/>
        <v>0</v>
      </c>
      <c r="O233" s="98">
        <f t="shared" si="46"/>
        <v>46316</v>
      </c>
      <c r="P233" s="99">
        <f t="shared" si="47"/>
        <v>0</v>
      </c>
      <c r="Q233" s="99">
        <f t="shared" si="48"/>
        <v>0</v>
      </c>
      <c r="R233" s="99">
        <f t="shared" si="49"/>
        <v>0</v>
      </c>
      <c r="S233" s="86" t="str">
        <f t="shared" si="50"/>
        <v>Khớp</v>
      </c>
      <c r="T233" s="86"/>
      <c r="U233" s="86"/>
    </row>
    <row r="234" spans="1:21" ht="24" customHeight="1">
      <c r="A234" s="86" t="str">
        <f>F01_UC2!A303</f>
        <v>NEW-9-OUT</v>
      </c>
      <c r="B234" s="86" t="str">
        <f>F01_UC2!B303</f>
        <v>NEW-9</v>
      </c>
      <c r="C234" s="86" t="str">
        <f>F01_UC2!C303</f>
        <v>VARIABLE_COST</v>
      </c>
      <c r="D234" s="86" t="str">
        <f>F01_UC2!D303</f>
        <v>OUT</v>
      </c>
      <c r="E234" s="99">
        <f>F01_UC2!E303</f>
        <v>0</v>
      </c>
      <c r="F234" s="100">
        <f>F01_UC2!N303</f>
        <v>46257</v>
      </c>
      <c r="G234" s="100">
        <f>F01_UC2!M303</f>
        <v>0</v>
      </c>
      <c r="H234" s="86" t="str">
        <f>F01_UC2!P303</f>
        <v>Hoạt động mới</v>
      </c>
      <c r="I234" s="86">
        <f>F01_UC2!Q303</f>
        <v>0</v>
      </c>
      <c r="J234" s="99">
        <f t="shared" si="42"/>
        <v>0</v>
      </c>
      <c r="K234" s="98">
        <f>MAX(F01_UC2!$B$6,F234+$B$29)</f>
        <v>46250</v>
      </c>
      <c r="L234" s="99">
        <f t="shared" si="43"/>
        <v>0</v>
      </c>
      <c r="M234" s="99">
        <f t="shared" si="44"/>
        <v>0</v>
      </c>
      <c r="N234" s="99">
        <f t="shared" si="45"/>
        <v>0</v>
      </c>
      <c r="O234" s="98">
        <f t="shared" si="46"/>
        <v>46271</v>
      </c>
      <c r="P234" s="99">
        <f t="shared" si="47"/>
        <v>0</v>
      </c>
      <c r="Q234" s="99">
        <f t="shared" si="48"/>
        <v>0</v>
      </c>
      <c r="R234" s="99">
        <f t="shared" si="49"/>
        <v>0</v>
      </c>
      <c r="S234" s="86" t="str">
        <f t="shared" si="50"/>
        <v>Khớp</v>
      </c>
      <c r="T234" s="86"/>
      <c r="U234" s="86"/>
    </row>
    <row r="235" spans="1:21" ht="24" customHeight="1">
      <c r="A235" s="86" t="str">
        <f>F01_UC2!A304</f>
        <v>NEW-10-IN</v>
      </c>
      <c r="B235" s="86" t="str">
        <f>F01_UC2!B304</f>
        <v>NEW-10</v>
      </c>
      <c r="C235" s="86" t="str">
        <f>F01_UC2!C304</f>
        <v>NEW_CUSTOMERS</v>
      </c>
      <c r="D235" s="86" t="str">
        <f>F01_UC2!D304</f>
        <v>IN</v>
      </c>
      <c r="E235" s="99">
        <f>F01_UC2!E304</f>
        <v>0</v>
      </c>
      <c r="F235" s="100">
        <f>F01_UC2!N304</f>
        <v>46309</v>
      </c>
      <c r="G235" s="100">
        <f>F01_UC2!M304</f>
        <v>0</v>
      </c>
      <c r="H235" s="86" t="str">
        <f>F01_UC2!P304</f>
        <v>Hoạt động mới</v>
      </c>
      <c r="I235" s="86">
        <f>F01_UC2!Q304</f>
        <v>0</v>
      </c>
      <c r="J235" s="99">
        <f t="shared" si="42"/>
        <v>0</v>
      </c>
      <c r="K235" s="98">
        <f>MAX(F01_UC2!$B$6,F235+$B$29)</f>
        <v>46302</v>
      </c>
      <c r="L235" s="99">
        <f t="shared" si="43"/>
        <v>0</v>
      </c>
      <c r="M235" s="99">
        <f t="shared" si="44"/>
        <v>0</v>
      </c>
      <c r="N235" s="99">
        <f t="shared" si="45"/>
        <v>0</v>
      </c>
      <c r="O235" s="98">
        <f t="shared" si="46"/>
        <v>46323</v>
      </c>
      <c r="P235" s="99">
        <f t="shared" si="47"/>
        <v>0</v>
      </c>
      <c r="Q235" s="99">
        <f t="shared" si="48"/>
        <v>0</v>
      </c>
      <c r="R235" s="99">
        <f t="shared" si="49"/>
        <v>0</v>
      </c>
      <c r="S235" s="86" t="str">
        <f t="shared" si="50"/>
        <v>Khớp</v>
      </c>
      <c r="T235" s="86"/>
      <c r="U235" s="86"/>
    </row>
    <row r="236" spans="1:21" ht="24" customHeight="1">
      <c r="A236" s="86" t="str">
        <f>F01_UC2!A305</f>
        <v>NEW-10-OUT</v>
      </c>
      <c r="B236" s="86" t="str">
        <f>F01_UC2!B305</f>
        <v>NEW-10</v>
      </c>
      <c r="C236" s="86" t="str">
        <f>F01_UC2!C305</f>
        <v>VARIABLE_COST</v>
      </c>
      <c r="D236" s="86" t="str">
        <f>F01_UC2!D305</f>
        <v>OUT</v>
      </c>
      <c r="E236" s="99">
        <f>F01_UC2!E305</f>
        <v>0</v>
      </c>
      <c r="F236" s="100">
        <f>F01_UC2!N305</f>
        <v>46264</v>
      </c>
      <c r="G236" s="100">
        <f>F01_UC2!M305</f>
        <v>0</v>
      </c>
      <c r="H236" s="86" t="str">
        <f>F01_UC2!P305</f>
        <v>Hoạt động mới</v>
      </c>
      <c r="I236" s="86">
        <f>F01_UC2!Q305</f>
        <v>0</v>
      </c>
      <c r="J236" s="99">
        <f t="shared" si="42"/>
        <v>0</v>
      </c>
      <c r="K236" s="98">
        <f>MAX(F01_UC2!$B$6,F236+$B$29)</f>
        <v>46257</v>
      </c>
      <c r="L236" s="99">
        <f t="shared" si="43"/>
        <v>0</v>
      </c>
      <c r="M236" s="99">
        <f t="shared" si="44"/>
        <v>0</v>
      </c>
      <c r="N236" s="99">
        <f t="shared" si="45"/>
        <v>0</v>
      </c>
      <c r="O236" s="98">
        <f t="shared" si="46"/>
        <v>46278</v>
      </c>
      <c r="P236" s="99">
        <f t="shared" si="47"/>
        <v>0</v>
      </c>
      <c r="Q236" s="99">
        <f t="shared" si="48"/>
        <v>0</v>
      </c>
      <c r="R236" s="99">
        <f t="shared" si="49"/>
        <v>0</v>
      </c>
      <c r="S236" s="86" t="str">
        <f t="shared" si="50"/>
        <v>Khớp</v>
      </c>
      <c r="T236" s="86"/>
      <c r="U236" s="86"/>
    </row>
    <row r="237" spans="1:21" ht="24" customHeight="1">
      <c r="A237" s="86" t="str">
        <f>F01_UC2!A306</f>
        <v>NEW-11-IN</v>
      </c>
      <c r="B237" s="86" t="str">
        <f>F01_UC2!B306</f>
        <v>NEW-11</v>
      </c>
      <c r="C237" s="86" t="str">
        <f>F01_UC2!C306</f>
        <v>NEW_CUSTOMERS</v>
      </c>
      <c r="D237" s="86" t="str">
        <f>F01_UC2!D306</f>
        <v>IN</v>
      </c>
      <c r="E237" s="99">
        <f>F01_UC2!E306</f>
        <v>0</v>
      </c>
      <c r="F237" s="100">
        <f>F01_UC2!N306</f>
        <v>46316</v>
      </c>
      <c r="G237" s="100">
        <f>F01_UC2!M306</f>
        <v>0</v>
      </c>
      <c r="H237" s="86" t="str">
        <f>F01_UC2!P306</f>
        <v>Hoạt động mới</v>
      </c>
      <c r="I237" s="86">
        <f>F01_UC2!Q306</f>
        <v>0</v>
      </c>
      <c r="J237" s="99">
        <f t="shared" si="42"/>
        <v>0</v>
      </c>
      <c r="K237" s="98">
        <f>MAX(F01_UC2!$B$6,F237+$B$29)</f>
        <v>46309</v>
      </c>
      <c r="L237" s="99">
        <f t="shared" si="43"/>
        <v>0</v>
      </c>
      <c r="M237" s="99">
        <f t="shared" si="44"/>
        <v>0</v>
      </c>
      <c r="N237" s="99">
        <f t="shared" si="45"/>
        <v>0</v>
      </c>
      <c r="O237" s="98">
        <f t="shared" si="46"/>
        <v>46330</v>
      </c>
      <c r="P237" s="99">
        <f t="shared" si="47"/>
        <v>0</v>
      </c>
      <c r="Q237" s="99">
        <f t="shared" si="48"/>
        <v>0</v>
      </c>
      <c r="R237" s="99">
        <f t="shared" si="49"/>
        <v>0</v>
      </c>
      <c r="S237" s="86" t="str">
        <f t="shared" si="50"/>
        <v>Khớp</v>
      </c>
      <c r="T237" s="86"/>
      <c r="U237" s="86"/>
    </row>
    <row r="238" spans="1:21" ht="24" customHeight="1">
      <c r="A238" s="86" t="str">
        <f>F01_UC2!A307</f>
        <v>NEW-11-OUT</v>
      </c>
      <c r="B238" s="86" t="str">
        <f>F01_UC2!B307</f>
        <v>NEW-11</v>
      </c>
      <c r="C238" s="86" t="str">
        <f>F01_UC2!C307</f>
        <v>VARIABLE_COST</v>
      </c>
      <c r="D238" s="86" t="str">
        <f>F01_UC2!D307</f>
        <v>OUT</v>
      </c>
      <c r="E238" s="99">
        <f>F01_UC2!E307</f>
        <v>0</v>
      </c>
      <c r="F238" s="100">
        <f>F01_UC2!N307</f>
        <v>46271</v>
      </c>
      <c r="G238" s="100">
        <f>F01_UC2!M307</f>
        <v>0</v>
      </c>
      <c r="H238" s="86" t="str">
        <f>F01_UC2!P307</f>
        <v>Hoạt động mới</v>
      </c>
      <c r="I238" s="86">
        <f>F01_UC2!Q307</f>
        <v>0</v>
      </c>
      <c r="J238" s="99">
        <f t="shared" si="42"/>
        <v>0</v>
      </c>
      <c r="K238" s="98">
        <f>MAX(F01_UC2!$B$6,F238+$B$29)</f>
        <v>46264</v>
      </c>
      <c r="L238" s="99">
        <f t="shared" si="43"/>
        <v>0</v>
      </c>
      <c r="M238" s="99">
        <f t="shared" si="44"/>
        <v>0</v>
      </c>
      <c r="N238" s="99">
        <f t="shared" si="45"/>
        <v>0</v>
      </c>
      <c r="O238" s="98">
        <f t="shared" si="46"/>
        <v>46285</v>
      </c>
      <c r="P238" s="99">
        <f t="shared" si="47"/>
        <v>0</v>
      </c>
      <c r="Q238" s="99">
        <f t="shared" si="48"/>
        <v>0</v>
      </c>
      <c r="R238" s="99">
        <f t="shared" si="49"/>
        <v>0</v>
      </c>
      <c r="S238" s="86" t="str">
        <f t="shared" si="50"/>
        <v>Khớp</v>
      </c>
      <c r="T238" s="86"/>
      <c r="U238" s="86"/>
    </row>
    <row r="239" spans="1:21" ht="24" customHeight="1">
      <c r="A239" s="86" t="str">
        <f>F01_UC2!A308</f>
        <v>NEW-12-IN</v>
      </c>
      <c r="B239" s="86" t="str">
        <f>F01_UC2!B308</f>
        <v>NEW-12</v>
      </c>
      <c r="C239" s="86" t="str">
        <f>F01_UC2!C308</f>
        <v>NEW_CUSTOMERS</v>
      </c>
      <c r="D239" s="86" t="str">
        <f>F01_UC2!D308</f>
        <v>IN</v>
      </c>
      <c r="E239" s="99">
        <f>F01_UC2!E308</f>
        <v>0</v>
      </c>
      <c r="F239" s="100">
        <f>F01_UC2!N308</f>
        <v>46323</v>
      </c>
      <c r="G239" s="100">
        <f>F01_UC2!M308</f>
        <v>0</v>
      </c>
      <c r="H239" s="86" t="str">
        <f>F01_UC2!P308</f>
        <v>Hoạt động mới</v>
      </c>
      <c r="I239" s="86">
        <f>F01_UC2!Q308</f>
        <v>0</v>
      </c>
      <c r="J239" s="99">
        <f t="shared" si="42"/>
        <v>0</v>
      </c>
      <c r="K239" s="98">
        <f>MAX(F01_UC2!$B$6,F239+$B$29)</f>
        <v>46316</v>
      </c>
      <c r="L239" s="99">
        <f t="shared" si="43"/>
        <v>0</v>
      </c>
      <c r="M239" s="99">
        <f t="shared" si="44"/>
        <v>0</v>
      </c>
      <c r="N239" s="99">
        <f t="shared" si="45"/>
        <v>0</v>
      </c>
      <c r="O239" s="98">
        <f t="shared" si="46"/>
        <v>46337</v>
      </c>
      <c r="P239" s="99">
        <f t="shared" si="47"/>
        <v>0</v>
      </c>
      <c r="Q239" s="99">
        <f t="shared" si="48"/>
        <v>0</v>
      </c>
      <c r="R239" s="99">
        <f t="shared" si="49"/>
        <v>0</v>
      </c>
      <c r="S239" s="86" t="str">
        <f t="shared" si="50"/>
        <v>Khớp</v>
      </c>
      <c r="T239" s="86"/>
      <c r="U239" s="86"/>
    </row>
    <row r="240" spans="1:21" ht="24" customHeight="1">
      <c r="A240" s="86" t="str">
        <f>F01_UC2!A309</f>
        <v>NEW-12-OUT</v>
      </c>
      <c r="B240" s="86" t="str">
        <f>F01_UC2!B309</f>
        <v>NEW-12</v>
      </c>
      <c r="C240" s="86" t="str">
        <f>F01_UC2!C309</f>
        <v>VARIABLE_COST</v>
      </c>
      <c r="D240" s="86" t="str">
        <f>F01_UC2!D309</f>
        <v>OUT</v>
      </c>
      <c r="E240" s="99">
        <f>F01_UC2!E309</f>
        <v>0</v>
      </c>
      <c r="F240" s="100">
        <f>F01_UC2!N309</f>
        <v>46278</v>
      </c>
      <c r="G240" s="100">
        <f>F01_UC2!M309</f>
        <v>0</v>
      </c>
      <c r="H240" s="86" t="str">
        <f>F01_UC2!P309</f>
        <v>Hoạt động mới</v>
      </c>
      <c r="I240" s="86">
        <f>F01_UC2!Q309</f>
        <v>0</v>
      </c>
      <c r="J240" s="99">
        <f t="shared" si="42"/>
        <v>0</v>
      </c>
      <c r="K240" s="98">
        <f>MAX(F01_UC2!$B$6,F240+$B$29)</f>
        <v>46271</v>
      </c>
      <c r="L240" s="99">
        <f t="shared" si="43"/>
        <v>0</v>
      </c>
      <c r="M240" s="99">
        <f t="shared" si="44"/>
        <v>0</v>
      </c>
      <c r="N240" s="99">
        <f t="shared" si="45"/>
        <v>0</v>
      </c>
      <c r="O240" s="98">
        <f t="shared" si="46"/>
        <v>46292</v>
      </c>
      <c r="P240" s="99">
        <f t="shared" si="47"/>
        <v>0</v>
      </c>
      <c r="Q240" s="99">
        <f t="shared" si="48"/>
        <v>0</v>
      </c>
      <c r="R240" s="99">
        <f t="shared" si="49"/>
        <v>0</v>
      </c>
      <c r="S240" s="86" t="str">
        <f t="shared" si="50"/>
        <v>Khớp</v>
      </c>
      <c r="T240" s="86"/>
      <c r="U240" s="86"/>
    </row>
    <row r="241" spans="1:21" ht="24" customHeight="1">
      <c r="A241" s="86" t="str">
        <f>F01_UC2!A310</f>
        <v>NEW-13-IN</v>
      </c>
      <c r="B241" s="86" t="str">
        <f>F01_UC2!B310</f>
        <v>NEW-13</v>
      </c>
      <c r="C241" s="86" t="str">
        <f>F01_UC2!C310</f>
        <v>NEW_CUSTOMERS</v>
      </c>
      <c r="D241" s="86" t="str">
        <f>F01_UC2!D310</f>
        <v>IN</v>
      </c>
      <c r="E241" s="99">
        <f>F01_UC2!E310</f>
        <v>0</v>
      </c>
      <c r="F241" s="100">
        <f>F01_UC2!N310</f>
        <v>46330</v>
      </c>
      <c r="G241" s="100">
        <f>F01_UC2!M310</f>
        <v>0</v>
      </c>
      <c r="H241" s="86" t="str">
        <f>F01_UC2!P310</f>
        <v>Hoạt động mới</v>
      </c>
      <c r="I241" s="86">
        <f>F01_UC2!Q310</f>
        <v>0</v>
      </c>
      <c r="J241" s="99">
        <f t="shared" si="42"/>
        <v>0</v>
      </c>
      <c r="K241" s="98">
        <f>MAX(F01_UC2!$B$6,F241+$B$29)</f>
        <v>46323</v>
      </c>
      <c r="L241" s="99">
        <f t="shared" si="43"/>
        <v>0</v>
      </c>
      <c r="M241" s="99">
        <f t="shared" si="44"/>
        <v>0</v>
      </c>
      <c r="N241" s="99">
        <f t="shared" si="45"/>
        <v>0</v>
      </c>
      <c r="O241" s="98">
        <f t="shared" si="46"/>
        <v>46344</v>
      </c>
      <c r="P241" s="99">
        <f t="shared" si="47"/>
        <v>0</v>
      </c>
      <c r="Q241" s="99">
        <f t="shared" si="48"/>
        <v>0</v>
      </c>
      <c r="R241" s="99">
        <f t="shared" si="49"/>
        <v>0</v>
      </c>
      <c r="S241" s="86" t="str">
        <f t="shared" si="50"/>
        <v>Khớp</v>
      </c>
      <c r="T241" s="86"/>
      <c r="U241" s="86"/>
    </row>
    <row r="242" spans="1:21" ht="24" customHeight="1">
      <c r="A242" s="86" t="str">
        <f>F01_UC2!A311</f>
        <v>NEW-13-OUT</v>
      </c>
      <c r="B242" s="86" t="str">
        <f>F01_UC2!B311</f>
        <v>NEW-13</v>
      </c>
      <c r="C242" s="86" t="str">
        <f>F01_UC2!C311</f>
        <v>VARIABLE_COST</v>
      </c>
      <c r="D242" s="86" t="str">
        <f>F01_UC2!D311</f>
        <v>OUT</v>
      </c>
      <c r="E242" s="99">
        <f>F01_UC2!E311</f>
        <v>0</v>
      </c>
      <c r="F242" s="100">
        <f>F01_UC2!N311</f>
        <v>46285</v>
      </c>
      <c r="G242" s="100">
        <f>F01_UC2!M311</f>
        <v>0</v>
      </c>
      <c r="H242" s="86" t="str">
        <f>F01_UC2!P311</f>
        <v>Hoạt động mới</v>
      </c>
      <c r="I242" s="86">
        <f>F01_UC2!Q311</f>
        <v>0</v>
      </c>
      <c r="J242" s="99">
        <f t="shared" si="42"/>
        <v>0</v>
      </c>
      <c r="K242" s="98">
        <f>MAX(F01_UC2!$B$6,F242+$B$29)</f>
        <v>46278</v>
      </c>
      <c r="L242" s="99">
        <f t="shared" si="43"/>
        <v>0</v>
      </c>
      <c r="M242" s="99">
        <f t="shared" si="44"/>
        <v>0</v>
      </c>
      <c r="N242" s="99">
        <f t="shared" si="45"/>
        <v>0</v>
      </c>
      <c r="O242" s="98">
        <f t="shared" si="46"/>
        <v>46299</v>
      </c>
      <c r="P242" s="99">
        <f t="shared" si="47"/>
        <v>0</v>
      </c>
      <c r="Q242" s="99">
        <f t="shared" si="48"/>
        <v>0</v>
      </c>
      <c r="R242" s="99">
        <f t="shared" si="49"/>
        <v>0</v>
      </c>
      <c r="S242" s="86" t="str">
        <f t="shared" si="50"/>
        <v>Khớp</v>
      </c>
      <c r="T242" s="86"/>
      <c r="U242" s="86"/>
    </row>
    <row r="243" spans="1:21" ht="24" customHeight="1">
      <c r="A243" s="86" t="str">
        <f>F01_UC2!A312</f>
        <v>ELEC-F01-0003</v>
      </c>
      <c r="B243" s="86" t="str">
        <f>F01_UC2!B312</f>
        <v>BILL-F01-0003</v>
      </c>
      <c r="C243" s="86" t="str">
        <f>F01_UC2!C312</f>
        <v>Điện lực khu công nghiệp</v>
      </c>
      <c r="D243" s="86" t="str">
        <f>F01_UC2!D312</f>
        <v>OUT</v>
      </c>
      <c r="E243" s="99">
        <f>F01_UC2!E312</f>
        <v>0</v>
      </c>
      <c r="F243" s="100">
        <f>F01_UC2!N312</f>
        <v>46038</v>
      </c>
      <c r="G243" s="100">
        <f>F01_UC2!M312</f>
        <v>0</v>
      </c>
      <c r="H243" s="86" t="str">
        <f>F01_UC2!P312</f>
        <v>Tiện ích (điện)</v>
      </c>
      <c r="I243" s="86">
        <f>F01_UC2!Q312</f>
        <v>1</v>
      </c>
      <c r="J243" s="99">
        <f t="shared" si="42"/>
        <v>0</v>
      </c>
      <c r="K243" s="98">
        <f>MAX(F01_UC2!$B$6,F243+$B$29)</f>
        <v>46194</v>
      </c>
      <c r="L243" s="99">
        <f t="shared" si="43"/>
        <v>0</v>
      </c>
      <c r="M243" s="99">
        <f t="shared" si="44"/>
        <v>0</v>
      </c>
      <c r="N243" s="99">
        <f t="shared" si="45"/>
        <v>0</v>
      </c>
      <c r="O243" s="98">
        <f t="shared" si="46"/>
        <v>46052</v>
      </c>
      <c r="P243" s="99">
        <f t="shared" si="47"/>
        <v>0</v>
      </c>
      <c r="Q243" s="99">
        <f t="shared" si="48"/>
        <v>0</v>
      </c>
      <c r="R243" s="99">
        <f t="shared" si="49"/>
        <v>0</v>
      </c>
      <c r="S243" s="86" t="str">
        <f t="shared" si="50"/>
        <v>Khớp</v>
      </c>
      <c r="T243" s="86"/>
      <c r="U243" s="86"/>
    </row>
    <row r="244" spans="1:21" ht="24" customHeight="1">
      <c r="A244" s="86" t="str">
        <f>F01_UC2!A313</f>
        <v>TRANS-F01-0006</v>
      </c>
      <c r="B244" s="86" t="str">
        <f>F01_UC2!B313</f>
        <v>BILL-F01-0006</v>
      </c>
      <c r="C244" s="86" t="str">
        <f>F01_UC2!C313</f>
        <v>Vận tải nội địa NCC5</v>
      </c>
      <c r="D244" s="86" t="str">
        <f>F01_UC2!D313</f>
        <v>OUT</v>
      </c>
      <c r="E244" s="99">
        <f>F01_UC2!E313</f>
        <v>0</v>
      </c>
      <c r="F244" s="100">
        <f>F01_UC2!N313</f>
        <v>46043</v>
      </c>
      <c r="G244" s="100">
        <f>F01_UC2!M313</f>
        <v>0</v>
      </c>
      <c r="H244" s="86" t="str">
        <f>F01_UC2!P313</f>
        <v>Vận tải</v>
      </c>
      <c r="I244" s="86">
        <f>F01_UC2!Q313</f>
        <v>0</v>
      </c>
      <c r="J244" s="99">
        <f t="shared" si="42"/>
        <v>0</v>
      </c>
      <c r="K244" s="98">
        <f>MAX(F01_UC2!$B$6,F244+$B$29)</f>
        <v>46194</v>
      </c>
      <c r="L244" s="99">
        <f t="shared" si="43"/>
        <v>0</v>
      </c>
      <c r="M244" s="99">
        <f t="shared" si="44"/>
        <v>0</v>
      </c>
      <c r="N244" s="99">
        <f t="shared" si="45"/>
        <v>0</v>
      </c>
      <c r="O244" s="98">
        <f t="shared" si="46"/>
        <v>46057</v>
      </c>
      <c r="P244" s="99">
        <f t="shared" si="47"/>
        <v>0</v>
      </c>
      <c r="Q244" s="99">
        <f t="shared" si="48"/>
        <v>0</v>
      </c>
      <c r="R244" s="99">
        <f t="shared" si="49"/>
        <v>0</v>
      </c>
      <c r="S244" s="86" t="str">
        <f t="shared" si="50"/>
        <v>Khớp</v>
      </c>
      <c r="T244" s="86"/>
      <c r="U244" s="86"/>
    </row>
    <row r="245" spans="1:21" ht="24" customHeight="1">
      <c r="A245" s="86" t="str">
        <f>F01_UC2!A314</f>
        <v>TRANS-F01-0009</v>
      </c>
      <c r="B245" s="86" t="str">
        <f>F01_UC2!B314</f>
        <v>BILL-F01-0009</v>
      </c>
      <c r="C245" s="86" t="str">
        <f>F01_UC2!C314</f>
        <v>Vận tải nội địa NCC5</v>
      </c>
      <c r="D245" s="86" t="str">
        <f>F01_UC2!D314</f>
        <v>OUT</v>
      </c>
      <c r="E245" s="99">
        <f>F01_UC2!E314</f>
        <v>0</v>
      </c>
      <c r="F245" s="100">
        <f>F01_UC2!N314</f>
        <v>46048</v>
      </c>
      <c r="G245" s="100">
        <f>F01_UC2!M314</f>
        <v>0</v>
      </c>
      <c r="H245" s="86" t="str">
        <f>F01_UC2!P314</f>
        <v>Vận tải</v>
      </c>
      <c r="I245" s="86">
        <f>F01_UC2!Q314</f>
        <v>0</v>
      </c>
      <c r="J245" s="99">
        <f t="shared" si="42"/>
        <v>0</v>
      </c>
      <c r="K245" s="98">
        <f>MAX(F01_UC2!$B$6,F245+$B$29)</f>
        <v>46194</v>
      </c>
      <c r="L245" s="99">
        <f t="shared" si="43"/>
        <v>0</v>
      </c>
      <c r="M245" s="99">
        <f t="shared" si="44"/>
        <v>0</v>
      </c>
      <c r="N245" s="99">
        <f t="shared" si="45"/>
        <v>0</v>
      </c>
      <c r="O245" s="98">
        <f t="shared" si="46"/>
        <v>46062</v>
      </c>
      <c r="P245" s="99">
        <f t="shared" si="47"/>
        <v>0</v>
      </c>
      <c r="Q245" s="99">
        <f t="shared" si="48"/>
        <v>0</v>
      </c>
      <c r="R245" s="99">
        <f t="shared" si="49"/>
        <v>0</v>
      </c>
      <c r="S245" s="86" t="str">
        <f t="shared" si="50"/>
        <v>Khớp</v>
      </c>
      <c r="T245" s="86"/>
      <c r="U245" s="86"/>
    </row>
    <row r="246" spans="1:21" ht="24" customHeight="1">
      <c r="A246" s="86" t="str">
        <f>F01_UC2!A315</f>
        <v>TRANS-F01-0013</v>
      </c>
      <c r="B246" s="86" t="str">
        <f>F01_UC2!B315</f>
        <v>BILL-F01-0013</v>
      </c>
      <c r="C246" s="86" t="str">
        <f>F01_UC2!C315</f>
        <v>Vận tải nội địa NCC5</v>
      </c>
      <c r="D246" s="86" t="str">
        <f>F01_UC2!D315</f>
        <v>OUT</v>
      </c>
      <c r="E246" s="99">
        <f>F01_UC2!E315</f>
        <v>0</v>
      </c>
      <c r="F246" s="100">
        <f>F01_UC2!N315</f>
        <v>46052</v>
      </c>
      <c r="G246" s="100">
        <f>F01_UC2!M315</f>
        <v>0</v>
      </c>
      <c r="H246" s="86" t="str">
        <f>F01_UC2!P315</f>
        <v>Vận tải</v>
      </c>
      <c r="I246" s="86">
        <f>F01_UC2!Q315</f>
        <v>0</v>
      </c>
      <c r="J246" s="99">
        <f t="shared" si="42"/>
        <v>0</v>
      </c>
      <c r="K246" s="98">
        <f>MAX(F01_UC2!$B$6,F246+$B$29)</f>
        <v>46194</v>
      </c>
      <c r="L246" s="99">
        <f t="shared" si="43"/>
        <v>0</v>
      </c>
      <c r="M246" s="99">
        <f t="shared" si="44"/>
        <v>0</v>
      </c>
      <c r="N246" s="99">
        <f t="shared" si="45"/>
        <v>0</v>
      </c>
      <c r="O246" s="98">
        <f t="shared" si="46"/>
        <v>46066</v>
      </c>
      <c r="P246" s="99">
        <f t="shared" si="47"/>
        <v>0</v>
      </c>
      <c r="Q246" s="99">
        <f t="shared" si="48"/>
        <v>0</v>
      </c>
      <c r="R246" s="99">
        <f t="shared" si="49"/>
        <v>0</v>
      </c>
      <c r="S246" s="86" t="str">
        <f t="shared" si="50"/>
        <v>Khớp</v>
      </c>
      <c r="T246" s="86"/>
      <c r="U246" s="86"/>
    </row>
    <row r="247" spans="1:21" ht="24" customHeight="1">
      <c r="A247" s="86" t="str">
        <f>F01_UC2!A316</f>
        <v>TRANS-F01-0015</v>
      </c>
      <c r="B247" s="86" t="str">
        <f>F01_UC2!B316</f>
        <v>BILL-F01-0015</v>
      </c>
      <c r="C247" s="86" t="str">
        <f>F01_UC2!C316</f>
        <v>Vận tải nội địa NCC5</v>
      </c>
      <c r="D247" s="86" t="str">
        <f>F01_UC2!D316</f>
        <v>OUT</v>
      </c>
      <c r="E247" s="99">
        <f>F01_UC2!E316</f>
        <v>0</v>
      </c>
      <c r="F247" s="100">
        <f>F01_UC2!N316</f>
        <v>46059</v>
      </c>
      <c r="G247" s="100">
        <f>F01_UC2!M316</f>
        <v>0</v>
      </c>
      <c r="H247" s="86" t="str">
        <f>F01_UC2!P316</f>
        <v>Vận tải</v>
      </c>
      <c r="I247" s="86">
        <f>F01_UC2!Q316</f>
        <v>0</v>
      </c>
      <c r="J247" s="99">
        <f t="shared" ref="J247:J278" si="51">IF(AND($B$34="Hợp lệ",D247="IN",H247="Thu công nợ",C247=$B$7,OR(G247=0,$B$12=1),K247&lt;&gt;F247),E247*$B$28,0)</f>
        <v>0</v>
      </c>
      <c r="K247" s="98">
        <f>MAX(F01_UC2!$B$6,F247+$B$29)</f>
        <v>46194</v>
      </c>
      <c r="L247" s="99">
        <f t="shared" ref="L247:L278" si="52">J247-M247</f>
        <v>0</v>
      </c>
      <c r="M247" s="99">
        <f t="shared" ref="M247:M272" si="53">IF(K247&lt;F247,J247*$B$30,0)</f>
        <v>0</v>
      </c>
      <c r="N247" s="99">
        <f t="shared" ref="N247:N278" si="54">IF(AND($B$34="Hợp lệ",D247="OUT",H247="Trả NCC",C247=$B$13,OR(I247=0,$B$17=1),O247&lt;&gt;F247),E247*$B$31,0)</f>
        <v>0</v>
      </c>
      <c r="O247" s="98">
        <f t="shared" ref="O247:O272" si="55">F247+$B$15</f>
        <v>46073</v>
      </c>
      <c r="P247" s="99">
        <f t="shared" ref="P247:P278" si="56">N247+Q247</f>
        <v>0</v>
      </c>
      <c r="Q247" s="99">
        <f t="shared" ref="Q247:Q272" si="57">N247*$B$16</f>
        <v>0</v>
      </c>
      <c r="R247" s="99">
        <f t="shared" ref="R247:R272" si="58">E247-J247-N247</f>
        <v>0</v>
      </c>
      <c r="S247" s="86" t="str">
        <f t="shared" ref="S247:S278" si="59">IF(AND(J247&gt;=0,N247&gt;=0,R247&gt;=0,ABS(R247+J247+N247-E247)&lt;=$B$27),"Khớp","LỆCH")</f>
        <v>Khớp</v>
      </c>
      <c r="T247" s="86"/>
      <c r="U247" s="86"/>
    </row>
    <row r="248" spans="1:21" ht="24" customHeight="1">
      <c r="A248" s="86" t="str">
        <f>F01_UC2!A317</f>
        <v>ELEC-F01-0018</v>
      </c>
      <c r="B248" s="86" t="str">
        <f>F01_UC2!B317</f>
        <v>BILL-F01-0018</v>
      </c>
      <c r="C248" s="86" t="str">
        <f>F01_UC2!C317</f>
        <v>Điện lực khu công nghiệp</v>
      </c>
      <c r="D248" s="86" t="str">
        <f>F01_UC2!D317</f>
        <v>OUT</v>
      </c>
      <c r="E248" s="99">
        <f>F01_UC2!E317</f>
        <v>0</v>
      </c>
      <c r="F248" s="100">
        <f>F01_UC2!N317</f>
        <v>46061</v>
      </c>
      <c r="G248" s="100">
        <f>F01_UC2!M317</f>
        <v>0</v>
      </c>
      <c r="H248" s="86" t="str">
        <f>F01_UC2!P317</f>
        <v>Tiện ích (điện)</v>
      </c>
      <c r="I248" s="86">
        <f>F01_UC2!Q317</f>
        <v>1</v>
      </c>
      <c r="J248" s="99">
        <f t="shared" si="51"/>
        <v>0</v>
      </c>
      <c r="K248" s="98">
        <f>MAX(F01_UC2!$B$6,F248+$B$29)</f>
        <v>46194</v>
      </c>
      <c r="L248" s="99">
        <f t="shared" si="52"/>
        <v>0</v>
      </c>
      <c r="M248" s="99">
        <f t="shared" si="53"/>
        <v>0</v>
      </c>
      <c r="N248" s="99">
        <f t="shared" si="54"/>
        <v>0</v>
      </c>
      <c r="O248" s="98">
        <f t="shared" si="55"/>
        <v>46075</v>
      </c>
      <c r="P248" s="99">
        <f t="shared" si="56"/>
        <v>0</v>
      </c>
      <c r="Q248" s="99">
        <f t="shared" si="57"/>
        <v>0</v>
      </c>
      <c r="R248" s="99">
        <f t="shared" si="58"/>
        <v>0</v>
      </c>
      <c r="S248" s="86" t="str">
        <f t="shared" si="59"/>
        <v>Khớp</v>
      </c>
      <c r="T248" s="86"/>
      <c r="U248" s="86"/>
    </row>
    <row r="249" spans="1:21" ht="24" customHeight="1">
      <c r="A249" s="86" t="str">
        <f>F01_UC2!A318</f>
        <v>TRANS-F01-0020</v>
      </c>
      <c r="B249" s="86" t="str">
        <f>F01_UC2!B318</f>
        <v>BILL-F01-0020</v>
      </c>
      <c r="C249" s="86" t="str">
        <f>F01_UC2!C318</f>
        <v>Vận tải nội địa NCC5</v>
      </c>
      <c r="D249" s="86" t="str">
        <f>F01_UC2!D318</f>
        <v>OUT</v>
      </c>
      <c r="E249" s="99">
        <f>F01_UC2!E318</f>
        <v>0</v>
      </c>
      <c r="F249" s="100">
        <f>F01_UC2!N318</f>
        <v>46059</v>
      </c>
      <c r="G249" s="100">
        <f>F01_UC2!M318</f>
        <v>0</v>
      </c>
      <c r="H249" s="86" t="str">
        <f>F01_UC2!P318</f>
        <v>Vận tải</v>
      </c>
      <c r="I249" s="86">
        <f>F01_UC2!Q318</f>
        <v>0</v>
      </c>
      <c r="J249" s="99">
        <f t="shared" si="51"/>
        <v>0</v>
      </c>
      <c r="K249" s="98">
        <f>MAX(F01_UC2!$B$6,F249+$B$29)</f>
        <v>46194</v>
      </c>
      <c r="L249" s="99">
        <f t="shared" si="52"/>
        <v>0</v>
      </c>
      <c r="M249" s="99">
        <f t="shared" si="53"/>
        <v>0</v>
      </c>
      <c r="N249" s="99">
        <f t="shared" si="54"/>
        <v>0</v>
      </c>
      <c r="O249" s="98">
        <f t="shared" si="55"/>
        <v>46073</v>
      </c>
      <c r="P249" s="99">
        <f t="shared" si="56"/>
        <v>0</v>
      </c>
      <c r="Q249" s="99">
        <f t="shared" si="57"/>
        <v>0</v>
      </c>
      <c r="R249" s="99">
        <f t="shared" si="58"/>
        <v>0</v>
      </c>
      <c r="S249" s="86" t="str">
        <f t="shared" si="59"/>
        <v>Khớp</v>
      </c>
      <c r="T249" s="86"/>
      <c r="U249" s="86"/>
    </row>
    <row r="250" spans="1:21" ht="24" customHeight="1">
      <c r="A250" s="86" t="str">
        <f>F01_UC2!A319</f>
        <v>TRANS-F01-0030</v>
      </c>
      <c r="B250" s="86" t="str">
        <f>F01_UC2!B319</f>
        <v>BILL-F01-0030</v>
      </c>
      <c r="C250" s="86" t="str">
        <f>F01_UC2!C319</f>
        <v>Vận tải nội địa NCC5</v>
      </c>
      <c r="D250" s="86" t="str">
        <f>F01_UC2!D319</f>
        <v>OUT</v>
      </c>
      <c r="E250" s="99">
        <f>F01_UC2!E319</f>
        <v>0</v>
      </c>
      <c r="F250" s="100">
        <f>F01_UC2!N319</f>
        <v>46079</v>
      </c>
      <c r="G250" s="100">
        <f>F01_UC2!M319</f>
        <v>0</v>
      </c>
      <c r="H250" s="86" t="str">
        <f>F01_UC2!P319</f>
        <v>Vận tải</v>
      </c>
      <c r="I250" s="86">
        <f>F01_UC2!Q319</f>
        <v>0</v>
      </c>
      <c r="J250" s="99">
        <f t="shared" si="51"/>
        <v>0</v>
      </c>
      <c r="K250" s="98">
        <f>MAX(F01_UC2!$B$6,F250+$B$29)</f>
        <v>46194</v>
      </c>
      <c r="L250" s="99">
        <f t="shared" si="52"/>
        <v>0</v>
      </c>
      <c r="M250" s="99">
        <f t="shared" si="53"/>
        <v>0</v>
      </c>
      <c r="N250" s="99">
        <f t="shared" si="54"/>
        <v>0</v>
      </c>
      <c r="O250" s="98">
        <f t="shared" si="55"/>
        <v>46093</v>
      </c>
      <c r="P250" s="99">
        <f t="shared" si="56"/>
        <v>0</v>
      </c>
      <c r="Q250" s="99">
        <f t="shared" si="57"/>
        <v>0</v>
      </c>
      <c r="R250" s="99">
        <f t="shared" si="58"/>
        <v>0</v>
      </c>
      <c r="S250" s="86" t="str">
        <f t="shared" si="59"/>
        <v>Khớp</v>
      </c>
      <c r="T250" s="86"/>
      <c r="U250" s="86"/>
    </row>
    <row r="251" spans="1:21" ht="24" customHeight="1">
      <c r="A251" s="86" t="str">
        <f>F01_UC2!A320</f>
        <v>TRANS-F01-0035</v>
      </c>
      <c r="B251" s="86" t="str">
        <f>F01_UC2!B320</f>
        <v>BILL-F01-0035</v>
      </c>
      <c r="C251" s="86" t="str">
        <f>F01_UC2!C320</f>
        <v>Vận tải nội địa NCC5</v>
      </c>
      <c r="D251" s="86" t="str">
        <f>F01_UC2!D320</f>
        <v>OUT</v>
      </c>
      <c r="E251" s="99">
        <f>F01_UC2!E320</f>
        <v>0</v>
      </c>
      <c r="F251" s="100">
        <f>F01_UC2!N320</f>
        <v>46091</v>
      </c>
      <c r="G251" s="100">
        <f>F01_UC2!M320</f>
        <v>0</v>
      </c>
      <c r="H251" s="86" t="str">
        <f>F01_UC2!P320</f>
        <v>Vận tải</v>
      </c>
      <c r="I251" s="86">
        <f>F01_UC2!Q320</f>
        <v>0</v>
      </c>
      <c r="J251" s="99">
        <f t="shared" si="51"/>
        <v>0</v>
      </c>
      <c r="K251" s="98">
        <f>MAX(F01_UC2!$B$6,F251+$B$29)</f>
        <v>46194</v>
      </c>
      <c r="L251" s="99">
        <f t="shared" si="52"/>
        <v>0</v>
      </c>
      <c r="M251" s="99">
        <f t="shared" si="53"/>
        <v>0</v>
      </c>
      <c r="N251" s="99">
        <f t="shared" si="54"/>
        <v>0</v>
      </c>
      <c r="O251" s="98">
        <f t="shared" si="55"/>
        <v>46105</v>
      </c>
      <c r="P251" s="99">
        <f t="shared" si="56"/>
        <v>0</v>
      </c>
      <c r="Q251" s="99">
        <f t="shared" si="57"/>
        <v>0</v>
      </c>
      <c r="R251" s="99">
        <f t="shared" si="58"/>
        <v>0</v>
      </c>
      <c r="S251" s="86" t="str">
        <f t="shared" si="59"/>
        <v>Khớp</v>
      </c>
      <c r="T251" s="86"/>
      <c r="U251" s="86"/>
    </row>
    <row r="252" spans="1:21" ht="24" customHeight="1">
      <c r="A252" s="86" t="str">
        <f>F01_UC2!A321</f>
        <v>ELEC-F01-0036</v>
      </c>
      <c r="B252" s="86" t="str">
        <f>F01_UC2!B321</f>
        <v>BILL-F01-0036</v>
      </c>
      <c r="C252" s="86" t="str">
        <f>F01_UC2!C321</f>
        <v>Điện lực khu công nghiệp</v>
      </c>
      <c r="D252" s="86" t="str">
        <f>F01_UC2!D321</f>
        <v>OUT</v>
      </c>
      <c r="E252" s="99">
        <f>F01_UC2!E321</f>
        <v>0</v>
      </c>
      <c r="F252" s="100">
        <f>F01_UC2!N321</f>
        <v>46091</v>
      </c>
      <c r="G252" s="100">
        <f>F01_UC2!M321</f>
        <v>0</v>
      </c>
      <c r="H252" s="86" t="str">
        <f>F01_UC2!P321</f>
        <v>Tiện ích (điện)</v>
      </c>
      <c r="I252" s="86">
        <f>F01_UC2!Q321</f>
        <v>1</v>
      </c>
      <c r="J252" s="99">
        <f t="shared" si="51"/>
        <v>0</v>
      </c>
      <c r="K252" s="98">
        <f>MAX(F01_UC2!$B$6,F252+$B$29)</f>
        <v>46194</v>
      </c>
      <c r="L252" s="99">
        <f t="shared" si="52"/>
        <v>0</v>
      </c>
      <c r="M252" s="99">
        <f t="shared" si="53"/>
        <v>0</v>
      </c>
      <c r="N252" s="99">
        <f t="shared" si="54"/>
        <v>0</v>
      </c>
      <c r="O252" s="98">
        <f t="shared" si="55"/>
        <v>46105</v>
      </c>
      <c r="P252" s="99">
        <f t="shared" si="56"/>
        <v>0</v>
      </c>
      <c r="Q252" s="99">
        <f t="shared" si="57"/>
        <v>0</v>
      </c>
      <c r="R252" s="99">
        <f t="shared" si="58"/>
        <v>0</v>
      </c>
      <c r="S252" s="86" t="str">
        <f t="shared" si="59"/>
        <v>Khớp</v>
      </c>
      <c r="T252" s="86"/>
      <c r="U252" s="86"/>
    </row>
    <row r="253" spans="1:21" ht="24" customHeight="1">
      <c r="A253" s="86" t="str">
        <f>F01_UC2!A322</f>
        <v>TRANS-F01-0037</v>
      </c>
      <c r="B253" s="86" t="str">
        <f>F01_UC2!B322</f>
        <v>BILL-F01-0037</v>
      </c>
      <c r="C253" s="86" t="str">
        <f>F01_UC2!C322</f>
        <v>Vận tải nội địa NCC5</v>
      </c>
      <c r="D253" s="86" t="str">
        <f>F01_UC2!D322</f>
        <v>OUT</v>
      </c>
      <c r="E253" s="99">
        <f>F01_UC2!E322</f>
        <v>0</v>
      </c>
      <c r="F253" s="100">
        <f>F01_UC2!N322</f>
        <v>46094</v>
      </c>
      <c r="G253" s="100">
        <f>F01_UC2!M322</f>
        <v>0</v>
      </c>
      <c r="H253" s="86" t="str">
        <f>F01_UC2!P322</f>
        <v>Vận tải</v>
      </c>
      <c r="I253" s="86">
        <f>F01_UC2!Q322</f>
        <v>0</v>
      </c>
      <c r="J253" s="99">
        <f t="shared" si="51"/>
        <v>0</v>
      </c>
      <c r="K253" s="98">
        <f>MAX(F01_UC2!$B$6,F253+$B$29)</f>
        <v>46194</v>
      </c>
      <c r="L253" s="99">
        <f t="shared" si="52"/>
        <v>0</v>
      </c>
      <c r="M253" s="99">
        <f t="shared" si="53"/>
        <v>0</v>
      </c>
      <c r="N253" s="99">
        <f t="shared" si="54"/>
        <v>0</v>
      </c>
      <c r="O253" s="98">
        <f t="shared" si="55"/>
        <v>46108</v>
      </c>
      <c r="P253" s="99">
        <f t="shared" si="56"/>
        <v>0</v>
      </c>
      <c r="Q253" s="99">
        <f t="shared" si="57"/>
        <v>0</v>
      </c>
      <c r="R253" s="99">
        <f t="shared" si="58"/>
        <v>0</v>
      </c>
      <c r="S253" s="86" t="str">
        <f t="shared" si="59"/>
        <v>Khớp</v>
      </c>
      <c r="T253" s="86"/>
      <c r="U253" s="86"/>
    </row>
    <row r="254" spans="1:21" ht="24" customHeight="1">
      <c r="A254" s="86" t="str">
        <f>F01_UC2!A323</f>
        <v>TRANS-F01-0039</v>
      </c>
      <c r="B254" s="86" t="str">
        <f>F01_UC2!B323</f>
        <v>BILL-F01-0039</v>
      </c>
      <c r="C254" s="86" t="str">
        <f>F01_UC2!C323</f>
        <v>Vận tải nội địa NCC5</v>
      </c>
      <c r="D254" s="86" t="str">
        <f>F01_UC2!D323</f>
        <v>OUT</v>
      </c>
      <c r="E254" s="99">
        <f>F01_UC2!E323</f>
        <v>0</v>
      </c>
      <c r="F254" s="100">
        <f>F01_UC2!N323</f>
        <v>46098</v>
      </c>
      <c r="G254" s="100">
        <f>F01_UC2!M323</f>
        <v>0</v>
      </c>
      <c r="H254" s="86" t="str">
        <f>F01_UC2!P323</f>
        <v>Vận tải</v>
      </c>
      <c r="I254" s="86">
        <f>F01_UC2!Q323</f>
        <v>0</v>
      </c>
      <c r="J254" s="99">
        <f t="shared" si="51"/>
        <v>0</v>
      </c>
      <c r="K254" s="98">
        <f>MAX(F01_UC2!$B$6,F254+$B$29)</f>
        <v>46194</v>
      </c>
      <c r="L254" s="99">
        <f t="shared" si="52"/>
        <v>0</v>
      </c>
      <c r="M254" s="99">
        <f t="shared" si="53"/>
        <v>0</v>
      </c>
      <c r="N254" s="99">
        <f t="shared" si="54"/>
        <v>0</v>
      </c>
      <c r="O254" s="98">
        <f t="shared" si="55"/>
        <v>46112</v>
      </c>
      <c r="P254" s="99">
        <f t="shared" si="56"/>
        <v>0</v>
      </c>
      <c r="Q254" s="99">
        <f t="shared" si="57"/>
        <v>0</v>
      </c>
      <c r="R254" s="99">
        <f t="shared" si="58"/>
        <v>0</v>
      </c>
      <c r="S254" s="86" t="str">
        <f t="shared" si="59"/>
        <v>Khớp</v>
      </c>
      <c r="T254" s="86"/>
      <c r="U254" s="86"/>
    </row>
    <row r="255" spans="1:21" ht="24" customHeight="1">
      <c r="A255" s="86" t="str">
        <f>F01_UC2!A324</f>
        <v>TRANS-F01-0042</v>
      </c>
      <c r="B255" s="86" t="str">
        <f>F01_UC2!B324</f>
        <v>BILL-F01-0042</v>
      </c>
      <c r="C255" s="86" t="str">
        <f>F01_UC2!C324</f>
        <v>Vận tải nội địa NCC5</v>
      </c>
      <c r="D255" s="86" t="str">
        <f>F01_UC2!D324</f>
        <v>OUT</v>
      </c>
      <c r="E255" s="99">
        <f>F01_UC2!E324</f>
        <v>0</v>
      </c>
      <c r="F255" s="100">
        <f>F01_UC2!N324</f>
        <v>46099</v>
      </c>
      <c r="G255" s="100">
        <f>F01_UC2!M324</f>
        <v>0</v>
      </c>
      <c r="H255" s="86" t="str">
        <f>F01_UC2!P324</f>
        <v>Vận tải</v>
      </c>
      <c r="I255" s="86">
        <f>F01_UC2!Q324</f>
        <v>0</v>
      </c>
      <c r="J255" s="99">
        <f t="shared" si="51"/>
        <v>0</v>
      </c>
      <c r="K255" s="98">
        <f>MAX(F01_UC2!$B$6,F255+$B$29)</f>
        <v>46194</v>
      </c>
      <c r="L255" s="99">
        <f t="shared" si="52"/>
        <v>0</v>
      </c>
      <c r="M255" s="99">
        <f t="shared" si="53"/>
        <v>0</v>
      </c>
      <c r="N255" s="99">
        <f t="shared" si="54"/>
        <v>0</v>
      </c>
      <c r="O255" s="98">
        <f t="shared" si="55"/>
        <v>46113</v>
      </c>
      <c r="P255" s="99">
        <f t="shared" si="56"/>
        <v>0</v>
      </c>
      <c r="Q255" s="99">
        <f t="shared" si="57"/>
        <v>0</v>
      </c>
      <c r="R255" s="99">
        <f t="shared" si="58"/>
        <v>0</v>
      </c>
      <c r="S255" s="86" t="str">
        <f t="shared" si="59"/>
        <v>Khớp</v>
      </c>
      <c r="T255" s="86"/>
      <c r="U255" s="86"/>
    </row>
    <row r="256" spans="1:21" ht="24" customHeight="1">
      <c r="A256" s="86" t="str">
        <f>F01_UC2!A325</f>
        <v>TRANS-F01-0043</v>
      </c>
      <c r="B256" s="86" t="str">
        <f>F01_UC2!B325</f>
        <v>BILL-F01-0043</v>
      </c>
      <c r="C256" s="86" t="str">
        <f>F01_UC2!C325</f>
        <v>Vận tải nội địa NCC5</v>
      </c>
      <c r="D256" s="86" t="str">
        <f>F01_UC2!D325</f>
        <v>OUT</v>
      </c>
      <c r="E256" s="99">
        <f>F01_UC2!E325</f>
        <v>0</v>
      </c>
      <c r="F256" s="100">
        <f>F01_UC2!N325</f>
        <v>46101</v>
      </c>
      <c r="G256" s="100">
        <f>F01_UC2!M325</f>
        <v>0</v>
      </c>
      <c r="H256" s="86" t="str">
        <f>F01_UC2!P325</f>
        <v>Vận tải</v>
      </c>
      <c r="I256" s="86">
        <f>F01_UC2!Q325</f>
        <v>0</v>
      </c>
      <c r="J256" s="99">
        <f t="shared" si="51"/>
        <v>0</v>
      </c>
      <c r="K256" s="98">
        <f>MAX(F01_UC2!$B$6,F256+$B$29)</f>
        <v>46194</v>
      </c>
      <c r="L256" s="99">
        <f t="shared" si="52"/>
        <v>0</v>
      </c>
      <c r="M256" s="99">
        <f t="shared" si="53"/>
        <v>0</v>
      </c>
      <c r="N256" s="99">
        <f t="shared" si="54"/>
        <v>0</v>
      </c>
      <c r="O256" s="98">
        <f t="shared" si="55"/>
        <v>46115</v>
      </c>
      <c r="P256" s="99">
        <f t="shared" si="56"/>
        <v>0</v>
      </c>
      <c r="Q256" s="99">
        <f t="shared" si="57"/>
        <v>0</v>
      </c>
      <c r="R256" s="99">
        <f t="shared" si="58"/>
        <v>0</v>
      </c>
      <c r="S256" s="86" t="str">
        <f t="shared" si="59"/>
        <v>Khớp</v>
      </c>
      <c r="T256" s="86"/>
      <c r="U256" s="86"/>
    </row>
    <row r="257" spans="1:21" ht="24" customHeight="1">
      <c r="A257" s="86" t="str">
        <f>F01_UC2!A326</f>
        <v>TRANS-F01-0047</v>
      </c>
      <c r="B257" s="86" t="str">
        <f>F01_UC2!B326</f>
        <v>BILL-F01-0047</v>
      </c>
      <c r="C257" s="86" t="str">
        <f>F01_UC2!C326</f>
        <v>Vận tải nội địa NCC5</v>
      </c>
      <c r="D257" s="86" t="str">
        <f>F01_UC2!D326</f>
        <v>OUT</v>
      </c>
      <c r="E257" s="99">
        <f>F01_UC2!E326</f>
        <v>0</v>
      </c>
      <c r="F257" s="100">
        <f>F01_UC2!N326</f>
        <v>46106</v>
      </c>
      <c r="G257" s="100">
        <f>F01_UC2!M326</f>
        <v>0</v>
      </c>
      <c r="H257" s="86" t="str">
        <f>F01_UC2!P326</f>
        <v>Vận tải</v>
      </c>
      <c r="I257" s="86">
        <f>F01_UC2!Q326</f>
        <v>0</v>
      </c>
      <c r="J257" s="99">
        <f t="shared" si="51"/>
        <v>0</v>
      </c>
      <c r="K257" s="98">
        <f>MAX(F01_UC2!$B$6,F257+$B$29)</f>
        <v>46194</v>
      </c>
      <c r="L257" s="99">
        <f t="shared" si="52"/>
        <v>0</v>
      </c>
      <c r="M257" s="99">
        <f t="shared" si="53"/>
        <v>0</v>
      </c>
      <c r="N257" s="99">
        <f t="shared" si="54"/>
        <v>0</v>
      </c>
      <c r="O257" s="98">
        <f t="shared" si="55"/>
        <v>46120</v>
      </c>
      <c r="P257" s="99">
        <f t="shared" si="56"/>
        <v>0</v>
      </c>
      <c r="Q257" s="99">
        <f t="shared" si="57"/>
        <v>0</v>
      </c>
      <c r="R257" s="99">
        <f t="shared" si="58"/>
        <v>0</v>
      </c>
      <c r="S257" s="86" t="str">
        <f t="shared" si="59"/>
        <v>Khớp</v>
      </c>
      <c r="T257" s="86"/>
      <c r="U257" s="86"/>
    </row>
    <row r="258" spans="1:21" ht="24" customHeight="1">
      <c r="A258" s="86" t="str">
        <f>F01_UC2!A327</f>
        <v>TRANS-F01-0051</v>
      </c>
      <c r="B258" s="86" t="str">
        <f>F01_UC2!B327</f>
        <v>BILL-F01-0051</v>
      </c>
      <c r="C258" s="86" t="str">
        <f>F01_UC2!C327</f>
        <v>Vận tải nội địa NCC5</v>
      </c>
      <c r="D258" s="86" t="str">
        <f>F01_UC2!D327</f>
        <v>OUT</v>
      </c>
      <c r="E258" s="99">
        <f>F01_UC2!E327</f>
        <v>0</v>
      </c>
      <c r="F258" s="100">
        <f>F01_UC2!N327</f>
        <v>46112</v>
      </c>
      <c r="G258" s="100">
        <f>F01_UC2!M327</f>
        <v>0</v>
      </c>
      <c r="H258" s="86" t="str">
        <f>F01_UC2!P327</f>
        <v>Vận tải</v>
      </c>
      <c r="I258" s="86">
        <f>F01_UC2!Q327</f>
        <v>0</v>
      </c>
      <c r="J258" s="99">
        <f t="shared" si="51"/>
        <v>0</v>
      </c>
      <c r="K258" s="98">
        <f>MAX(F01_UC2!$B$6,F258+$B$29)</f>
        <v>46194</v>
      </c>
      <c r="L258" s="99">
        <f t="shared" si="52"/>
        <v>0</v>
      </c>
      <c r="M258" s="99">
        <f t="shared" si="53"/>
        <v>0</v>
      </c>
      <c r="N258" s="99">
        <f t="shared" si="54"/>
        <v>0</v>
      </c>
      <c r="O258" s="98">
        <f t="shared" si="55"/>
        <v>46126</v>
      </c>
      <c r="P258" s="99">
        <f t="shared" si="56"/>
        <v>0</v>
      </c>
      <c r="Q258" s="99">
        <f t="shared" si="57"/>
        <v>0</v>
      </c>
      <c r="R258" s="99">
        <f t="shared" si="58"/>
        <v>0</v>
      </c>
      <c r="S258" s="86" t="str">
        <f t="shared" si="59"/>
        <v>Khớp</v>
      </c>
      <c r="T258" s="86"/>
      <c r="U258" s="86"/>
    </row>
    <row r="259" spans="1:21" ht="24" customHeight="1">
      <c r="A259" s="86" t="str">
        <f>F01_UC2!A328</f>
        <v>TRANS-F01-0054</v>
      </c>
      <c r="B259" s="86" t="str">
        <f>F01_UC2!B328</f>
        <v>BILL-F01-0054</v>
      </c>
      <c r="C259" s="86" t="str">
        <f>F01_UC2!C328</f>
        <v>Vận tải nội địa NCC5</v>
      </c>
      <c r="D259" s="86" t="str">
        <f>F01_UC2!D328</f>
        <v>OUT</v>
      </c>
      <c r="E259" s="99">
        <f>F01_UC2!E328</f>
        <v>0</v>
      </c>
      <c r="F259" s="100">
        <f>F01_UC2!N328</f>
        <v>46113</v>
      </c>
      <c r="G259" s="100">
        <f>F01_UC2!M328</f>
        <v>0</v>
      </c>
      <c r="H259" s="86" t="str">
        <f>F01_UC2!P328</f>
        <v>Vận tải</v>
      </c>
      <c r="I259" s="86">
        <f>F01_UC2!Q328</f>
        <v>0</v>
      </c>
      <c r="J259" s="99">
        <f t="shared" si="51"/>
        <v>0</v>
      </c>
      <c r="K259" s="98">
        <f>MAX(F01_UC2!$B$6,F259+$B$29)</f>
        <v>46194</v>
      </c>
      <c r="L259" s="99">
        <f t="shared" si="52"/>
        <v>0</v>
      </c>
      <c r="M259" s="99">
        <f t="shared" si="53"/>
        <v>0</v>
      </c>
      <c r="N259" s="99">
        <f t="shared" si="54"/>
        <v>0</v>
      </c>
      <c r="O259" s="98">
        <f t="shared" si="55"/>
        <v>46127</v>
      </c>
      <c r="P259" s="99">
        <f t="shared" si="56"/>
        <v>0</v>
      </c>
      <c r="Q259" s="99">
        <f t="shared" si="57"/>
        <v>0</v>
      </c>
      <c r="R259" s="99">
        <f t="shared" si="58"/>
        <v>0</v>
      </c>
      <c r="S259" s="86" t="str">
        <f t="shared" si="59"/>
        <v>Khớp</v>
      </c>
      <c r="T259" s="86"/>
      <c r="U259" s="86"/>
    </row>
    <row r="260" spans="1:21" ht="24" customHeight="1">
      <c r="A260" s="86" t="str">
        <f>F01_UC2!A329</f>
        <v>ELEC-F01-0060</v>
      </c>
      <c r="B260" s="86" t="str">
        <f>F01_UC2!B329</f>
        <v>BILL-F01-0060</v>
      </c>
      <c r="C260" s="86" t="str">
        <f>F01_UC2!C329</f>
        <v>Điện lực khu công nghiệp</v>
      </c>
      <c r="D260" s="86" t="str">
        <f>F01_UC2!D329</f>
        <v>OUT</v>
      </c>
      <c r="E260" s="99">
        <f>F01_UC2!E329</f>
        <v>0</v>
      </c>
      <c r="F260" s="100">
        <f>F01_UC2!N329</f>
        <v>46125</v>
      </c>
      <c r="G260" s="100">
        <f>F01_UC2!M329</f>
        <v>0</v>
      </c>
      <c r="H260" s="86" t="str">
        <f>F01_UC2!P329</f>
        <v>Tiện ích (điện)</v>
      </c>
      <c r="I260" s="86">
        <f>F01_UC2!Q329</f>
        <v>1</v>
      </c>
      <c r="J260" s="99">
        <f t="shared" si="51"/>
        <v>0</v>
      </c>
      <c r="K260" s="98">
        <f>MAX(F01_UC2!$B$6,F260+$B$29)</f>
        <v>46194</v>
      </c>
      <c r="L260" s="99">
        <f t="shared" si="52"/>
        <v>0</v>
      </c>
      <c r="M260" s="99">
        <f t="shared" si="53"/>
        <v>0</v>
      </c>
      <c r="N260" s="99">
        <f t="shared" si="54"/>
        <v>0</v>
      </c>
      <c r="O260" s="98">
        <f t="shared" si="55"/>
        <v>46139</v>
      </c>
      <c r="P260" s="99">
        <f t="shared" si="56"/>
        <v>0</v>
      </c>
      <c r="Q260" s="99">
        <f t="shared" si="57"/>
        <v>0</v>
      </c>
      <c r="R260" s="99">
        <f t="shared" si="58"/>
        <v>0</v>
      </c>
      <c r="S260" s="86" t="str">
        <f t="shared" si="59"/>
        <v>Khớp</v>
      </c>
      <c r="T260" s="86"/>
      <c r="U260" s="86"/>
    </row>
    <row r="261" spans="1:21" ht="24" customHeight="1">
      <c r="A261" s="86" t="str">
        <f>F01_UC2!A330</f>
        <v>TRANS-F01-0066</v>
      </c>
      <c r="B261" s="86" t="str">
        <f>F01_UC2!B330</f>
        <v>BILL-F01-0066</v>
      </c>
      <c r="C261" s="86" t="str">
        <f>F01_UC2!C330</f>
        <v>Vận tải nội địa NCC5</v>
      </c>
      <c r="D261" s="86" t="str">
        <f>F01_UC2!D330</f>
        <v>OUT</v>
      </c>
      <c r="E261" s="99">
        <f>F01_UC2!E330</f>
        <v>0</v>
      </c>
      <c r="F261" s="100">
        <f>F01_UC2!N330</f>
        <v>46130</v>
      </c>
      <c r="G261" s="100">
        <f>F01_UC2!M330</f>
        <v>0</v>
      </c>
      <c r="H261" s="86" t="str">
        <f>F01_UC2!P330</f>
        <v>Vận tải</v>
      </c>
      <c r="I261" s="86">
        <f>F01_UC2!Q330</f>
        <v>0</v>
      </c>
      <c r="J261" s="99">
        <f t="shared" si="51"/>
        <v>0</v>
      </c>
      <c r="K261" s="98">
        <f>MAX(F01_UC2!$B$6,F261+$B$29)</f>
        <v>46194</v>
      </c>
      <c r="L261" s="99">
        <f t="shared" si="52"/>
        <v>0</v>
      </c>
      <c r="M261" s="99">
        <f t="shared" si="53"/>
        <v>0</v>
      </c>
      <c r="N261" s="99">
        <f t="shared" si="54"/>
        <v>0</v>
      </c>
      <c r="O261" s="98">
        <f t="shared" si="55"/>
        <v>46144</v>
      </c>
      <c r="P261" s="99">
        <f t="shared" si="56"/>
        <v>0</v>
      </c>
      <c r="Q261" s="99">
        <f t="shared" si="57"/>
        <v>0</v>
      </c>
      <c r="R261" s="99">
        <f t="shared" si="58"/>
        <v>0</v>
      </c>
      <c r="S261" s="86" t="str">
        <f t="shared" si="59"/>
        <v>Khớp</v>
      </c>
      <c r="T261" s="86"/>
      <c r="U261" s="86"/>
    </row>
    <row r="262" spans="1:21" ht="24" customHeight="1">
      <c r="A262" s="86" t="str">
        <f>F01_UC2!A331</f>
        <v>TRANS-F01-0078</v>
      </c>
      <c r="B262" s="86" t="str">
        <f>F01_UC2!B331</f>
        <v>BILL-F01-0078</v>
      </c>
      <c r="C262" s="86" t="str">
        <f>F01_UC2!C331</f>
        <v>Vận tải nội địa NCC5</v>
      </c>
      <c r="D262" s="86" t="str">
        <f>F01_UC2!D331</f>
        <v>OUT</v>
      </c>
      <c r="E262" s="99">
        <f>F01_UC2!E331</f>
        <v>0</v>
      </c>
      <c r="F262" s="100">
        <f>F01_UC2!N331</f>
        <v>46146</v>
      </c>
      <c r="G262" s="100">
        <f>F01_UC2!M331</f>
        <v>0</v>
      </c>
      <c r="H262" s="86" t="str">
        <f>F01_UC2!P331</f>
        <v>Vận tải</v>
      </c>
      <c r="I262" s="86">
        <f>F01_UC2!Q331</f>
        <v>0</v>
      </c>
      <c r="J262" s="99">
        <f t="shared" si="51"/>
        <v>0</v>
      </c>
      <c r="K262" s="98">
        <f>MAX(F01_UC2!$B$6,F262+$B$29)</f>
        <v>46194</v>
      </c>
      <c r="L262" s="99">
        <f t="shared" si="52"/>
        <v>0</v>
      </c>
      <c r="M262" s="99">
        <f t="shared" si="53"/>
        <v>0</v>
      </c>
      <c r="N262" s="99">
        <f t="shared" si="54"/>
        <v>0</v>
      </c>
      <c r="O262" s="98">
        <f t="shared" si="55"/>
        <v>46160</v>
      </c>
      <c r="P262" s="99">
        <f t="shared" si="56"/>
        <v>0</v>
      </c>
      <c r="Q262" s="99">
        <f t="shared" si="57"/>
        <v>0</v>
      </c>
      <c r="R262" s="99">
        <f t="shared" si="58"/>
        <v>0</v>
      </c>
      <c r="S262" s="86" t="str">
        <f t="shared" si="59"/>
        <v>Khớp</v>
      </c>
      <c r="T262" s="86"/>
      <c r="U262" s="86"/>
    </row>
    <row r="263" spans="1:21" ht="24" customHeight="1">
      <c r="A263" s="86" t="str">
        <f>F01_UC2!A332</f>
        <v>ELEC-F01-0084</v>
      </c>
      <c r="B263" s="86" t="str">
        <f>F01_UC2!B332</f>
        <v>BILL-F01-0084</v>
      </c>
      <c r="C263" s="86" t="str">
        <f>F01_UC2!C332</f>
        <v>Điện lực khu công nghiệp</v>
      </c>
      <c r="D263" s="86" t="str">
        <f>F01_UC2!D332</f>
        <v>OUT</v>
      </c>
      <c r="E263" s="99">
        <f>F01_UC2!E332</f>
        <v>0</v>
      </c>
      <c r="F263" s="100">
        <f>F01_UC2!N332</f>
        <v>46155</v>
      </c>
      <c r="G263" s="100">
        <f>F01_UC2!M332</f>
        <v>0</v>
      </c>
      <c r="H263" s="86" t="str">
        <f>F01_UC2!P332</f>
        <v>Tiện ích (điện)</v>
      </c>
      <c r="I263" s="86">
        <f>F01_UC2!Q332</f>
        <v>1</v>
      </c>
      <c r="J263" s="99">
        <f t="shared" si="51"/>
        <v>0</v>
      </c>
      <c r="K263" s="98">
        <f>MAX(F01_UC2!$B$6,F263+$B$29)</f>
        <v>46194</v>
      </c>
      <c r="L263" s="99">
        <f t="shared" si="52"/>
        <v>0</v>
      </c>
      <c r="M263" s="99">
        <f t="shared" si="53"/>
        <v>0</v>
      </c>
      <c r="N263" s="99">
        <f t="shared" si="54"/>
        <v>0</v>
      </c>
      <c r="O263" s="98">
        <f t="shared" si="55"/>
        <v>46169</v>
      </c>
      <c r="P263" s="99">
        <f t="shared" si="56"/>
        <v>0</v>
      </c>
      <c r="Q263" s="99">
        <f t="shared" si="57"/>
        <v>0</v>
      </c>
      <c r="R263" s="99">
        <f t="shared" si="58"/>
        <v>0</v>
      </c>
      <c r="S263" s="86" t="str">
        <f t="shared" si="59"/>
        <v>Khớp</v>
      </c>
      <c r="T263" s="86"/>
      <c r="U263" s="86"/>
    </row>
    <row r="264" spans="1:21" ht="24" customHeight="1">
      <c r="A264" s="86" t="str">
        <f>F01_UC2!A333</f>
        <v>TRANS-F01-0087</v>
      </c>
      <c r="B264" s="86" t="str">
        <f>F01_UC2!B333</f>
        <v>BILL-F01-0087</v>
      </c>
      <c r="C264" s="86" t="str">
        <f>F01_UC2!C333</f>
        <v>Vận tải nội địa NCC5</v>
      </c>
      <c r="D264" s="86" t="str">
        <f>F01_UC2!D333</f>
        <v>OUT</v>
      </c>
      <c r="E264" s="99">
        <f>F01_UC2!E333</f>
        <v>0</v>
      </c>
      <c r="F264" s="100">
        <f>F01_UC2!N333</f>
        <v>46155</v>
      </c>
      <c r="G264" s="100">
        <f>F01_UC2!M333</f>
        <v>0</v>
      </c>
      <c r="H264" s="86" t="str">
        <f>F01_UC2!P333</f>
        <v>Vận tải</v>
      </c>
      <c r="I264" s="86">
        <f>F01_UC2!Q333</f>
        <v>0</v>
      </c>
      <c r="J264" s="99">
        <f t="shared" si="51"/>
        <v>0</v>
      </c>
      <c r="K264" s="98">
        <f>MAX(F01_UC2!$B$6,F264+$B$29)</f>
        <v>46194</v>
      </c>
      <c r="L264" s="99">
        <f t="shared" si="52"/>
        <v>0</v>
      </c>
      <c r="M264" s="99">
        <f t="shared" si="53"/>
        <v>0</v>
      </c>
      <c r="N264" s="99">
        <f t="shared" si="54"/>
        <v>0</v>
      </c>
      <c r="O264" s="98">
        <f t="shared" si="55"/>
        <v>46169</v>
      </c>
      <c r="P264" s="99">
        <f t="shared" si="56"/>
        <v>0</v>
      </c>
      <c r="Q264" s="99">
        <f t="shared" si="57"/>
        <v>0</v>
      </c>
      <c r="R264" s="99">
        <f t="shared" si="58"/>
        <v>0</v>
      </c>
      <c r="S264" s="86" t="str">
        <f t="shared" si="59"/>
        <v>Khớp</v>
      </c>
      <c r="T264" s="86"/>
      <c r="U264" s="86"/>
    </row>
    <row r="265" spans="1:21" ht="24" customHeight="1">
      <c r="A265" s="86" t="str">
        <f>F01_UC2!A334</f>
        <v>TRANS-F01-0098</v>
      </c>
      <c r="B265" s="86" t="str">
        <f>F01_UC2!B334</f>
        <v>BILL-F01-0098</v>
      </c>
      <c r="C265" s="86" t="str">
        <f>F01_UC2!C334</f>
        <v>Vận tải nội địa NCC5</v>
      </c>
      <c r="D265" s="86" t="str">
        <f>F01_UC2!D334</f>
        <v>OUT</v>
      </c>
      <c r="E265" s="99">
        <f>F01_UC2!E334</f>
        <v>0</v>
      </c>
      <c r="F265" s="100">
        <f>F01_UC2!N334</f>
        <v>46170</v>
      </c>
      <c r="G265" s="100">
        <f>F01_UC2!M334</f>
        <v>0</v>
      </c>
      <c r="H265" s="86" t="str">
        <f>F01_UC2!P334</f>
        <v>Vận tải</v>
      </c>
      <c r="I265" s="86">
        <f>F01_UC2!Q334</f>
        <v>0</v>
      </c>
      <c r="J265" s="99">
        <f t="shared" si="51"/>
        <v>0</v>
      </c>
      <c r="K265" s="98">
        <f>MAX(F01_UC2!$B$6,F265+$B$29)</f>
        <v>46194</v>
      </c>
      <c r="L265" s="99">
        <f t="shared" si="52"/>
        <v>0</v>
      </c>
      <c r="M265" s="99">
        <f t="shared" si="53"/>
        <v>0</v>
      </c>
      <c r="N265" s="99">
        <f t="shared" si="54"/>
        <v>0</v>
      </c>
      <c r="O265" s="98">
        <f t="shared" si="55"/>
        <v>46184</v>
      </c>
      <c r="P265" s="99">
        <f t="shared" si="56"/>
        <v>0</v>
      </c>
      <c r="Q265" s="99">
        <f t="shared" si="57"/>
        <v>0</v>
      </c>
      <c r="R265" s="99">
        <f t="shared" si="58"/>
        <v>0</v>
      </c>
      <c r="S265" s="86" t="str">
        <f t="shared" si="59"/>
        <v>Khớp</v>
      </c>
      <c r="T265" s="86"/>
      <c r="U265" s="86"/>
    </row>
    <row r="266" spans="1:21" ht="24" customHeight="1">
      <c r="A266" s="86" t="str">
        <f>F01_UC2!A335</f>
        <v>TRANS-F01-0101</v>
      </c>
      <c r="B266" s="86" t="str">
        <f>F01_UC2!B335</f>
        <v>BILL-F01-0101</v>
      </c>
      <c r="C266" s="86" t="str">
        <f>F01_UC2!C335</f>
        <v>Vận tải nội địa NCC5</v>
      </c>
      <c r="D266" s="86" t="str">
        <f>F01_UC2!D335</f>
        <v>OUT</v>
      </c>
      <c r="E266" s="99">
        <f>F01_UC2!E335</f>
        <v>0</v>
      </c>
      <c r="F266" s="100">
        <f>F01_UC2!N335</f>
        <v>46169</v>
      </c>
      <c r="G266" s="100">
        <f>F01_UC2!M335</f>
        <v>0</v>
      </c>
      <c r="H266" s="86" t="str">
        <f>F01_UC2!P335</f>
        <v>Vận tải</v>
      </c>
      <c r="I266" s="86">
        <f>F01_UC2!Q335</f>
        <v>0</v>
      </c>
      <c r="J266" s="99">
        <f t="shared" si="51"/>
        <v>0</v>
      </c>
      <c r="K266" s="98">
        <f>MAX(F01_UC2!$B$6,F266+$B$29)</f>
        <v>46194</v>
      </c>
      <c r="L266" s="99">
        <f t="shared" si="52"/>
        <v>0</v>
      </c>
      <c r="M266" s="99">
        <f t="shared" si="53"/>
        <v>0</v>
      </c>
      <c r="N266" s="99">
        <f t="shared" si="54"/>
        <v>0</v>
      </c>
      <c r="O266" s="98">
        <f t="shared" si="55"/>
        <v>46183</v>
      </c>
      <c r="P266" s="99">
        <f t="shared" si="56"/>
        <v>0</v>
      </c>
      <c r="Q266" s="99">
        <f t="shared" si="57"/>
        <v>0</v>
      </c>
      <c r="R266" s="99">
        <f t="shared" si="58"/>
        <v>0</v>
      </c>
      <c r="S266" s="86" t="str">
        <f t="shared" si="59"/>
        <v>Khớp</v>
      </c>
      <c r="T266" s="86"/>
      <c r="U266" s="86"/>
    </row>
    <row r="267" spans="1:21" ht="24" customHeight="1">
      <c r="A267" s="86" t="str">
        <f>F01_UC2!A336</f>
        <v>TRANS-F01-0102</v>
      </c>
      <c r="B267" s="86" t="str">
        <f>F01_UC2!B336</f>
        <v>BILL-F01-0102</v>
      </c>
      <c r="C267" s="86" t="str">
        <f>F01_UC2!C336</f>
        <v>Vận tải nội địa NCC5</v>
      </c>
      <c r="D267" s="86" t="str">
        <f>F01_UC2!D336</f>
        <v>OUT</v>
      </c>
      <c r="E267" s="99">
        <f>F01_UC2!E336</f>
        <v>0</v>
      </c>
      <c r="F267" s="100">
        <f>F01_UC2!N336</f>
        <v>46175</v>
      </c>
      <c r="G267" s="100">
        <f>F01_UC2!M336</f>
        <v>0</v>
      </c>
      <c r="H267" s="86" t="str">
        <f>F01_UC2!P336</f>
        <v>Vận tải</v>
      </c>
      <c r="I267" s="86">
        <f>F01_UC2!Q336</f>
        <v>0</v>
      </c>
      <c r="J267" s="99">
        <f t="shared" si="51"/>
        <v>0</v>
      </c>
      <c r="K267" s="98">
        <f>MAX(F01_UC2!$B$6,F267+$B$29)</f>
        <v>46194</v>
      </c>
      <c r="L267" s="99">
        <f t="shared" si="52"/>
        <v>0</v>
      </c>
      <c r="M267" s="99">
        <f t="shared" si="53"/>
        <v>0</v>
      </c>
      <c r="N267" s="99">
        <f t="shared" si="54"/>
        <v>0</v>
      </c>
      <c r="O267" s="98">
        <f t="shared" si="55"/>
        <v>46189</v>
      </c>
      <c r="P267" s="99">
        <f t="shared" si="56"/>
        <v>0</v>
      </c>
      <c r="Q267" s="99">
        <f t="shared" si="57"/>
        <v>0</v>
      </c>
      <c r="R267" s="99">
        <f t="shared" si="58"/>
        <v>0</v>
      </c>
      <c r="S267" s="86" t="str">
        <f t="shared" si="59"/>
        <v>Khớp</v>
      </c>
      <c r="T267" s="86"/>
      <c r="U267" s="86"/>
    </row>
    <row r="268" spans="1:21" ht="24" customHeight="1">
      <c r="A268" s="86" t="str">
        <f>F01_UC2!A337</f>
        <v>ELEC-F01-0107</v>
      </c>
      <c r="B268" s="86" t="str">
        <f>F01_UC2!B337</f>
        <v>BILL-F01-0107</v>
      </c>
      <c r="C268" s="86" t="str">
        <f>F01_UC2!C337</f>
        <v>Điện lực khu công nghiệp</v>
      </c>
      <c r="D268" s="86" t="str">
        <f>F01_UC2!D337</f>
        <v>OUT</v>
      </c>
      <c r="E268" s="99">
        <f>F01_UC2!E337</f>
        <v>0</v>
      </c>
      <c r="F268" s="100">
        <f>F01_UC2!N337</f>
        <v>46186</v>
      </c>
      <c r="G268" s="100">
        <f>F01_UC2!M337</f>
        <v>0</v>
      </c>
      <c r="H268" s="86" t="str">
        <f>F01_UC2!P337</f>
        <v>Tiện ích (điện)</v>
      </c>
      <c r="I268" s="86">
        <f>F01_UC2!Q337</f>
        <v>1</v>
      </c>
      <c r="J268" s="99">
        <f t="shared" si="51"/>
        <v>0</v>
      </c>
      <c r="K268" s="98">
        <f>MAX(F01_UC2!$B$6,F268+$B$29)</f>
        <v>46194</v>
      </c>
      <c r="L268" s="99">
        <f t="shared" si="52"/>
        <v>0</v>
      </c>
      <c r="M268" s="99">
        <f t="shared" si="53"/>
        <v>0</v>
      </c>
      <c r="N268" s="99">
        <f t="shared" si="54"/>
        <v>0</v>
      </c>
      <c r="O268" s="98">
        <f t="shared" si="55"/>
        <v>46200</v>
      </c>
      <c r="P268" s="99">
        <f t="shared" si="56"/>
        <v>0</v>
      </c>
      <c r="Q268" s="99">
        <f t="shared" si="57"/>
        <v>0</v>
      </c>
      <c r="R268" s="99">
        <f t="shared" si="58"/>
        <v>0</v>
      </c>
      <c r="S268" s="86" t="str">
        <f t="shared" si="59"/>
        <v>Khớp</v>
      </c>
      <c r="T268" s="86"/>
      <c r="U268" s="86"/>
    </row>
    <row r="269" spans="1:21" ht="24" customHeight="1">
      <c r="A269" s="86" t="str">
        <f>F01_UC2!A338</f>
        <v>TRANS-F01-0110</v>
      </c>
      <c r="B269" s="86" t="str">
        <f>F01_UC2!B338</f>
        <v>BILL-F01-0110</v>
      </c>
      <c r="C269" s="86" t="str">
        <f>F01_UC2!C338</f>
        <v>Vận tải nội địa NCC5</v>
      </c>
      <c r="D269" s="86" t="str">
        <f>F01_UC2!D338</f>
        <v>OUT</v>
      </c>
      <c r="E269" s="99">
        <f>F01_UC2!E338</f>
        <v>0</v>
      </c>
      <c r="F269" s="100">
        <f>F01_UC2!N338</f>
        <v>46186</v>
      </c>
      <c r="G269" s="100">
        <f>F01_UC2!M338</f>
        <v>0</v>
      </c>
      <c r="H269" s="86" t="str">
        <f>F01_UC2!P338</f>
        <v>Vận tải</v>
      </c>
      <c r="I269" s="86">
        <f>F01_UC2!Q338</f>
        <v>0</v>
      </c>
      <c r="J269" s="99">
        <f t="shared" si="51"/>
        <v>0</v>
      </c>
      <c r="K269" s="98">
        <f>MAX(F01_UC2!$B$6,F269+$B$29)</f>
        <v>46194</v>
      </c>
      <c r="L269" s="99">
        <f t="shared" si="52"/>
        <v>0</v>
      </c>
      <c r="M269" s="99">
        <f t="shared" si="53"/>
        <v>0</v>
      </c>
      <c r="N269" s="99">
        <f t="shared" si="54"/>
        <v>0</v>
      </c>
      <c r="O269" s="98">
        <f t="shared" si="55"/>
        <v>46200</v>
      </c>
      <c r="P269" s="99">
        <f t="shared" si="56"/>
        <v>0</v>
      </c>
      <c r="Q269" s="99">
        <f t="shared" si="57"/>
        <v>0</v>
      </c>
      <c r="R269" s="99">
        <f t="shared" si="58"/>
        <v>0</v>
      </c>
      <c r="S269" s="86" t="str">
        <f t="shared" si="59"/>
        <v>Khớp</v>
      </c>
      <c r="T269" s="86"/>
      <c r="U269" s="86"/>
    </row>
    <row r="270" spans="1:21" ht="24" customHeight="1">
      <c r="A270" s="86" t="str">
        <f>F01_UC2!A339</f>
        <v>TRANS-F01-0113</v>
      </c>
      <c r="B270" s="86" t="str">
        <f>F01_UC2!B339</f>
        <v>BILL-F01-0113</v>
      </c>
      <c r="C270" s="86" t="str">
        <f>F01_UC2!C339</f>
        <v>Vận tải nội địa NCC5</v>
      </c>
      <c r="D270" s="86" t="str">
        <f>F01_UC2!D339</f>
        <v>OUT</v>
      </c>
      <c r="E270" s="99">
        <f>F01_UC2!E339</f>
        <v>0</v>
      </c>
      <c r="F270" s="100">
        <f>F01_UC2!N339</f>
        <v>46188</v>
      </c>
      <c r="G270" s="100">
        <f>F01_UC2!M339</f>
        <v>0</v>
      </c>
      <c r="H270" s="86" t="str">
        <f>F01_UC2!P339</f>
        <v>Vận tải</v>
      </c>
      <c r="I270" s="86">
        <f>F01_UC2!Q339</f>
        <v>0</v>
      </c>
      <c r="J270" s="99">
        <f t="shared" si="51"/>
        <v>0</v>
      </c>
      <c r="K270" s="98">
        <f>MAX(F01_UC2!$B$6,F270+$B$29)</f>
        <v>46194</v>
      </c>
      <c r="L270" s="99">
        <f t="shared" si="52"/>
        <v>0</v>
      </c>
      <c r="M270" s="99">
        <f t="shared" si="53"/>
        <v>0</v>
      </c>
      <c r="N270" s="99">
        <f t="shared" si="54"/>
        <v>0</v>
      </c>
      <c r="O270" s="98">
        <f t="shared" si="55"/>
        <v>46202</v>
      </c>
      <c r="P270" s="99">
        <f t="shared" si="56"/>
        <v>0</v>
      </c>
      <c r="Q270" s="99">
        <f t="shared" si="57"/>
        <v>0</v>
      </c>
      <c r="R270" s="99">
        <f t="shared" si="58"/>
        <v>0</v>
      </c>
      <c r="S270" s="86" t="str">
        <f t="shared" si="59"/>
        <v>Khớp</v>
      </c>
      <c r="T270" s="86"/>
      <c r="U270" s="86"/>
    </row>
    <row r="271" spans="1:21" ht="24" customHeight="1">
      <c r="A271" s="86" t="str">
        <f>F01_UC2!A340</f>
        <v>TRANS-F01-0122</v>
      </c>
      <c r="B271" s="86" t="str">
        <f>F01_UC2!B340</f>
        <v>BILL-F01-0122</v>
      </c>
      <c r="C271" s="86" t="str">
        <f>F01_UC2!C340</f>
        <v>Vận tải nội địa NCC5</v>
      </c>
      <c r="D271" s="86" t="str">
        <f>F01_UC2!D340</f>
        <v>OUT</v>
      </c>
      <c r="E271" s="99">
        <f>F01_UC2!E340</f>
        <v>0</v>
      </c>
      <c r="F271" s="100">
        <f>F01_UC2!N340</f>
        <v>46204</v>
      </c>
      <c r="G271" s="100">
        <f>F01_UC2!M340</f>
        <v>0</v>
      </c>
      <c r="H271" s="86" t="str">
        <f>F01_UC2!P340</f>
        <v>Vận tải</v>
      </c>
      <c r="I271" s="86">
        <f>F01_UC2!Q340</f>
        <v>0</v>
      </c>
      <c r="J271" s="99">
        <f t="shared" si="51"/>
        <v>0</v>
      </c>
      <c r="K271" s="98">
        <f>MAX(F01_UC2!$B$6,F271+$B$29)</f>
        <v>46197</v>
      </c>
      <c r="L271" s="99">
        <f t="shared" si="52"/>
        <v>0</v>
      </c>
      <c r="M271" s="99">
        <f t="shared" si="53"/>
        <v>0</v>
      </c>
      <c r="N271" s="99">
        <f t="shared" si="54"/>
        <v>0</v>
      </c>
      <c r="O271" s="98">
        <f t="shared" si="55"/>
        <v>46218</v>
      </c>
      <c r="P271" s="99">
        <f t="shared" si="56"/>
        <v>0</v>
      </c>
      <c r="Q271" s="99">
        <f t="shared" si="57"/>
        <v>0</v>
      </c>
      <c r="R271" s="99">
        <f t="shared" si="58"/>
        <v>0</v>
      </c>
      <c r="S271" s="86" t="str">
        <f t="shared" si="59"/>
        <v>Khớp</v>
      </c>
      <c r="T271" s="86"/>
      <c r="U271" s="86"/>
    </row>
    <row r="272" spans="1:21" ht="24" customHeight="1">
      <c r="A272" s="86" t="str">
        <f>F01_UC2!A341</f>
        <v>TRANS-F01-0124</v>
      </c>
      <c r="B272" s="86" t="str">
        <f>F01_UC2!B341</f>
        <v>BILL-F01-0124</v>
      </c>
      <c r="C272" s="86" t="str">
        <f>F01_UC2!C341</f>
        <v>Vận tải nội địa NCC5</v>
      </c>
      <c r="D272" s="86" t="str">
        <f>F01_UC2!D341</f>
        <v>OUT</v>
      </c>
      <c r="E272" s="99">
        <f>F01_UC2!E341</f>
        <v>0</v>
      </c>
      <c r="F272" s="100">
        <f>F01_UC2!N341</f>
        <v>46206</v>
      </c>
      <c r="G272" s="100">
        <f>F01_UC2!M341</f>
        <v>0</v>
      </c>
      <c r="H272" s="86" t="str">
        <f>F01_UC2!P341</f>
        <v>Vận tải</v>
      </c>
      <c r="I272" s="86">
        <f>F01_UC2!Q341</f>
        <v>0</v>
      </c>
      <c r="J272" s="99">
        <f t="shared" si="51"/>
        <v>0</v>
      </c>
      <c r="K272" s="98">
        <f>MAX(F01_UC2!$B$6,F272+$B$29)</f>
        <v>46199</v>
      </c>
      <c r="L272" s="99">
        <f t="shared" si="52"/>
        <v>0</v>
      </c>
      <c r="M272" s="99">
        <f t="shared" si="53"/>
        <v>0</v>
      </c>
      <c r="N272" s="99">
        <f t="shared" si="54"/>
        <v>0</v>
      </c>
      <c r="O272" s="98">
        <f t="shared" si="55"/>
        <v>46220</v>
      </c>
      <c r="P272" s="99">
        <f t="shared" si="56"/>
        <v>0</v>
      </c>
      <c r="Q272" s="99">
        <f t="shared" si="57"/>
        <v>0</v>
      </c>
      <c r="R272" s="99">
        <f t="shared" si="58"/>
        <v>0</v>
      </c>
      <c r="S272" s="86" t="str">
        <f t="shared" si="59"/>
        <v>Khớp</v>
      </c>
      <c r="T272" s="86"/>
      <c r="U272" s="86"/>
    </row>
    <row r="273" spans="1:21" ht="61.95" customHeight="1">
      <c r="A273" s="101"/>
      <c r="B273" s="101"/>
      <c r="C273" s="101"/>
      <c r="D273" s="101"/>
      <c r="E273" s="101"/>
      <c r="F273" s="101"/>
      <c r="G273" s="101"/>
      <c r="H273" s="101"/>
      <c r="I273" s="101"/>
      <c r="J273" s="101"/>
      <c r="K273" s="101"/>
      <c r="L273" s="101"/>
      <c r="M273" s="101"/>
      <c r="N273" s="101"/>
      <c r="O273" s="101"/>
      <c r="P273" s="101"/>
      <c r="Q273" s="101"/>
      <c r="R273" s="101"/>
      <c r="S273" s="101"/>
      <c r="T273" s="86"/>
      <c r="U273" s="86"/>
    </row>
    <row r="274" spans="1:21">
      <c r="A274" s="86"/>
      <c r="B274" s="86"/>
      <c r="C274" s="86"/>
      <c r="D274" s="86"/>
      <c r="E274" s="86"/>
      <c r="F274" s="86"/>
      <c r="G274" s="86"/>
      <c r="H274" s="86"/>
      <c r="I274" s="86"/>
      <c r="J274" s="86"/>
      <c r="K274" s="86"/>
      <c r="L274" s="86"/>
      <c r="M274" s="86"/>
      <c r="N274" s="86"/>
      <c r="O274" s="86"/>
      <c r="P274" s="86"/>
      <c r="Q274" s="86"/>
      <c r="R274" s="86"/>
      <c r="S274" s="86"/>
      <c r="T274" s="86"/>
      <c r="U274" s="86"/>
    </row>
    <row r="275" spans="1:21">
      <c r="A275" s="86"/>
      <c r="B275" s="86"/>
      <c r="C275" s="86"/>
      <c r="D275" s="86"/>
      <c r="E275" s="86"/>
      <c r="F275" s="86"/>
      <c r="G275" s="86"/>
      <c r="H275" s="86"/>
      <c r="I275" s="86"/>
      <c r="J275" s="86"/>
      <c r="K275" s="86"/>
      <c r="L275" s="86"/>
      <c r="M275" s="86"/>
      <c r="N275" s="86"/>
      <c r="O275" s="86"/>
      <c r="P275" s="86"/>
      <c r="Q275" s="86"/>
      <c r="R275" s="86"/>
      <c r="S275" s="86"/>
      <c r="T275" s="86"/>
      <c r="U275" s="86"/>
    </row>
    <row r="276" spans="1:21">
      <c r="A276" s="86"/>
      <c r="B276" s="86"/>
      <c r="C276" s="86"/>
      <c r="D276" s="86"/>
      <c r="E276" s="86"/>
      <c r="F276" s="86"/>
      <c r="G276" s="86"/>
      <c r="H276" s="86"/>
      <c r="I276" s="86"/>
      <c r="J276" s="86"/>
      <c r="K276" s="86"/>
      <c r="L276" s="86"/>
      <c r="M276" s="86"/>
      <c r="N276" s="86"/>
      <c r="O276" s="86"/>
      <c r="P276" s="86"/>
      <c r="Q276" s="86"/>
      <c r="R276" s="86"/>
      <c r="S276" s="86"/>
      <c r="T276" s="86"/>
      <c r="U276" s="86"/>
    </row>
    <row r="277" spans="1:21">
      <c r="A277" s="86"/>
      <c r="B277" s="86"/>
      <c r="C277" s="86"/>
      <c r="D277" s="86"/>
      <c r="E277" s="86"/>
      <c r="F277" s="86"/>
      <c r="G277" s="86"/>
      <c r="H277" s="86"/>
      <c r="I277" s="86"/>
      <c r="J277" s="86"/>
      <c r="K277" s="86"/>
      <c r="L277" s="86"/>
      <c r="M277" s="86"/>
      <c r="N277" s="86"/>
      <c r="O277" s="86"/>
      <c r="P277" s="86"/>
      <c r="Q277" s="86"/>
      <c r="R277" s="86"/>
      <c r="S277" s="86"/>
      <c r="T277" s="86"/>
      <c r="U277" s="86"/>
    </row>
    <row r="278" spans="1:21">
      <c r="A278" s="86"/>
      <c r="B278" s="86"/>
      <c r="C278" s="86"/>
      <c r="D278" s="86"/>
      <c r="E278" s="86"/>
      <c r="F278" s="86"/>
      <c r="G278" s="86"/>
      <c r="H278" s="86"/>
      <c r="I278" s="86"/>
      <c r="J278" s="86"/>
      <c r="K278" s="86"/>
      <c r="L278" s="86"/>
      <c r="M278" s="86"/>
      <c r="N278" s="86"/>
      <c r="O278" s="86"/>
      <c r="P278" s="86"/>
      <c r="Q278" s="86"/>
      <c r="R278" s="86"/>
      <c r="S278" s="86"/>
      <c r="T278" s="86"/>
      <c r="U278" s="86"/>
    </row>
    <row r="279" spans="1:21">
      <c r="A279" s="86"/>
      <c r="B279" s="86"/>
      <c r="C279" s="86"/>
      <c r="D279" s="86"/>
      <c r="E279" s="86"/>
      <c r="F279" s="86"/>
      <c r="G279" s="86"/>
      <c r="H279" s="86"/>
      <c r="I279" s="86"/>
      <c r="J279" s="86"/>
      <c r="K279" s="86"/>
      <c r="L279" s="86"/>
      <c r="M279" s="86"/>
      <c r="N279" s="86"/>
      <c r="O279" s="86"/>
      <c r="P279" s="86"/>
      <c r="Q279" s="86"/>
      <c r="R279" s="86"/>
      <c r="S279" s="86"/>
      <c r="T279" s="86"/>
      <c r="U279" s="86"/>
    </row>
    <row r="280" spans="1:21">
      <c r="A280" s="86"/>
      <c r="B280" s="86"/>
      <c r="C280" s="86"/>
      <c r="D280" s="86"/>
      <c r="E280" s="86"/>
      <c r="F280" s="86"/>
      <c r="G280" s="86"/>
      <c r="H280" s="86"/>
      <c r="I280" s="86"/>
      <c r="J280" s="86"/>
      <c r="K280" s="86"/>
      <c r="L280" s="86"/>
      <c r="M280" s="86"/>
      <c r="N280" s="86"/>
      <c r="O280" s="86"/>
      <c r="P280" s="86"/>
      <c r="Q280" s="86"/>
      <c r="R280" s="86"/>
      <c r="S280" s="86"/>
      <c r="T280" s="86"/>
      <c r="U280" s="86"/>
    </row>
    <row r="281" spans="1:21">
      <c r="A281" s="86"/>
      <c r="B281" s="86"/>
      <c r="C281" s="86"/>
      <c r="D281" s="86"/>
      <c r="E281" s="86"/>
      <c r="F281" s="86"/>
      <c r="G281" s="86"/>
      <c r="H281" s="86"/>
      <c r="I281" s="86"/>
      <c r="J281" s="86"/>
      <c r="K281" s="86"/>
      <c r="L281" s="86"/>
      <c r="M281" s="86"/>
      <c r="N281" s="86"/>
      <c r="O281" s="86"/>
      <c r="P281" s="86"/>
      <c r="Q281" s="86"/>
      <c r="R281" s="86"/>
      <c r="S281" s="86"/>
      <c r="T281" s="86"/>
      <c r="U281" s="86"/>
    </row>
    <row r="282" spans="1:21">
      <c r="A282" s="86"/>
      <c r="B282" s="86"/>
      <c r="C282" s="86"/>
      <c r="D282" s="86"/>
      <c r="E282" s="86"/>
      <c r="F282" s="86"/>
      <c r="G282" s="86"/>
      <c r="H282" s="86"/>
      <c r="I282" s="86"/>
      <c r="J282" s="86"/>
      <c r="K282" s="86"/>
      <c r="L282" s="86"/>
      <c r="M282" s="86"/>
      <c r="N282" s="86"/>
      <c r="O282" s="86"/>
      <c r="P282" s="86"/>
      <c r="Q282" s="86"/>
      <c r="R282" s="86"/>
      <c r="S282" s="86"/>
      <c r="T282" s="86"/>
      <c r="U282" s="86"/>
    </row>
    <row r="283" spans="1:21">
      <c r="A283" s="86"/>
      <c r="B283" s="86"/>
      <c r="C283" s="86"/>
      <c r="D283" s="86"/>
      <c r="E283" s="86"/>
      <c r="F283" s="86"/>
      <c r="G283" s="86"/>
      <c r="H283" s="86"/>
      <c r="I283" s="86"/>
      <c r="J283" s="86"/>
      <c r="K283" s="86"/>
      <c r="L283" s="86"/>
      <c r="M283" s="86"/>
      <c r="N283" s="86"/>
      <c r="O283" s="86"/>
      <c r="P283" s="86"/>
      <c r="Q283" s="86"/>
      <c r="R283" s="86"/>
      <c r="S283" s="86"/>
      <c r="T283" s="86"/>
      <c r="U283" s="86"/>
    </row>
    <row r="284" spans="1:21">
      <c r="A284" s="86"/>
      <c r="B284" s="86"/>
      <c r="C284" s="86"/>
      <c r="D284" s="86"/>
      <c r="E284" s="86"/>
      <c r="F284" s="86"/>
      <c r="G284" s="86"/>
      <c r="H284" s="86"/>
      <c r="I284" s="86"/>
      <c r="J284" s="86"/>
      <c r="K284" s="86"/>
      <c r="L284" s="86"/>
      <c r="M284" s="86"/>
      <c r="N284" s="86"/>
      <c r="O284" s="86"/>
      <c r="P284" s="86"/>
      <c r="Q284" s="86"/>
      <c r="R284" s="86"/>
      <c r="S284" s="86"/>
      <c r="T284" s="86"/>
      <c r="U284" s="86"/>
    </row>
    <row r="285" spans="1:21">
      <c r="A285" s="86"/>
      <c r="B285" s="86"/>
      <c r="C285" s="86"/>
      <c r="D285" s="86"/>
      <c r="E285" s="86"/>
      <c r="F285" s="86"/>
      <c r="G285" s="86"/>
      <c r="H285" s="86"/>
      <c r="I285" s="86"/>
      <c r="J285" s="86"/>
      <c r="K285" s="86"/>
      <c r="L285" s="86"/>
      <c r="M285" s="86"/>
      <c r="N285" s="86"/>
      <c r="O285" s="86"/>
      <c r="P285" s="86"/>
      <c r="Q285" s="86"/>
      <c r="R285" s="86"/>
      <c r="S285" s="86"/>
      <c r="T285" s="86"/>
      <c r="U285" s="86"/>
    </row>
    <row r="286" spans="1:21">
      <c r="A286" s="86"/>
      <c r="B286" s="86"/>
      <c r="C286" s="86"/>
      <c r="D286" s="86"/>
      <c r="E286" s="86"/>
      <c r="F286" s="86"/>
      <c r="G286" s="86"/>
      <c r="H286" s="86"/>
      <c r="I286" s="86"/>
      <c r="J286" s="86"/>
      <c r="K286" s="86"/>
      <c r="L286" s="86"/>
      <c r="M286" s="86"/>
      <c r="N286" s="86"/>
      <c r="O286" s="86"/>
      <c r="P286" s="86"/>
      <c r="Q286" s="86"/>
      <c r="R286" s="86"/>
      <c r="S286" s="86"/>
      <c r="T286" s="86"/>
      <c r="U286" s="86"/>
    </row>
    <row r="287" spans="1:21">
      <c r="A287" s="86"/>
      <c r="B287" s="86"/>
      <c r="C287" s="86"/>
      <c r="D287" s="86"/>
      <c r="E287" s="86"/>
      <c r="F287" s="86"/>
      <c r="G287" s="86"/>
      <c r="H287" s="86"/>
      <c r="I287" s="86"/>
      <c r="J287" s="86"/>
      <c r="K287" s="86"/>
      <c r="L287" s="86"/>
      <c r="M287" s="86"/>
      <c r="N287" s="86"/>
      <c r="O287" s="86"/>
      <c r="P287" s="86"/>
      <c r="Q287" s="86"/>
      <c r="R287" s="86"/>
      <c r="S287" s="86"/>
      <c r="T287" s="86"/>
      <c r="U287" s="86"/>
    </row>
    <row r="288" spans="1:21">
      <c r="A288" s="86"/>
      <c r="B288" s="86"/>
      <c r="C288" s="86"/>
      <c r="D288" s="86"/>
      <c r="E288" s="86"/>
      <c r="F288" s="86"/>
      <c r="G288" s="86"/>
      <c r="H288" s="86"/>
      <c r="I288" s="86"/>
      <c r="J288" s="86"/>
      <c r="K288" s="86"/>
      <c r="L288" s="86"/>
      <c r="M288" s="86"/>
      <c r="N288" s="86"/>
      <c r="O288" s="86"/>
      <c r="P288" s="86"/>
      <c r="Q288" s="86"/>
      <c r="R288" s="86"/>
      <c r="S288" s="86"/>
      <c r="T288" s="86"/>
      <c r="U288" s="86"/>
    </row>
    <row r="289" spans="1:21">
      <c r="A289" s="86"/>
      <c r="B289" s="86"/>
      <c r="C289" s="86"/>
      <c r="D289" s="86"/>
      <c r="E289" s="86"/>
      <c r="F289" s="86"/>
      <c r="G289" s="86"/>
      <c r="H289" s="86"/>
      <c r="I289" s="86"/>
      <c r="J289" s="86"/>
      <c r="K289" s="86"/>
      <c r="L289" s="86"/>
      <c r="M289" s="86"/>
      <c r="N289" s="86"/>
      <c r="O289" s="86"/>
      <c r="P289" s="86"/>
      <c r="Q289" s="86"/>
      <c r="R289" s="86"/>
      <c r="S289" s="86"/>
      <c r="T289" s="86"/>
      <c r="U289" s="86"/>
    </row>
    <row r="290" spans="1:21">
      <c r="A290" s="86"/>
      <c r="B290" s="86"/>
      <c r="C290" s="86"/>
      <c r="D290" s="86"/>
      <c r="E290" s="86"/>
      <c r="F290" s="86"/>
      <c r="G290" s="86"/>
      <c r="H290" s="86"/>
      <c r="I290" s="86"/>
      <c r="J290" s="86"/>
      <c r="K290" s="86"/>
      <c r="L290" s="86"/>
      <c r="M290" s="86"/>
      <c r="N290" s="86"/>
      <c r="O290" s="86"/>
      <c r="P290" s="86"/>
      <c r="Q290" s="86"/>
      <c r="R290" s="86"/>
      <c r="S290" s="86"/>
      <c r="T290" s="86"/>
      <c r="U290" s="86"/>
    </row>
    <row r="291" spans="1:21">
      <c r="A291" s="86"/>
      <c r="B291" s="86"/>
      <c r="C291" s="86"/>
      <c r="D291" s="86"/>
      <c r="E291" s="86"/>
      <c r="F291" s="86"/>
      <c r="G291" s="86"/>
      <c r="H291" s="86"/>
      <c r="I291" s="86"/>
      <c r="J291" s="86"/>
      <c r="K291" s="86"/>
      <c r="L291" s="86"/>
      <c r="M291" s="86"/>
      <c r="N291" s="86"/>
      <c r="O291" s="86"/>
      <c r="P291" s="86"/>
      <c r="Q291" s="86"/>
      <c r="R291" s="86"/>
      <c r="S291" s="86"/>
      <c r="T291" s="86"/>
      <c r="U291" s="86"/>
    </row>
    <row r="292" spans="1:21">
      <c r="A292" s="86"/>
      <c r="B292" s="86"/>
      <c r="C292" s="86"/>
      <c r="D292" s="86"/>
      <c r="E292" s="86"/>
      <c r="F292" s="86"/>
      <c r="G292" s="86"/>
      <c r="H292" s="86"/>
      <c r="I292" s="86"/>
      <c r="J292" s="86"/>
      <c r="K292" s="86"/>
      <c r="L292" s="86"/>
      <c r="M292" s="86"/>
      <c r="N292" s="86"/>
      <c r="O292" s="86"/>
      <c r="P292" s="86"/>
      <c r="Q292" s="86"/>
      <c r="R292" s="86"/>
      <c r="S292" s="86"/>
      <c r="T292" s="86"/>
      <c r="U292" s="86"/>
    </row>
    <row r="293" spans="1:21">
      <c r="A293" s="86"/>
      <c r="B293" s="86"/>
      <c r="C293" s="86"/>
      <c r="D293" s="86"/>
      <c r="E293" s="86"/>
      <c r="F293" s="86"/>
      <c r="G293" s="86"/>
      <c r="H293" s="86"/>
      <c r="I293" s="86"/>
      <c r="J293" s="86"/>
      <c r="K293" s="86"/>
      <c r="L293" s="86"/>
      <c r="M293" s="86"/>
      <c r="N293" s="86"/>
      <c r="O293" s="86"/>
      <c r="P293" s="86"/>
      <c r="Q293" s="86"/>
      <c r="R293" s="86"/>
      <c r="S293" s="86"/>
      <c r="T293" s="86"/>
      <c r="U293" s="86"/>
    </row>
    <row r="294" spans="1:21">
      <c r="A294" s="86"/>
      <c r="B294" s="86"/>
      <c r="C294" s="86"/>
      <c r="D294" s="86"/>
      <c r="E294" s="86"/>
      <c r="F294" s="86"/>
      <c r="G294" s="86"/>
      <c r="H294" s="86"/>
      <c r="I294" s="86"/>
      <c r="J294" s="86"/>
      <c r="K294" s="86"/>
      <c r="L294" s="86"/>
      <c r="M294" s="86"/>
      <c r="N294" s="86"/>
      <c r="O294" s="86"/>
      <c r="P294" s="86"/>
      <c r="Q294" s="86"/>
      <c r="R294" s="86"/>
      <c r="S294" s="86"/>
      <c r="T294" s="86"/>
      <c r="U294" s="86"/>
    </row>
    <row r="295" spans="1:21">
      <c r="A295" s="86"/>
      <c r="B295" s="86"/>
      <c r="C295" s="86"/>
      <c r="D295" s="86"/>
      <c r="E295" s="86"/>
      <c r="F295" s="86"/>
      <c r="G295" s="86"/>
      <c r="H295" s="86"/>
      <c r="I295" s="86"/>
      <c r="J295" s="86"/>
      <c r="K295" s="86"/>
      <c r="L295" s="86"/>
      <c r="M295" s="86"/>
      <c r="N295" s="86"/>
      <c r="O295" s="86"/>
      <c r="P295" s="86"/>
      <c r="Q295" s="86"/>
      <c r="R295" s="86"/>
      <c r="S295" s="86"/>
      <c r="T295" s="86"/>
      <c r="U295" s="86"/>
    </row>
    <row r="296" spans="1:21">
      <c r="A296" s="86"/>
      <c r="B296" s="86"/>
      <c r="C296" s="86"/>
      <c r="D296" s="86"/>
      <c r="E296" s="86"/>
      <c r="F296" s="86"/>
      <c r="G296" s="86"/>
      <c r="H296" s="86"/>
      <c r="I296" s="86"/>
      <c r="J296" s="86"/>
      <c r="K296" s="86"/>
      <c r="L296" s="86"/>
      <c r="M296" s="86"/>
      <c r="N296" s="86"/>
      <c r="O296" s="86"/>
      <c r="P296" s="86"/>
      <c r="Q296" s="86"/>
      <c r="R296" s="86"/>
      <c r="S296" s="86"/>
      <c r="T296" s="86"/>
      <c r="U296" s="86"/>
    </row>
    <row r="297" spans="1:21">
      <c r="A297" s="86"/>
      <c r="B297" s="86"/>
      <c r="C297" s="86"/>
      <c r="D297" s="86"/>
      <c r="E297" s="86"/>
      <c r="F297" s="86"/>
      <c r="G297" s="86"/>
      <c r="H297" s="86"/>
      <c r="I297" s="86"/>
      <c r="J297" s="86"/>
      <c r="K297" s="86"/>
      <c r="L297" s="86"/>
      <c r="M297" s="86"/>
      <c r="N297" s="86"/>
      <c r="O297" s="86"/>
      <c r="P297" s="86"/>
      <c r="Q297" s="86"/>
      <c r="R297" s="86"/>
      <c r="S297" s="86"/>
      <c r="T297" s="86"/>
      <c r="U297" s="86"/>
    </row>
    <row r="298" spans="1:21">
      <c r="A298" s="86"/>
      <c r="B298" s="86"/>
      <c r="C298" s="86"/>
      <c r="D298" s="86"/>
      <c r="E298" s="86"/>
      <c r="F298" s="86"/>
      <c r="G298" s="86"/>
      <c r="H298" s="86"/>
      <c r="I298" s="86"/>
      <c r="J298" s="86"/>
      <c r="K298" s="86"/>
      <c r="L298" s="86"/>
      <c r="M298" s="86"/>
      <c r="N298" s="86"/>
      <c r="O298" s="86"/>
      <c r="P298" s="86"/>
      <c r="Q298" s="86"/>
      <c r="R298" s="86"/>
      <c r="S298" s="86"/>
      <c r="T298" s="86"/>
      <c r="U298" s="86"/>
    </row>
    <row r="299" spans="1:21">
      <c r="A299" s="86"/>
      <c r="B299" s="86"/>
      <c r="C299" s="86"/>
      <c r="D299" s="86"/>
      <c r="E299" s="86"/>
      <c r="F299" s="86"/>
      <c r="G299" s="86"/>
      <c r="H299" s="86"/>
      <c r="I299" s="86"/>
      <c r="J299" s="86"/>
      <c r="K299" s="86"/>
      <c r="L299" s="86"/>
      <c r="M299" s="86"/>
      <c r="N299" s="86"/>
      <c r="O299" s="86"/>
      <c r="P299" s="86"/>
      <c r="Q299" s="86"/>
      <c r="R299" s="86"/>
      <c r="S299" s="86"/>
      <c r="T299" s="86"/>
      <c r="U299" s="86"/>
    </row>
    <row r="300" spans="1:21">
      <c r="A300" s="86"/>
      <c r="B300" s="86"/>
      <c r="C300" s="86"/>
      <c r="D300" s="86"/>
      <c r="E300" s="86"/>
      <c r="F300" s="86"/>
      <c r="G300" s="86"/>
      <c r="H300" s="86"/>
      <c r="I300" s="86"/>
      <c r="J300" s="86"/>
      <c r="K300" s="86"/>
      <c r="L300" s="86"/>
      <c r="M300" s="86"/>
      <c r="N300" s="86"/>
      <c r="O300" s="86"/>
      <c r="P300" s="86"/>
      <c r="Q300" s="86"/>
      <c r="R300" s="86"/>
      <c r="S300" s="86"/>
      <c r="T300" s="86"/>
      <c r="U300" s="86"/>
    </row>
    <row r="301" spans="1:21">
      <c r="A301" s="101"/>
      <c r="B301" s="101"/>
      <c r="C301" s="101"/>
      <c r="D301" s="101"/>
      <c r="E301" s="101"/>
      <c r="F301" s="101"/>
      <c r="G301" s="101"/>
      <c r="H301" s="101"/>
      <c r="I301" s="101"/>
      <c r="J301" s="101"/>
      <c r="K301" s="101"/>
      <c r="L301" s="101"/>
      <c r="M301" s="101"/>
      <c r="N301" s="101"/>
      <c r="O301" s="101"/>
      <c r="P301" s="101"/>
      <c r="Q301" s="101"/>
      <c r="R301" s="101"/>
      <c r="S301" s="101"/>
      <c r="T301" s="101"/>
      <c r="U301" s="101"/>
    </row>
    <row r="302" spans="1:21">
      <c r="A302" s="101"/>
      <c r="B302" s="101"/>
      <c r="C302" s="101"/>
      <c r="D302" s="101"/>
      <c r="E302" s="101"/>
      <c r="F302" s="101"/>
      <c r="G302" s="101"/>
      <c r="H302" s="101"/>
      <c r="I302" s="101"/>
      <c r="J302" s="101"/>
      <c r="K302" s="101"/>
      <c r="L302" s="101"/>
      <c r="M302" s="101"/>
      <c r="N302" s="101"/>
      <c r="O302" s="101"/>
      <c r="P302" s="101"/>
      <c r="Q302" s="101"/>
      <c r="R302" s="101"/>
      <c r="S302" s="101"/>
      <c r="T302" s="101"/>
      <c r="U302" s="101"/>
    </row>
    <row r="303" spans="1:21">
      <c r="A303" s="101"/>
      <c r="B303" s="101"/>
      <c r="C303" s="101"/>
      <c r="D303" s="101"/>
      <c r="E303" s="101"/>
      <c r="F303" s="101"/>
      <c r="G303" s="101"/>
      <c r="H303" s="101"/>
      <c r="I303" s="101"/>
      <c r="J303" s="101"/>
      <c r="K303" s="101"/>
      <c r="L303" s="101"/>
      <c r="M303" s="101"/>
      <c r="N303" s="101"/>
      <c r="O303" s="101"/>
      <c r="P303" s="101"/>
      <c r="Q303" s="101"/>
      <c r="R303" s="101"/>
      <c r="S303" s="101"/>
      <c r="T303" s="101"/>
      <c r="U303" s="101"/>
    </row>
    <row r="304" spans="1:21">
      <c r="A304" s="101"/>
      <c r="B304" s="101"/>
      <c r="C304" s="101"/>
      <c r="D304" s="101"/>
      <c r="E304" s="101"/>
      <c r="F304" s="101"/>
      <c r="G304" s="101"/>
      <c r="H304" s="101"/>
      <c r="I304" s="101"/>
      <c r="J304" s="101"/>
      <c r="K304" s="101"/>
      <c r="L304" s="101"/>
      <c r="M304" s="101"/>
      <c r="N304" s="101"/>
      <c r="O304" s="101"/>
      <c r="P304" s="101"/>
      <c r="Q304" s="101"/>
      <c r="R304" s="101"/>
      <c r="S304" s="101"/>
      <c r="T304" s="101"/>
      <c r="U304" s="101"/>
    </row>
    <row r="305" spans="1:21">
      <c r="A305" s="101"/>
      <c r="B305" s="101"/>
      <c r="C305" s="101"/>
      <c r="D305" s="101"/>
      <c r="E305" s="101"/>
      <c r="F305" s="101"/>
      <c r="G305" s="101"/>
      <c r="H305" s="101"/>
      <c r="I305" s="101"/>
      <c r="J305" s="101"/>
      <c r="K305" s="101"/>
      <c r="L305" s="101"/>
      <c r="M305" s="101"/>
      <c r="N305" s="101"/>
      <c r="O305" s="101"/>
      <c r="P305" s="101"/>
      <c r="Q305" s="101"/>
      <c r="R305" s="101"/>
      <c r="S305" s="101"/>
      <c r="T305" s="101"/>
      <c r="U305" s="101"/>
    </row>
    <row r="306" spans="1:21">
      <c r="A306" s="102" t="s">
        <v>1054</v>
      </c>
      <c r="B306" s="102" t="s">
        <v>3566</v>
      </c>
      <c r="C306" s="102" t="s">
        <v>3567</v>
      </c>
      <c r="D306" s="102" t="s">
        <v>3568</v>
      </c>
      <c r="E306" s="102" t="s">
        <v>3569</v>
      </c>
      <c r="F306" s="102" t="s">
        <v>3570</v>
      </c>
      <c r="G306" s="102" t="s">
        <v>3571</v>
      </c>
      <c r="H306" s="102" t="s">
        <v>3572</v>
      </c>
      <c r="I306" s="102" t="s">
        <v>3573</v>
      </c>
      <c r="J306" s="86"/>
      <c r="K306" s="86"/>
      <c r="L306" s="86"/>
      <c r="M306" s="86"/>
      <c r="N306" s="86"/>
      <c r="O306" s="86"/>
      <c r="P306" s="86"/>
      <c r="Q306" s="86"/>
      <c r="R306" s="86"/>
      <c r="S306" s="86"/>
      <c r="T306" s="101"/>
      <c r="U306" s="101"/>
    </row>
    <row r="307" spans="1:21">
      <c r="A307" s="86">
        <v>1</v>
      </c>
      <c r="B307" s="98">
        <f>A51</f>
        <v>46194</v>
      </c>
      <c r="C307" s="98">
        <f>A57</f>
        <v>46200</v>
      </c>
      <c r="D307" s="99">
        <f>MIN(B51:B57)</f>
        <v>1173205255</v>
      </c>
      <c r="E307" s="99">
        <f>IF($B$34="Hợp lệ",MIN(H51:H57),"Chưa tính")</f>
        <v>1332826777.3899999</v>
      </c>
      <c r="F307" s="99">
        <f>B57</f>
        <v>1754158541</v>
      </c>
      <c r="G307" s="99">
        <f>IF($B$34="Hợp lệ",H57,"Chưa tính")</f>
        <v>1888264463.365</v>
      </c>
      <c r="H307" s="99">
        <f>IF($B$34="Hợp lệ",MAX(J51:J57),"Chưa tính")</f>
        <v>0</v>
      </c>
      <c r="I307" s="86" t="str">
        <f>IF($B$34="Hợp lệ",CHOOSE(MAX(K51:K57)+1,"Không cảnh báo","Vàng","Cam","Đỏ"),"Chưa tính")</f>
        <v>Không cảnh báo</v>
      </c>
      <c r="J307" s="86"/>
      <c r="K307" s="86"/>
      <c r="L307" s="86"/>
      <c r="M307" s="86"/>
      <c r="N307" s="86"/>
      <c r="O307" s="86"/>
      <c r="P307" s="86"/>
      <c r="Q307" s="86"/>
      <c r="R307" s="86"/>
      <c r="S307" s="86"/>
      <c r="T307" s="101"/>
      <c r="U307" s="101"/>
    </row>
    <row r="308" spans="1:21">
      <c r="A308" s="86">
        <v>2</v>
      </c>
      <c r="B308" s="98">
        <f>A58</f>
        <v>46201</v>
      </c>
      <c r="C308" s="98">
        <f>A64</f>
        <v>46207</v>
      </c>
      <c r="D308" s="99">
        <f>MIN(B58:B64)</f>
        <v>797304</v>
      </c>
      <c r="E308" s="99">
        <f>IF($B$34="Hợp lệ",MIN(H58:H64),"Chưa tính")</f>
        <v>121649271.88</v>
      </c>
      <c r="F308" s="99">
        <f>B64</f>
        <v>523630917</v>
      </c>
      <c r="G308" s="99">
        <f>IF($B$34="Hợp lệ",H64,"Chưa tính")</f>
        <v>843314859.5</v>
      </c>
      <c r="H308" s="99">
        <f>IF($B$34="Hợp lệ",MAX(J58:J64),"Chưa tính")</f>
        <v>378350728.12</v>
      </c>
      <c r="I308" s="86" t="str">
        <f>IF($B$34="Hợp lệ",CHOOSE(MAX(K58:K64)+1,"Không cảnh báo","Vàng","Cam","Đỏ"),"Chưa tính")</f>
        <v>Đỏ</v>
      </c>
      <c r="J308" s="86"/>
      <c r="K308" s="86"/>
      <c r="L308" s="86"/>
      <c r="M308" s="86"/>
      <c r="N308" s="86"/>
      <c r="O308" s="86"/>
      <c r="P308" s="86"/>
      <c r="Q308" s="86"/>
      <c r="R308" s="86"/>
      <c r="S308" s="86"/>
      <c r="T308" s="101"/>
      <c r="U308" s="101"/>
    </row>
    <row r="309" spans="1:21">
      <c r="A309" s="86">
        <v>3</v>
      </c>
      <c r="B309" s="98">
        <f>A65</f>
        <v>46208</v>
      </c>
      <c r="C309" s="98">
        <f>A71</f>
        <v>46214</v>
      </c>
      <c r="D309" s="99">
        <f>MIN(B65:B71)</f>
        <v>470478434</v>
      </c>
      <c r="E309" s="99">
        <f>IF($B$34="Hợp lệ",MIN(H65:H71),"Chưa tính")</f>
        <v>810086457.37342405</v>
      </c>
      <c r="F309" s="99">
        <f>B71</f>
        <v>1234865990</v>
      </c>
      <c r="G309" s="99">
        <f>IF($B$34="Hợp lệ",H71,"Chưa tính")</f>
        <v>1462064896.693424</v>
      </c>
      <c r="H309" s="99">
        <f>IF($B$34="Hợp lệ",MAX(J65:J71),"Chưa tính")</f>
        <v>0</v>
      </c>
      <c r="I309" s="86" t="str">
        <f>IF($B$34="Hợp lệ",CHOOSE(MAX(K65:K71)+1,"Không cảnh báo","Vàng","Cam","Đỏ"),"Chưa tính")</f>
        <v>Không cảnh báo</v>
      </c>
      <c r="J309" s="86"/>
      <c r="K309" s="86"/>
      <c r="L309" s="86"/>
      <c r="M309" s="86"/>
      <c r="N309" s="86"/>
      <c r="O309" s="86"/>
      <c r="P309" s="86"/>
      <c r="Q309" s="86"/>
      <c r="R309" s="86"/>
      <c r="S309" s="86"/>
      <c r="T309" s="101"/>
      <c r="U309" s="101"/>
    </row>
    <row r="310" spans="1:21">
      <c r="A310" s="86">
        <v>4</v>
      </c>
      <c r="B310" s="98">
        <f>A72</f>
        <v>46215</v>
      </c>
      <c r="C310" s="98">
        <f>A78</f>
        <v>46221</v>
      </c>
      <c r="D310" s="99">
        <f>MIN(B72:B78)</f>
        <v>1234865990</v>
      </c>
      <c r="E310" s="99">
        <f>IF($B$34="Hợp lệ",MIN(H72:H78),"Chưa tính")</f>
        <v>1591617413.9084239</v>
      </c>
      <c r="F310" s="99">
        <f>B78</f>
        <v>1702939543</v>
      </c>
      <c r="G310" s="99">
        <f>IF($B$34="Hợp lệ",H78,"Chưa tính")</f>
        <v>2169966970.413424</v>
      </c>
      <c r="H310" s="99">
        <f>IF($B$34="Hợp lệ",MAX(J72:J78),"Chưa tính")</f>
        <v>0</v>
      </c>
      <c r="I310" s="86" t="str">
        <f>IF($B$34="Hợp lệ",CHOOSE(MAX(K72:K78)+1,"Không cảnh báo","Vàng","Cam","Đỏ"),"Chưa tính")</f>
        <v>Không cảnh báo</v>
      </c>
      <c r="J310" s="86"/>
      <c r="K310" s="86"/>
      <c r="L310" s="86"/>
      <c r="M310" s="86"/>
      <c r="N310" s="86"/>
      <c r="O310" s="86"/>
      <c r="P310" s="86"/>
      <c r="Q310" s="86"/>
      <c r="R310" s="86"/>
      <c r="S310" s="86"/>
      <c r="T310" s="101"/>
      <c r="U310" s="101"/>
    </row>
    <row r="311" spans="1:21">
      <c r="A311" s="86">
        <v>5</v>
      </c>
      <c r="B311" s="98">
        <f>A79</f>
        <v>46222</v>
      </c>
      <c r="C311" s="98">
        <f>A85</f>
        <v>46228</v>
      </c>
      <c r="D311" s="99">
        <f>MIN(B79:B85)</f>
        <v>1964661800</v>
      </c>
      <c r="E311" s="99">
        <f>IF($B$34="Hợp lệ",MIN(H79:H85),"Chưa tính")</f>
        <v>2225060220.913424</v>
      </c>
      <c r="F311" s="99">
        <f>B85</f>
        <v>2181368179</v>
      </c>
      <c r="G311" s="99">
        <f>IF($B$34="Hợp lệ",H85,"Chưa tính")</f>
        <v>2420056004.578424</v>
      </c>
      <c r="H311" s="99">
        <f>IF($B$34="Hợp lệ",MAX(J79:J85),"Chưa tính")</f>
        <v>0</v>
      </c>
      <c r="I311" s="86" t="str">
        <f>IF($B$34="Hợp lệ",CHOOSE(MAX(K79:K85)+1,"Không cảnh báo","Vàng","Cam","Đỏ"),"Chưa tính")</f>
        <v>Không cảnh báo</v>
      </c>
      <c r="J311" s="86"/>
      <c r="K311" s="86"/>
      <c r="L311" s="86"/>
      <c r="M311" s="86"/>
      <c r="N311" s="86"/>
      <c r="O311" s="86"/>
      <c r="P311" s="86"/>
      <c r="Q311" s="86"/>
      <c r="R311" s="86"/>
      <c r="S311" s="86"/>
      <c r="T311" s="101"/>
      <c r="U311" s="101"/>
    </row>
    <row r="312" spans="1:21">
      <c r="A312" s="86">
        <v>6</v>
      </c>
      <c r="B312" s="98">
        <f>A86</f>
        <v>46229</v>
      </c>
      <c r="C312" s="98">
        <f>A92</f>
        <v>46235</v>
      </c>
      <c r="D312" s="99">
        <f>MIN(B86:B92)</f>
        <v>-522821317</v>
      </c>
      <c r="E312" s="99">
        <f>IF($B$34="Hợp lệ",MIN(H86:H92),"Chưa tính")</f>
        <v>-516089644.63407588</v>
      </c>
      <c r="F312" s="99">
        <f>B92</f>
        <v>-522821317</v>
      </c>
      <c r="G312" s="99">
        <f>IF($B$34="Hợp lệ",H92,"Chưa tính")</f>
        <v>-516089644.63407588</v>
      </c>
      <c r="H312" s="99">
        <f>IF($B$34="Hợp lệ",MAX(J86:J92),"Chưa tính")</f>
        <v>1016089644.6340759</v>
      </c>
      <c r="I312" s="86" t="str">
        <f>IF($B$34="Hợp lệ",CHOOSE(MAX(K86:K92)+1,"Không cảnh báo","Vàng","Cam","Đỏ"),"Chưa tính")</f>
        <v>Đỏ</v>
      </c>
      <c r="J312" s="86"/>
      <c r="K312" s="86"/>
      <c r="L312" s="86"/>
      <c r="M312" s="86"/>
      <c r="N312" s="86"/>
      <c r="O312" s="86"/>
      <c r="P312" s="86"/>
      <c r="Q312" s="86"/>
      <c r="R312" s="86"/>
      <c r="S312" s="86"/>
      <c r="T312" s="101"/>
      <c r="U312" s="101"/>
    </row>
    <row r="313" spans="1:21">
      <c r="A313" s="86">
        <v>7</v>
      </c>
      <c r="B313" s="98">
        <f>A93</f>
        <v>46236</v>
      </c>
      <c r="C313" s="98">
        <f>A99</f>
        <v>46242</v>
      </c>
      <c r="D313" s="99">
        <f>MIN(B93:B99)</f>
        <v>-522821317</v>
      </c>
      <c r="E313" s="99">
        <f>IF($B$34="Hợp lệ",MIN(H93:H99),"Chưa tính")</f>
        <v>-516089644.63407588</v>
      </c>
      <c r="F313" s="99">
        <f>B99</f>
        <v>-522821317</v>
      </c>
      <c r="G313" s="99">
        <f>IF($B$34="Hợp lệ",H99,"Chưa tính")</f>
        <v>964959.58592414856</v>
      </c>
      <c r="H313" s="99">
        <f>IF($B$34="Hợp lệ",MAX(J93:J99),"Chưa tính")</f>
        <v>1016089644.6340759</v>
      </c>
      <c r="I313" s="86" t="str">
        <f>IF($B$34="Hợp lệ",CHOOSE(MAX(K93:K99)+1,"Không cảnh báo","Vàng","Cam","Đỏ"),"Chưa tính")</f>
        <v>Đỏ</v>
      </c>
      <c r="J313" s="86"/>
      <c r="K313" s="86"/>
      <c r="L313" s="86"/>
      <c r="M313" s="86"/>
      <c r="N313" s="86"/>
      <c r="O313" s="86"/>
      <c r="P313" s="86"/>
      <c r="Q313" s="86"/>
      <c r="R313" s="86"/>
      <c r="S313" s="86"/>
      <c r="T313" s="101"/>
      <c r="U313" s="101"/>
    </row>
    <row r="314" spans="1:21">
      <c r="A314" s="86">
        <v>8</v>
      </c>
      <c r="B314" s="98">
        <f>A100</f>
        <v>46243</v>
      </c>
      <c r="C314" s="98">
        <f>A106</f>
        <v>46249</v>
      </c>
      <c r="D314" s="99">
        <f>MIN(B100:B106)</f>
        <v>-522821317</v>
      </c>
      <c r="E314" s="99">
        <f>IF($B$34="Hợp lệ",MIN(H100:H106),"Chưa tính")</f>
        <v>964959.58592414856</v>
      </c>
      <c r="F314" s="99">
        <f>B106</f>
        <v>-15663821</v>
      </c>
      <c r="G314" s="99">
        <f>IF($B$34="Hợp lệ",H106,"Chưa tính")</f>
        <v>124479884.50092414</v>
      </c>
      <c r="H314" s="99">
        <f>IF($B$34="Hợp lệ",MAX(J100:J106),"Chưa tính")</f>
        <v>499035040.41407585</v>
      </c>
      <c r="I314" s="86" t="str">
        <f>IF($B$34="Hợp lệ",CHOOSE(MAX(K100:K106)+1,"Không cảnh báo","Vàng","Cam","Đỏ"),"Chưa tính")</f>
        <v>Đỏ</v>
      </c>
      <c r="J314" s="86"/>
      <c r="K314" s="86"/>
      <c r="L314" s="86"/>
      <c r="M314" s="86"/>
      <c r="N314" s="86"/>
      <c r="O314" s="86"/>
      <c r="P314" s="86"/>
      <c r="Q314" s="86"/>
      <c r="R314" s="86"/>
      <c r="S314" s="86"/>
      <c r="T314" s="101"/>
      <c r="U314" s="101"/>
    </row>
    <row r="315" spans="1:21">
      <c r="A315" s="86">
        <v>9</v>
      </c>
      <c r="B315" s="98">
        <f>A107</f>
        <v>46250</v>
      </c>
      <c r="C315" s="98">
        <f>A113</f>
        <v>46256</v>
      </c>
      <c r="D315" s="99">
        <f>MIN(B107:B113)</f>
        <v>-63697085</v>
      </c>
      <c r="E315" s="99">
        <f>IF($B$34="Hợp lệ",MIN(H107:H113),"Chưa tính")</f>
        <v>36481779.00092414</v>
      </c>
      <c r="F315" s="99">
        <f>B113</f>
        <v>36373232</v>
      </c>
      <c r="G315" s="99">
        <f>IF($B$34="Hợp lệ",H113,"Chưa tính")</f>
        <v>36481779.00092414</v>
      </c>
      <c r="H315" s="99">
        <f>IF($B$34="Hợp lệ",MAX(J107:J113),"Chưa tính")</f>
        <v>463518220.99907589</v>
      </c>
      <c r="I315" s="86" t="str">
        <f>IF($B$34="Hợp lệ",CHOOSE(MAX(K107:K113)+1,"Không cảnh báo","Vàng","Cam","Đỏ"),"Chưa tính")</f>
        <v>Đỏ</v>
      </c>
      <c r="J315" s="86"/>
      <c r="K315" s="86"/>
      <c r="L315" s="86"/>
      <c r="M315" s="86"/>
      <c r="N315" s="86"/>
      <c r="O315" s="86"/>
      <c r="P315" s="86"/>
      <c r="Q315" s="86"/>
      <c r="R315" s="86"/>
      <c r="S315" s="86"/>
      <c r="T315" s="101"/>
      <c r="U315" s="101"/>
    </row>
    <row r="316" spans="1:21">
      <c r="A316" s="86">
        <v>10</v>
      </c>
      <c r="B316" s="98">
        <f>A114</f>
        <v>46257</v>
      </c>
      <c r="C316" s="98">
        <f>A120</f>
        <v>46263</v>
      </c>
      <c r="D316" s="99">
        <f>MIN(B114:B120)</f>
        <v>36373232</v>
      </c>
      <c r="E316" s="99">
        <f>IF($B$34="Hợp lệ",MIN(H114:H120),"Chưa tính")</f>
        <v>36481779.00092414</v>
      </c>
      <c r="F316" s="99">
        <f>B120</f>
        <v>36373232</v>
      </c>
      <c r="G316" s="99">
        <f>IF($B$34="Hợp lệ",H120,"Chưa tính")</f>
        <v>36481779.00092414</v>
      </c>
      <c r="H316" s="99">
        <f>IF($B$34="Hợp lệ",MAX(J114:J120),"Chưa tính")</f>
        <v>463518220.99907589</v>
      </c>
      <c r="I316" s="86" t="str">
        <f>IF($B$34="Hợp lệ",CHOOSE(MAX(K114:K120)+1,"Không cảnh báo","Vàng","Cam","Đỏ"),"Chưa tính")</f>
        <v>Đỏ</v>
      </c>
      <c r="J316" s="86"/>
      <c r="K316" s="86"/>
      <c r="L316" s="86"/>
      <c r="M316" s="86"/>
      <c r="N316" s="86"/>
      <c r="O316" s="86"/>
      <c r="P316" s="86"/>
      <c r="Q316" s="86"/>
      <c r="R316" s="86"/>
      <c r="S316" s="86"/>
      <c r="T316" s="101"/>
      <c r="U316" s="101"/>
    </row>
    <row r="317" spans="1:21">
      <c r="A317" s="86">
        <v>11</v>
      </c>
      <c r="B317" s="98">
        <f>A121</f>
        <v>46264</v>
      </c>
      <c r="C317" s="98">
        <f>A127</f>
        <v>46270</v>
      </c>
      <c r="D317" s="99">
        <f>MIN(B121:B127)</f>
        <v>-2883626768</v>
      </c>
      <c r="E317" s="99">
        <f>IF($B$34="Hợp lệ",MIN(H121:H127),"Chưa tính")</f>
        <v>-2883518220.9990759</v>
      </c>
      <c r="F317" s="99">
        <f>B127</f>
        <v>-2883626768</v>
      </c>
      <c r="G317" s="99">
        <f>IF($B$34="Hợp lệ",H127,"Chưa tính")</f>
        <v>-2883518220.9990759</v>
      </c>
      <c r="H317" s="99">
        <f>IF($B$34="Hợp lệ",MAX(J121:J127),"Chưa tính")</f>
        <v>3383518220.9990759</v>
      </c>
      <c r="I317" s="86" t="str">
        <f>IF($B$34="Hợp lệ",CHOOSE(MAX(K121:K127)+1,"Không cảnh báo","Vàng","Cam","Đỏ"),"Chưa tính")</f>
        <v>Đỏ</v>
      </c>
      <c r="J317" s="86"/>
      <c r="K317" s="86"/>
      <c r="L317" s="86"/>
      <c r="M317" s="86"/>
      <c r="N317" s="86"/>
      <c r="O317" s="86"/>
      <c r="P317" s="86"/>
      <c r="Q317" s="86"/>
      <c r="R317" s="86"/>
      <c r="S317" s="86"/>
      <c r="T317" s="101"/>
      <c r="U317" s="101"/>
    </row>
    <row r="318" spans="1:21">
      <c r="A318" s="86">
        <v>12</v>
      </c>
      <c r="B318" s="98">
        <f>A128</f>
        <v>46271</v>
      </c>
      <c r="C318" s="98">
        <f>A134</f>
        <v>46277</v>
      </c>
      <c r="D318" s="99">
        <f>MIN(B128:B134)</f>
        <v>-2883626768</v>
      </c>
      <c r="E318" s="99">
        <f>IF($B$34="Hợp lệ",MIN(H128:H134),"Chưa tính")</f>
        <v>-2883518220.9990759</v>
      </c>
      <c r="F318" s="99">
        <f>B134</f>
        <v>-2883626768</v>
      </c>
      <c r="G318" s="99">
        <f>IF($B$34="Hợp lệ",H134,"Chưa tính")</f>
        <v>-2883518220.9990759</v>
      </c>
      <c r="H318" s="99">
        <f>IF($B$34="Hợp lệ",MAX(J128:J134),"Chưa tính")</f>
        <v>3383518220.9990759</v>
      </c>
      <c r="I318" s="86" t="str">
        <f>IF($B$34="Hợp lệ",CHOOSE(MAX(K128:K134)+1,"Không cảnh báo","Vàng","Cam","Đỏ"),"Chưa tính")</f>
        <v>Đỏ</v>
      </c>
      <c r="J318" s="86"/>
      <c r="K318" s="86"/>
      <c r="L318" s="86"/>
      <c r="M318" s="86"/>
      <c r="N318" s="86"/>
      <c r="O318" s="86"/>
      <c r="P318" s="86"/>
      <c r="Q318" s="86"/>
      <c r="R318" s="86"/>
      <c r="S318" s="86"/>
      <c r="T318" s="101"/>
      <c r="U318" s="101"/>
    </row>
    <row r="319" spans="1:21">
      <c r="A319" s="86">
        <v>13</v>
      </c>
      <c r="B319" s="98">
        <f>A135</f>
        <v>46278</v>
      </c>
      <c r="C319" s="98">
        <f>A141</f>
        <v>46284</v>
      </c>
      <c r="D319" s="99">
        <f>MIN(B135:B141)</f>
        <v>-3063626768</v>
      </c>
      <c r="E319" s="99">
        <f>IF($B$34="Hợp lệ",MIN(H135:H141),"Chưa tính")</f>
        <v>-3063518220.9990759</v>
      </c>
      <c r="F319" s="99">
        <f>B141</f>
        <v>-3063626768</v>
      </c>
      <c r="G319" s="99">
        <f>IF($B$34="Hợp lệ",H141,"Chưa tính")</f>
        <v>-3063518220.9990759</v>
      </c>
      <c r="H319" s="99">
        <f>IF($B$34="Hợp lệ",MAX(J135:J141),"Chưa tính")</f>
        <v>3563518220.9990759</v>
      </c>
      <c r="I319" s="86" t="str">
        <f>IF($B$34="Hợp lệ",CHOOSE(MAX(K135:K141)+1,"Không cảnh báo","Vàng","Cam","Đỏ"),"Chưa tính")</f>
        <v>Đỏ</v>
      </c>
      <c r="J319" s="86"/>
      <c r="K319" s="86"/>
      <c r="L319" s="86"/>
      <c r="M319" s="86"/>
      <c r="N319" s="86"/>
      <c r="O319" s="86"/>
      <c r="P319" s="86"/>
      <c r="Q319" s="86"/>
      <c r="R319" s="86"/>
      <c r="S319" s="86"/>
      <c r="T319" s="101"/>
      <c r="U319" s="101"/>
    </row>
    <row r="320" spans="1:21">
      <c r="A320" s="86"/>
      <c r="B320" s="86"/>
      <c r="C320" s="86"/>
      <c r="D320" s="86"/>
      <c r="E320" s="86"/>
      <c r="F320" s="86"/>
      <c r="G320" s="86"/>
      <c r="H320" s="86"/>
      <c r="I320" s="86"/>
      <c r="J320" s="86"/>
      <c r="K320" s="86"/>
      <c r="L320" s="86"/>
      <c r="M320" s="86"/>
      <c r="N320" s="86"/>
      <c r="O320" s="86"/>
      <c r="P320" s="86"/>
      <c r="Q320" s="86"/>
      <c r="R320" s="86"/>
      <c r="S320" s="86"/>
      <c r="T320" s="101"/>
      <c r="U320" s="101"/>
    </row>
    <row r="321" spans="1:21">
      <c r="A321" s="86"/>
      <c r="B321" s="86"/>
      <c r="C321" s="86"/>
      <c r="D321" s="86"/>
      <c r="E321" s="86"/>
      <c r="F321" s="86"/>
      <c r="G321" s="86"/>
      <c r="H321" s="86"/>
      <c r="I321" s="86"/>
      <c r="J321" s="86"/>
      <c r="K321" s="86"/>
      <c r="L321" s="86"/>
      <c r="M321" s="86"/>
      <c r="N321" s="86"/>
      <c r="O321" s="86"/>
      <c r="P321" s="86"/>
      <c r="Q321" s="86"/>
      <c r="R321" s="86"/>
      <c r="S321" s="86"/>
      <c r="T321" s="101"/>
      <c r="U321" s="101"/>
    </row>
    <row r="322" spans="1:21">
      <c r="A322" s="86"/>
      <c r="B322" s="86"/>
      <c r="C322" s="86"/>
      <c r="D322" s="86"/>
      <c r="E322" s="86"/>
      <c r="F322" s="86"/>
      <c r="G322" s="86"/>
      <c r="H322" s="86"/>
      <c r="I322" s="86"/>
      <c r="J322" s="86"/>
      <c r="K322" s="86"/>
      <c r="L322" s="86"/>
      <c r="M322" s="86"/>
      <c r="N322" s="86"/>
      <c r="O322" s="86"/>
      <c r="P322" s="86"/>
      <c r="Q322" s="86"/>
      <c r="R322" s="86"/>
      <c r="S322" s="86"/>
      <c r="T322" s="101"/>
      <c r="U322" s="101"/>
    </row>
    <row r="323" spans="1:21">
      <c r="A323" s="86"/>
      <c r="B323" s="86"/>
      <c r="C323" s="86"/>
      <c r="D323" s="86"/>
      <c r="E323" s="86"/>
      <c r="F323" s="86"/>
      <c r="G323" s="86"/>
      <c r="H323" s="86"/>
      <c r="I323" s="86"/>
      <c r="J323" s="86"/>
      <c r="K323" s="86"/>
      <c r="L323" s="86"/>
      <c r="M323" s="86"/>
      <c r="N323" s="86"/>
      <c r="O323" s="86"/>
      <c r="P323" s="86"/>
      <c r="Q323" s="86"/>
      <c r="R323" s="86"/>
      <c r="S323" s="86"/>
      <c r="T323" s="101"/>
      <c r="U323" s="101"/>
    </row>
    <row r="324" spans="1:21">
      <c r="A324" s="102" t="s">
        <v>3574</v>
      </c>
      <c r="B324" s="102" t="s">
        <v>3575</v>
      </c>
      <c r="C324" s="102" t="s">
        <v>3576</v>
      </c>
      <c r="D324" s="102" t="s">
        <v>3387</v>
      </c>
      <c r="E324" s="86"/>
      <c r="F324" s="86"/>
      <c r="G324" s="86"/>
      <c r="H324" s="86"/>
      <c r="I324" s="86"/>
      <c r="J324" s="86"/>
      <c r="K324" s="86"/>
      <c r="L324" s="86"/>
      <c r="M324" s="86"/>
      <c r="N324" s="86"/>
      <c r="O324" s="86"/>
      <c r="P324" s="86"/>
      <c r="Q324" s="86"/>
      <c r="R324" s="86"/>
      <c r="S324" s="86"/>
      <c r="T324" s="101"/>
      <c r="U324" s="101"/>
    </row>
    <row r="325" spans="1:21" ht="26.4">
      <c r="A325" s="87" t="s">
        <v>3577</v>
      </c>
      <c r="B325" s="87">
        <f>IF(B34="Hợp lệ",H141-B141-SUM(F51:F141),"Chưa tính")</f>
        <v>-2.9802322387695313E-8</v>
      </c>
      <c r="C325" s="87" t="s">
        <v>3578</v>
      </c>
      <c r="D325" s="87" t="s">
        <v>3579</v>
      </c>
      <c r="E325" s="86"/>
      <c r="F325" s="86"/>
      <c r="G325" s="86"/>
      <c r="H325" s="86"/>
      <c r="I325" s="86"/>
      <c r="J325" s="86"/>
      <c r="K325" s="86"/>
      <c r="L325" s="86"/>
      <c r="M325" s="86"/>
      <c r="N325" s="86"/>
      <c r="O325" s="86"/>
      <c r="P325" s="86"/>
      <c r="Q325" s="86"/>
      <c r="R325" s="86"/>
      <c r="S325" s="86"/>
      <c r="T325" s="101"/>
      <c r="U325" s="101"/>
    </row>
    <row r="326" spans="1:21" ht="39.6">
      <c r="A326" s="87" t="s">
        <v>3580</v>
      </c>
      <c r="B326" s="87">
        <f>COUNTIF(S151:S272,"LỆCH")</f>
        <v>0</v>
      </c>
      <c r="C326" s="87">
        <v>0</v>
      </c>
      <c r="D326" s="87" t="s">
        <v>3581</v>
      </c>
      <c r="E326" s="86"/>
      <c r="F326" s="86"/>
      <c r="G326" s="86"/>
      <c r="H326" s="86"/>
      <c r="I326" s="86"/>
      <c r="J326" s="86"/>
      <c r="K326" s="86"/>
      <c r="L326" s="86"/>
      <c r="M326" s="86"/>
      <c r="N326" s="86"/>
      <c r="O326" s="86"/>
      <c r="P326" s="86"/>
      <c r="Q326" s="86"/>
      <c r="R326" s="86"/>
      <c r="S326" s="86"/>
      <c r="T326" s="101"/>
      <c r="U326" s="101"/>
    </row>
    <row r="327" spans="1:21" ht="26.4">
      <c r="A327" s="87" t="s">
        <v>3582</v>
      </c>
      <c r="B327" s="87" t="str">
        <f>IF(B5=0,MAX(ABS(G51:G141)),"Chọn case0 để kiểm")</f>
        <v>Chọn case0 để kiểm</v>
      </c>
      <c r="C327" s="87" t="s">
        <v>3583</v>
      </c>
      <c r="D327" s="87" t="s">
        <v>3584</v>
      </c>
      <c r="E327" s="86"/>
      <c r="F327" s="86"/>
      <c r="G327" s="86"/>
      <c r="H327" s="86"/>
      <c r="I327" s="86"/>
      <c r="J327" s="86"/>
      <c r="K327" s="86"/>
      <c r="L327" s="86"/>
      <c r="M327" s="86"/>
      <c r="N327" s="86"/>
      <c r="O327" s="86"/>
      <c r="P327" s="86"/>
      <c r="Q327" s="86"/>
      <c r="R327" s="86"/>
      <c r="S327" s="86"/>
      <c r="T327" s="101"/>
      <c r="U327" s="101"/>
    </row>
    <row r="328" spans="1:21" ht="39.6">
      <c r="A328" s="87" t="s">
        <v>3585</v>
      </c>
      <c r="B328" s="87">
        <f>COUNTA(A151:A272)</f>
        <v>122</v>
      </c>
      <c r="C328" s="87">
        <v>122</v>
      </c>
      <c r="D328" s="87" t="s">
        <v>3586</v>
      </c>
      <c r="E328" s="86"/>
      <c r="F328" s="86"/>
      <c r="G328" s="86"/>
      <c r="H328" s="86"/>
      <c r="I328" s="86"/>
      <c r="J328" s="86"/>
      <c r="K328" s="86"/>
      <c r="L328" s="86"/>
      <c r="M328" s="86"/>
      <c r="N328" s="86"/>
      <c r="O328" s="86"/>
      <c r="P328" s="86"/>
      <c r="Q328" s="86"/>
      <c r="R328" s="86"/>
      <c r="S328" s="86"/>
      <c r="T328" s="101"/>
      <c r="U328" s="101"/>
    </row>
    <row r="329" spans="1:21" ht="39.6">
      <c r="A329" s="87" t="s">
        <v>3587</v>
      </c>
      <c r="B329" s="87" t="s">
        <v>3588</v>
      </c>
      <c r="C329" s="87" t="s">
        <v>3589</v>
      </c>
      <c r="D329" s="87" t="s">
        <v>3590</v>
      </c>
      <c r="E329" s="86"/>
      <c r="F329" s="86"/>
      <c r="G329" s="86"/>
      <c r="H329" s="86"/>
      <c r="I329" s="86"/>
      <c r="J329" s="86"/>
      <c r="K329" s="86"/>
      <c r="L329" s="86"/>
      <c r="M329" s="86"/>
      <c r="N329" s="86"/>
      <c r="O329" s="86"/>
      <c r="P329" s="86"/>
      <c r="Q329" s="86"/>
      <c r="R329" s="86"/>
      <c r="S329" s="86"/>
      <c r="T329" s="101"/>
      <c r="U329" s="101"/>
    </row>
    <row r="330" spans="1:21" ht="66">
      <c r="A330" s="87" t="s">
        <v>3591</v>
      </c>
      <c r="B330" s="87" t="s">
        <v>3592</v>
      </c>
      <c r="C330" s="87" t="s">
        <v>3593</v>
      </c>
      <c r="D330" s="87" t="s">
        <v>3594</v>
      </c>
      <c r="E330" s="86"/>
      <c r="F330" s="86"/>
      <c r="G330" s="86"/>
      <c r="H330" s="86"/>
      <c r="I330" s="86"/>
      <c r="J330" s="86"/>
      <c r="K330" s="86"/>
      <c r="L330" s="86"/>
      <c r="M330" s="86"/>
      <c r="N330" s="86"/>
      <c r="O330" s="86"/>
      <c r="P330" s="86"/>
      <c r="Q330" s="86"/>
      <c r="R330" s="86"/>
      <c r="S330" s="86"/>
      <c r="T330" s="101"/>
      <c r="U330" s="101"/>
    </row>
    <row r="331" spans="1:21">
      <c r="A331" s="87"/>
      <c r="B331" s="87"/>
      <c r="C331" s="87"/>
      <c r="D331" s="87"/>
      <c r="E331" s="86"/>
      <c r="F331" s="86"/>
      <c r="G331" s="86"/>
      <c r="H331" s="86"/>
      <c r="I331" s="86"/>
      <c r="J331" s="86"/>
      <c r="K331" s="86"/>
      <c r="L331" s="86"/>
      <c r="M331" s="86"/>
      <c r="N331" s="86"/>
      <c r="O331" s="86"/>
      <c r="P331" s="86"/>
      <c r="Q331" s="86"/>
      <c r="R331" s="86"/>
      <c r="S331" s="86"/>
      <c r="T331" s="101"/>
      <c r="U331" s="101"/>
    </row>
    <row r="332" spans="1:21">
      <c r="A332" s="87"/>
      <c r="B332" s="87"/>
      <c r="C332" s="87"/>
      <c r="D332" s="87"/>
      <c r="E332" s="86"/>
      <c r="F332" s="86"/>
      <c r="G332" s="86"/>
      <c r="H332" s="86"/>
      <c r="I332" s="86"/>
      <c r="J332" s="86"/>
      <c r="K332" s="86"/>
      <c r="L332" s="86"/>
      <c r="M332" s="86"/>
      <c r="N332" s="86"/>
      <c r="O332" s="86"/>
      <c r="P332" s="86"/>
      <c r="Q332" s="86"/>
      <c r="R332" s="86"/>
      <c r="S332" s="86"/>
      <c r="T332" s="101"/>
      <c r="U332" s="101"/>
    </row>
    <row r="333" spans="1:21" ht="66">
      <c r="A333" s="87" t="s">
        <v>3256</v>
      </c>
      <c r="B333" s="87" t="s">
        <v>3595</v>
      </c>
      <c r="C333" s="87"/>
      <c r="D333" s="87"/>
      <c r="E333" s="86"/>
      <c r="F333" s="86"/>
      <c r="G333" s="86"/>
      <c r="H333" s="86"/>
      <c r="I333" s="86"/>
      <c r="J333" s="86"/>
      <c r="K333" s="86"/>
      <c r="L333" s="86"/>
      <c r="M333" s="86"/>
      <c r="N333" s="86"/>
      <c r="O333" s="86"/>
      <c r="P333" s="86"/>
      <c r="Q333" s="86"/>
      <c r="R333" s="86"/>
      <c r="S333" s="86"/>
      <c r="T333" s="101"/>
      <c r="U333" s="101"/>
    </row>
  </sheetData>
  <conditionalFormatting sqref="B34">
    <cfRule type="containsText" dxfId="3" priority="4" operator="containsText" text="LỖI"/>
  </conditionalFormatting>
  <conditionalFormatting sqref="K51:K141">
    <cfRule type="cellIs" dxfId="2" priority="1" operator="equal">
      <formula>1</formula>
    </cfRule>
    <cfRule type="cellIs" dxfId="1" priority="2" operator="equal">
      <formula>2</formula>
    </cfRule>
    <cfRule type="cellIs" dxfId="0" priority="3" operator="equal">
      <formula>3</formula>
    </cfRule>
  </conditionalFormatting>
  <dataValidations count="4">
    <dataValidation type="whole" sqref="B5" xr:uid="{00000000-0002-0000-0A00-000000000000}">
      <formula1>0</formula1>
      <formula2>6</formula2>
    </dataValidation>
    <dataValidation type="decimal" sqref="B8 B25 B22 B19:B20 B16 B14 B10" xr:uid="{00000000-0002-0000-0A00-000001000000}">
      <formula1>0</formula1>
      <formula2>1</formula2>
    </dataValidation>
    <dataValidation type="whole" sqref="B12 B24 B17" xr:uid="{00000000-0002-0000-0A00-000009000000}">
      <formula1>0</formula1>
      <formula2>1</formula2>
    </dataValidation>
    <dataValidation type="whole" sqref="B9 B23 B21 B15 B11" xr:uid="{00000000-0002-0000-0A00-00000C000000}">
      <formula1>0</formula1>
      <formula2>365</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xr:uid="{00000000-0002-0000-0A00-000011000000}">
          <x14:formula1>
            <xm:f>D_F01!$A$38:$A$46</xm:f>
          </x14:formula1>
          <xm:sqref>B7</xm:sqref>
        </x14:dataValidation>
        <x14:dataValidation type="list" xr:uid="{00000000-0002-0000-0A00-000012000000}">
          <x14:formula1>
            <xm:f>D_F01!$A$51:$A$59</xm:f>
          </x14:formula1>
          <xm:sqref>B13</xm:sqref>
        </x14:dataValidation>
        <x14:dataValidation type="list" xr:uid="{00000000-0002-0000-0A00-000013000000}">
          <x14:formula1>
            <xm:f>D_inventory!$A$5:$A$37</xm:f>
          </x14:formula1>
          <xm:sqref>B18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F4990-7C4D-4353-9515-F2B769959B90}">
  <dimension ref="A2:F77"/>
  <sheetViews>
    <sheetView showGridLines="0" topLeftCell="A6" workbookViewId="0"/>
  </sheetViews>
  <sheetFormatPr defaultRowHeight="13.8"/>
  <cols>
    <col min="1" max="1" width="43" customWidth="1"/>
    <col min="2" max="2" width="27" customWidth="1"/>
    <col min="3" max="3" width="86" customWidth="1"/>
    <col min="4" max="4" width="28" customWidth="1"/>
    <col min="5" max="5" width="20" customWidth="1"/>
    <col min="6" max="6" width="26" customWidth="1"/>
  </cols>
  <sheetData>
    <row r="2" spans="1:3" ht="17.399999999999999" customHeight="1">
      <c r="A2" s="2" t="s">
        <v>1308</v>
      </c>
    </row>
    <row r="4" spans="1:3" ht="34.049999999999997" customHeight="1">
      <c r="A4" s="4" t="s">
        <v>1309</v>
      </c>
      <c r="B4" s="4" t="s">
        <v>828</v>
      </c>
      <c r="C4" s="4" t="s">
        <v>1310</v>
      </c>
    </row>
    <row r="5" spans="1:3" ht="25.95" customHeight="1">
      <c r="A5" s="3" t="s">
        <v>1311</v>
      </c>
      <c r="B5" s="11" t="s">
        <v>1312</v>
      </c>
      <c r="C5" s="3" t="s">
        <v>1313</v>
      </c>
    </row>
    <row r="6" spans="1:3" ht="25.95" customHeight="1">
      <c r="A6" s="5" t="s">
        <v>1314</v>
      </c>
      <c r="B6" s="12">
        <v>46023</v>
      </c>
      <c r="C6" s="5" t="s">
        <v>1315</v>
      </c>
    </row>
    <row r="7" spans="1:3" ht="25.95" customHeight="1">
      <c r="A7" s="3" t="s">
        <v>1316</v>
      </c>
      <c r="B7" s="13">
        <v>46193</v>
      </c>
      <c r="C7" s="3" t="s">
        <v>1317</v>
      </c>
    </row>
    <row r="8" spans="1:3" ht="25.95" customHeight="1">
      <c r="A8" s="5" t="s">
        <v>1318</v>
      </c>
      <c r="B8" s="37">
        <f>B7-B6+1</f>
        <v>171</v>
      </c>
      <c r="C8" s="5" t="s">
        <v>1319</v>
      </c>
    </row>
    <row r="9" spans="1:3" ht="25.95" customHeight="1">
      <c r="A9" s="3" t="s">
        <v>1320</v>
      </c>
      <c r="B9" s="15">
        <v>30000000000</v>
      </c>
      <c r="C9" s="3" t="s">
        <v>1321</v>
      </c>
    </row>
    <row r="10" spans="1:3" ht="25.95" customHeight="1">
      <c r="A10" s="5" t="s">
        <v>1322</v>
      </c>
      <c r="B10" s="16">
        <v>24000000000</v>
      </c>
      <c r="C10" s="5" t="s">
        <v>1323</v>
      </c>
    </row>
    <row r="11" spans="1:3" ht="25.95" customHeight="1">
      <c r="A11" s="3" t="s">
        <v>1324</v>
      </c>
      <c r="B11" s="15">
        <v>1200000000</v>
      </c>
      <c r="C11" s="3" t="s">
        <v>1325</v>
      </c>
    </row>
    <row r="12" spans="1:3" ht="25.95" customHeight="1">
      <c r="A12" s="5" t="s">
        <v>1326</v>
      </c>
      <c r="B12" s="16">
        <v>0</v>
      </c>
      <c r="C12" s="5" t="s">
        <v>1327</v>
      </c>
    </row>
    <row r="13" spans="1:3" ht="25.95" customHeight="1">
      <c r="A13" s="3" t="s">
        <v>1328</v>
      </c>
      <c r="B13" s="15">
        <v>800000000</v>
      </c>
      <c r="C13" s="3" t="s">
        <v>1329</v>
      </c>
    </row>
    <row r="14" spans="1:3" ht="25.95" customHeight="1">
      <c r="A14" s="5" t="s">
        <v>1330</v>
      </c>
      <c r="B14" s="16">
        <v>2000000000</v>
      </c>
      <c r="C14" s="5" t="s">
        <v>1331</v>
      </c>
    </row>
    <row r="15" spans="1:3" ht="25.95" customHeight="1">
      <c r="A15" s="3" t="s">
        <v>1332</v>
      </c>
      <c r="B15" s="38">
        <f>B16*0.5</f>
        <v>250000000</v>
      </c>
      <c r="C15" s="3" t="s">
        <v>1333</v>
      </c>
    </row>
    <row r="16" spans="1:3" ht="25.95" customHeight="1">
      <c r="A16" s="5" t="s">
        <v>1334</v>
      </c>
      <c r="B16" s="16">
        <v>500000000</v>
      </c>
      <c r="C16" s="5" t="s">
        <v>1335</v>
      </c>
    </row>
    <row r="17" spans="1:3" ht="25.95" customHeight="1">
      <c r="A17" s="3" t="s">
        <v>1336</v>
      </c>
      <c r="B17" s="38">
        <f>B16*2</f>
        <v>1000000000</v>
      </c>
      <c r="C17" s="3" t="s">
        <v>1337</v>
      </c>
    </row>
    <row r="18" spans="1:3" ht="25.95" customHeight="1">
      <c r="A18" s="5" t="s">
        <v>1338</v>
      </c>
      <c r="B18" s="14">
        <v>13</v>
      </c>
      <c r="C18" s="5" t="s">
        <v>1339</v>
      </c>
    </row>
    <row r="19" spans="1:3" ht="25.95" customHeight="1">
      <c r="A19" s="3" t="s">
        <v>1340</v>
      </c>
      <c r="B19" s="11">
        <v>1</v>
      </c>
      <c r="C19" s="3" t="s">
        <v>1341</v>
      </c>
    </row>
    <row r="20" spans="1:3" ht="25.95" customHeight="1">
      <c r="A20" s="5" t="s">
        <v>1342</v>
      </c>
      <c r="B20" s="37" t="str">
        <f>IF(B19=5,"continuing","run_off")</f>
        <v>run_off</v>
      </c>
      <c r="C20" s="5" t="s">
        <v>1343</v>
      </c>
    </row>
    <row r="21" spans="1:3" ht="25.95" customHeight="1">
      <c r="A21" s="3" t="s">
        <v>1344</v>
      </c>
      <c r="B21" s="11"/>
      <c r="C21" s="3" t="s">
        <v>1345</v>
      </c>
    </row>
    <row r="22" spans="1:3" ht="25.95" customHeight="1">
      <c r="A22" s="5" t="s">
        <v>1346</v>
      </c>
      <c r="B22" s="14" t="s">
        <v>1347</v>
      </c>
      <c r="C22" s="5" t="s">
        <v>1348</v>
      </c>
    </row>
    <row r="23" spans="1:3" ht="25.95" customHeight="1">
      <c r="A23" s="3" t="s">
        <v>1349</v>
      </c>
      <c r="B23" s="11" t="s">
        <v>1350</v>
      </c>
      <c r="C23" s="3" t="s">
        <v>1351</v>
      </c>
    </row>
    <row r="24" spans="1:3" ht="25.95" customHeight="1">
      <c r="A24" s="5" t="s">
        <v>1352</v>
      </c>
      <c r="B24" s="14" t="s">
        <v>1353</v>
      </c>
      <c r="C24" s="5" t="s">
        <v>1354</v>
      </c>
    </row>
    <row r="25" spans="1:3" ht="25.95" customHeight="1">
      <c r="A25" s="3" t="s">
        <v>1355</v>
      </c>
      <c r="B25" s="11">
        <v>180</v>
      </c>
      <c r="C25" s="3" t="s">
        <v>1356</v>
      </c>
    </row>
    <row r="26" spans="1:3" ht="25.95" customHeight="1">
      <c r="A26" s="5" t="s">
        <v>1357</v>
      </c>
      <c r="B26" s="14">
        <v>5</v>
      </c>
      <c r="C26" s="5" t="s">
        <v>1358</v>
      </c>
    </row>
    <row r="27" spans="1:3" ht="25.95" customHeight="1">
      <c r="A27" s="3" t="s">
        <v>1359</v>
      </c>
      <c r="B27" s="11">
        <v>3</v>
      </c>
      <c r="C27" s="3" t="s">
        <v>1360</v>
      </c>
    </row>
    <row r="28" spans="1:3" ht="25.95" customHeight="1">
      <c r="A28" s="5" t="s">
        <v>1361</v>
      </c>
      <c r="B28" s="14">
        <v>7</v>
      </c>
      <c r="C28" s="5" t="s">
        <v>1362</v>
      </c>
    </row>
    <row r="29" spans="1:3" ht="25.95" customHeight="1">
      <c r="A29" s="3" t="s">
        <v>1363</v>
      </c>
      <c r="B29" s="17">
        <v>0.45</v>
      </c>
      <c r="C29" s="3" t="s">
        <v>1364</v>
      </c>
    </row>
    <row r="30" spans="1:3" ht="25.95" customHeight="1">
      <c r="A30" s="5" t="s">
        <v>1365</v>
      </c>
      <c r="B30" s="14">
        <v>7</v>
      </c>
      <c r="C30" s="5" t="s">
        <v>1366</v>
      </c>
    </row>
    <row r="31" spans="1:3" ht="25.95" customHeight="1">
      <c r="A31" s="3" t="s">
        <v>1367</v>
      </c>
      <c r="B31" s="11">
        <v>45</v>
      </c>
      <c r="C31" s="3" t="s">
        <v>1368</v>
      </c>
    </row>
    <row r="32" spans="1:3" ht="25.95" customHeight="1">
      <c r="A32" s="5" t="s">
        <v>1369</v>
      </c>
      <c r="B32" s="14">
        <v>1</v>
      </c>
      <c r="C32" s="5" t="s">
        <v>1370</v>
      </c>
    </row>
    <row r="33" spans="1:3" ht="25.95" customHeight="1">
      <c r="A33" s="3" t="s">
        <v>1371</v>
      </c>
      <c r="B33" s="11" t="s">
        <v>1050</v>
      </c>
      <c r="C33" s="3" t="s">
        <v>1372</v>
      </c>
    </row>
    <row r="35" spans="1:3" ht="54" customHeight="1">
      <c r="A35" s="31" t="s">
        <v>1373</v>
      </c>
      <c r="B35" s="31">
        <f>B8</f>
        <v>171</v>
      </c>
      <c r="C35" s="31" t="s">
        <v>1374</v>
      </c>
    </row>
    <row r="37" spans="1:3" ht="34.049999999999997" customHeight="1">
      <c r="A37" s="4" t="s">
        <v>1375</v>
      </c>
      <c r="B37" s="4" t="s">
        <v>1376</v>
      </c>
      <c r="C37" s="4" t="s">
        <v>1377</v>
      </c>
    </row>
    <row r="38" spans="1:3" ht="25.95" customHeight="1">
      <c r="A38" s="3" t="s">
        <v>952</v>
      </c>
      <c r="B38" s="3" t="s">
        <v>953</v>
      </c>
      <c r="C38" s="3" t="s">
        <v>981</v>
      </c>
    </row>
    <row r="39" spans="1:3" ht="25.95" customHeight="1">
      <c r="A39" s="5" t="s">
        <v>954</v>
      </c>
      <c r="B39" s="5" t="s">
        <v>955</v>
      </c>
      <c r="C39" s="5" t="s">
        <v>978</v>
      </c>
    </row>
    <row r="40" spans="1:3" ht="25.95" customHeight="1">
      <c r="A40" s="3" t="s">
        <v>956</v>
      </c>
      <c r="B40" s="3" t="s">
        <v>957</v>
      </c>
      <c r="C40" s="3" t="s">
        <v>981</v>
      </c>
    </row>
    <row r="41" spans="1:3" ht="40.049999999999997" customHeight="1">
      <c r="A41" s="5" t="s">
        <v>958</v>
      </c>
      <c r="B41" s="5" t="s">
        <v>959</v>
      </c>
      <c r="C41" s="5" t="s">
        <v>981</v>
      </c>
    </row>
    <row r="42" spans="1:3" ht="25.95" customHeight="1">
      <c r="A42" s="3" t="s">
        <v>960</v>
      </c>
      <c r="B42" s="3" t="s">
        <v>961</v>
      </c>
      <c r="C42" s="3" t="s">
        <v>981</v>
      </c>
    </row>
    <row r="43" spans="1:3" ht="25.95" customHeight="1">
      <c r="A43" s="5" t="s">
        <v>962</v>
      </c>
      <c r="B43" s="5" t="s">
        <v>963</v>
      </c>
      <c r="C43" s="5" t="s">
        <v>981</v>
      </c>
    </row>
    <row r="44" spans="1:3" ht="25.95" customHeight="1">
      <c r="A44" s="3" t="s">
        <v>964</v>
      </c>
      <c r="B44" s="3" t="s">
        <v>965</v>
      </c>
      <c r="C44" s="3" t="s">
        <v>981</v>
      </c>
    </row>
    <row r="45" spans="1:3" ht="25.95" customHeight="1">
      <c r="A45" s="5" t="s">
        <v>966</v>
      </c>
      <c r="B45" s="5" t="s">
        <v>967</v>
      </c>
      <c r="C45" s="5" t="s">
        <v>981</v>
      </c>
    </row>
    <row r="46" spans="1:3" ht="25.95" customHeight="1">
      <c r="A46" s="3" t="s">
        <v>968</v>
      </c>
      <c r="B46" s="3" t="s">
        <v>969</v>
      </c>
      <c r="C46" s="3" t="s">
        <v>981</v>
      </c>
    </row>
    <row r="50" spans="1:6" ht="34.049999999999997" customHeight="1">
      <c r="A50" s="4" t="s">
        <v>1378</v>
      </c>
      <c r="B50" s="4" t="s">
        <v>1379</v>
      </c>
      <c r="C50" s="4" t="s">
        <v>973</v>
      </c>
      <c r="D50" s="4" t="s">
        <v>1380</v>
      </c>
      <c r="E50" s="4" t="s">
        <v>1381</v>
      </c>
      <c r="F50" s="4" t="s">
        <v>1382</v>
      </c>
    </row>
    <row r="51" spans="1:6" ht="40.049999999999997" customHeight="1">
      <c r="A51" s="3" t="s">
        <v>976</v>
      </c>
      <c r="B51" s="3" t="s">
        <v>977</v>
      </c>
      <c r="C51" s="3" t="s">
        <v>978</v>
      </c>
      <c r="D51" s="3" t="s">
        <v>981</v>
      </c>
      <c r="E51" s="3">
        <v>0</v>
      </c>
      <c r="F51" s="3">
        <v>45</v>
      </c>
    </row>
    <row r="52" spans="1:6" ht="40.049999999999997" customHeight="1">
      <c r="A52" s="5" t="s">
        <v>979</v>
      </c>
      <c r="B52" s="5" t="s">
        <v>980</v>
      </c>
      <c r="C52" s="5" t="s">
        <v>981</v>
      </c>
      <c r="D52" s="5" t="s">
        <v>981</v>
      </c>
      <c r="E52" s="5">
        <v>3</v>
      </c>
      <c r="F52" s="5">
        <v>7</v>
      </c>
    </row>
    <row r="53" spans="1:6" ht="25.95" customHeight="1">
      <c r="A53" s="3" t="s">
        <v>982</v>
      </c>
      <c r="B53" s="3" t="s">
        <v>983</v>
      </c>
      <c r="C53" s="3" t="s">
        <v>978</v>
      </c>
      <c r="D53" s="3" t="s">
        <v>981</v>
      </c>
      <c r="E53" s="3">
        <v>0</v>
      </c>
      <c r="F53" s="3">
        <v>35</v>
      </c>
    </row>
    <row r="54" spans="1:6" ht="25.95" customHeight="1">
      <c r="A54" s="5" t="s">
        <v>984</v>
      </c>
      <c r="B54" s="5" t="s">
        <v>985</v>
      </c>
      <c r="C54" s="5" t="s">
        <v>981</v>
      </c>
      <c r="D54" s="5" t="s">
        <v>981</v>
      </c>
      <c r="E54" s="5">
        <v>4</v>
      </c>
      <c r="F54" s="5">
        <v>3</v>
      </c>
    </row>
    <row r="55" spans="1:6" ht="40.049999999999997" customHeight="1">
      <c r="A55" s="3" t="s">
        <v>986</v>
      </c>
      <c r="B55" s="3" t="s">
        <v>987</v>
      </c>
      <c r="C55" s="3" t="s">
        <v>981</v>
      </c>
      <c r="D55" s="3" t="s">
        <v>981</v>
      </c>
      <c r="E55" s="3">
        <v>2</v>
      </c>
      <c r="F55" s="3">
        <v>10</v>
      </c>
    </row>
    <row r="56" spans="1:6" ht="25.95" customHeight="1">
      <c r="A56" s="5" t="s">
        <v>988</v>
      </c>
      <c r="B56" s="5" t="s">
        <v>989</v>
      </c>
      <c r="C56" s="5" t="s">
        <v>978</v>
      </c>
      <c r="D56" s="5" t="s">
        <v>981</v>
      </c>
      <c r="E56" s="5">
        <v>0</v>
      </c>
      <c r="F56" s="5">
        <v>0</v>
      </c>
    </row>
    <row r="57" spans="1:6" ht="25.95" customHeight="1">
      <c r="A57" s="3" t="s">
        <v>990</v>
      </c>
      <c r="B57" s="3" t="s">
        <v>991</v>
      </c>
      <c r="C57" s="3" t="s">
        <v>992</v>
      </c>
      <c r="D57" s="3" t="s">
        <v>981</v>
      </c>
      <c r="E57" s="3">
        <v>0</v>
      </c>
      <c r="F57" s="3">
        <v>0</v>
      </c>
    </row>
    <row r="58" spans="1:6" ht="25.95" customHeight="1">
      <c r="A58" s="5" t="s">
        <v>993</v>
      </c>
      <c r="B58" s="5" t="s">
        <v>994</v>
      </c>
      <c r="C58" s="5" t="s">
        <v>981</v>
      </c>
      <c r="D58" s="5" t="s">
        <v>981</v>
      </c>
      <c r="E58" s="5">
        <v>5</v>
      </c>
      <c r="F58" s="5">
        <v>2</v>
      </c>
    </row>
    <row r="59" spans="1:6" ht="25.95" customHeight="1">
      <c r="A59" s="3" t="s">
        <v>995</v>
      </c>
      <c r="B59" s="3" t="s">
        <v>996</v>
      </c>
      <c r="C59" s="3" t="s">
        <v>978</v>
      </c>
      <c r="D59" s="3" t="s">
        <v>978</v>
      </c>
      <c r="E59" s="3">
        <v>0</v>
      </c>
      <c r="F59" s="3">
        <v>40</v>
      </c>
    </row>
    <row r="63" spans="1:6">
      <c r="A63" s="2" t="s">
        <v>1383</v>
      </c>
      <c r="B63" s="1"/>
      <c r="C63" s="1"/>
      <c r="D63" s="1"/>
      <c r="E63" s="1"/>
      <c r="F63" s="1"/>
    </row>
    <row r="64" spans="1:6">
      <c r="A64" s="1"/>
      <c r="B64" s="1"/>
      <c r="C64" s="1"/>
      <c r="D64" s="1"/>
      <c r="E64" s="1"/>
      <c r="F64" s="1"/>
    </row>
    <row r="65" spans="1:6">
      <c r="A65" s="1"/>
      <c r="B65" s="1"/>
      <c r="C65" s="1"/>
      <c r="D65" s="1"/>
      <c r="E65" s="1"/>
      <c r="F65" s="1"/>
    </row>
    <row r="67" spans="1:6" ht="34.049999999999997" customHeight="1">
      <c r="A67" s="4" t="s">
        <v>1384</v>
      </c>
      <c r="B67" s="4" t="s">
        <v>1385</v>
      </c>
      <c r="C67" s="4" t="s">
        <v>1008</v>
      </c>
      <c r="D67" s="4" t="s">
        <v>1386</v>
      </c>
    </row>
    <row r="68" spans="1:6" ht="25.95" customHeight="1">
      <c r="A68" s="3" t="s">
        <v>1387</v>
      </c>
      <c r="B68" s="3" t="s">
        <v>1388</v>
      </c>
      <c r="C68" s="3" t="s">
        <v>1389</v>
      </c>
      <c r="D68" s="3" t="s">
        <v>1390</v>
      </c>
    </row>
    <row r="69" spans="1:6" ht="40.049999999999997" customHeight="1">
      <c r="A69" s="5" t="s">
        <v>1391</v>
      </c>
      <c r="B69" s="5" t="s">
        <v>1392</v>
      </c>
      <c r="C69" s="5" t="s">
        <v>1393</v>
      </c>
      <c r="D69" s="5" t="s">
        <v>1394</v>
      </c>
    </row>
    <row r="70" spans="1:6" ht="25.95" customHeight="1">
      <c r="A70" s="3" t="s">
        <v>1395</v>
      </c>
      <c r="B70" s="3" t="s">
        <v>1396</v>
      </c>
      <c r="C70" s="3" t="s">
        <v>1397</v>
      </c>
      <c r="D70" s="3" t="s">
        <v>1398</v>
      </c>
    </row>
    <row r="71" spans="1:6" ht="25.95" customHeight="1">
      <c r="A71" s="5" t="s">
        <v>246</v>
      </c>
      <c r="B71" s="5" t="s">
        <v>1399</v>
      </c>
      <c r="C71" s="5" t="s">
        <v>1400</v>
      </c>
      <c r="D71" s="5" t="s">
        <v>1401</v>
      </c>
    </row>
    <row r="72" spans="1:6" ht="25.95" customHeight="1">
      <c r="A72" s="3" t="s">
        <v>289</v>
      </c>
      <c r="B72" s="3" t="s">
        <v>1402</v>
      </c>
      <c r="C72" s="3" t="s">
        <v>1403</v>
      </c>
      <c r="D72" s="3" t="s">
        <v>1401</v>
      </c>
    </row>
    <row r="73" spans="1:6" ht="40.049999999999997" customHeight="1">
      <c r="A73" s="5" t="s">
        <v>261</v>
      </c>
      <c r="B73" s="5" t="s">
        <v>1404</v>
      </c>
      <c r="C73" s="5" t="s">
        <v>1405</v>
      </c>
      <c r="D73" s="5" t="s">
        <v>1406</v>
      </c>
    </row>
    <row r="74" spans="1:6" ht="25.95" customHeight="1">
      <c r="A74" s="3" t="s">
        <v>1407</v>
      </c>
      <c r="B74" s="3" t="s">
        <v>1408</v>
      </c>
      <c r="C74" s="3" t="s">
        <v>1409</v>
      </c>
      <c r="D74" s="3" t="s">
        <v>1410</v>
      </c>
    </row>
    <row r="75" spans="1:6" ht="40.049999999999997" customHeight="1">
      <c r="A75" s="5" t="s">
        <v>1411</v>
      </c>
      <c r="B75" s="5" t="s">
        <v>1412</v>
      </c>
      <c r="C75" s="5" t="s">
        <v>1413</v>
      </c>
      <c r="D75" s="5" t="s">
        <v>1414</v>
      </c>
    </row>
    <row r="76" spans="1:6" ht="25.95" customHeight="1">
      <c r="A76" s="3" t="s">
        <v>1415</v>
      </c>
      <c r="B76" s="3" t="s">
        <v>1416</v>
      </c>
      <c r="C76" s="3" t="s">
        <v>1417</v>
      </c>
      <c r="D76" s="3" t="s">
        <v>1418</v>
      </c>
    </row>
    <row r="77" spans="1:6" ht="40.049999999999997" customHeight="1">
      <c r="A77" s="5" t="s">
        <v>1346</v>
      </c>
      <c r="B77" s="5" t="s">
        <v>1419</v>
      </c>
      <c r="C77" s="5" t="s">
        <v>1420</v>
      </c>
      <c r="D77" s="5" t="s">
        <v>1421</v>
      </c>
    </row>
  </sheetData>
  <mergeCells count="1">
    <mergeCell ref="A63:F65"/>
  </mergeCells>
  <dataValidations count="1">
    <dataValidation type="list" sqref="B19" xr:uid="{00000000-0002-0000-0600-000000000000}">
      <formula1>"1,2,3,4,5"</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5B34F-708D-4D61-88A1-9038299393BC}">
  <dimension ref="A2:W81"/>
  <sheetViews>
    <sheetView showGridLines="0" workbookViewId="0">
      <selection activeCell="N110" sqref="N110"/>
    </sheetView>
  </sheetViews>
  <sheetFormatPr defaultRowHeight="13.8"/>
  <cols>
    <col min="1" max="1" width="14" customWidth="1"/>
    <col min="2" max="2" width="44" customWidth="1"/>
    <col min="3" max="3" width="16" customWidth="1"/>
    <col min="4" max="4" width="12" customWidth="1"/>
    <col min="5" max="5" width="18" customWidth="1"/>
    <col min="6" max="6" width="16" customWidth="1"/>
    <col min="7" max="10" width="12" customWidth="1"/>
    <col min="11" max="11" width="14" customWidth="1"/>
    <col min="12" max="13" width="12" customWidth="1"/>
    <col min="14" max="14" width="14" customWidth="1"/>
    <col min="15" max="15" width="8" customWidth="1"/>
    <col min="16" max="16" width="18" customWidth="1"/>
    <col min="17" max="18" width="12" customWidth="1"/>
    <col min="19" max="19" width="14" customWidth="1"/>
    <col min="20" max="20" width="12" customWidth="1"/>
    <col min="21" max="21" width="60" customWidth="1"/>
  </cols>
  <sheetData>
    <row r="2" spans="1:23">
      <c r="A2" s="60" t="s">
        <v>2797</v>
      </c>
      <c r="B2" s="61"/>
      <c r="C2" s="61"/>
      <c r="D2" s="61"/>
      <c r="E2" s="61"/>
      <c r="F2" s="61"/>
      <c r="G2" s="61"/>
      <c r="H2" s="61"/>
      <c r="I2" s="61"/>
      <c r="J2" s="61"/>
      <c r="K2" s="61"/>
      <c r="L2" s="61"/>
      <c r="M2" s="61"/>
      <c r="N2" s="61"/>
      <c r="O2" s="61"/>
      <c r="P2" s="61"/>
      <c r="Q2" s="61"/>
      <c r="R2" s="61"/>
      <c r="S2" s="61"/>
      <c r="T2" s="61"/>
      <c r="U2" s="61"/>
      <c r="V2" s="61"/>
      <c r="W2" s="61"/>
    </row>
    <row r="3" spans="1:23">
      <c r="A3" s="62" t="s">
        <v>2798</v>
      </c>
      <c r="B3" s="61"/>
      <c r="C3" s="61"/>
      <c r="D3" s="61"/>
      <c r="E3" s="61"/>
      <c r="F3" s="61"/>
      <c r="G3" s="61"/>
      <c r="H3" s="61"/>
      <c r="I3" s="61"/>
      <c r="J3" s="61"/>
      <c r="K3" s="61"/>
      <c r="L3" s="61"/>
      <c r="M3" s="61"/>
      <c r="N3" s="61"/>
      <c r="O3" s="61"/>
      <c r="P3" s="61"/>
      <c r="Q3" s="61"/>
      <c r="R3" s="61"/>
      <c r="S3" s="61"/>
      <c r="T3" s="61"/>
      <c r="U3" s="61"/>
      <c r="V3" s="61"/>
      <c r="W3" s="61"/>
    </row>
    <row r="4" spans="1:23" ht="30" customHeight="1">
      <c r="A4" s="63" t="s">
        <v>92</v>
      </c>
      <c r="B4" s="63" t="s">
        <v>2603</v>
      </c>
      <c r="C4" s="63" t="s">
        <v>828</v>
      </c>
      <c r="D4" s="63" t="s">
        <v>739</v>
      </c>
      <c r="E4" s="63" t="s">
        <v>2799</v>
      </c>
      <c r="F4" s="61"/>
      <c r="G4" s="61"/>
      <c r="H4" s="61"/>
      <c r="I4" s="61"/>
      <c r="J4" s="61"/>
      <c r="K4" s="61"/>
      <c r="L4" s="61"/>
      <c r="M4" s="61"/>
      <c r="N4" s="61"/>
      <c r="O4" s="61"/>
      <c r="P4" s="61"/>
      <c r="Q4" s="61"/>
      <c r="R4" s="61"/>
      <c r="S4" s="61"/>
      <c r="T4" s="61"/>
      <c r="U4" s="61"/>
      <c r="V4" s="61"/>
      <c r="W4" s="61"/>
    </row>
    <row r="5" spans="1:23">
      <c r="A5" s="64" t="s">
        <v>2607</v>
      </c>
      <c r="B5" s="64" t="s">
        <v>2608</v>
      </c>
      <c r="C5" s="78">
        <v>0.25</v>
      </c>
      <c r="D5" s="64" t="s">
        <v>2800</v>
      </c>
      <c r="E5" s="62" t="s">
        <v>2801</v>
      </c>
      <c r="F5" s="61"/>
      <c r="G5" s="61"/>
      <c r="H5" s="61"/>
      <c r="I5" s="61"/>
      <c r="J5" s="61"/>
      <c r="K5" s="61"/>
      <c r="L5" s="61"/>
      <c r="M5" s="61"/>
      <c r="N5" s="61"/>
      <c r="O5" s="61"/>
      <c r="P5" s="61"/>
      <c r="Q5" s="61"/>
      <c r="R5" s="61"/>
      <c r="S5" s="61"/>
      <c r="T5" s="61"/>
      <c r="U5" s="61"/>
      <c r="V5" s="61"/>
      <c r="W5" s="61"/>
    </row>
    <row r="6" spans="1:23">
      <c r="A6" s="64" t="s">
        <v>2613</v>
      </c>
      <c r="B6" s="64" t="s">
        <v>2614</v>
      </c>
      <c r="C6" s="79">
        <v>14</v>
      </c>
      <c r="D6" s="64" t="s">
        <v>217</v>
      </c>
      <c r="E6" s="62" t="s">
        <v>2802</v>
      </c>
      <c r="F6" s="61"/>
      <c r="G6" s="61"/>
      <c r="H6" s="61"/>
      <c r="I6" s="61"/>
      <c r="J6" s="61"/>
      <c r="K6" s="61"/>
      <c r="L6" s="61"/>
      <c r="M6" s="61"/>
      <c r="N6" s="61"/>
      <c r="O6" s="61"/>
      <c r="P6" s="61"/>
      <c r="Q6" s="61"/>
      <c r="R6" s="61"/>
      <c r="S6" s="61"/>
      <c r="T6" s="61"/>
      <c r="U6" s="61"/>
      <c r="V6" s="61"/>
      <c r="W6" s="61"/>
    </row>
    <row r="7" spans="1:23">
      <c r="A7" s="64" t="s">
        <v>2618</v>
      </c>
      <c r="B7" s="64" t="s">
        <v>2619</v>
      </c>
      <c r="C7" s="78">
        <v>0.5</v>
      </c>
      <c r="D7" s="64" t="s">
        <v>2803</v>
      </c>
      <c r="E7" s="62" t="s">
        <v>2804</v>
      </c>
      <c r="F7" s="61"/>
      <c r="G7" s="61"/>
      <c r="H7" s="61"/>
      <c r="I7" s="61"/>
      <c r="J7" s="61"/>
      <c r="K7" s="61"/>
      <c r="L7" s="61"/>
      <c r="M7" s="61"/>
      <c r="N7" s="61"/>
      <c r="O7" s="61"/>
      <c r="P7" s="61"/>
      <c r="Q7" s="61"/>
      <c r="R7" s="61"/>
      <c r="S7" s="61"/>
      <c r="T7" s="61"/>
      <c r="U7" s="61"/>
      <c r="V7" s="61"/>
      <c r="W7" s="61"/>
    </row>
    <row r="8" spans="1:23">
      <c r="A8" s="64" t="s">
        <v>2622</v>
      </c>
      <c r="B8" s="64" t="s">
        <v>2623</v>
      </c>
      <c r="C8" s="78">
        <v>0.15</v>
      </c>
      <c r="D8" s="64" t="s">
        <v>2803</v>
      </c>
      <c r="E8" s="62" t="s">
        <v>2805</v>
      </c>
      <c r="F8" s="61"/>
      <c r="G8" s="61"/>
      <c r="H8" s="61"/>
      <c r="I8" s="61"/>
      <c r="J8" s="61"/>
      <c r="K8" s="61"/>
      <c r="L8" s="61"/>
      <c r="M8" s="61"/>
      <c r="N8" s="61"/>
      <c r="O8" s="61"/>
      <c r="P8" s="61"/>
      <c r="Q8" s="61"/>
      <c r="R8" s="61"/>
      <c r="S8" s="61"/>
      <c r="T8" s="61"/>
      <c r="U8" s="61"/>
      <c r="V8" s="61"/>
      <c r="W8" s="61"/>
    </row>
    <row r="9" spans="1:23">
      <c r="A9" s="64" t="s">
        <v>2626</v>
      </c>
      <c r="B9" s="64" t="s">
        <v>2627</v>
      </c>
      <c r="C9" s="78">
        <v>0.3</v>
      </c>
      <c r="D9" s="64" t="s">
        <v>2803</v>
      </c>
      <c r="E9" s="62" t="s">
        <v>2806</v>
      </c>
      <c r="F9" s="61"/>
      <c r="G9" s="61"/>
      <c r="H9" s="61"/>
      <c r="I9" s="61"/>
      <c r="J9" s="61"/>
      <c r="K9" s="61"/>
      <c r="L9" s="61"/>
      <c r="M9" s="61"/>
      <c r="N9" s="61"/>
      <c r="O9" s="61"/>
      <c r="P9" s="61"/>
      <c r="Q9" s="61"/>
      <c r="R9" s="61"/>
      <c r="S9" s="61"/>
      <c r="T9" s="61"/>
      <c r="U9" s="61"/>
      <c r="V9" s="61"/>
      <c r="W9" s="61"/>
    </row>
    <row r="10" spans="1:23">
      <c r="A10" s="64" t="s">
        <v>2630</v>
      </c>
      <c r="B10" s="64" t="s">
        <v>2631</v>
      </c>
      <c r="C10" s="78">
        <v>0.05</v>
      </c>
      <c r="D10" s="64" t="s">
        <v>2807</v>
      </c>
      <c r="E10" s="62" t="s">
        <v>2808</v>
      </c>
      <c r="F10" s="61"/>
      <c r="G10" s="61"/>
      <c r="H10" s="61"/>
      <c r="I10" s="61"/>
      <c r="J10" s="61"/>
      <c r="K10" s="61"/>
      <c r="L10" s="61"/>
      <c r="M10" s="61"/>
      <c r="N10" s="61"/>
      <c r="O10" s="61"/>
      <c r="P10" s="61"/>
      <c r="Q10" s="61"/>
      <c r="R10" s="61"/>
      <c r="S10" s="61"/>
      <c r="T10" s="61"/>
      <c r="U10" s="61"/>
      <c r="V10" s="61"/>
      <c r="W10" s="61"/>
    </row>
    <row r="11" spans="1:23">
      <c r="A11" s="64" t="s">
        <v>2634</v>
      </c>
      <c r="B11" s="64" t="s">
        <v>2635</v>
      </c>
      <c r="C11" s="79">
        <v>4</v>
      </c>
      <c r="D11" s="64" t="s">
        <v>2809</v>
      </c>
      <c r="E11" s="62" t="s">
        <v>2810</v>
      </c>
      <c r="F11" s="61"/>
      <c r="G11" s="61"/>
      <c r="H11" s="61"/>
      <c r="I11" s="61"/>
      <c r="J11" s="61"/>
      <c r="K11" s="61"/>
      <c r="L11" s="61"/>
      <c r="M11" s="61"/>
      <c r="N11" s="61"/>
      <c r="O11" s="61"/>
      <c r="P11" s="61"/>
      <c r="Q11" s="61"/>
      <c r="R11" s="61"/>
      <c r="S11" s="61"/>
      <c r="T11" s="61"/>
      <c r="U11" s="61"/>
      <c r="V11" s="61"/>
      <c r="W11" s="61"/>
    </row>
    <row r="12" spans="1:23">
      <c r="A12" s="64" t="s">
        <v>2638</v>
      </c>
      <c r="B12" s="64" t="s">
        <v>2639</v>
      </c>
      <c r="C12" s="79">
        <v>7</v>
      </c>
      <c r="D12" s="64" t="s">
        <v>217</v>
      </c>
      <c r="E12" s="62" t="s">
        <v>2811</v>
      </c>
      <c r="F12" s="61"/>
      <c r="G12" s="61"/>
      <c r="H12" s="61"/>
      <c r="I12" s="61"/>
      <c r="J12" s="61"/>
      <c r="K12" s="61"/>
      <c r="L12" s="61"/>
      <c r="M12" s="61"/>
      <c r="N12" s="61"/>
      <c r="O12" s="61"/>
      <c r="P12" s="61"/>
      <c r="Q12" s="61"/>
      <c r="R12" s="61"/>
      <c r="S12" s="61"/>
      <c r="T12" s="61"/>
      <c r="U12" s="61"/>
      <c r="V12" s="61"/>
      <c r="W12" s="61"/>
    </row>
    <row r="13" spans="1:23">
      <c r="A13" s="64" t="s">
        <v>2643</v>
      </c>
      <c r="B13" s="64" t="s">
        <v>2644</v>
      </c>
      <c r="C13" s="79">
        <v>14</v>
      </c>
      <c r="D13" s="64" t="s">
        <v>217</v>
      </c>
      <c r="E13" s="62" t="s">
        <v>2812</v>
      </c>
      <c r="F13" s="61"/>
      <c r="G13" s="61"/>
      <c r="H13" s="61"/>
      <c r="I13" s="61"/>
      <c r="J13" s="61"/>
      <c r="K13" s="61"/>
      <c r="L13" s="61"/>
      <c r="M13" s="61"/>
      <c r="N13" s="61"/>
      <c r="O13" s="61"/>
      <c r="P13" s="61"/>
      <c r="Q13" s="61"/>
      <c r="R13" s="61"/>
      <c r="S13" s="61"/>
      <c r="T13" s="61"/>
      <c r="U13" s="61"/>
      <c r="V13" s="61"/>
      <c r="W13" s="61"/>
    </row>
    <row r="14" spans="1:23">
      <c r="A14" s="64" t="s">
        <v>2646</v>
      </c>
      <c r="B14" s="64" t="s">
        <v>2647</v>
      </c>
      <c r="C14" s="78">
        <v>0.3</v>
      </c>
      <c r="D14" s="64" t="s">
        <v>2813</v>
      </c>
      <c r="E14" s="62" t="s">
        <v>2814</v>
      </c>
      <c r="F14" s="61"/>
      <c r="G14" s="61"/>
      <c r="H14" s="61"/>
      <c r="I14" s="61"/>
      <c r="J14" s="61"/>
      <c r="K14" s="61"/>
      <c r="L14" s="61"/>
      <c r="M14" s="61"/>
      <c r="N14" s="61"/>
      <c r="O14" s="61"/>
      <c r="P14" s="61"/>
      <c r="Q14" s="61"/>
      <c r="R14" s="61"/>
      <c r="S14" s="61"/>
      <c r="T14" s="61"/>
      <c r="U14" s="61"/>
      <c r="V14" s="61"/>
      <c r="W14" s="61"/>
    </row>
    <row r="15" spans="1:23">
      <c r="A15" s="64" t="s">
        <v>181</v>
      </c>
      <c r="B15" s="64" t="s">
        <v>2815</v>
      </c>
      <c r="C15" s="79">
        <v>2</v>
      </c>
      <c r="D15" s="64" t="s">
        <v>2809</v>
      </c>
      <c r="E15" s="62" t="s">
        <v>2816</v>
      </c>
      <c r="F15" s="61"/>
      <c r="G15" s="61"/>
      <c r="H15" s="61"/>
      <c r="I15" s="61"/>
      <c r="J15" s="61"/>
      <c r="K15" s="61"/>
      <c r="L15" s="61"/>
      <c r="M15" s="61"/>
      <c r="N15" s="61"/>
      <c r="O15" s="61"/>
      <c r="P15" s="61"/>
      <c r="Q15" s="61"/>
      <c r="R15" s="61"/>
      <c r="S15" s="61"/>
      <c r="T15" s="61"/>
      <c r="U15" s="61"/>
      <c r="V15" s="61"/>
      <c r="W15" s="61"/>
    </row>
    <row r="16" spans="1:23">
      <c r="A16" s="64" t="s">
        <v>181</v>
      </c>
      <c r="B16" s="64" t="s">
        <v>2817</v>
      </c>
      <c r="C16" s="79">
        <v>1</v>
      </c>
      <c r="D16" s="64" t="s">
        <v>414</v>
      </c>
      <c r="E16" s="62" t="s">
        <v>2818</v>
      </c>
      <c r="F16" s="61"/>
      <c r="G16" s="61"/>
      <c r="H16" s="61"/>
      <c r="I16" s="61"/>
      <c r="J16" s="61"/>
      <c r="K16" s="61"/>
      <c r="L16" s="61"/>
      <c r="M16" s="61"/>
      <c r="N16" s="61"/>
      <c r="O16" s="61"/>
      <c r="P16" s="61"/>
      <c r="Q16" s="61"/>
      <c r="R16" s="61"/>
      <c r="S16" s="61"/>
      <c r="T16" s="61"/>
      <c r="U16" s="61"/>
      <c r="V16" s="61"/>
      <c r="W16" s="61"/>
    </row>
    <row r="17" spans="1:23">
      <c r="A17" s="64" t="s">
        <v>181</v>
      </c>
      <c r="B17" s="64" t="s">
        <v>2706</v>
      </c>
      <c r="C17" s="80" t="s">
        <v>2819</v>
      </c>
      <c r="D17" s="64" t="s">
        <v>2343</v>
      </c>
      <c r="E17" s="62" t="s">
        <v>2820</v>
      </c>
      <c r="F17" s="61"/>
      <c r="G17" s="61"/>
      <c r="H17" s="61"/>
      <c r="I17" s="61"/>
      <c r="J17" s="61"/>
      <c r="K17" s="61"/>
      <c r="L17" s="61"/>
      <c r="M17" s="61"/>
      <c r="N17" s="61"/>
      <c r="O17" s="61"/>
      <c r="P17" s="61"/>
      <c r="Q17" s="61"/>
      <c r="R17" s="61"/>
      <c r="S17" s="61"/>
      <c r="T17" s="61"/>
      <c r="U17" s="61"/>
      <c r="V17" s="61"/>
      <c r="W17" s="61"/>
    </row>
    <row r="18" spans="1:23">
      <c r="A18" s="61"/>
      <c r="B18" s="61"/>
      <c r="C18" s="61"/>
      <c r="D18" s="61"/>
      <c r="E18" s="61"/>
      <c r="F18" s="61"/>
      <c r="G18" s="61"/>
      <c r="H18" s="61"/>
      <c r="I18" s="61"/>
      <c r="J18" s="61"/>
      <c r="K18" s="61"/>
      <c r="L18" s="61"/>
      <c r="M18" s="61"/>
      <c r="N18" s="61"/>
      <c r="O18" s="61"/>
      <c r="P18" s="61"/>
      <c r="Q18" s="61"/>
      <c r="R18" s="61"/>
      <c r="S18" s="61"/>
      <c r="T18" s="61"/>
      <c r="U18" s="61"/>
      <c r="V18" s="61"/>
      <c r="W18" s="61"/>
    </row>
    <row r="19" spans="1:23">
      <c r="A19" s="61"/>
      <c r="B19" s="61"/>
      <c r="C19" s="61"/>
      <c r="D19" s="61"/>
      <c r="E19" s="61"/>
      <c r="F19" s="61"/>
      <c r="G19" s="61"/>
      <c r="H19" s="61"/>
      <c r="I19" s="61"/>
      <c r="J19" s="61"/>
      <c r="K19" s="61"/>
      <c r="L19" s="61"/>
      <c r="M19" s="61"/>
      <c r="N19" s="61"/>
      <c r="O19" s="61"/>
      <c r="P19" s="61"/>
      <c r="Q19" s="61"/>
      <c r="R19" s="61"/>
      <c r="S19" s="61"/>
      <c r="T19" s="61"/>
      <c r="U19" s="61"/>
      <c r="V19" s="61"/>
      <c r="W19" s="61"/>
    </row>
    <row r="20" spans="1:23">
      <c r="A20" s="60" t="s">
        <v>2821</v>
      </c>
      <c r="B20" s="61"/>
      <c r="C20" s="61"/>
      <c r="D20" s="61"/>
      <c r="E20" s="61"/>
      <c r="F20" s="61"/>
      <c r="G20" s="61"/>
      <c r="H20" s="61"/>
      <c r="I20" s="61"/>
      <c r="J20" s="61"/>
      <c r="K20" s="61"/>
      <c r="L20" s="61"/>
      <c r="M20" s="61"/>
      <c r="N20" s="61"/>
      <c r="O20" s="61"/>
      <c r="P20" s="61"/>
      <c r="Q20" s="61"/>
      <c r="R20" s="61"/>
      <c r="S20" s="61"/>
      <c r="T20" s="61"/>
      <c r="U20" s="61"/>
      <c r="V20" s="61"/>
      <c r="W20" s="61"/>
    </row>
    <row r="21" spans="1:23">
      <c r="A21" s="61"/>
      <c r="B21" s="61"/>
      <c r="C21" s="61"/>
      <c r="D21" s="61"/>
      <c r="E21" s="61"/>
      <c r="F21" s="61"/>
      <c r="G21" s="61"/>
      <c r="H21" s="61"/>
      <c r="I21" s="61"/>
      <c r="J21" s="61"/>
      <c r="K21" s="61"/>
      <c r="L21" s="61"/>
      <c r="M21" s="61"/>
      <c r="N21" s="61"/>
      <c r="O21" s="61"/>
      <c r="P21" s="61"/>
      <c r="Q21" s="61"/>
      <c r="R21" s="61"/>
      <c r="S21" s="61"/>
      <c r="T21" s="61"/>
      <c r="U21" s="61"/>
      <c r="V21" s="61"/>
      <c r="W21" s="61"/>
    </row>
    <row r="22" spans="1:23" ht="30" customHeight="1">
      <c r="A22" s="63" t="s">
        <v>92</v>
      </c>
      <c r="B22" s="63" t="s">
        <v>2822</v>
      </c>
      <c r="C22" s="63" t="s">
        <v>2757</v>
      </c>
      <c r="D22" s="63" t="s">
        <v>2758</v>
      </c>
      <c r="E22" s="63" t="s">
        <v>2759</v>
      </c>
      <c r="F22" s="63" t="s">
        <v>2823</v>
      </c>
      <c r="G22" s="63" t="s">
        <v>2824</v>
      </c>
      <c r="H22" s="63" t="s">
        <v>2825</v>
      </c>
      <c r="I22" s="63" t="s">
        <v>2826</v>
      </c>
      <c r="J22" s="63" t="s">
        <v>2827</v>
      </c>
      <c r="K22" s="63" t="s">
        <v>2828</v>
      </c>
      <c r="L22" s="63" t="s">
        <v>2829</v>
      </c>
      <c r="M22" s="63" t="s">
        <v>2764</v>
      </c>
      <c r="N22" s="63" t="s">
        <v>2529</v>
      </c>
      <c r="O22" s="63" t="s">
        <v>2770</v>
      </c>
      <c r="P22" s="63" t="s">
        <v>2830</v>
      </c>
      <c r="Q22" s="63" t="s">
        <v>2831</v>
      </c>
      <c r="R22" s="63" t="s">
        <v>2832</v>
      </c>
      <c r="S22" s="63" t="s">
        <v>2833</v>
      </c>
      <c r="T22" s="63" t="s">
        <v>2834</v>
      </c>
      <c r="U22" s="63" t="s">
        <v>2835</v>
      </c>
      <c r="V22" s="61"/>
      <c r="W22" s="61"/>
    </row>
    <row r="23" spans="1:23">
      <c r="A23" s="80" t="s">
        <v>2836</v>
      </c>
      <c r="B23" s="80" t="s">
        <v>2837</v>
      </c>
      <c r="C23" s="80" t="s">
        <v>2838</v>
      </c>
      <c r="D23" s="80" t="s">
        <v>2839</v>
      </c>
      <c r="E23" s="80" t="s">
        <v>2840</v>
      </c>
      <c r="F23" s="70">
        <f>D_F01!B13</f>
        <v>800000000</v>
      </c>
      <c r="G23" s="78">
        <v>1</v>
      </c>
      <c r="H23" s="78">
        <v>0</v>
      </c>
      <c r="I23" s="78">
        <v>0</v>
      </c>
      <c r="J23" s="78">
        <v>0</v>
      </c>
      <c r="K23" s="79">
        <v>0</v>
      </c>
      <c r="L23" s="79">
        <v>0</v>
      </c>
      <c r="M23" s="79">
        <v>2</v>
      </c>
      <c r="N23" s="80" t="s">
        <v>2841</v>
      </c>
      <c r="O23" s="79">
        <v>0</v>
      </c>
      <c r="P23" s="80" t="s">
        <v>1318</v>
      </c>
      <c r="Q23" s="80" t="s">
        <v>1318</v>
      </c>
      <c r="R23" s="80" t="s">
        <v>2842</v>
      </c>
      <c r="S23" s="79">
        <v>1</v>
      </c>
      <c r="T23" s="80"/>
      <c r="U23" s="62" t="s">
        <v>2843</v>
      </c>
      <c r="V23" s="61"/>
      <c r="W23" s="61"/>
    </row>
    <row r="24" spans="1:23">
      <c r="A24" s="80" t="s">
        <v>2844</v>
      </c>
      <c r="B24" s="80" t="s">
        <v>2845</v>
      </c>
      <c r="C24" s="80" t="s">
        <v>2846</v>
      </c>
      <c r="D24" s="80" t="s">
        <v>2847</v>
      </c>
      <c r="E24" s="80" t="s">
        <v>2848</v>
      </c>
      <c r="F24" s="70">
        <f>SUMPRODUCT((F01_UC1!$J$54:$J$62="không")*(F01_UC1!$D$54:$D$62=0)*F01_UC1!$C$54:$C$62*(SUMIF(D_purchases!$C$5:$C$131,F01_UC1!$A$54:$A$62,D_purchases!$G$5:$G$131)/SUM(D_purchases!$G$5:$G$131)&lt;D_UC03!$C$14))</f>
        <v>190885852</v>
      </c>
      <c r="G24" s="78">
        <v>1</v>
      </c>
      <c r="H24" s="78">
        <v>0</v>
      </c>
      <c r="I24" s="78">
        <v>0</v>
      </c>
      <c r="J24" s="78">
        <v>0</v>
      </c>
      <c r="K24" s="79">
        <v>0</v>
      </c>
      <c r="L24" s="79">
        <v>0</v>
      </c>
      <c r="M24" s="79">
        <v>2</v>
      </c>
      <c r="N24" s="80" t="s">
        <v>2849</v>
      </c>
      <c r="O24" s="79">
        <v>1</v>
      </c>
      <c r="P24" s="80" t="s">
        <v>1318</v>
      </c>
      <c r="Q24" s="80" t="s">
        <v>1318</v>
      </c>
      <c r="R24" s="80" t="s">
        <v>2842</v>
      </c>
      <c r="S24" s="79">
        <v>1</v>
      </c>
      <c r="T24" s="80" t="s">
        <v>2850</v>
      </c>
      <c r="U24" s="62" t="s">
        <v>2851</v>
      </c>
      <c r="V24" s="61"/>
      <c r="W24" s="61"/>
    </row>
    <row r="25" spans="1:23">
      <c r="A25" s="80" t="s">
        <v>2852</v>
      </c>
      <c r="B25" s="80" t="s">
        <v>2853</v>
      </c>
      <c r="C25" s="80" t="s">
        <v>2846</v>
      </c>
      <c r="D25" s="80" t="s">
        <v>2847</v>
      </c>
      <c r="E25" s="80" t="s">
        <v>2854</v>
      </c>
      <c r="F25" s="70">
        <f>SUMIFS(F01_UC1!$C$54:$C$62,F01_UC1!$J$54:$J$62,"có",F01_UC1!$D$54:$D$62,0)</f>
        <v>456749543</v>
      </c>
      <c r="G25" s="78">
        <v>1</v>
      </c>
      <c r="H25" s="78">
        <v>0</v>
      </c>
      <c r="I25" s="78">
        <v>0</v>
      </c>
      <c r="J25" s="78">
        <v>0</v>
      </c>
      <c r="K25" s="79">
        <v>0</v>
      </c>
      <c r="L25" s="79">
        <v>0</v>
      </c>
      <c r="M25" s="79">
        <v>2</v>
      </c>
      <c r="N25" s="80" t="s">
        <v>2849</v>
      </c>
      <c r="O25" s="79">
        <v>2</v>
      </c>
      <c r="P25" s="80" t="s">
        <v>2842</v>
      </c>
      <c r="Q25" s="80" t="s">
        <v>1318</v>
      </c>
      <c r="R25" s="80" t="s">
        <v>2842</v>
      </c>
      <c r="S25" s="79">
        <v>1</v>
      </c>
      <c r="T25" s="80" t="s">
        <v>2850</v>
      </c>
      <c r="U25" s="62" t="s">
        <v>2855</v>
      </c>
      <c r="V25" s="61"/>
      <c r="W25" s="61"/>
    </row>
    <row r="26" spans="1:23">
      <c r="A26" s="80" t="s">
        <v>2856</v>
      </c>
      <c r="B26" s="80" t="s">
        <v>2857</v>
      </c>
      <c r="C26" s="80" t="s">
        <v>2858</v>
      </c>
      <c r="D26" s="80" t="s">
        <v>2859</v>
      </c>
      <c r="E26" s="80" t="s">
        <v>2860</v>
      </c>
      <c r="F26" s="70">
        <f>F01_UC1!C41-F01_UC1!F41</f>
        <v>3057605692</v>
      </c>
      <c r="G26" s="78">
        <v>1</v>
      </c>
      <c r="H26" s="78">
        <v>0</v>
      </c>
      <c r="I26" s="78">
        <v>0</v>
      </c>
      <c r="J26" s="78">
        <v>0.01</v>
      </c>
      <c r="K26" s="79">
        <v>0</v>
      </c>
      <c r="L26" s="79">
        <v>0</v>
      </c>
      <c r="M26" s="79">
        <v>5</v>
      </c>
      <c r="N26" s="80" t="s">
        <v>2861</v>
      </c>
      <c r="O26" s="79">
        <v>1</v>
      </c>
      <c r="P26" s="71" t="str">
        <f>IF(D_F01!C38="có","Y","N")</f>
        <v>N</v>
      </c>
      <c r="Q26" s="80" t="s">
        <v>1318</v>
      </c>
      <c r="R26" s="80" t="s">
        <v>2842</v>
      </c>
      <c r="S26" s="79">
        <v>1</v>
      </c>
      <c r="T26" s="80" t="s">
        <v>2862</v>
      </c>
      <c r="U26" s="62" t="s">
        <v>2863</v>
      </c>
      <c r="V26" s="61"/>
      <c r="W26" s="61"/>
    </row>
    <row r="27" spans="1:23">
      <c r="A27" s="80" t="s">
        <v>2864</v>
      </c>
      <c r="B27" s="80" t="s">
        <v>2865</v>
      </c>
      <c r="C27" s="80" t="s">
        <v>2858</v>
      </c>
      <c r="D27" s="80" t="s">
        <v>2859</v>
      </c>
      <c r="E27" s="80" t="s">
        <v>2866</v>
      </c>
      <c r="F27" s="70">
        <f>F01_UC1!C42-F01_UC1!F42</f>
        <v>1101205853</v>
      </c>
      <c r="G27" s="78">
        <v>1</v>
      </c>
      <c r="H27" s="78">
        <v>0</v>
      </c>
      <c r="I27" s="78">
        <v>0</v>
      </c>
      <c r="J27" s="78">
        <v>0.01</v>
      </c>
      <c r="K27" s="79">
        <v>0</v>
      </c>
      <c r="L27" s="79">
        <v>0</v>
      </c>
      <c r="M27" s="79">
        <v>5</v>
      </c>
      <c r="N27" s="80" t="s">
        <v>2861</v>
      </c>
      <c r="O27" s="79">
        <v>2</v>
      </c>
      <c r="P27" s="71" t="str">
        <f>IF(D_F01!C39="có","Y","N")</f>
        <v>Y</v>
      </c>
      <c r="Q27" s="80" t="s">
        <v>1318</v>
      </c>
      <c r="R27" s="80" t="s">
        <v>2842</v>
      </c>
      <c r="S27" s="79">
        <v>1</v>
      </c>
      <c r="T27" s="80" t="s">
        <v>2862</v>
      </c>
      <c r="U27" s="62" t="s">
        <v>2867</v>
      </c>
      <c r="V27" s="61"/>
      <c r="W27" s="61"/>
    </row>
    <row r="28" spans="1:23">
      <c r="A28" s="80" t="s">
        <v>2868</v>
      </c>
      <c r="B28" s="80" t="s">
        <v>2869</v>
      </c>
      <c r="C28" s="80" t="s">
        <v>2870</v>
      </c>
      <c r="D28" s="80" t="s">
        <v>2871</v>
      </c>
      <c r="E28" s="80" t="s">
        <v>2860</v>
      </c>
      <c r="F28" s="70">
        <f>F01_UC1!C41-F01_UC1!F41</f>
        <v>3057605692</v>
      </c>
      <c r="G28" s="78">
        <v>0.95</v>
      </c>
      <c r="H28" s="78">
        <v>0</v>
      </c>
      <c r="I28" s="78">
        <v>0.09</v>
      </c>
      <c r="J28" s="78">
        <v>0</v>
      </c>
      <c r="K28" s="79">
        <v>0</v>
      </c>
      <c r="L28" s="79">
        <v>21</v>
      </c>
      <c r="M28" s="79">
        <v>1</v>
      </c>
      <c r="N28" s="80" t="s">
        <v>2861</v>
      </c>
      <c r="O28" s="79">
        <v>0</v>
      </c>
      <c r="P28" s="71" t="str">
        <f>IF(D_F01!C38="có","Y","N")</f>
        <v>N</v>
      </c>
      <c r="Q28" s="80" t="s">
        <v>1318</v>
      </c>
      <c r="R28" s="80" t="s">
        <v>2842</v>
      </c>
      <c r="S28" s="79">
        <v>0</v>
      </c>
      <c r="T28" s="80" t="s">
        <v>2862</v>
      </c>
      <c r="U28" s="62" t="s">
        <v>2872</v>
      </c>
      <c r="V28" s="61"/>
      <c r="W28" s="61"/>
    </row>
    <row r="29" spans="1:23">
      <c r="A29" s="80" t="s">
        <v>2873</v>
      </c>
      <c r="B29" s="80" t="s">
        <v>2874</v>
      </c>
      <c r="C29" s="80" t="s">
        <v>2875</v>
      </c>
      <c r="D29" s="80" t="s">
        <v>2871</v>
      </c>
      <c r="E29" s="80" t="s">
        <v>2860</v>
      </c>
      <c r="F29" s="70">
        <f>F01_UC1!C41-F01_UC1!F41</f>
        <v>3057605692</v>
      </c>
      <c r="G29" s="78">
        <v>0.85</v>
      </c>
      <c r="H29" s="78">
        <v>0</v>
      </c>
      <c r="I29" s="78">
        <v>0.12</v>
      </c>
      <c r="J29" s="78">
        <v>5.0000000000000001E-3</v>
      </c>
      <c r="K29" s="79">
        <v>0</v>
      </c>
      <c r="L29" s="79">
        <v>21</v>
      </c>
      <c r="M29" s="79">
        <v>3</v>
      </c>
      <c r="N29" s="80" t="s">
        <v>2861</v>
      </c>
      <c r="O29" s="79">
        <v>1</v>
      </c>
      <c r="P29" s="71" t="str">
        <f>IF(D_F01!C38="có","Y","N")</f>
        <v>N</v>
      </c>
      <c r="Q29" s="80" t="s">
        <v>1318</v>
      </c>
      <c r="R29" s="80" t="s">
        <v>2842</v>
      </c>
      <c r="S29" s="79">
        <v>0</v>
      </c>
      <c r="T29" s="80" t="s">
        <v>2862</v>
      </c>
      <c r="U29" s="62" t="s">
        <v>2876</v>
      </c>
      <c r="V29" s="61"/>
      <c r="W29" s="61"/>
    </row>
    <row r="30" spans="1:23">
      <c r="A30" s="80" t="s">
        <v>2877</v>
      </c>
      <c r="B30" s="80" t="s">
        <v>2878</v>
      </c>
      <c r="C30" s="80" t="s">
        <v>2875</v>
      </c>
      <c r="D30" s="80" t="s">
        <v>2871</v>
      </c>
      <c r="E30" s="80" t="s">
        <v>2879</v>
      </c>
      <c r="F30" s="70">
        <f>F01_UC1!C44-F01_UC1!F44</f>
        <v>997764531</v>
      </c>
      <c r="G30" s="78">
        <v>0.8</v>
      </c>
      <c r="H30" s="78">
        <v>0</v>
      </c>
      <c r="I30" s="78">
        <v>0.13</v>
      </c>
      <c r="J30" s="78">
        <v>5.0000000000000001E-3</v>
      </c>
      <c r="K30" s="79">
        <v>0</v>
      </c>
      <c r="L30" s="79">
        <v>30</v>
      </c>
      <c r="M30" s="79">
        <v>3</v>
      </c>
      <c r="N30" s="80" t="s">
        <v>2861</v>
      </c>
      <c r="O30" s="79">
        <v>0</v>
      </c>
      <c r="P30" s="71" t="str">
        <f>IF(D_F01!C41="có","Y","N")</f>
        <v>N</v>
      </c>
      <c r="Q30" s="80" t="s">
        <v>1318</v>
      </c>
      <c r="R30" s="80" t="s">
        <v>2842</v>
      </c>
      <c r="S30" s="79">
        <v>0</v>
      </c>
      <c r="T30" s="80" t="s">
        <v>2862</v>
      </c>
      <c r="U30" s="62" t="s">
        <v>2880</v>
      </c>
      <c r="V30" s="61"/>
      <c r="W30" s="61"/>
    </row>
    <row r="31" spans="1:23">
      <c r="A31" s="80" t="s">
        <v>2881</v>
      </c>
      <c r="B31" s="80" t="s">
        <v>2882</v>
      </c>
      <c r="C31" s="80" t="s">
        <v>2883</v>
      </c>
      <c r="D31" s="80" t="s">
        <v>2871</v>
      </c>
      <c r="E31" s="80" t="s">
        <v>2884</v>
      </c>
      <c r="F31" s="70">
        <f>SUMIFS(D_inventory!$P$5:$P$37,D_inventory!$M$5:$M$37,"không",D_inventory!$S$5:$S$37,0)</f>
        <v>756460678.92780006</v>
      </c>
      <c r="G31" s="78">
        <v>0.6</v>
      </c>
      <c r="H31" s="78">
        <v>0</v>
      </c>
      <c r="I31" s="78">
        <v>0.11</v>
      </c>
      <c r="J31" s="78">
        <v>0</v>
      </c>
      <c r="K31" s="79">
        <v>0</v>
      </c>
      <c r="L31" s="79">
        <v>60</v>
      </c>
      <c r="M31" s="79">
        <v>5</v>
      </c>
      <c r="N31" s="80" t="s">
        <v>2861</v>
      </c>
      <c r="O31" s="79">
        <v>0</v>
      </c>
      <c r="P31" s="80" t="s">
        <v>1318</v>
      </c>
      <c r="Q31" s="80" t="s">
        <v>1318</v>
      </c>
      <c r="R31" s="80" t="s">
        <v>2842</v>
      </c>
      <c r="S31" s="79">
        <v>1</v>
      </c>
      <c r="T31" s="80" t="s">
        <v>2885</v>
      </c>
      <c r="U31" s="62" t="s">
        <v>2886</v>
      </c>
      <c r="V31" s="61"/>
      <c r="W31" s="61"/>
    </row>
    <row r="32" spans="1:23">
      <c r="A32" s="80" t="s">
        <v>2887</v>
      </c>
      <c r="B32" s="80" t="s">
        <v>2888</v>
      </c>
      <c r="C32" s="80" t="s">
        <v>2889</v>
      </c>
      <c r="D32" s="80" t="s">
        <v>2890</v>
      </c>
      <c r="E32" s="80" t="s">
        <v>2891</v>
      </c>
      <c r="F32" s="70">
        <f>SUMIFS(D_inventory!$P$5:$P$37,D_inventory!$M$5:$M$37,"không",D_inventory!$S$5:$S$37,1,D_inventory!$H$5:$H$37,"&lt;&gt;Đã hủy",D_inventory!$D$5:$D$37,"&lt;&gt;NVL",D_inventory!$D$5:$D$37,"&lt;&gt;BTP")</f>
        <v>60356750.094799995</v>
      </c>
      <c r="G32" s="78">
        <v>0</v>
      </c>
      <c r="H32" s="78">
        <v>0.125</v>
      </c>
      <c r="I32" s="78">
        <v>0</v>
      </c>
      <c r="J32" s="78">
        <v>0</v>
      </c>
      <c r="K32" s="79">
        <v>0</v>
      </c>
      <c r="L32" s="79">
        <v>0</v>
      </c>
      <c r="M32" s="79">
        <v>30</v>
      </c>
      <c r="N32" s="80" t="s">
        <v>2849</v>
      </c>
      <c r="O32" s="79">
        <v>1</v>
      </c>
      <c r="P32" s="80" t="s">
        <v>1318</v>
      </c>
      <c r="Q32" s="80" t="s">
        <v>1318</v>
      </c>
      <c r="R32" s="80" t="s">
        <v>2842</v>
      </c>
      <c r="S32" s="79">
        <v>1</v>
      </c>
      <c r="T32" s="80" t="s">
        <v>2885</v>
      </c>
      <c r="U32" s="62" t="s">
        <v>2892</v>
      </c>
      <c r="V32" s="61"/>
      <c r="W32" s="61"/>
    </row>
    <row r="33" spans="1:23">
      <c r="A33" s="80" t="s">
        <v>2893</v>
      </c>
      <c r="B33" s="80" t="s">
        <v>2894</v>
      </c>
      <c r="C33" s="80" t="s">
        <v>2883</v>
      </c>
      <c r="D33" s="80" t="s">
        <v>2871</v>
      </c>
      <c r="E33" s="80" t="s">
        <v>2895</v>
      </c>
      <c r="F33" s="70">
        <f>SUMIFS(D_inventory!$P$5:$P$37,D_inventory!$M$5:$M$37,"có")</f>
        <v>93950046.496219963</v>
      </c>
      <c r="G33" s="78">
        <v>0.6</v>
      </c>
      <c r="H33" s="78">
        <v>0</v>
      </c>
      <c r="I33" s="78">
        <v>0.11</v>
      </c>
      <c r="J33" s="78">
        <v>0</v>
      </c>
      <c r="K33" s="79">
        <v>0</v>
      </c>
      <c r="L33" s="79">
        <v>60</v>
      </c>
      <c r="M33" s="79">
        <v>5</v>
      </c>
      <c r="N33" s="80" t="s">
        <v>2861</v>
      </c>
      <c r="O33" s="79">
        <v>0</v>
      </c>
      <c r="P33" s="80" t="s">
        <v>1318</v>
      </c>
      <c r="Q33" s="80" t="s">
        <v>2842</v>
      </c>
      <c r="R33" s="80" t="s">
        <v>2842</v>
      </c>
      <c r="S33" s="79">
        <v>1</v>
      </c>
      <c r="T33" s="80" t="s">
        <v>2885</v>
      </c>
      <c r="U33" s="62" t="s">
        <v>2896</v>
      </c>
      <c r="V33" s="61"/>
      <c r="W33" s="61"/>
    </row>
    <row r="34" spans="1:23">
      <c r="A34" s="80" t="s">
        <v>2897</v>
      </c>
      <c r="B34" s="80" t="s">
        <v>2898</v>
      </c>
      <c r="C34" s="80" t="s">
        <v>2899</v>
      </c>
      <c r="D34" s="80" t="s">
        <v>2871</v>
      </c>
      <c r="E34" s="80" t="s">
        <v>2900</v>
      </c>
      <c r="F34" s="79">
        <v>1000000000</v>
      </c>
      <c r="G34" s="78">
        <v>1</v>
      </c>
      <c r="H34" s="78">
        <v>0</v>
      </c>
      <c r="I34" s="78">
        <v>0.1</v>
      </c>
      <c r="J34" s="78">
        <v>0</v>
      </c>
      <c r="K34" s="79">
        <v>0</v>
      </c>
      <c r="L34" s="79">
        <v>30</v>
      </c>
      <c r="M34" s="79">
        <v>1</v>
      </c>
      <c r="N34" s="80" t="s">
        <v>2841</v>
      </c>
      <c r="O34" s="79">
        <v>0</v>
      </c>
      <c r="P34" s="80" t="s">
        <v>1318</v>
      </c>
      <c r="Q34" s="80" t="s">
        <v>1318</v>
      </c>
      <c r="R34" s="80" t="s">
        <v>2842</v>
      </c>
      <c r="S34" s="79">
        <v>1</v>
      </c>
      <c r="T34" s="80"/>
      <c r="U34" s="62" t="s">
        <v>2901</v>
      </c>
      <c r="V34" s="61"/>
      <c r="W34" s="61"/>
    </row>
    <row r="35" spans="1:23">
      <c r="A35" s="80" t="s">
        <v>2902</v>
      </c>
      <c r="B35" s="80" t="s">
        <v>2903</v>
      </c>
      <c r="C35" s="80" t="s">
        <v>2899</v>
      </c>
      <c r="D35" s="80" t="s">
        <v>2871</v>
      </c>
      <c r="E35" s="80" t="s">
        <v>2904</v>
      </c>
      <c r="F35" s="79">
        <v>500000000</v>
      </c>
      <c r="G35" s="78">
        <v>1</v>
      </c>
      <c r="H35" s="78">
        <v>0</v>
      </c>
      <c r="I35" s="78">
        <v>0.12</v>
      </c>
      <c r="J35" s="78">
        <v>0</v>
      </c>
      <c r="K35" s="79">
        <v>0</v>
      </c>
      <c r="L35" s="79">
        <v>30</v>
      </c>
      <c r="M35" s="79">
        <v>2</v>
      </c>
      <c r="N35" s="80" t="s">
        <v>2841</v>
      </c>
      <c r="O35" s="79">
        <v>0</v>
      </c>
      <c r="P35" s="80" t="s">
        <v>1318</v>
      </c>
      <c r="Q35" s="80" t="s">
        <v>1318</v>
      </c>
      <c r="R35" s="80" t="s">
        <v>2842</v>
      </c>
      <c r="S35" s="79">
        <v>1</v>
      </c>
      <c r="T35" s="80"/>
      <c r="U35" s="62" t="s">
        <v>2905</v>
      </c>
      <c r="V35" s="61"/>
      <c r="W35" s="61"/>
    </row>
    <row r="36" spans="1:23">
      <c r="A36" s="80" t="s">
        <v>2906</v>
      </c>
      <c r="B36" s="80" t="s">
        <v>2907</v>
      </c>
      <c r="C36" s="80" t="s">
        <v>2899</v>
      </c>
      <c r="D36" s="80" t="s">
        <v>2871</v>
      </c>
      <c r="E36" s="80" t="s">
        <v>2908</v>
      </c>
      <c r="F36" s="79">
        <v>0</v>
      </c>
      <c r="G36" s="78">
        <v>1</v>
      </c>
      <c r="H36" s="78">
        <v>0</v>
      </c>
      <c r="I36" s="78">
        <v>0</v>
      </c>
      <c r="J36" s="78">
        <v>0</v>
      </c>
      <c r="K36" s="79">
        <v>0</v>
      </c>
      <c r="L36" s="79">
        <v>0</v>
      </c>
      <c r="M36" s="79">
        <v>0</v>
      </c>
      <c r="N36" s="80" t="s">
        <v>2841</v>
      </c>
      <c r="O36" s="79">
        <v>0</v>
      </c>
      <c r="P36" s="80" t="s">
        <v>1318</v>
      </c>
      <c r="Q36" s="80" t="s">
        <v>1318</v>
      </c>
      <c r="R36" s="80" t="s">
        <v>1318</v>
      </c>
      <c r="S36" s="79">
        <v>1</v>
      </c>
      <c r="T36" s="80"/>
      <c r="U36" s="62" t="s">
        <v>2909</v>
      </c>
      <c r="V36" s="61"/>
      <c r="W36" s="61"/>
    </row>
    <row r="37" spans="1:23">
      <c r="A37" s="61"/>
      <c r="B37" s="61"/>
      <c r="C37" s="61"/>
      <c r="D37" s="61"/>
      <c r="E37" s="61"/>
      <c r="F37" s="61"/>
      <c r="G37" s="61"/>
      <c r="H37" s="61"/>
      <c r="I37" s="61"/>
      <c r="J37" s="61"/>
      <c r="K37" s="61"/>
      <c r="L37" s="61"/>
      <c r="M37" s="61"/>
      <c r="N37" s="61"/>
      <c r="O37" s="61"/>
      <c r="P37" s="61"/>
      <c r="Q37" s="61"/>
      <c r="R37" s="61"/>
      <c r="S37" s="61"/>
      <c r="T37" s="61"/>
      <c r="U37" s="61"/>
      <c r="V37" s="61"/>
      <c r="W37" s="61"/>
    </row>
    <row r="38" spans="1:23">
      <c r="A38" s="61"/>
      <c r="B38" s="61"/>
      <c r="C38" s="61"/>
      <c r="D38" s="61"/>
      <c r="E38" s="61"/>
      <c r="F38" s="61"/>
      <c r="G38" s="61"/>
      <c r="H38" s="61"/>
      <c r="I38" s="61"/>
      <c r="J38" s="61"/>
      <c r="K38" s="61"/>
      <c r="L38" s="61"/>
      <c r="M38" s="61"/>
      <c r="N38" s="61"/>
      <c r="O38" s="61"/>
      <c r="P38" s="61"/>
      <c r="Q38" s="61"/>
      <c r="R38" s="61"/>
      <c r="S38" s="61"/>
      <c r="T38" s="61"/>
      <c r="U38" s="61"/>
      <c r="V38" s="61"/>
      <c r="W38" s="61"/>
    </row>
    <row r="39" spans="1:23">
      <c r="A39" s="60" t="s">
        <v>2910</v>
      </c>
      <c r="B39" s="61"/>
      <c r="C39" s="61"/>
      <c r="D39" s="61"/>
      <c r="E39" s="61"/>
      <c r="F39" s="61"/>
      <c r="G39" s="61"/>
      <c r="H39" s="61"/>
      <c r="I39" s="61"/>
      <c r="J39" s="61"/>
      <c r="K39" s="61"/>
      <c r="L39" s="61"/>
      <c r="M39" s="61"/>
      <c r="N39" s="61"/>
      <c r="O39" s="61"/>
      <c r="P39" s="61"/>
      <c r="Q39" s="61"/>
      <c r="R39" s="61"/>
      <c r="S39" s="61"/>
      <c r="T39" s="61"/>
      <c r="U39" s="61"/>
      <c r="V39" s="61"/>
      <c r="W39" s="61"/>
    </row>
    <row r="40" spans="1:23">
      <c r="A40" s="63" t="s">
        <v>2911</v>
      </c>
      <c r="B40" s="63" t="s">
        <v>2912</v>
      </c>
      <c r="C40" s="63" t="s">
        <v>2913</v>
      </c>
      <c r="D40" s="63" t="s">
        <v>2914</v>
      </c>
      <c r="E40" s="63" t="s">
        <v>2915</v>
      </c>
      <c r="F40" s="63" t="s">
        <v>2287</v>
      </c>
      <c r="G40" s="63" t="s">
        <v>2288</v>
      </c>
      <c r="H40" s="61"/>
      <c r="I40" s="62" t="s">
        <v>2916</v>
      </c>
      <c r="J40" s="61"/>
      <c r="K40" s="61"/>
      <c r="L40" s="61"/>
      <c r="M40" s="61"/>
      <c r="N40" s="61"/>
      <c r="O40" s="61"/>
      <c r="P40" s="61"/>
      <c r="Q40" s="61"/>
      <c r="R40" s="61"/>
      <c r="S40" s="61"/>
      <c r="T40" s="61"/>
      <c r="U40" s="61"/>
      <c r="V40" s="61"/>
      <c r="W40" s="61"/>
    </row>
    <row r="41" spans="1:23">
      <c r="A41" s="64" t="s">
        <v>2838</v>
      </c>
      <c r="B41" s="79">
        <v>0</v>
      </c>
      <c r="C41" s="79">
        <v>0</v>
      </c>
      <c r="D41" s="79">
        <v>1</v>
      </c>
      <c r="E41" s="79">
        <v>0</v>
      </c>
      <c r="F41" s="79">
        <v>0</v>
      </c>
      <c r="G41" s="79">
        <v>1</v>
      </c>
      <c r="H41" s="61"/>
      <c r="I41" s="61"/>
      <c r="J41" s="61"/>
      <c r="K41" s="61"/>
      <c r="L41" s="61"/>
      <c r="M41" s="61"/>
      <c r="N41" s="61"/>
      <c r="O41" s="61"/>
      <c r="P41" s="61"/>
      <c r="Q41" s="61"/>
      <c r="R41" s="61"/>
      <c r="S41" s="61"/>
      <c r="T41" s="61"/>
      <c r="U41" s="61"/>
      <c r="V41" s="61"/>
      <c r="W41" s="61"/>
    </row>
    <row r="42" spans="1:23">
      <c r="A42" s="64" t="s">
        <v>2846</v>
      </c>
      <c r="B42" s="79">
        <v>0</v>
      </c>
      <c r="C42" s="79">
        <v>0</v>
      </c>
      <c r="D42" s="79">
        <v>1</v>
      </c>
      <c r="E42" s="79">
        <v>1</v>
      </c>
      <c r="F42" s="79">
        <v>1</v>
      </c>
      <c r="G42" s="79">
        <v>1</v>
      </c>
      <c r="H42" s="61"/>
      <c r="I42" s="61"/>
      <c r="J42" s="61"/>
      <c r="K42" s="61"/>
      <c r="L42" s="61"/>
      <c r="M42" s="61"/>
      <c r="N42" s="61"/>
      <c r="O42" s="61"/>
      <c r="P42" s="61"/>
      <c r="Q42" s="61"/>
      <c r="R42" s="61"/>
      <c r="S42" s="61"/>
      <c r="T42" s="61"/>
      <c r="U42" s="61"/>
      <c r="V42" s="61"/>
      <c r="W42" s="61"/>
    </row>
    <row r="43" spans="1:23">
      <c r="A43" s="64" t="s">
        <v>2858</v>
      </c>
      <c r="B43" s="79">
        <v>1</v>
      </c>
      <c r="C43" s="79">
        <v>0</v>
      </c>
      <c r="D43" s="79">
        <v>0</v>
      </c>
      <c r="E43" s="79">
        <v>0</v>
      </c>
      <c r="F43" s="79">
        <v>0</v>
      </c>
      <c r="G43" s="79">
        <v>1</v>
      </c>
      <c r="H43" s="61"/>
      <c r="I43" s="61"/>
      <c r="J43" s="61"/>
      <c r="K43" s="61"/>
      <c r="L43" s="61"/>
      <c r="M43" s="61"/>
      <c r="N43" s="61"/>
      <c r="O43" s="61"/>
      <c r="P43" s="61"/>
      <c r="Q43" s="61"/>
      <c r="R43" s="61"/>
      <c r="S43" s="61"/>
      <c r="T43" s="61"/>
      <c r="U43" s="61"/>
      <c r="V43" s="61"/>
      <c r="W43" s="61"/>
    </row>
    <row r="44" spans="1:23">
      <c r="A44" s="64" t="s">
        <v>2870</v>
      </c>
      <c r="B44" s="79">
        <v>1</v>
      </c>
      <c r="C44" s="79">
        <v>0</v>
      </c>
      <c r="D44" s="79">
        <v>0</v>
      </c>
      <c r="E44" s="79">
        <v>1</v>
      </c>
      <c r="F44" s="79">
        <v>1</v>
      </c>
      <c r="G44" s="79">
        <v>1</v>
      </c>
      <c r="H44" s="61"/>
      <c r="I44" s="61"/>
      <c r="J44" s="61"/>
      <c r="K44" s="61"/>
      <c r="L44" s="61"/>
      <c r="M44" s="61"/>
      <c r="N44" s="61"/>
      <c r="O44" s="61"/>
      <c r="P44" s="61"/>
      <c r="Q44" s="61"/>
      <c r="R44" s="61"/>
      <c r="S44" s="61"/>
      <c r="T44" s="61"/>
      <c r="U44" s="61"/>
      <c r="V44" s="61"/>
      <c r="W44" s="61"/>
    </row>
    <row r="45" spans="1:23">
      <c r="A45" s="64" t="s">
        <v>2875</v>
      </c>
      <c r="B45" s="79">
        <v>1</v>
      </c>
      <c r="C45" s="79">
        <v>0</v>
      </c>
      <c r="D45" s="79">
        <v>0</v>
      </c>
      <c r="E45" s="79">
        <v>0</v>
      </c>
      <c r="F45" s="79">
        <v>1</v>
      </c>
      <c r="G45" s="79">
        <v>1</v>
      </c>
      <c r="H45" s="61"/>
      <c r="I45" s="61"/>
      <c r="J45" s="61"/>
      <c r="K45" s="61"/>
      <c r="L45" s="61"/>
      <c r="M45" s="61"/>
      <c r="N45" s="61"/>
      <c r="O45" s="61"/>
      <c r="P45" s="61"/>
      <c r="Q45" s="61"/>
      <c r="R45" s="61"/>
      <c r="S45" s="61"/>
      <c r="T45" s="61"/>
      <c r="U45" s="61"/>
      <c r="V45" s="61"/>
      <c r="W45" s="61"/>
    </row>
    <row r="46" spans="1:23">
      <c r="A46" s="64" t="s">
        <v>2883</v>
      </c>
      <c r="B46" s="79">
        <v>0</v>
      </c>
      <c r="C46" s="79">
        <v>1</v>
      </c>
      <c r="D46" s="79">
        <v>0</v>
      </c>
      <c r="E46" s="79">
        <v>0</v>
      </c>
      <c r="F46" s="79">
        <v>0</v>
      </c>
      <c r="G46" s="79">
        <v>1</v>
      </c>
      <c r="H46" s="61"/>
      <c r="I46" s="61"/>
      <c r="J46" s="61"/>
      <c r="K46" s="61"/>
      <c r="L46" s="61"/>
      <c r="M46" s="61"/>
      <c r="N46" s="61"/>
      <c r="O46" s="61"/>
      <c r="P46" s="61"/>
      <c r="Q46" s="61"/>
      <c r="R46" s="61"/>
      <c r="S46" s="61"/>
      <c r="T46" s="61"/>
      <c r="U46" s="61"/>
      <c r="V46" s="61"/>
      <c r="W46" s="61"/>
    </row>
    <row r="47" spans="1:23">
      <c r="A47" s="64" t="s">
        <v>2889</v>
      </c>
      <c r="B47" s="79">
        <v>0</v>
      </c>
      <c r="C47" s="79">
        <v>1</v>
      </c>
      <c r="D47" s="79">
        <v>0</v>
      </c>
      <c r="E47" s="79">
        <v>0</v>
      </c>
      <c r="F47" s="79">
        <v>0</v>
      </c>
      <c r="G47" s="79">
        <v>1</v>
      </c>
      <c r="H47" s="61"/>
      <c r="I47" s="61"/>
      <c r="J47" s="61"/>
      <c r="K47" s="61"/>
      <c r="L47" s="61"/>
      <c r="M47" s="61"/>
      <c r="N47" s="61"/>
      <c r="O47" s="61"/>
      <c r="P47" s="61"/>
      <c r="Q47" s="61"/>
      <c r="R47" s="61"/>
      <c r="S47" s="61"/>
      <c r="T47" s="61"/>
      <c r="U47" s="61"/>
      <c r="V47" s="61"/>
      <c r="W47" s="61"/>
    </row>
    <row r="48" spans="1:23">
      <c r="A48" s="64" t="s">
        <v>2899</v>
      </c>
      <c r="B48" s="79">
        <v>1</v>
      </c>
      <c r="C48" s="79">
        <v>1</v>
      </c>
      <c r="D48" s="79">
        <v>1</v>
      </c>
      <c r="E48" s="79">
        <v>1</v>
      </c>
      <c r="F48" s="79">
        <v>0</v>
      </c>
      <c r="G48" s="79">
        <v>1</v>
      </c>
      <c r="H48" s="61"/>
      <c r="I48" s="61"/>
      <c r="J48" s="61"/>
      <c r="K48" s="61"/>
      <c r="L48" s="61"/>
      <c r="M48" s="61"/>
      <c r="N48" s="61"/>
      <c r="O48" s="61"/>
      <c r="P48" s="61"/>
      <c r="Q48" s="61"/>
      <c r="R48" s="61"/>
      <c r="S48" s="61"/>
      <c r="T48" s="61"/>
      <c r="U48" s="61"/>
      <c r="V48" s="61"/>
      <c r="W48" s="61"/>
    </row>
    <row r="49" spans="1:23">
      <c r="A49" s="61"/>
      <c r="B49" s="61"/>
      <c r="C49" s="61"/>
      <c r="D49" s="61"/>
      <c r="E49" s="61"/>
      <c r="F49" s="61"/>
      <c r="G49" s="61"/>
      <c r="H49" s="61"/>
      <c r="I49" s="61"/>
      <c r="J49" s="61"/>
      <c r="K49" s="61"/>
      <c r="L49" s="61"/>
      <c r="M49" s="61"/>
      <c r="N49" s="61"/>
      <c r="O49" s="61"/>
      <c r="P49" s="61"/>
      <c r="Q49" s="61"/>
      <c r="R49" s="61"/>
      <c r="S49" s="61"/>
      <c r="T49" s="61"/>
      <c r="U49" s="61"/>
      <c r="V49" s="61"/>
      <c r="W49" s="61"/>
    </row>
    <row r="50" spans="1:23">
      <c r="A50" s="60" t="s">
        <v>2917</v>
      </c>
      <c r="B50" s="61"/>
      <c r="C50" s="61"/>
      <c r="D50" s="61"/>
      <c r="E50" s="61"/>
      <c r="F50" s="61"/>
      <c r="G50" s="61"/>
      <c r="H50" s="61"/>
      <c r="I50" s="61"/>
      <c r="J50" s="61"/>
      <c r="K50" s="61"/>
      <c r="L50" s="61"/>
      <c r="M50" s="61"/>
      <c r="N50" s="61"/>
      <c r="O50" s="61"/>
      <c r="P50" s="61"/>
      <c r="Q50" s="61"/>
      <c r="R50" s="61"/>
      <c r="S50" s="61"/>
      <c r="T50" s="61"/>
      <c r="U50" s="61"/>
      <c r="V50" s="61"/>
      <c r="W50" s="61"/>
    </row>
    <row r="51" spans="1:23">
      <c r="A51" s="63" t="s">
        <v>2911</v>
      </c>
      <c r="B51" s="63" t="s">
        <v>2912</v>
      </c>
      <c r="C51" s="63" t="s">
        <v>2913</v>
      </c>
      <c r="D51" s="63" t="s">
        <v>2914</v>
      </c>
      <c r="E51" s="63" t="s">
        <v>2915</v>
      </c>
      <c r="F51" s="63" t="s">
        <v>2287</v>
      </c>
      <c r="G51" s="63" t="s">
        <v>2288</v>
      </c>
      <c r="H51" s="61"/>
      <c r="I51" s="61"/>
      <c r="J51" s="61"/>
      <c r="K51" s="61"/>
      <c r="L51" s="61"/>
      <c r="M51" s="61"/>
      <c r="N51" s="61"/>
      <c r="O51" s="61"/>
      <c r="P51" s="61"/>
      <c r="Q51" s="61"/>
      <c r="R51" s="61"/>
      <c r="S51" s="61"/>
      <c r="T51" s="61"/>
      <c r="U51" s="61"/>
      <c r="V51" s="61"/>
      <c r="W51" s="61"/>
    </row>
    <row r="52" spans="1:23">
      <c r="A52" s="64" t="s">
        <v>2838</v>
      </c>
      <c r="B52" s="79">
        <v>0</v>
      </c>
      <c r="C52" s="79">
        <v>0</v>
      </c>
      <c r="D52" s="79">
        <v>1</v>
      </c>
      <c r="E52" s="79">
        <v>0</v>
      </c>
      <c r="F52" s="79">
        <v>0</v>
      </c>
      <c r="G52" s="79">
        <v>1</v>
      </c>
      <c r="H52" s="61"/>
      <c r="I52" s="61"/>
      <c r="J52" s="61"/>
      <c r="K52" s="61"/>
      <c r="L52" s="61"/>
      <c r="M52" s="61"/>
      <c r="N52" s="61"/>
      <c r="O52" s="61"/>
      <c r="P52" s="61"/>
      <c r="Q52" s="61"/>
      <c r="R52" s="61"/>
      <c r="S52" s="61"/>
      <c r="T52" s="61"/>
      <c r="U52" s="61"/>
      <c r="V52" s="61"/>
      <c r="W52" s="61"/>
    </row>
    <row r="53" spans="1:23">
      <c r="A53" s="64" t="s">
        <v>2846</v>
      </c>
      <c r="B53" s="79">
        <v>0</v>
      </c>
      <c r="C53" s="79">
        <v>0</v>
      </c>
      <c r="D53" s="79">
        <v>1</v>
      </c>
      <c r="E53" s="79">
        <v>1</v>
      </c>
      <c r="F53" s="79">
        <v>1</v>
      </c>
      <c r="G53" s="79">
        <v>1</v>
      </c>
      <c r="H53" s="61"/>
      <c r="I53" s="61"/>
      <c r="J53" s="61"/>
      <c r="K53" s="61"/>
      <c r="L53" s="61"/>
      <c r="M53" s="61"/>
      <c r="N53" s="61"/>
      <c r="O53" s="61"/>
      <c r="P53" s="61"/>
      <c r="Q53" s="61"/>
      <c r="R53" s="61"/>
      <c r="S53" s="61"/>
      <c r="T53" s="61"/>
      <c r="U53" s="61"/>
      <c r="V53" s="61"/>
      <c r="W53" s="61"/>
    </row>
    <row r="54" spans="1:23">
      <c r="A54" s="64" t="s">
        <v>2858</v>
      </c>
      <c r="B54" s="79">
        <v>1</v>
      </c>
      <c r="C54" s="79">
        <v>0</v>
      </c>
      <c r="D54" s="79">
        <v>0</v>
      </c>
      <c r="E54" s="79">
        <v>0</v>
      </c>
      <c r="F54" s="79">
        <v>0</v>
      </c>
      <c r="G54" s="79">
        <v>1</v>
      </c>
      <c r="H54" s="61"/>
      <c r="I54" s="61"/>
      <c r="J54" s="61"/>
      <c r="K54" s="61"/>
      <c r="L54" s="61"/>
      <c r="M54" s="61"/>
      <c r="N54" s="61"/>
      <c r="O54" s="61"/>
      <c r="P54" s="61"/>
      <c r="Q54" s="61"/>
      <c r="R54" s="61"/>
      <c r="S54" s="61"/>
      <c r="T54" s="61"/>
      <c r="U54" s="61"/>
      <c r="V54" s="61"/>
      <c r="W54" s="61"/>
    </row>
    <row r="55" spans="1:23">
      <c r="A55" s="64" t="s">
        <v>2870</v>
      </c>
      <c r="B55" s="79">
        <v>1</v>
      </c>
      <c r="C55" s="79">
        <v>0</v>
      </c>
      <c r="D55" s="79">
        <v>0</v>
      </c>
      <c r="E55" s="79">
        <v>1</v>
      </c>
      <c r="F55" s="79">
        <v>1</v>
      </c>
      <c r="G55" s="79">
        <v>1</v>
      </c>
      <c r="H55" s="61"/>
      <c r="I55" s="61"/>
      <c r="J55" s="61"/>
      <c r="K55" s="61"/>
      <c r="L55" s="61"/>
      <c r="M55" s="61"/>
      <c r="N55" s="61"/>
      <c r="O55" s="61"/>
      <c r="P55" s="61"/>
      <c r="Q55" s="61"/>
      <c r="R55" s="61"/>
      <c r="S55" s="61"/>
      <c r="T55" s="61"/>
      <c r="U55" s="61"/>
      <c r="V55" s="61"/>
      <c r="W55" s="61"/>
    </row>
    <row r="56" spans="1:23">
      <c r="A56" s="64" t="s">
        <v>2875</v>
      </c>
      <c r="B56" s="79">
        <v>1</v>
      </c>
      <c r="C56" s="79">
        <v>0</v>
      </c>
      <c r="D56" s="79">
        <v>0</v>
      </c>
      <c r="E56" s="79">
        <v>0</v>
      </c>
      <c r="F56" s="79">
        <v>1</v>
      </c>
      <c r="G56" s="79">
        <v>1</v>
      </c>
      <c r="H56" s="61"/>
      <c r="I56" s="61"/>
      <c r="J56" s="61"/>
      <c r="K56" s="61"/>
      <c r="L56" s="61"/>
      <c r="M56" s="61"/>
      <c r="N56" s="61"/>
      <c r="O56" s="61"/>
      <c r="P56" s="61"/>
      <c r="Q56" s="61"/>
      <c r="R56" s="61"/>
      <c r="S56" s="61"/>
      <c r="T56" s="61"/>
      <c r="U56" s="61"/>
      <c r="V56" s="61"/>
      <c r="W56" s="61"/>
    </row>
    <row r="57" spans="1:23">
      <c r="A57" s="64" t="s">
        <v>2883</v>
      </c>
      <c r="B57" s="79">
        <v>0</v>
      </c>
      <c r="C57" s="79">
        <v>1</v>
      </c>
      <c r="D57" s="79">
        <v>0</v>
      </c>
      <c r="E57" s="79">
        <v>0</v>
      </c>
      <c r="F57" s="79">
        <v>0</v>
      </c>
      <c r="G57" s="79">
        <v>1</v>
      </c>
      <c r="H57" s="61"/>
      <c r="I57" s="61"/>
      <c r="J57" s="61"/>
      <c r="K57" s="61"/>
      <c r="L57" s="61"/>
      <c r="M57" s="61"/>
      <c r="N57" s="61"/>
      <c r="O57" s="61"/>
      <c r="P57" s="61"/>
      <c r="Q57" s="61"/>
      <c r="R57" s="61"/>
      <c r="S57" s="61"/>
      <c r="T57" s="61"/>
      <c r="U57" s="61"/>
      <c r="V57" s="61"/>
      <c r="W57" s="61"/>
    </row>
    <row r="58" spans="1:23">
      <c r="A58" s="64" t="s">
        <v>2889</v>
      </c>
      <c r="B58" s="79">
        <v>0</v>
      </c>
      <c r="C58" s="79">
        <v>1</v>
      </c>
      <c r="D58" s="79">
        <v>0</v>
      </c>
      <c r="E58" s="79">
        <v>0</v>
      </c>
      <c r="F58" s="79">
        <v>0</v>
      </c>
      <c r="G58" s="79">
        <v>1</v>
      </c>
      <c r="H58" s="61"/>
      <c r="I58" s="61"/>
      <c r="J58" s="61"/>
      <c r="K58" s="61"/>
      <c r="L58" s="61"/>
      <c r="M58" s="61"/>
      <c r="N58" s="61"/>
      <c r="O58" s="61"/>
      <c r="P58" s="61"/>
      <c r="Q58" s="61"/>
      <c r="R58" s="61"/>
      <c r="S58" s="61"/>
      <c r="T58" s="61"/>
      <c r="U58" s="61"/>
      <c r="V58" s="61"/>
      <c r="W58" s="61"/>
    </row>
    <row r="59" spans="1:23">
      <c r="A59" s="64" t="s">
        <v>2899</v>
      </c>
      <c r="B59" s="79">
        <v>0</v>
      </c>
      <c r="C59" s="79">
        <v>0</v>
      </c>
      <c r="D59" s="79">
        <v>0</v>
      </c>
      <c r="E59" s="79">
        <v>0</v>
      </c>
      <c r="F59" s="79">
        <v>0</v>
      </c>
      <c r="G59" s="79">
        <v>0</v>
      </c>
      <c r="H59" s="61"/>
      <c r="I59" s="61"/>
      <c r="J59" s="61"/>
      <c r="K59" s="61"/>
      <c r="L59" s="61"/>
      <c r="M59" s="61"/>
      <c r="N59" s="61"/>
      <c r="O59" s="61"/>
      <c r="P59" s="61"/>
      <c r="Q59" s="61"/>
      <c r="R59" s="61"/>
      <c r="S59" s="61"/>
      <c r="T59" s="61"/>
      <c r="U59" s="61"/>
      <c r="V59" s="61"/>
      <c r="W59" s="61"/>
    </row>
    <row r="60" spans="1:23">
      <c r="A60" s="61"/>
      <c r="B60" s="61"/>
      <c r="C60" s="61"/>
      <c r="D60" s="61"/>
      <c r="E60" s="61"/>
      <c r="F60" s="61"/>
      <c r="G60" s="61"/>
      <c r="H60" s="61"/>
      <c r="I60" s="61"/>
      <c r="J60" s="61"/>
      <c r="K60" s="61"/>
      <c r="L60" s="61"/>
      <c r="M60" s="61"/>
      <c r="N60" s="61"/>
      <c r="O60" s="61"/>
      <c r="P60" s="61"/>
      <c r="Q60" s="61"/>
      <c r="R60" s="61"/>
      <c r="S60" s="61"/>
      <c r="T60" s="61"/>
      <c r="U60" s="61"/>
      <c r="V60" s="61"/>
      <c r="W60" s="61"/>
    </row>
    <row r="61" spans="1:23">
      <c r="A61" s="61"/>
      <c r="B61" s="61"/>
      <c r="C61" s="61"/>
      <c r="D61" s="61"/>
      <c r="E61" s="61"/>
      <c r="F61" s="61"/>
      <c r="G61" s="61"/>
      <c r="H61" s="61"/>
      <c r="I61" s="61"/>
      <c r="J61" s="61"/>
      <c r="K61" s="61"/>
      <c r="L61" s="61"/>
      <c r="M61" s="61"/>
      <c r="N61" s="61"/>
      <c r="O61" s="61"/>
      <c r="P61" s="61"/>
      <c r="Q61" s="61"/>
      <c r="R61" s="61"/>
      <c r="S61" s="61"/>
      <c r="T61" s="61"/>
      <c r="U61" s="61"/>
      <c r="V61" s="61"/>
      <c r="W61" s="61"/>
    </row>
    <row r="62" spans="1:23">
      <c r="A62" s="61"/>
      <c r="B62" s="61"/>
      <c r="C62" s="61"/>
      <c r="D62" s="61"/>
      <c r="E62" s="61"/>
      <c r="F62" s="61"/>
      <c r="G62" s="61"/>
      <c r="H62" s="61"/>
      <c r="I62" s="61"/>
      <c r="J62" s="61"/>
      <c r="K62" s="61"/>
      <c r="L62" s="61"/>
      <c r="M62" s="61"/>
      <c r="N62" s="61"/>
      <c r="O62" s="61"/>
      <c r="P62" s="61"/>
      <c r="Q62" s="61"/>
      <c r="R62" s="61"/>
      <c r="S62" s="61"/>
      <c r="T62" s="61"/>
      <c r="U62" s="61"/>
      <c r="V62" s="61"/>
      <c r="W62" s="61"/>
    </row>
    <row r="63" spans="1:23">
      <c r="A63" s="61"/>
      <c r="B63" s="61"/>
      <c r="C63" s="61"/>
      <c r="D63" s="61"/>
      <c r="E63" s="61"/>
      <c r="F63" s="61"/>
      <c r="G63" s="61"/>
      <c r="H63" s="61"/>
      <c r="I63" s="61"/>
      <c r="J63" s="61"/>
      <c r="K63" s="61"/>
      <c r="L63" s="61"/>
      <c r="M63" s="61"/>
      <c r="N63" s="61"/>
      <c r="O63" s="61"/>
      <c r="P63" s="61"/>
      <c r="Q63" s="61"/>
      <c r="R63" s="61"/>
      <c r="S63" s="61"/>
      <c r="T63" s="61"/>
      <c r="U63" s="61"/>
      <c r="V63" s="61"/>
      <c r="W63" s="61"/>
    </row>
    <row r="64" spans="1:23">
      <c r="A64" s="61"/>
      <c r="B64" s="61"/>
      <c r="C64" s="61"/>
      <c r="D64" s="61"/>
      <c r="E64" s="61"/>
      <c r="F64" s="61"/>
      <c r="G64" s="61"/>
      <c r="H64" s="61"/>
      <c r="I64" s="61"/>
      <c r="J64" s="61"/>
      <c r="K64" s="61"/>
      <c r="L64" s="61"/>
      <c r="M64" s="61"/>
      <c r="N64" s="61"/>
      <c r="O64" s="61"/>
      <c r="P64" s="61"/>
      <c r="Q64" s="61"/>
      <c r="R64" s="61"/>
      <c r="S64" s="61"/>
      <c r="T64" s="61"/>
      <c r="U64" s="61"/>
      <c r="V64" s="61"/>
      <c r="W64" s="61"/>
    </row>
    <row r="65" spans="1:23">
      <c r="A65" s="61"/>
      <c r="B65" s="61"/>
      <c r="C65" s="61"/>
      <c r="D65" s="61"/>
      <c r="E65" s="61"/>
      <c r="F65" s="61"/>
      <c r="G65" s="61"/>
      <c r="H65" s="61"/>
      <c r="I65" s="61"/>
      <c r="J65" s="61"/>
      <c r="K65" s="61"/>
      <c r="L65" s="61"/>
      <c r="M65" s="61"/>
      <c r="N65" s="61"/>
      <c r="O65" s="61"/>
      <c r="P65" s="61"/>
      <c r="Q65" s="61"/>
      <c r="R65" s="61"/>
      <c r="S65" s="61"/>
      <c r="T65" s="61"/>
      <c r="U65" s="61"/>
      <c r="V65" s="61"/>
      <c r="W65" s="61"/>
    </row>
    <row r="66" spans="1:23">
      <c r="A66" s="61"/>
      <c r="B66" s="61"/>
      <c r="C66" s="61"/>
      <c r="D66" s="61"/>
      <c r="E66" s="61"/>
      <c r="F66" s="61"/>
      <c r="G66" s="61"/>
      <c r="H66" s="61"/>
      <c r="I66" s="61"/>
      <c r="J66" s="61"/>
      <c r="K66" s="61"/>
      <c r="L66" s="61"/>
      <c r="M66" s="61"/>
      <c r="N66" s="61"/>
      <c r="O66" s="61"/>
      <c r="P66" s="61"/>
      <c r="Q66" s="61"/>
      <c r="R66" s="61"/>
      <c r="S66" s="61"/>
      <c r="T66" s="61"/>
      <c r="U66" s="61"/>
      <c r="V66" s="61"/>
      <c r="W66" s="61"/>
    </row>
    <row r="67" spans="1:23">
      <c r="A67" s="61"/>
      <c r="B67" s="61"/>
      <c r="C67" s="61"/>
      <c r="D67" s="61"/>
      <c r="E67" s="61"/>
      <c r="F67" s="61"/>
      <c r="G67" s="61"/>
      <c r="H67" s="61"/>
      <c r="I67" s="61"/>
      <c r="J67" s="61"/>
      <c r="K67" s="61"/>
      <c r="L67" s="61"/>
      <c r="M67" s="61"/>
      <c r="N67" s="61"/>
      <c r="O67" s="61"/>
      <c r="P67" s="61"/>
      <c r="Q67" s="61"/>
      <c r="R67" s="61"/>
      <c r="S67" s="61"/>
      <c r="T67" s="61"/>
      <c r="U67" s="61"/>
      <c r="V67" s="61"/>
      <c r="W67" s="61"/>
    </row>
    <row r="68" spans="1:23">
      <c r="A68" s="61"/>
      <c r="B68" s="61"/>
      <c r="C68" s="61"/>
      <c r="D68" s="61"/>
      <c r="E68" s="61"/>
      <c r="F68" s="61"/>
      <c r="G68" s="61"/>
      <c r="H68" s="61"/>
      <c r="I68" s="61"/>
      <c r="J68" s="61"/>
      <c r="K68" s="61"/>
      <c r="L68" s="61"/>
      <c r="M68" s="61"/>
      <c r="N68" s="61"/>
      <c r="O68" s="61"/>
      <c r="P68" s="61"/>
      <c r="Q68" s="61"/>
      <c r="R68" s="61"/>
      <c r="S68" s="61"/>
      <c r="T68" s="61"/>
      <c r="U68" s="61"/>
      <c r="V68" s="61"/>
      <c r="W68" s="61"/>
    </row>
    <row r="69" spans="1:23">
      <c r="A69" s="61"/>
      <c r="B69" s="61"/>
      <c r="C69" s="61"/>
      <c r="D69" s="61"/>
      <c r="E69" s="61"/>
      <c r="F69" s="61"/>
      <c r="G69" s="61"/>
      <c r="H69" s="61"/>
      <c r="I69" s="61"/>
      <c r="J69" s="61"/>
      <c r="K69" s="61"/>
      <c r="L69" s="61"/>
      <c r="M69" s="61"/>
      <c r="N69" s="61"/>
      <c r="O69" s="61"/>
      <c r="P69" s="61"/>
      <c r="Q69" s="61"/>
      <c r="R69" s="61"/>
      <c r="S69" s="61"/>
      <c r="T69" s="61"/>
      <c r="U69" s="61"/>
      <c r="V69" s="61"/>
      <c r="W69" s="61"/>
    </row>
    <row r="70" spans="1:23">
      <c r="A70" s="61"/>
      <c r="B70" s="61"/>
      <c r="C70" s="61"/>
      <c r="D70" s="61"/>
      <c r="E70" s="61"/>
      <c r="F70" s="61"/>
      <c r="G70" s="61"/>
      <c r="H70" s="61"/>
      <c r="I70" s="61"/>
      <c r="J70" s="61"/>
      <c r="K70" s="61"/>
      <c r="L70" s="61"/>
      <c r="M70" s="61"/>
      <c r="N70" s="61"/>
      <c r="O70" s="61"/>
      <c r="P70" s="61"/>
      <c r="Q70" s="61"/>
      <c r="R70" s="61"/>
      <c r="S70" s="61"/>
      <c r="T70" s="61"/>
      <c r="U70" s="61"/>
      <c r="V70" s="61"/>
      <c r="W70" s="61"/>
    </row>
    <row r="71" spans="1:23">
      <c r="A71" s="61"/>
      <c r="B71" s="61"/>
      <c r="C71" s="61"/>
      <c r="D71" s="61"/>
      <c r="E71" s="61"/>
      <c r="F71" s="61"/>
      <c r="G71" s="61"/>
      <c r="H71" s="61"/>
      <c r="I71" s="61"/>
      <c r="J71" s="61"/>
      <c r="K71" s="61"/>
      <c r="L71" s="61"/>
      <c r="M71" s="61"/>
      <c r="N71" s="61"/>
      <c r="O71" s="61"/>
      <c r="P71" s="61"/>
      <c r="Q71" s="61"/>
      <c r="R71" s="61"/>
      <c r="S71" s="61"/>
      <c r="T71" s="61"/>
      <c r="U71" s="61"/>
      <c r="V71" s="61"/>
      <c r="W71" s="61"/>
    </row>
    <row r="72" spans="1:23">
      <c r="A72" s="61"/>
      <c r="B72" s="61"/>
      <c r="C72" s="61"/>
      <c r="D72" s="61"/>
      <c r="E72" s="61"/>
      <c r="F72" s="61"/>
      <c r="G72" s="61"/>
      <c r="H72" s="61"/>
      <c r="I72" s="61"/>
      <c r="J72" s="61"/>
      <c r="K72" s="61"/>
      <c r="L72" s="61"/>
      <c r="M72" s="61"/>
      <c r="N72" s="61"/>
      <c r="O72" s="61"/>
      <c r="P72" s="61"/>
      <c r="Q72" s="61"/>
      <c r="R72" s="61"/>
      <c r="S72" s="61"/>
      <c r="T72" s="61"/>
      <c r="U72" s="61"/>
      <c r="V72" s="61"/>
      <c r="W72" s="61"/>
    </row>
    <row r="73" spans="1:23">
      <c r="A73" s="61"/>
      <c r="B73" s="61"/>
      <c r="C73" s="61"/>
      <c r="D73" s="61"/>
      <c r="E73" s="61"/>
      <c r="F73" s="61"/>
      <c r="G73" s="61"/>
      <c r="H73" s="61"/>
      <c r="I73" s="61"/>
      <c r="J73" s="61"/>
      <c r="K73" s="61"/>
      <c r="L73" s="61"/>
      <c r="M73" s="61"/>
      <c r="N73" s="61"/>
      <c r="O73" s="61"/>
      <c r="P73" s="61"/>
      <c r="Q73" s="61"/>
      <c r="R73" s="61"/>
      <c r="S73" s="61"/>
      <c r="T73" s="61"/>
      <c r="U73" s="61"/>
      <c r="V73" s="61"/>
      <c r="W73" s="61"/>
    </row>
    <row r="74" spans="1:23">
      <c r="A74" s="61"/>
      <c r="B74" s="61"/>
      <c r="C74" s="61"/>
      <c r="D74" s="61"/>
      <c r="E74" s="61"/>
      <c r="F74" s="61"/>
      <c r="G74" s="61"/>
      <c r="H74" s="61"/>
      <c r="I74" s="61"/>
      <c r="J74" s="61"/>
      <c r="K74" s="61"/>
      <c r="L74" s="61"/>
      <c r="M74" s="61"/>
      <c r="N74" s="61"/>
      <c r="O74" s="61"/>
      <c r="P74" s="61"/>
      <c r="Q74" s="61"/>
      <c r="R74" s="61"/>
      <c r="S74" s="61"/>
      <c r="T74" s="61"/>
      <c r="U74" s="61"/>
      <c r="V74" s="61"/>
      <c r="W74" s="61"/>
    </row>
    <row r="75" spans="1:23">
      <c r="A75" s="61"/>
      <c r="B75" s="61"/>
      <c r="C75" s="61"/>
      <c r="D75" s="61"/>
      <c r="E75" s="61"/>
      <c r="F75" s="61"/>
      <c r="G75" s="61"/>
      <c r="H75" s="61"/>
      <c r="I75" s="61"/>
      <c r="J75" s="61"/>
      <c r="K75" s="61"/>
      <c r="L75" s="61"/>
      <c r="M75" s="61"/>
      <c r="N75" s="61"/>
      <c r="O75" s="61"/>
      <c r="P75" s="61"/>
      <c r="Q75" s="61"/>
      <c r="R75" s="61"/>
      <c r="S75" s="61"/>
      <c r="T75" s="61"/>
      <c r="U75" s="61"/>
      <c r="V75" s="61"/>
      <c r="W75" s="61"/>
    </row>
    <row r="76" spans="1:23">
      <c r="A76" s="61"/>
      <c r="B76" s="61"/>
      <c r="C76" s="61"/>
      <c r="D76" s="61"/>
      <c r="E76" s="61"/>
      <c r="F76" s="61"/>
      <c r="G76" s="61"/>
      <c r="H76" s="61"/>
      <c r="I76" s="61"/>
      <c r="J76" s="61"/>
      <c r="K76" s="61"/>
      <c r="L76" s="61"/>
      <c r="M76" s="61"/>
      <c r="N76" s="61"/>
      <c r="O76" s="61"/>
      <c r="P76" s="61"/>
      <c r="Q76" s="61"/>
      <c r="R76" s="61"/>
      <c r="S76" s="61"/>
      <c r="T76" s="61"/>
      <c r="U76" s="61"/>
      <c r="V76" s="61"/>
      <c r="W76" s="61"/>
    </row>
    <row r="77" spans="1:23">
      <c r="A77" s="61"/>
      <c r="B77" s="61"/>
      <c r="C77" s="61"/>
      <c r="D77" s="61"/>
      <c r="E77" s="61"/>
      <c r="F77" s="61"/>
      <c r="G77" s="61"/>
      <c r="H77" s="61"/>
      <c r="I77" s="61"/>
      <c r="J77" s="61"/>
      <c r="K77" s="61"/>
      <c r="L77" s="61"/>
      <c r="M77" s="61"/>
      <c r="N77" s="61"/>
      <c r="O77" s="61"/>
      <c r="P77" s="61"/>
      <c r="Q77" s="61"/>
      <c r="R77" s="61"/>
      <c r="S77" s="61"/>
      <c r="T77" s="61"/>
      <c r="U77" s="61"/>
      <c r="V77" s="61"/>
      <c r="W77" s="61"/>
    </row>
    <row r="78" spans="1:23">
      <c r="A78" s="61"/>
      <c r="B78" s="61"/>
      <c r="C78" s="61"/>
      <c r="D78" s="61"/>
      <c r="E78" s="61"/>
      <c r="F78" s="61"/>
      <c r="G78" s="61"/>
      <c r="H78" s="61"/>
      <c r="I78" s="61"/>
      <c r="J78" s="61"/>
      <c r="K78" s="61"/>
      <c r="L78" s="61"/>
      <c r="M78" s="61"/>
      <c r="N78" s="61"/>
      <c r="O78" s="61"/>
      <c r="P78" s="61"/>
      <c r="Q78" s="61"/>
      <c r="R78" s="61"/>
      <c r="S78" s="61"/>
      <c r="T78" s="61"/>
      <c r="U78" s="61"/>
      <c r="V78" s="61"/>
      <c r="W78" s="61"/>
    </row>
    <row r="79" spans="1:23">
      <c r="A79" s="61"/>
      <c r="B79" s="61"/>
      <c r="C79" s="61"/>
      <c r="D79" s="61"/>
      <c r="E79" s="61"/>
      <c r="F79" s="61"/>
      <c r="G79" s="61"/>
      <c r="H79" s="61"/>
      <c r="I79" s="61"/>
      <c r="J79" s="61"/>
      <c r="K79" s="61"/>
      <c r="L79" s="61"/>
      <c r="M79" s="61"/>
      <c r="N79" s="61"/>
      <c r="O79" s="61"/>
      <c r="P79" s="61"/>
      <c r="Q79" s="61"/>
      <c r="R79" s="61"/>
      <c r="S79" s="61"/>
      <c r="T79" s="61"/>
      <c r="U79" s="61"/>
      <c r="V79" s="61"/>
      <c r="W79" s="61"/>
    </row>
    <row r="80" spans="1:23">
      <c r="A80" s="61"/>
      <c r="B80" s="61"/>
      <c r="C80" s="61"/>
      <c r="D80" s="61"/>
      <c r="E80" s="61"/>
      <c r="F80" s="61"/>
      <c r="G80" s="61"/>
      <c r="H80" s="61"/>
      <c r="I80" s="61"/>
      <c r="J80" s="61"/>
      <c r="K80" s="61"/>
      <c r="L80" s="61"/>
      <c r="M80" s="61"/>
      <c r="N80" s="61"/>
      <c r="O80" s="61"/>
      <c r="P80" s="61"/>
      <c r="Q80" s="61"/>
      <c r="R80" s="61"/>
      <c r="S80" s="61"/>
      <c r="T80" s="61"/>
      <c r="U80" s="61"/>
      <c r="V80" s="61"/>
      <c r="W80" s="61"/>
    </row>
    <row r="81" spans="1:23">
      <c r="A81" s="61"/>
      <c r="B81" s="61"/>
      <c r="C81" s="61"/>
      <c r="D81" s="61"/>
      <c r="E81" s="61"/>
      <c r="F81" s="61"/>
      <c r="G81" s="61"/>
      <c r="H81" s="61"/>
      <c r="I81" s="61"/>
      <c r="J81" s="61"/>
      <c r="K81" s="61"/>
      <c r="L81" s="61"/>
      <c r="M81" s="61"/>
      <c r="N81" s="61"/>
      <c r="O81" s="61"/>
      <c r="P81" s="61"/>
      <c r="Q81" s="61"/>
      <c r="R81" s="61"/>
      <c r="S81" s="61"/>
      <c r="T81" s="61"/>
      <c r="U81" s="61"/>
      <c r="V81" s="61"/>
      <c r="W81" s="6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C9A59-6B86-4F11-83E9-F2C8938AF171}">
  <dimension ref="A2:AA115"/>
  <sheetViews>
    <sheetView showGridLines="0" workbookViewId="0">
      <pane xSplit="3" ySplit="4" topLeftCell="D5" activePane="bottomRight" state="frozen"/>
      <selection pane="topRight"/>
      <selection pane="bottomLeft"/>
      <selection pane="bottomRight" activeCell="D5" sqref="D5"/>
    </sheetView>
  </sheetViews>
  <sheetFormatPr defaultRowHeight="13.8"/>
  <cols>
    <col min="1" max="1" width="21" customWidth="1"/>
    <col min="2" max="2" width="10" customWidth="1"/>
    <col min="3" max="3" width="21" customWidth="1"/>
    <col min="4" max="4" width="37" customWidth="1"/>
    <col min="5" max="5" width="23" customWidth="1"/>
    <col min="6" max="6" width="24" customWidth="1"/>
    <col min="7" max="9" width="17" customWidth="1"/>
    <col min="10" max="10" width="13" customWidth="1"/>
    <col min="11" max="12" width="12" customWidth="1"/>
    <col min="13" max="26" width="22" customWidth="1"/>
    <col min="27" max="27" width="26" customWidth="1"/>
  </cols>
  <sheetData>
    <row r="2" spans="1:27" ht="17.399999999999999" customHeight="1">
      <c r="A2" s="2" t="s">
        <v>1422</v>
      </c>
    </row>
    <row r="4" spans="1:27" ht="34.049999999999997" customHeight="1">
      <c r="A4" s="4" t="s">
        <v>1423</v>
      </c>
      <c r="B4" s="4" t="s">
        <v>1311</v>
      </c>
      <c r="C4" s="4" t="s">
        <v>1375</v>
      </c>
      <c r="D4" s="4" t="s">
        <v>1424</v>
      </c>
      <c r="E4" s="4" t="s">
        <v>1425</v>
      </c>
      <c r="F4" s="4" t="s">
        <v>1426</v>
      </c>
      <c r="G4" s="4" t="s">
        <v>1427</v>
      </c>
      <c r="H4" s="4" t="s">
        <v>1428</v>
      </c>
      <c r="I4" s="4" t="s">
        <v>1429</v>
      </c>
      <c r="J4" s="4" t="s">
        <v>1430</v>
      </c>
      <c r="K4" s="4" t="s">
        <v>1431</v>
      </c>
      <c r="L4" s="4" t="s">
        <v>1432</v>
      </c>
      <c r="M4" s="4" t="s">
        <v>1433</v>
      </c>
      <c r="N4" s="4" t="s">
        <v>1434</v>
      </c>
      <c r="O4" s="4" t="s">
        <v>1107</v>
      </c>
      <c r="P4" s="4" t="s">
        <v>1435</v>
      </c>
      <c r="Q4" s="4" t="s">
        <v>1436</v>
      </c>
      <c r="R4" s="4" t="s">
        <v>1437</v>
      </c>
      <c r="S4" s="4" t="s">
        <v>1438</v>
      </c>
      <c r="T4" s="4" t="s">
        <v>1439</v>
      </c>
      <c r="U4" s="4" t="s">
        <v>1440</v>
      </c>
      <c r="V4" s="4" t="s">
        <v>1441</v>
      </c>
      <c r="W4" s="4" t="s">
        <v>1442</v>
      </c>
      <c r="X4" s="4" t="s">
        <v>1443</v>
      </c>
      <c r="Y4" s="4" t="s">
        <v>1444</v>
      </c>
      <c r="Z4" s="4" t="s">
        <v>1445</v>
      </c>
      <c r="AA4" s="28" t="s">
        <v>1446</v>
      </c>
    </row>
    <row r="5" spans="1:27" ht="25.95" customHeight="1">
      <c r="A5" s="11" t="s">
        <v>1447</v>
      </c>
      <c r="B5" s="11" t="s">
        <v>1312</v>
      </c>
      <c r="C5" s="11" t="s">
        <v>952</v>
      </c>
      <c r="D5" s="11" t="s">
        <v>953</v>
      </c>
      <c r="E5" s="11" t="s">
        <v>1448</v>
      </c>
      <c r="F5" s="15">
        <v>184272868</v>
      </c>
      <c r="G5" s="13">
        <v>46023</v>
      </c>
      <c r="H5" s="13">
        <v>46068</v>
      </c>
      <c r="I5" s="13">
        <v>46090</v>
      </c>
      <c r="J5" s="11">
        <v>45</v>
      </c>
      <c r="K5" s="11" t="s">
        <v>1350</v>
      </c>
      <c r="L5" s="11" t="s">
        <v>1449</v>
      </c>
      <c r="M5" s="3">
        <f>IF(AND(G5&lt;=D_F01!$B$7,OR(NOT(ISNUMBER(I5)),I5&gt;D_F01!$B$7),L5&lt;&gt;"cancelled"),1,0)</f>
        <v>0</v>
      </c>
      <c r="N5" s="8">
        <f t="shared" ref="N5:N36" si="0">F5*M5</f>
        <v>0</v>
      </c>
      <c r="O5" s="3">
        <f>IF(M5=1,MAX(0,D_F01!$B$7-H5),0)</f>
        <v>0</v>
      </c>
      <c r="P5" s="3">
        <f>IF(AND(ISNUMBER(I5),I5&lt;=D_F01!$B$7),I5-H5,0)</f>
        <v>22</v>
      </c>
      <c r="Q5" s="3">
        <f t="shared" ref="Q5:Q36" si="1">MAX(0,P5)</f>
        <v>22</v>
      </c>
      <c r="R5" s="3">
        <f>IF(AND(ISNUMBER(I5),I5&gt;D_F01!$B$7-D_F01!$B$25,I5&lt;=D_F01!$B$7),1,0)</f>
        <v>1</v>
      </c>
      <c r="S5" s="3">
        <f t="shared" ref="S5:S36" si="2">R5*F5*Q5</f>
        <v>4054003096</v>
      </c>
      <c r="T5" s="3">
        <f t="shared" ref="T5:T36" si="3">R5*F5</f>
        <v>184272868</v>
      </c>
      <c r="U5" s="3">
        <f>IF(AND(H5&gt;D_F01!$B$7-D_F01!$B$25,H5&lt;=D_F01!$B$7),IF(M5=1,O5,Q5),0)</f>
        <v>22</v>
      </c>
      <c r="V5" s="3">
        <f t="shared" ref="V5:V36" si="4">F5*W5</f>
        <v>184272868</v>
      </c>
      <c r="W5" s="3">
        <f>IF(AND(H5&gt;D_F01!$B$7-D_F01!$B$25,H5&lt;=D_F01!$B$7,L5&lt;&gt;"cancelled"),1,0)</f>
        <v>1</v>
      </c>
      <c r="X5" s="3">
        <f t="shared" ref="X5:X36" si="5">V5*U5</f>
        <v>4054003096</v>
      </c>
      <c r="Y5" s="3">
        <f t="shared" ref="Y5:Y36" si="6">M5*W5</f>
        <v>0</v>
      </c>
      <c r="Z5" s="3">
        <f t="shared" ref="Z5:Z36" si="7">R5*F5*P5</f>
        <v>4054003096</v>
      </c>
      <c r="AA5">
        <f t="shared" ref="AA5:AA36" si="8">T5*J5</f>
        <v>8292279060</v>
      </c>
    </row>
    <row r="6" spans="1:27" ht="25.95" customHeight="1">
      <c r="A6" s="14" t="s">
        <v>1450</v>
      </c>
      <c r="B6" s="14" t="s">
        <v>1312</v>
      </c>
      <c r="C6" s="14" t="s">
        <v>956</v>
      </c>
      <c r="D6" s="14" t="s">
        <v>957</v>
      </c>
      <c r="E6" s="14" t="s">
        <v>1451</v>
      </c>
      <c r="F6" s="16">
        <v>265753755</v>
      </c>
      <c r="G6" s="12">
        <v>46023</v>
      </c>
      <c r="H6" s="12">
        <v>46053</v>
      </c>
      <c r="I6" s="12">
        <v>46063</v>
      </c>
      <c r="J6" s="14">
        <v>30</v>
      </c>
      <c r="K6" s="14" t="s">
        <v>1350</v>
      </c>
      <c r="L6" s="14" t="s">
        <v>1449</v>
      </c>
      <c r="M6" s="5">
        <f>IF(AND(G6&lt;=D_F01!$B$7,OR(NOT(ISNUMBER(I6)),I6&gt;D_F01!$B$7),L6&lt;&gt;"cancelled"),1,0)</f>
        <v>0</v>
      </c>
      <c r="N6" s="9">
        <f t="shared" si="0"/>
        <v>0</v>
      </c>
      <c r="O6" s="5">
        <f>IF(M6=1,MAX(0,D_F01!$B$7-H6),0)</f>
        <v>0</v>
      </c>
      <c r="P6" s="5">
        <f>IF(AND(ISNUMBER(I6),I6&lt;=D_F01!$B$7),I6-H6,0)</f>
        <v>10</v>
      </c>
      <c r="Q6" s="5">
        <f t="shared" si="1"/>
        <v>10</v>
      </c>
      <c r="R6" s="5">
        <f>IF(AND(ISNUMBER(I6),I6&gt;D_F01!$B$7-D_F01!$B$25,I6&lt;=D_F01!$B$7),1,0)</f>
        <v>1</v>
      </c>
      <c r="S6" s="5">
        <f t="shared" si="2"/>
        <v>2657537550</v>
      </c>
      <c r="T6" s="5">
        <f t="shared" si="3"/>
        <v>265753755</v>
      </c>
      <c r="U6" s="5">
        <f>IF(AND(H6&gt;D_F01!$B$7-D_F01!$B$25,H6&lt;=D_F01!$B$7),IF(M6=1,O6,Q6),0)</f>
        <v>10</v>
      </c>
      <c r="V6" s="5">
        <f t="shared" si="4"/>
        <v>265753755</v>
      </c>
      <c r="W6" s="5">
        <f>IF(AND(H6&gt;D_F01!$B$7-D_F01!$B$25,H6&lt;=D_F01!$B$7,L6&lt;&gt;"cancelled"),1,0)</f>
        <v>1</v>
      </c>
      <c r="X6" s="5">
        <f t="shared" si="5"/>
        <v>2657537550</v>
      </c>
      <c r="Y6" s="5">
        <f t="shared" si="6"/>
        <v>0</v>
      </c>
      <c r="Z6" s="5">
        <f t="shared" si="7"/>
        <v>2657537550</v>
      </c>
      <c r="AA6">
        <f t="shared" si="8"/>
        <v>7972612650</v>
      </c>
    </row>
    <row r="7" spans="1:27" ht="25.95" customHeight="1">
      <c r="A7" s="11" t="s">
        <v>1452</v>
      </c>
      <c r="B7" s="11" t="s">
        <v>1312</v>
      </c>
      <c r="C7" s="11" t="s">
        <v>960</v>
      </c>
      <c r="D7" s="11" t="s">
        <v>961</v>
      </c>
      <c r="E7" s="11" t="s">
        <v>1453</v>
      </c>
      <c r="F7" s="15">
        <v>257859640</v>
      </c>
      <c r="G7" s="13">
        <v>46023</v>
      </c>
      <c r="H7" s="13">
        <v>46053</v>
      </c>
      <c r="I7" s="13">
        <v>46056</v>
      </c>
      <c r="J7" s="11">
        <v>30</v>
      </c>
      <c r="K7" s="11" t="s">
        <v>1350</v>
      </c>
      <c r="L7" s="11" t="s">
        <v>1449</v>
      </c>
      <c r="M7" s="3">
        <f>IF(AND(G7&lt;=D_F01!$B$7,OR(NOT(ISNUMBER(I7)),I7&gt;D_F01!$B$7),L7&lt;&gt;"cancelled"),1,0)</f>
        <v>0</v>
      </c>
      <c r="N7" s="8">
        <f t="shared" si="0"/>
        <v>0</v>
      </c>
      <c r="O7" s="3">
        <f>IF(M7=1,MAX(0,D_F01!$B$7-H7),0)</f>
        <v>0</v>
      </c>
      <c r="P7" s="3">
        <f>IF(AND(ISNUMBER(I7),I7&lt;=D_F01!$B$7),I7-H7,0)</f>
        <v>3</v>
      </c>
      <c r="Q7" s="3">
        <f t="shared" si="1"/>
        <v>3</v>
      </c>
      <c r="R7" s="3">
        <f>IF(AND(ISNUMBER(I7),I7&gt;D_F01!$B$7-D_F01!$B$25,I7&lt;=D_F01!$B$7),1,0)</f>
        <v>1</v>
      </c>
      <c r="S7" s="3">
        <f t="shared" si="2"/>
        <v>773578920</v>
      </c>
      <c r="T7" s="3">
        <f t="shared" si="3"/>
        <v>257859640</v>
      </c>
      <c r="U7" s="3">
        <f>IF(AND(H7&gt;D_F01!$B$7-D_F01!$B$25,H7&lt;=D_F01!$B$7),IF(M7=1,O7,Q7),0)</f>
        <v>3</v>
      </c>
      <c r="V7" s="3">
        <f t="shared" si="4"/>
        <v>257859640</v>
      </c>
      <c r="W7" s="3">
        <f>IF(AND(H7&gt;D_F01!$B$7-D_F01!$B$25,H7&lt;=D_F01!$B$7,L7&lt;&gt;"cancelled"),1,0)</f>
        <v>1</v>
      </c>
      <c r="X7" s="3">
        <f t="shared" si="5"/>
        <v>773578920</v>
      </c>
      <c r="Y7" s="3">
        <f t="shared" si="6"/>
        <v>0</v>
      </c>
      <c r="Z7" s="3">
        <f t="shared" si="7"/>
        <v>773578920</v>
      </c>
      <c r="AA7">
        <f t="shared" si="8"/>
        <v>7735789200</v>
      </c>
    </row>
    <row r="8" spans="1:27" ht="25.95" customHeight="1">
      <c r="A8" s="14" t="s">
        <v>1454</v>
      </c>
      <c r="B8" s="14" t="s">
        <v>1312</v>
      </c>
      <c r="C8" s="14" t="s">
        <v>968</v>
      </c>
      <c r="D8" s="14" t="s">
        <v>969</v>
      </c>
      <c r="E8" s="14" t="s">
        <v>1455</v>
      </c>
      <c r="F8" s="16">
        <v>107080450</v>
      </c>
      <c r="G8" s="12">
        <v>46023</v>
      </c>
      <c r="H8" s="12">
        <v>46053</v>
      </c>
      <c r="I8" s="12">
        <v>46052</v>
      </c>
      <c r="J8" s="14">
        <v>30</v>
      </c>
      <c r="K8" s="14" t="s">
        <v>1350</v>
      </c>
      <c r="L8" s="14" t="s">
        <v>1449</v>
      </c>
      <c r="M8" s="5">
        <f>IF(AND(G8&lt;=D_F01!$B$7,OR(NOT(ISNUMBER(I8)),I8&gt;D_F01!$B$7),L8&lt;&gt;"cancelled"),1,0)</f>
        <v>0</v>
      </c>
      <c r="N8" s="9">
        <f t="shared" si="0"/>
        <v>0</v>
      </c>
      <c r="O8" s="5">
        <f>IF(M8=1,MAX(0,D_F01!$B$7-H8),0)</f>
        <v>0</v>
      </c>
      <c r="P8" s="5">
        <f>IF(AND(ISNUMBER(I8),I8&lt;=D_F01!$B$7),I8-H8,0)</f>
        <v>-1</v>
      </c>
      <c r="Q8" s="5">
        <f t="shared" si="1"/>
        <v>0</v>
      </c>
      <c r="R8" s="5">
        <f>IF(AND(ISNUMBER(I8),I8&gt;D_F01!$B$7-D_F01!$B$25,I8&lt;=D_F01!$B$7),1,0)</f>
        <v>1</v>
      </c>
      <c r="S8" s="5">
        <f t="shared" si="2"/>
        <v>0</v>
      </c>
      <c r="T8" s="5">
        <f t="shared" si="3"/>
        <v>107080450</v>
      </c>
      <c r="U8" s="5">
        <f>IF(AND(H8&gt;D_F01!$B$7-D_F01!$B$25,H8&lt;=D_F01!$B$7),IF(M8=1,O8,Q8),0)</f>
        <v>0</v>
      </c>
      <c r="V8" s="5">
        <f t="shared" si="4"/>
        <v>107080450</v>
      </c>
      <c r="W8" s="5">
        <f>IF(AND(H8&gt;D_F01!$B$7-D_F01!$B$25,H8&lt;=D_F01!$B$7,L8&lt;&gt;"cancelled"),1,0)</f>
        <v>1</v>
      </c>
      <c r="X8" s="5">
        <f t="shared" si="5"/>
        <v>0</v>
      </c>
      <c r="Y8" s="5">
        <f t="shared" si="6"/>
        <v>0</v>
      </c>
      <c r="Z8" s="5">
        <f t="shared" si="7"/>
        <v>-107080450</v>
      </c>
      <c r="AA8">
        <f t="shared" si="8"/>
        <v>3212413500</v>
      </c>
    </row>
    <row r="9" spans="1:27" ht="25.95" customHeight="1">
      <c r="A9" s="11" t="s">
        <v>1456</v>
      </c>
      <c r="B9" s="11" t="s">
        <v>1312</v>
      </c>
      <c r="C9" s="11" t="s">
        <v>956</v>
      </c>
      <c r="D9" s="11" t="s">
        <v>957</v>
      </c>
      <c r="E9" s="11" t="s">
        <v>1451</v>
      </c>
      <c r="F9" s="15">
        <v>216541016</v>
      </c>
      <c r="G9" s="13">
        <v>46023</v>
      </c>
      <c r="H9" s="13">
        <v>46053</v>
      </c>
      <c r="I9" s="13">
        <v>46057</v>
      </c>
      <c r="J9" s="11">
        <v>30</v>
      </c>
      <c r="K9" s="11" t="s">
        <v>1350</v>
      </c>
      <c r="L9" s="11" t="s">
        <v>1449</v>
      </c>
      <c r="M9" s="3">
        <f>IF(AND(G9&lt;=D_F01!$B$7,OR(NOT(ISNUMBER(I9)),I9&gt;D_F01!$B$7),L9&lt;&gt;"cancelled"),1,0)</f>
        <v>0</v>
      </c>
      <c r="N9" s="8">
        <f t="shared" si="0"/>
        <v>0</v>
      </c>
      <c r="O9" s="3">
        <f>IF(M9=1,MAX(0,D_F01!$B$7-H9),0)</f>
        <v>0</v>
      </c>
      <c r="P9" s="3">
        <f>IF(AND(ISNUMBER(I9),I9&lt;=D_F01!$B$7),I9-H9,0)</f>
        <v>4</v>
      </c>
      <c r="Q9" s="3">
        <f t="shared" si="1"/>
        <v>4</v>
      </c>
      <c r="R9" s="3">
        <f>IF(AND(ISNUMBER(I9),I9&gt;D_F01!$B$7-D_F01!$B$25,I9&lt;=D_F01!$B$7),1,0)</f>
        <v>1</v>
      </c>
      <c r="S9" s="3">
        <f t="shared" si="2"/>
        <v>866164064</v>
      </c>
      <c r="T9" s="3">
        <f t="shared" si="3"/>
        <v>216541016</v>
      </c>
      <c r="U9" s="3">
        <f>IF(AND(H9&gt;D_F01!$B$7-D_F01!$B$25,H9&lt;=D_F01!$B$7),IF(M9=1,O9,Q9),0)</f>
        <v>4</v>
      </c>
      <c r="V9" s="3">
        <f t="shared" si="4"/>
        <v>216541016</v>
      </c>
      <c r="W9" s="3">
        <f>IF(AND(H9&gt;D_F01!$B$7-D_F01!$B$25,H9&lt;=D_F01!$B$7,L9&lt;&gt;"cancelled"),1,0)</f>
        <v>1</v>
      </c>
      <c r="X9" s="3">
        <f t="shared" si="5"/>
        <v>866164064</v>
      </c>
      <c r="Y9" s="3">
        <f t="shared" si="6"/>
        <v>0</v>
      </c>
      <c r="Z9" s="3">
        <f t="shared" si="7"/>
        <v>866164064</v>
      </c>
      <c r="AA9">
        <f t="shared" si="8"/>
        <v>6496230480</v>
      </c>
    </row>
    <row r="10" spans="1:27" ht="25.95" customHeight="1">
      <c r="A10" s="14" t="s">
        <v>1457</v>
      </c>
      <c r="B10" s="14" t="s">
        <v>1312</v>
      </c>
      <c r="C10" s="14" t="s">
        <v>966</v>
      </c>
      <c r="D10" s="14" t="s">
        <v>967</v>
      </c>
      <c r="E10" s="14" t="s">
        <v>1458</v>
      </c>
      <c r="F10" s="16">
        <v>87314125</v>
      </c>
      <c r="G10" s="12">
        <v>46023</v>
      </c>
      <c r="H10" s="12">
        <v>46053</v>
      </c>
      <c r="I10" s="12">
        <v>46053</v>
      </c>
      <c r="J10" s="14">
        <v>30</v>
      </c>
      <c r="K10" s="14" t="s">
        <v>1350</v>
      </c>
      <c r="L10" s="14" t="s">
        <v>1449</v>
      </c>
      <c r="M10" s="5">
        <f>IF(AND(G10&lt;=D_F01!$B$7,OR(NOT(ISNUMBER(I10)),I10&gt;D_F01!$B$7),L10&lt;&gt;"cancelled"),1,0)</f>
        <v>0</v>
      </c>
      <c r="N10" s="9">
        <f t="shared" si="0"/>
        <v>0</v>
      </c>
      <c r="O10" s="5">
        <f>IF(M10=1,MAX(0,D_F01!$B$7-H10),0)</f>
        <v>0</v>
      </c>
      <c r="P10" s="5">
        <f>IF(AND(ISNUMBER(I10),I10&lt;=D_F01!$B$7),I10-H10,0)</f>
        <v>0</v>
      </c>
      <c r="Q10" s="5">
        <f t="shared" si="1"/>
        <v>0</v>
      </c>
      <c r="R10" s="5">
        <f>IF(AND(ISNUMBER(I10),I10&gt;D_F01!$B$7-D_F01!$B$25,I10&lt;=D_F01!$B$7),1,0)</f>
        <v>1</v>
      </c>
      <c r="S10" s="5">
        <f t="shared" si="2"/>
        <v>0</v>
      </c>
      <c r="T10" s="5">
        <f t="shared" si="3"/>
        <v>87314125</v>
      </c>
      <c r="U10" s="5">
        <f>IF(AND(H10&gt;D_F01!$B$7-D_F01!$B$25,H10&lt;=D_F01!$B$7),IF(M10=1,O10,Q10),0)</f>
        <v>0</v>
      </c>
      <c r="V10" s="5">
        <f t="shared" si="4"/>
        <v>87314125</v>
      </c>
      <c r="W10" s="5">
        <f>IF(AND(H10&gt;D_F01!$B$7-D_F01!$B$25,H10&lt;=D_F01!$B$7,L10&lt;&gt;"cancelled"),1,0)</f>
        <v>1</v>
      </c>
      <c r="X10" s="5">
        <f t="shared" si="5"/>
        <v>0</v>
      </c>
      <c r="Y10" s="5">
        <f t="shared" si="6"/>
        <v>0</v>
      </c>
      <c r="Z10" s="5">
        <f t="shared" si="7"/>
        <v>0</v>
      </c>
      <c r="AA10">
        <f t="shared" si="8"/>
        <v>2619423750</v>
      </c>
    </row>
    <row r="11" spans="1:27" ht="25.95" customHeight="1">
      <c r="A11" s="11" t="s">
        <v>1459</v>
      </c>
      <c r="B11" s="11" t="s">
        <v>1312</v>
      </c>
      <c r="C11" s="11" t="s">
        <v>954</v>
      </c>
      <c r="D11" s="11" t="s">
        <v>955</v>
      </c>
      <c r="E11" s="11" t="s">
        <v>1460</v>
      </c>
      <c r="F11" s="15">
        <v>214982057</v>
      </c>
      <c r="G11" s="13">
        <v>46023</v>
      </c>
      <c r="H11" s="13">
        <v>46053</v>
      </c>
      <c r="I11" s="13">
        <v>46055</v>
      </c>
      <c r="J11" s="11">
        <v>30</v>
      </c>
      <c r="K11" s="11" t="s">
        <v>1350</v>
      </c>
      <c r="L11" s="11" t="s">
        <v>1449</v>
      </c>
      <c r="M11" s="3">
        <f>IF(AND(G11&lt;=D_F01!$B$7,OR(NOT(ISNUMBER(I11)),I11&gt;D_F01!$B$7),L11&lt;&gt;"cancelled"),1,0)</f>
        <v>0</v>
      </c>
      <c r="N11" s="8">
        <f t="shared" si="0"/>
        <v>0</v>
      </c>
      <c r="O11" s="3">
        <f>IF(M11=1,MAX(0,D_F01!$B$7-H11),0)</f>
        <v>0</v>
      </c>
      <c r="P11" s="3">
        <f>IF(AND(ISNUMBER(I11),I11&lt;=D_F01!$B$7),I11-H11,0)</f>
        <v>2</v>
      </c>
      <c r="Q11" s="3">
        <f t="shared" si="1"/>
        <v>2</v>
      </c>
      <c r="R11" s="3">
        <f>IF(AND(ISNUMBER(I11),I11&gt;D_F01!$B$7-D_F01!$B$25,I11&lt;=D_F01!$B$7),1,0)</f>
        <v>1</v>
      </c>
      <c r="S11" s="3">
        <f t="shared" si="2"/>
        <v>429964114</v>
      </c>
      <c r="T11" s="3">
        <f t="shared" si="3"/>
        <v>214982057</v>
      </c>
      <c r="U11" s="3">
        <f>IF(AND(H11&gt;D_F01!$B$7-D_F01!$B$25,H11&lt;=D_F01!$B$7),IF(M11=1,O11,Q11),0)</f>
        <v>2</v>
      </c>
      <c r="V11" s="3">
        <f t="shared" si="4"/>
        <v>214982057</v>
      </c>
      <c r="W11" s="3">
        <f>IF(AND(H11&gt;D_F01!$B$7-D_F01!$B$25,H11&lt;=D_F01!$B$7,L11&lt;&gt;"cancelled"),1,0)</f>
        <v>1</v>
      </c>
      <c r="X11" s="3">
        <f t="shared" si="5"/>
        <v>429964114</v>
      </c>
      <c r="Y11" s="3">
        <f t="shared" si="6"/>
        <v>0</v>
      </c>
      <c r="Z11" s="3">
        <f t="shared" si="7"/>
        <v>429964114</v>
      </c>
      <c r="AA11">
        <f t="shared" si="8"/>
        <v>6449461710</v>
      </c>
    </row>
    <row r="12" spans="1:27" ht="40.049999999999997" customHeight="1">
      <c r="A12" s="14" t="s">
        <v>1461</v>
      </c>
      <c r="B12" s="14" t="s">
        <v>1312</v>
      </c>
      <c r="C12" s="14" t="s">
        <v>958</v>
      </c>
      <c r="D12" s="14" t="s">
        <v>959</v>
      </c>
      <c r="E12" s="14" t="s">
        <v>1462</v>
      </c>
      <c r="F12" s="16">
        <v>1140492983</v>
      </c>
      <c r="G12" s="12">
        <v>46023</v>
      </c>
      <c r="H12" s="12">
        <v>46068</v>
      </c>
      <c r="I12" s="12">
        <v>46071</v>
      </c>
      <c r="J12" s="14">
        <v>45</v>
      </c>
      <c r="K12" s="14" t="s">
        <v>1350</v>
      </c>
      <c r="L12" s="14" t="s">
        <v>1449</v>
      </c>
      <c r="M12" s="5">
        <f>IF(AND(G12&lt;=D_F01!$B$7,OR(NOT(ISNUMBER(I12)),I12&gt;D_F01!$B$7),L12&lt;&gt;"cancelled"),1,0)</f>
        <v>0</v>
      </c>
      <c r="N12" s="9">
        <f t="shared" si="0"/>
        <v>0</v>
      </c>
      <c r="O12" s="5">
        <f>IF(M12=1,MAX(0,D_F01!$B$7-H12),0)</f>
        <v>0</v>
      </c>
      <c r="P12" s="5">
        <f>IF(AND(ISNUMBER(I12),I12&lt;=D_F01!$B$7),I12-H12,0)</f>
        <v>3</v>
      </c>
      <c r="Q12" s="5">
        <f t="shared" si="1"/>
        <v>3</v>
      </c>
      <c r="R12" s="5">
        <f>IF(AND(ISNUMBER(I12),I12&gt;D_F01!$B$7-D_F01!$B$25,I12&lt;=D_F01!$B$7),1,0)</f>
        <v>1</v>
      </c>
      <c r="S12" s="5">
        <f t="shared" si="2"/>
        <v>3421478949</v>
      </c>
      <c r="T12" s="5">
        <f t="shared" si="3"/>
        <v>1140492983</v>
      </c>
      <c r="U12" s="5">
        <f>IF(AND(H12&gt;D_F01!$B$7-D_F01!$B$25,H12&lt;=D_F01!$B$7),IF(M12=1,O12,Q12),0)</f>
        <v>3</v>
      </c>
      <c r="V12" s="5">
        <f t="shared" si="4"/>
        <v>1140492983</v>
      </c>
      <c r="W12" s="5">
        <f>IF(AND(H12&gt;D_F01!$B$7-D_F01!$B$25,H12&lt;=D_F01!$B$7,L12&lt;&gt;"cancelled"),1,0)</f>
        <v>1</v>
      </c>
      <c r="X12" s="5">
        <f t="shared" si="5"/>
        <v>3421478949</v>
      </c>
      <c r="Y12" s="5">
        <f t="shared" si="6"/>
        <v>0</v>
      </c>
      <c r="Z12" s="5">
        <f t="shared" si="7"/>
        <v>3421478949</v>
      </c>
      <c r="AA12">
        <f t="shared" si="8"/>
        <v>51322184235</v>
      </c>
    </row>
    <row r="13" spans="1:27" ht="25.95" customHeight="1">
      <c r="A13" s="11" t="s">
        <v>1463</v>
      </c>
      <c r="B13" s="11" t="s">
        <v>1312</v>
      </c>
      <c r="C13" s="11" t="s">
        <v>962</v>
      </c>
      <c r="D13" s="11" t="s">
        <v>963</v>
      </c>
      <c r="E13" s="11" t="s">
        <v>1464</v>
      </c>
      <c r="F13" s="15">
        <v>105941824</v>
      </c>
      <c r="G13" s="13">
        <v>46028</v>
      </c>
      <c r="H13" s="13">
        <v>46058</v>
      </c>
      <c r="I13" s="13">
        <v>46054</v>
      </c>
      <c r="J13" s="11">
        <v>30</v>
      </c>
      <c r="K13" s="11" t="s">
        <v>1350</v>
      </c>
      <c r="L13" s="11" t="s">
        <v>1449</v>
      </c>
      <c r="M13" s="3">
        <f>IF(AND(G13&lt;=D_F01!$B$7,OR(NOT(ISNUMBER(I13)),I13&gt;D_F01!$B$7),L13&lt;&gt;"cancelled"),1,0)</f>
        <v>0</v>
      </c>
      <c r="N13" s="8">
        <f t="shared" si="0"/>
        <v>0</v>
      </c>
      <c r="O13" s="3">
        <f>IF(M13=1,MAX(0,D_F01!$B$7-H13),0)</f>
        <v>0</v>
      </c>
      <c r="P13" s="3">
        <f>IF(AND(ISNUMBER(I13),I13&lt;=D_F01!$B$7),I13-H13,0)</f>
        <v>-4</v>
      </c>
      <c r="Q13" s="3">
        <f t="shared" si="1"/>
        <v>0</v>
      </c>
      <c r="R13" s="3">
        <f>IF(AND(ISNUMBER(I13),I13&gt;D_F01!$B$7-D_F01!$B$25,I13&lt;=D_F01!$B$7),1,0)</f>
        <v>1</v>
      </c>
      <c r="S13" s="3">
        <f t="shared" si="2"/>
        <v>0</v>
      </c>
      <c r="T13" s="3">
        <f t="shared" si="3"/>
        <v>105941824</v>
      </c>
      <c r="U13" s="3">
        <f>IF(AND(H13&gt;D_F01!$B$7-D_F01!$B$25,H13&lt;=D_F01!$B$7),IF(M13=1,O13,Q13),0)</f>
        <v>0</v>
      </c>
      <c r="V13" s="3">
        <f t="shared" si="4"/>
        <v>105941824</v>
      </c>
      <c r="W13" s="3">
        <f>IF(AND(H13&gt;D_F01!$B$7-D_F01!$B$25,H13&lt;=D_F01!$B$7,L13&lt;&gt;"cancelled"),1,0)</f>
        <v>1</v>
      </c>
      <c r="X13" s="3">
        <f t="shared" si="5"/>
        <v>0</v>
      </c>
      <c r="Y13" s="3">
        <f t="shared" si="6"/>
        <v>0</v>
      </c>
      <c r="Z13" s="3">
        <f t="shared" si="7"/>
        <v>-423767296</v>
      </c>
      <c r="AA13">
        <f t="shared" si="8"/>
        <v>3178254720</v>
      </c>
    </row>
    <row r="14" spans="1:27" ht="25.95" customHeight="1">
      <c r="A14" s="14" t="s">
        <v>1465</v>
      </c>
      <c r="B14" s="14" t="s">
        <v>1312</v>
      </c>
      <c r="C14" s="14" t="s">
        <v>954</v>
      </c>
      <c r="D14" s="14" t="s">
        <v>955</v>
      </c>
      <c r="E14" s="14" t="s">
        <v>1466</v>
      </c>
      <c r="F14" s="16">
        <v>447797259</v>
      </c>
      <c r="G14" s="12">
        <v>46029</v>
      </c>
      <c r="H14" s="12">
        <v>46059</v>
      </c>
      <c r="I14" s="12">
        <v>46059</v>
      </c>
      <c r="J14" s="14">
        <v>30</v>
      </c>
      <c r="K14" s="14" t="s">
        <v>1350</v>
      </c>
      <c r="L14" s="14" t="s">
        <v>1449</v>
      </c>
      <c r="M14" s="5">
        <f>IF(AND(G14&lt;=D_F01!$B$7,OR(NOT(ISNUMBER(I14)),I14&gt;D_F01!$B$7),L14&lt;&gt;"cancelled"),1,0)</f>
        <v>0</v>
      </c>
      <c r="N14" s="9">
        <f t="shared" si="0"/>
        <v>0</v>
      </c>
      <c r="O14" s="5">
        <f>IF(M14=1,MAX(0,D_F01!$B$7-H14),0)</f>
        <v>0</v>
      </c>
      <c r="P14" s="5">
        <f>IF(AND(ISNUMBER(I14),I14&lt;=D_F01!$B$7),I14-H14,0)</f>
        <v>0</v>
      </c>
      <c r="Q14" s="5">
        <f t="shared" si="1"/>
        <v>0</v>
      </c>
      <c r="R14" s="5">
        <f>IF(AND(ISNUMBER(I14),I14&gt;D_F01!$B$7-D_F01!$B$25,I14&lt;=D_F01!$B$7),1,0)</f>
        <v>1</v>
      </c>
      <c r="S14" s="5">
        <f t="shared" si="2"/>
        <v>0</v>
      </c>
      <c r="T14" s="5">
        <f t="shared" si="3"/>
        <v>447797259</v>
      </c>
      <c r="U14" s="5">
        <f>IF(AND(H14&gt;D_F01!$B$7-D_F01!$B$25,H14&lt;=D_F01!$B$7),IF(M14=1,O14,Q14),0)</f>
        <v>0</v>
      </c>
      <c r="V14" s="5">
        <f t="shared" si="4"/>
        <v>447797259</v>
      </c>
      <c r="W14" s="5">
        <f>IF(AND(H14&gt;D_F01!$B$7-D_F01!$B$25,H14&lt;=D_F01!$B$7,L14&lt;&gt;"cancelled"),1,0)</f>
        <v>1</v>
      </c>
      <c r="X14" s="5">
        <f t="shared" si="5"/>
        <v>0</v>
      </c>
      <c r="Y14" s="5">
        <f t="shared" si="6"/>
        <v>0</v>
      </c>
      <c r="Z14" s="5">
        <f t="shared" si="7"/>
        <v>0</v>
      </c>
      <c r="AA14">
        <f t="shared" si="8"/>
        <v>13433917770</v>
      </c>
    </row>
    <row r="15" spans="1:27" ht="25.95" customHeight="1">
      <c r="A15" s="11" t="s">
        <v>1467</v>
      </c>
      <c r="B15" s="11" t="s">
        <v>1312</v>
      </c>
      <c r="C15" s="11" t="s">
        <v>968</v>
      </c>
      <c r="D15" s="11" t="s">
        <v>969</v>
      </c>
      <c r="E15" s="11" t="s">
        <v>1468</v>
      </c>
      <c r="F15" s="15">
        <v>70275536</v>
      </c>
      <c r="G15" s="13">
        <v>46031</v>
      </c>
      <c r="H15" s="13">
        <v>46061</v>
      </c>
      <c r="I15" s="13">
        <v>46056</v>
      </c>
      <c r="J15" s="11">
        <v>30</v>
      </c>
      <c r="K15" s="11" t="s">
        <v>1350</v>
      </c>
      <c r="L15" s="11" t="s">
        <v>1449</v>
      </c>
      <c r="M15" s="3">
        <f>IF(AND(G15&lt;=D_F01!$B$7,OR(NOT(ISNUMBER(I15)),I15&gt;D_F01!$B$7),L15&lt;&gt;"cancelled"),1,0)</f>
        <v>0</v>
      </c>
      <c r="N15" s="8">
        <f t="shared" si="0"/>
        <v>0</v>
      </c>
      <c r="O15" s="3">
        <f>IF(M15=1,MAX(0,D_F01!$B$7-H15),0)</f>
        <v>0</v>
      </c>
      <c r="P15" s="3">
        <f>IF(AND(ISNUMBER(I15),I15&lt;=D_F01!$B$7),I15-H15,0)</f>
        <v>-5</v>
      </c>
      <c r="Q15" s="3">
        <f t="shared" si="1"/>
        <v>0</v>
      </c>
      <c r="R15" s="3">
        <f>IF(AND(ISNUMBER(I15),I15&gt;D_F01!$B$7-D_F01!$B$25,I15&lt;=D_F01!$B$7),1,0)</f>
        <v>1</v>
      </c>
      <c r="S15" s="3">
        <f t="shared" si="2"/>
        <v>0</v>
      </c>
      <c r="T15" s="3">
        <f t="shared" si="3"/>
        <v>70275536</v>
      </c>
      <c r="U15" s="3">
        <f>IF(AND(H15&gt;D_F01!$B$7-D_F01!$B$25,H15&lt;=D_F01!$B$7),IF(M15=1,O15,Q15),0)</f>
        <v>0</v>
      </c>
      <c r="V15" s="3">
        <f t="shared" si="4"/>
        <v>70275536</v>
      </c>
      <c r="W15" s="3">
        <f>IF(AND(H15&gt;D_F01!$B$7-D_F01!$B$25,H15&lt;=D_F01!$B$7,L15&lt;&gt;"cancelled"),1,0)</f>
        <v>1</v>
      </c>
      <c r="X15" s="3">
        <f t="shared" si="5"/>
        <v>0</v>
      </c>
      <c r="Y15" s="3">
        <f t="shared" si="6"/>
        <v>0</v>
      </c>
      <c r="Z15" s="3">
        <f t="shared" si="7"/>
        <v>-351377680</v>
      </c>
      <c r="AA15">
        <f t="shared" si="8"/>
        <v>2108266080</v>
      </c>
    </row>
    <row r="16" spans="1:27" ht="25.95" customHeight="1">
      <c r="A16" s="14" t="s">
        <v>1469</v>
      </c>
      <c r="B16" s="14" t="s">
        <v>1312</v>
      </c>
      <c r="C16" s="14" t="s">
        <v>954</v>
      </c>
      <c r="D16" s="14" t="s">
        <v>955</v>
      </c>
      <c r="E16" s="14" t="s">
        <v>1470</v>
      </c>
      <c r="F16" s="16">
        <v>297989979</v>
      </c>
      <c r="G16" s="12">
        <v>46032</v>
      </c>
      <c r="H16" s="12">
        <v>46062</v>
      </c>
      <c r="I16" s="12">
        <v>46064</v>
      </c>
      <c r="J16" s="14">
        <v>30</v>
      </c>
      <c r="K16" s="14" t="s">
        <v>1350</v>
      </c>
      <c r="L16" s="14" t="s">
        <v>1449</v>
      </c>
      <c r="M16" s="5">
        <f>IF(AND(G16&lt;=D_F01!$B$7,OR(NOT(ISNUMBER(I16)),I16&gt;D_F01!$B$7),L16&lt;&gt;"cancelled"),1,0)</f>
        <v>0</v>
      </c>
      <c r="N16" s="9">
        <f t="shared" si="0"/>
        <v>0</v>
      </c>
      <c r="O16" s="5">
        <f>IF(M16=1,MAX(0,D_F01!$B$7-H16),0)</f>
        <v>0</v>
      </c>
      <c r="P16" s="5">
        <f>IF(AND(ISNUMBER(I16),I16&lt;=D_F01!$B$7),I16-H16,0)</f>
        <v>2</v>
      </c>
      <c r="Q16" s="5">
        <f t="shared" si="1"/>
        <v>2</v>
      </c>
      <c r="R16" s="5">
        <f>IF(AND(ISNUMBER(I16),I16&gt;D_F01!$B$7-D_F01!$B$25,I16&lt;=D_F01!$B$7),1,0)</f>
        <v>1</v>
      </c>
      <c r="S16" s="5">
        <f t="shared" si="2"/>
        <v>595979958</v>
      </c>
      <c r="T16" s="5">
        <f t="shared" si="3"/>
        <v>297989979</v>
      </c>
      <c r="U16" s="5">
        <f>IF(AND(H16&gt;D_F01!$B$7-D_F01!$B$25,H16&lt;=D_F01!$B$7),IF(M16=1,O16,Q16),0)</f>
        <v>2</v>
      </c>
      <c r="V16" s="5">
        <f t="shared" si="4"/>
        <v>297989979</v>
      </c>
      <c r="W16" s="5">
        <f>IF(AND(H16&gt;D_F01!$B$7-D_F01!$B$25,H16&lt;=D_F01!$B$7,L16&lt;&gt;"cancelled"),1,0)</f>
        <v>1</v>
      </c>
      <c r="X16" s="5">
        <f t="shared" si="5"/>
        <v>595979958</v>
      </c>
      <c r="Y16" s="5">
        <f t="shared" si="6"/>
        <v>0</v>
      </c>
      <c r="Z16" s="5">
        <f t="shared" si="7"/>
        <v>595979958</v>
      </c>
      <c r="AA16">
        <f t="shared" si="8"/>
        <v>8939699370</v>
      </c>
    </row>
    <row r="17" spans="1:27" ht="25.95" customHeight="1">
      <c r="A17" s="11" t="s">
        <v>1471</v>
      </c>
      <c r="B17" s="11" t="s">
        <v>1312</v>
      </c>
      <c r="C17" s="11" t="s">
        <v>952</v>
      </c>
      <c r="D17" s="11" t="s">
        <v>953</v>
      </c>
      <c r="E17" s="11" t="s">
        <v>1472</v>
      </c>
      <c r="F17" s="15">
        <v>322124581</v>
      </c>
      <c r="G17" s="13">
        <v>46035</v>
      </c>
      <c r="H17" s="13">
        <v>46080</v>
      </c>
      <c r="I17" s="13">
        <v>46109</v>
      </c>
      <c r="J17" s="11">
        <v>45</v>
      </c>
      <c r="K17" s="11" t="s">
        <v>1350</v>
      </c>
      <c r="L17" s="11" t="s">
        <v>1449</v>
      </c>
      <c r="M17" s="3">
        <f>IF(AND(G17&lt;=D_F01!$B$7,OR(NOT(ISNUMBER(I17)),I17&gt;D_F01!$B$7),L17&lt;&gt;"cancelled"),1,0)</f>
        <v>0</v>
      </c>
      <c r="N17" s="8">
        <f t="shared" si="0"/>
        <v>0</v>
      </c>
      <c r="O17" s="3">
        <f>IF(M17=1,MAX(0,D_F01!$B$7-H17),0)</f>
        <v>0</v>
      </c>
      <c r="P17" s="3">
        <f>IF(AND(ISNUMBER(I17),I17&lt;=D_F01!$B$7),I17-H17,0)</f>
        <v>29</v>
      </c>
      <c r="Q17" s="3">
        <f t="shared" si="1"/>
        <v>29</v>
      </c>
      <c r="R17" s="3">
        <f>IF(AND(ISNUMBER(I17),I17&gt;D_F01!$B$7-D_F01!$B$25,I17&lt;=D_F01!$B$7),1,0)</f>
        <v>1</v>
      </c>
      <c r="S17" s="3">
        <f t="shared" si="2"/>
        <v>9341612849</v>
      </c>
      <c r="T17" s="3">
        <f t="shared" si="3"/>
        <v>322124581</v>
      </c>
      <c r="U17" s="3">
        <f>IF(AND(H17&gt;D_F01!$B$7-D_F01!$B$25,H17&lt;=D_F01!$B$7),IF(M17=1,O17,Q17),0)</f>
        <v>29</v>
      </c>
      <c r="V17" s="3">
        <f t="shared" si="4"/>
        <v>322124581</v>
      </c>
      <c r="W17" s="3">
        <f>IF(AND(H17&gt;D_F01!$B$7-D_F01!$B$25,H17&lt;=D_F01!$B$7,L17&lt;&gt;"cancelled"),1,0)</f>
        <v>1</v>
      </c>
      <c r="X17" s="3">
        <f t="shared" si="5"/>
        <v>9341612849</v>
      </c>
      <c r="Y17" s="3">
        <f t="shared" si="6"/>
        <v>0</v>
      </c>
      <c r="Z17" s="3">
        <f t="shared" si="7"/>
        <v>9341612849</v>
      </c>
      <c r="AA17">
        <f t="shared" si="8"/>
        <v>14495606145</v>
      </c>
    </row>
    <row r="18" spans="1:27" ht="25.95" customHeight="1">
      <c r="A18" s="14" t="s">
        <v>1473</v>
      </c>
      <c r="B18" s="14" t="s">
        <v>1312</v>
      </c>
      <c r="C18" s="14" t="s">
        <v>952</v>
      </c>
      <c r="D18" s="14" t="s">
        <v>953</v>
      </c>
      <c r="E18" s="14" t="s">
        <v>1474</v>
      </c>
      <c r="F18" s="16">
        <v>231910686</v>
      </c>
      <c r="G18" s="12">
        <v>46036</v>
      </c>
      <c r="H18" s="12">
        <v>46081</v>
      </c>
      <c r="I18" s="12">
        <v>46099</v>
      </c>
      <c r="J18" s="14">
        <v>45</v>
      </c>
      <c r="K18" s="14" t="s">
        <v>1350</v>
      </c>
      <c r="L18" s="14" t="s">
        <v>1449</v>
      </c>
      <c r="M18" s="5">
        <f>IF(AND(G18&lt;=D_F01!$B$7,OR(NOT(ISNUMBER(I18)),I18&gt;D_F01!$B$7),L18&lt;&gt;"cancelled"),1,0)</f>
        <v>0</v>
      </c>
      <c r="N18" s="9">
        <f t="shared" si="0"/>
        <v>0</v>
      </c>
      <c r="O18" s="5">
        <f>IF(M18=1,MAX(0,D_F01!$B$7-H18),0)</f>
        <v>0</v>
      </c>
      <c r="P18" s="5">
        <f>IF(AND(ISNUMBER(I18),I18&lt;=D_F01!$B$7),I18-H18,0)</f>
        <v>18</v>
      </c>
      <c r="Q18" s="5">
        <f t="shared" si="1"/>
        <v>18</v>
      </c>
      <c r="R18" s="5">
        <f>IF(AND(ISNUMBER(I18),I18&gt;D_F01!$B$7-D_F01!$B$25,I18&lt;=D_F01!$B$7),1,0)</f>
        <v>1</v>
      </c>
      <c r="S18" s="5">
        <f t="shared" si="2"/>
        <v>4174392348</v>
      </c>
      <c r="T18" s="5">
        <f t="shared" si="3"/>
        <v>231910686</v>
      </c>
      <c r="U18" s="5">
        <f>IF(AND(H18&gt;D_F01!$B$7-D_F01!$B$25,H18&lt;=D_F01!$B$7),IF(M18=1,O18,Q18),0)</f>
        <v>18</v>
      </c>
      <c r="V18" s="5">
        <f t="shared" si="4"/>
        <v>231910686</v>
      </c>
      <c r="W18" s="5">
        <f>IF(AND(H18&gt;D_F01!$B$7-D_F01!$B$25,H18&lt;=D_F01!$B$7,L18&lt;&gt;"cancelled"),1,0)</f>
        <v>1</v>
      </c>
      <c r="X18" s="5">
        <f t="shared" si="5"/>
        <v>4174392348</v>
      </c>
      <c r="Y18" s="5">
        <f t="shared" si="6"/>
        <v>0</v>
      </c>
      <c r="Z18" s="5">
        <f t="shared" si="7"/>
        <v>4174392348</v>
      </c>
      <c r="AA18">
        <f t="shared" si="8"/>
        <v>10435980870</v>
      </c>
    </row>
    <row r="19" spans="1:27" ht="25.95" customHeight="1">
      <c r="A19" s="11" t="s">
        <v>1475</v>
      </c>
      <c r="B19" s="11" t="s">
        <v>1312</v>
      </c>
      <c r="C19" s="11" t="s">
        <v>960</v>
      </c>
      <c r="D19" s="11" t="s">
        <v>961</v>
      </c>
      <c r="E19" s="11" t="s">
        <v>1476</v>
      </c>
      <c r="F19" s="15">
        <v>106557249</v>
      </c>
      <c r="G19" s="13">
        <v>46039</v>
      </c>
      <c r="H19" s="13">
        <v>46069</v>
      </c>
      <c r="I19" s="13">
        <v>46067</v>
      </c>
      <c r="J19" s="11">
        <v>30</v>
      </c>
      <c r="K19" s="11" t="s">
        <v>1350</v>
      </c>
      <c r="L19" s="11" t="s">
        <v>1449</v>
      </c>
      <c r="M19" s="3">
        <f>IF(AND(G19&lt;=D_F01!$B$7,OR(NOT(ISNUMBER(I19)),I19&gt;D_F01!$B$7),L19&lt;&gt;"cancelled"),1,0)</f>
        <v>0</v>
      </c>
      <c r="N19" s="8">
        <f t="shared" si="0"/>
        <v>0</v>
      </c>
      <c r="O19" s="3">
        <f>IF(M19=1,MAX(0,D_F01!$B$7-H19),0)</f>
        <v>0</v>
      </c>
      <c r="P19" s="3">
        <f>IF(AND(ISNUMBER(I19),I19&lt;=D_F01!$B$7),I19-H19,0)</f>
        <v>-2</v>
      </c>
      <c r="Q19" s="3">
        <f t="shared" si="1"/>
        <v>0</v>
      </c>
      <c r="R19" s="3">
        <f>IF(AND(ISNUMBER(I19),I19&gt;D_F01!$B$7-D_F01!$B$25,I19&lt;=D_F01!$B$7),1,0)</f>
        <v>1</v>
      </c>
      <c r="S19" s="3">
        <f t="shared" si="2"/>
        <v>0</v>
      </c>
      <c r="T19" s="3">
        <f t="shared" si="3"/>
        <v>106557249</v>
      </c>
      <c r="U19" s="3">
        <f>IF(AND(H19&gt;D_F01!$B$7-D_F01!$B$25,H19&lt;=D_F01!$B$7),IF(M19=1,O19,Q19),0)</f>
        <v>0</v>
      </c>
      <c r="V19" s="3">
        <f t="shared" si="4"/>
        <v>106557249</v>
      </c>
      <c r="W19" s="3">
        <f>IF(AND(H19&gt;D_F01!$B$7-D_F01!$B$25,H19&lt;=D_F01!$B$7,L19&lt;&gt;"cancelled"),1,0)</f>
        <v>1</v>
      </c>
      <c r="X19" s="3">
        <f t="shared" si="5"/>
        <v>0</v>
      </c>
      <c r="Y19" s="3">
        <f t="shared" si="6"/>
        <v>0</v>
      </c>
      <c r="Z19" s="3">
        <f t="shared" si="7"/>
        <v>-213114498</v>
      </c>
      <c r="AA19">
        <f t="shared" si="8"/>
        <v>3196717470</v>
      </c>
    </row>
    <row r="20" spans="1:27" ht="25.95" customHeight="1">
      <c r="A20" s="14" t="s">
        <v>1477</v>
      </c>
      <c r="B20" s="14" t="s">
        <v>1312</v>
      </c>
      <c r="C20" s="14" t="s">
        <v>956</v>
      </c>
      <c r="D20" s="14" t="s">
        <v>957</v>
      </c>
      <c r="E20" s="14" t="s">
        <v>1478</v>
      </c>
      <c r="F20" s="16">
        <v>173134913</v>
      </c>
      <c r="G20" s="12">
        <v>46040</v>
      </c>
      <c r="H20" s="12">
        <v>46070</v>
      </c>
      <c r="I20" s="12">
        <v>46075</v>
      </c>
      <c r="J20" s="14">
        <v>30</v>
      </c>
      <c r="K20" s="14" t="s">
        <v>1350</v>
      </c>
      <c r="L20" s="14" t="s">
        <v>1449</v>
      </c>
      <c r="M20" s="5">
        <f>IF(AND(G20&lt;=D_F01!$B$7,OR(NOT(ISNUMBER(I20)),I20&gt;D_F01!$B$7),L20&lt;&gt;"cancelled"),1,0)</f>
        <v>0</v>
      </c>
      <c r="N20" s="9">
        <f t="shared" si="0"/>
        <v>0</v>
      </c>
      <c r="O20" s="5">
        <f>IF(M20=1,MAX(0,D_F01!$B$7-H20),0)</f>
        <v>0</v>
      </c>
      <c r="P20" s="5">
        <f>IF(AND(ISNUMBER(I20),I20&lt;=D_F01!$B$7),I20-H20,0)</f>
        <v>5</v>
      </c>
      <c r="Q20" s="5">
        <f t="shared" si="1"/>
        <v>5</v>
      </c>
      <c r="R20" s="5">
        <f>IF(AND(ISNUMBER(I20),I20&gt;D_F01!$B$7-D_F01!$B$25,I20&lt;=D_F01!$B$7),1,0)</f>
        <v>1</v>
      </c>
      <c r="S20" s="5">
        <f t="shared" si="2"/>
        <v>865674565</v>
      </c>
      <c r="T20" s="5">
        <f t="shared" si="3"/>
        <v>173134913</v>
      </c>
      <c r="U20" s="5">
        <f>IF(AND(H20&gt;D_F01!$B$7-D_F01!$B$25,H20&lt;=D_F01!$B$7),IF(M20=1,O20,Q20),0)</f>
        <v>5</v>
      </c>
      <c r="V20" s="5">
        <f t="shared" si="4"/>
        <v>173134913</v>
      </c>
      <c r="W20" s="5">
        <f>IF(AND(H20&gt;D_F01!$B$7-D_F01!$B$25,H20&lt;=D_F01!$B$7,L20&lt;&gt;"cancelled"),1,0)</f>
        <v>1</v>
      </c>
      <c r="X20" s="5">
        <f t="shared" si="5"/>
        <v>865674565</v>
      </c>
      <c r="Y20" s="5">
        <f t="shared" si="6"/>
        <v>0</v>
      </c>
      <c r="Z20" s="5">
        <f t="shared" si="7"/>
        <v>865674565</v>
      </c>
      <c r="AA20">
        <f t="shared" si="8"/>
        <v>5194047390</v>
      </c>
    </row>
    <row r="21" spans="1:27" ht="25.95" customHeight="1">
      <c r="A21" s="11" t="s">
        <v>1479</v>
      </c>
      <c r="B21" s="11" t="s">
        <v>1312</v>
      </c>
      <c r="C21" s="11" t="s">
        <v>954</v>
      </c>
      <c r="D21" s="11" t="s">
        <v>955</v>
      </c>
      <c r="E21" s="11" t="s">
        <v>1480</v>
      </c>
      <c r="F21" s="15">
        <v>304387209</v>
      </c>
      <c r="G21" s="13">
        <v>46041</v>
      </c>
      <c r="H21" s="13">
        <v>46071</v>
      </c>
      <c r="I21" s="13">
        <v>46076</v>
      </c>
      <c r="J21" s="11">
        <v>30</v>
      </c>
      <c r="K21" s="11" t="s">
        <v>1350</v>
      </c>
      <c r="L21" s="11" t="s">
        <v>1449</v>
      </c>
      <c r="M21" s="3">
        <f>IF(AND(G21&lt;=D_F01!$B$7,OR(NOT(ISNUMBER(I21)),I21&gt;D_F01!$B$7),L21&lt;&gt;"cancelled"),1,0)</f>
        <v>0</v>
      </c>
      <c r="N21" s="8">
        <f t="shared" si="0"/>
        <v>0</v>
      </c>
      <c r="O21" s="3">
        <f>IF(M21=1,MAX(0,D_F01!$B$7-H21),0)</f>
        <v>0</v>
      </c>
      <c r="P21" s="3">
        <f>IF(AND(ISNUMBER(I21),I21&lt;=D_F01!$B$7),I21-H21,0)</f>
        <v>5</v>
      </c>
      <c r="Q21" s="3">
        <f t="shared" si="1"/>
        <v>5</v>
      </c>
      <c r="R21" s="3">
        <f>IF(AND(ISNUMBER(I21),I21&gt;D_F01!$B$7-D_F01!$B$25,I21&lt;=D_F01!$B$7),1,0)</f>
        <v>1</v>
      </c>
      <c r="S21" s="3">
        <f t="shared" si="2"/>
        <v>1521936045</v>
      </c>
      <c r="T21" s="3">
        <f t="shared" si="3"/>
        <v>304387209</v>
      </c>
      <c r="U21" s="3">
        <f>IF(AND(H21&gt;D_F01!$B$7-D_F01!$B$25,H21&lt;=D_F01!$B$7),IF(M21=1,O21,Q21),0)</f>
        <v>5</v>
      </c>
      <c r="V21" s="3">
        <f t="shared" si="4"/>
        <v>304387209</v>
      </c>
      <c r="W21" s="3">
        <f>IF(AND(H21&gt;D_F01!$B$7-D_F01!$B$25,H21&lt;=D_F01!$B$7,L21&lt;&gt;"cancelled"),1,0)</f>
        <v>1</v>
      </c>
      <c r="X21" s="3">
        <f t="shared" si="5"/>
        <v>1521936045</v>
      </c>
      <c r="Y21" s="3">
        <f t="shared" si="6"/>
        <v>0</v>
      </c>
      <c r="Z21" s="3">
        <f t="shared" si="7"/>
        <v>1521936045</v>
      </c>
      <c r="AA21">
        <f t="shared" si="8"/>
        <v>9131616270</v>
      </c>
    </row>
    <row r="22" spans="1:27" ht="25.95" customHeight="1">
      <c r="A22" s="14" t="s">
        <v>1481</v>
      </c>
      <c r="B22" s="14" t="s">
        <v>1312</v>
      </c>
      <c r="C22" s="14" t="s">
        <v>956</v>
      </c>
      <c r="D22" s="14" t="s">
        <v>957</v>
      </c>
      <c r="E22" s="14" t="s">
        <v>1482</v>
      </c>
      <c r="F22" s="16">
        <v>184670146</v>
      </c>
      <c r="G22" s="12">
        <v>46042</v>
      </c>
      <c r="H22" s="12">
        <v>46072</v>
      </c>
      <c r="I22" s="12">
        <v>46076</v>
      </c>
      <c r="J22" s="14">
        <v>30</v>
      </c>
      <c r="K22" s="14" t="s">
        <v>1350</v>
      </c>
      <c r="L22" s="14" t="s">
        <v>1449</v>
      </c>
      <c r="M22" s="5">
        <f>IF(AND(G22&lt;=D_F01!$B$7,OR(NOT(ISNUMBER(I22)),I22&gt;D_F01!$B$7),L22&lt;&gt;"cancelled"),1,0)</f>
        <v>0</v>
      </c>
      <c r="N22" s="9">
        <f t="shared" si="0"/>
        <v>0</v>
      </c>
      <c r="O22" s="5">
        <f>IF(M22=1,MAX(0,D_F01!$B$7-H22),0)</f>
        <v>0</v>
      </c>
      <c r="P22" s="5">
        <f>IF(AND(ISNUMBER(I22),I22&lt;=D_F01!$B$7),I22-H22,0)</f>
        <v>4</v>
      </c>
      <c r="Q22" s="5">
        <f t="shared" si="1"/>
        <v>4</v>
      </c>
      <c r="R22" s="5">
        <f>IF(AND(ISNUMBER(I22),I22&gt;D_F01!$B$7-D_F01!$B$25,I22&lt;=D_F01!$B$7),1,0)</f>
        <v>1</v>
      </c>
      <c r="S22" s="5">
        <f t="shared" si="2"/>
        <v>738680584</v>
      </c>
      <c r="T22" s="5">
        <f t="shared" si="3"/>
        <v>184670146</v>
      </c>
      <c r="U22" s="5">
        <f>IF(AND(H22&gt;D_F01!$B$7-D_F01!$B$25,H22&lt;=D_F01!$B$7),IF(M22=1,O22,Q22),0)</f>
        <v>4</v>
      </c>
      <c r="V22" s="5">
        <f t="shared" si="4"/>
        <v>184670146</v>
      </c>
      <c r="W22" s="5">
        <f>IF(AND(H22&gt;D_F01!$B$7-D_F01!$B$25,H22&lt;=D_F01!$B$7,L22&lt;&gt;"cancelled"),1,0)</f>
        <v>1</v>
      </c>
      <c r="X22" s="5">
        <f t="shared" si="5"/>
        <v>738680584</v>
      </c>
      <c r="Y22" s="5">
        <f t="shared" si="6"/>
        <v>0</v>
      </c>
      <c r="Z22" s="5">
        <f t="shared" si="7"/>
        <v>738680584</v>
      </c>
      <c r="AA22">
        <f t="shared" si="8"/>
        <v>5540104380</v>
      </c>
    </row>
    <row r="23" spans="1:27" ht="25.95" customHeight="1">
      <c r="A23" s="11" t="s">
        <v>1483</v>
      </c>
      <c r="B23" s="11" t="s">
        <v>1312</v>
      </c>
      <c r="C23" s="11" t="s">
        <v>960</v>
      </c>
      <c r="D23" s="11" t="s">
        <v>961</v>
      </c>
      <c r="E23" s="11" t="s">
        <v>1476</v>
      </c>
      <c r="F23" s="15">
        <v>61617016</v>
      </c>
      <c r="G23" s="13">
        <v>46044</v>
      </c>
      <c r="H23" s="13">
        <v>46074</v>
      </c>
      <c r="I23" s="13">
        <v>46078</v>
      </c>
      <c r="J23" s="11">
        <v>30</v>
      </c>
      <c r="K23" s="11" t="s">
        <v>1350</v>
      </c>
      <c r="L23" s="11" t="s">
        <v>1449</v>
      </c>
      <c r="M23" s="3">
        <f>IF(AND(G23&lt;=D_F01!$B$7,OR(NOT(ISNUMBER(I23)),I23&gt;D_F01!$B$7),L23&lt;&gt;"cancelled"),1,0)</f>
        <v>0</v>
      </c>
      <c r="N23" s="8">
        <f t="shared" si="0"/>
        <v>0</v>
      </c>
      <c r="O23" s="3">
        <f>IF(M23=1,MAX(0,D_F01!$B$7-H23),0)</f>
        <v>0</v>
      </c>
      <c r="P23" s="3">
        <f>IF(AND(ISNUMBER(I23),I23&lt;=D_F01!$B$7),I23-H23,0)</f>
        <v>4</v>
      </c>
      <c r="Q23" s="3">
        <f t="shared" si="1"/>
        <v>4</v>
      </c>
      <c r="R23" s="3">
        <f>IF(AND(ISNUMBER(I23),I23&gt;D_F01!$B$7-D_F01!$B$25,I23&lt;=D_F01!$B$7),1,0)</f>
        <v>1</v>
      </c>
      <c r="S23" s="3">
        <f t="shared" si="2"/>
        <v>246468064</v>
      </c>
      <c r="T23" s="3">
        <f t="shared" si="3"/>
        <v>61617016</v>
      </c>
      <c r="U23" s="3">
        <f>IF(AND(H23&gt;D_F01!$B$7-D_F01!$B$25,H23&lt;=D_F01!$B$7),IF(M23=1,O23,Q23),0)</f>
        <v>4</v>
      </c>
      <c r="V23" s="3">
        <f t="shared" si="4"/>
        <v>61617016</v>
      </c>
      <c r="W23" s="3">
        <f>IF(AND(H23&gt;D_F01!$B$7-D_F01!$B$25,H23&lt;=D_F01!$B$7,L23&lt;&gt;"cancelled"),1,0)</f>
        <v>1</v>
      </c>
      <c r="X23" s="3">
        <f t="shared" si="5"/>
        <v>246468064</v>
      </c>
      <c r="Y23" s="3">
        <f t="shared" si="6"/>
        <v>0</v>
      </c>
      <c r="Z23" s="3">
        <f t="shared" si="7"/>
        <v>246468064</v>
      </c>
      <c r="AA23">
        <f t="shared" si="8"/>
        <v>1848510480</v>
      </c>
    </row>
    <row r="24" spans="1:27" ht="25.95" customHeight="1">
      <c r="A24" s="14" t="s">
        <v>1484</v>
      </c>
      <c r="B24" s="14" t="s">
        <v>1312</v>
      </c>
      <c r="C24" s="14" t="s">
        <v>954</v>
      </c>
      <c r="D24" s="14" t="s">
        <v>955</v>
      </c>
      <c r="E24" s="14" t="s">
        <v>1485</v>
      </c>
      <c r="F24" s="16">
        <v>953744225</v>
      </c>
      <c r="G24" s="12">
        <v>46047</v>
      </c>
      <c r="H24" s="12">
        <v>46077</v>
      </c>
      <c r="I24" s="12">
        <v>46075</v>
      </c>
      <c r="J24" s="14">
        <v>30</v>
      </c>
      <c r="K24" s="14" t="s">
        <v>1350</v>
      </c>
      <c r="L24" s="14" t="s">
        <v>1449</v>
      </c>
      <c r="M24" s="5">
        <f>IF(AND(G24&lt;=D_F01!$B$7,OR(NOT(ISNUMBER(I24)),I24&gt;D_F01!$B$7),L24&lt;&gt;"cancelled"),1,0)</f>
        <v>0</v>
      </c>
      <c r="N24" s="9">
        <f t="shared" si="0"/>
        <v>0</v>
      </c>
      <c r="O24" s="5">
        <f>IF(M24=1,MAX(0,D_F01!$B$7-H24),0)</f>
        <v>0</v>
      </c>
      <c r="P24" s="5">
        <f>IF(AND(ISNUMBER(I24),I24&lt;=D_F01!$B$7),I24-H24,0)</f>
        <v>-2</v>
      </c>
      <c r="Q24" s="5">
        <f t="shared" si="1"/>
        <v>0</v>
      </c>
      <c r="R24" s="5">
        <f>IF(AND(ISNUMBER(I24),I24&gt;D_F01!$B$7-D_F01!$B$25,I24&lt;=D_F01!$B$7),1,0)</f>
        <v>1</v>
      </c>
      <c r="S24" s="5">
        <f t="shared" si="2"/>
        <v>0</v>
      </c>
      <c r="T24" s="5">
        <f t="shared" si="3"/>
        <v>953744225</v>
      </c>
      <c r="U24" s="5">
        <f>IF(AND(H24&gt;D_F01!$B$7-D_F01!$B$25,H24&lt;=D_F01!$B$7),IF(M24=1,O24,Q24),0)</f>
        <v>0</v>
      </c>
      <c r="V24" s="5">
        <f t="shared" si="4"/>
        <v>953744225</v>
      </c>
      <c r="W24" s="5">
        <f>IF(AND(H24&gt;D_F01!$B$7-D_F01!$B$25,H24&lt;=D_F01!$B$7,L24&lt;&gt;"cancelled"),1,0)</f>
        <v>1</v>
      </c>
      <c r="X24" s="5">
        <f t="shared" si="5"/>
        <v>0</v>
      </c>
      <c r="Y24" s="5">
        <f t="shared" si="6"/>
        <v>0</v>
      </c>
      <c r="Z24" s="5">
        <f t="shared" si="7"/>
        <v>-1907488450</v>
      </c>
      <c r="AA24">
        <f t="shared" si="8"/>
        <v>28612326750</v>
      </c>
    </row>
    <row r="25" spans="1:27" ht="25.95" customHeight="1">
      <c r="A25" s="11" t="s">
        <v>1486</v>
      </c>
      <c r="B25" s="11" t="s">
        <v>1312</v>
      </c>
      <c r="C25" s="11" t="s">
        <v>952</v>
      </c>
      <c r="D25" s="11" t="s">
        <v>953</v>
      </c>
      <c r="E25" s="11" t="s">
        <v>1487</v>
      </c>
      <c r="F25" s="15">
        <v>439184852</v>
      </c>
      <c r="G25" s="13">
        <v>46051</v>
      </c>
      <c r="H25" s="13">
        <v>46096</v>
      </c>
      <c r="I25" s="13">
        <v>46122</v>
      </c>
      <c r="J25" s="11">
        <v>45</v>
      </c>
      <c r="K25" s="11" t="s">
        <v>1350</v>
      </c>
      <c r="L25" s="11" t="s">
        <v>1449</v>
      </c>
      <c r="M25" s="3">
        <f>IF(AND(G25&lt;=D_F01!$B$7,OR(NOT(ISNUMBER(I25)),I25&gt;D_F01!$B$7),L25&lt;&gt;"cancelled"),1,0)</f>
        <v>0</v>
      </c>
      <c r="N25" s="8">
        <f t="shared" si="0"/>
        <v>0</v>
      </c>
      <c r="O25" s="3">
        <f>IF(M25=1,MAX(0,D_F01!$B$7-H25),0)</f>
        <v>0</v>
      </c>
      <c r="P25" s="3">
        <f>IF(AND(ISNUMBER(I25),I25&lt;=D_F01!$B$7),I25-H25,0)</f>
        <v>26</v>
      </c>
      <c r="Q25" s="3">
        <f t="shared" si="1"/>
        <v>26</v>
      </c>
      <c r="R25" s="3">
        <f>IF(AND(ISNUMBER(I25),I25&gt;D_F01!$B$7-D_F01!$B$25,I25&lt;=D_F01!$B$7),1,0)</f>
        <v>1</v>
      </c>
      <c r="S25" s="3">
        <f t="shared" si="2"/>
        <v>11418806152</v>
      </c>
      <c r="T25" s="3">
        <f t="shared" si="3"/>
        <v>439184852</v>
      </c>
      <c r="U25" s="3">
        <f>IF(AND(H25&gt;D_F01!$B$7-D_F01!$B$25,H25&lt;=D_F01!$B$7),IF(M25=1,O25,Q25),0)</f>
        <v>26</v>
      </c>
      <c r="V25" s="3">
        <f t="shared" si="4"/>
        <v>439184852</v>
      </c>
      <c r="W25" s="3">
        <f>IF(AND(H25&gt;D_F01!$B$7-D_F01!$B$25,H25&lt;=D_F01!$B$7,L25&lt;&gt;"cancelled"),1,0)</f>
        <v>1</v>
      </c>
      <c r="X25" s="3">
        <f t="shared" si="5"/>
        <v>11418806152</v>
      </c>
      <c r="Y25" s="3">
        <f t="shared" si="6"/>
        <v>0</v>
      </c>
      <c r="Z25" s="3">
        <f t="shared" si="7"/>
        <v>11418806152</v>
      </c>
      <c r="AA25">
        <f t="shared" si="8"/>
        <v>19763318340</v>
      </c>
    </row>
    <row r="26" spans="1:27" ht="25.95" customHeight="1">
      <c r="A26" s="14" t="s">
        <v>1488</v>
      </c>
      <c r="B26" s="14" t="s">
        <v>1312</v>
      </c>
      <c r="C26" s="14" t="s">
        <v>954</v>
      </c>
      <c r="D26" s="14" t="s">
        <v>955</v>
      </c>
      <c r="E26" s="14" t="s">
        <v>1485</v>
      </c>
      <c r="F26" s="16">
        <v>705550485</v>
      </c>
      <c r="G26" s="12">
        <v>46053</v>
      </c>
      <c r="H26" s="12">
        <v>46083</v>
      </c>
      <c r="I26" s="12">
        <v>46080</v>
      </c>
      <c r="J26" s="14">
        <v>30</v>
      </c>
      <c r="K26" s="14" t="s">
        <v>1350</v>
      </c>
      <c r="L26" s="14" t="s">
        <v>1449</v>
      </c>
      <c r="M26" s="5">
        <f>IF(AND(G26&lt;=D_F01!$B$7,OR(NOT(ISNUMBER(I26)),I26&gt;D_F01!$B$7),L26&lt;&gt;"cancelled"),1,0)</f>
        <v>0</v>
      </c>
      <c r="N26" s="9">
        <f t="shared" si="0"/>
        <v>0</v>
      </c>
      <c r="O26" s="5">
        <f>IF(M26=1,MAX(0,D_F01!$B$7-H26),0)</f>
        <v>0</v>
      </c>
      <c r="P26" s="5">
        <f>IF(AND(ISNUMBER(I26),I26&lt;=D_F01!$B$7),I26-H26,0)</f>
        <v>-3</v>
      </c>
      <c r="Q26" s="5">
        <f t="shared" si="1"/>
        <v>0</v>
      </c>
      <c r="R26" s="5">
        <f>IF(AND(ISNUMBER(I26),I26&gt;D_F01!$B$7-D_F01!$B$25,I26&lt;=D_F01!$B$7),1,0)</f>
        <v>1</v>
      </c>
      <c r="S26" s="5">
        <f t="shared" si="2"/>
        <v>0</v>
      </c>
      <c r="T26" s="5">
        <f t="shared" si="3"/>
        <v>705550485</v>
      </c>
      <c r="U26" s="5">
        <f>IF(AND(H26&gt;D_F01!$B$7-D_F01!$B$25,H26&lt;=D_F01!$B$7),IF(M26=1,O26,Q26),0)</f>
        <v>0</v>
      </c>
      <c r="V26" s="5">
        <f t="shared" si="4"/>
        <v>705550485</v>
      </c>
      <c r="W26" s="5">
        <f>IF(AND(H26&gt;D_F01!$B$7-D_F01!$B$25,H26&lt;=D_F01!$B$7,L26&lt;&gt;"cancelled"),1,0)</f>
        <v>1</v>
      </c>
      <c r="X26" s="5">
        <f t="shared" si="5"/>
        <v>0</v>
      </c>
      <c r="Y26" s="5">
        <f t="shared" si="6"/>
        <v>0</v>
      </c>
      <c r="Z26" s="5">
        <f t="shared" si="7"/>
        <v>-2116651455</v>
      </c>
      <c r="AA26">
        <f t="shared" si="8"/>
        <v>21166514550</v>
      </c>
    </row>
    <row r="27" spans="1:27" ht="25.95" customHeight="1">
      <c r="A27" s="11" t="s">
        <v>1489</v>
      </c>
      <c r="B27" s="11" t="s">
        <v>1312</v>
      </c>
      <c r="C27" s="11" t="s">
        <v>954</v>
      </c>
      <c r="D27" s="11" t="s">
        <v>955</v>
      </c>
      <c r="E27" s="11" t="s">
        <v>1485</v>
      </c>
      <c r="F27" s="15">
        <v>222803456</v>
      </c>
      <c r="G27" s="13">
        <v>46054</v>
      </c>
      <c r="H27" s="13">
        <v>46084</v>
      </c>
      <c r="I27" s="13">
        <v>46078</v>
      </c>
      <c r="J27" s="11">
        <v>30</v>
      </c>
      <c r="K27" s="11" t="s">
        <v>1350</v>
      </c>
      <c r="L27" s="11" t="s">
        <v>1449</v>
      </c>
      <c r="M27" s="3">
        <f>IF(AND(G27&lt;=D_F01!$B$7,OR(NOT(ISNUMBER(I27)),I27&gt;D_F01!$B$7),L27&lt;&gt;"cancelled"),1,0)</f>
        <v>0</v>
      </c>
      <c r="N27" s="8">
        <f t="shared" si="0"/>
        <v>0</v>
      </c>
      <c r="O27" s="3">
        <f>IF(M27=1,MAX(0,D_F01!$B$7-H27),0)</f>
        <v>0</v>
      </c>
      <c r="P27" s="3">
        <f>IF(AND(ISNUMBER(I27),I27&lt;=D_F01!$B$7),I27-H27,0)</f>
        <v>-6</v>
      </c>
      <c r="Q27" s="3">
        <f t="shared" si="1"/>
        <v>0</v>
      </c>
      <c r="R27" s="3">
        <f>IF(AND(ISNUMBER(I27),I27&gt;D_F01!$B$7-D_F01!$B$25,I27&lt;=D_F01!$B$7),1,0)</f>
        <v>1</v>
      </c>
      <c r="S27" s="3">
        <f t="shared" si="2"/>
        <v>0</v>
      </c>
      <c r="T27" s="3">
        <f t="shared" si="3"/>
        <v>222803456</v>
      </c>
      <c r="U27" s="3">
        <f>IF(AND(H27&gt;D_F01!$B$7-D_F01!$B$25,H27&lt;=D_F01!$B$7),IF(M27=1,O27,Q27),0)</f>
        <v>0</v>
      </c>
      <c r="V27" s="3">
        <f t="shared" si="4"/>
        <v>222803456</v>
      </c>
      <c r="W27" s="3">
        <f>IF(AND(H27&gt;D_F01!$B$7-D_F01!$B$25,H27&lt;=D_F01!$B$7,L27&lt;&gt;"cancelled"),1,0)</f>
        <v>1</v>
      </c>
      <c r="X27" s="3">
        <f t="shared" si="5"/>
        <v>0</v>
      </c>
      <c r="Y27" s="3">
        <f t="shared" si="6"/>
        <v>0</v>
      </c>
      <c r="Z27" s="3">
        <f t="shared" si="7"/>
        <v>-1336820736</v>
      </c>
      <c r="AA27">
        <f t="shared" si="8"/>
        <v>6684103680</v>
      </c>
    </row>
    <row r="28" spans="1:27" ht="25.95" customHeight="1">
      <c r="A28" s="14" t="s">
        <v>1490</v>
      </c>
      <c r="B28" s="14" t="s">
        <v>1312</v>
      </c>
      <c r="C28" s="14" t="s">
        <v>966</v>
      </c>
      <c r="D28" s="14" t="s">
        <v>967</v>
      </c>
      <c r="E28" s="14" t="s">
        <v>1491</v>
      </c>
      <c r="F28" s="16">
        <v>72762066</v>
      </c>
      <c r="G28" s="12">
        <v>46054</v>
      </c>
      <c r="H28" s="12">
        <v>46084</v>
      </c>
      <c r="I28" s="12">
        <v>46084</v>
      </c>
      <c r="J28" s="14">
        <v>30</v>
      </c>
      <c r="K28" s="14" t="s">
        <v>1350</v>
      </c>
      <c r="L28" s="14" t="s">
        <v>1449</v>
      </c>
      <c r="M28" s="5">
        <f>IF(AND(G28&lt;=D_F01!$B$7,OR(NOT(ISNUMBER(I28)),I28&gt;D_F01!$B$7),L28&lt;&gt;"cancelled"),1,0)</f>
        <v>0</v>
      </c>
      <c r="N28" s="9">
        <f t="shared" si="0"/>
        <v>0</v>
      </c>
      <c r="O28" s="5">
        <f>IF(M28=1,MAX(0,D_F01!$B$7-H28),0)</f>
        <v>0</v>
      </c>
      <c r="P28" s="5">
        <f>IF(AND(ISNUMBER(I28),I28&lt;=D_F01!$B$7),I28-H28,0)</f>
        <v>0</v>
      </c>
      <c r="Q28" s="5">
        <f t="shared" si="1"/>
        <v>0</v>
      </c>
      <c r="R28" s="5">
        <f>IF(AND(ISNUMBER(I28),I28&gt;D_F01!$B$7-D_F01!$B$25,I28&lt;=D_F01!$B$7),1,0)</f>
        <v>1</v>
      </c>
      <c r="S28" s="5">
        <f t="shared" si="2"/>
        <v>0</v>
      </c>
      <c r="T28" s="5">
        <f t="shared" si="3"/>
        <v>72762066</v>
      </c>
      <c r="U28" s="5">
        <f>IF(AND(H28&gt;D_F01!$B$7-D_F01!$B$25,H28&lt;=D_F01!$B$7),IF(M28=1,O28,Q28),0)</f>
        <v>0</v>
      </c>
      <c r="V28" s="5">
        <f t="shared" si="4"/>
        <v>72762066</v>
      </c>
      <c r="W28" s="5">
        <f>IF(AND(H28&gt;D_F01!$B$7-D_F01!$B$25,H28&lt;=D_F01!$B$7,L28&lt;&gt;"cancelled"),1,0)</f>
        <v>1</v>
      </c>
      <c r="X28" s="5">
        <f t="shared" si="5"/>
        <v>0</v>
      </c>
      <c r="Y28" s="5">
        <f t="shared" si="6"/>
        <v>0</v>
      </c>
      <c r="Z28" s="5">
        <f t="shared" si="7"/>
        <v>0</v>
      </c>
      <c r="AA28">
        <f t="shared" si="8"/>
        <v>2182861980</v>
      </c>
    </row>
    <row r="29" spans="1:27" ht="25.95" customHeight="1">
      <c r="A29" s="11" t="s">
        <v>1492</v>
      </c>
      <c r="B29" s="11" t="s">
        <v>1312</v>
      </c>
      <c r="C29" s="11" t="s">
        <v>952</v>
      </c>
      <c r="D29" s="11" t="s">
        <v>953</v>
      </c>
      <c r="E29" s="11" t="s">
        <v>1487</v>
      </c>
      <c r="F29" s="15">
        <v>252134589</v>
      </c>
      <c r="G29" s="13">
        <v>46057</v>
      </c>
      <c r="H29" s="13">
        <v>46102</v>
      </c>
      <c r="I29" s="13">
        <v>46115</v>
      </c>
      <c r="J29" s="11">
        <v>45</v>
      </c>
      <c r="K29" s="11" t="s">
        <v>1350</v>
      </c>
      <c r="L29" s="11" t="s">
        <v>1449</v>
      </c>
      <c r="M29" s="3">
        <f>IF(AND(G29&lt;=D_F01!$B$7,OR(NOT(ISNUMBER(I29)),I29&gt;D_F01!$B$7),L29&lt;&gt;"cancelled"),1,0)</f>
        <v>0</v>
      </c>
      <c r="N29" s="8">
        <f t="shared" si="0"/>
        <v>0</v>
      </c>
      <c r="O29" s="3">
        <f>IF(M29=1,MAX(0,D_F01!$B$7-H29),0)</f>
        <v>0</v>
      </c>
      <c r="P29" s="3">
        <f>IF(AND(ISNUMBER(I29),I29&lt;=D_F01!$B$7),I29-H29,0)</f>
        <v>13</v>
      </c>
      <c r="Q29" s="3">
        <f t="shared" si="1"/>
        <v>13</v>
      </c>
      <c r="R29" s="3">
        <f>IF(AND(ISNUMBER(I29),I29&gt;D_F01!$B$7-D_F01!$B$25,I29&lt;=D_F01!$B$7),1,0)</f>
        <v>1</v>
      </c>
      <c r="S29" s="3">
        <f t="shared" si="2"/>
        <v>3277749657</v>
      </c>
      <c r="T29" s="3">
        <f t="shared" si="3"/>
        <v>252134589</v>
      </c>
      <c r="U29" s="3">
        <f>IF(AND(H29&gt;D_F01!$B$7-D_F01!$B$25,H29&lt;=D_F01!$B$7),IF(M29=1,O29,Q29),0)</f>
        <v>13</v>
      </c>
      <c r="V29" s="3">
        <f t="shared" si="4"/>
        <v>252134589</v>
      </c>
      <c r="W29" s="3">
        <f>IF(AND(H29&gt;D_F01!$B$7-D_F01!$B$25,H29&lt;=D_F01!$B$7,L29&lt;&gt;"cancelled"),1,0)</f>
        <v>1</v>
      </c>
      <c r="X29" s="3">
        <f t="shared" si="5"/>
        <v>3277749657</v>
      </c>
      <c r="Y29" s="3">
        <f t="shared" si="6"/>
        <v>0</v>
      </c>
      <c r="Z29" s="3">
        <f t="shared" si="7"/>
        <v>3277749657</v>
      </c>
      <c r="AA29">
        <f t="shared" si="8"/>
        <v>11346056505</v>
      </c>
    </row>
    <row r="30" spans="1:27" ht="25.95" customHeight="1">
      <c r="A30" s="14" t="s">
        <v>1493</v>
      </c>
      <c r="B30" s="14" t="s">
        <v>1312</v>
      </c>
      <c r="C30" s="14" t="s">
        <v>956</v>
      </c>
      <c r="D30" s="14" t="s">
        <v>957</v>
      </c>
      <c r="E30" s="14" t="s">
        <v>1494</v>
      </c>
      <c r="F30" s="16">
        <v>560372197</v>
      </c>
      <c r="G30" s="12">
        <v>46059</v>
      </c>
      <c r="H30" s="12">
        <v>46089</v>
      </c>
      <c r="I30" s="12">
        <v>46093</v>
      </c>
      <c r="J30" s="14">
        <v>30</v>
      </c>
      <c r="K30" s="14" t="s">
        <v>1350</v>
      </c>
      <c r="L30" s="14" t="s">
        <v>1449</v>
      </c>
      <c r="M30" s="5">
        <f>IF(AND(G30&lt;=D_F01!$B$7,OR(NOT(ISNUMBER(I30)),I30&gt;D_F01!$B$7),L30&lt;&gt;"cancelled"),1,0)</f>
        <v>0</v>
      </c>
      <c r="N30" s="9">
        <f t="shared" si="0"/>
        <v>0</v>
      </c>
      <c r="O30" s="5">
        <f>IF(M30=1,MAX(0,D_F01!$B$7-H30),0)</f>
        <v>0</v>
      </c>
      <c r="P30" s="5">
        <f>IF(AND(ISNUMBER(I30),I30&lt;=D_F01!$B$7),I30-H30,0)</f>
        <v>4</v>
      </c>
      <c r="Q30" s="5">
        <f t="shared" si="1"/>
        <v>4</v>
      </c>
      <c r="R30" s="5">
        <f>IF(AND(ISNUMBER(I30),I30&gt;D_F01!$B$7-D_F01!$B$25,I30&lt;=D_F01!$B$7),1,0)</f>
        <v>1</v>
      </c>
      <c r="S30" s="5">
        <f t="shared" si="2"/>
        <v>2241488788</v>
      </c>
      <c r="T30" s="5">
        <f t="shared" si="3"/>
        <v>560372197</v>
      </c>
      <c r="U30" s="5">
        <f>IF(AND(H30&gt;D_F01!$B$7-D_F01!$B$25,H30&lt;=D_F01!$B$7),IF(M30=1,O30,Q30),0)</f>
        <v>4</v>
      </c>
      <c r="V30" s="5">
        <f t="shared" si="4"/>
        <v>560372197</v>
      </c>
      <c r="W30" s="5">
        <f>IF(AND(H30&gt;D_F01!$B$7-D_F01!$B$25,H30&lt;=D_F01!$B$7,L30&lt;&gt;"cancelled"),1,0)</f>
        <v>1</v>
      </c>
      <c r="X30" s="5">
        <f t="shared" si="5"/>
        <v>2241488788</v>
      </c>
      <c r="Y30" s="5">
        <f t="shared" si="6"/>
        <v>0</v>
      </c>
      <c r="Z30" s="5">
        <f t="shared" si="7"/>
        <v>2241488788</v>
      </c>
      <c r="AA30">
        <f t="shared" si="8"/>
        <v>16811165910</v>
      </c>
    </row>
    <row r="31" spans="1:27" ht="25.95" customHeight="1">
      <c r="A31" s="11" t="s">
        <v>1495</v>
      </c>
      <c r="B31" s="11" t="s">
        <v>1312</v>
      </c>
      <c r="C31" s="11" t="s">
        <v>952</v>
      </c>
      <c r="D31" s="11" t="s">
        <v>953</v>
      </c>
      <c r="E31" s="11" t="s">
        <v>1487</v>
      </c>
      <c r="F31" s="15">
        <v>250549027</v>
      </c>
      <c r="G31" s="13">
        <v>46060</v>
      </c>
      <c r="H31" s="13">
        <v>46105</v>
      </c>
      <c r="I31" s="13">
        <v>46122</v>
      </c>
      <c r="J31" s="11">
        <v>45</v>
      </c>
      <c r="K31" s="11" t="s">
        <v>1350</v>
      </c>
      <c r="L31" s="11" t="s">
        <v>1449</v>
      </c>
      <c r="M31" s="3">
        <f>IF(AND(G31&lt;=D_F01!$B$7,OR(NOT(ISNUMBER(I31)),I31&gt;D_F01!$B$7),L31&lt;&gt;"cancelled"),1,0)</f>
        <v>0</v>
      </c>
      <c r="N31" s="8">
        <f t="shared" si="0"/>
        <v>0</v>
      </c>
      <c r="O31" s="3">
        <f>IF(M31=1,MAX(0,D_F01!$B$7-H31),0)</f>
        <v>0</v>
      </c>
      <c r="P31" s="3">
        <f>IF(AND(ISNUMBER(I31),I31&lt;=D_F01!$B$7),I31-H31,0)</f>
        <v>17</v>
      </c>
      <c r="Q31" s="3">
        <f t="shared" si="1"/>
        <v>17</v>
      </c>
      <c r="R31" s="3">
        <f>IF(AND(ISNUMBER(I31),I31&gt;D_F01!$B$7-D_F01!$B$25,I31&lt;=D_F01!$B$7),1,0)</f>
        <v>1</v>
      </c>
      <c r="S31" s="3">
        <f t="shared" si="2"/>
        <v>4259333459</v>
      </c>
      <c r="T31" s="3">
        <f t="shared" si="3"/>
        <v>250549027</v>
      </c>
      <c r="U31" s="3">
        <f>IF(AND(H31&gt;D_F01!$B$7-D_F01!$B$25,H31&lt;=D_F01!$B$7),IF(M31=1,O31,Q31),0)</f>
        <v>17</v>
      </c>
      <c r="V31" s="3">
        <f t="shared" si="4"/>
        <v>250549027</v>
      </c>
      <c r="W31" s="3">
        <f>IF(AND(H31&gt;D_F01!$B$7-D_F01!$B$25,H31&lt;=D_F01!$B$7,L31&lt;&gt;"cancelled"),1,0)</f>
        <v>1</v>
      </c>
      <c r="X31" s="3">
        <f t="shared" si="5"/>
        <v>4259333459</v>
      </c>
      <c r="Y31" s="3">
        <f t="shared" si="6"/>
        <v>0</v>
      </c>
      <c r="Z31" s="3">
        <f t="shared" si="7"/>
        <v>4259333459</v>
      </c>
      <c r="AA31">
        <f t="shared" si="8"/>
        <v>11274706215</v>
      </c>
    </row>
    <row r="32" spans="1:27" ht="25.95" customHeight="1">
      <c r="A32" s="14" t="s">
        <v>1496</v>
      </c>
      <c r="B32" s="14" t="s">
        <v>1312</v>
      </c>
      <c r="C32" s="14" t="s">
        <v>952</v>
      </c>
      <c r="D32" s="14" t="s">
        <v>953</v>
      </c>
      <c r="E32" s="14" t="s">
        <v>1487</v>
      </c>
      <c r="F32" s="16">
        <v>302154297</v>
      </c>
      <c r="G32" s="12">
        <v>46063</v>
      </c>
      <c r="H32" s="12">
        <v>46108</v>
      </c>
      <c r="I32" s="12">
        <v>46131</v>
      </c>
      <c r="J32" s="14">
        <v>45</v>
      </c>
      <c r="K32" s="14" t="s">
        <v>1350</v>
      </c>
      <c r="L32" s="14" t="s">
        <v>1449</v>
      </c>
      <c r="M32" s="5">
        <f>IF(AND(G32&lt;=D_F01!$B$7,OR(NOT(ISNUMBER(I32)),I32&gt;D_F01!$B$7),L32&lt;&gt;"cancelled"),1,0)</f>
        <v>0</v>
      </c>
      <c r="N32" s="9">
        <f t="shared" si="0"/>
        <v>0</v>
      </c>
      <c r="O32" s="5">
        <f>IF(M32=1,MAX(0,D_F01!$B$7-H32),0)</f>
        <v>0</v>
      </c>
      <c r="P32" s="5">
        <f>IF(AND(ISNUMBER(I32),I32&lt;=D_F01!$B$7),I32-H32,0)</f>
        <v>23</v>
      </c>
      <c r="Q32" s="5">
        <f t="shared" si="1"/>
        <v>23</v>
      </c>
      <c r="R32" s="5">
        <f>IF(AND(ISNUMBER(I32),I32&gt;D_F01!$B$7-D_F01!$B$25,I32&lt;=D_F01!$B$7),1,0)</f>
        <v>1</v>
      </c>
      <c r="S32" s="5">
        <f t="shared" si="2"/>
        <v>6949548831</v>
      </c>
      <c r="T32" s="5">
        <f t="shared" si="3"/>
        <v>302154297</v>
      </c>
      <c r="U32" s="5">
        <f>IF(AND(H32&gt;D_F01!$B$7-D_F01!$B$25,H32&lt;=D_F01!$B$7),IF(M32=1,O32,Q32),0)</f>
        <v>23</v>
      </c>
      <c r="V32" s="5">
        <f t="shared" si="4"/>
        <v>302154297</v>
      </c>
      <c r="W32" s="5">
        <f>IF(AND(H32&gt;D_F01!$B$7-D_F01!$B$25,H32&lt;=D_F01!$B$7,L32&lt;&gt;"cancelled"),1,0)</f>
        <v>1</v>
      </c>
      <c r="X32" s="5">
        <f t="shared" si="5"/>
        <v>6949548831</v>
      </c>
      <c r="Y32" s="5">
        <f t="shared" si="6"/>
        <v>0</v>
      </c>
      <c r="Z32" s="5">
        <f t="shared" si="7"/>
        <v>6949548831</v>
      </c>
      <c r="AA32">
        <f t="shared" si="8"/>
        <v>13596943365</v>
      </c>
    </row>
    <row r="33" spans="1:27" ht="25.95" customHeight="1">
      <c r="A33" s="11" t="s">
        <v>1497</v>
      </c>
      <c r="B33" s="11" t="s">
        <v>1312</v>
      </c>
      <c r="C33" s="11" t="s">
        <v>954</v>
      </c>
      <c r="D33" s="11" t="s">
        <v>955</v>
      </c>
      <c r="E33" s="11" t="s">
        <v>1498</v>
      </c>
      <c r="F33" s="15">
        <v>701082888</v>
      </c>
      <c r="G33" s="13">
        <v>46063</v>
      </c>
      <c r="H33" s="13">
        <v>46093</v>
      </c>
      <c r="I33" s="13">
        <v>46089</v>
      </c>
      <c r="J33" s="11">
        <v>30</v>
      </c>
      <c r="K33" s="11" t="s">
        <v>1350</v>
      </c>
      <c r="L33" s="11" t="s">
        <v>1449</v>
      </c>
      <c r="M33" s="3">
        <f>IF(AND(G33&lt;=D_F01!$B$7,OR(NOT(ISNUMBER(I33)),I33&gt;D_F01!$B$7),L33&lt;&gt;"cancelled"),1,0)</f>
        <v>0</v>
      </c>
      <c r="N33" s="8">
        <f t="shared" si="0"/>
        <v>0</v>
      </c>
      <c r="O33" s="3">
        <f>IF(M33=1,MAX(0,D_F01!$B$7-H33),0)</f>
        <v>0</v>
      </c>
      <c r="P33" s="3">
        <f>IF(AND(ISNUMBER(I33),I33&lt;=D_F01!$B$7),I33-H33,0)</f>
        <v>-4</v>
      </c>
      <c r="Q33" s="3">
        <f t="shared" si="1"/>
        <v>0</v>
      </c>
      <c r="R33" s="3">
        <f>IF(AND(ISNUMBER(I33),I33&gt;D_F01!$B$7-D_F01!$B$25,I33&lt;=D_F01!$B$7),1,0)</f>
        <v>1</v>
      </c>
      <c r="S33" s="3">
        <f t="shared" si="2"/>
        <v>0</v>
      </c>
      <c r="T33" s="3">
        <f t="shared" si="3"/>
        <v>701082888</v>
      </c>
      <c r="U33" s="3">
        <f>IF(AND(H33&gt;D_F01!$B$7-D_F01!$B$25,H33&lt;=D_F01!$B$7),IF(M33=1,O33,Q33),0)</f>
        <v>0</v>
      </c>
      <c r="V33" s="3">
        <f t="shared" si="4"/>
        <v>701082888</v>
      </c>
      <c r="W33" s="3">
        <f>IF(AND(H33&gt;D_F01!$B$7-D_F01!$B$25,H33&lt;=D_F01!$B$7,L33&lt;&gt;"cancelled"),1,0)</f>
        <v>1</v>
      </c>
      <c r="X33" s="3">
        <f t="shared" si="5"/>
        <v>0</v>
      </c>
      <c r="Y33" s="3">
        <f t="shared" si="6"/>
        <v>0</v>
      </c>
      <c r="Z33" s="3">
        <f t="shared" si="7"/>
        <v>-2804331552</v>
      </c>
      <c r="AA33">
        <f t="shared" si="8"/>
        <v>21032486640</v>
      </c>
    </row>
    <row r="34" spans="1:27" ht="25.95" customHeight="1">
      <c r="A34" s="14" t="s">
        <v>1499</v>
      </c>
      <c r="B34" s="14" t="s">
        <v>1312</v>
      </c>
      <c r="C34" s="14" t="s">
        <v>956</v>
      </c>
      <c r="D34" s="14" t="s">
        <v>957</v>
      </c>
      <c r="E34" s="14" t="s">
        <v>1494</v>
      </c>
      <c r="F34" s="16">
        <v>433137013</v>
      </c>
      <c r="G34" s="12">
        <v>46063</v>
      </c>
      <c r="H34" s="12">
        <v>46093</v>
      </c>
      <c r="I34" s="12">
        <v>46107</v>
      </c>
      <c r="J34" s="14">
        <v>30</v>
      </c>
      <c r="K34" s="14" t="s">
        <v>1350</v>
      </c>
      <c r="L34" s="14" t="s">
        <v>1449</v>
      </c>
      <c r="M34" s="5">
        <f>IF(AND(G34&lt;=D_F01!$B$7,OR(NOT(ISNUMBER(I34)),I34&gt;D_F01!$B$7),L34&lt;&gt;"cancelled"),1,0)</f>
        <v>0</v>
      </c>
      <c r="N34" s="9">
        <f t="shared" si="0"/>
        <v>0</v>
      </c>
      <c r="O34" s="5">
        <f>IF(M34=1,MAX(0,D_F01!$B$7-H34),0)</f>
        <v>0</v>
      </c>
      <c r="P34" s="5">
        <f>IF(AND(ISNUMBER(I34),I34&lt;=D_F01!$B$7),I34-H34,0)</f>
        <v>14</v>
      </c>
      <c r="Q34" s="5">
        <f t="shared" si="1"/>
        <v>14</v>
      </c>
      <c r="R34" s="5">
        <f>IF(AND(ISNUMBER(I34),I34&gt;D_F01!$B$7-D_F01!$B$25,I34&lt;=D_F01!$B$7),1,0)</f>
        <v>1</v>
      </c>
      <c r="S34" s="5">
        <f t="shared" si="2"/>
        <v>6063918182</v>
      </c>
      <c r="T34" s="5">
        <f t="shared" si="3"/>
        <v>433137013</v>
      </c>
      <c r="U34" s="5">
        <f>IF(AND(H34&gt;D_F01!$B$7-D_F01!$B$25,H34&lt;=D_F01!$B$7),IF(M34=1,O34,Q34),0)</f>
        <v>14</v>
      </c>
      <c r="V34" s="5">
        <f t="shared" si="4"/>
        <v>433137013</v>
      </c>
      <c r="W34" s="5">
        <f>IF(AND(H34&gt;D_F01!$B$7-D_F01!$B$25,H34&lt;=D_F01!$B$7,L34&lt;&gt;"cancelled"),1,0)</f>
        <v>1</v>
      </c>
      <c r="X34" s="5">
        <f t="shared" si="5"/>
        <v>6063918182</v>
      </c>
      <c r="Y34" s="5">
        <f t="shared" si="6"/>
        <v>0</v>
      </c>
      <c r="Z34" s="5">
        <f t="shared" si="7"/>
        <v>6063918182</v>
      </c>
      <c r="AA34">
        <f t="shared" si="8"/>
        <v>12994110390</v>
      </c>
    </row>
    <row r="35" spans="1:27" ht="25.95" customHeight="1">
      <c r="A35" s="11" t="s">
        <v>1500</v>
      </c>
      <c r="B35" s="11" t="s">
        <v>1312</v>
      </c>
      <c r="C35" s="11" t="s">
        <v>952</v>
      </c>
      <c r="D35" s="11" t="s">
        <v>953</v>
      </c>
      <c r="E35" s="11" t="s">
        <v>1501</v>
      </c>
      <c r="F35" s="15">
        <v>308565716</v>
      </c>
      <c r="G35" s="13">
        <v>46066</v>
      </c>
      <c r="H35" s="13">
        <v>46111</v>
      </c>
      <c r="I35" s="13">
        <v>46141</v>
      </c>
      <c r="J35" s="11">
        <v>45</v>
      </c>
      <c r="K35" s="11" t="s">
        <v>1350</v>
      </c>
      <c r="L35" s="11" t="s">
        <v>1449</v>
      </c>
      <c r="M35" s="3">
        <f>IF(AND(G35&lt;=D_F01!$B$7,OR(NOT(ISNUMBER(I35)),I35&gt;D_F01!$B$7),L35&lt;&gt;"cancelled"),1,0)</f>
        <v>0</v>
      </c>
      <c r="N35" s="8">
        <f t="shared" si="0"/>
        <v>0</v>
      </c>
      <c r="O35" s="3">
        <f>IF(M35=1,MAX(0,D_F01!$B$7-H35),0)</f>
        <v>0</v>
      </c>
      <c r="P35" s="3">
        <f>IF(AND(ISNUMBER(I35),I35&lt;=D_F01!$B$7),I35-H35,0)</f>
        <v>30</v>
      </c>
      <c r="Q35" s="3">
        <f t="shared" si="1"/>
        <v>30</v>
      </c>
      <c r="R35" s="3">
        <f>IF(AND(ISNUMBER(I35),I35&gt;D_F01!$B$7-D_F01!$B$25,I35&lt;=D_F01!$B$7),1,0)</f>
        <v>1</v>
      </c>
      <c r="S35" s="3">
        <f t="shared" si="2"/>
        <v>9256971480</v>
      </c>
      <c r="T35" s="3">
        <f t="shared" si="3"/>
        <v>308565716</v>
      </c>
      <c r="U35" s="3">
        <f>IF(AND(H35&gt;D_F01!$B$7-D_F01!$B$25,H35&lt;=D_F01!$B$7),IF(M35=1,O35,Q35),0)</f>
        <v>30</v>
      </c>
      <c r="V35" s="3">
        <f t="shared" si="4"/>
        <v>308565716</v>
      </c>
      <c r="W35" s="3">
        <f>IF(AND(H35&gt;D_F01!$B$7-D_F01!$B$25,H35&lt;=D_F01!$B$7,L35&lt;&gt;"cancelled"),1,0)</f>
        <v>1</v>
      </c>
      <c r="X35" s="3">
        <f t="shared" si="5"/>
        <v>9256971480</v>
      </c>
      <c r="Y35" s="3">
        <f t="shared" si="6"/>
        <v>0</v>
      </c>
      <c r="Z35" s="3">
        <f t="shared" si="7"/>
        <v>9256971480</v>
      </c>
      <c r="AA35">
        <f t="shared" si="8"/>
        <v>13885457220</v>
      </c>
    </row>
    <row r="36" spans="1:27" ht="25.95" customHeight="1">
      <c r="A36" s="14" t="s">
        <v>1502</v>
      </c>
      <c r="B36" s="14" t="s">
        <v>1312</v>
      </c>
      <c r="C36" s="14" t="s">
        <v>966</v>
      </c>
      <c r="D36" s="14" t="s">
        <v>967</v>
      </c>
      <c r="E36" s="14" t="s">
        <v>1503</v>
      </c>
      <c r="F36" s="16">
        <v>80037209</v>
      </c>
      <c r="G36" s="12">
        <v>46073</v>
      </c>
      <c r="H36" s="12">
        <v>46103</v>
      </c>
      <c r="I36" s="12">
        <v>46103</v>
      </c>
      <c r="J36" s="14">
        <v>30</v>
      </c>
      <c r="K36" s="14" t="s">
        <v>1350</v>
      </c>
      <c r="L36" s="14" t="s">
        <v>1449</v>
      </c>
      <c r="M36" s="5">
        <f>IF(AND(G36&lt;=D_F01!$B$7,OR(NOT(ISNUMBER(I36)),I36&gt;D_F01!$B$7),L36&lt;&gt;"cancelled"),1,0)</f>
        <v>0</v>
      </c>
      <c r="N36" s="9">
        <f t="shared" si="0"/>
        <v>0</v>
      </c>
      <c r="O36" s="5">
        <f>IF(M36=1,MAX(0,D_F01!$B$7-H36),0)</f>
        <v>0</v>
      </c>
      <c r="P36" s="5">
        <f>IF(AND(ISNUMBER(I36),I36&lt;=D_F01!$B$7),I36-H36,0)</f>
        <v>0</v>
      </c>
      <c r="Q36" s="5">
        <f t="shared" si="1"/>
        <v>0</v>
      </c>
      <c r="R36" s="5">
        <f>IF(AND(ISNUMBER(I36),I36&gt;D_F01!$B$7-D_F01!$B$25,I36&lt;=D_F01!$B$7),1,0)</f>
        <v>1</v>
      </c>
      <c r="S36" s="5">
        <f t="shared" si="2"/>
        <v>0</v>
      </c>
      <c r="T36" s="5">
        <f t="shared" si="3"/>
        <v>80037209</v>
      </c>
      <c r="U36" s="5">
        <f>IF(AND(H36&gt;D_F01!$B$7-D_F01!$B$25,H36&lt;=D_F01!$B$7),IF(M36=1,O36,Q36),0)</f>
        <v>0</v>
      </c>
      <c r="V36" s="5">
        <f t="shared" si="4"/>
        <v>80037209</v>
      </c>
      <c r="W36" s="5">
        <f>IF(AND(H36&gt;D_F01!$B$7-D_F01!$B$25,H36&lt;=D_F01!$B$7,L36&lt;&gt;"cancelled"),1,0)</f>
        <v>1</v>
      </c>
      <c r="X36" s="5">
        <f t="shared" si="5"/>
        <v>0</v>
      </c>
      <c r="Y36" s="5">
        <f t="shared" si="6"/>
        <v>0</v>
      </c>
      <c r="Z36" s="5">
        <f t="shared" si="7"/>
        <v>0</v>
      </c>
      <c r="AA36">
        <f t="shared" si="8"/>
        <v>2401116270</v>
      </c>
    </row>
    <row r="37" spans="1:27" ht="25.95" customHeight="1">
      <c r="A37" s="11" t="s">
        <v>1504</v>
      </c>
      <c r="B37" s="11" t="s">
        <v>1312</v>
      </c>
      <c r="C37" s="11" t="s">
        <v>954</v>
      </c>
      <c r="D37" s="11" t="s">
        <v>955</v>
      </c>
      <c r="E37" s="11" t="s">
        <v>1505</v>
      </c>
      <c r="F37" s="15">
        <v>535632810</v>
      </c>
      <c r="G37" s="13">
        <v>46074</v>
      </c>
      <c r="H37" s="13">
        <v>46104</v>
      </c>
      <c r="I37" s="13">
        <v>46097</v>
      </c>
      <c r="J37" s="11">
        <v>30</v>
      </c>
      <c r="K37" s="11" t="s">
        <v>1350</v>
      </c>
      <c r="L37" s="11" t="s">
        <v>1449</v>
      </c>
      <c r="M37" s="3">
        <f>IF(AND(G37&lt;=D_F01!$B$7,OR(NOT(ISNUMBER(I37)),I37&gt;D_F01!$B$7),L37&lt;&gt;"cancelled"),1,0)</f>
        <v>0</v>
      </c>
      <c r="N37" s="8">
        <f t="shared" ref="N37:N68" si="9">F37*M37</f>
        <v>0</v>
      </c>
      <c r="O37" s="3">
        <f>IF(M37=1,MAX(0,D_F01!$B$7-H37),0)</f>
        <v>0</v>
      </c>
      <c r="P37" s="3">
        <f>IF(AND(ISNUMBER(I37),I37&lt;=D_F01!$B$7),I37-H37,0)</f>
        <v>-7</v>
      </c>
      <c r="Q37" s="3">
        <f t="shared" ref="Q37:Q68" si="10">MAX(0,P37)</f>
        <v>0</v>
      </c>
      <c r="R37" s="3">
        <f>IF(AND(ISNUMBER(I37),I37&gt;D_F01!$B$7-D_F01!$B$25,I37&lt;=D_F01!$B$7),1,0)</f>
        <v>1</v>
      </c>
      <c r="S37" s="3">
        <f t="shared" ref="S37:S68" si="11">R37*F37*Q37</f>
        <v>0</v>
      </c>
      <c r="T37" s="3">
        <f t="shared" ref="T37:T68" si="12">R37*F37</f>
        <v>535632810</v>
      </c>
      <c r="U37" s="3">
        <f>IF(AND(H37&gt;D_F01!$B$7-D_F01!$B$25,H37&lt;=D_F01!$B$7),IF(M37=1,O37,Q37),0)</f>
        <v>0</v>
      </c>
      <c r="V37" s="3">
        <f t="shared" ref="V37:V68" si="13">F37*W37</f>
        <v>535632810</v>
      </c>
      <c r="W37" s="3">
        <f>IF(AND(H37&gt;D_F01!$B$7-D_F01!$B$25,H37&lt;=D_F01!$B$7,L37&lt;&gt;"cancelled"),1,0)</f>
        <v>1</v>
      </c>
      <c r="X37" s="3">
        <f t="shared" ref="X37:X68" si="14">V37*U37</f>
        <v>0</v>
      </c>
      <c r="Y37" s="3">
        <f t="shared" ref="Y37:Y68" si="15">M37*W37</f>
        <v>0</v>
      </c>
      <c r="Z37" s="3">
        <f t="shared" ref="Z37:Z68" si="16">R37*F37*P37</f>
        <v>-3749429670</v>
      </c>
      <c r="AA37">
        <f t="shared" ref="AA37:AA68" si="17">T37*J37</f>
        <v>16068984300</v>
      </c>
    </row>
    <row r="38" spans="1:27" ht="25.95" customHeight="1">
      <c r="A38" s="14" t="s">
        <v>1506</v>
      </c>
      <c r="B38" s="14" t="s">
        <v>1312</v>
      </c>
      <c r="C38" s="14" t="s">
        <v>954</v>
      </c>
      <c r="D38" s="14" t="s">
        <v>955</v>
      </c>
      <c r="E38" s="14" t="s">
        <v>1507</v>
      </c>
      <c r="F38" s="16">
        <v>168860633</v>
      </c>
      <c r="G38" s="12">
        <v>46076</v>
      </c>
      <c r="H38" s="12">
        <v>46106</v>
      </c>
      <c r="I38" s="12">
        <v>46099</v>
      </c>
      <c r="J38" s="14">
        <v>30</v>
      </c>
      <c r="K38" s="14" t="s">
        <v>1350</v>
      </c>
      <c r="L38" s="14" t="s">
        <v>1449</v>
      </c>
      <c r="M38" s="5">
        <f>IF(AND(G38&lt;=D_F01!$B$7,OR(NOT(ISNUMBER(I38)),I38&gt;D_F01!$B$7),L38&lt;&gt;"cancelled"),1,0)</f>
        <v>0</v>
      </c>
      <c r="N38" s="9">
        <f t="shared" si="9"/>
        <v>0</v>
      </c>
      <c r="O38" s="5">
        <f>IF(M38=1,MAX(0,D_F01!$B$7-H38),0)</f>
        <v>0</v>
      </c>
      <c r="P38" s="5">
        <f>IF(AND(ISNUMBER(I38),I38&lt;=D_F01!$B$7),I38-H38,0)</f>
        <v>-7</v>
      </c>
      <c r="Q38" s="5">
        <f t="shared" si="10"/>
        <v>0</v>
      </c>
      <c r="R38" s="5">
        <f>IF(AND(ISNUMBER(I38),I38&gt;D_F01!$B$7-D_F01!$B$25,I38&lt;=D_F01!$B$7),1,0)</f>
        <v>1</v>
      </c>
      <c r="S38" s="5">
        <f t="shared" si="11"/>
        <v>0</v>
      </c>
      <c r="T38" s="5">
        <f t="shared" si="12"/>
        <v>168860633</v>
      </c>
      <c r="U38" s="5">
        <f>IF(AND(H38&gt;D_F01!$B$7-D_F01!$B$25,H38&lt;=D_F01!$B$7),IF(M38=1,O38,Q38),0)</f>
        <v>0</v>
      </c>
      <c r="V38" s="5">
        <f t="shared" si="13"/>
        <v>168860633</v>
      </c>
      <c r="W38" s="5">
        <f>IF(AND(H38&gt;D_F01!$B$7-D_F01!$B$25,H38&lt;=D_F01!$B$7,L38&lt;&gt;"cancelled"),1,0)</f>
        <v>1</v>
      </c>
      <c r="X38" s="5">
        <f t="shared" si="14"/>
        <v>0</v>
      </c>
      <c r="Y38" s="5">
        <f t="shared" si="15"/>
        <v>0</v>
      </c>
      <c r="Z38" s="5">
        <f t="shared" si="16"/>
        <v>-1182024431</v>
      </c>
      <c r="AA38">
        <f t="shared" si="17"/>
        <v>5065818990</v>
      </c>
    </row>
    <row r="39" spans="1:27" ht="25.95" customHeight="1">
      <c r="A39" s="11" t="s">
        <v>1508</v>
      </c>
      <c r="B39" s="11" t="s">
        <v>1312</v>
      </c>
      <c r="C39" s="11" t="s">
        <v>956</v>
      </c>
      <c r="D39" s="11" t="s">
        <v>957</v>
      </c>
      <c r="E39" s="11" t="s">
        <v>1509</v>
      </c>
      <c r="F39" s="15">
        <v>244547300</v>
      </c>
      <c r="G39" s="13">
        <v>46076</v>
      </c>
      <c r="H39" s="13">
        <v>46106</v>
      </c>
      <c r="I39" s="13">
        <v>46106</v>
      </c>
      <c r="J39" s="11">
        <v>30</v>
      </c>
      <c r="K39" s="11" t="s">
        <v>1350</v>
      </c>
      <c r="L39" s="11" t="s">
        <v>1449</v>
      </c>
      <c r="M39" s="3">
        <f>IF(AND(G39&lt;=D_F01!$B$7,OR(NOT(ISNUMBER(I39)),I39&gt;D_F01!$B$7),L39&lt;&gt;"cancelled"),1,0)</f>
        <v>0</v>
      </c>
      <c r="N39" s="8">
        <f t="shared" si="9"/>
        <v>0</v>
      </c>
      <c r="O39" s="3">
        <f>IF(M39=1,MAX(0,D_F01!$B$7-H39),0)</f>
        <v>0</v>
      </c>
      <c r="P39" s="3">
        <f>IF(AND(ISNUMBER(I39),I39&lt;=D_F01!$B$7),I39-H39,0)</f>
        <v>0</v>
      </c>
      <c r="Q39" s="3">
        <f t="shared" si="10"/>
        <v>0</v>
      </c>
      <c r="R39" s="3">
        <f>IF(AND(ISNUMBER(I39),I39&gt;D_F01!$B$7-D_F01!$B$25,I39&lt;=D_F01!$B$7),1,0)</f>
        <v>1</v>
      </c>
      <c r="S39" s="3">
        <f t="shared" si="11"/>
        <v>0</v>
      </c>
      <c r="T39" s="3">
        <f t="shared" si="12"/>
        <v>244547300</v>
      </c>
      <c r="U39" s="3">
        <f>IF(AND(H39&gt;D_F01!$B$7-D_F01!$B$25,H39&lt;=D_F01!$B$7),IF(M39=1,O39,Q39),0)</f>
        <v>0</v>
      </c>
      <c r="V39" s="3">
        <f t="shared" si="13"/>
        <v>244547300</v>
      </c>
      <c r="W39" s="3">
        <f>IF(AND(H39&gt;D_F01!$B$7-D_F01!$B$25,H39&lt;=D_F01!$B$7,L39&lt;&gt;"cancelled"),1,0)</f>
        <v>1</v>
      </c>
      <c r="X39" s="3">
        <f t="shared" si="14"/>
        <v>0</v>
      </c>
      <c r="Y39" s="3">
        <f t="shared" si="15"/>
        <v>0</v>
      </c>
      <c r="Z39" s="3">
        <f t="shared" si="16"/>
        <v>0</v>
      </c>
      <c r="AA39">
        <f t="shared" si="17"/>
        <v>7336419000</v>
      </c>
    </row>
    <row r="40" spans="1:27" ht="40.049999999999997" customHeight="1">
      <c r="A40" s="14" t="s">
        <v>1510</v>
      </c>
      <c r="B40" s="14" t="s">
        <v>1312</v>
      </c>
      <c r="C40" s="14" t="s">
        <v>958</v>
      </c>
      <c r="D40" s="14" t="s">
        <v>959</v>
      </c>
      <c r="E40" s="14" t="s">
        <v>1511</v>
      </c>
      <c r="F40" s="16">
        <v>450599483</v>
      </c>
      <c r="G40" s="12">
        <v>46076</v>
      </c>
      <c r="H40" s="12">
        <v>46121</v>
      </c>
      <c r="I40" s="12">
        <v>46123</v>
      </c>
      <c r="J40" s="14">
        <v>45</v>
      </c>
      <c r="K40" s="14" t="s">
        <v>1350</v>
      </c>
      <c r="L40" s="14" t="s">
        <v>1449</v>
      </c>
      <c r="M40" s="5">
        <f>IF(AND(G40&lt;=D_F01!$B$7,OR(NOT(ISNUMBER(I40)),I40&gt;D_F01!$B$7),L40&lt;&gt;"cancelled"),1,0)</f>
        <v>0</v>
      </c>
      <c r="N40" s="9">
        <f t="shared" si="9"/>
        <v>0</v>
      </c>
      <c r="O40" s="5">
        <f>IF(M40=1,MAX(0,D_F01!$B$7-H40),0)</f>
        <v>0</v>
      </c>
      <c r="P40" s="5">
        <f>IF(AND(ISNUMBER(I40),I40&lt;=D_F01!$B$7),I40-H40,0)</f>
        <v>2</v>
      </c>
      <c r="Q40" s="5">
        <f t="shared" si="10"/>
        <v>2</v>
      </c>
      <c r="R40" s="5">
        <f>IF(AND(ISNUMBER(I40),I40&gt;D_F01!$B$7-D_F01!$B$25,I40&lt;=D_F01!$B$7),1,0)</f>
        <v>1</v>
      </c>
      <c r="S40" s="5">
        <f t="shared" si="11"/>
        <v>901198966</v>
      </c>
      <c r="T40" s="5">
        <f t="shared" si="12"/>
        <v>450599483</v>
      </c>
      <c r="U40" s="5">
        <f>IF(AND(H40&gt;D_F01!$B$7-D_F01!$B$25,H40&lt;=D_F01!$B$7),IF(M40=1,O40,Q40),0)</f>
        <v>2</v>
      </c>
      <c r="V40" s="5">
        <f t="shared" si="13"/>
        <v>450599483</v>
      </c>
      <c r="W40" s="5">
        <f>IF(AND(H40&gt;D_F01!$B$7-D_F01!$B$25,H40&lt;=D_F01!$B$7,L40&lt;&gt;"cancelled"),1,0)</f>
        <v>1</v>
      </c>
      <c r="X40" s="5">
        <f t="shared" si="14"/>
        <v>901198966</v>
      </c>
      <c r="Y40" s="5">
        <f t="shared" si="15"/>
        <v>0</v>
      </c>
      <c r="Z40" s="5">
        <f t="shared" si="16"/>
        <v>901198966</v>
      </c>
      <c r="AA40">
        <f t="shared" si="17"/>
        <v>20276976735</v>
      </c>
    </row>
    <row r="41" spans="1:27" ht="25.95" customHeight="1">
      <c r="A41" s="11" t="s">
        <v>1512</v>
      </c>
      <c r="B41" s="11" t="s">
        <v>1312</v>
      </c>
      <c r="C41" s="11" t="s">
        <v>962</v>
      </c>
      <c r="D41" s="11" t="s">
        <v>963</v>
      </c>
      <c r="E41" s="11" t="s">
        <v>1513</v>
      </c>
      <c r="F41" s="15">
        <v>208678826</v>
      </c>
      <c r="G41" s="13">
        <v>46080</v>
      </c>
      <c r="H41" s="13">
        <v>46110</v>
      </c>
      <c r="I41" s="13">
        <v>46115</v>
      </c>
      <c r="J41" s="11">
        <v>30</v>
      </c>
      <c r="K41" s="11" t="s">
        <v>1350</v>
      </c>
      <c r="L41" s="11" t="s">
        <v>1449</v>
      </c>
      <c r="M41" s="3">
        <f>IF(AND(G41&lt;=D_F01!$B$7,OR(NOT(ISNUMBER(I41)),I41&gt;D_F01!$B$7),L41&lt;&gt;"cancelled"),1,0)</f>
        <v>0</v>
      </c>
      <c r="N41" s="8">
        <f t="shared" si="9"/>
        <v>0</v>
      </c>
      <c r="O41" s="3">
        <f>IF(M41=1,MAX(0,D_F01!$B$7-H41),0)</f>
        <v>0</v>
      </c>
      <c r="P41" s="3">
        <f>IF(AND(ISNUMBER(I41),I41&lt;=D_F01!$B$7),I41-H41,0)</f>
        <v>5</v>
      </c>
      <c r="Q41" s="3">
        <f t="shared" si="10"/>
        <v>5</v>
      </c>
      <c r="R41" s="3">
        <f>IF(AND(ISNUMBER(I41),I41&gt;D_F01!$B$7-D_F01!$B$25,I41&lt;=D_F01!$B$7),1,0)</f>
        <v>1</v>
      </c>
      <c r="S41" s="3">
        <f t="shared" si="11"/>
        <v>1043394130</v>
      </c>
      <c r="T41" s="3">
        <f t="shared" si="12"/>
        <v>208678826</v>
      </c>
      <c r="U41" s="3">
        <f>IF(AND(H41&gt;D_F01!$B$7-D_F01!$B$25,H41&lt;=D_F01!$B$7),IF(M41=1,O41,Q41),0)</f>
        <v>5</v>
      </c>
      <c r="V41" s="3">
        <f t="shared" si="13"/>
        <v>208678826</v>
      </c>
      <c r="W41" s="3">
        <f>IF(AND(H41&gt;D_F01!$B$7-D_F01!$B$25,H41&lt;=D_F01!$B$7,L41&lt;&gt;"cancelled"),1,0)</f>
        <v>1</v>
      </c>
      <c r="X41" s="3">
        <f t="shared" si="14"/>
        <v>1043394130</v>
      </c>
      <c r="Y41" s="3">
        <f t="shared" si="15"/>
        <v>0</v>
      </c>
      <c r="Z41" s="3">
        <f t="shared" si="16"/>
        <v>1043394130</v>
      </c>
      <c r="AA41">
        <f t="shared" si="17"/>
        <v>6260364780</v>
      </c>
    </row>
    <row r="42" spans="1:27" ht="25.95" customHeight="1">
      <c r="A42" s="14" t="s">
        <v>1127</v>
      </c>
      <c r="B42" s="14" t="s">
        <v>1312</v>
      </c>
      <c r="C42" s="14" t="s">
        <v>966</v>
      </c>
      <c r="D42" s="14" t="s">
        <v>967</v>
      </c>
      <c r="E42" s="14" t="s">
        <v>1514</v>
      </c>
      <c r="F42" s="16">
        <v>24326055</v>
      </c>
      <c r="G42" s="12">
        <v>46081</v>
      </c>
      <c r="H42" s="12">
        <v>46111</v>
      </c>
      <c r="I42" s="12"/>
      <c r="J42" s="14">
        <v>30</v>
      </c>
      <c r="K42" s="14" t="s">
        <v>1350</v>
      </c>
      <c r="L42" s="14" t="s">
        <v>1449</v>
      </c>
      <c r="M42" s="5">
        <f>IF(AND(G42&lt;=D_F01!$B$7,OR(NOT(ISNUMBER(I42)),I42&gt;D_F01!$B$7),L42&lt;&gt;"cancelled"),1,0)</f>
        <v>1</v>
      </c>
      <c r="N42" s="9">
        <f t="shared" si="9"/>
        <v>24326055</v>
      </c>
      <c r="O42" s="5">
        <f>IF(M42=1,MAX(0,D_F01!$B$7-H42),0)</f>
        <v>82</v>
      </c>
      <c r="P42" s="5">
        <f>IF(AND(ISNUMBER(I42),I42&lt;=D_F01!$B$7),I42-H42,0)</f>
        <v>0</v>
      </c>
      <c r="Q42" s="5">
        <f t="shared" si="10"/>
        <v>0</v>
      </c>
      <c r="R42" s="5">
        <f>IF(AND(ISNUMBER(I42),I42&gt;D_F01!$B$7-D_F01!$B$25,I42&lt;=D_F01!$B$7),1,0)</f>
        <v>0</v>
      </c>
      <c r="S42" s="5">
        <f t="shared" si="11"/>
        <v>0</v>
      </c>
      <c r="T42" s="5">
        <f t="shared" si="12"/>
        <v>0</v>
      </c>
      <c r="U42" s="5">
        <f>IF(AND(H42&gt;D_F01!$B$7-D_F01!$B$25,H42&lt;=D_F01!$B$7),IF(M42=1,O42,Q42),0)</f>
        <v>82</v>
      </c>
      <c r="V42" s="5">
        <f t="shared" si="13"/>
        <v>24326055</v>
      </c>
      <c r="W42" s="5">
        <f>IF(AND(H42&gt;D_F01!$B$7-D_F01!$B$25,H42&lt;=D_F01!$B$7,L42&lt;&gt;"cancelled"),1,0)</f>
        <v>1</v>
      </c>
      <c r="X42" s="5">
        <f t="shared" si="14"/>
        <v>1994736510</v>
      </c>
      <c r="Y42" s="5">
        <f t="shared" si="15"/>
        <v>1</v>
      </c>
      <c r="Z42" s="5">
        <f t="shared" si="16"/>
        <v>0</v>
      </c>
      <c r="AA42">
        <f t="shared" si="17"/>
        <v>0</v>
      </c>
    </row>
    <row r="43" spans="1:27" ht="25.95" customHeight="1">
      <c r="A43" s="11" t="s">
        <v>1515</v>
      </c>
      <c r="B43" s="11" t="s">
        <v>1312</v>
      </c>
      <c r="C43" s="11" t="s">
        <v>954</v>
      </c>
      <c r="D43" s="11" t="s">
        <v>955</v>
      </c>
      <c r="E43" s="11" t="s">
        <v>1516</v>
      </c>
      <c r="F43" s="15">
        <v>348978051</v>
      </c>
      <c r="G43" s="13">
        <v>46082</v>
      </c>
      <c r="H43" s="13">
        <v>46112</v>
      </c>
      <c r="I43" s="13">
        <v>46116</v>
      </c>
      <c r="J43" s="11">
        <v>30</v>
      </c>
      <c r="K43" s="11" t="s">
        <v>1350</v>
      </c>
      <c r="L43" s="11" t="s">
        <v>1449</v>
      </c>
      <c r="M43" s="3">
        <f>IF(AND(G43&lt;=D_F01!$B$7,OR(NOT(ISNUMBER(I43)),I43&gt;D_F01!$B$7),L43&lt;&gt;"cancelled"),1,0)</f>
        <v>0</v>
      </c>
      <c r="N43" s="8">
        <f t="shared" si="9"/>
        <v>0</v>
      </c>
      <c r="O43" s="3">
        <f>IF(M43=1,MAX(0,D_F01!$B$7-H43),0)</f>
        <v>0</v>
      </c>
      <c r="P43" s="3">
        <f>IF(AND(ISNUMBER(I43),I43&lt;=D_F01!$B$7),I43-H43,0)</f>
        <v>4</v>
      </c>
      <c r="Q43" s="3">
        <f t="shared" si="10"/>
        <v>4</v>
      </c>
      <c r="R43" s="3">
        <f>IF(AND(ISNUMBER(I43),I43&gt;D_F01!$B$7-D_F01!$B$25,I43&lt;=D_F01!$B$7),1,0)</f>
        <v>1</v>
      </c>
      <c r="S43" s="3">
        <f t="shared" si="11"/>
        <v>1395912204</v>
      </c>
      <c r="T43" s="3">
        <f t="shared" si="12"/>
        <v>348978051</v>
      </c>
      <c r="U43" s="3">
        <f>IF(AND(H43&gt;D_F01!$B$7-D_F01!$B$25,H43&lt;=D_F01!$B$7),IF(M43=1,O43,Q43),0)</f>
        <v>4</v>
      </c>
      <c r="V43" s="3">
        <f t="shared" si="13"/>
        <v>348978051</v>
      </c>
      <c r="W43" s="3">
        <f>IF(AND(H43&gt;D_F01!$B$7-D_F01!$B$25,H43&lt;=D_F01!$B$7,L43&lt;&gt;"cancelled"),1,0)</f>
        <v>1</v>
      </c>
      <c r="X43" s="3">
        <f t="shared" si="14"/>
        <v>1395912204</v>
      </c>
      <c r="Y43" s="3">
        <f t="shared" si="15"/>
        <v>0</v>
      </c>
      <c r="Z43" s="3">
        <f t="shared" si="16"/>
        <v>1395912204</v>
      </c>
      <c r="AA43">
        <f t="shared" si="17"/>
        <v>10469341530</v>
      </c>
    </row>
    <row r="44" spans="1:27" ht="25.95" customHeight="1">
      <c r="A44" s="14" t="s">
        <v>1517</v>
      </c>
      <c r="B44" s="14" t="s">
        <v>1312</v>
      </c>
      <c r="C44" s="14" t="s">
        <v>960</v>
      </c>
      <c r="D44" s="14" t="s">
        <v>961</v>
      </c>
      <c r="E44" s="14" t="s">
        <v>1518</v>
      </c>
      <c r="F44" s="16">
        <v>64233017</v>
      </c>
      <c r="G44" s="12">
        <v>46082</v>
      </c>
      <c r="H44" s="12">
        <v>46112</v>
      </c>
      <c r="I44" s="12">
        <v>46116</v>
      </c>
      <c r="J44" s="14">
        <v>30</v>
      </c>
      <c r="K44" s="14" t="s">
        <v>1350</v>
      </c>
      <c r="L44" s="14" t="s">
        <v>1449</v>
      </c>
      <c r="M44" s="5">
        <f>IF(AND(G44&lt;=D_F01!$B$7,OR(NOT(ISNUMBER(I44)),I44&gt;D_F01!$B$7),L44&lt;&gt;"cancelled"),1,0)</f>
        <v>0</v>
      </c>
      <c r="N44" s="9">
        <f t="shared" si="9"/>
        <v>0</v>
      </c>
      <c r="O44" s="5">
        <f>IF(M44=1,MAX(0,D_F01!$B$7-H44),0)</f>
        <v>0</v>
      </c>
      <c r="P44" s="5">
        <f>IF(AND(ISNUMBER(I44),I44&lt;=D_F01!$B$7),I44-H44,0)</f>
        <v>4</v>
      </c>
      <c r="Q44" s="5">
        <f t="shared" si="10"/>
        <v>4</v>
      </c>
      <c r="R44" s="5">
        <f>IF(AND(ISNUMBER(I44),I44&gt;D_F01!$B$7-D_F01!$B$25,I44&lt;=D_F01!$B$7),1,0)</f>
        <v>1</v>
      </c>
      <c r="S44" s="5">
        <f t="shared" si="11"/>
        <v>256932068</v>
      </c>
      <c r="T44" s="5">
        <f t="shared" si="12"/>
        <v>64233017</v>
      </c>
      <c r="U44" s="5">
        <f>IF(AND(H44&gt;D_F01!$B$7-D_F01!$B$25,H44&lt;=D_F01!$B$7),IF(M44=1,O44,Q44),0)</f>
        <v>4</v>
      </c>
      <c r="V44" s="5">
        <f t="shared" si="13"/>
        <v>64233017</v>
      </c>
      <c r="W44" s="5">
        <f>IF(AND(H44&gt;D_F01!$B$7-D_F01!$B$25,H44&lt;=D_F01!$B$7,L44&lt;&gt;"cancelled"),1,0)</f>
        <v>1</v>
      </c>
      <c r="X44" s="5">
        <f t="shared" si="14"/>
        <v>256932068</v>
      </c>
      <c r="Y44" s="5">
        <f t="shared" si="15"/>
        <v>0</v>
      </c>
      <c r="Z44" s="5">
        <f t="shared" si="16"/>
        <v>256932068</v>
      </c>
      <c r="AA44">
        <f t="shared" si="17"/>
        <v>1926990510</v>
      </c>
    </row>
    <row r="45" spans="1:27" ht="25.95" customHeight="1">
      <c r="A45" s="11" t="s">
        <v>1519</v>
      </c>
      <c r="B45" s="11" t="s">
        <v>1312</v>
      </c>
      <c r="C45" s="11" t="s">
        <v>960</v>
      </c>
      <c r="D45" s="11" t="s">
        <v>961</v>
      </c>
      <c r="E45" s="11" t="s">
        <v>1520</v>
      </c>
      <c r="F45" s="15">
        <v>84556239</v>
      </c>
      <c r="G45" s="13">
        <v>46083</v>
      </c>
      <c r="H45" s="13">
        <v>46113</v>
      </c>
      <c r="I45" s="13">
        <v>46115</v>
      </c>
      <c r="J45" s="11">
        <v>30</v>
      </c>
      <c r="K45" s="11" t="s">
        <v>1350</v>
      </c>
      <c r="L45" s="11" t="s">
        <v>1449</v>
      </c>
      <c r="M45" s="3">
        <f>IF(AND(G45&lt;=D_F01!$B$7,OR(NOT(ISNUMBER(I45)),I45&gt;D_F01!$B$7),L45&lt;&gt;"cancelled"),1,0)</f>
        <v>0</v>
      </c>
      <c r="N45" s="8">
        <f t="shared" si="9"/>
        <v>0</v>
      </c>
      <c r="O45" s="3">
        <f>IF(M45=1,MAX(0,D_F01!$B$7-H45),0)</f>
        <v>0</v>
      </c>
      <c r="P45" s="3">
        <f>IF(AND(ISNUMBER(I45),I45&lt;=D_F01!$B$7),I45-H45,0)</f>
        <v>2</v>
      </c>
      <c r="Q45" s="3">
        <f t="shared" si="10"/>
        <v>2</v>
      </c>
      <c r="R45" s="3">
        <f>IF(AND(ISNUMBER(I45),I45&gt;D_F01!$B$7-D_F01!$B$25,I45&lt;=D_F01!$B$7),1,0)</f>
        <v>1</v>
      </c>
      <c r="S45" s="3">
        <f t="shared" si="11"/>
        <v>169112478</v>
      </c>
      <c r="T45" s="3">
        <f t="shared" si="12"/>
        <v>84556239</v>
      </c>
      <c r="U45" s="3">
        <f>IF(AND(H45&gt;D_F01!$B$7-D_F01!$B$25,H45&lt;=D_F01!$B$7),IF(M45=1,O45,Q45),0)</f>
        <v>2</v>
      </c>
      <c r="V45" s="3">
        <f t="shared" si="13"/>
        <v>84556239</v>
      </c>
      <c r="W45" s="3">
        <f>IF(AND(H45&gt;D_F01!$B$7-D_F01!$B$25,H45&lt;=D_F01!$B$7,L45&lt;&gt;"cancelled"),1,0)</f>
        <v>1</v>
      </c>
      <c r="X45" s="3">
        <f t="shared" si="14"/>
        <v>169112478</v>
      </c>
      <c r="Y45" s="3">
        <f t="shared" si="15"/>
        <v>0</v>
      </c>
      <c r="Z45" s="3">
        <f t="shared" si="16"/>
        <v>169112478</v>
      </c>
      <c r="AA45">
        <f t="shared" si="17"/>
        <v>2536687170</v>
      </c>
    </row>
    <row r="46" spans="1:27" ht="25.95" customHeight="1">
      <c r="A46" s="14" t="s">
        <v>1521</v>
      </c>
      <c r="B46" s="14" t="s">
        <v>1312</v>
      </c>
      <c r="C46" s="14" t="s">
        <v>956</v>
      </c>
      <c r="D46" s="14" t="s">
        <v>957</v>
      </c>
      <c r="E46" s="14" t="s">
        <v>1509</v>
      </c>
      <c r="F46" s="16">
        <v>366117733</v>
      </c>
      <c r="G46" s="12">
        <v>46084</v>
      </c>
      <c r="H46" s="12">
        <v>46114</v>
      </c>
      <c r="I46" s="12">
        <v>46123</v>
      </c>
      <c r="J46" s="14">
        <v>30</v>
      </c>
      <c r="K46" s="14" t="s">
        <v>1350</v>
      </c>
      <c r="L46" s="14" t="s">
        <v>1449</v>
      </c>
      <c r="M46" s="5">
        <f>IF(AND(G46&lt;=D_F01!$B$7,OR(NOT(ISNUMBER(I46)),I46&gt;D_F01!$B$7),L46&lt;&gt;"cancelled"),1,0)</f>
        <v>0</v>
      </c>
      <c r="N46" s="9">
        <f t="shared" si="9"/>
        <v>0</v>
      </c>
      <c r="O46" s="5">
        <f>IF(M46=1,MAX(0,D_F01!$B$7-H46),0)</f>
        <v>0</v>
      </c>
      <c r="P46" s="5">
        <f>IF(AND(ISNUMBER(I46),I46&lt;=D_F01!$B$7),I46-H46,0)</f>
        <v>9</v>
      </c>
      <c r="Q46" s="5">
        <f t="shared" si="10"/>
        <v>9</v>
      </c>
      <c r="R46" s="5">
        <f>IF(AND(ISNUMBER(I46),I46&gt;D_F01!$B$7-D_F01!$B$25,I46&lt;=D_F01!$B$7),1,0)</f>
        <v>1</v>
      </c>
      <c r="S46" s="5">
        <f t="shared" si="11"/>
        <v>3295059597</v>
      </c>
      <c r="T46" s="5">
        <f t="shared" si="12"/>
        <v>366117733</v>
      </c>
      <c r="U46" s="5">
        <f>IF(AND(H46&gt;D_F01!$B$7-D_F01!$B$25,H46&lt;=D_F01!$B$7),IF(M46=1,O46,Q46),0)</f>
        <v>9</v>
      </c>
      <c r="V46" s="5">
        <f t="shared" si="13"/>
        <v>366117733</v>
      </c>
      <c r="W46" s="5">
        <f>IF(AND(H46&gt;D_F01!$B$7-D_F01!$B$25,H46&lt;=D_F01!$B$7,L46&lt;&gt;"cancelled"),1,0)</f>
        <v>1</v>
      </c>
      <c r="X46" s="5">
        <f t="shared" si="14"/>
        <v>3295059597</v>
      </c>
      <c r="Y46" s="5">
        <f t="shared" si="15"/>
        <v>0</v>
      </c>
      <c r="Z46" s="5">
        <f t="shared" si="16"/>
        <v>3295059597</v>
      </c>
      <c r="AA46">
        <f t="shared" si="17"/>
        <v>10983531990</v>
      </c>
    </row>
    <row r="47" spans="1:27" ht="25.95" customHeight="1">
      <c r="A47" s="11" t="s">
        <v>1522</v>
      </c>
      <c r="B47" s="11" t="s">
        <v>1312</v>
      </c>
      <c r="C47" s="11" t="s">
        <v>952</v>
      </c>
      <c r="D47" s="11" t="s">
        <v>953</v>
      </c>
      <c r="E47" s="11" t="s">
        <v>1523</v>
      </c>
      <c r="F47" s="15">
        <v>352205930</v>
      </c>
      <c r="G47" s="13">
        <v>46088</v>
      </c>
      <c r="H47" s="13">
        <v>46133</v>
      </c>
      <c r="I47" s="13">
        <v>46137</v>
      </c>
      <c r="J47" s="11">
        <v>45</v>
      </c>
      <c r="K47" s="11" t="s">
        <v>1350</v>
      </c>
      <c r="L47" s="11" t="s">
        <v>1449</v>
      </c>
      <c r="M47" s="3">
        <f>IF(AND(G47&lt;=D_F01!$B$7,OR(NOT(ISNUMBER(I47)),I47&gt;D_F01!$B$7),L47&lt;&gt;"cancelled"),1,0)</f>
        <v>0</v>
      </c>
      <c r="N47" s="8">
        <f t="shared" si="9"/>
        <v>0</v>
      </c>
      <c r="O47" s="3">
        <f>IF(M47=1,MAX(0,D_F01!$B$7-H47),0)</f>
        <v>0</v>
      </c>
      <c r="P47" s="3">
        <f>IF(AND(ISNUMBER(I47),I47&lt;=D_F01!$B$7),I47-H47,0)</f>
        <v>4</v>
      </c>
      <c r="Q47" s="3">
        <f t="shared" si="10"/>
        <v>4</v>
      </c>
      <c r="R47" s="3">
        <f>IF(AND(ISNUMBER(I47),I47&gt;D_F01!$B$7-D_F01!$B$25,I47&lt;=D_F01!$B$7),1,0)</f>
        <v>1</v>
      </c>
      <c r="S47" s="3">
        <f t="shared" si="11"/>
        <v>1408823720</v>
      </c>
      <c r="T47" s="3">
        <f t="shared" si="12"/>
        <v>352205930</v>
      </c>
      <c r="U47" s="3">
        <f>IF(AND(H47&gt;D_F01!$B$7-D_F01!$B$25,H47&lt;=D_F01!$B$7),IF(M47=1,O47,Q47),0)</f>
        <v>4</v>
      </c>
      <c r="V47" s="3">
        <f t="shared" si="13"/>
        <v>352205930</v>
      </c>
      <c r="W47" s="3">
        <f>IF(AND(H47&gt;D_F01!$B$7-D_F01!$B$25,H47&lt;=D_F01!$B$7,L47&lt;&gt;"cancelled"),1,0)</f>
        <v>1</v>
      </c>
      <c r="X47" s="3">
        <f t="shared" si="14"/>
        <v>1408823720</v>
      </c>
      <c r="Y47" s="3">
        <f t="shared" si="15"/>
        <v>0</v>
      </c>
      <c r="Z47" s="3">
        <f t="shared" si="16"/>
        <v>1408823720</v>
      </c>
      <c r="AA47">
        <f t="shared" si="17"/>
        <v>15849266850</v>
      </c>
    </row>
    <row r="48" spans="1:27" ht="25.95" customHeight="1">
      <c r="A48" s="14" t="s">
        <v>1524</v>
      </c>
      <c r="B48" s="14" t="s">
        <v>1312</v>
      </c>
      <c r="C48" s="14" t="s">
        <v>960</v>
      </c>
      <c r="D48" s="14" t="s">
        <v>961</v>
      </c>
      <c r="E48" s="14" t="s">
        <v>1520</v>
      </c>
      <c r="F48" s="16">
        <v>116508694</v>
      </c>
      <c r="G48" s="12">
        <v>46089</v>
      </c>
      <c r="H48" s="12">
        <v>46119</v>
      </c>
      <c r="I48" s="12">
        <v>46128</v>
      </c>
      <c r="J48" s="14">
        <v>30</v>
      </c>
      <c r="K48" s="14" t="s">
        <v>1350</v>
      </c>
      <c r="L48" s="14" t="s">
        <v>1449</v>
      </c>
      <c r="M48" s="5">
        <f>IF(AND(G48&lt;=D_F01!$B$7,OR(NOT(ISNUMBER(I48)),I48&gt;D_F01!$B$7),L48&lt;&gt;"cancelled"),1,0)</f>
        <v>0</v>
      </c>
      <c r="N48" s="9">
        <f t="shared" si="9"/>
        <v>0</v>
      </c>
      <c r="O48" s="5">
        <f>IF(M48=1,MAX(0,D_F01!$B$7-H48),0)</f>
        <v>0</v>
      </c>
      <c r="P48" s="5">
        <f>IF(AND(ISNUMBER(I48),I48&lt;=D_F01!$B$7),I48-H48,0)</f>
        <v>9</v>
      </c>
      <c r="Q48" s="5">
        <f t="shared" si="10"/>
        <v>9</v>
      </c>
      <c r="R48" s="5">
        <f>IF(AND(ISNUMBER(I48),I48&gt;D_F01!$B$7-D_F01!$B$25,I48&lt;=D_F01!$B$7),1,0)</f>
        <v>1</v>
      </c>
      <c r="S48" s="5">
        <f t="shared" si="11"/>
        <v>1048578246</v>
      </c>
      <c r="T48" s="5">
        <f t="shared" si="12"/>
        <v>116508694</v>
      </c>
      <c r="U48" s="5">
        <f>IF(AND(H48&gt;D_F01!$B$7-D_F01!$B$25,H48&lt;=D_F01!$B$7),IF(M48=1,O48,Q48),0)</f>
        <v>9</v>
      </c>
      <c r="V48" s="5">
        <f t="shared" si="13"/>
        <v>116508694</v>
      </c>
      <c r="W48" s="5">
        <f>IF(AND(H48&gt;D_F01!$B$7-D_F01!$B$25,H48&lt;=D_F01!$B$7,L48&lt;&gt;"cancelled"),1,0)</f>
        <v>1</v>
      </c>
      <c r="X48" s="5">
        <f t="shared" si="14"/>
        <v>1048578246</v>
      </c>
      <c r="Y48" s="5">
        <f t="shared" si="15"/>
        <v>0</v>
      </c>
      <c r="Z48" s="5">
        <f t="shared" si="16"/>
        <v>1048578246</v>
      </c>
      <c r="AA48">
        <f t="shared" si="17"/>
        <v>3495260820</v>
      </c>
    </row>
    <row r="49" spans="1:27" ht="25.95" customHeight="1">
      <c r="A49" s="11" t="s">
        <v>1525</v>
      </c>
      <c r="B49" s="11" t="s">
        <v>1312</v>
      </c>
      <c r="C49" s="11" t="s">
        <v>956</v>
      </c>
      <c r="D49" s="11" t="s">
        <v>957</v>
      </c>
      <c r="E49" s="11" t="s">
        <v>1526</v>
      </c>
      <c r="F49" s="15">
        <v>159629254</v>
      </c>
      <c r="G49" s="13">
        <v>46089</v>
      </c>
      <c r="H49" s="13">
        <v>46119</v>
      </c>
      <c r="I49" s="13">
        <v>46119</v>
      </c>
      <c r="J49" s="11">
        <v>30</v>
      </c>
      <c r="K49" s="11" t="s">
        <v>1350</v>
      </c>
      <c r="L49" s="11" t="s">
        <v>1449</v>
      </c>
      <c r="M49" s="3">
        <f>IF(AND(G49&lt;=D_F01!$B$7,OR(NOT(ISNUMBER(I49)),I49&gt;D_F01!$B$7),L49&lt;&gt;"cancelled"),1,0)</f>
        <v>0</v>
      </c>
      <c r="N49" s="8">
        <f t="shared" si="9"/>
        <v>0</v>
      </c>
      <c r="O49" s="3">
        <f>IF(M49=1,MAX(0,D_F01!$B$7-H49),0)</f>
        <v>0</v>
      </c>
      <c r="P49" s="3">
        <f>IF(AND(ISNUMBER(I49),I49&lt;=D_F01!$B$7),I49-H49,0)</f>
        <v>0</v>
      </c>
      <c r="Q49" s="3">
        <f t="shared" si="10"/>
        <v>0</v>
      </c>
      <c r="R49" s="3">
        <f>IF(AND(ISNUMBER(I49),I49&gt;D_F01!$B$7-D_F01!$B$25,I49&lt;=D_F01!$B$7),1,0)</f>
        <v>1</v>
      </c>
      <c r="S49" s="3">
        <f t="shared" si="11"/>
        <v>0</v>
      </c>
      <c r="T49" s="3">
        <f t="shared" si="12"/>
        <v>159629254</v>
      </c>
      <c r="U49" s="3">
        <f>IF(AND(H49&gt;D_F01!$B$7-D_F01!$B$25,H49&lt;=D_F01!$B$7),IF(M49=1,O49,Q49),0)</f>
        <v>0</v>
      </c>
      <c r="V49" s="3">
        <f t="shared" si="13"/>
        <v>159629254</v>
      </c>
      <c r="W49" s="3">
        <f>IF(AND(H49&gt;D_F01!$B$7-D_F01!$B$25,H49&lt;=D_F01!$B$7,L49&lt;&gt;"cancelled"),1,0)</f>
        <v>1</v>
      </c>
      <c r="X49" s="3">
        <f t="shared" si="14"/>
        <v>0</v>
      </c>
      <c r="Y49" s="3">
        <f t="shared" si="15"/>
        <v>0</v>
      </c>
      <c r="Z49" s="3">
        <f t="shared" si="16"/>
        <v>0</v>
      </c>
      <c r="AA49">
        <f t="shared" si="17"/>
        <v>4788877620</v>
      </c>
    </row>
    <row r="50" spans="1:27" ht="25.95" customHeight="1">
      <c r="A50" s="14" t="s">
        <v>1527</v>
      </c>
      <c r="B50" s="14" t="s">
        <v>1312</v>
      </c>
      <c r="C50" s="14" t="s">
        <v>954</v>
      </c>
      <c r="D50" s="14" t="s">
        <v>955</v>
      </c>
      <c r="E50" s="14" t="s">
        <v>1528</v>
      </c>
      <c r="F50" s="16">
        <v>341644381</v>
      </c>
      <c r="G50" s="12">
        <v>46090</v>
      </c>
      <c r="H50" s="12">
        <v>46120</v>
      </c>
      <c r="I50" s="12">
        <v>46116</v>
      </c>
      <c r="J50" s="14">
        <v>30</v>
      </c>
      <c r="K50" s="14" t="s">
        <v>1350</v>
      </c>
      <c r="L50" s="14" t="s">
        <v>1449</v>
      </c>
      <c r="M50" s="5">
        <f>IF(AND(G50&lt;=D_F01!$B$7,OR(NOT(ISNUMBER(I50)),I50&gt;D_F01!$B$7),L50&lt;&gt;"cancelled"),1,0)</f>
        <v>0</v>
      </c>
      <c r="N50" s="9">
        <f t="shared" si="9"/>
        <v>0</v>
      </c>
      <c r="O50" s="5">
        <f>IF(M50=1,MAX(0,D_F01!$B$7-H50),0)</f>
        <v>0</v>
      </c>
      <c r="P50" s="5">
        <f>IF(AND(ISNUMBER(I50),I50&lt;=D_F01!$B$7),I50-H50,0)</f>
        <v>-4</v>
      </c>
      <c r="Q50" s="5">
        <f t="shared" si="10"/>
        <v>0</v>
      </c>
      <c r="R50" s="5">
        <f>IF(AND(ISNUMBER(I50),I50&gt;D_F01!$B$7-D_F01!$B$25,I50&lt;=D_F01!$B$7),1,0)</f>
        <v>1</v>
      </c>
      <c r="S50" s="5">
        <f t="shared" si="11"/>
        <v>0</v>
      </c>
      <c r="T50" s="5">
        <f t="shared" si="12"/>
        <v>341644381</v>
      </c>
      <c r="U50" s="5">
        <f>IF(AND(H50&gt;D_F01!$B$7-D_F01!$B$25,H50&lt;=D_F01!$B$7),IF(M50=1,O50,Q50),0)</f>
        <v>0</v>
      </c>
      <c r="V50" s="5">
        <f t="shared" si="13"/>
        <v>341644381</v>
      </c>
      <c r="W50" s="5">
        <f>IF(AND(H50&gt;D_F01!$B$7-D_F01!$B$25,H50&lt;=D_F01!$B$7,L50&lt;&gt;"cancelled"),1,0)</f>
        <v>1</v>
      </c>
      <c r="X50" s="5">
        <f t="shared" si="14"/>
        <v>0</v>
      </c>
      <c r="Y50" s="5">
        <f t="shared" si="15"/>
        <v>0</v>
      </c>
      <c r="Z50" s="5">
        <f t="shared" si="16"/>
        <v>-1366577524</v>
      </c>
      <c r="AA50">
        <f t="shared" si="17"/>
        <v>10249331430</v>
      </c>
    </row>
    <row r="51" spans="1:27" ht="40.049999999999997" customHeight="1">
      <c r="A51" s="11" t="s">
        <v>1529</v>
      </c>
      <c r="B51" s="11" t="s">
        <v>1312</v>
      </c>
      <c r="C51" s="11" t="s">
        <v>958</v>
      </c>
      <c r="D51" s="11" t="s">
        <v>959</v>
      </c>
      <c r="E51" s="11" t="s">
        <v>1530</v>
      </c>
      <c r="F51" s="15">
        <v>709292697</v>
      </c>
      <c r="G51" s="13">
        <v>46091</v>
      </c>
      <c r="H51" s="13">
        <v>46121</v>
      </c>
      <c r="I51" s="13">
        <v>46117</v>
      </c>
      <c r="J51" s="11">
        <v>30</v>
      </c>
      <c r="K51" s="11" t="s">
        <v>1350</v>
      </c>
      <c r="L51" s="11" t="s">
        <v>1449</v>
      </c>
      <c r="M51" s="3">
        <f>IF(AND(G51&lt;=D_F01!$B$7,OR(NOT(ISNUMBER(I51)),I51&gt;D_F01!$B$7),L51&lt;&gt;"cancelled"),1,0)</f>
        <v>0</v>
      </c>
      <c r="N51" s="8">
        <f t="shared" si="9"/>
        <v>0</v>
      </c>
      <c r="O51" s="3">
        <f>IF(M51=1,MAX(0,D_F01!$B$7-H51),0)</f>
        <v>0</v>
      </c>
      <c r="P51" s="3">
        <f>IF(AND(ISNUMBER(I51),I51&lt;=D_F01!$B$7),I51-H51,0)</f>
        <v>-4</v>
      </c>
      <c r="Q51" s="3">
        <f t="shared" si="10"/>
        <v>0</v>
      </c>
      <c r="R51" s="3">
        <f>IF(AND(ISNUMBER(I51),I51&gt;D_F01!$B$7-D_F01!$B$25,I51&lt;=D_F01!$B$7),1,0)</f>
        <v>1</v>
      </c>
      <c r="S51" s="3">
        <f t="shared" si="11"/>
        <v>0</v>
      </c>
      <c r="T51" s="3">
        <f t="shared" si="12"/>
        <v>709292697</v>
      </c>
      <c r="U51" s="3">
        <f>IF(AND(H51&gt;D_F01!$B$7-D_F01!$B$25,H51&lt;=D_F01!$B$7),IF(M51=1,O51,Q51),0)</f>
        <v>0</v>
      </c>
      <c r="V51" s="3">
        <f t="shared" si="13"/>
        <v>709292697</v>
      </c>
      <c r="W51" s="3">
        <f>IF(AND(H51&gt;D_F01!$B$7-D_F01!$B$25,H51&lt;=D_F01!$B$7,L51&lt;&gt;"cancelled"),1,0)</f>
        <v>1</v>
      </c>
      <c r="X51" s="3">
        <f t="shared" si="14"/>
        <v>0</v>
      </c>
      <c r="Y51" s="3">
        <f t="shared" si="15"/>
        <v>0</v>
      </c>
      <c r="Z51" s="3">
        <f t="shared" si="16"/>
        <v>-2837170788</v>
      </c>
      <c r="AA51">
        <f t="shared" si="17"/>
        <v>21278780910</v>
      </c>
    </row>
    <row r="52" spans="1:27" ht="25.95" customHeight="1">
      <c r="A52" s="14" t="s">
        <v>1531</v>
      </c>
      <c r="B52" s="14" t="s">
        <v>1312</v>
      </c>
      <c r="C52" s="14" t="s">
        <v>954</v>
      </c>
      <c r="D52" s="14" t="s">
        <v>955</v>
      </c>
      <c r="E52" s="14" t="s">
        <v>1532</v>
      </c>
      <c r="F52" s="16">
        <v>226214012</v>
      </c>
      <c r="G52" s="12">
        <v>46094</v>
      </c>
      <c r="H52" s="12">
        <v>46124</v>
      </c>
      <c r="I52" s="12">
        <v>46127</v>
      </c>
      <c r="J52" s="14">
        <v>30</v>
      </c>
      <c r="K52" s="14" t="s">
        <v>1350</v>
      </c>
      <c r="L52" s="14" t="s">
        <v>1449</v>
      </c>
      <c r="M52" s="5">
        <f>IF(AND(G52&lt;=D_F01!$B$7,OR(NOT(ISNUMBER(I52)),I52&gt;D_F01!$B$7),L52&lt;&gt;"cancelled"),1,0)</f>
        <v>0</v>
      </c>
      <c r="N52" s="9">
        <f t="shared" si="9"/>
        <v>0</v>
      </c>
      <c r="O52" s="5">
        <f>IF(M52=1,MAX(0,D_F01!$B$7-H52),0)</f>
        <v>0</v>
      </c>
      <c r="P52" s="5">
        <f>IF(AND(ISNUMBER(I52),I52&lt;=D_F01!$B$7),I52-H52,0)</f>
        <v>3</v>
      </c>
      <c r="Q52" s="5">
        <f t="shared" si="10"/>
        <v>3</v>
      </c>
      <c r="R52" s="5">
        <f>IF(AND(ISNUMBER(I52),I52&gt;D_F01!$B$7-D_F01!$B$25,I52&lt;=D_F01!$B$7),1,0)</f>
        <v>1</v>
      </c>
      <c r="S52" s="5">
        <f t="shared" si="11"/>
        <v>678642036</v>
      </c>
      <c r="T52" s="5">
        <f t="shared" si="12"/>
        <v>226214012</v>
      </c>
      <c r="U52" s="5">
        <f>IF(AND(H52&gt;D_F01!$B$7-D_F01!$B$25,H52&lt;=D_F01!$B$7),IF(M52=1,O52,Q52),0)</f>
        <v>3</v>
      </c>
      <c r="V52" s="5">
        <f t="shared" si="13"/>
        <v>226214012</v>
      </c>
      <c r="W52" s="5">
        <f>IF(AND(H52&gt;D_F01!$B$7-D_F01!$B$25,H52&lt;=D_F01!$B$7,L52&lt;&gt;"cancelled"),1,0)</f>
        <v>1</v>
      </c>
      <c r="X52" s="5">
        <f t="shared" si="14"/>
        <v>678642036</v>
      </c>
      <c r="Y52" s="5">
        <f t="shared" si="15"/>
        <v>0</v>
      </c>
      <c r="Z52" s="5">
        <f t="shared" si="16"/>
        <v>678642036</v>
      </c>
      <c r="AA52">
        <f t="shared" si="17"/>
        <v>6786420360</v>
      </c>
    </row>
    <row r="53" spans="1:27" ht="25.95" customHeight="1">
      <c r="A53" s="11" t="s">
        <v>1533</v>
      </c>
      <c r="B53" s="11" t="s">
        <v>1312</v>
      </c>
      <c r="C53" s="11" t="s">
        <v>956</v>
      </c>
      <c r="D53" s="11" t="s">
        <v>957</v>
      </c>
      <c r="E53" s="11" t="s">
        <v>1534</v>
      </c>
      <c r="F53" s="15">
        <v>112367431</v>
      </c>
      <c r="G53" s="13">
        <v>46095</v>
      </c>
      <c r="H53" s="13">
        <v>46125</v>
      </c>
      <c r="I53" s="13">
        <v>46129</v>
      </c>
      <c r="J53" s="11">
        <v>30</v>
      </c>
      <c r="K53" s="11" t="s">
        <v>1350</v>
      </c>
      <c r="L53" s="11" t="s">
        <v>1449</v>
      </c>
      <c r="M53" s="3">
        <f>IF(AND(G53&lt;=D_F01!$B$7,OR(NOT(ISNUMBER(I53)),I53&gt;D_F01!$B$7),L53&lt;&gt;"cancelled"),1,0)</f>
        <v>0</v>
      </c>
      <c r="N53" s="8">
        <f t="shared" si="9"/>
        <v>0</v>
      </c>
      <c r="O53" s="3">
        <f>IF(M53=1,MAX(0,D_F01!$B$7-H53),0)</f>
        <v>0</v>
      </c>
      <c r="P53" s="3">
        <f>IF(AND(ISNUMBER(I53),I53&lt;=D_F01!$B$7),I53-H53,0)</f>
        <v>4</v>
      </c>
      <c r="Q53" s="3">
        <f t="shared" si="10"/>
        <v>4</v>
      </c>
      <c r="R53" s="3">
        <f>IF(AND(ISNUMBER(I53),I53&gt;D_F01!$B$7-D_F01!$B$25,I53&lt;=D_F01!$B$7),1,0)</f>
        <v>1</v>
      </c>
      <c r="S53" s="3">
        <f t="shared" si="11"/>
        <v>449469724</v>
      </c>
      <c r="T53" s="3">
        <f t="shared" si="12"/>
        <v>112367431</v>
      </c>
      <c r="U53" s="3">
        <f>IF(AND(H53&gt;D_F01!$B$7-D_F01!$B$25,H53&lt;=D_F01!$B$7),IF(M53=1,O53,Q53),0)</f>
        <v>4</v>
      </c>
      <c r="V53" s="3">
        <f t="shared" si="13"/>
        <v>112367431</v>
      </c>
      <c r="W53" s="3">
        <f>IF(AND(H53&gt;D_F01!$B$7-D_F01!$B$25,H53&lt;=D_F01!$B$7,L53&lt;&gt;"cancelled"),1,0)</f>
        <v>1</v>
      </c>
      <c r="X53" s="3">
        <f t="shared" si="14"/>
        <v>449469724</v>
      </c>
      <c r="Y53" s="3">
        <f t="shared" si="15"/>
        <v>0</v>
      </c>
      <c r="Z53" s="3">
        <f t="shared" si="16"/>
        <v>449469724</v>
      </c>
      <c r="AA53">
        <f t="shared" si="17"/>
        <v>3371022930</v>
      </c>
    </row>
    <row r="54" spans="1:27" ht="25.95" customHeight="1">
      <c r="A54" s="14" t="s">
        <v>1535</v>
      </c>
      <c r="B54" s="14" t="s">
        <v>1312</v>
      </c>
      <c r="C54" s="14" t="s">
        <v>954</v>
      </c>
      <c r="D54" s="14" t="s">
        <v>955</v>
      </c>
      <c r="E54" s="14" t="s">
        <v>1536</v>
      </c>
      <c r="F54" s="16">
        <v>206662288</v>
      </c>
      <c r="G54" s="12">
        <v>46096</v>
      </c>
      <c r="H54" s="12">
        <v>46126</v>
      </c>
      <c r="I54" s="12">
        <v>46124</v>
      </c>
      <c r="J54" s="14">
        <v>30</v>
      </c>
      <c r="K54" s="14" t="s">
        <v>1350</v>
      </c>
      <c r="L54" s="14" t="s">
        <v>1449</v>
      </c>
      <c r="M54" s="5">
        <f>IF(AND(G54&lt;=D_F01!$B$7,OR(NOT(ISNUMBER(I54)),I54&gt;D_F01!$B$7),L54&lt;&gt;"cancelled"),1,0)</f>
        <v>0</v>
      </c>
      <c r="N54" s="9">
        <f t="shared" si="9"/>
        <v>0</v>
      </c>
      <c r="O54" s="5">
        <f>IF(M54=1,MAX(0,D_F01!$B$7-H54),0)</f>
        <v>0</v>
      </c>
      <c r="P54" s="5">
        <f>IF(AND(ISNUMBER(I54),I54&lt;=D_F01!$B$7),I54-H54,0)</f>
        <v>-2</v>
      </c>
      <c r="Q54" s="5">
        <f t="shared" si="10"/>
        <v>0</v>
      </c>
      <c r="R54" s="5">
        <f>IF(AND(ISNUMBER(I54),I54&gt;D_F01!$B$7-D_F01!$B$25,I54&lt;=D_F01!$B$7),1,0)</f>
        <v>1</v>
      </c>
      <c r="S54" s="5">
        <f t="shared" si="11"/>
        <v>0</v>
      </c>
      <c r="T54" s="5">
        <f t="shared" si="12"/>
        <v>206662288</v>
      </c>
      <c r="U54" s="5">
        <f>IF(AND(H54&gt;D_F01!$B$7-D_F01!$B$25,H54&lt;=D_F01!$B$7),IF(M54=1,O54,Q54),0)</f>
        <v>0</v>
      </c>
      <c r="V54" s="5">
        <f t="shared" si="13"/>
        <v>206662288</v>
      </c>
      <c r="W54" s="5">
        <f>IF(AND(H54&gt;D_F01!$B$7-D_F01!$B$25,H54&lt;=D_F01!$B$7,L54&lt;&gt;"cancelled"),1,0)</f>
        <v>1</v>
      </c>
      <c r="X54" s="5">
        <f t="shared" si="14"/>
        <v>0</v>
      </c>
      <c r="Y54" s="5">
        <f t="shared" si="15"/>
        <v>0</v>
      </c>
      <c r="Z54" s="5">
        <f t="shared" si="16"/>
        <v>-413324576</v>
      </c>
      <c r="AA54">
        <f t="shared" si="17"/>
        <v>6199868640</v>
      </c>
    </row>
    <row r="55" spans="1:27" ht="25.95" customHeight="1">
      <c r="A55" s="11" t="s">
        <v>1131</v>
      </c>
      <c r="B55" s="11" t="s">
        <v>1312</v>
      </c>
      <c r="C55" s="11" t="s">
        <v>956</v>
      </c>
      <c r="D55" s="11" t="s">
        <v>957</v>
      </c>
      <c r="E55" s="11" t="s">
        <v>1537</v>
      </c>
      <c r="F55" s="15">
        <v>214833207</v>
      </c>
      <c r="G55" s="13">
        <v>46096</v>
      </c>
      <c r="H55" s="13">
        <v>46126</v>
      </c>
      <c r="I55" s="13"/>
      <c r="J55" s="11">
        <v>30</v>
      </c>
      <c r="K55" s="11" t="s">
        <v>1350</v>
      </c>
      <c r="L55" s="11" t="s">
        <v>1449</v>
      </c>
      <c r="M55" s="3">
        <f>IF(AND(G55&lt;=D_F01!$B$7,OR(NOT(ISNUMBER(I55)),I55&gt;D_F01!$B$7),L55&lt;&gt;"cancelled"),1,0)</f>
        <v>1</v>
      </c>
      <c r="N55" s="8">
        <f t="shared" si="9"/>
        <v>214833207</v>
      </c>
      <c r="O55" s="3">
        <f>IF(M55=1,MAX(0,D_F01!$B$7-H55),0)</f>
        <v>67</v>
      </c>
      <c r="P55" s="3">
        <f>IF(AND(ISNUMBER(I55),I55&lt;=D_F01!$B$7),I55-H55,0)</f>
        <v>0</v>
      </c>
      <c r="Q55" s="3">
        <f t="shared" si="10"/>
        <v>0</v>
      </c>
      <c r="R55" s="3">
        <f>IF(AND(ISNUMBER(I55),I55&gt;D_F01!$B$7-D_F01!$B$25,I55&lt;=D_F01!$B$7),1,0)</f>
        <v>0</v>
      </c>
      <c r="S55" s="3">
        <f t="shared" si="11"/>
        <v>0</v>
      </c>
      <c r="T55" s="3">
        <f t="shared" si="12"/>
        <v>0</v>
      </c>
      <c r="U55" s="3">
        <f>IF(AND(H55&gt;D_F01!$B$7-D_F01!$B$25,H55&lt;=D_F01!$B$7),IF(M55=1,O55,Q55),0)</f>
        <v>67</v>
      </c>
      <c r="V55" s="3">
        <f t="shared" si="13"/>
        <v>214833207</v>
      </c>
      <c r="W55" s="3">
        <f>IF(AND(H55&gt;D_F01!$B$7-D_F01!$B$25,H55&lt;=D_F01!$B$7,L55&lt;&gt;"cancelled"),1,0)</f>
        <v>1</v>
      </c>
      <c r="X55" s="3">
        <f t="shared" si="14"/>
        <v>14393824869</v>
      </c>
      <c r="Y55" s="3">
        <f t="shared" si="15"/>
        <v>1</v>
      </c>
      <c r="Z55" s="3">
        <f t="shared" si="16"/>
        <v>0</v>
      </c>
      <c r="AA55">
        <f t="shared" si="17"/>
        <v>0</v>
      </c>
    </row>
    <row r="56" spans="1:27" ht="25.95" customHeight="1">
      <c r="A56" s="14" t="s">
        <v>1538</v>
      </c>
      <c r="B56" s="14" t="s">
        <v>1312</v>
      </c>
      <c r="C56" s="14" t="s">
        <v>952</v>
      </c>
      <c r="D56" s="14" t="s">
        <v>953</v>
      </c>
      <c r="E56" s="14" t="s">
        <v>1539</v>
      </c>
      <c r="F56" s="16">
        <v>466967667</v>
      </c>
      <c r="G56" s="12">
        <v>46100</v>
      </c>
      <c r="H56" s="12">
        <v>46145</v>
      </c>
      <c r="I56" s="12">
        <v>46162</v>
      </c>
      <c r="J56" s="14">
        <v>45</v>
      </c>
      <c r="K56" s="14" t="s">
        <v>1350</v>
      </c>
      <c r="L56" s="14" t="s">
        <v>1449</v>
      </c>
      <c r="M56" s="5">
        <f>IF(AND(G56&lt;=D_F01!$B$7,OR(NOT(ISNUMBER(I56)),I56&gt;D_F01!$B$7),L56&lt;&gt;"cancelled"),1,0)</f>
        <v>0</v>
      </c>
      <c r="N56" s="9">
        <f t="shared" si="9"/>
        <v>0</v>
      </c>
      <c r="O56" s="5">
        <f>IF(M56=1,MAX(0,D_F01!$B$7-H56),0)</f>
        <v>0</v>
      </c>
      <c r="P56" s="5">
        <f>IF(AND(ISNUMBER(I56),I56&lt;=D_F01!$B$7),I56-H56,0)</f>
        <v>17</v>
      </c>
      <c r="Q56" s="5">
        <f t="shared" si="10"/>
        <v>17</v>
      </c>
      <c r="R56" s="5">
        <f>IF(AND(ISNUMBER(I56),I56&gt;D_F01!$B$7-D_F01!$B$25,I56&lt;=D_F01!$B$7),1,0)</f>
        <v>1</v>
      </c>
      <c r="S56" s="5">
        <f t="shared" si="11"/>
        <v>7938450339</v>
      </c>
      <c r="T56" s="5">
        <f t="shared" si="12"/>
        <v>466967667</v>
      </c>
      <c r="U56" s="5">
        <f>IF(AND(H56&gt;D_F01!$B$7-D_F01!$B$25,H56&lt;=D_F01!$B$7),IF(M56=1,O56,Q56),0)</f>
        <v>17</v>
      </c>
      <c r="V56" s="5">
        <f t="shared" si="13"/>
        <v>466967667</v>
      </c>
      <c r="W56" s="5">
        <f>IF(AND(H56&gt;D_F01!$B$7-D_F01!$B$25,H56&lt;=D_F01!$B$7,L56&lt;&gt;"cancelled"),1,0)</f>
        <v>1</v>
      </c>
      <c r="X56" s="5">
        <f t="shared" si="14"/>
        <v>7938450339</v>
      </c>
      <c r="Y56" s="5">
        <f t="shared" si="15"/>
        <v>0</v>
      </c>
      <c r="Z56" s="5">
        <f t="shared" si="16"/>
        <v>7938450339</v>
      </c>
      <c r="AA56">
        <f t="shared" si="17"/>
        <v>21013545015</v>
      </c>
    </row>
    <row r="57" spans="1:27" ht="40.049999999999997" customHeight="1">
      <c r="A57" s="11" t="s">
        <v>1540</v>
      </c>
      <c r="B57" s="11" t="s">
        <v>1312</v>
      </c>
      <c r="C57" s="11" t="s">
        <v>958</v>
      </c>
      <c r="D57" s="11" t="s">
        <v>959</v>
      </c>
      <c r="E57" s="11" t="s">
        <v>1541</v>
      </c>
      <c r="F57" s="15">
        <v>436322327</v>
      </c>
      <c r="G57" s="13">
        <v>46100</v>
      </c>
      <c r="H57" s="13">
        <v>46130</v>
      </c>
      <c r="I57" s="13">
        <v>46132</v>
      </c>
      <c r="J57" s="11">
        <v>30</v>
      </c>
      <c r="K57" s="11" t="s">
        <v>1350</v>
      </c>
      <c r="L57" s="11" t="s">
        <v>1449</v>
      </c>
      <c r="M57" s="3">
        <f>IF(AND(G57&lt;=D_F01!$B$7,OR(NOT(ISNUMBER(I57)),I57&gt;D_F01!$B$7),L57&lt;&gt;"cancelled"),1,0)</f>
        <v>0</v>
      </c>
      <c r="N57" s="8">
        <f t="shared" si="9"/>
        <v>0</v>
      </c>
      <c r="O57" s="3">
        <f>IF(M57=1,MAX(0,D_F01!$B$7-H57),0)</f>
        <v>0</v>
      </c>
      <c r="P57" s="3">
        <f>IF(AND(ISNUMBER(I57),I57&lt;=D_F01!$B$7),I57-H57,0)</f>
        <v>2</v>
      </c>
      <c r="Q57" s="3">
        <f t="shared" si="10"/>
        <v>2</v>
      </c>
      <c r="R57" s="3">
        <f>IF(AND(ISNUMBER(I57),I57&gt;D_F01!$B$7-D_F01!$B$25,I57&lt;=D_F01!$B$7),1,0)</f>
        <v>1</v>
      </c>
      <c r="S57" s="3">
        <f t="shared" si="11"/>
        <v>872644654</v>
      </c>
      <c r="T57" s="3">
        <f t="shared" si="12"/>
        <v>436322327</v>
      </c>
      <c r="U57" s="3">
        <f>IF(AND(H57&gt;D_F01!$B$7-D_F01!$B$25,H57&lt;=D_F01!$B$7),IF(M57=1,O57,Q57),0)</f>
        <v>2</v>
      </c>
      <c r="V57" s="3">
        <f t="shared" si="13"/>
        <v>436322327</v>
      </c>
      <c r="W57" s="3">
        <f>IF(AND(H57&gt;D_F01!$B$7-D_F01!$B$25,H57&lt;=D_F01!$B$7,L57&lt;&gt;"cancelled"),1,0)</f>
        <v>1</v>
      </c>
      <c r="X57" s="3">
        <f t="shared" si="14"/>
        <v>872644654</v>
      </c>
      <c r="Y57" s="3">
        <f t="shared" si="15"/>
        <v>0</v>
      </c>
      <c r="Z57" s="3">
        <f t="shared" si="16"/>
        <v>872644654</v>
      </c>
      <c r="AA57">
        <f t="shared" si="17"/>
        <v>13089669810</v>
      </c>
    </row>
    <row r="58" spans="1:27" ht="25.95" customHeight="1">
      <c r="A58" s="14" t="s">
        <v>1542</v>
      </c>
      <c r="B58" s="14" t="s">
        <v>1312</v>
      </c>
      <c r="C58" s="14" t="s">
        <v>954</v>
      </c>
      <c r="D58" s="14" t="s">
        <v>955</v>
      </c>
      <c r="E58" s="14" t="s">
        <v>1543</v>
      </c>
      <c r="F58" s="16">
        <v>203604671</v>
      </c>
      <c r="G58" s="12">
        <v>46101</v>
      </c>
      <c r="H58" s="12">
        <v>46131</v>
      </c>
      <c r="I58" s="12">
        <v>46130</v>
      </c>
      <c r="J58" s="14">
        <v>30</v>
      </c>
      <c r="K58" s="14" t="s">
        <v>1350</v>
      </c>
      <c r="L58" s="14" t="s">
        <v>1449</v>
      </c>
      <c r="M58" s="5">
        <f>IF(AND(G58&lt;=D_F01!$B$7,OR(NOT(ISNUMBER(I58)),I58&gt;D_F01!$B$7),L58&lt;&gt;"cancelled"),1,0)</f>
        <v>0</v>
      </c>
      <c r="N58" s="9">
        <f t="shared" si="9"/>
        <v>0</v>
      </c>
      <c r="O58" s="5">
        <f>IF(M58=1,MAX(0,D_F01!$B$7-H58),0)</f>
        <v>0</v>
      </c>
      <c r="P58" s="5">
        <f>IF(AND(ISNUMBER(I58),I58&lt;=D_F01!$B$7),I58-H58,0)</f>
        <v>-1</v>
      </c>
      <c r="Q58" s="5">
        <f t="shared" si="10"/>
        <v>0</v>
      </c>
      <c r="R58" s="5">
        <f>IF(AND(ISNUMBER(I58),I58&gt;D_F01!$B$7-D_F01!$B$25,I58&lt;=D_F01!$B$7),1,0)</f>
        <v>1</v>
      </c>
      <c r="S58" s="5">
        <f t="shared" si="11"/>
        <v>0</v>
      </c>
      <c r="T58" s="5">
        <f t="shared" si="12"/>
        <v>203604671</v>
      </c>
      <c r="U58" s="5">
        <f>IF(AND(H58&gt;D_F01!$B$7-D_F01!$B$25,H58&lt;=D_F01!$B$7),IF(M58=1,O58,Q58),0)</f>
        <v>0</v>
      </c>
      <c r="V58" s="5">
        <f t="shared" si="13"/>
        <v>203604671</v>
      </c>
      <c r="W58" s="5">
        <f>IF(AND(H58&gt;D_F01!$B$7-D_F01!$B$25,H58&lt;=D_F01!$B$7,L58&lt;&gt;"cancelled"),1,0)</f>
        <v>1</v>
      </c>
      <c r="X58" s="5">
        <f t="shared" si="14"/>
        <v>0</v>
      </c>
      <c r="Y58" s="5">
        <f t="shared" si="15"/>
        <v>0</v>
      </c>
      <c r="Z58" s="5">
        <f t="shared" si="16"/>
        <v>-203604671</v>
      </c>
      <c r="AA58">
        <f t="shared" si="17"/>
        <v>6108140130</v>
      </c>
    </row>
    <row r="59" spans="1:27" ht="40.049999999999997" customHeight="1">
      <c r="A59" s="11" t="s">
        <v>1544</v>
      </c>
      <c r="B59" s="11" t="s">
        <v>1312</v>
      </c>
      <c r="C59" s="11" t="s">
        <v>958</v>
      </c>
      <c r="D59" s="11" t="s">
        <v>959</v>
      </c>
      <c r="E59" s="11" t="s">
        <v>1541</v>
      </c>
      <c r="F59" s="15">
        <v>637071566</v>
      </c>
      <c r="G59" s="13">
        <v>46102</v>
      </c>
      <c r="H59" s="13">
        <v>46132</v>
      </c>
      <c r="I59" s="13">
        <v>46131</v>
      </c>
      <c r="J59" s="11">
        <v>30</v>
      </c>
      <c r="K59" s="11" t="s">
        <v>1350</v>
      </c>
      <c r="L59" s="11" t="s">
        <v>1449</v>
      </c>
      <c r="M59" s="3">
        <f>IF(AND(G59&lt;=D_F01!$B$7,OR(NOT(ISNUMBER(I59)),I59&gt;D_F01!$B$7),L59&lt;&gt;"cancelled"),1,0)</f>
        <v>0</v>
      </c>
      <c r="N59" s="8">
        <f t="shared" si="9"/>
        <v>0</v>
      </c>
      <c r="O59" s="3">
        <f>IF(M59=1,MAX(0,D_F01!$B$7-H59),0)</f>
        <v>0</v>
      </c>
      <c r="P59" s="3">
        <f>IF(AND(ISNUMBER(I59),I59&lt;=D_F01!$B$7),I59-H59,0)</f>
        <v>-1</v>
      </c>
      <c r="Q59" s="3">
        <f t="shared" si="10"/>
        <v>0</v>
      </c>
      <c r="R59" s="3">
        <f>IF(AND(ISNUMBER(I59),I59&gt;D_F01!$B$7-D_F01!$B$25,I59&lt;=D_F01!$B$7),1,0)</f>
        <v>1</v>
      </c>
      <c r="S59" s="3">
        <f t="shared" si="11"/>
        <v>0</v>
      </c>
      <c r="T59" s="3">
        <f t="shared" si="12"/>
        <v>637071566</v>
      </c>
      <c r="U59" s="3">
        <f>IF(AND(H59&gt;D_F01!$B$7-D_F01!$B$25,H59&lt;=D_F01!$B$7),IF(M59=1,O59,Q59),0)</f>
        <v>0</v>
      </c>
      <c r="V59" s="3">
        <f t="shared" si="13"/>
        <v>637071566</v>
      </c>
      <c r="W59" s="3">
        <f>IF(AND(H59&gt;D_F01!$B$7-D_F01!$B$25,H59&lt;=D_F01!$B$7,L59&lt;&gt;"cancelled"),1,0)</f>
        <v>1</v>
      </c>
      <c r="X59" s="3">
        <f t="shared" si="14"/>
        <v>0</v>
      </c>
      <c r="Y59" s="3">
        <f t="shared" si="15"/>
        <v>0</v>
      </c>
      <c r="Z59" s="3">
        <f t="shared" si="16"/>
        <v>-637071566</v>
      </c>
      <c r="AA59">
        <f t="shared" si="17"/>
        <v>19112146980</v>
      </c>
    </row>
    <row r="60" spans="1:27" ht="25.95" customHeight="1">
      <c r="A60" s="14" t="s">
        <v>1133</v>
      </c>
      <c r="B60" s="14" t="s">
        <v>1312</v>
      </c>
      <c r="C60" s="14" t="s">
        <v>956</v>
      </c>
      <c r="D60" s="14" t="s">
        <v>957</v>
      </c>
      <c r="E60" s="14" t="s">
        <v>1545</v>
      </c>
      <c r="F60" s="16">
        <v>174551672</v>
      </c>
      <c r="G60" s="12">
        <v>46107</v>
      </c>
      <c r="H60" s="12">
        <v>46137</v>
      </c>
      <c r="I60" s="12"/>
      <c r="J60" s="14">
        <v>30</v>
      </c>
      <c r="K60" s="14" t="s">
        <v>1350</v>
      </c>
      <c r="L60" s="14" t="s">
        <v>1449</v>
      </c>
      <c r="M60" s="5">
        <f>IF(AND(G60&lt;=D_F01!$B$7,OR(NOT(ISNUMBER(I60)),I60&gt;D_F01!$B$7),L60&lt;&gt;"cancelled"),1,0)</f>
        <v>1</v>
      </c>
      <c r="N60" s="9">
        <f t="shared" si="9"/>
        <v>174551672</v>
      </c>
      <c r="O60" s="5">
        <f>IF(M60=1,MAX(0,D_F01!$B$7-H60),0)</f>
        <v>56</v>
      </c>
      <c r="P60" s="5">
        <f>IF(AND(ISNUMBER(I60),I60&lt;=D_F01!$B$7),I60-H60,0)</f>
        <v>0</v>
      </c>
      <c r="Q60" s="5">
        <f t="shared" si="10"/>
        <v>0</v>
      </c>
      <c r="R60" s="5">
        <f>IF(AND(ISNUMBER(I60),I60&gt;D_F01!$B$7-D_F01!$B$25,I60&lt;=D_F01!$B$7),1,0)</f>
        <v>0</v>
      </c>
      <c r="S60" s="5">
        <f t="shared" si="11"/>
        <v>0</v>
      </c>
      <c r="T60" s="5">
        <f t="shared" si="12"/>
        <v>0</v>
      </c>
      <c r="U60" s="5">
        <f>IF(AND(H60&gt;D_F01!$B$7-D_F01!$B$25,H60&lt;=D_F01!$B$7),IF(M60=1,O60,Q60),0)</f>
        <v>56</v>
      </c>
      <c r="V60" s="5">
        <f t="shared" si="13"/>
        <v>174551672</v>
      </c>
      <c r="W60" s="5">
        <f>IF(AND(H60&gt;D_F01!$B$7-D_F01!$B$25,H60&lt;=D_F01!$B$7,L60&lt;&gt;"cancelled"),1,0)</f>
        <v>1</v>
      </c>
      <c r="X60" s="5">
        <f t="shared" si="14"/>
        <v>9774893632</v>
      </c>
      <c r="Y60" s="5">
        <f t="shared" si="15"/>
        <v>1</v>
      </c>
      <c r="Z60" s="5">
        <f t="shared" si="16"/>
        <v>0</v>
      </c>
      <c r="AA60">
        <f t="shared" si="17"/>
        <v>0</v>
      </c>
    </row>
    <row r="61" spans="1:27" ht="25.95" customHeight="1">
      <c r="A61" s="11" t="s">
        <v>1546</v>
      </c>
      <c r="B61" s="11" t="s">
        <v>1312</v>
      </c>
      <c r="C61" s="11" t="s">
        <v>954</v>
      </c>
      <c r="D61" s="11" t="s">
        <v>955</v>
      </c>
      <c r="E61" s="11" t="s">
        <v>1543</v>
      </c>
      <c r="F61" s="15">
        <v>558625240</v>
      </c>
      <c r="G61" s="13">
        <v>46111</v>
      </c>
      <c r="H61" s="13">
        <v>46141</v>
      </c>
      <c r="I61" s="13">
        <v>46139</v>
      </c>
      <c r="J61" s="11">
        <v>30</v>
      </c>
      <c r="K61" s="11" t="s">
        <v>1350</v>
      </c>
      <c r="L61" s="11" t="s">
        <v>1449</v>
      </c>
      <c r="M61" s="3">
        <f>IF(AND(G61&lt;=D_F01!$B$7,OR(NOT(ISNUMBER(I61)),I61&gt;D_F01!$B$7),L61&lt;&gt;"cancelled"),1,0)</f>
        <v>0</v>
      </c>
      <c r="N61" s="8">
        <f t="shared" si="9"/>
        <v>0</v>
      </c>
      <c r="O61" s="3">
        <f>IF(M61=1,MAX(0,D_F01!$B$7-H61),0)</f>
        <v>0</v>
      </c>
      <c r="P61" s="3">
        <f>IF(AND(ISNUMBER(I61),I61&lt;=D_F01!$B$7),I61-H61,0)</f>
        <v>-2</v>
      </c>
      <c r="Q61" s="3">
        <f t="shared" si="10"/>
        <v>0</v>
      </c>
      <c r="R61" s="3">
        <f>IF(AND(ISNUMBER(I61),I61&gt;D_F01!$B$7-D_F01!$B$25,I61&lt;=D_F01!$B$7),1,0)</f>
        <v>1</v>
      </c>
      <c r="S61" s="3">
        <f t="shared" si="11"/>
        <v>0</v>
      </c>
      <c r="T61" s="3">
        <f t="shared" si="12"/>
        <v>558625240</v>
      </c>
      <c r="U61" s="3">
        <f>IF(AND(H61&gt;D_F01!$B$7-D_F01!$B$25,H61&lt;=D_F01!$B$7),IF(M61=1,O61,Q61),0)</f>
        <v>0</v>
      </c>
      <c r="V61" s="3">
        <f t="shared" si="13"/>
        <v>558625240</v>
      </c>
      <c r="W61" s="3">
        <f>IF(AND(H61&gt;D_F01!$B$7-D_F01!$B$25,H61&lt;=D_F01!$B$7,L61&lt;&gt;"cancelled"),1,0)</f>
        <v>1</v>
      </c>
      <c r="X61" s="3">
        <f t="shared" si="14"/>
        <v>0</v>
      </c>
      <c r="Y61" s="3">
        <f t="shared" si="15"/>
        <v>0</v>
      </c>
      <c r="Z61" s="3">
        <f t="shared" si="16"/>
        <v>-1117250480</v>
      </c>
      <c r="AA61">
        <f t="shared" si="17"/>
        <v>16758757200</v>
      </c>
    </row>
    <row r="62" spans="1:27" ht="25.95" customHeight="1">
      <c r="A62" s="14" t="s">
        <v>1547</v>
      </c>
      <c r="B62" s="14" t="s">
        <v>1312</v>
      </c>
      <c r="C62" s="14" t="s">
        <v>960</v>
      </c>
      <c r="D62" s="14" t="s">
        <v>961</v>
      </c>
      <c r="E62" s="14" t="s">
        <v>1548</v>
      </c>
      <c r="F62" s="16">
        <v>183597142</v>
      </c>
      <c r="G62" s="12">
        <v>46111</v>
      </c>
      <c r="H62" s="12">
        <v>46141</v>
      </c>
      <c r="I62" s="12">
        <v>46141</v>
      </c>
      <c r="J62" s="14">
        <v>30</v>
      </c>
      <c r="K62" s="14" t="s">
        <v>1350</v>
      </c>
      <c r="L62" s="14" t="s">
        <v>1449</v>
      </c>
      <c r="M62" s="5">
        <f>IF(AND(G62&lt;=D_F01!$B$7,OR(NOT(ISNUMBER(I62)),I62&gt;D_F01!$B$7),L62&lt;&gt;"cancelled"),1,0)</f>
        <v>0</v>
      </c>
      <c r="N62" s="9">
        <f t="shared" si="9"/>
        <v>0</v>
      </c>
      <c r="O62" s="5">
        <f>IF(M62=1,MAX(0,D_F01!$B$7-H62),0)</f>
        <v>0</v>
      </c>
      <c r="P62" s="5">
        <f>IF(AND(ISNUMBER(I62),I62&lt;=D_F01!$B$7),I62-H62,0)</f>
        <v>0</v>
      </c>
      <c r="Q62" s="5">
        <f t="shared" si="10"/>
        <v>0</v>
      </c>
      <c r="R62" s="5">
        <f>IF(AND(ISNUMBER(I62),I62&gt;D_F01!$B$7-D_F01!$B$25,I62&lt;=D_F01!$B$7),1,0)</f>
        <v>1</v>
      </c>
      <c r="S62" s="5">
        <f t="shared" si="11"/>
        <v>0</v>
      </c>
      <c r="T62" s="5">
        <f t="shared" si="12"/>
        <v>183597142</v>
      </c>
      <c r="U62" s="5">
        <f>IF(AND(H62&gt;D_F01!$B$7-D_F01!$B$25,H62&lt;=D_F01!$B$7),IF(M62=1,O62,Q62),0)</f>
        <v>0</v>
      </c>
      <c r="V62" s="5">
        <f t="shared" si="13"/>
        <v>183597142</v>
      </c>
      <c r="W62" s="5">
        <f>IF(AND(H62&gt;D_F01!$B$7-D_F01!$B$25,H62&lt;=D_F01!$B$7,L62&lt;&gt;"cancelled"),1,0)</f>
        <v>1</v>
      </c>
      <c r="X62" s="5">
        <f t="shared" si="14"/>
        <v>0</v>
      </c>
      <c r="Y62" s="5">
        <f t="shared" si="15"/>
        <v>0</v>
      </c>
      <c r="Z62" s="5">
        <f t="shared" si="16"/>
        <v>0</v>
      </c>
      <c r="AA62">
        <f t="shared" si="17"/>
        <v>5507914260</v>
      </c>
    </row>
    <row r="63" spans="1:27" ht="25.95" customHeight="1">
      <c r="A63" s="11" t="s">
        <v>1549</v>
      </c>
      <c r="B63" s="11" t="s">
        <v>1312</v>
      </c>
      <c r="C63" s="11" t="s">
        <v>954</v>
      </c>
      <c r="D63" s="11" t="s">
        <v>955</v>
      </c>
      <c r="E63" s="11" t="s">
        <v>1550</v>
      </c>
      <c r="F63" s="15">
        <v>381762305</v>
      </c>
      <c r="G63" s="13">
        <v>46113</v>
      </c>
      <c r="H63" s="13">
        <v>46143</v>
      </c>
      <c r="I63" s="13">
        <v>46140</v>
      </c>
      <c r="J63" s="11">
        <v>30</v>
      </c>
      <c r="K63" s="11" t="s">
        <v>1350</v>
      </c>
      <c r="L63" s="11" t="s">
        <v>1449</v>
      </c>
      <c r="M63" s="3">
        <f>IF(AND(G63&lt;=D_F01!$B$7,OR(NOT(ISNUMBER(I63)),I63&gt;D_F01!$B$7),L63&lt;&gt;"cancelled"),1,0)</f>
        <v>0</v>
      </c>
      <c r="N63" s="8">
        <f t="shared" si="9"/>
        <v>0</v>
      </c>
      <c r="O63" s="3">
        <f>IF(M63=1,MAX(0,D_F01!$B$7-H63),0)</f>
        <v>0</v>
      </c>
      <c r="P63" s="3">
        <f>IF(AND(ISNUMBER(I63),I63&lt;=D_F01!$B$7),I63-H63,0)</f>
        <v>-3</v>
      </c>
      <c r="Q63" s="3">
        <f t="shared" si="10"/>
        <v>0</v>
      </c>
      <c r="R63" s="3">
        <f>IF(AND(ISNUMBER(I63),I63&gt;D_F01!$B$7-D_F01!$B$25,I63&lt;=D_F01!$B$7),1,0)</f>
        <v>1</v>
      </c>
      <c r="S63" s="3">
        <f t="shared" si="11"/>
        <v>0</v>
      </c>
      <c r="T63" s="3">
        <f t="shared" si="12"/>
        <v>381762305</v>
      </c>
      <c r="U63" s="3">
        <f>IF(AND(H63&gt;D_F01!$B$7-D_F01!$B$25,H63&lt;=D_F01!$B$7),IF(M63=1,O63,Q63),0)</f>
        <v>0</v>
      </c>
      <c r="V63" s="3">
        <f t="shared" si="13"/>
        <v>381762305</v>
      </c>
      <c r="W63" s="3">
        <f>IF(AND(H63&gt;D_F01!$B$7-D_F01!$B$25,H63&lt;=D_F01!$B$7,L63&lt;&gt;"cancelled"),1,0)</f>
        <v>1</v>
      </c>
      <c r="X63" s="3">
        <f t="shared" si="14"/>
        <v>0</v>
      </c>
      <c r="Y63" s="3">
        <f t="shared" si="15"/>
        <v>0</v>
      </c>
      <c r="Z63" s="3">
        <f t="shared" si="16"/>
        <v>-1145286915</v>
      </c>
      <c r="AA63">
        <f t="shared" si="17"/>
        <v>11452869150</v>
      </c>
    </row>
    <row r="64" spans="1:27" ht="25.95" customHeight="1">
      <c r="A64" s="14" t="s">
        <v>1551</v>
      </c>
      <c r="B64" s="14" t="s">
        <v>1312</v>
      </c>
      <c r="C64" s="14" t="s">
        <v>952</v>
      </c>
      <c r="D64" s="14" t="s">
        <v>953</v>
      </c>
      <c r="E64" s="14" t="s">
        <v>1552</v>
      </c>
      <c r="F64" s="16">
        <v>130936603</v>
      </c>
      <c r="G64" s="12">
        <v>46116</v>
      </c>
      <c r="H64" s="12">
        <v>46161</v>
      </c>
      <c r="I64" s="12">
        <v>46177</v>
      </c>
      <c r="J64" s="14">
        <v>45</v>
      </c>
      <c r="K64" s="14" t="s">
        <v>1350</v>
      </c>
      <c r="L64" s="14" t="s">
        <v>1449</v>
      </c>
      <c r="M64" s="5">
        <f>IF(AND(G64&lt;=D_F01!$B$7,OR(NOT(ISNUMBER(I64)),I64&gt;D_F01!$B$7),L64&lt;&gt;"cancelled"),1,0)</f>
        <v>0</v>
      </c>
      <c r="N64" s="9">
        <f t="shared" si="9"/>
        <v>0</v>
      </c>
      <c r="O64" s="5">
        <f>IF(M64=1,MAX(0,D_F01!$B$7-H64),0)</f>
        <v>0</v>
      </c>
      <c r="P64" s="5">
        <f>IF(AND(ISNUMBER(I64),I64&lt;=D_F01!$B$7),I64-H64,0)</f>
        <v>16</v>
      </c>
      <c r="Q64" s="5">
        <f t="shared" si="10"/>
        <v>16</v>
      </c>
      <c r="R64" s="5">
        <f>IF(AND(ISNUMBER(I64),I64&gt;D_F01!$B$7-D_F01!$B$25,I64&lt;=D_F01!$B$7),1,0)</f>
        <v>1</v>
      </c>
      <c r="S64" s="5">
        <f t="shared" si="11"/>
        <v>2094985648</v>
      </c>
      <c r="T64" s="5">
        <f t="shared" si="12"/>
        <v>130936603</v>
      </c>
      <c r="U64" s="5">
        <f>IF(AND(H64&gt;D_F01!$B$7-D_F01!$B$25,H64&lt;=D_F01!$B$7),IF(M64=1,O64,Q64),0)</f>
        <v>16</v>
      </c>
      <c r="V64" s="5">
        <f t="shared" si="13"/>
        <v>130936603</v>
      </c>
      <c r="W64" s="5">
        <f>IF(AND(H64&gt;D_F01!$B$7-D_F01!$B$25,H64&lt;=D_F01!$B$7,L64&lt;&gt;"cancelled"),1,0)</f>
        <v>1</v>
      </c>
      <c r="X64" s="5">
        <f t="shared" si="14"/>
        <v>2094985648</v>
      </c>
      <c r="Y64" s="5">
        <f t="shared" si="15"/>
        <v>0</v>
      </c>
      <c r="Z64" s="5">
        <f t="shared" si="16"/>
        <v>2094985648</v>
      </c>
      <c r="AA64">
        <f t="shared" si="17"/>
        <v>5892147135</v>
      </c>
    </row>
    <row r="65" spans="1:27" ht="25.95" customHeight="1">
      <c r="A65" s="11" t="s">
        <v>1553</v>
      </c>
      <c r="B65" s="11" t="s">
        <v>1312</v>
      </c>
      <c r="C65" s="11" t="s">
        <v>954</v>
      </c>
      <c r="D65" s="11" t="s">
        <v>955</v>
      </c>
      <c r="E65" s="11" t="s">
        <v>1550</v>
      </c>
      <c r="F65" s="15">
        <v>379022155</v>
      </c>
      <c r="G65" s="13">
        <v>46116</v>
      </c>
      <c r="H65" s="13">
        <v>46146</v>
      </c>
      <c r="I65" s="13">
        <v>46150</v>
      </c>
      <c r="J65" s="11">
        <v>30</v>
      </c>
      <c r="K65" s="11" t="s">
        <v>1350</v>
      </c>
      <c r="L65" s="11" t="s">
        <v>1449</v>
      </c>
      <c r="M65" s="3">
        <f>IF(AND(G65&lt;=D_F01!$B$7,OR(NOT(ISNUMBER(I65)),I65&gt;D_F01!$B$7),L65&lt;&gt;"cancelled"),1,0)</f>
        <v>0</v>
      </c>
      <c r="N65" s="8">
        <f t="shared" si="9"/>
        <v>0</v>
      </c>
      <c r="O65" s="3">
        <f>IF(M65=1,MAX(0,D_F01!$B$7-H65),0)</f>
        <v>0</v>
      </c>
      <c r="P65" s="3">
        <f>IF(AND(ISNUMBER(I65),I65&lt;=D_F01!$B$7),I65-H65,0)</f>
        <v>4</v>
      </c>
      <c r="Q65" s="3">
        <f t="shared" si="10"/>
        <v>4</v>
      </c>
      <c r="R65" s="3">
        <f>IF(AND(ISNUMBER(I65),I65&gt;D_F01!$B$7-D_F01!$B$25,I65&lt;=D_F01!$B$7),1,0)</f>
        <v>1</v>
      </c>
      <c r="S65" s="3">
        <f t="shared" si="11"/>
        <v>1516088620</v>
      </c>
      <c r="T65" s="3">
        <f t="shared" si="12"/>
        <v>379022155</v>
      </c>
      <c r="U65" s="3">
        <f>IF(AND(H65&gt;D_F01!$B$7-D_F01!$B$25,H65&lt;=D_F01!$B$7),IF(M65=1,O65,Q65),0)</f>
        <v>4</v>
      </c>
      <c r="V65" s="3">
        <f t="shared" si="13"/>
        <v>379022155</v>
      </c>
      <c r="W65" s="3">
        <f>IF(AND(H65&gt;D_F01!$B$7-D_F01!$B$25,H65&lt;=D_F01!$B$7,L65&lt;&gt;"cancelled"),1,0)</f>
        <v>1</v>
      </c>
      <c r="X65" s="3">
        <f t="shared" si="14"/>
        <v>1516088620</v>
      </c>
      <c r="Y65" s="3">
        <f t="shared" si="15"/>
        <v>0</v>
      </c>
      <c r="Z65" s="3">
        <f t="shared" si="16"/>
        <v>1516088620</v>
      </c>
      <c r="AA65">
        <f t="shared" si="17"/>
        <v>11370664650</v>
      </c>
    </row>
    <row r="66" spans="1:27" ht="25.95" customHeight="1">
      <c r="A66" s="14" t="s">
        <v>1554</v>
      </c>
      <c r="B66" s="14" t="s">
        <v>1312</v>
      </c>
      <c r="C66" s="14" t="s">
        <v>952</v>
      </c>
      <c r="D66" s="14" t="s">
        <v>953</v>
      </c>
      <c r="E66" s="14" t="s">
        <v>1555</v>
      </c>
      <c r="F66" s="16">
        <v>292644470</v>
      </c>
      <c r="G66" s="12">
        <v>46117</v>
      </c>
      <c r="H66" s="12">
        <v>46162</v>
      </c>
      <c r="I66" s="12">
        <v>46165</v>
      </c>
      <c r="J66" s="14">
        <v>45</v>
      </c>
      <c r="K66" s="14" t="s">
        <v>1350</v>
      </c>
      <c r="L66" s="14" t="s">
        <v>1449</v>
      </c>
      <c r="M66" s="5">
        <f>IF(AND(G66&lt;=D_F01!$B$7,OR(NOT(ISNUMBER(I66)),I66&gt;D_F01!$B$7),L66&lt;&gt;"cancelled"),1,0)</f>
        <v>0</v>
      </c>
      <c r="N66" s="9">
        <f t="shared" si="9"/>
        <v>0</v>
      </c>
      <c r="O66" s="5">
        <f>IF(M66=1,MAX(0,D_F01!$B$7-H66),0)</f>
        <v>0</v>
      </c>
      <c r="P66" s="5">
        <f>IF(AND(ISNUMBER(I66),I66&lt;=D_F01!$B$7),I66-H66,0)</f>
        <v>3</v>
      </c>
      <c r="Q66" s="5">
        <f t="shared" si="10"/>
        <v>3</v>
      </c>
      <c r="R66" s="5">
        <f>IF(AND(ISNUMBER(I66),I66&gt;D_F01!$B$7-D_F01!$B$25,I66&lt;=D_F01!$B$7),1,0)</f>
        <v>1</v>
      </c>
      <c r="S66" s="5">
        <f t="shared" si="11"/>
        <v>877933410</v>
      </c>
      <c r="T66" s="5">
        <f t="shared" si="12"/>
        <v>292644470</v>
      </c>
      <c r="U66" s="5">
        <f>IF(AND(H66&gt;D_F01!$B$7-D_F01!$B$25,H66&lt;=D_F01!$B$7),IF(M66=1,O66,Q66),0)</f>
        <v>3</v>
      </c>
      <c r="V66" s="5">
        <f t="shared" si="13"/>
        <v>292644470</v>
      </c>
      <c r="W66" s="5">
        <f>IF(AND(H66&gt;D_F01!$B$7-D_F01!$B$25,H66&lt;=D_F01!$B$7,L66&lt;&gt;"cancelled"),1,0)</f>
        <v>1</v>
      </c>
      <c r="X66" s="5">
        <f t="shared" si="14"/>
        <v>877933410</v>
      </c>
      <c r="Y66" s="5">
        <f t="shared" si="15"/>
        <v>0</v>
      </c>
      <c r="Z66" s="5">
        <f t="shared" si="16"/>
        <v>877933410</v>
      </c>
      <c r="AA66">
        <f t="shared" si="17"/>
        <v>13169001150</v>
      </c>
    </row>
    <row r="67" spans="1:27" ht="25.95" customHeight="1">
      <c r="A67" s="11" t="s">
        <v>1556</v>
      </c>
      <c r="B67" s="11" t="s">
        <v>1312</v>
      </c>
      <c r="C67" s="11" t="s">
        <v>956</v>
      </c>
      <c r="D67" s="11" t="s">
        <v>957</v>
      </c>
      <c r="E67" s="11" t="s">
        <v>1557</v>
      </c>
      <c r="F67" s="15">
        <v>656930116</v>
      </c>
      <c r="G67" s="13">
        <v>46118</v>
      </c>
      <c r="H67" s="13">
        <v>46148</v>
      </c>
      <c r="I67" s="13">
        <v>46148</v>
      </c>
      <c r="J67" s="11">
        <v>30</v>
      </c>
      <c r="K67" s="11" t="s">
        <v>1350</v>
      </c>
      <c r="L67" s="11" t="s">
        <v>1449</v>
      </c>
      <c r="M67" s="3">
        <f>IF(AND(G67&lt;=D_F01!$B$7,OR(NOT(ISNUMBER(I67)),I67&gt;D_F01!$B$7),L67&lt;&gt;"cancelled"),1,0)</f>
        <v>0</v>
      </c>
      <c r="N67" s="8">
        <f t="shared" si="9"/>
        <v>0</v>
      </c>
      <c r="O67" s="3">
        <f>IF(M67=1,MAX(0,D_F01!$B$7-H67),0)</f>
        <v>0</v>
      </c>
      <c r="P67" s="3">
        <f>IF(AND(ISNUMBER(I67),I67&lt;=D_F01!$B$7),I67-H67,0)</f>
        <v>0</v>
      </c>
      <c r="Q67" s="3">
        <f t="shared" si="10"/>
        <v>0</v>
      </c>
      <c r="R67" s="3">
        <f>IF(AND(ISNUMBER(I67),I67&gt;D_F01!$B$7-D_F01!$B$25,I67&lt;=D_F01!$B$7),1,0)</f>
        <v>1</v>
      </c>
      <c r="S67" s="3">
        <f t="shared" si="11"/>
        <v>0</v>
      </c>
      <c r="T67" s="3">
        <f t="shared" si="12"/>
        <v>656930116</v>
      </c>
      <c r="U67" s="3">
        <f>IF(AND(H67&gt;D_F01!$B$7-D_F01!$B$25,H67&lt;=D_F01!$B$7),IF(M67=1,O67,Q67),0)</f>
        <v>0</v>
      </c>
      <c r="V67" s="3">
        <f t="shared" si="13"/>
        <v>656930116</v>
      </c>
      <c r="W67" s="3">
        <f>IF(AND(H67&gt;D_F01!$B$7-D_F01!$B$25,H67&lt;=D_F01!$B$7,L67&lt;&gt;"cancelled"),1,0)</f>
        <v>1</v>
      </c>
      <c r="X67" s="3">
        <f t="shared" si="14"/>
        <v>0</v>
      </c>
      <c r="Y67" s="3">
        <f t="shared" si="15"/>
        <v>0</v>
      </c>
      <c r="Z67" s="3">
        <f t="shared" si="16"/>
        <v>0</v>
      </c>
      <c r="AA67">
        <f t="shared" si="17"/>
        <v>19707903480</v>
      </c>
    </row>
    <row r="68" spans="1:27" ht="25.95" customHeight="1">
      <c r="A68" s="14" t="s">
        <v>1558</v>
      </c>
      <c r="B68" s="14" t="s">
        <v>1312</v>
      </c>
      <c r="C68" s="14" t="s">
        <v>954</v>
      </c>
      <c r="D68" s="14" t="s">
        <v>955</v>
      </c>
      <c r="E68" s="14" t="s">
        <v>1559</v>
      </c>
      <c r="F68" s="16">
        <v>107162033</v>
      </c>
      <c r="G68" s="12">
        <v>46119</v>
      </c>
      <c r="H68" s="12">
        <v>46149</v>
      </c>
      <c r="I68" s="12">
        <v>46147</v>
      </c>
      <c r="J68" s="14">
        <v>30</v>
      </c>
      <c r="K68" s="14" t="s">
        <v>1350</v>
      </c>
      <c r="L68" s="14" t="s">
        <v>1449</v>
      </c>
      <c r="M68" s="5">
        <f>IF(AND(G68&lt;=D_F01!$B$7,OR(NOT(ISNUMBER(I68)),I68&gt;D_F01!$B$7),L68&lt;&gt;"cancelled"),1,0)</f>
        <v>0</v>
      </c>
      <c r="N68" s="9">
        <f t="shared" si="9"/>
        <v>0</v>
      </c>
      <c r="O68" s="5">
        <f>IF(M68=1,MAX(0,D_F01!$B$7-H68),0)</f>
        <v>0</v>
      </c>
      <c r="P68" s="5">
        <f>IF(AND(ISNUMBER(I68),I68&lt;=D_F01!$B$7),I68-H68,0)</f>
        <v>-2</v>
      </c>
      <c r="Q68" s="5">
        <f t="shared" si="10"/>
        <v>0</v>
      </c>
      <c r="R68" s="5">
        <f>IF(AND(ISNUMBER(I68),I68&gt;D_F01!$B$7-D_F01!$B$25,I68&lt;=D_F01!$B$7),1,0)</f>
        <v>1</v>
      </c>
      <c r="S68" s="5">
        <f t="shared" si="11"/>
        <v>0</v>
      </c>
      <c r="T68" s="5">
        <f t="shared" si="12"/>
        <v>107162033</v>
      </c>
      <c r="U68" s="5">
        <f>IF(AND(H68&gt;D_F01!$B$7-D_F01!$B$25,H68&lt;=D_F01!$B$7),IF(M68=1,O68,Q68),0)</f>
        <v>0</v>
      </c>
      <c r="V68" s="5">
        <f t="shared" si="13"/>
        <v>107162033</v>
      </c>
      <c r="W68" s="5">
        <f>IF(AND(H68&gt;D_F01!$B$7-D_F01!$B$25,H68&lt;=D_F01!$B$7,L68&lt;&gt;"cancelled"),1,0)</f>
        <v>1</v>
      </c>
      <c r="X68" s="5">
        <f t="shared" si="14"/>
        <v>0</v>
      </c>
      <c r="Y68" s="5">
        <f t="shared" si="15"/>
        <v>0</v>
      </c>
      <c r="Z68" s="5">
        <f t="shared" si="16"/>
        <v>-214324066</v>
      </c>
      <c r="AA68">
        <f t="shared" si="17"/>
        <v>3214860990</v>
      </c>
    </row>
    <row r="69" spans="1:27" ht="25.95" customHeight="1">
      <c r="A69" s="11" t="s">
        <v>1560</v>
      </c>
      <c r="B69" s="11" t="s">
        <v>1312</v>
      </c>
      <c r="C69" s="11" t="s">
        <v>956</v>
      </c>
      <c r="D69" s="11" t="s">
        <v>957</v>
      </c>
      <c r="E69" s="11" t="s">
        <v>1561</v>
      </c>
      <c r="F69" s="15">
        <v>379288189</v>
      </c>
      <c r="G69" s="13">
        <v>46121</v>
      </c>
      <c r="H69" s="13">
        <v>46151</v>
      </c>
      <c r="I69" s="13">
        <v>46156</v>
      </c>
      <c r="J69" s="11">
        <v>30</v>
      </c>
      <c r="K69" s="11" t="s">
        <v>1350</v>
      </c>
      <c r="L69" s="11" t="s">
        <v>1449</v>
      </c>
      <c r="M69" s="3">
        <f>IF(AND(G69&lt;=D_F01!$B$7,OR(NOT(ISNUMBER(I69)),I69&gt;D_F01!$B$7),L69&lt;&gt;"cancelled"),1,0)</f>
        <v>0</v>
      </c>
      <c r="N69" s="8">
        <f t="shared" ref="N69:N100" si="18">F69*M69</f>
        <v>0</v>
      </c>
      <c r="O69" s="3">
        <f>IF(M69=1,MAX(0,D_F01!$B$7-H69),0)</f>
        <v>0</v>
      </c>
      <c r="P69" s="3">
        <f>IF(AND(ISNUMBER(I69),I69&lt;=D_F01!$B$7),I69-H69,0)</f>
        <v>5</v>
      </c>
      <c r="Q69" s="3">
        <f t="shared" ref="Q69:Q100" si="19">MAX(0,P69)</f>
        <v>5</v>
      </c>
      <c r="R69" s="3">
        <f>IF(AND(ISNUMBER(I69),I69&gt;D_F01!$B$7-D_F01!$B$25,I69&lt;=D_F01!$B$7),1,0)</f>
        <v>1</v>
      </c>
      <c r="S69" s="3">
        <f t="shared" ref="S69:S100" si="20">R69*F69*Q69</f>
        <v>1896440945</v>
      </c>
      <c r="T69" s="3">
        <f t="shared" ref="T69:T100" si="21">R69*F69</f>
        <v>379288189</v>
      </c>
      <c r="U69" s="3">
        <f>IF(AND(H69&gt;D_F01!$B$7-D_F01!$B$25,H69&lt;=D_F01!$B$7),IF(M69=1,O69,Q69),0)</f>
        <v>5</v>
      </c>
      <c r="V69" s="3">
        <f t="shared" ref="V69:V100" si="22">F69*W69</f>
        <v>379288189</v>
      </c>
      <c r="W69" s="3">
        <f>IF(AND(H69&gt;D_F01!$B$7-D_F01!$B$25,H69&lt;=D_F01!$B$7,L69&lt;&gt;"cancelled"),1,0)</f>
        <v>1</v>
      </c>
      <c r="X69" s="3">
        <f t="shared" ref="X69:X100" si="23">V69*U69</f>
        <v>1896440945</v>
      </c>
      <c r="Y69" s="3">
        <f t="shared" ref="Y69:Y100" si="24">M69*W69</f>
        <v>0</v>
      </c>
      <c r="Z69" s="3">
        <f t="shared" ref="Z69:Z100" si="25">R69*F69*P69</f>
        <v>1896440945</v>
      </c>
      <c r="AA69">
        <f t="shared" ref="AA69:AA100" si="26">T69*J69</f>
        <v>11378645670</v>
      </c>
    </row>
    <row r="70" spans="1:27" ht="25.95" customHeight="1">
      <c r="A70" s="14" t="s">
        <v>1562</v>
      </c>
      <c r="B70" s="14" t="s">
        <v>1312</v>
      </c>
      <c r="C70" s="14" t="s">
        <v>952</v>
      </c>
      <c r="D70" s="14" t="s">
        <v>953</v>
      </c>
      <c r="E70" s="14" t="s">
        <v>1563</v>
      </c>
      <c r="F70" s="16">
        <v>134285084</v>
      </c>
      <c r="G70" s="12">
        <v>46122</v>
      </c>
      <c r="H70" s="12">
        <v>46167</v>
      </c>
      <c r="I70" s="12">
        <v>46190</v>
      </c>
      <c r="J70" s="14">
        <v>45</v>
      </c>
      <c r="K70" s="14" t="s">
        <v>1350</v>
      </c>
      <c r="L70" s="14" t="s">
        <v>1449</v>
      </c>
      <c r="M70" s="5">
        <f>IF(AND(G70&lt;=D_F01!$B$7,OR(NOT(ISNUMBER(I70)),I70&gt;D_F01!$B$7),L70&lt;&gt;"cancelled"),1,0)</f>
        <v>0</v>
      </c>
      <c r="N70" s="9">
        <f t="shared" si="18"/>
        <v>0</v>
      </c>
      <c r="O70" s="5">
        <f>IF(M70=1,MAX(0,D_F01!$B$7-H70),0)</f>
        <v>0</v>
      </c>
      <c r="P70" s="5">
        <f>IF(AND(ISNUMBER(I70),I70&lt;=D_F01!$B$7),I70-H70,0)</f>
        <v>23</v>
      </c>
      <c r="Q70" s="5">
        <f t="shared" si="19"/>
        <v>23</v>
      </c>
      <c r="R70" s="5">
        <f>IF(AND(ISNUMBER(I70),I70&gt;D_F01!$B$7-D_F01!$B$25,I70&lt;=D_F01!$B$7),1,0)</f>
        <v>1</v>
      </c>
      <c r="S70" s="5">
        <f t="shared" si="20"/>
        <v>3088556932</v>
      </c>
      <c r="T70" s="5">
        <f t="shared" si="21"/>
        <v>134285084</v>
      </c>
      <c r="U70" s="5">
        <f>IF(AND(H70&gt;D_F01!$B$7-D_F01!$B$25,H70&lt;=D_F01!$B$7),IF(M70=1,O70,Q70),0)</f>
        <v>23</v>
      </c>
      <c r="V70" s="5">
        <f t="shared" si="22"/>
        <v>134285084</v>
      </c>
      <c r="W70" s="5">
        <f>IF(AND(H70&gt;D_F01!$B$7-D_F01!$B$25,H70&lt;=D_F01!$B$7,L70&lt;&gt;"cancelled"),1,0)</f>
        <v>1</v>
      </c>
      <c r="X70" s="5">
        <f t="shared" si="23"/>
        <v>3088556932</v>
      </c>
      <c r="Y70" s="5">
        <f t="shared" si="24"/>
        <v>0</v>
      </c>
      <c r="Z70" s="5">
        <f t="shared" si="25"/>
        <v>3088556932</v>
      </c>
      <c r="AA70">
        <f t="shared" si="26"/>
        <v>6042828780</v>
      </c>
    </row>
    <row r="71" spans="1:27" ht="25.95" customHeight="1">
      <c r="A71" s="11" t="s">
        <v>1564</v>
      </c>
      <c r="B71" s="11" t="s">
        <v>1312</v>
      </c>
      <c r="C71" s="11" t="s">
        <v>962</v>
      </c>
      <c r="D71" s="11" t="s">
        <v>963</v>
      </c>
      <c r="E71" s="11" t="s">
        <v>1565</v>
      </c>
      <c r="F71" s="15">
        <v>111033714</v>
      </c>
      <c r="G71" s="13">
        <v>46123</v>
      </c>
      <c r="H71" s="13">
        <v>46153</v>
      </c>
      <c r="I71" s="13">
        <v>46152</v>
      </c>
      <c r="J71" s="11">
        <v>30</v>
      </c>
      <c r="K71" s="11" t="s">
        <v>1350</v>
      </c>
      <c r="L71" s="11" t="s">
        <v>1449</v>
      </c>
      <c r="M71" s="3">
        <f>IF(AND(G71&lt;=D_F01!$B$7,OR(NOT(ISNUMBER(I71)),I71&gt;D_F01!$B$7),L71&lt;&gt;"cancelled"),1,0)</f>
        <v>0</v>
      </c>
      <c r="N71" s="8">
        <f t="shared" si="18"/>
        <v>0</v>
      </c>
      <c r="O71" s="3">
        <f>IF(M71=1,MAX(0,D_F01!$B$7-H71),0)</f>
        <v>0</v>
      </c>
      <c r="P71" s="3">
        <f>IF(AND(ISNUMBER(I71),I71&lt;=D_F01!$B$7),I71-H71,0)</f>
        <v>-1</v>
      </c>
      <c r="Q71" s="3">
        <f t="shared" si="19"/>
        <v>0</v>
      </c>
      <c r="R71" s="3">
        <f>IF(AND(ISNUMBER(I71),I71&gt;D_F01!$B$7-D_F01!$B$25,I71&lt;=D_F01!$B$7),1,0)</f>
        <v>1</v>
      </c>
      <c r="S71" s="3">
        <f t="shared" si="20"/>
        <v>0</v>
      </c>
      <c r="T71" s="3">
        <f t="shared" si="21"/>
        <v>111033714</v>
      </c>
      <c r="U71" s="3">
        <f>IF(AND(H71&gt;D_F01!$B$7-D_F01!$B$25,H71&lt;=D_F01!$B$7),IF(M71=1,O71,Q71),0)</f>
        <v>0</v>
      </c>
      <c r="V71" s="3">
        <f t="shared" si="22"/>
        <v>111033714</v>
      </c>
      <c r="W71" s="3">
        <f>IF(AND(H71&gt;D_F01!$B$7-D_F01!$B$25,H71&lt;=D_F01!$B$7,L71&lt;&gt;"cancelled"),1,0)</f>
        <v>1</v>
      </c>
      <c r="X71" s="3">
        <f t="shared" si="23"/>
        <v>0</v>
      </c>
      <c r="Y71" s="3">
        <f t="shared" si="24"/>
        <v>0</v>
      </c>
      <c r="Z71" s="3">
        <f t="shared" si="25"/>
        <v>-111033714</v>
      </c>
      <c r="AA71">
        <f t="shared" si="26"/>
        <v>3331011420</v>
      </c>
    </row>
    <row r="72" spans="1:27" ht="25.95" customHeight="1">
      <c r="A72" s="14" t="s">
        <v>1566</v>
      </c>
      <c r="B72" s="14" t="s">
        <v>1312</v>
      </c>
      <c r="C72" s="14" t="s">
        <v>952</v>
      </c>
      <c r="D72" s="14" t="s">
        <v>953</v>
      </c>
      <c r="E72" s="14" t="s">
        <v>1567</v>
      </c>
      <c r="F72" s="16">
        <v>289347422</v>
      </c>
      <c r="G72" s="12">
        <v>46125</v>
      </c>
      <c r="H72" s="12">
        <v>46170</v>
      </c>
      <c r="I72" s="12">
        <v>46190</v>
      </c>
      <c r="J72" s="14">
        <v>45</v>
      </c>
      <c r="K72" s="14" t="s">
        <v>1350</v>
      </c>
      <c r="L72" s="14" t="s">
        <v>1449</v>
      </c>
      <c r="M72" s="5">
        <f>IF(AND(G72&lt;=D_F01!$B$7,OR(NOT(ISNUMBER(I72)),I72&gt;D_F01!$B$7),L72&lt;&gt;"cancelled"),1,0)</f>
        <v>0</v>
      </c>
      <c r="N72" s="9">
        <f t="shared" si="18"/>
        <v>0</v>
      </c>
      <c r="O72" s="5">
        <f>IF(M72=1,MAX(0,D_F01!$B$7-H72),0)</f>
        <v>0</v>
      </c>
      <c r="P72" s="5">
        <f>IF(AND(ISNUMBER(I72),I72&lt;=D_F01!$B$7),I72-H72,0)</f>
        <v>20</v>
      </c>
      <c r="Q72" s="5">
        <f t="shared" si="19"/>
        <v>20</v>
      </c>
      <c r="R72" s="5">
        <f>IF(AND(ISNUMBER(I72),I72&gt;D_F01!$B$7-D_F01!$B$25,I72&lt;=D_F01!$B$7),1,0)</f>
        <v>1</v>
      </c>
      <c r="S72" s="5">
        <f t="shared" si="20"/>
        <v>5786948440</v>
      </c>
      <c r="T72" s="5">
        <f t="shared" si="21"/>
        <v>289347422</v>
      </c>
      <c r="U72" s="5">
        <f>IF(AND(H72&gt;D_F01!$B$7-D_F01!$B$25,H72&lt;=D_F01!$B$7),IF(M72=1,O72,Q72),0)</f>
        <v>20</v>
      </c>
      <c r="V72" s="5">
        <f t="shared" si="22"/>
        <v>289347422</v>
      </c>
      <c r="W72" s="5">
        <f>IF(AND(H72&gt;D_F01!$B$7-D_F01!$B$25,H72&lt;=D_F01!$B$7,L72&lt;&gt;"cancelled"),1,0)</f>
        <v>1</v>
      </c>
      <c r="X72" s="5">
        <f t="shared" si="23"/>
        <v>5786948440</v>
      </c>
      <c r="Y72" s="5">
        <f t="shared" si="24"/>
        <v>0</v>
      </c>
      <c r="Z72" s="5">
        <f t="shared" si="25"/>
        <v>5786948440</v>
      </c>
      <c r="AA72">
        <f t="shared" si="26"/>
        <v>13020633990</v>
      </c>
    </row>
    <row r="73" spans="1:27" ht="25.95" customHeight="1">
      <c r="A73" s="11" t="s">
        <v>1135</v>
      </c>
      <c r="B73" s="11" t="s">
        <v>1312</v>
      </c>
      <c r="C73" s="11" t="s">
        <v>952</v>
      </c>
      <c r="D73" s="11" t="s">
        <v>953</v>
      </c>
      <c r="E73" s="11" t="s">
        <v>1568</v>
      </c>
      <c r="F73" s="15">
        <v>201847452</v>
      </c>
      <c r="G73" s="13">
        <v>46127</v>
      </c>
      <c r="H73" s="13">
        <v>46172</v>
      </c>
      <c r="I73" s="13"/>
      <c r="J73" s="11">
        <v>45</v>
      </c>
      <c r="K73" s="11" t="s">
        <v>1350</v>
      </c>
      <c r="L73" s="11" t="s">
        <v>1449</v>
      </c>
      <c r="M73" s="3">
        <f>IF(AND(G73&lt;=D_F01!$B$7,OR(NOT(ISNUMBER(I73)),I73&gt;D_F01!$B$7),L73&lt;&gt;"cancelled"),1,0)</f>
        <v>1</v>
      </c>
      <c r="N73" s="8">
        <f t="shared" si="18"/>
        <v>201847452</v>
      </c>
      <c r="O73" s="3">
        <f>IF(M73=1,MAX(0,D_F01!$B$7-H73),0)</f>
        <v>21</v>
      </c>
      <c r="P73" s="3">
        <f>IF(AND(ISNUMBER(I73),I73&lt;=D_F01!$B$7),I73-H73,0)</f>
        <v>0</v>
      </c>
      <c r="Q73" s="3">
        <f t="shared" si="19"/>
        <v>0</v>
      </c>
      <c r="R73" s="3">
        <f>IF(AND(ISNUMBER(I73),I73&gt;D_F01!$B$7-D_F01!$B$25,I73&lt;=D_F01!$B$7),1,0)</f>
        <v>0</v>
      </c>
      <c r="S73" s="3">
        <f t="shared" si="20"/>
        <v>0</v>
      </c>
      <c r="T73" s="3">
        <f t="shared" si="21"/>
        <v>0</v>
      </c>
      <c r="U73" s="3">
        <f>IF(AND(H73&gt;D_F01!$B$7-D_F01!$B$25,H73&lt;=D_F01!$B$7),IF(M73=1,O73,Q73),0)</f>
        <v>21</v>
      </c>
      <c r="V73" s="3">
        <f t="shared" si="22"/>
        <v>201847452</v>
      </c>
      <c r="W73" s="3">
        <f>IF(AND(H73&gt;D_F01!$B$7-D_F01!$B$25,H73&lt;=D_F01!$B$7,L73&lt;&gt;"cancelled"),1,0)</f>
        <v>1</v>
      </c>
      <c r="X73" s="3">
        <f t="shared" si="23"/>
        <v>4238796492</v>
      </c>
      <c r="Y73" s="3">
        <f t="shared" si="24"/>
        <v>1</v>
      </c>
      <c r="Z73" s="3">
        <f t="shared" si="25"/>
        <v>0</v>
      </c>
      <c r="AA73">
        <f t="shared" si="26"/>
        <v>0</v>
      </c>
    </row>
    <row r="74" spans="1:27" ht="25.95" customHeight="1">
      <c r="A74" s="14" t="s">
        <v>1569</v>
      </c>
      <c r="B74" s="14" t="s">
        <v>1312</v>
      </c>
      <c r="C74" s="14" t="s">
        <v>960</v>
      </c>
      <c r="D74" s="14" t="s">
        <v>961</v>
      </c>
      <c r="E74" s="14" t="s">
        <v>1570</v>
      </c>
      <c r="F74" s="16">
        <v>57727600</v>
      </c>
      <c r="G74" s="12">
        <v>46127</v>
      </c>
      <c r="H74" s="12">
        <v>46157</v>
      </c>
      <c r="I74" s="12">
        <v>46157</v>
      </c>
      <c r="J74" s="14">
        <v>30</v>
      </c>
      <c r="K74" s="14" t="s">
        <v>1350</v>
      </c>
      <c r="L74" s="14" t="s">
        <v>1449</v>
      </c>
      <c r="M74" s="5">
        <f>IF(AND(G74&lt;=D_F01!$B$7,OR(NOT(ISNUMBER(I74)),I74&gt;D_F01!$B$7),L74&lt;&gt;"cancelled"),1,0)</f>
        <v>0</v>
      </c>
      <c r="N74" s="9">
        <f t="shared" si="18"/>
        <v>0</v>
      </c>
      <c r="O74" s="5">
        <f>IF(M74=1,MAX(0,D_F01!$B$7-H74),0)</f>
        <v>0</v>
      </c>
      <c r="P74" s="5">
        <f>IF(AND(ISNUMBER(I74),I74&lt;=D_F01!$B$7),I74-H74,0)</f>
        <v>0</v>
      </c>
      <c r="Q74" s="5">
        <f t="shared" si="19"/>
        <v>0</v>
      </c>
      <c r="R74" s="5">
        <f>IF(AND(ISNUMBER(I74),I74&gt;D_F01!$B$7-D_F01!$B$25,I74&lt;=D_F01!$B$7),1,0)</f>
        <v>1</v>
      </c>
      <c r="S74" s="5">
        <f t="shared" si="20"/>
        <v>0</v>
      </c>
      <c r="T74" s="5">
        <f t="shared" si="21"/>
        <v>57727600</v>
      </c>
      <c r="U74" s="5">
        <f>IF(AND(H74&gt;D_F01!$B$7-D_F01!$B$25,H74&lt;=D_F01!$B$7),IF(M74=1,O74,Q74),0)</f>
        <v>0</v>
      </c>
      <c r="V74" s="5">
        <f t="shared" si="22"/>
        <v>57727600</v>
      </c>
      <c r="W74" s="5">
        <f>IF(AND(H74&gt;D_F01!$B$7-D_F01!$B$25,H74&lt;=D_F01!$B$7,L74&lt;&gt;"cancelled"),1,0)</f>
        <v>1</v>
      </c>
      <c r="X74" s="5">
        <f t="shared" si="23"/>
        <v>0</v>
      </c>
      <c r="Y74" s="5">
        <f t="shared" si="24"/>
        <v>0</v>
      </c>
      <c r="Z74" s="5">
        <f t="shared" si="25"/>
        <v>0</v>
      </c>
      <c r="AA74">
        <f t="shared" si="26"/>
        <v>1731828000</v>
      </c>
    </row>
    <row r="75" spans="1:27" ht="25.95" customHeight="1">
      <c r="A75" s="11" t="s">
        <v>1137</v>
      </c>
      <c r="B75" s="11" t="s">
        <v>1312</v>
      </c>
      <c r="C75" s="11" t="s">
        <v>952</v>
      </c>
      <c r="D75" s="11" t="s">
        <v>953</v>
      </c>
      <c r="E75" s="11" t="s">
        <v>1571</v>
      </c>
      <c r="F75" s="15">
        <v>120620270</v>
      </c>
      <c r="G75" s="13">
        <v>46132</v>
      </c>
      <c r="H75" s="13">
        <v>46177</v>
      </c>
      <c r="I75" s="13"/>
      <c r="J75" s="11">
        <v>45</v>
      </c>
      <c r="K75" s="11" t="s">
        <v>1350</v>
      </c>
      <c r="L75" s="11" t="s">
        <v>1449</v>
      </c>
      <c r="M75" s="3">
        <f>IF(AND(G75&lt;=D_F01!$B$7,OR(NOT(ISNUMBER(I75)),I75&gt;D_F01!$B$7),L75&lt;&gt;"cancelled"),1,0)</f>
        <v>1</v>
      </c>
      <c r="N75" s="8">
        <f t="shared" si="18"/>
        <v>120620270</v>
      </c>
      <c r="O75" s="3">
        <f>IF(M75=1,MAX(0,D_F01!$B$7-H75),0)</f>
        <v>16</v>
      </c>
      <c r="P75" s="3">
        <f>IF(AND(ISNUMBER(I75),I75&lt;=D_F01!$B$7),I75-H75,0)</f>
        <v>0</v>
      </c>
      <c r="Q75" s="3">
        <f t="shared" si="19"/>
        <v>0</v>
      </c>
      <c r="R75" s="3">
        <f>IF(AND(ISNUMBER(I75),I75&gt;D_F01!$B$7-D_F01!$B$25,I75&lt;=D_F01!$B$7),1,0)</f>
        <v>0</v>
      </c>
      <c r="S75" s="3">
        <f t="shared" si="20"/>
        <v>0</v>
      </c>
      <c r="T75" s="3">
        <f t="shared" si="21"/>
        <v>0</v>
      </c>
      <c r="U75" s="3">
        <f>IF(AND(H75&gt;D_F01!$B$7-D_F01!$B$25,H75&lt;=D_F01!$B$7),IF(M75=1,O75,Q75),0)</f>
        <v>16</v>
      </c>
      <c r="V75" s="3">
        <f t="shared" si="22"/>
        <v>120620270</v>
      </c>
      <c r="W75" s="3">
        <f>IF(AND(H75&gt;D_F01!$B$7-D_F01!$B$25,H75&lt;=D_F01!$B$7,L75&lt;&gt;"cancelled"),1,0)</f>
        <v>1</v>
      </c>
      <c r="X75" s="3">
        <f t="shared" si="23"/>
        <v>1929924320</v>
      </c>
      <c r="Y75" s="3">
        <f t="shared" si="24"/>
        <v>1</v>
      </c>
      <c r="Z75" s="3">
        <f t="shared" si="25"/>
        <v>0</v>
      </c>
      <c r="AA75">
        <f t="shared" si="26"/>
        <v>0</v>
      </c>
    </row>
    <row r="76" spans="1:27" ht="25.95" customHeight="1">
      <c r="A76" s="14" t="s">
        <v>1572</v>
      </c>
      <c r="B76" s="14" t="s">
        <v>1312</v>
      </c>
      <c r="C76" s="14" t="s">
        <v>960</v>
      </c>
      <c r="D76" s="14" t="s">
        <v>961</v>
      </c>
      <c r="E76" s="14" t="s">
        <v>1573</v>
      </c>
      <c r="F76" s="16">
        <v>66774528</v>
      </c>
      <c r="G76" s="12">
        <v>46132</v>
      </c>
      <c r="H76" s="12">
        <v>46162</v>
      </c>
      <c r="I76" s="12">
        <v>46162</v>
      </c>
      <c r="J76" s="14">
        <v>30</v>
      </c>
      <c r="K76" s="14" t="s">
        <v>1350</v>
      </c>
      <c r="L76" s="14" t="s">
        <v>1449</v>
      </c>
      <c r="M76" s="5">
        <f>IF(AND(G76&lt;=D_F01!$B$7,OR(NOT(ISNUMBER(I76)),I76&gt;D_F01!$B$7),L76&lt;&gt;"cancelled"),1,0)</f>
        <v>0</v>
      </c>
      <c r="N76" s="9">
        <f t="shared" si="18"/>
        <v>0</v>
      </c>
      <c r="O76" s="5">
        <f>IF(M76=1,MAX(0,D_F01!$B$7-H76),0)</f>
        <v>0</v>
      </c>
      <c r="P76" s="5">
        <f>IF(AND(ISNUMBER(I76),I76&lt;=D_F01!$B$7),I76-H76,0)</f>
        <v>0</v>
      </c>
      <c r="Q76" s="5">
        <f t="shared" si="19"/>
        <v>0</v>
      </c>
      <c r="R76" s="5">
        <f>IF(AND(ISNUMBER(I76),I76&gt;D_F01!$B$7-D_F01!$B$25,I76&lt;=D_F01!$B$7),1,0)</f>
        <v>1</v>
      </c>
      <c r="S76" s="5">
        <f t="shared" si="20"/>
        <v>0</v>
      </c>
      <c r="T76" s="5">
        <f t="shared" si="21"/>
        <v>66774528</v>
      </c>
      <c r="U76" s="5">
        <f>IF(AND(H76&gt;D_F01!$B$7-D_F01!$B$25,H76&lt;=D_F01!$B$7),IF(M76=1,O76,Q76),0)</f>
        <v>0</v>
      </c>
      <c r="V76" s="5">
        <f t="shared" si="22"/>
        <v>66774528</v>
      </c>
      <c r="W76" s="5">
        <f>IF(AND(H76&gt;D_F01!$B$7-D_F01!$B$25,H76&lt;=D_F01!$B$7,L76&lt;&gt;"cancelled"),1,0)</f>
        <v>1</v>
      </c>
      <c r="X76" s="5">
        <f t="shared" si="23"/>
        <v>0</v>
      </c>
      <c r="Y76" s="5">
        <f t="shared" si="24"/>
        <v>0</v>
      </c>
      <c r="Z76" s="5">
        <f t="shared" si="25"/>
        <v>0</v>
      </c>
      <c r="AA76">
        <f t="shared" si="26"/>
        <v>2003235840</v>
      </c>
    </row>
    <row r="77" spans="1:27" ht="25.95" customHeight="1">
      <c r="A77" s="11" t="s">
        <v>1574</v>
      </c>
      <c r="B77" s="11" t="s">
        <v>1312</v>
      </c>
      <c r="C77" s="11" t="s">
        <v>956</v>
      </c>
      <c r="D77" s="11" t="s">
        <v>957</v>
      </c>
      <c r="E77" s="11" t="s">
        <v>1575</v>
      </c>
      <c r="F77" s="15">
        <v>354852081</v>
      </c>
      <c r="G77" s="13">
        <v>46132</v>
      </c>
      <c r="H77" s="13">
        <v>46162</v>
      </c>
      <c r="I77" s="13">
        <v>46167</v>
      </c>
      <c r="J77" s="11">
        <v>30</v>
      </c>
      <c r="K77" s="11" t="s">
        <v>1350</v>
      </c>
      <c r="L77" s="11" t="s">
        <v>1449</v>
      </c>
      <c r="M77" s="3">
        <f>IF(AND(G77&lt;=D_F01!$B$7,OR(NOT(ISNUMBER(I77)),I77&gt;D_F01!$B$7),L77&lt;&gt;"cancelled"),1,0)</f>
        <v>0</v>
      </c>
      <c r="N77" s="8">
        <f t="shared" si="18"/>
        <v>0</v>
      </c>
      <c r="O77" s="3">
        <f>IF(M77=1,MAX(0,D_F01!$B$7-H77),0)</f>
        <v>0</v>
      </c>
      <c r="P77" s="3">
        <f>IF(AND(ISNUMBER(I77),I77&lt;=D_F01!$B$7),I77-H77,0)</f>
        <v>5</v>
      </c>
      <c r="Q77" s="3">
        <f t="shared" si="19"/>
        <v>5</v>
      </c>
      <c r="R77" s="3">
        <f>IF(AND(ISNUMBER(I77),I77&gt;D_F01!$B$7-D_F01!$B$25,I77&lt;=D_F01!$B$7),1,0)</f>
        <v>1</v>
      </c>
      <c r="S77" s="3">
        <f t="shared" si="20"/>
        <v>1774260405</v>
      </c>
      <c r="T77" s="3">
        <f t="shared" si="21"/>
        <v>354852081</v>
      </c>
      <c r="U77" s="3">
        <f>IF(AND(H77&gt;D_F01!$B$7-D_F01!$B$25,H77&lt;=D_F01!$B$7),IF(M77=1,O77,Q77),0)</f>
        <v>5</v>
      </c>
      <c r="V77" s="3">
        <f t="shared" si="22"/>
        <v>354852081</v>
      </c>
      <c r="W77" s="3">
        <f>IF(AND(H77&gt;D_F01!$B$7-D_F01!$B$25,H77&lt;=D_F01!$B$7,L77&lt;&gt;"cancelled"),1,0)</f>
        <v>1</v>
      </c>
      <c r="X77" s="3">
        <f t="shared" si="23"/>
        <v>1774260405</v>
      </c>
      <c r="Y77" s="3">
        <f t="shared" si="24"/>
        <v>0</v>
      </c>
      <c r="Z77" s="3">
        <f t="shared" si="25"/>
        <v>1774260405</v>
      </c>
      <c r="AA77">
        <f t="shared" si="26"/>
        <v>10645562430</v>
      </c>
    </row>
    <row r="78" spans="1:27" ht="25.95" customHeight="1">
      <c r="A78" s="14" t="s">
        <v>1576</v>
      </c>
      <c r="B78" s="14" t="s">
        <v>1312</v>
      </c>
      <c r="C78" s="14" t="s">
        <v>956</v>
      </c>
      <c r="D78" s="14" t="s">
        <v>957</v>
      </c>
      <c r="E78" s="14" t="s">
        <v>1577</v>
      </c>
      <c r="F78" s="16">
        <v>168083814</v>
      </c>
      <c r="G78" s="12">
        <v>46133</v>
      </c>
      <c r="H78" s="12">
        <v>46163</v>
      </c>
      <c r="I78" s="12">
        <v>46164</v>
      </c>
      <c r="J78" s="14">
        <v>30</v>
      </c>
      <c r="K78" s="14" t="s">
        <v>1350</v>
      </c>
      <c r="L78" s="14" t="s">
        <v>1449</v>
      </c>
      <c r="M78" s="5">
        <f>IF(AND(G78&lt;=D_F01!$B$7,OR(NOT(ISNUMBER(I78)),I78&gt;D_F01!$B$7),L78&lt;&gt;"cancelled"),1,0)</f>
        <v>0</v>
      </c>
      <c r="N78" s="9">
        <f t="shared" si="18"/>
        <v>0</v>
      </c>
      <c r="O78" s="5">
        <f>IF(M78=1,MAX(0,D_F01!$B$7-H78),0)</f>
        <v>0</v>
      </c>
      <c r="P78" s="5">
        <f>IF(AND(ISNUMBER(I78),I78&lt;=D_F01!$B$7),I78-H78,0)</f>
        <v>1</v>
      </c>
      <c r="Q78" s="5">
        <f t="shared" si="19"/>
        <v>1</v>
      </c>
      <c r="R78" s="5">
        <f>IF(AND(ISNUMBER(I78),I78&gt;D_F01!$B$7-D_F01!$B$25,I78&lt;=D_F01!$B$7),1,0)</f>
        <v>1</v>
      </c>
      <c r="S78" s="5">
        <f t="shared" si="20"/>
        <v>168083814</v>
      </c>
      <c r="T78" s="5">
        <f t="shared" si="21"/>
        <v>168083814</v>
      </c>
      <c r="U78" s="5">
        <f>IF(AND(H78&gt;D_F01!$B$7-D_F01!$B$25,H78&lt;=D_F01!$B$7),IF(M78=1,O78,Q78),0)</f>
        <v>1</v>
      </c>
      <c r="V78" s="5">
        <f t="shared" si="22"/>
        <v>168083814</v>
      </c>
      <c r="W78" s="5">
        <f>IF(AND(H78&gt;D_F01!$B$7-D_F01!$B$25,H78&lt;=D_F01!$B$7,L78&lt;&gt;"cancelled"),1,0)</f>
        <v>1</v>
      </c>
      <c r="X78" s="5">
        <f t="shared" si="23"/>
        <v>168083814</v>
      </c>
      <c r="Y78" s="5">
        <f t="shared" si="24"/>
        <v>0</v>
      </c>
      <c r="Z78" s="5">
        <f t="shared" si="25"/>
        <v>168083814</v>
      </c>
      <c r="AA78">
        <f t="shared" si="26"/>
        <v>5042514420</v>
      </c>
    </row>
    <row r="79" spans="1:27" ht="25.95" customHeight="1">
      <c r="A79" s="11" t="s">
        <v>1139</v>
      </c>
      <c r="B79" s="11" t="s">
        <v>1312</v>
      </c>
      <c r="C79" s="11" t="s">
        <v>952</v>
      </c>
      <c r="D79" s="11" t="s">
        <v>953</v>
      </c>
      <c r="E79" s="11" t="s">
        <v>1578</v>
      </c>
      <c r="F79" s="15">
        <v>193886018</v>
      </c>
      <c r="G79" s="13">
        <v>46137</v>
      </c>
      <c r="H79" s="13">
        <v>46182</v>
      </c>
      <c r="I79" s="13"/>
      <c r="J79" s="11">
        <v>45</v>
      </c>
      <c r="K79" s="11" t="s">
        <v>1350</v>
      </c>
      <c r="L79" s="11" t="s">
        <v>1449</v>
      </c>
      <c r="M79" s="3">
        <f>IF(AND(G79&lt;=D_F01!$B$7,OR(NOT(ISNUMBER(I79)),I79&gt;D_F01!$B$7),L79&lt;&gt;"cancelled"),1,0)</f>
        <v>1</v>
      </c>
      <c r="N79" s="8">
        <f t="shared" si="18"/>
        <v>193886018</v>
      </c>
      <c r="O79" s="3">
        <f>IF(M79=1,MAX(0,D_F01!$B$7-H79),0)</f>
        <v>11</v>
      </c>
      <c r="P79" s="3">
        <f>IF(AND(ISNUMBER(I79),I79&lt;=D_F01!$B$7),I79-H79,0)</f>
        <v>0</v>
      </c>
      <c r="Q79" s="3">
        <f t="shared" si="19"/>
        <v>0</v>
      </c>
      <c r="R79" s="3">
        <f>IF(AND(ISNUMBER(I79),I79&gt;D_F01!$B$7-D_F01!$B$25,I79&lt;=D_F01!$B$7),1,0)</f>
        <v>0</v>
      </c>
      <c r="S79" s="3">
        <f t="shared" si="20"/>
        <v>0</v>
      </c>
      <c r="T79" s="3">
        <f t="shared" si="21"/>
        <v>0</v>
      </c>
      <c r="U79" s="3">
        <f>IF(AND(H79&gt;D_F01!$B$7-D_F01!$B$25,H79&lt;=D_F01!$B$7),IF(M79=1,O79,Q79),0)</f>
        <v>11</v>
      </c>
      <c r="V79" s="3">
        <f t="shared" si="22"/>
        <v>193886018</v>
      </c>
      <c r="W79" s="3">
        <f>IF(AND(H79&gt;D_F01!$B$7-D_F01!$B$25,H79&lt;=D_F01!$B$7,L79&lt;&gt;"cancelled"),1,0)</f>
        <v>1</v>
      </c>
      <c r="X79" s="3">
        <f t="shared" si="23"/>
        <v>2132746198</v>
      </c>
      <c r="Y79" s="3">
        <f t="shared" si="24"/>
        <v>1</v>
      </c>
      <c r="Z79" s="3">
        <f t="shared" si="25"/>
        <v>0</v>
      </c>
      <c r="AA79">
        <f t="shared" si="26"/>
        <v>0</v>
      </c>
    </row>
    <row r="80" spans="1:27" ht="25.95" customHeight="1">
      <c r="A80" s="14" t="s">
        <v>1141</v>
      </c>
      <c r="B80" s="14" t="s">
        <v>1312</v>
      </c>
      <c r="C80" s="14" t="s">
        <v>952</v>
      </c>
      <c r="D80" s="14" t="s">
        <v>953</v>
      </c>
      <c r="E80" s="14" t="s">
        <v>1579</v>
      </c>
      <c r="F80" s="16">
        <v>80292287</v>
      </c>
      <c r="G80" s="12">
        <v>46138</v>
      </c>
      <c r="H80" s="12">
        <v>46183</v>
      </c>
      <c r="I80" s="12"/>
      <c r="J80" s="14">
        <v>45</v>
      </c>
      <c r="K80" s="14" t="s">
        <v>1350</v>
      </c>
      <c r="L80" s="14" t="s">
        <v>1449</v>
      </c>
      <c r="M80" s="5">
        <f>IF(AND(G80&lt;=D_F01!$B$7,OR(NOT(ISNUMBER(I80)),I80&gt;D_F01!$B$7),L80&lt;&gt;"cancelled"),1,0)</f>
        <v>1</v>
      </c>
      <c r="N80" s="9">
        <f t="shared" si="18"/>
        <v>80292287</v>
      </c>
      <c r="O80" s="5">
        <f>IF(M80=1,MAX(0,D_F01!$B$7-H80),0)</f>
        <v>10</v>
      </c>
      <c r="P80" s="5">
        <f>IF(AND(ISNUMBER(I80),I80&lt;=D_F01!$B$7),I80-H80,0)</f>
        <v>0</v>
      </c>
      <c r="Q80" s="5">
        <f t="shared" si="19"/>
        <v>0</v>
      </c>
      <c r="R80" s="5">
        <f>IF(AND(ISNUMBER(I80),I80&gt;D_F01!$B$7-D_F01!$B$25,I80&lt;=D_F01!$B$7),1,0)</f>
        <v>0</v>
      </c>
      <c r="S80" s="5">
        <f t="shared" si="20"/>
        <v>0</v>
      </c>
      <c r="T80" s="5">
        <f t="shared" si="21"/>
        <v>0</v>
      </c>
      <c r="U80" s="5">
        <f>IF(AND(H80&gt;D_F01!$B$7-D_F01!$B$25,H80&lt;=D_F01!$B$7),IF(M80=1,O80,Q80),0)</f>
        <v>10</v>
      </c>
      <c r="V80" s="5">
        <f t="shared" si="22"/>
        <v>80292287</v>
      </c>
      <c r="W80" s="5">
        <f>IF(AND(H80&gt;D_F01!$B$7-D_F01!$B$25,H80&lt;=D_F01!$B$7,L80&lt;&gt;"cancelled"),1,0)</f>
        <v>1</v>
      </c>
      <c r="X80" s="5">
        <f t="shared" si="23"/>
        <v>802922870</v>
      </c>
      <c r="Y80" s="5">
        <f t="shared" si="24"/>
        <v>1</v>
      </c>
      <c r="Z80" s="5">
        <f t="shared" si="25"/>
        <v>0</v>
      </c>
      <c r="AA80">
        <f t="shared" si="26"/>
        <v>0</v>
      </c>
    </row>
    <row r="81" spans="1:27" ht="40.049999999999997" customHeight="1">
      <c r="A81" s="11" t="s">
        <v>1580</v>
      </c>
      <c r="B81" s="11" t="s">
        <v>1312</v>
      </c>
      <c r="C81" s="11" t="s">
        <v>958</v>
      </c>
      <c r="D81" s="11" t="s">
        <v>959</v>
      </c>
      <c r="E81" s="11" t="s">
        <v>1581</v>
      </c>
      <c r="F81" s="15">
        <v>333640306</v>
      </c>
      <c r="G81" s="13">
        <v>46140</v>
      </c>
      <c r="H81" s="13">
        <v>46170</v>
      </c>
      <c r="I81" s="13">
        <v>46168</v>
      </c>
      <c r="J81" s="11">
        <v>30</v>
      </c>
      <c r="K81" s="11" t="s">
        <v>1350</v>
      </c>
      <c r="L81" s="11" t="s">
        <v>1449</v>
      </c>
      <c r="M81" s="3">
        <f>IF(AND(G81&lt;=D_F01!$B$7,OR(NOT(ISNUMBER(I81)),I81&gt;D_F01!$B$7),L81&lt;&gt;"cancelled"),1,0)</f>
        <v>0</v>
      </c>
      <c r="N81" s="8">
        <f t="shared" si="18"/>
        <v>0</v>
      </c>
      <c r="O81" s="3">
        <f>IF(M81=1,MAX(0,D_F01!$B$7-H81),0)</f>
        <v>0</v>
      </c>
      <c r="P81" s="3">
        <f>IF(AND(ISNUMBER(I81),I81&lt;=D_F01!$B$7),I81-H81,0)</f>
        <v>-2</v>
      </c>
      <c r="Q81" s="3">
        <f t="shared" si="19"/>
        <v>0</v>
      </c>
      <c r="R81" s="3">
        <f>IF(AND(ISNUMBER(I81),I81&gt;D_F01!$B$7-D_F01!$B$25,I81&lt;=D_F01!$B$7),1,0)</f>
        <v>1</v>
      </c>
      <c r="S81" s="3">
        <f t="shared" si="20"/>
        <v>0</v>
      </c>
      <c r="T81" s="3">
        <f t="shared" si="21"/>
        <v>333640306</v>
      </c>
      <c r="U81" s="3">
        <f>IF(AND(H81&gt;D_F01!$B$7-D_F01!$B$25,H81&lt;=D_F01!$B$7),IF(M81=1,O81,Q81),0)</f>
        <v>0</v>
      </c>
      <c r="V81" s="3">
        <f t="shared" si="22"/>
        <v>333640306</v>
      </c>
      <c r="W81" s="3">
        <f>IF(AND(H81&gt;D_F01!$B$7-D_F01!$B$25,H81&lt;=D_F01!$B$7,L81&lt;&gt;"cancelled"),1,0)</f>
        <v>1</v>
      </c>
      <c r="X81" s="3">
        <f t="shared" si="23"/>
        <v>0</v>
      </c>
      <c r="Y81" s="3">
        <f t="shared" si="24"/>
        <v>0</v>
      </c>
      <c r="Z81" s="3">
        <f t="shared" si="25"/>
        <v>-667280612</v>
      </c>
      <c r="AA81">
        <f t="shared" si="26"/>
        <v>10009209180</v>
      </c>
    </row>
    <row r="82" spans="1:27" ht="25.95" customHeight="1">
      <c r="A82" s="14" t="s">
        <v>1582</v>
      </c>
      <c r="B82" s="14" t="s">
        <v>1312</v>
      </c>
      <c r="C82" s="14" t="s">
        <v>954</v>
      </c>
      <c r="D82" s="14" t="s">
        <v>955</v>
      </c>
      <c r="E82" s="14" t="s">
        <v>1583</v>
      </c>
      <c r="F82" s="16">
        <v>244369944</v>
      </c>
      <c r="G82" s="12">
        <v>46143</v>
      </c>
      <c r="H82" s="12">
        <v>46173</v>
      </c>
      <c r="I82" s="12">
        <v>46176</v>
      </c>
      <c r="J82" s="14">
        <v>30</v>
      </c>
      <c r="K82" s="14" t="s">
        <v>1350</v>
      </c>
      <c r="L82" s="14" t="s">
        <v>1449</v>
      </c>
      <c r="M82" s="5">
        <f>IF(AND(G82&lt;=D_F01!$B$7,OR(NOT(ISNUMBER(I82)),I82&gt;D_F01!$B$7),L82&lt;&gt;"cancelled"),1,0)</f>
        <v>0</v>
      </c>
      <c r="N82" s="9">
        <f t="shared" si="18"/>
        <v>0</v>
      </c>
      <c r="O82" s="5">
        <f>IF(M82=1,MAX(0,D_F01!$B$7-H82),0)</f>
        <v>0</v>
      </c>
      <c r="P82" s="5">
        <f>IF(AND(ISNUMBER(I82),I82&lt;=D_F01!$B$7),I82-H82,0)</f>
        <v>3</v>
      </c>
      <c r="Q82" s="5">
        <f t="shared" si="19"/>
        <v>3</v>
      </c>
      <c r="R82" s="5">
        <f>IF(AND(ISNUMBER(I82),I82&gt;D_F01!$B$7-D_F01!$B$25,I82&lt;=D_F01!$B$7),1,0)</f>
        <v>1</v>
      </c>
      <c r="S82" s="5">
        <f t="shared" si="20"/>
        <v>733109832</v>
      </c>
      <c r="T82" s="5">
        <f t="shared" si="21"/>
        <v>244369944</v>
      </c>
      <c r="U82" s="5">
        <f>IF(AND(H82&gt;D_F01!$B$7-D_F01!$B$25,H82&lt;=D_F01!$B$7),IF(M82=1,O82,Q82),0)</f>
        <v>3</v>
      </c>
      <c r="V82" s="5">
        <f t="shared" si="22"/>
        <v>244369944</v>
      </c>
      <c r="W82" s="5">
        <f>IF(AND(H82&gt;D_F01!$B$7-D_F01!$B$25,H82&lt;=D_F01!$B$7,L82&lt;&gt;"cancelled"),1,0)</f>
        <v>1</v>
      </c>
      <c r="X82" s="5">
        <f t="shared" si="23"/>
        <v>733109832</v>
      </c>
      <c r="Y82" s="5">
        <f t="shared" si="24"/>
        <v>0</v>
      </c>
      <c r="Z82" s="5">
        <f t="shared" si="25"/>
        <v>733109832</v>
      </c>
      <c r="AA82">
        <f t="shared" si="26"/>
        <v>7331098320</v>
      </c>
    </row>
    <row r="83" spans="1:27" ht="25.95" customHeight="1">
      <c r="A83" s="11" t="s">
        <v>1143</v>
      </c>
      <c r="B83" s="11" t="s">
        <v>1312</v>
      </c>
      <c r="C83" s="11" t="s">
        <v>964</v>
      </c>
      <c r="D83" s="11" t="s">
        <v>965</v>
      </c>
      <c r="E83" s="11" t="s">
        <v>1584</v>
      </c>
      <c r="F83" s="15">
        <v>80857572</v>
      </c>
      <c r="G83" s="13">
        <v>46144</v>
      </c>
      <c r="H83" s="13">
        <v>46174</v>
      </c>
      <c r="I83" s="13"/>
      <c r="J83" s="11">
        <v>30</v>
      </c>
      <c r="K83" s="11" t="s">
        <v>1350</v>
      </c>
      <c r="L83" s="11" t="s">
        <v>1449</v>
      </c>
      <c r="M83" s="3">
        <f>IF(AND(G83&lt;=D_F01!$B$7,OR(NOT(ISNUMBER(I83)),I83&gt;D_F01!$B$7),L83&lt;&gt;"cancelled"),1,0)</f>
        <v>1</v>
      </c>
      <c r="N83" s="8">
        <f t="shared" si="18"/>
        <v>80857572</v>
      </c>
      <c r="O83" s="3">
        <f>IF(M83=1,MAX(0,D_F01!$B$7-H83),0)</f>
        <v>19</v>
      </c>
      <c r="P83" s="3">
        <f>IF(AND(ISNUMBER(I83),I83&lt;=D_F01!$B$7),I83-H83,0)</f>
        <v>0</v>
      </c>
      <c r="Q83" s="3">
        <f t="shared" si="19"/>
        <v>0</v>
      </c>
      <c r="R83" s="3">
        <f>IF(AND(ISNUMBER(I83),I83&gt;D_F01!$B$7-D_F01!$B$25,I83&lt;=D_F01!$B$7),1,0)</f>
        <v>0</v>
      </c>
      <c r="S83" s="3">
        <f t="shared" si="20"/>
        <v>0</v>
      </c>
      <c r="T83" s="3">
        <f t="shared" si="21"/>
        <v>0</v>
      </c>
      <c r="U83" s="3">
        <f>IF(AND(H83&gt;D_F01!$B$7-D_F01!$B$25,H83&lt;=D_F01!$B$7),IF(M83=1,O83,Q83),0)</f>
        <v>19</v>
      </c>
      <c r="V83" s="3">
        <f t="shared" si="22"/>
        <v>80857572</v>
      </c>
      <c r="W83" s="3">
        <f>IF(AND(H83&gt;D_F01!$B$7-D_F01!$B$25,H83&lt;=D_F01!$B$7,L83&lt;&gt;"cancelled"),1,0)</f>
        <v>1</v>
      </c>
      <c r="X83" s="3">
        <f t="shared" si="23"/>
        <v>1536293868</v>
      </c>
      <c r="Y83" s="3">
        <f t="shared" si="24"/>
        <v>1</v>
      </c>
      <c r="Z83" s="3">
        <f t="shared" si="25"/>
        <v>0</v>
      </c>
      <c r="AA83">
        <f t="shared" si="26"/>
        <v>0</v>
      </c>
    </row>
    <row r="84" spans="1:27" ht="25.95" customHeight="1">
      <c r="A84" s="14" t="s">
        <v>1585</v>
      </c>
      <c r="B84" s="14" t="s">
        <v>1312</v>
      </c>
      <c r="C84" s="14" t="s">
        <v>956</v>
      </c>
      <c r="D84" s="14" t="s">
        <v>957</v>
      </c>
      <c r="E84" s="14" t="s">
        <v>1586</v>
      </c>
      <c r="F84" s="16">
        <v>304623093</v>
      </c>
      <c r="G84" s="12">
        <v>46144</v>
      </c>
      <c r="H84" s="12">
        <v>46174</v>
      </c>
      <c r="I84" s="12">
        <v>46185</v>
      </c>
      <c r="J84" s="14">
        <v>30</v>
      </c>
      <c r="K84" s="14" t="s">
        <v>1350</v>
      </c>
      <c r="L84" s="14" t="s">
        <v>1449</v>
      </c>
      <c r="M84" s="5">
        <f>IF(AND(G84&lt;=D_F01!$B$7,OR(NOT(ISNUMBER(I84)),I84&gt;D_F01!$B$7),L84&lt;&gt;"cancelled"),1,0)</f>
        <v>0</v>
      </c>
      <c r="N84" s="9">
        <f t="shared" si="18"/>
        <v>0</v>
      </c>
      <c r="O84" s="5">
        <f>IF(M84=1,MAX(0,D_F01!$B$7-H84),0)</f>
        <v>0</v>
      </c>
      <c r="P84" s="5">
        <f>IF(AND(ISNUMBER(I84),I84&lt;=D_F01!$B$7),I84-H84,0)</f>
        <v>11</v>
      </c>
      <c r="Q84" s="5">
        <f t="shared" si="19"/>
        <v>11</v>
      </c>
      <c r="R84" s="5">
        <f>IF(AND(ISNUMBER(I84),I84&gt;D_F01!$B$7-D_F01!$B$25,I84&lt;=D_F01!$B$7),1,0)</f>
        <v>1</v>
      </c>
      <c r="S84" s="5">
        <f t="shared" si="20"/>
        <v>3350854023</v>
      </c>
      <c r="T84" s="5">
        <f t="shared" si="21"/>
        <v>304623093</v>
      </c>
      <c r="U84" s="5">
        <f>IF(AND(H84&gt;D_F01!$B$7-D_F01!$B$25,H84&lt;=D_F01!$B$7),IF(M84=1,O84,Q84),0)</f>
        <v>11</v>
      </c>
      <c r="V84" s="5">
        <f t="shared" si="22"/>
        <v>304623093</v>
      </c>
      <c r="W84" s="5">
        <f>IF(AND(H84&gt;D_F01!$B$7-D_F01!$B$25,H84&lt;=D_F01!$B$7,L84&lt;&gt;"cancelled"),1,0)</f>
        <v>1</v>
      </c>
      <c r="X84" s="5">
        <f t="shared" si="23"/>
        <v>3350854023</v>
      </c>
      <c r="Y84" s="5">
        <f t="shared" si="24"/>
        <v>0</v>
      </c>
      <c r="Z84" s="5">
        <f t="shared" si="25"/>
        <v>3350854023</v>
      </c>
      <c r="AA84">
        <f t="shared" si="26"/>
        <v>9138692790</v>
      </c>
    </row>
    <row r="85" spans="1:27" ht="25.95" customHeight="1">
      <c r="A85" s="11" t="s">
        <v>1587</v>
      </c>
      <c r="B85" s="11" t="s">
        <v>1312</v>
      </c>
      <c r="C85" s="11" t="s">
        <v>954</v>
      </c>
      <c r="D85" s="11" t="s">
        <v>955</v>
      </c>
      <c r="E85" s="11" t="s">
        <v>1588</v>
      </c>
      <c r="F85" s="15">
        <v>253925884</v>
      </c>
      <c r="G85" s="13">
        <v>46145</v>
      </c>
      <c r="H85" s="13">
        <v>46175</v>
      </c>
      <c r="I85" s="13">
        <v>46178</v>
      </c>
      <c r="J85" s="11">
        <v>30</v>
      </c>
      <c r="K85" s="11" t="s">
        <v>1350</v>
      </c>
      <c r="L85" s="11" t="s">
        <v>1449</v>
      </c>
      <c r="M85" s="3">
        <f>IF(AND(G85&lt;=D_F01!$B$7,OR(NOT(ISNUMBER(I85)),I85&gt;D_F01!$B$7),L85&lt;&gt;"cancelled"),1,0)</f>
        <v>0</v>
      </c>
      <c r="N85" s="8">
        <f t="shared" si="18"/>
        <v>0</v>
      </c>
      <c r="O85" s="3">
        <f>IF(M85=1,MAX(0,D_F01!$B$7-H85),0)</f>
        <v>0</v>
      </c>
      <c r="P85" s="3">
        <f>IF(AND(ISNUMBER(I85),I85&lt;=D_F01!$B$7),I85-H85,0)</f>
        <v>3</v>
      </c>
      <c r="Q85" s="3">
        <f t="shared" si="19"/>
        <v>3</v>
      </c>
      <c r="R85" s="3">
        <f>IF(AND(ISNUMBER(I85),I85&gt;D_F01!$B$7-D_F01!$B$25,I85&lt;=D_F01!$B$7),1,0)</f>
        <v>1</v>
      </c>
      <c r="S85" s="3">
        <f t="shared" si="20"/>
        <v>761777652</v>
      </c>
      <c r="T85" s="3">
        <f t="shared" si="21"/>
        <v>253925884</v>
      </c>
      <c r="U85" s="3">
        <f>IF(AND(H85&gt;D_F01!$B$7-D_F01!$B$25,H85&lt;=D_F01!$B$7),IF(M85=1,O85,Q85),0)</f>
        <v>3</v>
      </c>
      <c r="V85" s="3">
        <f t="shared" si="22"/>
        <v>253925884</v>
      </c>
      <c r="W85" s="3">
        <f>IF(AND(H85&gt;D_F01!$B$7-D_F01!$B$25,H85&lt;=D_F01!$B$7,L85&lt;&gt;"cancelled"),1,0)</f>
        <v>1</v>
      </c>
      <c r="X85" s="3">
        <f t="shared" si="23"/>
        <v>761777652</v>
      </c>
      <c r="Y85" s="3">
        <f t="shared" si="24"/>
        <v>0</v>
      </c>
      <c r="Z85" s="3">
        <f t="shared" si="25"/>
        <v>761777652</v>
      </c>
      <c r="AA85">
        <f t="shared" si="26"/>
        <v>7617776520</v>
      </c>
    </row>
    <row r="86" spans="1:27" ht="25.95" customHeight="1">
      <c r="A86" s="14" t="s">
        <v>1589</v>
      </c>
      <c r="B86" s="14" t="s">
        <v>1312</v>
      </c>
      <c r="C86" s="14" t="s">
        <v>960</v>
      </c>
      <c r="D86" s="14" t="s">
        <v>961</v>
      </c>
      <c r="E86" s="14" t="s">
        <v>1590</v>
      </c>
      <c r="F86" s="16">
        <v>81159872</v>
      </c>
      <c r="G86" s="12">
        <v>46145</v>
      </c>
      <c r="H86" s="12">
        <v>46175</v>
      </c>
      <c r="I86" s="12">
        <v>46179</v>
      </c>
      <c r="J86" s="14">
        <v>30</v>
      </c>
      <c r="K86" s="14" t="s">
        <v>1350</v>
      </c>
      <c r="L86" s="14" t="s">
        <v>1449</v>
      </c>
      <c r="M86" s="5">
        <f>IF(AND(G86&lt;=D_F01!$B$7,OR(NOT(ISNUMBER(I86)),I86&gt;D_F01!$B$7),L86&lt;&gt;"cancelled"),1,0)</f>
        <v>0</v>
      </c>
      <c r="N86" s="9">
        <f t="shared" si="18"/>
        <v>0</v>
      </c>
      <c r="O86" s="5">
        <f>IF(M86=1,MAX(0,D_F01!$B$7-H86),0)</f>
        <v>0</v>
      </c>
      <c r="P86" s="5">
        <f>IF(AND(ISNUMBER(I86),I86&lt;=D_F01!$B$7),I86-H86,0)</f>
        <v>4</v>
      </c>
      <c r="Q86" s="5">
        <f t="shared" si="19"/>
        <v>4</v>
      </c>
      <c r="R86" s="5">
        <f>IF(AND(ISNUMBER(I86),I86&gt;D_F01!$B$7-D_F01!$B$25,I86&lt;=D_F01!$B$7),1,0)</f>
        <v>1</v>
      </c>
      <c r="S86" s="5">
        <f t="shared" si="20"/>
        <v>324639488</v>
      </c>
      <c r="T86" s="5">
        <f t="shared" si="21"/>
        <v>81159872</v>
      </c>
      <c r="U86" s="5">
        <f>IF(AND(H86&gt;D_F01!$B$7-D_F01!$B$25,H86&lt;=D_F01!$B$7),IF(M86=1,O86,Q86),0)</f>
        <v>4</v>
      </c>
      <c r="V86" s="5">
        <f t="shared" si="22"/>
        <v>81159872</v>
      </c>
      <c r="W86" s="5">
        <f>IF(AND(H86&gt;D_F01!$B$7-D_F01!$B$25,H86&lt;=D_F01!$B$7,L86&lt;&gt;"cancelled"),1,0)</f>
        <v>1</v>
      </c>
      <c r="X86" s="5">
        <f t="shared" si="23"/>
        <v>324639488</v>
      </c>
      <c r="Y86" s="5">
        <f t="shared" si="24"/>
        <v>0</v>
      </c>
      <c r="Z86" s="5">
        <f t="shared" si="25"/>
        <v>324639488</v>
      </c>
      <c r="AA86">
        <f t="shared" si="26"/>
        <v>2434796160</v>
      </c>
    </row>
    <row r="87" spans="1:27" ht="25.95" customHeight="1">
      <c r="A87" s="11" t="s">
        <v>1145</v>
      </c>
      <c r="B87" s="11" t="s">
        <v>1312</v>
      </c>
      <c r="C87" s="11" t="s">
        <v>952</v>
      </c>
      <c r="D87" s="11" t="s">
        <v>953</v>
      </c>
      <c r="E87" s="11" t="s">
        <v>1591</v>
      </c>
      <c r="F87" s="15">
        <v>169068797</v>
      </c>
      <c r="G87" s="13">
        <v>46146</v>
      </c>
      <c r="H87" s="13">
        <v>46191</v>
      </c>
      <c r="I87" s="13"/>
      <c r="J87" s="11">
        <v>45</v>
      </c>
      <c r="K87" s="11" t="s">
        <v>1350</v>
      </c>
      <c r="L87" s="11" t="s">
        <v>1449</v>
      </c>
      <c r="M87" s="3">
        <f>IF(AND(G87&lt;=D_F01!$B$7,OR(NOT(ISNUMBER(I87)),I87&gt;D_F01!$B$7),L87&lt;&gt;"cancelled"),1,0)</f>
        <v>1</v>
      </c>
      <c r="N87" s="8">
        <f t="shared" si="18"/>
        <v>169068797</v>
      </c>
      <c r="O87" s="3">
        <f>IF(M87=1,MAX(0,D_F01!$B$7-H87),0)</f>
        <v>2</v>
      </c>
      <c r="P87" s="3">
        <f>IF(AND(ISNUMBER(I87),I87&lt;=D_F01!$B$7),I87-H87,0)</f>
        <v>0</v>
      </c>
      <c r="Q87" s="3">
        <f t="shared" si="19"/>
        <v>0</v>
      </c>
      <c r="R87" s="3">
        <f>IF(AND(ISNUMBER(I87),I87&gt;D_F01!$B$7-D_F01!$B$25,I87&lt;=D_F01!$B$7),1,0)</f>
        <v>0</v>
      </c>
      <c r="S87" s="3">
        <f t="shared" si="20"/>
        <v>0</v>
      </c>
      <c r="T87" s="3">
        <f t="shared" si="21"/>
        <v>0</v>
      </c>
      <c r="U87" s="3">
        <f>IF(AND(H87&gt;D_F01!$B$7-D_F01!$B$25,H87&lt;=D_F01!$B$7),IF(M87=1,O87,Q87),0)</f>
        <v>2</v>
      </c>
      <c r="V87" s="3">
        <f t="shared" si="22"/>
        <v>169068797</v>
      </c>
      <c r="W87" s="3">
        <f>IF(AND(H87&gt;D_F01!$B$7-D_F01!$B$25,H87&lt;=D_F01!$B$7,L87&lt;&gt;"cancelled"),1,0)</f>
        <v>1</v>
      </c>
      <c r="X87" s="3">
        <f t="shared" si="23"/>
        <v>338137594</v>
      </c>
      <c r="Y87" s="3">
        <f t="shared" si="24"/>
        <v>1</v>
      </c>
      <c r="Z87" s="3">
        <f t="shared" si="25"/>
        <v>0</v>
      </c>
      <c r="AA87">
        <f t="shared" si="26"/>
        <v>0</v>
      </c>
    </row>
    <row r="88" spans="1:27" ht="25.95" customHeight="1">
      <c r="A88" s="14" t="s">
        <v>1592</v>
      </c>
      <c r="B88" s="14" t="s">
        <v>1312</v>
      </c>
      <c r="C88" s="14" t="s">
        <v>960</v>
      </c>
      <c r="D88" s="14" t="s">
        <v>961</v>
      </c>
      <c r="E88" s="14" t="s">
        <v>1590</v>
      </c>
      <c r="F88" s="16">
        <v>103820647</v>
      </c>
      <c r="G88" s="12">
        <v>46148</v>
      </c>
      <c r="H88" s="12">
        <v>46178</v>
      </c>
      <c r="I88" s="12">
        <v>46178</v>
      </c>
      <c r="J88" s="14">
        <v>30</v>
      </c>
      <c r="K88" s="14" t="s">
        <v>1350</v>
      </c>
      <c r="L88" s="14" t="s">
        <v>1449</v>
      </c>
      <c r="M88" s="5">
        <f>IF(AND(G88&lt;=D_F01!$B$7,OR(NOT(ISNUMBER(I88)),I88&gt;D_F01!$B$7),L88&lt;&gt;"cancelled"),1,0)</f>
        <v>0</v>
      </c>
      <c r="N88" s="9">
        <f t="shared" si="18"/>
        <v>0</v>
      </c>
      <c r="O88" s="5">
        <f>IF(M88=1,MAX(0,D_F01!$B$7-H88),0)</f>
        <v>0</v>
      </c>
      <c r="P88" s="5">
        <f>IF(AND(ISNUMBER(I88),I88&lt;=D_F01!$B$7),I88-H88,0)</f>
        <v>0</v>
      </c>
      <c r="Q88" s="5">
        <f t="shared" si="19"/>
        <v>0</v>
      </c>
      <c r="R88" s="5">
        <f>IF(AND(ISNUMBER(I88),I88&gt;D_F01!$B$7-D_F01!$B$25,I88&lt;=D_F01!$B$7),1,0)</f>
        <v>1</v>
      </c>
      <c r="S88" s="5">
        <f t="shared" si="20"/>
        <v>0</v>
      </c>
      <c r="T88" s="5">
        <f t="shared" si="21"/>
        <v>103820647</v>
      </c>
      <c r="U88" s="5">
        <f>IF(AND(H88&gt;D_F01!$B$7-D_F01!$B$25,H88&lt;=D_F01!$B$7),IF(M88=1,O88,Q88),0)</f>
        <v>0</v>
      </c>
      <c r="V88" s="5">
        <f t="shared" si="22"/>
        <v>103820647</v>
      </c>
      <c r="W88" s="5">
        <f>IF(AND(H88&gt;D_F01!$B$7-D_F01!$B$25,H88&lt;=D_F01!$B$7,L88&lt;&gt;"cancelled"),1,0)</f>
        <v>1</v>
      </c>
      <c r="X88" s="5">
        <f t="shared" si="23"/>
        <v>0</v>
      </c>
      <c r="Y88" s="5">
        <f t="shared" si="24"/>
        <v>0</v>
      </c>
      <c r="Z88" s="5">
        <f t="shared" si="25"/>
        <v>0</v>
      </c>
      <c r="AA88">
        <f t="shared" si="26"/>
        <v>3114619410</v>
      </c>
    </row>
    <row r="89" spans="1:27" ht="25.95" customHeight="1">
      <c r="A89" s="11" t="s">
        <v>1147</v>
      </c>
      <c r="B89" s="11" t="s">
        <v>1312</v>
      </c>
      <c r="C89" s="11" t="s">
        <v>952</v>
      </c>
      <c r="D89" s="11" t="s">
        <v>953</v>
      </c>
      <c r="E89" s="11" t="s">
        <v>1591</v>
      </c>
      <c r="F89" s="15">
        <v>284573826</v>
      </c>
      <c r="G89" s="13">
        <v>46149</v>
      </c>
      <c r="H89" s="13">
        <v>46194</v>
      </c>
      <c r="I89" s="13"/>
      <c r="J89" s="11">
        <v>45</v>
      </c>
      <c r="K89" s="11" t="s">
        <v>1350</v>
      </c>
      <c r="L89" s="11" t="s">
        <v>1449</v>
      </c>
      <c r="M89" s="3">
        <f>IF(AND(G89&lt;=D_F01!$B$7,OR(NOT(ISNUMBER(I89)),I89&gt;D_F01!$B$7),L89&lt;&gt;"cancelled"),1,0)</f>
        <v>1</v>
      </c>
      <c r="N89" s="8">
        <f t="shared" si="18"/>
        <v>284573826</v>
      </c>
      <c r="O89" s="3">
        <f>IF(M89=1,MAX(0,D_F01!$B$7-H89),0)</f>
        <v>0</v>
      </c>
      <c r="P89" s="3">
        <f>IF(AND(ISNUMBER(I89),I89&lt;=D_F01!$B$7),I89-H89,0)</f>
        <v>0</v>
      </c>
      <c r="Q89" s="3">
        <f t="shared" si="19"/>
        <v>0</v>
      </c>
      <c r="R89" s="3">
        <f>IF(AND(ISNUMBER(I89),I89&gt;D_F01!$B$7-D_F01!$B$25,I89&lt;=D_F01!$B$7),1,0)</f>
        <v>0</v>
      </c>
      <c r="S89" s="3">
        <f t="shared" si="20"/>
        <v>0</v>
      </c>
      <c r="T89" s="3">
        <f t="shared" si="21"/>
        <v>0</v>
      </c>
      <c r="U89" s="3">
        <f>IF(AND(H89&gt;D_F01!$B$7-D_F01!$B$25,H89&lt;=D_F01!$B$7),IF(M89=1,O89,Q89),0)</f>
        <v>0</v>
      </c>
      <c r="V89" s="3">
        <f t="shared" si="22"/>
        <v>0</v>
      </c>
      <c r="W89" s="3">
        <f>IF(AND(H89&gt;D_F01!$B$7-D_F01!$B$25,H89&lt;=D_F01!$B$7,L89&lt;&gt;"cancelled"),1,0)</f>
        <v>0</v>
      </c>
      <c r="X89" s="3">
        <f t="shared" si="23"/>
        <v>0</v>
      </c>
      <c r="Y89" s="3">
        <f t="shared" si="24"/>
        <v>0</v>
      </c>
      <c r="Z89" s="3">
        <f t="shared" si="25"/>
        <v>0</v>
      </c>
      <c r="AA89">
        <f t="shared" si="26"/>
        <v>0</v>
      </c>
    </row>
    <row r="90" spans="1:27" ht="25.95" customHeight="1">
      <c r="A90" s="14" t="s">
        <v>1149</v>
      </c>
      <c r="B90" s="14" t="s">
        <v>1312</v>
      </c>
      <c r="C90" s="14" t="s">
        <v>952</v>
      </c>
      <c r="D90" s="14" t="s">
        <v>953</v>
      </c>
      <c r="E90" s="14" t="s">
        <v>1593</v>
      </c>
      <c r="F90" s="16">
        <v>135683350</v>
      </c>
      <c r="G90" s="12">
        <v>46150</v>
      </c>
      <c r="H90" s="12">
        <v>46195</v>
      </c>
      <c r="I90" s="12"/>
      <c r="J90" s="14">
        <v>45</v>
      </c>
      <c r="K90" s="14" t="s">
        <v>1350</v>
      </c>
      <c r="L90" s="14" t="s">
        <v>1449</v>
      </c>
      <c r="M90" s="5">
        <f>IF(AND(G90&lt;=D_F01!$B$7,OR(NOT(ISNUMBER(I90)),I90&gt;D_F01!$B$7),L90&lt;&gt;"cancelled"),1,0)</f>
        <v>1</v>
      </c>
      <c r="N90" s="9">
        <f t="shared" si="18"/>
        <v>135683350</v>
      </c>
      <c r="O90" s="5">
        <f>IF(M90=1,MAX(0,D_F01!$B$7-H90),0)</f>
        <v>0</v>
      </c>
      <c r="P90" s="5">
        <f>IF(AND(ISNUMBER(I90),I90&lt;=D_F01!$B$7),I90-H90,0)</f>
        <v>0</v>
      </c>
      <c r="Q90" s="5">
        <f t="shared" si="19"/>
        <v>0</v>
      </c>
      <c r="R90" s="5">
        <f>IF(AND(ISNUMBER(I90),I90&gt;D_F01!$B$7-D_F01!$B$25,I90&lt;=D_F01!$B$7),1,0)</f>
        <v>0</v>
      </c>
      <c r="S90" s="5">
        <f t="shared" si="20"/>
        <v>0</v>
      </c>
      <c r="T90" s="5">
        <f t="shared" si="21"/>
        <v>0</v>
      </c>
      <c r="U90" s="5">
        <f>IF(AND(H90&gt;D_F01!$B$7-D_F01!$B$25,H90&lt;=D_F01!$B$7),IF(M90=1,O90,Q90),0)</f>
        <v>0</v>
      </c>
      <c r="V90" s="5">
        <f t="shared" si="22"/>
        <v>0</v>
      </c>
      <c r="W90" s="5">
        <f>IF(AND(H90&gt;D_F01!$B$7-D_F01!$B$25,H90&lt;=D_F01!$B$7,L90&lt;&gt;"cancelled"),1,0)</f>
        <v>0</v>
      </c>
      <c r="X90" s="5">
        <f t="shared" si="23"/>
        <v>0</v>
      </c>
      <c r="Y90" s="5">
        <f t="shared" si="24"/>
        <v>0</v>
      </c>
      <c r="Z90" s="5">
        <f t="shared" si="25"/>
        <v>0</v>
      </c>
      <c r="AA90">
        <f t="shared" si="26"/>
        <v>0</v>
      </c>
    </row>
    <row r="91" spans="1:27" ht="25.95" customHeight="1">
      <c r="A91" s="11" t="s">
        <v>1594</v>
      </c>
      <c r="B91" s="11" t="s">
        <v>1312</v>
      </c>
      <c r="C91" s="11" t="s">
        <v>954</v>
      </c>
      <c r="D91" s="11" t="s">
        <v>955</v>
      </c>
      <c r="E91" s="11" t="s">
        <v>1595</v>
      </c>
      <c r="F91" s="15">
        <v>158373574</v>
      </c>
      <c r="G91" s="13">
        <v>46150</v>
      </c>
      <c r="H91" s="13">
        <v>46180</v>
      </c>
      <c r="I91" s="13">
        <v>46176</v>
      </c>
      <c r="J91" s="11">
        <v>30</v>
      </c>
      <c r="K91" s="11" t="s">
        <v>1350</v>
      </c>
      <c r="L91" s="11" t="s">
        <v>1449</v>
      </c>
      <c r="M91" s="3">
        <f>IF(AND(G91&lt;=D_F01!$B$7,OR(NOT(ISNUMBER(I91)),I91&gt;D_F01!$B$7),L91&lt;&gt;"cancelled"),1,0)</f>
        <v>0</v>
      </c>
      <c r="N91" s="8">
        <f t="shared" si="18"/>
        <v>0</v>
      </c>
      <c r="O91" s="3">
        <f>IF(M91=1,MAX(0,D_F01!$B$7-H91),0)</f>
        <v>0</v>
      </c>
      <c r="P91" s="3">
        <f>IF(AND(ISNUMBER(I91),I91&lt;=D_F01!$B$7),I91-H91,0)</f>
        <v>-4</v>
      </c>
      <c r="Q91" s="3">
        <f t="shared" si="19"/>
        <v>0</v>
      </c>
      <c r="R91" s="3">
        <f>IF(AND(ISNUMBER(I91),I91&gt;D_F01!$B$7-D_F01!$B$25,I91&lt;=D_F01!$B$7),1,0)</f>
        <v>1</v>
      </c>
      <c r="S91" s="3">
        <f t="shared" si="20"/>
        <v>0</v>
      </c>
      <c r="T91" s="3">
        <f t="shared" si="21"/>
        <v>158373574</v>
      </c>
      <c r="U91" s="3">
        <f>IF(AND(H91&gt;D_F01!$B$7-D_F01!$B$25,H91&lt;=D_F01!$B$7),IF(M91=1,O91,Q91),0)</f>
        <v>0</v>
      </c>
      <c r="V91" s="3">
        <f t="shared" si="22"/>
        <v>158373574</v>
      </c>
      <c r="W91" s="3">
        <f>IF(AND(H91&gt;D_F01!$B$7-D_F01!$B$25,H91&lt;=D_F01!$B$7,L91&lt;&gt;"cancelled"),1,0)</f>
        <v>1</v>
      </c>
      <c r="X91" s="3">
        <f t="shared" si="23"/>
        <v>0</v>
      </c>
      <c r="Y91" s="3">
        <f t="shared" si="24"/>
        <v>0</v>
      </c>
      <c r="Z91" s="3">
        <f t="shared" si="25"/>
        <v>-633494296</v>
      </c>
      <c r="AA91">
        <f t="shared" si="26"/>
        <v>4751207220</v>
      </c>
    </row>
    <row r="92" spans="1:27" ht="40.049999999999997" customHeight="1">
      <c r="A92" s="14" t="s">
        <v>1151</v>
      </c>
      <c r="B92" s="14" t="s">
        <v>1312</v>
      </c>
      <c r="C92" s="14" t="s">
        <v>958</v>
      </c>
      <c r="D92" s="14" t="s">
        <v>959</v>
      </c>
      <c r="E92" s="14" t="s">
        <v>1596</v>
      </c>
      <c r="F92" s="16">
        <v>179404035</v>
      </c>
      <c r="G92" s="12">
        <v>46150</v>
      </c>
      <c r="H92" s="12">
        <v>46195</v>
      </c>
      <c r="I92" s="12"/>
      <c r="J92" s="14">
        <v>45</v>
      </c>
      <c r="K92" s="14" t="s">
        <v>1350</v>
      </c>
      <c r="L92" s="14" t="s">
        <v>1449</v>
      </c>
      <c r="M92" s="5">
        <f>IF(AND(G92&lt;=D_F01!$B$7,OR(NOT(ISNUMBER(I92)),I92&gt;D_F01!$B$7),L92&lt;&gt;"cancelled"),1,0)</f>
        <v>1</v>
      </c>
      <c r="N92" s="9">
        <f t="shared" si="18"/>
        <v>179404035</v>
      </c>
      <c r="O92" s="5">
        <f>IF(M92=1,MAX(0,D_F01!$B$7-H92),0)</f>
        <v>0</v>
      </c>
      <c r="P92" s="5">
        <f>IF(AND(ISNUMBER(I92),I92&lt;=D_F01!$B$7),I92-H92,0)</f>
        <v>0</v>
      </c>
      <c r="Q92" s="5">
        <f t="shared" si="19"/>
        <v>0</v>
      </c>
      <c r="R92" s="5">
        <f>IF(AND(ISNUMBER(I92),I92&gt;D_F01!$B$7-D_F01!$B$25,I92&lt;=D_F01!$B$7),1,0)</f>
        <v>0</v>
      </c>
      <c r="S92" s="5">
        <f t="shared" si="20"/>
        <v>0</v>
      </c>
      <c r="T92" s="5">
        <f t="shared" si="21"/>
        <v>0</v>
      </c>
      <c r="U92" s="5">
        <f>IF(AND(H92&gt;D_F01!$B$7-D_F01!$B$25,H92&lt;=D_F01!$B$7),IF(M92=1,O92,Q92),0)</f>
        <v>0</v>
      </c>
      <c r="V92" s="5">
        <f t="shared" si="22"/>
        <v>0</v>
      </c>
      <c r="W92" s="5">
        <f>IF(AND(H92&gt;D_F01!$B$7-D_F01!$B$25,H92&lt;=D_F01!$B$7,L92&lt;&gt;"cancelled"),1,0)</f>
        <v>0</v>
      </c>
      <c r="X92" s="5">
        <f t="shared" si="23"/>
        <v>0</v>
      </c>
      <c r="Y92" s="5">
        <f t="shared" si="24"/>
        <v>0</v>
      </c>
      <c r="Z92" s="5">
        <f t="shared" si="25"/>
        <v>0</v>
      </c>
      <c r="AA92">
        <f t="shared" si="26"/>
        <v>0</v>
      </c>
    </row>
    <row r="93" spans="1:27" ht="25.95" customHeight="1">
      <c r="A93" s="11" t="s">
        <v>1153</v>
      </c>
      <c r="B93" s="11" t="s">
        <v>1312</v>
      </c>
      <c r="C93" s="11" t="s">
        <v>952</v>
      </c>
      <c r="D93" s="11" t="s">
        <v>953</v>
      </c>
      <c r="E93" s="11" t="s">
        <v>1597</v>
      </c>
      <c r="F93" s="15">
        <v>193658718</v>
      </c>
      <c r="G93" s="13">
        <v>46153</v>
      </c>
      <c r="H93" s="13">
        <v>46198</v>
      </c>
      <c r="I93" s="13"/>
      <c r="J93" s="11">
        <v>45</v>
      </c>
      <c r="K93" s="11" t="s">
        <v>1350</v>
      </c>
      <c r="L93" s="11" t="s">
        <v>1449</v>
      </c>
      <c r="M93" s="3">
        <f>IF(AND(G93&lt;=D_F01!$B$7,OR(NOT(ISNUMBER(I93)),I93&gt;D_F01!$B$7),L93&lt;&gt;"cancelled"),1,0)</f>
        <v>1</v>
      </c>
      <c r="N93" s="8">
        <f t="shared" si="18"/>
        <v>193658718</v>
      </c>
      <c r="O93" s="3">
        <f>IF(M93=1,MAX(0,D_F01!$B$7-H93),0)</f>
        <v>0</v>
      </c>
      <c r="P93" s="3">
        <f>IF(AND(ISNUMBER(I93),I93&lt;=D_F01!$B$7),I93-H93,0)</f>
        <v>0</v>
      </c>
      <c r="Q93" s="3">
        <f t="shared" si="19"/>
        <v>0</v>
      </c>
      <c r="R93" s="3">
        <f>IF(AND(ISNUMBER(I93),I93&gt;D_F01!$B$7-D_F01!$B$25,I93&lt;=D_F01!$B$7),1,0)</f>
        <v>0</v>
      </c>
      <c r="S93" s="3">
        <f t="shared" si="20"/>
        <v>0</v>
      </c>
      <c r="T93" s="3">
        <f t="shared" si="21"/>
        <v>0</v>
      </c>
      <c r="U93" s="3">
        <f>IF(AND(H93&gt;D_F01!$B$7-D_F01!$B$25,H93&lt;=D_F01!$B$7),IF(M93=1,O93,Q93),0)</f>
        <v>0</v>
      </c>
      <c r="V93" s="3">
        <f t="shared" si="22"/>
        <v>0</v>
      </c>
      <c r="W93" s="3">
        <f>IF(AND(H93&gt;D_F01!$B$7-D_F01!$B$25,H93&lt;=D_F01!$B$7,L93&lt;&gt;"cancelled"),1,0)</f>
        <v>0</v>
      </c>
      <c r="X93" s="3">
        <f t="shared" si="23"/>
        <v>0</v>
      </c>
      <c r="Y93" s="3">
        <f t="shared" si="24"/>
        <v>0</v>
      </c>
      <c r="Z93" s="3">
        <f t="shared" si="25"/>
        <v>0</v>
      </c>
      <c r="AA93">
        <f t="shared" si="26"/>
        <v>0</v>
      </c>
    </row>
    <row r="94" spans="1:27" ht="25.95" customHeight="1">
      <c r="A94" s="14" t="s">
        <v>1155</v>
      </c>
      <c r="B94" s="14" t="s">
        <v>1312</v>
      </c>
      <c r="C94" s="14" t="s">
        <v>952</v>
      </c>
      <c r="D94" s="14" t="s">
        <v>953</v>
      </c>
      <c r="E94" s="14" t="s">
        <v>1598</v>
      </c>
      <c r="F94" s="16">
        <v>174530918</v>
      </c>
      <c r="G94" s="12">
        <v>46155</v>
      </c>
      <c r="H94" s="12">
        <v>46200</v>
      </c>
      <c r="I94" s="12"/>
      <c r="J94" s="14">
        <v>45</v>
      </c>
      <c r="K94" s="14" t="s">
        <v>1350</v>
      </c>
      <c r="L94" s="14" t="s">
        <v>1449</v>
      </c>
      <c r="M94" s="5">
        <f>IF(AND(G94&lt;=D_F01!$B$7,OR(NOT(ISNUMBER(I94)),I94&gt;D_F01!$B$7),L94&lt;&gt;"cancelled"),1,0)</f>
        <v>1</v>
      </c>
      <c r="N94" s="9">
        <f t="shared" si="18"/>
        <v>174530918</v>
      </c>
      <c r="O94" s="5">
        <f>IF(M94=1,MAX(0,D_F01!$B$7-H94),0)</f>
        <v>0</v>
      </c>
      <c r="P94" s="5">
        <f>IF(AND(ISNUMBER(I94),I94&lt;=D_F01!$B$7),I94-H94,0)</f>
        <v>0</v>
      </c>
      <c r="Q94" s="5">
        <f t="shared" si="19"/>
        <v>0</v>
      </c>
      <c r="R94" s="5">
        <f>IF(AND(ISNUMBER(I94),I94&gt;D_F01!$B$7-D_F01!$B$25,I94&lt;=D_F01!$B$7),1,0)</f>
        <v>0</v>
      </c>
      <c r="S94" s="5">
        <f t="shared" si="20"/>
        <v>0</v>
      </c>
      <c r="T94" s="5">
        <f t="shared" si="21"/>
        <v>0</v>
      </c>
      <c r="U94" s="5">
        <f>IF(AND(H94&gt;D_F01!$B$7-D_F01!$B$25,H94&lt;=D_F01!$B$7),IF(M94=1,O94,Q94),0)</f>
        <v>0</v>
      </c>
      <c r="V94" s="5">
        <f t="shared" si="22"/>
        <v>0</v>
      </c>
      <c r="W94" s="5">
        <f>IF(AND(H94&gt;D_F01!$B$7-D_F01!$B$25,H94&lt;=D_F01!$B$7,L94&lt;&gt;"cancelled"),1,0)</f>
        <v>0</v>
      </c>
      <c r="X94" s="5">
        <f t="shared" si="23"/>
        <v>0</v>
      </c>
      <c r="Y94" s="5">
        <f t="shared" si="24"/>
        <v>0</v>
      </c>
      <c r="Z94" s="5">
        <f t="shared" si="25"/>
        <v>0</v>
      </c>
      <c r="AA94">
        <f t="shared" si="26"/>
        <v>0</v>
      </c>
    </row>
    <row r="95" spans="1:27" ht="25.95" customHeight="1">
      <c r="A95" s="11" t="s">
        <v>1599</v>
      </c>
      <c r="B95" s="11" t="s">
        <v>1312</v>
      </c>
      <c r="C95" s="11" t="s">
        <v>954</v>
      </c>
      <c r="D95" s="11" t="s">
        <v>955</v>
      </c>
      <c r="E95" s="11" t="s">
        <v>1600</v>
      </c>
      <c r="F95" s="15">
        <v>445411821</v>
      </c>
      <c r="G95" s="13">
        <v>46155</v>
      </c>
      <c r="H95" s="13">
        <v>46185</v>
      </c>
      <c r="I95" s="13">
        <v>46190</v>
      </c>
      <c r="J95" s="11">
        <v>30</v>
      </c>
      <c r="K95" s="11" t="s">
        <v>1350</v>
      </c>
      <c r="L95" s="11" t="s">
        <v>1449</v>
      </c>
      <c r="M95" s="3">
        <f>IF(AND(G95&lt;=D_F01!$B$7,OR(NOT(ISNUMBER(I95)),I95&gt;D_F01!$B$7),L95&lt;&gt;"cancelled"),1,0)</f>
        <v>0</v>
      </c>
      <c r="N95" s="8">
        <f t="shared" si="18"/>
        <v>0</v>
      </c>
      <c r="O95" s="3">
        <f>IF(M95=1,MAX(0,D_F01!$B$7-H95),0)</f>
        <v>0</v>
      </c>
      <c r="P95" s="3">
        <f>IF(AND(ISNUMBER(I95),I95&lt;=D_F01!$B$7),I95-H95,0)</f>
        <v>5</v>
      </c>
      <c r="Q95" s="3">
        <f t="shared" si="19"/>
        <v>5</v>
      </c>
      <c r="R95" s="3">
        <f>IF(AND(ISNUMBER(I95),I95&gt;D_F01!$B$7-D_F01!$B$25,I95&lt;=D_F01!$B$7),1,0)</f>
        <v>1</v>
      </c>
      <c r="S95" s="3">
        <f t="shared" si="20"/>
        <v>2227059105</v>
      </c>
      <c r="T95" s="3">
        <f t="shared" si="21"/>
        <v>445411821</v>
      </c>
      <c r="U95" s="3">
        <f>IF(AND(H95&gt;D_F01!$B$7-D_F01!$B$25,H95&lt;=D_F01!$B$7),IF(M95=1,O95,Q95),0)</f>
        <v>5</v>
      </c>
      <c r="V95" s="3">
        <f t="shared" si="22"/>
        <v>445411821</v>
      </c>
      <c r="W95" s="3">
        <f>IF(AND(H95&gt;D_F01!$B$7-D_F01!$B$25,H95&lt;=D_F01!$B$7,L95&lt;&gt;"cancelled"),1,0)</f>
        <v>1</v>
      </c>
      <c r="X95" s="3">
        <f t="shared" si="23"/>
        <v>2227059105</v>
      </c>
      <c r="Y95" s="3">
        <f t="shared" si="24"/>
        <v>0</v>
      </c>
      <c r="Z95" s="3">
        <f t="shared" si="25"/>
        <v>2227059105</v>
      </c>
      <c r="AA95">
        <f t="shared" si="26"/>
        <v>13362354630</v>
      </c>
    </row>
    <row r="96" spans="1:27" ht="25.95" customHeight="1">
      <c r="A96" s="14" t="s">
        <v>1157</v>
      </c>
      <c r="B96" s="14" t="s">
        <v>1312</v>
      </c>
      <c r="C96" s="14" t="s">
        <v>952</v>
      </c>
      <c r="D96" s="14" t="s">
        <v>953</v>
      </c>
      <c r="E96" s="14" t="s">
        <v>1601</v>
      </c>
      <c r="F96" s="16">
        <v>261722257</v>
      </c>
      <c r="G96" s="12">
        <v>46159</v>
      </c>
      <c r="H96" s="12">
        <v>46204</v>
      </c>
      <c r="I96" s="12"/>
      <c r="J96" s="14">
        <v>45</v>
      </c>
      <c r="K96" s="14" t="s">
        <v>1350</v>
      </c>
      <c r="L96" s="14" t="s">
        <v>1449</v>
      </c>
      <c r="M96" s="5">
        <f>IF(AND(G96&lt;=D_F01!$B$7,OR(NOT(ISNUMBER(I96)),I96&gt;D_F01!$B$7),L96&lt;&gt;"cancelled"),1,0)</f>
        <v>1</v>
      </c>
      <c r="N96" s="9">
        <f t="shared" si="18"/>
        <v>261722257</v>
      </c>
      <c r="O96" s="5">
        <f>IF(M96=1,MAX(0,D_F01!$B$7-H96),0)</f>
        <v>0</v>
      </c>
      <c r="P96" s="5">
        <f>IF(AND(ISNUMBER(I96),I96&lt;=D_F01!$B$7),I96-H96,0)</f>
        <v>0</v>
      </c>
      <c r="Q96" s="5">
        <f t="shared" si="19"/>
        <v>0</v>
      </c>
      <c r="R96" s="5">
        <f>IF(AND(ISNUMBER(I96),I96&gt;D_F01!$B$7-D_F01!$B$25,I96&lt;=D_F01!$B$7),1,0)</f>
        <v>0</v>
      </c>
      <c r="S96" s="5">
        <f t="shared" si="20"/>
        <v>0</v>
      </c>
      <c r="T96" s="5">
        <f t="shared" si="21"/>
        <v>0</v>
      </c>
      <c r="U96" s="5">
        <f>IF(AND(H96&gt;D_F01!$B$7-D_F01!$B$25,H96&lt;=D_F01!$B$7),IF(M96=1,O96,Q96),0)</f>
        <v>0</v>
      </c>
      <c r="V96" s="5">
        <f t="shared" si="22"/>
        <v>0</v>
      </c>
      <c r="W96" s="5">
        <f>IF(AND(H96&gt;D_F01!$B$7-D_F01!$B$25,H96&lt;=D_F01!$B$7,L96&lt;&gt;"cancelled"),1,0)</f>
        <v>0</v>
      </c>
      <c r="X96" s="5">
        <f t="shared" si="23"/>
        <v>0</v>
      </c>
      <c r="Y96" s="5">
        <f t="shared" si="24"/>
        <v>0</v>
      </c>
      <c r="Z96" s="5">
        <f t="shared" si="25"/>
        <v>0</v>
      </c>
      <c r="AA96">
        <f t="shared" si="26"/>
        <v>0</v>
      </c>
    </row>
    <row r="97" spans="1:27" ht="25.95" customHeight="1">
      <c r="A97" s="11" t="s">
        <v>1159</v>
      </c>
      <c r="B97" s="11" t="s">
        <v>1312</v>
      </c>
      <c r="C97" s="11" t="s">
        <v>952</v>
      </c>
      <c r="D97" s="11" t="s">
        <v>953</v>
      </c>
      <c r="E97" s="11" t="s">
        <v>1601</v>
      </c>
      <c r="F97" s="15">
        <v>164793578</v>
      </c>
      <c r="G97" s="13">
        <v>46160</v>
      </c>
      <c r="H97" s="13">
        <v>46205</v>
      </c>
      <c r="I97" s="13"/>
      <c r="J97" s="11">
        <v>45</v>
      </c>
      <c r="K97" s="11" t="s">
        <v>1350</v>
      </c>
      <c r="L97" s="11" t="s">
        <v>1449</v>
      </c>
      <c r="M97" s="3">
        <f>IF(AND(G97&lt;=D_F01!$B$7,OR(NOT(ISNUMBER(I97)),I97&gt;D_F01!$B$7),L97&lt;&gt;"cancelled"),1,0)</f>
        <v>1</v>
      </c>
      <c r="N97" s="8">
        <f t="shared" si="18"/>
        <v>164793578</v>
      </c>
      <c r="O97" s="3">
        <f>IF(M97=1,MAX(0,D_F01!$B$7-H97),0)</f>
        <v>0</v>
      </c>
      <c r="P97" s="3">
        <f>IF(AND(ISNUMBER(I97),I97&lt;=D_F01!$B$7),I97-H97,0)</f>
        <v>0</v>
      </c>
      <c r="Q97" s="3">
        <f t="shared" si="19"/>
        <v>0</v>
      </c>
      <c r="R97" s="3">
        <f>IF(AND(ISNUMBER(I97),I97&gt;D_F01!$B$7-D_F01!$B$25,I97&lt;=D_F01!$B$7),1,0)</f>
        <v>0</v>
      </c>
      <c r="S97" s="3">
        <f t="shared" si="20"/>
        <v>0</v>
      </c>
      <c r="T97" s="3">
        <f t="shared" si="21"/>
        <v>0</v>
      </c>
      <c r="U97" s="3">
        <f>IF(AND(H97&gt;D_F01!$B$7-D_F01!$B$25,H97&lt;=D_F01!$B$7),IF(M97=1,O97,Q97),0)</f>
        <v>0</v>
      </c>
      <c r="V97" s="3">
        <f t="shared" si="22"/>
        <v>0</v>
      </c>
      <c r="W97" s="3">
        <f>IF(AND(H97&gt;D_F01!$B$7-D_F01!$B$25,H97&lt;=D_F01!$B$7,L97&lt;&gt;"cancelled"),1,0)</f>
        <v>0</v>
      </c>
      <c r="X97" s="3">
        <f t="shared" si="23"/>
        <v>0</v>
      </c>
      <c r="Y97" s="3">
        <f t="shared" si="24"/>
        <v>0</v>
      </c>
      <c r="Z97" s="3">
        <f t="shared" si="25"/>
        <v>0</v>
      </c>
      <c r="AA97">
        <f t="shared" si="26"/>
        <v>0</v>
      </c>
    </row>
    <row r="98" spans="1:27" ht="25.95" customHeight="1">
      <c r="A98" s="14" t="s">
        <v>1161</v>
      </c>
      <c r="B98" s="14" t="s">
        <v>1312</v>
      </c>
      <c r="C98" s="14" t="s">
        <v>952</v>
      </c>
      <c r="D98" s="14" t="s">
        <v>953</v>
      </c>
      <c r="E98" s="14" t="s">
        <v>1602</v>
      </c>
      <c r="F98" s="16">
        <v>272864905</v>
      </c>
      <c r="G98" s="12">
        <v>46161</v>
      </c>
      <c r="H98" s="12">
        <v>46206</v>
      </c>
      <c r="I98" s="12"/>
      <c r="J98" s="14">
        <v>45</v>
      </c>
      <c r="K98" s="14" t="s">
        <v>1350</v>
      </c>
      <c r="L98" s="14" t="s">
        <v>1449</v>
      </c>
      <c r="M98" s="5">
        <f>IF(AND(G98&lt;=D_F01!$B$7,OR(NOT(ISNUMBER(I98)),I98&gt;D_F01!$B$7),L98&lt;&gt;"cancelled"),1,0)</f>
        <v>1</v>
      </c>
      <c r="N98" s="9">
        <f t="shared" si="18"/>
        <v>272864905</v>
      </c>
      <c r="O98" s="5">
        <f>IF(M98=1,MAX(0,D_F01!$B$7-H98),0)</f>
        <v>0</v>
      </c>
      <c r="P98" s="5">
        <f>IF(AND(ISNUMBER(I98),I98&lt;=D_F01!$B$7),I98-H98,0)</f>
        <v>0</v>
      </c>
      <c r="Q98" s="5">
        <f t="shared" si="19"/>
        <v>0</v>
      </c>
      <c r="R98" s="5">
        <f>IF(AND(ISNUMBER(I98),I98&gt;D_F01!$B$7-D_F01!$B$25,I98&lt;=D_F01!$B$7),1,0)</f>
        <v>0</v>
      </c>
      <c r="S98" s="5">
        <f t="shared" si="20"/>
        <v>0</v>
      </c>
      <c r="T98" s="5">
        <f t="shared" si="21"/>
        <v>0</v>
      </c>
      <c r="U98" s="5">
        <f>IF(AND(H98&gt;D_F01!$B$7-D_F01!$B$25,H98&lt;=D_F01!$B$7),IF(M98=1,O98,Q98),0)</f>
        <v>0</v>
      </c>
      <c r="V98" s="5">
        <f t="shared" si="22"/>
        <v>0</v>
      </c>
      <c r="W98" s="5">
        <f>IF(AND(H98&gt;D_F01!$B$7-D_F01!$B$25,H98&lt;=D_F01!$B$7,L98&lt;&gt;"cancelled"),1,0)</f>
        <v>0</v>
      </c>
      <c r="X98" s="5">
        <f t="shared" si="23"/>
        <v>0</v>
      </c>
      <c r="Y98" s="5">
        <f t="shared" si="24"/>
        <v>0</v>
      </c>
      <c r="Z98" s="5">
        <f t="shared" si="25"/>
        <v>0</v>
      </c>
      <c r="AA98">
        <f t="shared" si="26"/>
        <v>0</v>
      </c>
    </row>
    <row r="99" spans="1:27" ht="25.95" customHeight="1">
      <c r="A99" s="11" t="s">
        <v>1603</v>
      </c>
      <c r="B99" s="11" t="s">
        <v>1312</v>
      </c>
      <c r="C99" s="11" t="s">
        <v>954</v>
      </c>
      <c r="D99" s="11" t="s">
        <v>955</v>
      </c>
      <c r="E99" s="11" t="s">
        <v>1604</v>
      </c>
      <c r="F99" s="15">
        <v>433880139</v>
      </c>
      <c r="G99" s="13">
        <v>46165</v>
      </c>
      <c r="H99" s="13">
        <v>46195</v>
      </c>
      <c r="I99" s="13">
        <v>46191</v>
      </c>
      <c r="J99" s="11">
        <v>30</v>
      </c>
      <c r="K99" s="11" t="s">
        <v>1350</v>
      </c>
      <c r="L99" s="11" t="s">
        <v>1449</v>
      </c>
      <c r="M99" s="3">
        <f>IF(AND(G99&lt;=D_F01!$B$7,OR(NOT(ISNUMBER(I99)),I99&gt;D_F01!$B$7),L99&lt;&gt;"cancelled"),1,0)</f>
        <v>0</v>
      </c>
      <c r="N99" s="8">
        <f t="shared" si="18"/>
        <v>0</v>
      </c>
      <c r="O99" s="3">
        <f>IF(M99=1,MAX(0,D_F01!$B$7-H99),0)</f>
        <v>0</v>
      </c>
      <c r="P99" s="3">
        <f>IF(AND(ISNUMBER(I99),I99&lt;=D_F01!$B$7),I99-H99,0)</f>
        <v>-4</v>
      </c>
      <c r="Q99" s="3">
        <f t="shared" si="19"/>
        <v>0</v>
      </c>
      <c r="R99" s="3">
        <f>IF(AND(ISNUMBER(I99),I99&gt;D_F01!$B$7-D_F01!$B$25,I99&lt;=D_F01!$B$7),1,0)</f>
        <v>1</v>
      </c>
      <c r="S99" s="3">
        <f t="shared" si="20"/>
        <v>0</v>
      </c>
      <c r="T99" s="3">
        <f t="shared" si="21"/>
        <v>433880139</v>
      </c>
      <c r="U99" s="3">
        <f>IF(AND(H99&gt;D_F01!$B$7-D_F01!$B$25,H99&lt;=D_F01!$B$7),IF(M99=1,O99,Q99),0)</f>
        <v>0</v>
      </c>
      <c r="V99" s="3">
        <f t="shared" si="22"/>
        <v>0</v>
      </c>
      <c r="W99" s="3">
        <f>IF(AND(H99&gt;D_F01!$B$7-D_F01!$B$25,H99&lt;=D_F01!$B$7,L99&lt;&gt;"cancelled"),1,0)</f>
        <v>0</v>
      </c>
      <c r="X99" s="3">
        <f t="shared" si="23"/>
        <v>0</v>
      </c>
      <c r="Y99" s="3">
        <f t="shared" si="24"/>
        <v>0</v>
      </c>
      <c r="Z99" s="3">
        <f t="shared" si="25"/>
        <v>-1735520556</v>
      </c>
      <c r="AA99">
        <f t="shared" si="26"/>
        <v>13016404170</v>
      </c>
    </row>
    <row r="100" spans="1:27" ht="25.95" customHeight="1">
      <c r="A100" s="14" t="s">
        <v>1163</v>
      </c>
      <c r="B100" s="14" t="s">
        <v>1312</v>
      </c>
      <c r="C100" s="14" t="s">
        <v>954</v>
      </c>
      <c r="D100" s="14" t="s">
        <v>955</v>
      </c>
      <c r="E100" s="14" t="s">
        <v>1604</v>
      </c>
      <c r="F100" s="16">
        <v>289296727</v>
      </c>
      <c r="G100" s="12">
        <v>46166</v>
      </c>
      <c r="H100" s="12">
        <v>46196</v>
      </c>
      <c r="I100" s="12"/>
      <c r="J100" s="14">
        <v>30</v>
      </c>
      <c r="K100" s="14" t="s">
        <v>1350</v>
      </c>
      <c r="L100" s="14" t="s">
        <v>1449</v>
      </c>
      <c r="M100" s="5">
        <f>IF(AND(G100&lt;=D_F01!$B$7,OR(NOT(ISNUMBER(I100)),I100&gt;D_F01!$B$7),L100&lt;&gt;"cancelled"),1,0)</f>
        <v>1</v>
      </c>
      <c r="N100" s="9">
        <f t="shared" si="18"/>
        <v>289296727</v>
      </c>
      <c r="O100" s="5">
        <f>IF(M100=1,MAX(0,D_F01!$B$7-H100),0)</f>
        <v>0</v>
      </c>
      <c r="P100" s="5">
        <f>IF(AND(ISNUMBER(I100),I100&lt;=D_F01!$B$7),I100-H100,0)</f>
        <v>0</v>
      </c>
      <c r="Q100" s="5">
        <f t="shared" si="19"/>
        <v>0</v>
      </c>
      <c r="R100" s="5">
        <f>IF(AND(ISNUMBER(I100),I100&gt;D_F01!$B$7-D_F01!$B$25,I100&lt;=D_F01!$B$7),1,0)</f>
        <v>0</v>
      </c>
      <c r="S100" s="5">
        <f t="shared" si="20"/>
        <v>0</v>
      </c>
      <c r="T100" s="5">
        <f t="shared" si="21"/>
        <v>0</v>
      </c>
      <c r="U100" s="5">
        <f>IF(AND(H100&gt;D_F01!$B$7-D_F01!$B$25,H100&lt;=D_F01!$B$7),IF(M100=1,O100,Q100),0)</f>
        <v>0</v>
      </c>
      <c r="V100" s="5">
        <f t="shared" si="22"/>
        <v>0</v>
      </c>
      <c r="W100" s="5">
        <f>IF(AND(H100&gt;D_F01!$B$7-D_F01!$B$25,H100&lt;=D_F01!$B$7,L100&lt;&gt;"cancelled"),1,0)</f>
        <v>0</v>
      </c>
      <c r="X100" s="5">
        <f t="shared" si="23"/>
        <v>0</v>
      </c>
      <c r="Y100" s="5">
        <f t="shared" si="24"/>
        <v>0</v>
      </c>
      <c r="Z100" s="5">
        <f t="shared" si="25"/>
        <v>0</v>
      </c>
      <c r="AA100">
        <f t="shared" si="26"/>
        <v>0</v>
      </c>
    </row>
    <row r="101" spans="1:27" ht="25.95" customHeight="1">
      <c r="A101" s="11" t="s">
        <v>1165</v>
      </c>
      <c r="B101" s="11" t="s">
        <v>1312</v>
      </c>
      <c r="C101" s="11" t="s">
        <v>960</v>
      </c>
      <c r="D101" s="11" t="s">
        <v>961</v>
      </c>
      <c r="E101" s="11" t="s">
        <v>1605</v>
      </c>
      <c r="F101" s="15">
        <v>111347413</v>
      </c>
      <c r="G101" s="13">
        <v>46167</v>
      </c>
      <c r="H101" s="13">
        <v>46197</v>
      </c>
      <c r="I101" s="13"/>
      <c r="J101" s="11">
        <v>30</v>
      </c>
      <c r="K101" s="11" t="s">
        <v>1350</v>
      </c>
      <c r="L101" s="11" t="s">
        <v>1449</v>
      </c>
      <c r="M101" s="3">
        <f>IF(AND(G101&lt;=D_F01!$B$7,OR(NOT(ISNUMBER(I101)),I101&gt;D_F01!$B$7),L101&lt;&gt;"cancelled"),1,0)</f>
        <v>1</v>
      </c>
      <c r="N101" s="8">
        <f t="shared" ref="N101:N115" si="27">F101*M101</f>
        <v>111347413</v>
      </c>
      <c r="O101" s="3">
        <f>IF(M101=1,MAX(0,D_F01!$B$7-H101),0)</f>
        <v>0</v>
      </c>
      <c r="P101" s="3">
        <f>IF(AND(ISNUMBER(I101),I101&lt;=D_F01!$B$7),I101-H101,0)</f>
        <v>0</v>
      </c>
      <c r="Q101" s="3">
        <f t="shared" ref="Q101:Q115" si="28">MAX(0,P101)</f>
        <v>0</v>
      </c>
      <c r="R101" s="3">
        <f>IF(AND(ISNUMBER(I101),I101&gt;D_F01!$B$7-D_F01!$B$25,I101&lt;=D_F01!$B$7),1,0)</f>
        <v>0</v>
      </c>
      <c r="S101" s="3">
        <f t="shared" ref="S101:S115" si="29">R101*F101*Q101</f>
        <v>0</v>
      </c>
      <c r="T101" s="3">
        <f t="shared" ref="T101:T115" si="30">R101*F101</f>
        <v>0</v>
      </c>
      <c r="U101" s="3">
        <f>IF(AND(H101&gt;D_F01!$B$7-D_F01!$B$25,H101&lt;=D_F01!$B$7),IF(M101=1,O101,Q101),0)</f>
        <v>0</v>
      </c>
      <c r="V101" s="3">
        <f t="shared" ref="V101:V115" si="31">F101*W101</f>
        <v>0</v>
      </c>
      <c r="W101" s="3">
        <f>IF(AND(H101&gt;D_F01!$B$7-D_F01!$B$25,H101&lt;=D_F01!$B$7,L101&lt;&gt;"cancelled"),1,0)</f>
        <v>0</v>
      </c>
      <c r="X101" s="3">
        <f t="shared" ref="X101:X115" si="32">V101*U101</f>
        <v>0</v>
      </c>
      <c r="Y101" s="3">
        <f t="shared" ref="Y101:Y115" si="33">M101*W101</f>
        <v>0</v>
      </c>
      <c r="Z101" s="3">
        <f t="shared" ref="Z101:Z115" si="34">R101*F101*P101</f>
        <v>0</v>
      </c>
      <c r="AA101">
        <f t="shared" ref="AA101:AA115" si="35">T101*J101</f>
        <v>0</v>
      </c>
    </row>
    <row r="102" spans="1:27" ht="40.049999999999997" customHeight="1">
      <c r="A102" s="14" t="s">
        <v>1167</v>
      </c>
      <c r="B102" s="14" t="s">
        <v>1312</v>
      </c>
      <c r="C102" s="14" t="s">
        <v>958</v>
      </c>
      <c r="D102" s="14" t="s">
        <v>959</v>
      </c>
      <c r="E102" s="14" t="s">
        <v>1606</v>
      </c>
      <c r="F102" s="16">
        <v>256596145</v>
      </c>
      <c r="G102" s="12">
        <v>46167</v>
      </c>
      <c r="H102" s="12">
        <v>46197</v>
      </c>
      <c r="I102" s="12"/>
      <c r="J102" s="14">
        <v>30</v>
      </c>
      <c r="K102" s="14" t="s">
        <v>1350</v>
      </c>
      <c r="L102" s="14" t="s">
        <v>1449</v>
      </c>
      <c r="M102" s="5">
        <f>IF(AND(G102&lt;=D_F01!$B$7,OR(NOT(ISNUMBER(I102)),I102&gt;D_F01!$B$7),L102&lt;&gt;"cancelled"),1,0)</f>
        <v>1</v>
      </c>
      <c r="N102" s="9">
        <f t="shared" si="27"/>
        <v>256596145</v>
      </c>
      <c r="O102" s="5">
        <f>IF(M102=1,MAX(0,D_F01!$B$7-H102),0)</f>
        <v>0</v>
      </c>
      <c r="P102" s="5">
        <f>IF(AND(ISNUMBER(I102),I102&lt;=D_F01!$B$7),I102-H102,0)</f>
        <v>0</v>
      </c>
      <c r="Q102" s="5">
        <f t="shared" si="28"/>
        <v>0</v>
      </c>
      <c r="R102" s="5">
        <f>IF(AND(ISNUMBER(I102),I102&gt;D_F01!$B$7-D_F01!$B$25,I102&lt;=D_F01!$B$7),1,0)</f>
        <v>0</v>
      </c>
      <c r="S102" s="5">
        <f t="shared" si="29"/>
        <v>0</v>
      </c>
      <c r="T102" s="5">
        <f t="shared" si="30"/>
        <v>0</v>
      </c>
      <c r="U102" s="5">
        <f>IF(AND(H102&gt;D_F01!$B$7-D_F01!$B$25,H102&lt;=D_F01!$B$7),IF(M102=1,O102,Q102),0)</f>
        <v>0</v>
      </c>
      <c r="V102" s="5">
        <f t="shared" si="31"/>
        <v>0</v>
      </c>
      <c r="W102" s="5">
        <f>IF(AND(H102&gt;D_F01!$B$7-D_F01!$B$25,H102&lt;=D_F01!$B$7,L102&lt;&gt;"cancelled"),1,0)</f>
        <v>0</v>
      </c>
      <c r="X102" s="5">
        <f t="shared" si="32"/>
        <v>0</v>
      </c>
      <c r="Y102" s="5">
        <f t="shared" si="33"/>
        <v>0</v>
      </c>
      <c r="Z102" s="5">
        <f t="shared" si="34"/>
        <v>0</v>
      </c>
      <c r="AA102">
        <f t="shared" si="35"/>
        <v>0</v>
      </c>
    </row>
    <row r="103" spans="1:27" ht="25.95" customHeight="1">
      <c r="A103" s="11" t="s">
        <v>1169</v>
      </c>
      <c r="B103" s="11" t="s">
        <v>1312</v>
      </c>
      <c r="C103" s="11" t="s">
        <v>952</v>
      </c>
      <c r="D103" s="11" t="s">
        <v>953</v>
      </c>
      <c r="E103" s="11" t="s">
        <v>1607</v>
      </c>
      <c r="F103" s="15">
        <v>245153067</v>
      </c>
      <c r="G103" s="13">
        <v>46168</v>
      </c>
      <c r="H103" s="13">
        <v>46213</v>
      </c>
      <c r="I103" s="13"/>
      <c r="J103" s="11">
        <v>45</v>
      </c>
      <c r="K103" s="11" t="s">
        <v>1350</v>
      </c>
      <c r="L103" s="11" t="s">
        <v>1449</v>
      </c>
      <c r="M103" s="3">
        <f>IF(AND(G103&lt;=D_F01!$B$7,OR(NOT(ISNUMBER(I103)),I103&gt;D_F01!$B$7),L103&lt;&gt;"cancelled"),1,0)</f>
        <v>1</v>
      </c>
      <c r="N103" s="8">
        <f t="shared" si="27"/>
        <v>245153067</v>
      </c>
      <c r="O103" s="3">
        <f>IF(M103=1,MAX(0,D_F01!$B$7-H103),0)</f>
        <v>0</v>
      </c>
      <c r="P103" s="3">
        <f>IF(AND(ISNUMBER(I103),I103&lt;=D_F01!$B$7),I103-H103,0)</f>
        <v>0</v>
      </c>
      <c r="Q103" s="3">
        <f t="shared" si="28"/>
        <v>0</v>
      </c>
      <c r="R103" s="3">
        <f>IF(AND(ISNUMBER(I103),I103&gt;D_F01!$B$7-D_F01!$B$25,I103&lt;=D_F01!$B$7),1,0)</f>
        <v>0</v>
      </c>
      <c r="S103" s="3">
        <f t="shared" si="29"/>
        <v>0</v>
      </c>
      <c r="T103" s="3">
        <f t="shared" si="30"/>
        <v>0</v>
      </c>
      <c r="U103" s="3">
        <f>IF(AND(H103&gt;D_F01!$B$7-D_F01!$B$25,H103&lt;=D_F01!$B$7),IF(M103=1,O103,Q103),0)</f>
        <v>0</v>
      </c>
      <c r="V103" s="3">
        <f t="shared" si="31"/>
        <v>0</v>
      </c>
      <c r="W103" s="3">
        <f>IF(AND(H103&gt;D_F01!$B$7-D_F01!$B$25,H103&lt;=D_F01!$B$7,L103&lt;&gt;"cancelled"),1,0)</f>
        <v>0</v>
      </c>
      <c r="X103" s="3">
        <f t="shared" si="32"/>
        <v>0</v>
      </c>
      <c r="Y103" s="3">
        <f t="shared" si="33"/>
        <v>0</v>
      </c>
      <c r="Z103" s="3">
        <f t="shared" si="34"/>
        <v>0</v>
      </c>
      <c r="AA103">
        <f t="shared" si="35"/>
        <v>0</v>
      </c>
    </row>
    <row r="104" spans="1:27" ht="40.049999999999997" customHeight="1">
      <c r="A104" s="14" t="s">
        <v>1171</v>
      </c>
      <c r="B104" s="14" t="s">
        <v>1312</v>
      </c>
      <c r="C104" s="14" t="s">
        <v>958</v>
      </c>
      <c r="D104" s="14" t="s">
        <v>959</v>
      </c>
      <c r="E104" s="14" t="s">
        <v>1608</v>
      </c>
      <c r="F104" s="16">
        <v>561764351</v>
      </c>
      <c r="G104" s="12">
        <v>46170</v>
      </c>
      <c r="H104" s="12">
        <v>46200</v>
      </c>
      <c r="I104" s="12"/>
      <c r="J104" s="14">
        <v>30</v>
      </c>
      <c r="K104" s="14" t="s">
        <v>1350</v>
      </c>
      <c r="L104" s="14" t="s">
        <v>1449</v>
      </c>
      <c r="M104" s="5">
        <f>IF(AND(G104&lt;=D_F01!$B$7,OR(NOT(ISNUMBER(I104)),I104&gt;D_F01!$B$7),L104&lt;&gt;"cancelled"),1,0)</f>
        <v>1</v>
      </c>
      <c r="N104" s="9">
        <f t="shared" si="27"/>
        <v>561764351</v>
      </c>
      <c r="O104" s="5">
        <f>IF(M104=1,MAX(0,D_F01!$B$7-H104),0)</f>
        <v>0</v>
      </c>
      <c r="P104" s="5">
        <f>IF(AND(ISNUMBER(I104),I104&lt;=D_F01!$B$7),I104-H104,0)</f>
        <v>0</v>
      </c>
      <c r="Q104" s="5">
        <f t="shared" si="28"/>
        <v>0</v>
      </c>
      <c r="R104" s="5">
        <f>IF(AND(ISNUMBER(I104),I104&gt;D_F01!$B$7-D_F01!$B$25,I104&lt;=D_F01!$B$7),1,0)</f>
        <v>0</v>
      </c>
      <c r="S104" s="5">
        <f t="shared" si="29"/>
        <v>0</v>
      </c>
      <c r="T104" s="5">
        <f t="shared" si="30"/>
        <v>0</v>
      </c>
      <c r="U104" s="5">
        <f>IF(AND(H104&gt;D_F01!$B$7-D_F01!$B$25,H104&lt;=D_F01!$B$7),IF(M104=1,O104,Q104),0)</f>
        <v>0</v>
      </c>
      <c r="V104" s="5">
        <f t="shared" si="31"/>
        <v>0</v>
      </c>
      <c r="W104" s="5">
        <f>IF(AND(H104&gt;D_F01!$B$7-D_F01!$B$25,H104&lt;=D_F01!$B$7,L104&lt;&gt;"cancelled"),1,0)</f>
        <v>0</v>
      </c>
      <c r="X104" s="5">
        <f t="shared" si="32"/>
        <v>0</v>
      </c>
      <c r="Y104" s="5">
        <f t="shared" si="33"/>
        <v>0</v>
      </c>
      <c r="Z104" s="5">
        <f t="shared" si="34"/>
        <v>0</v>
      </c>
      <c r="AA104">
        <f t="shared" si="35"/>
        <v>0</v>
      </c>
    </row>
    <row r="105" spans="1:27" ht="25.95" customHeight="1">
      <c r="A105" s="11" t="s">
        <v>1173</v>
      </c>
      <c r="B105" s="11" t="s">
        <v>1312</v>
      </c>
      <c r="C105" s="11" t="s">
        <v>960</v>
      </c>
      <c r="D105" s="11" t="s">
        <v>961</v>
      </c>
      <c r="E105" s="11" t="s">
        <v>1609</v>
      </c>
      <c r="F105" s="15">
        <v>43525997</v>
      </c>
      <c r="G105" s="13">
        <v>46171</v>
      </c>
      <c r="H105" s="13">
        <v>46201</v>
      </c>
      <c r="I105" s="13"/>
      <c r="J105" s="11">
        <v>30</v>
      </c>
      <c r="K105" s="11" t="s">
        <v>1350</v>
      </c>
      <c r="L105" s="11" t="s">
        <v>1449</v>
      </c>
      <c r="M105" s="3">
        <f>IF(AND(G105&lt;=D_F01!$B$7,OR(NOT(ISNUMBER(I105)),I105&gt;D_F01!$B$7),L105&lt;&gt;"cancelled"),1,0)</f>
        <v>1</v>
      </c>
      <c r="N105" s="8">
        <f t="shared" si="27"/>
        <v>43525997</v>
      </c>
      <c r="O105" s="3">
        <f>IF(M105=1,MAX(0,D_F01!$B$7-H105),0)</f>
        <v>0</v>
      </c>
      <c r="P105" s="3">
        <f>IF(AND(ISNUMBER(I105),I105&lt;=D_F01!$B$7),I105-H105,0)</f>
        <v>0</v>
      </c>
      <c r="Q105" s="3">
        <f t="shared" si="28"/>
        <v>0</v>
      </c>
      <c r="R105" s="3">
        <f>IF(AND(ISNUMBER(I105),I105&gt;D_F01!$B$7-D_F01!$B$25,I105&lt;=D_F01!$B$7),1,0)</f>
        <v>0</v>
      </c>
      <c r="S105" s="3">
        <f t="shared" si="29"/>
        <v>0</v>
      </c>
      <c r="T105" s="3">
        <f t="shared" si="30"/>
        <v>0</v>
      </c>
      <c r="U105" s="3">
        <f>IF(AND(H105&gt;D_F01!$B$7-D_F01!$B$25,H105&lt;=D_F01!$B$7),IF(M105=1,O105,Q105),0)</f>
        <v>0</v>
      </c>
      <c r="V105" s="3">
        <f t="shared" si="31"/>
        <v>0</v>
      </c>
      <c r="W105" s="3">
        <f>IF(AND(H105&gt;D_F01!$B$7-D_F01!$B$25,H105&lt;=D_F01!$B$7,L105&lt;&gt;"cancelled"),1,0)</f>
        <v>0</v>
      </c>
      <c r="X105" s="3">
        <f t="shared" si="32"/>
        <v>0</v>
      </c>
      <c r="Y105" s="3">
        <f t="shared" si="33"/>
        <v>0</v>
      </c>
      <c r="Z105" s="3">
        <f t="shared" si="34"/>
        <v>0</v>
      </c>
      <c r="AA105">
        <f t="shared" si="35"/>
        <v>0</v>
      </c>
    </row>
    <row r="106" spans="1:27" ht="25.95" customHeight="1">
      <c r="A106" s="14" t="s">
        <v>1175</v>
      </c>
      <c r="B106" s="14" t="s">
        <v>1312</v>
      </c>
      <c r="C106" s="14" t="s">
        <v>954</v>
      </c>
      <c r="D106" s="14" t="s">
        <v>955</v>
      </c>
      <c r="E106" s="14" t="s">
        <v>1604</v>
      </c>
      <c r="F106" s="16">
        <v>298612079</v>
      </c>
      <c r="G106" s="12">
        <v>46172</v>
      </c>
      <c r="H106" s="12">
        <v>46202</v>
      </c>
      <c r="I106" s="12"/>
      <c r="J106" s="14">
        <v>30</v>
      </c>
      <c r="K106" s="14" t="s">
        <v>1350</v>
      </c>
      <c r="L106" s="14" t="s">
        <v>1449</v>
      </c>
      <c r="M106" s="5">
        <f>IF(AND(G106&lt;=D_F01!$B$7,OR(NOT(ISNUMBER(I106)),I106&gt;D_F01!$B$7),L106&lt;&gt;"cancelled"),1,0)</f>
        <v>1</v>
      </c>
      <c r="N106" s="9">
        <f t="shared" si="27"/>
        <v>298612079</v>
      </c>
      <c r="O106" s="5">
        <f>IF(M106=1,MAX(0,D_F01!$B$7-H106),0)</f>
        <v>0</v>
      </c>
      <c r="P106" s="5">
        <f>IF(AND(ISNUMBER(I106),I106&lt;=D_F01!$B$7),I106-H106,0)</f>
        <v>0</v>
      </c>
      <c r="Q106" s="5">
        <f t="shared" si="28"/>
        <v>0</v>
      </c>
      <c r="R106" s="5">
        <f>IF(AND(ISNUMBER(I106),I106&gt;D_F01!$B$7-D_F01!$B$25,I106&lt;=D_F01!$B$7),1,0)</f>
        <v>0</v>
      </c>
      <c r="S106" s="5">
        <f t="shared" si="29"/>
        <v>0</v>
      </c>
      <c r="T106" s="5">
        <f t="shared" si="30"/>
        <v>0</v>
      </c>
      <c r="U106" s="5">
        <f>IF(AND(H106&gt;D_F01!$B$7-D_F01!$B$25,H106&lt;=D_F01!$B$7),IF(M106=1,O106,Q106),0)</f>
        <v>0</v>
      </c>
      <c r="V106" s="5">
        <f t="shared" si="31"/>
        <v>0</v>
      </c>
      <c r="W106" s="5">
        <f>IF(AND(H106&gt;D_F01!$B$7-D_F01!$B$25,H106&lt;=D_F01!$B$7,L106&lt;&gt;"cancelled"),1,0)</f>
        <v>0</v>
      </c>
      <c r="X106" s="5">
        <f t="shared" si="32"/>
        <v>0</v>
      </c>
      <c r="Y106" s="5">
        <f t="shared" si="33"/>
        <v>0</v>
      </c>
      <c r="Z106" s="5">
        <f t="shared" si="34"/>
        <v>0</v>
      </c>
      <c r="AA106">
        <f t="shared" si="35"/>
        <v>0</v>
      </c>
    </row>
    <row r="107" spans="1:27" ht="25.95" customHeight="1">
      <c r="A107" s="11" t="s">
        <v>1177</v>
      </c>
      <c r="B107" s="11" t="s">
        <v>1312</v>
      </c>
      <c r="C107" s="11" t="s">
        <v>960</v>
      </c>
      <c r="D107" s="11" t="s">
        <v>961</v>
      </c>
      <c r="E107" s="11" t="s">
        <v>1610</v>
      </c>
      <c r="F107" s="15">
        <v>94348329</v>
      </c>
      <c r="G107" s="13">
        <v>46177</v>
      </c>
      <c r="H107" s="13">
        <v>46207</v>
      </c>
      <c r="I107" s="13"/>
      <c r="J107" s="11">
        <v>30</v>
      </c>
      <c r="K107" s="11" t="s">
        <v>1350</v>
      </c>
      <c r="L107" s="11" t="s">
        <v>1449</v>
      </c>
      <c r="M107" s="3">
        <f>IF(AND(G107&lt;=D_F01!$B$7,OR(NOT(ISNUMBER(I107)),I107&gt;D_F01!$B$7),L107&lt;&gt;"cancelled"),1,0)</f>
        <v>1</v>
      </c>
      <c r="N107" s="8">
        <f t="shared" si="27"/>
        <v>94348329</v>
      </c>
      <c r="O107" s="3">
        <f>IF(M107=1,MAX(0,D_F01!$B$7-H107),0)</f>
        <v>0</v>
      </c>
      <c r="P107" s="3">
        <f>IF(AND(ISNUMBER(I107),I107&lt;=D_F01!$B$7),I107-H107,0)</f>
        <v>0</v>
      </c>
      <c r="Q107" s="3">
        <f t="shared" si="28"/>
        <v>0</v>
      </c>
      <c r="R107" s="3">
        <f>IF(AND(ISNUMBER(I107),I107&gt;D_F01!$B$7-D_F01!$B$25,I107&lt;=D_F01!$B$7),1,0)</f>
        <v>0</v>
      </c>
      <c r="S107" s="3">
        <f t="shared" si="29"/>
        <v>0</v>
      </c>
      <c r="T107" s="3">
        <f t="shared" si="30"/>
        <v>0</v>
      </c>
      <c r="U107" s="3">
        <f>IF(AND(H107&gt;D_F01!$B$7-D_F01!$B$25,H107&lt;=D_F01!$B$7),IF(M107=1,O107,Q107),0)</f>
        <v>0</v>
      </c>
      <c r="V107" s="3">
        <f t="shared" si="31"/>
        <v>0</v>
      </c>
      <c r="W107" s="3">
        <f>IF(AND(H107&gt;D_F01!$B$7-D_F01!$B$25,H107&lt;=D_F01!$B$7,L107&lt;&gt;"cancelled"),1,0)</f>
        <v>0</v>
      </c>
      <c r="X107" s="3">
        <f t="shared" si="32"/>
        <v>0</v>
      </c>
      <c r="Y107" s="3">
        <f t="shared" si="33"/>
        <v>0</v>
      </c>
      <c r="Z107" s="3">
        <f t="shared" si="34"/>
        <v>0</v>
      </c>
      <c r="AA107">
        <f t="shared" si="35"/>
        <v>0</v>
      </c>
    </row>
    <row r="108" spans="1:27" ht="25.95" customHeight="1">
      <c r="A108" s="14" t="s">
        <v>1179</v>
      </c>
      <c r="B108" s="14" t="s">
        <v>1312</v>
      </c>
      <c r="C108" s="14" t="s">
        <v>954</v>
      </c>
      <c r="D108" s="14" t="s">
        <v>955</v>
      </c>
      <c r="E108" s="14" t="s">
        <v>1611</v>
      </c>
      <c r="F108" s="16">
        <v>235003622</v>
      </c>
      <c r="G108" s="12">
        <v>46179</v>
      </c>
      <c r="H108" s="12">
        <v>46209</v>
      </c>
      <c r="I108" s="12"/>
      <c r="J108" s="14">
        <v>30</v>
      </c>
      <c r="K108" s="14" t="s">
        <v>1350</v>
      </c>
      <c r="L108" s="14" t="s">
        <v>1449</v>
      </c>
      <c r="M108" s="5">
        <f>IF(AND(G108&lt;=D_F01!$B$7,OR(NOT(ISNUMBER(I108)),I108&gt;D_F01!$B$7),L108&lt;&gt;"cancelled"),1,0)</f>
        <v>1</v>
      </c>
      <c r="N108" s="9">
        <f t="shared" si="27"/>
        <v>235003622</v>
      </c>
      <c r="O108" s="5">
        <f>IF(M108=1,MAX(0,D_F01!$B$7-H108),0)</f>
        <v>0</v>
      </c>
      <c r="P108" s="5">
        <f>IF(AND(ISNUMBER(I108),I108&lt;=D_F01!$B$7),I108-H108,0)</f>
        <v>0</v>
      </c>
      <c r="Q108" s="5">
        <f t="shared" si="28"/>
        <v>0</v>
      </c>
      <c r="R108" s="5">
        <f>IF(AND(ISNUMBER(I108),I108&gt;D_F01!$B$7-D_F01!$B$25,I108&lt;=D_F01!$B$7),1,0)</f>
        <v>0</v>
      </c>
      <c r="S108" s="5">
        <f t="shared" si="29"/>
        <v>0</v>
      </c>
      <c r="T108" s="5">
        <f t="shared" si="30"/>
        <v>0</v>
      </c>
      <c r="U108" s="5">
        <f>IF(AND(H108&gt;D_F01!$B$7-D_F01!$B$25,H108&lt;=D_F01!$B$7),IF(M108=1,O108,Q108),0)</f>
        <v>0</v>
      </c>
      <c r="V108" s="5">
        <f t="shared" si="31"/>
        <v>0</v>
      </c>
      <c r="W108" s="5">
        <f>IF(AND(H108&gt;D_F01!$B$7-D_F01!$B$25,H108&lt;=D_F01!$B$7,L108&lt;&gt;"cancelled"),1,0)</f>
        <v>0</v>
      </c>
      <c r="X108" s="5">
        <f t="shared" si="32"/>
        <v>0</v>
      </c>
      <c r="Y108" s="5">
        <f t="shared" si="33"/>
        <v>0</v>
      </c>
      <c r="Z108" s="5">
        <f t="shared" si="34"/>
        <v>0</v>
      </c>
      <c r="AA108">
        <f t="shared" si="35"/>
        <v>0</v>
      </c>
    </row>
    <row r="109" spans="1:27" ht="25.95" customHeight="1">
      <c r="A109" s="11" t="s">
        <v>1181</v>
      </c>
      <c r="B109" s="11" t="s">
        <v>1312</v>
      </c>
      <c r="C109" s="11" t="s">
        <v>952</v>
      </c>
      <c r="D109" s="11" t="s">
        <v>953</v>
      </c>
      <c r="E109" s="11" t="s">
        <v>1612</v>
      </c>
      <c r="F109" s="15">
        <v>332813830</v>
      </c>
      <c r="G109" s="13">
        <v>46181</v>
      </c>
      <c r="H109" s="13">
        <v>46226</v>
      </c>
      <c r="I109" s="13"/>
      <c r="J109" s="11">
        <v>45</v>
      </c>
      <c r="K109" s="11" t="s">
        <v>1350</v>
      </c>
      <c r="L109" s="11" t="s">
        <v>1449</v>
      </c>
      <c r="M109" s="3">
        <f>IF(AND(G109&lt;=D_F01!$B$7,OR(NOT(ISNUMBER(I109)),I109&gt;D_F01!$B$7),L109&lt;&gt;"cancelled"),1,0)</f>
        <v>1</v>
      </c>
      <c r="N109" s="8">
        <f t="shared" si="27"/>
        <v>332813830</v>
      </c>
      <c r="O109" s="3">
        <f>IF(M109=1,MAX(0,D_F01!$B$7-H109),0)</f>
        <v>0</v>
      </c>
      <c r="P109" s="3">
        <f>IF(AND(ISNUMBER(I109),I109&lt;=D_F01!$B$7),I109-H109,0)</f>
        <v>0</v>
      </c>
      <c r="Q109" s="3">
        <f t="shared" si="28"/>
        <v>0</v>
      </c>
      <c r="R109" s="3">
        <f>IF(AND(ISNUMBER(I109),I109&gt;D_F01!$B$7-D_F01!$B$25,I109&lt;=D_F01!$B$7),1,0)</f>
        <v>0</v>
      </c>
      <c r="S109" s="3">
        <f t="shared" si="29"/>
        <v>0</v>
      </c>
      <c r="T109" s="3">
        <f t="shared" si="30"/>
        <v>0</v>
      </c>
      <c r="U109" s="3">
        <f>IF(AND(H109&gt;D_F01!$B$7-D_F01!$B$25,H109&lt;=D_F01!$B$7),IF(M109=1,O109,Q109),0)</f>
        <v>0</v>
      </c>
      <c r="V109" s="3">
        <f t="shared" si="31"/>
        <v>0</v>
      </c>
      <c r="W109" s="3">
        <f>IF(AND(H109&gt;D_F01!$B$7-D_F01!$B$25,H109&lt;=D_F01!$B$7,L109&lt;&gt;"cancelled"),1,0)</f>
        <v>0</v>
      </c>
      <c r="X109" s="3">
        <f t="shared" si="32"/>
        <v>0</v>
      </c>
      <c r="Y109" s="3">
        <f t="shared" si="33"/>
        <v>0</v>
      </c>
      <c r="Z109" s="3">
        <f t="shared" si="34"/>
        <v>0</v>
      </c>
      <c r="AA109">
        <f t="shared" si="35"/>
        <v>0</v>
      </c>
    </row>
    <row r="110" spans="1:27" ht="25.95" customHeight="1">
      <c r="A110" s="14" t="s">
        <v>1183</v>
      </c>
      <c r="B110" s="14" t="s">
        <v>1312</v>
      </c>
      <c r="C110" s="14" t="s">
        <v>952</v>
      </c>
      <c r="D110" s="14" t="s">
        <v>953</v>
      </c>
      <c r="E110" s="14" t="s">
        <v>1613</v>
      </c>
      <c r="F110" s="16">
        <v>539498821</v>
      </c>
      <c r="G110" s="12">
        <v>46181</v>
      </c>
      <c r="H110" s="12">
        <v>46226</v>
      </c>
      <c r="I110" s="12"/>
      <c r="J110" s="14">
        <v>45</v>
      </c>
      <c r="K110" s="14" t="s">
        <v>1350</v>
      </c>
      <c r="L110" s="14" t="s">
        <v>1449</v>
      </c>
      <c r="M110" s="5">
        <f>IF(AND(G110&lt;=D_F01!$B$7,OR(NOT(ISNUMBER(I110)),I110&gt;D_F01!$B$7),L110&lt;&gt;"cancelled"),1,0)</f>
        <v>1</v>
      </c>
      <c r="N110" s="9">
        <f t="shared" si="27"/>
        <v>539498821</v>
      </c>
      <c r="O110" s="5">
        <f>IF(M110=1,MAX(0,D_F01!$B$7-H110),0)</f>
        <v>0</v>
      </c>
      <c r="P110" s="5">
        <f>IF(AND(ISNUMBER(I110),I110&lt;=D_F01!$B$7),I110-H110,0)</f>
        <v>0</v>
      </c>
      <c r="Q110" s="5">
        <f t="shared" si="28"/>
        <v>0</v>
      </c>
      <c r="R110" s="5">
        <f>IF(AND(ISNUMBER(I110),I110&gt;D_F01!$B$7-D_F01!$B$25,I110&lt;=D_F01!$B$7),1,0)</f>
        <v>0</v>
      </c>
      <c r="S110" s="5">
        <f t="shared" si="29"/>
        <v>0</v>
      </c>
      <c r="T110" s="5">
        <f t="shared" si="30"/>
        <v>0</v>
      </c>
      <c r="U110" s="5">
        <f>IF(AND(H110&gt;D_F01!$B$7-D_F01!$B$25,H110&lt;=D_F01!$B$7),IF(M110=1,O110,Q110),0)</f>
        <v>0</v>
      </c>
      <c r="V110" s="5">
        <f t="shared" si="31"/>
        <v>0</v>
      </c>
      <c r="W110" s="5">
        <f>IF(AND(H110&gt;D_F01!$B$7-D_F01!$B$25,H110&lt;=D_F01!$B$7,L110&lt;&gt;"cancelled"),1,0)</f>
        <v>0</v>
      </c>
      <c r="X110" s="5">
        <f t="shared" si="32"/>
        <v>0</v>
      </c>
      <c r="Y110" s="5">
        <f t="shared" si="33"/>
        <v>0</v>
      </c>
      <c r="Z110" s="5">
        <f t="shared" si="34"/>
        <v>0</v>
      </c>
      <c r="AA110">
        <f t="shared" si="35"/>
        <v>0</v>
      </c>
    </row>
    <row r="111" spans="1:27" ht="25.95" customHeight="1">
      <c r="A111" s="11" t="s">
        <v>1185</v>
      </c>
      <c r="B111" s="11" t="s">
        <v>1312</v>
      </c>
      <c r="C111" s="11" t="s">
        <v>964</v>
      </c>
      <c r="D111" s="11" t="s">
        <v>965</v>
      </c>
      <c r="E111" s="11" t="s">
        <v>1614</v>
      </c>
      <c r="F111" s="15">
        <v>97029482</v>
      </c>
      <c r="G111" s="13">
        <v>46183</v>
      </c>
      <c r="H111" s="13">
        <v>46213</v>
      </c>
      <c r="I111" s="13"/>
      <c r="J111" s="11">
        <v>30</v>
      </c>
      <c r="K111" s="11" t="s">
        <v>1350</v>
      </c>
      <c r="L111" s="11" t="s">
        <v>1449</v>
      </c>
      <c r="M111" s="3">
        <f>IF(AND(G111&lt;=D_F01!$B$7,OR(NOT(ISNUMBER(I111)),I111&gt;D_F01!$B$7),L111&lt;&gt;"cancelled"),1,0)</f>
        <v>1</v>
      </c>
      <c r="N111" s="8">
        <f t="shared" si="27"/>
        <v>97029482</v>
      </c>
      <c r="O111" s="3">
        <f>IF(M111=1,MAX(0,D_F01!$B$7-H111),0)</f>
        <v>0</v>
      </c>
      <c r="P111" s="3">
        <f>IF(AND(ISNUMBER(I111),I111&lt;=D_F01!$B$7),I111-H111,0)</f>
        <v>0</v>
      </c>
      <c r="Q111" s="3">
        <f t="shared" si="28"/>
        <v>0</v>
      </c>
      <c r="R111" s="3">
        <f>IF(AND(ISNUMBER(I111),I111&gt;D_F01!$B$7-D_F01!$B$25,I111&lt;=D_F01!$B$7),1,0)</f>
        <v>0</v>
      </c>
      <c r="S111" s="3">
        <f t="shared" si="29"/>
        <v>0</v>
      </c>
      <c r="T111" s="3">
        <f t="shared" si="30"/>
        <v>0</v>
      </c>
      <c r="U111" s="3">
        <f>IF(AND(H111&gt;D_F01!$B$7-D_F01!$B$25,H111&lt;=D_F01!$B$7),IF(M111=1,O111,Q111),0)</f>
        <v>0</v>
      </c>
      <c r="V111" s="3">
        <f t="shared" si="31"/>
        <v>0</v>
      </c>
      <c r="W111" s="3">
        <f>IF(AND(H111&gt;D_F01!$B$7-D_F01!$B$25,H111&lt;=D_F01!$B$7,L111&lt;&gt;"cancelled"),1,0)</f>
        <v>0</v>
      </c>
      <c r="X111" s="3">
        <f t="shared" si="32"/>
        <v>0</v>
      </c>
      <c r="Y111" s="3">
        <f t="shared" si="33"/>
        <v>0</v>
      </c>
      <c r="Z111" s="3">
        <f t="shared" si="34"/>
        <v>0</v>
      </c>
      <c r="AA111">
        <f t="shared" si="35"/>
        <v>0</v>
      </c>
    </row>
    <row r="112" spans="1:27" ht="25.95" customHeight="1">
      <c r="A112" s="14" t="s">
        <v>1187</v>
      </c>
      <c r="B112" s="14" t="s">
        <v>1312</v>
      </c>
      <c r="C112" s="14" t="s">
        <v>956</v>
      </c>
      <c r="D112" s="14" t="s">
        <v>957</v>
      </c>
      <c r="E112" s="14" t="s">
        <v>1615</v>
      </c>
      <c r="F112" s="16">
        <v>122135275</v>
      </c>
      <c r="G112" s="12">
        <v>46183</v>
      </c>
      <c r="H112" s="12">
        <v>46213</v>
      </c>
      <c r="I112" s="12"/>
      <c r="J112" s="14">
        <v>30</v>
      </c>
      <c r="K112" s="14" t="s">
        <v>1350</v>
      </c>
      <c r="L112" s="14" t="s">
        <v>1449</v>
      </c>
      <c r="M112" s="5">
        <f>IF(AND(G112&lt;=D_F01!$B$7,OR(NOT(ISNUMBER(I112)),I112&gt;D_F01!$B$7),L112&lt;&gt;"cancelled"),1,0)</f>
        <v>1</v>
      </c>
      <c r="N112" s="9">
        <f t="shared" si="27"/>
        <v>122135275</v>
      </c>
      <c r="O112" s="5">
        <f>IF(M112=1,MAX(0,D_F01!$B$7-H112),0)</f>
        <v>0</v>
      </c>
      <c r="P112" s="5">
        <f>IF(AND(ISNUMBER(I112),I112&lt;=D_F01!$B$7),I112-H112,0)</f>
        <v>0</v>
      </c>
      <c r="Q112" s="5">
        <f t="shared" si="28"/>
        <v>0</v>
      </c>
      <c r="R112" s="5">
        <f>IF(AND(ISNUMBER(I112),I112&gt;D_F01!$B$7-D_F01!$B$25,I112&lt;=D_F01!$B$7),1,0)</f>
        <v>0</v>
      </c>
      <c r="S112" s="5">
        <f t="shared" si="29"/>
        <v>0</v>
      </c>
      <c r="T112" s="5">
        <f t="shared" si="30"/>
        <v>0</v>
      </c>
      <c r="U112" s="5">
        <f>IF(AND(H112&gt;D_F01!$B$7-D_F01!$B$25,H112&lt;=D_F01!$B$7),IF(M112=1,O112,Q112),0)</f>
        <v>0</v>
      </c>
      <c r="V112" s="5">
        <f t="shared" si="31"/>
        <v>0</v>
      </c>
      <c r="W112" s="5">
        <f>IF(AND(H112&gt;D_F01!$B$7-D_F01!$B$25,H112&lt;=D_F01!$B$7,L112&lt;&gt;"cancelled"),1,0)</f>
        <v>0</v>
      </c>
      <c r="X112" s="5">
        <f t="shared" si="32"/>
        <v>0</v>
      </c>
      <c r="Y112" s="5">
        <f t="shared" si="33"/>
        <v>0</v>
      </c>
      <c r="Z112" s="5">
        <f t="shared" si="34"/>
        <v>0</v>
      </c>
      <c r="AA112">
        <f t="shared" si="35"/>
        <v>0</v>
      </c>
    </row>
    <row r="113" spans="1:27" ht="25.95" customHeight="1">
      <c r="A113" s="11" t="s">
        <v>1189</v>
      </c>
      <c r="B113" s="11" t="s">
        <v>1312</v>
      </c>
      <c r="C113" s="11" t="s">
        <v>952</v>
      </c>
      <c r="D113" s="11" t="s">
        <v>953</v>
      </c>
      <c r="E113" s="11" t="s">
        <v>1616</v>
      </c>
      <c r="F113" s="15">
        <v>172242105</v>
      </c>
      <c r="G113" s="13">
        <v>46184</v>
      </c>
      <c r="H113" s="13">
        <v>46229</v>
      </c>
      <c r="I113" s="13"/>
      <c r="J113" s="11">
        <v>45</v>
      </c>
      <c r="K113" s="11" t="s">
        <v>1350</v>
      </c>
      <c r="L113" s="11" t="s">
        <v>1449</v>
      </c>
      <c r="M113" s="3">
        <f>IF(AND(G113&lt;=D_F01!$B$7,OR(NOT(ISNUMBER(I113)),I113&gt;D_F01!$B$7),L113&lt;&gt;"cancelled"),1,0)</f>
        <v>1</v>
      </c>
      <c r="N113" s="8">
        <f t="shared" si="27"/>
        <v>172242105</v>
      </c>
      <c r="O113" s="3">
        <f>IF(M113=1,MAX(0,D_F01!$B$7-H113),0)</f>
        <v>0</v>
      </c>
      <c r="P113" s="3">
        <f>IF(AND(ISNUMBER(I113),I113&lt;=D_F01!$B$7),I113-H113,0)</f>
        <v>0</v>
      </c>
      <c r="Q113" s="3">
        <f t="shared" si="28"/>
        <v>0</v>
      </c>
      <c r="R113" s="3">
        <f>IF(AND(ISNUMBER(I113),I113&gt;D_F01!$B$7-D_F01!$B$25,I113&lt;=D_F01!$B$7),1,0)</f>
        <v>0</v>
      </c>
      <c r="S113" s="3">
        <f t="shared" si="29"/>
        <v>0</v>
      </c>
      <c r="T113" s="3">
        <f t="shared" si="30"/>
        <v>0</v>
      </c>
      <c r="U113" s="3">
        <f>IF(AND(H113&gt;D_F01!$B$7-D_F01!$B$25,H113&lt;=D_F01!$B$7),IF(M113=1,O113,Q113),0)</f>
        <v>0</v>
      </c>
      <c r="V113" s="3">
        <f t="shared" si="31"/>
        <v>0</v>
      </c>
      <c r="W113" s="3">
        <f>IF(AND(H113&gt;D_F01!$B$7-D_F01!$B$25,H113&lt;=D_F01!$B$7,L113&lt;&gt;"cancelled"),1,0)</f>
        <v>0</v>
      </c>
      <c r="X113" s="3">
        <f t="shared" si="32"/>
        <v>0</v>
      </c>
      <c r="Y113" s="3">
        <f t="shared" si="33"/>
        <v>0</v>
      </c>
      <c r="Z113" s="3">
        <f t="shared" si="34"/>
        <v>0</v>
      </c>
      <c r="AA113">
        <f t="shared" si="35"/>
        <v>0</v>
      </c>
    </row>
    <row r="114" spans="1:27" ht="25.95" customHeight="1">
      <c r="A114" s="14" t="s">
        <v>1191</v>
      </c>
      <c r="B114" s="14" t="s">
        <v>1312</v>
      </c>
      <c r="C114" s="14" t="s">
        <v>954</v>
      </c>
      <c r="D114" s="14" t="s">
        <v>955</v>
      </c>
      <c r="E114" s="14" t="s">
        <v>1617</v>
      </c>
      <c r="F114" s="16">
        <v>278293425</v>
      </c>
      <c r="G114" s="12">
        <v>46186</v>
      </c>
      <c r="H114" s="12">
        <v>46216</v>
      </c>
      <c r="I114" s="12"/>
      <c r="J114" s="14">
        <v>30</v>
      </c>
      <c r="K114" s="14" t="s">
        <v>1350</v>
      </c>
      <c r="L114" s="14" t="s">
        <v>1449</v>
      </c>
      <c r="M114" s="5">
        <f>IF(AND(G114&lt;=D_F01!$B$7,OR(NOT(ISNUMBER(I114)),I114&gt;D_F01!$B$7),L114&lt;&gt;"cancelled"),1,0)</f>
        <v>1</v>
      </c>
      <c r="N114" s="9">
        <f t="shared" si="27"/>
        <v>278293425</v>
      </c>
      <c r="O114" s="5">
        <f>IF(M114=1,MAX(0,D_F01!$B$7-H114),0)</f>
        <v>0</v>
      </c>
      <c r="P114" s="5">
        <f>IF(AND(ISNUMBER(I114),I114&lt;=D_F01!$B$7),I114-H114,0)</f>
        <v>0</v>
      </c>
      <c r="Q114" s="5">
        <f t="shared" si="28"/>
        <v>0</v>
      </c>
      <c r="R114" s="5">
        <f>IF(AND(ISNUMBER(I114),I114&gt;D_F01!$B$7-D_F01!$B$25,I114&lt;=D_F01!$B$7),1,0)</f>
        <v>0</v>
      </c>
      <c r="S114" s="5">
        <f t="shared" si="29"/>
        <v>0</v>
      </c>
      <c r="T114" s="5">
        <f t="shared" si="30"/>
        <v>0</v>
      </c>
      <c r="U114" s="5">
        <f>IF(AND(H114&gt;D_F01!$B$7-D_F01!$B$25,H114&lt;=D_F01!$B$7),IF(M114=1,O114,Q114),0)</f>
        <v>0</v>
      </c>
      <c r="V114" s="5">
        <f t="shared" si="31"/>
        <v>0</v>
      </c>
      <c r="W114" s="5">
        <f>IF(AND(H114&gt;D_F01!$B$7-D_F01!$B$25,H114&lt;=D_F01!$B$7,L114&lt;&gt;"cancelled"),1,0)</f>
        <v>0</v>
      </c>
      <c r="X114" s="5">
        <f t="shared" si="32"/>
        <v>0</v>
      </c>
      <c r="Y114" s="5">
        <f t="shared" si="33"/>
        <v>0</v>
      </c>
      <c r="Z114" s="5">
        <f t="shared" si="34"/>
        <v>0</v>
      </c>
      <c r="AA114">
        <f t="shared" si="35"/>
        <v>0</v>
      </c>
    </row>
    <row r="115" spans="1:27" ht="25.95" customHeight="1">
      <c r="A115" s="11" t="s">
        <v>1193</v>
      </c>
      <c r="B115" s="11" t="s">
        <v>1312</v>
      </c>
      <c r="C115" s="11" t="s">
        <v>952</v>
      </c>
      <c r="D115" s="11" t="s">
        <v>953</v>
      </c>
      <c r="E115" s="11" t="s">
        <v>1618</v>
      </c>
      <c r="F115" s="15">
        <v>280070317</v>
      </c>
      <c r="G115" s="13">
        <v>46190</v>
      </c>
      <c r="H115" s="13">
        <v>46235</v>
      </c>
      <c r="I115" s="13"/>
      <c r="J115" s="11">
        <v>45</v>
      </c>
      <c r="K115" s="11" t="s">
        <v>1350</v>
      </c>
      <c r="L115" s="11" t="s">
        <v>1449</v>
      </c>
      <c r="M115" s="3">
        <f>IF(AND(G115&lt;=D_F01!$B$7,OR(NOT(ISNUMBER(I115)),I115&gt;D_F01!$B$7),L115&lt;&gt;"cancelled"),1,0)</f>
        <v>1</v>
      </c>
      <c r="N115" s="8">
        <f t="shared" si="27"/>
        <v>280070317</v>
      </c>
      <c r="O115" s="3">
        <f>IF(M115=1,MAX(0,D_F01!$B$7-H115),0)</f>
        <v>0</v>
      </c>
      <c r="P115" s="3">
        <f>IF(AND(ISNUMBER(I115),I115&lt;=D_F01!$B$7),I115-H115,0)</f>
        <v>0</v>
      </c>
      <c r="Q115" s="3">
        <f t="shared" si="28"/>
        <v>0</v>
      </c>
      <c r="R115" s="3">
        <f>IF(AND(ISNUMBER(I115),I115&gt;D_F01!$B$7-D_F01!$B$25,I115&lt;=D_F01!$B$7),1,0)</f>
        <v>0</v>
      </c>
      <c r="S115" s="3">
        <f t="shared" si="29"/>
        <v>0</v>
      </c>
      <c r="T115" s="3">
        <f t="shared" si="30"/>
        <v>0</v>
      </c>
      <c r="U115" s="3">
        <f>IF(AND(H115&gt;D_F01!$B$7-D_F01!$B$25,H115&lt;=D_F01!$B$7),IF(M115=1,O115,Q115),0)</f>
        <v>0</v>
      </c>
      <c r="V115" s="3">
        <f t="shared" si="31"/>
        <v>0</v>
      </c>
      <c r="W115" s="3">
        <f>IF(AND(H115&gt;D_F01!$B$7-D_F01!$B$25,H115&lt;=D_F01!$B$7,L115&lt;&gt;"cancelled"),1,0)</f>
        <v>0</v>
      </c>
      <c r="X115" s="3">
        <f t="shared" si="32"/>
        <v>0</v>
      </c>
      <c r="Y115" s="3">
        <f t="shared" si="33"/>
        <v>0</v>
      </c>
      <c r="Z115" s="3">
        <f t="shared" si="34"/>
        <v>0</v>
      </c>
      <c r="AA115">
        <f t="shared" si="35"/>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E4BDD-7730-4E69-B2EF-B7963583097D}">
  <dimension ref="A2:X131"/>
  <sheetViews>
    <sheetView showGridLines="0" workbookViewId="0">
      <pane xSplit="3" ySplit="4" topLeftCell="D107" activePane="bottomRight" state="frozen"/>
      <selection pane="topRight"/>
      <selection pane="bottomLeft"/>
      <selection pane="bottomRight" activeCell="D5" sqref="D5"/>
    </sheetView>
  </sheetViews>
  <sheetFormatPr defaultRowHeight="13.8"/>
  <cols>
    <col min="1" max="1" width="21" customWidth="1"/>
    <col min="2" max="2" width="10" customWidth="1"/>
    <col min="3" max="3" width="21" customWidth="1"/>
    <col min="4" max="4" width="37" customWidth="1"/>
    <col min="5" max="5" width="23" customWidth="1"/>
    <col min="6" max="6" width="40" customWidth="1"/>
    <col min="7" max="7" width="24" customWidth="1"/>
    <col min="8" max="10" width="17" customWidth="1"/>
    <col min="11" max="11" width="13" customWidth="1"/>
    <col min="12" max="13" width="16" customWidth="1"/>
    <col min="14" max="21" width="22" customWidth="1"/>
    <col min="22" max="24" width="25" customWidth="1"/>
  </cols>
  <sheetData>
    <row r="2" spans="1:24" ht="17.399999999999999" customHeight="1">
      <c r="A2" s="2" t="s">
        <v>1619</v>
      </c>
    </row>
    <row r="4" spans="1:24" ht="34.049999999999997" customHeight="1">
      <c r="A4" s="4" t="s">
        <v>1620</v>
      </c>
      <c r="B4" s="4" t="s">
        <v>1311</v>
      </c>
      <c r="C4" s="4" t="s">
        <v>1378</v>
      </c>
      <c r="D4" s="4" t="s">
        <v>1621</v>
      </c>
      <c r="E4" s="4" t="s">
        <v>1622</v>
      </c>
      <c r="F4" s="4" t="s">
        <v>1623</v>
      </c>
      <c r="G4" s="4" t="s">
        <v>1426</v>
      </c>
      <c r="H4" s="4" t="s">
        <v>1427</v>
      </c>
      <c r="I4" s="4" t="s">
        <v>1428</v>
      </c>
      <c r="J4" s="4" t="s">
        <v>1429</v>
      </c>
      <c r="K4" s="4" t="s">
        <v>1430</v>
      </c>
      <c r="L4" s="4" t="s">
        <v>1624</v>
      </c>
      <c r="M4" s="4" t="s">
        <v>1625</v>
      </c>
      <c r="N4" s="4" t="s">
        <v>1433</v>
      </c>
      <c r="O4" s="4" t="s">
        <v>1434</v>
      </c>
      <c r="P4" s="4" t="s">
        <v>1107</v>
      </c>
      <c r="Q4" s="4" t="s">
        <v>1435</v>
      </c>
      <c r="R4" s="4" t="s">
        <v>1436</v>
      </c>
      <c r="S4" s="4" t="s">
        <v>1626</v>
      </c>
      <c r="T4" s="4" t="s">
        <v>1627</v>
      </c>
      <c r="U4" s="4" t="s">
        <v>1628</v>
      </c>
      <c r="V4" s="28" t="s">
        <v>1629</v>
      </c>
      <c r="W4" s="28" t="s">
        <v>1630</v>
      </c>
      <c r="X4" s="28" t="s">
        <v>1631</v>
      </c>
    </row>
    <row r="5" spans="1:24" ht="25.95" customHeight="1">
      <c r="A5" s="11" t="s">
        <v>1632</v>
      </c>
      <c r="B5" s="11" t="s">
        <v>1312</v>
      </c>
      <c r="C5" s="11" t="s">
        <v>995</v>
      </c>
      <c r="D5" s="11" t="s">
        <v>996</v>
      </c>
      <c r="E5" s="11" t="s">
        <v>1633</v>
      </c>
      <c r="F5" s="11" t="s">
        <v>1634</v>
      </c>
      <c r="G5" s="15">
        <v>58311935</v>
      </c>
      <c r="H5" s="13">
        <v>46023</v>
      </c>
      <c r="I5" s="13">
        <v>46053</v>
      </c>
      <c r="J5" s="13">
        <v>46055</v>
      </c>
      <c r="K5" s="11">
        <v>30</v>
      </c>
      <c r="L5" s="17">
        <v>0.01</v>
      </c>
      <c r="M5" s="11">
        <v>7</v>
      </c>
      <c r="N5" s="3">
        <f>IF(AND(H5&lt;=D_F01!$B$7,OR(NOT(ISNUMBER(J5)),J5&gt;D_F01!$B$7)),1,0)</f>
        <v>0</v>
      </c>
      <c r="O5" s="8">
        <f t="shared" ref="O5:O36" si="0">G5*N5</f>
        <v>0</v>
      </c>
      <c r="P5" s="3">
        <f>IF(N5=1,MAX(0,D_F01!$B$7-I5),0)</f>
        <v>0</v>
      </c>
      <c r="Q5" s="3">
        <f>IF(AND(ISNUMBER(J5),J5&lt;=D_F01!$B$7),J5-I5,0)</f>
        <v>2</v>
      </c>
      <c r="R5" s="3">
        <f t="shared" ref="R5:R36" si="1">MAX(0,Q5)</f>
        <v>2</v>
      </c>
      <c r="S5" s="3">
        <f>IF(AND(ISNUMBER(J5),J5&lt;=D_F01!$B$7,J5&gt;D_F01!$B$7-D_F01!$B$25),G5*R5,0)</f>
        <v>116623870</v>
      </c>
      <c r="T5" s="3">
        <f>IF(AND(ISNUMBER(J5),J5&lt;=D_F01!$B$7,J5&gt;D_F01!$B$7-D_F01!$B$25),G5,0)</f>
        <v>58311935</v>
      </c>
      <c r="U5" s="3">
        <f>IF(INDEX(D_F01!$C$51:$C$59,MATCH(C5,D_F01!$A$51:$A$59,0))="có",1,0)</f>
        <v>1</v>
      </c>
      <c r="V5">
        <f>IF(AND(N5=1,L5&gt;0,L5&lt;1,K5&gt;M5,H5+M5&gt;=D_F01!$B$7),1,0)</f>
        <v>0</v>
      </c>
      <c r="W5" s="29">
        <f t="shared" ref="W5:W36" si="2">IF(V5=1,O5*L5,0)</f>
        <v>0</v>
      </c>
      <c r="X5" s="30">
        <f t="shared" ref="X5:X36" si="3">IF(V5=1,L5/(1-L5)*365/(K5-M5),0)</f>
        <v>0</v>
      </c>
    </row>
    <row r="6" spans="1:24" ht="25.95" customHeight="1">
      <c r="A6" s="14" t="s">
        <v>1635</v>
      </c>
      <c r="B6" s="14" t="s">
        <v>1312</v>
      </c>
      <c r="C6" s="14" t="s">
        <v>982</v>
      </c>
      <c r="D6" s="14" t="s">
        <v>983</v>
      </c>
      <c r="E6" s="14" t="s">
        <v>1636</v>
      </c>
      <c r="F6" s="14" t="s">
        <v>1637</v>
      </c>
      <c r="G6" s="16">
        <v>35432908</v>
      </c>
      <c r="H6" s="12">
        <v>46023</v>
      </c>
      <c r="I6" s="12">
        <v>46038</v>
      </c>
      <c r="J6" s="12">
        <v>46041</v>
      </c>
      <c r="K6" s="14">
        <v>15</v>
      </c>
      <c r="L6" s="34">
        <v>0</v>
      </c>
      <c r="M6" s="14">
        <v>0</v>
      </c>
      <c r="N6" s="5">
        <f>IF(AND(H6&lt;=D_F01!$B$7,OR(NOT(ISNUMBER(J6)),J6&gt;D_F01!$B$7)),1,0)</f>
        <v>0</v>
      </c>
      <c r="O6" s="9">
        <f t="shared" si="0"/>
        <v>0</v>
      </c>
      <c r="P6" s="5">
        <f>IF(N6=1,MAX(0,D_F01!$B$7-I6),0)</f>
        <v>0</v>
      </c>
      <c r="Q6" s="5">
        <f>IF(AND(ISNUMBER(J6),J6&lt;=D_F01!$B$7),J6-I6,0)</f>
        <v>3</v>
      </c>
      <c r="R6" s="5">
        <f t="shared" si="1"/>
        <v>3</v>
      </c>
      <c r="S6" s="5">
        <f>IF(AND(ISNUMBER(J6),J6&lt;=D_F01!$B$7,J6&gt;D_F01!$B$7-D_F01!$B$25),G6*R6,0)</f>
        <v>106298724</v>
      </c>
      <c r="T6" s="5">
        <f>IF(AND(ISNUMBER(J6),J6&lt;=D_F01!$B$7,J6&gt;D_F01!$B$7-D_F01!$B$25),G6,0)</f>
        <v>35432908</v>
      </c>
      <c r="U6" s="5">
        <f>IF(INDEX(D_F01!$C$51:$C$59,MATCH(C6,D_F01!$A$51:$A$59,0))="có",1,0)</f>
        <v>1</v>
      </c>
      <c r="V6">
        <f>IF(AND(N6=1,L6&gt;0,L6&lt;1,K6&gt;M6,H6+M6&gt;=D_F01!$B$7),1,0)</f>
        <v>0</v>
      </c>
      <c r="W6" s="29">
        <f t="shared" si="2"/>
        <v>0</v>
      </c>
      <c r="X6" s="30">
        <f t="shared" si="3"/>
        <v>0</v>
      </c>
    </row>
    <row r="7" spans="1:24" ht="25.95" customHeight="1">
      <c r="A7" s="11" t="s">
        <v>1638</v>
      </c>
      <c r="B7" s="11" t="s">
        <v>1312</v>
      </c>
      <c r="C7" s="11" t="s">
        <v>988</v>
      </c>
      <c r="D7" s="11" t="s">
        <v>989</v>
      </c>
      <c r="E7" s="11" t="s">
        <v>1639</v>
      </c>
      <c r="F7" s="11" t="s">
        <v>1640</v>
      </c>
      <c r="G7" s="15">
        <v>61343929</v>
      </c>
      <c r="H7" s="13">
        <v>46023</v>
      </c>
      <c r="I7" s="13">
        <v>46038</v>
      </c>
      <c r="J7" s="13">
        <v>46038</v>
      </c>
      <c r="K7" s="11">
        <v>15</v>
      </c>
      <c r="L7" s="17">
        <v>0</v>
      </c>
      <c r="M7" s="11">
        <v>0</v>
      </c>
      <c r="N7" s="3">
        <f>IF(AND(H7&lt;=D_F01!$B$7,OR(NOT(ISNUMBER(J7)),J7&gt;D_F01!$B$7)),1,0)</f>
        <v>0</v>
      </c>
      <c r="O7" s="8">
        <f t="shared" si="0"/>
        <v>0</v>
      </c>
      <c r="P7" s="3">
        <f>IF(N7=1,MAX(0,D_F01!$B$7-I7),0)</f>
        <v>0</v>
      </c>
      <c r="Q7" s="3">
        <f>IF(AND(ISNUMBER(J7),J7&lt;=D_F01!$B$7),J7-I7,0)</f>
        <v>0</v>
      </c>
      <c r="R7" s="3">
        <f t="shared" si="1"/>
        <v>0</v>
      </c>
      <c r="S7" s="3">
        <f>IF(AND(ISNUMBER(J7),J7&lt;=D_F01!$B$7,J7&gt;D_F01!$B$7-D_F01!$B$25),G7*R7,0)</f>
        <v>0</v>
      </c>
      <c r="T7" s="3">
        <f>IF(AND(ISNUMBER(J7),J7&lt;=D_F01!$B$7,J7&gt;D_F01!$B$7-D_F01!$B$25),G7,0)</f>
        <v>61343929</v>
      </c>
      <c r="U7" s="3">
        <f>IF(INDEX(D_F01!$C$51:$C$59,MATCH(C7,D_F01!$A$51:$A$59,0))="có",1,0)</f>
        <v>1</v>
      </c>
      <c r="V7">
        <f>IF(AND(N7=1,L7&gt;0,L7&lt;1,K7&gt;M7,H7+M7&gt;=D_F01!$B$7),1,0)</f>
        <v>0</v>
      </c>
      <c r="W7" s="29">
        <f t="shared" si="2"/>
        <v>0</v>
      </c>
      <c r="X7" s="30">
        <f t="shared" si="3"/>
        <v>0</v>
      </c>
    </row>
    <row r="8" spans="1:24" ht="25.95" customHeight="1">
      <c r="A8" s="14" t="s">
        <v>1641</v>
      </c>
      <c r="B8" s="14" t="s">
        <v>1312</v>
      </c>
      <c r="C8" s="14" t="s">
        <v>982</v>
      </c>
      <c r="D8" s="14" t="s">
        <v>983</v>
      </c>
      <c r="E8" s="14" t="s">
        <v>1642</v>
      </c>
      <c r="F8" s="14" t="s">
        <v>1637</v>
      </c>
      <c r="G8" s="16">
        <v>29801073</v>
      </c>
      <c r="H8" s="12">
        <v>46023</v>
      </c>
      <c r="I8" s="12">
        <v>46038</v>
      </c>
      <c r="J8" s="12">
        <v>46041</v>
      </c>
      <c r="K8" s="14">
        <v>15</v>
      </c>
      <c r="L8" s="34">
        <v>0</v>
      </c>
      <c r="M8" s="14">
        <v>0</v>
      </c>
      <c r="N8" s="5">
        <f>IF(AND(H8&lt;=D_F01!$B$7,OR(NOT(ISNUMBER(J8)),J8&gt;D_F01!$B$7)),1,0)</f>
        <v>0</v>
      </c>
      <c r="O8" s="9">
        <f t="shared" si="0"/>
        <v>0</v>
      </c>
      <c r="P8" s="5">
        <f>IF(N8=1,MAX(0,D_F01!$B$7-I8),0)</f>
        <v>0</v>
      </c>
      <c r="Q8" s="5">
        <f>IF(AND(ISNUMBER(J8),J8&lt;=D_F01!$B$7),J8-I8,0)</f>
        <v>3</v>
      </c>
      <c r="R8" s="5">
        <f t="shared" si="1"/>
        <v>3</v>
      </c>
      <c r="S8" s="5">
        <f>IF(AND(ISNUMBER(J8),J8&lt;=D_F01!$B$7,J8&gt;D_F01!$B$7-D_F01!$B$25),G8*R8,0)</f>
        <v>89403219</v>
      </c>
      <c r="T8" s="5">
        <f>IF(AND(ISNUMBER(J8),J8&lt;=D_F01!$B$7,J8&gt;D_F01!$B$7-D_F01!$B$25),G8,0)</f>
        <v>29801073</v>
      </c>
      <c r="U8" s="5">
        <f>IF(INDEX(D_F01!$C$51:$C$59,MATCH(C8,D_F01!$A$51:$A$59,0))="có",1,0)</f>
        <v>1</v>
      </c>
      <c r="V8">
        <f>IF(AND(N8=1,L8&gt;0,L8&lt;1,K8&gt;M8,H8+M8&gt;=D_F01!$B$7),1,0)</f>
        <v>0</v>
      </c>
      <c r="W8" s="29">
        <f t="shared" si="2"/>
        <v>0</v>
      </c>
      <c r="X8" s="30">
        <f t="shared" si="3"/>
        <v>0</v>
      </c>
    </row>
    <row r="9" spans="1:24" ht="25.95" customHeight="1">
      <c r="A9" s="11" t="s">
        <v>1643</v>
      </c>
      <c r="B9" s="11" t="s">
        <v>1312</v>
      </c>
      <c r="C9" s="11" t="s">
        <v>976</v>
      </c>
      <c r="D9" s="11" t="s">
        <v>977</v>
      </c>
      <c r="E9" s="11" t="s">
        <v>1644</v>
      </c>
      <c r="F9" s="11" t="s">
        <v>1645</v>
      </c>
      <c r="G9" s="15">
        <v>62031347</v>
      </c>
      <c r="H9" s="13">
        <v>46024</v>
      </c>
      <c r="I9" s="13">
        <v>46054</v>
      </c>
      <c r="J9" s="13">
        <v>46056</v>
      </c>
      <c r="K9" s="11">
        <v>30</v>
      </c>
      <c r="L9" s="17">
        <v>0.02</v>
      </c>
      <c r="M9" s="11">
        <v>10</v>
      </c>
      <c r="N9" s="3">
        <f>IF(AND(H9&lt;=D_F01!$B$7,OR(NOT(ISNUMBER(J9)),J9&gt;D_F01!$B$7)),1,0)</f>
        <v>0</v>
      </c>
      <c r="O9" s="8">
        <f t="shared" si="0"/>
        <v>0</v>
      </c>
      <c r="P9" s="3">
        <f>IF(N9=1,MAX(0,D_F01!$B$7-I9),0)</f>
        <v>0</v>
      </c>
      <c r="Q9" s="3">
        <f>IF(AND(ISNUMBER(J9),J9&lt;=D_F01!$B$7),J9-I9,0)</f>
        <v>2</v>
      </c>
      <c r="R9" s="3">
        <f t="shared" si="1"/>
        <v>2</v>
      </c>
      <c r="S9" s="3">
        <f>IF(AND(ISNUMBER(J9),J9&lt;=D_F01!$B$7,J9&gt;D_F01!$B$7-D_F01!$B$25),G9*R9,0)</f>
        <v>124062694</v>
      </c>
      <c r="T9" s="3">
        <f>IF(AND(ISNUMBER(J9),J9&lt;=D_F01!$B$7,J9&gt;D_F01!$B$7-D_F01!$B$25),G9,0)</f>
        <v>62031347</v>
      </c>
      <c r="U9" s="3">
        <f>IF(INDEX(D_F01!$C$51:$C$59,MATCH(C9,D_F01!$A$51:$A$59,0))="có",1,0)</f>
        <v>1</v>
      </c>
      <c r="V9">
        <f>IF(AND(N9=1,L9&gt;0,L9&lt;1,K9&gt;M9,H9+M9&gt;=D_F01!$B$7),1,0)</f>
        <v>0</v>
      </c>
      <c r="W9" s="29">
        <f t="shared" si="2"/>
        <v>0</v>
      </c>
      <c r="X9" s="30">
        <f t="shared" si="3"/>
        <v>0</v>
      </c>
    </row>
    <row r="10" spans="1:24" ht="25.95" customHeight="1">
      <c r="A10" s="14" t="s">
        <v>1646</v>
      </c>
      <c r="B10" s="14" t="s">
        <v>1312</v>
      </c>
      <c r="C10" s="14" t="s">
        <v>984</v>
      </c>
      <c r="D10" s="14" t="s">
        <v>985</v>
      </c>
      <c r="E10" s="14" t="s">
        <v>1647</v>
      </c>
      <c r="F10" s="14" t="s">
        <v>1648</v>
      </c>
      <c r="G10" s="16">
        <v>30539822</v>
      </c>
      <c r="H10" s="12">
        <v>46026</v>
      </c>
      <c r="I10" s="12">
        <v>46041</v>
      </c>
      <c r="J10" s="12">
        <v>46043</v>
      </c>
      <c r="K10" s="14">
        <v>15</v>
      </c>
      <c r="L10" s="34">
        <v>0</v>
      </c>
      <c r="M10" s="14">
        <v>0</v>
      </c>
      <c r="N10" s="5">
        <f>IF(AND(H10&lt;=D_F01!$B$7,OR(NOT(ISNUMBER(J10)),J10&gt;D_F01!$B$7)),1,0)</f>
        <v>0</v>
      </c>
      <c r="O10" s="9">
        <f t="shared" si="0"/>
        <v>0</v>
      </c>
      <c r="P10" s="5">
        <f>IF(N10=1,MAX(0,D_F01!$B$7-I10),0)</f>
        <v>0</v>
      </c>
      <c r="Q10" s="5">
        <f>IF(AND(ISNUMBER(J10),J10&lt;=D_F01!$B$7),J10-I10,0)</f>
        <v>2</v>
      </c>
      <c r="R10" s="5">
        <f t="shared" si="1"/>
        <v>2</v>
      </c>
      <c r="S10" s="5">
        <f>IF(AND(ISNUMBER(J10),J10&lt;=D_F01!$B$7,J10&gt;D_F01!$B$7-D_F01!$B$25),G10*R10,0)</f>
        <v>61079644</v>
      </c>
      <c r="T10" s="5">
        <f>IF(AND(ISNUMBER(J10),J10&lt;=D_F01!$B$7,J10&gt;D_F01!$B$7-D_F01!$B$25),G10,0)</f>
        <v>30539822</v>
      </c>
      <c r="U10" s="5">
        <f>IF(INDEX(D_F01!$C$51:$C$59,MATCH(C10,D_F01!$A$51:$A$59,0))="có",1,0)</f>
        <v>0</v>
      </c>
      <c r="V10">
        <f>IF(AND(N10=1,L10&gt;0,L10&lt;1,K10&gt;M10,H10+M10&gt;=D_F01!$B$7),1,0)</f>
        <v>0</v>
      </c>
      <c r="W10" s="29">
        <f t="shared" si="2"/>
        <v>0</v>
      </c>
      <c r="X10" s="30">
        <f t="shared" si="3"/>
        <v>0</v>
      </c>
    </row>
    <row r="11" spans="1:24" ht="25.95" customHeight="1">
      <c r="A11" s="11" t="s">
        <v>1649</v>
      </c>
      <c r="B11" s="11" t="s">
        <v>1312</v>
      </c>
      <c r="C11" s="11" t="s">
        <v>982</v>
      </c>
      <c r="D11" s="11" t="s">
        <v>983</v>
      </c>
      <c r="E11" s="11" t="s">
        <v>1650</v>
      </c>
      <c r="F11" s="11" t="s">
        <v>1637</v>
      </c>
      <c r="G11" s="15">
        <v>21024177</v>
      </c>
      <c r="H11" s="13">
        <v>46029</v>
      </c>
      <c r="I11" s="13">
        <v>46044</v>
      </c>
      <c r="J11" s="13">
        <v>46045</v>
      </c>
      <c r="K11" s="11">
        <v>15</v>
      </c>
      <c r="L11" s="17">
        <v>0</v>
      </c>
      <c r="M11" s="11">
        <v>0</v>
      </c>
      <c r="N11" s="3">
        <f>IF(AND(H11&lt;=D_F01!$B$7,OR(NOT(ISNUMBER(J11)),J11&gt;D_F01!$B$7)),1,0)</f>
        <v>0</v>
      </c>
      <c r="O11" s="8">
        <f t="shared" si="0"/>
        <v>0</v>
      </c>
      <c r="P11" s="3">
        <f>IF(N11=1,MAX(0,D_F01!$B$7-I11),0)</f>
        <v>0</v>
      </c>
      <c r="Q11" s="3">
        <f>IF(AND(ISNUMBER(J11),J11&lt;=D_F01!$B$7),J11-I11,0)</f>
        <v>1</v>
      </c>
      <c r="R11" s="3">
        <f t="shared" si="1"/>
        <v>1</v>
      </c>
      <c r="S11" s="3">
        <f>IF(AND(ISNUMBER(J11),J11&lt;=D_F01!$B$7,J11&gt;D_F01!$B$7-D_F01!$B$25),G11*R11,0)</f>
        <v>21024177</v>
      </c>
      <c r="T11" s="3">
        <f>IF(AND(ISNUMBER(J11),J11&lt;=D_F01!$B$7,J11&gt;D_F01!$B$7-D_F01!$B$25),G11,0)</f>
        <v>21024177</v>
      </c>
      <c r="U11" s="3">
        <f>IF(INDEX(D_F01!$C$51:$C$59,MATCH(C11,D_F01!$A$51:$A$59,0))="có",1,0)</f>
        <v>1</v>
      </c>
      <c r="V11">
        <f>IF(AND(N11=1,L11&gt;0,L11&lt;1,K11&gt;M11,H11+M11&gt;=D_F01!$B$7),1,0)</f>
        <v>0</v>
      </c>
      <c r="W11" s="29">
        <f t="shared" si="2"/>
        <v>0</v>
      </c>
      <c r="X11" s="30">
        <f t="shared" si="3"/>
        <v>0</v>
      </c>
    </row>
    <row r="12" spans="1:24" ht="25.95" customHeight="1">
      <c r="A12" s="14" t="s">
        <v>1651</v>
      </c>
      <c r="B12" s="14" t="s">
        <v>1312</v>
      </c>
      <c r="C12" s="14" t="s">
        <v>982</v>
      </c>
      <c r="D12" s="14" t="s">
        <v>983</v>
      </c>
      <c r="E12" s="14" t="s">
        <v>1652</v>
      </c>
      <c r="F12" s="14" t="s">
        <v>1637</v>
      </c>
      <c r="G12" s="16">
        <v>31014286</v>
      </c>
      <c r="H12" s="12">
        <v>46032</v>
      </c>
      <c r="I12" s="12">
        <v>46047</v>
      </c>
      <c r="J12" s="12">
        <v>46052</v>
      </c>
      <c r="K12" s="14">
        <v>15</v>
      </c>
      <c r="L12" s="34">
        <v>0</v>
      </c>
      <c r="M12" s="14">
        <v>0</v>
      </c>
      <c r="N12" s="5">
        <f>IF(AND(H12&lt;=D_F01!$B$7,OR(NOT(ISNUMBER(J12)),J12&gt;D_F01!$B$7)),1,0)</f>
        <v>0</v>
      </c>
      <c r="O12" s="9">
        <f t="shared" si="0"/>
        <v>0</v>
      </c>
      <c r="P12" s="5">
        <f>IF(N12=1,MAX(0,D_F01!$B$7-I12),0)</f>
        <v>0</v>
      </c>
      <c r="Q12" s="5">
        <f>IF(AND(ISNUMBER(J12),J12&lt;=D_F01!$B$7),J12-I12,0)</f>
        <v>5</v>
      </c>
      <c r="R12" s="5">
        <f t="shared" si="1"/>
        <v>5</v>
      </c>
      <c r="S12" s="5">
        <f>IF(AND(ISNUMBER(J12),J12&lt;=D_F01!$B$7,J12&gt;D_F01!$B$7-D_F01!$B$25),G12*R12,0)</f>
        <v>155071430</v>
      </c>
      <c r="T12" s="5">
        <f>IF(AND(ISNUMBER(J12),J12&lt;=D_F01!$B$7,J12&gt;D_F01!$B$7-D_F01!$B$25),G12,0)</f>
        <v>31014286</v>
      </c>
      <c r="U12" s="5">
        <f>IF(INDEX(D_F01!$C$51:$C$59,MATCH(C12,D_F01!$A$51:$A$59,0))="có",1,0)</f>
        <v>1</v>
      </c>
      <c r="V12">
        <f>IF(AND(N12=1,L12&gt;0,L12&lt;1,K12&gt;M12,H12+M12&gt;=D_F01!$B$7),1,0)</f>
        <v>0</v>
      </c>
      <c r="W12" s="29">
        <f t="shared" si="2"/>
        <v>0</v>
      </c>
      <c r="X12" s="30">
        <f t="shared" si="3"/>
        <v>0</v>
      </c>
    </row>
    <row r="13" spans="1:24" ht="25.95" customHeight="1">
      <c r="A13" s="11" t="s">
        <v>1653</v>
      </c>
      <c r="B13" s="11" t="s">
        <v>1312</v>
      </c>
      <c r="C13" s="11" t="s">
        <v>984</v>
      </c>
      <c r="D13" s="11" t="s">
        <v>985</v>
      </c>
      <c r="E13" s="11" t="s">
        <v>1654</v>
      </c>
      <c r="F13" s="11" t="s">
        <v>1648</v>
      </c>
      <c r="G13" s="15">
        <v>15336156</v>
      </c>
      <c r="H13" s="13">
        <v>46032</v>
      </c>
      <c r="I13" s="13">
        <v>46047</v>
      </c>
      <c r="J13" s="13">
        <v>46048</v>
      </c>
      <c r="K13" s="11">
        <v>15</v>
      </c>
      <c r="L13" s="17">
        <v>0</v>
      </c>
      <c r="M13" s="11">
        <v>0</v>
      </c>
      <c r="N13" s="3">
        <f>IF(AND(H13&lt;=D_F01!$B$7,OR(NOT(ISNUMBER(J13)),J13&gt;D_F01!$B$7)),1,0)</f>
        <v>0</v>
      </c>
      <c r="O13" s="8">
        <f t="shared" si="0"/>
        <v>0</v>
      </c>
      <c r="P13" s="3">
        <f>IF(N13=1,MAX(0,D_F01!$B$7-I13),0)</f>
        <v>0</v>
      </c>
      <c r="Q13" s="3">
        <f>IF(AND(ISNUMBER(J13),J13&lt;=D_F01!$B$7),J13-I13,0)</f>
        <v>1</v>
      </c>
      <c r="R13" s="3">
        <f t="shared" si="1"/>
        <v>1</v>
      </c>
      <c r="S13" s="3">
        <f>IF(AND(ISNUMBER(J13),J13&lt;=D_F01!$B$7,J13&gt;D_F01!$B$7-D_F01!$B$25),G13*R13,0)</f>
        <v>15336156</v>
      </c>
      <c r="T13" s="3">
        <f>IF(AND(ISNUMBER(J13),J13&lt;=D_F01!$B$7,J13&gt;D_F01!$B$7-D_F01!$B$25),G13,0)</f>
        <v>15336156</v>
      </c>
      <c r="U13" s="3">
        <f>IF(INDEX(D_F01!$C$51:$C$59,MATCH(C13,D_F01!$A$51:$A$59,0))="có",1,0)</f>
        <v>0</v>
      </c>
      <c r="V13">
        <f>IF(AND(N13=1,L13&gt;0,L13&lt;1,K13&gt;M13,H13+M13&gt;=D_F01!$B$7),1,0)</f>
        <v>0</v>
      </c>
      <c r="W13" s="29">
        <f t="shared" si="2"/>
        <v>0</v>
      </c>
      <c r="X13" s="30">
        <f t="shared" si="3"/>
        <v>0</v>
      </c>
    </row>
    <row r="14" spans="1:24" ht="25.95" customHeight="1">
      <c r="A14" s="14" t="s">
        <v>1655</v>
      </c>
      <c r="B14" s="14" t="s">
        <v>1312</v>
      </c>
      <c r="C14" s="14" t="s">
        <v>982</v>
      </c>
      <c r="D14" s="14" t="s">
        <v>983</v>
      </c>
      <c r="E14" s="14" t="s">
        <v>1656</v>
      </c>
      <c r="F14" s="14" t="s">
        <v>1637</v>
      </c>
      <c r="G14" s="16">
        <v>15388180</v>
      </c>
      <c r="H14" s="12">
        <v>46035</v>
      </c>
      <c r="I14" s="12">
        <v>46050</v>
      </c>
      <c r="J14" s="12">
        <v>46053</v>
      </c>
      <c r="K14" s="14">
        <v>15</v>
      </c>
      <c r="L14" s="34">
        <v>0</v>
      </c>
      <c r="M14" s="14">
        <v>0</v>
      </c>
      <c r="N14" s="5">
        <f>IF(AND(H14&lt;=D_F01!$B$7,OR(NOT(ISNUMBER(J14)),J14&gt;D_F01!$B$7)),1,0)</f>
        <v>0</v>
      </c>
      <c r="O14" s="9">
        <f t="shared" si="0"/>
        <v>0</v>
      </c>
      <c r="P14" s="5">
        <f>IF(N14=1,MAX(0,D_F01!$B$7-I14),0)</f>
        <v>0</v>
      </c>
      <c r="Q14" s="5">
        <f>IF(AND(ISNUMBER(J14),J14&lt;=D_F01!$B$7),J14-I14,0)</f>
        <v>3</v>
      </c>
      <c r="R14" s="5">
        <f t="shared" si="1"/>
        <v>3</v>
      </c>
      <c r="S14" s="5">
        <f>IF(AND(ISNUMBER(J14),J14&lt;=D_F01!$B$7,J14&gt;D_F01!$B$7-D_F01!$B$25),G14*R14,0)</f>
        <v>46164540</v>
      </c>
      <c r="T14" s="5">
        <f>IF(AND(ISNUMBER(J14),J14&lt;=D_F01!$B$7,J14&gt;D_F01!$B$7-D_F01!$B$25),G14,0)</f>
        <v>15388180</v>
      </c>
      <c r="U14" s="5">
        <f>IF(INDEX(D_F01!$C$51:$C$59,MATCH(C14,D_F01!$A$51:$A$59,0))="có",1,0)</f>
        <v>1</v>
      </c>
      <c r="V14">
        <f>IF(AND(N14=1,L14&gt;0,L14&lt;1,K14&gt;M14,H14+M14&gt;=D_F01!$B$7),1,0)</f>
        <v>0</v>
      </c>
      <c r="W14" s="29">
        <f t="shared" si="2"/>
        <v>0</v>
      </c>
      <c r="X14" s="30">
        <f t="shared" si="3"/>
        <v>0</v>
      </c>
    </row>
    <row r="15" spans="1:24" ht="25.95" customHeight="1">
      <c r="A15" s="11" t="s">
        <v>1657</v>
      </c>
      <c r="B15" s="11" t="s">
        <v>1312</v>
      </c>
      <c r="C15" s="11" t="s">
        <v>979</v>
      </c>
      <c r="D15" s="11" t="s">
        <v>980</v>
      </c>
      <c r="E15" s="11" t="s">
        <v>1658</v>
      </c>
      <c r="F15" s="11" t="s">
        <v>1659</v>
      </c>
      <c r="G15" s="15">
        <v>36876417</v>
      </c>
      <c r="H15" s="13">
        <v>46036</v>
      </c>
      <c r="I15" s="13">
        <v>46081</v>
      </c>
      <c r="J15" s="13">
        <v>46106</v>
      </c>
      <c r="K15" s="11">
        <v>45</v>
      </c>
      <c r="L15" s="17">
        <v>0</v>
      </c>
      <c r="M15" s="11">
        <v>0</v>
      </c>
      <c r="N15" s="3">
        <f>IF(AND(H15&lt;=D_F01!$B$7,OR(NOT(ISNUMBER(J15)),J15&gt;D_F01!$B$7)),1,0)</f>
        <v>0</v>
      </c>
      <c r="O15" s="8">
        <f t="shared" si="0"/>
        <v>0</v>
      </c>
      <c r="P15" s="3">
        <f>IF(N15=1,MAX(0,D_F01!$B$7-I15),0)</f>
        <v>0</v>
      </c>
      <c r="Q15" s="3">
        <f>IF(AND(ISNUMBER(J15),J15&lt;=D_F01!$B$7),J15-I15,0)</f>
        <v>25</v>
      </c>
      <c r="R15" s="3">
        <f t="shared" si="1"/>
        <v>25</v>
      </c>
      <c r="S15" s="3">
        <f>IF(AND(ISNUMBER(J15),J15&lt;=D_F01!$B$7,J15&gt;D_F01!$B$7-D_F01!$B$25),G15*R15,0)</f>
        <v>921910425</v>
      </c>
      <c r="T15" s="3">
        <f>IF(AND(ISNUMBER(J15),J15&lt;=D_F01!$B$7,J15&gt;D_F01!$B$7-D_F01!$B$25),G15,0)</f>
        <v>36876417</v>
      </c>
      <c r="U15" s="3">
        <f>IF(INDEX(D_F01!$C$51:$C$59,MATCH(C15,D_F01!$A$51:$A$59,0))="có",1,0)</f>
        <v>0</v>
      </c>
      <c r="V15">
        <f>IF(AND(N15=1,L15&gt;0,L15&lt;1,K15&gt;M15,H15+M15&gt;=D_F01!$B$7),1,0)</f>
        <v>0</v>
      </c>
      <c r="W15" s="29">
        <f t="shared" si="2"/>
        <v>0</v>
      </c>
      <c r="X15" s="30">
        <f t="shared" si="3"/>
        <v>0</v>
      </c>
    </row>
    <row r="16" spans="1:24" ht="25.95" customHeight="1">
      <c r="A16" s="14" t="s">
        <v>1660</v>
      </c>
      <c r="B16" s="14" t="s">
        <v>1312</v>
      </c>
      <c r="C16" s="14" t="s">
        <v>982</v>
      </c>
      <c r="D16" s="14" t="s">
        <v>983</v>
      </c>
      <c r="E16" s="14" t="s">
        <v>1661</v>
      </c>
      <c r="F16" s="14" t="s">
        <v>1637</v>
      </c>
      <c r="G16" s="16">
        <v>27828300</v>
      </c>
      <c r="H16" s="12">
        <v>46038</v>
      </c>
      <c r="I16" s="12">
        <v>46053</v>
      </c>
      <c r="J16" s="12">
        <v>46056</v>
      </c>
      <c r="K16" s="14">
        <v>15</v>
      </c>
      <c r="L16" s="34">
        <v>0</v>
      </c>
      <c r="M16" s="14">
        <v>0</v>
      </c>
      <c r="N16" s="5">
        <f>IF(AND(H16&lt;=D_F01!$B$7,OR(NOT(ISNUMBER(J16)),J16&gt;D_F01!$B$7)),1,0)</f>
        <v>0</v>
      </c>
      <c r="O16" s="9">
        <f t="shared" si="0"/>
        <v>0</v>
      </c>
      <c r="P16" s="5">
        <f>IF(N16=1,MAX(0,D_F01!$B$7-I16),0)</f>
        <v>0</v>
      </c>
      <c r="Q16" s="5">
        <f>IF(AND(ISNUMBER(J16),J16&lt;=D_F01!$B$7),J16-I16,0)</f>
        <v>3</v>
      </c>
      <c r="R16" s="5">
        <f t="shared" si="1"/>
        <v>3</v>
      </c>
      <c r="S16" s="5">
        <f>IF(AND(ISNUMBER(J16),J16&lt;=D_F01!$B$7,J16&gt;D_F01!$B$7-D_F01!$B$25),G16*R16,0)</f>
        <v>83484900</v>
      </c>
      <c r="T16" s="5">
        <f>IF(AND(ISNUMBER(J16),J16&lt;=D_F01!$B$7,J16&gt;D_F01!$B$7-D_F01!$B$25),G16,0)</f>
        <v>27828300</v>
      </c>
      <c r="U16" s="5">
        <f>IF(INDEX(D_F01!$C$51:$C$59,MATCH(C16,D_F01!$A$51:$A$59,0))="có",1,0)</f>
        <v>1</v>
      </c>
      <c r="V16">
        <f>IF(AND(N16=1,L16&gt;0,L16&lt;1,K16&gt;M16,H16+M16&gt;=D_F01!$B$7),1,0)</f>
        <v>0</v>
      </c>
      <c r="W16" s="29">
        <f t="shared" si="2"/>
        <v>0</v>
      </c>
      <c r="X16" s="30">
        <f t="shared" si="3"/>
        <v>0</v>
      </c>
    </row>
    <row r="17" spans="1:24" ht="25.95" customHeight="1">
      <c r="A17" s="11" t="s">
        <v>1662</v>
      </c>
      <c r="B17" s="11" t="s">
        <v>1312</v>
      </c>
      <c r="C17" s="11" t="s">
        <v>984</v>
      </c>
      <c r="D17" s="11" t="s">
        <v>985</v>
      </c>
      <c r="E17" s="11" t="s">
        <v>1663</v>
      </c>
      <c r="F17" s="11" t="s">
        <v>1648</v>
      </c>
      <c r="G17" s="15">
        <v>19367021</v>
      </c>
      <c r="H17" s="13">
        <v>46038</v>
      </c>
      <c r="I17" s="13">
        <v>46053</v>
      </c>
      <c r="J17" s="13">
        <v>46052</v>
      </c>
      <c r="K17" s="11">
        <v>15</v>
      </c>
      <c r="L17" s="17">
        <v>0</v>
      </c>
      <c r="M17" s="11">
        <v>0</v>
      </c>
      <c r="N17" s="3">
        <f>IF(AND(H17&lt;=D_F01!$B$7,OR(NOT(ISNUMBER(J17)),J17&gt;D_F01!$B$7)),1,0)</f>
        <v>0</v>
      </c>
      <c r="O17" s="8">
        <f t="shared" si="0"/>
        <v>0</v>
      </c>
      <c r="P17" s="3">
        <f>IF(N17=1,MAX(0,D_F01!$B$7-I17),0)</f>
        <v>0</v>
      </c>
      <c r="Q17" s="3">
        <f>IF(AND(ISNUMBER(J17),J17&lt;=D_F01!$B$7),J17-I17,0)</f>
        <v>-1</v>
      </c>
      <c r="R17" s="3">
        <f t="shared" si="1"/>
        <v>0</v>
      </c>
      <c r="S17" s="3">
        <f>IF(AND(ISNUMBER(J17),J17&lt;=D_F01!$B$7,J17&gt;D_F01!$B$7-D_F01!$B$25),G17*R17,0)</f>
        <v>0</v>
      </c>
      <c r="T17" s="3">
        <f>IF(AND(ISNUMBER(J17),J17&lt;=D_F01!$B$7,J17&gt;D_F01!$B$7-D_F01!$B$25),G17,0)</f>
        <v>19367021</v>
      </c>
      <c r="U17" s="3">
        <f>IF(INDEX(D_F01!$C$51:$C$59,MATCH(C17,D_F01!$A$51:$A$59,0))="có",1,0)</f>
        <v>0</v>
      </c>
      <c r="V17">
        <f>IF(AND(N17=1,L17&gt;0,L17&lt;1,K17&gt;M17,H17+M17&gt;=D_F01!$B$7),1,0)</f>
        <v>0</v>
      </c>
      <c r="W17" s="29">
        <f t="shared" si="2"/>
        <v>0</v>
      </c>
      <c r="X17" s="30">
        <f t="shared" si="3"/>
        <v>0</v>
      </c>
    </row>
    <row r="18" spans="1:24" ht="25.95" customHeight="1">
      <c r="A18" s="14" t="s">
        <v>1664</v>
      </c>
      <c r="B18" s="14" t="s">
        <v>1312</v>
      </c>
      <c r="C18" s="14" t="s">
        <v>979</v>
      </c>
      <c r="D18" s="14" t="s">
        <v>980</v>
      </c>
      <c r="E18" s="14" t="s">
        <v>1665</v>
      </c>
      <c r="F18" s="14" t="s">
        <v>1659</v>
      </c>
      <c r="G18" s="16">
        <v>52696748</v>
      </c>
      <c r="H18" s="12">
        <v>46039</v>
      </c>
      <c r="I18" s="12">
        <v>46084</v>
      </c>
      <c r="J18" s="12">
        <v>46095</v>
      </c>
      <c r="K18" s="14">
        <v>45</v>
      </c>
      <c r="L18" s="34">
        <v>0</v>
      </c>
      <c r="M18" s="14">
        <v>0</v>
      </c>
      <c r="N18" s="5">
        <f>IF(AND(H18&lt;=D_F01!$B$7,OR(NOT(ISNUMBER(J18)),J18&gt;D_F01!$B$7)),1,0)</f>
        <v>0</v>
      </c>
      <c r="O18" s="9">
        <f t="shared" si="0"/>
        <v>0</v>
      </c>
      <c r="P18" s="5">
        <f>IF(N18=1,MAX(0,D_F01!$B$7-I18),0)</f>
        <v>0</v>
      </c>
      <c r="Q18" s="5">
        <f>IF(AND(ISNUMBER(J18),J18&lt;=D_F01!$B$7),J18-I18,0)</f>
        <v>11</v>
      </c>
      <c r="R18" s="5">
        <f t="shared" si="1"/>
        <v>11</v>
      </c>
      <c r="S18" s="5">
        <f>IF(AND(ISNUMBER(J18),J18&lt;=D_F01!$B$7,J18&gt;D_F01!$B$7-D_F01!$B$25),G18*R18,0)</f>
        <v>579664228</v>
      </c>
      <c r="T18" s="5">
        <f>IF(AND(ISNUMBER(J18),J18&lt;=D_F01!$B$7,J18&gt;D_F01!$B$7-D_F01!$B$25),G18,0)</f>
        <v>52696748</v>
      </c>
      <c r="U18" s="5">
        <f>IF(INDEX(D_F01!$C$51:$C$59,MATCH(C18,D_F01!$A$51:$A$59,0))="có",1,0)</f>
        <v>0</v>
      </c>
      <c r="V18">
        <f>IF(AND(N18=1,L18&gt;0,L18&lt;1,K18&gt;M18,H18+M18&gt;=D_F01!$B$7),1,0)</f>
        <v>0</v>
      </c>
      <c r="W18" s="29">
        <f t="shared" si="2"/>
        <v>0</v>
      </c>
      <c r="X18" s="30">
        <f t="shared" si="3"/>
        <v>0</v>
      </c>
    </row>
    <row r="19" spans="1:24" ht="25.95" customHeight="1">
      <c r="A19" s="11" t="s">
        <v>1666</v>
      </c>
      <c r="B19" s="11" t="s">
        <v>1312</v>
      </c>
      <c r="C19" s="11" t="s">
        <v>984</v>
      </c>
      <c r="D19" s="11" t="s">
        <v>985</v>
      </c>
      <c r="E19" s="11" t="s">
        <v>1667</v>
      </c>
      <c r="F19" s="11" t="s">
        <v>1648</v>
      </c>
      <c r="G19" s="15">
        <v>7977798</v>
      </c>
      <c r="H19" s="13">
        <v>46042</v>
      </c>
      <c r="I19" s="13">
        <v>46057</v>
      </c>
      <c r="J19" s="13">
        <v>46059</v>
      </c>
      <c r="K19" s="11">
        <v>15</v>
      </c>
      <c r="L19" s="17">
        <v>0</v>
      </c>
      <c r="M19" s="11">
        <v>0</v>
      </c>
      <c r="N19" s="3">
        <f>IF(AND(H19&lt;=D_F01!$B$7,OR(NOT(ISNUMBER(J19)),J19&gt;D_F01!$B$7)),1,0)</f>
        <v>0</v>
      </c>
      <c r="O19" s="8">
        <f t="shared" si="0"/>
        <v>0</v>
      </c>
      <c r="P19" s="3">
        <f>IF(N19=1,MAX(0,D_F01!$B$7-I19),0)</f>
        <v>0</v>
      </c>
      <c r="Q19" s="3">
        <f>IF(AND(ISNUMBER(J19),J19&lt;=D_F01!$B$7),J19-I19,0)</f>
        <v>2</v>
      </c>
      <c r="R19" s="3">
        <f t="shared" si="1"/>
        <v>2</v>
      </c>
      <c r="S19" s="3">
        <f>IF(AND(ISNUMBER(J19),J19&lt;=D_F01!$B$7,J19&gt;D_F01!$B$7-D_F01!$B$25),G19*R19,0)</f>
        <v>15955596</v>
      </c>
      <c r="T19" s="3">
        <f>IF(AND(ISNUMBER(J19),J19&lt;=D_F01!$B$7,J19&gt;D_F01!$B$7-D_F01!$B$25),G19,0)</f>
        <v>7977798</v>
      </c>
      <c r="U19" s="3">
        <f>IF(INDEX(D_F01!$C$51:$C$59,MATCH(C19,D_F01!$A$51:$A$59,0))="có",1,0)</f>
        <v>0</v>
      </c>
      <c r="V19">
        <f>IF(AND(N19=1,L19&gt;0,L19&lt;1,K19&gt;M19,H19+M19&gt;=D_F01!$B$7),1,0)</f>
        <v>0</v>
      </c>
      <c r="W19" s="29">
        <f t="shared" si="2"/>
        <v>0</v>
      </c>
      <c r="X19" s="30">
        <f t="shared" si="3"/>
        <v>0</v>
      </c>
    </row>
    <row r="20" spans="1:24" ht="25.95" customHeight="1">
      <c r="A20" s="14" t="s">
        <v>1668</v>
      </c>
      <c r="B20" s="14" t="s">
        <v>1312</v>
      </c>
      <c r="C20" s="14" t="s">
        <v>979</v>
      </c>
      <c r="D20" s="14" t="s">
        <v>980</v>
      </c>
      <c r="E20" s="14" t="s">
        <v>1669</v>
      </c>
      <c r="F20" s="14" t="s">
        <v>1659</v>
      </c>
      <c r="G20" s="16">
        <v>23079496</v>
      </c>
      <c r="H20" s="12">
        <v>46043</v>
      </c>
      <c r="I20" s="12">
        <v>46088</v>
      </c>
      <c r="J20" s="12">
        <v>46110</v>
      </c>
      <c r="K20" s="14">
        <v>45</v>
      </c>
      <c r="L20" s="34">
        <v>0</v>
      </c>
      <c r="M20" s="14">
        <v>0</v>
      </c>
      <c r="N20" s="5">
        <f>IF(AND(H20&lt;=D_F01!$B$7,OR(NOT(ISNUMBER(J20)),J20&gt;D_F01!$B$7)),1,0)</f>
        <v>0</v>
      </c>
      <c r="O20" s="9">
        <f t="shared" si="0"/>
        <v>0</v>
      </c>
      <c r="P20" s="5">
        <f>IF(N20=1,MAX(0,D_F01!$B$7-I20),0)</f>
        <v>0</v>
      </c>
      <c r="Q20" s="5">
        <f>IF(AND(ISNUMBER(J20),J20&lt;=D_F01!$B$7),J20-I20,0)</f>
        <v>22</v>
      </c>
      <c r="R20" s="5">
        <f t="shared" si="1"/>
        <v>22</v>
      </c>
      <c r="S20" s="5">
        <f>IF(AND(ISNUMBER(J20),J20&lt;=D_F01!$B$7,J20&gt;D_F01!$B$7-D_F01!$B$25),G20*R20,0)</f>
        <v>507748912</v>
      </c>
      <c r="T20" s="5">
        <f>IF(AND(ISNUMBER(J20),J20&lt;=D_F01!$B$7,J20&gt;D_F01!$B$7-D_F01!$B$25),G20,0)</f>
        <v>23079496</v>
      </c>
      <c r="U20" s="5">
        <f>IF(INDEX(D_F01!$C$51:$C$59,MATCH(C20,D_F01!$A$51:$A$59,0))="có",1,0)</f>
        <v>0</v>
      </c>
      <c r="V20">
        <f>IF(AND(N20=1,L20&gt;0,L20&lt;1,K20&gt;M20,H20+M20&gt;=D_F01!$B$7),1,0)</f>
        <v>0</v>
      </c>
      <c r="W20" s="29">
        <f t="shared" si="2"/>
        <v>0</v>
      </c>
      <c r="X20" s="30">
        <f t="shared" si="3"/>
        <v>0</v>
      </c>
    </row>
    <row r="21" spans="1:24" ht="25.95" customHeight="1">
      <c r="A21" s="11" t="s">
        <v>1670</v>
      </c>
      <c r="B21" s="11" t="s">
        <v>1312</v>
      </c>
      <c r="C21" s="11" t="s">
        <v>976</v>
      </c>
      <c r="D21" s="11" t="s">
        <v>977</v>
      </c>
      <c r="E21" s="11" t="s">
        <v>1671</v>
      </c>
      <c r="F21" s="11" t="s">
        <v>1645</v>
      </c>
      <c r="G21" s="15">
        <v>110611216</v>
      </c>
      <c r="H21" s="13">
        <v>46045</v>
      </c>
      <c r="I21" s="13">
        <v>46075</v>
      </c>
      <c r="J21" s="13">
        <v>46078</v>
      </c>
      <c r="K21" s="11">
        <v>30</v>
      </c>
      <c r="L21" s="17">
        <v>0.02</v>
      </c>
      <c r="M21" s="11">
        <v>10</v>
      </c>
      <c r="N21" s="3">
        <f>IF(AND(H21&lt;=D_F01!$B$7,OR(NOT(ISNUMBER(J21)),J21&gt;D_F01!$B$7)),1,0)</f>
        <v>0</v>
      </c>
      <c r="O21" s="8">
        <f t="shared" si="0"/>
        <v>0</v>
      </c>
      <c r="P21" s="3">
        <f>IF(N21=1,MAX(0,D_F01!$B$7-I21),0)</f>
        <v>0</v>
      </c>
      <c r="Q21" s="3">
        <f>IF(AND(ISNUMBER(J21),J21&lt;=D_F01!$B$7),J21-I21,0)</f>
        <v>3</v>
      </c>
      <c r="R21" s="3">
        <f t="shared" si="1"/>
        <v>3</v>
      </c>
      <c r="S21" s="3">
        <f>IF(AND(ISNUMBER(J21),J21&lt;=D_F01!$B$7,J21&gt;D_F01!$B$7-D_F01!$B$25),G21*R21,0)</f>
        <v>331833648</v>
      </c>
      <c r="T21" s="3">
        <f>IF(AND(ISNUMBER(J21),J21&lt;=D_F01!$B$7,J21&gt;D_F01!$B$7-D_F01!$B$25),G21,0)</f>
        <v>110611216</v>
      </c>
      <c r="U21" s="3">
        <f>IF(INDEX(D_F01!$C$51:$C$59,MATCH(C21,D_F01!$A$51:$A$59,0))="có",1,0)</f>
        <v>1</v>
      </c>
      <c r="V21">
        <f>IF(AND(N21=1,L21&gt;0,L21&lt;1,K21&gt;M21,H21+M21&gt;=D_F01!$B$7),1,0)</f>
        <v>0</v>
      </c>
      <c r="W21" s="29">
        <f t="shared" si="2"/>
        <v>0</v>
      </c>
      <c r="X21" s="30">
        <f t="shared" si="3"/>
        <v>0</v>
      </c>
    </row>
    <row r="22" spans="1:24" ht="25.95" customHeight="1">
      <c r="A22" s="14" t="s">
        <v>1672</v>
      </c>
      <c r="B22" s="14" t="s">
        <v>1312</v>
      </c>
      <c r="C22" s="14" t="s">
        <v>988</v>
      </c>
      <c r="D22" s="14" t="s">
        <v>989</v>
      </c>
      <c r="E22" s="14" t="s">
        <v>1673</v>
      </c>
      <c r="F22" s="14" t="s">
        <v>1640</v>
      </c>
      <c r="G22" s="16">
        <v>35682626</v>
      </c>
      <c r="H22" s="12">
        <v>46045</v>
      </c>
      <c r="I22" s="12">
        <v>46060</v>
      </c>
      <c r="J22" s="12">
        <v>46061</v>
      </c>
      <c r="K22" s="14">
        <v>15</v>
      </c>
      <c r="L22" s="34">
        <v>0</v>
      </c>
      <c r="M22" s="14">
        <v>0</v>
      </c>
      <c r="N22" s="5">
        <f>IF(AND(H22&lt;=D_F01!$B$7,OR(NOT(ISNUMBER(J22)),J22&gt;D_F01!$B$7)),1,0)</f>
        <v>0</v>
      </c>
      <c r="O22" s="9">
        <f t="shared" si="0"/>
        <v>0</v>
      </c>
      <c r="P22" s="5">
        <f>IF(N22=1,MAX(0,D_F01!$B$7-I22),0)</f>
        <v>0</v>
      </c>
      <c r="Q22" s="5">
        <f>IF(AND(ISNUMBER(J22),J22&lt;=D_F01!$B$7),J22-I22,0)</f>
        <v>1</v>
      </c>
      <c r="R22" s="5">
        <f t="shared" si="1"/>
        <v>1</v>
      </c>
      <c r="S22" s="5">
        <f>IF(AND(ISNUMBER(J22),J22&lt;=D_F01!$B$7,J22&gt;D_F01!$B$7-D_F01!$B$25),G22*R22,0)</f>
        <v>35682626</v>
      </c>
      <c r="T22" s="5">
        <f>IF(AND(ISNUMBER(J22),J22&lt;=D_F01!$B$7,J22&gt;D_F01!$B$7-D_F01!$B$25),G22,0)</f>
        <v>35682626</v>
      </c>
      <c r="U22" s="5">
        <f>IF(INDEX(D_F01!$C$51:$C$59,MATCH(C22,D_F01!$A$51:$A$59,0))="có",1,0)</f>
        <v>1</v>
      </c>
      <c r="V22">
        <f>IF(AND(N22=1,L22&gt;0,L22&lt;1,K22&gt;M22,H22+M22&gt;=D_F01!$B$7),1,0)</f>
        <v>0</v>
      </c>
      <c r="W22" s="29">
        <f t="shared" si="2"/>
        <v>0</v>
      </c>
      <c r="X22" s="30">
        <f t="shared" si="3"/>
        <v>0</v>
      </c>
    </row>
    <row r="23" spans="1:24" ht="25.95" customHeight="1">
      <c r="A23" s="11" t="s">
        <v>1674</v>
      </c>
      <c r="B23" s="11" t="s">
        <v>1312</v>
      </c>
      <c r="C23" s="11" t="s">
        <v>982</v>
      </c>
      <c r="D23" s="11" t="s">
        <v>983</v>
      </c>
      <c r="E23" s="11" t="s">
        <v>1675</v>
      </c>
      <c r="F23" s="11" t="s">
        <v>1637</v>
      </c>
      <c r="G23" s="15">
        <v>16484859</v>
      </c>
      <c r="H23" s="13">
        <v>46047</v>
      </c>
      <c r="I23" s="13">
        <v>46062</v>
      </c>
      <c r="J23" s="13">
        <v>46065</v>
      </c>
      <c r="K23" s="11">
        <v>15</v>
      </c>
      <c r="L23" s="17">
        <v>0</v>
      </c>
      <c r="M23" s="11">
        <v>0</v>
      </c>
      <c r="N23" s="3">
        <f>IF(AND(H23&lt;=D_F01!$B$7,OR(NOT(ISNUMBER(J23)),J23&gt;D_F01!$B$7)),1,0)</f>
        <v>0</v>
      </c>
      <c r="O23" s="8">
        <f t="shared" si="0"/>
        <v>0</v>
      </c>
      <c r="P23" s="3">
        <f>IF(N23=1,MAX(0,D_F01!$B$7-I23),0)</f>
        <v>0</v>
      </c>
      <c r="Q23" s="3">
        <f>IF(AND(ISNUMBER(J23),J23&lt;=D_F01!$B$7),J23-I23,0)</f>
        <v>3</v>
      </c>
      <c r="R23" s="3">
        <f t="shared" si="1"/>
        <v>3</v>
      </c>
      <c r="S23" s="3">
        <f>IF(AND(ISNUMBER(J23),J23&lt;=D_F01!$B$7,J23&gt;D_F01!$B$7-D_F01!$B$25),G23*R23,0)</f>
        <v>49454577</v>
      </c>
      <c r="T23" s="3">
        <f>IF(AND(ISNUMBER(J23),J23&lt;=D_F01!$B$7,J23&gt;D_F01!$B$7-D_F01!$B$25),G23,0)</f>
        <v>16484859</v>
      </c>
      <c r="U23" s="3">
        <f>IF(INDEX(D_F01!$C$51:$C$59,MATCH(C23,D_F01!$A$51:$A$59,0))="có",1,0)</f>
        <v>1</v>
      </c>
      <c r="V23">
        <f>IF(AND(N23=1,L23&gt;0,L23&lt;1,K23&gt;M23,H23+M23&gt;=D_F01!$B$7),1,0)</f>
        <v>0</v>
      </c>
      <c r="W23" s="29">
        <f t="shared" si="2"/>
        <v>0</v>
      </c>
      <c r="X23" s="30">
        <f t="shared" si="3"/>
        <v>0</v>
      </c>
    </row>
    <row r="24" spans="1:24" ht="25.95" customHeight="1">
      <c r="A24" s="14" t="s">
        <v>1676</v>
      </c>
      <c r="B24" s="14" t="s">
        <v>1312</v>
      </c>
      <c r="C24" s="14" t="s">
        <v>984</v>
      </c>
      <c r="D24" s="14" t="s">
        <v>985</v>
      </c>
      <c r="E24" s="14" t="s">
        <v>1677</v>
      </c>
      <c r="F24" s="14" t="s">
        <v>1648</v>
      </c>
      <c r="G24" s="16">
        <v>13196211</v>
      </c>
      <c r="H24" s="12">
        <v>46047</v>
      </c>
      <c r="I24" s="12">
        <v>46062</v>
      </c>
      <c r="J24" s="12">
        <v>46059</v>
      </c>
      <c r="K24" s="14">
        <v>15</v>
      </c>
      <c r="L24" s="34">
        <v>0</v>
      </c>
      <c r="M24" s="14">
        <v>0</v>
      </c>
      <c r="N24" s="5">
        <f>IF(AND(H24&lt;=D_F01!$B$7,OR(NOT(ISNUMBER(J24)),J24&gt;D_F01!$B$7)),1,0)</f>
        <v>0</v>
      </c>
      <c r="O24" s="9">
        <f t="shared" si="0"/>
        <v>0</v>
      </c>
      <c r="P24" s="5">
        <f>IF(N24=1,MAX(0,D_F01!$B$7-I24),0)</f>
        <v>0</v>
      </c>
      <c r="Q24" s="5">
        <f>IF(AND(ISNUMBER(J24),J24&lt;=D_F01!$B$7),J24-I24,0)</f>
        <v>-3</v>
      </c>
      <c r="R24" s="5">
        <f t="shared" si="1"/>
        <v>0</v>
      </c>
      <c r="S24" s="5">
        <f>IF(AND(ISNUMBER(J24),J24&lt;=D_F01!$B$7,J24&gt;D_F01!$B$7-D_F01!$B$25),G24*R24,0)</f>
        <v>0</v>
      </c>
      <c r="T24" s="5">
        <f>IF(AND(ISNUMBER(J24),J24&lt;=D_F01!$B$7,J24&gt;D_F01!$B$7-D_F01!$B$25),G24,0)</f>
        <v>13196211</v>
      </c>
      <c r="U24" s="5">
        <f>IF(INDEX(D_F01!$C$51:$C$59,MATCH(C24,D_F01!$A$51:$A$59,0))="có",1,0)</f>
        <v>0</v>
      </c>
      <c r="V24">
        <f>IF(AND(N24=1,L24&gt;0,L24&lt;1,K24&gt;M24,H24+M24&gt;=D_F01!$B$7),1,0)</f>
        <v>0</v>
      </c>
      <c r="W24" s="29">
        <f t="shared" si="2"/>
        <v>0</v>
      </c>
      <c r="X24" s="30">
        <f t="shared" si="3"/>
        <v>0</v>
      </c>
    </row>
    <row r="25" spans="1:24" ht="25.95" customHeight="1">
      <c r="A25" s="11" t="s">
        <v>1678</v>
      </c>
      <c r="B25" s="11" t="s">
        <v>1312</v>
      </c>
      <c r="C25" s="11" t="s">
        <v>993</v>
      </c>
      <c r="D25" s="11" t="s">
        <v>994</v>
      </c>
      <c r="E25" s="11" t="s">
        <v>1679</v>
      </c>
      <c r="F25" s="11" t="s">
        <v>1680</v>
      </c>
      <c r="G25" s="15">
        <v>36610051</v>
      </c>
      <c r="H25" s="13">
        <v>46048</v>
      </c>
      <c r="I25" s="13">
        <v>46078</v>
      </c>
      <c r="J25" s="13">
        <v>46079</v>
      </c>
      <c r="K25" s="11">
        <v>30</v>
      </c>
      <c r="L25" s="17">
        <v>0</v>
      </c>
      <c r="M25" s="11">
        <v>0</v>
      </c>
      <c r="N25" s="3">
        <f>IF(AND(H25&lt;=D_F01!$B$7,OR(NOT(ISNUMBER(J25)),J25&gt;D_F01!$B$7)),1,0)</f>
        <v>0</v>
      </c>
      <c r="O25" s="8">
        <f t="shared" si="0"/>
        <v>0</v>
      </c>
      <c r="P25" s="3">
        <f>IF(N25=1,MAX(0,D_F01!$B$7-I25),0)</f>
        <v>0</v>
      </c>
      <c r="Q25" s="3">
        <f>IF(AND(ISNUMBER(J25),J25&lt;=D_F01!$B$7),J25-I25,0)</f>
        <v>1</v>
      </c>
      <c r="R25" s="3">
        <f t="shared" si="1"/>
        <v>1</v>
      </c>
      <c r="S25" s="3">
        <f>IF(AND(ISNUMBER(J25),J25&lt;=D_F01!$B$7,J25&gt;D_F01!$B$7-D_F01!$B$25),G25*R25,0)</f>
        <v>36610051</v>
      </c>
      <c r="T25" s="3">
        <f>IF(AND(ISNUMBER(J25),J25&lt;=D_F01!$B$7,J25&gt;D_F01!$B$7-D_F01!$B$25),G25,0)</f>
        <v>36610051</v>
      </c>
      <c r="U25" s="3">
        <f>IF(INDEX(D_F01!$C$51:$C$59,MATCH(C25,D_F01!$A$51:$A$59,0))="có",1,0)</f>
        <v>0</v>
      </c>
      <c r="V25">
        <f>IF(AND(N25=1,L25&gt;0,L25&lt;1,K25&gt;M25,H25+M25&gt;=D_F01!$B$7),1,0)</f>
        <v>0</v>
      </c>
      <c r="W25" s="29">
        <f t="shared" si="2"/>
        <v>0</v>
      </c>
      <c r="X25" s="30">
        <f t="shared" si="3"/>
        <v>0</v>
      </c>
    </row>
    <row r="26" spans="1:24" ht="25.95" customHeight="1">
      <c r="A26" s="14" t="s">
        <v>1681</v>
      </c>
      <c r="B26" s="14" t="s">
        <v>1312</v>
      </c>
      <c r="C26" s="14" t="s">
        <v>982</v>
      </c>
      <c r="D26" s="14" t="s">
        <v>983</v>
      </c>
      <c r="E26" s="14" t="s">
        <v>1682</v>
      </c>
      <c r="F26" s="14" t="s">
        <v>1637</v>
      </c>
      <c r="G26" s="16">
        <v>21477832</v>
      </c>
      <c r="H26" s="12">
        <v>46053</v>
      </c>
      <c r="I26" s="12">
        <v>46068</v>
      </c>
      <c r="J26" s="12">
        <v>46072</v>
      </c>
      <c r="K26" s="14">
        <v>15</v>
      </c>
      <c r="L26" s="34">
        <v>0</v>
      </c>
      <c r="M26" s="14">
        <v>0</v>
      </c>
      <c r="N26" s="5">
        <f>IF(AND(H26&lt;=D_F01!$B$7,OR(NOT(ISNUMBER(J26)),J26&gt;D_F01!$B$7)),1,0)</f>
        <v>0</v>
      </c>
      <c r="O26" s="9">
        <f t="shared" si="0"/>
        <v>0</v>
      </c>
      <c r="P26" s="5">
        <f>IF(N26=1,MAX(0,D_F01!$B$7-I26),0)</f>
        <v>0</v>
      </c>
      <c r="Q26" s="5">
        <f>IF(AND(ISNUMBER(J26),J26&lt;=D_F01!$B$7),J26-I26,0)</f>
        <v>4</v>
      </c>
      <c r="R26" s="5">
        <f t="shared" si="1"/>
        <v>4</v>
      </c>
      <c r="S26" s="5">
        <f>IF(AND(ISNUMBER(J26),J26&lt;=D_F01!$B$7,J26&gt;D_F01!$B$7-D_F01!$B$25),G26*R26,0)</f>
        <v>85911328</v>
      </c>
      <c r="T26" s="5">
        <f>IF(AND(ISNUMBER(J26),J26&lt;=D_F01!$B$7,J26&gt;D_F01!$B$7-D_F01!$B$25),G26,0)</f>
        <v>21477832</v>
      </c>
      <c r="U26" s="5">
        <f>IF(INDEX(D_F01!$C$51:$C$59,MATCH(C26,D_F01!$A$51:$A$59,0))="có",1,0)</f>
        <v>1</v>
      </c>
      <c r="V26">
        <f>IF(AND(N26=1,L26&gt;0,L26&lt;1,K26&gt;M26,H26+M26&gt;=D_F01!$B$7),1,0)</f>
        <v>0</v>
      </c>
      <c r="W26" s="29">
        <f t="shared" si="2"/>
        <v>0</v>
      </c>
      <c r="X26" s="30">
        <f t="shared" si="3"/>
        <v>0</v>
      </c>
    </row>
    <row r="27" spans="1:24" ht="25.95" customHeight="1">
      <c r="A27" s="11" t="s">
        <v>1683</v>
      </c>
      <c r="B27" s="11" t="s">
        <v>1312</v>
      </c>
      <c r="C27" s="11" t="s">
        <v>995</v>
      </c>
      <c r="D27" s="11" t="s">
        <v>996</v>
      </c>
      <c r="E27" s="11" t="s">
        <v>1684</v>
      </c>
      <c r="F27" s="11" t="s">
        <v>1634</v>
      </c>
      <c r="G27" s="15">
        <v>30349759</v>
      </c>
      <c r="H27" s="13">
        <v>46054</v>
      </c>
      <c r="I27" s="13">
        <v>46084</v>
      </c>
      <c r="J27" s="13">
        <v>46088</v>
      </c>
      <c r="K27" s="11">
        <v>30</v>
      </c>
      <c r="L27" s="17">
        <v>0.01</v>
      </c>
      <c r="M27" s="11">
        <v>7</v>
      </c>
      <c r="N27" s="3">
        <f>IF(AND(H27&lt;=D_F01!$B$7,OR(NOT(ISNUMBER(J27)),J27&gt;D_F01!$B$7)),1,0)</f>
        <v>0</v>
      </c>
      <c r="O27" s="8">
        <f t="shared" si="0"/>
        <v>0</v>
      </c>
      <c r="P27" s="3">
        <f>IF(N27=1,MAX(0,D_F01!$B$7-I27),0)</f>
        <v>0</v>
      </c>
      <c r="Q27" s="3">
        <f>IF(AND(ISNUMBER(J27),J27&lt;=D_F01!$B$7),J27-I27,0)</f>
        <v>4</v>
      </c>
      <c r="R27" s="3">
        <f t="shared" si="1"/>
        <v>4</v>
      </c>
      <c r="S27" s="3">
        <f>IF(AND(ISNUMBER(J27),J27&lt;=D_F01!$B$7,J27&gt;D_F01!$B$7-D_F01!$B$25),G27*R27,0)</f>
        <v>121399036</v>
      </c>
      <c r="T27" s="3">
        <f>IF(AND(ISNUMBER(J27),J27&lt;=D_F01!$B$7,J27&gt;D_F01!$B$7-D_F01!$B$25),G27,0)</f>
        <v>30349759</v>
      </c>
      <c r="U27" s="3">
        <f>IF(INDEX(D_F01!$C$51:$C$59,MATCH(C27,D_F01!$A$51:$A$59,0))="có",1,0)</f>
        <v>1</v>
      </c>
      <c r="V27">
        <f>IF(AND(N27=1,L27&gt;0,L27&lt;1,K27&gt;M27,H27+M27&gt;=D_F01!$B$7),1,0)</f>
        <v>0</v>
      </c>
      <c r="W27" s="29">
        <f t="shared" si="2"/>
        <v>0</v>
      </c>
      <c r="X27" s="30">
        <f t="shared" si="3"/>
        <v>0</v>
      </c>
    </row>
    <row r="28" spans="1:24" ht="25.95" customHeight="1">
      <c r="A28" s="14" t="s">
        <v>1685</v>
      </c>
      <c r="B28" s="14" t="s">
        <v>1312</v>
      </c>
      <c r="C28" s="14" t="s">
        <v>979</v>
      </c>
      <c r="D28" s="14" t="s">
        <v>980</v>
      </c>
      <c r="E28" s="14" t="s">
        <v>1686</v>
      </c>
      <c r="F28" s="14" t="s">
        <v>1659</v>
      </c>
      <c r="G28" s="16">
        <v>38018877</v>
      </c>
      <c r="H28" s="12">
        <v>46055</v>
      </c>
      <c r="I28" s="12">
        <v>46100</v>
      </c>
      <c r="J28" s="12">
        <v>46117</v>
      </c>
      <c r="K28" s="14">
        <v>45</v>
      </c>
      <c r="L28" s="34">
        <v>0</v>
      </c>
      <c r="M28" s="14">
        <v>0</v>
      </c>
      <c r="N28" s="5">
        <f>IF(AND(H28&lt;=D_F01!$B$7,OR(NOT(ISNUMBER(J28)),J28&gt;D_F01!$B$7)),1,0)</f>
        <v>0</v>
      </c>
      <c r="O28" s="9">
        <f t="shared" si="0"/>
        <v>0</v>
      </c>
      <c r="P28" s="5">
        <f>IF(N28=1,MAX(0,D_F01!$B$7-I28),0)</f>
        <v>0</v>
      </c>
      <c r="Q28" s="5">
        <f>IF(AND(ISNUMBER(J28),J28&lt;=D_F01!$B$7),J28-I28,0)</f>
        <v>17</v>
      </c>
      <c r="R28" s="5">
        <f t="shared" si="1"/>
        <v>17</v>
      </c>
      <c r="S28" s="5">
        <f>IF(AND(ISNUMBER(J28),J28&lt;=D_F01!$B$7,J28&gt;D_F01!$B$7-D_F01!$B$25),G28*R28,0)</f>
        <v>646320909</v>
      </c>
      <c r="T28" s="5">
        <f>IF(AND(ISNUMBER(J28),J28&lt;=D_F01!$B$7,J28&gt;D_F01!$B$7-D_F01!$B$25),G28,0)</f>
        <v>38018877</v>
      </c>
      <c r="U28" s="5">
        <f>IF(INDEX(D_F01!$C$51:$C$59,MATCH(C28,D_F01!$A$51:$A$59,0))="có",1,0)</f>
        <v>0</v>
      </c>
      <c r="V28">
        <f>IF(AND(N28=1,L28&gt;0,L28&lt;1,K28&gt;M28,H28+M28&gt;=D_F01!$B$7),1,0)</f>
        <v>0</v>
      </c>
      <c r="W28" s="29">
        <f t="shared" si="2"/>
        <v>0</v>
      </c>
      <c r="X28" s="30">
        <f t="shared" si="3"/>
        <v>0</v>
      </c>
    </row>
    <row r="29" spans="1:24" ht="25.95" customHeight="1">
      <c r="A29" s="11" t="s">
        <v>1687</v>
      </c>
      <c r="B29" s="11" t="s">
        <v>1312</v>
      </c>
      <c r="C29" s="11" t="s">
        <v>982</v>
      </c>
      <c r="D29" s="11" t="s">
        <v>983</v>
      </c>
      <c r="E29" s="11" t="s">
        <v>1688</v>
      </c>
      <c r="F29" s="11" t="s">
        <v>1637</v>
      </c>
      <c r="G29" s="15">
        <v>22299820</v>
      </c>
      <c r="H29" s="13">
        <v>46055</v>
      </c>
      <c r="I29" s="13">
        <v>46070</v>
      </c>
      <c r="J29" s="13">
        <v>46070</v>
      </c>
      <c r="K29" s="11">
        <v>15</v>
      </c>
      <c r="L29" s="17">
        <v>0</v>
      </c>
      <c r="M29" s="11">
        <v>0</v>
      </c>
      <c r="N29" s="3">
        <f>IF(AND(H29&lt;=D_F01!$B$7,OR(NOT(ISNUMBER(J29)),J29&gt;D_F01!$B$7)),1,0)</f>
        <v>0</v>
      </c>
      <c r="O29" s="8">
        <f t="shared" si="0"/>
        <v>0</v>
      </c>
      <c r="P29" s="3">
        <f>IF(N29=1,MAX(0,D_F01!$B$7-I29),0)</f>
        <v>0</v>
      </c>
      <c r="Q29" s="3">
        <f>IF(AND(ISNUMBER(J29),J29&lt;=D_F01!$B$7),J29-I29,0)</f>
        <v>0</v>
      </c>
      <c r="R29" s="3">
        <f t="shared" si="1"/>
        <v>0</v>
      </c>
      <c r="S29" s="3">
        <f>IF(AND(ISNUMBER(J29),J29&lt;=D_F01!$B$7,J29&gt;D_F01!$B$7-D_F01!$B$25),G29*R29,0)</f>
        <v>0</v>
      </c>
      <c r="T29" s="3">
        <f>IF(AND(ISNUMBER(J29),J29&lt;=D_F01!$B$7,J29&gt;D_F01!$B$7-D_F01!$B$25),G29,0)</f>
        <v>22299820</v>
      </c>
      <c r="U29" s="3">
        <f>IF(INDEX(D_F01!$C$51:$C$59,MATCH(C29,D_F01!$A$51:$A$59,0))="có",1,0)</f>
        <v>1</v>
      </c>
      <c r="V29">
        <f>IF(AND(N29=1,L29&gt;0,L29&lt;1,K29&gt;M29,H29+M29&gt;=D_F01!$B$7),1,0)</f>
        <v>0</v>
      </c>
      <c r="W29" s="29">
        <f t="shared" si="2"/>
        <v>0</v>
      </c>
      <c r="X29" s="30">
        <f t="shared" si="3"/>
        <v>0</v>
      </c>
    </row>
    <row r="30" spans="1:24" ht="25.95" customHeight="1">
      <c r="A30" s="14" t="s">
        <v>1689</v>
      </c>
      <c r="B30" s="14" t="s">
        <v>1312</v>
      </c>
      <c r="C30" s="14" t="s">
        <v>995</v>
      </c>
      <c r="D30" s="14" t="s">
        <v>996</v>
      </c>
      <c r="E30" s="14" t="s">
        <v>1690</v>
      </c>
      <c r="F30" s="14" t="s">
        <v>1634</v>
      </c>
      <c r="G30" s="16">
        <v>37046364</v>
      </c>
      <c r="H30" s="12">
        <v>46059</v>
      </c>
      <c r="I30" s="12">
        <v>46089</v>
      </c>
      <c r="J30" s="12">
        <v>46089</v>
      </c>
      <c r="K30" s="14">
        <v>30</v>
      </c>
      <c r="L30" s="34">
        <v>0.01</v>
      </c>
      <c r="M30" s="14">
        <v>7</v>
      </c>
      <c r="N30" s="5">
        <f>IF(AND(H30&lt;=D_F01!$B$7,OR(NOT(ISNUMBER(J30)),J30&gt;D_F01!$B$7)),1,0)</f>
        <v>0</v>
      </c>
      <c r="O30" s="9">
        <f t="shared" si="0"/>
        <v>0</v>
      </c>
      <c r="P30" s="5">
        <f>IF(N30=1,MAX(0,D_F01!$B$7-I30),0)</f>
        <v>0</v>
      </c>
      <c r="Q30" s="5">
        <f>IF(AND(ISNUMBER(J30),J30&lt;=D_F01!$B$7),J30-I30,0)</f>
        <v>0</v>
      </c>
      <c r="R30" s="5">
        <f t="shared" si="1"/>
        <v>0</v>
      </c>
      <c r="S30" s="5">
        <f>IF(AND(ISNUMBER(J30),J30&lt;=D_F01!$B$7,J30&gt;D_F01!$B$7-D_F01!$B$25),G30*R30,0)</f>
        <v>0</v>
      </c>
      <c r="T30" s="5">
        <f>IF(AND(ISNUMBER(J30),J30&lt;=D_F01!$B$7,J30&gt;D_F01!$B$7-D_F01!$B$25),G30,0)</f>
        <v>37046364</v>
      </c>
      <c r="U30" s="5">
        <f>IF(INDEX(D_F01!$C$51:$C$59,MATCH(C30,D_F01!$A$51:$A$59,0))="có",1,0)</f>
        <v>1</v>
      </c>
      <c r="V30">
        <f>IF(AND(N30=1,L30&gt;0,L30&lt;1,K30&gt;M30,H30+M30&gt;=D_F01!$B$7),1,0)</f>
        <v>0</v>
      </c>
      <c r="W30" s="29">
        <f t="shared" si="2"/>
        <v>0</v>
      </c>
      <c r="X30" s="30">
        <f t="shared" si="3"/>
        <v>0</v>
      </c>
    </row>
    <row r="31" spans="1:24" ht="25.95" customHeight="1">
      <c r="A31" s="11" t="s">
        <v>1691</v>
      </c>
      <c r="B31" s="11" t="s">
        <v>1312</v>
      </c>
      <c r="C31" s="11" t="s">
        <v>976</v>
      </c>
      <c r="D31" s="11" t="s">
        <v>977</v>
      </c>
      <c r="E31" s="11" t="s">
        <v>1692</v>
      </c>
      <c r="F31" s="11" t="s">
        <v>1645</v>
      </c>
      <c r="G31" s="15">
        <v>62080597</v>
      </c>
      <c r="H31" s="13">
        <v>46060</v>
      </c>
      <c r="I31" s="13">
        <v>46090</v>
      </c>
      <c r="J31" s="13">
        <v>46067</v>
      </c>
      <c r="K31" s="11">
        <v>30</v>
      </c>
      <c r="L31" s="17">
        <v>0.02</v>
      </c>
      <c r="M31" s="11">
        <v>10</v>
      </c>
      <c r="N31" s="3">
        <f>IF(AND(H31&lt;=D_F01!$B$7,OR(NOT(ISNUMBER(J31)),J31&gt;D_F01!$B$7)),1,0)</f>
        <v>0</v>
      </c>
      <c r="O31" s="8">
        <f t="shared" si="0"/>
        <v>0</v>
      </c>
      <c r="P31" s="3">
        <f>IF(N31=1,MAX(0,D_F01!$B$7-I31),0)</f>
        <v>0</v>
      </c>
      <c r="Q31" s="3">
        <f>IF(AND(ISNUMBER(J31),J31&lt;=D_F01!$B$7),J31-I31,0)</f>
        <v>-23</v>
      </c>
      <c r="R31" s="3">
        <f t="shared" si="1"/>
        <v>0</v>
      </c>
      <c r="S31" s="3">
        <f>IF(AND(ISNUMBER(J31),J31&lt;=D_F01!$B$7,J31&gt;D_F01!$B$7-D_F01!$B$25),G31*R31,0)</f>
        <v>0</v>
      </c>
      <c r="T31" s="3">
        <f>IF(AND(ISNUMBER(J31),J31&lt;=D_F01!$B$7,J31&gt;D_F01!$B$7-D_F01!$B$25),G31,0)</f>
        <v>62080597</v>
      </c>
      <c r="U31" s="3">
        <f>IF(INDEX(D_F01!$C$51:$C$59,MATCH(C31,D_F01!$A$51:$A$59,0))="có",1,0)</f>
        <v>1</v>
      </c>
      <c r="V31">
        <f>IF(AND(N31=1,L31&gt;0,L31&lt;1,K31&gt;M31,H31+M31&gt;=D_F01!$B$7),1,0)</f>
        <v>0</v>
      </c>
      <c r="W31" s="29">
        <f t="shared" si="2"/>
        <v>0</v>
      </c>
      <c r="X31" s="30">
        <f t="shared" si="3"/>
        <v>0</v>
      </c>
    </row>
    <row r="32" spans="1:24" ht="25.95" customHeight="1">
      <c r="A32" s="14" t="s">
        <v>1693</v>
      </c>
      <c r="B32" s="14" t="s">
        <v>1312</v>
      </c>
      <c r="C32" s="14" t="s">
        <v>979</v>
      </c>
      <c r="D32" s="14" t="s">
        <v>980</v>
      </c>
      <c r="E32" s="14" t="s">
        <v>1694</v>
      </c>
      <c r="F32" s="14" t="s">
        <v>1659</v>
      </c>
      <c r="G32" s="16">
        <v>24873997</v>
      </c>
      <c r="H32" s="12">
        <v>46061</v>
      </c>
      <c r="I32" s="12">
        <v>46106</v>
      </c>
      <c r="J32" s="12">
        <v>46128</v>
      </c>
      <c r="K32" s="14">
        <v>45</v>
      </c>
      <c r="L32" s="34">
        <v>0</v>
      </c>
      <c r="M32" s="14">
        <v>0</v>
      </c>
      <c r="N32" s="5">
        <f>IF(AND(H32&lt;=D_F01!$B$7,OR(NOT(ISNUMBER(J32)),J32&gt;D_F01!$B$7)),1,0)</f>
        <v>0</v>
      </c>
      <c r="O32" s="9">
        <f t="shared" si="0"/>
        <v>0</v>
      </c>
      <c r="P32" s="5">
        <f>IF(N32=1,MAX(0,D_F01!$B$7-I32),0)</f>
        <v>0</v>
      </c>
      <c r="Q32" s="5">
        <f>IF(AND(ISNUMBER(J32),J32&lt;=D_F01!$B$7),J32-I32,0)</f>
        <v>22</v>
      </c>
      <c r="R32" s="5">
        <f t="shared" si="1"/>
        <v>22</v>
      </c>
      <c r="S32" s="5">
        <f>IF(AND(ISNUMBER(J32),J32&lt;=D_F01!$B$7,J32&gt;D_F01!$B$7-D_F01!$B$25),G32*R32,0)</f>
        <v>547227934</v>
      </c>
      <c r="T32" s="5">
        <f>IF(AND(ISNUMBER(J32),J32&lt;=D_F01!$B$7,J32&gt;D_F01!$B$7-D_F01!$B$25),G32,0)</f>
        <v>24873997</v>
      </c>
      <c r="U32" s="5">
        <f>IF(INDEX(D_F01!$C$51:$C$59,MATCH(C32,D_F01!$A$51:$A$59,0))="có",1,0)</f>
        <v>0</v>
      </c>
      <c r="V32">
        <f>IF(AND(N32=1,L32&gt;0,L32&lt;1,K32&gt;M32,H32+M32&gt;=D_F01!$B$7),1,0)</f>
        <v>0</v>
      </c>
      <c r="W32" s="29">
        <f t="shared" si="2"/>
        <v>0</v>
      </c>
      <c r="X32" s="30">
        <f t="shared" si="3"/>
        <v>0</v>
      </c>
    </row>
    <row r="33" spans="1:24" ht="25.95" customHeight="1">
      <c r="A33" s="11" t="s">
        <v>1695</v>
      </c>
      <c r="B33" s="11" t="s">
        <v>1312</v>
      </c>
      <c r="C33" s="11" t="s">
        <v>982</v>
      </c>
      <c r="D33" s="11" t="s">
        <v>983</v>
      </c>
      <c r="E33" s="11" t="s">
        <v>1696</v>
      </c>
      <c r="F33" s="11" t="s">
        <v>1637</v>
      </c>
      <c r="G33" s="15">
        <v>20321499</v>
      </c>
      <c r="H33" s="13">
        <v>46062</v>
      </c>
      <c r="I33" s="13">
        <v>46077</v>
      </c>
      <c r="J33" s="13">
        <v>46078</v>
      </c>
      <c r="K33" s="11">
        <v>15</v>
      </c>
      <c r="L33" s="17">
        <v>0</v>
      </c>
      <c r="M33" s="11">
        <v>0</v>
      </c>
      <c r="N33" s="3">
        <f>IF(AND(H33&lt;=D_F01!$B$7,OR(NOT(ISNUMBER(J33)),J33&gt;D_F01!$B$7)),1,0)</f>
        <v>0</v>
      </c>
      <c r="O33" s="8">
        <f t="shared" si="0"/>
        <v>0</v>
      </c>
      <c r="P33" s="3">
        <f>IF(N33=1,MAX(0,D_F01!$B$7-I33),0)</f>
        <v>0</v>
      </c>
      <c r="Q33" s="3">
        <f>IF(AND(ISNUMBER(J33),J33&lt;=D_F01!$B$7),J33-I33,0)</f>
        <v>1</v>
      </c>
      <c r="R33" s="3">
        <f t="shared" si="1"/>
        <v>1</v>
      </c>
      <c r="S33" s="3">
        <f>IF(AND(ISNUMBER(J33),J33&lt;=D_F01!$B$7,J33&gt;D_F01!$B$7-D_F01!$B$25),G33*R33,0)</f>
        <v>20321499</v>
      </c>
      <c r="T33" s="3">
        <f>IF(AND(ISNUMBER(J33),J33&lt;=D_F01!$B$7,J33&gt;D_F01!$B$7-D_F01!$B$25),G33,0)</f>
        <v>20321499</v>
      </c>
      <c r="U33" s="3">
        <f>IF(INDEX(D_F01!$C$51:$C$59,MATCH(C33,D_F01!$A$51:$A$59,0))="có",1,0)</f>
        <v>1</v>
      </c>
      <c r="V33">
        <f>IF(AND(N33=1,L33&gt;0,L33&lt;1,K33&gt;M33,H33+M33&gt;=D_F01!$B$7),1,0)</f>
        <v>0</v>
      </c>
      <c r="W33" s="29">
        <f t="shared" si="2"/>
        <v>0</v>
      </c>
      <c r="X33" s="30">
        <f t="shared" si="3"/>
        <v>0</v>
      </c>
    </row>
    <row r="34" spans="1:24" ht="25.95" customHeight="1">
      <c r="A34" s="14" t="s">
        <v>1697</v>
      </c>
      <c r="B34" s="14" t="s">
        <v>1312</v>
      </c>
      <c r="C34" s="14" t="s">
        <v>984</v>
      </c>
      <c r="D34" s="14" t="s">
        <v>985</v>
      </c>
      <c r="E34" s="14" t="s">
        <v>1698</v>
      </c>
      <c r="F34" s="14" t="s">
        <v>1648</v>
      </c>
      <c r="G34" s="16">
        <v>11718019</v>
      </c>
      <c r="H34" s="12">
        <v>46062</v>
      </c>
      <c r="I34" s="12">
        <v>46077</v>
      </c>
      <c r="J34" s="12">
        <v>46079</v>
      </c>
      <c r="K34" s="14">
        <v>15</v>
      </c>
      <c r="L34" s="34">
        <v>0</v>
      </c>
      <c r="M34" s="14">
        <v>0</v>
      </c>
      <c r="N34" s="5">
        <f>IF(AND(H34&lt;=D_F01!$B$7,OR(NOT(ISNUMBER(J34)),J34&gt;D_F01!$B$7)),1,0)</f>
        <v>0</v>
      </c>
      <c r="O34" s="9">
        <f t="shared" si="0"/>
        <v>0</v>
      </c>
      <c r="P34" s="5">
        <f>IF(N34=1,MAX(0,D_F01!$B$7-I34),0)</f>
        <v>0</v>
      </c>
      <c r="Q34" s="5">
        <f>IF(AND(ISNUMBER(J34),J34&lt;=D_F01!$B$7),J34-I34,0)</f>
        <v>2</v>
      </c>
      <c r="R34" s="5">
        <f t="shared" si="1"/>
        <v>2</v>
      </c>
      <c r="S34" s="5">
        <f>IF(AND(ISNUMBER(J34),J34&lt;=D_F01!$B$7,J34&gt;D_F01!$B$7-D_F01!$B$25),G34*R34,0)</f>
        <v>23436038</v>
      </c>
      <c r="T34" s="5">
        <f>IF(AND(ISNUMBER(J34),J34&lt;=D_F01!$B$7,J34&gt;D_F01!$B$7-D_F01!$B$25),G34,0)</f>
        <v>11718019</v>
      </c>
      <c r="U34" s="5">
        <f>IF(INDEX(D_F01!$C$51:$C$59,MATCH(C34,D_F01!$A$51:$A$59,0))="có",1,0)</f>
        <v>0</v>
      </c>
      <c r="V34">
        <f>IF(AND(N34=1,L34&gt;0,L34&lt;1,K34&gt;M34,H34+M34&gt;=D_F01!$B$7),1,0)</f>
        <v>0</v>
      </c>
      <c r="W34" s="29">
        <f t="shared" si="2"/>
        <v>0</v>
      </c>
      <c r="X34" s="30">
        <f t="shared" si="3"/>
        <v>0</v>
      </c>
    </row>
    <row r="35" spans="1:24" ht="25.95" customHeight="1">
      <c r="A35" s="11" t="s">
        <v>1699</v>
      </c>
      <c r="B35" s="11" t="s">
        <v>1312</v>
      </c>
      <c r="C35" s="11" t="s">
        <v>982</v>
      </c>
      <c r="D35" s="11" t="s">
        <v>983</v>
      </c>
      <c r="E35" s="11" t="s">
        <v>1700</v>
      </c>
      <c r="F35" s="11" t="s">
        <v>1637</v>
      </c>
      <c r="G35" s="15">
        <v>40396748</v>
      </c>
      <c r="H35" s="13">
        <v>46063</v>
      </c>
      <c r="I35" s="13">
        <v>46078</v>
      </c>
      <c r="J35" s="13">
        <v>46082</v>
      </c>
      <c r="K35" s="11">
        <v>15</v>
      </c>
      <c r="L35" s="17">
        <v>0</v>
      </c>
      <c r="M35" s="11">
        <v>0</v>
      </c>
      <c r="N35" s="3">
        <f>IF(AND(H35&lt;=D_F01!$B$7,OR(NOT(ISNUMBER(J35)),J35&gt;D_F01!$B$7)),1,0)</f>
        <v>0</v>
      </c>
      <c r="O35" s="8">
        <f t="shared" si="0"/>
        <v>0</v>
      </c>
      <c r="P35" s="3">
        <f>IF(N35=1,MAX(0,D_F01!$B$7-I35),0)</f>
        <v>0</v>
      </c>
      <c r="Q35" s="3">
        <f>IF(AND(ISNUMBER(J35),J35&lt;=D_F01!$B$7),J35-I35,0)</f>
        <v>4</v>
      </c>
      <c r="R35" s="3">
        <f t="shared" si="1"/>
        <v>4</v>
      </c>
      <c r="S35" s="3">
        <f>IF(AND(ISNUMBER(J35),J35&lt;=D_F01!$B$7,J35&gt;D_F01!$B$7-D_F01!$B$25),G35*R35,0)</f>
        <v>161586992</v>
      </c>
      <c r="T35" s="3">
        <f>IF(AND(ISNUMBER(J35),J35&lt;=D_F01!$B$7,J35&gt;D_F01!$B$7-D_F01!$B$25),G35,0)</f>
        <v>40396748</v>
      </c>
      <c r="U35" s="3">
        <f>IF(INDEX(D_F01!$C$51:$C$59,MATCH(C35,D_F01!$A$51:$A$59,0))="có",1,0)</f>
        <v>1</v>
      </c>
      <c r="V35">
        <f>IF(AND(N35=1,L35&gt;0,L35&lt;1,K35&gt;M35,H35+M35&gt;=D_F01!$B$7),1,0)</f>
        <v>0</v>
      </c>
      <c r="W35" s="29">
        <f t="shared" si="2"/>
        <v>0</v>
      </c>
      <c r="X35" s="30">
        <f t="shared" si="3"/>
        <v>0</v>
      </c>
    </row>
    <row r="36" spans="1:24" ht="25.95" customHeight="1">
      <c r="A36" s="14" t="s">
        <v>1701</v>
      </c>
      <c r="B36" s="14" t="s">
        <v>1312</v>
      </c>
      <c r="C36" s="14" t="s">
        <v>976</v>
      </c>
      <c r="D36" s="14" t="s">
        <v>977</v>
      </c>
      <c r="E36" s="14" t="s">
        <v>1702</v>
      </c>
      <c r="F36" s="14" t="s">
        <v>1645</v>
      </c>
      <c r="G36" s="16">
        <v>68530259</v>
      </c>
      <c r="H36" s="12">
        <v>46065</v>
      </c>
      <c r="I36" s="12">
        <v>46095</v>
      </c>
      <c r="J36" s="12">
        <v>46095</v>
      </c>
      <c r="K36" s="14">
        <v>30</v>
      </c>
      <c r="L36" s="34">
        <v>0.02</v>
      </c>
      <c r="M36" s="14">
        <v>10</v>
      </c>
      <c r="N36" s="5">
        <f>IF(AND(H36&lt;=D_F01!$B$7,OR(NOT(ISNUMBER(J36)),J36&gt;D_F01!$B$7)),1,0)</f>
        <v>0</v>
      </c>
      <c r="O36" s="9">
        <f t="shared" si="0"/>
        <v>0</v>
      </c>
      <c r="P36" s="5">
        <f>IF(N36=1,MAX(0,D_F01!$B$7-I36),0)</f>
        <v>0</v>
      </c>
      <c r="Q36" s="5">
        <f>IF(AND(ISNUMBER(J36),J36&lt;=D_F01!$B$7),J36-I36,0)</f>
        <v>0</v>
      </c>
      <c r="R36" s="5">
        <f t="shared" si="1"/>
        <v>0</v>
      </c>
      <c r="S36" s="5">
        <f>IF(AND(ISNUMBER(J36),J36&lt;=D_F01!$B$7,J36&gt;D_F01!$B$7-D_F01!$B$25),G36*R36,0)</f>
        <v>0</v>
      </c>
      <c r="T36" s="5">
        <f>IF(AND(ISNUMBER(J36),J36&lt;=D_F01!$B$7,J36&gt;D_F01!$B$7-D_F01!$B$25),G36,0)</f>
        <v>68530259</v>
      </c>
      <c r="U36" s="5">
        <f>IF(INDEX(D_F01!$C$51:$C$59,MATCH(C36,D_F01!$A$51:$A$59,0))="có",1,0)</f>
        <v>1</v>
      </c>
      <c r="V36">
        <f>IF(AND(N36=1,L36&gt;0,L36&lt;1,K36&gt;M36,H36+M36&gt;=D_F01!$B$7),1,0)</f>
        <v>0</v>
      </c>
      <c r="W36" s="29">
        <f t="shared" si="2"/>
        <v>0</v>
      </c>
      <c r="X36" s="30">
        <f t="shared" si="3"/>
        <v>0</v>
      </c>
    </row>
    <row r="37" spans="1:24" ht="25.95" customHeight="1">
      <c r="A37" s="11" t="s">
        <v>1703</v>
      </c>
      <c r="B37" s="11" t="s">
        <v>1312</v>
      </c>
      <c r="C37" s="11" t="s">
        <v>979</v>
      </c>
      <c r="D37" s="11" t="s">
        <v>980</v>
      </c>
      <c r="E37" s="11" t="s">
        <v>1704</v>
      </c>
      <c r="F37" s="11" t="s">
        <v>1659</v>
      </c>
      <c r="G37" s="15">
        <v>41529496</v>
      </c>
      <c r="H37" s="13">
        <v>46069</v>
      </c>
      <c r="I37" s="13">
        <v>46114</v>
      </c>
      <c r="J37" s="13">
        <v>46125</v>
      </c>
      <c r="K37" s="11">
        <v>45</v>
      </c>
      <c r="L37" s="17">
        <v>0</v>
      </c>
      <c r="M37" s="11">
        <v>0</v>
      </c>
      <c r="N37" s="3">
        <f>IF(AND(H37&lt;=D_F01!$B$7,OR(NOT(ISNUMBER(J37)),J37&gt;D_F01!$B$7)),1,0)</f>
        <v>0</v>
      </c>
      <c r="O37" s="8">
        <f t="shared" ref="O37:O68" si="4">G37*N37</f>
        <v>0</v>
      </c>
      <c r="P37" s="3">
        <f>IF(N37=1,MAX(0,D_F01!$B$7-I37),0)</f>
        <v>0</v>
      </c>
      <c r="Q37" s="3">
        <f>IF(AND(ISNUMBER(J37),J37&lt;=D_F01!$B$7),J37-I37,0)</f>
        <v>11</v>
      </c>
      <c r="R37" s="3">
        <f t="shared" ref="R37:R68" si="5">MAX(0,Q37)</f>
        <v>11</v>
      </c>
      <c r="S37" s="3">
        <f>IF(AND(ISNUMBER(J37),J37&lt;=D_F01!$B$7,J37&gt;D_F01!$B$7-D_F01!$B$25),G37*R37,0)</f>
        <v>456824456</v>
      </c>
      <c r="T37" s="3">
        <f>IF(AND(ISNUMBER(J37),J37&lt;=D_F01!$B$7,J37&gt;D_F01!$B$7-D_F01!$B$25),G37,0)</f>
        <v>41529496</v>
      </c>
      <c r="U37" s="3">
        <f>IF(INDEX(D_F01!$C$51:$C$59,MATCH(C37,D_F01!$A$51:$A$59,0))="có",1,0)</f>
        <v>0</v>
      </c>
      <c r="V37">
        <f>IF(AND(N37=1,L37&gt;0,L37&lt;1,K37&gt;M37,H37+M37&gt;=D_F01!$B$7),1,0)</f>
        <v>0</v>
      </c>
      <c r="W37" s="29">
        <f t="shared" ref="W37:W68" si="6">IF(V37=1,O37*L37,0)</f>
        <v>0</v>
      </c>
      <c r="X37" s="30">
        <f t="shared" ref="X37:X68" si="7">IF(V37=1,L37/(1-L37)*365/(K37-M37),0)</f>
        <v>0</v>
      </c>
    </row>
    <row r="38" spans="1:24" ht="25.95" customHeight="1">
      <c r="A38" s="14" t="s">
        <v>1705</v>
      </c>
      <c r="B38" s="14" t="s">
        <v>1312</v>
      </c>
      <c r="C38" s="14" t="s">
        <v>976</v>
      </c>
      <c r="D38" s="14" t="s">
        <v>977</v>
      </c>
      <c r="E38" s="14" t="s">
        <v>1706</v>
      </c>
      <c r="F38" s="14" t="s">
        <v>1645</v>
      </c>
      <c r="G38" s="16">
        <v>232555468</v>
      </c>
      <c r="H38" s="12">
        <v>46075</v>
      </c>
      <c r="I38" s="12">
        <v>46105</v>
      </c>
      <c r="J38" s="12">
        <v>46108</v>
      </c>
      <c r="K38" s="14">
        <v>30</v>
      </c>
      <c r="L38" s="34">
        <v>0.02</v>
      </c>
      <c r="M38" s="14">
        <v>10</v>
      </c>
      <c r="N38" s="5">
        <f>IF(AND(H38&lt;=D_F01!$B$7,OR(NOT(ISNUMBER(J38)),J38&gt;D_F01!$B$7)),1,0)</f>
        <v>0</v>
      </c>
      <c r="O38" s="9">
        <f t="shared" si="4"/>
        <v>0</v>
      </c>
      <c r="P38" s="5">
        <f>IF(N38=1,MAX(0,D_F01!$B$7-I38),0)</f>
        <v>0</v>
      </c>
      <c r="Q38" s="5">
        <f>IF(AND(ISNUMBER(J38),J38&lt;=D_F01!$B$7),J38-I38,0)</f>
        <v>3</v>
      </c>
      <c r="R38" s="5">
        <f t="shared" si="5"/>
        <v>3</v>
      </c>
      <c r="S38" s="5">
        <f>IF(AND(ISNUMBER(J38),J38&lt;=D_F01!$B$7,J38&gt;D_F01!$B$7-D_F01!$B$25),G38*R38,0)</f>
        <v>697666404</v>
      </c>
      <c r="T38" s="5">
        <f>IF(AND(ISNUMBER(J38),J38&lt;=D_F01!$B$7,J38&gt;D_F01!$B$7-D_F01!$B$25),G38,0)</f>
        <v>232555468</v>
      </c>
      <c r="U38" s="5">
        <f>IF(INDEX(D_F01!$C$51:$C$59,MATCH(C38,D_F01!$A$51:$A$59,0))="có",1,0)</f>
        <v>1</v>
      </c>
      <c r="V38">
        <f>IF(AND(N38=1,L38&gt;0,L38&lt;1,K38&gt;M38,H38+M38&gt;=D_F01!$B$7),1,0)</f>
        <v>0</v>
      </c>
      <c r="W38" s="29">
        <f t="shared" si="6"/>
        <v>0</v>
      </c>
      <c r="X38" s="30">
        <f t="shared" si="7"/>
        <v>0</v>
      </c>
    </row>
    <row r="39" spans="1:24" ht="25.95" customHeight="1">
      <c r="A39" s="11" t="s">
        <v>1707</v>
      </c>
      <c r="B39" s="11" t="s">
        <v>1312</v>
      </c>
      <c r="C39" s="11" t="s">
        <v>984</v>
      </c>
      <c r="D39" s="11" t="s">
        <v>985</v>
      </c>
      <c r="E39" s="11" t="s">
        <v>1708</v>
      </c>
      <c r="F39" s="11" t="s">
        <v>1648</v>
      </c>
      <c r="G39" s="15">
        <v>19844260</v>
      </c>
      <c r="H39" s="13">
        <v>46076</v>
      </c>
      <c r="I39" s="13">
        <v>46091</v>
      </c>
      <c r="J39" s="13">
        <v>46091</v>
      </c>
      <c r="K39" s="11">
        <v>15</v>
      </c>
      <c r="L39" s="17">
        <v>0</v>
      </c>
      <c r="M39" s="11">
        <v>0</v>
      </c>
      <c r="N39" s="3">
        <f>IF(AND(H39&lt;=D_F01!$B$7,OR(NOT(ISNUMBER(J39)),J39&gt;D_F01!$B$7)),1,0)</f>
        <v>0</v>
      </c>
      <c r="O39" s="8">
        <f t="shared" si="4"/>
        <v>0</v>
      </c>
      <c r="P39" s="3">
        <f>IF(N39=1,MAX(0,D_F01!$B$7-I39),0)</f>
        <v>0</v>
      </c>
      <c r="Q39" s="3">
        <f>IF(AND(ISNUMBER(J39),J39&lt;=D_F01!$B$7),J39-I39,0)</f>
        <v>0</v>
      </c>
      <c r="R39" s="3">
        <f t="shared" si="5"/>
        <v>0</v>
      </c>
      <c r="S39" s="3">
        <f>IF(AND(ISNUMBER(J39),J39&lt;=D_F01!$B$7,J39&gt;D_F01!$B$7-D_F01!$B$25),G39*R39,0)</f>
        <v>0</v>
      </c>
      <c r="T39" s="3">
        <f>IF(AND(ISNUMBER(J39),J39&lt;=D_F01!$B$7,J39&gt;D_F01!$B$7-D_F01!$B$25),G39,0)</f>
        <v>19844260</v>
      </c>
      <c r="U39" s="3">
        <f>IF(INDEX(D_F01!$C$51:$C$59,MATCH(C39,D_F01!$A$51:$A$59,0))="có",1,0)</f>
        <v>0</v>
      </c>
      <c r="V39">
        <f>IF(AND(N39=1,L39&gt;0,L39&lt;1,K39&gt;M39,H39+M39&gt;=D_F01!$B$7),1,0)</f>
        <v>0</v>
      </c>
      <c r="W39" s="29">
        <f t="shared" si="6"/>
        <v>0</v>
      </c>
      <c r="X39" s="30">
        <f t="shared" si="7"/>
        <v>0</v>
      </c>
    </row>
    <row r="40" spans="1:24" ht="25.95" customHeight="1">
      <c r="A40" s="14" t="s">
        <v>1709</v>
      </c>
      <c r="B40" s="14" t="s">
        <v>1312</v>
      </c>
      <c r="C40" s="14" t="s">
        <v>988</v>
      </c>
      <c r="D40" s="14" t="s">
        <v>989</v>
      </c>
      <c r="E40" s="14" t="s">
        <v>1710</v>
      </c>
      <c r="F40" s="14" t="s">
        <v>1640</v>
      </c>
      <c r="G40" s="16">
        <v>73797228</v>
      </c>
      <c r="H40" s="12">
        <v>46076</v>
      </c>
      <c r="I40" s="12">
        <v>46091</v>
      </c>
      <c r="J40" s="12">
        <v>46091</v>
      </c>
      <c r="K40" s="14">
        <v>15</v>
      </c>
      <c r="L40" s="34">
        <v>0</v>
      </c>
      <c r="M40" s="14">
        <v>0</v>
      </c>
      <c r="N40" s="5">
        <f>IF(AND(H40&lt;=D_F01!$B$7,OR(NOT(ISNUMBER(J40)),J40&gt;D_F01!$B$7)),1,0)</f>
        <v>0</v>
      </c>
      <c r="O40" s="9">
        <f t="shared" si="4"/>
        <v>0</v>
      </c>
      <c r="P40" s="5">
        <f>IF(N40=1,MAX(0,D_F01!$B$7-I40),0)</f>
        <v>0</v>
      </c>
      <c r="Q40" s="5">
        <f>IF(AND(ISNUMBER(J40),J40&lt;=D_F01!$B$7),J40-I40,0)</f>
        <v>0</v>
      </c>
      <c r="R40" s="5">
        <f t="shared" si="5"/>
        <v>0</v>
      </c>
      <c r="S40" s="5">
        <f>IF(AND(ISNUMBER(J40),J40&lt;=D_F01!$B$7,J40&gt;D_F01!$B$7-D_F01!$B$25),G40*R40,0)</f>
        <v>0</v>
      </c>
      <c r="T40" s="5">
        <f>IF(AND(ISNUMBER(J40),J40&lt;=D_F01!$B$7,J40&gt;D_F01!$B$7-D_F01!$B$25),G40,0)</f>
        <v>73797228</v>
      </c>
      <c r="U40" s="5">
        <f>IF(INDEX(D_F01!$C$51:$C$59,MATCH(C40,D_F01!$A$51:$A$59,0))="có",1,0)</f>
        <v>1</v>
      </c>
      <c r="V40">
        <f>IF(AND(N40=1,L40&gt;0,L40&lt;1,K40&gt;M40,H40+M40&gt;=D_F01!$B$7),1,0)</f>
        <v>0</v>
      </c>
      <c r="W40" s="29">
        <f t="shared" si="6"/>
        <v>0</v>
      </c>
      <c r="X40" s="30">
        <f t="shared" si="7"/>
        <v>0</v>
      </c>
    </row>
    <row r="41" spans="1:24" ht="25.95" customHeight="1">
      <c r="A41" s="11" t="s">
        <v>1711</v>
      </c>
      <c r="B41" s="11" t="s">
        <v>1312</v>
      </c>
      <c r="C41" s="11" t="s">
        <v>984</v>
      </c>
      <c r="D41" s="11" t="s">
        <v>985</v>
      </c>
      <c r="E41" s="11" t="s">
        <v>1712</v>
      </c>
      <c r="F41" s="11" t="s">
        <v>1648</v>
      </c>
      <c r="G41" s="15">
        <v>17121639</v>
      </c>
      <c r="H41" s="13">
        <v>46078</v>
      </c>
      <c r="I41" s="13">
        <v>46093</v>
      </c>
      <c r="J41" s="13">
        <v>46094</v>
      </c>
      <c r="K41" s="11">
        <v>15</v>
      </c>
      <c r="L41" s="17">
        <v>0</v>
      </c>
      <c r="M41" s="11">
        <v>0</v>
      </c>
      <c r="N41" s="3">
        <f>IF(AND(H41&lt;=D_F01!$B$7,OR(NOT(ISNUMBER(J41)),J41&gt;D_F01!$B$7)),1,0)</f>
        <v>0</v>
      </c>
      <c r="O41" s="8">
        <f t="shared" si="4"/>
        <v>0</v>
      </c>
      <c r="P41" s="3">
        <f>IF(N41=1,MAX(0,D_F01!$B$7-I41),0)</f>
        <v>0</v>
      </c>
      <c r="Q41" s="3">
        <f>IF(AND(ISNUMBER(J41),J41&lt;=D_F01!$B$7),J41-I41,0)</f>
        <v>1</v>
      </c>
      <c r="R41" s="3">
        <f t="shared" si="5"/>
        <v>1</v>
      </c>
      <c r="S41" s="3">
        <f>IF(AND(ISNUMBER(J41),J41&lt;=D_F01!$B$7,J41&gt;D_F01!$B$7-D_F01!$B$25),G41*R41,0)</f>
        <v>17121639</v>
      </c>
      <c r="T41" s="3">
        <f>IF(AND(ISNUMBER(J41),J41&lt;=D_F01!$B$7,J41&gt;D_F01!$B$7-D_F01!$B$25),G41,0)</f>
        <v>17121639</v>
      </c>
      <c r="U41" s="3">
        <f>IF(INDEX(D_F01!$C$51:$C$59,MATCH(C41,D_F01!$A$51:$A$59,0))="có",1,0)</f>
        <v>0</v>
      </c>
      <c r="V41">
        <f>IF(AND(N41=1,L41&gt;0,L41&lt;1,K41&gt;M41,H41+M41&gt;=D_F01!$B$7),1,0)</f>
        <v>0</v>
      </c>
      <c r="W41" s="29">
        <f t="shared" si="6"/>
        <v>0</v>
      </c>
      <c r="X41" s="30">
        <f t="shared" si="7"/>
        <v>0</v>
      </c>
    </row>
    <row r="42" spans="1:24" ht="25.95" customHeight="1">
      <c r="A42" s="14" t="s">
        <v>1713</v>
      </c>
      <c r="B42" s="14" t="s">
        <v>1312</v>
      </c>
      <c r="C42" s="14" t="s">
        <v>982</v>
      </c>
      <c r="D42" s="14" t="s">
        <v>983</v>
      </c>
      <c r="E42" s="14" t="s">
        <v>1714</v>
      </c>
      <c r="F42" s="14" t="s">
        <v>1637</v>
      </c>
      <c r="G42" s="16">
        <v>31191863</v>
      </c>
      <c r="H42" s="12">
        <v>46079</v>
      </c>
      <c r="I42" s="12">
        <v>46094</v>
      </c>
      <c r="J42" s="12">
        <v>46098</v>
      </c>
      <c r="K42" s="14">
        <v>15</v>
      </c>
      <c r="L42" s="34">
        <v>0</v>
      </c>
      <c r="M42" s="14">
        <v>0</v>
      </c>
      <c r="N42" s="5">
        <f>IF(AND(H42&lt;=D_F01!$B$7,OR(NOT(ISNUMBER(J42)),J42&gt;D_F01!$B$7)),1,0)</f>
        <v>0</v>
      </c>
      <c r="O42" s="9">
        <f t="shared" si="4"/>
        <v>0</v>
      </c>
      <c r="P42" s="5">
        <f>IF(N42=1,MAX(0,D_F01!$B$7-I42),0)</f>
        <v>0</v>
      </c>
      <c r="Q42" s="5">
        <f>IF(AND(ISNUMBER(J42),J42&lt;=D_F01!$B$7),J42-I42,0)</f>
        <v>4</v>
      </c>
      <c r="R42" s="5">
        <f t="shared" si="5"/>
        <v>4</v>
      </c>
      <c r="S42" s="5">
        <f>IF(AND(ISNUMBER(J42),J42&lt;=D_F01!$B$7,J42&gt;D_F01!$B$7-D_F01!$B$25),G42*R42,0)</f>
        <v>124767452</v>
      </c>
      <c r="T42" s="5">
        <f>IF(AND(ISNUMBER(J42),J42&lt;=D_F01!$B$7,J42&gt;D_F01!$B$7-D_F01!$B$25),G42,0)</f>
        <v>31191863</v>
      </c>
      <c r="U42" s="5">
        <f>IF(INDEX(D_F01!$C$51:$C$59,MATCH(C42,D_F01!$A$51:$A$59,0))="có",1,0)</f>
        <v>1</v>
      </c>
      <c r="V42">
        <f>IF(AND(N42=1,L42&gt;0,L42&lt;1,K42&gt;M42,H42+M42&gt;=D_F01!$B$7),1,0)</f>
        <v>0</v>
      </c>
      <c r="W42" s="29">
        <f t="shared" si="6"/>
        <v>0</v>
      </c>
      <c r="X42" s="30">
        <f t="shared" si="7"/>
        <v>0</v>
      </c>
    </row>
    <row r="43" spans="1:24" ht="25.95" customHeight="1">
      <c r="A43" s="11" t="s">
        <v>1715</v>
      </c>
      <c r="B43" s="11" t="s">
        <v>1312</v>
      </c>
      <c r="C43" s="11" t="s">
        <v>984</v>
      </c>
      <c r="D43" s="11" t="s">
        <v>985</v>
      </c>
      <c r="E43" s="11" t="s">
        <v>1716</v>
      </c>
      <c r="F43" s="11" t="s">
        <v>1648</v>
      </c>
      <c r="G43" s="15">
        <v>16546594</v>
      </c>
      <c r="H43" s="13">
        <v>46083</v>
      </c>
      <c r="I43" s="13">
        <v>46098</v>
      </c>
      <c r="J43" s="13">
        <v>46098</v>
      </c>
      <c r="K43" s="11">
        <v>15</v>
      </c>
      <c r="L43" s="17">
        <v>0</v>
      </c>
      <c r="M43" s="11">
        <v>0</v>
      </c>
      <c r="N43" s="3">
        <f>IF(AND(H43&lt;=D_F01!$B$7,OR(NOT(ISNUMBER(J43)),J43&gt;D_F01!$B$7)),1,0)</f>
        <v>0</v>
      </c>
      <c r="O43" s="8">
        <f t="shared" si="4"/>
        <v>0</v>
      </c>
      <c r="P43" s="3">
        <f>IF(N43=1,MAX(0,D_F01!$B$7-I43),0)</f>
        <v>0</v>
      </c>
      <c r="Q43" s="3">
        <f>IF(AND(ISNUMBER(J43),J43&lt;=D_F01!$B$7),J43-I43,0)</f>
        <v>0</v>
      </c>
      <c r="R43" s="3">
        <f t="shared" si="5"/>
        <v>0</v>
      </c>
      <c r="S43" s="3">
        <f>IF(AND(ISNUMBER(J43),J43&lt;=D_F01!$B$7,J43&gt;D_F01!$B$7-D_F01!$B$25),G43*R43,0)</f>
        <v>0</v>
      </c>
      <c r="T43" s="3">
        <f>IF(AND(ISNUMBER(J43),J43&lt;=D_F01!$B$7,J43&gt;D_F01!$B$7-D_F01!$B$25),G43,0)</f>
        <v>16546594</v>
      </c>
      <c r="U43" s="3">
        <f>IF(INDEX(D_F01!$C$51:$C$59,MATCH(C43,D_F01!$A$51:$A$59,0))="có",1,0)</f>
        <v>0</v>
      </c>
      <c r="V43">
        <f>IF(AND(N43=1,L43&gt;0,L43&lt;1,K43&gt;M43,H43+M43&gt;=D_F01!$B$7),1,0)</f>
        <v>0</v>
      </c>
      <c r="W43" s="29">
        <f t="shared" si="6"/>
        <v>0</v>
      </c>
      <c r="X43" s="30">
        <f t="shared" si="7"/>
        <v>0</v>
      </c>
    </row>
    <row r="44" spans="1:24" ht="25.95" customHeight="1">
      <c r="A44" s="14" t="s">
        <v>1717</v>
      </c>
      <c r="B44" s="14" t="s">
        <v>1312</v>
      </c>
      <c r="C44" s="14" t="s">
        <v>986</v>
      </c>
      <c r="D44" s="14" t="s">
        <v>987</v>
      </c>
      <c r="E44" s="14" t="s">
        <v>1718</v>
      </c>
      <c r="F44" s="14" t="s">
        <v>1719</v>
      </c>
      <c r="G44" s="16">
        <v>69650521</v>
      </c>
      <c r="H44" s="12">
        <v>46083</v>
      </c>
      <c r="I44" s="12">
        <v>46113</v>
      </c>
      <c r="J44" s="12">
        <v>46113</v>
      </c>
      <c r="K44" s="14">
        <v>30</v>
      </c>
      <c r="L44" s="34">
        <v>0</v>
      </c>
      <c r="M44" s="14">
        <v>0</v>
      </c>
      <c r="N44" s="5">
        <f>IF(AND(H44&lt;=D_F01!$B$7,OR(NOT(ISNUMBER(J44)),J44&gt;D_F01!$B$7)),1,0)</f>
        <v>0</v>
      </c>
      <c r="O44" s="9">
        <f t="shared" si="4"/>
        <v>0</v>
      </c>
      <c r="P44" s="5">
        <f>IF(N44=1,MAX(0,D_F01!$B$7-I44),0)</f>
        <v>0</v>
      </c>
      <c r="Q44" s="5">
        <f>IF(AND(ISNUMBER(J44),J44&lt;=D_F01!$B$7),J44-I44,0)</f>
        <v>0</v>
      </c>
      <c r="R44" s="5">
        <f t="shared" si="5"/>
        <v>0</v>
      </c>
      <c r="S44" s="5">
        <f>IF(AND(ISNUMBER(J44),J44&lt;=D_F01!$B$7,J44&gt;D_F01!$B$7-D_F01!$B$25),G44*R44,0)</f>
        <v>0</v>
      </c>
      <c r="T44" s="5">
        <f>IF(AND(ISNUMBER(J44),J44&lt;=D_F01!$B$7,J44&gt;D_F01!$B$7-D_F01!$B$25),G44,0)</f>
        <v>69650521</v>
      </c>
      <c r="U44" s="5">
        <f>IF(INDEX(D_F01!$C$51:$C$59,MATCH(C44,D_F01!$A$51:$A$59,0))="có",1,0)</f>
        <v>0</v>
      </c>
      <c r="V44">
        <f>IF(AND(N44=1,L44&gt;0,L44&lt;1,K44&gt;M44,H44+M44&gt;=D_F01!$B$7),1,0)</f>
        <v>0</v>
      </c>
      <c r="W44" s="29">
        <f t="shared" si="6"/>
        <v>0</v>
      </c>
      <c r="X44" s="30">
        <f t="shared" si="7"/>
        <v>0</v>
      </c>
    </row>
    <row r="45" spans="1:24" ht="25.95" customHeight="1">
      <c r="A45" s="11" t="s">
        <v>1720</v>
      </c>
      <c r="B45" s="11" t="s">
        <v>1312</v>
      </c>
      <c r="C45" s="11" t="s">
        <v>979</v>
      </c>
      <c r="D45" s="11" t="s">
        <v>980</v>
      </c>
      <c r="E45" s="11" t="s">
        <v>1721</v>
      </c>
      <c r="F45" s="11" t="s">
        <v>1659</v>
      </c>
      <c r="G45" s="15">
        <v>44344373</v>
      </c>
      <c r="H45" s="13">
        <v>46084</v>
      </c>
      <c r="I45" s="13">
        <v>46129</v>
      </c>
      <c r="J45" s="13">
        <v>46141</v>
      </c>
      <c r="K45" s="11">
        <v>45</v>
      </c>
      <c r="L45" s="17">
        <v>0</v>
      </c>
      <c r="M45" s="11">
        <v>0</v>
      </c>
      <c r="N45" s="3">
        <f>IF(AND(H45&lt;=D_F01!$B$7,OR(NOT(ISNUMBER(J45)),J45&gt;D_F01!$B$7)),1,0)</f>
        <v>0</v>
      </c>
      <c r="O45" s="8">
        <f t="shared" si="4"/>
        <v>0</v>
      </c>
      <c r="P45" s="3">
        <f>IF(N45=1,MAX(0,D_F01!$B$7-I45),0)</f>
        <v>0</v>
      </c>
      <c r="Q45" s="3">
        <f>IF(AND(ISNUMBER(J45),J45&lt;=D_F01!$B$7),J45-I45,0)</f>
        <v>12</v>
      </c>
      <c r="R45" s="3">
        <f t="shared" si="5"/>
        <v>12</v>
      </c>
      <c r="S45" s="3">
        <f>IF(AND(ISNUMBER(J45),J45&lt;=D_F01!$B$7,J45&gt;D_F01!$B$7-D_F01!$B$25),G45*R45,0)</f>
        <v>532132476</v>
      </c>
      <c r="T45" s="3">
        <f>IF(AND(ISNUMBER(J45),J45&lt;=D_F01!$B$7,J45&gt;D_F01!$B$7-D_F01!$B$25),G45,0)</f>
        <v>44344373</v>
      </c>
      <c r="U45" s="3">
        <f>IF(INDEX(D_F01!$C$51:$C$59,MATCH(C45,D_F01!$A$51:$A$59,0))="có",1,0)</f>
        <v>0</v>
      </c>
      <c r="V45">
        <f>IF(AND(N45=1,L45&gt;0,L45&lt;1,K45&gt;M45,H45+M45&gt;=D_F01!$B$7),1,0)</f>
        <v>0</v>
      </c>
      <c r="W45" s="29">
        <f t="shared" si="6"/>
        <v>0</v>
      </c>
      <c r="X45" s="30">
        <f t="shared" si="7"/>
        <v>0</v>
      </c>
    </row>
    <row r="46" spans="1:24" ht="25.95" customHeight="1">
      <c r="A46" s="14" t="s">
        <v>1722</v>
      </c>
      <c r="B46" s="14" t="s">
        <v>1312</v>
      </c>
      <c r="C46" s="14" t="s">
        <v>984</v>
      </c>
      <c r="D46" s="14" t="s">
        <v>985</v>
      </c>
      <c r="E46" s="14" t="s">
        <v>1723</v>
      </c>
      <c r="F46" s="14" t="s">
        <v>1648</v>
      </c>
      <c r="G46" s="16">
        <v>13119214</v>
      </c>
      <c r="H46" s="12">
        <v>46084</v>
      </c>
      <c r="I46" s="12">
        <v>46099</v>
      </c>
      <c r="J46" s="12">
        <v>46099</v>
      </c>
      <c r="K46" s="14">
        <v>15</v>
      </c>
      <c r="L46" s="34">
        <v>0</v>
      </c>
      <c r="M46" s="14">
        <v>0</v>
      </c>
      <c r="N46" s="5">
        <f>IF(AND(H46&lt;=D_F01!$B$7,OR(NOT(ISNUMBER(J46)),J46&gt;D_F01!$B$7)),1,0)</f>
        <v>0</v>
      </c>
      <c r="O46" s="9">
        <f t="shared" si="4"/>
        <v>0</v>
      </c>
      <c r="P46" s="5">
        <f>IF(N46=1,MAX(0,D_F01!$B$7-I46),0)</f>
        <v>0</v>
      </c>
      <c r="Q46" s="5">
        <f>IF(AND(ISNUMBER(J46),J46&lt;=D_F01!$B$7),J46-I46,0)</f>
        <v>0</v>
      </c>
      <c r="R46" s="5">
        <f t="shared" si="5"/>
        <v>0</v>
      </c>
      <c r="S46" s="5">
        <f>IF(AND(ISNUMBER(J46),J46&lt;=D_F01!$B$7,J46&gt;D_F01!$B$7-D_F01!$B$25),G46*R46,0)</f>
        <v>0</v>
      </c>
      <c r="T46" s="5">
        <f>IF(AND(ISNUMBER(J46),J46&lt;=D_F01!$B$7,J46&gt;D_F01!$B$7-D_F01!$B$25),G46,0)</f>
        <v>13119214</v>
      </c>
      <c r="U46" s="5">
        <f>IF(INDEX(D_F01!$C$51:$C$59,MATCH(C46,D_F01!$A$51:$A$59,0))="có",1,0)</f>
        <v>0</v>
      </c>
      <c r="V46">
        <f>IF(AND(N46=1,L46&gt;0,L46&lt;1,K46&gt;M46,H46+M46&gt;=D_F01!$B$7),1,0)</f>
        <v>0</v>
      </c>
      <c r="W46" s="29">
        <f t="shared" si="6"/>
        <v>0</v>
      </c>
      <c r="X46" s="30">
        <f t="shared" si="7"/>
        <v>0</v>
      </c>
    </row>
    <row r="47" spans="1:24" ht="25.95" customHeight="1">
      <c r="A47" s="11" t="s">
        <v>1724</v>
      </c>
      <c r="B47" s="11" t="s">
        <v>1312</v>
      </c>
      <c r="C47" s="11" t="s">
        <v>984</v>
      </c>
      <c r="D47" s="11" t="s">
        <v>985</v>
      </c>
      <c r="E47" s="11" t="s">
        <v>1725</v>
      </c>
      <c r="F47" s="11" t="s">
        <v>1648</v>
      </c>
      <c r="G47" s="15">
        <v>19431531</v>
      </c>
      <c r="H47" s="13">
        <v>46087</v>
      </c>
      <c r="I47" s="13">
        <v>46102</v>
      </c>
      <c r="J47" s="13">
        <v>46101</v>
      </c>
      <c r="K47" s="11">
        <v>15</v>
      </c>
      <c r="L47" s="17">
        <v>0</v>
      </c>
      <c r="M47" s="11">
        <v>0</v>
      </c>
      <c r="N47" s="3">
        <f>IF(AND(H47&lt;=D_F01!$B$7,OR(NOT(ISNUMBER(J47)),J47&gt;D_F01!$B$7)),1,0)</f>
        <v>0</v>
      </c>
      <c r="O47" s="8">
        <f t="shared" si="4"/>
        <v>0</v>
      </c>
      <c r="P47" s="3">
        <f>IF(N47=1,MAX(0,D_F01!$B$7-I47),0)</f>
        <v>0</v>
      </c>
      <c r="Q47" s="3">
        <f>IF(AND(ISNUMBER(J47),J47&lt;=D_F01!$B$7),J47-I47,0)</f>
        <v>-1</v>
      </c>
      <c r="R47" s="3">
        <f t="shared" si="5"/>
        <v>0</v>
      </c>
      <c r="S47" s="3">
        <f>IF(AND(ISNUMBER(J47),J47&lt;=D_F01!$B$7,J47&gt;D_F01!$B$7-D_F01!$B$25),G47*R47,0)</f>
        <v>0</v>
      </c>
      <c r="T47" s="3">
        <f>IF(AND(ISNUMBER(J47),J47&lt;=D_F01!$B$7,J47&gt;D_F01!$B$7-D_F01!$B$25),G47,0)</f>
        <v>19431531</v>
      </c>
      <c r="U47" s="3">
        <f>IF(INDEX(D_F01!$C$51:$C$59,MATCH(C47,D_F01!$A$51:$A$59,0))="có",1,0)</f>
        <v>0</v>
      </c>
      <c r="V47">
        <f>IF(AND(N47=1,L47&gt;0,L47&lt;1,K47&gt;M47,H47+M47&gt;=D_F01!$B$7),1,0)</f>
        <v>0</v>
      </c>
      <c r="W47" s="29">
        <f t="shared" si="6"/>
        <v>0</v>
      </c>
      <c r="X47" s="30">
        <f t="shared" si="7"/>
        <v>0</v>
      </c>
    </row>
    <row r="48" spans="1:24" ht="25.95" customHeight="1">
      <c r="A48" s="14" t="s">
        <v>1726</v>
      </c>
      <c r="B48" s="14" t="s">
        <v>1312</v>
      </c>
      <c r="C48" s="14" t="s">
        <v>976</v>
      </c>
      <c r="D48" s="14" t="s">
        <v>977</v>
      </c>
      <c r="E48" s="14" t="s">
        <v>1727</v>
      </c>
      <c r="F48" s="14" t="s">
        <v>1645</v>
      </c>
      <c r="G48" s="16">
        <v>56408529</v>
      </c>
      <c r="H48" s="12">
        <v>46089</v>
      </c>
      <c r="I48" s="12">
        <v>46119</v>
      </c>
      <c r="J48" s="12">
        <v>46120</v>
      </c>
      <c r="K48" s="14">
        <v>30</v>
      </c>
      <c r="L48" s="34">
        <v>0.02</v>
      </c>
      <c r="M48" s="14">
        <v>10</v>
      </c>
      <c r="N48" s="5">
        <f>IF(AND(H48&lt;=D_F01!$B$7,OR(NOT(ISNUMBER(J48)),J48&gt;D_F01!$B$7)),1,0)</f>
        <v>0</v>
      </c>
      <c r="O48" s="9">
        <f t="shared" si="4"/>
        <v>0</v>
      </c>
      <c r="P48" s="5">
        <f>IF(N48=1,MAX(0,D_F01!$B$7-I48),0)</f>
        <v>0</v>
      </c>
      <c r="Q48" s="5">
        <f>IF(AND(ISNUMBER(J48),J48&lt;=D_F01!$B$7),J48-I48,0)</f>
        <v>1</v>
      </c>
      <c r="R48" s="5">
        <f t="shared" si="5"/>
        <v>1</v>
      </c>
      <c r="S48" s="5">
        <f>IF(AND(ISNUMBER(J48),J48&lt;=D_F01!$B$7,J48&gt;D_F01!$B$7-D_F01!$B$25),G48*R48,0)</f>
        <v>56408529</v>
      </c>
      <c r="T48" s="5">
        <f>IF(AND(ISNUMBER(J48),J48&lt;=D_F01!$B$7,J48&gt;D_F01!$B$7-D_F01!$B$25),G48,0)</f>
        <v>56408529</v>
      </c>
      <c r="U48" s="5">
        <f>IF(INDEX(D_F01!$C$51:$C$59,MATCH(C48,D_F01!$A$51:$A$59,0))="có",1,0)</f>
        <v>1</v>
      </c>
      <c r="V48">
        <f>IF(AND(N48=1,L48&gt;0,L48&lt;1,K48&gt;M48,H48+M48&gt;=D_F01!$B$7),1,0)</f>
        <v>0</v>
      </c>
      <c r="W48" s="29">
        <f t="shared" si="6"/>
        <v>0</v>
      </c>
      <c r="X48" s="30">
        <f t="shared" si="7"/>
        <v>0</v>
      </c>
    </row>
    <row r="49" spans="1:24" ht="25.95" customHeight="1">
      <c r="A49" s="11" t="s">
        <v>1728</v>
      </c>
      <c r="B49" s="11" t="s">
        <v>1312</v>
      </c>
      <c r="C49" s="11" t="s">
        <v>982</v>
      </c>
      <c r="D49" s="11" t="s">
        <v>983</v>
      </c>
      <c r="E49" s="11" t="s">
        <v>1729</v>
      </c>
      <c r="F49" s="11" t="s">
        <v>1637</v>
      </c>
      <c r="G49" s="15">
        <v>33905466</v>
      </c>
      <c r="H49" s="13">
        <v>46089</v>
      </c>
      <c r="I49" s="13">
        <v>46104</v>
      </c>
      <c r="J49" s="13">
        <v>46104</v>
      </c>
      <c r="K49" s="11">
        <v>15</v>
      </c>
      <c r="L49" s="17">
        <v>0</v>
      </c>
      <c r="M49" s="11">
        <v>0</v>
      </c>
      <c r="N49" s="3">
        <f>IF(AND(H49&lt;=D_F01!$B$7,OR(NOT(ISNUMBER(J49)),J49&gt;D_F01!$B$7)),1,0)</f>
        <v>0</v>
      </c>
      <c r="O49" s="8">
        <f t="shared" si="4"/>
        <v>0</v>
      </c>
      <c r="P49" s="3">
        <f>IF(N49=1,MAX(0,D_F01!$B$7-I49),0)</f>
        <v>0</v>
      </c>
      <c r="Q49" s="3">
        <f>IF(AND(ISNUMBER(J49),J49&lt;=D_F01!$B$7),J49-I49,0)</f>
        <v>0</v>
      </c>
      <c r="R49" s="3">
        <f t="shared" si="5"/>
        <v>0</v>
      </c>
      <c r="S49" s="3">
        <f>IF(AND(ISNUMBER(J49),J49&lt;=D_F01!$B$7,J49&gt;D_F01!$B$7-D_F01!$B$25),G49*R49,0)</f>
        <v>0</v>
      </c>
      <c r="T49" s="3">
        <f>IF(AND(ISNUMBER(J49),J49&lt;=D_F01!$B$7,J49&gt;D_F01!$B$7-D_F01!$B$25),G49,0)</f>
        <v>33905466</v>
      </c>
      <c r="U49" s="3">
        <f>IF(INDEX(D_F01!$C$51:$C$59,MATCH(C49,D_F01!$A$51:$A$59,0))="có",1,0)</f>
        <v>1</v>
      </c>
      <c r="V49">
        <f>IF(AND(N49=1,L49&gt;0,L49&lt;1,K49&gt;M49,H49+M49&gt;=D_F01!$B$7),1,0)</f>
        <v>0</v>
      </c>
      <c r="W49" s="29">
        <f t="shared" si="6"/>
        <v>0</v>
      </c>
      <c r="X49" s="30">
        <f t="shared" si="7"/>
        <v>0</v>
      </c>
    </row>
    <row r="50" spans="1:24" ht="25.95" customHeight="1">
      <c r="A50" s="14" t="s">
        <v>1730</v>
      </c>
      <c r="B50" s="14" t="s">
        <v>1312</v>
      </c>
      <c r="C50" s="14" t="s">
        <v>976</v>
      </c>
      <c r="D50" s="14" t="s">
        <v>977</v>
      </c>
      <c r="E50" s="14" t="s">
        <v>1731</v>
      </c>
      <c r="F50" s="14" t="s">
        <v>1645</v>
      </c>
      <c r="G50" s="16">
        <v>161659824</v>
      </c>
      <c r="H50" s="12">
        <v>46090</v>
      </c>
      <c r="I50" s="12">
        <v>46120</v>
      </c>
      <c r="J50" s="12">
        <v>46125</v>
      </c>
      <c r="K50" s="14">
        <v>30</v>
      </c>
      <c r="L50" s="34">
        <v>0.02</v>
      </c>
      <c r="M50" s="14">
        <v>10</v>
      </c>
      <c r="N50" s="5">
        <f>IF(AND(H50&lt;=D_F01!$B$7,OR(NOT(ISNUMBER(J50)),J50&gt;D_F01!$B$7)),1,0)</f>
        <v>0</v>
      </c>
      <c r="O50" s="9">
        <f t="shared" si="4"/>
        <v>0</v>
      </c>
      <c r="P50" s="5">
        <f>IF(N50=1,MAX(0,D_F01!$B$7-I50),0)</f>
        <v>0</v>
      </c>
      <c r="Q50" s="5">
        <f>IF(AND(ISNUMBER(J50),J50&lt;=D_F01!$B$7),J50-I50,0)</f>
        <v>5</v>
      </c>
      <c r="R50" s="5">
        <f t="shared" si="5"/>
        <v>5</v>
      </c>
      <c r="S50" s="5">
        <f>IF(AND(ISNUMBER(J50),J50&lt;=D_F01!$B$7,J50&gt;D_F01!$B$7-D_F01!$B$25),G50*R50,0)</f>
        <v>808299120</v>
      </c>
      <c r="T50" s="5">
        <f>IF(AND(ISNUMBER(J50),J50&lt;=D_F01!$B$7,J50&gt;D_F01!$B$7-D_F01!$B$25),G50,0)</f>
        <v>161659824</v>
      </c>
      <c r="U50" s="5">
        <f>IF(INDEX(D_F01!$C$51:$C$59,MATCH(C50,D_F01!$A$51:$A$59,0))="có",1,0)</f>
        <v>1</v>
      </c>
      <c r="V50">
        <f>IF(AND(N50=1,L50&gt;0,L50&lt;1,K50&gt;M50,H50+M50&gt;=D_F01!$B$7),1,0)</f>
        <v>0</v>
      </c>
      <c r="W50" s="29">
        <f t="shared" si="6"/>
        <v>0</v>
      </c>
      <c r="X50" s="30">
        <f t="shared" si="7"/>
        <v>0</v>
      </c>
    </row>
    <row r="51" spans="1:24" ht="25.95" customHeight="1">
      <c r="A51" s="11" t="s">
        <v>1732</v>
      </c>
      <c r="B51" s="11" t="s">
        <v>1312</v>
      </c>
      <c r="C51" s="11" t="s">
        <v>984</v>
      </c>
      <c r="D51" s="11" t="s">
        <v>985</v>
      </c>
      <c r="E51" s="11" t="s">
        <v>1733</v>
      </c>
      <c r="F51" s="11" t="s">
        <v>1648</v>
      </c>
      <c r="G51" s="15">
        <v>9365120</v>
      </c>
      <c r="H51" s="13">
        <v>46090</v>
      </c>
      <c r="I51" s="13">
        <v>46105</v>
      </c>
      <c r="J51" s="13">
        <v>46106</v>
      </c>
      <c r="K51" s="11">
        <v>15</v>
      </c>
      <c r="L51" s="17">
        <v>0</v>
      </c>
      <c r="M51" s="11">
        <v>0</v>
      </c>
      <c r="N51" s="3">
        <f>IF(AND(H51&lt;=D_F01!$B$7,OR(NOT(ISNUMBER(J51)),J51&gt;D_F01!$B$7)),1,0)</f>
        <v>0</v>
      </c>
      <c r="O51" s="8">
        <f t="shared" si="4"/>
        <v>0</v>
      </c>
      <c r="P51" s="3">
        <f>IF(N51=1,MAX(0,D_F01!$B$7-I51),0)</f>
        <v>0</v>
      </c>
      <c r="Q51" s="3">
        <f>IF(AND(ISNUMBER(J51),J51&lt;=D_F01!$B$7),J51-I51,0)</f>
        <v>1</v>
      </c>
      <c r="R51" s="3">
        <f t="shared" si="5"/>
        <v>1</v>
      </c>
      <c r="S51" s="3">
        <f>IF(AND(ISNUMBER(J51),J51&lt;=D_F01!$B$7,J51&gt;D_F01!$B$7-D_F01!$B$25),G51*R51,0)</f>
        <v>9365120</v>
      </c>
      <c r="T51" s="3">
        <f>IF(AND(ISNUMBER(J51),J51&lt;=D_F01!$B$7,J51&gt;D_F01!$B$7-D_F01!$B$25),G51,0)</f>
        <v>9365120</v>
      </c>
      <c r="U51" s="3">
        <f>IF(INDEX(D_F01!$C$51:$C$59,MATCH(C51,D_F01!$A$51:$A$59,0))="có",1,0)</f>
        <v>0</v>
      </c>
      <c r="V51">
        <f>IF(AND(N51=1,L51&gt;0,L51&lt;1,K51&gt;M51,H51+M51&gt;=D_F01!$B$7),1,0)</f>
        <v>0</v>
      </c>
      <c r="W51" s="29">
        <f t="shared" si="6"/>
        <v>0</v>
      </c>
      <c r="X51" s="30">
        <f t="shared" si="7"/>
        <v>0</v>
      </c>
    </row>
    <row r="52" spans="1:24" ht="25.95" customHeight="1">
      <c r="A52" s="14" t="s">
        <v>1734</v>
      </c>
      <c r="B52" s="14" t="s">
        <v>1312</v>
      </c>
      <c r="C52" s="14" t="s">
        <v>995</v>
      </c>
      <c r="D52" s="14" t="s">
        <v>996</v>
      </c>
      <c r="E52" s="14" t="s">
        <v>1735</v>
      </c>
      <c r="F52" s="14" t="s">
        <v>1634</v>
      </c>
      <c r="G52" s="16">
        <v>51117281</v>
      </c>
      <c r="H52" s="12">
        <v>46090</v>
      </c>
      <c r="I52" s="12">
        <v>46120</v>
      </c>
      <c r="J52" s="12">
        <v>46125</v>
      </c>
      <c r="K52" s="14">
        <v>30</v>
      </c>
      <c r="L52" s="34">
        <v>0.01</v>
      </c>
      <c r="M52" s="14">
        <v>7</v>
      </c>
      <c r="N52" s="5">
        <f>IF(AND(H52&lt;=D_F01!$B$7,OR(NOT(ISNUMBER(J52)),J52&gt;D_F01!$B$7)),1,0)</f>
        <v>0</v>
      </c>
      <c r="O52" s="9">
        <f t="shared" si="4"/>
        <v>0</v>
      </c>
      <c r="P52" s="5">
        <f>IF(N52=1,MAX(0,D_F01!$B$7-I52),0)</f>
        <v>0</v>
      </c>
      <c r="Q52" s="5">
        <f>IF(AND(ISNUMBER(J52),J52&lt;=D_F01!$B$7),J52-I52,0)</f>
        <v>5</v>
      </c>
      <c r="R52" s="5">
        <f t="shared" si="5"/>
        <v>5</v>
      </c>
      <c r="S52" s="5">
        <f>IF(AND(ISNUMBER(J52),J52&lt;=D_F01!$B$7,J52&gt;D_F01!$B$7-D_F01!$B$25),G52*R52,0)</f>
        <v>255586405</v>
      </c>
      <c r="T52" s="5">
        <f>IF(AND(ISNUMBER(J52),J52&lt;=D_F01!$B$7,J52&gt;D_F01!$B$7-D_F01!$B$25),G52,0)</f>
        <v>51117281</v>
      </c>
      <c r="U52" s="5">
        <f>IF(INDEX(D_F01!$C$51:$C$59,MATCH(C52,D_F01!$A$51:$A$59,0))="có",1,0)</f>
        <v>1</v>
      </c>
      <c r="V52">
        <f>IF(AND(N52=1,L52&gt;0,L52&lt;1,K52&gt;M52,H52+M52&gt;=D_F01!$B$7),1,0)</f>
        <v>0</v>
      </c>
      <c r="W52" s="29">
        <f t="shared" si="6"/>
        <v>0</v>
      </c>
      <c r="X52" s="30">
        <f t="shared" si="7"/>
        <v>0</v>
      </c>
    </row>
    <row r="53" spans="1:24" ht="25.95" customHeight="1">
      <c r="A53" s="11" t="s">
        <v>1736</v>
      </c>
      <c r="B53" s="11" t="s">
        <v>1312</v>
      </c>
      <c r="C53" s="11" t="s">
        <v>993</v>
      </c>
      <c r="D53" s="11" t="s">
        <v>994</v>
      </c>
      <c r="E53" s="11" t="s">
        <v>1737</v>
      </c>
      <c r="F53" s="11" t="s">
        <v>1680</v>
      </c>
      <c r="G53" s="15">
        <v>36610051</v>
      </c>
      <c r="H53" s="13">
        <v>46091</v>
      </c>
      <c r="I53" s="13">
        <v>46121</v>
      </c>
      <c r="J53" s="13">
        <v>46122</v>
      </c>
      <c r="K53" s="11">
        <v>30</v>
      </c>
      <c r="L53" s="17">
        <v>0</v>
      </c>
      <c r="M53" s="11">
        <v>0</v>
      </c>
      <c r="N53" s="3">
        <f>IF(AND(H53&lt;=D_F01!$B$7,OR(NOT(ISNUMBER(J53)),J53&gt;D_F01!$B$7)),1,0)</f>
        <v>0</v>
      </c>
      <c r="O53" s="8">
        <f t="shared" si="4"/>
        <v>0</v>
      </c>
      <c r="P53" s="3">
        <f>IF(N53=1,MAX(0,D_F01!$B$7-I53),0)</f>
        <v>0</v>
      </c>
      <c r="Q53" s="3">
        <f>IF(AND(ISNUMBER(J53),J53&lt;=D_F01!$B$7),J53-I53,0)</f>
        <v>1</v>
      </c>
      <c r="R53" s="3">
        <f t="shared" si="5"/>
        <v>1</v>
      </c>
      <c r="S53" s="3">
        <f>IF(AND(ISNUMBER(J53),J53&lt;=D_F01!$B$7,J53&gt;D_F01!$B$7-D_F01!$B$25),G53*R53,0)</f>
        <v>36610051</v>
      </c>
      <c r="T53" s="3">
        <f>IF(AND(ISNUMBER(J53),J53&lt;=D_F01!$B$7,J53&gt;D_F01!$B$7-D_F01!$B$25),G53,0)</f>
        <v>36610051</v>
      </c>
      <c r="U53" s="3">
        <f>IF(INDEX(D_F01!$C$51:$C$59,MATCH(C53,D_F01!$A$51:$A$59,0))="có",1,0)</f>
        <v>0</v>
      </c>
      <c r="V53">
        <f>IF(AND(N53=1,L53&gt;0,L53&lt;1,K53&gt;M53,H53+M53&gt;=D_F01!$B$7),1,0)</f>
        <v>0</v>
      </c>
      <c r="W53" s="29">
        <f t="shared" si="6"/>
        <v>0</v>
      </c>
      <c r="X53" s="30">
        <f t="shared" si="7"/>
        <v>0</v>
      </c>
    </row>
    <row r="54" spans="1:24" ht="25.95" customHeight="1">
      <c r="A54" s="14" t="s">
        <v>1738</v>
      </c>
      <c r="B54" s="14" t="s">
        <v>1312</v>
      </c>
      <c r="C54" s="14" t="s">
        <v>995</v>
      </c>
      <c r="D54" s="14" t="s">
        <v>996</v>
      </c>
      <c r="E54" s="14" t="s">
        <v>1739</v>
      </c>
      <c r="F54" s="14" t="s">
        <v>1634</v>
      </c>
      <c r="G54" s="16">
        <v>17829174</v>
      </c>
      <c r="H54" s="12">
        <v>46091</v>
      </c>
      <c r="I54" s="12">
        <v>46121</v>
      </c>
      <c r="J54" s="12">
        <v>46098</v>
      </c>
      <c r="K54" s="14">
        <v>30</v>
      </c>
      <c r="L54" s="34">
        <v>0.01</v>
      </c>
      <c r="M54" s="14">
        <v>7</v>
      </c>
      <c r="N54" s="5">
        <f>IF(AND(H54&lt;=D_F01!$B$7,OR(NOT(ISNUMBER(J54)),J54&gt;D_F01!$B$7)),1,0)</f>
        <v>0</v>
      </c>
      <c r="O54" s="9">
        <f t="shared" si="4"/>
        <v>0</v>
      </c>
      <c r="P54" s="5">
        <f>IF(N54=1,MAX(0,D_F01!$B$7-I54),0)</f>
        <v>0</v>
      </c>
      <c r="Q54" s="5">
        <f>IF(AND(ISNUMBER(J54),J54&lt;=D_F01!$B$7),J54-I54,0)</f>
        <v>-23</v>
      </c>
      <c r="R54" s="5">
        <f t="shared" si="5"/>
        <v>0</v>
      </c>
      <c r="S54" s="5">
        <f>IF(AND(ISNUMBER(J54),J54&lt;=D_F01!$B$7,J54&gt;D_F01!$B$7-D_F01!$B$25),G54*R54,0)</f>
        <v>0</v>
      </c>
      <c r="T54" s="5">
        <f>IF(AND(ISNUMBER(J54),J54&lt;=D_F01!$B$7,J54&gt;D_F01!$B$7-D_F01!$B$25),G54,0)</f>
        <v>17829174</v>
      </c>
      <c r="U54" s="5">
        <f>IF(INDEX(D_F01!$C$51:$C$59,MATCH(C54,D_F01!$A$51:$A$59,0))="có",1,0)</f>
        <v>1</v>
      </c>
      <c r="V54">
        <f>IF(AND(N54=1,L54&gt;0,L54&lt;1,K54&gt;M54,H54+M54&gt;=D_F01!$B$7),1,0)</f>
        <v>0</v>
      </c>
      <c r="W54" s="29">
        <f t="shared" si="6"/>
        <v>0</v>
      </c>
      <c r="X54" s="30">
        <f t="shared" si="7"/>
        <v>0</v>
      </c>
    </row>
    <row r="55" spans="1:24" ht="25.95" customHeight="1">
      <c r="A55" s="11" t="s">
        <v>1740</v>
      </c>
      <c r="B55" s="11" t="s">
        <v>1312</v>
      </c>
      <c r="C55" s="11" t="s">
        <v>984</v>
      </c>
      <c r="D55" s="11" t="s">
        <v>985</v>
      </c>
      <c r="E55" s="11" t="s">
        <v>1741</v>
      </c>
      <c r="F55" s="11" t="s">
        <v>1648</v>
      </c>
      <c r="G55" s="15">
        <v>18077505</v>
      </c>
      <c r="H55" s="13">
        <v>46094</v>
      </c>
      <c r="I55" s="13">
        <v>46109</v>
      </c>
      <c r="J55" s="13">
        <v>46112</v>
      </c>
      <c r="K55" s="11">
        <v>15</v>
      </c>
      <c r="L55" s="17">
        <v>0</v>
      </c>
      <c r="M55" s="11">
        <v>0</v>
      </c>
      <c r="N55" s="3">
        <f>IF(AND(H55&lt;=D_F01!$B$7,OR(NOT(ISNUMBER(J55)),J55&gt;D_F01!$B$7)),1,0)</f>
        <v>0</v>
      </c>
      <c r="O55" s="8">
        <f t="shared" si="4"/>
        <v>0</v>
      </c>
      <c r="P55" s="3">
        <f>IF(N55=1,MAX(0,D_F01!$B$7-I55),0)</f>
        <v>0</v>
      </c>
      <c r="Q55" s="3">
        <f>IF(AND(ISNUMBER(J55),J55&lt;=D_F01!$B$7),J55-I55,0)</f>
        <v>3</v>
      </c>
      <c r="R55" s="3">
        <f t="shared" si="5"/>
        <v>3</v>
      </c>
      <c r="S55" s="3">
        <f>IF(AND(ISNUMBER(J55),J55&lt;=D_F01!$B$7,J55&gt;D_F01!$B$7-D_F01!$B$25),G55*R55,0)</f>
        <v>54232515</v>
      </c>
      <c r="T55" s="3">
        <f>IF(AND(ISNUMBER(J55),J55&lt;=D_F01!$B$7,J55&gt;D_F01!$B$7-D_F01!$B$25),G55,0)</f>
        <v>18077505</v>
      </c>
      <c r="U55" s="3">
        <f>IF(INDEX(D_F01!$C$51:$C$59,MATCH(C55,D_F01!$A$51:$A$59,0))="có",1,0)</f>
        <v>0</v>
      </c>
      <c r="V55">
        <f>IF(AND(N55=1,L55&gt;0,L55&lt;1,K55&gt;M55,H55+M55&gt;=D_F01!$B$7),1,0)</f>
        <v>0</v>
      </c>
      <c r="W55" s="29">
        <f t="shared" si="6"/>
        <v>0</v>
      </c>
      <c r="X55" s="30">
        <f t="shared" si="7"/>
        <v>0</v>
      </c>
    </row>
    <row r="56" spans="1:24" ht="25.95" customHeight="1">
      <c r="A56" s="14" t="s">
        <v>1742</v>
      </c>
      <c r="B56" s="14" t="s">
        <v>1312</v>
      </c>
      <c r="C56" s="14" t="s">
        <v>979</v>
      </c>
      <c r="D56" s="14" t="s">
        <v>980</v>
      </c>
      <c r="E56" s="14" t="s">
        <v>1743</v>
      </c>
      <c r="F56" s="14" t="s">
        <v>1659</v>
      </c>
      <c r="G56" s="16">
        <v>47042715</v>
      </c>
      <c r="H56" s="12">
        <v>46095</v>
      </c>
      <c r="I56" s="12">
        <v>46140</v>
      </c>
      <c r="J56" s="12">
        <v>46153</v>
      </c>
      <c r="K56" s="14">
        <v>45</v>
      </c>
      <c r="L56" s="34">
        <v>0</v>
      </c>
      <c r="M56" s="14">
        <v>0</v>
      </c>
      <c r="N56" s="5">
        <f>IF(AND(H56&lt;=D_F01!$B$7,OR(NOT(ISNUMBER(J56)),J56&gt;D_F01!$B$7)),1,0)</f>
        <v>0</v>
      </c>
      <c r="O56" s="9">
        <f t="shared" si="4"/>
        <v>0</v>
      </c>
      <c r="P56" s="5">
        <f>IF(N56=1,MAX(0,D_F01!$B$7-I56),0)</f>
        <v>0</v>
      </c>
      <c r="Q56" s="5">
        <f>IF(AND(ISNUMBER(J56),J56&lt;=D_F01!$B$7),J56-I56,0)</f>
        <v>13</v>
      </c>
      <c r="R56" s="5">
        <f t="shared" si="5"/>
        <v>13</v>
      </c>
      <c r="S56" s="5">
        <f>IF(AND(ISNUMBER(J56),J56&lt;=D_F01!$B$7,J56&gt;D_F01!$B$7-D_F01!$B$25),G56*R56,0)</f>
        <v>611555295</v>
      </c>
      <c r="T56" s="5">
        <f>IF(AND(ISNUMBER(J56),J56&lt;=D_F01!$B$7,J56&gt;D_F01!$B$7-D_F01!$B$25),G56,0)</f>
        <v>47042715</v>
      </c>
      <c r="U56" s="5">
        <f>IF(INDEX(D_F01!$C$51:$C$59,MATCH(C56,D_F01!$A$51:$A$59,0))="có",1,0)</f>
        <v>0</v>
      </c>
      <c r="V56">
        <f>IF(AND(N56=1,L56&gt;0,L56&lt;1,K56&gt;M56,H56+M56&gt;=D_F01!$B$7),1,0)</f>
        <v>0</v>
      </c>
      <c r="W56" s="29">
        <f t="shared" si="6"/>
        <v>0</v>
      </c>
      <c r="X56" s="30">
        <f t="shared" si="7"/>
        <v>0</v>
      </c>
    </row>
    <row r="57" spans="1:24" ht="25.95" customHeight="1">
      <c r="A57" s="11" t="s">
        <v>1744</v>
      </c>
      <c r="B57" s="11" t="s">
        <v>1312</v>
      </c>
      <c r="C57" s="11" t="s">
        <v>979</v>
      </c>
      <c r="D57" s="11" t="s">
        <v>980</v>
      </c>
      <c r="E57" s="11" t="s">
        <v>1745</v>
      </c>
      <c r="F57" s="11" t="s">
        <v>1659</v>
      </c>
      <c r="G57" s="15">
        <v>45087978</v>
      </c>
      <c r="H57" s="13">
        <v>46097</v>
      </c>
      <c r="I57" s="13">
        <v>46142</v>
      </c>
      <c r="J57" s="13">
        <v>46156</v>
      </c>
      <c r="K57" s="11">
        <v>45</v>
      </c>
      <c r="L57" s="17">
        <v>0</v>
      </c>
      <c r="M57" s="11">
        <v>0</v>
      </c>
      <c r="N57" s="3">
        <f>IF(AND(H57&lt;=D_F01!$B$7,OR(NOT(ISNUMBER(J57)),J57&gt;D_F01!$B$7)),1,0)</f>
        <v>0</v>
      </c>
      <c r="O57" s="8">
        <f t="shared" si="4"/>
        <v>0</v>
      </c>
      <c r="P57" s="3">
        <f>IF(N57=1,MAX(0,D_F01!$B$7-I57),0)</f>
        <v>0</v>
      </c>
      <c r="Q57" s="3">
        <f>IF(AND(ISNUMBER(J57),J57&lt;=D_F01!$B$7),J57-I57,0)</f>
        <v>14</v>
      </c>
      <c r="R57" s="3">
        <f t="shared" si="5"/>
        <v>14</v>
      </c>
      <c r="S57" s="3">
        <f>IF(AND(ISNUMBER(J57),J57&lt;=D_F01!$B$7,J57&gt;D_F01!$B$7-D_F01!$B$25),G57*R57,0)</f>
        <v>631231692</v>
      </c>
      <c r="T57" s="3">
        <f>IF(AND(ISNUMBER(J57),J57&lt;=D_F01!$B$7,J57&gt;D_F01!$B$7-D_F01!$B$25),G57,0)</f>
        <v>45087978</v>
      </c>
      <c r="U57" s="3">
        <f>IF(INDEX(D_F01!$C$51:$C$59,MATCH(C57,D_F01!$A$51:$A$59,0))="có",1,0)</f>
        <v>0</v>
      </c>
      <c r="V57">
        <f>IF(AND(N57=1,L57&gt;0,L57&lt;1,K57&gt;M57,H57+M57&gt;=D_F01!$B$7),1,0)</f>
        <v>0</v>
      </c>
      <c r="W57" s="29">
        <f t="shared" si="6"/>
        <v>0</v>
      </c>
      <c r="X57" s="30">
        <f t="shared" si="7"/>
        <v>0</v>
      </c>
    </row>
    <row r="58" spans="1:24" ht="25.95" customHeight="1">
      <c r="A58" s="14" t="s">
        <v>1746</v>
      </c>
      <c r="B58" s="14" t="s">
        <v>1312</v>
      </c>
      <c r="C58" s="14" t="s">
        <v>984</v>
      </c>
      <c r="D58" s="14" t="s">
        <v>985</v>
      </c>
      <c r="E58" s="14" t="s">
        <v>1747</v>
      </c>
      <c r="F58" s="14" t="s">
        <v>1648</v>
      </c>
      <c r="G58" s="16">
        <v>18898106</v>
      </c>
      <c r="H58" s="12">
        <v>46098</v>
      </c>
      <c r="I58" s="12">
        <v>46113</v>
      </c>
      <c r="J58" s="12">
        <v>46113</v>
      </c>
      <c r="K58" s="14">
        <v>15</v>
      </c>
      <c r="L58" s="34">
        <v>0</v>
      </c>
      <c r="M58" s="14">
        <v>0</v>
      </c>
      <c r="N58" s="5">
        <f>IF(AND(H58&lt;=D_F01!$B$7,OR(NOT(ISNUMBER(J58)),J58&gt;D_F01!$B$7)),1,0)</f>
        <v>0</v>
      </c>
      <c r="O58" s="9">
        <f t="shared" si="4"/>
        <v>0</v>
      </c>
      <c r="P58" s="5">
        <f>IF(N58=1,MAX(0,D_F01!$B$7-I58),0)</f>
        <v>0</v>
      </c>
      <c r="Q58" s="5">
        <f>IF(AND(ISNUMBER(J58),J58&lt;=D_F01!$B$7),J58-I58,0)</f>
        <v>0</v>
      </c>
      <c r="R58" s="5">
        <f t="shared" si="5"/>
        <v>0</v>
      </c>
      <c r="S58" s="5">
        <f>IF(AND(ISNUMBER(J58),J58&lt;=D_F01!$B$7,J58&gt;D_F01!$B$7-D_F01!$B$25),G58*R58,0)</f>
        <v>0</v>
      </c>
      <c r="T58" s="5">
        <f>IF(AND(ISNUMBER(J58),J58&lt;=D_F01!$B$7,J58&gt;D_F01!$B$7-D_F01!$B$25),G58,0)</f>
        <v>18898106</v>
      </c>
      <c r="U58" s="5">
        <f>IF(INDEX(D_F01!$C$51:$C$59,MATCH(C58,D_F01!$A$51:$A$59,0))="có",1,0)</f>
        <v>0</v>
      </c>
      <c r="V58">
        <f>IF(AND(N58=1,L58&gt;0,L58&lt;1,K58&gt;M58,H58+M58&gt;=D_F01!$B$7),1,0)</f>
        <v>0</v>
      </c>
      <c r="W58" s="29">
        <f t="shared" si="6"/>
        <v>0</v>
      </c>
      <c r="X58" s="30">
        <f t="shared" si="7"/>
        <v>0</v>
      </c>
    </row>
    <row r="59" spans="1:24" ht="25.95" customHeight="1">
      <c r="A59" s="11" t="s">
        <v>1748</v>
      </c>
      <c r="B59" s="11" t="s">
        <v>1312</v>
      </c>
      <c r="C59" s="11" t="s">
        <v>979</v>
      </c>
      <c r="D59" s="11" t="s">
        <v>980</v>
      </c>
      <c r="E59" s="11" t="s">
        <v>1749</v>
      </c>
      <c r="F59" s="11" t="s">
        <v>1659</v>
      </c>
      <c r="G59" s="15">
        <v>79148131</v>
      </c>
      <c r="H59" s="13">
        <v>46099</v>
      </c>
      <c r="I59" s="13">
        <v>46144</v>
      </c>
      <c r="J59" s="13">
        <v>46150</v>
      </c>
      <c r="K59" s="11">
        <v>45</v>
      </c>
      <c r="L59" s="17">
        <v>0</v>
      </c>
      <c r="M59" s="11">
        <v>0</v>
      </c>
      <c r="N59" s="3">
        <f>IF(AND(H59&lt;=D_F01!$B$7,OR(NOT(ISNUMBER(J59)),J59&gt;D_F01!$B$7)),1,0)</f>
        <v>0</v>
      </c>
      <c r="O59" s="8">
        <f t="shared" si="4"/>
        <v>0</v>
      </c>
      <c r="P59" s="3">
        <f>IF(N59=1,MAX(0,D_F01!$B$7-I59),0)</f>
        <v>0</v>
      </c>
      <c r="Q59" s="3">
        <f>IF(AND(ISNUMBER(J59),J59&lt;=D_F01!$B$7),J59-I59,0)</f>
        <v>6</v>
      </c>
      <c r="R59" s="3">
        <f t="shared" si="5"/>
        <v>6</v>
      </c>
      <c r="S59" s="3">
        <f>IF(AND(ISNUMBER(J59),J59&lt;=D_F01!$B$7,J59&gt;D_F01!$B$7-D_F01!$B$25),G59*R59,0)</f>
        <v>474888786</v>
      </c>
      <c r="T59" s="3">
        <f>IF(AND(ISNUMBER(J59),J59&lt;=D_F01!$B$7,J59&gt;D_F01!$B$7-D_F01!$B$25),G59,0)</f>
        <v>79148131</v>
      </c>
      <c r="U59" s="3">
        <f>IF(INDEX(D_F01!$C$51:$C$59,MATCH(C59,D_F01!$A$51:$A$59,0))="có",1,0)</f>
        <v>0</v>
      </c>
      <c r="V59">
        <f>IF(AND(N59=1,L59&gt;0,L59&lt;1,K59&gt;M59,H59+M59&gt;=D_F01!$B$7),1,0)</f>
        <v>0</v>
      </c>
      <c r="W59" s="29">
        <f t="shared" si="6"/>
        <v>0</v>
      </c>
      <c r="X59" s="30">
        <f t="shared" si="7"/>
        <v>0</v>
      </c>
    </row>
    <row r="60" spans="1:24" ht="25.95" customHeight="1">
      <c r="A60" s="14" t="s">
        <v>1750</v>
      </c>
      <c r="B60" s="14" t="s">
        <v>1312</v>
      </c>
      <c r="C60" s="14" t="s">
        <v>986</v>
      </c>
      <c r="D60" s="14" t="s">
        <v>987</v>
      </c>
      <c r="E60" s="14" t="s">
        <v>1751</v>
      </c>
      <c r="F60" s="14" t="s">
        <v>1719</v>
      </c>
      <c r="G60" s="16">
        <v>97585645</v>
      </c>
      <c r="H60" s="12">
        <v>46099</v>
      </c>
      <c r="I60" s="12">
        <v>46129</v>
      </c>
      <c r="J60" s="12">
        <v>46130</v>
      </c>
      <c r="K60" s="14">
        <v>30</v>
      </c>
      <c r="L60" s="34">
        <v>0</v>
      </c>
      <c r="M60" s="14">
        <v>0</v>
      </c>
      <c r="N60" s="5">
        <f>IF(AND(H60&lt;=D_F01!$B$7,OR(NOT(ISNUMBER(J60)),J60&gt;D_F01!$B$7)),1,0)</f>
        <v>0</v>
      </c>
      <c r="O60" s="9">
        <f t="shared" si="4"/>
        <v>0</v>
      </c>
      <c r="P60" s="5">
        <f>IF(N60=1,MAX(0,D_F01!$B$7-I60),0)</f>
        <v>0</v>
      </c>
      <c r="Q60" s="5">
        <f>IF(AND(ISNUMBER(J60),J60&lt;=D_F01!$B$7),J60-I60,0)</f>
        <v>1</v>
      </c>
      <c r="R60" s="5">
        <f t="shared" si="5"/>
        <v>1</v>
      </c>
      <c r="S60" s="5">
        <f>IF(AND(ISNUMBER(J60),J60&lt;=D_F01!$B$7,J60&gt;D_F01!$B$7-D_F01!$B$25),G60*R60,0)</f>
        <v>97585645</v>
      </c>
      <c r="T60" s="5">
        <f>IF(AND(ISNUMBER(J60),J60&lt;=D_F01!$B$7,J60&gt;D_F01!$B$7-D_F01!$B$25),G60,0)</f>
        <v>97585645</v>
      </c>
      <c r="U60" s="5">
        <f>IF(INDEX(D_F01!$C$51:$C$59,MATCH(C60,D_F01!$A$51:$A$59,0))="có",1,0)</f>
        <v>0</v>
      </c>
      <c r="V60">
        <f>IF(AND(N60=1,L60&gt;0,L60&lt;1,K60&gt;M60,H60+M60&gt;=D_F01!$B$7),1,0)</f>
        <v>0</v>
      </c>
      <c r="W60" s="29">
        <f t="shared" si="6"/>
        <v>0</v>
      </c>
      <c r="X60" s="30">
        <f t="shared" si="7"/>
        <v>0</v>
      </c>
    </row>
    <row r="61" spans="1:24" ht="25.95" customHeight="1">
      <c r="A61" s="11" t="s">
        <v>1752</v>
      </c>
      <c r="B61" s="11" t="s">
        <v>1312</v>
      </c>
      <c r="C61" s="11" t="s">
        <v>976</v>
      </c>
      <c r="D61" s="11" t="s">
        <v>977</v>
      </c>
      <c r="E61" s="11" t="s">
        <v>1753</v>
      </c>
      <c r="F61" s="11" t="s">
        <v>1645</v>
      </c>
      <c r="G61" s="15">
        <v>88477180</v>
      </c>
      <c r="H61" s="13">
        <v>46100</v>
      </c>
      <c r="I61" s="13">
        <v>46130</v>
      </c>
      <c r="J61" s="13">
        <v>46130</v>
      </c>
      <c r="K61" s="11">
        <v>30</v>
      </c>
      <c r="L61" s="17">
        <v>0.02</v>
      </c>
      <c r="M61" s="11">
        <v>10</v>
      </c>
      <c r="N61" s="3">
        <f>IF(AND(H61&lt;=D_F01!$B$7,OR(NOT(ISNUMBER(J61)),J61&gt;D_F01!$B$7)),1,0)</f>
        <v>0</v>
      </c>
      <c r="O61" s="8">
        <f t="shared" si="4"/>
        <v>0</v>
      </c>
      <c r="P61" s="3">
        <f>IF(N61=1,MAX(0,D_F01!$B$7-I61),0)</f>
        <v>0</v>
      </c>
      <c r="Q61" s="3">
        <f>IF(AND(ISNUMBER(J61),J61&lt;=D_F01!$B$7),J61-I61,0)</f>
        <v>0</v>
      </c>
      <c r="R61" s="3">
        <f t="shared" si="5"/>
        <v>0</v>
      </c>
      <c r="S61" s="3">
        <f>IF(AND(ISNUMBER(J61),J61&lt;=D_F01!$B$7,J61&gt;D_F01!$B$7-D_F01!$B$25),G61*R61,0)</f>
        <v>0</v>
      </c>
      <c r="T61" s="3">
        <f>IF(AND(ISNUMBER(J61),J61&lt;=D_F01!$B$7,J61&gt;D_F01!$B$7-D_F01!$B$25),G61,0)</f>
        <v>88477180</v>
      </c>
      <c r="U61" s="3">
        <f>IF(INDEX(D_F01!$C$51:$C$59,MATCH(C61,D_F01!$A$51:$A$59,0))="có",1,0)</f>
        <v>1</v>
      </c>
      <c r="V61">
        <f>IF(AND(N61=1,L61&gt;0,L61&lt;1,K61&gt;M61,H61+M61&gt;=D_F01!$B$7),1,0)</f>
        <v>0</v>
      </c>
      <c r="W61" s="29">
        <f t="shared" si="6"/>
        <v>0</v>
      </c>
      <c r="X61" s="30">
        <f t="shared" si="7"/>
        <v>0</v>
      </c>
    </row>
    <row r="62" spans="1:24" ht="25.95" customHeight="1">
      <c r="A62" s="14" t="s">
        <v>1754</v>
      </c>
      <c r="B62" s="14" t="s">
        <v>1312</v>
      </c>
      <c r="C62" s="14" t="s">
        <v>979</v>
      </c>
      <c r="D62" s="14" t="s">
        <v>980</v>
      </c>
      <c r="E62" s="14" t="s">
        <v>1755</v>
      </c>
      <c r="F62" s="14" t="s">
        <v>1659</v>
      </c>
      <c r="G62" s="16">
        <v>48608309</v>
      </c>
      <c r="H62" s="12">
        <v>46103</v>
      </c>
      <c r="I62" s="12">
        <v>46148</v>
      </c>
      <c r="J62" s="12">
        <v>46159</v>
      </c>
      <c r="K62" s="14">
        <v>45</v>
      </c>
      <c r="L62" s="34">
        <v>0</v>
      </c>
      <c r="M62" s="14">
        <v>0</v>
      </c>
      <c r="N62" s="5">
        <f>IF(AND(H62&lt;=D_F01!$B$7,OR(NOT(ISNUMBER(J62)),J62&gt;D_F01!$B$7)),1,0)</f>
        <v>0</v>
      </c>
      <c r="O62" s="9">
        <f t="shared" si="4"/>
        <v>0</v>
      </c>
      <c r="P62" s="5">
        <f>IF(N62=1,MAX(0,D_F01!$B$7-I62),0)</f>
        <v>0</v>
      </c>
      <c r="Q62" s="5">
        <f>IF(AND(ISNUMBER(J62),J62&lt;=D_F01!$B$7),J62-I62,0)</f>
        <v>11</v>
      </c>
      <c r="R62" s="5">
        <f t="shared" si="5"/>
        <v>11</v>
      </c>
      <c r="S62" s="5">
        <f>IF(AND(ISNUMBER(J62),J62&lt;=D_F01!$B$7,J62&gt;D_F01!$B$7-D_F01!$B$25),G62*R62,0)</f>
        <v>534691399</v>
      </c>
      <c r="T62" s="5">
        <f>IF(AND(ISNUMBER(J62),J62&lt;=D_F01!$B$7,J62&gt;D_F01!$B$7-D_F01!$B$25),G62,0)</f>
        <v>48608309</v>
      </c>
      <c r="U62" s="5">
        <f>IF(INDEX(D_F01!$C$51:$C$59,MATCH(C62,D_F01!$A$51:$A$59,0))="có",1,0)</f>
        <v>0</v>
      </c>
      <c r="V62">
        <f>IF(AND(N62=1,L62&gt;0,L62&lt;1,K62&gt;M62,H62+M62&gt;=D_F01!$B$7),1,0)</f>
        <v>0</v>
      </c>
      <c r="W62" s="29">
        <f t="shared" si="6"/>
        <v>0</v>
      </c>
      <c r="X62" s="30">
        <f t="shared" si="7"/>
        <v>0</v>
      </c>
    </row>
    <row r="63" spans="1:24" ht="25.95" customHeight="1">
      <c r="A63" s="11" t="s">
        <v>1756</v>
      </c>
      <c r="B63" s="11" t="s">
        <v>1312</v>
      </c>
      <c r="C63" s="11" t="s">
        <v>976</v>
      </c>
      <c r="D63" s="11" t="s">
        <v>977</v>
      </c>
      <c r="E63" s="11" t="s">
        <v>1757</v>
      </c>
      <c r="F63" s="11" t="s">
        <v>1645</v>
      </c>
      <c r="G63" s="15">
        <v>134883808</v>
      </c>
      <c r="H63" s="13">
        <v>46105</v>
      </c>
      <c r="I63" s="13">
        <v>46135</v>
      </c>
      <c r="J63" s="13">
        <v>46139</v>
      </c>
      <c r="K63" s="11">
        <v>30</v>
      </c>
      <c r="L63" s="17">
        <v>0.02</v>
      </c>
      <c r="M63" s="11">
        <v>10</v>
      </c>
      <c r="N63" s="3">
        <f>IF(AND(H63&lt;=D_F01!$B$7,OR(NOT(ISNUMBER(J63)),J63&gt;D_F01!$B$7)),1,0)</f>
        <v>0</v>
      </c>
      <c r="O63" s="8">
        <f t="shared" si="4"/>
        <v>0</v>
      </c>
      <c r="P63" s="3">
        <f>IF(N63=1,MAX(0,D_F01!$B$7-I63),0)</f>
        <v>0</v>
      </c>
      <c r="Q63" s="3">
        <f>IF(AND(ISNUMBER(J63),J63&lt;=D_F01!$B$7),J63-I63,0)</f>
        <v>4</v>
      </c>
      <c r="R63" s="3">
        <f t="shared" si="5"/>
        <v>4</v>
      </c>
      <c r="S63" s="3">
        <f>IF(AND(ISNUMBER(J63),J63&lt;=D_F01!$B$7,J63&gt;D_F01!$B$7-D_F01!$B$25),G63*R63,0)</f>
        <v>539535232</v>
      </c>
      <c r="T63" s="3">
        <f>IF(AND(ISNUMBER(J63),J63&lt;=D_F01!$B$7,J63&gt;D_F01!$B$7-D_F01!$B$25),G63,0)</f>
        <v>134883808</v>
      </c>
      <c r="U63" s="3">
        <f>IF(INDEX(D_F01!$C$51:$C$59,MATCH(C63,D_F01!$A$51:$A$59,0))="có",1,0)</f>
        <v>1</v>
      </c>
      <c r="V63">
        <f>IF(AND(N63=1,L63&gt;0,L63&lt;1,K63&gt;M63,H63+M63&gt;=D_F01!$B$7),1,0)</f>
        <v>0</v>
      </c>
      <c r="W63" s="29">
        <f t="shared" si="6"/>
        <v>0</v>
      </c>
      <c r="X63" s="30">
        <f t="shared" si="7"/>
        <v>0</v>
      </c>
    </row>
    <row r="64" spans="1:24" ht="25.95" customHeight="1">
      <c r="A64" s="14" t="s">
        <v>1758</v>
      </c>
      <c r="B64" s="14" t="s">
        <v>1312</v>
      </c>
      <c r="C64" s="14" t="s">
        <v>988</v>
      </c>
      <c r="D64" s="14" t="s">
        <v>989</v>
      </c>
      <c r="E64" s="14" t="s">
        <v>1759</v>
      </c>
      <c r="F64" s="14" t="s">
        <v>1640</v>
      </c>
      <c r="G64" s="16">
        <v>38995552</v>
      </c>
      <c r="H64" s="12">
        <v>46106</v>
      </c>
      <c r="I64" s="12">
        <v>46121</v>
      </c>
      <c r="J64" s="12">
        <v>46125</v>
      </c>
      <c r="K64" s="14">
        <v>15</v>
      </c>
      <c r="L64" s="34">
        <v>0</v>
      </c>
      <c r="M64" s="14">
        <v>0</v>
      </c>
      <c r="N64" s="5">
        <f>IF(AND(H64&lt;=D_F01!$B$7,OR(NOT(ISNUMBER(J64)),J64&gt;D_F01!$B$7)),1,0)</f>
        <v>0</v>
      </c>
      <c r="O64" s="9">
        <f t="shared" si="4"/>
        <v>0</v>
      </c>
      <c r="P64" s="5">
        <f>IF(N64=1,MAX(0,D_F01!$B$7-I64),0)</f>
        <v>0</v>
      </c>
      <c r="Q64" s="5">
        <f>IF(AND(ISNUMBER(J64),J64&lt;=D_F01!$B$7),J64-I64,0)</f>
        <v>4</v>
      </c>
      <c r="R64" s="5">
        <f t="shared" si="5"/>
        <v>4</v>
      </c>
      <c r="S64" s="5">
        <f>IF(AND(ISNUMBER(J64),J64&lt;=D_F01!$B$7,J64&gt;D_F01!$B$7-D_F01!$B$25),G64*R64,0)</f>
        <v>155982208</v>
      </c>
      <c r="T64" s="5">
        <f>IF(AND(ISNUMBER(J64),J64&lt;=D_F01!$B$7,J64&gt;D_F01!$B$7-D_F01!$B$25),G64,0)</f>
        <v>38995552</v>
      </c>
      <c r="U64" s="5">
        <f>IF(INDEX(D_F01!$C$51:$C$59,MATCH(C64,D_F01!$A$51:$A$59,0))="có",1,0)</f>
        <v>1</v>
      </c>
      <c r="V64">
        <f>IF(AND(N64=1,L64&gt;0,L64&lt;1,K64&gt;M64,H64+M64&gt;=D_F01!$B$7),1,0)</f>
        <v>0</v>
      </c>
      <c r="W64" s="29">
        <f t="shared" si="6"/>
        <v>0</v>
      </c>
      <c r="X64" s="30">
        <f t="shared" si="7"/>
        <v>0</v>
      </c>
    </row>
    <row r="65" spans="1:24" ht="25.95" customHeight="1">
      <c r="A65" s="11" t="s">
        <v>1760</v>
      </c>
      <c r="B65" s="11" t="s">
        <v>1312</v>
      </c>
      <c r="C65" s="11" t="s">
        <v>979</v>
      </c>
      <c r="D65" s="11" t="s">
        <v>980</v>
      </c>
      <c r="E65" s="11" t="s">
        <v>1761</v>
      </c>
      <c r="F65" s="11" t="s">
        <v>1659</v>
      </c>
      <c r="G65" s="15">
        <v>54996929</v>
      </c>
      <c r="H65" s="13">
        <v>46107</v>
      </c>
      <c r="I65" s="13">
        <v>46152</v>
      </c>
      <c r="J65" s="13">
        <v>46174</v>
      </c>
      <c r="K65" s="11">
        <v>45</v>
      </c>
      <c r="L65" s="17">
        <v>0</v>
      </c>
      <c r="M65" s="11">
        <v>0</v>
      </c>
      <c r="N65" s="3">
        <f>IF(AND(H65&lt;=D_F01!$B$7,OR(NOT(ISNUMBER(J65)),J65&gt;D_F01!$B$7)),1,0)</f>
        <v>0</v>
      </c>
      <c r="O65" s="8">
        <f t="shared" si="4"/>
        <v>0</v>
      </c>
      <c r="P65" s="3">
        <f>IF(N65=1,MAX(0,D_F01!$B$7-I65),0)</f>
        <v>0</v>
      </c>
      <c r="Q65" s="3">
        <f>IF(AND(ISNUMBER(J65),J65&lt;=D_F01!$B$7),J65-I65,0)</f>
        <v>22</v>
      </c>
      <c r="R65" s="3">
        <f t="shared" si="5"/>
        <v>22</v>
      </c>
      <c r="S65" s="3">
        <f>IF(AND(ISNUMBER(J65),J65&lt;=D_F01!$B$7,J65&gt;D_F01!$B$7-D_F01!$B$25),G65*R65,0)</f>
        <v>1209932438</v>
      </c>
      <c r="T65" s="3">
        <f>IF(AND(ISNUMBER(J65),J65&lt;=D_F01!$B$7,J65&gt;D_F01!$B$7-D_F01!$B$25),G65,0)</f>
        <v>54996929</v>
      </c>
      <c r="U65" s="3">
        <f>IF(INDEX(D_F01!$C$51:$C$59,MATCH(C65,D_F01!$A$51:$A$59,0))="có",1,0)</f>
        <v>0</v>
      </c>
      <c r="V65">
        <f>IF(AND(N65=1,L65&gt;0,L65&lt;1,K65&gt;M65,H65+M65&gt;=D_F01!$B$7),1,0)</f>
        <v>0</v>
      </c>
      <c r="W65" s="29">
        <f t="shared" si="6"/>
        <v>0</v>
      </c>
      <c r="X65" s="30">
        <f t="shared" si="7"/>
        <v>0</v>
      </c>
    </row>
    <row r="66" spans="1:24" ht="25.95" customHeight="1">
      <c r="A66" s="14" t="s">
        <v>1762</v>
      </c>
      <c r="B66" s="14" t="s">
        <v>1312</v>
      </c>
      <c r="C66" s="14" t="s">
        <v>995</v>
      </c>
      <c r="D66" s="14" t="s">
        <v>996</v>
      </c>
      <c r="E66" s="14" t="s">
        <v>1763</v>
      </c>
      <c r="F66" s="14" t="s">
        <v>1634</v>
      </c>
      <c r="G66" s="16">
        <v>33100819</v>
      </c>
      <c r="H66" s="12">
        <v>46108</v>
      </c>
      <c r="I66" s="12">
        <v>46138</v>
      </c>
      <c r="J66" s="12">
        <v>46140</v>
      </c>
      <c r="K66" s="14">
        <v>30</v>
      </c>
      <c r="L66" s="34">
        <v>0.01</v>
      </c>
      <c r="M66" s="14">
        <v>7</v>
      </c>
      <c r="N66" s="5">
        <f>IF(AND(H66&lt;=D_F01!$B$7,OR(NOT(ISNUMBER(J66)),J66&gt;D_F01!$B$7)),1,0)</f>
        <v>0</v>
      </c>
      <c r="O66" s="9">
        <f t="shared" si="4"/>
        <v>0</v>
      </c>
      <c r="P66" s="5">
        <f>IF(N66=1,MAX(0,D_F01!$B$7-I66),0)</f>
        <v>0</v>
      </c>
      <c r="Q66" s="5">
        <f>IF(AND(ISNUMBER(J66),J66&lt;=D_F01!$B$7),J66-I66,0)</f>
        <v>2</v>
      </c>
      <c r="R66" s="5">
        <f t="shared" si="5"/>
        <v>2</v>
      </c>
      <c r="S66" s="5">
        <f>IF(AND(ISNUMBER(J66),J66&lt;=D_F01!$B$7,J66&gt;D_F01!$B$7-D_F01!$B$25),G66*R66,0)</f>
        <v>66201638</v>
      </c>
      <c r="T66" s="5">
        <f>IF(AND(ISNUMBER(J66),J66&lt;=D_F01!$B$7,J66&gt;D_F01!$B$7-D_F01!$B$25),G66,0)</f>
        <v>33100819</v>
      </c>
      <c r="U66" s="5">
        <f>IF(INDEX(D_F01!$C$51:$C$59,MATCH(C66,D_F01!$A$51:$A$59,0))="có",1,0)</f>
        <v>1</v>
      </c>
      <c r="V66">
        <f>IF(AND(N66=1,L66&gt;0,L66&lt;1,K66&gt;M66,H66+M66&gt;=D_F01!$B$7),1,0)</f>
        <v>0</v>
      </c>
      <c r="W66" s="29">
        <f t="shared" si="6"/>
        <v>0</v>
      </c>
      <c r="X66" s="30">
        <f t="shared" si="7"/>
        <v>0</v>
      </c>
    </row>
    <row r="67" spans="1:24" ht="25.95" customHeight="1">
      <c r="A67" s="11" t="s">
        <v>1764</v>
      </c>
      <c r="B67" s="11" t="s">
        <v>1312</v>
      </c>
      <c r="C67" s="11" t="s">
        <v>982</v>
      </c>
      <c r="D67" s="11" t="s">
        <v>983</v>
      </c>
      <c r="E67" s="11" t="s">
        <v>1765</v>
      </c>
      <c r="F67" s="11" t="s">
        <v>1637</v>
      </c>
      <c r="G67" s="15">
        <v>31678120</v>
      </c>
      <c r="H67" s="13">
        <v>46112</v>
      </c>
      <c r="I67" s="13">
        <v>46127</v>
      </c>
      <c r="J67" s="13">
        <v>46127</v>
      </c>
      <c r="K67" s="11">
        <v>15</v>
      </c>
      <c r="L67" s="17">
        <v>0</v>
      </c>
      <c r="M67" s="11">
        <v>0</v>
      </c>
      <c r="N67" s="3">
        <f>IF(AND(H67&lt;=D_F01!$B$7,OR(NOT(ISNUMBER(J67)),J67&gt;D_F01!$B$7)),1,0)</f>
        <v>0</v>
      </c>
      <c r="O67" s="8">
        <f t="shared" si="4"/>
        <v>0</v>
      </c>
      <c r="P67" s="3">
        <f>IF(N67=1,MAX(0,D_F01!$B$7-I67),0)</f>
        <v>0</v>
      </c>
      <c r="Q67" s="3">
        <f>IF(AND(ISNUMBER(J67),J67&lt;=D_F01!$B$7),J67-I67,0)</f>
        <v>0</v>
      </c>
      <c r="R67" s="3">
        <f t="shared" si="5"/>
        <v>0</v>
      </c>
      <c r="S67" s="3">
        <f>IF(AND(ISNUMBER(J67),J67&lt;=D_F01!$B$7,J67&gt;D_F01!$B$7-D_F01!$B$25),G67*R67,0)</f>
        <v>0</v>
      </c>
      <c r="T67" s="3">
        <f>IF(AND(ISNUMBER(J67),J67&lt;=D_F01!$B$7,J67&gt;D_F01!$B$7-D_F01!$B$25),G67,0)</f>
        <v>31678120</v>
      </c>
      <c r="U67" s="3">
        <f>IF(INDEX(D_F01!$C$51:$C$59,MATCH(C67,D_F01!$A$51:$A$59,0))="có",1,0)</f>
        <v>1</v>
      </c>
      <c r="V67">
        <f>IF(AND(N67=1,L67&gt;0,L67&lt;1,K67&gt;M67,H67+M67&gt;=D_F01!$B$7),1,0)</f>
        <v>0</v>
      </c>
      <c r="W67" s="29">
        <f t="shared" si="6"/>
        <v>0</v>
      </c>
      <c r="X67" s="30">
        <f t="shared" si="7"/>
        <v>0</v>
      </c>
    </row>
    <row r="68" spans="1:24" ht="25.95" customHeight="1">
      <c r="A68" s="14" t="s">
        <v>1766</v>
      </c>
      <c r="B68" s="14" t="s">
        <v>1312</v>
      </c>
      <c r="C68" s="14" t="s">
        <v>995</v>
      </c>
      <c r="D68" s="14" t="s">
        <v>996</v>
      </c>
      <c r="E68" s="14" t="s">
        <v>1767</v>
      </c>
      <c r="F68" s="14" t="s">
        <v>1634</v>
      </c>
      <c r="G68" s="16">
        <v>38326169</v>
      </c>
      <c r="H68" s="12">
        <v>46112</v>
      </c>
      <c r="I68" s="12">
        <v>46142</v>
      </c>
      <c r="J68" s="12">
        <v>46145</v>
      </c>
      <c r="K68" s="14">
        <v>30</v>
      </c>
      <c r="L68" s="34">
        <v>0.01</v>
      </c>
      <c r="M68" s="14">
        <v>7</v>
      </c>
      <c r="N68" s="5">
        <f>IF(AND(H68&lt;=D_F01!$B$7,OR(NOT(ISNUMBER(J68)),J68&gt;D_F01!$B$7)),1,0)</f>
        <v>0</v>
      </c>
      <c r="O68" s="9">
        <f t="shared" si="4"/>
        <v>0</v>
      </c>
      <c r="P68" s="5">
        <f>IF(N68=1,MAX(0,D_F01!$B$7-I68),0)</f>
        <v>0</v>
      </c>
      <c r="Q68" s="5">
        <f>IF(AND(ISNUMBER(J68),J68&lt;=D_F01!$B$7),J68-I68,0)</f>
        <v>3</v>
      </c>
      <c r="R68" s="5">
        <f t="shared" si="5"/>
        <v>3</v>
      </c>
      <c r="S68" s="5">
        <f>IF(AND(ISNUMBER(J68),J68&lt;=D_F01!$B$7,J68&gt;D_F01!$B$7-D_F01!$B$25),G68*R68,0)</f>
        <v>114978507</v>
      </c>
      <c r="T68" s="5">
        <f>IF(AND(ISNUMBER(J68),J68&lt;=D_F01!$B$7,J68&gt;D_F01!$B$7-D_F01!$B$25),G68,0)</f>
        <v>38326169</v>
      </c>
      <c r="U68" s="5">
        <f>IF(INDEX(D_F01!$C$51:$C$59,MATCH(C68,D_F01!$A$51:$A$59,0))="có",1,0)</f>
        <v>1</v>
      </c>
      <c r="V68">
        <f>IF(AND(N68=1,L68&gt;0,L68&lt;1,K68&gt;M68,H68+M68&gt;=D_F01!$B$7),1,0)</f>
        <v>0</v>
      </c>
      <c r="W68" s="29">
        <f t="shared" si="6"/>
        <v>0</v>
      </c>
      <c r="X68" s="30">
        <f t="shared" si="7"/>
        <v>0</v>
      </c>
    </row>
    <row r="69" spans="1:24" ht="25.95" customHeight="1">
      <c r="A69" s="11" t="s">
        <v>1768</v>
      </c>
      <c r="B69" s="11" t="s">
        <v>1312</v>
      </c>
      <c r="C69" s="11" t="s">
        <v>976</v>
      </c>
      <c r="D69" s="11" t="s">
        <v>977</v>
      </c>
      <c r="E69" s="11" t="s">
        <v>1769</v>
      </c>
      <c r="F69" s="11" t="s">
        <v>1645</v>
      </c>
      <c r="G69" s="15">
        <v>68046083</v>
      </c>
      <c r="H69" s="13">
        <v>46114</v>
      </c>
      <c r="I69" s="13">
        <v>46144</v>
      </c>
      <c r="J69" s="13">
        <v>46144</v>
      </c>
      <c r="K69" s="11">
        <v>30</v>
      </c>
      <c r="L69" s="17">
        <v>0.02</v>
      </c>
      <c r="M69" s="11">
        <v>10</v>
      </c>
      <c r="N69" s="3">
        <f>IF(AND(H69&lt;=D_F01!$B$7,OR(NOT(ISNUMBER(J69)),J69&gt;D_F01!$B$7)),1,0)</f>
        <v>0</v>
      </c>
      <c r="O69" s="8">
        <f t="shared" ref="O69:O100" si="8">G69*N69</f>
        <v>0</v>
      </c>
      <c r="P69" s="3">
        <f>IF(N69=1,MAX(0,D_F01!$B$7-I69),0)</f>
        <v>0</v>
      </c>
      <c r="Q69" s="3">
        <f>IF(AND(ISNUMBER(J69),J69&lt;=D_F01!$B$7),J69-I69,0)</f>
        <v>0</v>
      </c>
      <c r="R69" s="3">
        <f t="shared" ref="R69:R100" si="9">MAX(0,Q69)</f>
        <v>0</v>
      </c>
      <c r="S69" s="3">
        <f>IF(AND(ISNUMBER(J69),J69&lt;=D_F01!$B$7,J69&gt;D_F01!$B$7-D_F01!$B$25),G69*R69,0)</f>
        <v>0</v>
      </c>
      <c r="T69" s="3">
        <f>IF(AND(ISNUMBER(J69),J69&lt;=D_F01!$B$7,J69&gt;D_F01!$B$7-D_F01!$B$25),G69,0)</f>
        <v>68046083</v>
      </c>
      <c r="U69" s="3">
        <f>IF(INDEX(D_F01!$C$51:$C$59,MATCH(C69,D_F01!$A$51:$A$59,0))="có",1,0)</f>
        <v>1</v>
      </c>
      <c r="V69">
        <f>IF(AND(N69=1,L69&gt;0,L69&lt;1,K69&gt;M69,H69+M69&gt;=D_F01!$B$7),1,0)</f>
        <v>0</v>
      </c>
      <c r="W69" s="29">
        <f t="shared" ref="W69:W100" si="10">IF(V69=1,O69*L69,0)</f>
        <v>0</v>
      </c>
      <c r="X69" s="30">
        <f t="shared" ref="X69:X100" si="11">IF(V69=1,L69/(1-L69)*365/(K69-M69),0)</f>
        <v>0</v>
      </c>
    </row>
    <row r="70" spans="1:24" ht="25.95" customHeight="1">
      <c r="A70" s="14" t="s">
        <v>1770</v>
      </c>
      <c r="B70" s="14" t="s">
        <v>1312</v>
      </c>
      <c r="C70" s="14" t="s">
        <v>984</v>
      </c>
      <c r="D70" s="14" t="s">
        <v>985</v>
      </c>
      <c r="E70" s="14" t="s">
        <v>1771</v>
      </c>
      <c r="F70" s="14" t="s">
        <v>1648</v>
      </c>
      <c r="G70" s="16">
        <v>22032067</v>
      </c>
      <c r="H70" s="12">
        <v>46114</v>
      </c>
      <c r="I70" s="12">
        <v>46129</v>
      </c>
      <c r="J70" s="12">
        <v>46130</v>
      </c>
      <c r="K70" s="14">
        <v>15</v>
      </c>
      <c r="L70" s="34">
        <v>0</v>
      </c>
      <c r="M70" s="14">
        <v>0</v>
      </c>
      <c r="N70" s="5">
        <f>IF(AND(H70&lt;=D_F01!$B$7,OR(NOT(ISNUMBER(J70)),J70&gt;D_F01!$B$7)),1,0)</f>
        <v>0</v>
      </c>
      <c r="O70" s="9">
        <f t="shared" si="8"/>
        <v>0</v>
      </c>
      <c r="P70" s="5">
        <f>IF(N70=1,MAX(0,D_F01!$B$7-I70),0)</f>
        <v>0</v>
      </c>
      <c r="Q70" s="5">
        <f>IF(AND(ISNUMBER(J70),J70&lt;=D_F01!$B$7),J70-I70,0)</f>
        <v>1</v>
      </c>
      <c r="R70" s="5">
        <f t="shared" si="9"/>
        <v>1</v>
      </c>
      <c r="S70" s="5">
        <f>IF(AND(ISNUMBER(J70),J70&lt;=D_F01!$B$7,J70&gt;D_F01!$B$7-D_F01!$B$25),G70*R70,0)</f>
        <v>22032067</v>
      </c>
      <c r="T70" s="5">
        <f>IF(AND(ISNUMBER(J70),J70&lt;=D_F01!$B$7,J70&gt;D_F01!$B$7-D_F01!$B$25),G70,0)</f>
        <v>22032067</v>
      </c>
      <c r="U70" s="5">
        <f>IF(INDEX(D_F01!$C$51:$C$59,MATCH(C70,D_F01!$A$51:$A$59,0))="có",1,0)</f>
        <v>0</v>
      </c>
      <c r="V70">
        <f>IF(AND(N70=1,L70&gt;0,L70&lt;1,K70&gt;M70,H70+M70&gt;=D_F01!$B$7),1,0)</f>
        <v>0</v>
      </c>
      <c r="W70" s="29">
        <f t="shared" si="10"/>
        <v>0</v>
      </c>
      <c r="X70" s="30">
        <f t="shared" si="11"/>
        <v>0</v>
      </c>
    </row>
    <row r="71" spans="1:24" ht="25.95" customHeight="1">
      <c r="A71" s="11" t="s">
        <v>1772</v>
      </c>
      <c r="B71" s="11" t="s">
        <v>1312</v>
      </c>
      <c r="C71" s="11" t="s">
        <v>976</v>
      </c>
      <c r="D71" s="11" t="s">
        <v>977</v>
      </c>
      <c r="E71" s="11" t="s">
        <v>1773</v>
      </c>
      <c r="F71" s="11" t="s">
        <v>1645</v>
      </c>
      <c r="G71" s="15">
        <v>132716117</v>
      </c>
      <c r="H71" s="13">
        <v>46116</v>
      </c>
      <c r="I71" s="13">
        <v>46146</v>
      </c>
      <c r="J71" s="13">
        <v>46123</v>
      </c>
      <c r="K71" s="11">
        <v>30</v>
      </c>
      <c r="L71" s="17">
        <v>0.02</v>
      </c>
      <c r="M71" s="11">
        <v>10</v>
      </c>
      <c r="N71" s="3">
        <f>IF(AND(H71&lt;=D_F01!$B$7,OR(NOT(ISNUMBER(J71)),J71&gt;D_F01!$B$7)),1,0)</f>
        <v>0</v>
      </c>
      <c r="O71" s="8">
        <f t="shared" si="8"/>
        <v>0</v>
      </c>
      <c r="P71" s="3">
        <f>IF(N71=1,MAX(0,D_F01!$B$7-I71),0)</f>
        <v>0</v>
      </c>
      <c r="Q71" s="3">
        <f>IF(AND(ISNUMBER(J71),J71&lt;=D_F01!$B$7),J71-I71,0)</f>
        <v>-23</v>
      </c>
      <c r="R71" s="3">
        <f t="shared" si="9"/>
        <v>0</v>
      </c>
      <c r="S71" s="3">
        <f>IF(AND(ISNUMBER(J71),J71&lt;=D_F01!$B$7,J71&gt;D_F01!$B$7-D_F01!$B$25),G71*R71,0)</f>
        <v>0</v>
      </c>
      <c r="T71" s="3">
        <f>IF(AND(ISNUMBER(J71),J71&lt;=D_F01!$B$7,J71&gt;D_F01!$B$7-D_F01!$B$25),G71,0)</f>
        <v>132716117</v>
      </c>
      <c r="U71" s="3">
        <f>IF(INDEX(D_F01!$C$51:$C$59,MATCH(C71,D_F01!$A$51:$A$59,0))="có",1,0)</f>
        <v>1</v>
      </c>
      <c r="V71">
        <f>IF(AND(N71=1,L71&gt;0,L71&lt;1,K71&gt;M71,H71+M71&gt;=D_F01!$B$7),1,0)</f>
        <v>0</v>
      </c>
      <c r="W71" s="29">
        <f t="shared" si="10"/>
        <v>0</v>
      </c>
      <c r="X71" s="30">
        <f t="shared" si="11"/>
        <v>0</v>
      </c>
    </row>
    <row r="72" spans="1:24" ht="25.95" customHeight="1">
      <c r="A72" s="14" t="s">
        <v>1774</v>
      </c>
      <c r="B72" s="14" t="s">
        <v>1312</v>
      </c>
      <c r="C72" s="14" t="s">
        <v>986</v>
      </c>
      <c r="D72" s="14" t="s">
        <v>987</v>
      </c>
      <c r="E72" s="14" t="s">
        <v>1775</v>
      </c>
      <c r="F72" s="14" t="s">
        <v>1719</v>
      </c>
      <c r="G72" s="16">
        <v>68507368</v>
      </c>
      <c r="H72" s="12">
        <v>46116</v>
      </c>
      <c r="I72" s="12">
        <v>46146</v>
      </c>
      <c r="J72" s="12">
        <v>46144</v>
      </c>
      <c r="K72" s="14">
        <v>30</v>
      </c>
      <c r="L72" s="34">
        <v>0</v>
      </c>
      <c r="M72" s="14">
        <v>0</v>
      </c>
      <c r="N72" s="5">
        <f>IF(AND(H72&lt;=D_F01!$B$7,OR(NOT(ISNUMBER(J72)),J72&gt;D_F01!$B$7)),1,0)</f>
        <v>0</v>
      </c>
      <c r="O72" s="9">
        <f t="shared" si="8"/>
        <v>0</v>
      </c>
      <c r="P72" s="5">
        <f>IF(N72=1,MAX(0,D_F01!$B$7-I72),0)</f>
        <v>0</v>
      </c>
      <c r="Q72" s="5">
        <f>IF(AND(ISNUMBER(J72),J72&lt;=D_F01!$B$7),J72-I72,0)</f>
        <v>-2</v>
      </c>
      <c r="R72" s="5">
        <f t="shared" si="9"/>
        <v>0</v>
      </c>
      <c r="S72" s="5">
        <f>IF(AND(ISNUMBER(J72),J72&lt;=D_F01!$B$7,J72&gt;D_F01!$B$7-D_F01!$B$25),G72*R72,0)</f>
        <v>0</v>
      </c>
      <c r="T72" s="5">
        <f>IF(AND(ISNUMBER(J72),J72&lt;=D_F01!$B$7,J72&gt;D_F01!$B$7-D_F01!$B$25),G72,0)</f>
        <v>68507368</v>
      </c>
      <c r="U72" s="5">
        <f>IF(INDEX(D_F01!$C$51:$C$59,MATCH(C72,D_F01!$A$51:$A$59,0))="có",1,0)</f>
        <v>0</v>
      </c>
      <c r="V72">
        <f>IF(AND(N72=1,L72&gt;0,L72&lt;1,K72&gt;M72,H72+M72&gt;=D_F01!$B$7),1,0)</f>
        <v>0</v>
      </c>
      <c r="W72" s="29">
        <f t="shared" si="10"/>
        <v>0</v>
      </c>
      <c r="X72" s="30">
        <f t="shared" si="11"/>
        <v>0</v>
      </c>
    </row>
    <row r="73" spans="1:24" ht="25.95" customHeight="1">
      <c r="A73" s="11" t="s">
        <v>1776</v>
      </c>
      <c r="B73" s="11" t="s">
        <v>1312</v>
      </c>
      <c r="C73" s="11" t="s">
        <v>993</v>
      </c>
      <c r="D73" s="11" t="s">
        <v>994</v>
      </c>
      <c r="E73" s="11" t="s">
        <v>1777</v>
      </c>
      <c r="F73" s="11" t="s">
        <v>1680</v>
      </c>
      <c r="G73" s="15">
        <v>36610051</v>
      </c>
      <c r="H73" s="13">
        <v>46118</v>
      </c>
      <c r="I73" s="13">
        <v>46148</v>
      </c>
      <c r="J73" s="13">
        <v>46149</v>
      </c>
      <c r="K73" s="11">
        <v>30</v>
      </c>
      <c r="L73" s="17">
        <v>0</v>
      </c>
      <c r="M73" s="11">
        <v>0</v>
      </c>
      <c r="N73" s="3">
        <f>IF(AND(H73&lt;=D_F01!$B$7,OR(NOT(ISNUMBER(J73)),J73&gt;D_F01!$B$7)),1,0)</f>
        <v>0</v>
      </c>
      <c r="O73" s="8">
        <f t="shared" si="8"/>
        <v>0</v>
      </c>
      <c r="P73" s="3">
        <f>IF(N73=1,MAX(0,D_F01!$B$7-I73),0)</f>
        <v>0</v>
      </c>
      <c r="Q73" s="3">
        <f>IF(AND(ISNUMBER(J73),J73&lt;=D_F01!$B$7),J73-I73,0)</f>
        <v>1</v>
      </c>
      <c r="R73" s="3">
        <f t="shared" si="9"/>
        <v>1</v>
      </c>
      <c r="S73" s="3">
        <f>IF(AND(ISNUMBER(J73),J73&lt;=D_F01!$B$7,J73&gt;D_F01!$B$7-D_F01!$B$25),G73*R73,0)</f>
        <v>36610051</v>
      </c>
      <c r="T73" s="3">
        <f>IF(AND(ISNUMBER(J73),J73&lt;=D_F01!$B$7,J73&gt;D_F01!$B$7-D_F01!$B$25),G73,0)</f>
        <v>36610051</v>
      </c>
      <c r="U73" s="3">
        <f>IF(INDEX(D_F01!$C$51:$C$59,MATCH(C73,D_F01!$A$51:$A$59,0))="có",1,0)</f>
        <v>0</v>
      </c>
      <c r="V73">
        <f>IF(AND(N73=1,L73&gt;0,L73&lt;1,K73&gt;M73,H73+M73&gt;=D_F01!$B$7),1,0)</f>
        <v>0</v>
      </c>
      <c r="W73" s="29">
        <f t="shared" si="10"/>
        <v>0</v>
      </c>
      <c r="X73" s="30">
        <f t="shared" si="11"/>
        <v>0</v>
      </c>
    </row>
    <row r="74" spans="1:24" ht="25.95" customHeight="1">
      <c r="A74" s="14" t="s">
        <v>1778</v>
      </c>
      <c r="B74" s="14" t="s">
        <v>1312</v>
      </c>
      <c r="C74" s="14" t="s">
        <v>982</v>
      </c>
      <c r="D74" s="14" t="s">
        <v>983</v>
      </c>
      <c r="E74" s="14" t="s">
        <v>1779</v>
      </c>
      <c r="F74" s="14" t="s">
        <v>1637</v>
      </c>
      <c r="G74" s="16">
        <v>22668848</v>
      </c>
      <c r="H74" s="12">
        <v>46119</v>
      </c>
      <c r="I74" s="12">
        <v>46134</v>
      </c>
      <c r="J74" s="12">
        <v>46136</v>
      </c>
      <c r="K74" s="14">
        <v>15</v>
      </c>
      <c r="L74" s="34">
        <v>0</v>
      </c>
      <c r="M74" s="14">
        <v>0</v>
      </c>
      <c r="N74" s="5">
        <f>IF(AND(H74&lt;=D_F01!$B$7,OR(NOT(ISNUMBER(J74)),J74&gt;D_F01!$B$7)),1,0)</f>
        <v>0</v>
      </c>
      <c r="O74" s="9">
        <f t="shared" si="8"/>
        <v>0</v>
      </c>
      <c r="P74" s="5">
        <f>IF(N74=1,MAX(0,D_F01!$B$7-I74),0)</f>
        <v>0</v>
      </c>
      <c r="Q74" s="5">
        <f>IF(AND(ISNUMBER(J74),J74&lt;=D_F01!$B$7),J74-I74,0)</f>
        <v>2</v>
      </c>
      <c r="R74" s="5">
        <f t="shared" si="9"/>
        <v>2</v>
      </c>
      <c r="S74" s="5">
        <f>IF(AND(ISNUMBER(J74),J74&lt;=D_F01!$B$7,J74&gt;D_F01!$B$7-D_F01!$B$25),G74*R74,0)</f>
        <v>45337696</v>
      </c>
      <c r="T74" s="5">
        <f>IF(AND(ISNUMBER(J74),J74&lt;=D_F01!$B$7,J74&gt;D_F01!$B$7-D_F01!$B$25),G74,0)</f>
        <v>22668848</v>
      </c>
      <c r="U74" s="5">
        <f>IF(INDEX(D_F01!$C$51:$C$59,MATCH(C74,D_F01!$A$51:$A$59,0))="có",1,0)</f>
        <v>1</v>
      </c>
      <c r="V74">
        <f>IF(AND(N74=1,L74&gt;0,L74&lt;1,K74&gt;M74,H74+M74&gt;=D_F01!$B$7),1,0)</f>
        <v>0</v>
      </c>
      <c r="W74" s="29">
        <f t="shared" si="10"/>
        <v>0</v>
      </c>
      <c r="X74" s="30">
        <f t="shared" si="11"/>
        <v>0</v>
      </c>
    </row>
    <row r="75" spans="1:24" ht="25.95" customHeight="1">
      <c r="A75" s="11" t="s">
        <v>1780</v>
      </c>
      <c r="B75" s="11" t="s">
        <v>1312</v>
      </c>
      <c r="C75" s="11" t="s">
        <v>979</v>
      </c>
      <c r="D75" s="11" t="s">
        <v>980</v>
      </c>
      <c r="E75" s="11" t="s">
        <v>1781</v>
      </c>
      <c r="F75" s="11" t="s">
        <v>1659</v>
      </c>
      <c r="G75" s="15">
        <v>63962500</v>
      </c>
      <c r="H75" s="13">
        <v>46120</v>
      </c>
      <c r="I75" s="13">
        <v>46165</v>
      </c>
      <c r="J75" s="13">
        <v>46178</v>
      </c>
      <c r="K75" s="11">
        <v>45</v>
      </c>
      <c r="L75" s="17">
        <v>0</v>
      </c>
      <c r="M75" s="11">
        <v>0</v>
      </c>
      <c r="N75" s="3">
        <f>IF(AND(H75&lt;=D_F01!$B$7,OR(NOT(ISNUMBER(J75)),J75&gt;D_F01!$B$7)),1,0)</f>
        <v>0</v>
      </c>
      <c r="O75" s="8">
        <f t="shared" si="8"/>
        <v>0</v>
      </c>
      <c r="P75" s="3">
        <f>IF(N75=1,MAX(0,D_F01!$B$7-I75),0)</f>
        <v>0</v>
      </c>
      <c r="Q75" s="3">
        <f>IF(AND(ISNUMBER(J75),J75&lt;=D_F01!$B$7),J75-I75,0)</f>
        <v>13</v>
      </c>
      <c r="R75" s="3">
        <f t="shared" si="9"/>
        <v>13</v>
      </c>
      <c r="S75" s="3">
        <f>IF(AND(ISNUMBER(J75),J75&lt;=D_F01!$B$7,J75&gt;D_F01!$B$7-D_F01!$B$25),G75*R75,0)</f>
        <v>831512500</v>
      </c>
      <c r="T75" s="3">
        <f>IF(AND(ISNUMBER(J75),J75&lt;=D_F01!$B$7,J75&gt;D_F01!$B$7-D_F01!$B$25),G75,0)</f>
        <v>63962500</v>
      </c>
      <c r="U75" s="3">
        <f>IF(INDEX(D_F01!$C$51:$C$59,MATCH(C75,D_F01!$A$51:$A$59,0))="có",1,0)</f>
        <v>0</v>
      </c>
      <c r="V75">
        <f>IF(AND(N75=1,L75&gt;0,L75&lt;1,K75&gt;M75,H75+M75&gt;=D_F01!$B$7),1,0)</f>
        <v>0</v>
      </c>
      <c r="W75" s="29">
        <f t="shared" si="10"/>
        <v>0</v>
      </c>
      <c r="X75" s="30">
        <f t="shared" si="11"/>
        <v>0</v>
      </c>
    </row>
    <row r="76" spans="1:24" ht="25.95" customHeight="1">
      <c r="A76" s="14" t="s">
        <v>1782</v>
      </c>
      <c r="B76" s="14" t="s">
        <v>1312</v>
      </c>
      <c r="C76" s="14" t="s">
        <v>976</v>
      </c>
      <c r="D76" s="14" t="s">
        <v>977</v>
      </c>
      <c r="E76" s="14" t="s">
        <v>1783</v>
      </c>
      <c r="F76" s="14" t="s">
        <v>1645</v>
      </c>
      <c r="G76" s="16">
        <v>165862718</v>
      </c>
      <c r="H76" s="12">
        <v>46122</v>
      </c>
      <c r="I76" s="12">
        <v>46152</v>
      </c>
      <c r="J76" s="12">
        <v>46152</v>
      </c>
      <c r="K76" s="14">
        <v>30</v>
      </c>
      <c r="L76" s="34">
        <v>0.02</v>
      </c>
      <c r="M76" s="14">
        <v>10</v>
      </c>
      <c r="N76" s="5">
        <f>IF(AND(H76&lt;=D_F01!$B$7,OR(NOT(ISNUMBER(J76)),J76&gt;D_F01!$B$7)),1,0)</f>
        <v>0</v>
      </c>
      <c r="O76" s="9">
        <f t="shared" si="8"/>
        <v>0</v>
      </c>
      <c r="P76" s="5">
        <f>IF(N76=1,MAX(0,D_F01!$B$7-I76),0)</f>
        <v>0</v>
      </c>
      <c r="Q76" s="5">
        <f>IF(AND(ISNUMBER(J76),J76&lt;=D_F01!$B$7),J76-I76,0)</f>
        <v>0</v>
      </c>
      <c r="R76" s="5">
        <f t="shared" si="9"/>
        <v>0</v>
      </c>
      <c r="S76" s="5">
        <f>IF(AND(ISNUMBER(J76),J76&lt;=D_F01!$B$7,J76&gt;D_F01!$B$7-D_F01!$B$25),G76*R76,0)</f>
        <v>0</v>
      </c>
      <c r="T76" s="5">
        <f>IF(AND(ISNUMBER(J76),J76&lt;=D_F01!$B$7,J76&gt;D_F01!$B$7-D_F01!$B$25),G76,0)</f>
        <v>165862718</v>
      </c>
      <c r="U76" s="5">
        <f>IF(INDEX(D_F01!$C$51:$C$59,MATCH(C76,D_F01!$A$51:$A$59,0))="có",1,0)</f>
        <v>1</v>
      </c>
      <c r="V76">
        <f>IF(AND(N76=1,L76&gt;0,L76&lt;1,K76&gt;M76,H76+M76&gt;=D_F01!$B$7),1,0)</f>
        <v>0</v>
      </c>
      <c r="W76" s="29">
        <f t="shared" si="10"/>
        <v>0</v>
      </c>
      <c r="X76" s="30">
        <f t="shared" si="11"/>
        <v>0</v>
      </c>
    </row>
    <row r="77" spans="1:24" ht="25.95" customHeight="1">
      <c r="A77" s="11" t="s">
        <v>1784</v>
      </c>
      <c r="B77" s="11" t="s">
        <v>1312</v>
      </c>
      <c r="C77" s="11" t="s">
        <v>995</v>
      </c>
      <c r="D77" s="11" t="s">
        <v>996</v>
      </c>
      <c r="E77" s="11" t="s">
        <v>1785</v>
      </c>
      <c r="F77" s="11" t="s">
        <v>1634</v>
      </c>
      <c r="G77" s="15">
        <v>41997024</v>
      </c>
      <c r="H77" s="13">
        <v>46124</v>
      </c>
      <c r="I77" s="13">
        <v>46154</v>
      </c>
      <c r="J77" s="13">
        <v>46130</v>
      </c>
      <c r="K77" s="11">
        <v>30</v>
      </c>
      <c r="L77" s="17">
        <v>0.01</v>
      </c>
      <c r="M77" s="11">
        <v>7</v>
      </c>
      <c r="N77" s="3">
        <f>IF(AND(H77&lt;=D_F01!$B$7,OR(NOT(ISNUMBER(J77)),J77&gt;D_F01!$B$7)),1,0)</f>
        <v>0</v>
      </c>
      <c r="O77" s="8">
        <f t="shared" si="8"/>
        <v>0</v>
      </c>
      <c r="P77" s="3">
        <f>IF(N77=1,MAX(0,D_F01!$B$7-I77),0)</f>
        <v>0</v>
      </c>
      <c r="Q77" s="3">
        <f>IF(AND(ISNUMBER(J77),J77&lt;=D_F01!$B$7),J77-I77,0)</f>
        <v>-24</v>
      </c>
      <c r="R77" s="3">
        <f t="shared" si="9"/>
        <v>0</v>
      </c>
      <c r="S77" s="3">
        <f>IF(AND(ISNUMBER(J77),J77&lt;=D_F01!$B$7,J77&gt;D_F01!$B$7-D_F01!$B$25),G77*R77,0)</f>
        <v>0</v>
      </c>
      <c r="T77" s="3">
        <f>IF(AND(ISNUMBER(J77),J77&lt;=D_F01!$B$7,J77&gt;D_F01!$B$7-D_F01!$B$25),G77,0)</f>
        <v>41997024</v>
      </c>
      <c r="U77" s="3">
        <f>IF(INDEX(D_F01!$C$51:$C$59,MATCH(C77,D_F01!$A$51:$A$59,0))="có",1,0)</f>
        <v>1</v>
      </c>
      <c r="V77">
        <f>IF(AND(N77=1,L77&gt;0,L77&lt;1,K77&gt;M77,H77+M77&gt;=D_F01!$B$7),1,0)</f>
        <v>0</v>
      </c>
      <c r="W77" s="29">
        <f t="shared" si="10"/>
        <v>0</v>
      </c>
      <c r="X77" s="30">
        <f t="shared" si="11"/>
        <v>0</v>
      </c>
    </row>
    <row r="78" spans="1:24" ht="25.95" customHeight="1">
      <c r="A78" s="14" t="s">
        <v>1786</v>
      </c>
      <c r="B78" s="14" t="s">
        <v>1312</v>
      </c>
      <c r="C78" s="14" t="s">
        <v>979</v>
      </c>
      <c r="D78" s="14" t="s">
        <v>980</v>
      </c>
      <c r="E78" s="14" t="s">
        <v>1787</v>
      </c>
      <c r="F78" s="14" t="s">
        <v>1659</v>
      </c>
      <c r="G78" s="16">
        <v>107248346</v>
      </c>
      <c r="H78" s="12">
        <v>46125</v>
      </c>
      <c r="I78" s="12">
        <v>46170</v>
      </c>
      <c r="J78" s="12">
        <v>46184</v>
      </c>
      <c r="K78" s="14">
        <v>45</v>
      </c>
      <c r="L78" s="34">
        <v>0</v>
      </c>
      <c r="M78" s="14">
        <v>0</v>
      </c>
      <c r="N78" s="5">
        <f>IF(AND(H78&lt;=D_F01!$B$7,OR(NOT(ISNUMBER(J78)),J78&gt;D_F01!$B$7)),1,0)</f>
        <v>0</v>
      </c>
      <c r="O78" s="9">
        <f t="shared" si="8"/>
        <v>0</v>
      </c>
      <c r="P78" s="5">
        <f>IF(N78=1,MAX(0,D_F01!$B$7-I78),0)</f>
        <v>0</v>
      </c>
      <c r="Q78" s="5">
        <f>IF(AND(ISNUMBER(J78),J78&lt;=D_F01!$B$7),J78-I78,0)</f>
        <v>14</v>
      </c>
      <c r="R78" s="5">
        <f t="shared" si="9"/>
        <v>14</v>
      </c>
      <c r="S78" s="5">
        <f>IF(AND(ISNUMBER(J78),J78&lt;=D_F01!$B$7,J78&gt;D_F01!$B$7-D_F01!$B$25),G78*R78,0)</f>
        <v>1501476844</v>
      </c>
      <c r="T78" s="5">
        <f>IF(AND(ISNUMBER(J78),J78&lt;=D_F01!$B$7,J78&gt;D_F01!$B$7-D_F01!$B$25),G78,0)</f>
        <v>107248346</v>
      </c>
      <c r="U78" s="5">
        <f>IF(INDEX(D_F01!$C$51:$C$59,MATCH(C78,D_F01!$A$51:$A$59,0))="có",1,0)</f>
        <v>0</v>
      </c>
      <c r="V78">
        <f>IF(AND(N78=1,L78&gt;0,L78&lt;1,K78&gt;M78,H78+M78&gt;=D_F01!$B$7),1,0)</f>
        <v>0</v>
      </c>
      <c r="W78" s="29">
        <f t="shared" si="10"/>
        <v>0</v>
      </c>
      <c r="X78" s="30">
        <f t="shared" si="11"/>
        <v>0</v>
      </c>
    </row>
    <row r="79" spans="1:24" ht="25.95" customHeight="1">
      <c r="A79" s="11" t="s">
        <v>1788</v>
      </c>
      <c r="B79" s="11" t="s">
        <v>1312</v>
      </c>
      <c r="C79" s="11" t="s">
        <v>982</v>
      </c>
      <c r="D79" s="11" t="s">
        <v>983</v>
      </c>
      <c r="E79" s="11" t="s">
        <v>1789</v>
      </c>
      <c r="F79" s="11" t="s">
        <v>1637</v>
      </c>
      <c r="G79" s="15">
        <v>33035615</v>
      </c>
      <c r="H79" s="13">
        <v>46125</v>
      </c>
      <c r="I79" s="13">
        <v>46140</v>
      </c>
      <c r="J79" s="13">
        <v>46142</v>
      </c>
      <c r="K79" s="11">
        <v>15</v>
      </c>
      <c r="L79" s="17">
        <v>0</v>
      </c>
      <c r="M79" s="11">
        <v>0</v>
      </c>
      <c r="N79" s="3">
        <f>IF(AND(H79&lt;=D_F01!$B$7,OR(NOT(ISNUMBER(J79)),J79&gt;D_F01!$B$7)),1,0)</f>
        <v>0</v>
      </c>
      <c r="O79" s="8">
        <f t="shared" si="8"/>
        <v>0</v>
      </c>
      <c r="P79" s="3">
        <f>IF(N79=1,MAX(0,D_F01!$B$7-I79),0)</f>
        <v>0</v>
      </c>
      <c r="Q79" s="3">
        <f>IF(AND(ISNUMBER(J79),J79&lt;=D_F01!$B$7),J79-I79,0)</f>
        <v>2</v>
      </c>
      <c r="R79" s="3">
        <f t="shared" si="9"/>
        <v>2</v>
      </c>
      <c r="S79" s="3">
        <f>IF(AND(ISNUMBER(J79),J79&lt;=D_F01!$B$7,J79&gt;D_F01!$B$7-D_F01!$B$25),G79*R79,0)</f>
        <v>66071230</v>
      </c>
      <c r="T79" s="3">
        <f>IF(AND(ISNUMBER(J79),J79&lt;=D_F01!$B$7,J79&gt;D_F01!$B$7-D_F01!$B$25),G79,0)</f>
        <v>33035615</v>
      </c>
      <c r="U79" s="3">
        <f>IF(INDEX(D_F01!$C$51:$C$59,MATCH(C79,D_F01!$A$51:$A$59,0))="có",1,0)</f>
        <v>1</v>
      </c>
      <c r="V79">
        <f>IF(AND(N79=1,L79&gt;0,L79&lt;1,K79&gt;M79,H79+M79&gt;=D_F01!$B$7),1,0)</f>
        <v>0</v>
      </c>
      <c r="W79" s="29">
        <f t="shared" si="10"/>
        <v>0</v>
      </c>
      <c r="X79" s="30">
        <f t="shared" si="11"/>
        <v>0</v>
      </c>
    </row>
    <row r="80" spans="1:24" ht="25.95" customHeight="1">
      <c r="A80" s="14" t="s">
        <v>1790</v>
      </c>
      <c r="B80" s="14" t="s">
        <v>1312</v>
      </c>
      <c r="C80" s="14" t="s">
        <v>982</v>
      </c>
      <c r="D80" s="14" t="s">
        <v>983</v>
      </c>
      <c r="E80" s="14" t="s">
        <v>1791</v>
      </c>
      <c r="F80" s="14" t="s">
        <v>1637</v>
      </c>
      <c r="G80" s="16">
        <v>34131600</v>
      </c>
      <c r="H80" s="12">
        <v>46126</v>
      </c>
      <c r="I80" s="12">
        <v>46141</v>
      </c>
      <c r="J80" s="12">
        <v>46144</v>
      </c>
      <c r="K80" s="14">
        <v>15</v>
      </c>
      <c r="L80" s="34">
        <v>0</v>
      </c>
      <c r="M80" s="14">
        <v>0</v>
      </c>
      <c r="N80" s="5">
        <f>IF(AND(H80&lt;=D_F01!$B$7,OR(NOT(ISNUMBER(J80)),J80&gt;D_F01!$B$7)),1,0)</f>
        <v>0</v>
      </c>
      <c r="O80" s="9">
        <f t="shared" si="8"/>
        <v>0</v>
      </c>
      <c r="P80" s="5">
        <f>IF(N80=1,MAX(0,D_F01!$B$7-I80),0)</f>
        <v>0</v>
      </c>
      <c r="Q80" s="5">
        <f>IF(AND(ISNUMBER(J80),J80&lt;=D_F01!$B$7),J80-I80,0)</f>
        <v>3</v>
      </c>
      <c r="R80" s="5">
        <f t="shared" si="9"/>
        <v>3</v>
      </c>
      <c r="S80" s="5">
        <f>IF(AND(ISNUMBER(J80),J80&lt;=D_F01!$B$7,J80&gt;D_F01!$B$7-D_F01!$B$25),G80*R80,0)</f>
        <v>102394800</v>
      </c>
      <c r="T80" s="5">
        <f>IF(AND(ISNUMBER(J80),J80&lt;=D_F01!$B$7,J80&gt;D_F01!$B$7-D_F01!$B$25),G80,0)</f>
        <v>34131600</v>
      </c>
      <c r="U80" s="5">
        <f>IF(INDEX(D_F01!$C$51:$C$59,MATCH(C80,D_F01!$A$51:$A$59,0))="có",1,0)</f>
        <v>1</v>
      </c>
      <c r="V80">
        <f>IF(AND(N80=1,L80&gt;0,L80&lt;1,K80&gt;M80,H80+M80&gt;=D_F01!$B$7),1,0)</f>
        <v>0</v>
      </c>
      <c r="W80" s="29">
        <f t="shared" si="10"/>
        <v>0</v>
      </c>
      <c r="X80" s="30">
        <f t="shared" si="11"/>
        <v>0</v>
      </c>
    </row>
    <row r="81" spans="1:24" ht="25.95" customHeight="1">
      <c r="A81" s="11" t="s">
        <v>1792</v>
      </c>
      <c r="B81" s="11" t="s">
        <v>1312</v>
      </c>
      <c r="C81" s="11" t="s">
        <v>982</v>
      </c>
      <c r="D81" s="11" t="s">
        <v>983</v>
      </c>
      <c r="E81" s="11" t="s">
        <v>1793</v>
      </c>
      <c r="F81" s="11" t="s">
        <v>1637</v>
      </c>
      <c r="G81" s="15">
        <v>19412109</v>
      </c>
      <c r="H81" s="13">
        <v>46130</v>
      </c>
      <c r="I81" s="13">
        <v>46145</v>
      </c>
      <c r="J81" s="13">
        <v>46145</v>
      </c>
      <c r="K81" s="11">
        <v>15</v>
      </c>
      <c r="L81" s="17">
        <v>0</v>
      </c>
      <c r="M81" s="11">
        <v>0</v>
      </c>
      <c r="N81" s="3">
        <f>IF(AND(H81&lt;=D_F01!$B$7,OR(NOT(ISNUMBER(J81)),J81&gt;D_F01!$B$7)),1,0)</f>
        <v>0</v>
      </c>
      <c r="O81" s="8">
        <f t="shared" si="8"/>
        <v>0</v>
      </c>
      <c r="P81" s="3">
        <f>IF(N81=1,MAX(0,D_F01!$B$7-I81),0)</f>
        <v>0</v>
      </c>
      <c r="Q81" s="3">
        <f>IF(AND(ISNUMBER(J81),J81&lt;=D_F01!$B$7),J81-I81,0)</f>
        <v>0</v>
      </c>
      <c r="R81" s="3">
        <f t="shared" si="9"/>
        <v>0</v>
      </c>
      <c r="S81" s="3">
        <f>IF(AND(ISNUMBER(J81),J81&lt;=D_F01!$B$7,J81&gt;D_F01!$B$7-D_F01!$B$25),G81*R81,0)</f>
        <v>0</v>
      </c>
      <c r="T81" s="3">
        <f>IF(AND(ISNUMBER(J81),J81&lt;=D_F01!$B$7,J81&gt;D_F01!$B$7-D_F01!$B$25),G81,0)</f>
        <v>19412109</v>
      </c>
      <c r="U81" s="3">
        <f>IF(INDEX(D_F01!$C$51:$C$59,MATCH(C81,D_F01!$A$51:$A$59,0))="có",1,0)</f>
        <v>1</v>
      </c>
      <c r="V81">
        <f>IF(AND(N81=1,L81&gt;0,L81&lt;1,K81&gt;M81,H81+M81&gt;=D_F01!$B$7),1,0)</f>
        <v>0</v>
      </c>
      <c r="W81" s="29">
        <f t="shared" si="10"/>
        <v>0</v>
      </c>
      <c r="X81" s="30">
        <f t="shared" si="11"/>
        <v>0</v>
      </c>
    </row>
    <row r="82" spans="1:24" ht="25.95" customHeight="1">
      <c r="A82" s="14" t="s">
        <v>1794</v>
      </c>
      <c r="B82" s="14" t="s">
        <v>1312</v>
      </c>
      <c r="C82" s="14" t="s">
        <v>984</v>
      </c>
      <c r="D82" s="14" t="s">
        <v>985</v>
      </c>
      <c r="E82" s="14" t="s">
        <v>1795</v>
      </c>
      <c r="F82" s="14" t="s">
        <v>1648</v>
      </c>
      <c r="G82" s="16">
        <v>8131097</v>
      </c>
      <c r="H82" s="12">
        <v>46131</v>
      </c>
      <c r="I82" s="12">
        <v>46146</v>
      </c>
      <c r="J82" s="12">
        <v>46146</v>
      </c>
      <c r="K82" s="14">
        <v>15</v>
      </c>
      <c r="L82" s="34">
        <v>0</v>
      </c>
      <c r="M82" s="14">
        <v>0</v>
      </c>
      <c r="N82" s="5">
        <f>IF(AND(H82&lt;=D_F01!$B$7,OR(NOT(ISNUMBER(J82)),J82&gt;D_F01!$B$7)),1,0)</f>
        <v>0</v>
      </c>
      <c r="O82" s="9">
        <f t="shared" si="8"/>
        <v>0</v>
      </c>
      <c r="P82" s="5">
        <f>IF(N82=1,MAX(0,D_F01!$B$7-I82),0)</f>
        <v>0</v>
      </c>
      <c r="Q82" s="5">
        <f>IF(AND(ISNUMBER(J82),J82&lt;=D_F01!$B$7),J82-I82,0)</f>
        <v>0</v>
      </c>
      <c r="R82" s="5">
        <f t="shared" si="9"/>
        <v>0</v>
      </c>
      <c r="S82" s="5">
        <f>IF(AND(ISNUMBER(J82),J82&lt;=D_F01!$B$7,J82&gt;D_F01!$B$7-D_F01!$B$25),G82*R82,0)</f>
        <v>0</v>
      </c>
      <c r="T82" s="5">
        <f>IF(AND(ISNUMBER(J82),J82&lt;=D_F01!$B$7,J82&gt;D_F01!$B$7-D_F01!$B$25),G82,0)</f>
        <v>8131097</v>
      </c>
      <c r="U82" s="5">
        <f>IF(INDEX(D_F01!$C$51:$C$59,MATCH(C82,D_F01!$A$51:$A$59,0))="có",1,0)</f>
        <v>0</v>
      </c>
      <c r="V82">
        <f>IF(AND(N82=1,L82&gt;0,L82&lt;1,K82&gt;M82,H82+M82&gt;=D_F01!$B$7),1,0)</f>
        <v>0</v>
      </c>
      <c r="W82" s="29">
        <f t="shared" si="10"/>
        <v>0</v>
      </c>
      <c r="X82" s="30">
        <f t="shared" si="11"/>
        <v>0</v>
      </c>
    </row>
    <row r="83" spans="1:24" ht="25.95" customHeight="1">
      <c r="A83" s="11" t="s">
        <v>1195</v>
      </c>
      <c r="B83" s="11" t="s">
        <v>1312</v>
      </c>
      <c r="C83" s="11" t="s">
        <v>979</v>
      </c>
      <c r="D83" s="11" t="s">
        <v>980</v>
      </c>
      <c r="E83" s="11" t="s">
        <v>1796</v>
      </c>
      <c r="F83" s="11" t="s">
        <v>1659</v>
      </c>
      <c r="G83" s="15">
        <v>42900171</v>
      </c>
      <c r="H83" s="13">
        <v>46103</v>
      </c>
      <c r="I83" s="13">
        <v>46148</v>
      </c>
      <c r="J83" s="13"/>
      <c r="K83" s="11">
        <v>45</v>
      </c>
      <c r="L83" s="17">
        <v>0</v>
      </c>
      <c r="M83" s="11">
        <v>0</v>
      </c>
      <c r="N83" s="3">
        <f>IF(AND(H83&lt;=D_F01!$B$7,OR(NOT(ISNUMBER(J83)),J83&gt;D_F01!$B$7)),1,0)</f>
        <v>1</v>
      </c>
      <c r="O83" s="8">
        <f t="shared" si="8"/>
        <v>42900171</v>
      </c>
      <c r="P83" s="3">
        <f>IF(N83=1,MAX(0,D_F01!$B$7-I83),0)</f>
        <v>45</v>
      </c>
      <c r="Q83" s="3">
        <f>IF(AND(ISNUMBER(J83),J83&lt;=D_F01!$B$7),J83-I83,0)</f>
        <v>0</v>
      </c>
      <c r="R83" s="3">
        <f t="shared" si="9"/>
        <v>0</v>
      </c>
      <c r="S83" s="3">
        <f>IF(AND(ISNUMBER(J83),J83&lt;=D_F01!$B$7,J83&gt;D_F01!$B$7-D_F01!$B$25),G83*R83,0)</f>
        <v>0</v>
      </c>
      <c r="T83" s="3">
        <f>IF(AND(ISNUMBER(J83),J83&lt;=D_F01!$B$7,J83&gt;D_F01!$B$7-D_F01!$B$25),G83,0)</f>
        <v>0</v>
      </c>
      <c r="U83" s="3">
        <f>IF(INDEX(D_F01!$C$51:$C$59,MATCH(C83,D_F01!$A$51:$A$59,0))="có",1,0)</f>
        <v>0</v>
      </c>
      <c r="V83">
        <f>IF(AND(N83=1,L83&gt;0,L83&lt;1,K83&gt;M83,H83+M83&gt;=D_F01!$B$7),1,0)</f>
        <v>0</v>
      </c>
      <c r="W83" s="29">
        <f t="shared" si="10"/>
        <v>0</v>
      </c>
      <c r="X83" s="30">
        <f t="shared" si="11"/>
        <v>0</v>
      </c>
    </row>
    <row r="84" spans="1:24" ht="25.95" customHeight="1">
      <c r="A84" s="14" t="s">
        <v>1200</v>
      </c>
      <c r="B84" s="14" t="s">
        <v>1312</v>
      </c>
      <c r="C84" s="14" t="s">
        <v>979</v>
      </c>
      <c r="D84" s="14" t="s">
        <v>980</v>
      </c>
      <c r="E84" s="14" t="s">
        <v>1797</v>
      </c>
      <c r="F84" s="14" t="s">
        <v>1659</v>
      </c>
      <c r="G84" s="16">
        <v>42354953</v>
      </c>
      <c r="H84" s="12">
        <v>46135</v>
      </c>
      <c r="I84" s="12">
        <v>46180</v>
      </c>
      <c r="J84" s="12"/>
      <c r="K84" s="14">
        <v>45</v>
      </c>
      <c r="L84" s="34">
        <v>0</v>
      </c>
      <c r="M84" s="14">
        <v>0</v>
      </c>
      <c r="N84" s="5">
        <f>IF(AND(H84&lt;=D_F01!$B$7,OR(NOT(ISNUMBER(J84)),J84&gt;D_F01!$B$7)),1,0)</f>
        <v>1</v>
      </c>
      <c r="O84" s="9">
        <f t="shared" si="8"/>
        <v>42354953</v>
      </c>
      <c r="P84" s="5">
        <f>IF(N84=1,MAX(0,D_F01!$B$7-I84),0)</f>
        <v>13</v>
      </c>
      <c r="Q84" s="5">
        <f>IF(AND(ISNUMBER(J84),J84&lt;=D_F01!$B$7),J84-I84,0)</f>
        <v>0</v>
      </c>
      <c r="R84" s="5">
        <f t="shared" si="9"/>
        <v>0</v>
      </c>
      <c r="S84" s="5">
        <f>IF(AND(ISNUMBER(J84),J84&lt;=D_F01!$B$7,J84&gt;D_F01!$B$7-D_F01!$B$25),G84*R84,0)</f>
        <v>0</v>
      </c>
      <c r="T84" s="5">
        <f>IF(AND(ISNUMBER(J84),J84&lt;=D_F01!$B$7,J84&gt;D_F01!$B$7-D_F01!$B$25),G84,0)</f>
        <v>0</v>
      </c>
      <c r="U84" s="5">
        <f>IF(INDEX(D_F01!$C$51:$C$59,MATCH(C84,D_F01!$A$51:$A$59,0))="có",1,0)</f>
        <v>0</v>
      </c>
      <c r="V84">
        <f>IF(AND(N84=1,L84&gt;0,L84&lt;1,K84&gt;M84,H84+M84&gt;=D_F01!$B$7),1,0)</f>
        <v>0</v>
      </c>
      <c r="W84" s="29">
        <f t="shared" si="10"/>
        <v>0</v>
      </c>
      <c r="X84" s="30">
        <f t="shared" si="11"/>
        <v>0</v>
      </c>
    </row>
    <row r="85" spans="1:24" ht="25.95" customHeight="1">
      <c r="A85" s="11" t="s">
        <v>1798</v>
      </c>
      <c r="B85" s="11" t="s">
        <v>1312</v>
      </c>
      <c r="C85" s="11" t="s">
        <v>982</v>
      </c>
      <c r="D85" s="11" t="s">
        <v>983</v>
      </c>
      <c r="E85" s="11" t="s">
        <v>1799</v>
      </c>
      <c r="F85" s="11" t="s">
        <v>1637</v>
      </c>
      <c r="G85" s="15">
        <v>38136106</v>
      </c>
      <c r="H85" s="13">
        <v>46136</v>
      </c>
      <c r="I85" s="13">
        <v>46151</v>
      </c>
      <c r="J85" s="13">
        <v>46153</v>
      </c>
      <c r="K85" s="11">
        <v>15</v>
      </c>
      <c r="L85" s="17">
        <v>0</v>
      </c>
      <c r="M85" s="11">
        <v>0</v>
      </c>
      <c r="N85" s="3">
        <f>IF(AND(H85&lt;=D_F01!$B$7,OR(NOT(ISNUMBER(J85)),J85&gt;D_F01!$B$7)),1,0)</f>
        <v>0</v>
      </c>
      <c r="O85" s="8">
        <f t="shared" si="8"/>
        <v>0</v>
      </c>
      <c r="P85" s="3">
        <f>IF(N85=1,MAX(0,D_F01!$B$7-I85),0)</f>
        <v>0</v>
      </c>
      <c r="Q85" s="3">
        <f>IF(AND(ISNUMBER(J85),J85&lt;=D_F01!$B$7),J85-I85,0)</f>
        <v>2</v>
      </c>
      <c r="R85" s="3">
        <f t="shared" si="9"/>
        <v>2</v>
      </c>
      <c r="S85" s="3">
        <f>IF(AND(ISNUMBER(J85),J85&lt;=D_F01!$B$7,J85&gt;D_F01!$B$7-D_F01!$B$25),G85*R85,0)</f>
        <v>76272212</v>
      </c>
      <c r="T85" s="3">
        <f>IF(AND(ISNUMBER(J85),J85&lt;=D_F01!$B$7,J85&gt;D_F01!$B$7-D_F01!$B$25),G85,0)</f>
        <v>38136106</v>
      </c>
      <c r="U85" s="3">
        <f>IF(INDEX(D_F01!$C$51:$C$59,MATCH(C85,D_F01!$A$51:$A$59,0))="có",1,0)</f>
        <v>1</v>
      </c>
      <c r="V85">
        <f>IF(AND(N85=1,L85&gt;0,L85&lt;1,K85&gt;M85,H85+M85&gt;=D_F01!$B$7),1,0)</f>
        <v>0</v>
      </c>
      <c r="W85" s="29">
        <f t="shared" si="10"/>
        <v>0</v>
      </c>
      <c r="X85" s="30">
        <f t="shared" si="11"/>
        <v>0</v>
      </c>
    </row>
    <row r="86" spans="1:24" ht="25.95" customHeight="1">
      <c r="A86" s="14" t="s">
        <v>1800</v>
      </c>
      <c r="B86" s="14" t="s">
        <v>1312</v>
      </c>
      <c r="C86" s="14" t="s">
        <v>986</v>
      </c>
      <c r="D86" s="14" t="s">
        <v>987</v>
      </c>
      <c r="E86" s="14" t="s">
        <v>1801</v>
      </c>
      <c r="F86" s="14" t="s">
        <v>1719</v>
      </c>
      <c r="G86" s="16">
        <v>34709419</v>
      </c>
      <c r="H86" s="12">
        <v>46136</v>
      </c>
      <c r="I86" s="12">
        <v>46166</v>
      </c>
      <c r="J86" s="12">
        <v>46168</v>
      </c>
      <c r="K86" s="14">
        <v>30</v>
      </c>
      <c r="L86" s="34">
        <v>0</v>
      </c>
      <c r="M86" s="14">
        <v>0</v>
      </c>
      <c r="N86" s="5">
        <f>IF(AND(H86&lt;=D_F01!$B$7,OR(NOT(ISNUMBER(J86)),J86&gt;D_F01!$B$7)),1,0)</f>
        <v>0</v>
      </c>
      <c r="O86" s="9">
        <f t="shared" si="8"/>
        <v>0</v>
      </c>
      <c r="P86" s="5">
        <f>IF(N86=1,MAX(0,D_F01!$B$7-I86),0)</f>
        <v>0</v>
      </c>
      <c r="Q86" s="5">
        <f>IF(AND(ISNUMBER(J86),J86&lt;=D_F01!$B$7),J86-I86,0)</f>
        <v>2</v>
      </c>
      <c r="R86" s="5">
        <f t="shared" si="9"/>
        <v>2</v>
      </c>
      <c r="S86" s="5">
        <f>IF(AND(ISNUMBER(J86),J86&lt;=D_F01!$B$7,J86&gt;D_F01!$B$7-D_F01!$B$25),G86*R86,0)</f>
        <v>69418838</v>
      </c>
      <c r="T86" s="5">
        <f>IF(AND(ISNUMBER(J86),J86&lt;=D_F01!$B$7,J86&gt;D_F01!$B$7-D_F01!$B$25),G86,0)</f>
        <v>34709419</v>
      </c>
      <c r="U86" s="5">
        <f>IF(INDEX(D_F01!$C$51:$C$59,MATCH(C86,D_F01!$A$51:$A$59,0))="có",1,0)</f>
        <v>0</v>
      </c>
      <c r="V86">
        <f>IF(AND(N86=1,L86&gt;0,L86&lt;1,K86&gt;M86,H86+M86&gt;=D_F01!$B$7),1,0)</f>
        <v>0</v>
      </c>
      <c r="W86" s="29">
        <f t="shared" si="10"/>
        <v>0</v>
      </c>
      <c r="X86" s="30">
        <f t="shared" si="11"/>
        <v>0</v>
      </c>
    </row>
    <row r="87" spans="1:24" ht="25.95" customHeight="1">
      <c r="A87" s="11" t="s">
        <v>1802</v>
      </c>
      <c r="B87" s="11" t="s">
        <v>1312</v>
      </c>
      <c r="C87" s="11" t="s">
        <v>976</v>
      </c>
      <c r="D87" s="11" t="s">
        <v>977</v>
      </c>
      <c r="E87" s="11" t="s">
        <v>1803</v>
      </c>
      <c r="F87" s="11" t="s">
        <v>1645</v>
      </c>
      <c r="G87" s="15">
        <v>234368004</v>
      </c>
      <c r="H87" s="13">
        <v>46137</v>
      </c>
      <c r="I87" s="13">
        <v>46167</v>
      </c>
      <c r="J87" s="13">
        <v>46147</v>
      </c>
      <c r="K87" s="11">
        <v>30</v>
      </c>
      <c r="L87" s="17">
        <v>0.02</v>
      </c>
      <c r="M87" s="11">
        <v>10</v>
      </c>
      <c r="N87" s="3">
        <f>IF(AND(H87&lt;=D_F01!$B$7,OR(NOT(ISNUMBER(J87)),J87&gt;D_F01!$B$7)),1,0)</f>
        <v>0</v>
      </c>
      <c r="O87" s="8">
        <f t="shared" si="8"/>
        <v>0</v>
      </c>
      <c r="P87" s="3">
        <f>IF(N87=1,MAX(0,D_F01!$B$7-I87),0)</f>
        <v>0</v>
      </c>
      <c r="Q87" s="3">
        <f>IF(AND(ISNUMBER(J87),J87&lt;=D_F01!$B$7),J87-I87,0)</f>
        <v>-20</v>
      </c>
      <c r="R87" s="3">
        <f t="shared" si="9"/>
        <v>0</v>
      </c>
      <c r="S87" s="3">
        <f>IF(AND(ISNUMBER(J87),J87&lt;=D_F01!$B$7,J87&gt;D_F01!$B$7-D_F01!$B$25),G87*R87,0)</f>
        <v>0</v>
      </c>
      <c r="T87" s="3">
        <f>IF(AND(ISNUMBER(J87),J87&lt;=D_F01!$B$7,J87&gt;D_F01!$B$7-D_F01!$B$25),G87,0)</f>
        <v>234368004</v>
      </c>
      <c r="U87" s="3">
        <f>IF(INDEX(D_F01!$C$51:$C$59,MATCH(C87,D_F01!$A$51:$A$59,0))="có",1,0)</f>
        <v>1</v>
      </c>
      <c r="V87">
        <f>IF(AND(N87=1,L87&gt;0,L87&lt;1,K87&gt;M87,H87+M87&gt;=D_F01!$B$7),1,0)</f>
        <v>0</v>
      </c>
      <c r="W87" s="29">
        <f t="shared" si="10"/>
        <v>0</v>
      </c>
      <c r="X87" s="30">
        <f t="shared" si="11"/>
        <v>0</v>
      </c>
    </row>
    <row r="88" spans="1:24" ht="25.95" customHeight="1">
      <c r="A88" s="14" t="s">
        <v>1804</v>
      </c>
      <c r="B88" s="14" t="s">
        <v>1312</v>
      </c>
      <c r="C88" s="14" t="s">
        <v>988</v>
      </c>
      <c r="D88" s="14" t="s">
        <v>989</v>
      </c>
      <c r="E88" s="14" t="s">
        <v>1805</v>
      </c>
      <c r="F88" s="14" t="s">
        <v>1640</v>
      </c>
      <c r="G88" s="16">
        <v>103451938</v>
      </c>
      <c r="H88" s="12">
        <v>46137</v>
      </c>
      <c r="I88" s="12">
        <v>46152</v>
      </c>
      <c r="J88" s="12">
        <v>46155</v>
      </c>
      <c r="K88" s="14">
        <v>15</v>
      </c>
      <c r="L88" s="34">
        <v>0</v>
      </c>
      <c r="M88" s="14">
        <v>0</v>
      </c>
      <c r="N88" s="5">
        <f>IF(AND(H88&lt;=D_F01!$B$7,OR(NOT(ISNUMBER(J88)),J88&gt;D_F01!$B$7)),1,0)</f>
        <v>0</v>
      </c>
      <c r="O88" s="9">
        <f t="shared" si="8"/>
        <v>0</v>
      </c>
      <c r="P88" s="5">
        <f>IF(N88=1,MAX(0,D_F01!$B$7-I88),0)</f>
        <v>0</v>
      </c>
      <c r="Q88" s="5">
        <f>IF(AND(ISNUMBER(J88),J88&lt;=D_F01!$B$7),J88-I88,0)</f>
        <v>3</v>
      </c>
      <c r="R88" s="5">
        <f t="shared" si="9"/>
        <v>3</v>
      </c>
      <c r="S88" s="5">
        <f>IF(AND(ISNUMBER(J88),J88&lt;=D_F01!$B$7,J88&gt;D_F01!$B$7-D_F01!$B$25),G88*R88,0)</f>
        <v>310355814</v>
      </c>
      <c r="T88" s="5">
        <f>IF(AND(ISNUMBER(J88),J88&lt;=D_F01!$B$7,J88&gt;D_F01!$B$7-D_F01!$B$25),G88,0)</f>
        <v>103451938</v>
      </c>
      <c r="U88" s="5">
        <f>IF(INDEX(D_F01!$C$51:$C$59,MATCH(C88,D_F01!$A$51:$A$59,0))="có",1,0)</f>
        <v>1</v>
      </c>
      <c r="V88">
        <f>IF(AND(N88=1,L88&gt;0,L88&lt;1,K88&gt;M88,H88+M88&gt;=D_F01!$B$7),1,0)</f>
        <v>0</v>
      </c>
      <c r="W88" s="29">
        <f t="shared" si="10"/>
        <v>0</v>
      </c>
      <c r="X88" s="30">
        <f t="shared" si="11"/>
        <v>0</v>
      </c>
    </row>
    <row r="89" spans="1:24" ht="25.95" customHeight="1">
      <c r="A89" s="11" t="s">
        <v>1202</v>
      </c>
      <c r="B89" s="11" t="s">
        <v>1312</v>
      </c>
      <c r="C89" s="11" t="s">
        <v>993</v>
      </c>
      <c r="D89" s="11" t="s">
        <v>994</v>
      </c>
      <c r="E89" s="11" t="s">
        <v>1806</v>
      </c>
      <c r="F89" s="11" t="s">
        <v>1680</v>
      </c>
      <c r="G89" s="15">
        <v>36610051</v>
      </c>
      <c r="H89" s="13">
        <v>46139</v>
      </c>
      <c r="I89" s="13">
        <v>46169</v>
      </c>
      <c r="J89" s="13"/>
      <c r="K89" s="11">
        <v>30</v>
      </c>
      <c r="L89" s="17">
        <v>0</v>
      </c>
      <c r="M89" s="11">
        <v>0</v>
      </c>
      <c r="N89" s="3">
        <f>IF(AND(H89&lt;=D_F01!$B$7,OR(NOT(ISNUMBER(J89)),J89&gt;D_F01!$B$7)),1,0)</f>
        <v>1</v>
      </c>
      <c r="O89" s="8">
        <f t="shared" si="8"/>
        <v>36610051</v>
      </c>
      <c r="P89" s="3">
        <f>IF(N89=1,MAX(0,D_F01!$B$7-I89),0)</f>
        <v>24</v>
      </c>
      <c r="Q89" s="3">
        <f>IF(AND(ISNUMBER(J89),J89&lt;=D_F01!$B$7),J89-I89,0)</f>
        <v>0</v>
      </c>
      <c r="R89" s="3">
        <f t="shared" si="9"/>
        <v>0</v>
      </c>
      <c r="S89" s="3">
        <f>IF(AND(ISNUMBER(J89),J89&lt;=D_F01!$B$7,J89&gt;D_F01!$B$7-D_F01!$B$25),G89*R89,0)</f>
        <v>0</v>
      </c>
      <c r="T89" s="3">
        <f>IF(AND(ISNUMBER(J89),J89&lt;=D_F01!$B$7,J89&gt;D_F01!$B$7-D_F01!$B$25),G89,0)</f>
        <v>0</v>
      </c>
      <c r="U89" s="3">
        <f>IF(INDEX(D_F01!$C$51:$C$59,MATCH(C89,D_F01!$A$51:$A$59,0))="có",1,0)</f>
        <v>0</v>
      </c>
      <c r="V89">
        <f>IF(AND(N89=1,L89&gt;0,L89&lt;1,K89&gt;M89,H89+M89&gt;=D_F01!$B$7),1,0)</f>
        <v>0</v>
      </c>
      <c r="W89" s="29">
        <f t="shared" si="10"/>
        <v>0</v>
      </c>
      <c r="X89" s="30">
        <f t="shared" si="11"/>
        <v>0</v>
      </c>
    </row>
    <row r="90" spans="1:24" ht="25.95" customHeight="1">
      <c r="A90" s="14" t="s">
        <v>1204</v>
      </c>
      <c r="B90" s="14" t="s">
        <v>1312</v>
      </c>
      <c r="C90" s="14" t="s">
        <v>979</v>
      </c>
      <c r="D90" s="14" t="s">
        <v>980</v>
      </c>
      <c r="E90" s="14" t="s">
        <v>1807</v>
      </c>
      <c r="F90" s="14" t="s">
        <v>1659</v>
      </c>
      <c r="G90" s="16">
        <v>86112489</v>
      </c>
      <c r="H90" s="12">
        <v>46140</v>
      </c>
      <c r="I90" s="12">
        <v>46185</v>
      </c>
      <c r="J90" s="12"/>
      <c r="K90" s="14">
        <v>45</v>
      </c>
      <c r="L90" s="34">
        <v>0</v>
      </c>
      <c r="M90" s="14">
        <v>0</v>
      </c>
      <c r="N90" s="5">
        <f>IF(AND(H90&lt;=D_F01!$B$7,OR(NOT(ISNUMBER(J90)),J90&gt;D_F01!$B$7)),1,0)</f>
        <v>1</v>
      </c>
      <c r="O90" s="9">
        <f t="shared" si="8"/>
        <v>86112489</v>
      </c>
      <c r="P90" s="5">
        <f>IF(N90=1,MAX(0,D_F01!$B$7-I90),0)</f>
        <v>8</v>
      </c>
      <c r="Q90" s="5">
        <f>IF(AND(ISNUMBER(J90),J90&lt;=D_F01!$B$7),J90-I90,0)</f>
        <v>0</v>
      </c>
      <c r="R90" s="5">
        <f t="shared" si="9"/>
        <v>0</v>
      </c>
      <c r="S90" s="5">
        <f>IF(AND(ISNUMBER(J90),J90&lt;=D_F01!$B$7,J90&gt;D_F01!$B$7-D_F01!$B$25),G90*R90,0)</f>
        <v>0</v>
      </c>
      <c r="T90" s="5">
        <f>IF(AND(ISNUMBER(J90),J90&lt;=D_F01!$B$7,J90&gt;D_F01!$B$7-D_F01!$B$25),G90,0)</f>
        <v>0</v>
      </c>
      <c r="U90" s="5">
        <f>IF(INDEX(D_F01!$C$51:$C$59,MATCH(C90,D_F01!$A$51:$A$59,0))="có",1,0)</f>
        <v>0</v>
      </c>
      <c r="V90">
        <f>IF(AND(N90=1,L90&gt;0,L90&lt;1,K90&gt;M90,H90+M90&gt;=D_F01!$B$7),1,0)</f>
        <v>0</v>
      </c>
      <c r="W90" s="29">
        <f t="shared" si="10"/>
        <v>0</v>
      </c>
      <c r="X90" s="30">
        <f t="shared" si="11"/>
        <v>0</v>
      </c>
    </row>
    <row r="91" spans="1:24" ht="25.95" customHeight="1">
      <c r="A91" s="11" t="s">
        <v>1808</v>
      </c>
      <c r="B91" s="11" t="s">
        <v>1312</v>
      </c>
      <c r="C91" s="11" t="s">
        <v>984</v>
      </c>
      <c r="D91" s="11" t="s">
        <v>985</v>
      </c>
      <c r="E91" s="11" t="s">
        <v>1809</v>
      </c>
      <c r="F91" s="11" t="s">
        <v>1648</v>
      </c>
      <c r="G91" s="15">
        <v>24335716</v>
      </c>
      <c r="H91" s="13">
        <v>46140</v>
      </c>
      <c r="I91" s="13">
        <v>46155</v>
      </c>
      <c r="J91" s="13">
        <v>46155</v>
      </c>
      <c r="K91" s="11">
        <v>15</v>
      </c>
      <c r="L91" s="17">
        <v>0</v>
      </c>
      <c r="M91" s="11">
        <v>0</v>
      </c>
      <c r="N91" s="3">
        <f>IF(AND(H91&lt;=D_F01!$B$7,OR(NOT(ISNUMBER(J91)),J91&gt;D_F01!$B$7)),1,0)</f>
        <v>0</v>
      </c>
      <c r="O91" s="8">
        <f t="shared" si="8"/>
        <v>0</v>
      </c>
      <c r="P91" s="3">
        <f>IF(N91=1,MAX(0,D_F01!$B$7-I91),0)</f>
        <v>0</v>
      </c>
      <c r="Q91" s="3">
        <f>IF(AND(ISNUMBER(J91),J91&lt;=D_F01!$B$7),J91-I91,0)</f>
        <v>0</v>
      </c>
      <c r="R91" s="3">
        <f t="shared" si="9"/>
        <v>0</v>
      </c>
      <c r="S91" s="3">
        <f>IF(AND(ISNUMBER(J91),J91&lt;=D_F01!$B$7,J91&gt;D_F01!$B$7-D_F01!$B$25),G91*R91,0)</f>
        <v>0</v>
      </c>
      <c r="T91" s="3">
        <f>IF(AND(ISNUMBER(J91),J91&lt;=D_F01!$B$7,J91&gt;D_F01!$B$7-D_F01!$B$25),G91,0)</f>
        <v>24335716</v>
      </c>
      <c r="U91" s="3">
        <f>IF(INDEX(D_F01!$C$51:$C$59,MATCH(C91,D_F01!$A$51:$A$59,0))="có",1,0)</f>
        <v>0</v>
      </c>
      <c r="V91">
        <f>IF(AND(N91=1,L91&gt;0,L91&lt;1,K91&gt;M91,H91+M91&gt;=D_F01!$B$7),1,0)</f>
        <v>0</v>
      </c>
      <c r="W91" s="29">
        <f t="shared" si="10"/>
        <v>0</v>
      </c>
      <c r="X91" s="30">
        <f t="shared" si="11"/>
        <v>0</v>
      </c>
    </row>
    <row r="92" spans="1:24" ht="25.95" customHeight="1">
      <c r="A92" s="14" t="s">
        <v>1810</v>
      </c>
      <c r="B92" s="14" t="s">
        <v>1312</v>
      </c>
      <c r="C92" s="14" t="s">
        <v>995</v>
      </c>
      <c r="D92" s="14" t="s">
        <v>996</v>
      </c>
      <c r="E92" s="14" t="s">
        <v>1811</v>
      </c>
      <c r="F92" s="14" t="s">
        <v>1634</v>
      </c>
      <c r="G92" s="16">
        <v>44915950</v>
      </c>
      <c r="H92" s="12">
        <v>46143</v>
      </c>
      <c r="I92" s="12">
        <v>46173</v>
      </c>
      <c r="J92" s="12">
        <v>46177</v>
      </c>
      <c r="K92" s="14">
        <v>30</v>
      </c>
      <c r="L92" s="34">
        <v>0.01</v>
      </c>
      <c r="M92" s="14">
        <v>7</v>
      </c>
      <c r="N92" s="5">
        <f>IF(AND(H92&lt;=D_F01!$B$7,OR(NOT(ISNUMBER(J92)),J92&gt;D_F01!$B$7)),1,0)</f>
        <v>0</v>
      </c>
      <c r="O92" s="9">
        <f t="shared" si="8"/>
        <v>0</v>
      </c>
      <c r="P92" s="5">
        <f>IF(N92=1,MAX(0,D_F01!$B$7-I92),0)</f>
        <v>0</v>
      </c>
      <c r="Q92" s="5">
        <f>IF(AND(ISNUMBER(J92),J92&lt;=D_F01!$B$7),J92-I92,0)</f>
        <v>4</v>
      </c>
      <c r="R92" s="5">
        <f t="shared" si="9"/>
        <v>4</v>
      </c>
      <c r="S92" s="5">
        <f>IF(AND(ISNUMBER(J92),J92&lt;=D_F01!$B$7,J92&gt;D_F01!$B$7-D_F01!$B$25),G92*R92,0)</f>
        <v>179663800</v>
      </c>
      <c r="T92" s="5">
        <f>IF(AND(ISNUMBER(J92),J92&lt;=D_F01!$B$7,J92&gt;D_F01!$B$7-D_F01!$B$25),G92,0)</f>
        <v>44915950</v>
      </c>
      <c r="U92" s="5">
        <f>IF(INDEX(D_F01!$C$51:$C$59,MATCH(C92,D_F01!$A$51:$A$59,0))="có",1,0)</f>
        <v>1</v>
      </c>
      <c r="V92">
        <f>IF(AND(N92=1,L92&gt;0,L92&lt;1,K92&gt;M92,H92+M92&gt;=D_F01!$B$7),1,0)</f>
        <v>0</v>
      </c>
      <c r="W92" s="29">
        <f t="shared" si="10"/>
        <v>0</v>
      </c>
      <c r="X92" s="30">
        <f t="shared" si="11"/>
        <v>0</v>
      </c>
    </row>
    <row r="93" spans="1:24" ht="25.95" customHeight="1">
      <c r="A93" s="11" t="s">
        <v>1812</v>
      </c>
      <c r="B93" s="11" t="s">
        <v>1312</v>
      </c>
      <c r="C93" s="11" t="s">
        <v>976</v>
      </c>
      <c r="D93" s="11" t="s">
        <v>977</v>
      </c>
      <c r="E93" s="11" t="s">
        <v>1813</v>
      </c>
      <c r="F93" s="11" t="s">
        <v>1645</v>
      </c>
      <c r="G93" s="15">
        <v>51601457</v>
      </c>
      <c r="H93" s="13">
        <v>46144</v>
      </c>
      <c r="I93" s="13">
        <v>46174</v>
      </c>
      <c r="J93" s="13">
        <v>46151</v>
      </c>
      <c r="K93" s="11">
        <v>30</v>
      </c>
      <c r="L93" s="17">
        <v>0.02</v>
      </c>
      <c r="M93" s="11">
        <v>10</v>
      </c>
      <c r="N93" s="3">
        <f>IF(AND(H93&lt;=D_F01!$B$7,OR(NOT(ISNUMBER(J93)),J93&gt;D_F01!$B$7)),1,0)</f>
        <v>0</v>
      </c>
      <c r="O93" s="8">
        <f t="shared" si="8"/>
        <v>0</v>
      </c>
      <c r="P93" s="3">
        <f>IF(N93=1,MAX(0,D_F01!$B$7-I93),0)</f>
        <v>0</v>
      </c>
      <c r="Q93" s="3">
        <f>IF(AND(ISNUMBER(J93),J93&lt;=D_F01!$B$7),J93-I93,0)</f>
        <v>-23</v>
      </c>
      <c r="R93" s="3">
        <f t="shared" si="9"/>
        <v>0</v>
      </c>
      <c r="S93" s="3">
        <f>IF(AND(ISNUMBER(J93),J93&lt;=D_F01!$B$7,J93&gt;D_F01!$B$7-D_F01!$B$25),G93*R93,0)</f>
        <v>0</v>
      </c>
      <c r="T93" s="3">
        <f>IF(AND(ISNUMBER(J93),J93&lt;=D_F01!$B$7,J93&gt;D_F01!$B$7-D_F01!$B$25),G93,0)</f>
        <v>51601457</v>
      </c>
      <c r="U93" s="3">
        <f>IF(INDEX(D_F01!$C$51:$C$59,MATCH(C93,D_F01!$A$51:$A$59,0))="có",1,0)</f>
        <v>1</v>
      </c>
      <c r="V93">
        <f>IF(AND(N93=1,L93&gt;0,L93&lt;1,K93&gt;M93,H93+M93&gt;=D_F01!$B$7),1,0)</f>
        <v>0</v>
      </c>
      <c r="W93" s="29">
        <f t="shared" si="10"/>
        <v>0</v>
      </c>
      <c r="X93" s="30">
        <f t="shared" si="11"/>
        <v>0</v>
      </c>
    </row>
    <row r="94" spans="1:24" ht="25.95" customHeight="1">
      <c r="A94" s="14" t="s">
        <v>1814</v>
      </c>
      <c r="B94" s="14" t="s">
        <v>1312</v>
      </c>
      <c r="C94" s="14" t="s">
        <v>982</v>
      </c>
      <c r="D94" s="14" t="s">
        <v>983</v>
      </c>
      <c r="E94" s="14" t="s">
        <v>1815</v>
      </c>
      <c r="F94" s="14" t="s">
        <v>1637</v>
      </c>
      <c r="G94" s="16">
        <v>38534267</v>
      </c>
      <c r="H94" s="12">
        <v>46145</v>
      </c>
      <c r="I94" s="12">
        <v>46160</v>
      </c>
      <c r="J94" s="12">
        <v>46164</v>
      </c>
      <c r="K94" s="14">
        <v>15</v>
      </c>
      <c r="L94" s="34">
        <v>0</v>
      </c>
      <c r="M94" s="14">
        <v>0</v>
      </c>
      <c r="N94" s="5">
        <f>IF(AND(H94&lt;=D_F01!$B$7,OR(NOT(ISNUMBER(J94)),J94&gt;D_F01!$B$7)),1,0)</f>
        <v>0</v>
      </c>
      <c r="O94" s="9">
        <f t="shared" si="8"/>
        <v>0</v>
      </c>
      <c r="P94" s="5">
        <f>IF(N94=1,MAX(0,D_F01!$B$7-I94),0)</f>
        <v>0</v>
      </c>
      <c r="Q94" s="5">
        <f>IF(AND(ISNUMBER(J94),J94&lt;=D_F01!$B$7),J94-I94,0)</f>
        <v>4</v>
      </c>
      <c r="R94" s="5">
        <f t="shared" si="9"/>
        <v>4</v>
      </c>
      <c r="S94" s="5">
        <f>IF(AND(ISNUMBER(J94),J94&lt;=D_F01!$B$7,J94&gt;D_F01!$B$7-D_F01!$B$25),G94*R94,0)</f>
        <v>154137068</v>
      </c>
      <c r="T94" s="5">
        <f>IF(AND(ISNUMBER(J94),J94&lt;=D_F01!$B$7,J94&gt;D_F01!$B$7-D_F01!$B$25),G94,0)</f>
        <v>38534267</v>
      </c>
      <c r="U94" s="5">
        <f>IF(INDEX(D_F01!$C$51:$C$59,MATCH(C94,D_F01!$A$51:$A$59,0))="có",1,0)</f>
        <v>1</v>
      </c>
      <c r="V94">
        <f>IF(AND(N94=1,L94&gt;0,L94&lt;1,K94&gt;M94,H94+M94&gt;=D_F01!$B$7),1,0)</f>
        <v>0</v>
      </c>
      <c r="W94" s="29">
        <f t="shared" si="10"/>
        <v>0</v>
      </c>
      <c r="X94" s="30">
        <f t="shared" si="11"/>
        <v>0</v>
      </c>
    </row>
    <row r="95" spans="1:24" ht="25.95" customHeight="1">
      <c r="A95" s="11" t="s">
        <v>1816</v>
      </c>
      <c r="B95" s="11" t="s">
        <v>1312</v>
      </c>
      <c r="C95" s="11" t="s">
        <v>976</v>
      </c>
      <c r="D95" s="11" t="s">
        <v>977</v>
      </c>
      <c r="E95" s="11" t="s">
        <v>1817</v>
      </c>
      <c r="F95" s="11" t="s">
        <v>1645</v>
      </c>
      <c r="G95" s="15">
        <v>122646237</v>
      </c>
      <c r="H95" s="13">
        <v>46146</v>
      </c>
      <c r="I95" s="13">
        <v>46176</v>
      </c>
      <c r="J95" s="13">
        <v>46176</v>
      </c>
      <c r="K95" s="11">
        <v>30</v>
      </c>
      <c r="L95" s="17">
        <v>0.02</v>
      </c>
      <c r="M95" s="11">
        <v>10</v>
      </c>
      <c r="N95" s="3">
        <f>IF(AND(H95&lt;=D_F01!$B$7,OR(NOT(ISNUMBER(J95)),J95&gt;D_F01!$B$7)),1,0)</f>
        <v>0</v>
      </c>
      <c r="O95" s="8">
        <f t="shared" si="8"/>
        <v>0</v>
      </c>
      <c r="P95" s="3">
        <f>IF(N95=1,MAX(0,D_F01!$B$7-I95),0)</f>
        <v>0</v>
      </c>
      <c r="Q95" s="3">
        <f>IF(AND(ISNUMBER(J95),J95&lt;=D_F01!$B$7),J95-I95,0)</f>
        <v>0</v>
      </c>
      <c r="R95" s="3">
        <f t="shared" si="9"/>
        <v>0</v>
      </c>
      <c r="S95" s="3">
        <f>IF(AND(ISNUMBER(J95),J95&lt;=D_F01!$B$7,J95&gt;D_F01!$B$7-D_F01!$B$25),G95*R95,0)</f>
        <v>0</v>
      </c>
      <c r="T95" s="3">
        <f>IF(AND(ISNUMBER(J95),J95&lt;=D_F01!$B$7,J95&gt;D_F01!$B$7-D_F01!$B$25),G95,0)</f>
        <v>122646237</v>
      </c>
      <c r="U95" s="3">
        <f>IF(INDEX(D_F01!$C$51:$C$59,MATCH(C95,D_F01!$A$51:$A$59,0))="có",1,0)</f>
        <v>1</v>
      </c>
      <c r="V95">
        <f>IF(AND(N95=1,L95&gt;0,L95&lt;1,K95&gt;M95,H95+M95&gt;=D_F01!$B$7),1,0)</f>
        <v>0</v>
      </c>
      <c r="W95" s="29">
        <f t="shared" si="10"/>
        <v>0</v>
      </c>
      <c r="X95" s="30">
        <f t="shared" si="11"/>
        <v>0</v>
      </c>
    </row>
    <row r="96" spans="1:24" ht="25.95" customHeight="1">
      <c r="A96" s="14" t="s">
        <v>1206</v>
      </c>
      <c r="B96" s="14" t="s">
        <v>1312</v>
      </c>
      <c r="C96" s="14" t="s">
        <v>979</v>
      </c>
      <c r="D96" s="14" t="s">
        <v>980</v>
      </c>
      <c r="E96" s="14" t="s">
        <v>1818</v>
      </c>
      <c r="F96" s="14" t="s">
        <v>1659</v>
      </c>
      <c r="G96" s="16">
        <v>29191344</v>
      </c>
      <c r="H96" s="12">
        <v>46147</v>
      </c>
      <c r="I96" s="12">
        <v>46192</v>
      </c>
      <c r="J96" s="12"/>
      <c r="K96" s="14">
        <v>45</v>
      </c>
      <c r="L96" s="34">
        <v>0</v>
      </c>
      <c r="M96" s="14">
        <v>0</v>
      </c>
      <c r="N96" s="5">
        <f>IF(AND(H96&lt;=D_F01!$B$7,OR(NOT(ISNUMBER(J96)),J96&gt;D_F01!$B$7)),1,0)</f>
        <v>1</v>
      </c>
      <c r="O96" s="9">
        <f t="shared" si="8"/>
        <v>29191344</v>
      </c>
      <c r="P96" s="5">
        <f>IF(N96=1,MAX(0,D_F01!$B$7-I96),0)</f>
        <v>1</v>
      </c>
      <c r="Q96" s="5">
        <f>IF(AND(ISNUMBER(J96),J96&lt;=D_F01!$B$7),J96-I96,0)</f>
        <v>0</v>
      </c>
      <c r="R96" s="5">
        <f t="shared" si="9"/>
        <v>0</v>
      </c>
      <c r="S96" s="5">
        <f>IF(AND(ISNUMBER(J96),J96&lt;=D_F01!$B$7,J96&gt;D_F01!$B$7-D_F01!$B$25),G96*R96,0)</f>
        <v>0</v>
      </c>
      <c r="T96" s="5">
        <f>IF(AND(ISNUMBER(J96),J96&lt;=D_F01!$B$7,J96&gt;D_F01!$B$7-D_F01!$B$25),G96,0)</f>
        <v>0</v>
      </c>
      <c r="U96" s="5">
        <f>IF(INDEX(D_F01!$C$51:$C$59,MATCH(C96,D_F01!$A$51:$A$59,0))="có",1,0)</f>
        <v>0</v>
      </c>
      <c r="V96">
        <f>IF(AND(N96=1,L96&gt;0,L96&lt;1,K96&gt;M96,H96+M96&gt;=D_F01!$B$7),1,0)</f>
        <v>0</v>
      </c>
      <c r="W96" s="29">
        <f t="shared" si="10"/>
        <v>0</v>
      </c>
      <c r="X96" s="30">
        <f t="shared" si="11"/>
        <v>0</v>
      </c>
    </row>
    <row r="97" spans="1:24" ht="25.95" customHeight="1">
      <c r="A97" s="11" t="s">
        <v>1819</v>
      </c>
      <c r="B97" s="11" t="s">
        <v>1312</v>
      </c>
      <c r="C97" s="11" t="s">
        <v>976</v>
      </c>
      <c r="D97" s="11" t="s">
        <v>977</v>
      </c>
      <c r="E97" s="11" t="s">
        <v>1820</v>
      </c>
      <c r="F97" s="11" t="s">
        <v>1645</v>
      </c>
      <c r="G97" s="15">
        <v>92972798</v>
      </c>
      <c r="H97" s="13">
        <v>46148</v>
      </c>
      <c r="I97" s="13">
        <v>46178</v>
      </c>
      <c r="J97" s="13">
        <v>46185</v>
      </c>
      <c r="K97" s="11">
        <v>30</v>
      </c>
      <c r="L97" s="17">
        <v>0.02</v>
      </c>
      <c r="M97" s="11">
        <v>10</v>
      </c>
      <c r="N97" s="3">
        <f>IF(AND(H97&lt;=D_F01!$B$7,OR(NOT(ISNUMBER(J97)),J97&gt;D_F01!$B$7)),1,0)</f>
        <v>0</v>
      </c>
      <c r="O97" s="8">
        <f t="shared" si="8"/>
        <v>0</v>
      </c>
      <c r="P97" s="3">
        <f>IF(N97=1,MAX(0,D_F01!$B$7-I97),0)</f>
        <v>0</v>
      </c>
      <c r="Q97" s="3">
        <f>IF(AND(ISNUMBER(J97),J97&lt;=D_F01!$B$7),J97-I97,0)</f>
        <v>7</v>
      </c>
      <c r="R97" s="3">
        <f t="shared" si="9"/>
        <v>7</v>
      </c>
      <c r="S97" s="3">
        <f>IF(AND(ISNUMBER(J97),J97&lt;=D_F01!$B$7,J97&gt;D_F01!$B$7-D_F01!$B$25),G97*R97,0)</f>
        <v>650809586</v>
      </c>
      <c r="T97" s="3">
        <f>IF(AND(ISNUMBER(J97),J97&lt;=D_F01!$B$7,J97&gt;D_F01!$B$7-D_F01!$B$25),G97,0)</f>
        <v>92972798</v>
      </c>
      <c r="U97" s="3">
        <f>IF(INDEX(D_F01!$C$51:$C$59,MATCH(C97,D_F01!$A$51:$A$59,0))="có",1,0)</f>
        <v>1</v>
      </c>
      <c r="V97">
        <f>IF(AND(N97=1,L97&gt;0,L97&lt;1,K97&gt;M97,H97+M97&gt;=D_F01!$B$7),1,0)</f>
        <v>0</v>
      </c>
      <c r="W97" s="29">
        <f t="shared" si="10"/>
        <v>0</v>
      </c>
      <c r="X97" s="30">
        <f t="shared" si="11"/>
        <v>0</v>
      </c>
    </row>
    <row r="98" spans="1:24" ht="25.95" customHeight="1">
      <c r="A98" s="14" t="s">
        <v>1821</v>
      </c>
      <c r="B98" s="14" t="s">
        <v>1312</v>
      </c>
      <c r="C98" s="14" t="s">
        <v>990</v>
      </c>
      <c r="D98" s="14" t="s">
        <v>991</v>
      </c>
      <c r="E98" s="14" t="s">
        <v>1822</v>
      </c>
      <c r="F98" s="14" t="s">
        <v>1823</v>
      </c>
      <c r="G98" s="16">
        <v>133312666</v>
      </c>
      <c r="H98" s="12">
        <v>46150</v>
      </c>
      <c r="I98" s="12">
        <v>46180</v>
      </c>
      <c r="J98" s="12">
        <v>46178</v>
      </c>
      <c r="K98" s="14">
        <v>30</v>
      </c>
      <c r="L98" s="34">
        <v>0</v>
      </c>
      <c r="M98" s="14">
        <v>0</v>
      </c>
      <c r="N98" s="5">
        <f>IF(AND(H98&lt;=D_F01!$B$7,OR(NOT(ISNUMBER(J98)),J98&gt;D_F01!$B$7)),1,0)</f>
        <v>0</v>
      </c>
      <c r="O98" s="9">
        <f t="shared" si="8"/>
        <v>0</v>
      </c>
      <c r="P98" s="5">
        <f>IF(N98=1,MAX(0,D_F01!$B$7-I98),0)</f>
        <v>0</v>
      </c>
      <c r="Q98" s="5">
        <f>IF(AND(ISNUMBER(J98),J98&lt;=D_F01!$B$7),J98-I98,0)</f>
        <v>-2</v>
      </c>
      <c r="R98" s="5">
        <f t="shared" si="9"/>
        <v>0</v>
      </c>
      <c r="S98" s="5">
        <f>IF(AND(ISNUMBER(J98),J98&lt;=D_F01!$B$7,J98&gt;D_F01!$B$7-D_F01!$B$25),G98*R98,0)</f>
        <v>0</v>
      </c>
      <c r="T98" s="5">
        <f>IF(AND(ISNUMBER(J98),J98&lt;=D_F01!$B$7,J98&gt;D_F01!$B$7-D_F01!$B$25),G98,0)</f>
        <v>133312666</v>
      </c>
      <c r="U98" s="5">
        <f>IF(INDEX(D_F01!$C$51:$C$59,MATCH(C98,D_F01!$A$51:$A$59,0))="có",1,0)</f>
        <v>0</v>
      </c>
      <c r="V98">
        <f>IF(AND(N98=1,L98&gt;0,L98&lt;1,K98&gt;M98,H98+M98&gt;=D_F01!$B$7),1,0)</f>
        <v>0</v>
      </c>
      <c r="W98" s="29">
        <f t="shared" si="10"/>
        <v>0</v>
      </c>
      <c r="X98" s="30">
        <f t="shared" si="11"/>
        <v>0</v>
      </c>
    </row>
    <row r="99" spans="1:24" ht="25.95" customHeight="1">
      <c r="A99" s="11" t="s">
        <v>1824</v>
      </c>
      <c r="B99" s="11" t="s">
        <v>1312</v>
      </c>
      <c r="C99" s="11" t="s">
        <v>976</v>
      </c>
      <c r="D99" s="11" t="s">
        <v>977</v>
      </c>
      <c r="E99" s="11" t="s">
        <v>1825</v>
      </c>
      <c r="F99" s="11" t="s">
        <v>1645</v>
      </c>
      <c r="G99" s="15">
        <v>102501622</v>
      </c>
      <c r="H99" s="13">
        <v>46151</v>
      </c>
      <c r="I99" s="13">
        <v>46181</v>
      </c>
      <c r="J99" s="13">
        <v>46184</v>
      </c>
      <c r="K99" s="11">
        <v>30</v>
      </c>
      <c r="L99" s="17">
        <v>0.02</v>
      </c>
      <c r="M99" s="11">
        <v>10</v>
      </c>
      <c r="N99" s="3">
        <f>IF(AND(H99&lt;=D_F01!$B$7,OR(NOT(ISNUMBER(J99)),J99&gt;D_F01!$B$7)),1,0)</f>
        <v>0</v>
      </c>
      <c r="O99" s="8">
        <f t="shared" si="8"/>
        <v>0</v>
      </c>
      <c r="P99" s="3">
        <f>IF(N99=1,MAX(0,D_F01!$B$7-I99),0)</f>
        <v>0</v>
      </c>
      <c r="Q99" s="3">
        <f>IF(AND(ISNUMBER(J99),J99&lt;=D_F01!$B$7),J99-I99,0)</f>
        <v>3</v>
      </c>
      <c r="R99" s="3">
        <f t="shared" si="9"/>
        <v>3</v>
      </c>
      <c r="S99" s="3">
        <f>IF(AND(ISNUMBER(J99),J99&lt;=D_F01!$B$7,J99&gt;D_F01!$B$7-D_F01!$B$25),G99*R99,0)</f>
        <v>307504866</v>
      </c>
      <c r="T99" s="3">
        <f>IF(AND(ISNUMBER(J99),J99&lt;=D_F01!$B$7,J99&gt;D_F01!$B$7-D_F01!$B$25),G99,0)</f>
        <v>102501622</v>
      </c>
      <c r="U99" s="3">
        <f>IF(INDEX(D_F01!$C$51:$C$59,MATCH(C99,D_F01!$A$51:$A$59,0))="có",1,0)</f>
        <v>1</v>
      </c>
      <c r="V99">
        <f>IF(AND(N99=1,L99&gt;0,L99&lt;1,K99&gt;M99,H99+M99&gt;=D_F01!$B$7),1,0)</f>
        <v>0</v>
      </c>
      <c r="W99" s="29">
        <f t="shared" si="10"/>
        <v>0</v>
      </c>
      <c r="X99" s="30">
        <f t="shared" si="11"/>
        <v>0</v>
      </c>
    </row>
    <row r="100" spans="1:24" ht="25.95" customHeight="1">
      <c r="A100" s="14" t="s">
        <v>1826</v>
      </c>
      <c r="B100" s="14" t="s">
        <v>1312</v>
      </c>
      <c r="C100" s="14" t="s">
        <v>995</v>
      </c>
      <c r="D100" s="14" t="s">
        <v>996</v>
      </c>
      <c r="E100" s="14" t="s">
        <v>1827</v>
      </c>
      <c r="F100" s="14" t="s">
        <v>1634</v>
      </c>
      <c r="G100" s="16">
        <v>56438356</v>
      </c>
      <c r="H100" s="12">
        <v>46152</v>
      </c>
      <c r="I100" s="12">
        <v>46182</v>
      </c>
      <c r="J100" s="12">
        <v>46184</v>
      </c>
      <c r="K100" s="14">
        <v>30</v>
      </c>
      <c r="L100" s="34">
        <v>0.01</v>
      </c>
      <c r="M100" s="14">
        <v>7</v>
      </c>
      <c r="N100" s="5">
        <f>IF(AND(H100&lt;=D_F01!$B$7,OR(NOT(ISNUMBER(J100)),J100&gt;D_F01!$B$7)),1,0)</f>
        <v>0</v>
      </c>
      <c r="O100" s="9">
        <f t="shared" si="8"/>
        <v>0</v>
      </c>
      <c r="P100" s="5">
        <f>IF(N100=1,MAX(0,D_F01!$B$7-I100),0)</f>
        <v>0</v>
      </c>
      <c r="Q100" s="5">
        <f>IF(AND(ISNUMBER(J100),J100&lt;=D_F01!$B$7),J100-I100,0)</f>
        <v>2</v>
      </c>
      <c r="R100" s="5">
        <f t="shared" si="9"/>
        <v>2</v>
      </c>
      <c r="S100" s="5">
        <f>IF(AND(ISNUMBER(J100),J100&lt;=D_F01!$B$7,J100&gt;D_F01!$B$7-D_F01!$B$25),G100*R100,0)</f>
        <v>112876712</v>
      </c>
      <c r="T100" s="5">
        <f>IF(AND(ISNUMBER(J100),J100&lt;=D_F01!$B$7,J100&gt;D_F01!$B$7-D_F01!$B$25),G100,0)</f>
        <v>56438356</v>
      </c>
      <c r="U100" s="5">
        <f>IF(INDEX(D_F01!$C$51:$C$59,MATCH(C100,D_F01!$A$51:$A$59,0))="có",1,0)</f>
        <v>1</v>
      </c>
      <c r="V100">
        <f>IF(AND(N100=1,L100&gt;0,L100&lt;1,K100&gt;M100,H100+M100&gt;=D_F01!$B$7),1,0)</f>
        <v>0</v>
      </c>
      <c r="W100" s="29">
        <f t="shared" si="10"/>
        <v>0</v>
      </c>
      <c r="X100" s="30">
        <f t="shared" si="11"/>
        <v>0</v>
      </c>
    </row>
    <row r="101" spans="1:24" ht="25.95" customHeight="1">
      <c r="A101" s="11" t="s">
        <v>1828</v>
      </c>
      <c r="B101" s="11" t="s">
        <v>1312</v>
      </c>
      <c r="C101" s="11" t="s">
        <v>982</v>
      </c>
      <c r="D101" s="11" t="s">
        <v>983</v>
      </c>
      <c r="E101" s="11" t="s">
        <v>1829</v>
      </c>
      <c r="F101" s="11" t="s">
        <v>1637</v>
      </c>
      <c r="G101" s="15">
        <v>26645608</v>
      </c>
      <c r="H101" s="13">
        <v>46153</v>
      </c>
      <c r="I101" s="13">
        <v>46168</v>
      </c>
      <c r="J101" s="13">
        <v>46170</v>
      </c>
      <c r="K101" s="11">
        <v>15</v>
      </c>
      <c r="L101" s="17">
        <v>0</v>
      </c>
      <c r="M101" s="11">
        <v>0</v>
      </c>
      <c r="N101" s="3">
        <f>IF(AND(H101&lt;=D_F01!$B$7,OR(NOT(ISNUMBER(J101)),J101&gt;D_F01!$B$7)),1,0)</f>
        <v>0</v>
      </c>
      <c r="O101" s="8">
        <f t="shared" ref="O101:O131" si="12">G101*N101</f>
        <v>0</v>
      </c>
      <c r="P101" s="3">
        <f>IF(N101=1,MAX(0,D_F01!$B$7-I101),0)</f>
        <v>0</v>
      </c>
      <c r="Q101" s="3">
        <f>IF(AND(ISNUMBER(J101),J101&lt;=D_F01!$B$7),J101-I101,0)</f>
        <v>2</v>
      </c>
      <c r="R101" s="3">
        <f t="shared" ref="R101:R131" si="13">MAX(0,Q101)</f>
        <v>2</v>
      </c>
      <c r="S101" s="3">
        <f>IF(AND(ISNUMBER(J101),J101&lt;=D_F01!$B$7,J101&gt;D_F01!$B$7-D_F01!$B$25),G101*R101,0)</f>
        <v>53291216</v>
      </c>
      <c r="T101" s="3">
        <f>IF(AND(ISNUMBER(J101),J101&lt;=D_F01!$B$7,J101&gt;D_F01!$B$7-D_F01!$B$25),G101,0)</f>
        <v>26645608</v>
      </c>
      <c r="U101" s="3">
        <f>IF(INDEX(D_F01!$C$51:$C$59,MATCH(C101,D_F01!$A$51:$A$59,0))="có",1,0)</f>
        <v>1</v>
      </c>
      <c r="V101">
        <f>IF(AND(N101=1,L101&gt;0,L101&lt;1,K101&gt;M101,H101+M101&gt;=D_F01!$B$7),1,0)</f>
        <v>0</v>
      </c>
      <c r="W101" s="29">
        <f t="shared" ref="W101:W131" si="14">IF(V101=1,O101*L101,0)</f>
        <v>0</v>
      </c>
      <c r="X101" s="30">
        <f t="shared" ref="X101:X131" si="15">IF(V101=1,L101/(1-L101)*365/(K101-M101),0)</f>
        <v>0</v>
      </c>
    </row>
    <row r="102" spans="1:24" ht="25.95" customHeight="1">
      <c r="A102" s="14" t="s">
        <v>1830</v>
      </c>
      <c r="B102" s="14" t="s">
        <v>1312</v>
      </c>
      <c r="C102" s="14" t="s">
        <v>984</v>
      </c>
      <c r="D102" s="14" t="s">
        <v>985</v>
      </c>
      <c r="E102" s="14" t="s">
        <v>1831</v>
      </c>
      <c r="F102" s="14" t="s">
        <v>1648</v>
      </c>
      <c r="G102" s="16">
        <v>16691570</v>
      </c>
      <c r="H102" s="12">
        <v>46154</v>
      </c>
      <c r="I102" s="12">
        <v>46169</v>
      </c>
      <c r="J102" s="12">
        <v>46170</v>
      </c>
      <c r="K102" s="14">
        <v>15</v>
      </c>
      <c r="L102" s="34">
        <v>0</v>
      </c>
      <c r="M102" s="14">
        <v>0</v>
      </c>
      <c r="N102" s="5">
        <f>IF(AND(H102&lt;=D_F01!$B$7,OR(NOT(ISNUMBER(J102)),J102&gt;D_F01!$B$7)),1,0)</f>
        <v>0</v>
      </c>
      <c r="O102" s="9">
        <f t="shared" si="12"/>
        <v>0</v>
      </c>
      <c r="P102" s="5">
        <f>IF(N102=1,MAX(0,D_F01!$B$7-I102),0)</f>
        <v>0</v>
      </c>
      <c r="Q102" s="5">
        <f>IF(AND(ISNUMBER(J102),J102&lt;=D_F01!$B$7),J102-I102,0)</f>
        <v>1</v>
      </c>
      <c r="R102" s="5">
        <f t="shared" si="13"/>
        <v>1</v>
      </c>
      <c r="S102" s="5">
        <f>IF(AND(ISNUMBER(J102),J102&lt;=D_F01!$B$7,J102&gt;D_F01!$B$7-D_F01!$B$25),G102*R102,0)</f>
        <v>16691570</v>
      </c>
      <c r="T102" s="5">
        <f>IF(AND(ISNUMBER(J102),J102&lt;=D_F01!$B$7,J102&gt;D_F01!$B$7-D_F01!$B$25),G102,0)</f>
        <v>16691570</v>
      </c>
      <c r="U102" s="5">
        <f>IF(INDEX(D_F01!$C$51:$C$59,MATCH(C102,D_F01!$A$51:$A$59,0))="có",1,0)</f>
        <v>0</v>
      </c>
      <c r="V102">
        <f>IF(AND(N102=1,L102&gt;0,L102&lt;1,K102&gt;M102,H102+M102&gt;=D_F01!$B$7),1,0)</f>
        <v>0</v>
      </c>
      <c r="W102" s="29">
        <f t="shared" si="14"/>
        <v>0</v>
      </c>
      <c r="X102" s="30">
        <f t="shared" si="15"/>
        <v>0</v>
      </c>
    </row>
    <row r="103" spans="1:24" ht="25.95" customHeight="1">
      <c r="A103" s="11" t="s">
        <v>1832</v>
      </c>
      <c r="B103" s="11" t="s">
        <v>1312</v>
      </c>
      <c r="C103" s="11" t="s">
        <v>995</v>
      </c>
      <c r="D103" s="11" t="s">
        <v>996</v>
      </c>
      <c r="E103" s="11" t="s">
        <v>1833</v>
      </c>
      <c r="F103" s="11" t="s">
        <v>1634</v>
      </c>
      <c r="G103" s="15">
        <v>38924798</v>
      </c>
      <c r="H103" s="13">
        <v>46154</v>
      </c>
      <c r="I103" s="13">
        <v>46184</v>
      </c>
      <c r="J103" s="13">
        <v>46186</v>
      </c>
      <c r="K103" s="11">
        <v>30</v>
      </c>
      <c r="L103" s="17">
        <v>0.01</v>
      </c>
      <c r="M103" s="11">
        <v>7</v>
      </c>
      <c r="N103" s="3">
        <f>IF(AND(H103&lt;=D_F01!$B$7,OR(NOT(ISNUMBER(J103)),J103&gt;D_F01!$B$7)),1,0)</f>
        <v>0</v>
      </c>
      <c r="O103" s="8">
        <f t="shared" si="12"/>
        <v>0</v>
      </c>
      <c r="P103" s="3">
        <f>IF(N103=1,MAX(0,D_F01!$B$7-I103),0)</f>
        <v>0</v>
      </c>
      <c r="Q103" s="3">
        <f>IF(AND(ISNUMBER(J103),J103&lt;=D_F01!$B$7),J103-I103,0)</f>
        <v>2</v>
      </c>
      <c r="R103" s="3">
        <f t="shared" si="13"/>
        <v>2</v>
      </c>
      <c r="S103" s="3">
        <f>IF(AND(ISNUMBER(J103),J103&lt;=D_F01!$B$7,J103&gt;D_F01!$B$7-D_F01!$B$25),G103*R103,0)</f>
        <v>77849596</v>
      </c>
      <c r="T103" s="3">
        <f>IF(AND(ISNUMBER(J103),J103&lt;=D_F01!$B$7,J103&gt;D_F01!$B$7-D_F01!$B$25),G103,0)</f>
        <v>38924798</v>
      </c>
      <c r="U103" s="3">
        <f>IF(INDEX(D_F01!$C$51:$C$59,MATCH(C103,D_F01!$A$51:$A$59,0))="có",1,0)</f>
        <v>1</v>
      </c>
      <c r="V103">
        <f>IF(AND(N103=1,L103&gt;0,L103&lt;1,K103&gt;M103,H103+M103&gt;=D_F01!$B$7),1,0)</f>
        <v>0</v>
      </c>
      <c r="W103" s="29">
        <f t="shared" si="14"/>
        <v>0</v>
      </c>
      <c r="X103" s="30">
        <f t="shared" si="15"/>
        <v>0</v>
      </c>
    </row>
    <row r="104" spans="1:24" ht="25.95" customHeight="1">
      <c r="A104" s="14" t="s">
        <v>1834</v>
      </c>
      <c r="B104" s="14" t="s">
        <v>1312</v>
      </c>
      <c r="C104" s="14" t="s">
        <v>982</v>
      </c>
      <c r="D104" s="14" t="s">
        <v>983</v>
      </c>
      <c r="E104" s="14" t="s">
        <v>1835</v>
      </c>
      <c r="F104" s="14" t="s">
        <v>1637</v>
      </c>
      <c r="G104" s="16">
        <v>23554653</v>
      </c>
      <c r="H104" s="12">
        <v>46156</v>
      </c>
      <c r="I104" s="12">
        <v>46171</v>
      </c>
      <c r="J104" s="12">
        <v>46177</v>
      </c>
      <c r="K104" s="14">
        <v>15</v>
      </c>
      <c r="L104" s="34">
        <v>0</v>
      </c>
      <c r="M104" s="14">
        <v>0</v>
      </c>
      <c r="N104" s="5">
        <f>IF(AND(H104&lt;=D_F01!$B$7,OR(NOT(ISNUMBER(J104)),J104&gt;D_F01!$B$7)),1,0)</f>
        <v>0</v>
      </c>
      <c r="O104" s="9">
        <f t="shared" si="12"/>
        <v>0</v>
      </c>
      <c r="P104" s="5">
        <f>IF(N104=1,MAX(0,D_F01!$B$7-I104),0)</f>
        <v>0</v>
      </c>
      <c r="Q104" s="5">
        <f>IF(AND(ISNUMBER(J104),J104&lt;=D_F01!$B$7),J104-I104,0)</f>
        <v>6</v>
      </c>
      <c r="R104" s="5">
        <f t="shared" si="13"/>
        <v>6</v>
      </c>
      <c r="S104" s="5">
        <f>IF(AND(ISNUMBER(J104),J104&lt;=D_F01!$B$7,J104&gt;D_F01!$B$7-D_F01!$B$25),G104*R104,0)</f>
        <v>141327918</v>
      </c>
      <c r="T104" s="5">
        <f>IF(AND(ISNUMBER(J104),J104&lt;=D_F01!$B$7,J104&gt;D_F01!$B$7-D_F01!$B$25),G104,0)</f>
        <v>23554653</v>
      </c>
      <c r="U104" s="5">
        <f>IF(INDEX(D_F01!$C$51:$C$59,MATCH(C104,D_F01!$A$51:$A$59,0))="có",1,0)</f>
        <v>1</v>
      </c>
      <c r="V104">
        <f>IF(AND(N104=1,L104&gt;0,L104&lt;1,K104&gt;M104,H104+M104&gt;=D_F01!$B$7),1,0)</f>
        <v>0</v>
      </c>
      <c r="W104" s="29">
        <f t="shared" si="14"/>
        <v>0</v>
      </c>
      <c r="X104" s="30">
        <f t="shared" si="15"/>
        <v>0</v>
      </c>
    </row>
    <row r="105" spans="1:24" ht="25.95" customHeight="1">
      <c r="A105" s="11" t="s">
        <v>1836</v>
      </c>
      <c r="B105" s="11" t="s">
        <v>1312</v>
      </c>
      <c r="C105" s="11" t="s">
        <v>984</v>
      </c>
      <c r="D105" s="11" t="s">
        <v>985</v>
      </c>
      <c r="E105" s="11" t="s">
        <v>1837</v>
      </c>
      <c r="F105" s="11" t="s">
        <v>1648</v>
      </c>
      <c r="G105" s="15">
        <v>12272948</v>
      </c>
      <c r="H105" s="13">
        <v>46156</v>
      </c>
      <c r="I105" s="13">
        <v>46171</v>
      </c>
      <c r="J105" s="13">
        <v>46169</v>
      </c>
      <c r="K105" s="11">
        <v>15</v>
      </c>
      <c r="L105" s="17">
        <v>0</v>
      </c>
      <c r="M105" s="11">
        <v>0</v>
      </c>
      <c r="N105" s="3">
        <f>IF(AND(H105&lt;=D_F01!$B$7,OR(NOT(ISNUMBER(J105)),J105&gt;D_F01!$B$7)),1,0)</f>
        <v>0</v>
      </c>
      <c r="O105" s="8">
        <f t="shared" si="12"/>
        <v>0</v>
      </c>
      <c r="P105" s="3">
        <f>IF(N105=1,MAX(0,D_F01!$B$7-I105),0)</f>
        <v>0</v>
      </c>
      <c r="Q105" s="3">
        <f>IF(AND(ISNUMBER(J105),J105&lt;=D_F01!$B$7),J105-I105,0)</f>
        <v>-2</v>
      </c>
      <c r="R105" s="3">
        <f t="shared" si="13"/>
        <v>0</v>
      </c>
      <c r="S105" s="3">
        <f>IF(AND(ISNUMBER(J105),J105&lt;=D_F01!$B$7,J105&gt;D_F01!$B$7-D_F01!$B$25),G105*R105,0)</f>
        <v>0</v>
      </c>
      <c r="T105" s="3">
        <f>IF(AND(ISNUMBER(J105),J105&lt;=D_F01!$B$7,J105&gt;D_F01!$B$7-D_F01!$B$25),G105,0)</f>
        <v>12272948</v>
      </c>
      <c r="U105" s="3">
        <f>IF(INDEX(D_F01!$C$51:$C$59,MATCH(C105,D_F01!$A$51:$A$59,0))="có",1,0)</f>
        <v>0</v>
      </c>
      <c r="V105">
        <f>IF(AND(N105=1,L105&gt;0,L105&lt;1,K105&gt;M105,H105+M105&gt;=D_F01!$B$7),1,0)</f>
        <v>0</v>
      </c>
      <c r="W105" s="29">
        <f t="shared" si="14"/>
        <v>0</v>
      </c>
      <c r="X105" s="30">
        <f t="shared" si="15"/>
        <v>0</v>
      </c>
    </row>
    <row r="106" spans="1:24" ht="25.95" customHeight="1">
      <c r="A106" s="14" t="s">
        <v>1838</v>
      </c>
      <c r="B106" s="14" t="s">
        <v>1312</v>
      </c>
      <c r="C106" s="14" t="s">
        <v>984</v>
      </c>
      <c r="D106" s="14" t="s">
        <v>985</v>
      </c>
      <c r="E106" s="14" t="s">
        <v>1839</v>
      </c>
      <c r="F106" s="14" t="s">
        <v>1648</v>
      </c>
      <c r="G106" s="16">
        <v>15218927</v>
      </c>
      <c r="H106" s="12">
        <v>46158</v>
      </c>
      <c r="I106" s="12">
        <v>46173</v>
      </c>
      <c r="J106" s="12">
        <v>46175</v>
      </c>
      <c r="K106" s="14">
        <v>15</v>
      </c>
      <c r="L106" s="34">
        <v>0</v>
      </c>
      <c r="M106" s="14">
        <v>0</v>
      </c>
      <c r="N106" s="5">
        <f>IF(AND(H106&lt;=D_F01!$B$7,OR(NOT(ISNUMBER(J106)),J106&gt;D_F01!$B$7)),1,0)</f>
        <v>0</v>
      </c>
      <c r="O106" s="9">
        <f t="shared" si="12"/>
        <v>0</v>
      </c>
      <c r="P106" s="5">
        <f>IF(N106=1,MAX(0,D_F01!$B$7-I106),0)</f>
        <v>0</v>
      </c>
      <c r="Q106" s="5">
        <f>IF(AND(ISNUMBER(J106),J106&lt;=D_F01!$B$7),J106-I106,0)</f>
        <v>2</v>
      </c>
      <c r="R106" s="5">
        <f t="shared" si="13"/>
        <v>2</v>
      </c>
      <c r="S106" s="5">
        <f>IF(AND(ISNUMBER(J106),J106&lt;=D_F01!$B$7,J106&gt;D_F01!$B$7-D_F01!$B$25),G106*R106,0)</f>
        <v>30437854</v>
      </c>
      <c r="T106" s="5">
        <f>IF(AND(ISNUMBER(J106),J106&lt;=D_F01!$B$7,J106&gt;D_F01!$B$7-D_F01!$B$25),G106,0)</f>
        <v>15218927</v>
      </c>
      <c r="U106" s="5">
        <f>IF(INDEX(D_F01!$C$51:$C$59,MATCH(C106,D_F01!$A$51:$A$59,0))="có",1,0)</f>
        <v>0</v>
      </c>
      <c r="V106">
        <f>IF(AND(N106=1,L106&gt;0,L106&lt;1,K106&gt;M106,H106+M106&gt;=D_F01!$B$7),1,0)</f>
        <v>0</v>
      </c>
      <c r="W106" s="29">
        <f t="shared" si="14"/>
        <v>0</v>
      </c>
      <c r="X106" s="30">
        <f t="shared" si="15"/>
        <v>0</v>
      </c>
    </row>
    <row r="107" spans="1:24" ht="25.95" customHeight="1">
      <c r="A107" s="11" t="s">
        <v>1840</v>
      </c>
      <c r="B107" s="11" t="s">
        <v>1312</v>
      </c>
      <c r="C107" s="11" t="s">
        <v>986</v>
      </c>
      <c r="D107" s="11" t="s">
        <v>987</v>
      </c>
      <c r="E107" s="11" t="s">
        <v>1841</v>
      </c>
      <c r="F107" s="11" t="s">
        <v>1719</v>
      </c>
      <c r="G107" s="15">
        <v>168337007</v>
      </c>
      <c r="H107" s="13">
        <v>46158</v>
      </c>
      <c r="I107" s="13">
        <v>46188</v>
      </c>
      <c r="J107" s="13">
        <v>46189</v>
      </c>
      <c r="K107" s="11">
        <v>30</v>
      </c>
      <c r="L107" s="17">
        <v>0</v>
      </c>
      <c r="M107" s="11">
        <v>0</v>
      </c>
      <c r="N107" s="3">
        <f>IF(AND(H107&lt;=D_F01!$B$7,OR(NOT(ISNUMBER(J107)),J107&gt;D_F01!$B$7)),1,0)</f>
        <v>0</v>
      </c>
      <c r="O107" s="8">
        <f t="shared" si="12"/>
        <v>0</v>
      </c>
      <c r="P107" s="3">
        <f>IF(N107=1,MAX(0,D_F01!$B$7-I107),0)</f>
        <v>0</v>
      </c>
      <c r="Q107" s="3">
        <f>IF(AND(ISNUMBER(J107),J107&lt;=D_F01!$B$7),J107-I107,0)</f>
        <v>1</v>
      </c>
      <c r="R107" s="3">
        <f t="shared" si="13"/>
        <v>1</v>
      </c>
      <c r="S107" s="3">
        <f>IF(AND(ISNUMBER(J107),J107&lt;=D_F01!$B$7,J107&gt;D_F01!$B$7-D_F01!$B$25),G107*R107,0)</f>
        <v>168337007</v>
      </c>
      <c r="T107" s="3">
        <f>IF(AND(ISNUMBER(J107),J107&lt;=D_F01!$B$7,J107&gt;D_F01!$B$7-D_F01!$B$25),G107,0)</f>
        <v>168337007</v>
      </c>
      <c r="U107" s="3">
        <f>IF(INDEX(D_F01!$C$51:$C$59,MATCH(C107,D_F01!$A$51:$A$59,0))="có",1,0)</f>
        <v>0</v>
      </c>
      <c r="V107">
        <f>IF(AND(N107=1,L107&gt;0,L107&lt;1,K107&gt;M107,H107+M107&gt;=D_F01!$B$7),1,0)</f>
        <v>0</v>
      </c>
      <c r="W107" s="29">
        <f t="shared" si="14"/>
        <v>0</v>
      </c>
      <c r="X107" s="30">
        <f t="shared" si="15"/>
        <v>0</v>
      </c>
    </row>
    <row r="108" spans="1:24" ht="25.95" customHeight="1">
      <c r="A108" s="14" t="s">
        <v>1842</v>
      </c>
      <c r="B108" s="14" t="s">
        <v>1312</v>
      </c>
      <c r="C108" s="14" t="s">
        <v>976</v>
      </c>
      <c r="D108" s="14" t="s">
        <v>977</v>
      </c>
      <c r="E108" s="14" t="s">
        <v>1843</v>
      </c>
      <c r="F108" s="14" t="s">
        <v>1645</v>
      </c>
      <c r="G108" s="16">
        <v>82303595</v>
      </c>
      <c r="H108" s="12">
        <v>46160</v>
      </c>
      <c r="I108" s="12">
        <v>46190</v>
      </c>
      <c r="J108" s="12">
        <v>46170</v>
      </c>
      <c r="K108" s="14">
        <v>30</v>
      </c>
      <c r="L108" s="34">
        <v>0.02</v>
      </c>
      <c r="M108" s="14">
        <v>10</v>
      </c>
      <c r="N108" s="5">
        <f>IF(AND(H108&lt;=D_F01!$B$7,OR(NOT(ISNUMBER(J108)),J108&gt;D_F01!$B$7)),1,0)</f>
        <v>0</v>
      </c>
      <c r="O108" s="9">
        <f t="shared" si="12"/>
        <v>0</v>
      </c>
      <c r="P108" s="5">
        <f>IF(N108=1,MAX(0,D_F01!$B$7-I108),0)</f>
        <v>0</v>
      </c>
      <c r="Q108" s="5">
        <f>IF(AND(ISNUMBER(J108),J108&lt;=D_F01!$B$7),J108-I108,0)</f>
        <v>-20</v>
      </c>
      <c r="R108" s="5">
        <f t="shared" si="13"/>
        <v>0</v>
      </c>
      <c r="S108" s="5">
        <f>IF(AND(ISNUMBER(J108),J108&lt;=D_F01!$B$7,J108&gt;D_F01!$B$7-D_F01!$B$25),G108*R108,0)</f>
        <v>0</v>
      </c>
      <c r="T108" s="5">
        <f>IF(AND(ISNUMBER(J108),J108&lt;=D_F01!$B$7,J108&gt;D_F01!$B$7-D_F01!$B$25),G108,0)</f>
        <v>82303595</v>
      </c>
      <c r="U108" s="5">
        <f>IF(INDEX(D_F01!$C$51:$C$59,MATCH(C108,D_F01!$A$51:$A$59,0))="có",1,0)</f>
        <v>1</v>
      </c>
      <c r="V108">
        <f>IF(AND(N108=1,L108&gt;0,L108&lt;1,K108&gt;M108,H108+M108&gt;=D_F01!$B$7),1,0)</f>
        <v>0</v>
      </c>
      <c r="W108" s="29">
        <f t="shared" si="14"/>
        <v>0</v>
      </c>
      <c r="X108" s="30">
        <f t="shared" si="15"/>
        <v>0</v>
      </c>
    </row>
    <row r="109" spans="1:24" ht="25.95" customHeight="1">
      <c r="A109" s="11" t="s">
        <v>1208</v>
      </c>
      <c r="B109" s="11" t="s">
        <v>1312</v>
      </c>
      <c r="C109" s="11" t="s">
        <v>979</v>
      </c>
      <c r="D109" s="11" t="s">
        <v>980</v>
      </c>
      <c r="E109" s="11" t="s">
        <v>1844</v>
      </c>
      <c r="F109" s="11" t="s">
        <v>1659</v>
      </c>
      <c r="G109" s="15">
        <v>72026311</v>
      </c>
      <c r="H109" s="13">
        <v>46163</v>
      </c>
      <c r="I109" s="13">
        <v>46208</v>
      </c>
      <c r="J109" s="13"/>
      <c r="K109" s="11">
        <v>45</v>
      </c>
      <c r="L109" s="17">
        <v>0</v>
      </c>
      <c r="M109" s="11">
        <v>0</v>
      </c>
      <c r="N109" s="3">
        <f>IF(AND(H109&lt;=D_F01!$B$7,OR(NOT(ISNUMBER(J109)),J109&gt;D_F01!$B$7)),1,0)</f>
        <v>1</v>
      </c>
      <c r="O109" s="8">
        <f t="shared" si="12"/>
        <v>72026311</v>
      </c>
      <c r="P109" s="3">
        <f>IF(N109=1,MAX(0,D_F01!$B$7-I109),0)</f>
        <v>0</v>
      </c>
      <c r="Q109" s="3">
        <f>IF(AND(ISNUMBER(J109),J109&lt;=D_F01!$B$7),J109-I109,0)</f>
        <v>0</v>
      </c>
      <c r="R109" s="3">
        <f t="shared" si="13"/>
        <v>0</v>
      </c>
      <c r="S109" s="3">
        <f>IF(AND(ISNUMBER(J109),J109&lt;=D_F01!$B$7,J109&gt;D_F01!$B$7-D_F01!$B$25),G109*R109,0)</f>
        <v>0</v>
      </c>
      <c r="T109" s="3">
        <f>IF(AND(ISNUMBER(J109),J109&lt;=D_F01!$B$7,J109&gt;D_F01!$B$7-D_F01!$B$25),G109,0)</f>
        <v>0</v>
      </c>
      <c r="U109" s="3">
        <f>IF(INDEX(D_F01!$C$51:$C$59,MATCH(C109,D_F01!$A$51:$A$59,0))="có",1,0)</f>
        <v>0</v>
      </c>
      <c r="V109">
        <f>IF(AND(N109=1,L109&gt;0,L109&lt;1,K109&gt;M109,H109+M109&gt;=D_F01!$B$7),1,0)</f>
        <v>0</v>
      </c>
      <c r="W109" s="29">
        <f t="shared" si="14"/>
        <v>0</v>
      </c>
      <c r="X109" s="30">
        <f t="shared" si="15"/>
        <v>0</v>
      </c>
    </row>
    <row r="110" spans="1:24" ht="25.95" customHeight="1">
      <c r="A110" s="14" t="s">
        <v>1210</v>
      </c>
      <c r="B110" s="14" t="s">
        <v>1312</v>
      </c>
      <c r="C110" s="14" t="s">
        <v>979</v>
      </c>
      <c r="D110" s="14" t="s">
        <v>980</v>
      </c>
      <c r="E110" s="14" t="s">
        <v>1845</v>
      </c>
      <c r="F110" s="14" t="s">
        <v>1659</v>
      </c>
      <c r="G110" s="16">
        <v>62787437</v>
      </c>
      <c r="H110" s="12">
        <v>46167</v>
      </c>
      <c r="I110" s="12">
        <v>46212</v>
      </c>
      <c r="J110" s="12"/>
      <c r="K110" s="14">
        <v>45</v>
      </c>
      <c r="L110" s="34">
        <v>0</v>
      </c>
      <c r="M110" s="14">
        <v>0</v>
      </c>
      <c r="N110" s="5">
        <f>IF(AND(H110&lt;=D_F01!$B$7,OR(NOT(ISNUMBER(J110)),J110&gt;D_F01!$B$7)),1,0)</f>
        <v>1</v>
      </c>
      <c r="O110" s="9">
        <f t="shared" si="12"/>
        <v>62787437</v>
      </c>
      <c r="P110" s="5">
        <f>IF(N110=1,MAX(0,D_F01!$B$7-I110),0)</f>
        <v>0</v>
      </c>
      <c r="Q110" s="5">
        <f>IF(AND(ISNUMBER(J110),J110&lt;=D_F01!$B$7),J110-I110,0)</f>
        <v>0</v>
      </c>
      <c r="R110" s="5">
        <f t="shared" si="13"/>
        <v>0</v>
      </c>
      <c r="S110" s="5">
        <f>IF(AND(ISNUMBER(J110),J110&lt;=D_F01!$B$7,J110&gt;D_F01!$B$7-D_F01!$B$25),G110*R110,0)</f>
        <v>0</v>
      </c>
      <c r="T110" s="5">
        <f>IF(AND(ISNUMBER(J110),J110&lt;=D_F01!$B$7,J110&gt;D_F01!$B$7-D_F01!$B$25),G110,0)</f>
        <v>0</v>
      </c>
      <c r="U110" s="5">
        <f>IF(INDEX(D_F01!$C$51:$C$59,MATCH(C110,D_F01!$A$51:$A$59,0))="có",1,0)</f>
        <v>0</v>
      </c>
      <c r="V110">
        <f>IF(AND(N110=1,L110&gt;0,L110&lt;1,K110&gt;M110,H110+M110&gt;=D_F01!$B$7),1,0)</f>
        <v>0</v>
      </c>
      <c r="W110" s="29">
        <f t="shared" si="14"/>
        <v>0</v>
      </c>
      <c r="X110" s="30">
        <f t="shared" si="15"/>
        <v>0</v>
      </c>
    </row>
    <row r="111" spans="1:24" ht="25.95" customHeight="1">
      <c r="A111" s="11" t="s">
        <v>1846</v>
      </c>
      <c r="B111" s="11" t="s">
        <v>1312</v>
      </c>
      <c r="C111" s="11" t="s">
        <v>988</v>
      </c>
      <c r="D111" s="11" t="s">
        <v>989</v>
      </c>
      <c r="E111" s="11" t="s">
        <v>1847</v>
      </c>
      <c r="F111" s="11" t="s">
        <v>1640</v>
      </c>
      <c r="G111" s="15">
        <v>16217799</v>
      </c>
      <c r="H111" s="13">
        <v>46168</v>
      </c>
      <c r="I111" s="13">
        <v>46183</v>
      </c>
      <c r="J111" s="13">
        <v>46186</v>
      </c>
      <c r="K111" s="11">
        <v>15</v>
      </c>
      <c r="L111" s="17">
        <v>0</v>
      </c>
      <c r="M111" s="11">
        <v>0</v>
      </c>
      <c r="N111" s="3">
        <f>IF(AND(H111&lt;=D_F01!$B$7,OR(NOT(ISNUMBER(J111)),J111&gt;D_F01!$B$7)),1,0)</f>
        <v>0</v>
      </c>
      <c r="O111" s="8">
        <f t="shared" si="12"/>
        <v>0</v>
      </c>
      <c r="P111" s="3">
        <f>IF(N111=1,MAX(0,D_F01!$B$7-I111),0)</f>
        <v>0</v>
      </c>
      <c r="Q111" s="3">
        <f>IF(AND(ISNUMBER(J111),J111&lt;=D_F01!$B$7),J111-I111,0)</f>
        <v>3</v>
      </c>
      <c r="R111" s="3">
        <f t="shared" si="13"/>
        <v>3</v>
      </c>
      <c r="S111" s="3">
        <f>IF(AND(ISNUMBER(J111),J111&lt;=D_F01!$B$7,J111&gt;D_F01!$B$7-D_F01!$B$25),G111*R111,0)</f>
        <v>48653397</v>
      </c>
      <c r="T111" s="3">
        <f>IF(AND(ISNUMBER(J111),J111&lt;=D_F01!$B$7,J111&gt;D_F01!$B$7-D_F01!$B$25),G111,0)</f>
        <v>16217799</v>
      </c>
      <c r="U111" s="3">
        <f>IF(INDEX(D_F01!$C$51:$C$59,MATCH(C111,D_F01!$A$51:$A$59,0))="có",1,0)</f>
        <v>1</v>
      </c>
      <c r="V111">
        <f>IF(AND(N111=1,L111&gt;0,L111&lt;1,K111&gt;M111,H111+M111&gt;=D_F01!$B$7),1,0)</f>
        <v>0</v>
      </c>
      <c r="W111" s="29">
        <f t="shared" si="14"/>
        <v>0</v>
      </c>
      <c r="X111" s="30">
        <f t="shared" si="15"/>
        <v>0</v>
      </c>
    </row>
    <row r="112" spans="1:24" ht="25.95" customHeight="1">
      <c r="A112" s="14" t="s">
        <v>1848</v>
      </c>
      <c r="B112" s="14" t="s">
        <v>1312</v>
      </c>
      <c r="C112" s="14" t="s">
        <v>995</v>
      </c>
      <c r="D112" s="14" t="s">
        <v>996</v>
      </c>
      <c r="E112" s="14" t="s">
        <v>1849</v>
      </c>
      <c r="F112" s="14" t="s">
        <v>1634</v>
      </c>
      <c r="G112" s="16">
        <v>25731362</v>
      </c>
      <c r="H112" s="12">
        <v>46168</v>
      </c>
      <c r="I112" s="12">
        <v>46198</v>
      </c>
      <c r="J112" s="12">
        <v>46174</v>
      </c>
      <c r="K112" s="14">
        <v>30</v>
      </c>
      <c r="L112" s="34">
        <v>0.01</v>
      </c>
      <c r="M112" s="14">
        <v>7</v>
      </c>
      <c r="N112" s="5">
        <f>IF(AND(H112&lt;=D_F01!$B$7,OR(NOT(ISNUMBER(J112)),J112&gt;D_F01!$B$7)),1,0)</f>
        <v>0</v>
      </c>
      <c r="O112" s="9">
        <f t="shared" si="12"/>
        <v>0</v>
      </c>
      <c r="P112" s="5">
        <f>IF(N112=1,MAX(0,D_F01!$B$7-I112),0)</f>
        <v>0</v>
      </c>
      <c r="Q112" s="5">
        <f>IF(AND(ISNUMBER(J112),J112&lt;=D_F01!$B$7),J112-I112,0)</f>
        <v>-24</v>
      </c>
      <c r="R112" s="5">
        <f t="shared" si="13"/>
        <v>0</v>
      </c>
      <c r="S112" s="5">
        <f>IF(AND(ISNUMBER(J112),J112&lt;=D_F01!$B$7,J112&gt;D_F01!$B$7-D_F01!$B$25),G112*R112,0)</f>
        <v>0</v>
      </c>
      <c r="T112" s="5">
        <f>IF(AND(ISNUMBER(J112),J112&lt;=D_F01!$B$7,J112&gt;D_F01!$B$7-D_F01!$B$25),G112,0)</f>
        <v>25731362</v>
      </c>
      <c r="U112" s="5">
        <f>IF(INDEX(D_F01!$C$51:$C$59,MATCH(C112,D_F01!$A$51:$A$59,0))="có",1,0)</f>
        <v>1</v>
      </c>
      <c r="V112">
        <f>IF(AND(N112=1,L112&gt;0,L112&lt;1,K112&gt;M112,H112+M112&gt;=D_F01!$B$7),1,0)</f>
        <v>0</v>
      </c>
      <c r="W112" s="29">
        <f t="shared" si="14"/>
        <v>0</v>
      </c>
      <c r="X112" s="30">
        <f t="shared" si="15"/>
        <v>0</v>
      </c>
    </row>
    <row r="113" spans="1:24" ht="25.95" customHeight="1">
      <c r="A113" s="11" t="s">
        <v>1212</v>
      </c>
      <c r="B113" s="11" t="s">
        <v>1312</v>
      </c>
      <c r="C113" s="11" t="s">
        <v>979</v>
      </c>
      <c r="D113" s="11" t="s">
        <v>980</v>
      </c>
      <c r="E113" s="11" t="s">
        <v>1850</v>
      </c>
      <c r="F113" s="11" t="s">
        <v>1659</v>
      </c>
      <c r="G113" s="15">
        <v>29342563</v>
      </c>
      <c r="H113" s="13">
        <v>46171</v>
      </c>
      <c r="I113" s="13">
        <v>46216</v>
      </c>
      <c r="J113" s="13"/>
      <c r="K113" s="11">
        <v>45</v>
      </c>
      <c r="L113" s="17">
        <v>0</v>
      </c>
      <c r="M113" s="11">
        <v>0</v>
      </c>
      <c r="N113" s="3">
        <f>IF(AND(H113&lt;=D_F01!$B$7,OR(NOT(ISNUMBER(J113)),J113&gt;D_F01!$B$7)),1,0)</f>
        <v>1</v>
      </c>
      <c r="O113" s="8">
        <f t="shared" si="12"/>
        <v>29342563</v>
      </c>
      <c r="P113" s="3">
        <f>IF(N113=1,MAX(0,D_F01!$B$7-I113),0)</f>
        <v>0</v>
      </c>
      <c r="Q113" s="3">
        <f>IF(AND(ISNUMBER(J113),J113&lt;=D_F01!$B$7),J113-I113,0)</f>
        <v>0</v>
      </c>
      <c r="R113" s="3">
        <f t="shared" si="13"/>
        <v>0</v>
      </c>
      <c r="S113" s="3">
        <f>IF(AND(ISNUMBER(J113),J113&lt;=D_F01!$B$7,J113&gt;D_F01!$B$7-D_F01!$B$25),G113*R113,0)</f>
        <v>0</v>
      </c>
      <c r="T113" s="3">
        <f>IF(AND(ISNUMBER(J113),J113&lt;=D_F01!$B$7,J113&gt;D_F01!$B$7-D_F01!$B$25),G113,0)</f>
        <v>0</v>
      </c>
      <c r="U113" s="3">
        <f>IF(INDEX(D_F01!$C$51:$C$59,MATCH(C113,D_F01!$A$51:$A$59,0))="có",1,0)</f>
        <v>0</v>
      </c>
      <c r="V113">
        <f>IF(AND(N113=1,L113&gt;0,L113&lt;1,K113&gt;M113,H113+M113&gt;=D_F01!$B$7),1,0)</f>
        <v>0</v>
      </c>
      <c r="W113" s="29">
        <f t="shared" si="14"/>
        <v>0</v>
      </c>
      <c r="X113" s="30">
        <f t="shared" si="15"/>
        <v>0</v>
      </c>
    </row>
    <row r="114" spans="1:24" ht="25.95" customHeight="1">
      <c r="A114" s="14" t="s">
        <v>1851</v>
      </c>
      <c r="B114" s="14" t="s">
        <v>1312</v>
      </c>
      <c r="C114" s="14" t="s">
        <v>984</v>
      </c>
      <c r="D114" s="14" t="s">
        <v>985</v>
      </c>
      <c r="E114" s="14" t="s">
        <v>1852</v>
      </c>
      <c r="F114" s="14" t="s">
        <v>1648</v>
      </c>
      <c r="G114" s="16">
        <v>10366073</v>
      </c>
      <c r="H114" s="12">
        <v>46172</v>
      </c>
      <c r="I114" s="12">
        <v>46187</v>
      </c>
      <c r="J114" s="12">
        <v>46186</v>
      </c>
      <c r="K114" s="14">
        <v>15</v>
      </c>
      <c r="L114" s="34">
        <v>0</v>
      </c>
      <c r="M114" s="14">
        <v>0</v>
      </c>
      <c r="N114" s="5">
        <f>IF(AND(H114&lt;=D_F01!$B$7,OR(NOT(ISNUMBER(J114)),J114&gt;D_F01!$B$7)),1,0)</f>
        <v>0</v>
      </c>
      <c r="O114" s="9">
        <f t="shared" si="12"/>
        <v>0</v>
      </c>
      <c r="P114" s="5">
        <f>IF(N114=1,MAX(0,D_F01!$B$7-I114),0)</f>
        <v>0</v>
      </c>
      <c r="Q114" s="5">
        <f>IF(AND(ISNUMBER(J114),J114&lt;=D_F01!$B$7),J114-I114,0)</f>
        <v>-1</v>
      </c>
      <c r="R114" s="5">
        <f t="shared" si="13"/>
        <v>0</v>
      </c>
      <c r="S114" s="5">
        <f>IF(AND(ISNUMBER(J114),J114&lt;=D_F01!$B$7,J114&gt;D_F01!$B$7-D_F01!$B$25),G114*R114,0)</f>
        <v>0</v>
      </c>
      <c r="T114" s="5">
        <f>IF(AND(ISNUMBER(J114),J114&lt;=D_F01!$B$7,J114&gt;D_F01!$B$7-D_F01!$B$25),G114,0)</f>
        <v>10366073</v>
      </c>
      <c r="U114" s="5">
        <f>IF(INDEX(D_F01!$C$51:$C$59,MATCH(C114,D_F01!$A$51:$A$59,0))="có",1,0)</f>
        <v>0</v>
      </c>
      <c r="V114">
        <f>IF(AND(N114=1,L114&gt;0,L114&lt;1,K114&gt;M114,H114+M114&gt;=D_F01!$B$7),1,0)</f>
        <v>0</v>
      </c>
      <c r="W114" s="29">
        <f t="shared" si="14"/>
        <v>0</v>
      </c>
      <c r="X114" s="30">
        <f t="shared" si="15"/>
        <v>0</v>
      </c>
    </row>
    <row r="115" spans="1:24" ht="25.95" customHeight="1">
      <c r="A115" s="11" t="s">
        <v>1853</v>
      </c>
      <c r="B115" s="11" t="s">
        <v>1312</v>
      </c>
      <c r="C115" s="11" t="s">
        <v>982</v>
      </c>
      <c r="D115" s="11" t="s">
        <v>983</v>
      </c>
      <c r="E115" s="11" t="s">
        <v>1854</v>
      </c>
      <c r="F115" s="11" t="s">
        <v>1637</v>
      </c>
      <c r="G115" s="15">
        <v>19377426</v>
      </c>
      <c r="H115" s="13">
        <v>46173</v>
      </c>
      <c r="I115" s="13">
        <v>46188</v>
      </c>
      <c r="J115" s="13">
        <v>46189</v>
      </c>
      <c r="K115" s="11">
        <v>15</v>
      </c>
      <c r="L115" s="17">
        <v>0</v>
      </c>
      <c r="M115" s="11">
        <v>0</v>
      </c>
      <c r="N115" s="3">
        <f>IF(AND(H115&lt;=D_F01!$B$7,OR(NOT(ISNUMBER(J115)),J115&gt;D_F01!$B$7)),1,0)</f>
        <v>0</v>
      </c>
      <c r="O115" s="8">
        <f t="shared" si="12"/>
        <v>0</v>
      </c>
      <c r="P115" s="3">
        <f>IF(N115=1,MAX(0,D_F01!$B$7-I115),0)</f>
        <v>0</v>
      </c>
      <c r="Q115" s="3">
        <f>IF(AND(ISNUMBER(J115),J115&lt;=D_F01!$B$7),J115-I115,0)</f>
        <v>1</v>
      </c>
      <c r="R115" s="3">
        <f t="shared" si="13"/>
        <v>1</v>
      </c>
      <c r="S115" s="3">
        <f>IF(AND(ISNUMBER(J115),J115&lt;=D_F01!$B$7,J115&gt;D_F01!$B$7-D_F01!$B$25),G115*R115,0)</f>
        <v>19377426</v>
      </c>
      <c r="T115" s="3">
        <f>IF(AND(ISNUMBER(J115),J115&lt;=D_F01!$B$7,J115&gt;D_F01!$B$7-D_F01!$B$25),G115,0)</f>
        <v>19377426</v>
      </c>
      <c r="U115" s="3">
        <f>IF(INDEX(D_F01!$C$51:$C$59,MATCH(C115,D_F01!$A$51:$A$59,0))="có",1,0)</f>
        <v>1</v>
      </c>
      <c r="V115">
        <f>IF(AND(N115=1,L115&gt;0,L115&lt;1,K115&gt;M115,H115+M115&gt;=D_F01!$B$7),1,0)</f>
        <v>0</v>
      </c>
      <c r="W115" s="29">
        <f t="shared" si="14"/>
        <v>0</v>
      </c>
      <c r="X115" s="30">
        <f t="shared" si="15"/>
        <v>0</v>
      </c>
    </row>
    <row r="116" spans="1:24" ht="25.95" customHeight="1">
      <c r="A116" s="14" t="s">
        <v>1214</v>
      </c>
      <c r="B116" s="14" t="s">
        <v>1312</v>
      </c>
      <c r="C116" s="14" t="s">
        <v>993</v>
      </c>
      <c r="D116" s="14" t="s">
        <v>994</v>
      </c>
      <c r="E116" s="14" t="s">
        <v>1855</v>
      </c>
      <c r="F116" s="14" t="s">
        <v>1680</v>
      </c>
      <c r="G116" s="16">
        <v>51253933</v>
      </c>
      <c r="H116" s="12">
        <v>46173</v>
      </c>
      <c r="I116" s="12">
        <v>46203</v>
      </c>
      <c r="J116" s="12"/>
      <c r="K116" s="14">
        <v>30</v>
      </c>
      <c r="L116" s="34">
        <v>0</v>
      </c>
      <c r="M116" s="14">
        <v>0</v>
      </c>
      <c r="N116" s="5">
        <f>IF(AND(H116&lt;=D_F01!$B$7,OR(NOT(ISNUMBER(J116)),J116&gt;D_F01!$B$7)),1,0)</f>
        <v>1</v>
      </c>
      <c r="O116" s="9">
        <f t="shared" si="12"/>
        <v>51253933</v>
      </c>
      <c r="P116" s="5">
        <f>IF(N116=1,MAX(0,D_F01!$B$7-I116),0)</f>
        <v>0</v>
      </c>
      <c r="Q116" s="5">
        <f>IF(AND(ISNUMBER(J116),J116&lt;=D_F01!$B$7),J116-I116,0)</f>
        <v>0</v>
      </c>
      <c r="R116" s="5">
        <f t="shared" si="13"/>
        <v>0</v>
      </c>
      <c r="S116" s="5">
        <f>IF(AND(ISNUMBER(J116),J116&lt;=D_F01!$B$7,J116&gt;D_F01!$B$7-D_F01!$B$25),G116*R116,0)</f>
        <v>0</v>
      </c>
      <c r="T116" s="5">
        <f>IF(AND(ISNUMBER(J116),J116&lt;=D_F01!$B$7,J116&gt;D_F01!$B$7-D_F01!$B$25),G116,0)</f>
        <v>0</v>
      </c>
      <c r="U116" s="5">
        <f>IF(INDEX(D_F01!$C$51:$C$59,MATCH(C116,D_F01!$A$51:$A$59,0))="có",1,0)</f>
        <v>0</v>
      </c>
      <c r="V116">
        <f>IF(AND(N116=1,L116&gt;0,L116&lt;1,K116&gt;M116,H116+M116&gt;=D_F01!$B$7),1,0)</f>
        <v>0</v>
      </c>
      <c r="W116" s="29">
        <f t="shared" si="14"/>
        <v>0</v>
      </c>
      <c r="X116" s="30">
        <f t="shared" si="15"/>
        <v>0</v>
      </c>
    </row>
    <row r="117" spans="1:24" ht="25.95" customHeight="1">
      <c r="A117" s="11" t="s">
        <v>1856</v>
      </c>
      <c r="B117" s="11" t="s">
        <v>1312</v>
      </c>
      <c r="C117" s="11" t="s">
        <v>984</v>
      </c>
      <c r="D117" s="11" t="s">
        <v>985</v>
      </c>
      <c r="E117" s="11" t="s">
        <v>1857</v>
      </c>
      <c r="F117" s="11" t="s">
        <v>1648</v>
      </c>
      <c r="G117" s="15">
        <v>19203317</v>
      </c>
      <c r="H117" s="13">
        <v>46174</v>
      </c>
      <c r="I117" s="13">
        <v>46189</v>
      </c>
      <c r="J117" s="13">
        <v>46188</v>
      </c>
      <c r="K117" s="11">
        <v>15</v>
      </c>
      <c r="L117" s="17">
        <v>0</v>
      </c>
      <c r="M117" s="11">
        <v>0</v>
      </c>
      <c r="N117" s="3">
        <f>IF(AND(H117&lt;=D_F01!$B$7,OR(NOT(ISNUMBER(J117)),J117&gt;D_F01!$B$7)),1,0)</f>
        <v>0</v>
      </c>
      <c r="O117" s="8">
        <f t="shared" si="12"/>
        <v>0</v>
      </c>
      <c r="P117" s="3">
        <f>IF(N117=1,MAX(0,D_F01!$B$7-I117),0)</f>
        <v>0</v>
      </c>
      <c r="Q117" s="3">
        <f>IF(AND(ISNUMBER(J117),J117&lt;=D_F01!$B$7),J117-I117,0)</f>
        <v>-1</v>
      </c>
      <c r="R117" s="3">
        <f t="shared" si="13"/>
        <v>0</v>
      </c>
      <c r="S117" s="3">
        <f>IF(AND(ISNUMBER(J117),J117&lt;=D_F01!$B$7,J117&gt;D_F01!$B$7-D_F01!$B$25),G117*R117,0)</f>
        <v>0</v>
      </c>
      <c r="T117" s="3">
        <f>IF(AND(ISNUMBER(J117),J117&lt;=D_F01!$B$7,J117&gt;D_F01!$B$7-D_F01!$B$25),G117,0)</f>
        <v>19203317</v>
      </c>
      <c r="U117" s="3">
        <f>IF(INDEX(D_F01!$C$51:$C$59,MATCH(C117,D_F01!$A$51:$A$59,0))="có",1,0)</f>
        <v>0</v>
      </c>
      <c r="V117">
        <f>IF(AND(N117=1,L117&gt;0,L117&lt;1,K117&gt;M117,H117+M117&gt;=D_F01!$B$7),1,0)</f>
        <v>0</v>
      </c>
      <c r="W117" s="29">
        <f t="shared" si="14"/>
        <v>0</v>
      </c>
      <c r="X117" s="30">
        <f t="shared" si="15"/>
        <v>0</v>
      </c>
    </row>
    <row r="118" spans="1:24" ht="25.95" customHeight="1">
      <c r="A118" s="14" t="s">
        <v>1216</v>
      </c>
      <c r="B118" s="14" t="s">
        <v>1312</v>
      </c>
      <c r="C118" s="14" t="s">
        <v>976</v>
      </c>
      <c r="D118" s="14" t="s">
        <v>977</v>
      </c>
      <c r="E118" s="14" t="s">
        <v>1858</v>
      </c>
      <c r="F118" s="14" t="s">
        <v>1645</v>
      </c>
      <c r="G118" s="16">
        <v>61901632</v>
      </c>
      <c r="H118" s="12">
        <v>46176</v>
      </c>
      <c r="I118" s="12">
        <v>46206</v>
      </c>
      <c r="J118" s="12"/>
      <c r="K118" s="14">
        <v>30</v>
      </c>
      <c r="L118" s="34">
        <v>0.02</v>
      </c>
      <c r="M118" s="14">
        <v>10</v>
      </c>
      <c r="N118" s="5">
        <f>IF(AND(H118&lt;=D_F01!$B$7,OR(NOT(ISNUMBER(J118)),J118&gt;D_F01!$B$7)),1,0)</f>
        <v>1</v>
      </c>
      <c r="O118" s="9">
        <f t="shared" si="12"/>
        <v>61901632</v>
      </c>
      <c r="P118" s="5">
        <f>IF(N118=1,MAX(0,D_F01!$B$7-I118),0)</f>
        <v>0</v>
      </c>
      <c r="Q118" s="5">
        <f>IF(AND(ISNUMBER(J118),J118&lt;=D_F01!$B$7),J118-I118,0)</f>
        <v>0</v>
      </c>
      <c r="R118" s="5">
        <f t="shared" si="13"/>
        <v>0</v>
      </c>
      <c r="S118" s="5">
        <f>IF(AND(ISNUMBER(J118),J118&lt;=D_F01!$B$7,J118&gt;D_F01!$B$7-D_F01!$B$25),G118*R118,0)</f>
        <v>0</v>
      </c>
      <c r="T118" s="5">
        <f>IF(AND(ISNUMBER(J118),J118&lt;=D_F01!$B$7,J118&gt;D_F01!$B$7-D_F01!$B$25),G118,0)</f>
        <v>0</v>
      </c>
      <c r="U118" s="5">
        <f>IF(INDEX(D_F01!$C$51:$C$59,MATCH(C118,D_F01!$A$51:$A$59,0))="có",1,0)</f>
        <v>1</v>
      </c>
      <c r="V118">
        <f>IF(AND(N118=1,L118&gt;0,L118&lt;1,K118&gt;M118,H118+M118&gt;=D_F01!$B$7),1,0)</f>
        <v>0</v>
      </c>
      <c r="W118" s="29">
        <f t="shared" si="14"/>
        <v>0</v>
      </c>
      <c r="X118" s="30">
        <f t="shared" si="15"/>
        <v>0</v>
      </c>
    </row>
    <row r="119" spans="1:24" ht="25.95" customHeight="1">
      <c r="A119" s="11" t="s">
        <v>1218</v>
      </c>
      <c r="B119" s="11" t="s">
        <v>1312</v>
      </c>
      <c r="C119" s="11" t="s">
        <v>990</v>
      </c>
      <c r="D119" s="11" t="s">
        <v>991</v>
      </c>
      <c r="E119" s="11" t="s">
        <v>1859</v>
      </c>
      <c r="F119" s="11" t="s">
        <v>1823</v>
      </c>
      <c r="G119" s="15">
        <v>163227499</v>
      </c>
      <c r="H119" s="13">
        <v>46088</v>
      </c>
      <c r="I119" s="13">
        <v>46118</v>
      </c>
      <c r="J119" s="13"/>
      <c r="K119" s="11">
        <v>30</v>
      </c>
      <c r="L119" s="17">
        <v>0</v>
      </c>
      <c r="M119" s="11">
        <v>0</v>
      </c>
      <c r="N119" s="3">
        <f>IF(AND(H119&lt;=D_F01!$B$7,OR(NOT(ISNUMBER(J119)),J119&gt;D_F01!$B$7)),1,0)</f>
        <v>1</v>
      </c>
      <c r="O119" s="8">
        <f t="shared" si="12"/>
        <v>163227499</v>
      </c>
      <c r="P119" s="3">
        <f>IF(N119=1,MAX(0,D_F01!$B$7-I119),0)</f>
        <v>75</v>
      </c>
      <c r="Q119" s="3">
        <f>IF(AND(ISNUMBER(J119),J119&lt;=D_F01!$B$7),J119-I119,0)</f>
        <v>0</v>
      </c>
      <c r="R119" s="3">
        <f t="shared" si="13"/>
        <v>0</v>
      </c>
      <c r="S119" s="3">
        <f>IF(AND(ISNUMBER(J119),J119&lt;=D_F01!$B$7,J119&gt;D_F01!$B$7-D_F01!$B$25),G119*R119,0)</f>
        <v>0</v>
      </c>
      <c r="T119" s="3">
        <f>IF(AND(ISNUMBER(J119),J119&lt;=D_F01!$B$7,J119&gt;D_F01!$B$7-D_F01!$B$25),G119,0)</f>
        <v>0</v>
      </c>
      <c r="U119" s="3">
        <f>IF(INDEX(D_F01!$C$51:$C$59,MATCH(C119,D_F01!$A$51:$A$59,0))="có",1,0)</f>
        <v>0</v>
      </c>
      <c r="V119">
        <f>IF(AND(N119=1,L119&gt;0,L119&lt;1,K119&gt;M119,H119+M119&gt;=D_F01!$B$7),1,0)</f>
        <v>0</v>
      </c>
      <c r="W119" s="29">
        <f t="shared" si="14"/>
        <v>0</v>
      </c>
      <c r="X119" s="30">
        <f t="shared" si="15"/>
        <v>0</v>
      </c>
    </row>
    <row r="120" spans="1:24" ht="25.95" customHeight="1">
      <c r="A120" s="14" t="s">
        <v>1220</v>
      </c>
      <c r="B120" s="14" t="s">
        <v>1312</v>
      </c>
      <c r="C120" s="14" t="s">
        <v>982</v>
      </c>
      <c r="D120" s="14" t="s">
        <v>983</v>
      </c>
      <c r="E120" s="14" t="s">
        <v>1860</v>
      </c>
      <c r="F120" s="14" t="s">
        <v>1637</v>
      </c>
      <c r="G120" s="16">
        <v>26794745</v>
      </c>
      <c r="H120" s="12">
        <v>46179</v>
      </c>
      <c r="I120" s="12">
        <v>46194</v>
      </c>
      <c r="J120" s="12"/>
      <c r="K120" s="14">
        <v>15</v>
      </c>
      <c r="L120" s="34">
        <v>0</v>
      </c>
      <c r="M120" s="14">
        <v>0</v>
      </c>
      <c r="N120" s="5">
        <f>IF(AND(H120&lt;=D_F01!$B$7,OR(NOT(ISNUMBER(J120)),J120&gt;D_F01!$B$7)),1,0)</f>
        <v>1</v>
      </c>
      <c r="O120" s="9">
        <f t="shared" si="12"/>
        <v>26794745</v>
      </c>
      <c r="P120" s="5">
        <f>IF(N120=1,MAX(0,D_F01!$B$7-I120),0)</f>
        <v>0</v>
      </c>
      <c r="Q120" s="5">
        <f>IF(AND(ISNUMBER(J120),J120&lt;=D_F01!$B$7),J120-I120,0)</f>
        <v>0</v>
      </c>
      <c r="R120" s="5">
        <f t="shared" si="13"/>
        <v>0</v>
      </c>
      <c r="S120" s="5">
        <f>IF(AND(ISNUMBER(J120),J120&lt;=D_F01!$B$7,J120&gt;D_F01!$B$7-D_F01!$B$25),G120*R120,0)</f>
        <v>0</v>
      </c>
      <c r="T120" s="5">
        <f>IF(AND(ISNUMBER(J120),J120&lt;=D_F01!$B$7,J120&gt;D_F01!$B$7-D_F01!$B$25),G120,0)</f>
        <v>0</v>
      </c>
      <c r="U120" s="5">
        <f>IF(INDEX(D_F01!$C$51:$C$59,MATCH(C120,D_F01!$A$51:$A$59,0))="có",1,0)</f>
        <v>1</v>
      </c>
      <c r="V120">
        <f>IF(AND(N120=1,L120&gt;0,L120&lt;1,K120&gt;M120,H120+M120&gt;=D_F01!$B$7),1,0)</f>
        <v>0</v>
      </c>
      <c r="W120" s="29">
        <f t="shared" si="14"/>
        <v>0</v>
      </c>
      <c r="X120" s="30">
        <f t="shared" si="15"/>
        <v>0</v>
      </c>
    </row>
    <row r="121" spans="1:24" ht="25.95" customHeight="1">
      <c r="A121" s="11" t="s">
        <v>1222</v>
      </c>
      <c r="B121" s="11" t="s">
        <v>1312</v>
      </c>
      <c r="C121" s="11" t="s">
        <v>986</v>
      </c>
      <c r="D121" s="11" t="s">
        <v>987</v>
      </c>
      <c r="E121" s="11" t="s">
        <v>1861</v>
      </c>
      <c r="F121" s="11" t="s">
        <v>1719</v>
      </c>
      <c r="G121" s="15">
        <v>154290368</v>
      </c>
      <c r="H121" s="13">
        <v>46179</v>
      </c>
      <c r="I121" s="13">
        <v>46209</v>
      </c>
      <c r="J121" s="13"/>
      <c r="K121" s="11">
        <v>30</v>
      </c>
      <c r="L121" s="17">
        <v>0</v>
      </c>
      <c r="M121" s="11">
        <v>0</v>
      </c>
      <c r="N121" s="3">
        <f>IF(AND(H121&lt;=D_F01!$B$7,OR(NOT(ISNUMBER(J121)),J121&gt;D_F01!$B$7)),1,0)</f>
        <v>1</v>
      </c>
      <c r="O121" s="8">
        <f t="shared" si="12"/>
        <v>154290368</v>
      </c>
      <c r="P121" s="3">
        <f>IF(N121=1,MAX(0,D_F01!$B$7-I121),0)</f>
        <v>0</v>
      </c>
      <c r="Q121" s="3">
        <f>IF(AND(ISNUMBER(J121),J121&lt;=D_F01!$B$7),J121-I121,0)</f>
        <v>0</v>
      </c>
      <c r="R121" s="3">
        <f t="shared" si="13"/>
        <v>0</v>
      </c>
      <c r="S121" s="3">
        <f>IF(AND(ISNUMBER(J121),J121&lt;=D_F01!$B$7,J121&gt;D_F01!$B$7-D_F01!$B$25),G121*R121,0)</f>
        <v>0</v>
      </c>
      <c r="T121" s="3">
        <f>IF(AND(ISNUMBER(J121),J121&lt;=D_F01!$B$7,J121&gt;D_F01!$B$7-D_F01!$B$25),G121,0)</f>
        <v>0</v>
      </c>
      <c r="U121" s="3">
        <f>IF(INDEX(D_F01!$C$51:$C$59,MATCH(C121,D_F01!$A$51:$A$59,0))="có",1,0)</f>
        <v>0</v>
      </c>
      <c r="V121">
        <f>IF(AND(N121=1,L121&gt;0,L121&lt;1,K121&gt;M121,H121+M121&gt;=D_F01!$B$7),1,0)</f>
        <v>0</v>
      </c>
      <c r="W121" s="29">
        <f t="shared" si="14"/>
        <v>0</v>
      </c>
      <c r="X121" s="30">
        <f t="shared" si="15"/>
        <v>0</v>
      </c>
    </row>
    <row r="122" spans="1:24" ht="25.95" customHeight="1">
      <c r="A122" s="14" t="s">
        <v>1862</v>
      </c>
      <c r="B122" s="14" t="s">
        <v>1312</v>
      </c>
      <c r="C122" s="14" t="s">
        <v>976</v>
      </c>
      <c r="D122" s="14" t="s">
        <v>977</v>
      </c>
      <c r="E122" s="14" t="s">
        <v>1863</v>
      </c>
      <c r="F122" s="14" t="s">
        <v>1645</v>
      </c>
      <c r="G122" s="16">
        <v>62490550</v>
      </c>
      <c r="H122" s="12">
        <v>46181</v>
      </c>
      <c r="I122" s="12">
        <v>46211</v>
      </c>
      <c r="J122" s="12">
        <v>46188</v>
      </c>
      <c r="K122" s="14">
        <v>30</v>
      </c>
      <c r="L122" s="34">
        <v>0.02</v>
      </c>
      <c r="M122" s="14">
        <v>10</v>
      </c>
      <c r="N122" s="5">
        <f>IF(AND(H122&lt;=D_F01!$B$7,OR(NOT(ISNUMBER(J122)),J122&gt;D_F01!$B$7)),1,0)</f>
        <v>0</v>
      </c>
      <c r="O122" s="9">
        <f t="shared" si="12"/>
        <v>0</v>
      </c>
      <c r="P122" s="5">
        <f>IF(N122=1,MAX(0,D_F01!$B$7-I122),0)</f>
        <v>0</v>
      </c>
      <c r="Q122" s="5">
        <f>IF(AND(ISNUMBER(J122),J122&lt;=D_F01!$B$7),J122-I122,0)</f>
        <v>-23</v>
      </c>
      <c r="R122" s="5">
        <f t="shared" si="13"/>
        <v>0</v>
      </c>
      <c r="S122" s="5">
        <f>IF(AND(ISNUMBER(J122),J122&lt;=D_F01!$B$7,J122&gt;D_F01!$B$7-D_F01!$B$25),G122*R122,0)</f>
        <v>0</v>
      </c>
      <c r="T122" s="5">
        <f>IF(AND(ISNUMBER(J122),J122&lt;=D_F01!$B$7,J122&gt;D_F01!$B$7-D_F01!$B$25),G122,0)</f>
        <v>62490550</v>
      </c>
      <c r="U122" s="5">
        <f>IF(INDEX(D_F01!$C$51:$C$59,MATCH(C122,D_F01!$A$51:$A$59,0))="có",1,0)</f>
        <v>1</v>
      </c>
      <c r="V122">
        <f>IF(AND(N122=1,L122&gt;0,L122&lt;1,K122&gt;M122,H122+M122&gt;=D_F01!$B$7),1,0)</f>
        <v>0</v>
      </c>
      <c r="W122" s="29">
        <f t="shared" si="14"/>
        <v>0</v>
      </c>
      <c r="X122" s="30">
        <f t="shared" si="15"/>
        <v>0</v>
      </c>
    </row>
    <row r="123" spans="1:24" ht="25.95" customHeight="1">
      <c r="A123" s="11" t="s">
        <v>1224</v>
      </c>
      <c r="B123" s="11" t="s">
        <v>1312</v>
      </c>
      <c r="C123" s="11" t="s">
        <v>982</v>
      </c>
      <c r="D123" s="11" t="s">
        <v>983</v>
      </c>
      <c r="E123" s="11" t="s">
        <v>1864</v>
      </c>
      <c r="F123" s="11" t="s">
        <v>1637</v>
      </c>
      <c r="G123" s="15">
        <v>11188062</v>
      </c>
      <c r="H123" s="13">
        <v>46185</v>
      </c>
      <c r="I123" s="13">
        <v>46200</v>
      </c>
      <c r="J123" s="13"/>
      <c r="K123" s="11">
        <v>15</v>
      </c>
      <c r="L123" s="17">
        <v>0</v>
      </c>
      <c r="M123" s="11">
        <v>0</v>
      </c>
      <c r="N123" s="3">
        <f>IF(AND(H123&lt;=D_F01!$B$7,OR(NOT(ISNUMBER(J123)),J123&gt;D_F01!$B$7)),1,0)</f>
        <v>1</v>
      </c>
      <c r="O123" s="8">
        <f t="shared" si="12"/>
        <v>11188062</v>
      </c>
      <c r="P123" s="3">
        <f>IF(N123=1,MAX(0,D_F01!$B$7-I123),0)</f>
        <v>0</v>
      </c>
      <c r="Q123" s="3">
        <f>IF(AND(ISNUMBER(J123),J123&lt;=D_F01!$B$7),J123-I123,0)</f>
        <v>0</v>
      </c>
      <c r="R123" s="3">
        <f t="shared" si="13"/>
        <v>0</v>
      </c>
      <c r="S123" s="3">
        <f>IF(AND(ISNUMBER(J123),J123&lt;=D_F01!$B$7,J123&gt;D_F01!$B$7-D_F01!$B$25),G123*R123,0)</f>
        <v>0</v>
      </c>
      <c r="T123" s="3">
        <f>IF(AND(ISNUMBER(J123),J123&lt;=D_F01!$B$7,J123&gt;D_F01!$B$7-D_F01!$B$25),G123,0)</f>
        <v>0</v>
      </c>
      <c r="U123" s="3">
        <f>IF(INDEX(D_F01!$C$51:$C$59,MATCH(C123,D_F01!$A$51:$A$59,0))="có",1,0)</f>
        <v>1</v>
      </c>
      <c r="V123">
        <f>IF(AND(N123=1,L123&gt;0,L123&lt;1,K123&gt;M123,H123+M123&gt;=D_F01!$B$7),1,0)</f>
        <v>0</v>
      </c>
      <c r="W123" s="29">
        <f t="shared" si="14"/>
        <v>0</v>
      </c>
      <c r="X123" s="30">
        <f t="shared" si="15"/>
        <v>0</v>
      </c>
    </row>
    <row r="124" spans="1:24" ht="25.95" customHeight="1">
      <c r="A124" s="14" t="s">
        <v>1226</v>
      </c>
      <c r="B124" s="14" t="s">
        <v>1312</v>
      </c>
      <c r="C124" s="14" t="s">
        <v>995</v>
      </c>
      <c r="D124" s="14" t="s">
        <v>996</v>
      </c>
      <c r="E124" s="14" t="s">
        <v>1865</v>
      </c>
      <c r="F124" s="14" t="s">
        <v>1634</v>
      </c>
      <c r="G124" s="16">
        <v>57768105</v>
      </c>
      <c r="H124" s="12">
        <v>46187</v>
      </c>
      <c r="I124" s="12">
        <v>46217</v>
      </c>
      <c r="J124" s="12"/>
      <c r="K124" s="14">
        <v>30</v>
      </c>
      <c r="L124" s="34">
        <v>0.01</v>
      </c>
      <c r="M124" s="14">
        <v>7</v>
      </c>
      <c r="N124" s="5">
        <f>IF(AND(H124&lt;=D_F01!$B$7,OR(NOT(ISNUMBER(J124)),J124&gt;D_F01!$B$7)),1,0)</f>
        <v>1</v>
      </c>
      <c r="O124" s="9">
        <f t="shared" si="12"/>
        <v>57768105</v>
      </c>
      <c r="P124" s="5">
        <f>IF(N124=1,MAX(0,D_F01!$B$7-I124),0)</f>
        <v>0</v>
      </c>
      <c r="Q124" s="5">
        <f>IF(AND(ISNUMBER(J124),J124&lt;=D_F01!$B$7),J124-I124,0)</f>
        <v>0</v>
      </c>
      <c r="R124" s="5">
        <f t="shared" si="13"/>
        <v>0</v>
      </c>
      <c r="S124" s="5">
        <f>IF(AND(ISNUMBER(J124),J124&lt;=D_F01!$B$7,J124&gt;D_F01!$B$7-D_F01!$B$25),G124*R124,0)</f>
        <v>0</v>
      </c>
      <c r="T124" s="5">
        <f>IF(AND(ISNUMBER(J124),J124&lt;=D_F01!$B$7,J124&gt;D_F01!$B$7-D_F01!$B$25),G124,0)</f>
        <v>0</v>
      </c>
      <c r="U124" s="5">
        <f>IF(INDEX(D_F01!$C$51:$C$59,MATCH(C124,D_F01!$A$51:$A$59,0))="có",1,0)</f>
        <v>1</v>
      </c>
      <c r="V124">
        <f>IF(AND(N124=1,L124&gt;0,L124&lt;1,K124&gt;M124,H124+M124&gt;=D_F01!$B$7),1,0)</f>
        <v>1</v>
      </c>
      <c r="W124" s="29">
        <f t="shared" si="14"/>
        <v>577681.05000000005</v>
      </c>
      <c r="X124" s="30">
        <f t="shared" si="15"/>
        <v>0.16029863855950816</v>
      </c>
    </row>
    <row r="125" spans="1:24" ht="25.95" customHeight="1">
      <c r="A125" s="11" t="s">
        <v>1228</v>
      </c>
      <c r="B125" s="11" t="s">
        <v>1312</v>
      </c>
      <c r="C125" s="11" t="s">
        <v>976</v>
      </c>
      <c r="D125" s="11" t="s">
        <v>977</v>
      </c>
      <c r="E125" s="11" t="s">
        <v>1866</v>
      </c>
      <c r="F125" s="11" t="s">
        <v>1645</v>
      </c>
      <c r="G125" s="15">
        <v>122271660</v>
      </c>
      <c r="H125" s="13">
        <v>46188</v>
      </c>
      <c r="I125" s="13">
        <v>46218</v>
      </c>
      <c r="J125" s="13"/>
      <c r="K125" s="11">
        <v>30</v>
      </c>
      <c r="L125" s="17">
        <v>0.02</v>
      </c>
      <c r="M125" s="11">
        <v>10</v>
      </c>
      <c r="N125" s="3">
        <f>IF(AND(H125&lt;=D_F01!$B$7,OR(NOT(ISNUMBER(J125)),J125&gt;D_F01!$B$7)),1,0)</f>
        <v>1</v>
      </c>
      <c r="O125" s="8">
        <f t="shared" si="12"/>
        <v>122271660</v>
      </c>
      <c r="P125" s="3">
        <f>IF(N125=1,MAX(0,D_F01!$B$7-I125),0)</f>
        <v>0</v>
      </c>
      <c r="Q125" s="3">
        <f>IF(AND(ISNUMBER(J125),J125&lt;=D_F01!$B$7),J125-I125,0)</f>
        <v>0</v>
      </c>
      <c r="R125" s="3">
        <f t="shared" si="13"/>
        <v>0</v>
      </c>
      <c r="S125" s="3">
        <f>IF(AND(ISNUMBER(J125),J125&lt;=D_F01!$B$7,J125&gt;D_F01!$B$7-D_F01!$B$25),G125*R125,0)</f>
        <v>0</v>
      </c>
      <c r="T125" s="3">
        <f>IF(AND(ISNUMBER(J125),J125&lt;=D_F01!$B$7,J125&gt;D_F01!$B$7-D_F01!$B$25),G125,0)</f>
        <v>0</v>
      </c>
      <c r="U125" s="3">
        <f>IF(INDEX(D_F01!$C$51:$C$59,MATCH(C125,D_F01!$A$51:$A$59,0))="có",1,0)</f>
        <v>1</v>
      </c>
      <c r="V125">
        <f>IF(AND(N125=1,L125&gt;0,L125&lt;1,K125&gt;M125,H125+M125&gt;=D_F01!$B$7),1,0)</f>
        <v>1</v>
      </c>
      <c r="W125" s="29">
        <f t="shared" si="14"/>
        <v>2445433.2000000002</v>
      </c>
      <c r="X125" s="30">
        <f t="shared" si="15"/>
        <v>0.37244897959183676</v>
      </c>
    </row>
    <row r="126" spans="1:24" ht="25.95" customHeight="1">
      <c r="A126" s="14" t="s">
        <v>1230</v>
      </c>
      <c r="B126" s="14" t="s">
        <v>1312</v>
      </c>
      <c r="C126" s="14" t="s">
        <v>984</v>
      </c>
      <c r="D126" s="14" t="s">
        <v>985</v>
      </c>
      <c r="E126" s="14" t="s">
        <v>1867</v>
      </c>
      <c r="F126" s="14" t="s">
        <v>1648</v>
      </c>
      <c r="G126" s="16">
        <v>13574256</v>
      </c>
      <c r="H126" s="12">
        <v>46189</v>
      </c>
      <c r="I126" s="12">
        <v>46204</v>
      </c>
      <c r="J126" s="12"/>
      <c r="K126" s="14">
        <v>15</v>
      </c>
      <c r="L126" s="34">
        <v>0</v>
      </c>
      <c r="M126" s="14">
        <v>0</v>
      </c>
      <c r="N126" s="5">
        <f>IF(AND(H126&lt;=D_F01!$B$7,OR(NOT(ISNUMBER(J126)),J126&gt;D_F01!$B$7)),1,0)</f>
        <v>1</v>
      </c>
      <c r="O126" s="9">
        <f t="shared" si="12"/>
        <v>13574256</v>
      </c>
      <c r="P126" s="5">
        <f>IF(N126=1,MAX(0,D_F01!$B$7-I126),0)</f>
        <v>0</v>
      </c>
      <c r="Q126" s="5">
        <f>IF(AND(ISNUMBER(J126),J126&lt;=D_F01!$B$7),J126-I126,0)</f>
        <v>0</v>
      </c>
      <c r="R126" s="5">
        <f t="shared" si="13"/>
        <v>0</v>
      </c>
      <c r="S126" s="5">
        <f>IF(AND(ISNUMBER(J126),J126&lt;=D_F01!$B$7,J126&gt;D_F01!$B$7-D_F01!$B$25),G126*R126,0)</f>
        <v>0</v>
      </c>
      <c r="T126" s="5">
        <f>IF(AND(ISNUMBER(J126),J126&lt;=D_F01!$B$7,J126&gt;D_F01!$B$7-D_F01!$B$25),G126,0)</f>
        <v>0</v>
      </c>
      <c r="U126" s="5">
        <f>IF(INDEX(D_F01!$C$51:$C$59,MATCH(C126,D_F01!$A$51:$A$59,0))="có",1,0)</f>
        <v>0</v>
      </c>
      <c r="V126">
        <f>IF(AND(N126=1,L126&gt;0,L126&lt;1,K126&gt;M126,H126+M126&gt;=D_F01!$B$7),1,0)</f>
        <v>0</v>
      </c>
      <c r="W126" s="29">
        <f t="shared" si="14"/>
        <v>0</v>
      </c>
      <c r="X126" s="30">
        <f t="shared" si="15"/>
        <v>0</v>
      </c>
    </row>
    <row r="127" spans="1:24" ht="25.95" customHeight="1">
      <c r="A127" s="11" t="s">
        <v>1232</v>
      </c>
      <c r="B127" s="11" t="s">
        <v>1312</v>
      </c>
      <c r="C127" s="11" t="s">
        <v>976</v>
      </c>
      <c r="D127" s="11" t="s">
        <v>977</v>
      </c>
      <c r="E127" s="11" t="s">
        <v>1868</v>
      </c>
      <c r="F127" s="11" t="s">
        <v>1645</v>
      </c>
      <c r="G127" s="15">
        <v>95399225</v>
      </c>
      <c r="H127" s="13">
        <v>46191</v>
      </c>
      <c r="I127" s="13">
        <v>46221</v>
      </c>
      <c r="J127" s="13"/>
      <c r="K127" s="11">
        <v>30</v>
      </c>
      <c r="L127" s="17">
        <v>0.02</v>
      </c>
      <c r="M127" s="11">
        <v>10</v>
      </c>
      <c r="N127" s="3">
        <f>IF(AND(H127&lt;=D_F01!$B$7,OR(NOT(ISNUMBER(J127)),J127&gt;D_F01!$B$7)),1,0)</f>
        <v>1</v>
      </c>
      <c r="O127" s="8">
        <f t="shared" si="12"/>
        <v>95399225</v>
      </c>
      <c r="P127" s="3">
        <f>IF(N127=1,MAX(0,D_F01!$B$7-I127),0)</f>
        <v>0</v>
      </c>
      <c r="Q127" s="3">
        <f>IF(AND(ISNUMBER(J127),J127&lt;=D_F01!$B$7),J127-I127,0)</f>
        <v>0</v>
      </c>
      <c r="R127" s="3">
        <f t="shared" si="13"/>
        <v>0</v>
      </c>
      <c r="S127" s="3">
        <f>IF(AND(ISNUMBER(J127),J127&lt;=D_F01!$B$7,J127&gt;D_F01!$B$7-D_F01!$B$25),G127*R127,0)</f>
        <v>0</v>
      </c>
      <c r="T127" s="3">
        <f>IF(AND(ISNUMBER(J127),J127&lt;=D_F01!$B$7,J127&gt;D_F01!$B$7-D_F01!$B$25),G127,0)</f>
        <v>0</v>
      </c>
      <c r="U127" s="3">
        <f>IF(INDEX(D_F01!$C$51:$C$59,MATCH(C127,D_F01!$A$51:$A$59,0))="có",1,0)</f>
        <v>1</v>
      </c>
      <c r="V127">
        <f>IF(AND(N127=1,L127&gt;0,L127&lt;1,K127&gt;M127,H127+M127&gt;=D_F01!$B$7),1,0)</f>
        <v>1</v>
      </c>
      <c r="W127" s="29">
        <f t="shared" si="14"/>
        <v>1907984.5</v>
      </c>
      <c r="X127" s="30">
        <f t="shared" si="15"/>
        <v>0.37244897959183676</v>
      </c>
    </row>
    <row r="128" spans="1:24" ht="25.95" customHeight="1">
      <c r="A128" s="14" t="s">
        <v>1234</v>
      </c>
      <c r="B128" s="14" t="s">
        <v>1312</v>
      </c>
      <c r="C128" s="14" t="s">
        <v>984</v>
      </c>
      <c r="D128" s="14" t="s">
        <v>985</v>
      </c>
      <c r="E128" s="14" t="s">
        <v>1869</v>
      </c>
      <c r="F128" s="14" t="s">
        <v>1648</v>
      </c>
      <c r="G128" s="16">
        <v>23021228</v>
      </c>
      <c r="H128" s="12">
        <v>46191</v>
      </c>
      <c r="I128" s="12">
        <v>46206</v>
      </c>
      <c r="J128" s="12"/>
      <c r="K128" s="14">
        <v>15</v>
      </c>
      <c r="L128" s="34">
        <v>0</v>
      </c>
      <c r="M128" s="14">
        <v>0</v>
      </c>
      <c r="N128" s="5">
        <f>IF(AND(H128&lt;=D_F01!$B$7,OR(NOT(ISNUMBER(J128)),J128&gt;D_F01!$B$7)),1,0)</f>
        <v>1</v>
      </c>
      <c r="O128" s="9">
        <f t="shared" si="12"/>
        <v>23021228</v>
      </c>
      <c r="P128" s="5">
        <f>IF(N128=1,MAX(0,D_F01!$B$7-I128),0)</f>
        <v>0</v>
      </c>
      <c r="Q128" s="5">
        <f>IF(AND(ISNUMBER(J128),J128&lt;=D_F01!$B$7),J128-I128,0)</f>
        <v>0</v>
      </c>
      <c r="R128" s="5">
        <f t="shared" si="13"/>
        <v>0</v>
      </c>
      <c r="S128" s="5">
        <f>IF(AND(ISNUMBER(J128),J128&lt;=D_F01!$B$7,J128&gt;D_F01!$B$7-D_F01!$B$25),G128*R128,0)</f>
        <v>0</v>
      </c>
      <c r="T128" s="5">
        <f>IF(AND(ISNUMBER(J128),J128&lt;=D_F01!$B$7,J128&gt;D_F01!$B$7-D_F01!$B$25),G128,0)</f>
        <v>0</v>
      </c>
      <c r="U128" s="5">
        <f>IF(INDEX(D_F01!$C$51:$C$59,MATCH(C128,D_F01!$A$51:$A$59,0))="có",1,0)</f>
        <v>0</v>
      </c>
      <c r="V128">
        <f>IF(AND(N128=1,L128&gt;0,L128&lt;1,K128&gt;M128,H128+M128&gt;=D_F01!$B$7),1,0)</f>
        <v>0</v>
      </c>
      <c r="W128" s="29">
        <f t="shared" si="14"/>
        <v>0</v>
      </c>
      <c r="X128" s="30">
        <f t="shared" si="15"/>
        <v>0</v>
      </c>
    </row>
    <row r="129" spans="1:24" ht="25.95" customHeight="1">
      <c r="A129" s="11" t="s">
        <v>1236</v>
      </c>
      <c r="B129" s="11" t="s">
        <v>1312</v>
      </c>
      <c r="C129" s="11" t="s">
        <v>979</v>
      </c>
      <c r="D129" s="11" t="s">
        <v>980</v>
      </c>
      <c r="E129" s="11" t="s">
        <v>1870</v>
      </c>
      <c r="F129" s="11" t="s">
        <v>1659</v>
      </c>
      <c r="G129" s="15">
        <v>48033264</v>
      </c>
      <c r="H129" s="13">
        <v>46192</v>
      </c>
      <c r="I129" s="13">
        <v>46237</v>
      </c>
      <c r="J129" s="13"/>
      <c r="K129" s="11">
        <v>45</v>
      </c>
      <c r="L129" s="17">
        <v>0</v>
      </c>
      <c r="M129" s="11">
        <v>0</v>
      </c>
      <c r="N129" s="3">
        <f>IF(AND(H129&lt;=D_F01!$B$7,OR(NOT(ISNUMBER(J129)),J129&gt;D_F01!$B$7)),1,0)</f>
        <v>1</v>
      </c>
      <c r="O129" s="8">
        <f t="shared" si="12"/>
        <v>48033264</v>
      </c>
      <c r="P129" s="3">
        <f>IF(N129=1,MAX(0,D_F01!$B$7-I129),0)</f>
        <v>0</v>
      </c>
      <c r="Q129" s="3">
        <f>IF(AND(ISNUMBER(J129),J129&lt;=D_F01!$B$7),J129-I129,0)</f>
        <v>0</v>
      </c>
      <c r="R129" s="3">
        <f t="shared" si="13"/>
        <v>0</v>
      </c>
      <c r="S129" s="3">
        <f>IF(AND(ISNUMBER(J129),J129&lt;=D_F01!$B$7,J129&gt;D_F01!$B$7-D_F01!$B$25),G129*R129,0)</f>
        <v>0</v>
      </c>
      <c r="T129" s="3">
        <f>IF(AND(ISNUMBER(J129),J129&lt;=D_F01!$B$7,J129&gt;D_F01!$B$7-D_F01!$B$25),G129,0)</f>
        <v>0</v>
      </c>
      <c r="U129" s="3">
        <f>IF(INDEX(D_F01!$C$51:$C$59,MATCH(C129,D_F01!$A$51:$A$59,0))="có",1,0)</f>
        <v>0</v>
      </c>
      <c r="V129">
        <f>IF(AND(N129=1,L129&gt;0,L129&lt;1,K129&gt;M129,H129+M129&gt;=D_F01!$B$7),1,0)</f>
        <v>0</v>
      </c>
      <c r="W129" s="29">
        <f t="shared" si="14"/>
        <v>0</v>
      </c>
      <c r="X129" s="30">
        <f t="shared" si="15"/>
        <v>0</v>
      </c>
    </row>
    <row r="130" spans="1:24" ht="25.95" customHeight="1">
      <c r="A130" s="14" t="s">
        <v>1238</v>
      </c>
      <c r="B130" s="14" t="s">
        <v>1312</v>
      </c>
      <c r="C130" s="14" t="s">
        <v>982</v>
      </c>
      <c r="D130" s="14" t="s">
        <v>983</v>
      </c>
      <c r="E130" s="14" t="s">
        <v>1871</v>
      </c>
      <c r="F130" s="14" t="s">
        <v>1637</v>
      </c>
      <c r="G130" s="16">
        <v>53152483</v>
      </c>
      <c r="H130" s="12">
        <v>46193</v>
      </c>
      <c r="I130" s="12">
        <v>46208</v>
      </c>
      <c r="J130" s="12"/>
      <c r="K130" s="14">
        <v>15</v>
      </c>
      <c r="L130" s="34">
        <v>0</v>
      </c>
      <c r="M130" s="14">
        <v>0</v>
      </c>
      <c r="N130" s="5">
        <f>IF(AND(H130&lt;=D_F01!$B$7,OR(NOT(ISNUMBER(J130)),J130&gt;D_F01!$B$7)),1,0)</f>
        <v>1</v>
      </c>
      <c r="O130" s="9">
        <f t="shared" si="12"/>
        <v>53152483</v>
      </c>
      <c r="P130" s="5">
        <f>IF(N130=1,MAX(0,D_F01!$B$7-I130),0)</f>
        <v>0</v>
      </c>
      <c r="Q130" s="5">
        <f>IF(AND(ISNUMBER(J130),J130&lt;=D_F01!$B$7),J130-I130,0)</f>
        <v>0</v>
      </c>
      <c r="R130" s="5">
        <f t="shared" si="13"/>
        <v>0</v>
      </c>
      <c r="S130" s="5">
        <f>IF(AND(ISNUMBER(J130),J130&lt;=D_F01!$B$7,J130&gt;D_F01!$B$7-D_F01!$B$25),G130*R130,0)</f>
        <v>0</v>
      </c>
      <c r="T130" s="5">
        <f>IF(AND(ISNUMBER(J130),J130&lt;=D_F01!$B$7,J130&gt;D_F01!$B$7-D_F01!$B$25),G130,0)</f>
        <v>0</v>
      </c>
      <c r="U130" s="5">
        <f>IF(INDEX(D_F01!$C$51:$C$59,MATCH(C130,D_F01!$A$51:$A$59,0))="có",1,0)</f>
        <v>1</v>
      </c>
      <c r="V130">
        <f>IF(AND(N130=1,L130&gt;0,L130&lt;1,K130&gt;M130,H130+M130&gt;=D_F01!$B$7),1,0)</f>
        <v>0</v>
      </c>
      <c r="W130" s="29">
        <f t="shared" si="14"/>
        <v>0</v>
      </c>
      <c r="X130" s="30">
        <f t="shared" si="15"/>
        <v>0</v>
      </c>
    </row>
    <row r="131" spans="1:24" ht="25.95" customHeight="1">
      <c r="A131" s="11" t="s">
        <v>1240</v>
      </c>
      <c r="B131" s="11" t="s">
        <v>1312</v>
      </c>
      <c r="C131" s="11" t="s">
        <v>995</v>
      </c>
      <c r="D131" s="11" t="s">
        <v>996</v>
      </c>
      <c r="E131" s="11" t="s">
        <v>1872</v>
      </c>
      <c r="F131" s="11" t="s">
        <v>1634</v>
      </c>
      <c r="G131" s="15">
        <v>28273631</v>
      </c>
      <c r="H131" s="13">
        <v>46193</v>
      </c>
      <c r="I131" s="13">
        <v>46223</v>
      </c>
      <c r="J131" s="13"/>
      <c r="K131" s="11">
        <v>30</v>
      </c>
      <c r="L131" s="17">
        <v>0.01</v>
      </c>
      <c r="M131" s="11">
        <v>7</v>
      </c>
      <c r="N131" s="3">
        <f>IF(AND(H131&lt;=D_F01!$B$7,OR(NOT(ISNUMBER(J131)),J131&gt;D_F01!$B$7)),1,0)</f>
        <v>1</v>
      </c>
      <c r="O131" s="8">
        <f t="shared" si="12"/>
        <v>28273631</v>
      </c>
      <c r="P131" s="3">
        <f>IF(N131=1,MAX(0,D_F01!$B$7-I131),0)</f>
        <v>0</v>
      </c>
      <c r="Q131" s="3">
        <f>IF(AND(ISNUMBER(J131),J131&lt;=D_F01!$B$7),J131-I131,0)</f>
        <v>0</v>
      </c>
      <c r="R131" s="3">
        <f t="shared" si="13"/>
        <v>0</v>
      </c>
      <c r="S131" s="3">
        <f>IF(AND(ISNUMBER(J131),J131&lt;=D_F01!$B$7,J131&gt;D_F01!$B$7-D_F01!$B$25),G131*R131,0)</f>
        <v>0</v>
      </c>
      <c r="T131" s="3">
        <f>IF(AND(ISNUMBER(J131),J131&lt;=D_F01!$B$7,J131&gt;D_F01!$B$7-D_F01!$B$25),G131,0)</f>
        <v>0</v>
      </c>
      <c r="U131" s="3">
        <f>IF(INDEX(D_F01!$C$51:$C$59,MATCH(C131,D_F01!$A$51:$A$59,0))="có",1,0)</f>
        <v>1</v>
      </c>
      <c r="V131">
        <f>IF(AND(N131=1,L131&gt;0,L131&lt;1,K131&gt;M131,H131+M131&gt;=D_F01!$B$7),1,0)</f>
        <v>1</v>
      </c>
      <c r="W131" s="29">
        <f t="shared" si="14"/>
        <v>282736.31</v>
      </c>
      <c r="X131" s="30">
        <f t="shared" si="15"/>
        <v>0.16029863855950816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51E91-E506-454E-A490-833FAF91A83F}">
  <dimension ref="A2:T37"/>
  <sheetViews>
    <sheetView showGridLines="0" workbookViewId="0">
      <pane xSplit="3" ySplit="4" topLeftCell="D26" activePane="bottomRight" state="frozen"/>
      <selection pane="topRight"/>
      <selection pane="bottomLeft"/>
      <selection pane="bottomRight" activeCell="D5" sqref="D5"/>
    </sheetView>
  </sheetViews>
  <sheetFormatPr defaultRowHeight="13.8"/>
  <cols>
    <col min="1" max="1" width="14" customWidth="1"/>
    <col min="2" max="2" width="10" customWidth="1"/>
    <col min="3" max="3" width="45" customWidth="1"/>
    <col min="4" max="4" width="12" customWidth="1"/>
    <col min="5" max="6" width="21" customWidth="1"/>
    <col min="7" max="7" width="23" customWidth="1"/>
    <col min="8" max="8" width="22" customWidth="1"/>
    <col min="9" max="9" width="17" customWidth="1"/>
    <col min="10" max="10" width="20" customWidth="1"/>
    <col min="11" max="11" width="13" customWidth="1"/>
    <col min="12" max="12" width="23" customWidth="1"/>
    <col min="13" max="13" width="20" customWidth="1"/>
    <col min="14" max="14" width="18" customWidth="1"/>
    <col min="15" max="16" width="24" customWidth="1"/>
    <col min="17" max="17" width="18" customWidth="1"/>
    <col min="18" max="18" width="14" customWidth="1"/>
    <col min="19" max="19" width="16" customWidth="1"/>
    <col min="20" max="20" width="18" customWidth="1"/>
  </cols>
  <sheetData>
    <row r="2" spans="1:20" ht="17.399999999999999" customHeight="1">
      <c r="A2" s="2" t="s">
        <v>1873</v>
      </c>
    </row>
    <row r="4" spans="1:20" ht="34.049999999999997" customHeight="1">
      <c r="A4" s="4" t="s">
        <v>1874</v>
      </c>
      <c r="B4" s="4" t="s">
        <v>1311</v>
      </c>
      <c r="C4" s="4" t="s">
        <v>1875</v>
      </c>
      <c r="D4" s="4" t="s">
        <v>1876</v>
      </c>
      <c r="E4" s="4" t="s">
        <v>1877</v>
      </c>
      <c r="F4" s="4" t="s">
        <v>1878</v>
      </c>
      <c r="G4" s="4" t="s">
        <v>1879</v>
      </c>
      <c r="H4" s="4" t="s">
        <v>1880</v>
      </c>
      <c r="I4" s="4" t="s">
        <v>1881</v>
      </c>
      <c r="J4" s="4" t="s">
        <v>1882</v>
      </c>
      <c r="K4" s="4" t="s">
        <v>1883</v>
      </c>
      <c r="L4" s="4" t="s">
        <v>1884</v>
      </c>
      <c r="M4" s="4" t="s">
        <v>1885</v>
      </c>
      <c r="N4" s="4" t="s">
        <v>1886</v>
      </c>
      <c r="O4" s="4" t="s">
        <v>1887</v>
      </c>
      <c r="P4" s="4" t="s">
        <v>1888</v>
      </c>
      <c r="Q4" s="4" t="s">
        <v>1889</v>
      </c>
      <c r="R4" s="4" t="s">
        <v>1890</v>
      </c>
      <c r="S4" s="4" t="s">
        <v>1891</v>
      </c>
      <c r="T4" s="4" t="s">
        <v>1892</v>
      </c>
    </row>
    <row r="5" spans="1:20" ht="25.95" customHeight="1">
      <c r="A5" s="11" t="s">
        <v>1893</v>
      </c>
      <c r="B5" s="11" t="s">
        <v>1312</v>
      </c>
      <c r="C5" s="11" t="s">
        <v>1894</v>
      </c>
      <c r="D5" s="11" t="s">
        <v>1895</v>
      </c>
      <c r="E5" s="11" t="s">
        <v>1312</v>
      </c>
      <c r="F5" s="11" t="s">
        <v>976</v>
      </c>
      <c r="G5" s="11" t="s">
        <v>1896</v>
      </c>
      <c r="H5" s="11" t="s">
        <v>1897</v>
      </c>
      <c r="I5" s="13">
        <v>46161</v>
      </c>
      <c r="J5" s="11">
        <v>9000</v>
      </c>
      <c r="K5" s="11" t="s">
        <v>1898</v>
      </c>
      <c r="L5" s="35">
        <v>20330.694769000002</v>
      </c>
      <c r="M5" s="11" t="s">
        <v>981</v>
      </c>
      <c r="N5" s="3">
        <f>D_F01!$B$7-I5</f>
        <v>32</v>
      </c>
      <c r="O5" s="8">
        <f t="shared" ref="O5:O37" si="0">J5*L5</f>
        <v>182976252.921</v>
      </c>
      <c r="P5" s="8">
        <f t="shared" ref="P5:P37" si="1">IF(E5="F01",O5,0)</f>
        <v>182976252.921</v>
      </c>
      <c r="Q5" s="3">
        <f>IF(OR(D5="NVL",D5="HH"),Nguong!$B$31,Nguong!$B$32)</f>
        <v>60</v>
      </c>
      <c r="R5" s="3">
        <f t="shared" ref="R5:R37" si="2">IF(AND(E5="F01",N5&gt;Q5),1,0)</f>
        <v>0</v>
      </c>
      <c r="S5" s="3">
        <f t="shared" ref="S5:S37" si="3">IF(AND(E5="F01",OR(R5=1,H5="Đã hủy")),1,0)</f>
        <v>0</v>
      </c>
      <c r="T5" s="3">
        <f>P5/D_F01!$B$10*D_F01!$B$8</f>
        <v>1.3037058020621251</v>
      </c>
    </row>
    <row r="6" spans="1:20" ht="25.95" customHeight="1">
      <c r="A6" s="14" t="s">
        <v>1899</v>
      </c>
      <c r="B6" s="14" t="s">
        <v>1312</v>
      </c>
      <c r="C6" s="14" t="s">
        <v>1900</v>
      </c>
      <c r="D6" s="14" t="s">
        <v>1895</v>
      </c>
      <c r="E6" s="14" t="s">
        <v>1312</v>
      </c>
      <c r="F6" s="14" t="s">
        <v>976</v>
      </c>
      <c r="G6" s="14" t="s">
        <v>1896</v>
      </c>
      <c r="H6" s="14" t="s">
        <v>1897</v>
      </c>
      <c r="I6" s="12">
        <v>46168</v>
      </c>
      <c r="J6" s="14">
        <v>6500</v>
      </c>
      <c r="K6" s="14" t="s">
        <v>1898</v>
      </c>
      <c r="L6" s="36">
        <v>6671.0092210000003</v>
      </c>
      <c r="M6" s="14" t="s">
        <v>992</v>
      </c>
      <c r="N6" s="5">
        <f>D_F01!$B$7-I6</f>
        <v>25</v>
      </c>
      <c r="O6" s="9">
        <f t="shared" si="0"/>
        <v>43361559.936499998</v>
      </c>
      <c r="P6" s="9">
        <f t="shared" si="1"/>
        <v>43361559.936499998</v>
      </c>
      <c r="Q6" s="5">
        <f>IF(OR(D6="NVL",D6="HH"),Nguong!$B$31,Nguong!$B$32)</f>
        <v>60</v>
      </c>
      <c r="R6" s="5">
        <f t="shared" si="2"/>
        <v>0</v>
      </c>
      <c r="S6" s="5">
        <f t="shared" si="3"/>
        <v>0</v>
      </c>
      <c r="T6" s="5">
        <f>P6/D_F01!$B$10*D_F01!$B$8</f>
        <v>0.30895111454756252</v>
      </c>
    </row>
    <row r="7" spans="1:20" ht="25.95" customHeight="1">
      <c r="A7" s="11" t="s">
        <v>1901</v>
      </c>
      <c r="B7" s="11" t="s">
        <v>1312</v>
      </c>
      <c r="C7" s="11" t="s">
        <v>1902</v>
      </c>
      <c r="D7" s="11" t="s">
        <v>1895</v>
      </c>
      <c r="E7" s="11" t="s">
        <v>1312</v>
      </c>
      <c r="F7" s="11" t="s">
        <v>976</v>
      </c>
      <c r="G7" s="11"/>
      <c r="H7" s="11" t="s">
        <v>1903</v>
      </c>
      <c r="I7" s="13">
        <v>46022</v>
      </c>
      <c r="J7" s="11">
        <v>4200</v>
      </c>
      <c r="K7" s="11" t="s">
        <v>1898</v>
      </c>
      <c r="L7" s="35">
        <v>15565.688182</v>
      </c>
      <c r="M7" s="11" t="s">
        <v>992</v>
      </c>
      <c r="N7" s="3">
        <f>D_F01!$B$7-I7</f>
        <v>171</v>
      </c>
      <c r="O7" s="8">
        <f t="shared" si="0"/>
        <v>65375890.364399999</v>
      </c>
      <c r="P7" s="8">
        <f t="shared" si="1"/>
        <v>65375890.364399999</v>
      </c>
      <c r="Q7" s="3">
        <f>IF(OR(D7="NVL",D7="HH"),Nguong!$B$31,Nguong!$B$32)</f>
        <v>60</v>
      </c>
      <c r="R7" s="3">
        <f t="shared" si="2"/>
        <v>1</v>
      </c>
      <c r="S7" s="3">
        <f t="shared" si="3"/>
        <v>1</v>
      </c>
      <c r="T7" s="3">
        <f>P7/D_F01!$B$10*D_F01!$B$8</f>
        <v>0.46580321884635001</v>
      </c>
    </row>
    <row r="8" spans="1:20" ht="25.95" customHeight="1">
      <c r="A8" s="14" t="s">
        <v>1904</v>
      </c>
      <c r="B8" s="14" t="s">
        <v>1312</v>
      </c>
      <c r="C8" s="14" t="s">
        <v>1905</v>
      </c>
      <c r="D8" s="14" t="s">
        <v>1895</v>
      </c>
      <c r="E8" s="14" t="s">
        <v>1312</v>
      </c>
      <c r="F8" s="14" t="s">
        <v>990</v>
      </c>
      <c r="G8" s="14"/>
      <c r="H8" s="14" t="s">
        <v>1903</v>
      </c>
      <c r="I8" s="12">
        <v>45965</v>
      </c>
      <c r="J8" s="14">
        <v>120</v>
      </c>
      <c r="K8" s="14" t="s">
        <v>1898</v>
      </c>
      <c r="L8" s="36">
        <v>34149.213868999999</v>
      </c>
      <c r="M8" s="14" t="s">
        <v>992</v>
      </c>
      <c r="N8" s="5">
        <f>D_F01!$B$7-I8</f>
        <v>228</v>
      </c>
      <c r="O8" s="9">
        <f t="shared" si="0"/>
        <v>4097905.6642800001</v>
      </c>
      <c r="P8" s="9">
        <f t="shared" si="1"/>
        <v>4097905.6642800001</v>
      </c>
      <c r="Q8" s="5">
        <f>IF(OR(D8="NVL",D8="HH"),Nguong!$B$31,Nguong!$B$32)</f>
        <v>60</v>
      </c>
      <c r="R8" s="5">
        <f t="shared" si="2"/>
        <v>1</v>
      </c>
      <c r="S8" s="5">
        <f t="shared" si="3"/>
        <v>1</v>
      </c>
      <c r="T8" s="5">
        <f>P8/D_F01!$B$10*D_F01!$B$8</f>
        <v>2.9197577857995E-2</v>
      </c>
    </row>
    <row r="9" spans="1:20" ht="25.95" customHeight="1">
      <c r="A9" s="11" t="s">
        <v>1906</v>
      </c>
      <c r="B9" s="11" t="s">
        <v>1312</v>
      </c>
      <c r="C9" s="11" t="s">
        <v>1907</v>
      </c>
      <c r="D9" s="11" t="s">
        <v>1895</v>
      </c>
      <c r="E9" s="11" t="s">
        <v>1312</v>
      </c>
      <c r="F9" s="11" t="s">
        <v>982</v>
      </c>
      <c r="G9" s="11" t="s">
        <v>1896</v>
      </c>
      <c r="H9" s="11" t="s">
        <v>1897</v>
      </c>
      <c r="I9" s="13">
        <v>46165</v>
      </c>
      <c r="J9" s="11">
        <v>520000</v>
      </c>
      <c r="K9" s="11" t="s">
        <v>1908</v>
      </c>
      <c r="L9" s="35">
        <v>195.36527000000001</v>
      </c>
      <c r="M9" s="11" t="s">
        <v>981</v>
      </c>
      <c r="N9" s="3">
        <f>D_F01!$B$7-I9</f>
        <v>28</v>
      </c>
      <c r="O9" s="8">
        <f t="shared" si="0"/>
        <v>101589940.40000001</v>
      </c>
      <c r="P9" s="8">
        <f t="shared" si="1"/>
        <v>101589940.40000001</v>
      </c>
      <c r="Q9" s="3">
        <f>IF(OR(D9="NVL",D9="HH"),Nguong!$B$31,Nguong!$B$32)</f>
        <v>60</v>
      </c>
      <c r="R9" s="3">
        <f t="shared" si="2"/>
        <v>0</v>
      </c>
      <c r="S9" s="3">
        <f t="shared" si="3"/>
        <v>0</v>
      </c>
      <c r="T9" s="3">
        <f>P9/D_F01!$B$10*D_F01!$B$8</f>
        <v>0.72382832535000008</v>
      </c>
    </row>
    <row r="10" spans="1:20" ht="25.95" customHeight="1">
      <c r="A10" s="14" t="s">
        <v>1909</v>
      </c>
      <c r="B10" s="14" t="s">
        <v>1312</v>
      </c>
      <c r="C10" s="14" t="s">
        <v>1910</v>
      </c>
      <c r="D10" s="14" t="s">
        <v>1895</v>
      </c>
      <c r="E10" s="14" t="s">
        <v>1312</v>
      </c>
      <c r="F10" s="14" t="s">
        <v>995</v>
      </c>
      <c r="G10" s="14" t="s">
        <v>1911</v>
      </c>
      <c r="H10" s="14" t="s">
        <v>1912</v>
      </c>
      <c r="I10" s="12">
        <v>46075</v>
      </c>
      <c r="J10" s="14">
        <v>215000</v>
      </c>
      <c r="K10" s="14" t="s">
        <v>1908</v>
      </c>
      <c r="L10" s="36">
        <v>317.66710599999999</v>
      </c>
      <c r="M10" s="14" t="s">
        <v>992</v>
      </c>
      <c r="N10" s="5">
        <f>D_F01!$B$7-I10</f>
        <v>118</v>
      </c>
      <c r="O10" s="9">
        <f t="shared" si="0"/>
        <v>68298427.789999992</v>
      </c>
      <c r="P10" s="9">
        <f t="shared" si="1"/>
        <v>68298427.789999992</v>
      </c>
      <c r="Q10" s="5">
        <f>IF(OR(D10="NVL",D10="HH"),Nguong!$B$31,Nguong!$B$32)</f>
        <v>60</v>
      </c>
      <c r="R10" s="5">
        <f t="shared" si="2"/>
        <v>1</v>
      </c>
      <c r="S10" s="5">
        <f t="shared" si="3"/>
        <v>1</v>
      </c>
      <c r="T10" s="5">
        <f>P10/D_F01!$B$10*D_F01!$B$8</f>
        <v>0.48662629800374996</v>
      </c>
    </row>
    <row r="11" spans="1:20" ht="25.95" customHeight="1">
      <c r="A11" s="11" t="s">
        <v>1913</v>
      </c>
      <c r="B11" s="11" t="s">
        <v>1312</v>
      </c>
      <c r="C11" s="11" t="s">
        <v>1914</v>
      </c>
      <c r="D11" s="11" t="s">
        <v>1895</v>
      </c>
      <c r="E11" s="11" t="s">
        <v>1312</v>
      </c>
      <c r="F11" s="11" t="s">
        <v>979</v>
      </c>
      <c r="G11" s="11"/>
      <c r="H11" s="11" t="s">
        <v>1903</v>
      </c>
      <c r="I11" s="13">
        <v>46173</v>
      </c>
      <c r="J11" s="11">
        <v>310000</v>
      </c>
      <c r="K11" s="11" t="s">
        <v>1915</v>
      </c>
      <c r="L11" s="35">
        <v>198.54194100000001</v>
      </c>
      <c r="M11" s="11" t="s">
        <v>978</v>
      </c>
      <c r="N11" s="3">
        <f>D_F01!$B$7-I11</f>
        <v>20</v>
      </c>
      <c r="O11" s="8">
        <f t="shared" si="0"/>
        <v>61548001.710000001</v>
      </c>
      <c r="P11" s="8">
        <f t="shared" si="1"/>
        <v>61548001.710000001</v>
      </c>
      <c r="Q11" s="3">
        <f>IF(OR(D11="NVL",D11="HH"),Nguong!$B$31,Nguong!$B$32)</f>
        <v>60</v>
      </c>
      <c r="R11" s="3">
        <f t="shared" si="2"/>
        <v>0</v>
      </c>
      <c r="S11" s="3">
        <f t="shared" si="3"/>
        <v>0</v>
      </c>
      <c r="T11" s="3">
        <f>P11/D_F01!$B$10*D_F01!$B$8</f>
        <v>0.43852951218375003</v>
      </c>
    </row>
    <row r="12" spans="1:20" ht="25.95" customHeight="1">
      <c r="A12" s="14" t="s">
        <v>1916</v>
      </c>
      <c r="B12" s="14" t="s">
        <v>1312</v>
      </c>
      <c r="C12" s="14" t="s">
        <v>1917</v>
      </c>
      <c r="D12" s="14" t="s">
        <v>1895</v>
      </c>
      <c r="E12" s="14" t="s">
        <v>1312</v>
      </c>
      <c r="F12" s="14" t="s">
        <v>995</v>
      </c>
      <c r="G12" s="14" t="s">
        <v>1918</v>
      </c>
      <c r="H12" s="14" t="s">
        <v>1919</v>
      </c>
      <c r="I12" s="12">
        <v>46109</v>
      </c>
      <c r="J12" s="14">
        <v>45000</v>
      </c>
      <c r="K12" s="14" t="s">
        <v>1908</v>
      </c>
      <c r="L12" s="36">
        <v>317.66710599999999</v>
      </c>
      <c r="M12" s="14" t="s">
        <v>992</v>
      </c>
      <c r="N12" s="5">
        <f>D_F01!$B$7-I12</f>
        <v>84</v>
      </c>
      <c r="O12" s="9">
        <f t="shared" si="0"/>
        <v>14295019.77</v>
      </c>
      <c r="P12" s="9">
        <f t="shared" si="1"/>
        <v>14295019.77</v>
      </c>
      <c r="Q12" s="5">
        <f>IF(OR(D12="NVL",D12="HH"),Nguong!$B$31,Nguong!$B$32)</f>
        <v>60</v>
      </c>
      <c r="R12" s="5">
        <f t="shared" si="2"/>
        <v>1</v>
      </c>
      <c r="S12" s="5">
        <f t="shared" si="3"/>
        <v>1</v>
      </c>
      <c r="T12" s="5">
        <f>P12/D_F01!$B$10*D_F01!$B$8</f>
        <v>0.10185201586124999</v>
      </c>
    </row>
    <row r="13" spans="1:20" ht="25.95" customHeight="1">
      <c r="A13" s="11" t="s">
        <v>1920</v>
      </c>
      <c r="B13" s="11" t="s">
        <v>1312</v>
      </c>
      <c r="C13" s="11" t="s">
        <v>1921</v>
      </c>
      <c r="D13" s="11" t="s">
        <v>1922</v>
      </c>
      <c r="E13" s="11" t="s">
        <v>1312</v>
      </c>
      <c r="F13" s="11"/>
      <c r="G13" s="11" t="s">
        <v>1896</v>
      </c>
      <c r="H13" s="11" t="s">
        <v>1897</v>
      </c>
      <c r="I13" s="13">
        <v>46184</v>
      </c>
      <c r="J13" s="11">
        <v>14000</v>
      </c>
      <c r="K13" s="11" t="s">
        <v>1908</v>
      </c>
      <c r="L13" s="35">
        <v>6512.1756679999999</v>
      </c>
      <c r="M13" s="11" t="s">
        <v>992</v>
      </c>
      <c r="N13" s="3">
        <f>D_F01!$B$7-I13</f>
        <v>9</v>
      </c>
      <c r="O13" s="8">
        <f t="shared" si="0"/>
        <v>91170459.351999998</v>
      </c>
      <c r="P13" s="8">
        <f t="shared" si="1"/>
        <v>91170459.351999998</v>
      </c>
      <c r="Q13" s="3">
        <f>IF(OR(D13="NVL",D13="HH"),Nguong!$B$31,Nguong!$B$32)</f>
        <v>30</v>
      </c>
      <c r="R13" s="3">
        <f t="shared" si="2"/>
        <v>0</v>
      </c>
      <c r="S13" s="3">
        <f t="shared" si="3"/>
        <v>0</v>
      </c>
      <c r="T13" s="3">
        <f>P13/D_F01!$B$10*D_F01!$B$8</f>
        <v>0.64958952288299998</v>
      </c>
    </row>
    <row r="14" spans="1:20" ht="25.95" customHeight="1">
      <c r="A14" s="14" t="s">
        <v>1923</v>
      </c>
      <c r="B14" s="14" t="s">
        <v>1312</v>
      </c>
      <c r="C14" s="14" t="s">
        <v>1924</v>
      </c>
      <c r="D14" s="14" t="s">
        <v>1922</v>
      </c>
      <c r="E14" s="14" t="s">
        <v>1312</v>
      </c>
      <c r="F14" s="14"/>
      <c r="G14" s="14" t="s">
        <v>1925</v>
      </c>
      <c r="H14" s="14" t="s">
        <v>1897</v>
      </c>
      <c r="I14" s="12">
        <v>46146</v>
      </c>
      <c r="J14" s="14">
        <v>3800</v>
      </c>
      <c r="K14" s="14" t="s">
        <v>1908</v>
      </c>
      <c r="L14" s="36">
        <v>8259.3447500000002</v>
      </c>
      <c r="M14" s="14" t="s">
        <v>992</v>
      </c>
      <c r="N14" s="5">
        <f>D_F01!$B$7-I14</f>
        <v>47</v>
      </c>
      <c r="O14" s="9">
        <f t="shared" si="0"/>
        <v>31385510.050000001</v>
      </c>
      <c r="P14" s="9">
        <f t="shared" si="1"/>
        <v>31385510.050000001</v>
      </c>
      <c r="Q14" s="5">
        <f>IF(OR(D14="NVL",D14="HH"),Nguong!$B$31,Nguong!$B$32)</f>
        <v>30</v>
      </c>
      <c r="R14" s="5">
        <f t="shared" si="2"/>
        <v>1</v>
      </c>
      <c r="S14" s="5">
        <f t="shared" si="3"/>
        <v>1</v>
      </c>
      <c r="T14" s="5">
        <f>P14/D_F01!$B$10*D_F01!$B$8</f>
        <v>0.22362175910624998</v>
      </c>
    </row>
    <row r="15" spans="1:20" ht="25.95" customHeight="1">
      <c r="A15" s="11" t="s">
        <v>1926</v>
      </c>
      <c r="B15" s="11" t="s">
        <v>1312</v>
      </c>
      <c r="C15" s="11" t="s">
        <v>1927</v>
      </c>
      <c r="D15" s="11" t="s">
        <v>1922</v>
      </c>
      <c r="E15" s="11" t="s">
        <v>1312</v>
      </c>
      <c r="F15" s="11"/>
      <c r="G15" s="11" t="s">
        <v>1928</v>
      </c>
      <c r="H15" s="11" t="s">
        <v>1897</v>
      </c>
      <c r="I15" s="13">
        <v>46182</v>
      </c>
      <c r="J15" s="11">
        <v>9500</v>
      </c>
      <c r="K15" s="11" t="s">
        <v>1908</v>
      </c>
      <c r="L15" s="35">
        <v>5718.0079040000001</v>
      </c>
      <c r="M15" s="11" t="s">
        <v>992</v>
      </c>
      <c r="N15" s="3">
        <f>D_F01!$B$7-I15</f>
        <v>11</v>
      </c>
      <c r="O15" s="8">
        <f t="shared" si="0"/>
        <v>54321075.088</v>
      </c>
      <c r="P15" s="8">
        <f t="shared" si="1"/>
        <v>54321075.088</v>
      </c>
      <c r="Q15" s="3">
        <f>IF(OR(D15="NVL",D15="HH"),Nguong!$B$31,Nguong!$B$32)</f>
        <v>30</v>
      </c>
      <c r="R15" s="3">
        <f t="shared" si="2"/>
        <v>0</v>
      </c>
      <c r="S15" s="3">
        <f t="shared" si="3"/>
        <v>0</v>
      </c>
      <c r="T15" s="3">
        <f>P15/D_F01!$B$10*D_F01!$B$8</f>
        <v>0.38703766000200002</v>
      </c>
    </row>
    <row r="16" spans="1:20" ht="25.95" customHeight="1">
      <c r="A16" s="14" t="s">
        <v>1929</v>
      </c>
      <c r="B16" s="14" t="s">
        <v>1312</v>
      </c>
      <c r="C16" s="14" t="s">
        <v>1930</v>
      </c>
      <c r="D16" s="14" t="s">
        <v>1931</v>
      </c>
      <c r="E16" s="14" t="s">
        <v>1312</v>
      </c>
      <c r="F16" s="14"/>
      <c r="G16" s="14" t="s">
        <v>1932</v>
      </c>
      <c r="H16" s="14" t="s">
        <v>1897</v>
      </c>
      <c r="I16" s="12">
        <v>46177</v>
      </c>
      <c r="J16" s="14">
        <v>8800</v>
      </c>
      <c r="K16" s="14" t="s">
        <v>1915</v>
      </c>
      <c r="L16" s="36">
        <v>9212.3460670000004</v>
      </c>
      <c r="M16" s="14" t="s">
        <v>992</v>
      </c>
      <c r="N16" s="5">
        <f>D_F01!$B$7-I16</f>
        <v>16</v>
      </c>
      <c r="O16" s="9">
        <f t="shared" si="0"/>
        <v>81068645.389600009</v>
      </c>
      <c r="P16" s="9">
        <f t="shared" si="1"/>
        <v>81068645.389600009</v>
      </c>
      <c r="Q16" s="5">
        <f>IF(OR(D16="NVL",D16="HH"),Nguong!$B$31,Nguong!$B$32)</f>
        <v>30</v>
      </c>
      <c r="R16" s="5">
        <f t="shared" si="2"/>
        <v>0</v>
      </c>
      <c r="S16" s="5">
        <f t="shared" si="3"/>
        <v>0</v>
      </c>
      <c r="T16" s="5">
        <f>P16/D_F01!$B$10*D_F01!$B$8</f>
        <v>0.57761409840090006</v>
      </c>
    </row>
    <row r="17" spans="1:20" ht="25.95" customHeight="1">
      <c r="A17" s="11" t="s">
        <v>1933</v>
      </c>
      <c r="B17" s="11" t="s">
        <v>1312</v>
      </c>
      <c r="C17" s="11" t="s">
        <v>1934</v>
      </c>
      <c r="D17" s="11" t="s">
        <v>1931</v>
      </c>
      <c r="E17" s="11" t="s">
        <v>1312</v>
      </c>
      <c r="F17" s="11"/>
      <c r="G17" s="11" t="s">
        <v>1935</v>
      </c>
      <c r="H17" s="11" t="s">
        <v>1897</v>
      </c>
      <c r="I17" s="13">
        <v>46150</v>
      </c>
      <c r="J17" s="11">
        <v>11000</v>
      </c>
      <c r="K17" s="11" t="s">
        <v>1915</v>
      </c>
      <c r="L17" s="35">
        <v>10324.180936999999</v>
      </c>
      <c r="M17" s="11" t="s">
        <v>992</v>
      </c>
      <c r="N17" s="3">
        <f>D_F01!$B$7-I17</f>
        <v>43</v>
      </c>
      <c r="O17" s="8">
        <f t="shared" si="0"/>
        <v>113565990.307</v>
      </c>
      <c r="P17" s="8">
        <f t="shared" si="1"/>
        <v>113565990.307</v>
      </c>
      <c r="Q17" s="3">
        <f>IF(OR(D17="NVL",D17="HH"),Nguong!$B$31,Nguong!$B$32)</f>
        <v>30</v>
      </c>
      <c r="R17" s="3">
        <f t="shared" si="2"/>
        <v>1</v>
      </c>
      <c r="S17" s="3">
        <f t="shared" si="3"/>
        <v>1</v>
      </c>
      <c r="T17" s="3">
        <f>P17/D_F01!$B$10*D_F01!$B$8</f>
        <v>0.80915768093737495</v>
      </c>
    </row>
    <row r="18" spans="1:20" ht="25.95" customHeight="1">
      <c r="A18" s="14" t="s">
        <v>1936</v>
      </c>
      <c r="B18" s="14" t="s">
        <v>1312</v>
      </c>
      <c r="C18" s="14" t="s">
        <v>1937</v>
      </c>
      <c r="D18" s="14" t="s">
        <v>1931</v>
      </c>
      <c r="E18" s="14" t="s">
        <v>1312</v>
      </c>
      <c r="F18" s="14"/>
      <c r="G18" s="14" t="s">
        <v>1938</v>
      </c>
      <c r="H18" s="14" t="s">
        <v>1897</v>
      </c>
      <c r="I18" s="12">
        <v>46102</v>
      </c>
      <c r="J18" s="14">
        <v>1200</v>
      </c>
      <c r="K18" s="14" t="s">
        <v>1915</v>
      </c>
      <c r="L18" s="36">
        <v>6194.508562</v>
      </c>
      <c r="M18" s="14" t="s">
        <v>992</v>
      </c>
      <c r="N18" s="5">
        <f>D_F01!$B$7-I18</f>
        <v>91</v>
      </c>
      <c r="O18" s="9">
        <f t="shared" si="0"/>
        <v>7433410.2743999995</v>
      </c>
      <c r="P18" s="9">
        <f t="shared" si="1"/>
        <v>7433410.2743999995</v>
      </c>
      <c r="Q18" s="5">
        <f>IF(OR(D18="NVL",D18="HH"),Nguong!$B$31,Nguong!$B$32)</f>
        <v>30</v>
      </c>
      <c r="R18" s="5">
        <f t="shared" si="2"/>
        <v>1</v>
      </c>
      <c r="S18" s="5">
        <f t="shared" si="3"/>
        <v>1</v>
      </c>
      <c r="T18" s="5">
        <f>P18/D_F01!$B$10*D_F01!$B$8</f>
        <v>5.2963048205099991E-2</v>
      </c>
    </row>
    <row r="19" spans="1:20" ht="25.95" customHeight="1">
      <c r="A19" s="11" t="s">
        <v>1939</v>
      </c>
      <c r="B19" s="11" t="s">
        <v>1312</v>
      </c>
      <c r="C19" s="11" t="s">
        <v>1940</v>
      </c>
      <c r="D19" s="11" t="s">
        <v>1941</v>
      </c>
      <c r="E19" s="11" t="s">
        <v>1312</v>
      </c>
      <c r="F19" s="11" t="s">
        <v>976</v>
      </c>
      <c r="G19" s="11"/>
      <c r="H19" s="11" t="s">
        <v>1903</v>
      </c>
      <c r="I19" s="13">
        <v>46121</v>
      </c>
      <c r="J19" s="11">
        <v>3000</v>
      </c>
      <c r="K19" s="11" t="s">
        <v>1898</v>
      </c>
      <c r="L19" s="35">
        <v>12071.350019</v>
      </c>
      <c r="M19" s="11" t="s">
        <v>992</v>
      </c>
      <c r="N19" s="3">
        <f>D_F01!$B$7-I19</f>
        <v>72</v>
      </c>
      <c r="O19" s="8">
        <f t="shared" si="0"/>
        <v>36214050.056999996</v>
      </c>
      <c r="P19" s="8">
        <f t="shared" si="1"/>
        <v>36214050.056999996</v>
      </c>
      <c r="Q19" s="3">
        <f>IF(OR(D19="NVL",D19="HH"),Nguong!$B$31,Nguong!$B$32)</f>
        <v>60</v>
      </c>
      <c r="R19" s="3">
        <f t="shared" si="2"/>
        <v>1</v>
      </c>
      <c r="S19" s="3">
        <f t="shared" si="3"/>
        <v>1</v>
      </c>
      <c r="T19" s="3">
        <f>P19/D_F01!$B$10*D_F01!$B$8</f>
        <v>0.25802510665612499</v>
      </c>
    </row>
    <row r="20" spans="1:20" ht="25.95" customHeight="1">
      <c r="A20" s="14" t="s">
        <v>1942</v>
      </c>
      <c r="B20" s="14" t="s">
        <v>1312</v>
      </c>
      <c r="C20" s="14" t="s">
        <v>1943</v>
      </c>
      <c r="D20" s="14" t="s">
        <v>1941</v>
      </c>
      <c r="E20" s="14" t="s">
        <v>1312</v>
      </c>
      <c r="F20" s="14" t="s">
        <v>995</v>
      </c>
      <c r="G20" s="14" t="s">
        <v>1944</v>
      </c>
      <c r="H20" s="14" t="s">
        <v>1897</v>
      </c>
      <c r="I20" s="12">
        <v>46175</v>
      </c>
      <c r="J20" s="14">
        <v>60000</v>
      </c>
      <c r="K20" s="14" t="s">
        <v>1908</v>
      </c>
      <c r="L20" s="36">
        <v>397.08388200000002</v>
      </c>
      <c r="M20" s="14" t="s">
        <v>992</v>
      </c>
      <c r="N20" s="5">
        <f>D_F01!$B$7-I20</f>
        <v>18</v>
      </c>
      <c r="O20" s="9">
        <f t="shared" si="0"/>
        <v>23825032.920000002</v>
      </c>
      <c r="P20" s="9">
        <f t="shared" si="1"/>
        <v>23825032.920000002</v>
      </c>
      <c r="Q20" s="5">
        <f>IF(OR(D20="NVL",D20="HH"),Nguong!$B$31,Nguong!$B$32)</f>
        <v>60</v>
      </c>
      <c r="R20" s="5">
        <f t="shared" si="2"/>
        <v>0</v>
      </c>
      <c r="S20" s="5">
        <f t="shared" si="3"/>
        <v>0</v>
      </c>
      <c r="T20" s="5">
        <f>P20/D_F01!$B$10*D_F01!$B$8</f>
        <v>0.16975335955500001</v>
      </c>
    </row>
    <row r="21" spans="1:20" ht="25.95" customHeight="1">
      <c r="A21" s="11" t="s">
        <v>1945</v>
      </c>
      <c r="B21" s="11" t="s">
        <v>1312</v>
      </c>
      <c r="C21" s="11" t="s">
        <v>1946</v>
      </c>
      <c r="D21" s="11" t="s">
        <v>1947</v>
      </c>
      <c r="E21" s="11" t="s">
        <v>952</v>
      </c>
      <c r="F21" s="11"/>
      <c r="G21" s="11" t="s">
        <v>1948</v>
      </c>
      <c r="H21" s="11" t="s">
        <v>1897</v>
      </c>
      <c r="I21" s="13">
        <v>46173</v>
      </c>
      <c r="J21" s="11">
        <v>20000</v>
      </c>
      <c r="K21" s="11" t="s">
        <v>1898</v>
      </c>
      <c r="L21" s="35">
        <v>130000</v>
      </c>
      <c r="M21" s="11" t="s">
        <v>981</v>
      </c>
      <c r="N21" s="3">
        <f>D_F01!$B$7-I21</f>
        <v>20</v>
      </c>
      <c r="O21" s="8">
        <f t="shared" si="0"/>
        <v>2600000000</v>
      </c>
      <c r="P21" s="8">
        <f t="shared" si="1"/>
        <v>0</v>
      </c>
      <c r="Q21" s="3">
        <f>IF(OR(D21="NVL",D21="HH"),Nguong!$B$31,Nguong!$B$32)</f>
        <v>30</v>
      </c>
      <c r="R21" s="3">
        <f t="shared" si="2"/>
        <v>0</v>
      </c>
      <c r="S21" s="3">
        <f t="shared" si="3"/>
        <v>0</v>
      </c>
      <c r="T21" s="3">
        <f>P21/D_F01!$B$10*D_F01!$B$8</f>
        <v>0</v>
      </c>
    </row>
    <row r="22" spans="1:20" ht="25.95" customHeight="1">
      <c r="A22" s="14" t="s">
        <v>1949</v>
      </c>
      <c r="B22" s="14" t="s">
        <v>1312</v>
      </c>
      <c r="C22" s="14" t="s">
        <v>1950</v>
      </c>
      <c r="D22" s="14" t="s">
        <v>1947</v>
      </c>
      <c r="E22" s="14" t="s">
        <v>954</v>
      </c>
      <c r="F22" s="14"/>
      <c r="G22" s="14" t="s">
        <v>1951</v>
      </c>
      <c r="H22" s="14" t="s">
        <v>1897</v>
      </c>
      <c r="I22" s="12">
        <v>46178</v>
      </c>
      <c r="J22" s="14">
        <v>6000</v>
      </c>
      <c r="K22" s="14" t="s">
        <v>1898</v>
      </c>
      <c r="L22" s="36">
        <v>120000</v>
      </c>
      <c r="M22" s="14" t="s">
        <v>981</v>
      </c>
      <c r="N22" s="5">
        <f>D_F01!$B$7-I22</f>
        <v>15</v>
      </c>
      <c r="O22" s="9">
        <f t="shared" si="0"/>
        <v>720000000</v>
      </c>
      <c r="P22" s="9">
        <f t="shared" si="1"/>
        <v>0</v>
      </c>
      <c r="Q22" s="5">
        <f>IF(OR(D22="NVL",D22="HH"),Nguong!$B$31,Nguong!$B$32)</f>
        <v>30</v>
      </c>
      <c r="R22" s="5">
        <f t="shared" si="2"/>
        <v>0</v>
      </c>
      <c r="S22" s="5">
        <f t="shared" si="3"/>
        <v>0</v>
      </c>
      <c r="T22" s="5">
        <f>P22/D_F01!$B$10*D_F01!$B$8</f>
        <v>0</v>
      </c>
    </row>
    <row r="23" spans="1:20" ht="25.95" customHeight="1">
      <c r="A23" s="11" t="s">
        <v>1952</v>
      </c>
      <c r="B23" s="11" t="s">
        <v>1312</v>
      </c>
      <c r="C23" s="11" t="s">
        <v>1953</v>
      </c>
      <c r="D23" s="11" t="s">
        <v>1947</v>
      </c>
      <c r="E23" s="11" t="s">
        <v>960</v>
      </c>
      <c r="F23" s="11"/>
      <c r="G23" s="11" t="s">
        <v>1944</v>
      </c>
      <c r="H23" s="11" t="s">
        <v>1897</v>
      </c>
      <c r="I23" s="13">
        <v>46181</v>
      </c>
      <c r="J23" s="11">
        <v>34000</v>
      </c>
      <c r="K23" s="11" t="s">
        <v>1908</v>
      </c>
      <c r="L23" s="35">
        <v>2500</v>
      </c>
      <c r="M23" s="11" t="s">
        <v>981</v>
      </c>
      <c r="N23" s="3">
        <f>D_F01!$B$7-I23</f>
        <v>12</v>
      </c>
      <c r="O23" s="8">
        <f t="shared" si="0"/>
        <v>85000000</v>
      </c>
      <c r="P23" s="8">
        <f t="shared" si="1"/>
        <v>0</v>
      </c>
      <c r="Q23" s="3">
        <f>IF(OR(D23="NVL",D23="HH"),Nguong!$B$31,Nguong!$B$32)</f>
        <v>30</v>
      </c>
      <c r="R23" s="3">
        <f t="shared" si="2"/>
        <v>0</v>
      </c>
      <c r="S23" s="3">
        <f t="shared" si="3"/>
        <v>0</v>
      </c>
      <c r="T23" s="3">
        <f>P23/D_F01!$B$10*D_F01!$B$8</f>
        <v>0</v>
      </c>
    </row>
    <row r="24" spans="1:20" ht="25.95" customHeight="1">
      <c r="A24" s="14" t="s">
        <v>1954</v>
      </c>
      <c r="B24" s="14" t="s">
        <v>1312</v>
      </c>
      <c r="C24" s="14" t="s">
        <v>1955</v>
      </c>
      <c r="D24" s="14" t="s">
        <v>1895</v>
      </c>
      <c r="E24" s="14" t="s">
        <v>1312</v>
      </c>
      <c r="F24" s="14" t="s">
        <v>982</v>
      </c>
      <c r="G24" s="14" t="s">
        <v>1948</v>
      </c>
      <c r="H24" s="14" t="s">
        <v>1897</v>
      </c>
      <c r="I24" s="12">
        <v>46179</v>
      </c>
      <c r="J24" s="14">
        <v>12000</v>
      </c>
      <c r="K24" s="14" t="s">
        <v>1956</v>
      </c>
      <c r="L24" s="36">
        <v>2382.5032930000002</v>
      </c>
      <c r="M24" s="14" t="s">
        <v>981</v>
      </c>
      <c r="N24" s="5">
        <f>D_F01!$B$7-I24</f>
        <v>14</v>
      </c>
      <c r="O24" s="9">
        <f t="shared" si="0"/>
        <v>28590039.516000003</v>
      </c>
      <c r="P24" s="9">
        <f t="shared" si="1"/>
        <v>28590039.516000003</v>
      </c>
      <c r="Q24" s="5">
        <f>IF(OR(D24="NVL",D24="HH"),Nguong!$B$31,Nguong!$B$32)</f>
        <v>60</v>
      </c>
      <c r="R24" s="5">
        <f t="shared" si="2"/>
        <v>0</v>
      </c>
      <c r="S24" s="5">
        <f t="shared" si="3"/>
        <v>0</v>
      </c>
      <c r="T24" s="5">
        <f>P24/D_F01!$B$10*D_F01!$B$8</f>
        <v>0.20370403155150002</v>
      </c>
    </row>
    <row r="25" spans="1:20" ht="40.049999999999997" customHeight="1">
      <c r="A25" s="11" t="s">
        <v>1957</v>
      </c>
      <c r="B25" s="11" t="s">
        <v>1312</v>
      </c>
      <c r="C25" s="11" t="s">
        <v>1958</v>
      </c>
      <c r="D25" s="11" t="s">
        <v>1895</v>
      </c>
      <c r="E25" s="11" t="s">
        <v>1312</v>
      </c>
      <c r="F25" s="11" t="s">
        <v>976</v>
      </c>
      <c r="G25" s="11" t="s">
        <v>1896</v>
      </c>
      <c r="H25" s="11" t="s">
        <v>1897</v>
      </c>
      <c r="I25" s="13">
        <v>46148</v>
      </c>
      <c r="J25" s="11">
        <v>6000</v>
      </c>
      <c r="K25" s="11" t="s">
        <v>1898</v>
      </c>
      <c r="L25" s="35">
        <v>5559.1743509999997</v>
      </c>
      <c r="M25" s="11" t="s">
        <v>981</v>
      </c>
      <c r="N25" s="3">
        <f>D_F01!$B$7-I25</f>
        <v>45</v>
      </c>
      <c r="O25" s="8">
        <f t="shared" si="0"/>
        <v>33355046.105999999</v>
      </c>
      <c r="P25" s="8">
        <f t="shared" si="1"/>
        <v>33355046.105999999</v>
      </c>
      <c r="Q25" s="3">
        <f>IF(OR(D25="NVL",D25="HH"),Nguong!$B$31,Nguong!$B$32)</f>
        <v>60</v>
      </c>
      <c r="R25" s="3">
        <f t="shared" si="2"/>
        <v>0</v>
      </c>
      <c r="S25" s="3">
        <f t="shared" si="3"/>
        <v>0</v>
      </c>
      <c r="T25" s="3">
        <f>P25/D_F01!$B$10*D_F01!$B$8</f>
        <v>0.23765470350525</v>
      </c>
    </row>
    <row r="26" spans="1:20" ht="25.95" customHeight="1">
      <c r="A26" s="14" t="s">
        <v>1959</v>
      </c>
      <c r="B26" s="14" t="s">
        <v>1312</v>
      </c>
      <c r="C26" s="14" t="s">
        <v>1960</v>
      </c>
      <c r="D26" s="14" t="s">
        <v>1895</v>
      </c>
      <c r="E26" s="14" t="s">
        <v>1312</v>
      </c>
      <c r="F26" s="14" t="s">
        <v>976</v>
      </c>
      <c r="G26" s="14" t="s">
        <v>1961</v>
      </c>
      <c r="H26" s="14" t="s">
        <v>1962</v>
      </c>
      <c r="I26" s="12">
        <v>46053</v>
      </c>
      <c r="J26" s="14">
        <v>2000</v>
      </c>
      <c r="K26" s="14" t="s">
        <v>1898</v>
      </c>
      <c r="L26" s="36">
        <v>14295.019759000001</v>
      </c>
      <c r="M26" s="14" t="s">
        <v>981</v>
      </c>
      <c r="N26" s="5">
        <f>D_F01!$B$7-I26</f>
        <v>140</v>
      </c>
      <c r="O26" s="9">
        <f t="shared" si="0"/>
        <v>28590039.518000003</v>
      </c>
      <c r="P26" s="9">
        <f t="shared" si="1"/>
        <v>28590039.518000003</v>
      </c>
      <c r="Q26" s="5">
        <f>IF(OR(D26="NVL",D26="HH"),Nguong!$B$31,Nguong!$B$32)</f>
        <v>60</v>
      </c>
      <c r="R26" s="5">
        <f t="shared" si="2"/>
        <v>1</v>
      </c>
      <c r="S26" s="5">
        <f t="shared" si="3"/>
        <v>1</v>
      </c>
      <c r="T26" s="5">
        <f>P26/D_F01!$B$10*D_F01!$B$8</f>
        <v>0.20370403156575004</v>
      </c>
    </row>
    <row r="27" spans="1:20" ht="25.95" customHeight="1">
      <c r="A27" s="11" t="s">
        <v>1963</v>
      </c>
      <c r="B27" s="11" t="s">
        <v>1312</v>
      </c>
      <c r="C27" s="11" t="s">
        <v>1964</v>
      </c>
      <c r="D27" s="11" t="s">
        <v>1895</v>
      </c>
      <c r="E27" s="11" t="s">
        <v>1312</v>
      </c>
      <c r="F27" s="11" t="s">
        <v>995</v>
      </c>
      <c r="G27" s="11" t="s">
        <v>1948</v>
      </c>
      <c r="H27" s="11" t="s">
        <v>1897</v>
      </c>
      <c r="I27" s="13">
        <v>46173</v>
      </c>
      <c r="J27" s="11">
        <v>800</v>
      </c>
      <c r="K27" s="11" t="s">
        <v>1965</v>
      </c>
      <c r="L27" s="35">
        <v>19060.026345999999</v>
      </c>
      <c r="M27" s="11" t="s">
        <v>981</v>
      </c>
      <c r="N27" s="3">
        <f>D_F01!$B$7-I27</f>
        <v>20</v>
      </c>
      <c r="O27" s="8">
        <f t="shared" si="0"/>
        <v>15248021.0768</v>
      </c>
      <c r="P27" s="8">
        <f t="shared" si="1"/>
        <v>15248021.0768</v>
      </c>
      <c r="Q27" s="3">
        <f>IF(OR(D27="NVL",D27="HH"),Nguong!$B$31,Nguong!$B$32)</f>
        <v>60</v>
      </c>
      <c r="R27" s="3">
        <f t="shared" si="2"/>
        <v>0</v>
      </c>
      <c r="S27" s="3">
        <f t="shared" si="3"/>
        <v>0</v>
      </c>
      <c r="T27" s="3">
        <f>P27/D_F01!$B$10*D_F01!$B$8</f>
        <v>0.10864215017220001</v>
      </c>
    </row>
    <row r="28" spans="1:20" ht="25.95" customHeight="1">
      <c r="A28" s="14" t="s">
        <v>1966</v>
      </c>
      <c r="B28" s="14" t="s">
        <v>1312</v>
      </c>
      <c r="C28" s="14" t="s">
        <v>1967</v>
      </c>
      <c r="D28" s="14" t="s">
        <v>1922</v>
      </c>
      <c r="E28" s="14" t="s">
        <v>1312</v>
      </c>
      <c r="F28" s="14"/>
      <c r="G28" s="14" t="s">
        <v>1968</v>
      </c>
      <c r="H28" s="14" t="s">
        <v>1897</v>
      </c>
      <c r="I28" s="12">
        <v>46185</v>
      </c>
      <c r="J28" s="14">
        <v>5000</v>
      </c>
      <c r="K28" s="14" t="s">
        <v>1915</v>
      </c>
      <c r="L28" s="36">
        <v>15089.187524000001</v>
      </c>
      <c r="M28" s="14" t="s">
        <v>981</v>
      </c>
      <c r="N28" s="5">
        <f>D_F01!$B$7-I28</f>
        <v>8</v>
      </c>
      <c r="O28" s="9">
        <f t="shared" si="0"/>
        <v>75445937.620000005</v>
      </c>
      <c r="P28" s="9">
        <f t="shared" si="1"/>
        <v>75445937.620000005</v>
      </c>
      <c r="Q28" s="5">
        <f>IF(OR(D28="NVL",D28="HH"),Nguong!$B$31,Nguong!$B$32)</f>
        <v>30</v>
      </c>
      <c r="R28" s="5">
        <f t="shared" si="2"/>
        <v>0</v>
      </c>
      <c r="S28" s="5">
        <f t="shared" si="3"/>
        <v>0</v>
      </c>
      <c r="T28" s="5">
        <f>P28/D_F01!$B$10*D_F01!$B$8</f>
        <v>0.5375523055425</v>
      </c>
    </row>
    <row r="29" spans="1:20" ht="25.95" customHeight="1">
      <c r="A29" s="11" t="s">
        <v>1969</v>
      </c>
      <c r="B29" s="11" t="s">
        <v>1312</v>
      </c>
      <c r="C29" s="11" t="s">
        <v>1970</v>
      </c>
      <c r="D29" s="11" t="s">
        <v>1922</v>
      </c>
      <c r="E29" s="11" t="s">
        <v>1312</v>
      </c>
      <c r="F29" s="11"/>
      <c r="G29" s="11" t="s">
        <v>1968</v>
      </c>
      <c r="H29" s="11" t="s">
        <v>1897</v>
      </c>
      <c r="I29" s="13">
        <v>46168</v>
      </c>
      <c r="J29" s="11">
        <v>3000</v>
      </c>
      <c r="K29" s="11" t="s">
        <v>1915</v>
      </c>
      <c r="L29" s="35">
        <v>17471.690816999999</v>
      </c>
      <c r="M29" s="11" t="s">
        <v>981</v>
      </c>
      <c r="N29" s="3">
        <f>D_F01!$B$7-I29</f>
        <v>25</v>
      </c>
      <c r="O29" s="8">
        <f t="shared" si="0"/>
        <v>52415072.450999998</v>
      </c>
      <c r="P29" s="8">
        <f t="shared" si="1"/>
        <v>52415072.450999998</v>
      </c>
      <c r="Q29" s="3">
        <f>IF(OR(D29="NVL",D29="HH"),Nguong!$B$31,Nguong!$B$32)</f>
        <v>30</v>
      </c>
      <c r="R29" s="3">
        <f t="shared" si="2"/>
        <v>0</v>
      </c>
      <c r="S29" s="3">
        <f t="shared" si="3"/>
        <v>0</v>
      </c>
      <c r="T29" s="3">
        <f>P29/D_F01!$B$10*D_F01!$B$8</f>
        <v>0.37345739121337501</v>
      </c>
    </row>
    <row r="30" spans="1:20" ht="25.95" customHeight="1">
      <c r="A30" s="14" t="s">
        <v>1971</v>
      </c>
      <c r="B30" s="14" t="s">
        <v>1312</v>
      </c>
      <c r="C30" s="14" t="s">
        <v>1972</v>
      </c>
      <c r="D30" s="14" t="s">
        <v>1931</v>
      </c>
      <c r="E30" s="14" t="s">
        <v>1312</v>
      </c>
      <c r="F30" s="14"/>
      <c r="G30" s="14" t="s">
        <v>1973</v>
      </c>
      <c r="H30" s="14" t="s">
        <v>1897</v>
      </c>
      <c r="I30" s="12">
        <v>46181</v>
      </c>
      <c r="J30" s="14">
        <v>3000</v>
      </c>
      <c r="K30" s="14" t="s">
        <v>1915</v>
      </c>
      <c r="L30" s="36">
        <v>23825.032931999998</v>
      </c>
      <c r="M30" s="14" t="s">
        <v>981</v>
      </c>
      <c r="N30" s="5">
        <f>D_F01!$B$7-I30</f>
        <v>12</v>
      </c>
      <c r="O30" s="9">
        <f t="shared" si="0"/>
        <v>71475098.795999989</v>
      </c>
      <c r="P30" s="9">
        <f t="shared" si="1"/>
        <v>71475098.795999989</v>
      </c>
      <c r="Q30" s="5">
        <f>IF(OR(D30="NVL",D30="HH"),Nguong!$B$31,Nguong!$B$32)</f>
        <v>30</v>
      </c>
      <c r="R30" s="5">
        <f t="shared" si="2"/>
        <v>0</v>
      </c>
      <c r="S30" s="5">
        <f t="shared" si="3"/>
        <v>0</v>
      </c>
      <c r="T30" s="5">
        <f>P30/D_F01!$B$10*D_F01!$B$8</f>
        <v>0.50926007892149994</v>
      </c>
    </row>
    <row r="31" spans="1:20" ht="25.95" customHeight="1">
      <c r="A31" s="11" t="s">
        <v>1974</v>
      </c>
      <c r="B31" s="11" t="s">
        <v>1312</v>
      </c>
      <c r="C31" s="11" t="s">
        <v>1975</v>
      </c>
      <c r="D31" s="11" t="s">
        <v>1931</v>
      </c>
      <c r="E31" s="11" t="s">
        <v>1312</v>
      </c>
      <c r="F31" s="11"/>
      <c r="G31" s="11" t="s">
        <v>1976</v>
      </c>
      <c r="H31" s="11" t="s">
        <v>1962</v>
      </c>
      <c r="I31" s="13">
        <v>46043</v>
      </c>
      <c r="J31" s="11">
        <v>2000</v>
      </c>
      <c r="K31" s="11" t="s">
        <v>1915</v>
      </c>
      <c r="L31" s="35">
        <v>25413.368460999998</v>
      </c>
      <c r="M31" s="11" t="s">
        <v>981</v>
      </c>
      <c r="N31" s="3">
        <f>D_F01!$B$7-I31</f>
        <v>150</v>
      </c>
      <c r="O31" s="8">
        <f t="shared" si="0"/>
        <v>50826736.921999998</v>
      </c>
      <c r="P31" s="8">
        <f t="shared" si="1"/>
        <v>50826736.921999998</v>
      </c>
      <c r="Q31" s="3">
        <f>IF(OR(D31="NVL",D31="HH"),Nguong!$B$31,Nguong!$B$32)</f>
        <v>30</v>
      </c>
      <c r="R31" s="3">
        <f t="shared" si="2"/>
        <v>1</v>
      </c>
      <c r="S31" s="3">
        <f t="shared" si="3"/>
        <v>1</v>
      </c>
      <c r="T31" s="3">
        <f>P31/D_F01!$B$10*D_F01!$B$8</f>
        <v>0.36214050056925001</v>
      </c>
    </row>
    <row r="32" spans="1:20" ht="25.95" customHeight="1">
      <c r="A32" s="14" t="s">
        <v>1977</v>
      </c>
      <c r="B32" s="14" t="s">
        <v>1312</v>
      </c>
      <c r="C32" s="14" t="s">
        <v>1978</v>
      </c>
      <c r="D32" s="14" t="s">
        <v>1931</v>
      </c>
      <c r="E32" s="14" t="s">
        <v>1312</v>
      </c>
      <c r="F32" s="14"/>
      <c r="G32" s="14" t="s">
        <v>1979</v>
      </c>
      <c r="H32" s="14" t="s">
        <v>1897</v>
      </c>
      <c r="I32" s="12">
        <v>46187</v>
      </c>
      <c r="J32" s="14">
        <v>4000</v>
      </c>
      <c r="K32" s="14" t="s">
        <v>1915</v>
      </c>
      <c r="L32" s="36">
        <v>28590.039518000001</v>
      </c>
      <c r="M32" s="14" t="s">
        <v>981</v>
      </c>
      <c r="N32" s="5">
        <f>D_F01!$B$7-I32</f>
        <v>6</v>
      </c>
      <c r="O32" s="9">
        <f t="shared" si="0"/>
        <v>114360158.07200001</v>
      </c>
      <c r="P32" s="9">
        <f t="shared" si="1"/>
        <v>114360158.07200001</v>
      </c>
      <c r="Q32" s="5">
        <f>IF(OR(D32="NVL",D32="HH"),Nguong!$B$31,Nguong!$B$32)</f>
        <v>30</v>
      </c>
      <c r="R32" s="5">
        <f t="shared" si="2"/>
        <v>0</v>
      </c>
      <c r="S32" s="5">
        <f t="shared" si="3"/>
        <v>0</v>
      </c>
      <c r="T32" s="5">
        <f>P32/D_F01!$B$10*D_F01!$B$8</f>
        <v>0.81481612626300015</v>
      </c>
    </row>
    <row r="33" spans="1:20" ht="25.95" customHeight="1">
      <c r="A33" s="11" t="s">
        <v>1980</v>
      </c>
      <c r="B33" s="11" t="s">
        <v>1312</v>
      </c>
      <c r="C33" s="11" t="s">
        <v>1981</v>
      </c>
      <c r="D33" s="11" t="s">
        <v>1941</v>
      </c>
      <c r="E33" s="11" t="s">
        <v>1312</v>
      </c>
      <c r="F33" s="11" t="s">
        <v>993</v>
      </c>
      <c r="G33" s="11" t="s">
        <v>1982</v>
      </c>
      <c r="H33" s="11" t="s">
        <v>1897</v>
      </c>
      <c r="I33" s="13">
        <v>46175</v>
      </c>
      <c r="J33" s="11">
        <v>2500</v>
      </c>
      <c r="K33" s="11" t="s">
        <v>1915</v>
      </c>
      <c r="L33" s="35">
        <v>9530.0131729999994</v>
      </c>
      <c r="M33" s="11" t="s">
        <v>981</v>
      </c>
      <c r="N33" s="3">
        <f>D_F01!$B$7-I33</f>
        <v>18</v>
      </c>
      <c r="O33" s="8">
        <f t="shared" si="0"/>
        <v>23825032.932499997</v>
      </c>
      <c r="P33" s="8">
        <f t="shared" si="1"/>
        <v>23825032.932499997</v>
      </c>
      <c r="Q33" s="3">
        <f>IF(OR(D33="NVL",D33="HH"),Nguong!$B$31,Nguong!$B$32)</f>
        <v>60</v>
      </c>
      <c r="R33" s="3">
        <f t="shared" si="2"/>
        <v>0</v>
      </c>
      <c r="S33" s="3">
        <f t="shared" si="3"/>
        <v>0</v>
      </c>
      <c r="T33" s="3">
        <f>P33/D_F01!$B$10*D_F01!$B$8</f>
        <v>0.16975335964406249</v>
      </c>
    </row>
    <row r="34" spans="1:20" ht="25.95" customHeight="1">
      <c r="A34" s="14" t="s">
        <v>1983</v>
      </c>
      <c r="B34" s="14" t="s">
        <v>1312</v>
      </c>
      <c r="C34" s="14" t="s">
        <v>1984</v>
      </c>
      <c r="D34" s="14" t="s">
        <v>1941</v>
      </c>
      <c r="E34" s="14" t="s">
        <v>1312</v>
      </c>
      <c r="F34" s="14" t="s">
        <v>993</v>
      </c>
      <c r="G34" s="14" t="s">
        <v>1985</v>
      </c>
      <c r="H34" s="14" t="s">
        <v>1962</v>
      </c>
      <c r="I34" s="12">
        <v>45983</v>
      </c>
      <c r="J34" s="14">
        <v>600</v>
      </c>
      <c r="K34" s="14" t="s">
        <v>1915</v>
      </c>
      <c r="L34" s="36">
        <v>15883.355288000001</v>
      </c>
      <c r="M34" s="14" t="s">
        <v>981</v>
      </c>
      <c r="N34" s="5">
        <f>D_F01!$B$7-I34</f>
        <v>210</v>
      </c>
      <c r="O34" s="9">
        <f t="shared" si="0"/>
        <v>9530013.1728000008</v>
      </c>
      <c r="P34" s="9">
        <f t="shared" si="1"/>
        <v>9530013.1728000008</v>
      </c>
      <c r="Q34" s="5">
        <f>IF(OR(D34="NVL",D34="HH"),Nguong!$B$31,Nguong!$B$32)</f>
        <v>60</v>
      </c>
      <c r="R34" s="5">
        <f t="shared" si="2"/>
        <v>1</v>
      </c>
      <c r="S34" s="5">
        <f t="shared" si="3"/>
        <v>1</v>
      </c>
      <c r="T34" s="5">
        <f>P34/D_F01!$B$10*D_F01!$B$8</f>
        <v>6.7901343856200003E-2</v>
      </c>
    </row>
    <row r="35" spans="1:20" ht="25.95" customHeight="1">
      <c r="A35" s="11" t="s">
        <v>1986</v>
      </c>
      <c r="B35" s="11" t="s">
        <v>1312</v>
      </c>
      <c r="C35" s="11" t="s">
        <v>1987</v>
      </c>
      <c r="D35" s="11" t="s">
        <v>1931</v>
      </c>
      <c r="E35" s="11" t="s">
        <v>1312</v>
      </c>
      <c r="F35" s="11"/>
      <c r="G35" s="11" t="s">
        <v>1988</v>
      </c>
      <c r="H35" s="11" t="s">
        <v>1897</v>
      </c>
      <c r="I35" s="13">
        <v>46165</v>
      </c>
      <c r="J35" s="11">
        <v>1500</v>
      </c>
      <c r="K35" s="11" t="s">
        <v>1915</v>
      </c>
      <c r="L35" s="35">
        <v>22236.697402999998</v>
      </c>
      <c r="M35" s="11" t="s">
        <v>981</v>
      </c>
      <c r="N35" s="3">
        <f>D_F01!$B$7-I35</f>
        <v>28</v>
      </c>
      <c r="O35" s="8">
        <f t="shared" si="0"/>
        <v>33355046.104499996</v>
      </c>
      <c r="P35" s="8">
        <f t="shared" si="1"/>
        <v>33355046.104499996</v>
      </c>
      <c r="Q35" s="3">
        <f>IF(OR(D35="NVL",D35="HH"),Nguong!$B$31,Nguong!$B$32)</f>
        <v>30</v>
      </c>
      <c r="R35" s="3">
        <f t="shared" si="2"/>
        <v>0</v>
      </c>
      <c r="S35" s="3">
        <f t="shared" si="3"/>
        <v>0</v>
      </c>
      <c r="T35" s="3">
        <f>P35/D_F01!$B$10*D_F01!$B$8</f>
        <v>0.23765470349456247</v>
      </c>
    </row>
    <row r="36" spans="1:20" ht="25.95" customHeight="1">
      <c r="A36" s="14" t="s">
        <v>1989</v>
      </c>
      <c r="B36" s="14" t="s">
        <v>1312</v>
      </c>
      <c r="C36" s="14" t="s">
        <v>1990</v>
      </c>
      <c r="D36" s="14" t="s">
        <v>1895</v>
      </c>
      <c r="E36" s="14" t="s">
        <v>1312</v>
      </c>
      <c r="F36" s="14" t="s">
        <v>976</v>
      </c>
      <c r="G36" s="14" t="s">
        <v>1991</v>
      </c>
      <c r="H36" s="14" t="s">
        <v>1897</v>
      </c>
      <c r="I36" s="12">
        <v>46133</v>
      </c>
      <c r="J36" s="14">
        <v>3000</v>
      </c>
      <c r="K36" s="14" t="s">
        <v>1898</v>
      </c>
      <c r="L36" s="36">
        <v>7941.6776440000003</v>
      </c>
      <c r="M36" s="14" t="s">
        <v>981</v>
      </c>
      <c r="N36" s="5">
        <f>D_F01!$B$7-I36</f>
        <v>60</v>
      </c>
      <c r="O36" s="9">
        <f t="shared" si="0"/>
        <v>23825032.932</v>
      </c>
      <c r="P36" s="9">
        <f t="shared" si="1"/>
        <v>23825032.932</v>
      </c>
      <c r="Q36" s="5">
        <f>IF(OR(D36="NVL",D36="HH"),Nguong!$B$31,Nguong!$B$32)</f>
        <v>60</v>
      </c>
      <c r="R36" s="5">
        <f t="shared" si="2"/>
        <v>0</v>
      </c>
      <c r="S36" s="5">
        <f t="shared" si="3"/>
        <v>0</v>
      </c>
      <c r="T36" s="5">
        <f>P36/D_F01!$B$10*D_F01!$B$8</f>
        <v>0.16975335964050001</v>
      </c>
    </row>
    <row r="37" spans="1:20" ht="25.95" customHeight="1">
      <c r="A37" s="11" t="s">
        <v>1992</v>
      </c>
      <c r="B37" s="11" t="s">
        <v>1312</v>
      </c>
      <c r="C37" s="11" t="s">
        <v>1993</v>
      </c>
      <c r="D37" s="11" t="s">
        <v>1931</v>
      </c>
      <c r="E37" s="11" t="s">
        <v>1312</v>
      </c>
      <c r="F37" s="11"/>
      <c r="G37" s="11" t="s">
        <v>1994</v>
      </c>
      <c r="H37" s="11" t="s">
        <v>1897</v>
      </c>
      <c r="I37" s="13">
        <v>46173</v>
      </c>
      <c r="J37" s="11">
        <v>1200</v>
      </c>
      <c r="K37" s="11" t="s">
        <v>1915</v>
      </c>
      <c r="L37" s="35">
        <v>27001.703988516641</v>
      </c>
      <c r="M37" s="11" t="s">
        <v>978</v>
      </c>
      <c r="N37" s="3">
        <f>D_F01!$B$7-I37</f>
        <v>20</v>
      </c>
      <c r="O37" s="8">
        <f t="shared" si="0"/>
        <v>32402044.786219969</v>
      </c>
      <c r="P37" s="8">
        <f t="shared" si="1"/>
        <v>32402044.786219969</v>
      </c>
      <c r="Q37" s="3">
        <f>IF(OR(D37="NVL",D37="HH"),Nguong!$B$31,Nguong!$B$32)</f>
        <v>30</v>
      </c>
      <c r="R37" s="3">
        <f t="shared" si="2"/>
        <v>0</v>
      </c>
      <c r="S37" s="3">
        <f t="shared" si="3"/>
        <v>0</v>
      </c>
      <c r="T37" s="3">
        <f>P37/D_F01!$B$10*D_F01!$B$8</f>
        <v>0.23086456910181727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69C61-5277-43EE-9EBD-C56C5D34252B}">
  <dimension ref="A2:L57"/>
  <sheetViews>
    <sheetView showGridLines="0" workbookViewId="0">
      <pane xSplit="3" ySplit="4" topLeftCell="H44" activePane="bottomRight" state="frozen"/>
      <selection pane="topRight"/>
      <selection pane="bottomLeft"/>
      <selection pane="bottomRight" activeCell="I52" sqref="I52"/>
    </sheetView>
  </sheetViews>
  <sheetFormatPr defaultRowHeight="13.8"/>
  <cols>
    <col min="1" max="1" width="24" customWidth="1"/>
    <col min="2" max="3" width="12" customWidth="1"/>
    <col min="4" max="4" width="25" customWidth="1"/>
    <col min="5" max="5" width="18" customWidth="1"/>
    <col min="6" max="6" width="24" customWidth="1"/>
    <col min="7" max="7" width="18" customWidth="1"/>
    <col min="8" max="8" width="25" customWidth="1"/>
    <col min="9" max="9" width="34" customWidth="1"/>
    <col min="10" max="10" width="14" customWidth="1"/>
    <col min="11" max="11" width="28" customWidth="1"/>
    <col min="12" max="12" width="18" customWidth="1"/>
  </cols>
  <sheetData>
    <row r="2" spans="1:12" ht="17.399999999999999" customHeight="1">
      <c r="A2" s="2" t="s">
        <v>1995</v>
      </c>
    </row>
    <row r="4" spans="1:12" ht="34.049999999999997" customHeight="1">
      <c r="A4" s="4" t="s">
        <v>1101</v>
      </c>
      <c r="B4" s="4" t="s">
        <v>1996</v>
      </c>
      <c r="C4" s="4" t="s">
        <v>1104</v>
      </c>
      <c r="D4" s="4" t="s">
        <v>1116</v>
      </c>
      <c r="E4" s="4" t="s">
        <v>1997</v>
      </c>
      <c r="F4" s="4" t="s">
        <v>1998</v>
      </c>
      <c r="G4" s="4" t="s">
        <v>1999</v>
      </c>
      <c r="H4" s="4" t="s">
        <v>2000</v>
      </c>
      <c r="I4" s="4" t="s">
        <v>2001</v>
      </c>
      <c r="J4" s="4" t="s">
        <v>1117</v>
      </c>
      <c r="K4" s="4" t="s">
        <v>2002</v>
      </c>
      <c r="L4" s="4" t="s">
        <v>1118</v>
      </c>
    </row>
    <row r="5" spans="1:12" ht="25.95" customHeight="1">
      <c r="A5" s="11" t="s">
        <v>1241</v>
      </c>
      <c r="B5" s="11" t="s">
        <v>1312</v>
      </c>
      <c r="C5" s="11" t="s">
        <v>1196</v>
      </c>
      <c r="D5" s="11" t="s">
        <v>1245</v>
      </c>
      <c r="E5" s="13">
        <v>46203</v>
      </c>
      <c r="F5" s="15">
        <v>2800000000</v>
      </c>
      <c r="G5" s="11" t="s">
        <v>2003</v>
      </c>
      <c r="H5" s="11"/>
      <c r="I5" s="11" t="s">
        <v>1242</v>
      </c>
      <c r="J5" s="11">
        <v>1</v>
      </c>
      <c r="K5" s="11" t="s">
        <v>803</v>
      </c>
      <c r="L5" s="13">
        <v>46193</v>
      </c>
    </row>
    <row r="6" spans="1:12" ht="25.95" customHeight="1">
      <c r="A6" s="14" t="s">
        <v>1246</v>
      </c>
      <c r="B6" s="14" t="s">
        <v>1312</v>
      </c>
      <c r="C6" s="14" t="s">
        <v>1196</v>
      </c>
      <c r="D6" s="14" t="s">
        <v>1245</v>
      </c>
      <c r="E6" s="12">
        <v>46234</v>
      </c>
      <c r="F6" s="16">
        <v>2800000000</v>
      </c>
      <c r="G6" s="14" t="s">
        <v>2003</v>
      </c>
      <c r="H6" s="14"/>
      <c r="I6" s="14" t="s">
        <v>1242</v>
      </c>
      <c r="J6" s="14">
        <v>1</v>
      </c>
      <c r="K6" s="14" t="s">
        <v>803</v>
      </c>
      <c r="L6" s="12">
        <v>46193</v>
      </c>
    </row>
    <row r="7" spans="1:12" ht="25.95" customHeight="1">
      <c r="A7" s="11" t="s">
        <v>1247</v>
      </c>
      <c r="B7" s="11" t="s">
        <v>1312</v>
      </c>
      <c r="C7" s="11" t="s">
        <v>1196</v>
      </c>
      <c r="D7" s="11" t="s">
        <v>1245</v>
      </c>
      <c r="E7" s="13">
        <v>46265</v>
      </c>
      <c r="F7" s="15">
        <v>2800000000</v>
      </c>
      <c r="G7" s="11" t="s">
        <v>2003</v>
      </c>
      <c r="H7" s="11"/>
      <c r="I7" s="11" t="s">
        <v>1242</v>
      </c>
      <c r="J7" s="11">
        <v>1</v>
      </c>
      <c r="K7" s="11" t="s">
        <v>803</v>
      </c>
      <c r="L7" s="13">
        <v>46193</v>
      </c>
    </row>
    <row r="8" spans="1:12" ht="25.95" customHeight="1">
      <c r="A8" s="14" t="s">
        <v>1248</v>
      </c>
      <c r="B8" s="14" t="s">
        <v>1312</v>
      </c>
      <c r="C8" s="14" t="s">
        <v>1196</v>
      </c>
      <c r="D8" s="14" t="s">
        <v>1250</v>
      </c>
      <c r="E8" s="12">
        <v>46223</v>
      </c>
      <c r="F8" s="16">
        <v>180000000</v>
      </c>
      <c r="G8" s="14" t="s">
        <v>2003</v>
      </c>
      <c r="H8" s="14"/>
      <c r="I8" s="14" t="s">
        <v>1249</v>
      </c>
      <c r="J8" s="14">
        <v>1</v>
      </c>
      <c r="K8" s="14" t="s">
        <v>803</v>
      </c>
      <c r="L8" s="12">
        <v>46193</v>
      </c>
    </row>
    <row r="9" spans="1:12" ht="25.95" customHeight="1">
      <c r="A9" s="11" t="s">
        <v>1251</v>
      </c>
      <c r="B9" s="11" t="s">
        <v>1312</v>
      </c>
      <c r="C9" s="11" t="s">
        <v>1196</v>
      </c>
      <c r="D9" s="11" t="s">
        <v>1250</v>
      </c>
      <c r="E9" s="13">
        <v>46254</v>
      </c>
      <c r="F9" s="15">
        <v>180000000</v>
      </c>
      <c r="G9" s="11" t="s">
        <v>2003</v>
      </c>
      <c r="H9" s="11"/>
      <c r="I9" s="11" t="s">
        <v>1249</v>
      </c>
      <c r="J9" s="11">
        <v>1</v>
      </c>
      <c r="K9" s="11" t="s">
        <v>803</v>
      </c>
      <c r="L9" s="13">
        <v>46193</v>
      </c>
    </row>
    <row r="10" spans="1:12" ht="25.95" customHeight="1">
      <c r="A10" s="14" t="s">
        <v>1252</v>
      </c>
      <c r="B10" s="14" t="s">
        <v>1312</v>
      </c>
      <c r="C10" s="14" t="s">
        <v>1196</v>
      </c>
      <c r="D10" s="14" t="s">
        <v>1250</v>
      </c>
      <c r="E10" s="12">
        <v>46283</v>
      </c>
      <c r="F10" s="16">
        <v>180000000</v>
      </c>
      <c r="G10" s="14" t="s">
        <v>2003</v>
      </c>
      <c r="H10" s="14"/>
      <c r="I10" s="14" t="s">
        <v>1249</v>
      </c>
      <c r="J10" s="14">
        <v>1</v>
      </c>
      <c r="K10" s="14" t="s">
        <v>803</v>
      </c>
      <c r="L10" s="12">
        <v>46193</v>
      </c>
    </row>
    <row r="11" spans="1:12" ht="25.95" customHeight="1">
      <c r="A11" s="11" t="s">
        <v>1253</v>
      </c>
      <c r="B11" s="11" t="s">
        <v>1312</v>
      </c>
      <c r="C11" s="11" t="s">
        <v>1196</v>
      </c>
      <c r="D11" s="11" t="s">
        <v>1255</v>
      </c>
      <c r="E11" s="13">
        <v>46204</v>
      </c>
      <c r="F11" s="15">
        <v>120000000</v>
      </c>
      <c r="G11" s="11" t="s">
        <v>2003</v>
      </c>
      <c r="H11" s="11"/>
      <c r="I11" s="11" t="s">
        <v>1254</v>
      </c>
      <c r="J11" s="11">
        <v>1</v>
      </c>
      <c r="K11" s="11" t="s">
        <v>803</v>
      </c>
      <c r="L11" s="13">
        <v>46193</v>
      </c>
    </row>
    <row r="12" spans="1:12" ht="25.95" customHeight="1">
      <c r="A12" s="14" t="s">
        <v>1256</v>
      </c>
      <c r="B12" s="14" t="s">
        <v>1312</v>
      </c>
      <c r="C12" s="14" t="s">
        <v>1196</v>
      </c>
      <c r="D12" s="14" t="s">
        <v>1255</v>
      </c>
      <c r="E12" s="12">
        <v>46235</v>
      </c>
      <c r="F12" s="16">
        <v>120000000</v>
      </c>
      <c r="G12" s="14" t="s">
        <v>2003</v>
      </c>
      <c r="H12" s="14"/>
      <c r="I12" s="14" t="s">
        <v>1254</v>
      </c>
      <c r="J12" s="14">
        <v>1</v>
      </c>
      <c r="K12" s="14" t="s">
        <v>803</v>
      </c>
      <c r="L12" s="12">
        <v>46193</v>
      </c>
    </row>
    <row r="13" spans="1:12" ht="25.95" customHeight="1">
      <c r="A13" s="11" t="s">
        <v>1257</v>
      </c>
      <c r="B13" s="11" t="s">
        <v>1312</v>
      </c>
      <c r="C13" s="11" t="s">
        <v>1196</v>
      </c>
      <c r="D13" s="11" t="s">
        <v>1255</v>
      </c>
      <c r="E13" s="13">
        <v>46266</v>
      </c>
      <c r="F13" s="15">
        <v>120000000</v>
      </c>
      <c r="G13" s="11" t="s">
        <v>2003</v>
      </c>
      <c r="H13" s="11"/>
      <c r="I13" s="11" t="s">
        <v>1254</v>
      </c>
      <c r="J13" s="11">
        <v>1</v>
      </c>
      <c r="K13" s="11" t="s">
        <v>803</v>
      </c>
      <c r="L13" s="13">
        <v>46193</v>
      </c>
    </row>
    <row r="14" spans="1:12" ht="25.95" customHeight="1">
      <c r="A14" s="14" t="s">
        <v>1258</v>
      </c>
      <c r="B14" s="14" t="s">
        <v>1312</v>
      </c>
      <c r="C14" s="14" t="s">
        <v>1196</v>
      </c>
      <c r="D14" s="14" t="s">
        <v>1260</v>
      </c>
      <c r="E14" s="12">
        <v>46249</v>
      </c>
      <c r="F14" s="16">
        <v>500000000</v>
      </c>
      <c r="G14" s="14" t="s">
        <v>2003</v>
      </c>
      <c r="H14" s="14"/>
      <c r="I14" s="14" t="s">
        <v>1259</v>
      </c>
      <c r="J14" s="14">
        <v>1</v>
      </c>
      <c r="K14" s="14" t="s">
        <v>803</v>
      </c>
      <c r="L14" s="12">
        <v>46193</v>
      </c>
    </row>
    <row r="15" spans="1:12" ht="25.95" customHeight="1">
      <c r="A15" s="11" t="s">
        <v>1261</v>
      </c>
      <c r="B15" s="11" t="s">
        <v>1312</v>
      </c>
      <c r="C15" s="11" t="s">
        <v>1196</v>
      </c>
      <c r="D15" s="11" t="s">
        <v>1262</v>
      </c>
      <c r="E15" s="13">
        <v>46249</v>
      </c>
      <c r="F15" s="15">
        <v>37397260</v>
      </c>
      <c r="G15" s="11" t="s">
        <v>2003</v>
      </c>
      <c r="H15" s="11"/>
      <c r="I15" s="11" t="s">
        <v>1259</v>
      </c>
      <c r="J15" s="11">
        <v>1</v>
      </c>
      <c r="K15" s="11" t="s">
        <v>803</v>
      </c>
      <c r="L15" s="13">
        <v>46193</v>
      </c>
    </row>
    <row r="16" spans="1:12" ht="25.95" customHeight="1">
      <c r="A16" s="47" t="s">
        <v>2004</v>
      </c>
      <c r="B16" s="47" t="s">
        <v>1312</v>
      </c>
      <c r="C16" s="47" t="s">
        <v>1196</v>
      </c>
      <c r="D16" s="48" t="str">
        <f>D_purchases!F7</f>
        <v>Tiện ích (điện)</v>
      </c>
      <c r="E16" s="49">
        <f>IF(ISNUMBER(D_purchases!J7),D_purchases!J7,D_purchases!I7)</f>
        <v>46038</v>
      </c>
      <c r="F16" s="50">
        <f>D_purchases!G7</f>
        <v>61343929</v>
      </c>
      <c r="G16" s="48" t="str">
        <f>IF(ISNUMBER(D_purchases!J7),"confirmed","estimated")</f>
        <v>confirmed</v>
      </c>
      <c r="H16" s="11" t="str">
        <f>D_purchases!A7</f>
        <v>BILL-F01-0003</v>
      </c>
      <c r="I16" s="11" t="str">
        <f>D_purchases!D7</f>
        <v>Điện lực khu công nghiệp</v>
      </c>
      <c r="J16" s="11">
        <f>D_purchases!U7</f>
        <v>1</v>
      </c>
      <c r="K16" s="11" t="s">
        <v>2005</v>
      </c>
      <c r="L16" s="13">
        <f>D_F01!$B$7</f>
        <v>46193</v>
      </c>
    </row>
    <row r="17" spans="1:12" ht="25.95" customHeight="1">
      <c r="A17" s="47" t="s">
        <v>2006</v>
      </c>
      <c r="B17" s="47" t="s">
        <v>1312</v>
      </c>
      <c r="C17" s="47" t="s">
        <v>1196</v>
      </c>
      <c r="D17" s="48" t="str">
        <f>D_purchases!F10</f>
        <v>Vận tải</v>
      </c>
      <c r="E17" s="49">
        <f>IF(ISNUMBER(D_purchases!J10),D_purchases!J10,D_purchases!I10)</f>
        <v>46043</v>
      </c>
      <c r="F17" s="50">
        <f>D_purchases!G10</f>
        <v>30539822</v>
      </c>
      <c r="G17" s="48" t="str">
        <f>IF(ISNUMBER(D_purchases!J10),"confirmed","estimated")</f>
        <v>confirmed</v>
      </c>
      <c r="H17" s="11" t="str">
        <f>D_purchases!A10</f>
        <v>BILL-F01-0006</v>
      </c>
      <c r="I17" s="11" t="str">
        <f>D_purchases!D10</f>
        <v>Vận tải nội địa NCC5</v>
      </c>
      <c r="J17" s="11">
        <f>D_purchases!U10</f>
        <v>0</v>
      </c>
      <c r="K17" s="11" t="s">
        <v>2005</v>
      </c>
      <c r="L17" s="13">
        <f>D_F01!$B$7</f>
        <v>46193</v>
      </c>
    </row>
    <row r="18" spans="1:12" ht="25.95" customHeight="1">
      <c r="A18" s="47" t="s">
        <v>2007</v>
      </c>
      <c r="B18" s="47" t="s">
        <v>1312</v>
      </c>
      <c r="C18" s="47" t="s">
        <v>1196</v>
      </c>
      <c r="D18" s="48" t="str">
        <f>D_purchases!F13</f>
        <v>Vận tải</v>
      </c>
      <c r="E18" s="49">
        <f>IF(ISNUMBER(D_purchases!J13),D_purchases!J13,D_purchases!I13)</f>
        <v>46048</v>
      </c>
      <c r="F18" s="50">
        <f>D_purchases!G13</f>
        <v>15336156</v>
      </c>
      <c r="G18" s="48" t="str">
        <f>IF(ISNUMBER(D_purchases!J13),"confirmed","estimated")</f>
        <v>confirmed</v>
      </c>
      <c r="H18" s="11" t="str">
        <f>D_purchases!A13</f>
        <v>BILL-F01-0009</v>
      </c>
      <c r="I18" s="11" t="str">
        <f>D_purchases!D13</f>
        <v>Vận tải nội địa NCC5</v>
      </c>
      <c r="J18" s="11">
        <f>D_purchases!U13</f>
        <v>0</v>
      </c>
      <c r="K18" s="11" t="s">
        <v>2005</v>
      </c>
      <c r="L18" s="13">
        <f>D_F01!$B$7</f>
        <v>46193</v>
      </c>
    </row>
    <row r="19" spans="1:12" ht="25.95" customHeight="1">
      <c r="A19" s="47" t="s">
        <v>2008</v>
      </c>
      <c r="B19" s="47" t="s">
        <v>1312</v>
      </c>
      <c r="C19" s="47" t="s">
        <v>1196</v>
      </c>
      <c r="D19" s="48" t="str">
        <f>D_purchases!F17</f>
        <v>Vận tải</v>
      </c>
      <c r="E19" s="49">
        <f>IF(ISNUMBER(D_purchases!J17),D_purchases!J17,D_purchases!I17)</f>
        <v>46052</v>
      </c>
      <c r="F19" s="50">
        <f>D_purchases!G17</f>
        <v>19367021</v>
      </c>
      <c r="G19" s="48" t="str">
        <f>IF(ISNUMBER(D_purchases!J17),"confirmed","estimated")</f>
        <v>confirmed</v>
      </c>
      <c r="H19" s="11" t="str">
        <f>D_purchases!A17</f>
        <v>BILL-F01-0013</v>
      </c>
      <c r="I19" s="11" t="str">
        <f>D_purchases!D17</f>
        <v>Vận tải nội địa NCC5</v>
      </c>
      <c r="J19" s="11">
        <f>D_purchases!U17</f>
        <v>0</v>
      </c>
      <c r="K19" s="11" t="s">
        <v>2005</v>
      </c>
      <c r="L19" s="13">
        <f>D_F01!$B$7</f>
        <v>46193</v>
      </c>
    </row>
    <row r="20" spans="1:12" ht="25.95" customHeight="1">
      <c r="A20" s="47" t="s">
        <v>2009</v>
      </c>
      <c r="B20" s="47" t="s">
        <v>1312</v>
      </c>
      <c r="C20" s="47" t="s">
        <v>1196</v>
      </c>
      <c r="D20" s="48" t="str">
        <f>D_purchases!F19</f>
        <v>Vận tải</v>
      </c>
      <c r="E20" s="49">
        <f>IF(ISNUMBER(D_purchases!J19),D_purchases!J19,D_purchases!I19)</f>
        <v>46059</v>
      </c>
      <c r="F20" s="50">
        <f>D_purchases!G19</f>
        <v>7977798</v>
      </c>
      <c r="G20" s="48" t="str">
        <f>IF(ISNUMBER(D_purchases!J19),"confirmed","estimated")</f>
        <v>confirmed</v>
      </c>
      <c r="H20" s="11" t="str">
        <f>D_purchases!A19</f>
        <v>BILL-F01-0015</v>
      </c>
      <c r="I20" s="11" t="str">
        <f>D_purchases!D19</f>
        <v>Vận tải nội địa NCC5</v>
      </c>
      <c r="J20" s="11">
        <f>D_purchases!U19</f>
        <v>0</v>
      </c>
      <c r="K20" s="11" t="s">
        <v>2005</v>
      </c>
      <c r="L20" s="13">
        <f>D_F01!$B$7</f>
        <v>46193</v>
      </c>
    </row>
    <row r="21" spans="1:12" ht="25.95" customHeight="1">
      <c r="A21" s="47" t="s">
        <v>2010</v>
      </c>
      <c r="B21" s="47" t="s">
        <v>1312</v>
      </c>
      <c r="C21" s="47" t="s">
        <v>1196</v>
      </c>
      <c r="D21" s="48" t="str">
        <f>D_purchases!F22</f>
        <v>Tiện ích (điện)</v>
      </c>
      <c r="E21" s="49">
        <f>IF(ISNUMBER(D_purchases!J22),D_purchases!J22,D_purchases!I22)</f>
        <v>46061</v>
      </c>
      <c r="F21" s="50">
        <f>D_purchases!G22</f>
        <v>35682626</v>
      </c>
      <c r="G21" s="48" t="str">
        <f>IF(ISNUMBER(D_purchases!J22),"confirmed","estimated")</f>
        <v>confirmed</v>
      </c>
      <c r="H21" s="11" t="str">
        <f>D_purchases!A22</f>
        <v>BILL-F01-0018</v>
      </c>
      <c r="I21" s="11" t="str">
        <f>D_purchases!D22</f>
        <v>Điện lực khu công nghiệp</v>
      </c>
      <c r="J21" s="11">
        <f>D_purchases!U22</f>
        <v>1</v>
      </c>
      <c r="K21" s="11" t="s">
        <v>2005</v>
      </c>
      <c r="L21" s="13">
        <f>D_F01!$B$7</f>
        <v>46193</v>
      </c>
    </row>
    <row r="22" spans="1:12" ht="25.95" customHeight="1">
      <c r="A22" s="47" t="s">
        <v>2011</v>
      </c>
      <c r="B22" s="47" t="s">
        <v>1312</v>
      </c>
      <c r="C22" s="47" t="s">
        <v>1196</v>
      </c>
      <c r="D22" s="48" t="str">
        <f>D_purchases!F24</f>
        <v>Vận tải</v>
      </c>
      <c r="E22" s="49">
        <f>IF(ISNUMBER(D_purchases!J24),D_purchases!J24,D_purchases!I24)</f>
        <v>46059</v>
      </c>
      <c r="F22" s="50">
        <f>D_purchases!G24</f>
        <v>13196211</v>
      </c>
      <c r="G22" s="48" t="str">
        <f>IF(ISNUMBER(D_purchases!J24),"confirmed","estimated")</f>
        <v>confirmed</v>
      </c>
      <c r="H22" s="11" t="str">
        <f>D_purchases!A24</f>
        <v>BILL-F01-0020</v>
      </c>
      <c r="I22" s="11" t="str">
        <f>D_purchases!D24</f>
        <v>Vận tải nội địa NCC5</v>
      </c>
      <c r="J22" s="11">
        <f>D_purchases!U24</f>
        <v>0</v>
      </c>
      <c r="K22" s="11" t="s">
        <v>2005</v>
      </c>
      <c r="L22" s="13">
        <f>D_F01!$B$7</f>
        <v>46193</v>
      </c>
    </row>
    <row r="23" spans="1:12" ht="25.95" customHeight="1">
      <c r="A23" s="47" t="s">
        <v>2012</v>
      </c>
      <c r="B23" s="47" t="s">
        <v>1312</v>
      </c>
      <c r="C23" s="47" t="s">
        <v>1196</v>
      </c>
      <c r="D23" s="48" t="str">
        <f>D_purchases!F34</f>
        <v>Vận tải</v>
      </c>
      <c r="E23" s="49">
        <f>IF(ISNUMBER(D_purchases!J34),D_purchases!J34,D_purchases!I34)</f>
        <v>46079</v>
      </c>
      <c r="F23" s="50">
        <f>D_purchases!G34</f>
        <v>11718019</v>
      </c>
      <c r="G23" s="48" t="str">
        <f>IF(ISNUMBER(D_purchases!J34),"confirmed","estimated")</f>
        <v>confirmed</v>
      </c>
      <c r="H23" s="11" t="str">
        <f>D_purchases!A34</f>
        <v>BILL-F01-0030</v>
      </c>
      <c r="I23" s="11" t="str">
        <f>D_purchases!D34</f>
        <v>Vận tải nội địa NCC5</v>
      </c>
      <c r="J23" s="11">
        <f>D_purchases!U34</f>
        <v>0</v>
      </c>
      <c r="K23" s="11" t="s">
        <v>2005</v>
      </c>
      <c r="L23" s="13">
        <f>D_F01!$B$7</f>
        <v>46193</v>
      </c>
    </row>
    <row r="24" spans="1:12" ht="25.95" customHeight="1">
      <c r="A24" s="47" t="s">
        <v>2013</v>
      </c>
      <c r="B24" s="47" t="s">
        <v>1312</v>
      </c>
      <c r="C24" s="47" t="s">
        <v>1196</v>
      </c>
      <c r="D24" s="48" t="str">
        <f>D_purchases!F39</f>
        <v>Vận tải</v>
      </c>
      <c r="E24" s="49">
        <f>IF(ISNUMBER(D_purchases!J39),D_purchases!J39,D_purchases!I39)</f>
        <v>46091</v>
      </c>
      <c r="F24" s="50">
        <f>D_purchases!G39</f>
        <v>19844260</v>
      </c>
      <c r="G24" s="48" t="str">
        <f>IF(ISNUMBER(D_purchases!J39),"confirmed","estimated")</f>
        <v>confirmed</v>
      </c>
      <c r="H24" s="11" t="str">
        <f>D_purchases!A39</f>
        <v>BILL-F01-0035</v>
      </c>
      <c r="I24" s="11" t="str">
        <f>D_purchases!D39</f>
        <v>Vận tải nội địa NCC5</v>
      </c>
      <c r="J24" s="11">
        <f>D_purchases!U39</f>
        <v>0</v>
      </c>
      <c r="K24" s="11" t="s">
        <v>2005</v>
      </c>
      <c r="L24" s="13">
        <f>D_F01!$B$7</f>
        <v>46193</v>
      </c>
    </row>
    <row r="25" spans="1:12" ht="25.95" customHeight="1">
      <c r="A25" s="47" t="s">
        <v>2014</v>
      </c>
      <c r="B25" s="47" t="s">
        <v>1312</v>
      </c>
      <c r="C25" s="47" t="s">
        <v>1196</v>
      </c>
      <c r="D25" s="48" t="str">
        <f>D_purchases!F40</f>
        <v>Tiện ích (điện)</v>
      </c>
      <c r="E25" s="49">
        <f>IF(ISNUMBER(D_purchases!J40),D_purchases!J40,D_purchases!I40)</f>
        <v>46091</v>
      </c>
      <c r="F25" s="50">
        <f>D_purchases!G40</f>
        <v>73797228</v>
      </c>
      <c r="G25" s="48" t="str">
        <f>IF(ISNUMBER(D_purchases!J40),"confirmed","estimated")</f>
        <v>confirmed</v>
      </c>
      <c r="H25" s="11" t="str">
        <f>D_purchases!A40</f>
        <v>BILL-F01-0036</v>
      </c>
      <c r="I25" s="11" t="str">
        <f>D_purchases!D40</f>
        <v>Điện lực khu công nghiệp</v>
      </c>
      <c r="J25" s="11">
        <f>D_purchases!U40</f>
        <v>1</v>
      </c>
      <c r="K25" s="11" t="s">
        <v>2005</v>
      </c>
      <c r="L25" s="13">
        <f>D_F01!$B$7</f>
        <v>46193</v>
      </c>
    </row>
    <row r="26" spans="1:12" ht="25.95" customHeight="1">
      <c r="A26" s="47" t="s">
        <v>2015</v>
      </c>
      <c r="B26" s="47" t="s">
        <v>1312</v>
      </c>
      <c r="C26" s="47" t="s">
        <v>1196</v>
      </c>
      <c r="D26" s="48" t="str">
        <f>D_purchases!F41</f>
        <v>Vận tải</v>
      </c>
      <c r="E26" s="49">
        <f>IF(ISNUMBER(D_purchases!J41),D_purchases!J41,D_purchases!I41)</f>
        <v>46094</v>
      </c>
      <c r="F26" s="50">
        <f>D_purchases!G41</f>
        <v>17121639</v>
      </c>
      <c r="G26" s="48" t="str">
        <f>IF(ISNUMBER(D_purchases!J41),"confirmed","estimated")</f>
        <v>confirmed</v>
      </c>
      <c r="H26" s="11" t="str">
        <f>D_purchases!A41</f>
        <v>BILL-F01-0037</v>
      </c>
      <c r="I26" s="11" t="str">
        <f>D_purchases!D41</f>
        <v>Vận tải nội địa NCC5</v>
      </c>
      <c r="J26" s="11">
        <f>D_purchases!U41</f>
        <v>0</v>
      </c>
      <c r="K26" s="11" t="s">
        <v>2005</v>
      </c>
      <c r="L26" s="13">
        <f>D_F01!$B$7</f>
        <v>46193</v>
      </c>
    </row>
    <row r="27" spans="1:12" ht="25.95" customHeight="1">
      <c r="A27" s="47" t="s">
        <v>2016</v>
      </c>
      <c r="B27" s="47" t="s">
        <v>1312</v>
      </c>
      <c r="C27" s="47" t="s">
        <v>1196</v>
      </c>
      <c r="D27" s="48" t="str">
        <f>D_purchases!F43</f>
        <v>Vận tải</v>
      </c>
      <c r="E27" s="49">
        <f>IF(ISNUMBER(D_purchases!J43),D_purchases!J43,D_purchases!I43)</f>
        <v>46098</v>
      </c>
      <c r="F27" s="50">
        <f>D_purchases!G43</f>
        <v>16546594</v>
      </c>
      <c r="G27" s="48" t="str">
        <f>IF(ISNUMBER(D_purchases!J43),"confirmed","estimated")</f>
        <v>confirmed</v>
      </c>
      <c r="H27" s="11" t="str">
        <f>D_purchases!A43</f>
        <v>BILL-F01-0039</v>
      </c>
      <c r="I27" s="11" t="str">
        <f>D_purchases!D43</f>
        <v>Vận tải nội địa NCC5</v>
      </c>
      <c r="J27" s="11">
        <f>D_purchases!U43</f>
        <v>0</v>
      </c>
      <c r="K27" s="11" t="s">
        <v>2005</v>
      </c>
      <c r="L27" s="13">
        <f>D_F01!$B$7</f>
        <v>46193</v>
      </c>
    </row>
    <row r="28" spans="1:12" ht="25.95" customHeight="1">
      <c r="A28" s="47" t="s">
        <v>2017</v>
      </c>
      <c r="B28" s="47" t="s">
        <v>1312</v>
      </c>
      <c r="C28" s="47" t="s">
        <v>1196</v>
      </c>
      <c r="D28" s="48" t="str">
        <f>D_purchases!F46</f>
        <v>Vận tải</v>
      </c>
      <c r="E28" s="49">
        <f>IF(ISNUMBER(D_purchases!J46),D_purchases!J46,D_purchases!I46)</f>
        <v>46099</v>
      </c>
      <c r="F28" s="50">
        <f>D_purchases!G46</f>
        <v>13119214</v>
      </c>
      <c r="G28" s="48" t="str">
        <f>IF(ISNUMBER(D_purchases!J46),"confirmed","estimated")</f>
        <v>confirmed</v>
      </c>
      <c r="H28" s="11" t="str">
        <f>D_purchases!A46</f>
        <v>BILL-F01-0042</v>
      </c>
      <c r="I28" s="11" t="str">
        <f>D_purchases!D46</f>
        <v>Vận tải nội địa NCC5</v>
      </c>
      <c r="J28" s="11">
        <f>D_purchases!U46</f>
        <v>0</v>
      </c>
      <c r="K28" s="11" t="s">
        <v>2005</v>
      </c>
      <c r="L28" s="13">
        <f>D_F01!$B$7</f>
        <v>46193</v>
      </c>
    </row>
    <row r="29" spans="1:12" ht="25.95" customHeight="1">
      <c r="A29" s="47" t="s">
        <v>2018</v>
      </c>
      <c r="B29" s="47" t="s">
        <v>1312</v>
      </c>
      <c r="C29" s="47" t="s">
        <v>1196</v>
      </c>
      <c r="D29" s="48" t="str">
        <f>D_purchases!F47</f>
        <v>Vận tải</v>
      </c>
      <c r="E29" s="49">
        <f>IF(ISNUMBER(D_purchases!J47),D_purchases!J47,D_purchases!I47)</f>
        <v>46101</v>
      </c>
      <c r="F29" s="50">
        <f>D_purchases!G47</f>
        <v>19431531</v>
      </c>
      <c r="G29" s="48" t="str">
        <f>IF(ISNUMBER(D_purchases!J47),"confirmed","estimated")</f>
        <v>confirmed</v>
      </c>
      <c r="H29" s="11" t="str">
        <f>D_purchases!A47</f>
        <v>BILL-F01-0043</v>
      </c>
      <c r="I29" s="11" t="str">
        <f>D_purchases!D47</f>
        <v>Vận tải nội địa NCC5</v>
      </c>
      <c r="J29" s="11">
        <f>D_purchases!U47</f>
        <v>0</v>
      </c>
      <c r="K29" s="11" t="s">
        <v>2005</v>
      </c>
      <c r="L29" s="13">
        <f>D_F01!$B$7</f>
        <v>46193</v>
      </c>
    </row>
    <row r="30" spans="1:12" ht="25.95" customHeight="1">
      <c r="A30" s="47" t="s">
        <v>2019</v>
      </c>
      <c r="B30" s="47" t="s">
        <v>1312</v>
      </c>
      <c r="C30" s="47" t="s">
        <v>1196</v>
      </c>
      <c r="D30" s="48" t="str">
        <f>D_purchases!F51</f>
        <v>Vận tải</v>
      </c>
      <c r="E30" s="49">
        <f>IF(ISNUMBER(D_purchases!J51),D_purchases!J51,D_purchases!I51)</f>
        <v>46106</v>
      </c>
      <c r="F30" s="50">
        <f>D_purchases!G51</f>
        <v>9365120</v>
      </c>
      <c r="G30" s="48" t="str">
        <f>IF(ISNUMBER(D_purchases!J51),"confirmed","estimated")</f>
        <v>confirmed</v>
      </c>
      <c r="H30" s="11" t="str">
        <f>D_purchases!A51</f>
        <v>BILL-F01-0047</v>
      </c>
      <c r="I30" s="11" t="str">
        <f>D_purchases!D51</f>
        <v>Vận tải nội địa NCC5</v>
      </c>
      <c r="J30" s="11">
        <f>D_purchases!U51</f>
        <v>0</v>
      </c>
      <c r="K30" s="11" t="s">
        <v>2005</v>
      </c>
      <c r="L30" s="13">
        <f>D_F01!$B$7</f>
        <v>46193</v>
      </c>
    </row>
    <row r="31" spans="1:12" ht="25.95" customHeight="1">
      <c r="A31" s="47" t="s">
        <v>2020</v>
      </c>
      <c r="B31" s="47" t="s">
        <v>1312</v>
      </c>
      <c r="C31" s="47" t="s">
        <v>1196</v>
      </c>
      <c r="D31" s="48" t="str">
        <f>D_purchases!F55</f>
        <v>Vận tải</v>
      </c>
      <c r="E31" s="49">
        <f>IF(ISNUMBER(D_purchases!J55),D_purchases!J55,D_purchases!I55)</f>
        <v>46112</v>
      </c>
      <c r="F31" s="50">
        <f>D_purchases!G55</f>
        <v>18077505</v>
      </c>
      <c r="G31" s="48" t="str">
        <f>IF(ISNUMBER(D_purchases!J55),"confirmed","estimated")</f>
        <v>confirmed</v>
      </c>
      <c r="H31" s="11" t="str">
        <f>D_purchases!A55</f>
        <v>BILL-F01-0051</v>
      </c>
      <c r="I31" s="11" t="str">
        <f>D_purchases!D55</f>
        <v>Vận tải nội địa NCC5</v>
      </c>
      <c r="J31" s="11">
        <f>D_purchases!U55</f>
        <v>0</v>
      </c>
      <c r="K31" s="11" t="s">
        <v>2005</v>
      </c>
      <c r="L31" s="13">
        <f>D_F01!$B$7</f>
        <v>46193</v>
      </c>
    </row>
    <row r="32" spans="1:12" ht="25.95" customHeight="1">
      <c r="A32" s="47" t="s">
        <v>2021</v>
      </c>
      <c r="B32" s="47" t="s">
        <v>1312</v>
      </c>
      <c r="C32" s="47" t="s">
        <v>1196</v>
      </c>
      <c r="D32" s="48" t="str">
        <f>D_purchases!F58</f>
        <v>Vận tải</v>
      </c>
      <c r="E32" s="49">
        <f>IF(ISNUMBER(D_purchases!J58),D_purchases!J58,D_purchases!I58)</f>
        <v>46113</v>
      </c>
      <c r="F32" s="50">
        <f>D_purchases!G58</f>
        <v>18898106</v>
      </c>
      <c r="G32" s="48" t="str">
        <f>IF(ISNUMBER(D_purchases!J58),"confirmed","estimated")</f>
        <v>confirmed</v>
      </c>
      <c r="H32" s="11" t="str">
        <f>D_purchases!A58</f>
        <v>BILL-F01-0054</v>
      </c>
      <c r="I32" s="11" t="str">
        <f>D_purchases!D58</f>
        <v>Vận tải nội địa NCC5</v>
      </c>
      <c r="J32" s="11">
        <f>D_purchases!U58</f>
        <v>0</v>
      </c>
      <c r="K32" s="11" t="s">
        <v>2005</v>
      </c>
      <c r="L32" s="13">
        <f>D_F01!$B$7</f>
        <v>46193</v>
      </c>
    </row>
    <row r="33" spans="1:12" ht="25.95" customHeight="1">
      <c r="A33" s="47" t="s">
        <v>2022</v>
      </c>
      <c r="B33" s="47" t="s">
        <v>1312</v>
      </c>
      <c r="C33" s="47" t="s">
        <v>1196</v>
      </c>
      <c r="D33" s="48" t="str">
        <f>D_purchases!F64</f>
        <v>Tiện ích (điện)</v>
      </c>
      <c r="E33" s="49">
        <f>IF(ISNUMBER(D_purchases!J64),D_purchases!J64,D_purchases!I64)</f>
        <v>46125</v>
      </c>
      <c r="F33" s="50">
        <f>D_purchases!G64</f>
        <v>38995552</v>
      </c>
      <c r="G33" s="48" t="str">
        <f>IF(ISNUMBER(D_purchases!J64),"confirmed","estimated")</f>
        <v>confirmed</v>
      </c>
      <c r="H33" s="11" t="str">
        <f>D_purchases!A64</f>
        <v>BILL-F01-0060</v>
      </c>
      <c r="I33" s="11" t="str">
        <f>D_purchases!D64</f>
        <v>Điện lực khu công nghiệp</v>
      </c>
      <c r="J33" s="11">
        <f>D_purchases!U64</f>
        <v>1</v>
      </c>
      <c r="K33" s="11" t="s">
        <v>2005</v>
      </c>
      <c r="L33" s="13">
        <f>D_F01!$B$7</f>
        <v>46193</v>
      </c>
    </row>
    <row r="34" spans="1:12" ht="25.95" customHeight="1">
      <c r="A34" s="47" t="s">
        <v>2023</v>
      </c>
      <c r="B34" s="47" t="s">
        <v>1312</v>
      </c>
      <c r="C34" s="47" t="s">
        <v>1196</v>
      </c>
      <c r="D34" s="48" t="str">
        <f>D_purchases!F70</f>
        <v>Vận tải</v>
      </c>
      <c r="E34" s="49">
        <f>IF(ISNUMBER(D_purchases!J70),D_purchases!J70,D_purchases!I70)</f>
        <v>46130</v>
      </c>
      <c r="F34" s="50">
        <f>D_purchases!G70</f>
        <v>22032067</v>
      </c>
      <c r="G34" s="48" t="str">
        <f>IF(ISNUMBER(D_purchases!J70),"confirmed","estimated")</f>
        <v>confirmed</v>
      </c>
      <c r="H34" s="11" t="str">
        <f>D_purchases!A70</f>
        <v>BILL-F01-0066</v>
      </c>
      <c r="I34" s="11" t="str">
        <f>D_purchases!D70</f>
        <v>Vận tải nội địa NCC5</v>
      </c>
      <c r="J34" s="11">
        <f>D_purchases!U70</f>
        <v>0</v>
      </c>
      <c r="K34" s="11" t="s">
        <v>2005</v>
      </c>
      <c r="L34" s="13">
        <f>D_F01!$B$7</f>
        <v>46193</v>
      </c>
    </row>
    <row r="35" spans="1:12" ht="25.95" customHeight="1">
      <c r="A35" s="47" t="s">
        <v>2024</v>
      </c>
      <c r="B35" s="47" t="s">
        <v>1312</v>
      </c>
      <c r="C35" s="47" t="s">
        <v>1196</v>
      </c>
      <c r="D35" s="48" t="str">
        <f>D_purchases!F82</f>
        <v>Vận tải</v>
      </c>
      <c r="E35" s="49">
        <f>IF(ISNUMBER(D_purchases!J82),D_purchases!J82,D_purchases!I82)</f>
        <v>46146</v>
      </c>
      <c r="F35" s="50">
        <f>D_purchases!G82</f>
        <v>8131097</v>
      </c>
      <c r="G35" s="48" t="str">
        <f>IF(ISNUMBER(D_purchases!J82),"confirmed","estimated")</f>
        <v>confirmed</v>
      </c>
      <c r="H35" s="11" t="str">
        <f>D_purchases!A82</f>
        <v>BILL-F01-0078</v>
      </c>
      <c r="I35" s="11" t="str">
        <f>D_purchases!D82</f>
        <v>Vận tải nội địa NCC5</v>
      </c>
      <c r="J35" s="11">
        <f>D_purchases!U82</f>
        <v>0</v>
      </c>
      <c r="K35" s="11" t="s">
        <v>2005</v>
      </c>
      <c r="L35" s="13">
        <f>D_F01!$B$7</f>
        <v>46193</v>
      </c>
    </row>
    <row r="36" spans="1:12" ht="25.95" customHeight="1">
      <c r="A36" s="47" t="s">
        <v>2025</v>
      </c>
      <c r="B36" s="47" t="s">
        <v>1312</v>
      </c>
      <c r="C36" s="47" t="s">
        <v>1196</v>
      </c>
      <c r="D36" s="48" t="str">
        <f>D_purchases!F88</f>
        <v>Tiện ích (điện)</v>
      </c>
      <c r="E36" s="49">
        <f>IF(ISNUMBER(D_purchases!J88),D_purchases!J88,D_purchases!I88)</f>
        <v>46155</v>
      </c>
      <c r="F36" s="50">
        <f>D_purchases!G88</f>
        <v>103451938</v>
      </c>
      <c r="G36" s="48" t="str">
        <f>IF(ISNUMBER(D_purchases!J88),"confirmed","estimated")</f>
        <v>confirmed</v>
      </c>
      <c r="H36" s="11" t="str">
        <f>D_purchases!A88</f>
        <v>BILL-F01-0084</v>
      </c>
      <c r="I36" s="11" t="str">
        <f>D_purchases!D88</f>
        <v>Điện lực khu công nghiệp</v>
      </c>
      <c r="J36" s="11">
        <f>D_purchases!U88</f>
        <v>1</v>
      </c>
      <c r="K36" s="11" t="s">
        <v>2005</v>
      </c>
      <c r="L36" s="13">
        <f>D_F01!$B$7</f>
        <v>46193</v>
      </c>
    </row>
    <row r="37" spans="1:12" ht="25.95" customHeight="1">
      <c r="A37" s="47" t="s">
        <v>2026</v>
      </c>
      <c r="B37" s="47" t="s">
        <v>1312</v>
      </c>
      <c r="C37" s="47" t="s">
        <v>1196</v>
      </c>
      <c r="D37" s="48" t="str">
        <f>D_purchases!F91</f>
        <v>Vận tải</v>
      </c>
      <c r="E37" s="49">
        <f>IF(ISNUMBER(D_purchases!J91),D_purchases!J91,D_purchases!I91)</f>
        <v>46155</v>
      </c>
      <c r="F37" s="50">
        <f>D_purchases!G91</f>
        <v>24335716</v>
      </c>
      <c r="G37" s="48" t="str">
        <f>IF(ISNUMBER(D_purchases!J91),"confirmed","estimated")</f>
        <v>confirmed</v>
      </c>
      <c r="H37" s="11" t="str">
        <f>D_purchases!A91</f>
        <v>BILL-F01-0087</v>
      </c>
      <c r="I37" s="11" t="str">
        <f>D_purchases!D91</f>
        <v>Vận tải nội địa NCC5</v>
      </c>
      <c r="J37" s="11">
        <f>D_purchases!U91</f>
        <v>0</v>
      </c>
      <c r="K37" s="11" t="s">
        <v>2005</v>
      </c>
      <c r="L37" s="13">
        <f>D_F01!$B$7</f>
        <v>46193</v>
      </c>
    </row>
    <row r="38" spans="1:12" ht="25.95" customHeight="1">
      <c r="A38" s="47" t="s">
        <v>2027</v>
      </c>
      <c r="B38" s="47" t="s">
        <v>1312</v>
      </c>
      <c r="C38" s="47" t="s">
        <v>1196</v>
      </c>
      <c r="D38" s="48" t="str">
        <f>D_purchases!F102</f>
        <v>Vận tải</v>
      </c>
      <c r="E38" s="49">
        <f>IF(ISNUMBER(D_purchases!J102),D_purchases!J102,D_purchases!I102)</f>
        <v>46170</v>
      </c>
      <c r="F38" s="50">
        <f>D_purchases!G102</f>
        <v>16691570</v>
      </c>
      <c r="G38" s="48" t="str">
        <f>IF(ISNUMBER(D_purchases!J102),"confirmed","estimated")</f>
        <v>confirmed</v>
      </c>
      <c r="H38" s="11" t="str">
        <f>D_purchases!A102</f>
        <v>BILL-F01-0098</v>
      </c>
      <c r="I38" s="11" t="str">
        <f>D_purchases!D102</f>
        <v>Vận tải nội địa NCC5</v>
      </c>
      <c r="J38" s="11">
        <f>D_purchases!U102</f>
        <v>0</v>
      </c>
      <c r="K38" s="11" t="s">
        <v>2005</v>
      </c>
      <c r="L38" s="13">
        <f>D_F01!$B$7</f>
        <v>46193</v>
      </c>
    </row>
    <row r="39" spans="1:12" ht="25.95" customHeight="1">
      <c r="A39" s="47" t="s">
        <v>2028</v>
      </c>
      <c r="B39" s="47" t="s">
        <v>1312</v>
      </c>
      <c r="C39" s="47" t="s">
        <v>1196</v>
      </c>
      <c r="D39" s="48" t="str">
        <f>D_purchases!F105</f>
        <v>Vận tải</v>
      </c>
      <c r="E39" s="49">
        <f>IF(ISNUMBER(D_purchases!J105),D_purchases!J105,D_purchases!I105)</f>
        <v>46169</v>
      </c>
      <c r="F39" s="50">
        <f>D_purchases!G105</f>
        <v>12272948</v>
      </c>
      <c r="G39" s="48" t="str">
        <f>IF(ISNUMBER(D_purchases!J105),"confirmed","estimated")</f>
        <v>confirmed</v>
      </c>
      <c r="H39" s="11" t="str">
        <f>D_purchases!A105</f>
        <v>BILL-F01-0101</v>
      </c>
      <c r="I39" s="11" t="str">
        <f>D_purchases!D105</f>
        <v>Vận tải nội địa NCC5</v>
      </c>
      <c r="J39" s="11">
        <f>D_purchases!U105</f>
        <v>0</v>
      </c>
      <c r="K39" s="11" t="s">
        <v>2005</v>
      </c>
      <c r="L39" s="13">
        <f>D_F01!$B$7</f>
        <v>46193</v>
      </c>
    </row>
    <row r="40" spans="1:12" ht="25.95" customHeight="1">
      <c r="A40" s="47" t="s">
        <v>2029</v>
      </c>
      <c r="B40" s="47" t="s">
        <v>1312</v>
      </c>
      <c r="C40" s="47" t="s">
        <v>1196</v>
      </c>
      <c r="D40" s="48" t="str">
        <f>D_purchases!F106</f>
        <v>Vận tải</v>
      </c>
      <c r="E40" s="49">
        <f>IF(ISNUMBER(D_purchases!J106),D_purchases!J106,D_purchases!I106)</f>
        <v>46175</v>
      </c>
      <c r="F40" s="50">
        <f>D_purchases!G106</f>
        <v>15218927</v>
      </c>
      <c r="G40" s="48" t="str">
        <f>IF(ISNUMBER(D_purchases!J106),"confirmed","estimated")</f>
        <v>confirmed</v>
      </c>
      <c r="H40" s="11" t="str">
        <f>D_purchases!A106</f>
        <v>BILL-F01-0102</v>
      </c>
      <c r="I40" s="11" t="str">
        <f>D_purchases!D106</f>
        <v>Vận tải nội địa NCC5</v>
      </c>
      <c r="J40" s="11">
        <f>D_purchases!U106</f>
        <v>0</v>
      </c>
      <c r="K40" s="11" t="s">
        <v>2005</v>
      </c>
      <c r="L40" s="13">
        <f>D_F01!$B$7</f>
        <v>46193</v>
      </c>
    </row>
    <row r="41" spans="1:12" ht="25.95" customHeight="1">
      <c r="A41" s="47" t="s">
        <v>2030</v>
      </c>
      <c r="B41" s="47" t="s">
        <v>1312</v>
      </c>
      <c r="C41" s="47" t="s">
        <v>1196</v>
      </c>
      <c r="D41" s="48" t="str">
        <f>D_purchases!F111</f>
        <v>Tiện ích (điện)</v>
      </c>
      <c r="E41" s="49">
        <f>IF(ISNUMBER(D_purchases!J111),D_purchases!J111,D_purchases!I111)</f>
        <v>46186</v>
      </c>
      <c r="F41" s="50">
        <f>D_purchases!G111</f>
        <v>16217799</v>
      </c>
      <c r="G41" s="48" t="str">
        <f>IF(ISNUMBER(D_purchases!J111),"confirmed","estimated")</f>
        <v>confirmed</v>
      </c>
      <c r="H41" s="11" t="str">
        <f>D_purchases!A111</f>
        <v>BILL-F01-0107</v>
      </c>
      <c r="I41" s="11" t="str">
        <f>D_purchases!D111</f>
        <v>Điện lực khu công nghiệp</v>
      </c>
      <c r="J41" s="11">
        <f>D_purchases!U111</f>
        <v>1</v>
      </c>
      <c r="K41" s="11" t="s">
        <v>2005</v>
      </c>
      <c r="L41" s="13">
        <f>D_F01!$B$7</f>
        <v>46193</v>
      </c>
    </row>
    <row r="42" spans="1:12" ht="25.95" customHeight="1">
      <c r="A42" s="47" t="s">
        <v>2031</v>
      </c>
      <c r="B42" s="47" t="s">
        <v>1312</v>
      </c>
      <c r="C42" s="47" t="s">
        <v>1196</v>
      </c>
      <c r="D42" s="48" t="str">
        <f>D_purchases!F114</f>
        <v>Vận tải</v>
      </c>
      <c r="E42" s="49">
        <f>IF(ISNUMBER(D_purchases!J114),D_purchases!J114,D_purchases!I114)</f>
        <v>46186</v>
      </c>
      <c r="F42" s="50">
        <f>D_purchases!G114</f>
        <v>10366073</v>
      </c>
      <c r="G42" s="48" t="str">
        <f>IF(ISNUMBER(D_purchases!J114),"confirmed","estimated")</f>
        <v>confirmed</v>
      </c>
      <c r="H42" s="11" t="str">
        <f>D_purchases!A114</f>
        <v>BILL-F01-0110</v>
      </c>
      <c r="I42" s="11" t="str">
        <f>D_purchases!D114</f>
        <v>Vận tải nội địa NCC5</v>
      </c>
      <c r="J42" s="11">
        <f>D_purchases!U114</f>
        <v>0</v>
      </c>
      <c r="K42" s="11" t="s">
        <v>2005</v>
      </c>
      <c r="L42" s="13">
        <f>D_F01!$B$7</f>
        <v>46193</v>
      </c>
    </row>
    <row r="43" spans="1:12" ht="25.95" customHeight="1">
      <c r="A43" s="47" t="s">
        <v>2032</v>
      </c>
      <c r="B43" s="47" t="s">
        <v>1312</v>
      </c>
      <c r="C43" s="47" t="s">
        <v>1196</v>
      </c>
      <c r="D43" s="48" t="str">
        <f>D_purchases!F117</f>
        <v>Vận tải</v>
      </c>
      <c r="E43" s="49">
        <f>IF(ISNUMBER(D_purchases!J117),D_purchases!J117,D_purchases!I117)</f>
        <v>46188</v>
      </c>
      <c r="F43" s="50">
        <f>D_purchases!G117</f>
        <v>19203317</v>
      </c>
      <c r="G43" s="48" t="str">
        <f>IF(ISNUMBER(D_purchases!J117),"confirmed","estimated")</f>
        <v>confirmed</v>
      </c>
      <c r="H43" s="11" t="str">
        <f>D_purchases!A117</f>
        <v>BILL-F01-0113</v>
      </c>
      <c r="I43" s="11" t="str">
        <f>D_purchases!D117</f>
        <v>Vận tải nội địa NCC5</v>
      </c>
      <c r="J43" s="11">
        <f>D_purchases!U117</f>
        <v>0</v>
      </c>
      <c r="K43" s="11" t="s">
        <v>2005</v>
      </c>
      <c r="L43" s="13">
        <f>D_F01!$B$7</f>
        <v>46193</v>
      </c>
    </row>
    <row r="44" spans="1:12" ht="25.95" customHeight="1">
      <c r="A44" s="47" t="s">
        <v>2033</v>
      </c>
      <c r="B44" s="47" t="s">
        <v>1312</v>
      </c>
      <c r="C44" s="47" t="s">
        <v>1196</v>
      </c>
      <c r="D44" s="48" t="str">
        <f>D_purchases!F126</f>
        <v>Vận tải</v>
      </c>
      <c r="E44" s="49">
        <f>IF(ISNUMBER(D_purchases!J126),D_purchases!J126,D_purchases!I126)</f>
        <v>46204</v>
      </c>
      <c r="F44" s="50">
        <f>D_purchases!G126</f>
        <v>13574256</v>
      </c>
      <c r="G44" s="48" t="str">
        <f>IF(ISNUMBER(D_purchases!J126),"confirmed","estimated")</f>
        <v>estimated</v>
      </c>
      <c r="H44" s="11" t="str">
        <f>D_purchases!A126</f>
        <v>BILL-F01-0122</v>
      </c>
      <c r="I44" s="11" t="str">
        <f>D_purchases!D126</f>
        <v>Vận tải nội địa NCC5</v>
      </c>
      <c r="J44" s="11">
        <f>D_purchases!U126</f>
        <v>0</v>
      </c>
      <c r="K44" s="11" t="s">
        <v>2005</v>
      </c>
      <c r="L44" s="13">
        <f>D_F01!$B$7</f>
        <v>46193</v>
      </c>
    </row>
    <row r="45" spans="1:12" ht="25.95" customHeight="1">
      <c r="A45" s="47" t="s">
        <v>2034</v>
      </c>
      <c r="B45" s="47" t="s">
        <v>1312</v>
      </c>
      <c r="C45" s="47" t="s">
        <v>1196</v>
      </c>
      <c r="D45" s="48" t="str">
        <f>D_purchases!F128</f>
        <v>Vận tải</v>
      </c>
      <c r="E45" s="49">
        <f>IF(ISNUMBER(D_purchases!J128),D_purchases!J128,D_purchases!I128)</f>
        <v>46206</v>
      </c>
      <c r="F45" s="50">
        <f>D_purchases!G128</f>
        <v>23021228</v>
      </c>
      <c r="G45" s="48" t="str">
        <f>IF(ISNUMBER(D_purchases!J128),"confirmed","estimated")</f>
        <v>estimated</v>
      </c>
      <c r="H45" s="11" t="str">
        <f>D_purchases!A128</f>
        <v>BILL-F01-0124</v>
      </c>
      <c r="I45" s="11" t="str">
        <f>D_purchases!D128</f>
        <v>Vận tải nội địa NCC5</v>
      </c>
      <c r="J45" s="11">
        <f>D_purchases!U128</f>
        <v>0</v>
      </c>
      <c r="K45" s="11" t="s">
        <v>2005</v>
      </c>
      <c r="L45" s="13">
        <f>D_F01!$B$7</f>
        <v>46193</v>
      </c>
    </row>
    <row r="47" spans="1:12" ht="25.95" customHeight="1">
      <c r="A47" s="1" t="s">
        <v>2035</v>
      </c>
      <c r="B47" s="1"/>
      <c r="C47" s="1"/>
      <c r="D47" s="1"/>
      <c r="E47" s="1"/>
      <c r="F47" s="1"/>
      <c r="G47" s="1"/>
      <c r="H47" s="1"/>
    </row>
    <row r="48" spans="1:12" ht="25.95" customHeight="1">
      <c r="A48" s="1"/>
      <c r="B48" s="1"/>
      <c r="C48" s="1"/>
      <c r="D48" s="1"/>
      <c r="E48" s="1"/>
      <c r="F48" s="1"/>
      <c r="G48" s="1"/>
      <c r="H48" s="1"/>
    </row>
    <row r="49" spans="1:8">
      <c r="A49" t="s">
        <v>2036</v>
      </c>
    </row>
    <row r="51" spans="1:8" ht="34.049999999999997" customHeight="1">
      <c r="A51" s="4" t="s">
        <v>1423</v>
      </c>
      <c r="B51" s="4" t="s">
        <v>1113</v>
      </c>
      <c r="C51" s="4" t="s">
        <v>1118</v>
      </c>
      <c r="D51" s="4" t="s">
        <v>2037</v>
      </c>
    </row>
    <row r="52" spans="1:8" ht="40.049999999999997" customHeight="1">
      <c r="A52" s="3" t="s">
        <v>1163</v>
      </c>
      <c r="B52" s="7">
        <v>46207</v>
      </c>
      <c r="C52" s="7">
        <v>46193</v>
      </c>
      <c r="D52" s="3" t="s">
        <v>803</v>
      </c>
    </row>
    <row r="55" spans="1:8">
      <c r="A55" s="2" t="s">
        <v>2320</v>
      </c>
      <c r="B55" s="1"/>
      <c r="C55" s="1"/>
      <c r="D55" s="1"/>
      <c r="E55" s="1"/>
      <c r="F55" s="1"/>
      <c r="G55" s="1"/>
      <c r="H55" s="1"/>
    </row>
    <row r="56" spans="1:8">
      <c r="A56" s="1"/>
      <c r="B56" s="1"/>
      <c r="C56" s="1"/>
      <c r="D56" s="1"/>
      <c r="E56" s="1"/>
      <c r="F56" s="1"/>
      <c r="G56" s="1"/>
      <c r="H56" s="1"/>
    </row>
    <row r="57" spans="1:8">
      <c r="A57" s="1"/>
      <c r="B57" s="1"/>
      <c r="C57" s="1"/>
      <c r="D57" s="1"/>
      <c r="E57" s="1"/>
      <c r="F57" s="1"/>
      <c r="G57" s="1"/>
      <c r="H57" s="1"/>
    </row>
  </sheetData>
  <mergeCells count="2">
    <mergeCell ref="A47:H48"/>
    <mergeCell ref="A55:H57"/>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92BFA-6DC5-442A-B70C-D4E6FD0AEDDE}">
  <dimension ref="A2:D38"/>
  <sheetViews>
    <sheetView showGridLines="0" workbookViewId="0">
      <pane ySplit="4" topLeftCell="A38" activePane="bottomLeft" state="frozen"/>
      <selection pane="bottomLeft"/>
    </sheetView>
  </sheetViews>
  <sheetFormatPr defaultRowHeight="13.8"/>
  <cols>
    <col min="1" max="1" width="18" customWidth="1"/>
    <col min="2" max="2" width="55" customWidth="1"/>
    <col min="3" max="3" width="27" customWidth="1"/>
    <col min="4" max="4" width="106" customWidth="1"/>
  </cols>
  <sheetData>
    <row r="2" spans="1:4" ht="17.399999999999999" customHeight="1">
      <c r="A2" s="2" t="s">
        <v>2038</v>
      </c>
    </row>
    <row r="4" spans="1:4" ht="34.049999999999997" customHeight="1">
      <c r="A4" s="4" t="s">
        <v>2039</v>
      </c>
      <c r="B4" s="4" t="s">
        <v>2040</v>
      </c>
      <c r="C4" s="4" t="s">
        <v>2041</v>
      </c>
      <c r="D4" s="4" t="s">
        <v>2042</v>
      </c>
    </row>
    <row r="5" spans="1:4" ht="40.049999999999997" customHeight="1">
      <c r="A5" s="3" t="s">
        <v>2043</v>
      </c>
      <c r="B5" s="3" t="s">
        <v>2044</v>
      </c>
      <c r="C5" s="3" t="s">
        <v>2045</v>
      </c>
      <c r="D5" s="3" t="s">
        <v>2046</v>
      </c>
    </row>
    <row r="6" spans="1:4" ht="25.95" customHeight="1">
      <c r="A6" s="5" t="s">
        <v>2043</v>
      </c>
      <c r="B6" s="5" t="s">
        <v>2047</v>
      </c>
      <c r="C6" s="5" t="s">
        <v>2048</v>
      </c>
      <c r="D6" s="5" t="s">
        <v>2049</v>
      </c>
    </row>
    <row r="7" spans="1:4" ht="25.95" customHeight="1">
      <c r="A7" s="3" t="s">
        <v>2043</v>
      </c>
      <c r="B7" s="3" t="s">
        <v>2050</v>
      </c>
      <c r="C7" s="3" t="s">
        <v>2051</v>
      </c>
      <c r="D7" s="3" t="s">
        <v>2052</v>
      </c>
    </row>
    <row r="8" spans="1:4" ht="25.95" customHeight="1">
      <c r="A8" s="5" t="s">
        <v>2053</v>
      </c>
      <c r="B8" s="5" t="s">
        <v>2054</v>
      </c>
      <c r="C8" s="5" t="s">
        <v>2055</v>
      </c>
      <c r="D8" s="5" t="s">
        <v>2056</v>
      </c>
    </row>
    <row r="9" spans="1:4" ht="25.95" customHeight="1">
      <c r="A9" s="3" t="s">
        <v>2053</v>
      </c>
      <c r="B9" s="3" t="s">
        <v>2057</v>
      </c>
      <c r="C9" s="3" t="s">
        <v>108</v>
      </c>
      <c r="D9" s="3" t="s">
        <v>2058</v>
      </c>
    </row>
    <row r="10" spans="1:4" ht="25.95" customHeight="1">
      <c r="A10" s="5" t="s">
        <v>2053</v>
      </c>
      <c r="B10" s="5" t="s">
        <v>2059</v>
      </c>
      <c r="C10" s="5" t="s">
        <v>217</v>
      </c>
      <c r="D10" s="5" t="s">
        <v>2060</v>
      </c>
    </row>
    <row r="11" spans="1:4" ht="25.95" customHeight="1">
      <c r="A11" s="3" t="s">
        <v>2053</v>
      </c>
      <c r="B11" s="3" t="s">
        <v>2061</v>
      </c>
      <c r="C11" s="3" t="s">
        <v>2062</v>
      </c>
      <c r="D11" s="3" t="s">
        <v>2063</v>
      </c>
    </row>
    <row r="12" spans="1:4" ht="25.95" customHeight="1">
      <c r="A12" s="5" t="s">
        <v>2053</v>
      </c>
      <c r="B12" s="5" t="s">
        <v>2064</v>
      </c>
      <c r="C12" s="5" t="s">
        <v>2065</v>
      </c>
      <c r="D12" s="5" t="s">
        <v>2066</v>
      </c>
    </row>
    <row r="13" spans="1:4" ht="40.049999999999997" customHeight="1">
      <c r="A13" s="3" t="s">
        <v>2053</v>
      </c>
      <c r="B13" s="3" t="s">
        <v>2067</v>
      </c>
      <c r="C13" s="3" t="s">
        <v>2051</v>
      </c>
      <c r="D13" s="3" t="s">
        <v>2068</v>
      </c>
    </row>
    <row r="14" spans="1:4" ht="40.049999999999997" customHeight="1">
      <c r="A14" s="5" t="s">
        <v>2053</v>
      </c>
      <c r="B14" s="5" t="s">
        <v>2069</v>
      </c>
      <c r="C14" s="5" t="s">
        <v>2051</v>
      </c>
      <c r="D14" s="5" t="s">
        <v>2070</v>
      </c>
    </row>
    <row r="15" spans="1:4" ht="40.049999999999997" customHeight="1">
      <c r="A15" s="3" t="s">
        <v>2053</v>
      </c>
      <c r="B15" s="3" t="s">
        <v>2071</v>
      </c>
      <c r="C15" s="3" t="s">
        <v>2051</v>
      </c>
      <c r="D15" s="3" t="s">
        <v>2072</v>
      </c>
    </row>
    <row r="16" spans="1:4" ht="25.95" customHeight="1">
      <c r="A16" s="5" t="s">
        <v>2053</v>
      </c>
      <c r="B16" s="5" t="s">
        <v>2073</v>
      </c>
      <c r="C16" s="5" t="s">
        <v>2051</v>
      </c>
      <c r="D16" s="5" t="s">
        <v>2074</v>
      </c>
    </row>
    <row r="17" spans="1:4" ht="25.95" customHeight="1">
      <c r="A17" s="3" t="s">
        <v>2053</v>
      </c>
      <c r="B17" s="3" t="s">
        <v>2075</v>
      </c>
      <c r="C17" s="3" t="s">
        <v>2076</v>
      </c>
      <c r="D17" s="3" t="s">
        <v>2077</v>
      </c>
    </row>
    <row r="18" spans="1:4" ht="25.95" customHeight="1">
      <c r="A18" s="5" t="s">
        <v>2078</v>
      </c>
      <c r="B18" s="5" t="s">
        <v>2079</v>
      </c>
      <c r="C18" s="5" t="s">
        <v>2080</v>
      </c>
      <c r="D18" s="5" t="s">
        <v>2081</v>
      </c>
    </row>
    <row r="19" spans="1:4" ht="25.95" customHeight="1">
      <c r="A19" s="3" t="s">
        <v>2078</v>
      </c>
      <c r="B19" s="3" t="s">
        <v>2082</v>
      </c>
      <c r="C19" s="3" t="s">
        <v>2083</v>
      </c>
      <c r="D19" s="3" t="s">
        <v>2084</v>
      </c>
    </row>
    <row r="20" spans="1:4" ht="40.049999999999997" customHeight="1">
      <c r="A20" s="5" t="s">
        <v>2078</v>
      </c>
      <c r="B20" s="5" t="s">
        <v>2085</v>
      </c>
      <c r="C20" s="5" t="s">
        <v>2051</v>
      </c>
      <c r="D20" s="5" t="s">
        <v>2086</v>
      </c>
    </row>
    <row r="21" spans="1:4" ht="25.95" customHeight="1">
      <c r="A21" s="3" t="s">
        <v>2078</v>
      </c>
      <c r="B21" s="3" t="s">
        <v>2087</v>
      </c>
      <c r="C21" s="3" t="s">
        <v>2051</v>
      </c>
      <c r="D21" s="3" t="s">
        <v>2088</v>
      </c>
    </row>
    <row r="22" spans="1:4" ht="40.049999999999997" customHeight="1">
      <c r="A22" s="5" t="s">
        <v>2078</v>
      </c>
      <c r="B22" s="5" t="s">
        <v>2089</v>
      </c>
      <c r="C22" s="5" t="s">
        <v>2090</v>
      </c>
      <c r="D22" s="5" t="s">
        <v>2091</v>
      </c>
    </row>
    <row r="23" spans="1:4" ht="25.95" customHeight="1">
      <c r="A23" s="3" t="s">
        <v>2078</v>
      </c>
      <c r="B23" s="3" t="s">
        <v>2092</v>
      </c>
      <c r="C23" s="3" t="s">
        <v>108</v>
      </c>
      <c r="D23" s="3" t="s">
        <v>2093</v>
      </c>
    </row>
    <row r="24" spans="1:4" ht="25.95" customHeight="1">
      <c r="A24" s="5" t="s">
        <v>2078</v>
      </c>
      <c r="B24" s="5" t="s">
        <v>2094</v>
      </c>
      <c r="C24" s="5" t="s">
        <v>2051</v>
      </c>
      <c r="D24" s="5" t="s">
        <v>2095</v>
      </c>
    </row>
    <row r="25" spans="1:4" ht="25.95" customHeight="1">
      <c r="A25" s="3" t="s">
        <v>2078</v>
      </c>
      <c r="B25" s="3" t="s">
        <v>2096</v>
      </c>
      <c r="C25" s="3" t="s">
        <v>2051</v>
      </c>
      <c r="D25" s="3" t="s">
        <v>2097</v>
      </c>
    </row>
    <row r="26" spans="1:4" ht="25.95" customHeight="1">
      <c r="A26" s="5" t="s">
        <v>2078</v>
      </c>
      <c r="B26" s="5" t="s">
        <v>2098</v>
      </c>
      <c r="C26" s="5" t="s">
        <v>2099</v>
      </c>
      <c r="D26" s="5" t="s">
        <v>2100</v>
      </c>
    </row>
    <row r="27" spans="1:4" ht="25.95" customHeight="1">
      <c r="A27" s="3" t="s">
        <v>2078</v>
      </c>
      <c r="B27" s="3" t="s">
        <v>2075</v>
      </c>
      <c r="C27" s="3" t="s">
        <v>2076</v>
      </c>
      <c r="D27" s="3" t="s">
        <v>2101</v>
      </c>
    </row>
    <row r="28" spans="1:4" ht="40.049999999999997" customHeight="1">
      <c r="A28" s="5" t="s">
        <v>2078</v>
      </c>
      <c r="B28" s="5" t="s">
        <v>2102</v>
      </c>
      <c r="C28" s="5" t="s">
        <v>2062</v>
      </c>
      <c r="D28" s="5" t="s">
        <v>2103</v>
      </c>
    </row>
    <row r="29" spans="1:4" ht="40.049999999999997" customHeight="1">
      <c r="A29" s="3" t="s">
        <v>2918</v>
      </c>
      <c r="B29" s="3" t="s">
        <v>2919</v>
      </c>
      <c r="C29" s="3" t="s">
        <v>2920</v>
      </c>
      <c r="D29" s="3" t="s">
        <v>2921</v>
      </c>
    </row>
    <row r="30" spans="1:4" ht="40.049999999999997" customHeight="1">
      <c r="A30" s="5" t="s">
        <v>2918</v>
      </c>
      <c r="B30" s="5" t="s">
        <v>2922</v>
      </c>
      <c r="C30" s="5" t="s">
        <v>2923</v>
      </c>
      <c r="D30" s="5" t="s">
        <v>2924</v>
      </c>
    </row>
    <row r="31" spans="1:4" ht="47.7" customHeight="1">
      <c r="A31" s="3" t="s">
        <v>2918</v>
      </c>
      <c r="B31" s="3" t="s">
        <v>2925</v>
      </c>
      <c r="C31" s="3" t="s">
        <v>2051</v>
      </c>
      <c r="D31" s="3" t="s">
        <v>2926</v>
      </c>
    </row>
    <row r="32" spans="1:4" ht="47.7" customHeight="1">
      <c r="A32" s="5" t="s">
        <v>2918</v>
      </c>
      <c r="B32" s="5" t="s">
        <v>2927</v>
      </c>
      <c r="C32" s="5" t="s">
        <v>2928</v>
      </c>
      <c r="D32" s="5" t="s">
        <v>2929</v>
      </c>
    </row>
    <row r="33" spans="1:4" ht="34.049999999999997" customHeight="1">
      <c r="A33" s="4" t="s">
        <v>2039</v>
      </c>
      <c r="B33" s="4" t="s">
        <v>2104</v>
      </c>
      <c r="C33" s="4" t="s">
        <v>2105</v>
      </c>
      <c r="D33" s="4" t="s">
        <v>742</v>
      </c>
    </row>
    <row r="34" spans="1:4" ht="100.05" customHeight="1">
      <c r="A34" s="3" t="s">
        <v>2053</v>
      </c>
      <c r="B34" s="3" t="str">
        <f>"At 20 June 2026, your closing-balance CCC is "&amp;TEXT(F01_UC1!B15,"0.0")&amp;" days (DSO "&amp;TEXT(F01_UC1!B12,"0.0")&amp;" + DIO "&amp;TEXT(F01_UC1!B13,"0.0")&amp;" - DPO "&amp;TEXT(F01_UC1!B14,"0.0")&amp;"). Receivables are VND "&amp;TEXT(F01_UC1!B8/1000000000,"0.00")&amp;" billion and owned inventory is VND "&amp;TEXT(F01_UC1!B9/1000000000,"0.00")&amp;" billion, offset by VND "&amp;TEXT(F01_UC1!B10/1000000000,"0.00")&amp;" billion of trade payables. Net trade working capital is VND "&amp;TEXT(F01_UC1!B16/1000000000,"0.00")&amp;" billion."</f>
        <v>At 20 June 2026, your closing-balance CCC is 41.1 days (DSO 39.2 + DIO 11.2 - DPO 9.3). Receivables are VND 6.89 billion and owned inventory is VND 1.57 billion, offset by VND 1.31 billion of trade payables. Net trade working capital is VND 7.15 billion.</v>
      </c>
      <c r="C34" s="3" t="s">
        <v>2106</v>
      </c>
      <c r="D34" s="3" t="s">
        <v>2107</v>
      </c>
    </row>
    <row r="35" spans="1:4" ht="100.05" customHeight="1">
      <c r="A35" s="5" t="s">
        <v>2053</v>
      </c>
      <c r="B35" s="5" t="str">
        <f>F01_UC1!B41&amp;" holds VND "&amp;TEXT(F01_UC1!C41/1000000000,"0.00")&amp;" billion of receivables, including VND "&amp;TEXT(F01_UC1!F41/1000000,"0")&amp;" million overdue, up to "&amp;TEXT(F01_UC1!J41,"0")&amp;" days. Its DSO contribution is "&amp;TEXT(F01_UC1!E41,"0.0")&amp;" days. These are outstanding and overdue balances; not every open invoice is late."</f>
        <v>Nhà xuất khẩu Lớn K1 holds VND 3.82 billion of receivables, including VND 766 million overdue, up to 21 days. Its DSO contribution is 21.8 days. These are outstanding and overdue balances; not every open invoice is late.</v>
      </c>
      <c r="C35" s="5" t="s">
        <v>2108</v>
      </c>
      <c r="D35" s="5" t="s">
        <v>2109</v>
      </c>
    </row>
    <row r="36" spans="1:4" ht="120" customHeight="1">
      <c r="A36" s="3" t="s">
        <v>2053</v>
      </c>
      <c r="B36" s="3" t="str">
        <f>"Inventory held beyond the demo age limit or linked to cancelled orders totals VND "&amp;TEXT(F01_UC1!B19/1000000,"0")&amp;" million. Customer-owned stock of VND "&amp;TEXT(F01_UC1!B20/1000000000,"0.00")&amp;" billion is excluded. Overdue supplier payables total VND "&amp;TEXT(F01_UC1!B18/1000000,"0")&amp;" million, so the DPO offset cannot by itself be called efficient supplier financing."</f>
        <v>Inventory held beyond the demo age limit or linked to cancelled orders totals VND 430 million. Customer-owned stock of VND 3.41 billion is excluded. Overdue supplier payables total VND 400 million, so the DPO offset cannot by itself be called efficient supplier financing.</v>
      </c>
      <c r="C36" s="3" t="s">
        <v>2110</v>
      </c>
      <c r="D36" s="3" t="s">
        <v>2111</v>
      </c>
    </row>
    <row r="37" spans="1:4" ht="109.95" customHeight="1">
      <c r="A37" s="5" t="s">
        <v>2078</v>
      </c>
      <c r="B37" s="5" t="str">
        <f>"Under the selected "&amp;F01_UC2!B5&amp;" scenario, using synthetic cash and schedules, the lowest end-of-day cash balance is VND "&amp;TEXT(F01_UC2!B12/1000000,"0")&amp;" million on "&amp;TEXT(F01_UC2!B13,"dd mmm yyyy")&amp;". The largest gap against the VND "&amp;TEXT(F01_UC2!B10/1000000,"0")&amp;" million target reserve is VND "&amp;TEXT(F01_UC2!B14/1000000,"0")&amp;" million. Required opening cash is VND "&amp;TEXT(F01_UC2!B17/1000000,"0")&amp;" million; the additional amount above current cash is VND "&amp;TEXT(F01_UC2!B19/1000000,"0")&amp;" million."</f>
        <v>Under the selected Base scenario, using synthetic cash and schedules, the lowest end-of-day cash balance is VND -3064 million on 18 Sep 2026. The largest gap against the VND 500 million target reserve is VND 3564 million. Required opening cash is VND 4764 million; the additional amount above current cash is VND 3564 million.</v>
      </c>
      <c r="C37" s="5" t="s">
        <v>2112</v>
      </c>
      <c r="D37" s="5" t="s">
        <v>2113</v>
      </c>
    </row>
    <row r="38" spans="1:4" ht="160.05000000000001" customHeight="1">
      <c r="A38" s="3" t="s">
        <v>2078</v>
      </c>
      <c r="B38" s="3" t="s">
        <v>2114</v>
      </c>
      <c r="C38" s="3" t="s">
        <v>2115</v>
      </c>
      <c r="D38" s="3" t="s">
        <v>2116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8C7B3-786B-4C43-9764-B734A34EB6DC}">
  <dimension ref="A2:G141"/>
  <sheetViews>
    <sheetView showGridLines="0" topLeftCell="A119" zoomScale="90" workbookViewId="0">
      <selection activeCell="A141" sqref="A141"/>
    </sheetView>
  </sheetViews>
  <sheetFormatPr defaultRowHeight="13.8"/>
  <cols>
    <col min="1" max="1" width="21" customWidth="1"/>
    <col min="2" max="2" width="53" customWidth="1"/>
    <col min="3" max="4" width="28" customWidth="1"/>
    <col min="5" max="5" width="25" customWidth="1"/>
    <col min="6" max="6" width="22" customWidth="1"/>
    <col min="7" max="7" width="80" customWidth="1"/>
  </cols>
  <sheetData>
    <row r="2" spans="1:7" ht="17.399999999999999" customHeight="1">
      <c r="A2" s="2" t="s">
        <v>2117</v>
      </c>
    </row>
    <row r="4" spans="1:7" ht="34.049999999999997" customHeight="1">
      <c r="A4" s="4" t="s">
        <v>92</v>
      </c>
      <c r="B4" s="4" t="s">
        <v>2118</v>
      </c>
      <c r="C4" s="4" t="s">
        <v>2119</v>
      </c>
      <c r="D4" s="4" t="s">
        <v>2120</v>
      </c>
      <c r="E4" s="4" t="s">
        <v>2121</v>
      </c>
      <c r="F4" s="4" t="s">
        <v>2122</v>
      </c>
      <c r="G4" s="4" t="s">
        <v>4</v>
      </c>
    </row>
    <row r="5" spans="1:7" ht="25.95" customHeight="1">
      <c r="A5" s="3" t="s">
        <v>2123</v>
      </c>
      <c r="B5" s="3" t="s">
        <v>1318</v>
      </c>
      <c r="C5" s="26">
        <f>D_F01!B8</f>
        <v>171</v>
      </c>
      <c r="D5" s="26">
        <v>171</v>
      </c>
      <c r="E5" s="39">
        <f t="shared" ref="E5:E30" si="0">C5-D5</f>
        <v>0</v>
      </c>
      <c r="F5" s="3" t="str">
        <f t="shared" ref="F5:F44" si="1">IF(ABS(E5)&lt;0.01,"OK","LỆCH")</f>
        <v>OK</v>
      </c>
      <c r="G5" s="3" t="s">
        <v>2124</v>
      </c>
    </row>
    <row r="6" spans="1:7" ht="25.95" customHeight="1">
      <c r="A6" s="5" t="s">
        <v>2125</v>
      </c>
      <c r="B6" s="5" t="s">
        <v>2126</v>
      </c>
      <c r="C6" s="40">
        <f>F01_UC1!B5</f>
        <v>30000000000</v>
      </c>
      <c r="D6" s="40">
        <v>30000000000</v>
      </c>
      <c r="E6" s="40">
        <f t="shared" si="0"/>
        <v>0</v>
      </c>
      <c r="F6" s="5" t="str">
        <f t="shared" si="1"/>
        <v>OK</v>
      </c>
      <c r="G6" s="5" t="s">
        <v>2124</v>
      </c>
    </row>
    <row r="7" spans="1:7" ht="25.95" customHeight="1">
      <c r="A7" s="3" t="s">
        <v>2127</v>
      </c>
      <c r="B7" s="3" t="s">
        <v>2128</v>
      </c>
      <c r="C7" s="39">
        <f>F01_UC1!B6</f>
        <v>24000000000</v>
      </c>
      <c r="D7" s="39">
        <v>24000000000</v>
      </c>
      <c r="E7" s="39">
        <f t="shared" si="0"/>
        <v>0</v>
      </c>
      <c r="F7" s="3" t="str">
        <f t="shared" si="1"/>
        <v>OK</v>
      </c>
      <c r="G7" s="3" t="s">
        <v>2124</v>
      </c>
    </row>
    <row r="8" spans="1:7" ht="25.95" customHeight="1">
      <c r="A8" s="5" t="s">
        <v>2129</v>
      </c>
      <c r="B8" s="5" t="s">
        <v>2130</v>
      </c>
      <c r="C8" s="40">
        <f>F01_UC1!B7</f>
        <v>171</v>
      </c>
      <c r="D8" s="40">
        <v>171</v>
      </c>
      <c r="E8" s="40">
        <f t="shared" si="0"/>
        <v>0</v>
      </c>
      <c r="F8" s="5" t="str">
        <f t="shared" si="1"/>
        <v>OK</v>
      </c>
      <c r="G8" s="5" t="s">
        <v>2124</v>
      </c>
    </row>
    <row r="9" spans="1:7" ht="25.95" customHeight="1">
      <c r="A9" s="3" t="s">
        <v>2131</v>
      </c>
      <c r="B9" s="3" t="s">
        <v>2132</v>
      </c>
      <c r="C9" s="39">
        <f>F01_UC1!B8</f>
        <v>6885245902</v>
      </c>
      <c r="D9" s="39">
        <v>6885245902</v>
      </c>
      <c r="E9" s="39">
        <f t="shared" si="0"/>
        <v>0</v>
      </c>
      <c r="F9" s="3" t="str">
        <f t="shared" si="1"/>
        <v>OK</v>
      </c>
      <c r="G9" s="3" t="s">
        <v>2124</v>
      </c>
    </row>
    <row r="10" spans="1:7" ht="25.95" customHeight="1">
      <c r="A10" s="5" t="s">
        <v>2133</v>
      </c>
      <c r="B10" s="5" t="s">
        <v>2134</v>
      </c>
      <c r="C10" s="40">
        <f>F01_UC1!B9</f>
        <v>1573770492.0000002</v>
      </c>
      <c r="D10" s="40">
        <v>1573770492</v>
      </c>
      <c r="E10" s="40">
        <f t="shared" si="0"/>
        <v>0</v>
      </c>
      <c r="F10" s="5" t="str">
        <f t="shared" si="1"/>
        <v>OK</v>
      </c>
      <c r="G10" s="5" t="s">
        <v>2124</v>
      </c>
    </row>
    <row r="11" spans="1:7" ht="25.95" customHeight="1">
      <c r="A11" s="3" t="s">
        <v>2135</v>
      </c>
      <c r="B11" s="3" t="s">
        <v>2136</v>
      </c>
      <c r="C11" s="39">
        <f>F01_UC1!B10</f>
        <v>1311475410</v>
      </c>
      <c r="D11" s="39">
        <v>1311475410</v>
      </c>
      <c r="E11" s="39">
        <f t="shared" si="0"/>
        <v>0</v>
      </c>
      <c r="F11" s="3" t="str">
        <f t="shared" si="1"/>
        <v>OK</v>
      </c>
      <c r="G11" s="3" t="s">
        <v>2124</v>
      </c>
    </row>
    <row r="12" spans="1:7" ht="25.95" customHeight="1">
      <c r="A12" s="5" t="s">
        <v>2137</v>
      </c>
      <c r="B12" s="5" t="s">
        <v>2138</v>
      </c>
      <c r="C12" s="40">
        <f>F01_UC1!B11</f>
        <v>6589780047</v>
      </c>
      <c r="D12" s="40">
        <v>6589780047</v>
      </c>
      <c r="E12" s="40">
        <f t="shared" si="0"/>
        <v>0</v>
      </c>
      <c r="F12" s="5" t="str">
        <f t="shared" si="1"/>
        <v>OK</v>
      </c>
      <c r="G12" s="5" t="s">
        <v>2124</v>
      </c>
    </row>
    <row r="13" spans="1:7" ht="25.95" customHeight="1">
      <c r="A13" s="3" t="s">
        <v>2139</v>
      </c>
      <c r="B13" s="3" t="s">
        <v>2140</v>
      </c>
      <c r="C13" s="41">
        <f>F01_UC1!B12</f>
        <v>39.245901641400003</v>
      </c>
      <c r="D13" s="41">
        <v>39.245901641400003</v>
      </c>
      <c r="E13" s="39">
        <f t="shared" si="0"/>
        <v>0</v>
      </c>
      <c r="F13" s="3" t="str">
        <f t="shared" si="1"/>
        <v>OK</v>
      </c>
      <c r="G13" s="3" t="s">
        <v>2124</v>
      </c>
    </row>
    <row r="14" spans="1:7" ht="25.95" customHeight="1">
      <c r="A14" s="5" t="s">
        <v>2141</v>
      </c>
      <c r="B14" s="5" t="s">
        <v>2142</v>
      </c>
      <c r="C14" s="42">
        <f>F01_UC1!B13</f>
        <v>11.213114755500001</v>
      </c>
      <c r="D14" s="42">
        <v>11.213114755499999</v>
      </c>
      <c r="E14" s="40">
        <f t="shared" si="0"/>
        <v>0</v>
      </c>
      <c r="F14" s="5" t="str">
        <f t="shared" si="1"/>
        <v>OK</v>
      </c>
      <c r="G14" s="5" t="s">
        <v>2124</v>
      </c>
    </row>
    <row r="15" spans="1:7" ht="25.95" customHeight="1">
      <c r="A15" s="3" t="s">
        <v>2143</v>
      </c>
      <c r="B15" s="3" t="s">
        <v>2144</v>
      </c>
      <c r="C15" s="41">
        <f>F01_UC1!B14</f>
        <v>9.344262296250001</v>
      </c>
      <c r="D15" s="41">
        <v>9.344262296250001</v>
      </c>
      <c r="E15" s="39">
        <f t="shared" si="0"/>
        <v>0</v>
      </c>
      <c r="F15" s="3" t="str">
        <f t="shared" si="1"/>
        <v>OK</v>
      </c>
      <c r="G15" s="3" t="s">
        <v>2124</v>
      </c>
    </row>
    <row r="16" spans="1:7" ht="25.95" customHeight="1">
      <c r="A16" s="5" t="s">
        <v>2145</v>
      </c>
      <c r="B16" s="5" t="s">
        <v>2146</v>
      </c>
      <c r="C16" s="42">
        <f>F01_UC1!B15</f>
        <v>41.114754100650003</v>
      </c>
      <c r="D16" s="42">
        <v>41.114754100650003</v>
      </c>
      <c r="E16" s="40">
        <f t="shared" si="0"/>
        <v>0</v>
      </c>
      <c r="F16" s="5" t="str">
        <f t="shared" si="1"/>
        <v>OK</v>
      </c>
      <c r="G16" s="5" t="s">
        <v>2124</v>
      </c>
    </row>
    <row r="17" spans="1:7" ht="25.95" customHeight="1">
      <c r="A17" s="3" t="s">
        <v>2147</v>
      </c>
      <c r="B17" s="3" t="s">
        <v>2148</v>
      </c>
      <c r="C17" s="39">
        <f>F01_UC1!B16</f>
        <v>7147540984</v>
      </c>
      <c r="D17" s="39">
        <v>7147540984</v>
      </c>
      <c r="E17" s="39">
        <f t="shared" si="0"/>
        <v>0</v>
      </c>
      <c r="F17" s="3" t="str">
        <f t="shared" si="1"/>
        <v>OK</v>
      </c>
      <c r="G17" s="3" t="s">
        <v>2124</v>
      </c>
    </row>
    <row r="18" spans="1:7" ht="25.95" customHeight="1">
      <c r="A18" s="5" t="s">
        <v>2149</v>
      </c>
      <c r="B18" s="5" t="s">
        <v>2150</v>
      </c>
      <c r="C18" s="40">
        <f>F01_UC1!B17</f>
        <v>1260283330</v>
      </c>
      <c r="D18" s="40">
        <v>1260283330</v>
      </c>
      <c r="E18" s="40">
        <f t="shared" si="0"/>
        <v>0</v>
      </c>
      <c r="F18" s="5" t="str">
        <f t="shared" si="1"/>
        <v>OK</v>
      </c>
      <c r="G18" s="5" t="s">
        <v>2124</v>
      </c>
    </row>
    <row r="19" spans="1:7" ht="25.95" customHeight="1">
      <c r="A19" s="3" t="s">
        <v>2151</v>
      </c>
      <c r="B19" s="3" t="s">
        <v>2152</v>
      </c>
      <c r="C19" s="39">
        <f>F01_UC1!B18</f>
        <v>400396507</v>
      </c>
      <c r="D19" s="39">
        <v>400396507</v>
      </c>
      <c r="E19" s="39">
        <f t="shared" si="0"/>
        <v>0</v>
      </c>
      <c r="F19" s="3" t="str">
        <f t="shared" si="1"/>
        <v>OK</v>
      </c>
      <c r="G19" s="3" t="s">
        <v>2124</v>
      </c>
    </row>
    <row r="20" spans="1:7" ht="25.95" customHeight="1">
      <c r="A20" s="5" t="s">
        <v>2153</v>
      </c>
      <c r="B20" s="5" t="s">
        <v>2154</v>
      </c>
      <c r="C20" s="40">
        <f>F01_UC1!B19</f>
        <v>429612993.88988</v>
      </c>
      <c r="D20" s="40">
        <v>429612993.88988</v>
      </c>
      <c r="E20" s="40">
        <f t="shared" si="0"/>
        <v>0</v>
      </c>
      <c r="F20" s="5" t="str">
        <f t="shared" si="1"/>
        <v>OK</v>
      </c>
      <c r="G20" s="5" t="s">
        <v>2124</v>
      </c>
    </row>
    <row r="21" spans="1:7" ht="25.95" customHeight="1">
      <c r="A21" s="3" t="s">
        <v>2155</v>
      </c>
      <c r="B21" s="3" t="s">
        <v>2156</v>
      </c>
      <c r="C21" s="39">
        <f>F01_UC1!B20</f>
        <v>3404999999.999999</v>
      </c>
      <c r="D21" s="39">
        <v>3405000000</v>
      </c>
      <c r="E21" s="39">
        <f t="shared" si="0"/>
        <v>0</v>
      </c>
      <c r="F21" s="3" t="str">
        <f t="shared" si="1"/>
        <v>OK</v>
      </c>
      <c r="G21" s="3" t="s">
        <v>2124</v>
      </c>
    </row>
    <row r="22" spans="1:7" ht="25.95" customHeight="1">
      <c r="A22" s="5" t="s">
        <v>2157</v>
      </c>
      <c r="B22" s="5" t="s">
        <v>2158</v>
      </c>
      <c r="C22" s="40">
        <f>F01_UC1!B21</f>
        <v>12459016394</v>
      </c>
      <c r="D22" s="40">
        <v>12459016394</v>
      </c>
      <c r="E22" s="40">
        <f t="shared" si="0"/>
        <v>0</v>
      </c>
      <c r="F22" s="5" t="str">
        <f t="shared" si="1"/>
        <v>OK</v>
      </c>
      <c r="G22" s="5" t="s">
        <v>2124</v>
      </c>
    </row>
    <row r="23" spans="1:7" ht="25.95" customHeight="1">
      <c r="A23" s="3" t="s">
        <v>2159</v>
      </c>
      <c r="B23" s="3" t="s">
        <v>2160</v>
      </c>
      <c r="C23" s="39">
        <f>F01_UC1!B22</f>
        <v>1</v>
      </c>
      <c r="D23" s="39">
        <v>1</v>
      </c>
      <c r="E23" s="39">
        <f t="shared" si="0"/>
        <v>0</v>
      </c>
      <c r="F23" s="3" t="str">
        <f t="shared" si="1"/>
        <v>OK</v>
      </c>
      <c r="G23" s="3" t="s">
        <v>2124</v>
      </c>
    </row>
    <row r="24" spans="1:7" ht="25.95" customHeight="1">
      <c r="A24" s="5" t="s">
        <v>2161</v>
      </c>
      <c r="B24" s="5" t="s">
        <v>2162</v>
      </c>
      <c r="C24" s="40">
        <f>F01_UC1!B23</f>
        <v>1</v>
      </c>
      <c r="D24" s="40">
        <v>1</v>
      </c>
      <c r="E24" s="40">
        <f t="shared" si="0"/>
        <v>0</v>
      </c>
      <c r="F24" s="5" t="str">
        <f t="shared" si="1"/>
        <v>OK</v>
      </c>
      <c r="G24" s="5" t="s">
        <v>2124</v>
      </c>
    </row>
    <row r="25" spans="1:7" ht="25.95" customHeight="1">
      <c r="A25" s="3" t="s">
        <v>2163</v>
      </c>
      <c r="B25" s="3" t="s">
        <v>2164</v>
      </c>
      <c r="C25" s="39">
        <f>F01_UC1!B24</f>
        <v>64035087719.298248</v>
      </c>
      <c r="D25" s="39">
        <v>64035087719.298248</v>
      </c>
      <c r="E25" s="39">
        <f t="shared" si="0"/>
        <v>0</v>
      </c>
      <c r="F25" s="3" t="str">
        <f t="shared" si="1"/>
        <v>OK</v>
      </c>
      <c r="G25" s="3" t="s">
        <v>2124</v>
      </c>
    </row>
    <row r="26" spans="1:7" ht="25.95" customHeight="1">
      <c r="A26" s="5" t="s">
        <v>2165</v>
      </c>
      <c r="B26" s="5" t="s">
        <v>2166</v>
      </c>
      <c r="C26" s="43">
        <f>F01_UC1!B25</f>
        <v>3.1232876712328765E-2</v>
      </c>
      <c r="D26" s="43">
        <v>3.1232876712328769E-2</v>
      </c>
      <c r="E26" s="40">
        <f t="shared" si="0"/>
        <v>0</v>
      </c>
      <c r="F26" s="5" t="str">
        <f t="shared" si="1"/>
        <v>OK</v>
      </c>
      <c r="G26" s="5" t="s">
        <v>2124</v>
      </c>
    </row>
    <row r="27" spans="1:7" ht="25.95" customHeight="1">
      <c r="A27" s="3" t="s">
        <v>2167</v>
      </c>
      <c r="B27" s="3" t="s">
        <v>2168</v>
      </c>
      <c r="C27" s="39">
        <f>F01_UC1!B26</f>
        <v>0</v>
      </c>
      <c r="D27" s="39">
        <v>0</v>
      </c>
      <c r="E27" s="39">
        <f t="shared" si="0"/>
        <v>0</v>
      </c>
      <c r="F27" s="3" t="str">
        <f t="shared" si="1"/>
        <v>OK</v>
      </c>
      <c r="G27" s="3" t="s">
        <v>2124</v>
      </c>
    </row>
    <row r="28" spans="1:7" ht="25.95" customHeight="1">
      <c r="A28" s="5" t="s">
        <v>2169</v>
      </c>
      <c r="B28" s="5" t="s">
        <v>2170</v>
      </c>
      <c r="C28" s="40">
        <f>F01_UC1!B27</f>
        <v>599455225.59697711</v>
      </c>
      <c r="D28" s="40">
        <v>599455225.59698331</v>
      </c>
      <c r="E28" s="40">
        <f t="shared" si="0"/>
        <v>-6.198883056640625E-6</v>
      </c>
      <c r="F28" s="5" t="str">
        <f t="shared" si="1"/>
        <v>OK</v>
      </c>
      <c r="G28" s="5" t="s">
        <v>2124</v>
      </c>
    </row>
    <row r="29" spans="1:7" ht="25.95" customHeight="1">
      <c r="A29" s="3" t="s">
        <v>2171</v>
      </c>
      <c r="B29" s="3" t="s">
        <v>2172</v>
      </c>
      <c r="C29" s="39">
        <f>F01_UC1!B28</f>
        <v>244802451.9649125</v>
      </c>
      <c r="D29" s="39">
        <v>244802451.9649125</v>
      </c>
      <c r="E29" s="39">
        <f t="shared" si="0"/>
        <v>0</v>
      </c>
      <c r="F29" s="3" t="str">
        <f t="shared" si="1"/>
        <v>OK</v>
      </c>
      <c r="G29" s="3" t="s">
        <v>2124</v>
      </c>
    </row>
    <row r="30" spans="1:7" ht="25.95" customHeight="1">
      <c r="A30" s="5" t="s">
        <v>2173</v>
      </c>
      <c r="B30" s="5" t="s">
        <v>2174</v>
      </c>
      <c r="C30" s="43">
        <f>F01_UC1!B29</f>
        <v>4.8114169420762791E-2</v>
      </c>
      <c r="D30" s="43">
        <v>4.8114169420763291E-2</v>
      </c>
      <c r="E30" s="40">
        <f t="shared" si="0"/>
        <v>-4.9960036108132044E-16</v>
      </c>
      <c r="F30" s="5" t="str">
        <f t="shared" si="1"/>
        <v>OK</v>
      </c>
      <c r="G30" s="5" t="s">
        <v>2124</v>
      </c>
    </row>
    <row r="31" spans="1:7" ht="25.95" customHeight="1">
      <c r="A31" s="3" t="s">
        <v>2175</v>
      </c>
      <c r="B31" s="3" t="s">
        <v>2176</v>
      </c>
      <c r="C31" s="39" t="str">
        <f>F01_UC1!B30</f>
        <v>W1</v>
      </c>
      <c r="D31" s="39" t="s">
        <v>878</v>
      </c>
      <c r="E31" s="39">
        <f>IF(C31=D31,0,1)</f>
        <v>0</v>
      </c>
      <c r="F31" s="3" t="str">
        <f t="shared" si="1"/>
        <v>OK</v>
      </c>
      <c r="G31" s="3" t="s">
        <v>2124</v>
      </c>
    </row>
    <row r="32" spans="1:7" ht="25.95" customHeight="1">
      <c r="A32" s="5" t="s">
        <v>2177</v>
      </c>
      <c r="B32" s="5" t="s">
        <v>2178</v>
      </c>
      <c r="C32" s="40">
        <f>F01_UC1!B31</f>
        <v>844257677.56188965</v>
      </c>
      <c r="D32" s="40">
        <v>844257677.56189585</v>
      </c>
      <c r="E32" s="40">
        <f t="shared" ref="E32:E44" si="2">C32-D32</f>
        <v>-6.198883056640625E-6</v>
      </c>
      <c r="F32" s="5" t="str">
        <f t="shared" si="1"/>
        <v>OK</v>
      </c>
      <c r="G32" s="5" t="s">
        <v>2124</v>
      </c>
    </row>
    <row r="33" spans="1:7" ht="25.95" customHeight="1">
      <c r="A33" s="3" t="s">
        <v>2179</v>
      </c>
      <c r="B33" s="3" t="s">
        <v>2180</v>
      </c>
      <c r="C33" s="39">
        <f>SUM(D_sales!T5:T115)</f>
        <v>23114754098</v>
      </c>
      <c r="D33" s="39">
        <v>23114754098</v>
      </c>
      <c r="E33" s="39">
        <f t="shared" si="2"/>
        <v>0</v>
      </c>
      <c r="F33" s="3" t="str">
        <f t="shared" si="1"/>
        <v>OK</v>
      </c>
      <c r="G33" s="3" t="s">
        <v>2124</v>
      </c>
    </row>
    <row r="34" spans="1:7" ht="25.95" customHeight="1">
      <c r="A34" s="5" t="s">
        <v>2181</v>
      </c>
      <c r="B34" s="5" t="s">
        <v>2182</v>
      </c>
      <c r="C34" s="40">
        <f>F01_UC1!B20</f>
        <v>3404999999.999999</v>
      </c>
      <c r="D34" s="40">
        <v>3405000000</v>
      </c>
      <c r="E34" s="40">
        <f t="shared" si="2"/>
        <v>0</v>
      </c>
      <c r="F34" s="5" t="str">
        <f t="shared" si="1"/>
        <v>OK</v>
      </c>
      <c r="G34" s="5" t="s">
        <v>2124</v>
      </c>
    </row>
    <row r="35" spans="1:7" ht="25.95" customHeight="1">
      <c r="A35" s="3" t="s">
        <v>2183</v>
      </c>
      <c r="B35" s="3" t="s">
        <v>2184</v>
      </c>
      <c r="C35" s="39">
        <f>Nguong!B46-Nguong!B6</f>
        <v>0</v>
      </c>
      <c r="D35" s="39">
        <v>0</v>
      </c>
      <c r="E35" s="39">
        <f t="shared" si="2"/>
        <v>0</v>
      </c>
      <c r="F35" s="3" t="str">
        <f t="shared" si="1"/>
        <v>OK</v>
      </c>
      <c r="G35" s="3" t="s">
        <v>2124</v>
      </c>
    </row>
    <row r="36" spans="1:7" ht="25.95" customHeight="1">
      <c r="A36" s="5" t="s">
        <v>2185</v>
      </c>
      <c r="B36" s="5" t="s">
        <v>2186</v>
      </c>
      <c r="C36" s="40">
        <f>Nguong!B48-Nguong!B9</f>
        <v>0</v>
      </c>
      <c r="D36" s="40">
        <v>0</v>
      </c>
      <c r="E36" s="40">
        <f t="shared" si="2"/>
        <v>0</v>
      </c>
      <c r="F36" s="5" t="str">
        <f t="shared" si="1"/>
        <v>OK</v>
      </c>
      <c r="G36" s="5" t="s">
        <v>2124</v>
      </c>
    </row>
    <row r="37" spans="1:7" ht="25.95" customHeight="1">
      <c r="A37" s="3" t="s">
        <v>2187</v>
      </c>
      <c r="B37" s="3" t="s">
        <v>2188</v>
      </c>
      <c r="C37" s="39">
        <f>Nguong!B52-Nguong!B13</f>
        <v>9.1593399531575415E-16</v>
      </c>
      <c r="D37" s="39">
        <v>0</v>
      </c>
      <c r="E37" s="39">
        <f t="shared" si="2"/>
        <v>9.1593399531575415E-16</v>
      </c>
      <c r="F37" s="3" t="str">
        <f t="shared" si="1"/>
        <v>OK</v>
      </c>
      <c r="G37" s="3" t="s">
        <v>2124</v>
      </c>
    </row>
    <row r="38" spans="1:7" ht="25.95" customHeight="1">
      <c r="A38" s="5" t="s">
        <v>2189</v>
      </c>
      <c r="B38" s="5" t="s">
        <v>2190</v>
      </c>
      <c r="C38" s="40">
        <f>SUM(F01_UC1!E41:E49)-F01_UC1!B12</f>
        <v>0</v>
      </c>
      <c r="D38" s="40">
        <v>0</v>
      </c>
      <c r="E38" s="40">
        <f t="shared" si="2"/>
        <v>0</v>
      </c>
      <c r="F38" s="5" t="str">
        <f t="shared" si="1"/>
        <v>OK</v>
      </c>
      <c r="G38" s="5" t="s">
        <v>2124</v>
      </c>
    </row>
    <row r="39" spans="1:7" ht="25.95" customHeight="1">
      <c r="A39" s="3" t="s">
        <v>2191</v>
      </c>
      <c r="B39" s="3" t="s">
        <v>2192</v>
      </c>
      <c r="C39" s="39">
        <f>SUM(F01_UC1!I54:I62)-F01_UC1!B14</f>
        <v>0</v>
      </c>
      <c r="D39" s="39">
        <v>0</v>
      </c>
      <c r="E39" s="39">
        <f t="shared" si="2"/>
        <v>0</v>
      </c>
      <c r="F39" s="3" t="str">
        <f t="shared" si="1"/>
        <v>OK</v>
      </c>
      <c r="G39" s="3" t="s">
        <v>2124</v>
      </c>
    </row>
    <row r="40" spans="1:7" ht="25.95" customHeight="1">
      <c r="A40" s="5" t="s">
        <v>2193</v>
      </c>
      <c r="B40" s="5" t="s">
        <v>2194</v>
      </c>
      <c r="C40" s="40">
        <f>SUM(F01_UC1!I67:I99)-F01_UC1!B13</f>
        <v>0</v>
      </c>
      <c r="D40" s="40">
        <v>0</v>
      </c>
      <c r="E40" s="40">
        <f t="shared" si="2"/>
        <v>0</v>
      </c>
      <c r="F40" s="5" t="str">
        <f t="shared" si="1"/>
        <v>OK</v>
      </c>
      <c r="G40" s="5" t="s">
        <v>2124</v>
      </c>
    </row>
    <row r="41" spans="1:7" ht="25.95" customHeight="1">
      <c r="A41" s="3" t="s">
        <v>2195</v>
      </c>
      <c r="B41" s="3" t="s">
        <v>2196</v>
      </c>
      <c r="C41" s="39">
        <f>SUM(F01_UC1!F41:F49)-F01_UC1!B17</f>
        <v>0</v>
      </c>
      <c r="D41" s="39">
        <v>0</v>
      </c>
      <c r="E41" s="39">
        <f t="shared" si="2"/>
        <v>0</v>
      </c>
      <c r="F41" s="3" t="str">
        <f t="shared" si="1"/>
        <v>OK</v>
      </c>
      <c r="G41" s="3" t="s">
        <v>2124</v>
      </c>
    </row>
    <row r="42" spans="1:7" ht="25.95" customHeight="1">
      <c r="A42" s="5" t="s">
        <v>2197</v>
      </c>
      <c r="B42" s="5" t="s">
        <v>2198</v>
      </c>
      <c r="C42" s="40">
        <f>SUM(F01_UC1!D54:D62)-F01_UC1!B18</f>
        <v>0</v>
      </c>
      <c r="D42" s="40">
        <v>0</v>
      </c>
      <c r="E42" s="40">
        <f t="shared" si="2"/>
        <v>0</v>
      </c>
      <c r="F42" s="5" t="str">
        <f t="shared" si="1"/>
        <v>OK</v>
      </c>
      <c r="G42" s="5" t="s">
        <v>2124</v>
      </c>
    </row>
    <row r="43" spans="1:7" ht="25.95" customHeight="1">
      <c r="A43" s="3" t="s">
        <v>2199</v>
      </c>
      <c r="B43" s="3" t="s">
        <v>2200</v>
      </c>
      <c r="C43" s="39">
        <f>SUM(F01_UC2!D29:D41)-SUM(F01_UC2!B70:B160)</f>
        <v>0</v>
      </c>
      <c r="D43" s="39">
        <v>0</v>
      </c>
      <c r="E43" s="39">
        <f t="shared" si="2"/>
        <v>0</v>
      </c>
      <c r="F43" s="3" t="str">
        <f t="shared" si="1"/>
        <v>OK</v>
      </c>
      <c r="G43" s="3" t="s">
        <v>2124</v>
      </c>
    </row>
    <row r="44" spans="1:7" ht="25.95" customHeight="1">
      <c r="A44" s="5" t="s">
        <v>2201</v>
      </c>
      <c r="B44" s="5" t="s">
        <v>2202</v>
      </c>
      <c r="C44" s="40">
        <f>F01_UC2!G160-F01_UC2!B8-SUM(F01_UC2!F70:F160)</f>
        <v>0</v>
      </c>
      <c r="D44" s="40">
        <v>0</v>
      </c>
      <c r="E44" s="40">
        <f t="shared" si="2"/>
        <v>0</v>
      </c>
      <c r="F44" s="5" t="str">
        <f t="shared" si="1"/>
        <v>OK</v>
      </c>
      <c r="G44" s="5" t="s">
        <v>2124</v>
      </c>
    </row>
    <row r="48" spans="1:7" ht="34.049999999999997" customHeight="1">
      <c r="A48" s="4" t="s">
        <v>1009</v>
      </c>
      <c r="B48" s="4" t="s">
        <v>2203</v>
      </c>
      <c r="C48" s="4" t="s">
        <v>2204</v>
      </c>
      <c r="D48" s="4" t="s">
        <v>2205</v>
      </c>
      <c r="E48" s="4" t="s">
        <v>2206</v>
      </c>
      <c r="F48" s="4" t="s">
        <v>2207</v>
      </c>
    </row>
    <row r="49" spans="1:6" ht="54" customHeight="1">
      <c r="A49" s="3" t="s">
        <v>2208</v>
      </c>
      <c r="B49" s="3">
        <v>-3063626768</v>
      </c>
      <c r="C49" s="3">
        <v>3563626768</v>
      </c>
      <c r="D49" s="3">
        <v>4763626768</v>
      </c>
      <c r="E49" s="3" t="s">
        <v>2209</v>
      </c>
      <c r="F49" s="3" t="s">
        <v>2210</v>
      </c>
    </row>
    <row r="50" spans="1:6" ht="54" customHeight="1">
      <c r="A50" s="5" t="s">
        <v>2211</v>
      </c>
      <c r="B50" s="5">
        <v>-3063626768</v>
      </c>
      <c r="C50" s="5">
        <v>3563626768</v>
      </c>
      <c r="D50" s="5">
        <v>4763626768</v>
      </c>
      <c r="E50" s="5" t="s">
        <v>2209</v>
      </c>
      <c r="F50" s="5" t="s">
        <v>2210</v>
      </c>
    </row>
    <row r="51" spans="1:6" ht="54" customHeight="1">
      <c r="A51" s="3" t="s">
        <v>2212</v>
      </c>
      <c r="B51" s="3">
        <v>-3063626768</v>
      </c>
      <c r="C51" s="3">
        <v>3563626768</v>
      </c>
      <c r="D51" s="3">
        <v>4763626768</v>
      </c>
      <c r="E51" s="3" t="s">
        <v>2209</v>
      </c>
      <c r="F51" s="3" t="s">
        <v>2210</v>
      </c>
    </row>
    <row r="52" spans="1:6" ht="54" customHeight="1">
      <c r="A52" s="5" t="s">
        <v>2213</v>
      </c>
      <c r="B52" s="5">
        <v>-3063626768</v>
      </c>
      <c r="C52" s="5">
        <v>3563626768</v>
      </c>
      <c r="D52" s="5">
        <v>4763626768</v>
      </c>
      <c r="E52" s="5" t="s">
        <v>2209</v>
      </c>
      <c r="F52" s="5" t="s">
        <v>2210</v>
      </c>
    </row>
    <row r="53" spans="1:6" ht="54" customHeight="1">
      <c r="A53" s="3" t="s">
        <v>2214</v>
      </c>
      <c r="B53" s="3">
        <v>-4725732031.1578951</v>
      </c>
      <c r="C53" s="3">
        <v>5225732031.1578951</v>
      </c>
      <c r="D53" s="3">
        <v>6425732031.1578951</v>
      </c>
      <c r="E53" s="3" t="s">
        <v>2209</v>
      </c>
      <c r="F53" s="3" t="s">
        <v>2210</v>
      </c>
    </row>
    <row r="58" spans="1:6" ht="34.049999999999997" customHeight="1">
      <c r="A58" s="4" t="s">
        <v>92</v>
      </c>
      <c r="B58" s="4" t="s">
        <v>2215</v>
      </c>
      <c r="C58" s="4" t="s">
        <v>2216</v>
      </c>
      <c r="D58" s="4" t="s">
        <v>2217</v>
      </c>
    </row>
    <row r="59" spans="1:6" ht="67.95" customHeight="1">
      <c r="A59" s="3" t="s">
        <v>2218</v>
      </c>
      <c r="B59" s="3" t="s">
        <v>2219</v>
      </c>
      <c r="C59" s="3" t="s">
        <v>2220</v>
      </c>
      <c r="D59" s="3" t="s">
        <v>2221</v>
      </c>
    </row>
    <row r="60" spans="1:6" ht="40.049999999999997" customHeight="1">
      <c r="A60" s="5" t="s">
        <v>2222</v>
      </c>
      <c r="B60" s="5" t="s">
        <v>2223</v>
      </c>
      <c r="C60" s="5" t="s">
        <v>2224</v>
      </c>
      <c r="D60" s="5" t="s">
        <v>2221</v>
      </c>
    </row>
    <row r="61" spans="1:6" ht="54" customHeight="1">
      <c r="A61" s="3" t="s">
        <v>2225</v>
      </c>
      <c r="B61" s="3" t="s">
        <v>2226</v>
      </c>
      <c r="C61" s="3" t="s">
        <v>2227</v>
      </c>
      <c r="D61" s="3" t="s">
        <v>2221</v>
      </c>
    </row>
    <row r="62" spans="1:6" ht="40.049999999999997" customHeight="1">
      <c r="A62" s="5" t="s">
        <v>2228</v>
      </c>
      <c r="B62" s="5" t="s">
        <v>2229</v>
      </c>
      <c r="C62" s="5" t="s">
        <v>2230</v>
      </c>
      <c r="D62" s="5" t="s">
        <v>2221</v>
      </c>
    </row>
    <row r="63" spans="1:6" ht="54" customHeight="1">
      <c r="A63" s="3" t="s">
        <v>2231</v>
      </c>
      <c r="B63" s="3" t="s">
        <v>2232</v>
      </c>
      <c r="C63" s="3" t="s">
        <v>2233</v>
      </c>
      <c r="D63" s="3" t="s">
        <v>2221</v>
      </c>
    </row>
    <row r="64" spans="1:6" ht="54" customHeight="1">
      <c r="A64" s="5" t="s">
        <v>2234</v>
      </c>
      <c r="B64" s="5" t="s">
        <v>2235</v>
      </c>
      <c r="C64" s="5" t="s">
        <v>2236</v>
      </c>
      <c r="D64" s="5" t="s">
        <v>2221</v>
      </c>
    </row>
    <row r="65" spans="1:4" ht="54" customHeight="1">
      <c r="A65" s="3" t="s">
        <v>2237</v>
      </c>
      <c r="B65" s="3" t="s">
        <v>2238</v>
      </c>
      <c r="C65" s="3" t="s">
        <v>2239</v>
      </c>
      <c r="D65" s="3" t="s">
        <v>2221</v>
      </c>
    </row>
    <row r="66" spans="1:4" ht="40.049999999999997" customHeight="1">
      <c r="A66" s="5" t="s">
        <v>2240</v>
      </c>
      <c r="B66" s="5" t="s">
        <v>2241</v>
      </c>
      <c r="C66" s="5" t="s">
        <v>2242</v>
      </c>
      <c r="D66" s="5" t="s">
        <v>2221</v>
      </c>
    </row>
    <row r="67" spans="1:4" ht="40.049999999999997" customHeight="1">
      <c r="A67" s="3" t="s">
        <v>2243</v>
      </c>
      <c r="B67" s="3" t="s">
        <v>2244</v>
      </c>
      <c r="C67" s="3" t="s">
        <v>2245</v>
      </c>
      <c r="D67" s="3" t="s">
        <v>2221</v>
      </c>
    </row>
    <row r="68" spans="1:4" ht="54" customHeight="1">
      <c r="A68" s="5" t="s">
        <v>2246</v>
      </c>
      <c r="B68" s="5" t="s">
        <v>2247</v>
      </c>
      <c r="C68" s="5" t="s">
        <v>2248</v>
      </c>
      <c r="D68" s="5" t="s">
        <v>2249</v>
      </c>
    </row>
    <row r="69" spans="1:4" ht="40.049999999999997" customHeight="1">
      <c r="A69" s="3" t="s">
        <v>2250</v>
      </c>
      <c r="B69" s="3" t="s">
        <v>2251</v>
      </c>
      <c r="C69" s="3" t="s">
        <v>2252</v>
      </c>
      <c r="D69" s="3" t="s">
        <v>2253</v>
      </c>
    </row>
    <row r="70" spans="1:4" ht="40.049999999999997" customHeight="1">
      <c r="A70" s="5" t="s">
        <v>2254</v>
      </c>
      <c r="B70" s="5" t="s">
        <v>2255</v>
      </c>
      <c r="C70" s="5" t="s">
        <v>2256</v>
      </c>
      <c r="D70" s="5" t="s">
        <v>2221</v>
      </c>
    </row>
    <row r="71" spans="1:4" ht="54" customHeight="1">
      <c r="A71" s="3" t="s">
        <v>2257</v>
      </c>
      <c r="B71" s="3" t="s">
        <v>2258</v>
      </c>
      <c r="C71" s="3" t="s">
        <v>2259</v>
      </c>
      <c r="D71" s="3" t="s">
        <v>2260</v>
      </c>
    </row>
    <row r="72" spans="1:4" ht="40.049999999999997" customHeight="1">
      <c r="A72" s="5" t="s">
        <v>2261</v>
      </c>
      <c r="B72" s="5" t="s">
        <v>2262</v>
      </c>
      <c r="C72" s="5" t="s">
        <v>2263</v>
      </c>
      <c r="D72" s="5" t="s">
        <v>2264</v>
      </c>
    </row>
    <row r="73" spans="1:4" ht="40.049999999999997" customHeight="1">
      <c r="A73" s="3" t="s">
        <v>2265</v>
      </c>
      <c r="B73" s="3" t="s">
        <v>2266</v>
      </c>
      <c r="C73" s="3" t="s">
        <v>2267</v>
      </c>
      <c r="D73" s="3" t="s">
        <v>2221</v>
      </c>
    </row>
    <row r="74" spans="1:4" ht="40.049999999999997" customHeight="1">
      <c r="A74" s="5" t="s">
        <v>2268</v>
      </c>
      <c r="B74" s="5" t="s">
        <v>2269</v>
      </c>
      <c r="C74" s="5" t="s">
        <v>2270</v>
      </c>
      <c r="D74" s="5" t="s">
        <v>2221</v>
      </c>
    </row>
    <row r="75" spans="1:4" ht="54" customHeight="1">
      <c r="A75" s="3" t="s">
        <v>2271</v>
      </c>
      <c r="B75" s="3" t="s">
        <v>2272</v>
      </c>
      <c r="C75" s="3" t="s">
        <v>2273</v>
      </c>
      <c r="D75" s="3" t="s">
        <v>2221</v>
      </c>
    </row>
    <row r="76" spans="1:4" ht="40.049999999999997" customHeight="1">
      <c r="A76" s="5" t="s">
        <v>2274</v>
      </c>
      <c r="B76" s="5" t="s">
        <v>2275</v>
      </c>
      <c r="C76" s="5" t="s">
        <v>2276</v>
      </c>
      <c r="D76" s="5" t="s">
        <v>2221</v>
      </c>
    </row>
    <row r="77" spans="1:4" ht="54" customHeight="1">
      <c r="A77" s="3" t="s">
        <v>2277</v>
      </c>
      <c r="B77" s="3" t="s">
        <v>2278</v>
      </c>
      <c r="C77" s="3" t="s">
        <v>2279</v>
      </c>
      <c r="D77" s="3" t="s">
        <v>2221</v>
      </c>
    </row>
    <row r="78" spans="1:4" ht="40.049999999999997" customHeight="1">
      <c r="A78" s="5" t="s">
        <v>2280</v>
      </c>
      <c r="B78" s="5" t="s">
        <v>2281</v>
      </c>
      <c r="C78" s="5" t="s">
        <v>2282</v>
      </c>
      <c r="D78" s="5" t="s">
        <v>2221</v>
      </c>
    </row>
    <row r="83" spans="1:7" ht="34.049999999999997" customHeight="1">
      <c r="A83" s="4" t="s">
        <v>2283</v>
      </c>
      <c r="B83" s="4" t="s">
        <v>2284</v>
      </c>
      <c r="C83" s="4" t="s">
        <v>1017</v>
      </c>
      <c r="D83" s="4" t="s">
        <v>1019</v>
      </c>
      <c r="E83" s="4" t="s">
        <v>1087</v>
      </c>
      <c r="F83" s="4" t="s">
        <v>2285</v>
      </c>
      <c r="G83" s="4" t="s">
        <v>2286</v>
      </c>
    </row>
    <row r="84" spans="1:7" ht="25.95" customHeight="1">
      <c r="A84" s="3" t="s">
        <v>2287</v>
      </c>
      <c r="B84" s="3">
        <v>400000000</v>
      </c>
      <c r="C84" s="3">
        <v>250000000</v>
      </c>
      <c r="D84" s="3">
        <v>500000000</v>
      </c>
      <c r="E84" s="3">
        <f t="shared" ref="E84:E91" si="3">MAX(0,D84-B84)/D84</f>
        <v>0.2</v>
      </c>
      <c r="F84" s="3">
        <f t="shared" ref="F84:F91" si="4">IF(OR(B84&lt;0,B84&lt;C84,E84&gt;0.5),3,IF(E84&gt;0.2,2,IF(E84&gt;0,1,0)))</f>
        <v>1</v>
      </c>
      <c r="G84" s="3">
        <v>1</v>
      </c>
    </row>
    <row r="85" spans="1:7" ht="25.95" customHeight="1">
      <c r="A85" s="5" t="s">
        <v>2288</v>
      </c>
      <c r="B85" s="5">
        <v>250000000</v>
      </c>
      <c r="C85" s="5">
        <v>250000000</v>
      </c>
      <c r="D85" s="5">
        <v>500000000</v>
      </c>
      <c r="E85" s="5">
        <f t="shared" si="3"/>
        <v>0.5</v>
      </c>
      <c r="F85" s="5">
        <f t="shared" si="4"/>
        <v>2</v>
      </c>
      <c r="G85" s="5">
        <v>2</v>
      </c>
    </row>
    <row r="86" spans="1:7" ht="25.95" customHeight="1">
      <c r="A86" s="3" t="s">
        <v>2289</v>
      </c>
      <c r="B86" s="3">
        <v>249000000</v>
      </c>
      <c r="C86" s="3">
        <v>250000000</v>
      </c>
      <c r="D86" s="3">
        <v>500000000</v>
      </c>
      <c r="E86" s="3">
        <f t="shared" si="3"/>
        <v>0.502</v>
      </c>
      <c r="F86" s="3">
        <f t="shared" si="4"/>
        <v>3</v>
      </c>
      <c r="G86" s="3">
        <v>3</v>
      </c>
    </row>
    <row r="87" spans="1:7" ht="25.95" customHeight="1">
      <c r="A87" s="5" t="s">
        <v>2290</v>
      </c>
      <c r="B87" s="5">
        <v>0</v>
      </c>
      <c r="C87" s="5">
        <v>250000000</v>
      </c>
      <c r="D87" s="5">
        <v>500000000</v>
      </c>
      <c r="E87" s="5">
        <f t="shared" si="3"/>
        <v>1</v>
      </c>
      <c r="F87" s="5">
        <f t="shared" si="4"/>
        <v>3</v>
      </c>
      <c r="G87" s="5">
        <v>3</v>
      </c>
    </row>
    <row r="88" spans="1:7" ht="25.95" customHeight="1">
      <c r="A88" s="3" t="s">
        <v>2291</v>
      </c>
      <c r="B88" s="3">
        <v>-1</v>
      </c>
      <c r="C88" s="3">
        <v>250000000</v>
      </c>
      <c r="D88" s="3">
        <v>500000000</v>
      </c>
      <c r="E88" s="3">
        <f t="shared" si="3"/>
        <v>1.0000000019999999</v>
      </c>
      <c r="F88" s="3">
        <f t="shared" si="4"/>
        <v>3</v>
      </c>
      <c r="G88" s="3">
        <v>3</v>
      </c>
    </row>
    <row r="89" spans="1:7" ht="25.95" customHeight="1">
      <c r="A89" s="5" t="s">
        <v>2292</v>
      </c>
      <c r="B89" s="5">
        <v>500000000</v>
      </c>
      <c r="C89" s="5">
        <v>250000000</v>
      </c>
      <c r="D89" s="5">
        <v>500000000</v>
      </c>
      <c r="E89" s="5">
        <f t="shared" si="3"/>
        <v>0</v>
      </c>
      <c r="F89" s="5">
        <f t="shared" si="4"/>
        <v>0</v>
      </c>
      <c r="G89" s="5">
        <v>0</v>
      </c>
    </row>
    <row r="90" spans="1:7" ht="25.95" customHeight="1">
      <c r="A90" s="3" t="s">
        <v>2293</v>
      </c>
      <c r="B90" s="3">
        <v>600000000</v>
      </c>
      <c r="C90" s="3">
        <v>250000000</v>
      </c>
      <c r="D90" s="3">
        <v>500000000</v>
      </c>
      <c r="E90" s="3">
        <f t="shared" si="3"/>
        <v>0</v>
      </c>
      <c r="F90" s="3">
        <f t="shared" si="4"/>
        <v>0</v>
      </c>
      <c r="G90" s="3">
        <v>0</v>
      </c>
    </row>
    <row r="91" spans="1:7" ht="25.95" customHeight="1">
      <c r="A91" s="5" t="s">
        <v>2294</v>
      </c>
      <c r="B91" s="5">
        <v>350000000</v>
      </c>
      <c r="C91" s="5">
        <v>400000000</v>
      </c>
      <c r="D91" s="5">
        <v>500000000</v>
      </c>
      <c r="E91" s="5">
        <f t="shared" si="3"/>
        <v>0.3</v>
      </c>
      <c r="F91" s="5">
        <f t="shared" si="4"/>
        <v>3</v>
      </c>
      <c r="G91" s="5">
        <v>3</v>
      </c>
    </row>
    <row r="95" spans="1:7" ht="34.049999999999997" customHeight="1">
      <c r="A95" s="4" t="s">
        <v>2295</v>
      </c>
      <c r="B95" s="4" t="s">
        <v>2296</v>
      </c>
      <c r="C95" s="4" t="s">
        <v>2297</v>
      </c>
      <c r="D95" s="4" t="s">
        <v>2298</v>
      </c>
    </row>
    <row r="96" spans="1:7" ht="25.95" customHeight="1">
      <c r="A96" s="3" t="s">
        <v>874</v>
      </c>
      <c r="B96" s="3" t="s">
        <v>2209</v>
      </c>
      <c r="C96" s="3" t="str">
        <f t="shared" ref="C96:C104" si="5">"M"&amp;(VALUE(RIGHT(A96,1))*3+VALUE(RIGHT(B96,1)))</f>
        <v>M1</v>
      </c>
      <c r="D96" s="3" t="s">
        <v>2299</v>
      </c>
    </row>
    <row r="97" spans="1:6" ht="25.95" customHeight="1">
      <c r="A97" s="5" t="s">
        <v>874</v>
      </c>
      <c r="B97" s="5" t="s">
        <v>2300</v>
      </c>
      <c r="C97" s="5" t="str">
        <f t="shared" si="5"/>
        <v>M2</v>
      </c>
      <c r="D97" s="5" t="s">
        <v>2301</v>
      </c>
    </row>
    <row r="98" spans="1:6" ht="25.95" customHeight="1">
      <c r="A98" s="3" t="s">
        <v>874</v>
      </c>
      <c r="B98" s="3" t="s">
        <v>2302</v>
      </c>
      <c r="C98" s="3" t="str">
        <f t="shared" si="5"/>
        <v>M3</v>
      </c>
      <c r="D98" s="3" t="s">
        <v>2303</v>
      </c>
    </row>
    <row r="99" spans="1:6" ht="25.95" customHeight="1">
      <c r="A99" s="5" t="s">
        <v>878</v>
      </c>
      <c r="B99" s="5" t="s">
        <v>2209</v>
      </c>
      <c r="C99" s="5" t="str">
        <f t="shared" si="5"/>
        <v>M4</v>
      </c>
      <c r="D99" s="5" t="s">
        <v>2304</v>
      </c>
    </row>
    <row r="100" spans="1:6" ht="25.95" customHeight="1">
      <c r="A100" s="3" t="s">
        <v>878</v>
      </c>
      <c r="B100" s="3" t="s">
        <v>2300</v>
      </c>
      <c r="C100" s="3" t="str">
        <f t="shared" si="5"/>
        <v>M5</v>
      </c>
      <c r="D100" s="3" t="s">
        <v>2305</v>
      </c>
    </row>
    <row r="101" spans="1:6" ht="25.95" customHeight="1">
      <c r="A101" s="5" t="s">
        <v>878</v>
      </c>
      <c r="B101" s="5" t="s">
        <v>2302</v>
      </c>
      <c r="C101" s="5" t="str">
        <f t="shared" si="5"/>
        <v>M6</v>
      </c>
      <c r="D101" s="5" t="s">
        <v>2306</v>
      </c>
    </row>
    <row r="102" spans="1:6" ht="25.95" customHeight="1">
      <c r="A102" s="3" t="s">
        <v>882</v>
      </c>
      <c r="B102" s="3" t="s">
        <v>2209</v>
      </c>
      <c r="C102" s="3" t="str">
        <f t="shared" si="5"/>
        <v>M7</v>
      </c>
      <c r="D102" s="3" t="s">
        <v>2307</v>
      </c>
    </row>
    <row r="103" spans="1:6" ht="25.95" customHeight="1">
      <c r="A103" s="5" t="s">
        <v>882</v>
      </c>
      <c r="B103" s="5" t="s">
        <v>2300</v>
      </c>
      <c r="C103" s="5" t="str">
        <f t="shared" si="5"/>
        <v>M8</v>
      </c>
      <c r="D103" s="5" t="s">
        <v>2308</v>
      </c>
    </row>
    <row r="104" spans="1:6" ht="25.95" customHeight="1">
      <c r="A104" s="3" t="s">
        <v>882</v>
      </c>
      <c r="B104" s="3" t="s">
        <v>2302</v>
      </c>
      <c r="C104" s="3" t="str">
        <f t="shared" si="5"/>
        <v>M9</v>
      </c>
      <c r="D104" s="3" t="s">
        <v>2309</v>
      </c>
    </row>
    <row r="109" spans="1:6" ht="34.049999999999997" customHeight="1">
      <c r="A109" s="4" t="s">
        <v>2283</v>
      </c>
      <c r="B109" s="4" t="s">
        <v>1023</v>
      </c>
      <c r="C109" s="4" t="s">
        <v>1019</v>
      </c>
      <c r="D109" s="4" t="s">
        <v>2310</v>
      </c>
      <c r="E109" s="4" t="s">
        <v>2311</v>
      </c>
      <c r="F109" s="4" t="s">
        <v>2312</v>
      </c>
    </row>
    <row r="110" spans="1:6" ht="25.95" customHeight="1">
      <c r="A110" s="3" t="s">
        <v>2313</v>
      </c>
      <c r="B110" s="3">
        <v>-1</v>
      </c>
      <c r="C110" s="3">
        <v>500000000</v>
      </c>
      <c r="D110" s="3">
        <v>30</v>
      </c>
      <c r="E110" s="3" t="str">
        <f>IF(B110&lt;C110,"TH01",IF(D110&gt;=14,"TH03","TH02"))</f>
        <v>TH01</v>
      </c>
      <c r="F110" s="3" t="s">
        <v>2209</v>
      </c>
    </row>
    <row r="111" spans="1:6" ht="25.95" customHeight="1">
      <c r="A111" s="5" t="s">
        <v>2314</v>
      </c>
      <c r="B111" s="5">
        <v>600000000</v>
      </c>
      <c r="C111" s="5">
        <v>500000000</v>
      </c>
      <c r="D111" s="5">
        <v>13</v>
      </c>
      <c r="E111" s="5" t="str">
        <f>IF(B111&lt;C111,"TH01",IF(D111&gt;=14,"TH03","TH02"))</f>
        <v>TH02</v>
      </c>
      <c r="F111" s="5" t="s">
        <v>2300</v>
      </c>
    </row>
    <row r="112" spans="1:6" ht="25.95" customHeight="1">
      <c r="A112" s="3" t="s">
        <v>2315</v>
      </c>
      <c r="B112" s="3">
        <v>1100000000</v>
      </c>
      <c r="C112" s="3">
        <v>500000000</v>
      </c>
      <c r="D112" s="3">
        <v>14</v>
      </c>
      <c r="E112" s="3" t="str">
        <f>IF(B112&lt;C112,"TH01",IF(D112&gt;=14,"TH03","TH02"))</f>
        <v>TH03</v>
      </c>
      <c r="F112" s="3" t="s">
        <v>2302</v>
      </c>
    </row>
    <row r="116" spans="1:4" ht="34.049999999999997" customHeight="1">
      <c r="A116" s="4" t="s">
        <v>2316</v>
      </c>
      <c r="B116" s="4" t="s">
        <v>2317</v>
      </c>
      <c r="C116" s="4" t="s">
        <v>1021</v>
      </c>
      <c r="D116" s="4" t="s">
        <v>2318</v>
      </c>
    </row>
    <row r="117" spans="1:4" ht="25.95" customHeight="1">
      <c r="A117" s="3">
        <v>1</v>
      </c>
      <c r="B117" s="3">
        <v>750000000</v>
      </c>
      <c r="C117" s="3">
        <v>1000000000</v>
      </c>
      <c r="D117" s="3">
        <f>IF(B117&gt;C117,0+1,0)</f>
        <v>0</v>
      </c>
    </row>
    <row r="118" spans="1:4" ht="25.95" customHeight="1">
      <c r="A118" s="5">
        <v>2</v>
      </c>
      <c r="B118" s="5">
        <v>750000000</v>
      </c>
      <c r="C118" s="5">
        <v>1000000000</v>
      </c>
      <c r="D118" s="5">
        <f t="shared" ref="D118:D138" si="6">IF(B118&gt;C118,D117+1,0)</f>
        <v>0</v>
      </c>
    </row>
    <row r="119" spans="1:4" ht="25.95" customHeight="1">
      <c r="A119" s="3">
        <v>3</v>
      </c>
      <c r="B119" s="3">
        <v>750000000</v>
      </c>
      <c r="C119" s="3">
        <v>1000000000</v>
      </c>
      <c r="D119" s="3">
        <f t="shared" si="6"/>
        <v>0</v>
      </c>
    </row>
    <row r="120" spans="1:4" ht="25.95" customHeight="1">
      <c r="A120" s="5">
        <v>4</v>
      </c>
      <c r="B120" s="5">
        <v>750000000</v>
      </c>
      <c r="C120" s="5">
        <v>1000000000</v>
      </c>
      <c r="D120" s="5">
        <f t="shared" si="6"/>
        <v>0</v>
      </c>
    </row>
    <row r="121" spans="1:4" ht="25.95" customHeight="1">
      <c r="A121" s="3">
        <v>5</v>
      </c>
      <c r="B121" s="3">
        <v>750000000</v>
      </c>
      <c r="C121" s="3">
        <v>1000000000</v>
      </c>
      <c r="D121" s="3">
        <f t="shared" si="6"/>
        <v>0</v>
      </c>
    </row>
    <row r="122" spans="1:4" ht="25.95" customHeight="1">
      <c r="A122" s="5">
        <v>6</v>
      </c>
      <c r="B122" s="5">
        <v>750000000</v>
      </c>
      <c r="C122" s="5">
        <v>1000000000</v>
      </c>
      <c r="D122" s="5">
        <f t="shared" si="6"/>
        <v>0</v>
      </c>
    </row>
    <row r="123" spans="1:4" ht="25.95" customHeight="1">
      <c r="A123" s="3">
        <v>7</v>
      </c>
      <c r="B123" s="3">
        <v>750000000</v>
      </c>
      <c r="C123" s="3">
        <v>1000000000</v>
      </c>
      <c r="D123" s="3">
        <f t="shared" si="6"/>
        <v>0</v>
      </c>
    </row>
    <row r="124" spans="1:4" ht="25.95" customHeight="1">
      <c r="A124" s="5">
        <v>8</v>
      </c>
      <c r="B124" s="5">
        <v>750000000</v>
      </c>
      <c r="C124" s="5">
        <v>1000000000</v>
      </c>
      <c r="D124" s="5">
        <f t="shared" si="6"/>
        <v>0</v>
      </c>
    </row>
    <row r="125" spans="1:4" ht="25.95" customHeight="1">
      <c r="A125" s="3">
        <v>9</v>
      </c>
      <c r="B125" s="3">
        <v>1100000000</v>
      </c>
      <c r="C125" s="3">
        <v>1000000000</v>
      </c>
      <c r="D125" s="3">
        <f t="shared" si="6"/>
        <v>1</v>
      </c>
    </row>
    <row r="126" spans="1:4" ht="25.95" customHeight="1">
      <c r="A126" s="5">
        <v>10</v>
      </c>
      <c r="B126" s="5">
        <v>1100000000</v>
      </c>
      <c r="C126" s="5">
        <v>1000000000</v>
      </c>
      <c r="D126" s="5">
        <f t="shared" si="6"/>
        <v>2</v>
      </c>
    </row>
    <row r="127" spans="1:4" ht="25.95" customHeight="1">
      <c r="A127" s="3">
        <v>11</v>
      </c>
      <c r="B127" s="3">
        <v>1100000000</v>
      </c>
      <c r="C127" s="3">
        <v>1000000000</v>
      </c>
      <c r="D127" s="3">
        <f t="shared" si="6"/>
        <v>3</v>
      </c>
    </row>
    <row r="128" spans="1:4" ht="25.95" customHeight="1">
      <c r="A128" s="5">
        <v>12</v>
      </c>
      <c r="B128" s="5">
        <v>1100000000</v>
      </c>
      <c r="C128" s="5">
        <v>1000000000</v>
      </c>
      <c r="D128" s="5">
        <f t="shared" si="6"/>
        <v>4</v>
      </c>
    </row>
    <row r="129" spans="1:4" ht="25.95" customHeight="1">
      <c r="A129" s="3">
        <v>13</v>
      </c>
      <c r="B129" s="3">
        <v>1100000000</v>
      </c>
      <c r="C129" s="3">
        <v>1000000000</v>
      </c>
      <c r="D129" s="3">
        <f t="shared" si="6"/>
        <v>5</v>
      </c>
    </row>
    <row r="130" spans="1:4" ht="25.95" customHeight="1">
      <c r="A130" s="5">
        <v>14</v>
      </c>
      <c r="B130" s="5">
        <v>1100000000</v>
      </c>
      <c r="C130" s="5">
        <v>1000000000</v>
      </c>
      <c r="D130" s="5">
        <f t="shared" si="6"/>
        <v>6</v>
      </c>
    </row>
    <row r="131" spans="1:4" ht="25.95" customHeight="1">
      <c r="A131" s="3">
        <v>15</v>
      </c>
      <c r="B131" s="3">
        <v>1100000000</v>
      </c>
      <c r="C131" s="3">
        <v>1000000000</v>
      </c>
      <c r="D131" s="3">
        <f t="shared" si="6"/>
        <v>7</v>
      </c>
    </row>
    <row r="132" spans="1:4" ht="25.95" customHeight="1">
      <c r="A132" s="5">
        <v>16</v>
      </c>
      <c r="B132" s="5">
        <v>1100000000</v>
      </c>
      <c r="C132" s="5">
        <v>1000000000</v>
      </c>
      <c r="D132" s="5">
        <f t="shared" si="6"/>
        <v>8</v>
      </c>
    </row>
    <row r="133" spans="1:4" ht="25.95" customHeight="1">
      <c r="A133" s="3">
        <v>17</v>
      </c>
      <c r="B133" s="3">
        <v>1100000000</v>
      </c>
      <c r="C133" s="3">
        <v>1000000000</v>
      </c>
      <c r="D133" s="3">
        <f t="shared" si="6"/>
        <v>9</v>
      </c>
    </row>
    <row r="134" spans="1:4" ht="25.95" customHeight="1">
      <c r="A134" s="5">
        <v>18</v>
      </c>
      <c r="B134" s="5">
        <v>1100000000</v>
      </c>
      <c r="C134" s="5">
        <v>1000000000</v>
      </c>
      <c r="D134" s="5">
        <f t="shared" si="6"/>
        <v>10</v>
      </c>
    </row>
    <row r="135" spans="1:4" ht="25.95" customHeight="1">
      <c r="A135" s="3">
        <v>19</v>
      </c>
      <c r="B135" s="3">
        <v>1100000000</v>
      </c>
      <c r="C135" s="3">
        <v>1000000000</v>
      </c>
      <c r="D135" s="3">
        <f t="shared" si="6"/>
        <v>11</v>
      </c>
    </row>
    <row r="136" spans="1:4" ht="25.95" customHeight="1">
      <c r="A136" s="5">
        <v>20</v>
      </c>
      <c r="B136" s="5">
        <v>1100000000</v>
      </c>
      <c r="C136" s="5">
        <v>1000000000</v>
      </c>
      <c r="D136" s="5">
        <f t="shared" si="6"/>
        <v>12</v>
      </c>
    </row>
    <row r="137" spans="1:4" ht="25.95" customHeight="1">
      <c r="A137" s="3">
        <v>21</v>
      </c>
      <c r="B137" s="3">
        <v>1100000000</v>
      </c>
      <c r="C137" s="3">
        <v>1000000000</v>
      </c>
      <c r="D137" s="3">
        <f t="shared" si="6"/>
        <v>13</v>
      </c>
    </row>
    <row r="138" spans="1:4" ht="25.95" customHeight="1">
      <c r="A138" s="5">
        <v>22</v>
      </c>
      <c r="B138" s="5">
        <v>1100000000</v>
      </c>
      <c r="C138" s="5">
        <v>1000000000</v>
      </c>
      <c r="D138" s="5">
        <f t="shared" si="6"/>
        <v>14</v>
      </c>
    </row>
    <row r="141" spans="1:4">
      <c r="A141" t="s">
        <v>2319</v>
      </c>
      <c r="B141">
        <f>MAX(D117:D138)</f>
        <v>14</v>
      </c>
      <c r="C141">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Read_me</vt:lpstr>
      <vt:lpstr>UC1_Cong_thuc</vt:lpstr>
      <vt:lpstr>UC2_Cong_thuc</vt:lpstr>
      <vt:lpstr>UC3_Cong_thuc</vt:lpstr>
      <vt:lpstr>UC4_Cong_thuc</vt:lpstr>
      <vt:lpstr>UC4_Huong_dan</vt:lpstr>
      <vt:lpstr>Nguong</vt:lpstr>
      <vt:lpstr>F01_UC1</vt:lpstr>
      <vt:lpstr>F01_UC2</vt:lpstr>
      <vt:lpstr>F01_UC03</vt:lpstr>
      <vt:lpstr>F01_UC4</vt:lpstr>
      <vt:lpstr>D_F01</vt:lpstr>
      <vt:lpstr>D_UC03</vt:lpstr>
      <vt:lpstr>D_sales</vt:lpstr>
      <vt:lpstr>D_purchases</vt:lpstr>
      <vt:lpstr>D_inventory</vt:lpstr>
      <vt:lpstr>D_flows</vt:lpstr>
      <vt:lpstr>Output_contract</vt:lpstr>
      <vt:lpstr>Kiem_thu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Thu Nguyen</cp:lastModifiedBy>
  <dcterms:created xsi:type="dcterms:W3CDTF">2026-10-19T02:26:24Z</dcterms:created>
  <dcterms:modified xsi:type="dcterms:W3CDTF">2026-10-19T06:36:52Z</dcterms:modified>
</cp:coreProperties>
</file>