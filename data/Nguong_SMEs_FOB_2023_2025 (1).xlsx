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Dan" sheetId="1" state="visible" r:id="rId3"/>
    <sheet name="MaTran_6O" sheetId="2" state="visible" r:id="rId4"/>
    <sheet name="ThamSo" sheetId="3" state="visible" r:id="rId5"/>
    <sheet name="HoSoDN" sheetId="4" state="visible" r:id="rId6"/>
    <sheet name="DuLieu" sheetId="5" state="visible" r:id="rId7"/>
    <sheet name="B1_ChuanNganh" sheetId="6" state="visible" r:id="rId8"/>
    <sheet name="B2_BienDieuTiet" sheetId="7" state="visible" r:id="rId9"/>
    <sheet name="B2a_KiemDinhMannWhitney" sheetId="8" state="visible" r:id="rId10"/>
    <sheet name="CongThuc" sheetId="9" state="visible" r:id="rId11"/>
    <sheet name="B3_NguongKhoanMuc" sheetId="10" state="visible" r:id="rId12"/>
    <sheet name="B4_PhanLopW" sheetId="11" state="visible" r:id="rId13"/>
    <sheet name="B5_KiemDinh" sheetId="12" state="visible" r:id="rId14"/>
    <sheet name="B6_MillerOrr" sheetId="13" state="visible" r:id="rId15"/>
    <sheet name="TongHop2025" sheetId="14" state="visible" r:id="rId16"/>
    <sheet name="CanCu" sheetId="15" state="visible" r:id="rId17"/>
    <sheet name="Nguong_SR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<sst xmlns="http://schemas.openxmlformats.org/spreadsheetml/2006/main" count="1313" uniqueCount="839">
  <si>
    <t xml:space="preserve">NGƯỠNG SME MAY FOB – UC01 (TRỤC W, 3 MỨC) VÀ UC02 (MILLER–ORR)</t>
  </si>
  <si>
    <t xml:space="preserve">Cách xây: chuẩn ngành FOB (20 DN may FOB, FiinTrade 2023–2025) → kiểm định biến điều tiết quy mô → áp cho từng DN; ngưỡng tiền UC02 theo Miller–Orr.</t>
  </si>
  <si>
    <t xml:space="preserve">KẾT QUẢ CHÍNH – NGƯỠNG CHO SME FOB (nhóm Nhỏ–vừa)</t>
  </si>
  <si>
    <t xml:space="preserve">Ngưỡng</t>
  </si>
  <si>
    <t xml:space="preserve">FOB nhỏ–vừa</t>
  </si>
  <si>
    <t xml:space="preserve">Đơn vị</t>
  </si>
  <si>
    <t xml:space="preserve">Mức UC01 / UC02</t>
  </si>
  <si>
    <t xml:space="preserve">Phải thu – tham chiếu (DSO, P50)</t>
  </si>
  <si>
    <t xml:space="preserve">ngày</t>
  </si>
  <si>
    <t xml:space="preserve">Trung vị ngành FOB</t>
  </si>
  <si>
    <t xml:space="preserve">Phải thu – CÓ NGUY CƠ (P75)</t>
  </si>
  <si>
    <t xml:space="preserve">Vượt → Có nguy cơ</t>
  </si>
  <si>
    <t xml:space="preserve">Phải thu – TRẦM TRỌNG (P90)</t>
  </si>
  <si>
    <t xml:space="preserve">Vượt → Thiếu trầm trọng</t>
  </si>
  <si>
    <t xml:space="preserve">Tồn kho – tham chiếu (DIO, P50)</t>
  </si>
  <si>
    <t xml:space="preserve">Tồn kho – CÓ NGUY CƠ (P75)</t>
  </si>
  <si>
    <t xml:space="preserve">Tồn kho – TRẦM TRỌNG (P90)</t>
  </si>
  <si>
    <t xml:space="preserve">Phải trả – DPO THẤP (P10, kèm tiền mỏng)</t>
  </si>
  <si>
    <t xml:space="preserve">Kèm tiền mỏng → Có nguy cơ</t>
  </si>
  <si>
    <t xml:space="preserve">Đệm tiền mỏng (P25)</t>
  </si>
  <si>
    <t xml:space="preserve">% DT</t>
  </si>
  <si>
    <t xml:space="preserve">Điều kiện kèm R-AP-1</t>
  </si>
  <si>
    <t xml:space="preserve">Mức trọng yếu (vốn vượt ngưỡng / TSNH)</t>
  </si>
  <si>
    <t xml:space="preserve">tỷ lệ</t>
  </si>
  <si>
    <t xml:space="preserve">UC02 – ℓ: L = ℓ × doanh thu năm</t>
  </si>
  <si>
    <t xml:space="preserve">Tiền &lt; L → THIẾU</t>
  </si>
  <si>
    <t xml:space="preserve">UC02 – σ ngày dự phòng = tỷ lệ × doanh thu năm</t>
  </si>
  <si>
    <t xml:space="preserve">% DT / ngày</t>
  </si>
  <si>
    <t xml:space="preserve">Dùng khi DN &lt; 90 ngày dữ liệu</t>
  </si>
  <si>
    <t xml:space="preserve">UC02 – ví dụ DT 300 tỷ: L / Z / H</t>
  </si>
  <si>
    <t xml:space="preserve">tỷ đồng</t>
  </si>
  <si>
    <t xml:space="preserve">Tiền &gt; H → THỪA</t>
  </si>
  <si>
    <t xml:space="preserve">Tỷ lệ khó khăn năm sau: W0 / W1 / W2</t>
  </si>
  <si>
    <t xml:space="preserve">Kiểm định chiều hướng</t>
  </si>
  <si>
    <t xml:space="preserve">ĐỌC THEO THỨ TỰ</t>
  </si>
  <si>
    <t xml:space="preserve">MaTran_6O</t>
  </si>
  <si>
    <t xml:space="preserve">Ma trận 6 ô: W0 / W1 / W2 × Thiếu / Thừa; thứ tự ưu tiên giải pháp UC03 cho từng ô.</t>
  </si>
  <si>
    <t xml:space="preserve">ThamSo</t>
  </si>
  <si>
    <t xml:space="preserve">Mọi con số có thể chỉnh (phân vị, cửa sổ năm, mức trọng yếu, tham số Miller–Orr…), kèm cơ sở.</t>
  </si>
  <si>
    <t xml:space="preserve">HoSoDN</t>
  </si>
  <si>
    <t xml:space="preserve">28 DN may, mô hình gia công / FOB, DN thuộc mẫu FOB, DN bị loại và lý do.</t>
  </si>
  <si>
    <t xml:space="preserve">DuLieu</t>
  </si>
  <si>
    <t xml:space="preserve">Số liệu FiinTrade 2023–2025 nguyên văn + cột tính toán; cột “– FOB” là mẫu tính ngưỡng.</t>
  </si>
  <si>
    <t xml:space="preserve">B1_ChuanNganh</t>
  </si>
  <si>
    <t xml:space="preserve">Bước 1: phân vị P10 / P25 / P50 / P75 / P90 của ngành FOB; đối chiếu số “Toàn ngành” FiinTrade.</t>
  </si>
  <si>
    <t xml:space="preserve">B2_BienDieuTiet</t>
  </si>
  <si>
    <t xml:space="preserve">Bước 2: hệ số quy mô, mùa vụ; chỉ áp dụng khi có ý nghĩa thống kê.</t>
  </si>
  <si>
    <t xml:space="preserve">B2a_KiemDinhMannWhitney</t>
  </si>
  <si>
    <t xml:space="preserve">Bước 2 (chi tiết): p-value bằng công thức Excel – xếp hạng, U, z, p.</t>
  </si>
  <si>
    <t xml:space="preserve">B3_NguongKhoanMuc</t>
  </si>
  <si>
    <t xml:space="preserve">Bước 3: ngưỡng từng khoản mục cho DN FOB; 7 quy tắc có mã.</t>
  </si>
  <si>
    <t xml:space="preserve">B4_PhanLopW</t>
  </si>
  <si>
    <t xml:space="preserve">Bước 4: áp cho từng năm–DN FOB → W0 An toàn / W1 Có nguy cơ / W2 Thiếu trầm trọng.</t>
  </si>
  <si>
    <t xml:space="preserve">B5_KiemDinh</t>
  </si>
  <si>
    <t xml:space="preserve">Bước 5: ba mức có phân biệt DN gặp khó năm sau không; độ nhạy.</t>
  </si>
  <si>
    <t xml:space="preserve">B6_MillerOrr</t>
  </si>
  <si>
    <t xml:space="preserve">Bước 6: ngưỡng tiền UC02 – L, Z, H theo Miller–Orr.</t>
  </si>
  <si>
    <t xml:space="preserve">TongHop2025</t>
  </si>
  <si>
    <t xml:space="preserve">Ảnh chụp năm 2025: mức UC01, L / Z / H, trạng thái tiền, ô ma trận, ưu tiên giải pháp.</t>
  </si>
  <si>
    <t xml:space="preserve">CongThuc</t>
  </si>
  <si>
    <t xml:space="preserve">Từ điển công thức với số thật (đổi mã–năm ở ô C3).</t>
  </si>
  <si>
    <t xml:space="preserve">CanCu</t>
  </si>
  <si>
    <t xml:space="preserve">Căn cứ cho từng quyết định – dùng khi giám khảo hỏi.</t>
  </si>
  <si>
    <t xml:space="preserve">Nguong_SRS</t>
  </si>
  <si>
    <t xml:space="preserve">Khóa cấu hình đưa vào SRS.</t>
  </si>
  <si>
    <t xml:space="preserve">QUY ƯỚC MÀU</t>
  </si>
  <si>
    <t xml:space="preserve">Chữ xanh dương</t>
  </si>
  <si>
    <t xml:space="preserve">Số liệu nhập hoặc lựa chọn nhập tay.</t>
  </si>
  <si>
    <t xml:space="preserve">Chữ đen</t>
  </si>
  <si>
    <t xml:space="preserve">Công thức.</t>
  </si>
  <si>
    <t xml:space="preserve">Chữ xanh lá</t>
  </si>
  <si>
    <t xml:space="preserve">Liên kết sang sheet khác.</t>
  </si>
  <si>
    <t xml:space="preserve">Nền vàng</t>
  </si>
  <si>
    <t xml:space="preserve">Tham số được phép chỉnh.</t>
  </si>
  <si>
    <t xml:space="preserve">Nền xanh nhạt</t>
  </si>
  <si>
    <t xml:space="preserve">Ngưỡng / kết quả.</t>
  </si>
  <si>
    <t xml:space="preserve">GIỚI HẠN</t>
  </si>
  <si>
    <t xml:space="preserve">Mẫu</t>
  </si>
  <si>
    <t xml:space="preserve">DN may FOB đại chúng (20 DN, 60 năm–DN); rất ít năm–DN đạt chuẩn SME theo NĐ80; quy mô được kiểm định và không khác biệt có ý nghĩa.</t>
  </si>
  <si>
    <t xml:space="preserve">Cửa sổ 3 năm</t>
  </si>
  <si>
    <t xml:space="preserve">Ít quan sát hơn: P90 dựa trên ~6 năm–DN cao nhất; kiểm định biến cố chỉ có 40 năm–DN (2023, 2024).</t>
  </si>
  <si>
    <t xml:space="preserve">Tần suất</t>
  </si>
  <si>
    <t xml:space="preserve">Số liệu năm, chốt 31/12; hệ số mùa vụ chưa hiệu chỉnh; σ ngành của Miller–Orr suy từ biến động tiền năm.</t>
  </si>
  <si>
    <t xml:space="preserve">Miller–Orr</t>
  </si>
  <si>
    <t xml:space="preserve">F và r là tham số demo; L do chủ DN có thể nâng; σ nên dùng dữ liệu dòng tiền ngày của chính DN.</t>
  </si>
  <si>
    <t xml:space="preserve">Cấp hóa đơn / lô</t>
  </si>
  <si>
    <t xml:space="preserve">Quá hạn hóa đơn (ρ) và tuổi lô hàng không hiệu chỉnh được từ BCTC → giữ giá trị demo.</t>
  </si>
  <si>
    <t xml:space="preserve">MA TRẬN 6 TRƯỜNG HỢP: 3 mức UC01 (trục W) × 2 trạng thái tiền UC02 (Miller–Orr)</t>
  </si>
  <si>
    <t xml:space="preserve">UC01 xác định HÀNG (W0 An toàn / W1 Có nguy cơ / W2 Thiếu trầm trọng). UC02 xác định CỘT: Tiền &lt; L → Thiếu; Tiền &gt; H → Thừa. Ô M1–M6 = 2 × chỉ số W + chỉ số tiền + 1.</t>
  </si>
  <si>
    <t xml:space="preserve">Hàng W</t>
  </si>
  <si>
    <t xml:space="preserve">Mức UC01</t>
  </si>
  <si>
    <t xml:space="preserve">Điều kiện (tất định, có mã quy tắc)</t>
  </si>
  <si>
    <t xml:space="preserve">UC01 bàn giao cho UC02</t>
  </si>
  <si>
    <t xml:space="preserve">Cột THIẾU (Tiền &lt; L)</t>
  </si>
  <si>
    <t xml:space="preserve">Cột THỪA (Tiền &gt; H)</t>
  </si>
  <si>
    <t xml:space="preserve">Số năm–DN FOB trong dữ liệu</t>
  </si>
  <si>
    <t xml:space="preserve">Tỷ lệ khó khăn năm sau</t>
  </si>
  <si>
    <t xml:space="preserve">W0</t>
  </si>
  <si>
    <t xml:space="preserve">An toàn</t>
  </si>
  <si>
    <t xml:space="preserve">Đủ dữ liệu; DSO ≤ ngưỡng có nguy cơ, DIO ≤ ngưỡng có nguy cơ, không có “DPO thấp + tiền mỏng”.</t>
  </si>
  <si>
    <t xml:space="preserve">Không có finding vượt ngưỡng; vẫn giao DSO, DIO, DPO và ngưỡng để UC02 dùng.</t>
  </si>
  <si>
    <t xml:space="preserve">M1 – Thiếu, vốn lưu động an toàn</t>
  </si>
  <si>
    <t xml:space="preserve">M2 – Thừa, vốn lưu động an toàn</t>
  </si>
  <si>
    <t xml:space="preserve">W1</t>
  </si>
  <si>
    <t xml:space="preserve">Có nguy cơ</t>
  </si>
  <si>
    <t xml:space="preserve">Có ít nhất 1 tín hiệu R-AR-1, R-INV-1 hoặc R-AP-1, nhưng không có tín hiệu trầm trọng và vốn vượt ngưỡng &lt; m.</t>
  </si>
  <si>
    <t xml:space="preserve">Finding theo khoản mục: số ngày, ngưỡng, mức “Có nguy cơ”, vốn vượt ngưỡng (đồng), mã quy tắc.</t>
  </si>
  <si>
    <t xml:space="preserve">M3 – Thiếu, có nguy cơ</t>
  </si>
  <si>
    <t xml:space="preserve">M4 – Thừa, có nguy cơ</t>
  </si>
  <si>
    <t xml:space="preserve">W2</t>
  </si>
  <si>
    <t xml:space="preserve">Thiếu trầm trọng</t>
  </si>
  <si>
    <t xml:space="preserve">Có R-AR-2 hoặc R-INV-2; HOẶC có tín hiệu có nguy cơ và vốn vượt ngưỡng / TSNH ≥ mức trọng yếu (R-MAT).</t>
  </si>
  <si>
    <t xml:space="preserve">Finding trọng yếu: khoản mục là điểm nghẽn chính, money_at_risk (đồng), tỷ lệ / TSNH, mã quy tắc.</t>
  </si>
  <si>
    <t xml:space="preserve">M5 – Thiếu, nghẽn trầm trọng</t>
  </si>
  <si>
    <t xml:space="preserve">M6 – Thừa, nghẽn trầm trọng</t>
  </si>
  <si>
    <t xml:space="preserve">W0 / W1 / W2</t>
  </si>
  <si>
    <t xml:space="preserve">Chưa đủ dữ liệu</t>
  </si>
  <si>
    <t xml:space="preserve">Thiếu doanh thu, giá vốn, TSNH, DSO, DIO hoặc DPO; hoặc DN không hoạt động.</t>
  </si>
  <si>
    <t xml:space="preserve">Báo trường thiếu; không gán ô ma trận. Không gọi là W0.</t>
  </si>
  <si>
    <t xml:space="preserve">—</t>
  </si>
  <si>
    <t xml:space="preserve">Tiền nằm giữa L và H: trong vùng kiểm soát, không gán cột THIẾU / THỪA và không đề xuất hành động (theo dõi tiếp).</t>
  </si>
  <si>
    <t xml:space="preserve">THỨ TỰ ƯU TIÊN GIẢI PHÁP CHO UC03 THEO TỪNG Ô</t>
  </si>
  <si>
    <t xml:space="preserve">Ô</t>
  </si>
  <si>
    <t xml:space="preserve">Tiền UC02</t>
  </si>
  <si>
    <t xml:space="preserve">Thứ tự ưu tiên nguồn / cách dùng tiền</t>
  </si>
  <si>
    <t xml:space="preserve">Lý do</t>
  </si>
  <si>
    <t xml:space="preserve">M1</t>
  </si>
  <si>
    <t xml:space="preserve">Thiếu</t>
  </si>
  <si>
    <t xml:space="preserve">1. Vay ngắn hạn (short-term financing)</t>
  </si>
  <si>
    <t xml:space="preserve">Vốn lưu động lành mạnh, thiếu là tạm thời; vay ngắn hạn nhanh, chi phí thấp, không ảnh hưởng quan hệ khách hàng và NCC.</t>
  </si>
  <si>
    <t xml:space="preserve">M2</t>
  </si>
  <si>
    <t xml:space="preserve">Thừa</t>
  </si>
  <si>
    <t xml:space="preserve">1. Đầu tư ngắn hạn phần (Tiền − Z)</t>
  </si>
  <si>
    <t xml:space="preserve">Thừa ít và không có điểm nghẽn: tiền nhàn rỗi nên sinh lời; giữ lại tối thiểu Z.</t>
  </si>
  <si>
    <t xml:space="preserve">M3</t>
  </si>
  <si>
    <t xml:space="preserve">1. Thu hồi phải thu (AR) → 2. Giãn trả NCC (AP)</t>
  </si>
  <si>
    <t xml:space="preserve">Xử lý đúng điểm đang giữ vốn trước khi đi vay.</t>
  </si>
  <si>
    <t xml:space="preserve">M4</t>
  </si>
  <si>
    <t xml:space="preserve">1. Giữ làm dự trữ</t>
  </si>
  <si>
    <t xml:space="preserve">Có dấu hiệu nghẽn: tiền dư là đệm cho rủi ro, chưa nên đầu tư.</t>
  </si>
  <si>
    <t xml:space="preserve">M5</t>
  </si>
  <si>
    <t xml:space="preserve">1. AR → 2. Hàng tồn kho → 3. AP → 4. Vay (chỉ khi 3 nguồn trên chưa đủ)</t>
  </si>
  <si>
    <t xml:space="preserve">Vốn bị giữ trọng yếu, đi vay khó: giải phóng vốn nội bộ trước.</t>
  </si>
  <si>
    <t xml:space="preserve">M6</t>
  </si>
  <si>
    <t xml:space="preserve">Tồn đọng nhiều tiền nhưng vốn lưu động nghẽn trầm trọng: giữ dự trữ, xử lý điểm nghẽn.</t>
  </si>
  <si>
    <t xml:space="preserve">Ví dụ cách đọc: một SME FOB có DSO 70 ngày (&gt; ngưỡng trầm trọng 66,3) → R-AR-2 → W2. Nếu UC02 dự báo tiền xuống dưới L → ô M5: ưu tiên thu hồi phải thu, rồi giảm tồn kho, rồi giãn trả NCC, cuối cùng mới vay.</t>
  </si>
  <si>
    <t xml:space="preserve">THAM SỐ (ô vàng, chữ xanh: được phép chỉnh – toàn bộ file tự tính lại)</t>
  </si>
  <si>
    <t xml:space="preserve">Mã</t>
  </si>
  <si>
    <t xml:space="preserve">Tham số</t>
  </si>
  <si>
    <t xml:space="preserve">Giá trị</t>
  </si>
  <si>
    <t xml:space="preserve">Cơ sở</t>
  </si>
  <si>
    <t xml:space="preserve">P1</t>
  </si>
  <si>
    <t xml:space="preserve">Phân vị mức THAM CHIẾU (bình thường)</t>
  </si>
  <si>
    <t xml:space="preserve">phân vị</t>
  </si>
  <si>
    <t xml:space="preserve">Trung vị ngành FOB: một nửa năm–DN FOB có số ngày thấp hơn.</t>
  </si>
  <si>
    <t xml:space="preserve">P2</t>
  </si>
  <si>
    <t xml:space="preserve">Phân vị ngưỡng CÓ NGUY CƠ (theo dõi)</t>
  </si>
  <si>
    <t xml:space="preserve">Cao hơn 75% năm–DN FOB → UC01 mức “Có nguy cơ”.</t>
  </si>
  <si>
    <t xml:space="preserve">P3</t>
  </si>
  <si>
    <t xml:space="preserve">Phân vị ngưỡng TRẦM TRỌNG</t>
  </si>
  <si>
    <t xml:space="preserve">Thập phân vị cao nhất ngành FOB → UC01 mức “Thiếu trầm trọng”.</t>
  </si>
  <si>
    <t xml:space="preserve">P4</t>
  </si>
  <si>
    <t xml:space="preserve">Phân vị DPO THẤP (NCC gần như không cho nợ)</t>
  </si>
  <si>
    <t xml:space="preserve">Chỉ là tín hiệu khi đi kèm tiền mỏng (P5) – quy tắc có điều kiện.</t>
  </si>
  <si>
    <t xml:space="preserve">P5</t>
  </si>
  <si>
    <t xml:space="preserve">Phân vị ĐỆM TIỀN mỏng ((Tiền + ĐTNH) / Doanh thu)</t>
  </si>
  <si>
    <t xml:space="preserve">Đệm tiền thấp hơn 75% năm–DN FOB.</t>
  </si>
  <si>
    <t xml:space="preserve">P6</t>
  </si>
  <si>
    <t xml:space="preserve">Mức TRỌNG YẾU: vốn vượt ngưỡng có nguy cơ / Tài sản ngắn hạn</t>
  </si>
  <si>
    <t xml:space="preserve">Chính sách chủ DN duyệt (materiality_share). Độ nhạy ở B5_KiemDinh.</t>
  </si>
  <si>
    <t xml:space="preserve">P7</t>
  </si>
  <si>
    <t xml:space="preserve">Vượt ngưỡng TRẦM TRỌNG thì xếp W2 dù chưa đạt trọng yếu (1 = có)</t>
  </si>
  <si>
    <t xml:space="preserve">cờ</t>
  </si>
  <si>
    <t xml:space="preserve">Một khoản ở thập phân vị cao nhất ngành đã là điểm nghẽn.</t>
  </si>
  <si>
    <t xml:space="preserve">P8</t>
  </si>
  <si>
    <t xml:space="preserve">Doanh thu tối thiểu để coi là đang hoạt động</t>
  </si>
  <si>
    <t xml:space="preserve">đồng</t>
  </si>
  <si>
    <t xml:space="preserve">Loại năm gần như ngừng hoạt động (G20, MPT, GMC, VTI trong 2023–2025): số ngày khi đó vô nghĩa.</t>
  </si>
  <si>
    <t xml:space="preserve">P9</t>
  </si>
  <si>
    <t xml:space="preserve">Ranh giới nhóm quy mô Nhỏ–vừa / Lớn (doanh thu)</t>
  </si>
  <si>
    <t xml:space="preserve">Chia nhóm để kiểm định biến điều tiết quy mô.</t>
  </si>
  <si>
    <t xml:space="preserve">P10</t>
  </si>
  <si>
    <t xml:space="preserve">SME theo NĐ 80/2021: doanh thu tối đa (công nghiệp)</t>
  </si>
  <si>
    <t xml:space="preserve">Nghị định 80/2021/NĐ-CP, Điều 5.</t>
  </si>
  <si>
    <t xml:space="preserve">P11</t>
  </si>
  <si>
    <t xml:space="preserve">SME theo NĐ 80/2021: tổng nguồn vốn tối đa</t>
  </si>
  <si>
    <t xml:space="preserve">Như trên (chưa kiểm được tiêu chí lao động – FiinTrade không có).</t>
  </si>
  <si>
    <t xml:space="preserve">P12</t>
  </si>
  <si>
    <t xml:space="preserve">DIO trung vị dưới mức này → mô hình GIA CÔNG (CMT), loại khỏi mẫu FOB</t>
  </si>
  <si>
    <t xml:space="preserve">Gia công dùng nguyên liệu của khách nên gần như không có tồn kho: PTG 4, THM 5, DCG 9 ngày (2023–2025); DN FOB tiếp theo ≥ 23 ngày.</t>
  </si>
  <si>
    <t xml:space="preserve">P13</t>
  </si>
  <si>
    <t xml:space="preserve">Mức ý nghĩa để áp dụng một biến điều tiết</t>
  </si>
  <si>
    <t xml:space="preserve">p-value</t>
  </si>
  <si>
    <t xml:space="preserve">Chỉ điều chỉnh khi khác biệt giữa các nhóm có ý nghĩa thống kê.</t>
  </si>
  <si>
    <t xml:space="preserve">P14</t>
  </si>
  <si>
    <t xml:space="preserve">Hệ số điều tiết tối thiểu</t>
  </si>
  <si>
    <t xml:space="preserve">hệ số</t>
  </si>
  <si>
    <t xml:space="preserve">Chặn dưới.</t>
  </si>
  <si>
    <t xml:space="preserve">P15</t>
  </si>
  <si>
    <t xml:space="preserve">Hệ số điều tiết tối đa</t>
  </si>
  <si>
    <t xml:space="preserve">Chặn trên.</t>
  </si>
  <si>
    <t xml:space="preserve">P16</t>
  </si>
  <si>
    <t xml:space="preserve">Hệ số mùa vụ (áp lên ngưỡng DSO, DIO)</t>
  </si>
  <si>
    <t xml:space="preserve">CHƯA HIỆU CHỈNH: số liệu năm chốt 31/12.</t>
  </si>
  <si>
    <t xml:space="preserve">P17</t>
  </si>
  <si>
    <t xml:space="preserve">Biến cố năm sau: doanh thu giảm hơn</t>
  </si>
  <si>
    <t xml:space="preserve">Biến cố = năm sau lỗ HOẶC doanh thu giảm &gt; 30% (chỉ để kiểm định).</t>
  </si>
  <si>
    <t xml:space="preserve">P18</t>
  </si>
  <si>
    <t xml:space="preserve">Năm hiển thị ở sheet TongHop2025</t>
  </si>
  <si>
    <t xml:space="preserve">năm</t>
  </si>
  <si>
    <t xml:space="preserve">Đổi để xem năm khác trong cửa sổ P19–P20.</t>
  </si>
  <si>
    <t xml:space="preserve">P19</t>
  </si>
  <si>
    <t xml:space="preserve">Năm đầu cửa sổ dữ liệu</t>
  </si>
  <si>
    <t xml:space="preserve">Theo góp ý của giảng viên: chỉ dùng 3 năm gần nhất của DN và ngành.</t>
  </si>
  <si>
    <t xml:space="preserve">P20</t>
  </si>
  <si>
    <t xml:space="preserve">Năm cuối cửa sổ dữ liệu</t>
  </si>
  <si>
    <t xml:space="preserve">Năm tài chính gần nhất có BCTC (chốt 31/12/2025).</t>
  </si>
  <si>
    <t xml:space="preserve">P21</t>
  </si>
  <si>
    <t xml:space="preserve">Miller–Orr: phân vị Tiền / Doanh thu ngành FOB dùng làm giới hạn dưới L</t>
  </si>
  <si>
    <t xml:space="preserve">L = mức tiền tối thiểu: dưới L thì DN giữ ít tiền hơn 75% năm–DN FOB → UC02 “Thiếu tiền”.</t>
  </si>
  <si>
    <t xml:space="preserve">P22</t>
  </si>
  <si>
    <t xml:space="preserve">Miller–Orr: chi phí một lần chuyển đổi tiền ↔ đầu tư / vay (F)</t>
  </si>
  <si>
    <t xml:space="preserve">đồng / lần</t>
  </si>
  <si>
    <t xml:space="preserve">demo_assumption: phí chuyển khoản, phí tất toán, thời gian kế toán. DN nhập lại theo ngân hàng giao dịch.</t>
  </si>
  <si>
    <t xml:space="preserve">P23</t>
  </si>
  <si>
    <t xml:space="preserve">Miller–Orr: lãi suất cơ hội năm của tiền nhàn rỗi (r)</t>
  </si>
  <si>
    <t xml:space="preserve">%/năm</t>
  </si>
  <si>
    <t xml:space="preserve">Trần lãi suất tiền gửi kỳ hạn dưới 6 tháng (4,75%/năm), mức nhiều ngân hàng niêm yết năm 2026.</t>
  </si>
  <si>
    <t xml:space="preserve">P24</t>
  </si>
  <si>
    <t xml:space="preserve">Số ngày trong năm</t>
  </si>
  <si>
    <t xml:space="preserve">Quy đổi lãi suất năm, độ lệch chuẩn năm sang ngày.</t>
  </si>
  <si>
    <t xml:space="preserve">P25</t>
  </si>
  <si>
    <t xml:space="preserve">Miller–Orr: L tối thiểu do chủ DN đặt (vd lương + thuế + nợ đến hạn 2 tuần)</t>
  </si>
  <si>
    <t xml:space="preserve">L áp dụng = MAX(L ngành × doanh thu; P25). Mặc định 0 = chỉ dùng L ngành.</t>
  </si>
  <si>
    <t xml:space="preserve">P26</t>
  </si>
  <si>
    <t xml:space="preserve">Miller–Orr: số ngày dữ liệu tối thiểu để dùng σ riêng của DN</t>
  </si>
  <si>
    <t xml:space="preserve">Đủ ≥ 90 ngày dòng tiền ròng (trong 3 năm gần nhất) thì dùng σ ngày của chính DN; thiếu thì dùng σ ngành × doanh thu.</t>
  </si>
  <si>
    <t xml:space="preserve">HỒ SƠ DOANH NGHIỆP, MÔ HÌNH KINH DOANH VÀ MẪU FOB</t>
  </si>
  <si>
    <t xml:space="preserve">Mô hình xếp theo DIO trung vị các năm hoạt động 2023–2025 (&lt; P12 = 20 ngày → gia công CMT). Mẫu tính ngưỡng chỉ gồm DN FOB đang hoạt động, không bị loại.</t>
  </si>
  <si>
    <t xml:space="preserve">Tên doanh nghiệp</t>
  </si>
  <si>
    <t xml:space="preserve">Nhóm thu thập</t>
  </si>
  <si>
    <t xml:space="preserve">Doanh thu trung vị (tỷ đồng)</t>
  </si>
  <si>
    <t xml:space="preserve">Tổng nguồn vốn trung vị (tỷ đồng)</t>
  </si>
  <si>
    <t xml:space="preserve">Số năm đạt chuẩn SME (NĐ80)</t>
  </si>
  <si>
    <t xml:space="preserve">DIO trung vị (ngày)</t>
  </si>
  <si>
    <t xml:space="preserve">Mô hình</t>
  </si>
  <si>
    <t xml:space="preserve">DN bị loại?</t>
  </si>
  <si>
    <t xml:space="preserve">Lý do loại</t>
  </si>
  <si>
    <t xml:space="preserve">Số năm trong mẫu FOB</t>
  </si>
  <si>
    <t xml:space="preserve">Nhóm quy mô chủ đạo (nhiều năm hơn; hòa → Nhỏ–vừa)</t>
  </si>
  <si>
    <t xml:space="preserve">DSO trung vị</t>
  </si>
  <si>
    <t xml:space="preserve">DIO trung vị (mẫu)</t>
  </si>
  <si>
    <t xml:space="preserve">DPO trung vị</t>
  </si>
  <si>
    <t xml:space="preserve">Đệm tiền trung vị</t>
  </si>
  <si>
    <t xml:space="preserve">Thuộc mẫu FOB?</t>
  </si>
  <si>
    <t xml:space="preserve">AG1</t>
  </si>
  <si>
    <t xml:space="preserve">CTCP 28.1</t>
  </si>
  <si>
    <t xml:space="preserve">Nhóm 1 – nhỏ</t>
  </si>
  <si>
    <t xml:space="preserve">Không</t>
  </si>
  <si>
    <t xml:space="preserve">BDG</t>
  </si>
  <si>
    <t xml:space="preserve">May mặc Bình Dương</t>
  </si>
  <si>
    <t xml:space="preserve">Nhóm 2 – lớn</t>
  </si>
  <si>
    <t xml:space="preserve">BMG</t>
  </si>
  <si>
    <t xml:space="preserve">May Bình Minh</t>
  </si>
  <si>
    <t xml:space="preserve">DCG</t>
  </si>
  <si>
    <t xml:space="preserve">May Đáp Cầu</t>
  </si>
  <si>
    <t xml:space="preserve">DM7</t>
  </si>
  <si>
    <t xml:space="preserve">Dệt may 7</t>
  </si>
  <si>
    <t xml:space="preserve">G20</t>
  </si>
  <si>
    <t xml:space="preserve">Đầu tư Dệt may Vĩnh Phúc</t>
  </si>
  <si>
    <t xml:space="preserve">GIL</t>
  </si>
  <si>
    <t xml:space="preserve">SXKD XNK Bình Thạnh</t>
  </si>
  <si>
    <t xml:space="preserve">Có</t>
  </si>
  <si>
    <t xml:space="preserve">DIO 546–1.180 ngày trong 2023–2025 (2020–2021: 68–75 ngày): tồn kho không phản ánh hoạt động may FOB; giữ trong DuLieu để đối chiếu.</t>
  </si>
  <si>
    <t xml:space="preserve">GMC</t>
  </si>
  <si>
    <t xml:space="preserve">Garmex Sài Gòn</t>
  </si>
  <si>
    <t xml:space="preserve">HLT</t>
  </si>
  <si>
    <t xml:space="preserve">Dệt may Hoàng Thị Loan</t>
  </si>
  <si>
    <t xml:space="preserve">HNI</t>
  </si>
  <si>
    <t xml:space="preserve">May Hữu Nghị</t>
  </si>
  <si>
    <t xml:space="preserve">HTG</t>
  </si>
  <si>
    <t xml:space="preserve">Dệt may Hòa Thọ</t>
  </si>
  <si>
    <t xml:space="preserve">HUG</t>
  </si>
  <si>
    <t xml:space="preserve">May Hưng Yên</t>
  </si>
  <si>
    <t xml:space="preserve">M10</t>
  </si>
  <si>
    <t xml:space="preserve">Tổng Công ty May 10</t>
  </si>
  <si>
    <t xml:space="preserve">MGG</t>
  </si>
  <si>
    <t xml:space="preserve">May Đức Giang</t>
  </si>
  <si>
    <t xml:space="preserve">MNB</t>
  </si>
  <si>
    <t xml:space="preserve">May Nhà Bè</t>
  </si>
  <si>
    <t xml:space="preserve">MPT</t>
  </si>
  <si>
    <t xml:space="preserve">Tập đoàn MPT</t>
  </si>
  <si>
    <t xml:space="preserve">MSH</t>
  </si>
  <si>
    <t xml:space="preserve">May Sông Hồng</t>
  </si>
  <si>
    <t xml:space="preserve">NJC</t>
  </si>
  <si>
    <t xml:space="preserve">May Nam Định</t>
  </si>
  <si>
    <t xml:space="preserve">NTT</t>
  </si>
  <si>
    <t xml:space="preserve">Dệt may Nha Trang</t>
  </si>
  <si>
    <t xml:space="preserve">PTG</t>
  </si>
  <si>
    <t xml:space="preserve">May Xuất khẩu Phan Thiết</t>
  </si>
  <si>
    <t xml:space="preserve">TCM</t>
  </si>
  <si>
    <t xml:space="preserve">Dệt may Thành Công</t>
  </si>
  <si>
    <t xml:space="preserve">TDT</t>
  </si>
  <si>
    <t xml:space="preserve">Đầu tư Phát triển TDT</t>
  </si>
  <si>
    <t xml:space="preserve">THM</t>
  </si>
  <si>
    <t xml:space="preserve">Tứ Hải Hà Nam</t>
  </si>
  <si>
    <t xml:space="preserve">TNG</t>
  </si>
  <si>
    <t xml:space="preserve">Đầu tư và Thương mại TNG</t>
  </si>
  <si>
    <t xml:space="preserve">VGG</t>
  </si>
  <si>
    <t xml:space="preserve">May Việt Tiến</t>
  </si>
  <si>
    <t xml:space="preserve">VTI</t>
  </si>
  <si>
    <t xml:space="preserve">SX - XNK Dệt may</t>
  </si>
  <si>
    <t xml:space="preserve">Doanh thu 5–9 tỷ, DSO hàng nghìn ngày: không còn hoạt động may thực chất.</t>
  </si>
  <si>
    <t xml:space="preserve">X20</t>
  </si>
  <si>
    <t xml:space="preserve">CTCP X20</t>
  </si>
  <si>
    <t xml:space="preserve">X26</t>
  </si>
  <si>
    <t xml:space="preserve">CTCP 26</t>
  </si>
  <si>
    <t xml:space="preserve">Tổng</t>
  </si>
  <si>
    <t xml:space="preserve">Kết quả lọc: 20 DN FOB × 3 năm = 60 năm–DN. Không thuộc mẫu: 3 DN gia công (DCG, PTG, THM); 3 DN không còn doanh thu ≥ 50 tỷ trong 2023–2025 (G20, GMC, MPT); 2 DN bị loại (VTI, GIL).</t>
  </si>
  <si>
    <t xml:space="preserve">DỮ LIỆU NGÀNH MAY: 28 DOANH NGHIỆP × 2023–2025 (FiinTrade) – mẫu tính ngưỡng chỉ gồm DN FOB</t>
  </si>
  <si>
    <t xml:space="preserve">Chữ xanh: số liệu FiinTrade nhập nguyên văn (5 file “Chỉ số tài chính” xuất 18/10/2026; DSO/DIO/DPO do FiinTrade tính trên số dư bình quân, 365 ngày). Chữ đen: công thức. Cột “– FOB” chỉ lấy năm–DN thuộc mẫu FOB đang hoạt động (cột U = 1).</t>
  </si>
  <si>
    <t xml:space="preserve">Năm</t>
  </si>
  <si>
    <t xml:space="preserve">File FiinTrade</t>
  </si>
  <si>
    <t xml:space="preserve">Doanh thu thuần (đồng)</t>
  </si>
  <si>
    <t xml:space="preserve">Biên LN gộp</t>
  </si>
  <si>
    <t xml:space="preserve">Tổng nguồn vốn (đồng)</t>
  </si>
  <si>
    <t xml:space="preserve">Tài sản ngắn hạn (đồng)</t>
  </si>
  <si>
    <t xml:space="preserve">Tiền và tương đương tiền (đồng)</t>
  </si>
  <si>
    <t xml:space="preserve">Đầu tư tài chính ngắn hạn (đồng)</t>
  </si>
  <si>
    <t xml:space="preserve">Hàng tồn kho ròng (đồng)</t>
  </si>
  <si>
    <t xml:space="preserve">LNST cổ đông mẹ (đồng)</t>
  </si>
  <si>
    <t xml:space="preserve">DSO – FiinTrade (ngày)</t>
  </si>
  <si>
    <t xml:space="preserve">DIO – FiinTrade (ngày)</t>
  </si>
  <si>
    <t xml:space="preserve">DPO – FiinTrade (ngày)</t>
  </si>
  <si>
    <t xml:space="preserve">Giá vốn = DT × (1 − biên gộp) (đồng)</t>
  </si>
  <si>
    <t xml:space="preserve">Đệm tiền = (Tiền + ĐTNH) / DT</t>
  </si>
  <si>
    <t xml:space="preserve">Tiền / DT</t>
  </si>
  <si>
    <t xml:space="preserve">Biến động tiền = (Tiền − Tiền năm trước) / DT</t>
  </si>
  <si>
    <t xml:space="preserve">Thuộc mẫu FOB &amp; đang hoạt động (1/0)</t>
  </si>
  <si>
    <t xml:space="preserve">Nhóm quy mô</t>
  </si>
  <si>
    <t xml:space="preserve">SME theo NĐ80?</t>
  </si>
  <si>
    <t xml:space="preserve">DIO nếu hoạt động (mọi mô hình)</t>
  </si>
  <si>
    <t xml:space="preserve">Đệm tiền – FOB</t>
  </si>
  <si>
    <t xml:space="preserve">Đệm tiền – FOB Nhỏ–vừa</t>
  </si>
  <si>
    <t xml:space="preserve">Đệm tiền – FOB Lớn</t>
  </si>
  <si>
    <t xml:space="preserve">DSO – FOB</t>
  </si>
  <si>
    <t xml:space="preserve">DSO – FOB Nhỏ–vừa</t>
  </si>
  <si>
    <t xml:space="preserve">DSO – FOB Lớn</t>
  </si>
  <si>
    <t xml:space="preserve">DIO – FOB</t>
  </si>
  <si>
    <t xml:space="preserve">DIO – FOB Nhỏ–vừa</t>
  </si>
  <si>
    <t xml:space="preserve">DIO – FOB Lớn</t>
  </si>
  <si>
    <t xml:space="preserve">DPO – FOB</t>
  </si>
  <si>
    <t xml:space="preserve">DPO – FOB Nhỏ–vừa</t>
  </si>
  <si>
    <t xml:space="preserve">DPO – FOB Lớn</t>
  </si>
  <si>
    <t xml:space="preserve">Tiền / DT – FOB</t>
  </si>
  <si>
    <t xml:space="preserve">Biến động tiền / DT – FOB</t>
  </si>
  <si>
    <t xml:space="preserve">Khóa Mã-Năm</t>
  </si>
  <si>
    <t xml:space="preserve">FiinTrade_..._AG1_20261018.xlsx</t>
  </si>
  <si>
    <t xml:space="preserve">FiinTrade_..._HUG_20261018.xlsx</t>
  </si>
  <si>
    <t xml:space="preserve">FiinTrade_..._BMG_20261018.xlsx</t>
  </si>
  <si>
    <t xml:space="preserve">FiinTrade_..._DM7_20261018.xlsx</t>
  </si>
  <si>
    <t xml:space="preserve">FiinTrade_..._MSH_20261018.xlsx</t>
  </si>
  <si>
    <t xml:space="preserve">BƯỚC 1 – CHUẨN NGÀNH FOB: phân phối của năm–DN may FOB đang hoạt động, 2023–2025</t>
  </si>
  <si>
    <t xml:space="preserve">“Data ngành” = 20 DN may FOB × 3 năm gần nhất (cột “– FOB” ở DuLieu). Ngưỡng ngành = phân vị của phân phối này.</t>
  </si>
  <si>
    <t xml:space="preserve">Công thức: Pk = PERCENTILE(tập giá trị của mọi năm–DN FOB đang hoạt động 2023–2025; k), k = 0,10 / 0,25 / 0,50 / 0,75 / 0,90</t>
  </si>
  <si>
    <t xml:space="preserve">Chỉ tiêu</t>
  </si>
  <si>
    <t xml:space="preserve">Số quan sát</t>
  </si>
  <si>
    <t xml:space="preserve">P50 (tham chiếu)</t>
  </si>
  <si>
    <t xml:space="preserve">P75 (có nguy cơ)</t>
  </si>
  <si>
    <t xml:space="preserve">P90 (trầm trọng)</t>
  </si>
  <si>
    <t xml:space="preserve">Dùng cho</t>
  </si>
  <si>
    <t xml:space="preserve">DSO – số ngày thu tiền</t>
  </si>
  <si>
    <t xml:space="preserve">Khoản mục PHẢI THU</t>
  </si>
  <si>
    <t xml:space="preserve">DIO – số ngày tồn kho</t>
  </si>
  <si>
    <t xml:space="preserve">Khoản mục TỒN KHO</t>
  </si>
  <si>
    <t xml:space="preserve">DPO – số ngày trả NCC</t>
  </si>
  <si>
    <t xml:space="preserve">Khoản mục PHẢI TRẢ (P10: NCC cho nợ ít)</t>
  </si>
  <si>
    <t xml:space="preserve">Đệm tiền (Tiền + ĐTNH) / DT</t>
  </si>
  <si>
    <t xml:space="preserve">Điều kiện “tiền mỏng” (P25) đi kèm DPO thấp</t>
  </si>
  <si>
    <t xml:space="preserve">UC02 – Miller–Orr: giới hạn dưới L (P25)</t>
  </si>
  <si>
    <t xml:space="preserve">Ghi chú: cột P10 dùng phân vị ThamSo P4, cột P25 dùng ThamSo P5, các cột còn lại dùng P1–P3. Dòng Tiền / DT dùng P21 ở sheet B6.</t>
  </si>
  <si>
    <t xml:space="preserve">Đối chiếu với số “Toàn ngành” FiinTrade (ngành dệt may tổng cộng – gồm cả sợi, dệt và doanh nghiệp lớn)</t>
  </si>
  <si>
    <t xml:space="preserve">DSO toàn ngành</t>
  </si>
  <si>
    <t xml:space="preserve">DIO toàn ngành</t>
  </si>
  <si>
    <t xml:space="preserve">DPO toàn ngành</t>
  </si>
  <si>
    <t xml:space="preserve">Trung vị 2023–2025</t>
  </si>
  <si>
    <t xml:space="preserve">Trung vị mẫu FOB (dòng 5–7)</t>
  </si>
  <si>
    <t xml:space="preserve">Đọc: DIO “toàn ngành” cao hơn mẫu FOB vì gộp DN sợi, dệt (tích bông, xơ nhiều tháng). Vì vậy ngưỡng dùng phân phối của mẫu FOB, số toàn ngành chỉ để đối chiếu.</t>
  </si>
  <si>
    <t xml:space="preserve">BƯỚC 2 – BIẾN ĐIỀU TIẾT: điều chỉnh chuẩn ngành FOB theo quy mô và mùa vụ</t>
  </si>
  <si>
    <t xml:space="preserve">Hệ số = trung vị của nhóm / trung vị ngành FOB. Chỉ áp dụng khi khác biệt có ý nghĩa thống kê (p &lt; ThamSo P13), chặn trong [P14; P15]. Không có ý nghĩa thì hệ số = 1.</t>
  </si>
  <si>
    <t xml:space="preserve">Công thức: Hệ số áp dụng = IF(p &lt; 0,05; MIN(MAX(Trung vị nhóm / Trung vị ngành FOB; 0,1); 3); 1)</t>
  </si>
  <si>
    <t xml:space="preserve">Biến điều tiết</t>
  </si>
  <si>
    <t xml:space="preserve">Nhóm</t>
  </si>
  <si>
    <t xml:space="preserve">Trung vị nhóm</t>
  </si>
  <si>
    <t xml:space="preserve">Hệ số thô</t>
  </si>
  <si>
    <t xml:space="preserve">p-value (cấp DN)</t>
  </si>
  <si>
    <t xml:space="preserve">Hệ số ÁP DỤNG</t>
  </si>
  <si>
    <t xml:space="preserve">Kết luận</t>
  </si>
  <si>
    <t xml:space="preserve">DSO</t>
  </si>
  <si>
    <t xml:space="preserve">Quy mô</t>
  </si>
  <si>
    <t xml:space="preserve">Nhỏ–vừa</t>
  </si>
  <si>
    <t xml:space="preserve">Lớn</t>
  </si>
  <si>
    <t xml:space="preserve">DIO</t>
  </si>
  <si>
    <t xml:space="preserve">DPO</t>
  </si>
  <si>
    <t xml:space="preserve">Đệm tiền</t>
  </si>
  <si>
    <t xml:space="preserve">DSO, DIO</t>
  </si>
  <si>
    <t xml:space="preserve">Mùa vụ</t>
  </si>
  <si>
    <t xml:space="preserve">Mọi DN</t>
  </si>
  <si>
    <t xml:space="preserve">Chưa hiệu chỉnh (số liệu năm) – xem ThamSo P16</t>
  </si>
  <si>
    <t xml:space="preserve">p-value: kiểm định Mann–Whitney ở cấp doanh nghiệp (sheet B2a), mỗi DN 1 giá trị trung vị 2023–2025 để không đếm trùng nhiều năm của cùng DN.</t>
  </si>
  <si>
    <t xml:space="preserve">Đọc: trong mẫu FOB, DN nhỏ–vừa và DN lớn không khác biệt có ý nghĩa ở cả 4 chỉ tiêu → SME FOB dùng chung chuẩn ngành FOB (hệ số = 1).</t>
  </si>
  <si>
    <t xml:space="preserve">KIỂM ĐỊNH MANN–WHITNEY BẰNG CÔNG THỨC: DN FOB nhỏ–vừa và DN FOB lớn có khác nhau thật không?</t>
  </si>
  <si>
    <t xml:space="preserve">Mỗi DN FOB = 1 quan sát (trung vị 2023–2025, lấy từ HoSoDN). Xếp hạng tất cả DN từ nhỏ đến lớn; nếu một nhóm dồn về một phía của bảng xếp hạng thì khác biệt có ý nghĩa.</t>
  </si>
  <si>
    <t xml:space="preserve">Hạng (có xử lý hòa) = RANK(x; dãy; tăng dần) + (COUNTIF(dãy; x) − 1) / 2</t>
  </si>
  <si>
    <t xml:space="preserve">Hạng DSO</t>
  </si>
  <si>
    <t xml:space="preserve">DIO trung vị</t>
  </si>
  <si>
    <t xml:space="preserve">Hạng DIO</t>
  </si>
  <si>
    <t xml:space="preserve">Hạng DPO</t>
  </si>
  <si>
    <t xml:space="preserve">Hạng đệm tiền</t>
  </si>
  <si>
    <t xml:space="preserve">BẢNG KIỂM ĐỊNH (xấp xỉ chuẩn, có hiệu chỉnh liên tục) – biến điều tiết: quy mô trong nhóm FOB</t>
  </si>
  <si>
    <t xml:space="preserve">Nhóm 1</t>
  </si>
  <si>
    <t xml:space="preserve">n1</t>
  </si>
  <si>
    <t xml:space="preserve">n2</t>
  </si>
  <si>
    <t xml:space="preserve">R1 = tổng hạng nhóm 1</t>
  </si>
  <si>
    <t xml:space="preserve">U1 = R1 − n1(n1+1)/2</t>
  </si>
  <si>
    <t xml:space="preserve">U = MIN(U1; n1·n2 − U1)</t>
  </si>
  <si>
    <t xml:space="preserve">μ = n1·n2 / 2</t>
  </si>
  <si>
    <t xml:space="preserve">σ = √(n1·n2·(n1+n2+1)/12)</t>
  </si>
  <si>
    <t xml:space="preserve">z = (U − μ + 0,5) / σ</t>
  </si>
  <si>
    <t xml:space="preserve">p = 2·Φ(z)</t>
  </si>
  <si>
    <t xml:space="preserve">Kết luận (p &lt; 0,05?)</t>
  </si>
  <si>
    <t xml:space="preserve">Cách đọc:</t>
  </si>
  <si>
    <t xml:space="preserve">• R1 nhỏ bất thường (nhóm 1 dồn về đầu bảng) hoặc lớn bất thường (dồn về cuối) → U nhỏ → z âm lớn → p nhỏ → hai nhóm khác nhau thật.</t>
  </si>
  <si>
    <t xml:space="preserve">• Mẫu FOB chỉ còn một biến điều tiết là quy mô (mô hình CMT/FOB đã được lọc ở HoSoDN).</t>
  </si>
  <si>
    <t xml:space="preserve">• Dùng kiểm định phi tham số (không cần giả định phân phối chuẩn) vì số ngày lệch phải và mẫu nhỏ (20 DN).</t>
  </si>
  <si>
    <t xml:space="preserve">• Nguồn phương pháp: Mann &amp; Whitney (1947).</t>
  </si>
  <si>
    <t xml:space="preserve">TỪ ĐIỂN CÔNG THỨC – từng chỉ số, cách tính và ví dụ số thật</t>
  </si>
  <si>
    <t xml:space="preserve">Nhập mã–năm muốn xem ví dụ vào ô C3 (vd DM7-2025, NJC-2025, AG1-2024). Cột F tự thay số thật vào công thức.</t>
  </si>
  <si>
    <t xml:space="preserve">Ví dụ cho:</t>
  </si>
  <si>
    <t xml:space="preserve">DM7-2025</t>
  </si>
  <si>
    <t xml:space="preserve">#</t>
  </si>
  <si>
    <t xml:space="preserve">Chỉ số</t>
  </si>
  <si>
    <t xml:space="preserve">Công thức</t>
  </si>
  <si>
    <t xml:space="preserve">Diễn giải</t>
  </si>
  <si>
    <t xml:space="preserve">Ví dụ với số thật</t>
  </si>
  <si>
    <t xml:space="preserve">Ở sheet</t>
  </si>
  <si>
    <t xml:space="preserve">Dữ liệu</t>
  </si>
  <si>
    <t xml:space="preserve">Doanh thu thuần (DT)</t>
  </si>
  <si>
    <t xml:space="preserve">Lấy nguyên văn FiinTrade</t>
  </si>
  <si>
    <t xml:space="preserve">Doanh thu bán hàng thuần trong năm</t>
  </si>
  <si>
    <t xml:space="preserve">Giá vốn</t>
  </si>
  <si>
    <t xml:space="preserve">Giá vốn = DT × (1 − Biên LN gộp)</t>
  </si>
  <si>
    <t xml:space="preserve">FiinTrade không xuất giá vốn, suy ra từ biên gộp</t>
  </si>
  <si>
    <t xml:space="preserve">DSO = Phải thu KH bình quân / DT × 365</t>
  </si>
  <si>
    <t xml:space="preserve">Bình quân 1 đồng doanh thu mất bao nhiêu ngày mới thu được tiền</t>
  </si>
  <si>
    <t xml:space="preserve">DIO = Hàng tồn kho bình quân / Giá vốn × 365</t>
  </si>
  <si>
    <t xml:space="preserve">Hàng nằm trong kho bao nhiêu ngày</t>
  </si>
  <si>
    <t xml:space="preserve">DPO = Phải trả người bán bình quân / Giá vốn × 365</t>
  </si>
  <si>
    <t xml:space="preserve">NCC cho nợ bao nhiêu ngày</t>
  </si>
  <si>
    <t xml:space="preserve">Đệm tiền = (Tiền + ĐTTC ngắn hạn) / DT</t>
  </si>
  <si>
    <t xml:space="preserve">Tiền sẵn có bằng bao nhiêu % doanh thu</t>
  </si>
  <si>
    <t xml:space="preserve">Lọc mẫu</t>
  </si>
  <si>
    <t xml:space="preserve">Mẫu FOB</t>
  </si>
  <si>
    <t xml:space="preserve">FOB nếu DIO trung vị 2023–2025 ≥ 20 ngày, DN không bị loại, DT ≥ 50 tỷ</t>
  </si>
  <si>
    <t xml:space="preserve">Chỉ DN tự mua nguyên liệu (FOB) vào chuẩn ngành</t>
  </si>
  <si>
    <t xml:space="preserve">Bước 1</t>
  </si>
  <si>
    <t xml:space="preserve">Phân vị ngành Pk</t>
  </si>
  <si>
    <t xml:space="preserve">Pk = PERCENTILE(mọi năm–DN FOB 2023–2025; k)</t>
  </si>
  <si>
    <t xml:space="preserve">P75 = mức mà 75% năm–DN FOB thấp hơn</t>
  </si>
  <si>
    <t xml:space="preserve">Bước 2</t>
  </si>
  <si>
    <t xml:space="preserve">Hệ số điều tiết quy mô</t>
  </si>
  <si>
    <t xml:space="preserve">HS = IF(p&lt;0,05; MIN(MAX(Trung vị nhóm / Trung vị FOB; 0,1); 3); 1)</t>
  </si>
  <si>
    <t xml:space="preserve">Chỉ áp dụng khi khác biệt có ý nghĩa</t>
  </si>
  <si>
    <t xml:space="preserve">Bước 3</t>
  </si>
  <si>
    <t xml:space="preserve">Ngưỡng của DN</t>
  </si>
  <si>
    <t xml:space="preserve">Ngưỡng = Pk FOB × HS quy mô × HS mùa vụ</t>
  </si>
  <si>
    <t xml:space="preserve">Chuẩn ngành điều chỉnh theo đặc điểm DN</t>
  </si>
  <si>
    <t xml:space="preserve">Bước 4</t>
  </si>
  <si>
    <t xml:space="preserve">Mức tín hiệu</t>
  </si>
  <si>
    <t xml:space="preserve">Mức = 2 nếu &gt; ngưỡng trầm trọng; 1 nếu &gt; ngưỡng có nguy cơ; 0</t>
  </si>
  <si>
    <t xml:space="preserve">Áp riêng cho phải thu và tồn kho</t>
  </si>
  <si>
    <t xml:space="preserve">Vốn vượt ngưỡng – phải thu</t>
  </si>
  <si>
    <t xml:space="preserve">(DSO − ngưỡng có nguy cơ) × DT / 365</t>
  </si>
  <si>
    <t xml:space="preserve">Tiền nằm ở khách vượt mức bình thường</t>
  </si>
  <si>
    <t xml:space="preserve">Vốn vượt ngưỡng – tồn kho</t>
  </si>
  <si>
    <t xml:space="preserve">(DIO − ngưỡng có nguy cơ) × Giá vốn / 365</t>
  </si>
  <si>
    <t xml:space="preserve">Tiền nằm trong kho vượt mức bình thường</t>
  </si>
  <si>
    <t xml:space="preserve">Tỷ lệ trọng yếu</t>
  </si>
  <si>
    <t xml:space="preserve">MAX(vốn vượt phải thu; vốn vượt tồn kho) / TSNH</t>
  </si>
  <si>
    <t xml:space="preserve">So với mức trọng yếu 5% TSNH</t>
  </si>
  <si>
    <t xml:space="preserve">Phải trả – áp lực NCC</t>
  </si>
  <si>
    <t xml:space="preserve">1 nếu DPO &lt; DPO thấp VÀ đệm tiền &lt; đệm tiền mỏng</t>
  </si>
  <si>
    <t xml:space="preserve">NCC không cho nợ trong khi DN ít tiền</t>
  </si>
  <si>
    <t xml:space="preserve">TRỤC W – 3 mức UC01</t>
  </si>
  <si>
    <t xml:space="preserve">W2 nếu (mức 2) hoặc (mức ≥1 và tỷ lệ ≥ trọng yếu); W1 nếu có tín hiệu; W0 nếu không</t>
  </si>
  <si>
    <t xml:space="preserve">Hàng của ma trận 6 ô</t>
  </si>
  <si>
    <t xml:space="preserve">Bước 5</t>
  </si>
  <si>
    <t xml:space="preserve">Biến cố năm sau</t>
  </si>
  <si>
    <t xml:space="preserve">1 nếu năm sau LNST &lt; 0 HOẶC DT năm sau &lt; DT × (1 − 30%)</t>
  </si>
  <si>
    <t xml:space="preserve">Dùng để kiểm định ngưỡng</t>
  </si>
  <si>
    <t xml:space="preserve">Bước 6</t>
  </si>
  <si>
    <t xml:space="preserve">Giới hạn dưới L</t>
  </si>
  <si>
    <t xml:space="preserve">L = MAX(ℓ × DT; L tối thiểu)</t>
  </si>
  <si>
    <t xml:space="preserve">ℓ = P25 Tiền / DT ngành FOB</t>
  </si>
  <si>
    <t xml:space="preserve">Khoảng dao động S</t>
  </si>
  <si>
    <t xml:space="preserve">S = 3 × (3/4 × F × σ² / r)^(1/3)</t>
  </si>
  <si>
    <t xml:space="preserve">σ ngày, r ngày; Miller &amp; Orr (1966)</t>
  </si>
  <si>
    <t xml:space="preserve">Điểm hồi Z, giới hạn trên H</t>
  </si>
  <si>
    <t xml:space="preserve">Z = L + S/3; H = L + S</t>
  </si>
  <si>
    <t xml:space="preserve">Tiền &lt; L → Thiếu; Tiền &gt; H → Thừa</t>
  </si>
  <si>
    <t xml:space="preserve">Ma trận</t>
  </si>
  <si>
    <t xml:space="preserve">Ô M1–M6</t>
  </si>
  <si>
    <t xml:space="preserve">M = 2 × chỉ số W (0/1/2) + (1 nếu Thiếu; 2 nếu Thừa)</t>
  </si>
  <si>
    <t xml:space="preserve">Ma trận 6 ô</t>
  </si>
  <si>
    <t xml:space="preserve">BƯỚC 3 – NGƯỠNG TỪNG KHOẢN MỤC CHO DN FOB = ngưỡng ngành FOB × hệ số quy mô (× hệ số mùa vụ cho DSO, DIO)</t>
  </si>
  <si>
    <t xml:space="preserve">Ba mức của UC01: AN TOÀN (≤ ngưỡng có nguy cơ) – CÓ NGUY CƠ (&gt; P75) – THIẾU TRẦM TRỌNG (&gt; P90). Mức tham chiếu P50 là trung vị ngành FOB.</t>
  </si>
  <si>
    <t xml:space="preserve">Khóa (mô hình|quy mô)</t>
  </si>
  <si>
    <t xml:space="preserve">DSO tham chiếu (P50)</t>
  </si>
  <si>
    <t xml:space="preserve">DSO CÓ NGUY CƠ (P75)</t>
  </si>
  <si>
    <t xml:space="preserve">DSO TRẦM TRỌNG (P90)</t>
  </si>
  <si>
    <t xml:space="preserve">DIO tham chiếu (P50)</t>
  </si>
  <si>
    <t xml:space="preserve">DIO CÓ NGUY CƠ (P75)</t>
  </si>
  <si>
    <t xml:space="preserve">DIO TRẦM TRỌNG (P90)</t>
  </si>
  <si>
    <t xml:space="preserve">DPO tham chiếu (P50)</t>
  </si>
  <si>
    <t xml:space="preserve">DPO cao (chỉ thông tin, P75)</t>
  </si>
  <si>
    <t xml:space="preserve">DPO THẤP (P10)</t>
  </si>
  <si>
    <t xml:space="preserve">Đệm tiền MỎNG (P25)</t>
  </si>
  <si>
    <t xml:space="preserve">FOB</t>
  </si>
  <si>
    <t xml:space="preserve">Đơn vị: ngày (DSO, DIO, DPO); % doanh thu (đệm tiền). Ví dụ đọc: DN FOB nhỏ–vừa có DSO &gt; ngưỡng CÓ NGUY CƠ tức là tiền nằm ở khách lâu hơn 75% năm–DN FOB.</t>
  </si>
  <si>
    <t xml:space="preserve">QUY TẮC TÍN HIỆU TỪNG KHOẢN MỤC</t>
  </si>
  <si>
    <t xml:space="preserve">Mã quy tắc</t>
  </si>
  <si>
    <t xml:space="preserve">Khoản mục</t>
  </si>
  <si>
    <t xml:space="preserve">Điều kiện</t>
  </si>
  <si>
    <t xml:space="preserve">Mức</t>
  </si>
  <si>
    <t xml:space="preserve">Vì sao</t>
  </si>
  <si>
    <t xml:space="preserve">R-AR-1</t>
  </si>
  <si>
    <t xml:space="preserve">Phải thu</t>
  </si>
  <si>
    <t xml:space="preserve">DSO &gt; DSO có nguy cơ (P75)</t>
  </si>
  <si>
    <t xml:space="preserve">Vốn nằm ở khách lâu hơn 75% DN FOB.</t>
  </si>
  <si>
    <t xml:space="preserve">R-AR-2</t>
  </si>
  <si>
    <t xml:space="preserve">DSO &gt; DSO trầm trọng (P90)</t>
  </si>
  <si>
    <t xml:space="preserve">Trầm trọng</t>
  </si>
  <si>
    <t xml:space="preserve">Thuộc 10% chậm thu nhất ngành FOB.</t>
  </si>
  <si>
    <t xml:space="preserve">R-INV-1</t>
  </si>
  <si>
    <t xml:space="preserve">Tồn kho</t>
  </si>
  <si>
    <t xml:space="preserve">DIO &gt; DIO có nguy cơ (P75)</t>
  </si>
  <si>
    <t xml:space="preserve">Vốn nằm trong kho lâu hơn 75% DN FOB.</t>
  </si>
  <si>
    <t xml:space="preserve">R-INV-2</t>
  </si>
  <si>
    <t xml:space="preserve">DIO &gt; DIO trầm trọng (P90)</t>
  </si>
  <si>
    <t xml:space="preserve">Thuộc 10% tồn kho lâu nhất ngành FOB.</t>
  </si>
  <si>
    <t xml:space="preserve">R-AP-1</t>
  </si>
  <si>
    <t xml:space="preserve">Phải trả</t>
  </si>
  <si>
    <t xml:space="preserve">DPO &lt; DPO thấp VÀ đệm tiền &lt; đệm tiền mỏng</t>
  </si>
  <si>
    <t xml:space="preserve">NCC gần như không cho nợ trong khi DN ít tiền: áp lực thanh toán.</t>
  </si>
  <si>
    <t xml:space="preserve">R-AP-INFO</t>
  </si>
  <si>
    <t xml:space="preserve">DPO &gt; DPO cao</t>
  </si>
  <si>
    <t xml:space="preserve">Chỉ thông tin</t>
  </si>
  <si>
    <t xml:space="preserve">Có thể đang chậm trả NCC. Không vào trục W; cần kiểm tra quá hạn ở cấp hóa đơn.</t>
  </si>
  <si>
    <t xml:space="preserve">R-MAT</t>
  </si>
  <si>
    <t xml:space="preserve">Trọng yếu</t>
  </si>
  <si>
    <t xml:space="preserve">Vốn vượt ngưỡng có nguy cơ / TSNH ≥ mức trọng yếu (ThamSo P6)</t>
  </si>
  <si>
    <t xml:space="preserve">Nâng lên Trầm trọng (W2)</t>
  </si>
  <si>
    <t xml:space="preserve">Vốn vượt ngưỡng = (số ngày − ngưỡng có nguy cơ) × doanh thu (phải thu) hoặc giá vốn (tồn kho) / 365.</t>
  </si>
  <si>
    <t xml:space="preserve">BƯỚC 4 – ÁP NGƯỠNG CHO TỪNG NĂM–DN FOB → TRỤC W (3 MỨC CỦA UC01)</t>
  </si>
  <si>
    <t xml:space="preserve">Dòng 3 (chữ đỏ) ghi công thức của từng cột. W2 – Thiếu trầm trọng = có khoản vượt P90, hoặc vượt P75 và vốn vượt ngưỡng ≥ mức trọng yếu. W1 – Có nguy cơ = có tín hiệu nhưng chưa trọng yếu. W0 – An toàn = đủ dữ liệu và không có tín hiệu.</t>
  </si>
  <si>
    <t xml:space="preserve">(Tiền+ĐTNH)/DT</t>
  </si>
  <si>
    <t xml:space="preserve">Ngưỡng B3 theo khóa</t>
  </si>
  <si>
    <t xml:space="preserve">Ngưỡng B3</t>
  </si>
  <si>
    <t xml:space="preserve">2 nếu DSO&gt;N; 1 nếu DSO&gt;M; 0</t>
  </si>
  <si>
    <t xml:space="preserve">2 nếu DIO&gt;P; 1 nếu DIO&gt;O; 0</t>
  </si>
  <si>
    <t xml:space="preserve">1 nếu DPO&lt;R VÀ đệm tiền&lt;S</t>
  </si>
  <si>
    <t xml:space="preserve">1 nếu DPO&gt;Q</t>
  </si>
  <si>
    <t xml:space="preserve">(DSO−M)×DT/365 nếu T≥1</t>
  </si>
  <si>
    <t xml:space="preserve">(DIO−O)×Giá vốn/365 nếu U≥1</t>
  </si>
  <si>
    <t xml:space="preserve">MAX(X;Y)/TSNH</t>
  </si>
  <si>
    <t xml:space="preserve">W2 nếu MAX(T;U)=2 hoặc (MAX(T;U)≥1 và Z≥5%); W1 nếu có tín hiệu; W0 nếu không</t>
  </si>
  <si>
    <t xml:space="preserve">X + Y</t>
  </si>
  <si>
    <t xml:space="preserve">1 nếu năm sau lỗ hoặc DT giảm &gt;30%</t>
  </si>
  <si>
    <t xml:space="preserve">Mô hình|quy mô</t>
  </si>
  <si>
    <t xml:space="preserve">Hoạt động</t>
  </si>
  <si>
    <t xml:space="preserve">Doanh thu (đồng)</t>
  </si>
  <si>
    <t xml:space="preserve">Giá vốn (đồng)</t>
  </si>
  <si>
    <t xml:space="preserve">TSNH (đồng)</t>
  </si>
  <si>
    <t xml:space="preserve">Ngưỡng DSO có nguy cơ</t>
  </si>
  <si>
    <t xml:space="preserve">Ngưỡng DSO trầm trọng</t>
  </si>
  <si>
    <t xml:space="preserve">Ngưỡng DIO có nguy cơ</t>
  </si>
  <si>
    <t xml:space="preserve">Ngưỡng DIO trầm trọng</t>
  </si>
  <si>
    <t xml:space="preserve">Ngưỡng DPO cao</t>
  </si>
  <si>
    <t xml:space="preserve">Ngưỡng DPO thấp</t>
  </si>
  <si>
    <t xml:space="preserve">Ngưỡng đệm tiền mỏng</t>
  </si>
  <si>
    <t xml:space="preserve">Mức phải thu (0/1/2)</t>
  </si>
  <si>
    <t xml:space="preserve">Mức tồn kho (0/1/2)</t>
  </si>
  <si>
    <t xml:space="preserve">Phải trả: DPO thấp + tiền mỏng (1/0)</t>
  </si>
  <si>
    <t xml:space="preserve">DPO cao – thông tin (1/0)</t>
  </si>
  <si>
    <t xml:space="preserve">Vốn vượt ngưỡng ở phải thu (đồng)</t>
  </si>
  <si>
    <t xml:space="preserve">Vốn vượt ngưỡng ở tồn kho (đồng)</t>
  </si>
  <si>
    <t xml:space="preserve">Tỷ lệ lớn nhất / TSNH</t>
  </si>
  <si>
    <t xml:space="preserve">Trạng thái PHẢI THU</t>
  </si>
  <si>
    <t xml:space="preserve">Trạng thái TỒN KHO</t>
  </si>
  <si>
    <t xml:space="preserve">Trạng thái PHẢI TRẢ</t>
  </si>
  <si>
    <t xml:space="preserve">TRỤC W</t>
  </si>
  <si>
    <t xml:space="preserve">Điểm nghẽn chính</t>
  </si>
  <si>
    <t xml:space="preserve">Quy tắc đã kích hoạt</t>
  </si>
  <si>
    <t xml:space="preserve">Tiền có rủi ro – money_at_risk (đồng)</t>
  </si>
  <si>
    <t xml:space="preserve">Biến cố năm sau (1/0)</t>
  </si>
  <si>
    <t xml:space="preserve">BƯỚC 5 – KIỂM ĐỊNH: ba mức của UC01 có phân biệt được DN FOB gặp khó năm sau không?</t>
  </si>
  <si>
    <t xml:space="preserve">Biến cố năm sau = năm sau lỗ HOẶC doanh thu giảm &gt; 30%. Trong cửa sổ 2023–2025 chỉ năm 2023 và 2024 có số liệu năm sau (40 năm–DN). Thước đo gián tiếp: dùng để kiểm tra chiều hướng.</t>
  </si>
  <si>
    <t xml:space="preserve">Hàng W (mức UC01)</t>
  </si>
  <si>
    <t xml:space="preserve">Số năm–DN</t>
  </si>
  <si>
    <t xml:space="preserve">Số biến cố</t>
  </si>
  <si>
    <t xml:space="preserve">Tỷ lệ biến cố</t>
  </si>
  <si>
    <t xml:space="preserve">So với W0 (lần)</t>
  </si>
  <si>
    <t xml:space="preserve">Tất cả</t>
  </si>
  <si>
    <t xml:space="preserve">Theo từng tín hiệu</t>
  </si>
  <si>
    <t xml:space="preserve">Tín hiệu</t>
  </si>
  <si>
    <t xml:space="preserve">Phải thu (DSO)</t>
  </si>
  <si>
    <t xml:space="preserve">Tồn kho (DIO)</t>
  </si>
  <si>
    <t xml:space="preserve">DPO thấp + tiền mỏng</t>
  </si>
  <si>
    <t xml:space="preserve">DPO cao (thông tin)</t>
  </si>
  <si>
    <t xml:space="preserve">Độ nhạy (tính bằng Python với đúng quy tắc trên, cùng 40 năm–DN có số liệu năm sau; để tham khảo nhanh)</t>
  </si>
  <si>
    <t xml:space="preserve">Phương án</t>
  </si>
  <si>
    <t xml:space="preserve">Số W0</t>
  </si>
  <si>
    <t xml:space="preserve">Biến cố W0</t>
  </si>
  <si>
    <t xml:space="preserve">Số W1</t>
  </si>
  <si>
    <t xml:space="preserve">Biến cố W1</t>
  </si>
  <si>
    <t xml:space="preserve">Số W2</t>
  </si>
  <si>
    <t xml:space="preserve">Biến cố W2</t>
  </si>
  <si>
    <t xml:space="preserve">Trọng yếu 3% TSNH</t>
  </si>
  <si>
    <t xml:space="preserve">Trọng yếu 5% TSNH (đang chọn)</t>
  </si>
  <si>
    <t xml:space="preserve">Trọng yếu 10% TSNH</t>
  </si>
  <si>
    <t xml:space="preserve">Ngưỡng P70 / P90</t>
  </si>
  <si>
    <t xml:space="preserve">Ngưỡng P80 / P95</t>
  </si>
  <si>
    <t xml:space="preserve">Đọc kết quả:</t>
  </si>
  <si>
    <t xml:space="preserve">• Trong 2023–2025 chỉ có 2 biến cố (năm sau lỗ hoặc doanh thu giảm &gt; 30%) trên 40 năm–DN FOB, cả hai là HLT (2023, 2024) và đều thuộc W1 – Có nguy cơ; nhóm An toàn không có biến cố.</t>
  </si>
  <si>
    <t xml:space="preserve">• Với số biến cố quá ít, kiểm định chỉ xác nhận chiều hướng (An toàn ít rủi ro hơn), không đủ để hiệu chỉnh phân vị hay mức trọng yếu; giữ P75 / P90 và 5% TSNH như phương pháp cũ.</t>
  </si>
  <si>
    <t xml:space="preserve">• Nhóm Thiếu trầm trọng chưa có biến cố trong cửa sổ 3 năm: đây là giới hạn của mẫu ngắn, không phải bằng chứng W2 an toàn. Cần theo dõi thêm năm 2026.</t>
  </si>
  <si>
    <t xml:space="preserve">• Giới hạn: biến cố đo gián tiếp từ báo cáo năm; mẫu là DN may FOB đại chúng.</t>
  </si>
  <si>
    <t xml:space="preserve">BƯỚC 6 – NGƯỠNG TIỀN UC02 THEO MÔ HÌNH MILLER–ORR (thay Rmin / Rtarget / Rupper)</t>
  </si>
  <si>
    <t xml:space="preserve">Tiền dưới giới hạn dưới L → THIẾU TIỀN; tiền trên giới hạn trên H → THỪA TIỀN; khi chạm ngưỡng, đưa tiền về điểm hồi Z. Tham số ngành tính từ mẫu FOB 2023–2025.</t>
  </si>
  <si>
    <t xml:space="preserve">A. CÔNG THỨC</t>
  </si>
  <si>
    <t xml:space="preserve">Ký hiệu</t>
  </si>
  <si>
    <t xml:space="preserve">Đại lượng</t>
  </si>
  <si>
    <t xml:space="preserve">L</t>
  </si>
  <si>
    <t xml:space="preserve">Giới hạn dưới</t>
  </si>
  <si>
    <t xml:space="preserve">L = MAX(ℓ × DT; L tối thiểu của chủ DN)</t>
  </si>
  <si>
    <t xml:space="preserve">ℓ = phân vị P21 của Tiền / DT ngành FOB. Dưới L → UC02 “Thiếu tiền”.</t>
  </si>
  <si>
    <t xml:space="preserve">σ²</t>
  </si>
  <si>
    <t xml:space="preserve">Phương sai dòng tiền ròng NGÀY</t>
  </si>
  <si>
    <t xml:space="preserve">σ = độ lệch chuẩn dòng tiền ròng ngày của chính DN (≥ P26 ngày, 3 năm gần nhất); thiếu dữ liệu: σ = s × DT / √365</t>
  </si>
  <si>
    <t xml:space="preserve">s = độ lệch chuẩn ngành FOB của (Tiền năm t − Tiền năm t−1) / DT năm t.</t>
  </si>
  <si>
    <t xml:space="preserve">r</t>
  </si>
  <si>
    <t xml:space="preserve">Lãi suất cơ hội NGÀY</t>
  </si>
  <si>
    <t xml:space="preserve">r = lãi suất năm (P23) / 365</t>
  </si>
  <si>
    <t xml:space="preserve">Tiền nhàn rỗi có thể gửi kỳ hạn ngắn.</t>
  </si>
  <si>
    <t xml:space="preserve">F</t>
  </si>
  <si>
    <t xml:space="preserve">Chi phí một lần chuyển đổi</t>
  </si>
  <si>
    <t xml:space="preserve">F = P22</t>
  </si>
  <si>
    <t xml:space="preserve">Phí giao dịch, tất toán, giải ngân, công kế toán.</t>
  </si>
  <si>
    <t xml:space="preserve">S</t>
  </si>
  <si>
    <t xml:space="preserve">Khoảng dao động</t>
  </si>
  <si>
    <t xml:space="preserve">Miller &amp; Orr (1966). Dòng tiền càng biến động, S càng rộng.</t>
  </si>
  <si>
    <t xml:space="preserve">Z</t>
  </si>
  <si>
    <t xml:space="preserve">Điểm hồi (mức tiền mục tiêu)</t>
  </si>
  <si>
    <t xml:space="preserve">Z = L + S / 3</t>
  </si>
  <si>
    <t xml:space="preserve">Khi chạm L hoặc H, đưa tiền về Z.</t>
  </si>
  <si>
    <t xml:space="preserve">H</t>
  </si>
  <si>
    <t xml:space="preserve">Giới hạn trên</t>
  </si>
  <si>
    <t xml:space="preserve">H = L + S = 3Z − 2L</t>
  </si>
  <si>
    <t xml:space="preserve">Trên H → UC02 “Thừa tiền”: chuyển (Tiền − Z) sang đầu tư ngắn hạn hoặc dự trữ.</t>
  </si>
  <si>
    <t xml:space="preserve">Trung bình tiền dự kiến</t>
  </si>
  <si>
    <t xml:space="preserve">(4Z − L) / 3</t>
  </si>
  <si>
    <t xml:space="preserve">Mức tiền bình quân khi áp dụng quy tắc, để so với hiện trạng.</t>
  </si>
  <si>
    <t xml:space="preserve">B. THAM SỐ NGÀNH FOB (2023–2025)</t>
  </si>
  <si>
    <t xml:space="preserve">Nguồn / công thức</t>
  </si>
  <si>
    <t xml:space="preserve">ℓ</t>
  </si>
  <si>
    <t xml:space="preserve">Tiền / DT – phân vị P21 ngành FOB</t>
  </si>
  <si>
    <t xml:space="preserve">PERCENTILE(DuLieu cột AK; P21)</t>
  </si>
  <si>
    <t xml:space="preserve">s</t>
  </si>
  <si>
    <t xml:space="preserve">Độ lệch chuẩn năm của biến động tiền / DT</t>
  </si>
  <si>
    <t xml:space="preserve">STDEV(DuLieu cột AL) – 40 quan sát 2024–2025</t>
  </si>
  <si>
    <t xml:space="preserve">n</t>
  </si>
  <si>
    <t xml:space="preserve">Số quan sát biến động tiền</t>
  </si>
  <si>
    <t xml:space="preserve">COUNT(DuLieu cột AL)</t>
  </si>
  <si>
    <t xml:space="preserve">s_d</t>
  </si>
  <si>
    <t xml:space="preserve">Độ lệch chuẩn NGÀY / DT</t>
  </si>
  <si>
    <t xml:space="preserve">s / √365 (giả định dòng tiền ròng ngày độc lập)</t>
  </si>
  <si>
    <t xml:space="preserve">r_d</t>
  </si>
  <si>
    <t xml:space="preserve">Lãi suất ngày</t>
  </si>
  <si>
    <t xml:space="preserve">P23 / P24</t>
  </si>
  <si>
    <t xml:space="preserve">Chi phí chuyển đổi (đồng / lần)</t>
  </si>
  <si>
    <t xml:space="preserve">L_min</t>
  </si>
  <si>
    <t xml:space="preserve">L tối thiểu do chủ DN đặt (đồng)</t>
  </si>
  <si>
    <t xml:space="preserve">C. MINH HỌA THEO QUY MÔ DOANH THU (dùng σ ngành; DN có ≥ 90 ngày dữ liệu dòng tiền ngày sẽ dùng σ riêng)</t>
  </si>
  <si>
    <t xml:space="preserve">Doanh thu năm (tỷ đồng)</t>
  </si>
  <si>
    <t xml:space="preserve">L (tỷ đồng)</t>
  </si>
  <si>
    <t xml:space="preserve">σ ngày (tỷ đồng)</t>
  </si>
  <si>
    <t xml:space="preserve">S (tỷ đồng)</t>
  </si>
  <si>
    <t xml:space="preserve">Z (tỷ đồng)</t>
  </si>
  <si>
    <t xml:space="preserve">H (tỷ đồng)</t>
  </si>
  <si>
    <t xml:space="preserve">L (ngày doanh thu)</t>
  </si>
  <si>
    <t xml:space="preserve">Z (ngày doanh thu)</t>
  </si>
  <si>
    <t xml:space="preserve">H (ngày doanh thu)</t>
  </si>
  <si>
    <t xml:space="preserve">D. QUY TẮC VẬN HÀNH TRONG UC02</t>
  </si>
  <si>
    <t xml:space="preserve">• Mỗi lần dự báo, hệ thống tính L, Z, H của DN; σ lấy từ dòng tiền ròng ngày của DN trong tối đa 3 năm gần nhất (tối thiểu P26 = 90 ngày); thiếu dữ liệu thì dùng s_d × DT.</t>
  </si>
  <si>
    <t xml:space="preserve">• So số dư dự báo từng ngày với L và H: Tiền &lt; L → THIẾU (cột TH01 của ma trận); Tiền &gt; H → THỪA (cột TH02).</t>
  </si>
  <si>
    <t xml:space="preserve">• Số tiền cần bù khi thiếu = Z − Tiền (đưa về điểm hồi); số tiền có thể chuyển khi thừa = Tiền − Z.</t>
  </si>
  <si>
    <t xml:space="preserve">• L được chặn dưới bởi L tối thiểu do chủ DN đặt (P25), ví dụ lương + thuế + nợ đến hạn trong 2 tuần.</t>
  </si>
  <si>
    <t xml:space="preserve">• Hạn chế: s ngành ước lượng từ số liệu năm (40 quan sát); giả định dòng tiền ròng ngày độc lập, phân phối đối xứng. F và r là tham số demo, cần DN xác nhận.</t>
  </si>
  <si>
    <t xml:space="preserve">Trạng thái tiền minh họa bằng số dư tiền cuối năm so với L, H (σ ngành × doanh thu). Khi vận hành, UC02 so số dư dự báo từng ngày.</t>
  </si>
  <si>
    <t xml:space="preserve">Tên</t>
  </si>
  <si>
    <t xml:space="preserve">Trạng thái phải thu</t>
  </si>
  <si>
    <t xml:space="preserve">Trạng thái tồn kho</t>
  </si>
  <si>
    <t xml:space="preserve">Trạng thái phải trả</t>
  </si>
  <si>
    <t xml:space="preserve">Quy tắc</t>
  </si>
  <si>
    <t xml:space="preserve">Vốn vượt ngưỡng (tỷ đồng)</t>
  </si>
  <si>
    <t xml:space="preserve">Tỷ lệ / TSNH</t>
  </si>
  <si>
    <t xml:space="preserve">Tiền cuối năm (tỷ đồng)</t>
  </si>
  <si>
    <t xml:space="preserve">Trạng thái tiền</t>
  </si>
  <si>
    <t xml:space="preserve">Ô ma trận</t>
  </si>
  <si>
    <t xml:space="preserve">Ưu tiên giải pháp (UC03)</t>
  </si>
  <si>
    <t xml:space="preserve">CĂN CỨ CỦA TỪNG QUYẾT ĐỊNH (để trả lời giám khảo)</t>
  </si>
  <si>
    <t xml:space="preserve">Quyết định</t>
  </si>
  <si>
    <t xml:space="preserve">Căn cứ từ dữ liệu</t>
  </si>
  <si>
    <t xml:space="preserve">Căn cứ quy định / phương pháp</t>
  </si>
  <si>
    <t xml:space="preserve">Xem ở</t>
  </si>
  <si>
    <t xml:space="preserve">Chỉ dùng DN FOB làm chuẩn ngành</t>
  </si>
  <si>
    <t xml:space="preserve">Theo góp ý giảng viên: tập trung hoàn toàn vào DN may FOB. Gia công và FOB khác biệt rõ về tồn kho.</t>
  </si>
  <si>
    <t xml:space="preserve">Chỉ dùng 3 năm 2023–2025</t>
  </si>
  <si>
    <t xml:space="preserve">Theo góp ý giảng viên: dữ liệu DN và ngành trong 3 năm gần nhất phản ánh điều kiện hiện tại tốt hơn chuỗi 10 năm.</t>
  </si>
  <si>
    <t xml:space="preserve">ThamSo P19–P20</t>
  </si>
  <si>
    <t xml:space="preserve">Ba mức UC01: P75 có nguy cơ, P90 trầm trọng, P50 tham chiếu</t>
  </si>
  <si>
    <t xml:space="preserve">Giữ cách cũ: lấy trung vị ngành làm tham chiếu và phân vị để chia mức – dễ giải thích, không phụ thuộc quy mô.</t>
  </si>
  <si>
    <t xml:space="preserve">B1, B5</t>
  </si>
  <si>
    <t xml:space="preserve">Không điều chỉnh theo quy mô (hệ số = 1)</t>
  </si>
  <si>
    <t xml:space="preserve">Chỉ điều chỉnh khi khác biệt có ý nghĩa thống kê; tránh gắn hệ số theo cảm tính.</t>
  </si>
  <si>
    <t xml:space="preserve">Hệ số mùa vụ = 1 (tạm)</t>
  </si>
  <si>
    <t xml:space="preserve">Số liệu năm chốt 31/12, không thấy được mùa vụ.</t>
  </si>
  <si>
    <t xml:space="preserve">Bước tiếp: kim ngạch xuất khẩu dệt may theo tháng.</t>
  </si>
  <si>
    <t xml:space="preserve">ThamSo P16</t>
  </si>
  <si>
    <t xml:space="preserve">DPO cao không vào trục W</t>
  </si>
  <si>
    <t xml:space="preserve">DPO cao do quá hạn không được hiểu là tận dụng tốt → cần kiểm tra quá hạn ở cấp hóa đơn.</t>
  </si>
  <si>
    <t xml:space="preserve">Mức trọng yếu 5% TSNH</t>
  </si>
  <si>
    <t xml:space="preserve">Xem bảng độ nhạy.</t>
  </si>
  <si>
    <t xml:space="preserve">materiality_share do chủ DN duyệt; tương tự cách kiểm toán viên chọn mức trọng yếu theo % một chỉ tiêu.</t>
  </si>
  <si>
    <t xml:space="preserve">B5_KiemDinh, ThamSo P6</t>
  </si>
  <si>
    <t xml:space="preserve">Ngưỡng tiền UC02 theo Miller–Orr thay Rmin / Rtarget / Rupper</t>
  </si>
  <si>
    <t xml:space="preserve">Miller &amp; Orr (1966): giữ tiền trong dải [L; H], về Z khi chạm biên; phù hợp dòng tiền biến động ngẫu nhiên của DN may xuất khẩu.</t>
  </si>
  <si>
    <t xml:space="preserve">L lấy theo P25 Tiền / DT ngành FOB</t>
  </si>
  <si>
    <t xml:space="preserve">Mô hình để L do quản trị đặt; dùng mức tiền mà 25% năm–DN FOB thấp hơn, chặn dưới bởi mức tối thiểu của chủ DN.</t>
  </si>
  <si>
    <t xml:space="preserve">B6_MillerOrr, ThamSo P21, P25</t>
  </si>
  <si>
    <t xml:space="preserve">σ ngày: riêng của DN, thiếu thì dùng ngành</t>
  </si>
  <si>
    <t xml:space="preserve">Đúng tinh thần “dữ liệu DN và ngành 3 năm”: ưu tiên dữ liệu ngày của DN; số liệu năm của ngành chỉ là phương án dự phòng.</t>
  </si>
  <si>
    <t xml:space="preserve">B6_MillerOrr, ThamSo P26</t>
  </si>
  <si>
    <t xml:space="preserve">Thiếu dữ liệu → W0 / W1 / W2, không phải W0</t>
  </si>
  <si>
    <t xml:space="preserve">Thiếu ngưỡng hoặc dữ liệu cốt lõi trả W0 / W1 / W2, không gán ô.</t>
  </si>
  <si>
    <t xml:space="preserve">Loại VTI, GIL; bỏ năm doanh thu &lt; 50 tỷ</t>
  </si>
  <si>
    <t xml:space="preserve">VTI DSO hàng nghìn ngày; GIL DIO 546–1.180 ngày; G20, GMC, MPT không còn DT ≥ 50 tỷ.</t>
  </si>
  <si>
    <t xml:space="preserve">Làm sạch dữ liệu: loại quan sát không phản ánh hoạt động may FOB.</t>
  </si>
  <si>
    <t xml:space="preserve">HoSoDN, ThamSo P8</t>
  </si>
  <si>
    <t xml:space="preserve">Mẫu là DN may đại chúng, không riêng SME theo NĐ80</t>
  </si>
  <si>
    <t xml:space="preserve">Quy mô được kiểm định như biến điều tiết và không khác biệt có ý nghĩa.</t>
  </si>
  <si>
    <t xml:space="preserve">HoSoDN, B2</t>
  </si>
  <si>
    <t xml:space="preserve">BẢNG THAM SỐ ĐƯA VÀO SRS (UC01 – trục W; UC02 – Miller–Orr) – config_version: fob.threshold.v3</t>
  </si>
  <si>
    <t xml:space="preserve">Giá trị cho DN may FOB nhỏ–vừa. Nguồn: verified_reference = tính từ dữ liệu ngành FOB 2023–2025; owner_policy = chủ DN duyệt; demo_assumption = giả định trình diễn.</t>
  </si>
  <si>
    <t xml:space="preserve">Khóa cấu hình</t>
  </si>
  <si>
    <t xml:space="preserve">Áp dụng</t>
  </si>
  <si>
    <t xml:space="preserve">Nguồn</t>
  </si>
  <si>
    <t xml:space="preserve">Ghi chú</t>
  </si>
  <si>
    <t xml:space="preserve">wc.dso.reference.fob</t>
  </si>
  <si>
    <t xml:space="preserve">Phải thu – tham chiếu (P50)</t>
  </si>
  <si>
    <t xml:space="preserve">verified_reference: FiinTrade 2023–2025, 20 DN may FOB</t>
  </si>
  <si>
    <t xml:space="preserve">wc.dso.watch.fob</t>
  </si>
  <si>
    <t xml:space="preserve">Phải thu – R-AR-1 → Có nguy cơ</t>
  </si>
  <si>
    <t xml:space="preserve">wc.dso.severe.fob</t>
  </si>
  <si>
    <t xml:space="preserve">Phải thu – R-AR-2 → Thiếu trầm trọng</t>
  </si>
  <si>
    <t xml:space="preserve">wc.dio.reference.fob</t>
  </si>
  <si>
    <t xml:space="preserve">Tồn kho – tham chiếu (P50)</t>
  </si>
  <si>
    <t xml:space="preserve">wc.dio.watch.fob</t>
  </si>
  <si>
    <t xml:space="preserve">Tồn kho – R-INV-1 → Có nguy cơ</t>
  </si>
  <si>
    <t xml:space="preserve">wc.dio.severe.fob</t>
  </si>
  <si>
    <t xml:space="preserve">Tồn kho – R-INV-2 → Thiếu trầm trọng</t>
  </si>
  <si>
    <t xml:space="preserve">wc.dpo.high_info.fob</t>
  </si>
  <si>
    <t xml:space="preserve">Phải trả – R-AP-INFO</t>
  </si>
  <si>
    <t xml:space="preserve">wc.dpo.low.fob</t>
  </si>
  <si>
    <t xml:space="preserve">Phải trả – R-AP-1</t>
  </si>
  <si>
    <t xml:space="preserve">liq.cash_buffer.thin.fob</t>
  </si>
  <si>
    <t xml:space="preserve">% doanh thu</t>
  </si>
  <si>
    <t xml:space="preserve">Phải trả – R-AP-1 (điều kiện kèm)</t>
  </si>
  <si>
    <t xml:space="preserve">wc.materiality_share</t>
  </si>
  <si>
    <t xml:space="preserve">tỷ lệ TSNH</t>
  </si>
  <si>
    <t xml:space="preserve">R-MAT → W2</t>
  </si>
  <si>
    <t xml:space="preserve">owner_policy (mặc định demo)</t>
  </si>
  <si>
    <t xml:space="preserve">Chủ DN duyệt; độ nhạy ở B5</t>
  </si>
  <si>
    <t xml:space="preserve">wc.severe_forces_w2</t>
  </si>
  <si>
    <t xml:space="preserve">R-AR-2 / R-INV-2 → W2</t>
  </si>
  <si>
    <t xml:space="preserve">owner_policy</t>
  </si>
  <si>
    <t xml:space="preserve">wc.factor.size</t>
  </si>
  <si>
    <t xml:space="preserve">Mọi ngưỡng</t>
  </si>
  <si>
    <t xml:space="preserve">verified_reference</t>
  </si>
  <si>
    <t xml:space="preserve">Không khác biệt có ý nghĩa → 1</t>
  </si>
  <si>
    <t xml:space="preserve">wc.factor.season</t>
  </si>
  <si>
    <t xml:space="preserve">Ngưỡng DSO, DIO</t>
  </si>
  <si>
    <t xml:space="preserve">demo_assumption</t>
  </si>
  <si>
    <t xml:space="preserve">Chưa hiệu chỉnh</t>
  </si>
  <si>
    <t xml:space="preserve">cash.mo.lower_ratio</t>
  </si>
  <si>
    <t xml:space="preserve">% doanh thu năm</t>
  </si>
  <si>
    <t xml:space="preserve">UC02 – L = MAX(ℓ × DT; L tối thiểu)</t>
  </si>
  <si>
    <t xml:space="preserve">P25 Tiền / DT</t>
  </si>
  <si>
    <t xml:space="preserve">cash.mo.lower_min_owner</t>
  </si>
  <si>
    <t xml:space="preserve">UC02 – chặn dưới L</t>
  </si>
  <si>
    <t xml:space="preserve">Mặc định 0</t>
  </si>
  <si>
    <t xml:space="preserve">cash.mo.sigma_annual_ratio</t>
  </si>
  <si>
    <t xml:space="preserve">% doanh thu / năm</t>
  </si>
  <si>
    <t xml:space="preserve">UC02 – σ dự phòng khi thiếu dữ liệu ngày</t>
  </si>
  <si>
    <t xml:space="preserve">cash.mo.sigma_daily_ratio</t>
  </si>
  <si>
    <t xml:space="preserve">% doanh thu / ngày</t>
  </si>
  <si>
    <t xml:space="preserve">UC02 – σ = tỷ lệ × DT</t>
  </si>
  <si>
    <t xml:space="preserve">s / √365</t>
  </si>
  <si>
    <t xml:space="preserve">cash.mo.min_daily_obs</t>
  </si>
  <si>
    <t xml:space="preserve">UC02 – đủ ngày thì dùng σ riêng của DN</t>
  </si>
  <si>
    <t xml:space="preserve">cash.mo.transaction_cost</t>
  </si>
  <si>
    <t xml:space="preserve">UC02 – F</t>
  </si>
  <si>
    <t xml:space="preserve">DN nhập theo ngân hàng giao dịch</t>
  </si>
  <si>
    <t xml:space="preserve">cash.mo.rate_annual</t>
  </si>
  <si>
    <t xml:space="preserve">UC02 – r = P23 / 365</t>
  </si>
  <si>
    <t xml:space="preserve">Trần lãi suất tiền gửi &lt; 6 tháng, 2026</t>
  </si>
  <si>
    <t xml:space="preserve">matrix.cell_formula</t>
  </si>
  <si>
    <t xml:space="preserve">M = 2·W + (1 Thiếu / 2 Thừa)</t>
  </si>
  <si>
    <t xml:space="preserve">Tiền trong [L; H] → không gán ô</t>
  </si>
  <si>
    <t xml:space="preserve">ar.invoice.overdue_watch_rho</t>
  </si>
  <si>
    <t xml:space="preserve">lần</t>
  </si>
  <si>
    <t xml:space="preserve">Cấp hóa đơn: ngày quá hạn / kỳ hạn</t>
  </si>
  <si>
    <t xml:space="preserve">Không hiệu chỉnh được từ BCTC</t>
  </si>
  <si>
    <t xml:space="preserve">ar.invoice.overdue_severe_rho</t>
  </si>
  <si>
    <t xml:space="preserve">Cấp hóa đơn</t>
  </si>
  <si>
    <t xml:space="preserve">inv.lot.slow_days.nvl_hh</t>
  </si>
  <si>
    <t xml:space="preserve">Cấp lô: NVL, hàng hóa</t>
  </si>
  <si>
    <t xml:space="preserve">inv.lot.slow_days.btp_tp</t>
  </si>
  <si>
    <t xml:space="preserve">Cấp lô: BTP, thành phẩm</t>
  </si>
</sst>
</file>

<file path=xl/styles.xml><?xml version="1.0" encoding="utf-8"?>
<styleSheet xmlns="http://schemas.openxmlformats.org/spreadsheetml/2006/main">
  <numFmts count="10">
    <numFmt numFmtId="164" formatCode="General"/>
    <numFmt numFmtId="165" formatCode="0.0;\(0.0\);\-"/>
    <numFmt numFmtId="166" formatCode="0.0%;\(0.0%\);\-"/>
    <numFmt numFmtId="167" formatCode="0.0000%"/>
    <numFmt numFmtId="168" formatCode="0.00"/>
    <numFmt numFmtId="169" formatCode="0"/>
    <numFmt numFmtId="170" formatCode="#,##0;\(#,##0\);\-"/>
    <numFmt numFmtId="171" formatCode="0.000"/>
    <numFmt numFmtId="172" formatCode="0.0"/>
    <numFmt numFmtId="173" formatCode="0.00%"/>
  </numFmts>
  <fonts count="15">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1"/>
      <name val="Arial"/>
      <family val="0"/>
      <charset val="1"/>
    </font>
    <font>
      <b val="true"/>
      <sz val="10"/>
      <name val="Arial"/>
      <family val="0"/>
      <charset val="1"/>
    </font>
    <font>
      <sz val="10"/>
      <color rgb="FF008000"/>
      <name val="Arial"/>
      <family val="0"/>
      <charset val="1"/>
    </font>
    <font>
      <b val="true"/>
      <sz val="10"/>
      <color rgb="FF0000FF"/>
      <name val="Arial"/>
      <family val="0"/>
      <charset val="1"/>
    </font>
    <font>
      <b val="true"/>
      <sz val="10"/>
      <color rgb="FF008000"/>
      <name val="Arial"/>
      <family val="0"/>
      <charset val="1"/>
    </font>
    <font>
      <b val="true"/>
      <sz val="14"/>
      <name val="Arial"/>
      <family val="0"/>
      <charset val="1"/>
    </font>
    <font>
      <i val="true"/>
      <sz val="10"/>
      <name val="Arial"/>
      <family val="0"/>
      <charset val="1"/>
    </font>
    <font>
      <sz val="10"/>
      <color rgb="FF0000FF"/>
      <name val="Arial"/>
      <family val="0"/>
      <charset val="1"/>
    </font>
    <font>
      <i val="true"/>
      <sz val="8"/>
      <color rgb="FFC00000"/>
      <name val="Arial"/>
      <family val="0"/>
      <charset val="1"/>
    </font>
  </fonts>
  <fills count="5">
    <fill>
      <patternFill patternType="none"/>
    </fill>
    <fill>
      <patternFill patternType="gray125"/>
    </fill>
    <fill>
      <patternFill patternType="solid">
        <fgColor rgb="FFDCE6F1"/>
        <bgColor rgb="FFE2EFDA"/>
      </patternFill>
    </fill>
    <fill>
      <patternFill patternType="solid">
        <fgColor rgb="FFE2EFDA"/>
        <bgColor rgb="FFDCE6F1"/>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8" fontId="13" fillId="4" borderId="1" xfId="0" applyFont="true" applyBorder="true" applyAlignment="false" applyProtection="false">
      <alignment horizontal="general" vertical="bottom" textRotation="0" wrapText="false" indent="0" shrinkToFit="false"/>
      <protection locked="true" hidden="false"/>
    </xf>
    <xf numFmtId="169" fontId="13" fillId="4" borderId="1" xfId="0" applyFont="true" applyBorder="true" applyAlignment="false" applyProtection="false">
      <alignment horizontal="general" vertical="bottom" textRotation="0" wrapText="false" indent="0" shrinkToFit="false"/>
      <protection locked="true" hidden="false"/>
    </xf>
    <xf numFmtId="170" fontId="13" fillId="4"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1" fontId="7" fillId="3" borderId="1" xfId="0" applyFont="true" applyBorder="tru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70" fontId="7" fillId="3"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2"/>
    <col collapsed="false" customWidth="true" hidden="false" outlineLevel="0" max="4" min="4" style="0" width="3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6" t="n">
        <f aca="false">B3_NguongKhoanMuc!D4</f>
        <v>43.24705229</v>
      </c>
      <c r="C6" s="5" t="s">
        <v>8</v>
      </c>
      <c r="D6" s="5" t="s">
        <v>9</v>
      </c>
    </row>
    <row r="7" customFormat="false" ht="15" hidden="false" customHeight="false" outlineLevel="0" collapsed="false">
      <c r="A7" s="5" t="s">
        <v>10</v>
      </c>
      <c r="B7" s="6" t="n">
        <f aca="false">B3_NguongKhoanMuc!E4</f>
        <v>58.2071385175</v>
      </c>
      <c r="C7" s="5" t="s">
        <v>8</v>
      </c>
      <c r="D7" s="5" t="s">
        <v>11</v>
      </c>
    </row>
    <row r="8" customFormat="false" ht="15" hidden="false" customHeight="false" outlineLevel="0" collapsed="false">
      <c r="A8" s="5" t="s">
        <v>12</v>
      </c>
      <c r="B8" s="6" t="n">
        <f aca="false">B3_NguongKhoanMuc!F4</f>
        <v>66.26326635</v>
      </c>
      <c r="C8" s="5" t="s">
        <v>8</v>
      </c>
      <c r="D8" s="5" t="s">
        <v>13</v>
      </c>
    </row>
    <row r="9" customFormat="false" ht="15" hidden="false" customHeight="false" outlineLevel="0" collapsed="false">
      <c r="A9" s="5" t="s">
        <v>14</v>
      </c>
      <c r="B9" s="6" t="n">
        <f aca="false">B3_NguongKhoanMuc!G4</f>
        <v>69.751755075</v>
      </c>
      <c r="C9" s="5" t="s">
        <v>8</v>
      </c>
      <c r="D9" s="5" t="s">
        <v>9</v>
      </c>
    </row>
    <row r="10" customFormat="false" ht="15" hidden="false" customHeight="false" outlineLevel="0" collapsed="false">
      <c r="A10" s="5" t="s">
        <v>15</v>
      </c>
      <c r="B10" s="6" t="n">
        <f aca="false">B3_NguongKhoanMuc!H4</f>
        <v>86.118055065</v>
      </c>
      <c r="C10" s="5" t="s">
        <v>8</v>
      </c>
      <c r="D10" s="5" t="s">
        <v>11</v>
      </c>
    </row>
    <row r="11" customFormat="false" ht="15" hidden="false" customHeight="false" outlineLevel="0" collapsed="false">
      <c r="A11" s="5" t="s">
        <v>16</v>
      </c>
      <c r="B11" s="6" t="n">
        <f aca="false">B3_NguongKhoanMuc!I4</f>
        <v>137.965147652</v>
      </c>
      <c r="C11" s="5" t="s">
        <v>8</v>
      </c>
      <c r="D11" s="5" t="s">
        <v>13</v>
      </c>
    </row>
    <row r="12" customFormat="false" ht="15" hidden="false" customHeight="false" outlineLevel="0" collapsed="false">
      <c r="A12" s="5" t="s">
        <v>17</v>
      </c>
      <c r="B12" s="6" t="n">
        <f aca="false">B3_NguongKhoanMuc!L4</f>
        <v>14.892652922</v>
      </c>
      <c r="C12" s="5" t="s">
        <v>8</v>
      </c>
      <c r="D12" s="5" t="s">
        <v>18</v>
      </c>
    </row>
    <row r="13" customFormat="false" ht="15" hidden="false" customHeight="false" outlineLevel="0" collapsed="false">
      <c r="A13" s="5" t="s">
        <v>19</v>
      </c>
      <c r="B13" s="7" t="n">
        <f aca="false">B3_NguongKhoanMuc!M4</f>
        <v>0.0830079952170207</v>
      </c>
      <c r="C13" s="5" t="s">
        <v>20</v>
      </c>
      <c r="D13" s="5" t="s">
        <v>21</v>
      </c>
    </row>
    <row r="14" customFormat="false" ht="15" hidden="false" customHeight="false" outlineLevel="0" collapsed="false">
      <c r="A14" s="5" t="s">
        <v>22</v>
      </c>
      <c r="B14" s="7" t="n">
        <f aca="false">ThamSo!$C$9</f>
        <v>0.05</v>
      </c>
      <c r="C14" s="5" t="s">
        <v>23</v>
      </c>
      <c r="D14" s="5" t="s">
        <v>13</v>
      </c>
    </row>
    <row r="15" customFormat="false" ht="15" hidden="false" customHeight="false" outlineLevel="0" collapsed="false">
      <c r="A15" s="5" t="s">
        <v>24</v>
      </c>
      <c r="B15" s="7" t="n">
        <f aca="false">B6_MillerOrr!C17</f>
        <v>0.0417986209613163</v>
      </c>
      <c r="C15" s="5" t="s">
        <v>20</v>
      </c>
      <c r="D15" s="5" t="s">
        <v>25</v>
      </c>
    </row>
    <row r="16" customFormat="false" ht="15" hidden="false" customHeight="false" outlineLevel="0" collapsed="false">
      <c r="A16" s="5" t="s">
        <v>26</v>
      </c>
      <c r="B16" s="8" t="n">
        <f aca="false">B6_MillerOrr!C20</f>
        <v>0.00250589140013474</v>
      </c>
      <c r="C16" s="5" t="s">
        <v>27</v>
      </c>
      <c r="D16" s="5" t="s">
        <v>28</v>
      </c>
    </row>
    <row r="17" customFormat="false" ht="15" hidden="false" customHeight="false" outlineLevel="0" collapsed="false">
      <c r="A17" s="5" t="s">
        <v>29</v>
      </c>
      <c r="B17" s="9" t="str">
        <f aca="false">TEXT(B6_MillerOrr!B30,"0.0")&amp;" / "&amp;TEXT(B6_MillerOrr!E30,"0.0")&amp;" / "&amp;TEXT(B6_MillerOrr!F30,"0.0")</f>
        <v>12.5 / 14.0 / 17.0</v>
      </c>
      <c r="C17" s="5" t="s">
        <v>30</v>
      </c>
      <c r="D17" s="5" t="s">
        <v>31</v>
      </c>
    </row>
    <row r="18" customFormat="false" ht="15" hidden="false" customHeight="false" outlineLevel="0" collapsed="false">
      <c r="A18" s="5" t="s">
        <v>32</v>
      </c>
      <c r="B18" s="9" t="str">
        <f aca="false">TEXT(B5_KiemDinh!D5,"0%")&amp;" / "&amp;TEXT(B5_KiemDinh!D6,"0%")&amp;" / "&amp;TEXT(B5_KiemDinh!D7,"0%")</f>
        <v>0% / 29% / 0%</v>
      </c>
      <c r="C18" s="5"/>
      <c r="D18" s="5" t="s">
        <v>33</v>
      </c>
    </row>
    <row r="21" customFormat="false" ht="15" hidden="false" customHeight="false" outlineLevel="0" collapsed="false">
      <c r="A21" s="3" t="s">
        <v>34</v>
      </c>
    </row>
    <row r="22" customFormat="false" ht="15" hidden="false" customHeight="false" outlineLevel="0" collapsed="false">
      <c r="A22" s="10" t="s">
        <v>35</v>
      </c>
      <c r="B22" s="2" t="s">
        <v>36</v>
      </c>
    </row>
    <row r="23" customFormat="false" ht="15" hidden="false" customHeight="false" outlineLevel="0" collapsed="false">
      <c r="A23" s="10" t="s">
        <v>37</v>
      </c>
      <c r="B23" s="2" t="s">
        <v>38</v>
      </c>
    </row>
    <row r="24" customFormat="false" ht="15" hidden="false" customHeight="false" outlineLevel="0" collapsed="false">
      <c r="A24" s="10" t="s">
        <v>39</v>
      </c>
      <c r="B24" s="2" t="s">
        <v>40</v>
      </c>
    </row>
    <row r="25" customFormat="false" ht="15" hidden="false" customHeight="false" outlineLevel="0" collapsed="false">
      <c r="A25" s="10" t="s">
        <v>41</v>
      </c>
      <c r="B25" s="2" t="s">
        <v>42</v>
      </c>
    </row>
    <row r="26" customFormat="false" ht="15" hidden="false" customHeight="false" outlineLevel="0" collapsed="false">
      <c r="A26" s="10" t="s">
        <v>43</v>
      </c>
      <c r="B26" s="2" t="s">
        <v>44</v>
      </c>
    </row>
    <row r="27" customFormat="false" ht="15" hidden="false" customHeight="false" outlineLevel="0" collapsed="false">
      <c r="A27" s="10" t="s">
        <v>45</v>
      </c>
      <c r="B27" s="2" t="s">
        <v>46</v>
      </c>
    </row>
    <row r="28" customFormat="false" ht="15" hidden="false" customHeight="false" outlineLevel="0" collapsed="false">
      <c r="A28" s="10" t="s">
        <v>47</v>
      </c>
      <c r="B28" s="2" t="s">
        <v>48</v>
      </c>
    </row>
    <row r="29" customFormat="false" ht="15" hidden="false" customHeight="false" outlineLevel="0" collapsed="false">
      <c r="A29" s="10" t="s">
        <v>49</v>
      </c>
      <c r="B29" s="2" t="s">
        <v>50</v>
      </c>
    </row>
    <row r="30" customFormat="false" ht="15" hidden="false" customHeight="false" outlineLevel="0" collapsed="false">
      <c r="A30" s="10" t="s">
        <v>51</v>
      </c>
      <c r="B30" s="2" t="s">
        <v>52</v>
      </c>
    </row>
    <row r="31" customFormat="false" ht="15" hidden="false" customHeight="false" outlineLevel="0" collapsed="false">
      <c r="A31" s="10" t="s">
        <v>53</v>
      </c>
      <c r="B31" s="2" t="s">
        <v>54</v>
      </c>
    </row>
    <row r="32" customFormat="false" ht="15" hidden="false" customHeight="false" outlineLevel="0" collapsed="false">
      <c r="A32" s="10" t="s">
        <v>55</v>
      </c>
      <c r="B32" s="2" t="s">
        <v>56</v>
      </c>
    </row>
    <row r="33" customFormat="false" ht="15" hidden="false" customHeight="false" outlineLevel="0" collapsed="false">
      <c r="A33" s="10" t="s">
        <v>57</v>
      </c>
      <c r="B33" s="2" t="s">
        <v>58</v>
      </c>
    </row>
    <row r="34" customFormat="false" ht="15" hidden="false" customHeight="false" outlineLevel="0" collapsed="false">
      <c r="A34" s="10" t="s">
        <v>59</v>
      </c>
      <c r="B34" s="2" t="s">
        <v>60</v>
      </c>
    </row>
    <row r="35" customFormat="false" ht="15" hidden="false" customHeight="false" outlineLevel="0" collapsed="false">
      <c r="A35" s="10" t="s">
        <v>61</v>
      </c>
      <c r="B35" s="2" t="s">
        <v>62</v>
      </c>
    </row>
    <row r="36" customFormat="false" ht="15" hidden="false" customHeight="false" outlineLevel="0" collapsed="false">
      <c r="A36" s="10" t="s">
        <v>63</v>
      </c>
      <c r="B36" s="2" t="s">
        <v>64</v>
      </c>
    </row>
    <row r="38" customFormat="false" ht="15" hidden="false" customHeight="false" outlineLevel="0" collapsed="false">
      <c r="A38" s="3" t="s">
        <v>65</v>
      </c>
    </row>
    <row r="39" customFormat="false" ht="15" hidden="false" customHeight="false" outlineLevel="0" collapsed="false">
      <c r="A39" s="11" t="s">
        <v>66</v>
      </c>
      <c r="B39" s="2" t="s">
        <v>67</v>
      </c>
    </row>
    <row r="40" customFormat="false" ht="15" hidden="false" customHeight="false" outlineLevel="0" collapsed="false">
      <c r="A40" s="10" t="s">
        <v>68</v>
      </c>
      <c r="B40" s="2" t="s">
        <v>69</v>
      </c>
    </row>
    <row r="41" customFormat="false" ht="15" hidden="false" customHeight="false" outlineLevel="0" collapsed="false">
      <c r="A41" s="12" t="s">
        <v>70</v>
      </c>
      <c r="B41" s="2" t="s">
        <v>71</v>
      </c>
    </row>
    <row r="42" customFormat="false" ht="15" hidden="false" customHeight="false" outlineLevel="0" collapsed="false">
      <c r="A42" s="13" t="s">
        <v>72</v>
      </c>
      <c r="B42" s="2" t="s">
        <v>73</v>
      </c>
    </row>
    <row r="43" customFormat="false" ht="15" hidden="false" customHeight="false" outlineLevel="0" collapsed="false">
      <c r="A43" s="14" t="s">
        <v>74</v>
      </c>
      <c r="B43" s="2" t="s">
        <v>75</v>
      </c>
    </row>
    <row r="45" customFormat="false" ht="15" hidden="false" customHeight="false" outlineLevel="0" collapsed="false">
      <c r="A45" s="3" t="s">
        <v>76</v>
      </c>
    </row>
    <row r="46" customFormat="false" ht="15" hidden="false" customHeight="false" outlineLevel="0" collapsed="false">
      <c r="A46" s="10" t="s">
        <v>77</v>
      </c>
      <c r="B46" s="2" t="s">
        <v>78</v>
      </c>
    </row>
    <row r="47" customFormat="false" ht="15" hidden="false" customHeight="false" outlineLevel="0" collapsed="false">
      <c r="A47" s="10" t="s">
        <v>79</v>
      </c>
      <c r="B47" s="2" t="s">
        <v>80</v>
      </c>
    </row>
    <row r="48" customFormat="false" ht="15" hidden="false" customHeight="false" outlineLevel="0" collapsed="false">
      <c r="A48" s="10" t="s">
        <v>81</v>
      </c>
      <c r="B48" s="2" t="s">
        <v>82</v>
      </c>
    </row>
    <row r="49" customFormat="false" ht="15" hidden="false" customHeight="false" outlineLevel="0" collapsed="false">
      <c r="A49" s="10" t="s">
        <v>83</v>
      </c>
      <c r="B49" s="2" t="s">
        <v>84</v>
      </c>
    </row>
    <row r="50" customFormat="false" ht="15" hidden="false" customHeight="false" outlineLevel="0" collapsed="false">
      <c r="A50" s="10" t="s">
        <v>85</v>
      </c>
      <c r="B50" s="2" t="s">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4" min="3" style="0" width="44"/>
    <col collapsed="false" customWidth="true" hidden="false" outlineLevel="0" max="6" min="5" style="0" width="26"/>
    <col collapsed="false" customWidth="true" hidden="false" outlineLevel="0" max="8" min="7" style="0" width="12"/>
  </cols>
  <sheetData>
    <row r="1" customFormat="false" ht="17.35" hidden="false" customHeight="false" outlineLevel="0" collapsed="false">
      <c r="A1" s="15" t="s">
        <v>87</v>
      </c>
    </row>
    <row r="2" customFormat="false" ht="15" hidden="false" customHeight="false" outlineLevel="0" collapsed="false">
      <c r="A2" s="16" t="inlineStr">
        <is>
          <t>UC01 xác định HÀNG (W0 An toàn / W1 Có nguy cơ / W2 Thiếu trầm trọng). UC02 xác định CỘT: Tiền &lt; L → Thiếu; Tiền &gt; H → Thừa. Ô M1–M6 = 2 × chỉ số W + chỉ số tiền + 1.</t>
        </is>
      </c>
    </row>
    <row r="4" customFormat="false" ht="35.05" hidden="false" customHeight="false" outlineLevel="0" collapsed="false">
      <c r="A4" s="4" t="s">
        <v>89</v>
      </c>
      <c r="B4" s="4" t="s">
        <v>90</v>
      </c>
      <c r="C4" s="4" t="s">
        <v>91</v>
      </c>
      <c r="D4" s="4" t="s">
        <v>92</v>
      </c>
      <c r="E4" s="4" t="s">
        <v>93</v>
      </c>
      <c r="F4" s="4" t="s">
        <v>94</v>
      </c>
      <c r="G4" s="4" t="s">
        <v>95</v>
      </c>
      <c r="H4" s="4" t="s">
        <v>96</v>
      </c>
    </row>
    <row r="5" customFormat="false" ht="35.05" hidden="false" customHeight="false" outlineLevel="0" collapsed="false">
      <c r="A5" s="17" t="s">
        <v>97</v>
      </c>
      <c r="B5" s="18" t="s">
        <v>98</v>
      </c>
      <c r="C5" s="19" t="inlineStr">
        <is>
          <t>DSO ≤ ngưỡng có nguy cơ, DIO ≤ ngưỡng có nguy cơ, không có “DPO thấp + tiền mỏng”.</t>
        </is>
      </c>
      <c r="D5" s="19" t="s">
        <v>100</v>
      </c>
      <c r="E5" s="19" t="s">
        <v>101</v>
      </c>
      <c r="F5" s="19" t="s">
        <v>102</v>
      </c>
      <c r="G5" s="5" t="n">
        <f aca="false">COUNTIF(B4_PhanLopW!$AD$5:$AD$64,A5)</f>
        <v>32</v>
      </c>
      <c r="H5" s="20" t="n">
        <f aca="false">IF("",IFERROR(INDEX(B5_KiemDinh!$D$5:$D$7,MATCH(A5,B5_KiemDinh!$A$5:$A$7,0)),""))</f>
        <v>0</v>
      </c>
    </row>
    <row r="6" customFormat="false" ht="35.05" hidden="false" customHeight="false" outlineLevel="0" collapsed="false">
      <c r="A6" s="17" t="s">
        <v>103</v>
      </c>
      <c r="B6" s="18" t="s">
        <v>104</v>
      </c>
      <c r="C6" s="19" t="s">
        <v>105</v>
      </c>
      <c r="D6" s="19" t="s">
        <v>106</v>
      </c>
      <c r="E6" s="19" t="s">
        <v>107</v>
      </c>
      <c r="F6" s="19" t="s">
        <v>108</v>
      </c>
      <c r="G6" s="5" t="n">
        <f aca="false">COUNTIF(B4_PhanLopW!$AD$5:$AD$64,A6)</f>
        <v>9</v>
      </c>
      <c r="H6" s="20" t="n">
        <f aca="false">IF("",IFERROR(INDEX(B5_KiemDinh!$D$5:$D$7,MATCH(A6,B5_KiemDinh!$A$5:$A$7,0)),""))</f>
        <v>0.285714285714286</v>
      </c>
    </row>
    <row r="7" customFormat="false" ht="35.05" hidden="false" customHeight="false" outlineLevel="0" collapsed="false">
      <c r="A7" s="17" t="s">
        <v>109</v>
      </c>
      <c r="B7" s="18" t="s">
        <v>110</v>
      </c>
      <c r="C7" s="19" t="s">
        <v>111</v>
      </c>
      <c r="D7" s="19" t="s">
        <v>112</v>
      </c>
      <c r="E7" s="19" t="s">
        <v>113</v>
      </c>
      <c r="F7" s="19" t="s">
        <v>114</v>
      </c>
      <c r="G7" s="5" t="n">
        <f aca="false">COUNTIF(B4_PhanLopW!$AD$5:$AD$64,A7)</f>
        <v>19</v>
      </c>
      <c r="H7" s="20" t="n">
        <f aca="false">IF("",IFERROR(INDEX(B5_KiemDinh!$D$5:$D$7,MATCH(A7,B5_KiemDinh!$A$5:$A$7,0)),""))</f>
        <v>0</v>
      </c>
    </row>
    <row r="8" customFormat="false" ht="23.85" hidden="false" customHeight="false" outlineLevel="0" collapsed="false">
      <c r="A8" s="17" t="inlineStr">
        <is>
          <t/>
        </is>
      </c>
      <c r="B8" s="18" t="inlineStr">
        <is>
          <t/>
        </is>
      </c>
      <c r="C8" s="19" t="inlineStr">
        <is>
          <t/>
        </is>
      </c>
      <c r="D8" s="19" t="inlineStr">
        <is>
          <t/>
        </is>
      </c>
      <c r="E8" s="19" t="inlineStr">
        <is>
          <t/>
        </is>
      </c>
      <c r="F8" s="19" t="inlineStr">
        <is>
          <t/>
        </is>
      </c>
      <c r="G8" s="5" t="n">
        <f aca="false"/>
        <v>0</v>
      </c>
      <c r="H8" s="20" t="str">
        <f aca="false"/>
        <v/>
      </c>
    </row>
    <row r="10" customFormat="false" ht="15" hidden="false" customHeight="false" outlineLevel="0" collapsed="false">
      <c r="A10" s="16" t="s">
        <v>120</v>
      </c>
    </row>
    <row r="12" customFormat="false" ht="15" hidden="false" customHeight="false" outlineLevel="0" collapsed="false">
      <c r="A12" s="3" t="s">
        <v>121</v>
      </c>
    </row>
    <row r="13" customFormat="false" ht="15" hidden="false" customHeight="false" outlineLevel="0" collapsed="false">
      <c r="A13" s="4" t="s">
        <v>122</v>
      </c>
      <c r="B13" s="4" t="s">
        <v>90</v>
      </c>
      <c r="C13" s="4" t="s">
        <v>123</v>
      </c>
      <c r="D13" s="4" t="s">
        <v>124</v>
      </c>
      <c r="E13" s="4" t="s">
        <v>125</v>
      </c>
    </row>
    <row r="14" customFormat="false" ht="57.45" hidden="false" customHeight="false" outlineLevel="0" collapsed="false">
      <c r="A14" s="18" t="s">
        <v>126</v>
      </c>
      <c r="B14" s="19" t="s">
        <v>98</v>
      </c>
      <c r="C14" s="19" t="s">
        <v>127</v>
      </c>
      <c r="D14" s="19" t="s">
        <v>128</v>
      </c>
      <c r="E14" s="19" t="s">
        <v>129</v>
      </c>
    </row>
    <row r="15" customFormat="false" ht="35.05" hidden="false" customHeight="false" outlineLevel="0" collapsed="false">
      <c r="A15" s="18" t="s">
        <v>130</v>
      </c>
      <c r="B15" s="19" t="s">
        <v>98</v>
      </c>
      <c r="C15" s="19" t="s">
        <v>131</v>
      </c>
      <c r="D15" s="19" t="s">
        <v>132</v>
      </c>
      <c r="E15" s="19" t="s">
        <v>133</v>
      </c>
    </row>
    <row r="16" customFormat="false" ht="23.85" hidden="false" customHeight="false" outlineLevel="0" collapsed="false">
      <c r="A16" s="18" t="s">
        <v>134</v>
      </c>
      <c r="B16" s="19" t="s">
        <v>104</v>
      </c>
      <c r="C16" s="19" t="s">
        <v>127</v>
      </c>
      <c r="D16" s="19" t="s">
        <v>135</v>
      </c>
      <c r="E16" s="19" t="s">
        <v>136</v>
      </c>
    </row>
    <row r="17" customFormat="false" ht="35.05" hidden="false" customHeight="false" outlineLevel="0" collapsed="false">
      <c r="A17" s="18" t="s">
        <v>137</v>
      </c>
      <c r="B17" s="19" t="s">
        <v>104</v>
      </c>
      <c r="C17" s="19" t="s">
        <v>131</v>
      </c>
      <c r="D17" s="19" t="s">
        <v>138</v>
      </c>
      <c r="E17" s="19" t="s">
        <v>139</v>
      </c>
    </row>
    <row r="18" customFormat="false" ht="35.05" hidden="false" customHeight="false" outlineLevel="0" collapsed="false">
      <c r="A18" s="18" t="s">
        <v>140</v>
      </c>
      <c r="B18" s="19" t="s">
        <v>110</v>
      </c>
      <c r="C18" s="19" t="s">
        <v>127</v>
      </c>
      <c r="D18" s="19" t="s">
        <v>141</v>
      </c>
      <c r="E18" s="19" t="s">
        <v>142</v>
      </c>
    </row>
    <row r="19" customFormat="false" ht="35.05" hidden="false" customHeight="false" outlineLevel="0" collapsed="false">
      <c r="A19" s="18" t="s">
        <v>143</v>
      </c>
      <c r="B19" s="19" t="s">
        <v>110</v>
      </c>
      <c r="C19" s="19" t="s">
        <v>131</v>
      </c>
      <c r="D19" s="19" t="s">
        <v>138</v>
      </c>
      <c r="E19" s="19" t="s">
        <v>144</v>
      </c>
    </row>
    <row r="21" customFormat="false" ht="15" hidden="false" customHeight="false" outlineLevel="0" collapsed="false">
      <c r="A21" s="16" t="s">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8"/>
    <col collapsed="false" customWidth="true" hidden="false" outlineLevel="0" max="3" min="3" style="0" width="16"/>
    <col collapsed="false" customWidth="true" hidden="false" outlineLevel="0" max="4" min="4" style="0" width="11"/>
    <col collapsed="false" customWidth="true" hidden="false" outlineLevel="0" max="5" min="5" style="0" width="95"/>
  </cols>
  <sheetData>
    <row r="1" customFormat="false" ht="17.35" hidden="false" customHeight="false" outlineLevel="0" collapsed="false">
      <c r="A1" s="15" t="s">
        <v>146</v>
      </c>
    </row>
    <row r="3" customFormat="false" ht="15" hidden="false" customHeight="false" outlineLevel="0" collapsed="false">
      <c r="A3" s="4" t="s">
        <v>147</v>
      </c>
      <c r="B3" s="4" t="s">
        <v>148</v>
      </c>
      <c r="C3" s="4" t="s">
        <v>149</v>
      </c>
      <c r="D3" s="4" t="s">
        <v>5</v>
      </c>
      <c r="E3" s="4" t="s">
        <v>150</v>
      </c>
    </row>
    <row r="4" customFormat="false" ht="15" hidden="false" customHeight="false" outlineLevel="0" collapsed="false">
      <c r="A4" s="5" t="s">
        <v>151</v>
      </c>
      <c r="B4" s="19" t="s">
        <v>152</v>
      </c>
      <c r="C4" s="21" t="n">
        <v>0.5</v>
      </c>
      <c r="D4" s="5" t="s">
        <v>153</v>
      </c>
      <c r="E4" s="19" t="s">
        <v>154</v>
      </c>
    </row>
    <row r="5" customFormat="false" ht="15" hidden="false" customHeight="false" outlineLevel="0" collapsed="false">
      <c r="A5" s="5" t="s">
        <v>155</v>
      </c>
      <c r="B5" s="19" t="s">
        <v>156</v>
      </c>
      <c r="C5" s="21" t="n">
        <v>0.75</v>
      </c>
      <c r="D5" s="5" t="s">
        <v>153</v>
      </c>
      <c r="E5" s="19" t="s">
        <v>157</v>
      </c>
    </row>
    <row r="6" customFormat="false" ht="15" hidden="false" customHeight="false" outlineLevel="0" collapsed="false">
      <c r="A6" s="5" t="s">
        <v>158</v>
      </c>
      <c r="B6" s="19" t="s">
        <v>159</v>
      </c>
      <c r="C6" s="21" t="n">
        <v>0.9</v>
      </c>
      <c r="D6" s="5" t="s">
        <v>153</v>
      </c>
      <c r="E6" s="19" t="s">
        <v>160</v>
      </c>
    </row>
    <row r="7" customFormat="false" ht="15" hidden="false" customHeight="false" outlineLevel="0" collapsed="false">
      <c r="A7" s="5" t="s">
        <v>161</v>
      </c>
      <c r="B7" s="19" t="s">
        <v>162</v>
      </c>
      <c r="C7" s="21" t="n">
        <v>0.1</v>
      </c>
      <c r="D7" s="5" t="s">
        <v>153</v>
      </c>
      <c r="E7" s="19" t="s">
        <v>163</v>
      </c>
    </row>
    <row r="8" customFormat="false" ht="15" hidden="false" customHeight="false" outlineLevel="0" collapsed="false">
      <c r="A8" s="5" t="s">
        <v>164</v>
      </c>
      <c r="B8" s="19" t="s">
        <v>165</v>
      </c>
      <c r="C8" s="21" t="n">
        <v>0.25</v>
      </c>
      <c r="D8" s="5" t="s">
        <v>153</v>
      </c>
      <c r="E8" s="19" t="s">
        <v>166</v>
      </c>
    </row>
    <row r="9" customFormat="false" ht="15" hidden="false" customHeight="false" outlineLevel="0" collapsed="false">
      <c r="A9" s="5" t="s">
        <v>167</v>
      </c>
      <c r="B9" s="19" t="s">
        <v>168</v>
      </c>
      <c r="C9" s="21" t="n">
        <v>0.05</v>
      </c>
      <c r="D9" s="5" t="s">
        <v>23</v>
      </c>
      <c r="E9" s="19" t="s">
        <v>169</v>
      </c>
    </row>
    <row r="10" customFormat="false" ht="23.85" hidden="false" customHeight="false" outlineLevel="0" collapsed="false">
      <c r="A10" s="5" t="s">
        <v>170</v>
      </c>
      <c r="B10" s="19" t="s">
        <v>171</v>
      </c>
      <c r="C10" s="22" t="n">
        <v>1</v>
      </c>
      <c r="D10" s="5" t="s">
        <v>172</v>
      </c>
      <c r="E10" s="19" t="s">
        <v>173</v>
      </c>
    </row>
    <row r="11" customFormat="false" ht="15" hidden="false" customHeight="false" outlineLevel="0" collapsed="false">
      <c r="A11" s="5" t="s">
        <v>174</v>
      </c>
      <c r="B11" s="19" t="s">
        <v>175</v>
      </c>
      <c r="C11" s="23" t="n">
        <v>50000000000</v>
      </c>
      <c r="D11" s="5" t="s">
        <v>176</v>
      </c>
      <c r="E11" s="19" t="s">
        <v>177</v>
      </c>
    </row>
    <row r="12" customFormat="false" ht="15" hidden="false" customHeight="false" outlineLevel="0" collapsed="false">
      <c r="A12" s="5" t="s">
        <v>178</v>
      </c>
      <c r="B12" s="19" t="s">
        <v>179</v>
      </c>
      <c r="C12" s="23" t="n">
        <v>1500000000000</v>
      </c>
      <c r="D12" s="5" t="s">
        <v>176</v>
      </c>
      <c r="E12" s="19" t="s">
        <v>180</v>
      </c>
    </row>
    <row r="13" customFormat="false" ht="15" hidden="false" customHeight="false" outlineLevel="0" collapsed="false">
      <c r="A13" s="5" t="s">
        <v>181</v>
      </c>
      <c r="B13" s="19" t="s">
        <v>182</v>
      </c>
      <c r="C13" s="23" t="n">
        <v>200000000000</v>
      </c>
      <c r="D13" s="5" t="s">
        <v>176</v>
      </c>
      <c r="E13" s="19" t="s">
        <v>183</v>
      </c>
    </row>
    <row r="14" customFormat="false" ht="15" hidden="false" customHeight="false" outlineLevel="0" collapsed="false">
      <c r="A14" s="5" t="s">
        <v>184</v>
      </c>
      <c r="B14" s="19" t="s">
        <v>185</v>
      </c>
      <c r="C14" s="23" t="n">
        <v>100000000000</v>
      </c>
      <c r="D14" s="5" t="s">
        <v>176</v>
      </c>
      <c r="E14" s="19" t="s">
        <v>186</v>
      </c>
    </row>
    <row r="15" customFormat="false" ht="23.85" hidden="false" customHeight="false" outlineLevel="0" collapsed="false">
      <c r="A15" s="5" t="s">
        <v>187</v>
      </c>
      <c r="B15" s="19" t="s">
        <v>188</v>
      </c>
      <c r="C15" s="22" t="n">
        <v>20</v>
      </c>
      <c r="D15" s="5" t="s">
        <v>8</v>
      </c>
      <c r="E15" s="19" t="s">
        <v>189</v>
      </c>
    </row>
    <row r="16" customFormat="false" ht="15" hidden="false" customHeight="false" outlineLevel="0" collapsed="false">
      <c r="A16" s="5" t="s">
        <v>190</v>
      </c>
      <c r="B16" s="19" t="s">
        <v>191</v>
      </c>
      <c r="C16" s="21" t="n">
        <v>0.05</v>
      </c>
      <c r="D16" s="5" t="s">
        <v>192</v>
      </c>
      <c r="E16" s="19" t="s">
        <v>193</v>
      </c>
    </row>
    <row r="17" customFormat="false" ht="15" hidden="false" customHeight="false" outlineLevel="0" collapsed="false">
      <c r="A17" s="5" t="s">
        <v>194</v>
      </c>
      <c r="B17" s="19" t="s">
        <v>195</v>
      </c>
      <c r="C17" s="21" t="n">
        <v>0.1</v>
      </c>
      <c r="D17" s="5" t="s">
        <v>196</v>
      </c>
      <c r="E17" s="19" t="s">
        <v>197</v>
      </c>
    </row>
    <row r="18" customFormat="false" ht="15" hidden="false" customHeight="false" outlineLevel="0" collapsed="false">
      <c r="A18" s="5" t="s">
        <v>198</v>
      </c>
      <c r="B18" s="19" t="s">
        <v>199</v>
      </c>
      <c r="C18" s="21" t="n">
        <v>3</v>
      </c>
      <c r="D18" s="5" t="s">
        <v>196</v>
      </c>
      <c r="E18" s="19" t="s">
        <v>200</v>
      </c>
    </row>
    <row r="19" customFormat="false" ht="15" hidden="false" customHeight="false" outlineLevel="0" collapsed="false">
      <c r="A19" s="5" t="s">
        <v>201</v>
      </c>
      <c r="B19" s="19" t="s">
        <v>202</v>
      </c>
      <c r="C19" s="21" t="n">
        <v>1</v>
      </c>
      <c r="D19" s="5" t="s">
        <v>196</v>
      </c>
      <c r="E19" s="19" t="s">
        <v>203</v>
      </c>
    </row>
    <row r="20" customFormat="false" ht="15" hidden="false" customHeight="false" outlineLevel="0" collapsed="false">
      <c r="A20" s="5" t="s">
        <v>204</v>
      </c>
      <c r="B20" s="19" t="s">
        <v>205</v>
      </c>
      <c r="C20" s="21" t="n">
        <v>0.3</v>
      </c>
      <c r="D20" s="5" t="s">
        <v>23</v>
      </c>
      <c r="E20" s="19" t="s">
        <v>206</v>
      </c>
    </row>
    <row r="21" customFormat="false" ht="15" hidden="false" customHeight="false" outlineLevel="0" collapsed="false">
      <c r="A21" s="5" t="s">
        <v>207</v>
      </c>
      <c r="B21" s="19" t="s">
        <v>208</v>
      </c>
      <c r="C21" s="22" t="n">
        <v>2025</v>
      </c>
      <c r="D21" s="5" t="s">
        <v>209</v>
      </c>
      <c r="E21" s="19" t="s">
        <v>210</v>
      </c>
    </row>
    <row r="22" customFormat="false" ht="15" hidden="false" customHeight="false" outlineLevel="0" collapsed="false">
      <c r="A22" s="5" t="s">
        <v>211</v>
      </c>
      <c r="B22" s="19" t="s">
        <v>212</v>
      </c>
      <c r="C22" s="22" t="n">
        <v>2023</v>
      </c>
      <c r="D22" s="5" t="s">
        <v>209</v>
      </c>
      <c r="E22" s="19" t="s">
        <v>213</v>
      </c>
    </row>
    <row r="23" customFormat="false" ht="15" hidden="false" customHeight="false" outlineLevel="0" collapsed="false">
      <c r="A23" s="5" t="s">
        <v>214</v>
      </c>
      <c r="B23" s="19" t="s">
        <v>215</v>
      </c>
      <c r="C23" s="22" t="n">
        <v>2025</v>
      </c>
      <c r="D23" s="5" t="s">
        <v>209</v>
      </c>
      <c r="E23" s="19" t="s">
        <v>216</v>
      </c>
    </row>
    <row r="24" customFormat="false" ht="23.85" hidden="false" customHeight="false" outlineLevel="0" collapsed="false">
      <c r="A24" s="5" t="s">
        <v>217</v>
      </c>
      <c r="B24" s="19" t="s">
        <v>218</v>
      </c>
      <c r="C24" s="21" t="n">
        <v>0.25</v>
      </c>
      <c r="D24" s="5" t="s">
        <v>153</v>
      </c>
      <c r="E24" s="19" t="s">
        <v>219</v>
      </c>
    </row>
    <row r="25" customFormat="false" ht="15" hidden="false" customHeight="false" outlineLevel="0" collapsed="false">
      <c r="A25" s="5" t="s">
        <v>220</v>
      </c>
      <c r="B25" s="19" t="s">
        <v>221</v>
      </c>
      <c r="C25" s="23" t="n">
        <v>1000000</v>
      </c>
      <c r="D25" s="5" t="s">
        <v>222</v>
      </c>
      <c r="E25" s="19" t="s">
        <v>223</v>
      </c>
    </row>
    <row r="26" customFormat="false" ht="15" hidden="false" customHeight="false" outlineLevel="0" collapsed="false">
      <c r="A26" s="5" t="s">
        <v>224</v>
      </c>
      <c r="B26" s="19" t="s">
        <v>225</v>
      </c>
      <c r="C26" s="24" t="n">
        <v>0.0475</v>
      </c>
      <c r="D26" s="5" t="s">
        <v>226</v>
      </c>
      <c r="E26" s="19" t="s">
        <v>227</v>
      </c>
    </row>
    <row r="27" customFormat="false" ht="15" hidden="false" customHeight="false" outlineLevel="0" collapsed="false">
      <c r="A27" s="5" t="s">
        <v>228</v>
      </c>
      <c r="B27" s="19" t="s">
        <v>229</v>
      </c>
      <c r="C27" s="22" t="n">
        <v>365</v>
      </c>
      <c r="D27" s="5" t="s">
        <v>8</v>
      </c>
      <c r="E27" s="19" t="s">
        <v>230</v>
      </c>
    </row>
    <row r="28" customFormat="false" ht="23.85" hidden="false" customHeight="false" outlineLevel="0" collapsed="false">
      <c r="A28" s="5" t="s">
        <v>231</v>
      </c>
      <c r="B28" s="19" t="s">
        <v>232</v>
      </c>
      <c r="C28" s="23" t="n">
        <v>0</v>
      </c>
      <c r="D28" s="5" t="s">
        <v>176</v>
      </c>
      <c r="E28" s="19" t="s">
        <v>233</v>
      </c>
    </row>
    <row r="29" customFormat="false" ht="23.85" hidden="false" customHeight="false" outlineLevel="0" collapsed="false">
      <c r="A29" s="5" t="s">
        <v>234</v>
      </c>
      <c r="B29" s="19" t="s">
        <v>235</v>
      </c>
      <c r="C29" s="22" t="n">
        <v>90</v>
      </c>
      <c r="D29" s="5" t="s">
        <v>8</v>
      </c>
      <c r="E29" s="19"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15"/>
    <col collapsed="false" customWidth="true" hidden="false" outlineLevel="0" max="5" min="4" style="0" width="14"/>
    <col collapsed="false" customWidth="true" hidden="false" outlineLevel="0" max="6" min="6" style="0" width="12"/>
    <col collapsed="false" customWidth="true" hidden="false" outlineLevel="0" max="7" min="7" style="0" width="11"/>
    <col collapsed="false" customWidth="true" hidden="false" outlineLevel="0" max="8" min="8" style="0" width="10"/>
    <col collapsed="false" customWidth="true" hidden="false" outlineLevel="0" max="9" min="9" style="0" width="9"/>
    <col collapsed="false" customWidth="true" hidden="false" outlineLevel="0" max="10" min="10" style="0" width="55"/>
    <col collapsed="false" customWidth="true" hidden="false" outlineLevel="0" max="11" min="11" style="0" width="11"/>
    <col collapsed="false" customWidth="true" hidden="false" outlineLevel="0" max="12" min="12" style="0" width="16"/>
    <col collapsed="false" customWidth="true" hidden="false" outlineLevel="0" max="17" min="13" style="0" width="11"/>
  </cols>
  <sheetData>
    <row r="1" customFormat="false" ht="17.35" hidden="false" customHeight="false" outlineLevel="0" collapsed="false">
      <c r="A1" s="15" t="s">
        <v>237</v>
      </c>
    </row>
    <row r="2" customFormat="false" ht="15" hidden="false" customHeight="false" outlineLevel="0" collapsed="false">
      <c r="A2" s="16" t="s">
        <v>238</v>
      </c>
    </row>
    <row r="4" customFormat="false" ht="54.75" hidden="false" customHeight="true" outlineLevel="0" collapsed="false">
      <c r="A4" s="4" t="s">
        <v>147</v>
      </c>
      <c r="B4" s="4" t="s">
        <v>239</v>
      </c>
      <c r="C4" s="4" t="s">
        <v>240</v>
      </c>
      <c r="D4" s="4" t="s">
        <v>241</v>
      </c>
      <c r="E4" s="4" t="s">
        <v>242</v>
      </c>
      <c r="F4" s="4" t="s">
        <v>243</v>
      </c>
      <c r="G4" s="4" t="s">
        <v>244</v>
      </c>
      <c r="H4" s="4" t="s">
        <v>245</v>
      </c>
      <c r="I4" s="4" t="s">
        <v>246</v>
      </c>
      <c r="J4" s="4" t="s">
        <v>247</v>
      </c>
      <c r="K4" s="4" t="s">
        <v>248</v>
      </c>
      <c r="L4" s="4" t="s">
        <v>249</v>
      </c>
      <c r="M4" s="4" t="s">
        <v>250</v>
      </c>
      <c r="N4" s="4" t="s">
        <v>251</v>
      </c>
      <c r="O4" s="4" t="s">
        <v>252</v>
      </c>
      <c r="P4" s="4" t="s">
        <v>253</v>
      </c>
      <c r="Q4" s="4" t="s">
        <v>254</v>
      </c>
    </row>
    <row r="5" customFormat="false" ht="15" hidden="false" customHeight="false" outlineLevel="0" collapsed="false">
      <c r="A5" s="25" t="s">
        <v>255</v>
      </c>
      <c r="B5" s="25" t="s">
        <v>256</v>
      </c>
      <c r="C5" s="25" t="s">
        <v>257</v>
      </c>
      <c r="D5" s="26" t="n">
        <f aca="false">IFERROR(MEDIAN(DuLieu!D5:D7)/1000000000,"")</f>
        <v>337.512371714</v>
      </c>
      <c r="E5" s="26" t="n">
        <f aca="false">IFERROR(MEDIAN(DuLieu!F5:F7)/1000000000,"")</f>
        <v>151.539551502</v>
      </c>
      <c r="F5" s="5" t="n">
        <f aca="false">COUNTIF(DuLieu!W5:W7,"Có")</f>
        <v>0</v>
      </c>
      <c r="G5" s="26" t="n">
        <f aca="false">IFERROR(MEDIAN(DuLieu!X5:X7),"")</f>
        <v>105.5378848</v>
      </c>
      <c r="H5" s="27" t="str">
        <f aca="false">IF(I5="Có","Loại",IF(G5="","Chưa rõ",IF(G5&lt;ThamSo!$C$15,"CMT","FOB")))</f>
        <v>FOB</v>
      </c>
      <c r="I5" s="25" t="s">
        <v>258</v>
      </c>
      <c r="J5" s="28"/>
      <c r="K5" s="5" t="n">
        <f aca="false">SUM(DuLieu!U5:U7)</f>
        <v>3</v>
      </c>
      <c r="L5" s="5" t="str">
        <f aca="false">IF(K5=0,"",IF(COUNTIFS(DuLieu!U5:U7,1,DuLieu!V5:V7,"Nhỏ–vừa")&gt;=COUNTIFS(DuLieu!U5:U7,1,DuLieu!V5:V7,"Lớn"),"Nhỏ–vừa","Lớn"))</f>
        <v>Nhỏ–vừa</v>
      </c>
      <c r="M5" s="26" t="n">
        <f aca="false">IFERROR(MEDIAN(DuLieu!AB5:AB7),"")</f>
        <v>25.85780875</v>
      </c>
      <c r="N5" s="26" t="n">
        <f aca="false">IFERROR(MEDIAN(DuLieu!AE5:AE7),"")</f>
        <v>105.5378848</v>
      </c>
      <c r="O5" s="26" t="n">
        <f aca="false">IFERROR(MEDIAN(DuLieu!AH5:AH7),"")</f>
        <v>84.01270669</v>
      </c>
      <c r="P5" s="20" t="n">
        <f aca="false">IFERROR(MEDIAN(DuLieu!Y5:Y7),"")</f>
        <v>0.0447794500061648</v>
      </c>
      <c r="Q5" s="29" t="str">
        <f aca="false">IF(AND(H5="FOB",K5&gt;0),"Có","Không")</f>
        <v>Có</v>
      </c>
    </row>
    <row r="6" customFormat="false" ht="15" hidden="false" customHeight="false" outlineLevel="0" collapsed="false">
      <c r="A6" s="25" t="s">
        <v>259</v>
      </c>
      <c r="B6" s="25" t="s">
        <v>260</v>
      </c>
      <c r="C6" s="25" t="s">
        <v>261</v>
      </c>
      <c r="D6" s="26" t="n">
        <f aca="false">IFERROR(MEDIAN(DuLieu!D8:D10)/1000000000,"")</f>
        <v>1765.786732419</v>
      </c>
      <c r="E6" s="26" t="n">
        <f aca="false">IFERROR(MEDIAN(DuLieu!F8:F10)/1000000000,"")</f>
        <v>1132.62285196</v>
      </c>
      <c r="F6" s="5" t="n">
        <f aca="false">COUNTIF(DuLieu!W8:W10,"Có")</f>
        <v>0</v>
      </c>
      <c r="G6" s="26" t="n">
        <f aca="false">IFERROR(MEDIAN(DuLieu!X8:X10),"")</f>
        <v>59.72035259</v>
      </c>
      <c r="H6" s="27" t="str">
        <f aca="false">IF(I6="Có","Loại",IF(G6="","Chưa rõ",IF(G6&lt;ThamSo!$C$15,"CMT","FOB")))</f>
        <v>FOB</v>
      </c>
      <c r="I6" s="25" t="s">
        <v>258</v>
      </c>
      <c r="J6" s="28"/>
      <c r="K6" s="5" t="n">
        <f aca="false">SUM(DuLieu!U8:U10)</f>
        <v>3</v>
      </c>
      <c r="L6" s="5" t="str">
        <f aca="false">IF(K6=0,"",IF(COUNTIFS(DuLieu!U8:U10,1,DuLieu!V8:V10,"Nhỏ–vừa")&gt;=COUNTIFS(DuLieu!U8:U10,1,DuLieu!V8:V10,"Lớn"),"Nhỏ–vừa","Lớn"))</f>
        <v>Lớn</v>
      </c>
      <c r="M6" s="26" t="n">
        <f aca="false">IFERROR(MEDIAN(DuLieu!AB8:AB10),"")</f>
        <v>47.79958062</v>
      </c>
      <c r="N6" s="26" t="n">
        <f aca="false">IFERROR(MEDIAN(DuLieu!AE8:AE10),"")</f>
        <v>59.72035259</v>
      </c>
      <c r="O6" s="26" t="n">
        <f aca="false">IFERROR(MEDIAN(DuLieu!AH8:AH10),"")</f>
        <v>32.64284081</v>
      </c>
      <c r="P6" s="20" t="n">
        <f aca="false">IFERROR(MEDIAN(DuLieu!Y8:Y10),"")</f>
        <v>0.15094065222397</v>
      </c>
      <c r="Q6" s="29" t="str">
        <f aca="false">IF(AND(H6="FOB",K6&gt;0),"Có","Không")</f>
        <v>Có</v>
      </c>
    </row>
    <row r="7" customFormat="false" ht="15" hidden="false" customHeight="false" outlineLevel="0" collapsed="false">
      <c r="A7" s="25" t="s">
        <v>262</v>
      </c>
      <c r="B7" s="25" t="s">
        <v>263</v>
      </c>
      <c r="C7" s="25" t="s">
        <v>257</v>
      </c>
      <c r="D7" s="26" t="n">
        <f aca="false">IFERROR(MEDIAN(DuLieu!D11:D13)/1000000000,"")</f>
        <v>295.724897278</v>
      </c>
      <c r="E7" s="26" t="n">
        <f aca="false">IFERROR(MEDIAN(DuLieu!F11:F13)/1000000000,"")</f>
        <v>178.466849746</v>
      </c>
      <c r="F7" s="5" t="n">
        <f aca="false">COUNTIF(DuLieu!W11:W13,"Có")</f>
        <v>0</v>
      </c>
      <c r="G7" s="26" t="n">
        <f aca="false">IFERROR(MEDIAN(DuLieu!X11:X13),"")</f>
        <v>64.14008177</v>
      </c>
      <c r="H7" s="27" t="str">
        <f aca="false">IF(I7="Có","Loại",IF(G7="","Chưa rõ",IF(G7&lt;ThamSo!$C$15,"CMT","FOB")))</f>
        <v>FOB</v>
      </c>
      <c r="I7" s="25" t="s">
        <v>258</v>
      </c>
      <c r="J7" s="28"/>
      <c r="K7" s="5" t="n">
        <f aca="false">SUM(DuLieu!U11:U13)</f>
        <v>3</v>
      </c>
      <c r="L7" s="5" t="str">
        <f aca="false">IF(K7=0,"",IF(COUNTIFS(DuLieu!U11:U13,1,DuLieu!V11:V13,"Nhỏ–vừa")&gt;=COUNTIFS(DuLieu!U11:U13,1,DuLieu!V11:V13,"Lớn"),"Nhỏ–vừa","Lớn"))</f>
        <v>Nhỏ–vừa</v>
      </c>
      <c r="M7" s="26" t="n">
        <f aca="false">IFERROR(MEDIAN(DuLieu!AB11:AB13),"")</f>
        <v>31.71454488</v>
      </c>
      <c r="N7" s="26" t="n">
        <f aca="false">IFERROR(MEDIAN(DuLieu!AE11:AE13),"")</f>
        <v>64.14008177</v>
      </c>
      <c r="O7" s="26" t="n">
        <f aca="false">IFERROR(MEDIAN(DuLieu!AH11:AH13),"")</f>
        <v>34.06861014</v>
      </c>
      <c r="P7" s="20" t="n">
        <f aca="false">IFERROR(MEDIAN(DuLieu!Y11:Y13),"")</f>
        <v>0.118421991291043</v>
      </c>
      <c r="Q7" s="29" t="str">
        <f aca="false">IF(AND(H7="FOB",K7&gt;0),"Có","Không")</f>
        <v>Có</v>
      </c>
    </row>
    <row r="8" customFormat="false" ht="15" hidden="false" customHeight="false" outlineLevel="0" collapsed="false">
      <c r="A8" s="25" t="s">
        <v>264</v>
      </c>
      <c r="B8" s="25" t="s">
        <v>265</v>
      </c>
      <c r="C8" s="25" t="s">
        <v>257</v>
      </c>
      <c r="D8" s="26" t="n">
        <f aca="false">IFERROR(MEDIAN(DuLieu!D14:D16)/1000000000,"")</f>
        <v>554.87991102</v>
      </c>
      <c r="E8" s="26" t="n">
        <f aca="false">IFERROR(MEDIAN(DuLieu!F14:F16)/1000000000,"")</f>
        <v>421.387983406</v>
      </c>
      <c r="F8" s="5" t="n">
        <f aca="false">COUNTIF(DuLieu!W14:W16,"Có")</f>
        <v>0</v>
      </c>
      <c r="G8" s="26" t="n">
        <f aca="false">IFERROR(MEDIAN(DuLieu!X14:X16),"")</f>
        <v>9.2933175</v>
      </c>
      <c r="H8" s="27" t="str">
        <f aca="false">IF(I8="Có","Loại",IF(G8="","Chưa rõ",IF(G8&lt;ThamSo!$C$15,"CMT","FOB")))</f>
        <v>CMT</v>
      </c>
      <c r="I8" s="25" t="s">
        <v>258</v>
      </c>
      <c r="J8" s="28"/>
      <c r="K8" s="5" t="n">
        <f aca="false">SUM(DuLieu!U14:U16)</f>
        <v>0</v>
      </c>
      <c r="L8" s="5" t="str">
        <f aca="false">IF(K8=0,"",IF(COUNTIFS(DuLieu!U14:U16,1,DuLieu!V14:V16,"Nhỏ–vừa")&gt;=COUNTIFS(DuLieu!U14:U16,1,DuLieu!V14:V16,"Lớn"),"Nhỏ–vừa","Lớn"))</f>
        <v/>
      </c>
      <c r="M8" s="26" t="str">
        <f aca="false">IFERROR(MEDIAN(DuLieu!AB14:AB16),"")</f>
        <v/>
      </c>
      <c r="N8" s="26" t="str">
        <f aca="false">IFERROR(MEDIAN(DuLieu!AE14:AE16),"")</f>
        <v/>
      </c>
      <c r="O8" s="26" t="str">
        <f aca="false">IFERROR(MEDIAN(DuLieu!AH14:AH16),"")</f>
        <v/>
      </c>
      <c r="P8" s="20" t="str">
        <f aca="false">IFERROR(MEDIAN(DuLieu!Y14:Y16),"")</f>
        <v/>
      </c>
      <c r="Q8" s="29" t="str">
        <f aca="false">IF(AND(H8="FOB",K8&gt;0),"Có","Không")</f>
        <v>Không</v>
      </c>
    </row>
    <row r="9" customFormat="false" ht="15" hidden="false" customHeight="false" outlineLevel="0" collapsed="false">
      <c r="A9" s="25" t="s">
        <v>266</v>
      </c>
      <c r="B9" s="25" t="s">
        <v>267</v>
      </c>
      <c r="C9" s="25" t="s">
        <v>257</v>
      </c>
      <c r="D9" s="26" t="n">
        <f aca="false">IFERROR(MEDIAN(DuLieu!D17:D19)/1000000000,"")</f>
        <v>741.070971989</v>
      </c>
      <c r="E9" s="26" t="n">
        <f aca="false">IFERROR(MEDIAN(DuLieu!F17:F19)/1000000000,"")</f>
        <v>540.044565464</v>
      </c>
      <c r="F9" s="5" t="n">
        <f aca="false">COUNTIF(DuLieu!W17:W19,"Có")</f>
        <v>0</v>
      </c>
      <c r="G9" s="26" t="n">
        <f aca="false">IFERROR(MEDIAN(DuLieu!X17:X19),"")</f>
        <v>55.71253193</v>
      </c>
      <c r="H9" s="27" t="str">
        <f aca="false">IF(I9="Có","Loại",IF(G9="","Chưa rõ",IF(G9&lt;ThamSo!$C$15,"CMT","FOB")))</f>
        <v>FOB</v>
      </c>
      <c r="I9" s="25" t="s">
        <v>258</v>
      </c>
      <c r="J9" s="28"/>
      <c r="K9" s="5" t="n">
        <f aca="false">SUM(DuLieu!U17:U19)</f>
        <v>3</v>
      </c>
      <c r="L9" s="5" t="str">
        <f aca="false">IF(K9=0,"",IF(COUNTIFS(DuLieu!U17:U19,1,DuLieu!V17:V19,"Nhỏ–vừa")&gt;=COUNTIFS(DuLieu!U17:U19,1,DuLieu!V17:V19,"Lớn"),"Nhỏ–vừa","Lớn"))</f>
        <v>Nhỏ–vừa</v>
      </c>
      <c r="M9" s="26" t="n">
        <f aca="false">IFERROR(MEDIAN(DuLieu!AB17:AB19),"")</f>
        <v>83.30746808</v>
      </c>
      <c r="N9" s="26" t="n">
        <f aca="false">IFERROR(MEDIAN(DuLieu!AE17:AE19),"")</f>
        <v>55.71253193</v>
      </c>
      <c r="O9" s="26" t="n">
        <f aca="false">IFERROR(MEDIAN(DuLieu!AH17:AH19),"")</f>
        <v>46.20003895</v>
      </c>
      <c r="P9" s="20" t="n">
        <f aca="false">IFERROR(MEDIAN(DuLieu!Y17:Y19),"")</f>
        <v>0.0703663696380406</v>
      </c>
      <c r="Q9" s="29" t="str">
        <f aca="false">IF(AND(H9="FOB",K9&gt;0),"Có","Không")</f>
        <v>Có</v>
      </c>
    </row>
    <row r="10" customFormat="false" ht="15" hidden="false" customHeight="false" outlineLevel="0" collapsed="false">
      <c r="A10" s="25" t="s">
        <v>268</v>
      </c>
      <c r="B10" s="25" t="s">
        <v>269</v>
      </c>
      <c r="C10" s="25" t="s">
        <v>257</v>
      </c>
      <c r="D10" s="26" t="n">
        <f aca="false">IFERROR(MEDIAN(DuLieu!D20:D22)/1000000000,"")</f>
        <v>0</v>
      </c>
      <c r="E10" s="26" t="n">
        <f aca="false">IFERROR(MEDIAN(DuLieu!F20:F22)/1000000000,"")</f>
        <v>94.998553951</v>
      </c>
      <c r="F10" s="5" t="n">
        <f aca="false">COUNTIF(DuLieu!W20:W22,"Có")</f>
        <v>1</v>
      </c>
      <c r="G10" s="26" t="str">
        <f aca="false">IFERROR(MEDIAN(DuLieu!X20:X22),"")</f>
        <v/>
      </c>
      <c r="H10" s="27" t="str">
        <f aca="false">IF(I10="Có","Loại",IF(G10="","Chưa rõ",IF(G10&lt;ThamSo!$C$15,"CMT","FOB")))</f>
        <v>Chưa rõ</v>
      </c>
      <c r="I10" s="25" t="s">
        <v>258</v>
      </c>
      <c r="J10" s="28"/>
      <c r="K10" s="5" t="n">
        <f aca="false">SUM(DuLieu!U20:U22)</f>
        <v>0</v>
      </c>
      <c r="L10" s="5" t="str">
        <f aca="false">IF(K10=0,"",IF(COUNTIFS(DuLieu!U20:U22,1,DuLieu!V20:V22,"Nhỏ–vừa")&gt;=COUNTIFS(DuLieu!U20:U22,1,DuLieu!V20:V22,"Lớn"),"Nhỏ–vừa","Lớn"))</f>
        <v/>
      </c>
      <c r="M10" s="26" t="str">
        <f aca="false">IFERROR(MEDIAN(DuLieu!AB20:AB22),"")</f>
        <v/>
      </c>
      <c r="N10" s="26" t="str">
        <f aca="false">IFERROR(MEDIAN(DuLieu!AE20:AE22),"")</f>
        <v/>
      </c>
      <c r="O10" s="26" t="str">
        <f aca="false">IFERROR(MEDIAN(DuLieu!AH20:AH22),"")</f>
        <v/>
      </c>
      <c r="P10" s="20" t="str">
        <f aca="false">IFERROR(MEDIAN(DuLieu!Y20:Y22),"")</f>
        <v/>
      </c>
      <c r="Q10" s="29" t="str">
        <f aca="false">IF(AND(H10="FOB",K10&gt;0),"Có","Không")</f>
        <v>Không</v>
      </c>
    </row>
    <row r="11" customFormat="false" ht="35.05" hidden="false" customHeight="false" outlineLevel="0" collapsed="false">
      <c r="A11" s="25" t="s">
        <v>270</v>
      </c>
      <c r="B11" s="25" t="s">
        <v>271</v>
      </c>
      <c r="C11" s="25" t="s">
        <v>261</v>
      </c>
      <c r="D11" s="26" t="n">
        <f aca="false">IFERROR(MEDIAN(DuLieu!D23:D25)/1000000000,"")</f>
        <v>713.620988088</v>
      </c>
      <c r="E11" s="26" t="n">
        <f aca="false">IFERROR(MEDIAN(DuLieu!F23:F25)/1000000000,"")</f>
        <v>3357.159038688</v>
      </c>
      <c r="F11" s="5" t="n">
        <f aca="false">COUNTIF(DuLieu!W23:W25,"Có")</f>
        <v>0</v>
      </c>
      <c r="G11" s="26" t="str">
        <f aca="false">IFERROR(MEDIAN(DuLieu!X23:X25),"")</f>
        <v/>
      </c>
      <c r="H11" s="27" t="str">
        <f aca="false">IF(I11="Có","Loại",IF(G11="","Chưa rõ",IF(G11&lt;ThamSo!$C$15,"CMT","FOB")))</f>
        <v>Loại</v>
      </c>
      <c r="I11" s="25" t="s">
        <v>272</v>
      </c>
      <c r="J11" s="28" t="s">
        <v>273</v>
      </c>
      <c r="K11" s="5" t="n">
        <f aca="false">SUM(DuLieu!U23:U25)</f>
        <v>0</v>
      </c>
      <c r="L11" s="5" t="str">
        <f aca="false">IF(K11=0,"",IF(COUNTIFS(DuLieu!U23:U25,1,DuLieu!V23:V25,"Nhỏ–vừa")&gt;=COUNTIFS(DuLieu!U23:U25,1,DuLieu!V23:V25,"Lớn"),"Nhỏ–vừa","Lớn"))</f>
        <v/>
      </c>
      <c r="M11" s="26" t="str">
        <f aca="false">IFERROR(MEDIAN(DuLieu!AB23:AB25),"")</f>
        <v/>
      </c>
      <c r="N11" s="26" t="str">
        <f aca="false">IFERROR(MEDIAN(DuLieu!AE23:AE25),"")</f>
        <v/>
      </c>
      <c r="O11" s="26" t="str">
        <f aca="false">IFERROR(MEDIAN(DuLieu!AH23:AH25),"")</f>
        <v/>
      </c>
      <c r="P11" s="20" t="str">
        <f aca="false">IFERROR(MEDIAN(DuLieu!Y23:Y25),"")</f>
        <v/>
      </c>
      <c r="Q11" s="29" t="str">
        <f aca="false">IF(AND(H11="FOB",K11&gt;0),"Có","Không")</f>
        <v>Không</v>
      </c>
    </row>
    <row r="12" customFormat="false" ht="15" hidden="false" customHeight="false" outlineLevel="0" collapsed="false">
      <c r="A12" s="25" t="s">
        <v>274</v>
      </c>
      <c r="B12" s="25" t="s">
        <v>275</v>
      </c>
      <c r="C12" s="25" t="s">
        <v>257</v>
      </c>
      <c r="D12" s="26" t="n">
        <f aca="false">IFERROR(MEDIAN(DuLieu!D26:D28)/1000000000,"")</f>
        <v>2.12794365</v>
      </c>
      <c r="E12" s="26" t="n">
        <f aca="false">IFERROR(MEDIAN(DuLieu!F26:F28)/1000000000,"")</f>
        <v>375.947251647</v>
      </c>
      <c r="F12" s="5" t="n">
        <f aca="false">COUNTIF(DuLieu!W26:W28,"Có")</f>
        <v>3</v>
      </c>
      <c r="G12" s="26" t="str">
        <f aca="false">IFERROR(MEDIAN(DuLieu!X26:X28),"")</f>
        <v/>
      </c>
      <c r="H12" s="27" t="str">
        <f aca="false">IF(I12="Có","Loại",IF(G12="","Chưa rõ",IF(G12&lt;ThamSo!$C$15,"CMT","FOB")))</f>
        <v>Chưa rõ</v>
      </c>
      <c r="I12" s="25" t="s">
        <v>258</v>
      </c>
      <c r="J12" s="28"/>
      <c r="K12" s="5" t="n">
        <f aca="false">SUM(DuLieu!U26:U28)</f>
        <v>0</v>
      </c>
      <c r="L12" s="5" t="str">
        <f aca="false">IF(K12=0,"",IF(COUNTIFS(DuLieu!U26:U28,1,DuLieu!V26:V28,"Nhỏ–vừa")&gt;=COUNTIFS(DuLieu!U26:U28,1,DuLieu!V26:V28,"Lớn"),"Nhỏ–vừa","Lớn"))</f>
        <v/>
      </c>
      <c r="M12" s="26" t="str">
        <f aca="false">IFERROR(MEDIAN(DuLieu!AB26:AB28),"")</f>
        <v/>
      </c>
      <c r="N12" s="26" t="str">
        <f aca="false">IFERROR(MEDIAN(DuLieu!AE26:AE28),"")</f>
        <v/>
      </c>
      <c r="O12" s="26" t="str">
        <f aca="false">IFERROR(MEDIAN(DuLieu!AH26:AH28),"")</f>
        <v/>
      </c>
      <c r="P12" s="20" t="str">
        <f aca="false">IFERROR(MEDIAN(DuLieu!Y26:Y28),"")</f>
        <v/>
      </c>
      <c r="Q12" s="29" t="str">
        <f aca="false">IF(AND(H12="FOB",K12&gt;0),"Có","Không")</f>
        <v>Không</v>
      </c>
    </row>
    <row r="13" customFormat="false" ht="15" hidden="false" customHeight="false" outlineLevel="0" collapsed="false">
      <c r="A13" s="25" t="s">
        <v>276</v>
      </c>
      <c r="B13" s="25" t="s">
        <v>277</v>
      </c>
      <c r="C13" s="25" t="s">
        <v>257</v>
      </c>
      <c r="D13" s="26" t="n">
        <f aca="false">IFERROR(MEDIAN(DuLieu!D29:D31)/1000000000,"")</f>
        <v>780.824095814</v>
      </c>
      <c r="E13" s="26" t="n">
        <f aca="false">IFERROR(MEDIAN(DuLieu!F29:F31)/1000000000,"")</f>
        <v>288.50867262</v>
      </c>
      <c r="F13" s="5" t="n">
        <f aca="false">COUNTIF(DuLieu!W29:W31,"Có")</f>
        <v>0</v>
      </c>
      <c r="G13" s="26" t="n">
        <f aca="false">IFERROR(MEDIAN(DuLieu!X29:X31),"")</f>
        <v>87.24594236</v>
      </c>
      <c r="H13" s="27" t="str">
        <f aca="false">IF(I13="Có","Loại",IF(G13="","Chưa rõ",IF(G13&lt;ThamSo!$C$15,"CMT","FOB")))</f>
        <v>FOB</v>
      </c>
      <c r="I13" s="25" t="s">
        <v>258</v>
      </c>
      <c r="J13" s="28"/>
      <c r="K13" s="5" t="n">
        <f aca="false">SUM(DuLieu!U29:U31)</f>
        <v>3</v>
      </c>
      <c r="L13" s="5" t="str">
        <f aca="false">IF(K13=0,"",IF(COUNTIFS(DuLieu!U29:U31,1,DuLieu!V29:V31,"Nhỏ–vừa")&gt;=COUNTIFS(DuLieu!U29:U31,1,DuLieu!V29:V31,"Lớn"),"Nhỏ–vừa","Lớn"))</f>
        <v>Nhỏ–vừa</v>
      </c>
      <c r="M13" s="26" t="n">
        <f aca="false">IFERROR(MEDIAN(DuLieu!AB29:AB31),"")</f>
        <v>21.52821737</v>
      </c>
      <c r="N13" s="26" t="n">
        <f aca="false">IFERROR(MEDIAN(DuLieu!AE29:AE31),"")</f>
        <v>87.24594236</v>
      </c>
      <c r="O13" s="26" t="n">
        <f aca="false">IFERROR(MEDIAN(DuLieu!AH29:AH31),"")</f>
        <v>8.13715467</v>
      </c>
      <c r="P13" s="20" t="n">
        <f aca="false">IFERROR(MEDIAN(DuLieu!Y29:Y31),"")</f>
        <v>0.094380675053546</v>
      </c>
      <c r="Q13" s="29" t="str">
        <f aca="false">IF(AND(H13="FOB",K13&gt;0),"Có","Không")</f>
        <v>Có</v>
      </c>
    </row>
    <row r="14" customFormat="false" ht="15" hidden="false" customHeight="false" outlineLevel="0" collapsed="false">
      <c r="A14" s="25" t="s">
        <v>278</v>
      </c>
      <c r="B14" s="25" t="s">
        <v>279</v>
      </c>
      <c r="C14" s="25" t="s">
        <v>257</v>
      </c>
      <c r="D14" s="26" t="n">
        <f aca="false">IFERROR(MEDIAN(DuLieu!D32:D34)/1000000000,"")</f>
        <v>980.292288149</v>
      </c>
      <c r="E14" s="26" t="n">
        <f aca="false">IFERROR(MEDIAN(DuLieu!F32:F34)/1000000000,"")</f>
        <v>758.725727595</v>
      </c>
      <c r="F14" s="5" t="n">
        <f aca="false">COUNTIF(DuLieu!W32:W34,"Có")</f>
        <v>0</v>
      </c>
      <c r="G14" s="26" t="n">
        <f aca="false">IFERROR(MEDIAN(DuLieu!X32:X34),"")</f>
        <v>26.97783069</v>
      </c>
      <c r="H14" s="27" t="str">
        <f aca="false">IF(I14="Có","Loại",IF(G14="","Chưa rõ",IF(G14&lt;ThamSo!$C$15,"CMT","FOB")))</f>
        <v>FOB</v>
      </c>
      <c r="I14" s="25" t="s">
        <v>258</v>
      </c>
      <c r="J14" s="28"/>
      <c r="K14" s="5" t="n">
        <f aca="false">SUM(DuLieu!U32:U34)</f>
        <v>3</v>
      </c>
      <c r="L14" s="5" t="str">
        <f aca="false">IF(K14=0,"",IF(COUNTIFS(DuLieu!U32:U34,1,DuLieu!V32:V34,"Nhỏ–vừa")&gt;=COUNTIFS(DuLieu!U32:U34,1,DuLieu!V32:V34,"Lớn"),"Nhỏ–vừa","Lớn"))</f>
        <v>Nhỏ–vừa</v>
      </c>
      <c r="M14" s="26" t="n">
        <f aca="false">IFERROR(MEDIAN(DuLieu!AB32:AB34),"")</f>
        <v>41.23760297</v>
      </c>
      <c r="N14" s="26" t="n">
        <f aca="false">IFERROR(MEDIAN(DuLieu!AE32:AE34),"")</f>
        <v>26.97783069</v>
      </c>
      <c r="O14" s="26" t="n">
        <f aca="false">IFERROR(MEDIAN(DuLieu!AH32:AH34),"")</f>
        <v>12.94331968</v>
      </c>
      <c r="P14" s="20" t="n">
        <f aca="false">IFERROR(MEDIAN(DuLieu!Y32:Y34),"")</f>
        <v>0.296668264212535</v>
      </c>
      <c r="Q14" s="29" t="str">
        <f aca="false">IF(AND(H14="FOB",K14&gt;0),"Có","Không")</f>
        <v>Có</v>
      </c>
    </row>
    <row r="15" customFormat="false" ht="15" hidden="false" customHeight="false" outlineLevel="0" collapsed="false">
      <c r="A15" s="25" t="s">
        <v>280</v>
      </c>
      <c r="B15" s="25" t="s">
        <v>281</v>
      </c>
      <c r="C15" s="25" t="s">
        <v>261</v>
      </c>
      <c r="D15" s="26" t="n">
        <f aca="false">IFERROR(MEDIAN(DuLieu!D35:D37)/1000000000,"")</f>
        <v>5111.153311349</v>
      </c>
      <c r="E15" s="26" t="n">
        <f aca="false">IFERROR(MEDIAN(DuLieu!F35:F37)/1000000000,"")</f>
        <v>2922.215616846</v>
      </c>
      <c r="F15" s="5" t="n">
        <f aca="false">COUNTIF(DuLieu!W35:W37,"Có")</f>
        <v>0</v>
      </c>
      <c r="G15" s="26" t="n">
        <f aca="false">IFERROR(MEDIAN(DuLieu!X35:X37),"")</f>
        <v>64.5579232</v>
      </c>
      <c r="H15" s="27" t="str">
        <f aca="false">IF(I15="Có","Loại",IF(G15="","Chưa rõ",IF(G15&lt;ThamSo!$C$15,"CMT","FOB")))</f>
        <v>FOB</v>
      </c>
      <c r="I15" s="25" t="s">
        <v>258</v>
      </c>
      <c r="J15" s="28"/>
      <c r="K15" s="5" t="n">
        <f aca="false">SUM(DuLieu!U35:U37)</f>
        <v>3</v>
      </c>
      <c r="L15" s="5" t="str">
        <f aca="false">IF(K15=0,"",IF(COUNTIFS(DuLieu!U35:U37,1,DuLieu!V35:V37,"Nhỏ–vừa")&gt;=COUNTIFS(DuLieu!U35:U37,1,DuLieu!V35:V37,"Lớn"),"Nhỏ–vừa","Lớn"))</f>
        <v>Lớn</v>
      </c>
      <c r="M15" s="26" t="n">
        <f aca="false">IFERROR(MEDIAN(DuLieu!AB35:AB37),"")</f>
        <v>38.70394026</v>
      </c>
      <c r="N15" s="26" t="n">
        <f aca="false">IFERROR(MEDIAN(DuLieu!AE35:AE37),"")</f>
        <v>64.5579232</v>
      </c>
      <c r="O15" s="26" t="n">
        <f aca="false">IFERROR(MEDIAN(DuLieu!AH35:AH37),"")</f>
        <v>20.48673333</v>
      </c>
      <c r="P15" s="20" t="n">
        <f aca="false">IFERROR(MEDIAN(DuLieu!Y35:Y37),"")</f>
        <v>0.141117835468456</v>
      </c>
      <c r="Q15" s="29" t="str">
        <f aca="false">IF(AND(H15="FOB",K15&gt;0),"Có","Không")</f>
        <v>Có</v>
      </c>
    </row>
    <row r="16" customFormat="false" ht="15" hidden="false" customHeight="false" outlineLevel="0" collapsed="false">
      <c r="A16" s="25" t="s">
        <v>282</v>
      </c>
      <c r="B16" s="25" t="s">
        <v>283</v>
      </c>
      <c r="C16" s="25" t="s">
        <v>261</v>
      </c>
      <c r="D16" s="26" t="n">
        <f aca="false">IFERROR(MEDIAN(DuLieu!D38:D40)/1000000000,"")</f>
        <v>690.525695082</v>
      </c>
      <c r="E16" s="26" t="n">
        <f aca="false">IFERROR(MEDIAN(DuLieu!F38:F40)/1000000000,"")</f>
        <v>607.907632393</v>
      </c>
      <c r="F16" s="5" t="n">
        <f aca="false">COUNTIF(DuLieu!W38:W40,"Có")</f>
        <v>0</v>
      </c>
      <c r="G16" s="26" t="n">
        <f aca="false">IFERROR(MEDIAN(DuLieu!X38:X40),"")</f>
        <v>38.47962145</v>
      </c>
      <c r="H16" s="27" t="str">
        <f aca="false">IF(I16="Có","Loại",IF(G16="","Chưa rõ",IF(G16&lt;ThamSo!$C$15,"CMT","FOB")))</f>
        <v>FOB</v>
      </c>
      <c r="I16" s="25" t="s">
        <v>258</v>
      </c>
      <c r="J16" s="28"/>
      <c r="K16" s="5" t="n">
        <f aca="false">SUM(DuLieu!U38:U40)</f>
        <v>3</v>
      </c>
      <c r="L16" s="5" t="str">
        <f aca="false">IF(K16=0,"",IF(COUNTIFS(DuLieu!U38:U40,1,DuLieu!V38:V40,"Nhỏ–vừa")&gt;=COUNTIFS(DuLieu!U38:U40,1,DuLieu!V38:V40,"Lớn"),"Nhỏ–vừa","Lớn"))</f>
        <v>Nhỏ–vừa</v>
      </c>
      <c r="M16" s="26" t="n">
        <f aca="false">IFERROR(MEDIAN(DuLieu!AB38:AB40),"")</f>
        <v>33.70679648</v>
      </c>
      <c r="N16" s="26" t="n">
        <f aca="false">IFERROR(MEDIAN(DuLieu!AE38:AE40),"")</f>
        <v>38.47962145</v>
      </c>
      <c r="O16" s="26" t="n">
        <f aca="false">IFERROR(MEDIAN(DuLieu!AH38:AH40),"")</f>
        <v>18.73577608</v>
      </c>
      <c r="P16" s="20" t="n">
        <f aca="false">IFERROR(MEDIAN(DuLieu!Y38:Y40),"")</f>
        <v>0.337957003956656</v>
      </c>
      <c r="Q16" s="29" t="str">
        <f aca="false">IF(AND(H16="FOB",K16&gt;0),"Có","Không")</f>
        <v>Có</v>
      </c>
    </row>
    <row r="17" customFormat="false" ht="15" hidden="false" customHeight="false" outlineLevel="0" collapsed="false">
      <c r="A17" s="25" t="s">
        <v>284</v>
      </c>
      <c r="B17" s="25" t="s">
        <v>285</v>
      </c>
      <c r="C17" s="25" t="s">
        <v>261</v>
      </c>
      <c r="D17" s="26" t="n">
        <f aca="false">IFERROR(MEDIAN(DuLieu!D41:D43)/1000000000,"")</f>
        <v>4660.199353022</v>
      </c>
      <c r="E17" s="26" t="n">
        <f aca="false">IFERROR(MEDIAN(DuLieu!F41:F43)/1000000000,"")</f>
        <v>2615.833202335</v>
      </c>
      <c r="F17" s="5" t="n">
        <f aca="false">COUNTIF(DuLieu!W41:W43,"Có")</f>
        <v>0</v>
      </c>
      <c r="G17" s="26" t="n">
        <f aca="false">IFERROR(MEDIAN(DuLieu!X41:X43),"")</f>
        <v>69.53839775</v>
      </c>
      <c r="H17" s="27" t="str">
        <f aca="false">IF(I17="Có","Loại",IF(G17="","Chưa rõ",IF(G17&lt;ThamSo!$C$15,"CMT","FOB")))</f>
        <v>FOB</v>
      </c>
      <c r="I17" s="25" t="s">
        <v>258</v>
      </c>
      <c r="J17" s="28"/>
      <c r="K17" s="5" t="n">
        <f aca="false">SUM(DuLieu!U41:U43)</f>
        <v>3</v>
      </c>
      <c r="L17" s="5" t="str">
        <f aca="false">IF(K17=0,"",IF(COUNTIFS(DuLieu!U41:U43,1,DuLieu!V41:V43,"Nhỏ–vừa")&gt;=COUNTIFS(DuLieu!U41:U43,1,DuLieu!V41:V43,"Lớn"),"Nhỏ–vừa","Lớn"))</f>
        <v>Lớn</v>
      </c>
      <c r="M17" s="26" t="n">
        <f aca="false">IFERROR(MEDIAN(DuLieu!AB41:AB43),"")</f>
        <v>43.5658532</v>
      </c>
      <c r="N17" s="26" t="n">
        <f aca="false">IFERROR(MEDIAN(DuLieu!AE41:AE43),"")</f>
        <v>69.53839775</v>
      </c>
      <c r="O17" s="26" t="n">
        <f aca="false">IFERROR(MEDIAN(DuLieu!AH41:AH43),"")</f>
        <v>61.42468402</v>
      </c>
      <c r="P17" s="20" t="n">
        <f aca="false">IFERROR(MEDIAN(DuLieu!Y41:Y43),"")</f>
        <v>0.109723236875776</v>
      </c>
      <c r="Q17" s="29" t="str">
        <f aca="false">IF(AND(H17="FOB",K17&gt;0),"Có","Không")</f>
        <v>Có</v>
      </c>
    </row>
    <row r="18" customFormat="false" ht="15" hidden="false" customHeight="false" outlineLevel="0" collapsed="false">
      <c r="A18" s="25" t="s">
        <v>286</v>
      </c>
      <c r="B18" s="25" t="s">
        <v>287</v>
      </c>
      <c r="C18" s="25" t="s">
        <v>261</v>
      </c>
      <c r="D18" s="26" t="n">
        <f aca="false">IFERROR(MEDIAN(DuLieu!D44:D46)/1000000000,"")</f>
        <v>1660.788747801</v>
      </c>
      <c r="E18" s="26" t="n">
        <f aca="false">IFERROR(MEDIAN(DuLieu!F44:F46)/1000000000,"")</f>
        <v>921.923854508</v>
      </c>
      <c r="F18" s="5" t="n">
        <f aca="false">COUNTIF(DuLieu!W44:W46,"Có")</f>
        <v>0</v>
      </c>
      <c r="G18" s="26" t="n">
        <f aca="false">IFERROR(MEDIAN(DuLieu!X44:X46),"")</f>
        <v>23.2849121</v>
      </c>
      <c r="H18" s="27" t="str">
        <f aca="false">IF(I18="Có","Loại",IF(G18="","Chưa rõ",IF(G18&lt;ThamSo!$C$15,"CMT","FOB")))</f>
        <v>FOB</v>
      </c>
      <c r="I18" s="25" t="s">
        <v>258</v>
      </c>
      <c r="J18" s="28"/>
      <c r="K18" s="5" t="n">
        <f aca="false">SUM(DuLieu!U44:U46)</f>
        <v>3</v>
      </c>
      <c r="L18" s="5" t="str">
        <f aca="false">IF(K18=0,"",IF(COUNTIFS(DuLieu!U44:U46,1,DuLieu!V44:V46,"Nhỏ–vừa")&gt;=COUNTIFS(DuLieu!U44:U46,1,DuLieu!V44:V46,"Lớn"),"Nhỏ–vừa","Lớn"))</f>
        <v>Lớn</v>
      </c>
      <c r="M18" s="26" t="n">
        <f aca="false">IFERROR(MEDIAN(DuLieu!AB44:AB46),"")</f>
        <v>54.73756874</v>
      </c>
      <c r="N18" s="26" t="n">
        <f aca="false">IFERROR(MEDIAN(DuLieu!AE44:AE46),"")</f>
        <v>23.2849121</v>
      </c>
      <c r="O18" s="26" t="n">
        <f aca="false">IFERROR(MEDIAN(DuLieu!AH44:AH46),"")</f>
        <v>100.84165651</v>
      </c>
      <c r="P18" s="20" t="n">
        <f aca="false">IFERROR(MEDIAN(DuLieu!Y44:Y46),"")</f>
        <v>0.162474505891535</v>
      </c>
      <c r="Q18" s="29" t="str">
        <f aca="false">IF(AND(H18="FOB",K18&gt;0),"Có","Không")</f>
        <v>Có</v>
      </c>
    </row>
    <row r="19" customFormat="false" ht="15" hidden="false" customHeight="false" outlineLevel="0" collapsed="false">
      <c r="A19" s="25" t="s">
        <v>288</v>
      </c>
      <c r="B19" s="25" t="s">
        <v>289</v>
      </c>
      <c r="C19" s="25" t="s">
        <v>261</v>
      </c>
      <c r="D19" s="26" t="n">
        <f aca="false">IFERROR(MEDIAN(DuLieu!D47:D49)/1000000000,"")</f>
        <v>4637.372808954</v>
      </c>
      <c r="E19" s="26" t="n">
        <f aca="false">IFERROR(MEDIAN(DuLieu!F47:F49)/1000000000,"")</f>
        <v>3096.388018926</v>
      </c>
      <c r="F19" s="5" t="n">
        <f aca="false">COUNTIF(DuLieu!W47:W49,"Có")</f>
        <v>0</v>
      </c>
      <c r="G19" s="26" t="n">
        <f aca="false">IFERROR(MEDIAN(DuLieu!X47:X49),"")</f>
        <v>67.29453848</v>
      </c>
      <c r="H19" s="27" t="str">
        <f aca="false">IF(I19="Có","Loại",IF(G19="","Chưa rõ",IF(G19&lt;ThamSo!$C$15,"CMT","FOB")))</f>
        <v>FOB</v>
      </c>
      <c r="I19" s="25" t="s">
        <v>258</v>
      </c>
      <c r="J19" s="28"/>
      <c r="K19" s="5" t="n">
        <f aca="false">SUM(DuLieu!U47:U49)</f>
        <v>3</v>
      </c>
      <c r="L19" s="5" t="str">
        <f aca="false">IF(K19=0,"",IF(COUNTIFS(DuLieu!U47:U49,1,DuLieu!V47:V49,"Nhỏ–vừa")&gt;=COUNTIFS(DuLieu!U47:U49,1,DuLieu!V47:V49,"Lớn"),"Nhỏ–vừa","Lớn"))</f>
        <v>Lớn</v>
      </c>
      <c r="M19" s="26" t="n">
        <f aca="false">IFERROR(MEDIAN(DuLieu!AB47:AB49),"")</f>
        <v>61.3786369</v>
      </c>
      <c r="N19" s="26" t="n">
        <f aca="false">IFERROR(MEDIAN(DuLieu!AE47:AE49),"")</f>
        <v>67.29453848</v>
      </c>
      <c r="O19" s="26" t="n">
        <f aca="false">IFERROR(MEDIAN(DuLieu!AH47:AH49),"")</f>
        <v>24.57389009</v>
      </c>
      <c r="P19" s="20" t="n">
        <f aca="false">IFERROR(MEDIAN(DuLieu!Y47:Y49),"")</f>
        <v>0.106490431900481</v>
      </c>
      <c r="Q19" s="29" t="str">
        <f aca="false">IF(AND(H19="FOB",K19&gt;0),"Có","Không")</f>
        <v>Có</v>
      </c>
    </row>
    <row r="20" customFormat="false" ht="15" hidden="false" customHeight="false" outlineLevel="0" collapsed="false">
      <c r="A20" s="25" t="s">
        <v>290</v>
      </c>
      <c r="B20" s="25" t="s">
        <v>291</v>
      </c>
      <c r="C20" s="25" t="s">
        <v>257</v>
      </c>
      <c r="D20" s="26" t="n">
        <f aca="false">IFERROR(MEDIAN(DuLieu!D50:D52)/1000000000,"")</f>
        <v>0</v>
      </c>
      <c r="E20" s="26" t="n">
        <f aca="false">IFERROR(MEDIAN(DuLieu!F50:F52)/1000000000,"")</f>
        <v>177.58481191</v>
      </c>
      <c r="F20" s="5" t="n">
        <f aca="false">COUNTIF(DuLieu!W50:W52,"Có")</f>
        <v>3</v>
      </c>
      <c r="G20" s="26" t="str">
        <f aca="false">IFERROR(MEDIAN(DuLieu!X50:X52),"")</f>
        <v/>
      </c>
      <c r="H20" s="27" t="str">
        <f aca="false">IF(I20="Có","Loại",IF(G20="","Chưa rõ",IF(G20&lt;ThamSo!$C$15,"CMT","FOB")))</f>
        <v>Chưa rõ</v>
      </c>
      <c r="I20" s="25" t="s">
        <v>258</v>
      </c>
      <c r="J20" s="28"/>
      <c r="K20" s="5" t="n">
        <f aca="false">SUM(DuLieu!U50:U52)</f>
        <v>0</v>
      </c>
      <c r="L20" s="5" t="str">
        <f aca="false">IF(K20=0,"",IF(COUNTIFS(DuLieu!U50:U52,1,DuLieu!V50:V52,"Nhỏ–vừa")&gt;=COUNTIFS(DuLieu!U50:U52,1,DuLieu!V50:V52,"Lớn"),"Nhỏ–vừa","Lớn"))</f>
        <v/>
      </c>
      <c r="M20" s="26" t="str">
        <f aca="false">IFERROR(MEDIAN(DuLieu!AB50:AB52),"")</f>
        <v/>
      </c>
      <c r="N20" s="26" t="str">
        <f aca="false">IFERROR(MEDIAN(DuLieu!AE50:AE52),"")</f>
        <v/>
      </c>
      <c r="O20" s="26" t="str">
        <f aca="false">IFERROR(MEDIAN(DuLieu!AH50:AH52),"")</f>
        <v/>
      </c>
      <c r="P20" s="20" t="str">
        <f aca="false">IFERROR(MEDIAN(DuLieu!Y50:Y52),"")</f>
        <v/>
      </c>
      <c r="Q20" s="29" t="str">
        <f aca="false">IF(AND(H20="FOB",K20&gt;0),"Có","Không")</f>
        <v>Không</v>
      </c>
    </row>
    <row r="21" customFormat="false" ht="15" hidden="false" customHeight="false" outlineLevel="0" collapsed="false">
      <c r="A21" s="25" t="s">
        <v>292</v>
      </c>
      <c r="B21" s="25" t="s">
        <v>293</v>
      </c>
      <c r="C21" s="25" t="s">
        <v>261</v>
      </c>
      <c r="D21" s="26" t="n">
        <f aca="false">IFERROR(MEDIAN(DuLieu!D53:D55)/1000000000,"")</f>
        <v>5280.403155194</v>
      </c>
      <c r="E21" s="26" t="n">
        <f aca="false">IFERROR(MEDIAN(DuLieu!F53:F55)/1000000000,"")</f>
        <v>4523.188931186</v>
      </c>
      <c r="F21" s="5" t="n">
        <f aca="false">COUNTIF(DuLieu!W53:W55,"Có")</f>
        <v>0</v>
      </c>
      <c r="G21" s="26" t="n">
        <f aca="false">IFERROR(MEDIAN(DuLieu!X53:X55),"")</f>
        <v>50.40076555</v>
      </c>
      <c r="H21" s="27" t="str">
        <f aca="false">IF(I21="Có","Loại",IF(G21="","Chưa rõ",IF(G21&lt;ThamSo!$C$15,"CMT","FOB")))</f>
        <v>FOB</v>
      </c>
      <c r="I21" s="25" t="s">
        <v>258</v>
      </c>
      <c r="J21" s="28"/>
      <c r="K21" s="5" t="n">
        <f aca="false">SUM(DuLieu!U53:U55)</f>
        <v>3</v>
      </c>
      <c r="L21" s="5" t="str">
        <f aca="false">IF(K21=0,"",IF(COUNTIFS(DuLieu!U53:U55,1,DuLieu!V53:V55,"Nhỏ–vừa")&gt;=COUNTIFS(DuLieu!U53:U55,1,DuLieu!V53:V55,"Lớn"),"Nhỏ–vừa","Lớn"))</f>
        <v>Lớn</v>
      </c>
      <c r="M21" s="26" t="n">
        <f aca="false">IFERROR(MEDIAN(DuLieu!AB53:AB55),"")</f>
        <v>54.08305787</v>
      </c>
      <c r="N21" s="26" t="n">
        <f aca="false">IFERROR(MEDIAN(DuLieu!AE53:AE55),"")</f>
        <v>50.40076555</v>
      </c>
      <c r="O21" s="26" t="n">
        <f aca="false">IFERROR(MEDIAN(DuLieu!AH53:AH55),"")</f>
        <v>15.36306074</v>
      </c>
      <c r="P21" s="20" t="n">
        <f aca="false">IFERROR(MEDIAN(DuLieu!Y53:Y55),"")</f>
        <v>0.292480523471886</v>
      </c>
      <c r="Q21" s="29" t="str">
        <f aca="false">IF(AND(H21="FOB",K21&gt;0),"Có","Không")</f>
        <v>Có</v>
      </c>
    </row>
    <row r="22" customFormat="false" ht="15" hidden="false" customHeight="false" outlineLevel="0" collapsed="false">
      <c r="A22" s="25" t="s">
        <v>294</v>
      </c>
      <c r="B22" s="25" t="s">
        <v>295</v>
      </c>
      <c r="C22" s="25" t="s">
        <v>257</v>
      </c>
      <c r="D22" s="26" t="n">
        <f aca="false">IFERROR(MEDIAN(DuLieu!D56:D58)/1000000000,"")</f>
        <v>661.508276276</v>
      </c>
      <c r="E22" s="26" t="n">
        <f aca="false">IFERROR(MEDIAN(DuLieu!F56:F58)/1000000000,"")</f>
        <v>409.330851696</v>
      </c>
      <c r="F22" s="5" t="n">
        <f aca="false">COUNTIF(DuLieu!W56:W58,"Có")</f>
        <v>0</v>
      </c>
      <c r="G22" s="26" t="n">
        <f aca="false">IFERROR(MEDIAN(DuLieu!X56:X58),"")</f>
        <v>86.73010008</v>
      </c>
      <c r="H22" s="27" t="str">
        <f aca="false">IF(I22="Có","Loại",IF(G22="","Chưa rõ",IF(G22&lt;ThamSo!$C$15,"CMT","FOB")))</f>
        <v>FOB</v>
      </c>
      <c r="I22" s="25" t="s">
        <v>258</v>
      </c>
      <c r="J22" s="28"/>
      <c r="K22" s="5" t="n">
        <f aca="false">SUM(DuLieu!U56:U58)</f>
        <v>3</v>
      </c>
      <c r="L22" s="5" t="str">
        <f aca="false">IF(K22=0,"",IF(COUNTIFS(DuLieu!U56:U58,1,DuLieu!V56:V58,"Nhỏ–vừa")&gt;=COUNTIFS(DuLieu!U56:U58,1,DuLieu!V56:V58,"Lớn"),"Nhỏ–vừa","Lớn"))</f>
        <v>Nhỏ–vừa</v>
      </c>
      <c r="M22" s="26" t="n">
        <f aca="false">IFERROR(MEDIAN(DuLieu!AB56:AB58),"")</f>
        <v>61.06565211</v>
      </c>
      <c r="N22" s="26" t="n">
        <f aca="false">IFERROR(MEDIAN(DuLieu!AE56:AE58),"")</f>
        <v>86.73010008</v>
      </c>
      <c r="O22" s="26" t="n">
        <f aca="false">IFERROR(MEDIAN(DuLieu!AH56:AH58),"")</f>
        <v>17.8974127</v>
      </c>
      <c r="P22" s="20" t="n">
        <f aca="false">IFERROR(MEDIAN(DuLieu!Y56:Y58),"")</f>
        <v>0.0615176557417903</v>
      </c>
      <c r="Q22" s="29" t="str">
        <f aca="false">IF(AND(H22="FOB",K22&gt;0),"Có","Không")</f>
        <v>Có</v>
      </c>
    </row>
    <row r="23" customFormat="false" ht="15" hidden="false" customHeight="false" outlineLevel="0" collapsed="false">
      <c r="A23" s="25" t="s">
        <v>296</v>
      </c>
      <c r="B23" s="25" t="s">
        <v>297</v>
      </c>
      <c r="C23" s="25" t="s">
        <v>257</v>
      </c>
      <c r="D23" s="26" t="n">
        <f aca="false">IFERROR(MEDIAN(DuLieu!D59:D61)/1000000000,"")</f>
        <v>1233.648206745</v>
      </c>
      <c r="E23" s="26" t="n">
        <f aca="false">IFERROR(MEDIAN(DuLieu!F59:F61)/1000000000,"")</f>
        <v>1123.848048291</v>
      </c>
      <c r="F23" s="5" t="n">
        <f aca="false">COUNTIF(DuLieu!W59:W61,"Có")</f>
        <v>0</v>
      </c>
      <c r="G23" s="26" t="n">
        <f aca="false">IFERROR(MEDIAN(DuLieu!X59:X61),"")</f>
        <v>104.63331123</v>
      </c>
      <c r="H23" s="27" t="str">
        <f aca="false">IF(I23="Có","Loại",IF(G23="","Chưa rõ",IF(G23&lt;ThamSo!$C$15,"CMT","FOB")))</f>
        <v>FOB</v>
      </c>
      <c r="I23" s="25" t="s">
        <v>258</v>
      </c>
      <c r="J23" s="28"/>
      <c r="K23" s="5" t="n">
        <f aca="false">SUM(DuLieu!U59:U61)</f>
        <v>3</v>
      </c>
      <c r="L23" s="5" t="str">
        <f aca="false">IF(K23=0,"",IF(COUNTIFS(DuLieu!U59:U61,1,DuLieu!V59:V61,"Nhỏ–vừa")&gt;=COUNTIFS(DuLieu!U59:U61,1,DuLieu!V59:V61,"Lớn"),"Nhỏ–vừa","Lớn"))</f>
        <v>Nhỏ–vừa</v>
      </c>
      <c r="M23" s="26" t="n">
        <f aca="false">IFERROR(MEDIAN(DuLieu!AB59:AB61),"")</f>
        <v>51.66785441</v>
      </c>
      <c r="N23" s="26" t="n">
        <f aca="false">IFERROR(MEDIAN(DuLieu!AE59:AE61),"")</f>
        <v>104.63331123</v>
      </c>
      <c r="O23" s="26" t="n">
        <f aca="false">IFERROR(MEDIAN(DuLieu!AH59:AH61),"")</f>
        <v>73.679788</v>
      </c>
      <c r="P23" s="20" t="n">
        <f aca="false">IFERROR(MEDIAN(DuLieu!Y59:Y61),"")</f>
        <v>0.0824085858003555</v>
      </c>
      <c r="Q23" s="29" t="str">
        <f aca="false">IF(AND(H23="FOB",K23&gt;0),"Có","Không")</f>
        <v>Có</v>
      </c>
    </row>
    <row r="24" customFormat="false" ht="15" hidden="false" customHeight="false" outlineLevel="0" collapsed="false">
      <c r="A24" s="25" t="s">
        <v>298</v>
      </c>
      <c r="B24" s="25" t="s">
        <v>299</v>
      </c>
      <c r="C24" s="25" t="s">
        <v>257</v>
      </c>
      <c r="D24" s="26" t="n">
        <f aca="false">IFERROR(MEDIAN(DuLieu!D62:D64)/1000000000,"")</f>
        <v>488.148803973</v>
      </c>
      <c r="E24" s="26" t="n">
        <f aca="false">IFERROR(MEDIAN(DuLieu!F62:F64)/1000000000,"")</f>
        <v>363.679213348</v>
      </c>
      <c r="F24" s="5" t="n">
        <f aca="false">COUNTIF(DuLieu!W62:W64,"Có")</f>
        <v>0</v>
      </c>
      <c r="G24" s="26" t="n">
        <f aca="false">IFERROR(MEDIAN(DuLieu!X62:X64),"")</f>
        <v>4.36736821</v>
      </c>
      <c r="H24" s="27" t="str">
        <f aca="false">IF(I24="Có","Loại",IF(G24="","Chưa rõ",IF(G24&lt;ThamSo!$C$15,"CMT","FOB")))</f>
        <v>CMT</v>
      </c>
      <c r="I24" s="25" t="s">
        <v>258</v>
      </c>
      <c r="J24" s="28"/>
      <c r="K24" s="5" t="n">
        <f aca="false">SUM(DuLieu!U62:U64)</f>
        <v>0</v>
      </c>
      <c r="L24" s="5" t="str">
        <f aca="false">IF(K24=0,"",IF(COUNTIFS(DuLieu!U62:U64,1,DuLieu!V62:V64,"Nhỏ–vừa")&gt;=COUNTIFS(DuLieu!U62:U64,1,DuLieu!V62:V64,"Lớn"),"Nhỏ–vừa","Lớn"))</f>
        <v/>
      </c>
      <c r="M24" s="26" t="str">
        <f aca="false">IFERROR(MEDIAN(DuLieu!AB62:AB64),"")</f>
        <v/>
      </c>
      <c r="N24" s="26" t="str">
        <f aca="false">IFERROR(MEDIAN(DuLieu!AE62:AE64),"")</f>
        <v/>
      </c>
      <c r="O24" s="26" t="str">
        <f aca="false">IFERROR(MEDIAN(DuLieu!AH62:AH64),"")</f>
        <v/>
      </c>
      <c r="P24" s="20" t="str">
        <f aca="false">IFERROR(MEDIAN(DuLieu!Y62:Y64),"")</f>
        <v/>
      </c>
      <c r="Q24" s="29" t="str">
        <f aca="false">IF(AND(H24="FOB",K24&gt;0),"Có","Không")</f>
        <v>Không</v>
      </c>
    </row>
    <row r="25" customFormat="false" ht="15" hidden="false" customHeight="false" outlineLevel="0" collapsed="false">
      <c r="A25" s="25" t="s">
        <v>300</v>
      </c>
      <c r="B25" s="25" t="s">
        <v>301</v>
      </c>
      <c r="C25" s="25" t="s">
        <v>261</v>
      </c>
      <c r="D25" s="26" t="n">
        <f aca="false">IFERROR(MEDIAN(DuLieu!D65:D67)/1000000000,"")</f>
        <v>3645.252201477</v>
      </c>
      <c r="E25" s="26" t="n">
        <f aca="false">IFERROR(MEDIAN(DuLieu!F65:F67)/1000000000,"")</f>
        <v>3895.534414371</v>
      </c>
      <c r="F25" s="5" t="n">
        <f aca="false">COUNTIF(DuLieu!W65:W67,"Có")</f>
        <v>0</v>
      </c>
      <c r="G25" s="26" t="n">
        <f aca="false">IFERROR(MEDIAN(DuLieu!X65:X67),"")</f>
        <v>121.89984075</v>
      </c>
      <c r="H25" s="27" t="str">
        <f aca="false">IF(I25="Có","Loại",IF(G25="","Chưa rõ",IF(G25&lt;ThamSo!$C$15,"CMT","FOB")))</f>
        <v>FOB</v>
      </c>
      <c r="I25" s="25" t="s">
        <v>258</v>
      </c>
      <c r="J25" s="28"/>
      <c r="K25" s="5" t="n">
        <f aca="false">SUM(DuLieu!U65:U67)</f>
        <v>3</v>
      </c>
      <c r="L25" s="5" t="str">
        <f aca="false">IF(K25=0,"",IF(COUNTIFS(DuLieu!U65:U67,1,DuLieu!V65:V67,"Nhỏ–vừa")&gt;=COUNTIFS(DuLieu!U65:U67,1,DuLieu!V65:V67,"Lớn"),"Nhỏ–vừa","Lớn"))</f>
        <v>Lớn</v>
      </c>
      <c r="M25" s="26" t="n">
        <f aca="false">IFERROR(MEDIAN(DuLieu!AB65:AB67),"")</f>
        <v>44.37421928</v>
      </c>
      <c r="N25" s="26" t="n">
        <f aca="false">IFERROR(MEDIAN(DuLieu!AE65:AE67),"")</f>
        <v>121.89984075</v>
      </c>
      <c r="O25" s="26" t="n">
        <f aca="false">IFERROR(MEDIAN(DuLieu!AH65:AH67),"")</f>
        <v>42.50564924</v>
      </c>
      <c r="P25" s="20" t="n">
        <f aca="false">IFERROR(MEDIAN(DuLieu!Y65:Y67),"")</f>
        <v>0.287706367692473</v>
      </c>
      <c r="Q25" s="29" t="str">
        <f aca="false">IF(AND(H25="FOB",K25&gt;0),"Có","Không")</f>
        <v>Có</v>
      </c>
    </row>
    <row r="26" customFormat="false" ht="15" hidden="false" customHeight="false" outlineLevel="0" collapsed="false">
      <c r="A26" s="25" t="s">
        <v>302</v>
      </c>
      <c r="B26" s="25" t="s">
        <v>303</v>
      </c>
      <c r="C26" s="25" t="s">
        <v>257</v>
      </c>
      <c r="D26" s="26" t="n">
        <f aca="false">IFERROR(MEDIAN(DuLieu!D68:D70)/1000000000,"")</f>
        <v>563.129638093</v>
      </c>
      <c r="E26" s="26" t="n">
        <f aca="false">IFERROR(MEDIAN(DuLieu!F68:F70)/1000000000,"")</f>
        <v>615.181871309</v>
      </c>
      <c r="F26" s="5" t="n">
        <f aca="false">COUNTIF(DuLieu!W68:W70,"Có")</f>
        <v>0</v>
      </c>
      <c r="G26" s="26" t="n">
        <f aca="false">IFERROR(MEDIAN(DuLieu!X68:X70),"")</f>
        <v>255.11526195</v>
      </c>
      <c r="H26" s="27" t="str">
        <f aca="false">IF(I26="Có","Loại",IF(G26="","Chưa rõ",IF(G26&lt;ThamSo!$C$15,"CMT","FOB")))</f>
        <v>FOB</v>
      </c>
      <c r="I26" s="25" t="s">
        <v>258</v>
      </c>
      <c r="J26" s="28"/>
      <c r="K26" s="5" t="n">
        <f aca="false">SUM(DuLieu!U68:U70)</f>
        <v>3</v>
      </c>
      <c r="L26" s="5" t="str">
        <f aca="false">IF(K26=0,"",IF(COUNTIFS(DuLieu!U68:U70,1,DuLieu!V68:V70,"Nhỏ–vừa")&gt;=COUNTIFS(DuLieu!U68:U70,1,DuLieu!V68:V70,"Lớn"),"Nhỏ–vừa","Lớn"))</f>
        <v>Nhỏ–vừa</v>
      </c>
      <c r="M26" s="26" t="n">
        <f aca="false">IFERROR(MEDIAN(DuLieu!AB68:AB70),"")</f>
        <v>34.64300002</v>
      </c>
      <c r="N26" s="26" t="n">
        <f aca="false">IFERROR(MEDIAN(DuLieu!AE68:AE70),"")</f>
        <v>255.11526195</v>
      </c>
      <c r="O26" s="26" t="n">
        <f aca="false">IFERROR(MEDIAN(DuLieu!AH68:AH70),"")</f>
        <v>16.78718093</v>
      </c>
      <c r="P26" s="20" t="n">
        <f aca="false">IFERROR(MEDIAN(DuLieu!Y68:Y70),"")</f>
        <v>0.109881998717003</v>
      </c>
      <c r="Q26" s="29" t="str">
        <f aca="false">IF(AND(H26="FOB",K26&gt;0),"Có","Không")</f>
        <v>Có</v>
      </c>
    </row>
    <row r="27" customFormat="false" ht="15" hidden="false" customHeight="false" outlineLevel="0" collapsed="false">
      <c r="A27" s="25" t="s">
        <v>304</v>
      </c>
      <c r="B27" s="25" t="s">
        <v>305</v>
      </c>
      <c r="C27" s="25" t="s">
        <v>257</v>
      </c>
      <c r="D27" s="26" t="n">
        <f aca="false">IFERROR(MEDIAN(DuLieu!D71:D73)/1000000000,"")</f>
        <v>118.423411128</v>
      </c>
      <c r="E27" s="26" t="n">
        <f aca="false">IFERROR(MEDIAN(DuLieu!F71:F73)/1000000000,"")</f>
        <v>174.683578972</v>
      </c>
      <c r="F27" s="5" t="n">
        <f aca="false">COUNTIF(DuLieu!W71:W73,"Có")</f>
        <v>3</v>
      </c>
      <c r="G27" s="26" t="n">
        <f aca="false">IFERROR(MEDIAN(DuLieu!X71:X73),"")</f>
        <v>4.90033568</v>
      </c>
      <c r="H27" s="27" t="str">
        <f aca="false">IF(I27="Có","Loại",IF(G27="","Chưa rõ",IF(G27&lt;ThamSo!$C$15,"CMT","FOB")))</f>
        <v>CMT</v>
      </c>
      <c r="I27" s="25" t="s">
        <v>258</v>
      </c>
      <c r="J27" s="28"/>
      <c r="K27" s="5" t="n">
        <f aca="false">SUM(DuLieu!U71:U73)</f>
        <v>0</v>
      </c>
      <c r="L27" s="5" t="str">
        <f aca="false">IF(K27=0,"",IF(COUNTIFS(DuLieu!U71:U73,1,DuLieu!V71:V73,"Nhỏ–vừa")&gt;=COUNTIFS(DuLieu!U71:U73,1,DuLieu!V71:V73,"Lớn"),"Nhỏ–vừa","Lớn"))</f>
        <v/>
      </c>
      <c r="M27" s="26" t="str">
        <f aca="false">IFERROR(MEDIAN(DuLieu!AB71:AB73),"")</f>
        <v/>
      </c>
      <c r="N27" s="26" t="str">
        <f aca="false">IFERROR(MEDIAN(DuLieu!AE71:AE73),"")</f>
        <v/>
      </c>
      <c r="O27" s="26" t="str">
        <f aca="false">IFERROR(MEDIAN(DuLieu!AH71:AH73),"")</f>
        <v/>
      </c>
      <c r="P27" s="20" t="str">
        <f aca="false">IFERROR(MEDIAN(DuLieu!Y71:Y73),"")</f>
        <v/>
      </c>
      <c r="Q27" s="29" t="str">
        <f aca="false">IF(AND(H27="FOB",K27&gt;0),"Có","Không")</f>
        <v>Không</v>
      </c>
    </row>
    <row r="28" customFormat="false" ht="15" hidden="false" customHeight="false" outlineLevel="0" collapsed="false">
      <c r="A28" s="25" t="s">
        <v>306</v>
      </c>
      <c r="B28" s="25" t="s">
        <v>307</v>
      </c>
      <c r="C28" s="25" t="s">
        <v>261</v>
      </c>
      <c r="D28" s="26" t="n">
        <f aca="false">IFERROR(MEDIAN(DuLieu!D74:D76)/1000000000,"")</f>
        <v>7655.752759635</v>
      </c>
      <c r="E28" s="26" t="n">
        <f aca="false">IFERROR(MEDIAN(DuLieu!F74:F76)/1000000000,"")</f>
        <v>5816.875229408</v>
      </c>
      <c r="F28" s="5" t="n">
        <f aca="false">COUNTIF(DuLieu!W74:W76,"Có")</f>
        <v>0</v>
      </c>
      <c r="G28" s="26" t="n">
        <f aca="false">IFERROR(MEDIAN(DuLieu!X74:X76),"")</f>
        <v>70.38219954</v>
      </c>
      <c r="H28" s="27" t="str">
        <f aca="false">IF(I28="Có","Loại",IF(G28="","Chưa rõ",IF(G28&lt;ThamSo!$C$15,"CMT","FOB")))</f>
        <v>FOB</v>
      </c>
      <c r="I28" s="25" t="s">
        <v>258</v>
      </c>
      <c r="J28" s="28"/>
      <c r="K28" s="5" t="n">
        <f aca="false">SUM(DuLieu!U74:U76)</f>
        <v>3</v>
      </c>
      <c r="L28" s="5" t="str">
        <f aca="false">IF(K28=0,"",IF(COUNTIFS(DuLieu!U74:U76,1,DuLieu!V74:V76,"Nhỏ–vừa")&gt;=COUNTIFS(DuLieu!U74:U76,1,DuLieu!V74:V76,"Lớn"),"Nhỏ–vừa","Lớn"))</f>
        <v>Lớn</v>
      </c>
      <c r="M28" s="26" t="n">
        <f aca="false">IFERROR(MEDIAN(DuLieu!AB74:AB76),"")</f>
        <v>33.0760229</v>
      </c>
      <c r="N28" s="26" t="n">
        <f aca="false">IFERROR(MEDIAN(DuLieu!AE74:AE76),"")</f>
        <v>70.38219954</v>
      </c>
      <c r="O28" s="26" t="n">
        <f aca="false">IFERROR(MEDIAN(DuLieu!AH74:AH76),"")</f>
        <v>35.33239076</v>
      </c>
      <c r="P28" s="20" t="n">
        <f aca="false">IFERROR(MEDIAN(DuLieu!Y74:Y76),"")</f>
        <v>0.0907054074046917</v>
      </c>
      <c r="Q28" s="29" t="str">
        <f aca="false">IF(AND(H28="FOB",K28&gt;0),"Có","Không")</f>
        <v>Có</v>
      </c>
    </row>
    <row r="29" customFormat="false" ht="15" hidden="false" customHeight="false" outlineLevel="0" collapsed="false">
      <c r="A29" s="25" t="s">
        <v>308</v>
      </c>
      <c r="B29" s="25" t="s">
        <v>309</v>
      </c>
      <c r="C29" s="25" t="s">
        <v>261</v>
      </c>
      <c r="D29" s="26" t="n">
        <f aca="false">IFERROR(MEDIAN(DuLieu!D77:D79)/1000000000,"")</f>
        <v>9756.363238727</v>
      </c>
      <c r="E29" s="26" t="n">
        <f aca="false">IFERROR(MEDIAN(DuLieu!F77:F79)/1000000000,"")</f>
        <v>5292.050165245</v>
      </c>
      <c r="F29" s="5" t="n">
        <f aca="false">COUNTIF(DuLieu!W77:W79,"Có")</f>
        <v>0</v>
      </c>
      <c r="G29" s="26" t="n">
        <f aca="false">IFERROR(MEDIAN(DuLieu!X77:X79),"")</f>
        <v>57.60614383</v>
      </c>
      <c r="H29" s="27" t="str">
        <f aca="false">IF(I29="Có","Loại",IF(G29="","Chưa rõ",IF(G29&lt;ThamSo!$C$15,"CMT","FOB")))</f>
        <v>FOB</v>
      </c>
      <c r="I29" s="25" t="s">
        <v>258</v>
      </c>
      <c r="J29" s="28"/>
      <c r="K29" s="5" t="n">
        <f aca="false">SUM(DuLieu!U77:U79)</f>
        <v>3</v>
      </c>
      <c r="L29" s="5" t="str">
        <f aca="false">IF(K29=0,"",IF(COUNTIFS(DuLieu!U77:U79,1,DuLieu!V77:V79,"Nhỏ–vừa")&gt;=COUNTIFS(DuLieu!U77:U79,1,DuLieu!V77:V79,"Lớn"),"Nhỏ–vừa","Lớn"))</f>
        <v>Lớn</v>
      </c>
      <c r="M29" s="26" t="n">
        <f aca="false">IFERROR(MEDIAN(DuLieu!AB77:AB79),"")</f>
        <v>58.48321057</v>
      </c>
      <c r="N29" s="26" t="n">
        <f aca="false">IFERROR(MEDIAN(DuLieu!AE77:AE79),"")</f>
        <v>57.60614383</v>
      </c>
      <c r="O29" s="26" t="n">
        <f aca="false">IFERROR(MEDIAN(DuLieu!AH77:AH79),"")</f>
        <v>76.86591314</v>
      </c>
      <c r="P29" s="20" t="n">
        <f aca="false">IFERROR(MEDIAN(DuLieu!Y77:Y79),"")</f>
        <v>0.0832077983559091</v>
      </c>
      <c r="Q29" s="29" t="str">
        <f aca="false">IF(AND(H29="FOB",K29&gt;0),"Có","Không")</f>
        <v>Có</v>
      </c>
    </row>
    <row r="30" customFormat="false" ht="23.85" hidden="false" customHeight="false" outlineLevel="0" collapsed="false">
      <c r="A30" s="25" t="s">
        <v>310</v>
      </c>
      <c r="B30" s="25" t="s">
        <v>311</v>
      </c>
      <c r="C30" s="25" t="s">
        <v>257</v>
      </c>
      <c r="D30" s="26" t="n">
        <f aca="false">IFERROR(MEDIAN(DuLieu!D80:D82)/1000000000,"")</f>
        <v>4.871069227</v>
      </c>
      <c r="E30" s="26" t="n">
        <f aca="false">IFERROR(MEDIAN(DuLieu!F80:F82)/1000000000,"")</f>
        <v>3.473364641</v>
      </c>
      <c r="F30" s="5" t="n">
        <f aca="false">COUNTIF(DuLieu!W80:W82,"Có")</f>
        <v>3</v>
      </c>
      <c r="G30" s="26" t="str">
        <f aca="false">IFERROR(MEDIAN(DuLieu!X80:X82),"")</f>
        <v/>
      </c>
      <c r="H30" s="27" t="str">
        <f aca="false">IF(I30="Có","Loại",IF(G30="","Chưa rõ",IF(G30&lt;ThamSo!$C$15,"CMT","FOB")))</f>
        <v>Loại</v>
      </c>
      <c r="I30" s="25" t="s">
        <v>272</v>
      </c>
      <c r="J30" s="28" t="s">
        <v>312</v>
      </c>
      <c r="K30" s="5" t="n">
        <f aca="false">SUM(DuLieu!U80:U82)</f>
        <v>0</v>
      </c>
      <c r="L30" s="5" t="str">
        <f aca="false">IF(K30=0,"",IF(COUNTIFS(DuLieu!U80:U82,1,DuLieu!V80:V82,"Nhỏ–vừa")&gt;=COUNTIFS(DuLieu!U80:U82,1,DuLieu!V80:V82,"Lớn"),"Nhỏ–vừa","Lớn"))</f>
        <v/>
      </c>
      <c r="M30" s="26" t="str">
        <f aca="false">IFERROR(MEDIAN(DuLieu!AB80:AB82),"")</f>
        <v/>
      </c>
      <c r="N30" s="26" t="str">
        <f aca="false">IFERROR(MEDIAN(DuLieu!AE80:AE82),"")</f>
        <v/>
      </c>
      <c r="O30" s="26" t="str">
        <f aca="false">IFERROR(MEDIAN(DuLieu!AH80:AH82),"")</f>
        <v/>
      </c>
      <c r="P30" s="20" t="str">
        <f aca="false">IFERROR(MEDIAN(DuLieu!Y80:Y82),"")</f>
        <v/>
      </c>
      <c r="Q30" s="29" t="str">
        <f aca="false">IF(AND(H30="FOB",K30&gt;0),"Có","Không")</f>
        <v>Không</v>
      </c>
    </row>
    <row r="31" customFormat="false" ht="15" hidden="false" customHeight="false" outlineLevel="0" collapsed="false">
      <c r="A31" s="25" t="s">
        <v>313</v>
      </c>
      <c r="B31" s="25" t="s">
        <v>314</v>
      </c>
      <c r="C31" s="25" t="s">
        <v>257</v>
      </c>
      <c r="D31" s="26" t="n">
        <f aca="false">IFERROR(MEDIAN(DuLieu!D83:D85)/1000000000,"")</f>
        <v>1115.545482734</v>
      </c>
      <c r="E31" s="26" t="n">
        <f aca="false">IFERROR(MEDIAN(DuLieu!F83:F85)/1000000000,"")</f>
        <v>599.212981165</v>
      </c>
      <c r="F31" s="5" t="n">
        <f aca="false">COUNTIF(DuLieu!W83:W85,"Có")</f>
        <v>0</v>
      </c>
      <c r="G31" s="26" t="n">
        <f aca="false">IFERROR(MEDIAN(DuLieu!X83:X85),"")</f>
        <v>69.9651124</v>
      </c>
      <c r="H31" s="27" t="str">
        <f aca="false">IF(I31="Có","Loại",IF(G31="","Chưa rõ",IF(G31&lt;ThamSo!$C$15,"CMT","FOB")))</f>
        <v>FOB</v>
      </c>
      <c r="I31" s="25" t="s">
        <v>258</v>
      </c>
      <c r="J31" s="28"/>
      <c r="K31" s="5" t="n">
        <f aca="false">SUM(DuLieu!U83:U85)</f>
        <v>3</v>
      </c>
      <c r="L31" s="5" t="str">
        <f aca="false">IF(K31=0,"",IF(COUNTIFS(DuLieu!U83:U85,1,DuLieu!V83:V85,"Nhỏ–vừa")&gt;=COUNTIFS(DuLieu!U83:U85,1,DuLieu!V83:V85,"Lớn"),"Nhỏ–vừa","Lớn"))</f>
        <v>Nhỏ–vừa</v>
      </c>
      <c r="M31" s="26" t="n">
        <f aca="false">IFERROR(MEDIAN(DuLieu!AB83:AB85),"")</f>
        <v>24.97202885</v>
      </c>
      <c r="N31" s="26" t="n">
        <f aca="false">IFERROR(MEDIAN(DuLieu!AE83:AE85),"")</f>
        <v>69.9651124</v>
      </c>
      <c r="O31" s="26" t="n">
        <f aca="false">IFERROR(MEDIAN(DuLieu!AH83:AH85),"")</f>
        <v>72.42039395</v>
      </c>
      <c r="P31" s="20" t="n">
        <f aca="false">IFERROR(MEDIAN(DuLieu!Y83:Y85),"")</f>
        <v>0.142215038534497</v>
      </c>
      <c r="Q31" s="29" t="str">
        <f aca="false">IF(AND(H31="FOB",K31&gt;0),"Có","Không")</f>
        <v>Có</v>
      </c>
    </row>
    <row r="32" customFormat="false" ht="15" hidden="false" customHeight="false" outlineLevel="0" collapsed="false">
      <c r="A32" s="25" t="s">
        <v>315</v>
      </c>
      <c r="B32" s="25" t="s">
        <v>316</v>
      </c>
      <c r="C32" s="25" t="s">
        <v>257</v>
      </c>
      <c r="D32" s="26" t="n">
        <f aca="false">IFERROR(MEDIAN(DuLieu!D86:D88)/1000000000,"")</f>
        <v>1073.011778159</v>
      </c>
      <c r="E32" s="26" t="n">
        <f aca="false">IFERROR(MEDIAN(DuLieu!F86:F88)/1000000000,"")</f>
        <v>711.883301482</v>
      </c>
      <c r="F32" s="5" t="n">
        <f aca="false">COUNTIF(DuLieu!W86:W88,"Có")</f>
        <v>0</v>
      </c>
      <c r="G32" s="26" t="n">
        <f aca="false">IFERROR(MEDIAN(DuLieu!X86:X88),"")</f>
        <v>73.87966986</v>
      </c>
      <c r="H32" s="27" t="str">
        <f aca="false">IF(I32="Có","Loại",IF(G32="","Chưa rõ",IF(G32&lt;ThamSo!$C$15,"CMT","FOB")))</f>
        <v>FOB</v>
      </c>
      <c r="I32" s="25" t="s">
        <v>258</v>
      </c>
      <c r="J32" s="28"/>
      <c r="K32" s="5" t="n">
        <f aca="false">SUM(DuLieu!U86:U88)</f>
        <v>3</v>
      </c>
      <c r="L32" s="5" t="str">
        <f aca="false">IF(K32=0,"",IF(COUNTIFS(DuLieu!U86:U88,1,DuLieu!V86:V88,"Nhỏ–vừa")&gt;=COUNTIFS(DuLieu!U86:U88,1,DuLieu!V86:V88,"Lớn"),"Nhỏ–vừa","Lớn"))</f>
        <v>Nhỏ–vừa</v>
      </c>
      <c r="M32" s="26" t="n">
        <f aca="false">IFERROR(MEDIAN(DuLieu!AB86:AB88),"")</f>
        <v>48.09836885</v>
      </c>
      <c r="N32" s="26" t="n">
        <f aca="false">IFERROR(MEDIAN(DuLieu!AE86:AE88),"")</f>
        <v>73.87966986</v>
      </c>
      <c r="O32" s="26" t="n">
        <f aca="false">IFERROR(MEDIAN(DuLieu!AH86:AH88),"")</f>
        <v>74.86253987</v>
      </c>
      <c r="P32" s="20" t="n">
        <f aca="false">IFERROR(MEDIAN(DuLieu!Y86:Y88),"")</f>
        <v>0.154131295502724</v>
      </c>
      <c r="Q32" s="29" t="str">
        <f aca="false">IF(AND(H32="FOB",K32&gt;0),"Có","Không")</f>
        <v>Có</v>
      </c>
    </row>
    <row r="34" customFormat="false" ht="15" hidden="false" customHeight="false" outlineLevel="0" collapsed="false">
      <c r="A34" s="10" t="s">
        <v>317</v>
      </c>
      <c r="F34" s="10" t="n">
        <f aca="false">SUM(F5:F32)</f>
        <v>13</v>
      </c>
      <c r="K34" s="10" t="n">
        <f aca="false">SUM(K5:K32)</f>
        <v>60</v>
      </c>
      <c r="Q34" s="10" t="n">
        <f aca="false">COUNTIF(Q5:Q32,"Có")</f>
        <v>20</v>
      </c>
    </row>
    <row r="36" customFormat="false" ht="15" hidden="false" customHeight="false" outlineLevel="0" collapsed="false">
      <c r="A36" s="16" t="s">
        <v>318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4"/>
    <col collapsed="false" customWidth="true" hidden="false" outlineLevel="0" max="39" min="4" style="0" width="13"/>
  </cols>
  <sheetData>
    <row r="1" customFormat="false" ht="17.35" hidden="false" customHeight="false" outlineLevel="0" collapsed="false">
      <c r="A1" s="15" t="s">
        <v>319</v>
      </c>
    </row>
    <row r="2" customFormat="false" ht="15" hidden="false" customHeight="false" outlineLevel="0" collapsed="false">
      <c r="A2" s="16" t="s">
        <v>320</v>
      </c>
    </row>
    <row r="4" customFormat="false" ht="69.75" hidden="false" customHeight="true" outlineLevel="0" collapsed="false">
      <c r="A4" s="4" t="s">
        <v>147</v>
      </c>
      <c r="B4" s="4" t="s">
        <v>321</v>
      </c>
      <c r="C4" s="4" t="s">
        <v>322</v>
      </c>
      <c r="D4" s="4" t="s">
        <v>323</v>
      </c>
      <c r="E4" s="4" t="s">
        <v>324</v>
      </c>
      <c r="F4" s="4" t="s">
        <v>325</v>
      </c>
      <c r="G4" s="4" t="s">
        <v>326</v>
      </c>
      <c r="H4" s="4" t="s">
        <v>327</v>
      </c>
      <c r="I4" s="4" t="s">
        <v>328</v>
      </c>
      <c r="J4" s="4" t="s">
        <v>329</v>
      </c>
      <c r="K4" s="4" t="s">
        <v>330</v>
      </c>
      <c r="L4" s="4" t="s">
        <v>331</v>
      </c>
      <c r="M4" s="4" t="s">
        <v>332</v>
      </c>
      <c r="N4" s="4" t="s">
        <v>333</v>
      </c>
      <c r="O4" s="4" t="s">
        <v>334</v>
      </c>
      <c r="P4" s="4" t="s">
        <v>335</v>
      </c>
      <c r="Q4" s="4" t="s">
        <v>336</v>
      </c>
      <c r="R4" s="4" t="s">
        <v>337</v>
      </c>
      <c r="S4" s="4" t="s">
        <v>245</v>
      </c>
      <c r="T4" s="4" t="s">
        <v>246</v>
      </c>
      <c r="U4" s="4" t="s">
        <v>338</v>
      </c>
      <c r="V4" s="4" t="s">
        <v>339</v>
      </c>
      <c r="W4" s="4" t="s">
        <v>340</v>
      </c>
      <c r="X4" s="4" t="s">
        <v>341</v>
      </c>
      <c r="Y4" s="4" t="s">
        <v>342</v>
      </c>
      <c r="Z4" s="4" t="s">
        <v>343</v>
      </c>
      <c r="AA4" s="4" t="s">
        <v>344</v>
      </c>
      <c r="AB4" s="4" t="s">
        <v>345</v>
      </c>
      <c r="AC4" s="4" t="s">
        <v>346</v>
      </c>
      <c r="AD4" s="4" t="s">
        <v>347</v>
      </c>
      <c r="AE4" s="4" t="s">
        <v>348</v>
      </c>
      <c r="AF4" s="4" t="s">
        <v>349</v>
      </c>
      <c r="AG4" s="4" t="s">
        <v>350</v>
      </c>
      <c r="AH4" s="4" t="s">
        <v>351</v>
      </c>
      <c r="AI4" s="4" t="s">
        <v>352</v>
      </c>
      <c r="AJ4" s="4" t="s">
        <v>353</v>
      </c>
      <c r="AK4" s="4" t="s">
        <v>354</v>
      </c>
      <c r="AL4" s="4" t="s">
        <v>355</v>
      </c>
      <c r="AM4" s="4" t="s">
        <v>356</v>
      </c>
    </row>
    <row r="5" customFormat="false" ht="15" hidden="false" customHeight="false" outlineLevel="0" collapsed="false">
      <c r="A5" s="30" t="s">
        <v>255</v>
      </c>
      <c r="B5" s="30" t="n">
        <v>2023</v>
      </c>
      <c r="C5" s="30" t="s">
        <v>357</v>
      </c>
      <c r="D5" s="31" t="n">
        <v>269017127126</v>
      </c>
      <c r="E5" s="32" t="n">
        <v>0.14625449</v>
      </c>
      <c r="F5" s="31" t="n">
        <v>144115422092</v>
      </c>
      <c r="G5" s="31" t="n">
        <v>128660408494</v>
      </c>
      <c r="H5" s="31" t="n">
        <v>6804199578</v>
      </c>
      <c r="I5" s="31" t="n">
        <v>0</v>
      </c>
      <c r="J5" s="31" t="n">
        <v>93402244974</v>
      </c>
      <c r="K5" s="31" t="n">
        <v>10796262054</v>
      </c>
      <c r="L5" s="33" t="n">
        <v>25.85780875</v>
      </c>
      <c r="M5" s="33" t="n">
        <v>145.84776527</v>
      </c>
      <c r="N5" s="33" t="n">
        <v>107.20841446</v>
      </c>
      <c r="O5" s="34" t="n">
        <f aca="false">IF(OR(D5="",E5=""),"",D5*(1-E5))</f>
        <v>229672164396.922</v>
      </c>
      <c r="P5" s="35" t="n">
        <f aca="false">IF(OR(H5="",D5=""),"",IF(D5&lt;=0,"",(H5+N(I5))/D5))</f>
        <v>0.0252928118394971</v>
      </c>
      <c r="Q5" s="35" t="n">
        <f aca="false">IF(OR(H5="",D5=""),"",IF(D5&lt;=0,"",H5/D5))</f>
        <v>0.0252928118394971</v>
      </c>
      <c r="R5" s="35" t="str">
        <f aca="false">""</f>
        <v/>
      </c>
      <c r="S5" s="36" t="str">
        <f aca="false">INDEX(HoSoDN!$H$5:$H$32,MATCH(A5,HoSoDN!$A$5:$A$32,0))</f>
        <v>FOB</v>
      </c>
      <c r="T5" s="36" t="str">
        <f aca="false">INDEX(HoSoDN!$I$5:$I$32,MATCH(A5,HoSoDN!$A$5:$A$32,0))</f>
        <v>Không</v>
      </c>
      <c r="U5" s="2" t="n">
        <f aca="false">IF(AND(S5="FOB",T5&lt;&gt;"Có",B5&gt;=ThamSo!$C$22,B5&lt;=ThamSo!$C$23,D5&lt;&gt;"",E5&lt;&gt;"",G5&lt;&gt;"",P5&lt;&gt;"",L5&lt;&gt;"",M5&lt;&gt;"",N5&lt;&gt;""),IF(D5&gt;=ThamSo!$C$11,1,0),0)</f>
        <v>1</v>
      </c>
      <c r="V5" s="2" t="str">
        <f aca="false">IF(D5="","",IF(D5&lt;=ThamSo!$C$12,"Nhỏ–vừa","Lớn"))</f>
        <v>Nhỏ–vừa</v>
      </c>
      <c r="W5" s="2" t="str">
        <f aca="false">IF(D5="","",IF(OR(D5&lt;=ThamSo!$C$13,F5&lt;=ThamSo!$C$14),"Có","Không"))</f>
        <v>Không</v>
      </c>
      <c r="X5" s="37" t="n">
        <f aca="false">IF(AND(T5&lt;&gt;"Có",M5&lt;&gt;"",D5&lt;&gt;""),IF(D5&gt;=ThamSo!$C$11,M5,""),"")</f>
        <v>145.84776527</v>
      </c>
      <c r="Y5" s="35" t="n">
        <f aca="false">IF(U5=1,P5,"")</f>
        <v>0.0252928118394971</v>
      </c>
      <c r="Z5" s="35" t="n">
        <f aca="false">IF(AND(U5=1,V5="Nhỏ–vừa"),P5,"")</f>
        <v>0.0252928118394971</v>
      </c>
      <c r="AA5" s="35" t="str">
        <f aca="false">IF(AND(U5=1,V5="Lớn"),P5,"")</f>
        <v/>
      </c>
      <c r="AB5" s="37" t="n">
        <f aca="false">IF(U5=1,L5,"")</f>
        <v>25.85780875</v>
      </c>
      <c r="AC5" s="37" t="n">
        <f aca="false">IF(AND(U5=1,V5="Nhỏ–vừa"),L5,"")</f>
        <v>25.85780875</v>
      </c>
      <c r="AD5" s="37" t="str">
        <f aca="false">IF(AND(U5=1,V5="Lớn"),L5,"")</f>
        <v/>
      </c>
      <c r="AE5" s="37" t="n">
        <f aca="false">IF(U5=1,M5,"")</f>
        <v>145.84776527</v>
      </c>
      <c r="AF5" s="37" t="n">
        <f aca="false">IF(AND(U5=1,V5="Nhỏ–vừa"),M5,"")</f>
        <v>145.84776527</v>
      </c>
      <c r="AG5" s="37" t="str">
        <f aca="false">IF(AND(U5=1,V5="Lớn"),M5,"")</f>
        <v/>
      </c>
      <c r="AH5" s="37" t="n">
        <f aca="false">IF(U5=1,N5,"")</f>
        <v>107.20841446</v>
      </c>
      <c r="AI5" s="37" t="n">
        <f aca="false">IF(AND(U5=1,V5="Nhỏ–vừa"),N5,"")</f>
        <v>107.20841446</v>
      </c>
      <c r="AJ5" s="37" t="str">
        <f aca="false">IF(AND(U5=1,V5="Lớn"),N5,"")</f>
        <v/>
      </c>
      <c r="AK5" s="35" t="n">
        <f aca="false">IF(U5=1,Q5,"")</f>
        <v>0.0252928118394971</v>
      </c>
      <c r="AL5" s="35" t="str">
        <f aca="false">IF(AND(U5=1,R5&lt;&gt;""),R5,"")</f>
        <v/>
      </c>
      <c r="AM5" s="2" t="str">
        <f aca="false">A5&amp;"-"&amp;B5</f>
        <v>AG1-2023</v>
      </c>
    </row>
    <row r="6" customFormat="false" ht="15" hidden="false" customHeight="false" outlineLevel="0" collapsed="false">
      <c r="A6" s="30" t="s">
        <v>255</v>
      </c>
      <c r="B6" s="30" t="n">
        <v>2024</v>
      </c>
      <c r="C6" s="30" t="s">
        <v>357</v>
      </c>
      <c r="D6" s="31" t="n">
        <v>337512371714</v>
      </c>
      <c r="E6" s="32" t="n">
        <v>0.11758799</v>
      </c>
      <c r="F6" s="31" t="n">
        <v>151539551502</v>
      </c>
      <c r="G6" s="31" t="n">
        <v>135967622195</v>
      </c>
      <c r="H6" s="31" t="n">
        <v>40157015524</v>
      </c>
      <c r="I6" s="31" t="n">
        <v>0</v>
      </c>
      <c r="J6" s="31" t="n">
        <v>78826891496</v>
      </c>
      <c r="K6" s="31" t="n">
        <v>8630835708</v>
      </c>
      <c r="L6" s="33" t="n">
        <v>20.64064379</v>
      </c>
      <c r="M6" s="33" t="n">
        <v>105.5378848</v>
      </c>
      <c r="N6" s="33" t="n">
        <v>84.01270669</v>
      </c>
      <c r="O6" s="34" t="n">
        <f aca="false">IF(OR(D6="",E6=""),"",D6*(1-E6))</f>
        <v>297824970324.018</v>
      </c>
      <c r="P6" s="35" t="n">
        <f aca="false">IF(OR(H6="",D6=""),"",IF(D6&lt;=0,"",(H6+N(I6))/D6))</f>
        <v>0.118979388281589</v>
      </c>
      <c r="Q6" s="35" t="n">
        <f aca="false">IF(OR(H6="",D6=""),"",IF(D6&lt;=0,"",H6/D6))</f>
        <v>0.118979388281589</v>
      </c>
      <c r="R6" s="35" t="n">
        <f aca="false">IF(OR(A5&lt;&gt;A6,B6&lt;=ThamSo!$C$22,H6="",H5="",D6=""),"",IF(D6&lt;=0,"",(H6-H5)/D6))</f>
        <v>0.0988195359376704</v>
      </c>
      <c r="S6" s="36" t="str">
        <f aca="false">INDEX(HoSoDN!$H$5:$H$32,MATCH(A6,HoSoDN!$A$5:$A$32,0))</f>
        <v>FOB</v>
      </c>
      <c r="T6" s="36" t="str">
        <f aca="false">INDEX(HoSoDN!$I$5:$I$32,MATCH(A6,HoSoDN!$A$5:$A$32,0))</f>
        <v>Không</v>
      </c>
      <c r="U6" s="2" t="n">
        <f aca="false">IF(AND(S6="FOB",T6&lt;&gt;"Có",B6&gt;=ThamSo!$C$22,B6&lt;=ThamSo!$C$23,D6&lt;&gt;"",E6&lt;&gt;"",G6&lt;&gt;"",P6&lt;&gt;"",L6&lt;&gt;"",M6&lt;&gt;"",N6&lt;&gt;""),IF(D6&gt;=ThamSo!$C$11,1,0),0)</f>
        <v>1</v>
      </c>
      <c r="V6" s="2" t="str">
        <f aca="false">IF(D6="","",IF(D6&lt;=ThamSo!$C$12,"Nhỏ–vừa","Lớn"))</f>
        <v>Nhỏ–vừa</v>
      </c>
      <c r="W6" s="2" t="str">
        <f aca="false">IF(D6="","",IF(OR(D6&lt;=ThamSo!$C$13,F6&lt;=ThamSo!$C$14),"Có","Không"))</f>
        <v>Không</v>
      </c>
      <c r="X6" s="37" t="n">
        <f aca="false">IF(AND(T6&lt;&gt;"Có",M6&lt;&gt;"",D6&lt;&gt;""),IF(D6&gt;=ThamSo!$C$11,M6,""),"")</f>
        <v>105.5378848</v>
      </c>
      <c r="Y6" s="35" t="n">
        <f aca="false">IF(U6=1,P6,"")</f>
        <v>0.118979388281589</v>
      </c>
      <c r="Z6" s="35" t="n">
        <f aca="false">IF(AND(U6=1,V6="Nhỏ–vừa"),P6,"")</f>
        <v>0.118979388281589</v>
      </c>
      <c r="AA6" s="35" t="str">
        <f aca="false">IF(AND(U6=1,V6="Lớn"),P6,"")</f>
        <v/>
      </c>
      <c r="AB6" s="37" t="n">
        <f aca="false">IF(U6=1,L6,"")</f>
        <v>20.64064379</v>
      </c>
      <c r="AC6" s="37" t="n">
        <f aca="false">IF(AND(U6=1,V6="Nhỏ–vừa"),L6,"")</f>
        <v>20.64064379</v>
      </c>
      <c r="AD6" s="37" t="str">
        <f aca="false">IF(AND(U6=1,V6="Lớn"),L6,"")</f>
        <v/>
      </c>
      <c r="AE6" s="37" t="n">
        <f aca="false">IF(U6=1,M6,"")</f>
        <v>105.5378848</v>
      </c>
      <c r="AF6" s="37" t="n">
        <f aca="false">IF(AND(U6=1,V6="Nhỏ–vừa"),M6,"")</f>
        <v>105.5378848</v>
      </c>
      <c r="AG6" s="37" t="str">
        <f aca="false">IF(AND(U6=1,V6="Lớn"),M6,"")</f>
        <v/>
      </c>
      <c r="AH6" s="37" t="n">
        <f aca="false">IF(U6=1,N6,"")</f>
        <v>84.01270669</v>
      </c>
      <c r="AI6" s="37" t="n">
        <f aca="false">IF(AND(U6=1,V6="Nhỏ–vừa"),N6,"")</f>
        <v>84.01270669</v>
      </c>
      <c r="AJ6" s="37" t="str">
        <f aca="false">IF(AND(U6=1,V6="Lớn"),N6,"")</f>
        <v/>
      </c>
      <c r="AK6" s="35" t="n">
        <f aca="false">IF(U6=1,Q6,"")</f>
        <v>0.118979388281589</v>
      </c>
      <c r="AL6" s="35" t="n">
        <f aca="false">IF(AND(U6=1,R6&lt;&gt;""),R6,"")</f>
        <v>0.0988195359376704</v>
      </c>
      <c r="AM6" s="2" t="str">
        <f aca="false">A6&amp;"-"&amp;B6</f>
        <v>AG1-2024</v>
      </c>
    </row>
    <row r="7" customFormat="false" ht="15" hidden="false" customHeight="false" outlineLevel="0" collapsed="false">
      <c r="A7" s="30" t="s">
        <v>255</v>
      </c>
      <c r="B7" s="30" t="n">
        <v>2025</v>
      </c>
      <c r="C7" s="30" t="s">
        <v>357</v>
      </c>
      <c r="D7" s="31" t="n">
        <v>384757383278</v>
      </c>
      <c r="E7" s="32" t="n">
        <v>0.11571369</v>
      </c>
      <c r="F7" s="31" t="n">
        <v>160263788547</v>
      </c>
      <c r="G7" s="31" t="n">
        <v>145047321035</v>
      </c>
      <c r="H7" s="31" t="n">
        <v>17229224009</v>
      </c>
      <c r="I7" s="31" t="n">
        <v>0</v>
      </c>
      <c r="J7" s="31" t="n">
        <v>77056556959</v>
      </c>
      <c r="K7" s="31" t="n">
        <v>11160450510</v>
      </c>
      <c r="L7" s="33" t="n">
        <v>26.75693833</v>
      </c>
      <c r="M7" s="33" t="n">
        <v>83.61477187</v>
      </c>
      <c r="N7" s="33" t="n">
        <v>69.83438471</v>
      </c>
      <c r="O7" s="34" t="n">
        <f aca="false">IF(OR(D7="",E7=""),"",D7*(1-E7))</f>
        <v>340235686704.158</v>
      </c>
      <c r="P7" s="35" t="n">
        <f aca="false">IF(OR(H7="",D7=""),"",IF(D7&lt;=0,"",(H7+N(I7))/D7))</f>
        <v>0.0447794500061648</v>
      </c>
      <c r="Q7" s="35" t="n">
        <f aca="false">IF(OR(H7="",D7=""),"",IF(D7&lt;=0,"",H7/D7))</f>
        <v>0.0447794500061648</v>
      </c>
      <c r="R7" s="35" t="n">
        <f aca="false">IF(OR(A6&lt;&gt;A7,B7&lt;=ThamSo!$C$22,H7="",H6="",D7=""),"",IF(D7&lt;=0,"",(H7-H6)/D7))</f>
        <v>-0.0595902574231666</v>
      </c>
      <c r="S7" s="36" t="str">
        <f aca="false">INDEX(HoSoDN!$H$5:$H$32,MATCH(A7,HoSoDN!$A$5:$A$32,0))</f>
        <v>FOB</v>
      </c>
      <c r="T7" s="36" t="str">
        <f aca="false">INDEX(HoSoDN!$I$5:$I$32,MATCH(A7,HoSoDN!$A$5:$A$32,0))</f>
        <v>Không</v>
      </c>
      <c r="U7" s="2" t="n">
        <f aca="false">IF(AND(S7="FOB",T7&lt;&gt;"Có",B7&gt;=ThamSo!$C$22,B7&lt;=ThamSo!$C$23,D7&lt;&gt;"",E7&lt;&gt;"",G7&lt;&gt;"",P7&lt;&gt;"",L7&lt;&gt;"",M7&lt;&gt;"",N7&lt;&gt;""),IF(D7&gt;=ThamSo!$C$11,1,0),0)</f>
        <v>1</v>
      </c>
      <c r="V7" s="2" t="str">
        <f aca="false">IF(D7="","",IF(D7&lt;=ThamSo!$C$12,"Nhỏ–vừa","Lớn"))</f>
        <v>Nhỏ–vừa</v>
      </c>
      <c r="W7" s="2" t="str">
        <f aca="false">IF(D7="","",IF(OR(D7&lt;=ThamSo!$C$13,F7&lt;=ThamSo!$C$14),"Có","Không"))</f>
        <v>Không</v>
      </c>
      <c r="X7" s="37" t="n">
        <f aca="false">IF(AND(T7&lt;&gt;"Có",M7&lt;&gt;"",D7&lt;&gt;""),IF(D7&gt;=ThamSo!$C$11,M7,""),"")</f>
        <v>83.61477187</v>
      </c>
      <c r="Y7" s="35" t="n">
        <f aca="false">IF(U7=1,P7,"")</f>
        <v>0.0447794500061648</v>
      </c>
      <c r="Z7" s="35" t="n">
        <f aca="false">IF(AND(U7=1,V7="Nhỏ–vừa"),P7,"")</f>
        <v>0.0447794500061648</v>
      </c>
      <c r="AA7" s="35" t="str">
        <f aca="false">IF(AND(U7=1,V7="Lớn"),P7,"")</f>
        <v/>
      </c>
      <c r="AB7" s="37" t="n">
        <f aca="false">IF(U7=1,L7,"")</f>
        <v>26.75693833</v>
      </c>
      <c r="AC7" s="37" t="n">
        <f aca="false">IF(AND(U7=1,V7="Nhỏ–vừa"),L7,"")</f>
        <v>26.75693833</v>
      </c>
      <c r="AD7" s="37" t="str">
        <f aca="false">IF(AND(U7=1,V7="Lớn"),L7,"")</f>
        <v/>
      </c>
      <c r="AE7" s="37" t="n">
        <f aca="false">IF(U7=1,M7,"")</f>
        <v>83.61477187</v>
      </c>
      <c r="AF7" s="37" t="n">
        <f aca="false">IF(AND(U7=1,V7="Nhỏ–vừa"),M7,"")</f>
        <v>83.61477187</v>
      </c>
      <c r="AG7" s="37" t="str">
        <f aca="false">IF(AND(U7=1,V7="Lớn"),M7,"")</f>
        <v/>
      </c>
      <c r="AH7" s="37" t="n">
        <f aca="false">IF(U7=1,N7,"")</f>
        <v>69.83438471</v>
      </c>
      <c r="AI7" s="37" t="n">
        <f aca="false">IF(AND(U7=1,V7="Nhỏ–vừa"),N7,"")</f>
        <v>69.83438471</v>
      </c>
      <c r="AJ7" s="37" t="str">
        <f aca="false">IF(AND(U7=1,V7="Lớn"),N7,"")</f>
        <v/>
      </c>
      <c r="AK7" s="35" t="n">
        <f aca="false">IF(U7=1,Q7,"")</f>
        <v>0.0447794500061648</v>
      </c>
      <c r="AL7" s="35" t="n">
        <f aca="false">IF(AND(U7=1,R7&lt;&gt;""),R7,"")</f>
        <v>-0.0595902574231666</v>
      </c>
      <c r="AM7" s="2" t="str">
        <f aca="false">A7&amp;"-"&amp;B7</f>
        <v>AG1-2025</v>
      </c>
    </row>
    <row r="8" customFormat="false" ht="15" hidden="false" customHeight="false" outlineLevel="0" collapsed="false">
      <c r="A8" s="30" t="s">
        <v>259</v>
      </c>
      <c r="B8" s="30" t="n">
        <v>2023</v>
      </c>
      <c r="C8" s="30" t="s">
        <v>358</v>
      </c>
      <c r="D8" s="31" t="n">
        <v>1565802348007</v>
      </c>
      <c r="E8" s="32" t="n">
        <v>0.17063204</v>
      </c>
      <c r="F8" s="31" t="n">
        <v>1011708486937</v>
      </c>
      <c r="G8" s="31" t="n">
        <v>762014891824</v>
      </c>
      <c r="H8" s="31" t="n">
        <v>69598955414</v>
      </c>
      <c r="I8" s="31" t="n">
        <v>166744272248</v>
      </c>
      <c r="J8" s="31" t="n">
        <v>257014934641</v>
      </c>
      <c r="K8" s="31" t="n">
        <v>123382071529</v>
      </c>
      <c r="L8" s="33" t="n">
        <v>46.39947881</v>
      </c>
      <c r="M8" s="33" t="n">
        <v>75.03106944</v>
      </c>
      <c r="N8" s="33" t="n">
        <v>38.54381936</v>
      </c>
      <c r="O8" s="34" t="n">
        <f aca="false">IF(OR(D8="",E8=""),"",D8*(1-E8))</f>
        <v>1298626299129.78</v>
      </c>
      <c r="P8" s="35" t="n">
        <f aca="false">IF(OR(H8="",D8=""),"",IF(D8&lt;=0,"",(H8+N(I8))/D8))</f>
        <v>0.15094065222397</v>
      </c>
      <c r="Q8" s="35" t="n">
        <f aca="false">IF(OR(H8="",D8=""),"",IF(D8&lt;=0,"",H8/D8))</f>
        <v>0.0444493875632436</v>
      </c>
      <c r="R8" s="35" t="str">
        <f aca="false">IF(OR(A7&lt;&gt;A8,B8&lt;=ThamSo!$C$22,H8="",H7="",D8=""),"",IF(D8&lt;=0,"",(H8-H7)/D8))</f>
        <v/>
      </c>
      <c r="S8" s="36" t="str">
        <f aca="false">INDEX(HoSoDN!$H$5:$H$32,MATCH(A8,HoSoDN!$A$5:$A$32,0))</f>
        <v>FOB</v>
      </c>
      <c r="T8" s="36" t="str">
        <f aca="false">INDEX(HoSoDN!$I$5:$I$32,MATCH(A8,HoSoDN!$A$5:$A$32,0))</f>
        <v>Không</v>
      </c>
      <c r="U8" s="2" t="n">
        <f aca="false">IF(AND(S8="FOB",T8&lt;&gt;"Có",B8&gt;=ThamSo!$C$22,B8&lt;=ThamSo!$C$23,D8&lt;&gt;"",E8&lt;&gt;"",G8&lt;&gt;"",P8&lt;&gt;"",L8&lt;&gt;"",M8&lt;&gt;"",N8&lt;&gt;""),IF(D8&gt;=ThamSo!$C$11,1,0),0)</f>
        <v>1</v>
      </c>
      <c r="V8" s="2" t="str">
        <f aca="false">IF(D8="","",IF(D8&lt;=ThamSo!$C$12,"Nhỏ–vừa","Lớn"))</f>
        <v>Lớn</v>
      </c>
      <c r="W8" s="2" t="str">
        <f aca="false">IF(D8="","",IF(OR(D8&lt;=ThamSo!$C$13,F8&lt;=ThamSo!$C$14),"Có","Không"))</f>
        <v>Không</v>
      </c>
      <c r="X8" s="37" t="n">
        <f aca="false">IF(AND(T8&lt;&gt;"Có",M8&lt;&gt;"",D8&lt;&gt;""),IF(D8&gt;=ThamSo!$C$11,M8,""),"")</f>
        <v>75.03106944</v>
      </c>
      <c r="Y8" s="35" t="n">
        <f aca="false">IF(U8=1,P8,"")</f>
        <v>0.15094065222397</v>
      </c>
      <c r="Z8" s="35" t="str">
        <f aca="false">IF(AND(U8=1,V8="Nhỏ–vừa"),P8,"")</f>
        <v/>
      </c>
      <c r="AA8" s="35" t="n">
        <f aca="false">IF(AND(U8=1,V8="Lớn"),P8,"")</f>
        <v>0.15094065222397</v>
      </c>
      <c r="AB8" s="37" t="n">
        <f aca="false">IF(U8=1,L8,"")</f>
        <v>46.39947881</v>
      </c>
      <c r="AC8" s="37" t="str">
        <f aca="false">IF(AND(U8=1,V8="Nhỏ–vừa"),L8,"")</f>
        <v/>
      </c>
      <c r="AD8" s="37" t="n">
        <f aca="false">IF(AND(U8=1,V8="Lớn"),L8,"")</f>
        <v>46.39947881</v>
      </c>
      <c r="AE8" s="37" t="n">
        <f aca="false">IF(U8=1,M8,"")</f>
        <v>75.03106944</v>
      </c>
      <c r="AF8" s="37" t="str">
        <f aca="false">IF(AND(U8=1,V8="Nhỏ–vừa"),M8,"")</f>
        <v/>
      </c>
      <c r="AG8" s="37" t="n">
        <f aca="false">IF(AND(U8=1,V8="Lớn"),M8,"")</f>
        <v>75.03106944</v>
      </c>
      <c r="AH8" s="37" t="n">
        <f aca="false">IF(U8=1,N8,"")</f>
        <v>38.54381936</v>
      </c>
      <c r="AI8" s="37" t="str">
        <f aca="false">IF(AND(U8=1,V8="Nhỏ–vừa"),N8,"")</f>
        <v/>
      </c>
      <c r="AJ8" s="37" t="n">
        <f aca="false">IF(AND(U8=1,V8="Lớn"),N8,"")</f>
        <v>38.54381936</v>
      </c>
      <c r="AK8" s="35" t="n">
        <f aca="false">IF(U8=1,Q8,"")</f>
        <v>0.0444493875632436</v>
      </c>
      <c r="AL8" s="35" t="str">
        <f aca="false">IF(AND(U8=1,R8&lt;&gt;""),R8,"")</f>
        <v/>
      </c>
      <c r="AM8" s="2" t="str">
        <f aca="false">A8&amp;"-"&amp;B8</f>
        <v>BDG-2023</v>
      </c>
    </row>
    <row r="9" customFormat="false" ht="15" hidden="false" customHeight="false" outlineLevel="0" collapsed="false">
      <c r="A9" s="30" t="s">
        <v>259</v>
      </c>
      <c r="B9" s="30" t="n">
        <v>2024</v>
      </c>
      <c r="C9" s="30" t="s">
        <v>358</v>
      </c>
      <c r="D9" s="31" t="n">
        <v>1821385866875</v>
      </c>
      <c r="E9" s="32" t="n">
        <v>0.17196293</v>
      </c>
      <c r="F9" s="31" t="n">
        <v>1132622851960</v>
      </c>
      <c r="G9" s="31" t="n">
        <v>892610103449</v>
      </c>
      <c r="H9" s="31" t="n">
        <v>48862200008</v>
      </c>
      <c r="I9" s="31" t="n">
        <v>265402054405</v>
      </c>
      <c r="J9" s="31" t="n">
        <v>235196575141</v>
      </c>
      <c r="K9" s="31" t="n">
        <v>164275444455</v>
      </c>
      <c r="L9" s="33" t="n">
        <v>47.79958062</v>
      </c>
      <c r="M9" s="33" t="n">
        <v>59.72035259</v>
      </c>
      <c r="N9" s="33" t="n">
        <v>31.09371347</v>
      </c>
      <c r="O9" s="34" t="n">
        <f aca="false">IF(OR(D9="",E9=""),"",D9*(1-E9))</f>
        <v>1508175016546.59</v>
      </c>
      <c r="P9" s="35" t="n">
        <f aca="false">IF(OR(H9="",D9=""),"",IF(D9&lt;=0,"",(H9+N(I9))/D9))</f>
        <v>0.172541283057275</v>
      </c>
      <c r="Q9" s="35" t="n">
        <f aca="false">IF(OR(H9="",D9=""),"",IF(D9&lt;=0,"",H9/D9))</f>
        <v>0.0268269348613285</v>
      </c>
      <c r="R9" s="35" t="n">
        <f aca="false">IF(OR(A8&lt;&gt;A9,B9&lt;=ThamSo!$C$22,H9="",H8="",D9=""),"",IF(D9&lt;=0,"",(H9-H8)/D9))</f>
        <v>-0.011385152253091</v>
      </c>
      <c r="S9" s="36" t="str">
        <f aca="false">INDEX(HoSoDN!$H$5:$H$32,MATCH(A9,HoSoDN!$A$5:$A$32,0))</f>
        <v>FOB</v>
      </c>
      <c r="T9" s="36" t="str">
        <f aca="false">INDEX(HoSoDN!$I$5:$I$32,MATCH(A9,HoSoDN!$A$5:$A$32,0))</f>
        <v>Không</v>
      </c>
      <c r="U9" s="2" t="n">
        <f aca="false">IF(AND(S9="FOB",T9&lt;&gt;"Có",B9&gt;=ThamSo!$C$22,B9&lt;=ThamSo!$C$23,D9&lt;&gt;"",E9&lt;&gt;"",G9&lt;&gt;"",P9&lt;&gt;"",L9&lt;&gt;"",M9&lt;&gt;"",N9&lt;&gt;""),IF(D9&gt;=ThamSo!$C$11,1,0),0)</f>
        <v>1</v>
      </c>
      <c r="V9" s="2" t="str">
        <f aca="false">IF(D9="","",IF(D9&lt;=ThamSo!$C$12,"Nhỏ–vừa","Lớn"))</f>
        <v>Lớn</v>
      </c>
      <c r="W9" s="2" t="str">
        <f aca="false">IF(D9="","",IF(OR(D9&lt;=ThamSo!$C$13,F9&lt;=ThamSo!$C$14),"Có","Không"))</f>
        <v>Không</v>
      </c>
      <c r="X9" s="37" t="n">
        <f aca="false">IF(AND(T9&lt;&gt;"Có",M9&lt;&gt;"",D9&lt;&gt;""),IF(D9&gt;=ThamSo!$C$11,M9,""),"")</f>
        <v>59.72035259</v>
      </c>
      <c r="Y9" s="35" t="n">
        <f aca="false">IF(U9=1,P9,"")</f>
        <v>0.172541283057275</v>
      </c>
      <c r="Z9" s="35" t="str">
        <f aca="false">IF(AND(U9=1,V9="Nhỏ–vừa"),P9,"")</f>
        <v/>
      </c>
      <c r="AA9" s="35" t="n">
        <f aca="false">IF(AND(U9=1,V9="Lớn"),P9,"")</f>
        <v>0.172541283057275</v>
      </c>
      <c r="AB9" s="37" t="n">
        <f aca="false">IF(U9=1,L9,"")</f>
        <v>47.79958062</v>
      </c>
      <c r="AC9" s="37" t="str">
        <f aca="false">IF(AND(U9=1,V9="Nhỏ–vừa"),L9,"")</f>
        <v/>
      </c>
      <c r="AD9" s="37" t="n">
        <f aca="false">IF(AND(U9=1,V9="Lớn"),L9,"")</f>
        <v>47.79958062</v>
      </c>
      <c r="AE9" s="37" t="n">
        <f aca="false">IF(U9=1,M9,"")</f>
        <v>59.72035259</v>
      </c>
      <c r="AF9" s="37" t="str">
        <f aca="false">IF(AND(U9=1,V9="Nhỏ–vừa"),M9,"")</f>
        <v/>
      </c>
      <c r="AG9" s="37" t="n">
        <f aca="false">IF(AND(U9=1,V9="Lớn"),M9,"")</f>
        <v>59.72035259</v>
      </c>
      <c r="AH9" s="37" t="n">
        <f aca="false">IF(U9=1,N9,"")</f>
        <v>31.09371347</v>
      </c>
      <c r="AI9" s="37" t="str">
        <f aca="false">IF(AND(U9=1,V9="Nhỏ–vừa"),N9,"")</f>
        <v/>
      </c>
      <c r="AJ9" s="37" t="n">
        <f aca="false">IF(AND(U9=1,V9="Lớn"),N9,"")</f>
        <v>31.09371347</v>
      </c>
      <c r="AK9" s="35" t="n">
        <f aca="false">IF(U9=1,Q9,"")</f>
        <v>0.0268269348613285</v>
      </c>
      <c r="AL9" s="35" t="n">
        <f aca="false">IF(AND(U9=1,R9&lt;&gt;""),R9,"")</f>
        <v>-0.011385152253091</v>
      </c>
      <c r="AM9" s="2" t="str">
        <f aca="false">A9&amp;"-"&amp;B9</f>
        <v>BDG-2024</v>
      </c>
    </row>
    <row r="10" customFormat="false" ht="15" hidden="false" customHeight="false" outlineLevel="0" collapsed="false">
      <c r="A10" s="30" t="s">
        <v>259</v>
      </c>
      <c r="B10" s="30" t="n">
        <v>2025</v>
      </c>
      <c r="C10" s="30" t="s">
        <v>358</v>
      </c>
      <c r="D10" s="31" t="n">
        <v>1765786732419</v>
      </c>
      <c r="E10" s="32" t="n">
        <v>0.16278391</v>
      </c>
      <c r="F10" s="31" t="n">
        <v>1162581117483</v>
      </c>
      <c r="G10" s="31" t="n">
        <v>836089871106</v>
      </c>
      <c r="H10" s="31" t="n">
        <v>40096734073</v>
      </c>
      <c r="I10" s="31" t="n">
        <v>186523398636</v>
      </c>
      <c r="J10" s="31" t="n">
        <v>236366999548</v>
      </c>
      <c r="K10" s="31" t="n">
        <v>125019390165</v>
      </c>
      <c r="L10" s="33" t="n">
        <v>58.1151145</v>
      </c>
      <c r="M10" s="33" t="n">
        <v>58.32588451</v>
      </c>
      <c r="N10" s="33" t="n">
        <v>32.64284081</v>
      </c>
      <c r="O10" s="34" t="n">
        <f aca="false">IF(OR(D10="",E10=""),"",D10*(1-E10))</f>
        <v>1478345063889.71</v>
      </c>
      <c r="P10" s="35" t="n">
        <f aca="false">IF(OR(H10="",D10=""),"",IF(D10&lt;=0,"",(H10+N(I10))/D10))</f>
        <v>0.128339469624708</v>
      </c>
      <c r="Q10" s="35" t="n">
        <f aca="false">IF(OR(H10="",D10=""),"",IF(D10&lt;=0,"",H10/D10))</f>
        <v>0.0227075746673384</v>
      </c>
      <c r="R10" s="35" t="n">
        <f aca="false">IF(OR(A9&lt;&gt;A10,B10&lt;=ThamSo!$C$22,H10="",H9="",D10=""),"",IF(D10&lt;=0,"",(H10-H9)/D10))</f>
        <v>-0.00496405696909499</v>
      </c>
      <c r="S10" s="36" t="str">
        <f aca="false">INDEX(HoSoDN!$H$5:$H$32,MATCH(A10,HoSoDN!$A$5:$A$32,0))</f>
        <v>FOB</v>
      </c>
      <c r="T10" s="36" t="str">
        <f aca="false">INDEX(HoSoDN!$I$5:$I$32,MATCH(A10,HoSoDN!$A$5:$A$32,0))</f>
        <v>Không</v>
      </c>
      <c r="U10" s="2" t="n">
        <f aca="false">IF(AND(S10="FOB",T10&lt;&gt;"Có",B10&gt;=ThamSo!$C$22,B10&lt;=ThamSo!$C$23,D10&lt;&gt;"",E10&lt;&gt;"",G10&lt;&gt;"",P10&lt;&gt;"",L10&lt;&gt;"",M10&lt;&gt;"",N10&lt;&gt;""),IF(D10&gt;=ThamSo!$C$11,1,0),0)</f>
        <v>1</v>
      </c>
      <c r="V10" s="2" t="str">
        <f aca="false">IF(D10="","",IF(D10&lt;=ThamSo!$C$12,"Nhỏ–vừa","Lớn"))</f>
        <v>Lớn</v>
      </c>
      <c r="W10" s="2" t="str">
        <f aca="false">IF(D10="","",IF(OR(D10&lt;=ThamSo!$C$13,F10&lt;=ThamSo!$C$14),"Có","Không"))</f>
        <v>Không</v>
      </c>
      <c r="X10" s="37" t="n">
        <f aca="false">IF(AND(T10&lt;&gt;"Có",M10&lt;&gt;"",D10&lt;&gt;""),IF(D10&gt;=ThamSo!$C$11,M10,""),"")</f>
        <v>58.32588451</v>
      </c>
      <c r="Y10" s="35" t="n">
        <f aca="false">IF(U10=1,P10,"")</f>
        <v>0.128339469624708</v>
      </c>
      <c r="Z10" s="35" t="str">
        <f aca="false">IF(AND(U10=1,V10="Nhỏ–vừa"),P10,"")</f>
        <v/>
      </c>
      <c r="AA10" s="35" t="n">
        <f aca="false">IF(AND(U10=1,V10="Lớn"),P10,"")</f>
        <v>0.128339469624708</v>
      </c>
      <c r="AB10" s="37" t="n">
        <f aca="false">IF(U10=1,L10,"")</f>
        <v>58.1151145</v>
      </c>
      <c r="AC10" s="37" t="str">
        <f aca="false">IF(AND(U10=1,V10="Nhỏ–vừa"),L10,"")</f>
        <v/>
      </c>
      <c r="AD10" s="37" t="n">
        <f aca="false">IF(AND(U10=1,V10="Lớn"),L10,"")</f>
        <v>58.1151145</v>
      </c>
      <c r="AE10" s="37" t="n">
        <f aca="false">IF(U10=1,M10,"")</f>
        <v>58.32588451</v>
      </c>
      <c r="AF10" s="37" t="str">
        <f aca="false">IF(AND(U10=1,V10="Nhỏ–vừa"),M10,"")</f>
        <v/>
      </c>
      <c r="AG10" s="37" t="n">
        <f aca="false">IF(AND(U10=1,V10="Lớn"),M10,"")</f>
        <v>58.32588451</v>
      </c>
      <c r="AH10" s="37" t="n">
        <f aca="false">IF(U10=1,N10,"")</f>
        <v>32.64284081</v>
      </c>
      <c r="AI10" s="37" t="str">
        <f aca="false">IF(AND(U10=1,V10="Nhỏ–vừa"),N10,"")</f>
        <v/>
      </c>
      <c r="AJ10" s="37" t="n">
        <f aca="false">IF(AND(U10=1,V10="Lớn"),N10,"")</f>
        <v>32.64284081</v>
      </c>
      <c r="AK10" s="35" t="n">
        <f aca="false">IF(U10=1,Q10,"")</f>
        <v>0.0227075746673384</v>
      </c>
      <c r="AL10" s="35" t="n">
        <f aca="false">IF(AND(U10=1,R10&lt;&gt;""),R10,"")</f>
        <v>-0.00496405696909499</v>
      </c>
      <c r="AM10" s="2" t="str">
        <f aca="false">A10&amp;"-"&amp;B10</f>
        <v>BDG-2025</v>
      </c>
    </row>
    <row r="11" customFormat="false" ht="15" hidden="false" customHeight="false" outlineLevel="0" collapsed="false">
      <c r="A11" s="30" t="s">
        <v>262</v>
      </c>
      <c r="B11" s="30" t="n">
        <v>2023</v>
      </c>
      <c r="C11" s="30" t="s">
        <v>359</v>
      </c>
      <c r="D11" s="31" t="n">
        <v>295724897278</v>
      </c>
      <c r="E11" s="32" t="n">
        <v>0.16773156</v>
      </c>
      <c r="F11" s="31" t="n">
        <v>170519841613</v>
      </c>
      <c r="G11" s="31" t="n">
        <v>99960557124</v>
      </c>
      <c r="H11" s="31" t="n">
        <v>12093331210</v>
      </c>
      <c r="I11" s="31" t="n">
        <v>22927000000</v>
      </c>
      <c r="J11" s="31" t="n">
        <v>34200655246</v>
      </c>
      <c r="K11" s="31" t="n">
        <v>12757476122</v>
      </c>
      <c r="L11" s="33" t="n">
        <v>35.01329593</v>
      </c>
      <c r="M11" s="33" t="n">
        <v>61.04221981</v>
      </c>
      <c r="N11" s="33" t="n">
        <v>24.97989403</v>
      </c>
      <c r="O11" s="34" t="n">
        <f aca="false">IF(OR(D11="",E11=""),"",D11*(1-E11))</f>
        <v>246122498926.721</v>
      </c>
      <c r="P11" s="35" t="n">
        <f aca="false">IF(OR(H11="",D11=""),"",IF(D11&lt;=0,"",(H11+N(I11))/D11))</f>
        <v>0.118421991291043</v>
      </c>
      <c r="Q11" s="35" t="n">
        <f aca="false">IF(OR(H11="",D11=""),"",IF(D11&lt;=0,"",H11/D11))</f>
        <v>0.0408938554761979</v>
      </c>
      <c r="R11" s="35" t="str">
        <f aca="false">IF(OR(A10&lt;&gt;A11,B11&lt;=ThamSo!$C$22,H11="",H10="",D11=""),"",IF(D11&lt;=0,"",(H11-H10)/D11))</f>
        <v/>
      </c>
      <c r="S11" s="36" t="str">
        <f aca="false">INDEX(HoSoDN!$H$5:$H$32,MATCH(A11,HoSoDN!$A$5:$A$32,0))</f>
        <v>FOB</v>
      </c>
      <c r="T11" s="36" t="str">
        <f aca="false">INDEX(HoSoDN!$I$5:$I$32,MATCH(A11,HoSoDN!$A$5:$A$32,0))</f>
        <v>Không</v>
      </c>
      <c r="U11" s="2" t="n">
        <f aca="false">IF(AND(S11="FOB",T11&lt;&gt;"Có",B11&gt;=ThamSo!$C$22,B11&lt;=ThamSo!$C$23,D11&lt;&gt;"",E11&lt;&gt;"",G11&lt;&gt;"",P11&lt;&gt;"",L11&lt;&gt;"",M11&lt;&gt;"",N11&lt;&gt;""),IF(D11&gt;=ThamSo!$C$11,1,0),0)</f>
        <v>1</v>
      </c>
      <c r="V11" s="2" t="str">
        <f aca="false">IF(D11="","",IF(D11&lt;=ThamSo!$C$12,"Nhỏ–vừa","Lớn"))</f>
        <v>Nhỏ–vừa</v>
      </c>
      <c r="W11" s="2" t="str">
        <f aca="false">IF(D11="","",IF(OR(D11&lt;=ThamSo!$C$13,F11&lt;=ThamSo!$C$14),"Có","Không"))</f>
        <v>Không</v>
      </c>
      <c r="X11" s="37" t="n">
        <f aca="false">IF(AND(T11&lt;&gt;"Có",M11&lt;&gt;"",D11&lt;&gt;""),IF(D11&gt;=ThamSo!$C$11,M11,""),"")</f>
        <v>61.04221981</v>
      </c>
      <c r="Y11" s="35" t="n">
        <f aca="false">IF(U11=1,P11,"")</f>
        <v>0.118421991291043</v>
      </c>
      <c r="Z11" s="35" t="n">
        <f aca="false">IF(AND(U11=1,V11="Nhỏ–vừa"),P11,"")</f>
        <v>0.118421991291043</v>
      </c>
      <c r="AA11" s="35" t="str">
        <f aca="false">IF(AND(U11=1,V11="Lớn"),P11,"")</f>
        <v/>
      </c>
      <c r="AB11" s="37" t="n">
        <f aca="false">IF(U11=1,L11,"")</f>
        <v>35.01329593</v>
      </c>
      <c r="AC11" s="37" t="n">
        <f aca="false">IF(AND(U11=1,V11="Nhỏ–vừa"),L11,"")</f>
        <v>35.01329593</v>
      </c>
      <c r="AD11" s="37" t="str">
        <f aca="false">IF(AND(U11=1,V11="Lớn"),L11,"")</f>
        <v/>
      </c>
      <c r="AE11" s="37" t="n">
        <f aca="false">IF(U11=1,M11,"")</f>
        <v>61.04221981</v>
      </c>
      <c r="AF11" s="37" t="n">
        <f aca="false">IF(AND(U11=1,V11="Nhỏ–vừa"),M11,"")</f>
        <v>61.04221981</v>
      </c>
      <c r="AG11" s="37" t="str">
        <f aca="false">IF(AND(U11=1,V11="Lớn"),M11,"")</f>
        <v/>
      </c>
      <c r="AH11" s="37" t="n">
        <f aca="false">IF(U11=1,N11,"")</f>
        <v>24.97989403</v>
      </c>
      <c r="AI11" s="37" t="n">
        <f aca="false">IF(AND(U11=1,V11="Nhỏ–vừa"),N11,"")</f>
        <v>24.97989403</v>
      </c>
      <c r="AJ11" s="37" t="str">
        <f aca="false">IF(AND(U11=1,V11="Lớn"),N11,"")</f>
        <v/>
      </c>
      <c r="AK11" s="35" t="n">
        <f aca="false">IF(U11=1,Q11,"")</f>
        <v>0.0408938554761979</v>
      </c>
      <c r="AL11" s="35" t="str">
        <f aca="false">IF(AND(U11=1,R11&lt;&gt;""),R11,"")</f>
        <v/>
      </c>
      <c r="AM11" s="2" t="str">
        <f aca="false">A11&amp;"-"&amp;B11</f>
        <v>BMG-2023</v>
      </c>
    </row>
    <row r="12" customFormat="false" ht="15" hidden="false" customHeight="false" outlineLevel="0" collapsed="false">
      <c r="A12" s="30" t="s">
        <v>262</v>
      </c>
      <c r="B12" s="30" t="n">
        <v>2024</v>
      </c>
      <c r="C12" s="30" t="s">
        <v>359</v>
      </c>
      <c r="D12" s="31" t="n">
        <v>275980198004</v>
      </c>
      <c r="E12" s="32" t="n">
        <v>0.17963174</v>
      </c>
      <c r="F12" s="31" t="n">
        <v>178466849746</v>
      </c>
      <c r="G12" s="31" t="n">
        <v>110968220994</v>
      </c>
      <c r="H12" s="31" t="n">
        <v>19154911891</v>
      </c>
      <c r="I12" s="31" t="n">
        <v>20020000000</v>
      </c>
      <c r="J12" s="31" t="n">
        <v>45156721479</v>
      </c>
      <c r="K12" s="31" t="n">
        <v>13133441065</v>
      </c>
      <c r="L12" s="33" t="n">
        <v>31.71454488</v>
      </c>
      <c r="M12" s="33" t="n">
        <v>64.14008177</v>
      </c>
      <c r="N12" s="33" t="n">
        <v>34.45596363</v>
      </c>
      <c r="O12" s="34" t="n">
        <f aca="false">IF(OR(D12="",E12=""),"",D12*(1-E12))</f>
        <v>226405394830.997</v>
      </c>
      <c r="P12" s="35" t="n">
        <f aca="false">IF(OR(H12="",D12=""),"",IF(D12&lt;=0,"",(H12+N(I12))/D12))</f>
        <v>0.141948270833664</v>
      </c>
      <c r="Q12" s="35" t="n">
        <f aca="false">IF(OR(H12="",D12=""),"",IF(D12&lt;=0,"",H12/D12))</f>
        <v>0.069406834365422</v>
      </c>
      <c r="R12" s="35" t="n">
        <f aca="false">IF(OR(A11&lt;&gt;A12,B12&lt;=ThamSo!$C$22,H12="",H11="",D12=""),"",IF(D12&lt;=0,"",(H12-H11)/D12))</f>
        <v>0.0255872730437626</v>
      </c>
      <c r="S12" s="36" t="str">
        <f aca="false">INDEX(HoSoDN!$H$5:$H$32,MATCH(A12,HoSoDN!$A$5:$A$32,0))</f>
        <v>FOB</v>
      </c>
      <c r="T12" s="36" t="str">
        <f aca="false">INDEX(HoSoDN!$I$5:$I$32,MATCH(A12,HoSoDN!$A$5:$A$32,0))</f>
        <v>Không</v>
      </c>
      <c r="U12" s="2" t="n">
        <f aca="false">IF(AND(S12="FOB",T12&lt;&gt;"Có",B12&gt;=ThamSo!$C$22,B12&lt;=ThamSo!$C$23,D12&lt;&gt;"",E12&lt;&gt;"",G12&lt;&gt;"",P12&lt;&gt;"",L12&lt;&gt;"",M12&lt;&gt;"",N12&lt;&gt;""),IF(D12&gt;=ThamSo!$C$11,1,0),0)</f>
        <v>1</v>
      </c>
      <c r="V12" s="2" t="str">
        <f aca="false">IF(D12="","",IF(D12&lt;=ThamSo!$C$12,"Nhỏ–vừa","Lớn"))</f>
        <v>Nhỏ–vừa</v>
      </c>
      <c r="W12" s="2" t="str">
        <f aca="false">IF(D12="","",IF(OR(D12&lt;=ThamSo!$C$13,F12&lt;=ThamSo!$C$14),"Có","Không"))</f>
        <v>Không</v>
      </c>
      <c r="X12" s="37" t="n">
        <f aca="false">IF(AND(T12&lt;&gt;"Có",M12&lt;&gt;"",D12&lt;&gt;""),IF(D12&gt;=ThamSo!$C$11,M12,""),"")</f>
        <v>64.14008177</v>
      </c>
      <c r="Y12" s="35" t="n">
        <f aca="false">IF(U12=1,P12,"")</f>
        <v>0.141948270833664</v>
      </c>
      <c r="Z12" s="35" t="n">
        <f aca="false">IF(AND(U12=1,V12="Nhỏ–vừa"),P12,"")</f>
        <v>0.141948270833664</v>
      </c>
      <c r="AA12" s="35" t="str">
        <f aca="false">IF(AND(U12=1,V12="Lớn"),P12,"")</f>
        <v/>
      </c>
      <c r="AB12" s="37" t="n">
        <f aca="false">IF(U12=1,L12,"")</f>
        <v>31.71454488</v>
      </c>
      <c r="AC12" s="37" t="n">
        <f aca="false">IF(AND(U12=1,V12="Nhỏ–vừa"),L12,"")</f>
        <v>31.71454488</v>
      </c>
      <c r="AD12" s="37" t="str">
        <f aca="false">IF(AND(U12=1,V12="Lớn"),L12,"")</f>
        <v/>
      </c>
      <c r="AE12" s="37" t="n">
        <f aca="false">IF(U12=1,M12,"")</f>
        <v>64.14008177</v>
      </c>
      <c r="AF12" s="37" t="n">
        <f aca="false">IF(AND(U12=1,V12="Nhỏ–vừa"),M12,"")</f>
        <v>64.14008177</v>
      </c>
      <c r="AG12" s="37" t="str">
        <f aca="false">IF(AND(U12=1,V12="Lớn"),M12,"")</f>
        <v/>
      </c>
      <c r="AH12" s="37" t="n">
        <f aca="false">IF(U12=1,N12,"")</f>
        <v>34.45596363</v>
      </c>
      <c r="AI12" s="37" t="n">
        <f aca="false">IF(AND(U12=1,V12="Nhỏ–vừa"),N12,"")</f>
        <v>34.45596363</v>
      </c>
      <c r="AJ12" s="37" t="str">
        <f aca="false">IF(AND(U12=1,V12="Lớn"),N12,"")</f>
        <v/>
      </c>
      <c r="AK12" s="35" t="n">
        <f aca="false">IF(U12=1,Q12,"")</f>
        <v>0.069406834365422</v>
      </c>
      <c r="AL12" s="35" t="n">
        <f aca="false">IF(AND(U12=1,R12&lt;&gt;""),R12,"")</f>
        <v>0.0255872730437626</v>
      </c>
      <c r="AM12" s="2" t="str">
        <f aca="false">A12&amp;"-"&amp;B12</f>
        <v>BMG-2024</v>
      </c>
    </row>
    <row r="13" customFormat="false" ht="15" hidden="false" customHeight="false" outlineLevel="0" collapsed="false">
      <c r="A13" s="30" t="s">
        <v>262</v>
      </c>
      <c r="B13" s="30" t="n">
        <v>2025</v>
      </c>
      <c r="C13" s="30" t="s">
        <v>359</v>
      </c>
      <c r="D13" s="31" t="n">
        <v>295940834048</v>
      </c>
      <c r="E13" s="32" t="n">
        <v>0.18565914</v>
      </c>
      <c r="F13" s="31" t="n">
        <v>190253004726</v>
      </c>
      <c r="G13" s="31" t="n">
        <v>113467882537</v>
      </c>
      <c r="H13" s="31" t="n">
        <v>11934241483</v>
      </c>
      <c r="I13" s="31" t="n">
        <v>335000000</v>
      </c>
      <c r="J13" s="31" t="n">
        <v>52315467227</v>
      </c>
      <c r="K13" s="31" t="n">
        <v>15332652459</v>
      </c>
      <c r="L13" s="33" t="n">
        <v>22.35158291</v>
      </c>
      <c r="M13" s="33" t="n">
        <v>73.81293373</v>
      </c>
      <c r="N13" s="33" t="n">
        <v>34.06861014</v>
      </c>
      <c r="O13" s="34" t="n">
        <f aca="false">IF(OR(D13="",E13=""),"",D13*(1-E13))</f>
        <v>240996713307.766</v>
      </c>
      <c r="P13" s="35" t="n">
        <f aca="false">IF(OR(H13="",D13=""),"",IF(D13&lt;=0,"",(H13+N(I13))/D13))</f>
        <v>0.041458427061843</v>
      </c>
      <c r="Q13" s="35" t="n">
        <f aca="false">IF(OR(H13="",D13=""),"",IF(D13&lt;=0,"",H13/D13))</f>
        <v>0.0403264440386903</v>
      </c>
      <c r="R13" s="35" t="n">
        <f aca="false">IF(OR(A12&lt;&gt;A13,B13&lt;=ThamSo!$C$22,H13="",H12="",D13=""),"",IF(D13&lt;=0,"",(H13-H12)/D13))</f>
        <v>-0.0243990337839923</v>
      </c>
      <c r="S13" s="36" t="str">
        <f aca="false">INDEX(HoSoDN!$H$5:$H$32,MATCH(A13,HoSoDN!$A$5:$A$32,0))</f>
        <v>FOB</v>
      </c>
      <c r="T13" s="36" t="str">
        <f aca="false">INDEX(HoSoDN!$I$5:$I$32,MATCH(A13,HoSoDN!$A$5:$A$32,0))</f>
        <v>Không</v>
      </c>
      <c r="U13" s="2" t="n">
        <f aca="false">IF(AND(S13="FOB",T13&lt;&gt;"Có",B13&gt;=ThamSo!$C$22,B13&lt;=ThamSo!$C$23,D13&lt;&gt;"",E13&lt;&gt;"",G13&lt;&gt;"",P13&lt;&gt;"",L13&lt;&gt;"",M13&lt;&gt;"",N13&lt;&gt;""),IF(D13&gt;=ThamSo!$C$11,1,0),0)</f>
        <v>1</v>
      </c>
      <c r="V13" s="2" t="str">
        <f aca="false">IF(D13="","",IF(D13&lt;=ThamSo!$C$12,"Nhỏ–vừa","Lớn"))</f>
        <v>Nhỏ–vừa</v>
      </c>
      <c r="W13" s="2" t="str">
        <f aca="false">IF(D13="","",IF(OR(D13&lt;=ThamSo!$C$13,F13&lt;=ThamSo!$C$14),"Có","Không"))</f>
        <v>Không</v>
      </c>
      <c r="X13" s="37" t="n">
        <f aca="false">IF(AND(T13&lt;&gt;"Có",M13&lt;&gt;"",D13&lt;&gt;""),IF(D13&gt;=ThamSo!$C$11,M13,""),"")</f>
        <v>73.81293373</v>
      </c>
      <c r="Y13" s="35" t="n">
        <f aca="false">IF(U13=1,P13,"")</f>
        <v>0.041458427061843</v>
      </c>
      <c r="Z13" s="35" t="n">
        <f aca="false">IF(AND(U13=1,V13="Nhỏ–vừa"),P13,"")</f>
        <v>0.041458427061843</v>
      </c>
      <c r="AA13" s="35" t="str">
        <f aca="false">IF(AND(U13=1,V13="Lớn"),P13,"")</f>
        <v/>
      </c>
      <c r="AB13" s="37" t="n">
        <f aca="false">IF(U13=1,L13,"")</f>
        <v>22.35158291</v>
      </c>
      <c r="AC13" s="37" t="n">
        <f aca="false">IF(AND(U13=1,V13="Nhỏ–vừa"),L13,"")</f>
        <v>22.35158291</v>
      </c>
      <c r="AD13" s="37" t="str">
        <f aca="false">IF(AND(U13=1,V13="Lớn"),L13,"")</f>
        <v/>
      </c>
      <c r="AE13" s="37" t="n">
        <f aca="false">IF(U13=1,M13,"")</f>
        <v>73.81293373</v>
      </c>
      <c r="AF13" s="37" t="n">
        <f aca="false">IF(AND(U13=1,V13="Nhỏ–vừa"),M13,"")</f>
        <v>73.81293373</v>
      </c>
      <c r="AG13" s="37" t="str">
        <f aca="false">IF(AND(U13=1,V13="Lớn"),M13,"")</f>
        <v/>
      </c>
      <c r="AH13" s="37" t="n">
        <f aca="false">IF(U13=1,N13,"")</f>
        <v>34.06861014</v>
      </c>
      <c r="AI13" s="37" t="n">
        <f aca="false">IF(AND(U13=1,V13="Nhỏ–vừa"),N13,"")</f>
        <v>34.06861014</v>
      </c>
      <c r="AJ13" s="37" t="str">
        <f aca="false">IF(AND(U13=1,V13="Lớn"),N13,"")</f>
        <v/>
      </c>
      <c r="AK13" s="35" t="n">
        <f aca="false">IF(U13=1,Q13,"")</f>
        <v>0.0403264440386903</v>
      </c>
      <c r="AL13" s="35" t="n">
        <f aca="false">IF(AND(U13=1,R13&lt;&gt;""),R13,"")</f>
        <v>-0.0243990337839923</v>
      </c>
      <c r="AM13" s="2" t="str">
        <f aca="false">A13&amp;"-"&amp;B13</f>
        <v>BMG-2025</v>
      </c>
    </row>
    <row r="14" customFormat="false" ht="15" hidden="false" customHeight="false" outlineLevel="0" collapsed="false">
      <c r="A14" s="30" t="s">
        <v>264</v>
      </c>
      <c r="B14" s="30" t="n">
        <v>2023</v>
      </c>
      <c r="C14" s="30" t="s">
        <v>360</v>
      </c>
      <c r="D14" s="31" t="n">
        <v>554879911020</v>
      </c>
      <c r="E14" s="32" t="n">
        <v>0.22336446</v>
      </c>
      <c r="F14" s="31" t="n">
        <v>421387983406</v>
      </c>
      <c r="G14" s="31" t="n">
        <v>284808203569</v>
      </c>
      <c r="H14" s="31" t="n">
        <v>51053532229</v>
      </c>
      <c r="I14" s="31" t="n">
        <v>173667154043</v>
      </c>
      <c r="J14" s="31" t="n">
        <v>13826248956</v>
      </c>
      <c r="K14" s="31" t="n">
        <v>12336232260</v>
      </c>
      <c r="L14" s="33" t="n">
        <v>20.31741146</v>
      </c>
      <c r="M14" s="33" t="n">
        <v>9.2933175</v>
      </c>
      <c r="N14" s="33" t="n">
        <v>8.38032087</v>
      </c>
      <c r="O14" s="34" t="n">
        <f aca="false">IF(OR(D14="",E14=""),"",D14*(1-E14))</f>
        <v>430939459330.17</v>
      </c>
      <c r="P14" s="35" t="n">
        <f aca="false">IF(OR(H14="",D14=""),"",IF(D14&lt;=0,"",(H14+N(I14))/D14))</f>
        <v>0.404989767711919</v>
      </c>
      <c r="Q14" s="35" t="n">
        <f aca="false">IF(OR(H14="",D14=""),"",IF(D14&lt;=0,"",H14/D14))</f>
        <v>0.0920082547864304</v>
      </c>
      <c r="R14" s="35" t="str">
        <f aca="false">IF(OR(A13&lt;&gt;A14,B14&lt;=ThamSo!$C$22,H14="",H13="",D14=""),"",IF(D14&lt;=0,"",(H14-H13)/D14))</f>
        <v/>
      </c>
      <c r="S14" s="36" t="str">
        <f aca="false">INDEX(HoSoDN!$H$5:$H$32,MATCH(A14,HoSoDN!$A$5:$A$32,0))</f>
        <v>CMT</v>
      </c>
      <c r="T14" s="36" t="str">
        <f aca="false">INDEX(HoSoDN!$I$5:$I$32,MATCH(A14,HoSoDN!$A$5:$A$32,0))</f>
        <v>Không</v>
      </c>
      <c r="U14" s="2" t="n">
        <f aca="false">IF(AND(S14="FOB",T14&lt;&gt;"Có",B14&gt;=ThamSo!$C$22,B14&lt;=ThamSo!$C$23,D14&lt;&gt;"",E14&lt;&gt;"",G14&lt;&gt;"",P14&lt;&gt;"",L14&lt;&gt;"",M14&lt;&gt;"",N14&lt;&gt;""),IF(D14&gt;=ThamSo!$C$11,1,0),0)</f>
        <v>0</v>
      </c>
      <c r="V14" s="2" t="str">
        <f aca="false">IF(D14="","",IF(D14&lt;=ThamSo!$C$12,"Nhỏ–vừa","Lớn"))</f>
        <v>Nhỏ–vừa</v>
      </c>
      <c r="W14" s="2" t="str">
        <f aca="false">IF(D14="","",IF(OR(D14&lt;=ThamSo!$C$13,F14&lt;=ThamSo!$C$14),"Có","Không"))</f>
        <v>Không</v>
      </c>
      <c r="X14" s="37" t="n">
        <f aca="false">IF(AND(T14&lt;&gt;"Có",M14&lt;&gt;"",D14&lt;&gt;""),IF(D14&gt;=ThamSo!$C$11,M14,""),"")</f>
        <v>9.2933175</v>
      </c>
      <c r="Y14" s="35" t="str">
        <f aca="false">IF(U14=1,P14,"")</f>
        <v/>
      </c>
      <c r="Z14" s="35" t="str">
        <f aca="false">IF(AND(U14=1,V14="Nhỏ–vừa"),P14,"")</f>
        <v/>
      </c>
      <c r="AA14" s="35" t="str">
        <f aca="false">IF(AND(U14=1,V14="Lớn"),P14,"")</f>
        <v/>
      </c>
      <c r="AB14" s="37" t="str">
        <f aca="false">IF(U14=1,L14,"")</f>
        <v/>
      </c>
      <c r="AC14" s="37" t="str">
        <f aca="false">IF(AND(U14=1,V14="Nhỏ–vừa"),L14,"")</f>
        <v/>
      </c>
      <c r="AD14" s="37" t="str">
        <f aca="false">IF(AND(U14=1,V14="Lớn"),L14,"")</f>
        <v/>
      </c>
      <c r="AE14" s="37" t="str">
        <f aca="false">IF(U14=1,M14,"")</f>
        <v/>
      </c>
      <c r="AF14" s="37" t="str">
        <f aca="false">IF(AND(U14=1,V14="Nhỏ–vừa"),M14,"")</f>
        <v/>
      </c>
      <c r="AG14" s="37" t="str">
        <f aca="false">IF(AND(U14=1,V14="Lớn"),M14,"")</f>
        <v/>
      </c>
      <c r="AH14" s="37" t="str">
        <f aca="false">IF(U14=1,N14,"")</f>
        <v/>
      </c>
      <c r="AI14" s="37" t="str">
        <f aca="false">IF(AND(U14=1,V14="Nhỏ–vừa"),N14,"")</f>
        <v/>
      </c>
      <c r="AJ14" s="37" t="str">
        <f aca="false">IF(AND(U14=1,V14="Lớn"),N14,"")</f>
        <v/>
      </c>
      <c r="AK14" s="35" t="str">
        <f aca="false">IF(U14=1,Q14,"")</f>
        <v/>
      </c>
      <c r="AL14" s="35" t="str">
        <f aca="false">IF(AND(U14=1,R14&lt;&gt;""),R14,"")</f>
        <v/>
      </c>
      <c r="AM14" s="2" t="str">
        <f aca="false">A14&amp;"-"&amp;B14</f>
        <v>DCG-2023</v>
      </c>
    </row>
    <row r="15" customFormat="false" ht="15" hidden="false" customHeight="false" outlineLevel="0" collapsed="false">
      <c r="A15" s="30" t="s">
        <v>264</v>
      </c>
      <c r="B15" s="30" t="n">
        <v>2024</v>
      </c>
      <c r="C15" s="30" t="s">
        <v>360</v>
      </c>
      <c r="D15" s="31" t="n">
        <v>731875404267</v>
      </c>
      <c r="E15" s="32" t="n">
        <v>0.24068147</v>
      </c>
      <c r="F15" s="31" t="n">
        <v>478123596170</v>
      </c>
      <c r="G15" s="31" t="n">
        <v>336718216466</v>
      </c>
      <c r="H15" s="31" t="n">
        <v>75596173316</v>
      </c>
      <c r="I15" s="31" t="n">
        <v>180256349726</v>
      </c>
      <c r="J15" s="31" t="n">
        <v>11600264321</v>
      </c>
      <c r="K15" s="31" t="n">
        <v>20228202016</v>
      </c>
      <c r="L15" s="33" t="n">
        <v>23.05435864</v>
      </c>
      <c r="M15" s="33" t="n">
        <v>8.35003943</v>
      </c>
      <c r="N15" s="33" t="n">
        <v>7.7308265</v>
      </c>
      <c r="O15" s="34" t="n">
        <f aca="false">IF(OR(D15="",E15=""),"",D15*(1-E15))</f>
        <v>555726556111.174</v>
      </c>
      <c r="P15" s="35" t="n">
        <f aca="false">IF(OR(H15="",D15=""),"",IF(D15&lt;=0,"",(H15+N(I15))/D15))</f>
        <v>0.349584808493798</v>
      </c>
      <c r="Q15" s="35" t="n">
        <f aca="false">IF(OR(H15="",D15=""),"",IF(D15&lt;=0,"",H15/D15))</f>
        <v>0.103291042266562</v>
      </c>
      <c r="R15" s="35" t="n">
        <f aca="false">IF(OR(A14&lt;&gt;A15,B15&lt;=ThamSo!$C$22,H15="",H14="",D15=""),"",IF(D15&lt;=0,"",(H15-H14)/D15))</f>
        <v>0.0335339061046605</v>
      </c>
      <c r="S15" s="36" t="str">
        <f aca="false">INDEX(HoSoDN!$H$5:$H$32,MATCH(A15,HoSoDN!$A$5:$A$32,0))</f>
        <v>CMT</v>
      </c>
      <c r="T15" s="36" t="str">
        <f aca="false">INDEX(HoSoDN!$I$5:$I$32,MATCH(A15,HoSoDN!$A$5:$A$32,0))</f>
        <v>Không</v>
      </c>
      <c r="U15" s="2" t="n">
        <f aca="false">IF(AND(S15="FOB",T15&lt;&gt;"Có",B15&gt;=ThamSo!$C$22,B15&lt;=ThamSo!$C$23,D15&lt;&gt;"",E15&lt;&gt;"",G15&lt;&gt;"",P15&lt;&gt;"",L15&lt;&gt;"",M15&lt;&gt;"",N15&lt;&gt;""),IF(D15&gt;=ThamSo!$C$11,1,0),0)</f>
        <v>0</v>
      </c>
      <c r="V15" s="2" t="str">
        <f aca="false">IF(D15="","",IF(D15&lt;=ThamSo!$C$12,"Nhỏ–vừa","Lớn"))</f>
        <v>Nhỏ–vừa</v>
      </c>
      <c r="W15" s="2" t="str">
        <f aca="false">IF(D15="","",IF(OR(D15&lt;=ThamSo!$C$13,F15&lt;=ThamSo!$C$14),"Có","Không"))</f>
        <v>Không</v>
      </c>
      <c r="X15" s="37" t="n">
        <f aca="false">IF(AND(T15&lt;&gt;"Có",M15&lt;&gt;"",D15&lt;&gt;""),IF(D15&gt;=ThamSo!$C$11,M15,""),"")</f>
        <v>8.35003943</v>
      </c>
      <c r="Y15" s="35" t="str">
        <f aca="false">IF(U15=1,P15,"")</f>
        <v/>
      </c>
      <c r="Z15" s="35" t="str">
        <f aca="false">IF(AND(U15=1,V15="Nhỏ–vừa"),P15,"")</f>
        <v/>
      </c>
      <c r="AA15" s="35" t="str">
        <f aca="false">IF(AND(U15=1,V15="Lớn"),P15,"")</f>
        <v/>
      </c>
      <c r="AB15" s="37" t="str">
        <f aca="false">IF(U15=1,L15,"")</f>
        <v/>
      </c>
      <c r="AC15" s="37" t="str">
        <f aca="false">IF(AND(U15=1,V15="Nhỏ–vừa"),L15,"")</f>
        <v/>
      </c>
      <c r="AD15" s="37" t="str">
        <f aca="false">IF(AND(U15=1,V15="Lớn"),L15,"")</f>
        <v/>
      </c>
      <c r="AE15" s="37" t="str">
        <f aca="false">IF(U15=1,M15,"")</f>
        <v/>
      </c>
      <c r="AF15" s="37" t="str">
        <f aca="false">IF(AND(U15=1,V15="Nhỏ–vừa"),M15,"")</f>
        <v/>
      </c>
      <c r="AG15" s="37" t="str">
        <f aca="false">IF(AND(U15=1,V15="Lớn"),M15,"")</f>
        <v/>
      </c>
      <c r="AH15" s="37" t="str">
        <f aca="false">IF(U15=1,N15,"")</f>
        <v/>
      </c>
      <c r="AI15" s="37" t="str">
        <f aca="false">IF(AND(U15=1,V15="Nhỏ–vừa"),N15,"")</f>
        <v/>
      </c>
      <c r="AJ15" s="37" t="str">
        <f aca="false">IF(AND(U15=1,V15="Lớn"),N15,"")</f>
        <v/>
      </c>
      <c r="AK15" s="35" t="str">
        <f aca="false">IF(U15=1,Q15,"")</f>
        <v/>
      </c>
      <c r="AL15" s="35" t="str">
        <f aca="false">IF(AND(U15=1,R15&lt;&gt;""),R15,"")</f>
        <v/>
      </c>
      <c r="AM15" s="2" t="str">
        <f aca="false">A15&amp;"-"&amp;B15</f>
        <v>DCG-2024</v>
      </c>
    </row>
    <row r="16" customFormat="false" ht="15" hidden="false" customHeight="false" outlineLevel="0" collapsed="false">
      <c r="A16" s="30" t="s">
        <v>264</v>
      </c>
      <c r="B16" s="30" t="n">
        <v>2025</v>
      </c>
      <c r="C16" s="30" t="s">
        <v>360</v>
      </c>
      <c r="D16" s="31" t="n">
        <v>515338334088</v>
      </c>
      <c r="E16" s="32" t="n">
        <v>0.24777757</v>
      </c>
      <c r="F16" s="31" t="n">
        <v>360209847551</v>
      </c>
      <c r="G16" s="31" t="n">
        <v>245782632955</v>
      </c>
      <c r="H16" s="31" t="n">
        <v>3204618644</v>
      </c>
      <c r="I16" s="31" t="n">
        <v>152926174724</v>
      </c>
      <c r="J16" s="31" t="n">
        <v>10124390976</v>
      </c>
      <c r="K16" s="31" t="n">
        <v>18592465292</v>
      </c>
      <c r="L16" s="33" t="n">
        <v>38.72448868</v>
      </c>
      <c r="M16" s="33" t="n">
        <v>10.22767767</v>
      </c>
      <c r="N16" s="33" t="n">
        <v>14.65169616</v>
      </c>
      <c r="O16" s="34" t="n">
        <f aca="false">IF(OR(D16="",E16=""),"",D16*(1-E16))</f>
        <v>387649053939.827</v>
      </c>
      <c r="P16" s="35" t="n">
        <f aca="false">IF(OR(H16="",D16=""),"",IF(D16&lt;=0,"",(H16+N(I16))/D16))</f>
        <v>0.302967551684868</v>
      </c>
      <c r="Q16" s="35" t="n">
        <f aca="false">IF(OR(H16="",D16=""),"",IF(D16&lt;=0,"",H16/D16))</f>
        <v>0.00621847518809415</v>
      </c>
      <c r="R16" s="35" t="n">
        <f aca="false">IF(OR(A15&lt;&gt;A16,B16&lt;=ThamSo!$C$22,H16="",H15="",D16=""),"",IF(D16&lt;=0,"",(H16-H15)/D16))</f>
        <v>-0.140473839967896</v>
      </c>
      <c r="S16" s="36" t="str">
        <f aca="false">INDEX(HoSoDN!$H$5:$H$32,MATCH(A16,HoSoDN!$A$5:$A$32,0))</f>
        <v>CMT</v>
      </c>
      <c r="T16" s="36" t="str">
        <f aca="false">INDEX(HoSoDN!$I$5:$I$32,MATCH(A16,HoSoDN!$A$5:$A$32,0))</f>
        <v>Không</v>
      </c>
      <c r="U16" s="2" t="n">
        <f aca="false">IF(AND(S16="FOB",T16&lt;&gt;"Có",B16&gt;=ThamSo!$C$22,B16&lt;=ThamSo!$C$23,D16&lt;&gt;"",E16&lt;&gt;"",G16&lt;&gt;"",P16&lt;&gt;"",L16&lt;&gt;"",M16&lt;&gt;"",N16&lt;&gt;""),IF(D16&gt;=ThamSo!$C$11,1,0),0)</f>
        <v>0</v>
      </c>
      <c r="V16" s="2" t="str">
        <f aca="false">IF(D16="","",IF(D16&lt;=ThamSo!$C$12,"Nhỏ–vừa","Lớn"))</f>
        <v>Nhỏ–vừa</v>
      </c>
      <c r="W16" s="2" t="str">
        <f aca="false">IF(D16="","",IF(OR(D16&lt;=ThamSo!$C$13,F16&lt;=ThamSo!$C$14),"Có","Không"))</f>
        <v>Không</v>
      </c>
      <c r="X16" s="37" t="n">
        <f aca="false">IF(AND(T16&lt;&gt;"Có",M16&lt;&gt;"",D16&lt;&gt;""),IF(D16&gt;=ThamSo!$C$11,M16,""),"")</f>
        <v>10.22767767</v>
      </c>
      <c r="Y16" s="35" t="str">
        <f aca="false">IF(U16=1,P16,"")</f>
        <v/>
      </c>
      <c r="Z16" s="35" t="str">
        <f aca="false">IF(AND(U16=1,V16="Nhỏ–vừa"),P16,"")</f>
        <v/>
      </c>
      <c r="AA16" s="35" t="str">
        <f aca="false">IF(AND(U16=1,V16="Lớn"),P16,"")</f>
        <v/>
      </c>
      <c r="AB16" s="37" t="str">
        <f aca="false">IF(U16=1,L16,"")</f>
        <v/>
      </c>
      <c r="AC16" s="37" t="str">
        <f aca="false">IF(AND(U16=1,V16="Nhỏ–vừa"),L16,"")</f>
        <v/>
      </c>
      <c r="AD16" s="37" t="str">
        <f aca="false">IF(AND(U16=1,V16="Lớn"),L16,"")</f>
        <v/>
      </c>
      <c r="AE16" s="37" t="str">
        <f aca="false">IF(U16=1,M16,"")</f>
        <v/>
      </c>
      <c r="AF16" s="37" t="str">
        <f aca="false">IF(AND(U16=1,V16="Nhỏ–vừa"),M16,"")</f>
        <v/>
      </c>
      <c r="AG16" s="37" t="str">
        <f aca="false">IF(AND(U16=1,V16="Lớn"),M16,"")</f>
        <v/>
      </c>
      <c r="AH16" s="37" t="str">
        <f aca="false">IF(U16=1,N16,"")</f>
        <v/>
      </c>
      <c r="AI16" s="37" t="str">
        <f aca="false">IF(AND(U16=1,V16="Nhỏ–vừa"),N16,"")</f>
        <v/>
      </c>
      <c r="AJ16" s="37" t="str">
        <f aca="false">IF(AND(U16=1,V16="Lớn"),N16,"")</f>
        <v/>
      </c>
      <c r="AK16" s="35" t="str">
        <f aca="false">IF(U16=1,Q16,"")</f>
        <v/>
      </c>
      <c r="AL16" s="35" t="str">
        <f aca="false">IF(AND(U16=1,R16&lt;&gt;""),R16,"")</f>
        <v/>
      </c>
      <c r="AM16" s="2" t="str">
        <f aca="false">A16&amp;"-"&amp;B16</f>
        <v>DCG-2025</v>
      </c>
    </row>
    <row r="17" customFormat="false" ht="15" hidden="false" customHeight="false" outlineLevel="0" collapsed="false">
      <c r="A17" s="30" t="s">
        <v>266</v>
      </c>
      <c r="B17" s="30" t="n">
        <v>2023</v>
      </c>
      <c r="C17" s="30" t="s">
        <v>360</v>
      </c>
      <c r="D17" s="31" t="n">
        <v>620231260463</v>
      </c>
      <c r="E17" s="32" t="n">
        <v>0.13704986</v>
      </c>
      <c r="F17" s="31" t="n">
        <v>496837922532</v>
      </c>
      <c r="G17" s="31" t="n">
        <v>333140259403</v>
      </c>
      <c r="H17" s="31" t="n">
        <v>15299677570</v>
      </c>
      <c r="I17" s="31" t="n">
        <v>0</v>
      </c>
      <c r="J17" s="31" t="n">
        <v>108189581639</v>
      </c>
      <c r="K17" s="31" t="n">
        <v>39614513924</v>
      </c>
      <c r="L17" s="33" t="n">
        <v>83.30746808</v>
      </c>
      <c r="M17" s="33" t="n">
        <v>81.81882247</v>
      </c>
      <c r="N17" s="33" t="n">
        <v>53.50763762</v>
      </c>
      <c r="O17" s="34" t="n">
        <f aca="false">IF(OR(D17="",E17=""),"",D17*(1-E17))</f>
        <v>535228653048.922</v>
      </c>
      <c r="P17" s="35" t="n">
        <f aca="false">IF(OR(H17="",D17=""),"",IF(D17&lt;=0,"",(H17+N(I17))/D17))</f>
        <v>0.0246676982365882</v>
      </c>
      <c r="Q17" s="35" t="n">
        <f aca="false">IF(OR(H17="",D17=""),"",IF(D17&lt;=0,"",H17/D17))</f>
        <v>0.0246676982365882</v>
      </c>
      <c r="R17" s="35" t="str">
        <f aca="false">IF(OR(A16&lt;&gt;A17,B17&lt;=ThamSo!$C$22,H17="",H16="",D17=""),"",IF(D17&lt;=0,"",(H17-H16)/D17))</f>
        <v/>
      </c>
      <c r="S17" s="36" t="str">
        <f aca="false">INDEX(HoSoDN!$H$5:$H$32,MATCH(A17,HoSoDN!$A$5:$A$32,0))</f>
        <v>FOB</v>
      </c>
      <c r="T17" s="36" t="str">
        <f aca="false">INDEX(HoSoDN!$I$5:$I$32,MATCH(A17,HoSoDN!$A$5:$A$32,0))</f>
        <v>Không</v>
      </c>
      <c r="U17" s="2" t="n">
        <f aca="false">IF(AND(S17="FOB",T17&lt;&gt;"Có",B17&gt;=ThamSo!$C$22,B17&lt;=ThamSo!$C$23,D17&lt;&gt;"",E17&lt;&gt;"",G17&lt;&gt;"",P17&lt;&gt;"",L17&lt;&gt;"",M17&lt;&gt;"",N17&lt;&gt;""),IF(D17&gt;=ThamSo!$C$11,1,0),0)</f>
        <v>1</v>
      </c>
      <c r="V17" s="2" t="str">
        <f aca="false">IF(D17="","",IF(D17&lt;=ThamSo!$C$12,"Nhỏ–vừa","Lớn"))</f>
        <v>Nhỏ–vừa</v>
      </c>
      <c r="W17" s="2" t="str">
        <f aca="false">IF(D17="","",IF(OR(D17&lt;=ThamSo!$C$13,F17&lt;=ThamSo!$C$14),"Có","Không"))</f>
        <v>Không</v>
      </c>
      <c r="X17" s="37" t="n">
        <f aca="false">IF(AND(T17&lt;&gt;"Có",M17&lt;&gt;"",D17&lt;&gt;""),IF(D17&gt;=ThamSo!$C$11,M17,""),"")</f>
        <v>81.81882247</v>
      </c>
      <c r="Y17" s="35" t="n">
        <f aca="false">IF(U17=1,P17,"")</f>
        <v>0.0246676982365882</v>
      </c>
      <c r="Z17" s="35" t="n">
        <f aca="false">IF(AND(U17=1,V17="Nhỏ–vừa"),P17,"")</f>
        <v>0.0246676982365882</v>
      </c>
      <c r="AA17" s="35" t="str">
        <f aca="false">IF(AND(U17=1,V17="Lớn"),P17,"")</f>
        <v/>
      </c>
      <c r="AB17" s="37" t="n">
        <f aca="false">IF(U17=1,L17,"")</f>
        <v>83.30746808</v>
      </c>
      <c r="AC17" s="37" t="n">
        <f aca="false">IF(AND(U17=1,V17="Nhỏ–vừa"),L17,"")</f>
        <v>83.30746808</v>
      </c>
      <c r="AD17" s="37" t="str">
        <f aca="false">IF(AND(U17=1,V17="Lớn"),L17,"")</f>
        <v/>
      </c>
      <c r="AE17" s="37" t="n">
        <f aca="false">IF(U17=1,M17,"")</f>
        <v>81.81882247</v>
      </c>
      <c r="AF17" s="37" t="n">
        <f aca="false">IF(AND(U17=1,V17="Nhỏ–vừa"),M17,"")</f>
        <v>81.81882247</v>
      </c>
      <c r="AG17" s="37" t="str">
        <f aca="false">IF(AND(U17=1,V17="Lớn"),M17,"")</f>
        <v/>
      </c>
      <c r="AH17" s="37" t="n">
        <f aca="false">IF(U17=1,N17,"")</f>
        <v>53.50763762</v>
      </c>
      <c r="AI17" s="37" t="n">
        <f aca="false">IF(AND(U17=1,V17="Nhỏ–vừa"),N17,"")</f>
        <v>53.50763762</v>
      </c>
      <c r="AJ17" s="37" t="str">
        <f aca="false">IF(AND(U17=1,V17="Lớn"),N17,"")</f>
        <v/>
      </c>
      <c r="AK17" s="35" t="n">
        <f aca="false">IF(U17=1,Q17,"")</f>
        <v>0.0246676982365882</v>
      </c>
      <c r="AL17" s="35" t="str">
        <f aca="false">IF(AND(U17=1,R17&lt;&gt;""),R17,"")</f>
        <v/>
      </c>
      <c r="AM17" s="2" t="str">
        <f aca="false">A17&amp;"-"&amp;B17</f>
        <v>DM7-2023</v>
      </c>
    </row>
    <row r="18" customFormat="false" ht="15" hidden="false" customHeight="false" outlineLevel="0" collapsed="false">
      <c r="A18" s="30" t="s">
        <v>266</v>
      </c>
      <c r="B18" s="30" t="n">
        <v>2024</v>
      </c>
      <c r="C18" s="30" t="s">
        <v>360</v>
      </c>
      <c r="D18" s="31" t="n">
        <v>868155807971</v>
      </c>
      <c r="E18" s="32" t="n">
        <v>0.14754896</v>
      </c>
      <c r="F18" s="31" t="n">
        <v>540044565464</v>
      </c>
      <c r="G18" s="31" t="n">
        <v>389114842980</v>
      </c>
      <c r="H18" s="31" t="n">
        <v>92531395343</v>
      </c>
      <c r="I18" s="31" t="n">
        <v>0</v>
      </c>
      <c r="J18" s="31" t="n">
        <v>101851256997</v>
      </c>
      <c r="K18" s="31" t="n">
        <v>54688214885</v>
      </c>
      <c r="L18" s="33" t="n">
        <v>77.61517198</v>
      </c>
      <c r="M18" s="33" t="n">
        <v>51.79639005</v>
      </c>
      <c r="N18" s="33" t="n">
        <v>46.20003895</v>
      </c>
      <c r="O18" s="34" t="n">
        <f aca="false">IF(OR(D18="",E18=""),"",D18*(1-E18))</f>
        <v>740060321386.919</v>
      </c>
      <c r="P18" s="35" t="n">
        <f aca="false">IF(OR(H18="",D18=""),"",IF(D18&lt;=0,"",(H18+N(I18))/D18))</f>
        <v>0.106583857981966</v>
      </c>
      <c r="Q18" s="35" t="n">
        <f aca="false">IF(OR(H18="",D18=""),"",IF(D18&lt;=0,"",H18/D18))</f>
        <v>0.106583857981966</v>
      </c>
      <c r="R18" s="35" t="n">
        <f aca="false">IF(OR(A17&lt;&gt;A18,B18&lt;=ThamSo!$C$22,H18="",H17="",D18=""),"",IF(D18&lt;=0,"",(H18-H17)/D18))</f>
        <v>0.0889606647377055</v>
      </c>
      <c r="S18" s="36" t="str">
        <f aca="false">INDEX(HoSoDN!$H$5:$H$32,MATCH(A18,HoSoDN!$A$5:$A$32,0))</f>
        <v>FOB</v>
      </c>
      <c r="T18" s="36" t="str">
        <f aca="false">INDEX(HoSoDN!$I$5:$I$32,MATCH(A18,HoSoDN!$A$5:$A$32,0))</f>
        <v>Không</v>
      </c>
      <c r="U18" s="2" t="n">
        <f aca="false">IF(AND(S18="FOB",T18&lt;&gt;"Có",B18&gt;=ThamSo!$C$22,B18&lt;=ThamSo!$C$23,D18&lt;&gt;"",E18&lt;&gt;"",G18&lt;&gt;"",P18&lt;&gt;"",L18&lt;&gt;"",M18&lt;&gt;"",N18&lt;&gt;""),IF(D18&gt;=ThamSo!$C$11,1,0),0)</f>
        <v>1</v>
      </c>
      <c r="V18" s="2" t="str">
        <f aca="false">IF(D18="","",IF(D18&lt;=ThamSo!$C$12,"Nhỏ–vừa","Lớn"))</f>
        <v>Nhỏ–vừa</v>
      </c>
      <c r="W18" s="2" t="str">
        <f aca="false">IF(D18="","",IF(OR(D18&lt;=ThamSo!$C$13,F18&lt;=ThamSo!$C$14),"Có","Không"))</f>
        <v>Không</v>
      </c>
      <c r="X18" s="37" t="n">
        <f aca="false">IF(AND(T18&lt;&gt;"Có",M18&lt;&gt;"",D18&lt;&gt;""),IF(D18&gt;=ThamSo!$C$11,M18,""),"")</f>
        <v>51.79639005</v>
      </c>
      <c r="Y18" s="35" t="n">
        <f aca="false">IF(U18=1,P18,"")</f>
        <v>0.106583857981966</v>
      </c>
      <c r="Z18" s="35" t="n">
        <f aca="false">IF(AND(U18=1,V18="Nhỏ–vừa"),P18,"")</f>
        <v>0.106583857981966</v>
      </c>
      <c r="AA18" s="35" t="str">
        <f aca="false">IF(AND(U18=1,V18="Lớn"),P18,"")</f>
        <v/>
      </c>
      <c r="AB18" s="37" t="n">
        <f aca="false">IF(U18=1,L18,"")</f>
        <v>77.61517198</v>
      </c>
      <c r="AC18" s="37" t="n">
        <f aca="false">IF(AND(U18=1,V18="Nhỏ–vừa"),L18,"")</f>
        <v>77.61517198</v>
      </c>
      <c r="AD18" s="37" t="str">
        <f aca="false">IF(AND(U18=1,V18="Lớn"),L18,"")</f>
        <v/>
      </c>
      <c r="AE18" s="37" t="n">
        <f aca="false">IF(U18=1,M18,"")</f>
        <v>51.79639005</v>
      </c>
      <c r="AF18" s="37" t="n">
        <f aca="false">IF(AND(U18=1,V18="Nhỏ–vừa"),M18,"")</f>
        <v>51.79639005</v>
      </c>
      <c r="AG18" s="37" t="str">
        <f aca="false">IF(AND(U18=1,V18="Lớn"),M18,"")</f>
        <v/>
      </c>
      <c r="AH18" s="37" t="n">
        <f aca="false">IF(U18=1,N18,"")</f>
        <v>46.20003895</v>
      </c>
      <c r="AI18" s="37" t="n">
        <f aca="false">IF(AND(U18=1,V18="Nhỏ–vừa"),N18,"")</f>
        <v>46.20003895</v>
      </c>
      <c r="AJ18" s="37" t="str">
        <f aca="false">IF(AND(U18=1,V18="Lớn"),N18,"")</f>
        <v/>
      </c>
      <c r="AK18" s="35" t="n">
        <f aca="false">IF(U18=1,Q18,"")</f>
        <v>0.106583857981966</v>
      </c>
      <c r="AL18" s="35" t="n">
        <f aca="false">IF(AND(U18=1,R18&lt;&gt;""),R18,"")</f>
        <v>0.0889606647377055</v>
      </c>
      <c r="AM18" s="2" t="str">
        <f aca="false">A18&amp;"-"&amp;B18</f>
        <v>DM7-2024</v>
      </c>
    </row>
    <row r="19" customFormat="false" ht="15" hidden="false" customHeight="false" outlineLevel="0" collapsed="false">
      <c r="A19" s="30" t="s">
        <v>266</v>
      </c>
      <c r="B19" s="30" t="n">
        <v>2025</v>
      </c>
      <c r="C19" s="30" t="s">
        <v>360</v>
      </c>
      <c r="D19" s="31" t="n">
        <v>741070971989</v>
      </c>
      <c r="E19" s="32" t="n">
        <v>0.16244957</v>
      </c>
      <c r="F19" s="31" t="n">
        <v>546179376122</v>
      </c>
      <c r="G19" s="31" t="n">
        <v>406303984542</v>
      </c>
      <c r="H19" s="31" t="n">
        <v>52146473943</v>
      </c>
      <c r="I19" s="31" t="n">
        <v>0</v>
      </c>
      <c r="J19" s="31" t="n">
        <v>87627616096</v>
      </c>
      <c r="K19" s="31" t="n">
        <v>54978209164</v>
      </c>
      <c r="L19" s="33" t="n">
        <v>112.89637465</v>
      </c>
      <c r="M19" s="33" t="n">
        <v>55.71253193</v>
      </c>
      <c r="N19" s="33" t="n">
        <v>36.14441135</v>
      </c>
      <c r="O19" s="34" t="n">
        <f aca="false">IF(OR(D19="",E19=""),"",D19*(1-E19))</f>
        <v>620684311249.905</v>
      </c>
      <c r="P19" s="35" t="n">
        <f aca="false">IF(OR(H19="",D19=""),"",IF(D19&lt;=0,"",(H19+N(I19))/D19))</f>
        <v>0.0703663696380406</v>
      </c>
      <c r="Q19" s="35" t="n">
        <f aca="false">IF(OR(H19="",D19=""),"",IF(D19&lt;=0,"",H19/D19))</f>
        <v>0.0703663696380406</v>
      </c>
      <c r="R19" s="35" t="n">
        <f aca="false">IF(OR(A18&lt;&gt;A19,B19&lt;=ThamSo!$C$22,H19="",H18="",D19=""),"",IF(D19&lt;=0,"",(H19-H18)/D19))</f>
        <v>-0.054495349199293</v>
      </c>
      <c r="S19" s="36" t="str">
        <f aca="false">INDEX(HoSoDN!$H$5:$H$32,MATCH(A19,HoSoDN!$A$5:$A$32,0))</f>
        <v>FOB</v>
      </c>
      <c r="T19" s="36" t="str">
        <f aca="false">INDEX(HoSoDN!$I$5:$I$32,MATCH(A19,HoSoDN!$A$5:$A$32,0))</f>
        <v>Không</v>
      </c>
      <c r="U19" s="2" t="n">
        <f aca="false">IF(AND(S19="FOB",T19&lt;&gt;"Có",B19&gt;=ThamSo!$C$22,B19&lt;=ThamSo!$C$23,D19&lt;&gt;"",E19&lt;&gt;"",G19&lt;&gt;"",P19&lt;&gt;"",L19&lt;&gt;"",M19&lt;&gt;"",N19&lt;&gt;""),IF(D19&gt;=ThamSo!$C$11,1,0),0)</f>
        <v>1</v>
      </c>
      <c r="V19" s="2" t="str">
        <f aca="false">IF(D19="","",IF(D19&lt;=ThamSo!$C$12,"Nhỏ–vừa","Lớn"))</f>
        <v>Nhỏ–vừa</v>
      </c>
      <c r="W19" s="2" t="str">
        <f aca="false">IF(D19="","",IF(OR(D19&lt;=ThamSo!$C$13,F19&lt;=ThamSo!$C$14),"Có","Không"))</f>
        <v>Không</v>
      </c>
      <c r="X19" s="37" t="n">
        <f aca="false">IF(AND(T19&lt;&gt;"Có",M19&lt;&gt;"",D19&lt;&gt;""),IF(D19&gt;=ThamSo!$C$11,M19,""),"")</f>
        <v>55.71253193</v>
      </c>
      <c r="Y19" s="35" t="n">
        <f aca="false">IF(U19=1,P19,"")</f>
        <v>0.0703663696380406</v>
      </c>
      <c r="Z19" s="35" t="n">
        <f aca="false">IF(AND(U19=1,V19="Nhỏ–vừa"),P19,"")</f>
        <v>0.0703663696380406</v>
      </c>
      <c r="AA19" s="35" t="str">
        <f aca="false">IF(AND(U19=1,V19="Lớn"),P19,"")</f>
        <v/>
      </c>
      <c r="AB19" s="37" t="n">
        <f aca="false">IF(U19=1,L19,"")</f>
        <v>112.89637465</v>
      </c>
      <c r="AC19" s="37" t="n">
        <f aca="false">IF(AND(U19=1,V19="Nhỏ–vừa"),L19,"")</f>
        <v>112.89637465</v>
      </c>
      <c r="AD19" s="37" t="str">
        <f aca="false">IF(AND(U19=1,V19="Lớn"),L19,"")</f>
        <v/>
      </c>
      <c r="AE19" s="37" t="n">
        <f aca="false">IF(U19=1,M19,"")</f>
        <v>55.71253193</v>
      </c>
      <c r="AF19" s="37" t="n">
        <f aca="false">IF(AND(U19=1,V19="Nhỏ–vừa"),M19,"")</f>
        <v>55.71253193</v>
      </c>
      <c r="AG19" s="37" t="str">
        <f aca="false">IF(AND(U19=1,V19="Lớn"),M19,"")</f>
        <v/>
      </c>
      <c r="AH19" s="37" t="n">
        <f aca="false">IF(U19=1,N19,"")</f>
        <v>36.14441135</v>
      </c>
      <c r="AI19" s="37" t="n">
        <f aca="false">IF(AND(U19=1,V19="Nhỏ–vừa"),N19,"")</f>
        <v>36.14441135</v>
      </c>
      <c r="AJ19" s="37" t="str">
        <f aca="false">IF(AND(U19=1,V19="Lớn"),N19,"")</f>
        <v/>
      </c>
      <c r="AK19" s="35" t="n">
        <f aca="false">IF(U19=1,Q19,"")</f>
        <v>0.0703663696380406</v>
      </c>
      <c r="AL19" s="35" t="n">
        <f aca="false">IF(AND(U19=1,R19&lt;&gt;""),R19,"")</f>
        <v>-0.054495349199293</v>
      </c>
      <c r="AM19" s="2" t="str">
        <f aca="false">A19&amp;"-"&amp;B19</f>
        <v>DM7-2025</v>
      </c>
    </row>
    <row r="20" customFormat="false" ht="15" hidden="false" customHeight="false" outlineLevel="0" collapsed="false">
      <c r="A20" s="30" t="s">
        <v>268</v>
      </c>
      <c r="B20" s="30" t="n">
        <v>2023</v>
      </c>
      <c r="C20" s="30" t="s">
        <v>359</v>
      </c>
      <c r="D20" s="31" t="n">
        <v>0</v>
      </c>
      <c r="E20" s="32"/>
      <c r="F20" s="31" t="n">
        <v>94998553951</v>
      </c>
      <c r="G20" s="31" t="n">
        <v>93021232184</v>
      </c>
      <c r="H20" s="31" t="n">
        <v>12859718</v>
      </c>
      <c r="I20" s="31" t="n">
        <v>100000</v>
      </c>
      <c r="J20" s="31" t="n">
        <v>69793655896</v>
      </c>
      <c r="K20" s="31" t="n">
        <v>-13207324290</v>
      </c>
      <c r="L20" s="33"/>
      <c r="M20" s="33"/>
      <c r="N20" s="33"/>
      <c r="O20" s="34" t="str">
        <f aca="false">IF(OR(D20="",E20=""),"",D20*(1-E20))</f>
        <v/>
      </c>
      <c r="P20" s="35" t="str">
        <f aca="false">IF(OR(H20="",D20=""),"",IF(D20&lt;=0,"",(H20+N(I20))/D20))</f>
        <v/>
      </c>
      <c r="Q20" s="35" t="str">
        <f aca="false">IF(OR(H20="",D20=""),"",IF(D20&lt;=0,"",H20/D20))</f>
        <v/>
      </c>
      <c r="R20" s="35" t="str">
        <f aca="false">IF(OR(A19&lt;&gt;A20,B20&lt;=ThamSo!$C$22,H20="",H19="",D20=""),"",IF(D20&lt;=0,"",(H20-H19)/D20))</f>
        <v/>
      </c>
      <c r="S20" s="36" t="str">
        <f aca="false">INDEX(HoSoDN!$H$5:$H$32,MATCH(A20,HoSoDN!$A$5:$A$32,0))</f>
        <v>Chưa rõ</v>
      </c>
      <c r="T20" s="36" t="str">
        <f aca="false">INDEX(HoSoDN!$I$5:$I$32,MATCH(A20,HoSoDN!$A$5:$A$32,0))</f>
        <v>Không</v>
      </c>
      <c r="U20" s="2" t="n">
        <f aca="false">IF(AND(S20="FOB",T20&lt;&gt;"Có",B20&gt;=ThamSo!$C$22,B20&lt;=ThamSo!$C$23,D20&lt;&gt;"",E20&lt;&gt;"",G20&lt;&gt;"",P20&lt;&gt;"",L20&lt;&gt;"",M20&lt;&gt;"",N20&lt;&gt;""),IF(D20&gt;=ThamSo!$C$11,1,0),0)</f>
        <v>0</v>
      </c>
      <c r="V20" s="2" t="str">
        <f aca="false">IF(D20="","",IF(D20&lt;=ThamSo!$C$12,"Nhỏ–vừa","Lớn"))</f>
        <v>Nhỏ–vừa</v>
      </c>
      <c r="W20" s="2" t="str">
        <f aca="false">IF(D20="","",IF(OR(D20&lt;=ThamSo!$C$13,F20&lt;=ThamSo!$C$14),"Có","Không"))</f>
        <v>Có</v>
      </c>
      <c r="X20" s="37" t="str">
        <f aca="false">IF(AND(T20&lt;&gt;"Có",M20&lt;&gt;"",D20&lt;&gt;""),IF(D20&gt;=ThamSo!$C$11,M20,""),"")</f>
        <v/>
      </c>
      <c r="Y20" s="35" t="str">
        <f aca="false">IF(U20=1,P20,"")</f>
        <v/>
      </c>
      <c r="Z20" s="35" t="str">
        <f aca="false">IF(AND(U20=1,V20="Nhỏ–vừa"),P20,"")</f>
        <v/>
      </c>
      <c r="AA20" s="35" t="str">
        <f aca="false">IF(AND(U20=1,V20="Lớn"),P20,"")</f>
        <v/>
      </c>
      <c r="AB20" s="37" t="str">
        <f aca="false">IF(U20=1,L20,"")</f>
        <v/>
      </c>
      <c r="AC20" s="37" t="str">
        <f aca="false">IF(AND(U20=1,V20="Nhỏ–vừa"),L20,"")</f>
        <v/>
      </c>
      <c r="AD20" s="37" t="str">
        <f aca="false">IF(AND(U20=1,V20="Lớn"),L20,"")</f>
        <v/>
      </c>
      <c r="AE20" s="37" t="str">
        <f aca="false">IF(U20=1,M20,"")</f>
        <v/>
      </c>
      <c r="AF20" s="37" t="str">
        <f aca="false">IF(AND(U20=1,V20="Nhỏ–vừa"),M20,"")</f>
        <v/>
      </c>
      <c r="AG20" s="37" t="str">
        <f aca="false">IF(AND(U20=1,V20="Lớn"),M20,"")</f>
        <v/>
      </c>
      <c r="AH20" s="37" t="str">
        <f aca="false">IF(U20=1,N20,"")</f>
        <v/>
      </c>
      <c r="AI20" s="37" t="str">
        <f aca="false">IF(AND(U20=1,V20="Nhỏ–vừa"),N20,"")</f>
        <v/>
      </c>
      <c r="AJ20" s="37" t="str">
        <f aca="false">IF(AND(U20=1,V20="Lớn"),N20,"")</f>
        <v/>
      </c>
      <c r="AK20" s="35" t="str">
        <f aca="false">IF(U20=1,Q20,"")</f>
        <v/>
      </c>
      <c r="AL20" s="35" t="str">
        <f aca="false">IF(AND(U20=1,R20&lt;&gt;""),R20,"")</f>
        <v/>
      </c>
      <c r="AM20" s="2" t="str">
        <f aca="false">A20&amp;"-"&amp;B20</f>
        <v>G20-2023</v>
      </c>
    </row>
    <row r="21" customFormat="false" ht="15" hidden="false" customHeight="false" outlineLevel="0" collapsed="false">
      <c r="A21" s="30" t="s">
        <v>268</v>
      </c>
      <c r="B21" s="30" t="n">
        <v>2024</v>
      </c>
      <c r="C21" s="30" t="s">
        <v>359</v>
      </c>
      <c r="D21" s="31"/>
      <c r="E21" s="32"/>
      <c r="F21" s="31"/>
      <c r="G21" s="31"/>
      <c r="H21" s="31"/>
      <c r="I21" s="31"/>
      <c r="J21" s="31"/>
      <c r="K21" s="31"/>
      <c r="L21" s="33"/>
      <c r="M21" s="33"/>
      <c r="N21" s="33"/>
      <c r="O21" s="34" t="str">
        <f aca="false">IF(OR(D21="",E21=""),"",D21*(1-E21))</f>
        <v/>
      </c>
      <c r="P21" s="35" t="str">
        <f aca="false">IF(OR(H21="",D21=""),"",IF(D21&lt;=0,"",(H21+N(I21))/D21))</f>
        <v/>
      </c>
      <c r="Q21" s="35" t="str">
        <f aca="false">IF(OR(H21="",D21=""),"",IF(D21&lt;=0,"",H21/D21))</f>
        <v/>
      </c>
      <c r="R21" s="35" t="str">
        <f aca="false">IF(OR(A20&lt;&gt;A21,B21&lt;=ThamSo!$C$22,H21="",H20="",D21=""),"",IF(D21&lt;=0,"",(H21-H20)/D21))</f>
        <v/>
      </c>
      <c r="S21" s="36" t="str">
        <f aca="false">INDEX(HoSoDN!$H$5:$H$32,MATCH(A21,HoSoDN!$A$5:$A$32,0))</f>
        <v>Chưa rõ</v>
      </c>
      <c r="T21" s="36" t="str">
        <f aca="false">INDEX(HoSoDN!$I$5:$I$32,MATCH(A21,HoSoDN!$A$5:$A$32,0))</f>
        <v>Không</v>
      </c>
      <c r="U21" s="2" t="n">
        <f aca="false">IF(AND(S21="FOB",T21&lt;&gt;"Có",B21&gt;=ThamSo!$C$22,B21&lt;=ThamSo!$C$23,D21&lt;&gt;"",E21&lt;&gt;"",G21&lt;&gt;"",P21&lt;&gt;"",L21&lt;&gt;"",M21&lt;&gt;"",N21&lt;&gt;""),IF(D21&gt;=ThamSo!$C$11,1,0),0)</f>
        <v>0</v>
      </c>
      <c r="V21" s="2" t="str">
        <f aca="false">IF(D21="","",IF(D21&lt;=ThamSo!$C$12,"Nhỏ–vừa","Lớn"))</f>
        <v/>
      </c>
      <c r="W21" s="2" t="str">
        <f aca="false">IF(D21="","",IF(OR(D21&lt;=ThamSo!$C$13,F21&lt;=ThamSo!$C$14),"Có","Không"))</f>
        <v/>
      </c>
      <c r="X21" s="37" t="str">
        <f aca="false">IF(AND(T21&lt;&gt;"Có",M21&lt;&gt;"",D21&lt;&gt;""),IF(D21&gt;=ThamSo!$C$11,M21,""),"")</f>
        <v/>
      </c>
      <c r="Y21" s="35" t="str">
        <f aca="false">IF(U21=1,P21,"")</f>
        <v/>
      </c>
      <c r="Z21" s="35" t="str">
        <f aca="false">IF(AND(U21=1,V21="Nhỏ–vừa"),P21,"")</f>
        <v/>
      </c>
      <c r="AA21" s="35" t="str">
        <f aca="false">IF(AND(U21=1,V21="Lớn"),P21,"")</f>
        <v/>
      </c>
      <c r="AB21" s="37" t="str">
        <f aca="false">IF(U21=1,L21,"")</f>
        <v/>
      </c>
      <c r="AC21" s="37" t="str">
        <f aca="false">IF(AND(U21=1,V21="Nhỏ–vừa"),L21,"")</f>
        <v/>
      </c>
      <c r="AD21" s="37" t="str">
        <f aca="false">IF(AND(U21=1,V21="Lớn"),L21,"")</f>
        <v/>
      </c>
      <c r="AE21" s="37" t="str">
        <f aca="false">IF(U21=1,M21,"")</f>
        <v/>
      </c>
      <c r="AF21" s="37" t="str">
        <f aca="false">IF(AND(U21=1,V21="Nhỏ–vừa"),M21,"")</f>
        <v/>
      </c>
      <c r="AG21" s="37" t="str">
        <f aca="false">IF(AND(U21=1,V21="Lớn"),M21,"")</f>
        <v/>
      </c>
      <c r="AH21" s="37" t="str">
        <f aca="false">IF(U21=1,N21,"")</f>
        <v/>
      </c>
      <c r="AI21" s="37" t="str">
        <f aca="false">IF(AND(U21=1,V21="Nhỏ–vừa"),N21,"")</f>
        <v/>
      </c>
      <c r="AJ21" s="37" t="str">
        <f aca="false">IF(AND(U21=1,V21="Lớn"),N21,"")</f>
        <v/>
      </c>
      <c r="AK21" s="35" t="str">
        <f aca="false">IF(U21=1,Q21,"")</f>
        <v/>
      </c>
      <c r="AL21" s="35" t="str">
        <f aca="false">IF(AND(U21=1,R21&lt;&gt;""),R21,"")</f>
        <v/>
      </c>
      <c r="AM21" s="2" t="str">
        <f aca="false">A21&amp;"-"&amp;B21</f>
        <v>G20-2024</v>
      </c>
    </row>
    <row r="22" customFormat="false" ht="15" hidden="false" customHeight="false" outlineLevel="0" collapsed="false">
      <c r="A22" s="30" t="s">
        <v>268</v>
      </c>
      <c r="B22" s="30" t="n">
        <v>2025</v>
      </c>
      <c r="C22" s="30" t="s">
        <v>359</v>
      </c>
      <c r="D22" s="31"/>
      <c r="E22" s="32"/>
      <c r="F22" s="31"/>
      <c r="G22" s="31"/>
      <c r="H22" s="31"/>
      <c r="I22" s="31"/>
      <c r="J22" s="31"/>
      <c r="K22" s="31"/>
      <c r="L22" s="33"/>
      <c r="M22" s="33"/>
      <c r="N22" s="33"/>
      <c r="O22" s="34" t="str">
        <f aca="false">IF(OR(D22="",E22=""),"",D22*(1-E22))</f>
        <v/>
      </c>
      <c r="P22" s="35" t="str">
        <f aca="false">IF(OR(H22="",D22=""),"",IF(D22&lt;=0,"",(H22+N(I22))/D22))</f>
        <v/>
      </c>
      <c r="Q22" s="35" t="str">
        <f aca="false">IF(OR(H22="",D22=""),"",IF(D22&lt;=0,"",H22/D22))</f>
        <v/>
      </c>
      <c r="R22" s="35" t="str">
        <f aca="false">IF(OR(A21&lt;&gt;A22,B22&lt;=ThamSo!$C$22,H22="",H21="",D22=""),"",IF(D22&lt;=0,"",(H22-H21)/D22))</f>
        <v/>
      </c>
      <c r="S22" s="36" t="str">
        <f aca="false">INDEX(HoSoDN!$H$5:$H$32,MATCH(A22,HoSoDN!$A$5:$A$32,0))</f>
        <v>Chưa rõ</v>
      </c>
      <c r="T22" s="36" t="str">
        <f aca="false">INDEX(HoSoDN!$I$5:$I$32,MATCH(A22,HoSoDN!$A$5:$A$32,0))</f>
        <v>Không</v>
      </c>
      <c r="U22" s="2" t="n">
        <f aca="false">IF(AND(S22="FOB",T22&lt;&gt;"Có",B22&gt;=ThamSo!$C$22,B22&lt;=ThamSo!$C$23,D22&lt;&gt;"",E22&lt;&gt;"",G22&lt;&gt;"",P22&lt;&gt;"",L22&lt;&gt;"",M22&lt;&gt;"",N22&lt;&gt;""),IF(D22&gt;=ThamSo!$C$11,1,0),0)</f>
        <v>0</v>
      </c>
      <c r="V22" s="2" t="str">
        <f aca="false">IF(D22="","",IF(D22&lt;=ThamSo!$C$12,"Nhỏ–vừa","Lớn"))</f>
        <v/>
      </c>
      <c r="W22" s="2" t="str">
        <f aca="false">IF(D22="","",IF(OR(D22&lt;=ThamSo!$C$13,F22&lt;=ThamSo!$C$14),"Có","Không"))</f>
        <v/>
      </c>
      <c r="X22" s="37" t="str">
        <f aca="false">IF(AND(T22&lt;&gt;"Có",M22&lt;&gt;"",D22&lt;&gt;""),IF(D22&gt;=ThamSo!$C$11,M22,""),"")</f>
        <v/>
      </c>
      <c r="Y22" s="35" t="str">
        <f aca="false">IF(U22=1,P22,"")</f>
        <v/>
      </c>
      <c r="Z22" s="35" t="str">
        <f aca="false">IF(AND(U22=1,V22="Nhỏ–vừa"),P22,"")</f>
        <v/>
      </c>
      <c r="AA22" s="35" t="str">
        <f aca="false">IF(AND(U22=1,V22="Lớn"),P22,"")</f>
        <v/>
      </c>
      <c r="AB22" s="37" t="str">
        <f aca="false">IF(U22=1,L22,"")</f>
        <v/>
      </c>
      <c r="AC22" s="37" t="str">
        <f aca="false">IF(AND(U22=1,V22="Nhỏ–vừa"),L22,"")</f>
        <v/>
      </c>
      <c r="AD22" s="37" t="str">
        <f aca="false">IF(AND(U22=1,V22="Lớn"),L22,"")</f>
        <v/>
      </c>
      <c r="AE22" s="37" t="str">
        <f aca="false">IF(U22=1,M22,"")</f>
        <v/>
      </c>
      <c r="AF22" s="37" t="str">
        <f aca="false">IF(AND(U22=1,V22="Nhỏ–vừa"),M22,"")</f>
        <v/>
      </c>
      <c r="AG22" s="37" t="str">
        <f aca="false">IF(AND(U22=1,V22="Lớn"),M22,"")</f>
        <v/>
      </c>
      <c r="AH22" s="37" t="str">
        <f aca="false">IF(U22=1,N22,"")</f>
        <v/>
      </c>
      <c r="AI22" s="37" t="str">
        <f aca="false">IF(AND(U22=1,V22="Nhỏ–vừa"),N22,"")</f>
        <v/>
      </c>
      <c r="AJ22" s="37" t="str">
        <f aca="false">IF(AND(U22=1,V22="Lớn"),N22,"")</f>
        <v/>
      </c>
      <c r="AK22" s="35" t="str">
        <f aca="false">IF(U22=1,Q22,"")</f>
        <v/>
      </c>
      <c r="AL22" s="35" t="str">
        <f aca="false">IF(AND(U22=1,R22&lt;&gt;""),R22,"")</f>
        <v/>
      </c>
      <c r="AM22" s="2" t="str">
        <f aca="false">A22&amp;"-"&amp;B22</f>
        <v>G20-2025</v>
      </c>
    </row>
    <row r="23" customFormat="false" ht="15" hidden="false" customHeight="false" outlineLevel="0" collapsed="false">
      <c r="A23" s="30" t="s">
        <v>270</v>
      </c>
      <c r="B23" s="30" t="n">
        <v>2023</v>
      </c>
      <c r="C23" s="30" t="s">
        <v>358</v>
      </c>
      <c r="D23" s="31" t="n">
        <v>936395864836</v>
      </c>
      <c r="E23" s="32" t="n">
        <v>0.06523291</v>
      </c>
      <c r="F23" s="31" t="n">
        <v>3357159038688</v>
      </c>
      <c r="G23" s="31" t="n">
        <v>2873181555790</v>
      </c>
      <c r="H23" s="31" t="n">
        <v>674805198823</v>
      </c>
      <c r="I23" s="31" t="n">
        <v>222264100878</v>
      </c>
      <c r="J23" s="31" t="n">
        <v>1364067752069</v>
      </c>
      <c r="K23" s="31" t="n">
        <v>28454692631</v>
      </c>
      <c r="L23" s="33" t="n">
        <v>49.75439289</v>
      </c>
      <c r="M23" s="33" t="n">
        <v>545.84396128</v>
      </c>
      <c r="N23" s="33" t="n">
        <v>184.97027525</v>
      </c>
      <c r="O23" s="34" t="n">
        <f aca="false">IF(OR(D23="",E23=""),"",D23*(1-E23))</f>
        <v>875312037660.781</v>
      </c>
      <c r="P23" s="35" t="n">
        <f aca="false">IF(OR(H23="",D23=""),"",IF(D23&lt;=0,"",(H23+N(I23))/D23))</f>
        <v>0.958002201193095</v>
      </c>
      <c r="Q23" s="35" t="n">
        <f aca="false">IF(OR(H23="",D23=""),"",IF(D23&lt;=0,"",H23/D23))</f>
        <v>0.72064094275041</v>
      </c>
      <c r="R23" s="35" t="str">
        <f aca="false">IF(OR(A22&lt;&gt;A23,B23&lt;=ThamSo!$C$22,H23="",H22="",D23=""),"",IF(D23&lt;=0,"",(H23-H22)/D23))</f>
        <v/>
      </c>
      <c r="S23" s="36" t="str">
        <f aca="false">INDEX(HoSoDN!$H$5:$H$32,MATCH(A23,HoSoDN!$A$5:$A$32,0))</f>
        <v>Loại</v>
      </c>
      <c r="T23" s="36" t="str">
        <f aca="false">INDEX(HoSoDN!$I$5:$I$32,MATCH(A23,HoSoDN!$A$5:$A$32,0))</f>
        <v>Có</v>
      </c>
      <c r="U23" s="2" t="n">
        <f aca="false">IF(AND(S23="FOB",T23&lt;&gt;"Có",B23&gt;=ThamSo!$C$22,B23&lt;=ThamSo!$C$23,D23&lt;&gt;"",E23&lt;&gt;"",G23&lt;&gt;"",P23&lt;&gt;"",L23&lt;&gt;"",M23&lt;&gt;"",N23&lt;&gt;""),IF(D23&gt;=ThamSo!$C$11,1,0),0)</f>
        <v>0</v>
      </c>
      <c r="V23" s="2" t="str">
        <f aca="false">IF(D23="","",IF(D23&lt;=ThamSo!$C$12,"Nhỏ–vừa","Lớn"))</f>
        <v>Nhỏ–vừa</v>
      </c>
      <c r="W23" s="2" t="str">
        <f aca="false">IF(D23="","",IF(OR(D23&lt;=ThamSo!$C$13,F23&lt;=ThamSo!$C$14),"Có","Không"))</f>
        <v>Không</v>
      </c>
      <c r="X23" s="37" t="str">
        <f aca="false">IF(AND(T23&lt;&gt;"Có",M23&lt;&gt;"",D23&lt;&gt;""),IF(D23&gt;=ThamSo!$C$11,M23,""),"")</f>
        <v/>
      </c>
      <c r="Y23" s="35" t="str">
        <f aca="false">IF(U23=1,P23,"")</f>
        <v/>
      </c>
      <c r="Z23" s="35" t="str">
        <f aca="false">IF(AND(U23=1,V23="Nhỏ–vừa"),P23,"")</f>
        <v/>
      </c>
      <c r="AA23" s="35" t="str">
        <f aca="false">IF(AND(U23=1,V23="Lớn"),P23,"")</f>
        <v/>
      </c>
      <c r="AB23" s="37" t="str">
        <f aca="false">IF(U23=1,L23,"")</f>
        <v/>
      </c>
      <c r="AC23" s="37" t="str">
        <f aca="false">IF(AND(U23=1,V23="Nhỏ–vừa"),L23,"")</f>
        <v/>
      </c>
      <c r="AD23" s="37" t="str">
        <f aca="false">IF(AND(U23=1,V23="Lớn"),L23,"")</f>
        <v/>
      </c>
      <c r="AE23" s="37" t="str">
        <f aca="false">IF(U23=1,M23,"")</f>
        <v/>
      </c>
      <c r="AF23" s="37" t="str">
        <f aca="false">IF(AND(U23=1,V23="Nhỏ–vừa"),M23,"")</f>
        <v/>
      </c>
      <c r="AG23" s="37" t="str">
        <f aca="false">IF(AND(U23=1,V23="Lớn"),M23,"")</f>
        <v/>
      </c>
      <c r="AH23" s="37" t="str">
        <f aca="false">IF(U23=1,N23,"")</f>
        <v/>
      </c>
      <c r="AI23" s="37" t="str">
        <f aca="false">IF(AND(U23=1,V23="Nhỏ–vừa"),N23,"")</f>
        <v/>
      </c>
      <c r="AJ23" s="37" t="str">
        <f aca="false">IF(AND(U23=1,V23="Lớn"),N23,"")</f>
        <v/>
      </c>
      <c r="AK23" s="35" t="str">
        <f aca="false">IF(U23=1,Q23,"")</f>
        <v/>
      </c>
      <c r="AL23" s="35" t="str">
        <f aca="false">IF(AND(U23=1,R23&lt;&gt;""),R23,"")</f>
        <v/>
      </c>
      <c r="AM23" s="2" t="str">
        <f aca="false">A23&amp;"-"&amp;B23</f>
        <v>GIL-2023</v>
      </c>
    </row>
    <row r="24" customFormat="false" ht="15" hidden="false" customHeight="false" outlineLevel="0" collapsed="false">
      <c r="A24" s="30" t="s">
        <v>270</v>
      </c>
      <c r="B24" s="30" t="n">
        <v>2024</v>
      </c>
      <c r="C24" s="30" t="s">
        <v>358</v>
      </c>
      <c r="D24" s="31" t="n">
        <v>711479404991</v>
      </c>
      <c r="E24" s="32" t="n">
        <v>0.20564329</v>
      </c>
      <c r="F24" s="31" t="n">
        <v>3262218779672</v>
      </c>
      <c r="G24" s="31" t="n">
        <v>2771023974593</v>
      </c>
      <c r="H24" s="31" t="n">
        <v>484495567200</v>
      </c>
      <c r="I24" s="31" t="n">
        <v>280120276760</v>
      </c>
      <c r="J24" s="31" t="n">
        <v>1647039456155</v>
      </c>
      <c r="K24" s="31" t="n">
        <v>26067162087</v>
      </c>
      <c r="L24" s="33" t="n">
        <v>58.86847267</v>
      </c>
      <c r="M24" s="33" t="n">
        <v>973.12741957</v>
      </c>
      <c r="N24" s="33" t="n">
        <v>198.65330692</v>
      </c>
      <c r="O24" s="34" t="n">
        <f aca="false">IF(OR(D24="",E24=""),"",D24*(1-E24))</f>
        <v>565168439381.408</v>
      </c>
      <c r="P24" s="35" t="n">
        <f aca="false">IF(OR(H24="",D24=""),"",IF(D24&lt;=0,"",(H24+N(I24))/D24))</f>
        <v>1.07468443723915</v>
      </c>
      <c r="Q24" s="35" t="n">
        <f aca="false">IF(OR(H24="",D24=""),"",IF(D24&lt;=0,"",H24/D24))</f>
        <v>0.680969208386473</v>
      </c>
      <c r="R24" s="35" t="n">
        <f aca="false">IF(OR(A23&lt;&gt;A24,B24&lt;=ThamSo!$C$22,H24="",H23="",D24=""),"",IF(D24&lt;=0,"",(H24-H23)/D24))</f>
        <v>-0.267484385757318</v>
      </c>
      <c r="S24" s="36" t="str">
        <f aca="false">INDEX(HoSoDN!$H$5:$H$32,MATCH(A24,HoSoDN!$A$5:$A$32,0))</f>
        <v>Loại</v>
      </c>
      <c r="T24" s="36" t="str">
        <f aca="false">INDEX(HoSoDN!$I$5:$I$32,MATCH(A24,HoSoDN!$A$5:$A$32,0))</f>
        <v>Có</v>
      </c>
      <c r="U24" s="2" t="n">
        <f aca="false">IF(AND(S24="FOB",T24&lt;&gt;"Có",B24&gt;=ThamSo!$C$22,B24&lt;=ThamSo!$C$23,D24&lt;&gt;"",E24&lt;&gt;"",G24&lt;&gt;"",P24&lt;&gt;"",L24&lt;&gt;"",M24&lt;&gt;"",N24&lt;&gt;""),IF(D24&gt;=ThamSo!$C$11,1,0),0)</f>
        <v>0</v>
      </c>
      <c r="V24" s="2" t="str">
        <f aca="false">IF(D24="","",IF(D24&lt;=ThamSo!$C$12,"Nhỏ–vừa","Lớn"))</f>
        <v>Nhỏ–vừa</v>
      </c>
      <c r="W24" s="2" t="str">
        <f aca="false">IF(D24="","",IF(OR(D24&lt;=ThamSo!$C$13,F24&lt;=ThamSo!$C$14),"Có","Không"))</f>
        <v>Không</v>
      </c>
      <c r="X24" s="37" t="str">
        <f aca="false">IF(AND(T24&lt;&gt;"Có",M24&lt;&gt;"",D24&lt;&gt;""),IF(D24&gt;=ThamSo!$C$11,M24,""),"")</f>
        <v/>
      </c>
      <c r="Y24" s="35" t="str">
        <f aca="false">IF(U24=1,P24,"")</f>
        <v/>
      </c>
      <c r="Z24" s="35" t="str">
        <f aca="false">IF(AND(U24=1,V24="Nhỏ–vừa"),P24,"")</f>
        <v/>
      </c>
      <c r="AA24" s="35" t="str">
        <f aca="false">IF(AND(U24=1,V24="Lớn"),P24,"")</f>
        <v/>
      </c>
      <c r="AB24" s="37" t="str">
        <f aca="false">IF(U24=1,L24,"")</f>
        <v/>
      </c>
      <c r="AC24" s="37" t="str">
        <f aca="false">IF(AND(U24=1,V24="Nhỏ–vừa"),L24,"")</f>
        <v/>
      </c>
      <c r="AD24" s="37" t="str">
        <f aca="false">IF(AND(U24=1,V24="Lớn"),L24,"")</f>
        <v/>
      </c>
      <c r="AE24" s="37" t="str">
        <f aca="false">IF(U24=1,M24,"")</f>
        <v/>
      </c>
      <c r="AF24" s="37" t="str">
        <f aca="false">IF(AND(U24=1,V24="Nhỏ–vừa"),M24,"")</f>
        <v/>
      </c>
      <c r="AG24" s="37" t="str">
        <f aca="false">IF(AND(U24=1,V24="Lớn"),M24,"")</f>
        <v/>
      </c>
      <c r="AH24" s="37" t="str">
        <f aca="false">IF(U24=1,N24,"")</f>
        <v/>
      </c>
      <c r="AI24" s="37" t="str">
        <f aca="false">IF(AND(U24=1,V24="Nhỏ–vừa"),N24,"")</f>
        <v/>
      </c>
      <c r="AJ24" s="37" t="str">
        <f aca="false">IF(AND(U24=1,V24="Lớn"),N24,"")</f>
        <v/>
      </c>
      <c r="AK24" s="35" t="str">
        <f aca="false">IF(U24=1,Q24,"")</f>
        <v/>
      </c>
      <c r="AL24" s="35" t="str">
        <f aca="false">IF(AND(U24=1,R24&lt;&gt;""),R24,"")</f>
        <v/>
      </c>
      <c r="AM24" s="2" t="str">
        <f aca="false">A24&amp;"-"&amp;B24</f>
        <v>GIL-2024</v>
      </c>
    </row>
    <row r="25" customFormat="false" ht="15" hidden="false" customHeight="false" outlineLevel="0" collapsed="false">
      <c r="A25" s="30" t="s">
        <v>270</v>
      </c>
      <c r="B25" s="30" t="n">
        <v>2025</v>
      </c>
      <c r="C25" s="30" t="s">
        <v>358</v>
      </c>
      <c r="D25" s="31" t="n">
        <v>713620988088</v>
      </c>
      <c r="E25" s="32" t="n">
        <v>0.22769664</v>
      </c>
      <c r="F25" s="31" t="n">
        <v>3797912574384</v>
      </c>
      <c r="G25" s="31" t="n">
        <v>3122146930242</v>
      </c>
      <c r="H25" s="31" t="n">
        <v>333080969102</v>
      </c>
      <c r="I25" s="31" t="n">
        <v>438991141644</v>
      </c>
      <c r="J25" s="31" t="n">
        <v>1915794251541</v>
      </c>
      <c r="K25" s="31" t="n">
        <v>31392539477</v>
      </c>
      <c r="L25" s="33" t="n">
        <v>36.28157613</v>
      </c>
      <c r="M25" s="33" t="n">
        <v>1179.78505221</v>
      </c>
      <c r="N25" s="33" t="n">
        <v>112.02978914</v>
      </c>
      <c r="O25" s="34" t="n">
        <f aca="false">IF(OR(D25="",E25=""),"",D25*(1-E25))</f>
        <v>551131886866.882</v>
      </c>
      <c r="P25" s="35" t="n">
        <f aca="false">IF(OR(H25="",D25=""),"",IF(D25&lt;=0,"",(H25+N(I25))/D25))</f>
        <v>1.08190779648257</v>
      </c>
      <c r="Q25" s="35" t="n">
        <f aca="false">IF(OR(H25="",D25=""),"",IF(D25&lt;=0,"",H25/D25))</f>
        <v>0.466747719954848</v>
      </c>
      <c r="R25" s="35" t="n">
        <f aca="false">IF(OR(A24&lt;&gt;A25,B25&lt;=ThamSo!$C$22,H25="",H24="",D25=""),"",IF(D25&lt;=0,"",(H25-H24)/D25))</f>
        <v>-0.212177893623454</v>
      </c>
      <c r="S25" s="36" t="str">
        <f aca="false">INDEX(HoSoDN!$H$5:$H$32,MATCH(A25,HoSoDN!$A$5:$A$32,0))</f>
        <v>Loại</v>
      </c>
      <c r="T25" s="36" t="str">
        <f aca="false">INDEX(HoSoDN!$I$5:$I$32,MATCH(A25,HoSoDN!$A$5:$A$32,0))</f>
        <v>Có</v>
      </c>
      <c r="U25" s="2" t="n">
        <f aca="false">IF(AND(S25="FOB",T25&lt;&gt;"Có",B25&gt;=ThamSo!$C$22,B25&lt;=ThamSo!$C$23,D25&lt;&gt;"",E25&lt;&gt;"",G25&lt;&gt;"",P25&lt;&gt;"",L25&lt;&gt;"",M25&lt;&gt;"",N25&lt;&gt;""),IF(D25&gt;=ThamSo!$C$11,1,0),0)</f>
        <v>0</v>
      </c>
      <c r="V25" s="2" t="str">
        <f aca="false">IF(D25="","",IF(D25&lt;=ThamSo!$C$12,"Nhỏ–vừa","Lớn"))</f>
        <v>Nhỏ–vừa</v>
      </c>
      <c r="W25" s="2" t="str">
        <f aca="false">IF(D25="","",IF(OR(D25&lt;=ThamSo!$C$13,F25&lt;=ThamSo!$C$14),"Có","Không"))</f>
        <v>Không</v>
      </c>
      <c r="X25" s="37" t="str">
        <f aca="false">IF(AND(T25&lt;&gt;"Có",M25&lt;&gt;"",D25&lt;&gt;""),IF(D25&gt;=ThamSo!$C$11,M25,""),"")</f>
        <v/>
      </c>
      <c r="Y25" s="35" t="str">
        <f aca="false">IF(U25=1,P25,"")</f>
        <v/>
      </c>
      <c r="Z25" s="35" t="str">
        <f aca="false">IF(AND(U25=1,V25="Nhỏ–vừa"),P25,"")</f>
        <v/>
      </c>
      <c r="AA25" s="35" t="str">
        <f aca="false">IF(AND(U25=1,V25="Lớn"),P25,"")</f>
        <v/>
      </c>
      <c r="AB25" s="37" t="str">
        <f aca="false">IF(U25=1,L25,"")</f>
        <v/>
      </c>
      <c r="AC25" s="37" t="str">
        <f aca="false">IF(AND(U25=1,V25="Nhỏ–vừa"),L25,"")</f>
        <v/>
      </c>
      <c r="AD25" s="37" t="str">
        <f aca="false">IF(AND(U25=1,V25="Lớn"),L25,"")</f>
        <v/>
      </c>
      <c r="AE25" s="37" t="str">
        <f aca="false">IF(U25=1,M25,"")</f>
        <v/>
      </c>
      <c r="AF25" s="37" t="str">
        <f aca="false">IF(AND(U25=1,V25="Nhỏ–vừa"),M25,"")</f>
        <v/>
      </c>
      <c r="AG25" s="37" t="str">
        <f aca="false">IF(AND(U25=1,V25="Lớn"),M25,"")</f>
        <v/>
      </c>
      <c r="AH25" s="37" t="str">
        <f aca="false">IF(U25=1,N25,"")</f>
        <v/>
      </c>
      <c r="AI25" s="37" t="str">
        <f aca="false">IF(AND(U25=1,V25="Nhỏ–vừa"),N25,"")</f>
        <v/>
      </c>
      <c r="AJ25" s="37" t="str">
        <f aca="false">IF(AND(U25=1,V25="Lớn"),N25,"")</f>
        <v/>
      </c>
      <c r="AK25" s="35" t="str">
        <f aca="false">IF(U25=1,Q25,"")</f>
        <v/>
      </c>
      <c r="AL25" s="35" t="str">
        <f aca="false">IF(AND(U25=1,R25&lt;&gt;""),R25,"")</f>
        <v/>
      </c>
      <c r="AM25" s="2" t="str">
        <f aca="false">A25&amp;"-"&amp;B25</f>
        <v>GIL-2025</v>
      </c>
    </row>
    <row r="26" customFormat="false" ht="15" hidden="false" customHeight="false" outlineLevel="0" collapsed="false">
      <c r="A26" s="30" t="s">
        <v>274</v>
      </c>
      <c r="B26" s="30" t="n">
        <v>2023</v>
      </c>
      <c r="C26" s="30" t="s">
        <v>359</v>
      </c>
      <c r="D26" s="31" t="n">
        <v>8296582790</v>
      </c>
      <c r="E26" s="32" t="n">
        <v>-0.48253725</v>
      </c>
      <c r="F26" s="31" t="n">
        <v>419077780479</v>
      </c>
      <c r="G26" s="31" t="n">
        <v>204687573043</v>
      </c>
      <c r="H26" s="31" t="n">
        <v>26403193718</v>
      </c>
      <c r="I26" s="31" t="n">
        <v>65968685907</v>
      </c>
      <c r="J26" s="31" t="n">
        <v>94266805036</v>
      </c>
      <c r="K26" s="31" t="n">
        <v>-51944754105</v>
      </c>
      <c r="L26" s="33" t="n">
        <v>346.01816656</v>
      </c>
      <c r="M26" s="33" t="n">
        <v>3805.08261043</v>
      </c>
      <c r="N26" s="33" t="n">
        <v>158.31598085</v>
      </c>
      <c r="O26" s="34" t="n">
        <f aca="false">IF(OR(D26="",E26=""),"",D26*(1-E26))</f>
        <v>12299993033.8839</v>
      </c>
      <c r="P26" s="35" t="n">
        <f aca="false">IF(OR(H26="",D26=""),"",IF(D26&lt;=0,"",(H26+N(I26))/D26))</f>
        <v>11.1337260126347</v>
      </c>
      <c r="Q26" s="35" t="n">
        <f aca="false">IF(OR(H26="",D26=""),"",IF(D26&lt;=0,"",H26/D26))</f>
        <v>3.18241791666615</v>
      </c>
      <c r="R26" s="35" t="str">
        <f aca="false">IF(OR(A25&lt;&gt;A26,B26&lt;=ThamSo!$C$22,H26="",H25="",D26=""),"",IF(D26&lt;=0,"",(H26-H25)/D26))</f>
        <v/>
      </c>
      <c r="S26" s="36" t="str">
        <f aca="false">INDEX(HoSoDN!$H$5:$H$32,MATCH(A26,HoSoDN!$A$5:$A$32,0))</f>
        <v>Chưa rõ</v>
      </c>
      <c r="T26" s="36" t="str">
        <f aca="false">INDEX(HoSoDN!$I$5:$I$32,MATCH(A26,HoSoDN!$A$5:$A$32,0))</f>
        <v>Không</v>
      </c>
      <c r="U26" s="2" t="n">
        <f aca="false">IF(AND(S26="FOB",T26&lt;&gt;"Có",B26&gt;=ThamSo!$C$22,B26&lt;=ThamSo!$C$23,D26&lt;&gt;"",E26&lt;&gt;"",G26&lt;&gt;"",P26&lt;&gt;"",L26&lt;&gt;"",M26&lt;&gt;"",N26&lt;&gt;""),IF(D26&gt;=ThamSo!$C$11,1,0),0)</f>
        <v>0</v>
      </c>
      <c r="V26" s="2" t="str">
        <f aca="false">IF(D26="","",IF(D26&lt;=ThamSo!$C$12,"Nhỏ–vừa","Lớn"))</f>
        <v>Nhỏ–vừa</v>
      </c>
      <c r="W26" s="2" t="str">
        <f aca="false">IF(D26="","",IF(OR(D26&lt;=ThamSo!$C$13,F26&lt;=ThamSo!$C$14),"Có","Không"))</f>
        <v>Có</v>
      </c>
      <c r="X26" s="37" t="str">
        <f aca="false">IF(AND(T26&lt;&gt;"Có",M26&lt;&gt;"",D26&lt;&gt;""),IF(D26&gt;=ThamSo!$C$11,M26,""),"")</f>
        <v/>
      </c>
      <c r="Y26" s="35" t="str">
        <f aca="false">IF(U26=1,P26,"")</f>
        <v/>
      </c>
      <c r="Z26" s="35" t="str">
        <f aca="false">IF(AND(U26=1,V26="Nhỏ–vừa"),P26,"")</f>
        <v/>
      </c>
      <c r="AA26" s="35" t="str">
        <f aca="false">IF(AND(U26=1,V26="Lớn"),P26,"")</f>
        <v/>
      </c>
      <c r="AB26" s="37" t="str">
        <f aca="false">IF(U26=1,L26,"")</f>
        <v/>
      </c>
      <c r="AC26" s="37" t="str">
        <f aca="false">IF(AND(U26=1,V26="Nhỏ–vừa"),L26,"")</f>
        <v/>
      </c>
      <c r="AD26" s="37" t="str">
        <f aca="false">IF(AND(U26=1,V26="Lớn"),L26,"")</f>
        <v/>
      </c>
      <c r="AE26" s="37" t="str">
        <f aca="false">IF(U26=1,M26,"")</f>
        <v/>
      </c>
      <c r="AF26" s="37" t="str">
        <f aca="false">IF(AND(U26=1,V26="Nhỏ–vừa"),M26,"")</f>
        <v/>
      </c>
      <c r="AG26" s="37" t="str">
        <f aca="false">IF(AND(U26=1,V26="Lớn"),M26,"")</f>
        <v/>
      </c>
      <c r="AH26" s="37" t="str">
        <f aca="false">IF(U26=1,N26,"")</f>
        <v/>
      </c>
      <c r="AI26" s="37" t="str">
        <f aca="false">IF(AND(U26=1,V26="Nhỏ–vừa"),N26,"")</f>
        <v/>
      </c>
      <c r="AJ26" s="37" t="str">
        <f aca="false">IF(AND(U26=1,V26="Lớn"),N26,"")</f>
        <v/>
      </c>
      <c r="AK26" s="35" t="str">
        <f aca="false">IF(U26=1,Q26,"")</f>
        <v/>
      </c>
      <c r="AL26" s="35" t="str">
        <f aca="false">IF(AND(U26=1,R26&lt;&gt;""),R26,"")</f>
        <v/>
      </c>
      <c r="AM26" s="2" t="str">
        <f aca="false">A26&amp;"-"&amp;B26</f>
        <v>GMC-2023</v>
      </c>
    </row>
    <row r="27" customFormat="false" ht="15" hidden="false" customHeight="false" outlineLevel="0" collapsed="false">
      <c r="A27" s="30" t="s">
        <v>274</v>
      </c>
      <c r="B27" s="30" t="n">
        <v>2024</v>
      </c>
      <c r="C27" s="30" t="s">
        <v>359</v>
      </c>
      <c r="D27" s="31" t="n">
        <v>2127943650</v>
      </c>
      <c r="E27" s="32" t="n">
        <v>0.90971234</v>
      </c>
      <c r="F27" s="31" t="n">
        <v>375947251647</v>
      </c>
      <c r="G27" s="31" t="n">
        <v>187315471035</v>
      </c>
      <c r="H27" s="31" t="n">
        <v>78791314690</v>
      </c>
      <c r="I27" s="31" t="n">
        <v>680000000</v>
      </c>
      <c r="J27" s="31" t="n">
        <v>94249844471</v>
      </c>
      <c r="K27" s="31" t="n">
        <v>-29881480249</v>
      </c>
      <c r="L27" s="33" t="n">
        <v>757.01118875</v>
      </c>
      <c r="M27" s="33" t="n">
        <v>227094.55844107</v>
      </c>
      <c r="N27" s="33" t="n">
        <v>5701.14919548</v>
      </c>
      <c r="O27" s="34" t="n">
        <f aca="false">IF(OR(D27="",E27=""),"",D27*(1-E27))</f>
        <v>192127052.770359</v>
      </c>
      <c r="P27" s="35" t="n">
        <f aca="false">IF(OR(H27="",D27=""),"",IF(D27&lt;=0,"",(H27+N(I27))/D27))</f>
        <v>37.346531563465</v>
      </c>
      <c r="Q27" s="35" t="n">
        <f aca="false">IF(OR(H27="",D27=""),"",IF(D27&lt;=0,"",H27/D27))</f>
        <v>37.0269742293223</v>
      </c>
      <c r="R27" s="35" t="n">
        <f aca="false">IF(OR(A26&lt;&gt;A27,B27&lt;=ThamSo!$C$22,H27="",H26="",D27=""),"",IF(D27&lt;=0,"",(H27-H26)/D27))</f>
        <v>24.6191298214123</v>
      </c>
      <c r="S27" s="36" t="str">
        <f aca="false">INDEX(HoSoDN!$H$5:$H$32,MATCH(A27,HoSoDN!$A$5:$A$32,0))</f>
        <v>Chưa rõ</v>
      </c>
      <c r="T27" s="36" t="str">
        <f aca="false">INDEX(HoSoDN!$I$5:$I$32,MATCH(A27,HoSoDN!$A$5:$A$32,0))</f>
        <v>Không</v>
      </c>
      <c r="U27" s="2" t="n">
        <f aca="false">IF(AND(S27="FOB",T27&lt;&gt;"Có",B27&gt;=ThamSo!$C$22,B27&lt;=ThamSo!$C$23,D27&lt;&gt;"",E27&lt;&gt;"",G27&lt;&gt;"",P27&lt;&gt;"",L27&lt;&gt;"",M27&lt;&gt;"",N27&lt;&gt;""),IF(D27&gt;=ThamSo!$C$11,1,0),0)</f>
        <v>0</v>
      </c>
      <c r="V27" s="2" t="str">
        <f aca="false">IF(D27="","",IF(D27&lt;=ThamSo!$C$12,"Nhỏ–vừa","Lớn"))</f>
        <v>Nhỏ–vừa</v>
      </c>
      <c r="W27" s="2" t="str">
        <f aca="false">IF(D27="","",IF(OR(D27&lt;=ThamSo!$C$13,F27&lt;=ThamSo!$C$14),"Có","Không"))</f>
        <v>Có</v>
      </c>
      <c r="X27" s="37" t="str">
        <f aca="false">IF(AND(T27&lt;&gt;"Có",M27&lt;&gt;"",D27&lt;&gt;""),IF(D27&gt;=ThamSo!$C$11,M27,""),"")</f>
        <v/>
      </c>
      <c r="Y27" s="35" t="str">
        <f aca="false">IF(U27=1,P27,"")</f>
        <v/>
      </c>
      <c r="Z27" s="35" t="str">
        <f aca="false">IF(AND(U27=1,V27="Nhỏ–vừa"),P27,"")</f>
        <v/>
      </c>
      <c r="AA27" s="35" t="str">
        <f aca="false">IF(AND(U27=1,V27="Lớn"),P27,"")</f>
        <v/>
      </c>
      <c r="AB27" s="37" t="str">
        <f aca="false">IF(U27=1,L27,"")</f>
        <v/>
      </c>
      <c r="AC27" s="37" t="str">
        <f aca="false">IF(AND(U27=1,V27="Nhỏ–vừa"),L27,"")</f>
        <v/>
      </c>
      <c r="AD27" s="37" t="str">
        <f aca="false">IF(AND(U27=1,V27="Lớn"),L27,"")</f>
        <v/>
      </c>
      <c r="AE27" s="37" t="str">
        <f aca="false">IF(U27=1,M27,"")</f>
        <v/>
      </c>
      <c r="AF27" s="37" t="str">
        <f aca="false">IF(AND(U27=1,V27="Nhỏ–vừa"),M27,"")</f>
        <v/>
      </c>
      <c r="AG27" s="37" t="str">
        <f aca="false">IF(AND(U27=1,V27="Lớn"),M27,"")</f>
        <v/>
      </c>
      <c r="AH27" s="37" t="str">
        <f aca="false">IF(U27=1,N27,"")</f>
        <v/>
      </c>
      <c r="AI27" s="37" t="str">
        <f aca="false">IF(AND(U27=1,V27="Nhỏ–vừa"),N27,"")</f>
        <v/>
      </c>
      <c r="AJ27" s="37" t="str">
        <f aca="false">IF(AND(U27=1,V27="Lớn"),N27,"")</f>
        <v/>
      </c>
      <c r="AK27" s="35" t="str">
        <f aca="false">IF(U27=1,Q27,"")</f>
        <v/>
      </c>
      <c r="AL27" s="35" t="str">
        <f aca="false">IF(AND(U27=1,R27&lt;&gt;""),R27,"")</f>
        <v/>
      </c>
      <c r="AM27" s="2" t="str">
        <f aca="false">A27&amp;"-"&amp;B27</f>
        <v>GMC-2024</v>
      </c>
    </row>
    <row r="28" customFormat="false" ht="15" hidden="false" customHeight="false" outlineLevel="0" collapsed="false">
      <c r="A28" s="30" t="s">
        <v>274</v>
      </c>
      <c r="B28" s="30" t="n">
        <v>2025</v>
      </c>
      <c r="C28" s="30" t="s">
        <v>359</v>
      </c>
      <c r="D28" s="31" t="n">
        <v>1836710093</v>
      </c>
      <c r="E28" s="32" t="n">
        <v>0.87205885</v>
      </c>
      <c r="F28" s="31" t="n">
        <v>351968632281</v>
      </c>
      <c r="G28" s="31" t="n">
        <v>177235424199</v>
      </c>
      <c r="H28" s="31" t="n">
        <v>13360524006</v>
      </c>
      <c r="I28" s="31" t="n">
        <v>56129451054</v>
      </c>
      <c r="J28" s="31" t="n">
        <v>94226120335</v>
      </c>
      <c r="K28" s="31" t="n">
        <v>-23970522360</v>
      </c>
      <c r="L28" s="33" t="n">
        <v>852.36335722</v>
      </c>
      <c r="M28" s="33" t="n">
        <v>169196.10988013</v>
      </c>
      <c r="N28" s="33" t="n">
        <v>772.517804</v>
      </c>
      <c r="O28" s="34" t="n">
        <f aca="false">IF(OR(D28="",E28=""),"",D28*(1-E28))</f>
        <v>234990801.515027</v>
      </c>
      <c r="P28" s="35" t="n">
        <f aca="false">IF(OR(H28="",D28=""),"",IF(D28&lt;=0,"",(H28+N(I28))/D28))</f>
        <v>37.8339376066139</v>
      </c>
      <c r="Q28" s="35" t="n">
        <f aca="false">IF(OR(H28="",D28=""),"",IF(D28&lt;=0,"",H28/D28))</f>
        <v>7.27416049866504</v>
      </c>
      <c r="R28" s="35" t="n">
        <f aca="false">IF(OR(A27&lt;&gt;A28,B28&lt;=ThamSo!$C$22,H28="",H27="",D28=""),"",IF(D28&lt;=0,"",(H28-H27)/D28))</f>
        <v>-35.6239076234009</v>
      </c>
      <c r="S28" s="36" t="str">
        <f aca="false">INDEX(HoSoDN!$H$5:$H$32,MATCH(A28,HoSoDN!$A$5:$A$32,0))</f>
        <v>Chưa rõ</v>
      </c>
      <c r="T28" s="36" t="str">
        <f aca="false">INDEX(HoSoDN!$I$5:$I$32,MATCH(A28,HoSoDN!$A$5:$A$32,0))</f>
        <v>Không</v>
      </c>
      <c r="U28" s="2" t="n">
        <f aca="false">IF(AND(S28="FOB",T28&lt;&gt;"Có",B28&gt;=ThamSo!$C$22,B28&lt;=ThamSo!$C$23,D28&lt;&gt;"",E28&lt;&gt;"",G28&lt;&gt;"",P28&lt;&gt;"",L28&lt;&gt;"",M28&lt;&gt;"",N28&lt;&gt;""),IF(D28&gt;=ThamSo!$C$11,1,0),0)</f>
        <v>0</v>
      </c>
      <c r="V28" s="2" t="str">
        <f aca="false">IF(D28="","",IF(D28&lt;=ThamSo!$C$12,"Nhỏ–vừa","Lớn"))</f>
        <v>Nhỏ–vừa</v>
      </c>
      <c r="W28" s="2" t="str">
        <f aca="false">IF(D28="","",IF(OR(D28&lt;=ThamSo!$C$13,F28&lt;=ThamSo!$C$14),"Có","Không"))</f>
        <v>Có</v>
      </c>
      <c r="X28" s="37" t="str">
        <f aca="false">IF(AND(T28&lt;&gt;"Có",M28&lt;&gt;"",D28&lt;&gt;""),IF(D28&gt;=ThamSo!$C$11,M28,""),"")</f>
        <v/>
      </c>
      <c r="Y28" s="35" t="str">
        <f aca="false">IF(U28=1,P28,"")</f>
        <v/>
      </c>
      <c r="Z28" s="35" t="str">
        <f aca="false">IF(AND(U28=1,V28="Nhỏ–vừa"),P28,"")</f>
        <v/>
      </c>
      <c r="AA28" s="35" t="str">
        <f aca="false">IF(AND(U28=1,V28="Lớn"),P28,"")</f>
        <v/>
      </c>
      <c r="AB28" s="37" t="str">
        <f aca="false">IF(U28=1,L28,"")</f>
        <v/>
      </c>
      <c r="AC28" s="37" t="str">
        <f aca="false">IF(AND(U28=1,V28="Nhỏ–vừa"),L28,"")</f>
        <v/>
      </c>
      <c r="AD28" s="37" t="str">
        <f aca="false">IF(AND(U28=1,V28="Lớn"),L28,"")</f>
        <v/>
      </c>
      <c r="AE28" s="37" t="str">
        <f aca="false">IF(U28=1,M28,"")</f>
        <v/>
      </c>
      <c r="AF28" s="37" t="str">
        <f aca="false">IF(AND(U28=1,V28="Nhỏ–vừa"),M28,"")</f>
        <v/>
      </c>
      <c r="AG28" s="37" t="str">
        <f aca="false">IF(AND(U28=1,V28="Lớn"),M28,"")</f>
        <v/>
      </c>
      <c r="AH28" s="37" t="str">
        <f aca="false">IF(U28=1,N28,"")</f>
        <v/>
      </c>
      <c r="AI28" s="37" t="str">
        <f aca="false">IF(AND(U28=1,V28="Nhỏ–vừa"),N28,"")</f>
        <v/>
      </c>
      <c r="AJ28" s="37" t="str">
        <f aca="false">IF(AND(U28=1,V28="Lớn"),N28,"")</f>
        <v/>
      </c>
      <c r="AK28" s="35" t="str">
        <f aca="false">IF(U28=1,Q28,"")</f>
        <v/>
      </c>
      <c r="AL28" s="35" t="str">
        <f aca="false">IF(AND(U28=1,R28&lt;&gt;""),R28,"")</f>
        <v/>
      </c>
      <c r="AM28" s="2" t="str">
        <f aca="false">A28&amp;"-"&amp;B28</f>
        <v>GMC-2025</v>
      </c>
    </row>
    <row r="29" customFormat="false" ht="15" hidden="false" customHeight="false" outlineLevel="0" collapsed="false">
      <c r="A29" s="30" t="s">
        <v>276</v>
      </c>
      <c r="B29" s="30" t="n">
        <v>2023</v>
      </c>
      <c r="C29" s="30" t="s">
        <v>360</v>
      </c>
      <c r="D29" s="31" t="n">
        <v>780824095814</v>
      </c>
      <c r="E29" s="32" t="n">
        <v>0.00874756</v>
      </c>
      <c r="F29" s="31" t="n">
        <v>447608602640</v>
      </c>
      <c r="G29" s="31" t="n">
        <v>303661082534</v>
      </c>
      <c r="H29" s="31" t="n">
        <v>49644512298</v>
      </c>
      <c r="I29" s="31" t="n">
        <v>24050192963</v>
      </c>
      <c r="J29" s="31" t="n">
        <v>170439079778</v>
      </c>
      <c r="K29" s="31" t="n">
        <v>-49853538168</v>
      </c>
      <c r="L29" s="33" t="n">
        <v>21.52821737</v>
      </c>
      <c r="M29" s="33" t="n">
        <v>87.24594236</v>
      </c>
      <c r="N29" s="33" t="n">
        <v>6.90676889</v>
      </c>
      <c r="O29" s="34" t="n">
        <f aca="false">IF(OR(D29="",E29=""),"",D29*(1-E29))</f>
        <v>773993790186.421</v>
      </c>
      <c r="P29" s="35" t="n">
        <f aca="false">IF(OR(H29="",D29=""),"",IF(D29&lt;=0,"",(H29+N(I29))/D29))</f>
        <v>0.094380675053546</v>
      </c>
      <c r="Q29" s="35" t="n">
        <f aca="false">IF(OR(H29="",D29=""),"",IF(D29&lt;=0,"",H29/D29))</f>
        <v>0.0635796366481828</v>
      </c>
      <c r="R29" s="35" t="str">
        <f aca="false">IF(OR(A28&lt;&gt;A29,B29&lt;=ThamSo!$C$22,H29="",H28="",D29=""),"",IF(D29&lt;=0,"",(H29-H28)/D29))</f>
        <v/>
      </c>
      <c r="S29" s="36" t="str">
        <f aca="false">INDEX(HoSoDN!$H$5:$H$32,MATCH(A29,HoSoDN!$A$5:$A$32,0))</f>
        <v>FOB</v>
      </c>
      <c r="T29" s="36" t="str">
        <f aca="false">INDEX(HoSoDN!$I$5:$I$32,MATCH(A29,HoSoDN!$A$5:$A$32,0))</f>
        <v>Không</v>
      </c>
      <c r="U29" s="2" t="n">
        <f aca="false">IF(AND(S29="FOB",T29&lt;&gt;"Có",B29&gt;=ThamSo!$C$22,B29&lt;=ThamSo!$C$23,D29&lt;&gt;"",E29&lt;&gt;"",G29&lt;&gt;"",P29&lt;&gt;"",L29&lt;&gt;"",M29&lt;&gt;"",N29&lt;&gt;""),IF(D29&gt;=ThamSo!$C$11,1,0),0)</f>
        <v>1</v>
      </c>
      <c r="V29" s="2" t="str">
        <f aca="false">IF(D29="","",IF(D29&lt;=ThamSo!$C$12,"Nhỏ–vừa","Lớn"))</f>
        <v>Nhỏ–vừa</v>
      </c>
      <c r="W29" s="2" t="str">
        <f aca="false">IF(D29="","",IF(OR(D29&lt;=ThamSo!$C$13,F29&lt;=ThamSo!$C$14),"Có","Không"))</f>
        <v>Không</v>
      </c>
      <c r="X29" s="37" t="n">
        <f aca="false">IF(AND(T29&lt;&gt;"Có",M29&lt;&gt;"",D29&lt;&gt;""),IF(D29&gt;=ThamSo!$C$11,M29,""),"")</f>
        <v>87.24594236</v>
      </c>
      <c r="Y29" s="35" t="n">
        <f aca="false">IF(U29=1,P29,"")</f>
        <v>0.094380675053546</v>
      </c>
      <c r="Z29" s="35" t="n">
        <f aca="false">IF(AND(U29=1,V29="Nhỏ–vừa"),P29,"")</f>
        <v>0.094380675053546</v>
      </c>
      <c r="AA29" s="35" t="str">
        <f aca="false">IF(AND(U29=1,V29="Lớn"),P29,"")</f>
        <v/>
      </c>
      <c r="AB29" s="37" t="n">
        <f aca="false">IF(U29=1,L29,"")</f>
        <v>21.52821737</v>
      </c>
      <c r="AC29" s="37" t="n">
        <f aca="false">IF(AND(U29=1,V29="Nhỏ–vừa"),L29,"")</f>
        <v>21.52821737</v>
      </c>
      <c r="AD29" s="37" t="str">
        <f aca="false">IF(AND(U29=1,V29="Lớn"),L29,"")</f>
        <v/>
      </c>
      <c r="AE29" s="37" t="n">
        <f aca="false">IF(U29=1,M29,"")</f>
        <v>87.24594236</v>
      </c>
      <c r="AF29" s="37" t="n">
        <f aca="false">IF(AND(U29=1,V29="Nhỏ–vừa"),M29,"")</f>
        <v>87.24594236</v>
      </c>
      <c r="AG29" s="37" t="str">
        <f aca="false">IF(AND(U29=1,V29="Lớn"),M29,"")</f>
        <v/>
      </c>
      <c r="AH29" s="37" t="n">
        <f aca="false">IF(U29=1,N29,"")</f>
        <v>6.90676889</v>
      </c>
      <c r="AI29" s="37" t="n">
        <f aca="false">IF(AND(U29=1,V29="Nhỏ–vừa"),N29,"")</f>
        <v>6.90676889</v>
      </c>
      <c r="AJ29" s="37" t="str">
        <f aca="false">IF(AND(U29=1,V29="Lớn"),N29,"")</f>
        <v/>
      </c>
      <c r="AK29" s="35" t="n">
        <f aca="false">IF(U29=1,Q29,"")</f>
        <v>0.0635796366481828</v>
      </c>
      <c r="AL29" s="35" t="str">
        <f aca="false">IF(AND(U29=1,R29&lt;&gt;""),R29,"")</f>
        <v/>
      </c>
      <c r="AM29" s="2" t="str">
        <f aca="false">A29&amp;"-"&amp;B29</f>
        <v>HLT-2023</v>
      </c>
    </row>
    <row r="30" customFormat="false" ht="15" hidden="false" customHeight="false" outlineLevel="0" collapsed="false">
      <c r="A30" s="30" t="s">
        <v>276</v>
      </c>
      <c r="B30" s="30" t="n">
        <v>2024</v>
      </c>
      <c r="C30" s="30" t="s">
        <v>360</v>
      </c>
      <c r="D30" s="31" t="n">
        <v>808339562494</v>
      </c>
      <c r="E30" s="32" t="n">
        <v>0.01364139</v>
      </c>
      <c r="F30" s="31" t="n">
        <v>288508672620</v>
      </c>
      <c r="G30" s="31" t="n">
        <v>165103351958</v>
      </c>
      <c r="H30" s="31" t="n">
        <v>35773573770</v>
      </c>
      <c r="I30" s="31" t="n">
        <v>5213280671</v>
      </c>
      <c r="J30" s="31" t="n">
        <v>92839078919</v>
      </c>
      <c r="K30" s="31" t="n">
        <v>-47810959701</v>
      </c>
      <c r="L30" s="33" t="n">
        <v>17.97537032</v>
      </c>
      <c r="M30" s="33" t="n">
        <v>61.56053251</v>
      </c>
      <c r="N30" s="33" t="n">
        <v>8.13715467</v>
      </c>
      <c r="O30" s="34" t="n">
        <f aca="false">IF(OR(D30="",E30=""),"",D30*(1-E30))</f>
        <v>797312687269.59</v>
      </c>
      <c r="P30" s="35" t="n">
        <f aca="false">IF(OR(H30="",D30=""),"",IF(D30&lt;=0,"",(H30+N(I30))/D30))</f>
        <v>0.0507049961955861</v>
      </c>
      <c r="Q30" s="35" t="n">
        <f aca="false">IF(OR(H30="",D30=""),"",IF(D30&lt;=0,"",H30/D30))</f>
        <v>0.0442556265087737</v>
      </c>
      <c r="R30" s="35" t="n">
        <f aca="false">IF(OR(A29&lt;&gt;A30,B30&lt;=ThamSo!$C$22,H30="",H29="",D30=""),"",IF(D30&lt;=0,"",(H30-H29)/D30))</f>
        <v>-0.0171597917157531</v>
      </c>
      <c r="S30" s="36" t="str">
        <f aca="false">INDEX(HoSoDN!$H$5:$H$32,MATCH(A30,HoSoDN!$A$5:$A$32,0))</f>
        <v>FOB</v>
      </c>
      <c r="T30" s="36" t="str">
        <f aca="false">INDEX(HoSoDN!$I$5:$I$32,MATCH(A30,HoSoDN!$A$5:$A$32,0))</f>
        <v>Không</v>
      </c>
      <c r="U30" s="2" t="n">
        <f aca="false">IF(AND(S30="FOB",T30&lt;&gt;"Có",B30&gt;=ThamSo!$C$22,B30&lt;=ThamSo!$C$23,D30&lt;&gt;"",E30&lt;&gt;"",G30&lt;&gt;"",P30&lt;&gt;"",L30&lt;&gt;"",M30&lt;&gt;"",N30&lt;&gt;""),IF(D30&gt;=ThamSo!$C$11,1,0),0)</f>
        <v>1</v>
      </c>
      <c r="V30" s="2" t="str">
        <f aca="false">IF(D30="","",IF(D30&lt;=ThamSo!$C$12,"Nhỏ–vừa","Lớn"))</f>
        <v>Nhỏ–vừa</v>
      </c>
      <c r="W30" s="2" t="str">
        <f aca="false">IF(D30="","",IF(OR(D30&lt;=ThamSo!$C$13,F30&lt;=ThamSo!$C$14),"Có","Không"))</f>
        <v>Không</v>
      </c>
      <c r="X30" s="37" t="n">
        <f aca="false">IF(AND(T30&lt;&gt;"Có",M30&lt;&gt;"",D30&lt;&gt;""),IF(D30&gt;=ThamSo!$C$11,M30,""),"")</f>
        <v>61.56053251</v>
      </c>
      <c r="Y30" s="35" t="n">
        <f aca="false">IF(U30=1,P30,"")</f>
        <v>0.0507049961955861</v>
      </c>
      <c r="Z30" s="35" t="n">
        <f aca="false">IF(AND(U30=1,V30="Nhỏ–vừa"),P30,"")</f>
        <v>0.0507049961955861</v>
      </c>
      <c r="AA30" s="35" t="str">
        <f aca="false">IF(AND(U30=1,V30="Lớn"),P30,"")</f>
        <v/>
      </c>
      <c r="AB30" s="37" t="n">
        <f aca="false">IF(U30=1,L30,"")</f>
        <v>17.97537032</v>
      </c>
      <c r="AC30" s="37" t="n">
        <f aca="false">IF(AND(U30=1,V30="Nhỏ–vừa"),L30,"")</f>
        <v>17.97537032</v>
      </c>
      <c r="AD30" s="37" t="str">
        <f aca="false">IF(AND(U30=1,V30="Lớn"),L30,"")</f>
        <v/>
      </c>
      <c r="AE30" s="37" t="n">
        <f aca="false">IF(U30=1,M30,"")</f>
        <v>61.56053251</v>
      </c>
      <c r="AF30" s="37" t="n">
        <f aca="false">IF(AND(U30=1,V30="Nhỏ–vừa"),M30,"")</f>
        <v>61.56053251</v>
      </c>
      <c r="AG30" s="37" t="str">
        <f aca="false">IF(AND(U30=1,V30="Lớn"),M30,"")</f>
        <v/>
      </c>
      <c r="AH30" s="37" t="n">
        <f aca="false">IF(U30=1,N30,"")</f>
        <v>8.13715467</v>
      </c>
      <c r="AI30" s="37" t="n">
        <f aca="false">IF(AND(U30=1,V30="Nhỏ–vừa"),N30,"")</f>
        <v>8.13715467</v>
      </c>
      <c r="AJ30" s="37" t="str">
        <f aca="false">IF(AND(U30=1,V30="Lớn"),N30,"")</f>
        <v/>
      </c>
      <c r="AK30" s="35" t="n">
        <f aca="false">IF(U30=1,Q30,"")</f>
        <v>0.0442556265087737</v>
      </c>
      <c r="AL30" s="35" t="n">
        <f aca="false">IF(AND(U30=1,R30&lt;&gt;""),R30,"")</f>
        <v>-0.0171597917157531</v>
      </c>
      <c r="AM30" s="2" t="str">
        <f aca="false">A30&amp;"-"&amp;B30</f>
        <v>HLT-2024</v>
      </c>
    </row>
    <row r="31" customFormat="false" ht="15" hidden="false" customHeight="false" outlineLevel="0" collapsed="false">
      <c r="A31" s="30" t="s">
        <v>276</v>
      </c>
      <c r="B31" s="30" t="n">
        <v>2025</v>
      </c>
      <c r="C31" s="30" t="s">
        <v>360</v>
      </c>
      <c r="D31" s="31" t="n">
        <v>240789814001</v>
      </c>
      <c r="E31" s="32" t="n">
        <v>0.03135765</v>
      </c>
      <c r="F31" s="31" t="n">
        <v>236693219145</v>
      </c>
      <c r="G31" s="31" t="n">
        <v>130486354054</v>
      </c>
      <c r="H31" s="31" t="n">
        <v>30366870618</v>
      </c>
      <c r="I31" s="31" t="n">
        <v>0</v>
      </c>
      <c r="J31" s="31" t="n">
        <v>77127089636</v>
      </c>
      <c r="K31" s="31" t="n">
        <v>-18721793141</v>
      </c>
      <c r="L31" s="33" t="n">
        <v>39.37963681</v>
      </c>
      <c r="M31" s="33" t="n">
        <v>137.08930125</v>
      </c>
      <c r="N31" s="33" t="n">
        <v>19.25056259</v>
      </c>
      <c r="O31" s="34" t="n">
        <f aca="false">IF(OR(D31="",E31=""),"",D31*(1-E31))</f>
        <v>233239211289.992</v>
      </c>
      <c r="P31" s="35" t="n">
        <f aca="false">IF(OR(H31="",D31=""),"",IF(D31&lt;=0,"",(H31+N(I31))/D31))</f>
        <v>0.126113601374657</v>
      </c>
      <c r="Q31" s="35" t="n">
        <f aca="false">IF(OR(H31="",D31=""),"",IF(D31&lt;=0,"",H31/D31))</f>
        <v>0.126113601374657</v>
      </c>
      <c r="R31" s="35" t="n">
        <f aca="false">IF(OR(A30&lt;&gt;A31,B31&lt;=ThamSo!$C$22,H31="",H30="",D31=""),"",IF(D31&lt;=0,"",(H31-H30)/D31))</f>
        <v>-0.0224540359999512</v>
      </c>
      <c r="S31" s="36" t="str">
        <f aca="false">INDEX(HoSoDN!$H$5:$H$32,MATCH(A31,HoSoDN!$A$5:$A$32,0))</f>
        <v>FOB</v>
      </c>
      <c r="T31" s="36" t="str">
        <f aca="false">INDEX(HoSoDN!$I$5:$I$32,MATCH(A31,HoSoDN!$A$5:$A$32,0))</f>
        <v>Không</v>
      </c>
      <c r="U31" s="2" t="n">
        <f aca="false">IF(AND(S31="FOB",T31&lt;&gt;"Có",B31&gt;=ThamSo!$C$22,B31&lt;=ThamSo!$C$23,D31&lt;&gt;"",E31&lt;&gt;"",G31&lt;&gt;"",P31&lt;&gt;"",L31&lt;&gt;"",M31&lt;&gt;"",N31&lt;&gt;""),IF(D31&gt;=ThamSo!$C$11,1,0),0)</f>
        <v>1</v>
      </c>
      <c r="V31" s="2" t="str">
        <f aca="false">IF(D31="","",IF(D31&lt;=ThamSo!$C$12,"Nhỏ–vừa","Lớn"))</f>
        <v>Nhỏ–vừa</v>
      </c>
      <c r="W31" s="2" t="str">
        <f aca="false">IF(D31="","",IF(OR(D31&lt;=ThamSo!$C$13,F31&lt;=ThamSo!$C$14),"Có","Không"))</f>
        <v>Không</v>
      </c>
      <c r="X31" s="37" t="n">
        <f aca="false">IF(AND(T31&lt;&gt;"Có",M31&lt;&gt;"",D31&lt;&gt;""),IF(D31&gt;=ThamSo!$C$11,M31,""),"")</f>
        <v>137.08930125</v>
      </c>
      <c r="Y31" s="35" t="n">
        <f aca="false">IF(U31=1,P31,"")</f>
        <v>0.126113601374657</v>
      </c>
      <c r="Z31" s="35" t="n">
        <f aca="false">IF(AND(U31=1,V31="Nhỏ–vừa"),P31,"")</f>
        <v>0.126113601374657</v>
      </c>
      <c r="AA31" s="35" t="str">
        <f aca="false">IF(AND(U31=1,V31="Lớn"),P31,"")</f>
        <v/>
      </c>
      <c r="AB31" s="37" t="n">
        <f aca="false">IF(U31=1,L31,"")</f>
        <v>39.37963681</v>
      </c>
      <c r="AC31" s="37" t="n">
        <f aca="false">IF(AND(U31=1,V31="Nhỏ–vừa"),L31,"")</f>
        <v>39.37963681</v>
      </c>
      <c r="AD31" s="37" t="str">
        <f aca="false">IF(AND(U31=1,V31="Lớn"),L31,"")</f>
        <v/>
      </c>
      <c r="AE31" s="37" t="n">
        <f aca="false">IF(U31=1,M31,"")</f>
        <v>137.08930125</v>
      </c>
      <c r="AF31" s="37" t="n">
        <f aca="false">IF(AND(U31=1,V31="Nhỏ–vừa"),M31,"")</f>
        <v>137.08930125</v>
      </c>
      <c r="AG31" s="37" t="str">
        <f aca="false">IF(AND(U31=1,V31="Lớn"),M31,"")</f>
        <v/>
      </c>
      <c r="AH31" s="37" t="n">
        <f aca="false">IF(U31=1,N31,"")</f>
        <v>19.25056259</v>
      </c>
      <c r="AI31" s="37" t="n">
        <f aca="false">IF(AND(U31=1,V31="Nhỏ–vừa"),N31,"")</f>
        <v>19.25056259</v>
      </c>
      <c r="AJ31" s="37" t="str">
        <f aca="false">IF(AND(U31=1,V31="Lớn"),N31,"")</f>
        <v/>
      </c>
      <c r="AK31" s="35" t="n">
        <f aca="false">IF(U31=1,Q31,"")</f>
        <v>0.126113601374657</v>
      </c>
      <c r="AL31" s="35" t="n">
        <f aca="false">IF(AND(U31=1,R31&lt;&gt;""),R31,"")</f>
        <v>-0.0224540359999512</v>
      </c>
      <c r="AM31" s="2" t="str">
        <f aca="false">A31&amp;"-"&amp;B31</f>
        <v>HLT-2025</v>
      </c>
    </row>
    <row r="32" customFormat="false" ht="15" hidden="false" customHeight="false" outlineLevel="0" collapsed="false">
      <c r="A32" s="30" t="s">
        <v>278</v>
      </c>
      <c r="B32" s="30" t="n">
        <v>2023</v>
      </c>
      <c r="C32" s="30" t="s">
        <v>360</v>
      </c>
      <c r="D32" s="31" t="n">
        <v>869534864259</v>
      </c>
      <c r="E32" s="32" t="n">
        <v>0.16414938</v>
      </c>
      <c r="F32" s="31" t="n">
        <v>649681496210</v>
      </c>
      <c r="G32" s="31" t="n">
        <v>520762094698</v>
      </c>
      <c r="H32" s="31" t="n">
        <v>257963398852</v>
      </c>
      <c r="I32" s="31" t="n">
        <v>0</v>
      </c>
      <c r="J32" s="31" t="n">
        <v>73196478616</v>
      </c>
      <c r="K32" s="31" t="n">
        <v>73473859086</v>
      </c>
      <c r="L32" s="33" t="n">
        <v>37.84470161</v>
      </c>
      <c r="M32" s="33" t="n">
        <v>31.89960609</v>
      </c>
      <c r="N32" s="33" t="n">
        <v>12.94331968</v>
      </c>
      <c r="O32" s="34" t="n">
        <f aca="false">IF(OR(D32="",E32=""),"",D32*(1-E32))</f>
        <v>726801255402.501</v>
      </c>
      <c r="P32" s="35" t="n">
        <f aca="false">IF(OR(H32="",D32=""),"",IF(D32&lt;=0,"",(H32+N(I32))/D32))</f>
        <v>0.296668264212535</v>
      </c>
      <c r="Q32" s="35" t="n">
        <f aca="false">IF(OR(H32="",D32=""),"",IF(D32&lt;=0,"",H32/D32))</f>
        <v>0.296668264212535</v>
      </c>
      <c r="R32" s="35" t="str">
        <f aca="false">IF(OR(A31&lt;&gt;A32,B32&lt;=ThamSo!$C$22,H32="",H31="",D32=""),"",IF(D32&lt;=0,"",(H32-H31)/D32))</f>
        <v/>
      </c>
      <c r="S32" s="36" t="str">
        <f aca="false">INDEX(HoSoDN!$H$5:$H$32,MATCH(A32,HoSoDN!$A$5:$A$32,0))</f>
        <v>FOB</v>
      </c>
      <c r="T32" s="36" t="str">
        <f aca="false">INDEX(HoSoDN!$I$5:$I$32,MATCH(A32,HoSoDN!$A$5:$A$32,0))</f>
        <v>Không</v>
      </c>
      <c r="U32" s="2" t="n">
        <f aca="false">IF(AND(S32="FOB",T32&lt;&gt;"Có",B32&gt;=ThamSo!$C$22,B32&lt;=ThamSo!$C$23,D32&lt;&gt;"",E32&lt;&gt;"",G32&lt;&gt;"",P32&lt;&gt;"",L32&lt;&gt;"",M32&lt;&gt;"",N32&lt;&gt;""),IF(D32&gt;=ThamSo!$C$11,1,0),0)</f>
        <v>1</v>
      </c>
      <c r="V32" s="2" t="str">
        <f aca="false">IF(D32="","",IF(D32&lt;=ThamSo!$C$12,"Nhỏ–vừa","Lớn"))</f>
        <v>Nhỏ–vừa</v>
      </c>
      <c r="W32" s="2" t="str">
        <f aca="false">IF(D32="","",IF(OR(D32&lt;=ThamSo!$C$13,F32&lt;=ThamSo!$C$14),"Có","Không"))</f>
        <v>Không</v>
      </c>
      <c r="X32" s="37" t="n">
        <f aca="false">IF(AND(T32&lt;&gt;"Có",M32&lt;&gt;"",D32&lt;&gt;""),IF(D32&gt;=ThamSo!$C$11,M32,""),"")</f>
        <v>31.89960609</v>
      </c>
      <c r="Y32" s="35" t="n">
        <f aca="false">IF(U32=1,P32,"")</f>
        <v>0.296668264212535</v>
      </c>
      <c r="Z32" s="35" t="n">
        <f aca="false">IF(AND(U32=1,V32="Nhỏ–vừa"),P32,"")</f>
        <v>0.296668264212535</v>
      </c>
      <c r="AA32" s="35" t="str">
        <f aca="false">IF(AND(U32=1,V32="Lớn"),P32,"")</f>
        <v/>
      </c>
      <c r="AB32" s="37" t="n">
        <f aca="false">IF(U32=1,L32,"")</f>
        <v>37.84470161</v>
      </c>
      <c r="AC32" s="37" t="n">
        <f aca="false">IF(AND(U32=1,V32="Nhỏ–vừa"),L32,"")</f>
        <v>37.84470161</v>
      </c>
      <c r="AD32" s="37" t="str">
        <f aca="false">IF(AND(U32=1,V32="Lớn"),L32,"")</f>
        <v/>
      </c>
      <c r="AE32" s="37" t="n">
        <f aca="false">IF(U32=1,M32,"")</f>
        <v>31.89960609</v>
      </c>
      <c r="AF32" s="37" t="n">
        <f aca="false">IF(AND(U32=1,V32="Nhỏ–vừa"),M32,"")</f>
        <v>31.89960609</v>
      </c>
      <c r="AG32" s="37" t="str">
        <f aca="false">IF(AND(U32=1,V32="Lớn"),M32,"")</f>
        <v/>
      </c>
      <c r="AH32" s="37" t="n">
        <f aca="false">IF(U32=1,N32,"")</f>
        <v>12.94331968</v>
      </c>
      <c r="AI32" s="37" t="n">
        <f aca="false">IF(AND(U32=1,V32="Nhỏ–vừa"),N32,"")</f>
        <v>12.94331968</v>
      </c>
      <c r="AJ32" s="37" t="str">
        <f aca="false">IF(AND(U32=1,V32="Lớn"),N32,"")</f>
        <v/>
      </c>
      <c r="AK32" s="35" t="n">
        <f aca="false">IF(U32=1,Q32,"")</f>
        <v>0.296668264212535</v>
      </c>
      <c r="AL32" s="35" t="str">
        <f aca="false">IF(AND(U32=1,R32&lt;&gt;""),R32,"")</f>
        <v/>
      </c>
      <c r="AM32" s="2" t="str">
        <f aca="false">A32&amp;"-"&amp;B32</f>
        <v>HNI-2023</v>
      </c>
    </row>
    <row r="33" customFormat="false" ht="15" hidden="false" customHeight="false" outlineLevel="0" collapsed="false">
      <c r="A33" s="30" t="s">
        <v>278</v>
      </c>
      <c r="B33" s="30" t="n">
        <v>2024</v>
      </c>
      <c r="C33" s="30" t="s">
        <v>360</v>
      </c>
      <c r="D33" s="31" t="n">
        <v>1182125636807</v>
      </c>
      <c r="E33" s="32" t="n">
        <v>0.16780598</v>
      </c>
      <c r="F33" s="31" t="n">
        <v>758725727595</v>
      </c>
      <c r="G33" s="31" t="n">
        <v>620029094940</v>
      </c>
      <c r="H33" s="31" t="n">
        <v>323365091248</v>
      </c>
      <c r="I33" s="31" t="n">
        <v>0</v>
      </c>
      <c r="J33" s="31" t="n">
        <v>64717891381</v>
      </c>
      <c r="K33" s="31" t="n">
        <v>105903870569</v>
      </c>
      <c r="L33" s="33" t="n">
        <v>41.23760297</v>
      </c>
      <c r="M33" s="33" t="n">
        <v>25.58492596</v>
      </c>
      <c r="N33" s="33" t="n">
        <v>12.05520922</v>
      </c>
      <c r="O33" s="34" t="n">
        <f aca="false">IF(OR(D33="",E33=""),"",D33*(1-E33))</f>
        <v>983757885839.477</v>
      </c>
      <c r="P33" s="35" t="n">
        <f aca="false">IF(OR(H33="",D33=""),"",IF(D33&lt;=0,"",(H33+N(I33))/D33))</f>
        <v>0.273545451667414</v>
      </c>
      <c r="Q33" s="35" t="n">
        <f aca="false">IF(OR(H33="",D33=""),"",IF(D33&lt;=0,"",H33/D33))</f>
        <v>0.273545451667414</v>
      </c>
      <c r="R33" s="35" t="n">
        <f aca="false">IF(OR(A32&lt;&gt;A33,B33&lt;=ThamSo!$C$22,H33="",H32="",D33=""),"",IF(D33&lt;=0,"",(H33-H32)/D33))</f>
        <v>0.0553255004033703</v>
      </c>
      <c r="S33" s="36" t="str">
        <f aca="false">INDEX(HoSoDN!$H$5:$H$32,MATCH(A33,HoSoDN!$A$5:$A$32,0))</f>
        <v>FOB</v>
      </c>
      <c r="T33" s="36" t="str">
        <f aca="false">INDEX(HoSoDN!$I$5:$I$32,MATCH(A33,HoSoDN!$A$5:$A$32,0))</f>
        <v>Không</v>
      </c>
      <c r="U33" s="2" t="n">
        <f aca="false">IF(AND(S33="FOB",T33&lt;&gt;"Có",B33&gt;=ThamSo!$C$22,B33&lt;=ThamSo!$C$23,D33&lt;&gt;"",E33&lt;&gt;"",G33&lt;&gt;"",P33&lt;&gt;"",L33&lt;&gt;"",M33&lt;&gt;"",N33&lt;&gt;""),IF(D33&gt;=ThamSo!$C$11,1,0),0)</f>
        <v>1</v>
      </c>
      <c r="V33" s="2" t="str">
        <f aca="false">IF(D33="","",IF(D33&lt;=ThamSo!$C$12,"Nhỏ–vừa","Lớn"))</f>
        <v>Nhỏ–vừa</v>
      </c>
      <c r="W33" s="2" t="str">
        <f aca="false">IF(D33="","",IF(OR(D33&lt;=ThamSo!$C$13,F33&lt;=ThamSo!$C$14),"Có","Không"))</f>
        <v>Không</v>
      </c>
      <c r="X33" s="37" t="n">
        <f aca="false">IF(AND(T33&lt;&gt;"Có",M33&lt;&gt;"",D33&lt;&gt;""),IF(D33&gt;=ThamSo!$C$11,M33,""),"")</f>
        <v>25.58492596</v>
      </c>
      <c r="Y33" s="35" t="n">
        <f aca="false">IF(U33=1,P33,"")</f>
        <v>0.273545451667414</v>
      </c>
      <c r="Z33" s="35" t="n">
        <f aca="false">IF(AND(U33=1,V33="Nhỏ–vừa"),P33,"")</f>
        <v>0.273545451667414</v>
      </c>
      <c r="AA33" s="35" t="str">
        <f aca="false">IF(AND(U33=1,V33="Lớn"),P33,"")</f>
        <v/>
      </c>
      <c r="AB33" s="37" t="n">
        <f aca="false">IF(U33=1,L33,"")</f>
        <v>41.23760297</v>
      </c>
      <c r="AC33" s="37" t="n">
        <f aca="false">IF(AND(U33=1,V33="Nhỏ–vừa"),L33,"")</f>
        <v>41.23760297</v>
      </c>
      <c r="AD33" s="37" t="str">
        <f aca="false">IF(AND(U33=1,V33="Lớn"),L33,"")</f>
        <v/>
      </c>
      <c r="AE33" s="37" t="n">
        <f aca="false">IF(U33=1,M33,"")</f>
        <v>25.58492596</v>
      </c>
      <c r="AF33" s="37" t="n">
        <f aca="false">IF(AND(U33=1,V33="Nhỏ–vừa"),M33,"")</f>
        <v>25.58492596</v>
      </c>
      <c r="AG33" s="37" t="str">
        <f aca="false">IF(AND(U33=1,V33="Lớn"),M33,"")</f>
        <v/>
      </c>
      <c r="AH33" s="37" t="n">
        <f aca="false">IF(U33=1,N33,"")</f>
        <v>12.05520922</v>
      </c>
      <c r="AI33" s="37" t="n">
        <f aca="false">IF(AND(U33=1,V33="Nhỏ–vừa"),N33,"")</f>
        <v>12.05520922</v>
      </c>
      <c r="AJ33" s="37" t="str">
        <f aca="false">IF(AND(U33=1,V33="Lớn"),N33,"")</f>
        <v/>
      </c>
      <c r="AK33" s="35" t="n">
        <f aca="false">IF(U33=1,Q33,"")</f>
        <v>0.273545451667414</v>
      </c>
      <c r="AL33" s="35" t="n">
        <f aca="false">IF(AND(U33=1,R33&lt;&gt;""),R33,"")</f>
        <v>0.0553255004033703</v>
      </c>
      <c r="AM33" s="2" t="str">
        <f aca="false">A33&amp;"-"&amp;B33</f>
        <v>HNI-2024</v>
      </c>
    </row>
    <row r="34" customFormat="false" ht="15" hidden="false" customHeight="false" outlineLevel="0" collapsed="false">
      <c r="A34" s="30" t="s">
        <v>278</v>
      </c>
      <c r="B34" s="30" t="n">
        <v>2025</v>
      </c>
      <c r="C34" s="30" t="s">
        <v>360</v>
      </c>
      <c r="D34" s="31" t="n">
        <v>980292288149</v>
      </c>
      <c r="E34" s="32" t="n">
        <v>0.17679612</v>
      </c>
      <c r="F34" s="31" t="n">
        <v>828028754633</v>
      </c>
      <c r="G34" s="31" t="n">
        <v>624387760545</v>
      </c>
      <c r="H34" s="31" t="n">
        <v>335399301943</v>
      </c>
      <c r="I34" s="31" t="n">
        <v>0</v>
      </c>
      <c r="J34" s="31" t="n">
        <v>54572964061</v>
      </c>
      <c r="K34" s="31" t="n">
        <v>93735184164</v>
      </c>
      <c r="L34" s="33" t="n">
        <v>63.25233935</v>
      </c>
      <c r="M34" s="33" t="n">
        <v>26.97783069</v>
      </c>
      <c r="N34" s="33" t="n">
        <v>25.86649979</v>
      </c>
      <c r="O34" s="34" t="n">
        <f aca="false">IF(OR(D34="",E34=""),"",D34*(1-E34))</f>
        <v>806980415138.335</v>
      </c>
      <c r="P34" s="35" t="n">
        <f aca="false">IF(OR(H34="",D34=""),"",IF(D34&lt;=0,"",(H34+N(I34))/D34))</f>
        <v>0.342142140663276</v>
      </c>
      <c r="Q34" s="35" t="n">
        <f aca="false">IF(OR(H34="",D34=""),"",IF(D34&lt;=0,"",H34/D34))</f>
        <v>0.342142140663276</v>
      </c>
      <c r="R34" s="35" t="n">
        <f aca="false">IF(OR(A33&lt;&gt;A34,B34&lt;=ThamSo!$C$22,H34="",H33="",D34=""),"",IF(D34&lt;=0,"",(H34-H33)/D34))</f>
        <v>0.0122761454318111</v>
      </c>
      <c r="S34" s="36" t="str">
        <f aca="false">INDEX(HoSoDN!$H$5:$H$32,MATCH(A34,HoSoDN!$A$5:$A$32,0))</f>
        <v>FOB</v>
      </c>
      <c r="T34" s="36" t="str">
        <f aca="false">INDEX(HoSoDN!$I$5:$I$32,MATCH(A34,HoSoDN!$A$5:$A$32,0))</f>
        <v>Không</v>
      </c>
      <c r="U34" s="2" t="n">
        <f aca="false">IF(AND(S34="FOB",T34&lt;&gt;"Có",B34&gt;=ThamSo!$C$22,B34&lt;=ThamSo!$C$23,D34&lt;&gt;"",E34&lt;&gt;"",G34&lt;&gt;"",P34&lt;&gt;"",L34&lt;&gt;"",M34&lt;&gt;"",N34&lt;&gt;""),IF(D34&gt;=ThamSo!$C$11,1,0),0)</f>
        <v>1</v>
      </c>
      <c r="V34" s="2" t="str">
        <f aca="false">IF(D34="","",IF(D34&lt;=ThamSo!$C$12,"Nhỏ–vừa","Lớn"))</f>
        <v>Nhỏ–vừa</v>
      </c>
      <c r="W34" s="2" t="str">
        <f aca="false">IF(D34="","",IF(OR(D34&lt;=ThamSo!$C$13,F34&lt;=ThamSo!$C$14),"Có","Không"))</f>
        <v>Không</v>
      </c>
      <c r="X34" s="37" t="n">
        <f aca="false">IF(AND(T34&lt;&gt;"Có",M34&lt;&gt;"",D34&lt;&gt;""),IF(D34&gt;=ThamSo!$C$11,M34,""),"")</f>
        <v>26.97783069</v>
      </c>
      <c r="Y34" s="35" t="n">
        <f aca="false">IF(U34=1,P34,"")</f>
        <v>0.342142140663276</v>
      </c>
      <c r="Z34" s="35" t="n">
        <f aca="false">IF(AND(U34=1,V34="Nhỏ–vừa"),P34,"")</f>
        <v>0.342142140663276</v>
      </c>
      <c r="AA34" s="35" t="str">
        <f aca="false">IF(AND(U34=1,V34="Lớn"),P34,"")</f>
        <v/>
      </c>
      <c r="AB34" s="37" t="n">
        <f aca="false">IF(U34=1,L34,"")</f>
        <v>63.25233935</v>
      </c>
      <c r="AC34" s="37" t="n">
        <f aca="false">IF(AND(U34=1,V34="Nhỏ–vừa"),L34,"")</f>
        <v>63.25233935</v>
      </c>
      <c r="AD34" s="37" t="str">
        <f aca="false">IF(AND(U34=1,V34="Lớn"),L34,"")</f>
        <v/>
      </c>
      <c r="AE34" s="37" t="n">
        <f aca="false">IF(U34=1,M34,"")</f>
        <v>26.97783069</v>
      </c>
      <c r="AF34" s="37" t="n">
        <f aca="false">IF(AND(U34=1,V34="Nhỏ–vừa"),M34,"")</f>
        <v>26.97783069</v>
      </c>
      <c r="AG34" s="37" t="str">
        <f aca="false">IF(AND(U34=1,V34="Lớn"),M34,"")</f>
        <v/>
      </c>
      <c r="AH34" s="37" t="n">
        <f aca="false">IF(U34=1,N34,"")</f>
        <v>25.86649979</v>
      </c>
      <c r="AI34" s="37" t="n">
        <f aca="false">IF(AND(U34=1,V34="Nhỏ–vừa"),N34,"")</f>
        <v>25.86649979</v>
      </c>
      <c r="AJ34" s="37" t="str">
        <f aca="false">IF(AND(U34=1,V34="Lớn"),N34,"")</f>
        <v/>
      </c>
      <c r="AK34" s="35" t="n">
        <f aca="false">IF(U34=1,Q34,"")</f>
        <v>0.342142140663276</v>
      </c>
      <c r="AL34" s="35" t="n">
        <f aca="false">IF(AND(U34=1,R34&lt;&gt;""),R34,"")</f>
        <v>0.0122761454318111</v>
      </c>
      <c r="AM34" s="2" t="str">
        <f aca="false">A34&amp;"-"&amp;B34</f>
        <v>HNI-2025</v>
      </c>
    </row>
    <row r="35" customFormat="false" ht="15" hidden="false" customHeight="false" outlineLevel="0" collapsed="false">
      <c r="A35" s="30" t="s">
        <v>280</v>
      </c>
      <c r="B35" s="30" t="n">
        <v>2023</v>
      </c>
      <c r="C35" s="30" t="s">
        <v>358</v>
      </c>
      <c r="D35" s="31" t="n">
        <v>4703966718679</v>
      </c>
      <c r="E35" s="32" t="n">
        <v>0.09193913</v>
      </c>
      <c r="F35" s="31" t="n">
        <v>2507720745464</v>
      </c>
      <c r="G35" s="31" t="n">
        <v>1761375593537</v>
      </c>
      <c r="H35" s="31" t="n">
        <v>210985575944</v>
      </c>
      <c r="I35" s="31" t="n">
        <v>176606702730</v>
      </c>
      <c r="J35" s="31" t="n">
        <v>765957784829</v>
      </c>
      <c r="K35" s="31" t="n">
        <v>171980838183</v>
      </c>
      <c r="L35" s="33" t="n">
        <v>38.70394026</v>
      </c>
      <c r="M35" s="33" t="n">
        <v>74.0027962</v>
      </c>
      <c r="N35" s="33" t="n">
        <v>20.48673333</v>
      </c>
      <c r="O35" s="34" t="n">
        <f aca="false">IF(OR(D35="",E35=""),"",D35*(1-E35))</f>
        <v>4271488111014.7</v>
      </c>
      <c r="P35" s="35" t="n">
        <f aca="false">IF(OR(H35="",D35=""),"",IF(D35&lt;=0,"",(H35+N(I35))/D35))</f>
        <v>0.0823969007125217</v>
      </c>
      <c r="Q35" s="35" t="n">
        <f aca="false">IF(OR(H35="",D35=""),"",IF(D35&lt;=0,"",H35/D35))</f>
        <v>0.0448526931762073</v>
      </c>
      <c r="R35" s="35" t="str">
        <f aca="false">IF(OR(A34&lt;&gt;A35,B35&lt;=ThamSo!$C$22,H35="",H34="",D35=""),"",IF(D35&lt;=0,"",(H35-H34)/D35))</f>
        <v/>
      </c>
      <c r="S35" s="36" t="str">
        <f aca="false">INDEX(HoSoDN!$H$5:$H$32,MATCH(A35,HoSoDN!$A$5:$A$32,0))</f>
        <v>FOB</v>
      </c>
      <c r="T35" s="36" t="str">
        <f aca="false">INDEX(HoSoDN!$I$5:$I$32,MATCH(A35,HoSoDN!$A$5:$A$32,0))</f>
        <v>Không</v>
      </c>
      <c r="U35" s="2" t="n">
        <f aca="false">IF(AND(S35="FOB",T35&lt;&gt;"Có",B35&gt;=ThamSo!$C$22,B35&lt;=ThamSo!$C$23,D35&lt;&gt;"",E35&lt;&gt;"",G35&lt;&gt;"",P35&lt;&gt;"",L35&lt;&gt;"",M35&lt;&gt;"",N35&lt;&gt;""),IF(D35&gt;=ThamSo!$C$11,1,0),0)</f>
        <v>1</v>
      </c>
      <c r="V35" s="2" t="str">
        <f aca="false">IF(D35="","",IF(D35&lt;=ThamSo!$C$12,"Nhỏ–vừa","Lớn"))</f>
        <v>Lớn</v>
      </c>
      <c r="W35" s="2" t="str">
        <f aca="false">IF(D35="","",IF(OR(D35&lt;=ThamSo!$C$13,F35&lt;=ThamSo!$C$14),"Có","Không"))</f>
        <v>Không</v>
      </c>
      <c r="X35" s="37" t="n">
        <f aca="false">IF(AND(T35&lt;&gt;"Có",M35&lt;&gt;"",D35&lt;&gt;""),IF(D35&gt;=ThamSo!$C$11,M35,""),"")</f>
        <v>74.0027962</v>
      </c>
      <c r="Y35" s="35" t="n">
        <f aca="false">IF(U35=1,P35,"")</f>
        <v>0.0823969007125217</v>
      </c>
      <c r="Z35" s="35" t="str">
        <f aca="false">IF(AND(U35=1,V35="Nhỏ–vừa"),P35,"")</f>
        <v/>
      </c>
      <c r="AA35" s="35" t="n">
        <f aca="false">IF(AND(U35=1,V35="Lớn"),P35,"")</f>
        <v>0.0823969007125217</v>
      </c>
      <c r="AB35" s="37" t="n">
        <f aca="false">IF(U35=1,L35,"")</f>
        <v>38.70394026</v>
      </c>
      <c r="AC35" s="37" t="str">
        <f aca="false">IF(AND(U35=1,V35="Nhỏ–vừa"),L35,"")</f>
        <v/>
      </c>
      <c r="AD35" s="37" t="n">
        <f aca="false">IF(AND(U35=1,V35="Lớn"),L35,"")</f>
        <v>38.70394026</v>
      </c>
      <c r="AE35" s="37" t="n">
        <f aca="false">IF(U35=1,M35,"")</f>
        <v>74.0027962</v>
      </c>
      <c r="AF35" s="37" t="str">
        <f aca="false">IF(AND(U35=1,V35="Nhỏ–vừa"),M35,"")</f>
        <v/>
      </c>
      <c r="AG35" s="37" t="n">
        <f aca="false">IF(AND(U35=1,V35="Lớn"),M35,"")</f>
        <v>74.0027962</v>
      </c>
      <c r="AH35" s="37" t="n">
        <f aca="false">IF(U35=1,N35,"")</f>
        <v>20.48673333</v>
      </c>
      <c r="AI35" s="37" t="str">
        <f aca="false">IF(AND(U35=1,V35="Nhỏ–vừa"),N35,"")</f>
        <v/>
      </c>
      <c r="AJ35" s="37" t="n">
        <f aca="false">IF(AND(U35=1,V35="Lớn"),N35,"")</f>
        <v>20.48673333</v>
      </c>
      <c r="AK35" s="35" t="n">
        <f aca="false">IF(U35=1,Q35,"")</f>
        <v>0.0448526931762073</v>
      </c>
      <c r="AL35" s="35" t="str">
        <f aca="false">IF(AND(U35=1,R35&lt;&gt;""),R35,"")</f>
        <v/>
      </c>
      <c r="AM35" s="2" t="str">
        <f aca="false">A35&amp;"-"&amp;B35</f>
        <v>HTG-2023</v>
      </c>
    </row>
    <row r="36" customFormat="false" ht="15" hidden="false" customHeight="false" outlineLevel="0" collapsed="false">
      <c r="A36" s="30" t="s">
        <v>280</v>
      </c>
      <c r="B36" s="30" t="n">
        <v>2024</v>
      </c>
      <c r="C36" s="30" t="s">
        <v>358</v>
      </c>
      <c r="D36" s="31" t="n">
        <v>5111153311349</v>
      </c>
      <c r="E36" s="32" t="n">
        <v>0.11605339</v>
      </c>
      <c r="F36" s="31" t="n">
        <v>2922215616846</v>
      </c>
      <c r="G36" s="31" t="n">
        <v>2095059428168</v>
      </c>
      <c r="H36" s="31" t="n">
        <v>467127892045</v>
      </c>
      <c r="I36" s="31" t="n">
        <v>254147000000</v>
      </c>
      <c r="J36" s="31" t="n">
        <v>788055765802</v>
      </c>
      <c r="K36" s="31" t="n">
        <v>280917941380</v>
      </c>
      <c r="L36" s="33" t="n">
        <v>36.91400843</v>
      </c>
      <c r="M36" s="33" t="n">
        <v>63.40738288</v>
      </c>
      <c r="N36" s="33" t="n">
        <v>20.51128896</v>
      </c>
      <c r="O36" s="34" t="n">
        <f aca="false">IF(OR(D36="",E36=""),"",D36*(1-E36))</f>
        <v>4517986642757.22</v>
      </c>
      <c r="P36" s="35" t="n">
        <f aca="false">IF(OR(H36="",D36=""),"",IF(D36&lt;=0,"",(H36+N(I36))/D36))</f>
        <v>0.141117835468456</v>
      </c>
      <c r="Q36" s="35" t="n">
        <f aca="false">IF(OR(H36="",D36=""),"",IF(D36&lt;=0,"",H36/D36))</f>
        <v>0.0913938329745992</v>
      </c>
      <c r="R36" s="35" t="n">
        <f aca="false">IF(OR(A35&lt;&gt;A36,B36&lt;=ThamSo!$C$22,H36="",H35="",D36=""),"",IF(D36&lt;=0,"",(H36-H35)/D36))</f>
        <v>0.0501143872034227</v>
      </c>
      <c r="S36" s="36" t="str">
        <f aca="false">INDEX(HoSoDN!$H$5:$H$32,MATCH(A36,HoSoDN!$A$5:$A$32,0))</f>
        <v>FOB</v>
      </c>
      <c r="T36" s="36" t="str">
        <f aca="false">INDEX(HoSoDN!$I$5:$I$32,MATCH(A36,HoSoDN!$A$5:$A$32,0))</f>
        <v>Không</v>
      </c>
      <c r="U36" s="2" t="n">
        <f aca="false">IF(AND(S36="FOB",T36&lt;&gt;"Có",B36&gt;=ThamSo!$C$22,B36&lt;=ThamSo!$C$23,D36&lt;&gt;"",E36&lt;&gt;"",G36&lt;&gt;"",P36&lt;&gt;"",L36&lt;&gt;"",M36&lt;&gt;"",N36&lt;&gt;""),IF(D36&gt;=ThamSo!$C$11,1,0),0)</f>
        <v>1</v>
      </c>
      <c r="V36" s="2" t="str">
        <f aca="false">IF(D36="","",IF(D36&lt;=ThamSo!$C$12,"Nhỏ–vừa","Lớn"))</f>
        <v>Lớn</v>
      </c>
      <c r="W36" s="2" t="str">
        <f aca="false">IF(D36="","",IF(OR(D36&lt;=ThamSo!$C$13,F36&lt;=ThamSo!$C$14),"Có","Không"))</f>
        <v>Không</v>
      </c>
      <c r="X36" s="37" t="n">
        <f aca="false">IF(AND(T36&lt;&gt;"Có",M36&lt;&gt;"",D36&lt;&gt;""),IF(D36&gt;=ThamSo!$C$11,M36,""),"")</f>
        <v>63.40738288</v>
      </c>
      <c r="Y36" s="35" t="n">
        <f aca="false">IF(U36=1,P36,"")</f>
        <v>0.141117835468456</v>
      </c>
      <c r="Z36" s="35" t="str">
        <f aca="false">IF(AND(U36=1,V36="Nhỏ–vừa"),P36,"")</f>
        <v/>
      </c>
      <c r="AA36" s="35" t="n">
        <f aca="false">IF(AND(U36=1,V36="Lớn"),P36,"")</f>
        <v>0.141117835468456</v>
      </c>
      <c r="AB36" s="37" t="n">
        <f aca="false">IF(U36=1,L36,"")</f>
        <v>36.91400843</v>
      </c>
      <c r="AC36" s="37" t="str">
        <f aca="false">IF(AND(U36=1,V36="Nhỏ–vừa"),L36,"")</f>
        <v/>
      </c>
      <c r="AD36" s="37" t="n">
        <f aca="false">IF(AND(U36=1,V36="Lớn"),L36,"")</f>
        <v>36.91400843</v>
      </c>
      <c r="AE36" s="37" t="n">
        <f aca="false">IF(U36=1,M36,"")</f>
        <v>63.40738288</v>
      </c>
      <c r="AF36" s="37" t="str">
        <f aca="false">IF(AND(U36=1,V36="Nhỏ–vừa"),M36,"")</f>
        <v/>
      </c>
      <c r="AG36" s="37" t="n">
        <f aca="false">IF(AND(U36=1,V36="Lớn"),M36,"")</f>
        <v>63.40738288</v>
      </c>
      <c r="AH36" s="37" t="n">
        <f aca="false">IF(U36=1,N36,"")</f>
        <v>20.51128896</v>
      </c>
      <c r="AI36" s="37" t="str">
        <f aca="false">IF(AND(U36=1,V36="Nhỏ–vừa"),N36,"")</f>
        <v/>
      </c>
      <c r="AJ36" s="37" t="n">
        <f aca="false">IF(AND(U36=1,V36="Lớn"),N36,"")</f>
        <v>20.51128896</v>
      </c>
      <c r="AK36" s="35" t="n">
        <f aca="false">IF(U36=1,Q36,"")</f>
        <v>0.0913938329745992</v>
      </c>
      <c r="AL36" s="35" t="n">
        <f aca="false">IF(AND(U36=1,R36&lt;&gt;""),R36,"")</f>
        <v>0.0501143872034227</v>
      </c>
      <c r="AM36" s="2" t="str">
        <f aca="false">A36&amp;"-"&amp;B36</f>
        <v>HTG-2024</v>
      </c>
    </row>
    <row r="37" customFormat="false" ht="15" hidden="false" customHeight="false" outlineLevel="0" collapsed="false">
      <c r="A37" s="30" t="s">
        <v>280</v>
      </c>
      <c r="B37" s="30" t="n">
        <v>2025</v>
      </c>
      <c r="C37" s="30" t="s">
        <v>358</v>
      </c>
      <c r="D37" s="31" t="n">
        <v>5412229347365</v>
      </c>
      <c r="E37" s="32" t="n">
        <v>0.11650268</v>
      </c>
      <c r="F37" s="31" t="n">
        <v>3737760469074</v>
      </c>
      <c r="G37" s="31" t="n">
        <v>2744916696990</v>
      </c>
      <c r="H37" s="31" t="n">
        <v>386872729034</v>
      </c>
      <c r="I37" s="31" t="n">
        <v>791898677526</v>
      </c>
      <c r="J37" s="31" t="n">
        <v>841964732249</v>
      </c>
      <c r="K37" s="31" t="n">
        <v>316606245350</v>
      </c>
      <c r="L37" s="33" t="n">
        <v>41.52168612</v>
      </c>
      <c r="M37" s="33" t="n">
        <v>64.5579232</v>
      </c>
      <c r="N37" s="33" t="n">
        <v>18.70767516</v>
      </c>
      <c r="O37" s="34" t="n">
        <f aca="false">IF(OR(D37="",E37=""),"",D37*(1-E37))</f>
        <v>4781690123622.33</v>
      </c>
      <c r="P37" s="35" t="n">
        <f aca="false">IF(OR(H37="",D37=""),"",IF(D37&lt;=0,"",(H37+N(I37))/D37))</f>
        <v>0.217797755953172</v>
      </c>
      <c r="Q37" s="35" t="n">
        <f aca="false">IF(OR(H37="",D37=""),"",IF(D37&lt;=0,"",H37/D37))</f>
        <v>0.0714812148938871</v>
      </c>
      <c r="R37" s="35" t="n">
        <f aca="false">IF(OR(A36&lt;&gt;A37,B37&lt;=ThamSo!$C$22,H37="",H36="",D37=""),"",IF(D37&lt;=0,"",(H37-H36)/D37))</f>
        <v>-0.0148284852433449</v>
      </c>
      <c r="S37" s="36" t="str">
        <f aca="false">INDEX(HoSoDN!$H$5:$H$32,MATCH(A37,HoSoDN!$A$5:$A$32,0))</f>
        <v>FOB</v>
      </c>
      <c r="T37" s="36" t="str">
        <f aca="false">INDEX(HoSoDN!$I$5:$I$32,MATCH(A37,HoSoDN!$A$5:$A$32,0))</f>
        <v>Không</v>
      </c>
      <c r="U37" s="2" t="n">
        <f aca="false">IF(AND(S37="FOB",T37&lt;&gt;"Có",B37&gt;=ThamSo!$C$22,B37&lt;=ThamSo!$C$23,D37&lt;&gt;"",E37&lt;&gt;"",G37&lt;&gt;"",P37&lt;&gt;"",L37&lt;&gt;"",M37&lt;&gt;"",N37&lt;&gt;""),IF(D37&gt;=ThamSo!$C$11,1,0),0)</f>
        <v>1</v>
      </c>
      <c r="V37" s="2" t="str">
        <f aca="false">IF(D37="","",IF(D37&lt;=ThamSo!$C$12,"Nhỏ–vừa","Lớn"))</f>
        <v>Lớn</v>
      </c>
      <c r="W37" s="2" t="str">
        <f aca="false">IF(D37="","",IF(OR(D37&lt;=ThamSo!$C$13,F37&lt;=ThamSo!$C$14),"Có","Không"))</f>
        <v>Không</v>
      </c>
      <c r="X37" s="37" t="n">
        <f aca="false">IF(AND(T37&lt;&gt;"Có",M37&lt;&gt;"",D37&lt;&gt;""),IF(D37&gt;=ThamSo!$C$11,M37,""),"")</f>
        <v>64.5579232</v>
      </c>
      <c r="Y37" s="35" t="n">
        <f aca="false">IF(U37=1,P37,"")</f>
        <v>0.217797755953172</v>
      </c>
      <c r="Z37" s="35" t="str">
        <f aca="false">IF(AND(U37=1,V37="Nhỏ–vừa"),P37,"")</f>
        <v/>
      </c>
      <c r="AA37" s="35" t="n">
        <f aca="false">IF(AND(U37=1,V37="Lớn"),P37,"")</f>
        <v>0.217797755953172</v>
      </c>
      <c r="AB37" s="37" t="n">
        <f aca="false">IF(U37=1,L37,"")</f>
        <v>41.52168612</v>
      </c>
      <c r="AC37" s="37" t="str">
        <f aca="false">IF(AND(U37=1,V37="Nhỏ–vừa"),L37,"")</f>
        <v/>
      </c>
      <c r="AD37" s="37" t="n">
        <f aca="false">IF(AND(U37=1,V37="Lớn"),L37,"")</f>
        <v>41.52168612</v>
      </c>
      <c r="AE37" s="37" t="n">
        <f aca="false">IF(U37=1,M37,"")</f>
        <v>64.5579232</v>
      </c>
      <c r="AF37" s="37" t="str">
        <f aca="false">IF(AND(U37=1,V37="Nhỏ–vừa"),M37,"")</f>
        <v/>
      </c>
      <c r="AG37" s="37" t="n">
        <f aca="false">IF(AND(U37=1,V37="Lớn"),M37,"")</f>
        <v>64.5579232</v>
      </c>
      <c r="AH37" s="37" t="n">
        <f aca="false">IF(U37=1,N37,"")</f>
        <v>18.70767516</v>
      </c>
      <c r="AI37" s="37" t="str">
        <f aca="false">IF(AND(U37=1,V37="Nhỏ–vừa"),N37,"")</f>
        <v/>
      </c>
      <c r="AJ37" s="37" t="n">
        <f aca="false">IF(AND(U37=1,V37="Lớn"),N37,"")</f>
        <v>18.70767516</v>
      </c>
      <c r="AK37" s="35" t="n">
        <f aca="false">IF(U37=1,Q37,"")</f>
        <v>0.0714812148938871</v>
      </c>
      <c r="AL37" s="35" t="n">
        <f aca="false">IF(AND(U37=1,R37&lt;&gt;""),R37,"")</f>
        <v>-0.0148284852433449</v>
      </c>
      <c r="AM37" s="2" t="str">
        <f aca="false">A37&amp;"-"&amp;B37</f>
        <v>HTG-2025</v>
      </c>
    </row>
    <row r="38" customFormat="false" ht="15" hidden="false" customHeight="false" outlineLevel="0" collapsed="false">
      <c r="A38" s="30" t="s">
        <v>282</v>
      </c>
      <c r="B38" s="30" t="n">
        <v>2023</v>
      </c>
      <c r="C38" s="30" t="s">
        <v>358</v>
      </c>
      <c r="D38" s="31" t="n">
        <v>690525695082</v>
      </c>
      <c r="E38" s="32" t="n">
        <v>0.22219651</v>
      </c>
      <c r="F38" s="31" t="n">
        <v>599551081422</v>
      </c>
      <c r="G38" s="31" t="n">
        <v>397047551511</v>
      </c>
      <c r="H38" s="31" t="n">
        <v>28899694275</v>
      </c>
      <c r="I38" s="31" t="n">
        <v>204468300790</v>
      </c>
      <c r="J38" s="31" t="n">
        <v>56686036199</v>
      </c>
      <c r="K38" s="31" t="n">
        <v>76594248327</v>
      </c>
      <c r="L38" s="33" t="n">
        <v>35.93525564</v>
      </c>
      <c r="M38" s="33" t="n">
        <v>44.2838733</v>
      </c>
      <c r="N38" s="33" t="n">
        <v>25.44780206</v>
      </c>
      <c r="O38" s="34" t="n">
        <f aca="false">IF(OR(D38="",E38=""),"",D38*(1-E38))</f>
        <v>537093295569.455</v>
      </c>
      <c r="P38" s="35" t="n">
        <f aca="false">IF(OR(H38="",D38=""),"",IF(D38&lt;=0,"",(H38+N(I38))/D38))</f>
        <v>0.337957003956656</v>
      </c>
      <c r="Q38" s="35" t="n">
        <f aca="false">IF(OR(H38="",D38=""),"",IF(D38&lt;=0,"",H38/D38))</f>
        <v>0.0418517290244618</v>
      </c>
      <c r="R38" s="35" t="str">
        <f aca="false">IF(OR(A37&lt;&gt;A38,B38&lt;=ThamSo!$C$22,H38="",H37="",D38=""),"",IF(D38&lt;=0,"",(H38-H37)/D38))</f>
        <v/>
      </c>
      <c r="S38" s="36" t="str">
        <f aca="false">INDEX(HoSoDN!$H$5:$H$32,MATCH(A38,HoSoDN!$A$5:$A$32,0))</f>
        <v>FOB</v>
      </c>
      <c r="T38" s="36" t="str">
        <f aca="false">INDEX(HoSoDN!$I$5:$I$32,MATCH(A38,HoSoDN!$A$5:$A$32,0))</f>
        <v>Không</v>
      </c>
      <c r="U38" s="2" t="n">
        <f aca="false">IF(AND(S38="FOB",T38&lt;&gt;"Có",B38&gt;=ThamSo!$C$22,B38&lt;=ThamSo!$C$23,D38&lt;&gt;"",E38&lt;&gt;"",G38&lt;&gt;"",P38&lt;&gt;"",L38&lt;&gt;"",M38&lt;&gt;"",N38&lt;&gt;""),IF(D38&gt;=ThamSo!$C$11,1,0),0)</f>
        <v>1</v>
      </c>
      <c r="V38" s="2" t="str">
        <f aca="false">IF(D38="","",IF(D38&lt;=ThamSo!$C$12,"Nhỏ–vừa","Lớn"))</f>
        <v>Nhỏ–vừa</v>
      </c>
      <c r="W38" s="2" t="str">
        <f aca="false">IF(D38="","",IF(OR(D38&lt;=ThamSo!$C$13,F38&lt;=ThamSo!$C$14),"Có","Không"))</f>
        <v>Không</v>
      </c>
      <c r="X38" s="37" t="n">
        <f aca="false">IF(AND(T38&lt;&gt;"Có",M38&lt;&gt;"",D38&lt;&gt;""),IF(D38&gt;=ThamSo!$C$11,M38,""),"")</f>
        <v>44.2838733</v>
      </c>
      <c r="Y38" s="35" t="n">
        <f aca="false">IF(U38=1,P38,"")</f>
        <v>0.337957003956656</v>
      </c>
      <c r="Z38" s="35" t="n">
        <f aca="false">IF(AND(U38=1,V38="Nhỏ–vừa"),P38,"")</f>
        <v>0.337957003956656</v>
      </c>
      <c r="AA38" s="35" t="str">
        <f aca="false">IF(AND(U38=1,V38="Lớn"),P38,"")</f>
        <v/>
      </c>
      <c r="AB38" s="37" t="n">
        <f aca="false">IF(U38=1,L38,"")</f>
        <v>35.93525564</v>
      </c>
      <c r="AC38" s="37" t="n">
        <f aca="false">IF(AND(U38=1,V38="Nhỏ–vừa"),L38,"")</f>
        <v>35.93525564</v>
      </c>
      <c r="AD38" s="37" t="str">
        <f aca="false">IF(AND(U38=1,V38="Lớn"),L38,"")</f>
        <v/>
      </c>
      <c r="AE38" s="37" t="n">
        <f aca="false">IF(U38=1,M38,"")</f>
        <v>44.2838733</v>
      </c>
      <c r="AF38" s="37" t="n">
        <f aca="false">IF(AND(U38=1,V38="Nhỏ–vừa"),M38,"")</f>
        <v>44.2838733</v>
      </c>
      <c r="AG38" s="37" t="str">
        <f aca="false">IF(AND(U38=1,V38="Lớn"),M38,"")</f>
        <v/>
      </c>
      <c r="AH38" s="37" t="n">
        <f aca="false">IF(U38=1,N38,"")</f>
        <v>25.44780206</v>
      </c>
      <c r="AI38" s="37" t="n">
        <f aca="false">IF(AND(U38=1,V38="Nhỏ–vừa"),N38,"")</f>
        <v>25.44780206</v>
      </c>
      <c r="AJ38" s="37" t="str">
        <f aca="false">IF(AND(U38=1,V38="Lớn"),N38,"")</f>
        <v/>
      </c>
      <c r="AK38" s="35" t="n">
        <f aca="false">IF(U38=1,Q38,"")</f>
        <v>0.0418517290244618</v>
      </c>
      <c r="AL38" s="35" t="str">
        <f aca="false">IF(AND(U38=1,R38&lt;&gt;""),R38,"")</f>
        <v/>
      </c>
      <c r="AM38" s="2" t="str">
        <f aca="false">A38&amp;"-"&amp;B38</f>
        <v>HUG-2023</v>
      </c>
    </row>
    <row r="39" customFormat="false" ht="15" hidden="false" customHeight="false" outlineLevel="0" collapsed="false">
      <c r="A39" s="30" t="s">
        <v>282</v>
      </c>
      <c r="B39" s="30" t="n">
        <v>2024</v>
      </c>
      <c r="C39" s="30" t="s">
        <v>358</v>
      </c>
      <c r="D39" s="31" t="n">
        <v>678363642180</v>
      </c>
      <c r="E39" s="32" t="n">
        <v>0.23468705</v>
      </c>
      <c r="F39" s="31" t="n">
        <v>607907632393</v>
      </c>
      <c r="G39" s="31" t="n">
        <v>407025079356</v>
      </c>
      <c r="H39" s="31" t="n">
        <v>61915758986</v>
      </c>
      <c r="I39" s="31" t="n">
        <v>198247235969</v>
      </c>
      <c r="J39" s="31" t="n">
        <v>52777518032</v>
      </c>
      <c r="K39" s="31" t="n">
        <v>64230028467</v>
      </c>
      <c r="L39" s="33" t="n">
        <v>33.70679648</v>
      </c>
      <c r="M39" s="33" t="n">
        <v>38.47962145</v>
      </c>
      <c r="N39" s="33" t="n">
        <v>18.73577608</v>
      </c>
      <c r="O39" s="34" t="n">
        <f aca="false">IF(OR(D39="",E39=""),"",D39*(1-E39))</f>
        <v>519160480169.52</v>
      </c>
      <c r="P39" s="35" t="n">
        <f aca="false">IF(OR(H39="",D39=""),"",IF(D39&lt;=0,"",(H39+N(I39))/D39))</f>
        <v>0.383515534704861</v>
      </c>
      <c r="Q39" s="35" t="n">
        <f aca="false">IF(OR(H39="",D39=""),"",IF(D39&lt;=0,"",H39/D39))</f>
        <v>0.0912722250075587</v>
      </c>
      <c r="R39" s="35" t="n">
        <f aca="false">IF(OR(A38&lt;&gt;A39,B39&lt;=ThamSo!$C$22,H39="",H38="",D39=""),"",IF(D39&lt;=0,"",(H39-H38)/D39))</f>
        <v>0.0486701566211583</v>
      </c>
      <c r="S39" s="36" t="str">
        <f aca="false">INDEX(HoSoDN!$H$5:$H$32,MATCH(A39,HoSoDN!$A$5:$A$32,0))</f>
        <v>FOB</v>
      </c>
      <c r="T39" s="36" t="str">
        <f aca="false">INDEX(HoSoDN!$I$5:$I$32,MATCH(A39,HoSoDN!$A$5:$A$32,0))</f>
        <v>Không</v>
      </c>
      <c r="U39" s="2" t="n">
        <f aca="false">IF(AND(S39="FOB",T39&lt;&gt;"Có",B39&gt;=ThamSo!$C$22,B39&lt;=ThamSo!$C$23,D39&lt;&gt;"",E39&lt;&gt;"",G39&lt;&gt;"",P39&lt;&gt;"",L39&lt;&gt;"",M39&lt;&gt;"",N39&lt;&gt;""),IF(D39&gt;=ThamSo!$C$11,1,0),0)</f>
        <v>1</v>
      </c>
      <c r="V39" s="2" t="str">
        <f aca="false">IF(D39="","",IF(D39&lt;=ThamSo!$C$12,"Nhỏ–vừa","Lớn"))</f>
        <v>Nhỏ–vừa</v>
      </c>
      <c r="W39" s="2" t="str">
        <f aca="false">IF(D39="","",IF(OR(D39&lt;=ThamSo!$C$13,F39&lt;=ThamSo!$C$14),"Có","Không"))</f>
        <v>Không</v>
      </c>
      <c r="X39" s="37" t="n">
        <f aca="false">IF(AND(T39&lt;&gt;"Có",M39&lt;&gt;"",D39&lt;&gt;""),IF(D39&gt;=ThamSo!$C$11,M39,""),"")</f>
        <v>38.47962145</v>
      </c>
      <c r="Y39" s="35" t="n">
        <f aca="false">IF(U39=1,P39,"")</f>
        <v>0.383515534704861</v>
      </c>
      <c r="Z39" s="35" t="n">
        <f aca="false">IF(AND(U39=1,V39="Nhỏ–vừa"),P39,"")</f>
        <v>0.383515534704861</v>
      </c>
      <c r="AA39" s="35" t="str">
        <f aca="false">IF(AND(U39=1,V39="Lớn"),P39,"")</f>
        <v/>
      </c>
      <c r="AB39" s="37" t="n">
        <f aca="false">IF(U39=1,L39,"")</f>
        <v>33.70679648</v>
      </c>
      <c r="AC39" s="37" t="n">
        <f aca="false">IF(AND(U39=1,V39="Nhỏ–vừa"),L39,"")</f>
        <v>33.70679648</v>
      </c>
      <c r="AD39" s="37" t="str">
        <f aca="false">IF(AND(U39=1,V39="Lớn"),L39,"")</f>
        <v/>
      </c>
      <c r="AE39" s="37" t="n">
        <f aca="false">IF(U39=1,M39,"")</f>
        <v>38.47962145</v>
      </c>
      <c r="AF39" s="37" t="n">
        <f aca="false">IF(AND(U39=1,V39="Nhỏ–vừa"),M39,"")</f>
        <v>38.47962145</v>
      </c>
      <c r="AG39" s="37" t="str">
        <f aca="false">IF(AND(U39=1,V39="Lớn"),M39,"")</f>
        <v/>
      </c>
      <c r="AH39" s="37" t="n">
        <f aca="false">IF(U39=1,N39,"")</f>
        <v>18.73577608</v>
      </c>
      <c r="AI39" s="37" t="n">
        <f aca="false">IF(AND(U39=1,V39="Nhỏ–vừa"),N39,"")</f>
        <v>18.73577608</v>
      </c>
      <c r="AJ39" s="37" t="str">
        <f aca="false">IF(AND(U39=1,V39="Lớn"),N39,"")</f>
        <v/>
      </c>
      <c r="AK39" s="35" t="n">
        <f aca="false">IF(U39=1,Q39,"")</f>
        <v>0.0912722250075587</v>
      </c>
      <c r="AL39" s="35" t="n">
        <f aca="false">IF(AND(U39=1,R39&lt;&gt;""),R39,"")</f>
        <v>0.0486701566211583</v>
      </c>
      <c r="AM39" s="2" t="str">
        <f aca="false">A39&amp;"-"&amp;B39</f>
        <v>HUG-2024</v>
      </c>
    </row>
    <row r="40" customFormat="false" ht="15" hidden="false" customHeight="false" outlineLevel="0" collapsed="false">
      <c r="A40" s="30" t="s">
        <v>282</v>
      </c>
      <c r="B40" s="30" t="n">
        <v>2025</v>
      </c>
      <c r="C40" s="30" t="s">
        <v>358</v>
      </c>
      <c r="D40" s="31" t="n">
        <v>789319259119</v>
      </c>
      <c r="E40" s="32" t="n">
        <v>0.23373697</v>
      </c>
      <c r="F40" s="31" t="n">
        <v>661602655005</v>
      </c>
      <c r="G40" s="31" t="n">
        <v>414865770472</v>
      </c>
      <c r="H40" s="31" t="n">
        <v>43517168767</v>
      </c>
      <c r="I40" s="31" t="n">
        <v>220977608010</v>
      </c>
      <c r="J40" s="31" t="n">
        <v>60152573716</v>
      </c>
      <c r="K40" s="31" t="n">
        <v>80628854326</v>
      </c>
      <c r="L40" s="33" t="n">
        <v>28.4060085</v>
      </c>
      <c r="M40" s="33" t="n">
        <v>34.0754797</v>
      </c>
      <c r="N40" s="33" t="n">
        <v>16.68748309</v>
      </c>
      <c r="O40" s="34" t="n">
        <f aca="false">IF(OR(D40="",E40=""),"",D40*(1-E40))</f>
        <v>604826167129.88</v>
      </c>
      <c r="P40" s="35" t="n">
        <f aca="false">IF(OR(H40="",D40=""),"",IF(D40&lt;=0,"",(H40+N(I40))/D40))</f>
        <v>0.335092263011821</v>
      </c>
      <c r="Q40" s="35" t="n">
        <f aca="false">IF(OR(H40="",D40=""),"",IF(D40&lt;=0,"",H40/D40))</f>
        <v>0.0551325313100453</v>
      </c>
      <c r="R40" s="35" t="n">
        <f aca="false">IF(OR(A39&lt;&gt;A40,B40&lt;=ThamSo!$C$22,H40="",H39="",D40=""),"",IF(D40&lt;=0,"",(H40-H39)/D40))</f>
        <v>-0.0233094403898565</v>
      </c>
      <c r="S40" s="36" t="str">
        <f aca="false">INDEX(HoSoDN!$H$5:$H$32,MATCH(A40,HoSoDN!$A$5:$A$32,0))</f>
        <v>FOB</v>
      </c>
      <c r="T40" s="36" t="str">
        <f aca="false">INDEX(HoSoDN!$I$5:$I$32,MATCH(A40,HoSoDN!$A$5:$A$32,0))</f>
        <v>Không</v>
      </c>
      <c r="U40" s="2" t="n">
        <f aca="false">IF(AND(S40="FOB",T40&lt;&gt;"Có",B40&gt;=ThamSo!$C$22,B40&lt;=ThamSo!$C$23,D40&lt;&gt;"",E40&lt;&gt;"",G40&lt;&gt;"",P40&lt;&gt;"",L40&lt;&gt;"",M40&lt;&gt;"",N40&lt;&gt;""),IF(D40&gt;=ThamSo!$C$11,1,0),0)</f>
        <v>1</v>
      </c>
      <c r="V40" s="2" t="str">
        <f aca="false">IF(D40="","",IF(D40&lt;=ThamSo!$C$12,"Nhỏ–vừa","Lớn"))</f>
        <v>Nhỏ–vừa</v>
      </c>
      <c r="W40" s="2" t="str">
        <f aca="false">IF(D40="","",IF(OR(D40&lt;=ThamSo!$C$13,F40&lt;=ThamSo!$C$14),"Có","Không"))</f>
        <v>Không</v>
      </c>
      <c r="X40" s="37" t="n">
        <f aca="false">IF(AND(T40&lt;&gt;"Có",M40&lt;&gt;"",D40&lt;&gt;""),IF(D40&gt;=ThamSo!$C$11,M40,""),"")</f>
        <v>34.0754797</v>
      </c>
      <c r="Y40" s="35" t="n">
        <f aca="false">IF(U40=1,P40,"")</f>
        <v>0.335092263011821</v>
      </c>
      <c r="Z40" s="35" t="n">
        <f aca="false">IF(AND(U40=1,V40="Nhỏ–vừa"),P40,"")</f>
        <v>0.335092263011821</v>
      </c>
      <c r="AA40" s="35" t="str">
        <f aca="false">IF(AND(U40=1,V40="Lớn"),P40,"")</f>
        <v/>
      </c>
      <c r="AB40" s="37" t="n">
        <f aca="false">IF(U40=1,L40,"")</f>
        <v>28.4060085</v>
      </c>
      <c r="AC40" s="37" t="n">
        <f aca="false">IF(AND(U40=1,V40="Nhỏ–vừa"),L40,"")</f>
        <v>28.4060085</v>
      </c>
      <c r="AD40" s="37" t="str">
        <f aca="false">IF(AND(U40=1,V40="Lớn"),L40,"")</f>
        <v/>
      </c>
      <c r="AE40" s="37" t="n">
        <f aca="false">IF(U40=1,M40,"")</f>
        <v>34.0754797</v>
      </c>
      <c r="AF40" s="37" t="n">
        <f aca="false">IF(AND(U40=1,V40="Nhỏ–vừa"),M40,"")</f>
        <v>34.0754797</v>
      </c>
      <c r="AG40" s="37" t="str">
        <f aca="false">IF(AND(U40=1,V40="Lớn"),M40,"")</f>
        <v/>
      </c>
      <c r="AH40" s="37" t="n">
        <f aca="false">IF(U40=1,N40,"")</f>
        <v>16.68748309</v>
      </c>
      <c r="AI40" s="37" t="n">
        <f aca="false">IF(AND(U40=1,V40="Nhỏ–vừa"),N40,"")</f>
        <v>16.68748309</v>
      </c>
      <c r="AJ40" s="37" t="str">
        <f aca="false">IF(AND(U40=1,V40="Lớn"),N40,"")</f>
        <v/>
      </c>
      <c r="AK40" s="35" t="n">
        <f aca="false">IF(U40=1,Q40,"")</f>
        <v>0.0551325313100453</v>
      </c>
      <c r="AL40" s="35" t="n">
        <f aca="false">IF(AND(U40=1,R40&lt;&gt;""),R40,"")</f>
        <v>-0.0233094403898565</v>
      </c>
      <c r="AM40" s="2" t="str">
        <f aca="false">A40&amp;"-"&amp;B40</f>
        <v>HUG-2025</v>
      </c>
    </row>
    <row r="41" customFormat="false" ht="15" hidden="false" customHeight="false" outlineLevel="0" collapsed="false">
      <c r="A41" s="30" t="s">
        <v>284</v>
      </c>
      <c r="B41" s="30" t="n">
        <v>2023</v>
      </c>
      <c r="C41" s="30" t="s">
        <v>361</v>
      </c>
      <c r="D41" s="31" t="n">
        <v>4139737619391</v>
      </c>
      <c r="E41" s="32" t="n">
        <v>0.105488</v>
      </c>
      <c r="F41" s="31" t="n">
        <v>2289686019527</v>
      </c>
      <c r="G41" s="31" t="n">
        <v>1781338762540</v>
      </c>
      <c r="H41" s="31" t="n">
        <v>152062411416</v>
      </c>
      <c r="I41" s="31" t="n">
        <v>302163000000</v>
      </c>
      <c r="J41" s="31" t="n">
        <v>746547872094</v>
      </c>
      <c r="K41" s="31" t="n">
        <v>103214087276</v>
      </c>
      <c r="L41" s="33" t="n">
        <v>40.24373698</v>
      </c>
      <c r="M41" s="33" t="n">
        <v>78.03938668</v>
      </c>
      <c r="N41" s="33" t="n">
        <v>57.73413951</v>
      </c>
      <c r="O41" s="34" t="n">
        <f aca="false">IF(OR(D41="",E41=""),"",D41*(1-E41))</f>
        <v>3703044977396.68</v>
      </c>
      <c r="P41" s="35" t="n">
        <f aca="false">IF(OR(H41="",D41=""),"",IF(D41&lt;=0,"",(H41+N(I41))/D41))</f>
        <v>0.109723236875776</v>
      </c>
      <c r="Q41" s="35" t="n">
        <f aca="false">IF(OR(H41="",D41=""),"",IF(D41&lt;=0,"",H41/D41))</f>
        <v>0.0367323790531367</v>
      </c>
      <c r="R41" s="35" t="str">
        <f aca="false">IF(OR(A40&lt;&gt;A41,B41&lt;=ThamSo!$C$22,H41="",H40="",D41=""),"",IF(D41&lt;=0,"",(H41-H40)/D41))</f>
        <v/>
      </c>
      <c r="S41" s="36" t="str">
        <f aca="false">INDEX(HoSoDN!$H$5:$H$32,MATCH(A41,HoSoDN!$A$5:$A$32,0))</f>
        <v>FOB</v>
      </c>
      <c r="T41" s="36" t="str">
        <f aca="false">INDEX(HoSoDN!$I$5:$I$32,MATCH(A41,HoSoDN!$A$5:$A$32,0))</f>
        <v>Không</v>
      </c>
      <c r="U41" s="2" t="n">
        <f aca="false">IF(AND(S41="FOB",T41&lt;&gt;"Có",B41&gt;=ThamSo!$C$22,B41&lt;=ThamSo!$C$23,D41&lt;&gt;"",E41&lt;&gt;"",G41&lt;&gt;"",P41&lt;&gt;"",L41&lt;&gt;"",M41&lt;&gt;"",N41&lt;&gt;""),IF(D41&gt;=ThamSo!$C$11,1,0),0)</f>
        <v>1</v>
      </c>
      <c r="V41" s="2" t="str">
        <f aca="false">IF(D41="","",IF(D41&lt;=ThamSo!$C$12,"Nhỏ–vừa","Lớn"))</f>
        <v>Lớn</v>
      </c>
      <c r="W41" s="2" t="str">
        <f aca="false">IF(D41="","",IF(OR(D41&lt;=ThamSo!$C$13,F41&lt;=ThamSo!$C$14),"Có","Không"))</f>
        <v>Không</v>
      </c>
      <c r="X41" s="37" t="n">
        <f aca="false">IF(AND(T41&lt;&gt;"Có",M41&lt;&gt;"",D41&lt;&gt;""),IF(D41&gt;=ThamSo!$C$11,M41,""),"")</f>
        <v>78.03938668</v>
      </c>
      <c r="Y41" s="35" t="n">
        <f aca="false">IF(U41=1,P41,"")</f>
        <v>0.109723236875776</v>
      </c>
      <c r="Z41" s="35" t="str">
        <f aca="false">IF(AND(U41=1,V41="Nhỏ–vừa"),P41,"")</f>
        <v/>
      </c>
      <c r="AA41" s="35" t="n">
        <f aca="false">IF(AND(U41=1,V41="Lớn"),P41,"")</f>
        <v>0.109723236875776</v>
      </c>
      <c r="AB41" s="37" t="n">
        <f aca="false">IF(U41=1,L41,"")</f>
        <v>40.24373698</v>
      </c>
      <c r="AC41" s="37" t="str">
        <f aca="false">IF(AND(U41=1,V41="Nhỏ–vừa"),L41,"")</f>
        <v/>
      </c>
      <c r="AD41" s="37" t="n">
        <f aca="false">IF(AND(U41=1,V41="Lớn"),L41,"")</f>
        <v>40.24373698</v>
      </c>
      <c r="AE41" s="37" t="n">
        <f aca="false">IF(U41=1,M41,"")</f>
        <v>78.03938668</v>
      </c>
      <c r="AF41" s="37" t="str">
        <f aca="false">IF(AND(U41=1,V41="Nhỏ–vừa"),M41,"")</f>
        <v/>
      </c>
      <c r="AG41" s="37" t="n">
        <f aca="false">IF(AND(U41=1,V41="Lớn"),M41,"")</f>
        <v>78.03938668</v>
      </c>
      <c r="AH41" s="37" t="n">
        <f aca="false">IF(U41=1,N41,"")</f>
        <v>57.73413951</v>
      </c>
      <c r="AI41" s="37" t="str">
        <f aca="false">IF(AND(U41=1,V41="Nhỏ–vừa"),N41,"")</f>
        <v/>
      </c>
      <c r="AJ41" s="37" t="n">
        <f aca="false">IF(AND(U41=1,V41="Lớn"),N41,"")</f>
        <v>57.73413951</v>
      </c>
      <c r="AK41" s="35" t="n">
        <f aca="false">IF(U41=1,Q41,"")</f>
        <v>0.0367323790531367</v>
      </c>
      <c r="AL41" s="35" t="str">
        <f aca="false">IF(AND(U41=1,R41&lt;&gt;""),R41,"")</f>
        <v/>
      </c>
      <c r="AM41" s="2" t="str">
        <f aca="false">A41&amp;"-"&amp;B41</f>
        <v>M10-2023</v>
      </c>
    </row>
    <row r="42" customFormat="false" ht="15" hidden="false" customHeight="false" outlineLevel="0" collapsed="false">
      <c r="A42" s="30" t="s">
        <v>284</v>
      </c>
      <c r="B42" s="30" t="n">
        <v>2024</v>
      </c>
      <c r="C42" s="30" t="s">
        <v>361</v>
      </c>
      <c r="D42" s="31" t="n">
        <v>4660199353022</v>
      </c>
      <c r="E42" s="32" t="n">
        <v>0.11930244</v>
      </c>
      <c r="F42" s="31" t="n">
        <v>2615833202335</v>
      </c>
      <c r="G42" s="31" t="n">
        <v>2054803490754</v>
      </c>
      <c r="H42" s="31" t="n">
        <v>231856066687</v>
      </c>
      <c r="I42" s="31" t="n">
        <v>408391753426</v>
      </c>
      <c r="J42" s="31" t="n">
        <v>797655790886</v>
      </c>
      <c r="K42" s="31" t="n">
        <v>97791437986</v>
      </c>
      <c r="L42" s="33" t="n">
        <v>43.5658532</v>
      </c>
      <c r="M42" s="33" t="n">
        <v>69.36503665</v>
      </c>
      <c r="N42" s="33" t="n">
        <v>61.42468402</v>
      </c>
      <c r="O42" s="34" t="n">
        <f aca="false">IF(OR(D42="",E42=""),"",D42*(1-E42))</f>
        <v>4104226199320.05</v>
      </c>
      <c r="P42" s="35" t="n">
        <f aca="false">IF(OR(H42="",D42=""),"",IF(D42&lt;=0,"",(H42+N(I42))/D42))</f>
        <v>0.137386358739743</v>
      </c>
      <c r="Q42" s="35" t="n">
        <f aca="false">IF(OR(H42="",D42=""),"",IF(D42&lt;=0,"",H42/D42))</f>
        <v>0.0497523923599209</v>
      </c>
      <c r="R42" s="35" t="n">
        <f aca="false">IF(OR(A41&lt;&gt;A42,B42&lt;=ThamSo!$C$22,H42="",H41="",D42=""),"",IF(D42&lt;=0,"",(H42-H41)/D42))</f>
        <v>0.0171223695010507</v>
      </c>
      <c r="S42" s="36" t="str">
        <f aca="false">INDEX(HoSoDN!$H$5:$H$32,MATCH(A42,HoSoDN!$A$5:$A$32,0))</f>
        <v>FOB</v>
      </c>
      <c r="T42" s="36" t="str">
        <f aca="false">INDEX(HoSoDN!$I$5:$I$32,MATCH(A42,HoSoDN!$A$5:$A$32,0))</f>
        <v>Không</v>
      </c>
      <c r="U42" s="2" t="n">
        <f aca="false">IF(AND(S42="FOB",T42&lt;&gt;"Có",B42&gt;=ThamSo!$C$22,B42&lt;=ThamSo!$C$23,D42&lt;&gt;"",E42&lt;&gt;"",G42&lt;&gt;"",P42&lt;&gt;"",L42&lt;&gt;"",M42&lt;&gt;"",N42&lt;&gt;""),IF(D42&gt;=ThamSo!$C$11,1,0),0)</f>
        <v>1</v>
      </c>
      <c r="V42" s="2" t="str">
        <f aca="false">IF(D42="","",IF(D42&lt;=ThamSo!$C$12,"Nhỏ–vừa","Lớn"))</f>
        <v>Lớn</v>
      </c>
      <c r="W42" s="2" t="str">
        <f aca="false">IF(D42="","",IF(OR(D42&lt;=ThamSo!$C$13,F42&lt;=ThamSo!$C$14),"Có","Không"))</f>
        <v>Không</v>
      </c>
      <c r="X42" s="37" t="n">
        <f aca="false">IF(AND(T42&lt;&gt;"Có",M42&lt;&gt;"",D42&lt;&gt;""),IF(D42&gt;=ThamSo!$C$11,M42,""),"")</f>
        <v>69.36503665</v>
      </c>
      <c r="Y42" s="35" t="n">
        <f aca="false">IF(U42=1,P42,"")</f>
        <v>0.137386358739743</v>
      </c>
      <c r="Z42" s="35" t="str">
        <f aca="false">IF(AND(U42=1,V42="Nhỏ–vừa"),P42,"")</f>
        <v/>
      </c>
      <c r="AA42" s="35" t="n">
        <f aca="false">IF(AND(U42=1,V42="Lớn"),P42,"")</f>
        <v>0.137386358739743</v>
      </c>
      <c r="AB42" s="37" t="n">
        <f aca="false">IF(U42=1,L42,"")</f>
        <v>43.5658532</v>
      </c>
      <c r="AC42" s="37" t="str">
        <f aca="false">IF(AND(U42=1,V42="Nhỏ–vừa"),L42,"")</f>
        <v/>
      </c>
      <c r="AD42" s="37" t="n">
        <f aca="false">IF(AND(U42=1,V42="Lớn"),L42,"")</f>
        <v>43.5658532</v>
      </c>
      <c r="AE42" s="37" t="n">
        <f aca="false">IF(U42=1,M42,"")</f>
        <v>69.36503665</v>
      </c>
      <c r="AF42" s="37" t="str">
        <f aca="false">IF(AND(U42=1,V42="Nhỏ–vừa"),M42,"")</f>
        <v/>
      </c>
      <c r="AG42" s="37" t="n">
        <f aca="false">IF(AND(U42=1,V42="Lớn"),M42,"")</f>
        <v>69.36503665</v>
      </c>
      <c r="AH42" s="37" t="n">
        <f aca="false">IF(U42=1,N42,"")</f>
        <v>61.42468402</v>
      </c>
      <c r="AI42" s="37" t="str">
        <f aca="false">IF(AND(U42=1,V42="Nhỏ–vừa"),N42,"")</f>
        <v/>
      </c>
      <c r="AJ42" s="37" t="n">
        <f aca="false">IF(AND(U42=1,V42="Lớn"),N42,"")</f>
        <v>61.42468402</v>
      </c>
      <c r="AK42" s="35" t="n">
        <f aca="false">IF(U42=1,Q42,"")</f>
        <v>0.0497523923599209</v>
      </c>
      <c r="AL42" s="35" t="n">
        <f aca="false">IF(AND(U42=1,R42&lt;&gt;""),R42,"")</f>
        <v>0.0171223695010507</v>
      </c>
      <c r="AM42" s="2" t="str">
        <f aca="false">A42&amp;"-"&amp;B42</f>
        <v>M10-2024</v>
      </c>
    </row>
    <row r="43" customFormat="false" ht="15" hidden="false" customHeight="false" outlineLevel="0" collapsed="false">
      <c r="A43" s="30" t="s">
        <v>284</v>
      </c>
      <c r="B43" s="30" t="n">
        <v>2025</v>
      </c>
      <c r="C43" s="30" t="s">
        <v>361</v>
      </c>
      <c r="D43" s="31" t="n">
        <v>5010690065872</v>
      </c>
      <c r="E43" s="32" t="n">
        <v>0.10759367</v>
      </c>
      <c r="F43" s="31" t="n">
        <v>2746758529428</v>
      </c>
      <c r="G43" s="31" t="n">
        <v>2094088030559</v>
      </c>
      <c r="H43" s="31" t="n">
        <v>100898329570</v>
      </c>
      <c r="I43" s="31" t="n">
        <v>436534883081</v>
      </c>
      <c r="J43" s="31" t="n">
        <v>898040587496</v>
      </c>
      <c r="K43" s="31" t="n">
        <v>178970000887</v>
      </c>
      <c r="L43" s="33" t="n">
        <v>43.71211475</v>
      </c>
      <c r="M43" s="33" t="n">
        <v>69.53839775</v>
      </c>
      <c r="N43" s="33" t="n">
        <v>64.05639265</v>
      </c>
      <c r="O43" s="34" t="n">
        <f aca="false">IF(OR(D43="",E43=""),"",D43*(1-E43))</f>
        <v>4471571532452.29</v>
      </c>
      <c r="P43" s="35" t="n">
        <f aca="false">IF(OR(H43="",D43=""),"",IF(D43&lt;=0,"",(H43+N(I43))/D43))</f>
        <v>0.107257324956392</v>
      </c>
      <c r="Q43" s="35" t="n">
        <f aca="false">IF(OR(H43="",D43=""),"",IF(D43&lt;=0,"",H43/D43))</f>
        <v>0.0201366135689019</v>
      </c>
      <c r="R43" s="35" t="n">
        <f aca="false">IF(OR(A42&lt;&gt;A43,B43&lt;=ThamSo!$C$22,H43="",H42="",D43=""),"",IF(D43&lt;=0,"",(H43-H42)/D43))</f>
        <v>-0.0261356690187162</v>
      </c>
      <c r="S43" s="36" t="str">
        <f aca="false">INDEX(HoSoDN!$H$5:$H$32,MATCH(A43,HoSoDN!$A$5:$A$32,0))</f>
        <v>FOB</v>
      </c>
      <c r="T43" s="36" t="str">
        <f aca="false">INDEX(HoSoDN!$I$5:$I$32,MATCH(A43,HoSoDN!$A$5:$A$32,0))</f>
        <v>Không</v>
      </c>
      <c r="U43" s="2" t="n">
        <f aca="false">IF(AND(S43="FOB",T43&lt;&gt;"Có",B43&gt;=ThamSo!$C$22,B43&lt;=ThamSo!$C$23,D43&lt;&gt;"",E43&lt;&gt;"",G43&lt;&gt;"",P43&lt;&gt;"",L43&lt;&gt;"",M43&lt;&gt;"",N43&lt;&gt;""),IF(D43&gt;=ThamSo!$C$11,1,0),0)</f>
        <v>1</v>
      </c>
      <c r="V43" s="2" t="str">
        <f aca="false">IF(D43="","",IF(D43&lt;=ThamSo!$C$12,"Nhỏ–vừa","Lớn"))</f>
        <v>Lớn</v>
      </c>
      <c r="W43" s="2" t="str">
        <f aca="false">IF(D43="","",IF(OR(D43&lt;=ThamSo!$C$13,F43&lt;=ThamSo!$C$14),"Có","Không"))</f>
        <v>Không</v>
      </c>
      <c r="X43" s="37" t="n">
        <f aca="false">IF(AND(T43&lt;&gt;"Có",M43&lt;&gt;"",D43&lt;&gt;""),IF(D43&gt;=ThamSo!$C$11,M43,""),"")</f>
        <v>69.53839775</v>
      </c>
      <c r="Y43" s="35" t="n">
        <f aca="false">IF(U43=1,P43,"")</f>
        <v>0.107257324956392</v>
      </c>
      <c r="Z43" s="35" t="str">
        <f aca="false">IF(AND(U43=1,V43="Nhỏ–vừa"),P43,"")</f>
        <v/>
      </c>
      <c r="AA43" s="35" t="n">
        <f aca="false">IF(AND(U43=1,V43="Lớn"),P43,"")</f>
        <v>0.107257324956392</v>
      </c>
      <c r="AB43" s="37" t="n">
        <f aca="false">IF(U43=1,L43,"")</f>
        <v>43.71211475</v>
      </c>
      <c r="AC43" s="37" t="str">
        <f aca="false">IF(AND(U43=1,V43="Nhỏ–vừa"),L43,"")</f>
        <v/>
      </c>
      <c r="AD43" s="37" t="n">
        <f aca="false">IF(AND(U43=1,V43="Lớn"),L43,"")</f>
        <v>43.71211475</v>
      </c>
      <c r="AE43" s="37" t="n">
        <f aca="false">IF(U43=1,M43,"")</f>
        <v>69.53839775</v>
      </c>
      <c r="AF43" s="37" t="str">
        <f aca="false">IF(AND(U43=1,V43="Nhỏ–vừa"),M43,"")</f>
        <v/>
      </c>
      <c r="AG43" s="37" t="n">
        <f aca="false">IF(AND(U43=1,V43="Lớn"),M43,"")</f>
        <v>69.53839775</v>
      </c>
      <c r="AH43" s="37" t="n">
        <f aca="false">IF(U43=1,N43,"")</f>
        <v>64.05639265</v>
      </c>
      <c r="AI43" s="37" t="str">
        <f aca="false">IF(AND(U43=1,V43="Nhỏ–vừa"),N43,"")</f>
        <v/>
      </c>
      <c r="AJ43" s="37" t="n">
        <f aca="false">IF(AND(U43=1,V43="Lớn"),N43,"")</f>
        <v>64.05639265</v>
      </c>
      <c r="AK43" s="35" t="n">
        <f aca="false">IF(U43=1,Q43,"")</f>
        <v>0.0201366135689019</v>
      </c>
      <c r="AL43" s="35" t="n">
        <f aca="false">IF(AND(U43=1,R43&lt;&gt;""),R43,"")</f>
        <v>-0.0261356690187162</v>
      </c>
      <c r="AM43" s="2" t="str">
        <f aca="false">A43&amp;"-"&amp;B43</f>
        <v>M10-2025</v>
      </c>
    </row>
    <row r="44" customFormat="false" ht="15" hidden="false" customHeight="false" outlineLevel="0" collapsed="false">
      <c r="A44" s="30" t="s">
        <v>286</v>
      </c>
      <c r="B44" s="30" t="n">
        <v>2023</v>
      </c>
      <c r="C44" s="30" t="s">
        <v>361</v>
      </c>
      <c r="D44" s="31" t="n">
        <v>1765089962849</v>
      </c>
      <c r="E44" s="32" t="n">
        <v>0.1214041</v>
      </c>
      <c r="F44" s="31" t="n">
        <v>921923854508</v>
      </c>
      <c r="G44" s="31" t="n">
        <v>757114007971</v>
      </c>
      <c r="H44" s="31" t="n">
        <v>266782119568</v>
      </c>
      <c r="I44" s="31" t="n">
        <v>20000000000</v>
      </c>
      <c r="J44" s="31" t="n">
        <v>24725888968</v>
      </c>
      <c r="K44" s="31" t="n">
        <v>23166200405</v>
      </c>
      <c r="L44" s="33" t="n">
        <v>53.63166646</v>
      </c>
      <c r="M44" s="33" t="n">
        <v>23.2849121</v>
      </c>
      <c r="N44" s="33" t="n">
        <v>87.77164799</v>
      </c>
      <c r="O44" s="34" t="n">
        <f aca="false">IF(OR(D44="",E44=""),"",D44*(1-E44))</f>
        <v>1550800804490.28</v>
      </c>
      <c r="P44" s="35" t="n">
        <f aca="false">IF(OR(H44="",D44=""),"",IF(D44&lt;=0,"",(H44+N(I44))/D44))</f>
        <v>0.162474505891535</v>
      </c>
      <c r="Q44" s="35" t="n">
        <f aca="false">IF(OR(H44="",D44=""),"",IF(D44&lt;=0,"",H44/D44))</f>
        <v>0.15114363867176</v>
      </c>
      <c r="R44" s="35" t="str">
        <f aca="false">IF(OR(A43&lt;&gt;A44,B44&lt;=ThamSo!$C$22,H44="",H43="",D44=""),"",IF(D44&lt;=0,"",(H44-H43)/D44))</f>
        <v/>
      </c>
      <c r="S44" s="36" t="str">
        <f aca="false">INDEX(HoSoDN!$H$5:$H$32,MATCH(A44,HoSoDN!$A$5:$A$32,0))</f>
        <v>FOB</v>
      </c>
      <c r="T44" s="36" t="str">
        <f aca="false">INDEX(HoSoDN!$I$5:$I$32,MATCH(A44,HoSoDN!$A$5:$A$32,0))</f>
        <v>Không</v>
      </c>
      <c r="U44" s="2" t="n">
        <f aca="false">IF(AND(S44="FOB",T44&lt;&gt;"Có",B44&gt;=ThamSo!$C$22,B44&lt;=ThamSo!$C$23,D44&lt;&gt;"",E44&lt;&gt;"",G44&lt;&gt;"",P44&lt;&gt;"",L44&lt;&gt;"",M44&lt;&gt;"",N44&lt;&gt;""),IF(D44&gt;=ThamSo!$C$11,1,0),0)</f>
        <v>1</v>
      </c>
      <c r="V44" s="2" t="str">
        <f aca="false">IF(D44="","",IF(D44&lt;=ThamSo!$C$12,"Nhỏ–vừa","Lớn"))</f>
        <v>Lớn</v>
      </c>
      <c r="W44" s="2" t="str">
        <f aca="false">IF(D44="","",IF(OR(D44&lt;=ThamSo!$C$13,F44&lt;=ThamSo!$C$14),"Có","Không"))</f>
        <v>Không</v>
      </c>
      <c r="X44" s="37" t="n">
        <f aca="false">IF(AND(T44&lt;&gt;"Có",M44&lt;&gt;"",D44&lt;&gt;""),IF(D44&gt;=ThamSo!$C$11,M44,""),"")</f>
        <v>23.2849121</v>
      </c>
      <c r="Y44" s="35" t="n">
        <f aca="false">IF(U44=1,P44,"")</f>
        <v>0.162474505891535</v>
      </c>
      <c r="Z44" s="35" t="str">
        <f aca="false">IF(AND(U44=1,V44="Nhỏ–vừa"),P44,"")</f>
        <v/>
      </c>
      <c r="AA44" s="35" t="n">
        <f aca="false">IF(AND(U44=1,V44="Lớn"),P44,"")</f>
        <v>0.162474505891535</v>
      </c>
      <c r="AB44" s="37" t="n">
        <f aca="false">IF(U44=1,L44,"")</f>
        <v>53.63166646</v>
      </c>
      <c r="AC44" s="37" t="str">
        <f aca="false">IF(AND(U44=1,V44="Nhỏ–vừa"),L44,"")</f>
        <v/>
      </c>
      <c r="AD44" s="37" t="n">
        <f aca="false">IF(AND(U44=1,V44="Lớn"),L44,"")</f>
        <v>53.63166646</v>
      </c>
      <c r="AE44" s="37" t="n">
        <f aca="false">IF(U44=1,M44,"")</f>
        <v>23.2849121</v>
      </c>
      <c r="AF44" s="37" t="str">
        <f aca="false">IF(AND(U44=1,V44="Nhỏ–vừa"),M44,"")</f>
        <v/>
      </c>
      <c r="AG44" s="37" t="n">
        <f aca="false">IF(AND(U44=1,V44="Lớn"),M44,"")</f>
        <v>23.2849121</v>
      </c>
      <c r="AH44" s="37" t="n">
        <f aca="false">IF(U44=1,N44,"")</f>
        <v>87.77164799</v>
      </c>
      <c r="AI44" s="37" t="str">
        <f aca="false">IF(AND(U44=1,V44="Nhỏ–vừa"),N44,"")</f>
        <v/>
      </c>
      <c r="AJ44" s="37" t="n">
        <f aca="false">IF(AND(U44=1,V44="Lớn"),N44,"")</f>
        <v>87.77164799</v>
      </c>
      <c r="AK44" s="35" t="n">
        <f aca="false">IF(U44=1,Q44,"")</f>
        <v>0.15114363867176</v>
      </c>
      <c r="AL44" s="35" t="str">
        <f aca="false">IF(AND(U44=1,R44&lt;&gt;""),R44,"")</f>
        <v/>
      </c>
      <c r="AM44" s="2" t="str">
        <f aca="false">A44&amp;"-"&amp;B44</f>
        <v>MGG-2023</v>
      </c>
    </row>
    <row r="45" customFormat="false" ht="15" hidden="false" customHeight="false" outlineLevel="0" collapsed="false">
      <c r="A45" s="30" t="s">
        <v>286</v>
      </c>
      <c r="B45" s="30" t="n">
        <v>2024</v>
      </c>
      <c r="C45" s="30" t="s">
        <v>361</v>
      </c>
      <c r="D45" s="31" t="n">
        <v>1534124294505</v>
      </c>
      <c r="E45" s="32" t="n">
        <v>0.13661554</v>
      </c>
      <c r="F45" s="31" t="n">
        <v>966126564134</v>
      </c>
      <c r="G45" s="31" t="n">
        <v>794042884511</v>
      </c>
      <c r="H45" s="31" t="n">
        <v>198259182140</v>
      </c>
      <c r="I45" s="31" t="n">
        <v>20000000000</v>
      </c>
      <c r="J45" s="31" t="n">
        <v>120170589391</v>
      </c>
      <c r="K45" s="31" t="n">
        <v>26481680644</v>
      </c>
      <c r="L45" s="33" t="n">
        <v>62.00699765</v>
      </c>
      <c r="M45" s="33" t="n">
        <v>19.96607912</v>
      </c>
      <c r="N45" s="33" t="n">
        <v>110.1532872</v>
      </c>
      <c r="O45" s="34" t="n">
        <f aca="false">IF(OR(D45="",E45=""),"",D45*(1-E45))</f>
        <v>1324539075584.08</v>
      </c>
      <c r="P45" s="35" t="n">
        <f aca="false">IF(OR(H45="",D45=""),"",IF(D45&lt;=0,"",(H45+N(I45))/D45))</f>
        <v>0.142269555942612</v>
      </c>
      <c r="Q45" s="35" t="n">
        <f aca="false">IF(OR(H45="",D45=""),"",IF(D45&lt;=0,"",H45/D45))</f>
        <v>0.129232802615886</v>
      </c>
      <c r="R45" s="35" t="n">
        <f aca="false">IF(OR(A44&lt;&gt;A45,B45&lt;=ThamSo!$C$22,H45="",H44="",D45=""),"",IF(D45&lt;=0,"",(H45-H44)/D45))</f>
        <v>-0.0446658316235775</v>
      </c>
      <c r="S45" s="36" t="str">
        <f aca="false">INDEX(HoSoDN!$H$5:$H$32,MATCH(A45,HoSoDN!$A$5:$A$32,0))</f>
        <v>FOB</v>
      </c>
      <c r="T45" s="36" t="str">
        <f aca="false">INDEX(HoSoDN!$I$5:$I$32,MATCH(A45,HoSoDN!$A$5:$A$32,0))</f>
        <v>Không</v>
      </c>
      <c r="U45" s="2" t="n">
        <f aca="false">IF(AND(S45="FOB",T45&lt;&gt;"Có",B45&gt;=ThamSo!$C$22,B45&lt;=ThamSo!$C$23,D45&lt;&gt;"",E45&lt;&gt;"",G45&lt;&gt;"",P45&lt;&gt;"",L45&lt;&gt;"",M45&lt;&gt;"",N45&lt;&gt;""),IF(D45&gt;=ThamSo!$C$11,1,0),0)</f>
        <v>1</v>
      </c>
      <c r="V45" s="2" t="str">
        <f aca="false">IF(D45="","",IF(D45&lt;=ThamSo!$C$12,"Nhỏ–vừa","Lớn"))</f>
        <v>Lớn</v>
      </c>
      <c r="W45" s="2" t="str">
        <f aca="false">IF(D45="","",IF(OR(D45&lt;=ThamSo!$C$13,F45&lt;=ThamSo!$C$14),"Có","Không"))</f>
        <v>Không</v>
      </c>
      <c r="X45" s="37" t="n">
        <f aca="false">IF(AND(T45&lt;&gt;"Có",M45&lt;&gt;"",D45&lt;&gt;""),IF(D45&gt;=ThamSo!$C$11,M45,""),"")</f>
        <v>19.96607912</v>
      </c>
      <c r="Y45" s="35" t="n">
        <f aca="false">IF(U45=1,P45,"")</f>
        <v>0.142269555942612</v>
      </c>
      <c r="Z45" s="35" t="str">
        <f aca="false">IF(AND(U45=1,V45="Nhỏ–vừa"),P45,"")</f>
        <v/>
      </c>
      <c r="AA45" s="35" t="n">
        <f aca="false">IF(AND(U45=1,V45="Lớn"),P45,"")</f>
        <v>0.142269555942612</v>
      </c>
      <c r="AB45" s="37" t="n">
        <f aca="false">IF(U45=1,L45,"")</f>
        <v>62.00699765</v>
      </c>
      <c r="AC45" s="37" t="str">
        <f aca="false">IF(AND(U45=1,V45="Nhỏ–vừa"),L45,"")</f>
        <v/>
      </c>
      <c r="AD45" s="37" t="n">
        <f aca="false">IF(AND(U45=1,V45="Lớn"),L45,"")</f>
        <v>62.00699765</v>
      </c>
      <c r="AE45" s="37" t="n">
        <f aca="false">IF(U45=1,M45,"")</f>
        <v>19.96607912</v>
      </c>
      <c r="AF45" s="37" t="str">
        <f aca="false">IF(AND(U45=1,V45="Nhỏ–vừa"),M45,"")</f>
        <v/>
      </c>
      <c r="AG45" s="37" t="n">
        <f aca="false">IF(AND(U45=1,V45="Lớn"),M45,"")</f>
        <v>19.96607912</v>
      </c>
      <c r="AH45" s="37" t="n">
        <f aca="false">IF(U45=1,N45,"")</f>
        <v>110.1532872</v>
      </c>
      <c r="AI45" s="37" t="str">
        <f aca="false">IF(AND(U45=1,V45="Nhỏ–vừa"),N45,"")</f>
        <v/>
      </c>
      <c r="AJ45" s="37" t="n">
        <f aca="false">IF(AND(U45=1,V45="Lớn"),N45,"")</f>
        <v>110.1532872</v>
      </c>
      <c r="AK45" s="35" t="n">
        <f aca="false">IF(U45=1,Q45,"")</f>
        <v>0.129232802615886</v>
      </c>
      <c r="AL45" s="35" t="n">
        <f aca="false">IF(AND(U45=1,R45&lt;&gt;""),R45,"")</f>
        <v>-0.0446658316235775</v>
      </c>
      <c r="AM45" s="2" t="str">
        <f aca="false">A45&amp;"-"&amp;B45</f>
        <v>MGG-2024</v>
      </c>
    </row>
    <row r="46" customFormat="false" ht="15" hidden="false" customHeight="false" outlineLevel="0" collapsed="false">
      <c r="A46" s="30" t="s">
        <v>286</v>
      </c>
      <c r="B46" s="30" t="n">
        <v>2025</v>
      </c>
      <c r="C46" s="30" t="s">
        <v>361</v>
      </c>
      <c r="D46" s="31" t="n">
        <v>1660788747801</v>
      </c>
      <c r="E46" s="32" t="n">
        <v>0.13997702</v>
      </c>
      <c r="F46" s="31" t="n">
        <v>872930893141</v>
      </c>
      <c r="G46" s="31" t="n">
        <v>709964550439</v>
      </c>
      <c r="H46" s="31" t="n">
        <v>282379183462</v>
      </c>
      <c r="I46" s="31" t="n">
        <v>50000000000</v>
      </c>
      <c r="J46" s="31" t="n">
        <v>69688045100</v>
      </c>
      <c r="K46" s="31" t="n">
        <v>31807141751</v>
      </c>
      <c r="L46" s="33" t="n">
        <v>54.73756874</v>
      </c>
      <c r="M46" s="33" t="n">
        <v>24.46245626</v>
      </c>
      <c r="N46" s="33" t="n">
        <v>100.84165651</v>
      </c>
      <c r="O46" s="34" t="n">
        <f aca="false">IF(OR(D46="",E46=""),"",D46*(1-E46))</f>
        <v>1428316488034.28</v>
      </c>
      <c r="P46" s="35" t="n">
        <f aca="false">IF(OR(H46="",D46=""),"",IF(D46&lt;=0,"",(H46+N(I46))/D46))</f>
        <v>0.200133330564825</v>
      </c>
      <c r="Q46" s="35" t="n">
        <f aca="false">IF(OR(H46="",D46=""),"",IF(D46&lt;=0,"",H46/D46))</f>
        <v>0.170027153565371</v>
      </c>
      <c r="R46" s="35" t="n">
        <f aca="false">IF(OR(A45&lt;&gt;A46,B46&lt;=ThamSo!$C$22,H46="",H45="",D46=""),"",IF(D46&lt;=0,"",(H46-H45)/D46))</f>
        <v>0.0506506329798903</v>
      </c>
      <c r="S46" s="36" t="str">
        <f aca="false">INDEX(HoSoDN!$H$5:$H$32,MATCH(A46,HoSoDN!$A$5:$A$32,0))</f>
        <v>FOB</v>
      </c>
      <c r="T46" s="36" t="str">
        <f aca="false">INDEX(HoSoDN!$I$5:$I$32,MATCH(A46,HoSoDN!$A$5:$A$32,0))</f>
        <v>Không</v>
      </c>
      <c r="U46" s="2" t="n">
        <f aca="false">IF(AND(S46="FOB",T46&lt;&gt;"Có",B46&gt;=ThamSo!$C$22,B46&lt;=ThamSo!$C$23,D46&lt;&gt;"",E46&lt;&gt;"",G46&lt;&gt;"",P46&lt;&gt;"",L46&lt;&gt;"",M46&lt;&gt;"",N46&lt;&gt;""),IF(D46&gt;=ThamSo!$C$11,1,0),0)</f>
        <v>1</v>
      </c>
      <c r="V46" s="2" t="str">
        <f aca="false">IF(D46="","",IF(D46&lt;=ThamSo!$C$12,"Nhỏ–vừa","Lớn"))</f>
        <v>Lớn</v>
      </c>
      <c r="W46" s="2" t="str">
        <f aca="false">IF(D46="","",IF(OR(D46&lt;=ThamSo!$C$13,F46&lt;=ThamSo!$C$14),"Có","Không"))</f>
        <v>Không</v>
      </c>
      <c r="X46" s="37" t="n">
        <f aca="false">IF(AND(T46&lt;&gt;"Có",M46&lt;&gt;"",D46&lt;&gt;""),IF(D46&gt;=ThamSo!$C$11,M46,""),"")</f>
        <v>24.46245626</v>
      </c>
      <c r="Y46" s="35" t="n">
        <f aca="false">IF(U46=1,P46,"")</f>
        <v>0.200133330564825</v>
      </c>
      <c r="Z46" s="35" t="str">
        <f aca="false">IF(AND(U46=1,V46="Nhỏ–vừa"),P46,"")</f>
        <v/>
      </c>
      <c r="AA46" s="35" t="n">
        <f aca="false">IF(AND(U46=1,V46="Lớn"),P46,"")</f>
        <v>0.200133330564825</v>
      </c>
      <c r="AB46" s="37" t="n">
        <f aca="false">IF(U46=1,L46,"")</f>
        <v>54.73756874</v>
      </c>
      <c r="AC46" s="37" t="str">
        <f aca="false">IF(AND(U46=1,V46="Nhỏ–vừa"),L46,"")</f>
        <v/>
      </c>
      <c r="AD46" s="37" t="n">
        <f aca="false">IF(AND(U46=1,V46="Lớn"),L46,"")</f>
        <v>54.73756874</v>
      </c>
      <c r="AE46" s="37" t="n">
        <f aca="false">IF(U46=1,M46,"")</f>
        <v>24.46245626</v>
      </c>
      <c r="AF46" s="37" t="str">
        <f aca="false">IF(AND(U46=1,V46="Nhỏ–vừa"),M46,"")</f>
        <v/>
      </c>
      <c r="AG46" s="37" t="n">
        <f aca="false">IF(AND(U46=1,V46="Lớn"),M46,"")</f>
        <v>24.46245626</v>
      </c>
      <c r="AH46" s="37" t="n">
        <f aca="false">IF(U46=1,N46,"")</f>
        <v>100.84165651</v>
      </c>
      <c r="AI46" s="37" t="str">
        <f aca="false">IF(AND(U46=1,V46="Nhỏ–vừa"),N46,"")</f>
        <v/>
      </c>
      <c r="AJ46" s="37" t="n">
        <f aca="false">IF(AND(U46=1,V46="Lớn"),N46,"")</f>
        <v>100.84165651</v>
      </c>
      <c r="AK46" s="35" t="n">
        <f aca="false">IF(U46=1,Q46,"")</f>
        <v>0.170027153565371</v>
      </c>
      <c r="AL46" s="35" t="n">
        <f aca="false">IF(AND(U46=1,R46&lt;&gt;""),R46,"")</f>
        <v>0.0506506329798903</v>
      </c>
      <c r="AM46" s="2" t="str">
        <f aca="false">A46&amp;"-"&amp;B46</f>
        <v>MGG-2025</v>
      </c>
    </row>
    <row r="47" customFormat="false" ht="15" hidden="false" customHeight="false" outlineLevel="0" collapsed="false">
      <c r="A47" s="30" t="s">
        <v>288</v>
      </c>
      <c r="B47" s="30" t="n">
        <v>2023</v>
      </c>
      <c r="C47" s="30" t="s">
        <v>361</v>
      </c>
      <c r="D47" s="31" t="n">
        <v>3751918453654</v>
      </c>
      <c r="E47" s="32" t="n">
        <v>0.17273296</v>
      </c>
      <c r="F47" s="31" t="n">
        <v>2707242640841</v>
      </c>
      <c r="G47" s="31" t="n">
        <v>1936266435552</v>
      </c>
      <c r="H47" s="31" t="n">
        <v>281033831691</v>
      </c>
      <c r="I47" s="31" t="n">
        <v>118509584894</v>
      </c>
      <c r="J47" s="31" t="n">
        <v>694433806655</v>
      </c>
      <c r="K47" s="31" t="n">
        <v>31742188607</v>
      </c>
      <c r="L47" s="33" t="n">
        <v>61.3786369</v>
      </c>
      <c r="M47" s="33" t="n">
        <v>85.81084747</v>
      </c>
      <c r="N47" s="33" t="n">
        <v>30.4567722</v>
      </c>
      <c r="O47" s="34" t="n">
        <f aca="false">IF(OR(D47="",E47=""),"",D47*(1-E47))</f>
        <v>3103838473475.72</v>
      </c>
      <c r="P47" s="35" t="n">
        <f aca="false">IF(OR(H47="",D47=""),"",IF(D47&lt;=0,"",(H47+N(I47))/D47))</f>
        <v>0.106490431900481</v>
      </c>
      <c r="Q47" s="35" t="n">
        <f aca="false">IF(OR(H47="",D47=""),"",IF(D47&lt;=0,"",H47/D47))</f>
        <v>0.0749040351389569</v>
      </c>
      <c r="R47" s="35" t="str">
        <f aca="false">IF(OR(A46&lt;&gt;A47,B47&lt;=ThamSo!$C$22,H47="",H46="",D47=""),"",IF(D47&lt;=0,"",(H47-H46)/D47))</f>
        <v/>
      </c>
      <c r="S47" s="36" t="str">
        <f aca="false">INDEX(HoSoDN!$H$5:$H$32,MATCH(A47,HoSoDN!$A$5:$A$32,0))</f>
        <v>FOB</v>
      </c>
      <c r="T47" s="36" t="str">
        <f aca="false">INDEX(HoSoDN!$I$5:$I$32,MATCH(A47,HoSoDN!$A$5:$A$32,0))</f>
        <v>Không</v>
      </c>
      <c r="U47" s="2" t="n">
        <f aca="false">IF(AND(S47="FOB",T47&lt;&gt;"Có",B47&gt;=ThamSo!$C$22,B47&lt;=ThamSo!$C$23,D47&lt;&gt;"",E47&lt;&gt;"",G47&lt;&gt;"",P47&lt;&gt;"",L47&lt;&gt;"",M47&lt;&gt;"",N47&lt;&gt;""),IF(D47&gt;=ThamSo!$C$11,1,0),0)</f>
        <v>1</v>
      </c>
      <c r="V47" s="2" t="str">
        <f aca="false">IF(D47="","",IF(D47&lt;=ThamSo!$C$12,"Nhỏ–vừa","Lớn"))</f>
        <v>Lớn</v>
      </c>
      <c r="W47" s="2" t="str">
        <f aca="false">IF(D47="","",IF(OR(D47&lt;=ThamSo!$C$13,F47&lt;=ThamSo!$C$14),"Có","Không"))</f>
        <v>Không</v>
      </c>
      <c r="X47" s="37" t="n">
        <f aca="false">IF(AND(T47&lt;&gt;"Có",M47&lt;&gt;"",D47&lt;&gt;""),IF(D47&gt;=ThamSo!$C$11,M47,""),"")</f>
        <v>85.81084747</v>
      </c>
      <c r="Y47" s="35" t="n">
        <f aca="false">IF(U47=1,P47,"")</f>
        <v>0.106490431900481</v>
      </c>
      <c r="Z47" s="35" t="str">
        <f aca="false">IF(AND(U47=1,V47="Nhỏ–vừa"),P47,"")</f>
        <v/>
      </c>
      <c r="AA47" s="35" t="n">
        <f aca="false">IF(AND(U47=1,V47="Lớn"),P47,"")</f>
        <v>0.106490431900481</v>
      </c>
      <c r="AB47" s="37" t="n">
        <f aca="false">IF(U47=1,L47,"")</f>
        <v>61.3786369</v>
      </c>
      <c r="AC47" s="37" t="str">
        <f aca="false">IF(AND(U47=1,V47="Nhỏ–vừa"),L47,"")</f>
        <v/>
      </c>
      <c r="AD47" s="37" t="n">
        <f aca="false">IF(AND(U47=1,V47="Lớn"),L47,"")</f>
        <v>61.3786369</v>
      </c>
      <c r="AE47" s="37" t="n">
        <f aca="false">IF(U47=1,M47,"")</f>
        <v>85.81084747</v>
      </c>
      <c r="AF47" s="37" t="str">
        <f aca="false">IF(AND(U47=1,V47="Nhỏ–vừa"),M47,"")</f>
        <v/>
      </c>
      <c r="AG47" s="37" t="n">
        <f aca="false">IF(AND(U47=1,V47="Lớn"),M47,"")</f>
        <v>85.81084747</v>
      </c>
      <c r="AH47" s="37" t="n">
        <f aca="false">IF(U47=1,N47,"")</f>
        <v>30.4567722</v>
      </c>
      <c r="AI47" s="37" t="str">
        <f aca="false">IF(AND(U47=1,V47="Nhỏ–vừa"),N47,"")</f>
        <v/>
      </c>
      <c r="AJ47" s="37" t="n">
        <f aca="false">IF(AND(U47=1,V47="Lớn"),N47,"")</f>
        <v>30.4567722</v>
      </c>
      <c r="AK47" s="35" t="n">
        <f aca="false">IF(U47=1,Q47,"")</f>
        <v>0.0749040351389569</v>
      </c>
      <c r="AL47" s="35" t="str">
        <f aca="false">IF(AND(U47=1,R47&lt;&gt;""),R47,"")</f>
        <v/>
      </c>
      <c r="AM47" s="2" t="str">
        <f aca="false">A47&amp;"-"&amp;B47</f>
        <v>MNB-2023</v>
      </c>
    </row>
    <row r="48" customFormat="false" ht="15" hidden="false" customHeight="false" outlineLevel="0" collapsed="false">
      <c r="A48" s="30" t="s">
        <v>288</v>
      </c>
      <c r="B48" s="30" t="n">
        <v>2024</v>
      </c>
      <c r="C48" s="30" t="s">
        <v>361</v>
      </c>
      <c r="D48" s="31" t="n">
        <v>4637372808954</v>
      </c>
      <c r="E48" s="32" t="n">
        <v>0.18717179</v>
      </c>
      <c r="F48" s="31" t="n">
        <v>3096388018926</v>
      </c>
      <c r="G48" s="31" t="n">
        <v>2311878047117</v>
      </c>
      <c r="H48" s="31" t="n">
        <v>337374653162</v>
      </c>
      <c r="I48" s="31" t="n">
        <v>105290613569</v>
      </c>
      <c r="J48" s="31" t="n">
        <v>690838681789</v>
      </c>
      <c r="K48" s="31" t="n">
        <v>90996229365</v>
      </c>
      <c r="L48" s="33" t="n">
        <v>60.15672121</v>
      </c>
      <c r="M48" s="33" t="n">
        <v>67.29453848</v>
      </c>
      <c r="N48" s="33" t="n">
        <v>23.19799202</v>
      </c>
      <c r="O48" s="34" t="n">
        <f aca="false">IF(OR(D48="",E48=""),"",D48*(1-E48))</f>
        <v>3769387439404.75</v>
      </c>
      <c r="P48" s="35" t="n">
        <f aca="false">IF(OR(H48="",D48=""),"",IF(D48&lt;=0,"",(H48+N(I48))/D48))</f>
        <v>0.0954560448269948</v>
      </c>
      <c r="Q48" s="35" t="n">
        <f aca="false">IF(OR(H48="",D48=""),"",IF(D48&lt;=0,"",H48/D48))</f>
        <v>0.0727512466779866</v>
      </c>
      <c r="R48" s="35" t="n">
        <f aca="false">IF(OR(A47&lt;&gt;A48,B48&lt;=ThamSo!$C$22,H48="",H47="",D48=""),"",IF(D48&lt;=0,"",(H48-H47)/D48))</f>
        <v>0.0121492974130126</v>
      </c>
      <c r="S48" s="36" t="str">
        <f aca="false">INDEX(HoSoDN!$H$5:$H$32,MATCH(A48,HoSoDN!$A$5:$A$32,0))</f>
        <v>FOB</v>
      </c>
      <c r="T48" s="36" t="str">
        <f aca="false">INDEX(HoSoDN!$I$5:$I$32,MATCH(A48,HoSoDN!$A$5:$A$32,0))</f>
        <v>Không</v>
      </c>
      <c r="U48" s="2" t="n">
        <f aca="false">IF(AND(S48="FOB",T48&lt;&gt;"Có",B48&gt;=ThamSo!$C$22,B48&lt;=ThamSo!$C$23,D48&lt;&gt;"",E48&lt;&gt;"",G48&lt;&gt;"",P48&lt;&gt;"",L48&lt;&gt;"",M48&lt;&gt;"",N48&lt;&gt;""),IF(D48&gt;=ThamSo!$C$11,1,0),0)</f>
        <v>1</v>
      </c>
      <c r="V48" s="2" t="str">
        <f aca="false">IF(D48="","",IF(D48&lt;=ThamSo!$C$12,"Nhỏ–vừa","Lớn"))</f>
        <v>Lớn</v>
      </c>
      <c r="W48" s="2" t="str">
        <f aca="false">IF(D48="","",IF(OR(D48&lt;=ThamSo!$C$13,F48&lt;=ThamSo!$C$14),"Có","Không"))</f>
        <v>Không</v>
      </c>
      <c r="X48" s="37" t="n">
        <f aca="false">IF(AND(T48&lt;&gt;"Có",M48&lt;&gt;"",D48&lt;&gt;""),IF(D48&gt;=ThamSo!$C$11,M48,""),"")</f>
        <v>67.29453848</v>
      </c>
      <c r="Y48" s="35" t="n">
        <f aca="false">IF(U48=1,P48,"")</f>
        <v>0.0954560448269948</v>
      </c>
      <c r="Z48" s="35" t="str">
        <f aca="false">IF(AND(U48=1,V48="Nhỏ–vừa"),P48,"")</f>
        <v/>
      </c>
      <c r="AA48" s="35" t="n">
        <f aca="false">IF(AND(U48=1,V48="Lớn"),P48,"")</f>
        <v>0.0954560448269948</v>
      </c>
      <c r="AB48" s="37" t="n">
        <f aca="false">IF(U48=1,L48,"")</f>
        <v>60.15672121</v>
      </c>
      <c r="AC48" s="37" t="str">
        <f aca="false">IF(AND(U48=1,V48="Nhỏ–vừa"),L48,"")</f>
        <v/>
      </c>
      <c r="AD48" s="37" t="n">
        <f aca="false">IF(AND(U48=1,V48="Lớn"),L48,"")</f>
        <v>60.15672121</v>
      </c>
      <c r="AE48" s="37" t="n">
        <f aca="false">IF(U48=1,M48,"")</f>
        <v>67.29453848</v>
      </c>
      <c r="AF48" s="37" t="str">
        <f aca="false">IF(AND(U48=1,V48="Nhỏ–vừa"),M48,"")</f>
        <v/>
      </c>
      <c r="AG48" s="37" t="n">
        <f aca="false">IF(AND(U48=1,V48="Lớn"),M48,"")</f>
        <v>67.29453848</v>
      </c>
      <c r="AH48" s="37" t="n">
        <f aca="false">IF(U48=1,N48,"")</f>
        <v>23.19799202</v>
      </c>
      <c r="AI48" s="37" t="str">
        <f aca="false">IF(AND(U48=1,V48="Nhỏ–vừa"),N48,"")</f>
        <v/>
      </c>
      <c r="AJ48" s="37" t="n">
        <f aca="false">IF(AND(U48=1,V48="Lớn"),N48,"")</f>
        <v>23.19799202</v>
      </c>
      <c r="AK48" s="35" t="n">
        <f aca="false">IF(U48=1,Q48,"")</f>
        <v>0.0727512466779866</v>
      </c>
      <c r="AL48" s="35" t="n">
        <f aca="false">IF(AND(U48=1,R48&lt;&gt;""),R48,"")</f>
        <v>0.0121492974130126</v>
      </c>
      <c r="AM48" s="2" t="str">
        <f aca="false">A48&amp;"-"&amp;B48</f>
        <v>MNB-2024</v>
      </c>
    </row>
    <row r="49" customFormat="false" ht="15" hidden="false" customHeight="false" outlineLevel="0" collapsed="false">
      <c r="A49" s="30" t="s">
        <v>288</v>
      </c>
      <c r="B49" s="30" t="n">
        <v>2025</v>
      </c>
      <c r="C49" s="30" t="s">
        <v>361</v>
      </c>
      <c r="D49" s="31" t="n">
        <v>5249810552745</v>
      </c>
      <c r="E49" s="32" t="n">
        <v>0.18661124</v>
      </c>
      <c r="F49" s="31" t="n">
        <v>3451997999981</v>
      </c>
      <c r="G49" s="31" t="n">
        <v>2668413771619</v>
      </c>
      <c r="H49" s="31" t="n">
        <v>507882290593</v>
      </c>
      <c r="I49" s="31" t="n">
        <v>115186973261</v>
      </c>
      <c r="J49" s="31" t="n">
        <v>697698480176</v>
      </c>
      <c r="K49" s="31" t="n">
        <v>153881686164</v>
      </c>
      <c r="L49" s="33" t="n">
        <v>71.09773073</v>
      </c>
      <c r="M49" s="33" t="n">
        <v>59.78962883</v>
      </c>
      <c r="N49" s="33" t="n">
        <v>24.57389009</v>
      </c>
      <c r="O49" s="34" t="n">
        <f aca="false">IF(OR(D49="",E49=""),"",D49*(1-E49))</f>
        <v>4270136895732.17</v>
      </c>
      <c r="P49" s="35" t="n">
        <f aca="false">IF(OR(H49="",D49=""),"",IF(D49&lt;=0,"",(H49+N(I49))/D49))</f>
        <v>0.118684142521717</v>
      </c>
      <c r="Q49" s="35" t="n">
        <f aca="false">IF(OR(H49="",D49=""),"",IF(D49&lt;=0,"",H49/D49))</f>
        <v>0.0967429749112452</v>
      </c>
      <c r="R49" s="35" t="n">
        <f aca="false">IF(OR(A48&lt;&gt;A49,B49&lt;=ThamSo!$C$22,H49="",H48="",D49=""),"",IF(D49&lt;=0,"",(H49-H48)/D49))</f>
        <v>0.0324788172292895</v>
      </c>
      <c r="S49" s="36" t="str">
        <f aca="false">INDEX(HoSoDN!$H$5:$H$32,MATCH(A49,HoSoDN!$A$5:$A$32,0))</f>
        <v>FOB</v>
      </c>
      <c r="T49" s="36" t="str">
        <f aca="false">INDEX(HoSoDN!$I$5:$I$32,MATCH(A49,HoSoDN!$A$5:$A$32,0))</f>
        <v>Không</v>
      </c>
      <c r="U49" s="2" t="n">
        <f aca="false">IF(AND(S49="FOB",T49&lt;&gt;"Có",B49&gt;=ThamSo!$C$22,B49&lt;=ThamSo!$C$23,D49&lt;&gt;"",E49&lt;&gt;"",G49&lt;&gt;"",P49&lt;&gt;"",L49&lt;&gt;"",M49&lt;&gt;"",N49&lt;&gt;""),IF(D49&gt;=ThamSo!$C$11,1,0),0)</f>
        <v>1</v>
      </c>
      <c r="V49" s="2" t="str">
        <f aca="false">IF(D49="","",IF(D49&lt;=ThamSo!$C$12,"Nhỏ–vừa","Lớn"))</f>
        <v>Lớn</v>
      </c>
      <c r="W49" s="2" t="str">
        <f aca="false">IF(D49="","",IF(OR(D49&lt;=ThamSo!$C$13,F49&lt;=ThamSo!$C$14),"Có","Không"))</f>
        <v>Không</v>
      </c>
      <c r="X49" s="37" t="n">
        <f aca="false">IF(AND(T49&lt;&gt;"Có",M49&lt;&gt;"",D49&lt;&gt;""),IF(D49&gt;=ThamSo!$C$11,M49,""),"")</f>
        <v>59.78962883</v>
      </c>
      <c r="Y49" s="35" t="n">
        <f aca="false">IF(U49=1,P49,"")</f>
        <v>0.118684142521717</v>
      </c>
      <c r="Z49" s="35" t="str">
        <f aca="false">IF(AND(U49=1,V49="Nhỏ–vừa"),P49,"")</f>
        <v/>
      </c>
      <c r="AA49" s="35" t="n">
        <f aca="false">IF(AND(U49=1,V49="Lớn"),P49,"")</f>
        <v>0.118684142521717</v>
      </c>
      <c r="AB49" s="37" t="n">
        <f aca="false">IF(U49=1,L49,"")</f>
        <v>71.09773073</v>
      </c>
      <c r="AC49" s="37" t="str">
        <f aca="false">IF(AND(U49=1,V49="Nhỏ–vừa"),L49,"")</f>
        <v/>
      </c>
      <c r="AD49" s="37" t="n">
        <f aca="false">IF(AND(U49=1,V49="Lớn"),L49,"")</f>
        <v>71.09773073</v>
      </c>
      <c r="AE49" s="37" t="n">
        <f aca="false">IF(U49=1,M49,"")</f>
        <v>59.78962883</v>
      </c>
      <c r="AF49" s="37" t="str">
        <f aca="false">IF(AND(U49=1,V49="Nhỏ–vừa"),M49,"")</f>
        <v/>
      </c>
      <c r="AG49" s="37" t="n">
        <f aca="false">IF(AND(U49=1,V49="Lớn"),M49,"")</f>
        <v>59.78962883</v>
      </c>
      <c r="AH49" s="37" t="n">
        <f aca="false">IF(U49=1,N49,"")</f>
        <v>24.57389009</v>
      </c>
      <c r="AI49" s="37" t="str">
        <f aca="false">IF(AND(U49=1,V49="Nhỏ–vừa"),N49,"")</f>
        <v/>
      </c>
      <c r="AJ49" s="37" t="n">
        <f aca="false">IF(AND(U49=1,V49="Lớn"),N49,"")</f>
        <v>24.57389009</v>
      </c>
      <c r="AK49" s="35" t="n">
        <f aca="false">IF(U49=1,Q49,"")</f>
        <v>0.0967429749112452</v>
      </c>
      <c r="AL49" s="35" t="n">
        <f aca="false">IF(AND(U49=1,R49&lt;&gt;""),R49,"")</f>
        <v>0.0324788172292895</v>
      </c>
      <c r="AM49" s="2" t="str">
        <f aca="false">A49&amp;"-"&amp;B49</f>
        <v>MNB-2025</v>
      </c>
    </row>
    <row r="50" customFormat="false" ht="15" hidden="false" customHeight="false" outlineLevel="0" collapsed="false">
      <c r="A50" s="30" t="s">
        <v>290</v>
      </c>
      <c r="B50" s="30" t="n">
        <v>2023</v>
      </c>
      <c r="C50" s="30" t="s">
        <v>359</v>
      </c>
      <c r="D50" s="31" t="n">
        <v>0</v>
      </c>
      <c r="E50" s="32"/>
      <c r="F50" s="31" t="n">
        <v>196555589947</v>
      </c>
      <c r="G50" s="31" t="n">
        <v>184628385677</v>
      </c>
      <c r="H50" s="31" t="n">
        <v>53007887</v>
      </c>
      <c r="I50" s="31" t="n">
        <v>0</v>
      </c>
      <c r="J50" s="31" t="n">
        <v>36995516576</v>
      </c>
      <c r="K50" s="31" t="n">
        <v>-2543550575</v>
      </c>
      <c r="L50" s="33"/>
      <c r="M50" s="33"/>
      <c r="N50" s="33"/>
      <c r="O50" s="34" t="str">
        <f aca="false">IF(OR(D50="",E50=""),"",D50*(1-E50))</f>
        <v/>
      </c>
      <c r="P50" s="35" t="str">
        <f aca="false">IF(OR(H50="",D50=""),"",IF(D50&lt;=0,"",(H50+N(I50))/D50))</f>
        <v/>
      </c>
      <c r="Q50" s="35" t="str">
        <f aca="false">IF(OR(H50="",D50=""),"",IF(D50&lt;=0,"",H50/D50))</f>
        <v/>
      </c>
      <c r="R50" s="35" t="str">
        <f aca="false">IF(OR(A49&lt;&gt;A50,B50&lt;=ThamSo!$C$22,H50="",H49="",D50=""),"",IF(D50&lt;=0,"",(H50-H49)/D50))</f>
        <v/>
      </c>
      <c r="S50" s="36" t="str">
        <f aca="false">INDEX(HoSoDN!$H$5:$H$32,MATCH(A50,HoSoDN!$A$5:$A$32,0))</f>
        <v>Chưa rõ</v>
      </c>
      <c r="T50" s="36" t="str">
        <f aca="false">INDEX(HoSoDN!$I$5:$I$32,MATCH(A50,HoSoDN!$A$5:$A$32,0))</f>
        <v>Không</v>
      </c>
      <c r="U50" s="2" t="n">
        <f aca="false">IF(AND(S50="FOB",T50&lt;&gt;"Có",B50&gt;=ThamSo!$C$22,B50&lt;=ThamSo!$C$23,D50&lt;&gt;"",E50&lt;&gt;"",G50&lt;&gt;"",P50&lt;&gt;"",L50&lt;&gt;"",M50&lt;&gt;"",N50&lt;&gt;""),IF(D50&gt;=ThamSo!$C$11,1,0),0)</f>
        <v>0</v>
      </c>
      <c r="V50" s="2" t="str">
        <f aca="false">IF(D50="","",IF(D50&lt;=ThamSo!$C$12,"Nhỏ–vừa","Lớn"))</f>
        <v>Nhỏ–vừa</v>
      </c>
      <c r="W50" s="2" t="str">
        <f aca="false">IF(D50="","",IF(OR(D50&lt;=ThamSo!$C$13,F50&lt;=ThamSo!$C$14),"Có","Không"))</f>
        <v>Có</v>
      </c>
      <c r="X50" s="37" t="str">
        <f aca="false">IF(AND(T50&lt;&gt;"Có",M50&lt;&gt;"",D50&lt;&gt;""),IF(D50&gt;=ThamSo!$C$11,M50,""),"")</f>
        <v/>
      </c>
      <c r="Y50" s="35" t="str">
        <f aca="false">IF(U50=1,P50,"")</f>
        <v/>
      </c>
      <c r="Z50" s="35" t="str">
        <f aca="false">IF(AND(U50=1,V50="Nhỏ–vừa"),P50,"")</f>
        <v/>
      </c>
      <c r="AA50" s="35" t="str">
        <f aca="false">IF(AND(U50=1,V50="Lớn"),P50,"")</f>
        <v/>
      </c>
      <c r="AB50" s="37" t="str">
        <f aca="false">IF(U50=1,L50,"")</f>
        <v/>
      </c>
      <c r="AC50" s="37" t="str">
        <f aca="false">IF(AND(U50=1,V50="Nhỏ–vừa"),L50,"")</f>
        <v/>
      </c>
      <c r="AD50" s="37" t="str">
        <f aca="false">IF(AND(U50=1,V50="Lớn"),L50,"")</f>
        <v/>
      </c>
      <c r="AE50" s="37" t="str">
        <f aca="false">IF(U50=1,M50,"")</f>
        <v/>
      </c>
      <c r="AF50" s="37" t="str">
        <f aca="false">IF(AND(U50=1,V50="Nhỏ–vừa"),M50,"")</f>
        <v/>
      </c>
      <c r="AG50" s="37" t="str">
        <f aca="false">IF(AND(U50=1,V50="Lớn"),M50,"")</f>
        <v/>
      </c>
      <c r="AH50" s="37" t="str">
        <f aca="false">IF(U50=1,N50,"")</f>
        <v/>
      </c>
      <c r="AI50" s="37" t="str">
        <f aca="false">IF(AND(U50=1,V50="Nhỏ–vừa"),N50,"")</f>
        <v/>
      </c>
      <c r="AJ50" s="37" t="str">
        <f aca="false">IF(AND(U50=1,V50="Lớn"),N50,"")</f>
        <v/>
      </c>
      <c r="AK50" s="35" t="str">
        <f aca="false">IF(U50=1,Q50,"")</f>
        <v/>
      </c>
      <c r="AL50" s="35" t="str">
        <f aca="false">IF(AND(U50=1,R50&lt;&gt;""),R50,"")</f>
        <v/>
      </c>
      <c r="AM50" s="2" t="str">
        <f aca="false">A50&amp;"-"&amp;B50</f>
        <v>MPT-2023</v>
      </c>
    </row>
    <row r="51" customFormat="false" ht="15" hidden="false" customHeight="false" outlineLevel="0" collapsed="false">
      <c r="A51" s="30" t="s">
        <v>290</v>
      </c>
      <c r="B51" s="30" t="n">
        <v>2024</v>
      </c>
      <c r="C51" s="30" t="s">
        <v>359</v>
      </c>
      <c r="D51" s="31" t="n">
        <v>0</v>
      </c>
      <c r="E51" s="32"/>
      <c r="F51" s="31" t="n">
        <v>177584811910</v>
      </c>
      <c r="G51" s="31" t="n">
        <v>165767046455</v>
      </c>
      <c r="H51" s="31" t="n">
        <v>50144066</v>
      </c>
      <c r="I51" s="31" t="n">
        <v>0</v>
      </c>
      <c r="J51" s="31" t="n">
        <v>20288454566</v>
      </c>
      <c r="K51" s="31" t="n">
        <v>-17456621515</v>
      </c>
      <c r="L51" s="33"/>
      <c r="M51" s="33" t="n">
        <v>808.24285479</v>
      </c>
      <c r="N51" s="33" t="n">
        <v>175.69286261</v>
      </c>
      <c r="O51" s="34" t="str">
        <f aca="false">IF(OR(D51="",E51=""),"",D51*(1-E51))</f>
        <v/>
      </c>
      <c r="P51" s="35" t="str">
        <f aca="false">IF(OR(H51="",D51=""),"",IF(D51&lt;=0,"",(H51+N(I51))/D51))</f>
        <v/>
      </c>
      <c r="Q51" s="35" t="str">
        <f aca="false">IF(OR(H51="",D51=""),"",IF(D51&lt;=0,"",H51/D51))</f>
        <v/>
      </c>
      <c r="R51" s="35" t="str">
        <f aca="false">IF(OR(A50&lt;&gt;A51,B51&lt;=ThamSo!$C$22,H51="",H50="",D51=""),"",IF(D51&lt;=0,"",(H51-H50)/D51))</f>
        <v/>
      </c>
      <c r="S51" s="36" t="str">
        <f aca="false">INDEX(HoSoDN!$H$5:$H$32,MATCH(A51,HoSoDN!$A$5:$A$32,0))</f>
        <v>Chưa rõ</v>
      </c>
      <c r="T51" s="36" t="str">
        <f aca="false">INDEX(HoSoDN!$I$5:$I$32,MATCH(A51,HoSoDN!$A$5:$A$32,0))</f>
        <v>Không</v>
      </c>
      <c r="U51" s="2" t="n">
        <f aca="false">IF(AND(S51="FOB",T51&lt;&gt;"Có",B51&gt;=ThamSo!$C$22,B51&lt;=ThamSo!$C$23,D51&lt;&gt;"",E51&lt;&gt;"",G51&lt;&gt;"",P51&lt;&gt;"",L51&lt;&gt;"",M51&lt;&gt;"",N51&lt;&gt;""),IF(D51&gt;=ThamSo!$C$11,1,0),0)</f>
        <v>0</v>
      </c>
      <c r="V51" s="2" t="str">
        <f aca="false">IF(D51="","",IF(D51&lt;=ThamSo!$C$12,"Nhỏ–vừa","Lớn"))</f>
        <v>Nhỏ–vừa</v>
      </c>
      <c r="W51" s="2" t="str">
        <f aca="false">IF(D51="","",IF(OR(D51&lt;=ThamSo!$C$13,F51&lt;=ThamSo!$C$14),"Có","Không"))</f>
        <v>Có</v>
      </c>
      <c r="X51" s="37" t="str">
        <f aca="false">IF(AND(T51&lt;&gt;"Có",M51&lt;&gt;"",D51&lt;&gt;""),IF(D51&gt;=ThamSo!$C$11,M51,""),"")</f>
        <v/>
      </c>
      <c r="Y51" s="35" t="str">
        <f aca="false">IF(U51=1,P51,"")</f>
        <v/>
      </c>
      <c r="Z51" s="35" t="str">
        <f aca="false">IF(AND(U51=1,V51="Nhỏ–vừa"),P51,"")</f>
        <v/>
      </c>
      <c r="AA51" s="35" t="str">
        <f aca="false">IF(AND(U51=1,V51="Lớn"),P51,"")</f>
        <v/>
      </c>
      <c r="AB51" s="37" t="str">
        <f aca="false">IF(U51=1,L51,"")</f>
        <v/>
      </c>
      <c r="AC51" s="37" t="str">
        <f aca="false">IF(AND(U51=1,V51="Nhỏ–vừa"),L51,"")</f>
        <v/>
      </c>
      <c r="AD51" s="37" t="str">
        <f aca="false">IF(AND(U51=1,V51="Lớn"),L51,"")</f>
        <v/>
      </c>
      <c r="AE51" s="37" t="str">
        <f aca="false">IF(U51=1,M51,"")</f>
        <v/>
      </c>
      <c r="AF51" s="37" t="str">
        <f aca="false">IF(AND(U51=1,V51="Nhỏ–vừa"),M51,"")</f>
        <v/>
      </c>
      <c r="AG51" s="37" t="str">
        <f aca="false">IF(AND(U51=1,V51="Lớn"),M51,"")</f>
        <v/>
      </c>
      <c r="AH51" s="37" t="str">
        <f aca="false">IF(U51=1,N51,"")</f>
        <v/>
      </c>
      <c r="AI51" s="37" t="str">
        <f aca="false">IF(AND(U51=1,V51="Nhỏ–vừa"),N51,"")</f>
        <v/>
      </c>
      <c r="AJ51" s="37" t="str">
        <f aca="false">IF(AND(U51=1,V51="Lớn"),N51,"")</f>
        <v/>
      </c>
      <c r="AK51" s="35" t="str">
        <f aca="false">IF(U51=1,Q51,"")</f>
        <v/>
      </c>
      <c r="AL51" s="35" t="str">
        <f aca="false">IF(AND(U51=1,R51&lt;&gt;""),R51,"")</f>
        <v/>
      </c>
      <c r="AM51" s="2" t="str">
        <f aca="false">A51&amp;"-"&amp;B51</f>
        <v>MPT-2024</v>
      </c>
    </row>
    <row r="52" customFormat="false" ht="15" hidden="false" customHeight="false" outlineLevel="0" collapsed="false">
      <c r="A52" s="30" t="s">
        <v>290</v>
      </c>
      <c r="B52" s="30" t="n">
        <v>2025</v>
      </c>
      <c r="C52" s="30" t="s">
        <v>359</v>
      </c>
      <c r="D52" s="31" t="n">
        <v>0</v>
      </c>
      <c r="E52" s="32"/>
      <c r="F52" s="31" t="n">
        <v>176981211631</v>
      </c>
      <c r="G52" s="31" t="n">
        <v>165282974176</v>
      </c>
      <c r="H52" s="31" t="n">
        <v>44927247</v>
      </c>
      <c r="I52" s="31" t="n">
        <v>0</v>
      </c>
      <c r="J52" s="31" t="n">
        <v>20288454566</v>
      </c>
      <c r="K52" s="31" t="n">
        <v>-719347648</v>
      </c>
      <c r="L52" s="33"/>
      <c r="M52" s="33"/>
      <c r="N52" s="33"/>
      <c r="O52" s="34" t="str">
        <f aca="false">IF(OR(D52="",E52=""),"",D52*(1-E52))</f>
        <v/>
      </c>
      <c r="P52" s="35" t="str">
        <f aca="false">IF(OR(H52="",D52=""),"",IF(D52&lt;=0,"",(H52+N(I52))/D52))</f>
        <v/>
      </c>
      <c r="Q52" s="35" t="str">
        <f aca="false">IF(OR(H52="",D52=""),"",IF(D52&lt;=0,"",H52/D52))</f>
        <v/>
      </c>
      <c r="R52" s="35" t="str">
        <f aca="false">IF(OR(A51&lt;&gt;A52,B52&lt;=ThamSo!$C$22,H52="",H51="",D52=""),"",IF(D52&lt;=0,"",(H52-H51)/D52))</f>
        <v/>
      </c>
      <c r="S52" s="36" t="str">
        <f aca="false">INDEX(HoSoDN!$H$5:$H$32,MATCH(A52,HoSoDN!$A$5:$A$32,0))</f>
        <v>Chưa rõ</v>
      </c>
      <c r="T52" s="36" t="str">
        <f aca="false">INDEX(HoSoDN!$I$5:$I$32,MATCH(A52,HoSoDN!$A$5:$A$32,0))</f>
        <v>Không</v>
      </c>
      <c r="U52" s="2" t="n">
        <f aca="false">IF(AND(S52="FOB",T52&lt;&gt;"Có",B52&gt;=ThamSo!$C$22,B52&lt;=ThamSo!$C$23,D52&lt;&gt;"",E52&lt;&gt;"",G52&lt;&gt;"",P52&lt;&gt;"",L52&lt;&gt;"",M52&lt;&gt;"",N52&lt;&gt;""),IF(D52&gt;=ThamSo!$C$11,1,0),0)</f>
        <v>0</v>
      </c>
      <c r="V52" s="2" t="str">
        <f aca="false">IF(D52="","",IF(D52&lt;=ThamSo!$C$12,"Nhỏ–vừa","Lớn"))</f>
        <v>Nhỏ–vừa</v>
      </c>
      <c r="W52" s="2" t="str">
        <f aca="false">IF(D52="","",IF(OR(D52&lt;=ThamSo!$C$13,F52&lt;=ThamSo!$C$14),"Có","Không"))</f>
        <v>Có</v>
      </c>
      <c r="X52" s="37" t="str">
        <f aca="false">IF(AND(T52&lt;&gt;"Có",M52&lt;&gt;"",D52&lt;&gt;""),IF(D52&gt;=ThamSo!$C$11,M52,""),"")</f>
        <v/>
      </c>
      <c r="Y52" s="35" t="str">
        <f aca="false">IF(U52=1,P52,"")</f>
        <v/>
      </c>
      <c r="Z52" s="35" t="str">
        <f aca="false">IF(AND(U52=1,V52="Nhỏ–vừa"),P52,"")</f>
        <v/>
      </c>
      <c r="AA52" s="35" t="str">
        <f aca="false">IF(AND(U52=1,V52="Lớn"),P52,"")</f>
        <v/>
      </c>
      <c r="AB52" s="37" t="str">
        <f aca="false">IF(U52=1,L52,"")</f>
        <v/>
      </c>
      <c r="AC52" s="37" t="str">
        <f aca="false">IF(AND(U52=1,V52="Nhỏ–vừa"),L52,"")</f>
        <v/>
      </c>
      <c r="AD52" s="37" t="str">
        <f aca="false">IF(AND(U52=1,V52="Lớn"),L52,"")</f>
        <v/>
      </c>
      <c r="AE52" s="37" t="str">
        <f aca="false">IF(U52=1,M52,"")</f>
        <v/>
      </c>
      <c r="AF52" s="37" t="str">
        <f aca="false">IF(AND(U52=1,V52="Nhỏ–vừa"),M52,"")</f>
        <v/>
      </c>
      <c r="AG52" s="37" t="str">
        <f aca="false">IF(AND(U52=1,V52="Lớn"),M52,"")</f>
        <v/>
      </c>
      <c r="AH52" s="37" t="str">
        <f aca="false">IF(U52=1,N52,"")</f>
        <v/>
      </c>
      <c r="AI52" s="37" t="str">
        <f aca="false">IF(AND(U52=1,V52="Nhỏ–vừa"),N52,"")</f>
        <v/>
      </c>
      <c r="AJ52" s="37" t="str">
        <f aca="false">IF(AND(U52=1,V52="Lớn"),N52,"")</f>
        <v/>
      </c>
      <c r="AK52" s="35" t="str">
        <f aca="false">IF(U52=1,Q52,"")</f>
        <v/>
      </c>
      <c r="AL52" s="35" t="str">
        <f aca="false">IF(AND(U52=1,R52&lt;&gt;""),R52,"")</f>
        <v/>
      </c>
      <c r="AM52" s="2" t="str">
        <f aca="false">A52&amp;"-"&amp;B52</f>
        <v>MPT-2025</v>
      </c>
    </row>
    <row r="53" customFormat="false" ht="15" hidden="false" customHeight="false" outlineLevel="0" collapsed="false">
      <c r="A53" s="30" t="s">
        <v>292</v>
      </c>
      <c r="B53" s="30" t="n">
        <v>2023</v>
      </c>
      <c r="C53" s="30" t="s">
        <v>361</v>
      </c>
      <c r="D53" s="31" t="n">
        <v>4541917426355</v>
      </c>
      <c r="E53" s="32" t="n">
        <v>0.12417302</v>
      </c>
      <c r="F53" s="31" t="n">
        <v>3453089147362</v>
      </c>
      <c r="G53" s="31" t="n">
        <v>2552594388012</v>
      </c>
      <c r="H53" s="31" t="n">
        <v>455323804538</v>
      </c>
      <c r="I53" s="31" t="n">
        <v>970784740090</v>
      </c>
      <c r="J53" s="31" t="n">
        <v>506531306409</v>
      </c>
      <c r="K53" s="31" t="n">
        <v>244549614845</v>
      </c>
      <c r="L53" s="33" t="n">
        <v>37.57573807</v>
      </c>
      <c r="M53" s="33" t="n">
        <v>51.88080571</v>
      </c>
      <c r="N53" s="33" t="n">
        <v>16.66393955</v>
      </c>
      <c r="O53" s="34" t="n">
        <f aca="false">IF(OR(D53="",E53=""),"",D53*(1-E53))</f>
        <v>3977933822933.87</v>
      </c>
      <c r="P53" s="35" t="n">
        <f aca="false">IF(OR(H53="",D53=""),"",IF(D53&lt;=0,"",(H53+N(I53))/D53))</f>
        <v>0.313988214834739</v>
      </c>
      <c r="Q53" s="35" t="n">
        <f aca="false">IF(OR(H53="",D53=""),"",IF(D53&lt;=0,"",H53/D53))</f>
        <v>0.100249247574588</v>
      </c>
      <c r="R53" s="35" t="str">
        <f aca="false">IF(OR(A52&lt;&gt;A53,B53&lt;=ThamSo!$C$22,H53="",H52="",D53=""),"",IF(D53&lt;=0,"",(H53-H52)/D53))</f>
        <v/>
      </c>
      <c r="S53" s="36" t="str">
        <f aca="false">INDEX(HoSoDN!$H$5:$H$32,MATCH(A53,HoSoDN!$A$5:$A$32,0))</f>
        <v>FOB</v>
      </c>
      <c r="T53" s="36" t="str">
        <f aca="false">INDEX(HoSoDN!$I$5:$I$32,MATCH(A53,HoSoDN!$A$5:$A$32,0))</f>
        <v>Không</v>
      </c>
      <c r="U53" s="2" t="n">
        <f aca="false">IF(AND(S53="FOB",T53&lt;&gt;"Có",B53&gt;=ThamSo!$C$22,B53&lt;=ThamSo!$C$23,D53&lt;&gt;"",E53&lt;&gt;"",G53&lt;&gt;"",P53&lt;&gt;"",L53&lt;&gt;"",M53&lt;&gt;"",N53&lt;&gt;""),IF(D53&gt;=ThamSo!$C$11,1,0),0)</f>
        <v>1</v>
      </c>
      <c r="V53" s="2" t="str">
        <f aca="false">IF(D53="","",IF(D53&lt;=ThamSo!$C$12,"Nhỏ–vừa","Lớn"))</f>
        <v>Lớn</v>
      </c>
      <c r="W53" s="2" t="str">
        <f aca="false">IF(D53="","",IF(OR(D53&lt;=ThamSo!$C$13,F53&lt;=ThamSo!$C$14),"Có","Không"))</f>
        <v>Không</v>
      </c>
      <c r="X53" s="37" t="n">
        <f aca="false">IF(AND(T53&lt;&gt;"Có",M53&lt;&gt;"",D53&lt;&gt;""),IF(D53&gt;=ThamSo!$C$11,M53,""),"")</f>
        <v>51.88080571</v>
      </c>
      <c r="Y53" s="35" t="n">
        <f aca="false">IF(U53=1,P53,"")</f>
        <v>0.313988214834739</v>
      </c>
      <c r="Z53" s="35" t="str">
        <f aca="false">IF(AND(U53=1,V53="Nhỏ–vừa"),P53,"")</f>
        <v/>
      </c>
      <c r="AA53" s="35" t="n">
        <f aca="false">IF(AND(U53=1,V53="Lớn"),P53,"")</f>
        <v>0.313988214834739</v>
      </c>
      <c r="AB53" s="37" t="n">
        <f aca="false">IF(U53=1,L53,"")</f>
        <v>37.57573807</v>
      </c>
      <c r="AC53" s="37" t="str">
        <f aca="false">IF(AND(U53=1,V53="Nhỏ–vừa"),L53,"")</f>
        <v/>
      </c>
      <c r="AD53" s="37" t="n">
        <f aca="false">IF(AND(U53=1,V53="Lớn"),L53,"")</f>
        <v>37.57573807</v>
      </c>
      <c r="AE53" s="37" t="n">
        <f aca="false">IF(U53=1,M53,"")</f>
        <v>51.88080571</v>
      </c>
      <c r="AF53" s="37" t="str">
        <f aca="false">IF(AND(U53=1,V53="Nhỏ–vừa"),M53,"")</f>
        <v/>
      </c>
      <c r="AG53" s="37" t="n">
        <f aca="false">IF(AND(U53=1,V53="Lớn"),M53,"")</f>
        <v>51.88080571</v>
      </c>
      <c r="AH53" s="37" t="n">
        <f aca="false">IF(U53=1,N53,"")</f>
        <v>16.66393955</v>
      </c>
      <c r="AI53" s="37" t="str">
        <f aca="false">IF(AND(U53=1,V53="Nhỏ–vừa"),N53,"")</f>
        <v/>
      </c>
      <c r="AJ53" s="37" t="n">
        <f aca="false">IF(AND(U53=1,V53="Lớn"),N53,"")</f>
        <v>16.66393955</v>
      </c>
      <c r="AK53" s="35" t="n">
        <f aca="false">IF(U53=1,Q53,"")</f>
        <v>0.100249247574588</v>
      </c>
      <c r="AL53" s="35" t="str">
        <f aca="false">IF(AND(U53=1,R53&lt;&gt;""),R53,"")</f>
        <v/>
      </c>
      <c r="AM53" s="2" t="str">
        <f aca="false">A53&amp;"-"&amp;B53</f>
        <v>MSH-2023</v>
      </c>
    </row>
    <row r="54" customFormat="false" ht="15" hidden="false" customHeight="false" outlineLevel="0" collapsed="false">
      <c r="A54" s="30" t="s">
        <v>292</v>
      </c>
      <c r="B54" s="30" t="n">
        <v>2024</v>
      </c>
      <c r="C54" s="30" t="s">
        <v>361</v>
      </c>
      <c r="D54" s="31" t="n">
        <v>5280403155194</v>
      </c>
      <c r="E54" s="32" t="n">
        <v>0.15709183</v>
      </c>
      <c r="F54" s="31" t="n">
        <v>4523188931186</v>
      </c>
      <c r="G54" s="31" t="n">
        <v>3249615903700</v>
      </c>
      <c r="H54" s="31" t="n">
        <v>886350410790</v>
      </c>
      <c r="I54" s="31" t="n">
        <v>653102618812</v>
      </c>
      <c r="J54" s="31" t="n">
        <v>645400140922</v>
      </c>
      <c r="K54" s="31" t="n">
        <v>412522765304</v>
      </c>
      <c r="L54" s="33" t="n">
        <v>54.08305787</v>
      </c>
      <c r="M54" s="33" t="n">
        <v>48.03935101</v>
      </c>
      <c r="N54" s="33" t="n">
        <v>12.94747287</v>
      </c>
      <c r="O54" s="34" t="n">
        <f aca="false">IF(OR(D54="",E54=""),"",D54*(1-E54))</f>
        <v>4450894960406.8</v>
      </c>
      <c r="P54" s="35" t="n">
        <f aca="false">IF(OR(H54="",D54=""),"",IF(D54&lt;=0,"",(H54+N(I54))/D54))</f>
        <v>0.291540813145628</v>
      </c>
      <c r="Q54" s="35" t="n">
        <f aca="false">IF(OR(H54="",D54=""),"",IF(D54&lt;=0,"",H54/D54))</f>
        <v>0.167856579268602</v>
      </c>
      <c r="R54" s="35" t="n">
        <f aca="false">IF(OR(A53&lt;&gt;A54,B54&lt;=ThamSo!$C$22,H54="",H53="",D54=""),"",IF(D54&lt;=0,"",(H54-H53)/D54))</f>
        <v>0.0816275942544323</v>
      </c>
      <c r="S54" s="36" t="str">
        <f aca="false">INDEX(HoSoDN!$H$5:$H$32,MATCH(A54,HoSoDN!$A$5:$A$32,0))</f>
        <v>FOB</v>
      </c>
      <c r="T54" s="36" t="str">
        <f aca="false">INDEX(HoSoDN!$I$5:$I$32,MATCH(A54,HoSoDN!$A$5:$A$32,0))</f>
        <v>Không</v>
      </c>
      <c r="U54" s="2" t="n">
        <f aca="false">IF(AND(S54="FOB",T54&lt;&gt;"Có",B54&gt;=ThamSo!$C$22,B54&lt;=ThamSo!$C$23,D54&lt;&gt;"",E54&lt;&gt;"",G54&lt;&gt;"",P54&lt;&gt;"",L54&lt;&gt;"",M54&lt;&gt;"",N54&lt;&gt;""),IF(D54&gt;=ThamSo!$C$11,1,0),0)</f>
        <v>1</v>
      </c>
      <c r="V54" s="2" t="str">
        <f aca="false">IF(D54="","",IF(D54&lt;=ThamSo!$C$12,"Nhỏ–vừa","Lớn"))</f>
        <v>Lớn</v>
      </c>
      <c r="W54" s="2" t="str">
        <f aca="false">IF(D54="","",IF(OR(D54&lt;=ThamSo!$C$13,F54&lt;=ThamSo!$C$14),"Có","Không"))</f>
        <v>Không</v>
      </c>
      <c r="X54" s="37" t="n">
        <f aca="false">IF(AND(T54&lt;&gt;"Có",M54&lt;&gt;"",D54&lt;&gt;""),IF(D54&gt;=ThamSo!$C$11,M54,""),"")</f>
        <v>48.03935101</v>
      </c>
      <c r="Y54" s="35" t="n">
        <f aca="false">IF(U54=1,P54,"")</f>
        <v>0.291540813145628</v>
      </c>
      <c r="Z54" s="35" t="str">
        <f aca="false">IF(AND(U54=1,V54="Nhỏ–vừa"),P54,"")</f>
        <v/>
      </c>
      <c r="AA54" s="35" t="n">
        <f aca="false">IF(AND(U54=1,V54="Lớn"),P54,"")</f>
        <v>0.291540813145628</v>
      </c>
      <c r="AB54" s="37" t="n">
        <f aca="false">IF(U54=1,L54,"")</f>
        <v>54.08305787</v>
      </c>
      <c r="AC54" s="37" t="str">
        <f aca="false">IF(AND(U54=1,V54="Nhỏ–vừa"),L54,"")</f>
        <v/>
      </c>
      <c r="AD54" s="37" t="n">
        <f aca="false">IF(AND(U54=1,V54="Lớn"),L54,"")</f>
        <v>54.08305787</v>
      </c>
      <c r="AE54" s="37" t="n">
        <f aca="false">IF(U54=1,M54,"")</f>
        <v>48.03935101</v>
      </c>
      <c r="AF54" s="37" t="str">
        <f aca="false">IF(AND(U54=1,V54="Nhỏ–vừa"),M54,"")</f>
        <v/>
      </c>
      <c r="AG54" s="37" t="n">
        <f aca="false">IF(AND(U54=1,V54="Lớn"),M54,"")</f>
        <v>48.03935101</v>
      </c>
      <c r="AH54" s="37" t="n">
        <f aca="false">IF(U54=1,N54,"")</f>
        <v>12.94747287</v>
      </c>
      <c r="AI54" s="37" t="str">
        <f aca="false">IF(AND(U54=1,V54="Nhỏ–vừa"),N54,"")</f>
        <v/>
      </c>
      <c r="AJ54" s="37" t="n">
        <f aca="false">IF(AND(U54=1,V54="Lớn"),N54,"")</f>
        <v>12.94747287</v>
      </c>
      <c r="AK54" s="35" t="n">
        <f aca="false">IF(U54=1,Q54,"")</f>
        <v>0.167856579268602</v>
      </c>
      <c r="AL54" s="35" t="n">
        <f aca="false">IF(AND(U54=1,R54&lt;&gt;""),R54,"")</f>
        <v>0.0816275942544323</v>
      </c>
      <c r="AM54" s="2" t="str">
        <f aca="false">A54&amp;"-"&amp;B54</f>
        <v>MSH-2024</v>
      </c>
    </row>
    <row r="55" customFormat="false" ht="15" hidden="false" customHeight="false" outlineLevel="0" collapsed="false">
      <c r="A55" s="30" t="s">
        <v>292</v>
      </c>
      <c r="B55" s="30" t="n">
        <v>2025</v>
      </c>
      <c r="C55" s="30" t="s">
        <v>361</v>
      </c>
      <c r="D55" s="31" t="n">
        <v>5538068232450</v>
      </c>
      <c r="E55" s="32" t="n">
        <v>0.21206088</v>
      </c>
      <c r="F55" s="31" t="n">
        <v>4677754975723</v>
      </c>
      <c r="G55" s="31" t="n">
        <v>3275000080003</v>
      </c>
      <c r="H55" s="31" t="n">
        <v>739632646576</v>
      </c>
      <c r="I55" s="31" t="n">
        <v>880144449074</v>
      </c>
      <c r="J55" s="31" t="n">
        <v>546122052854</v>
      </c>
      <c r="K55" s="31" t="n">
        <v>613919710840</v>
      </c>
      <c r="L55" s="33" t="n">
        <v>63.23796496</v>
      </c>
      <c r="M55" s="33" t="n">
        <v>50.40076555</v>
      </c>
      <c r="N55" s="33" t="n">
        <v>15.36306074</v>
      </c>
      <c r="O55" s="34" t="n">
        <f aca="false">IF(OR(D55="",E55=""),"",D55*(1-E55))</f>
        <v>4363660609576.61</v>
      </c>
      <c r="P55" s="35" t="n">
        <f aca="false">IF(OR(H55="",D55=""),"",IF(D55&lt;=0,"",(H55+N(I55))/D55))</f>
        <v>0.292480523471886</v>
      </c>
      <c r="Q55" s="35" t="n">
        <f aca="false">IF(OR(H55="",D55=""),"",IF(D55&lt;=0,"",H55/D55))</f>
        <v>0.133554267576944</v>
      </c>
      <c r="R55" s="35" t="n">
        <f aca="false">IF(OR(A54&lt;&gt;A55,B55&lt;=ThamSo!$C$22,H55="",H54="",D55=""),"",IF(D55&lt;=0,"",(H55-H54)/D55))</f>
        <v>-0.0264925887612427</v>
      </c>
      <c r="S55" s="36" t="str">
        <f aca="false">INDEX(HoSoDN!$H$5:$H$32,MATCH(A55,HoSoDN!$A$5:$A$32,0))</f>
        <v>FOB</v>
      </c>
      <c r="T55" s="36" t="str">
        <f aca="false">INDEX(HoSoDN!$I$5:$I$32,MATCH(A55,HoSoDN!$A$5:$A$32,0))</f>
        <v>Không</v>
      </c>
      <c r="U55" s="2" t="n">
        <f aca="false">IF(AND(S55="FOB",T55&lt;&gt;"Có",B55&gt;=ThamSo!$C$22,B55&lt;=ThamSo!$C$23,D55&lt;&gt;"",E55&lt;&gt;"",G55&lt;&gt;"",P55&lt;&gt;"",L55&lt;&gt;"",M55&lt;&gt;"",N55&lt;&gt;""),IF(D55&gt;=ThamSo!$C$11,1,0),0)</f>
        <v>1</v>
      </c>
      <c r="V55" s="2" t="str">
        <f aca="false">IF(D55="","",IF(D55&lt;=ThamSo!$C$12,"Nhỏ–vừa","Lớn"))</f>
        <v>Lớn</v>
      </c>
      <c r="W55" s="2" t="str">
        <f aca="false">IF(D55="","",IF(OR(D55&lt;=ThamSo!$C$13,F55&lt;=ThamSo!$C$14),"Có","Không"))</f>
        <v>Không</v>
      </c>
      <c r="X55" s="37" t="n">
        <f aca="false">IF(AND(T55&lt;&gt;"Có",M55&lt;&gt;"",D55&lt;&gt;""),IF(D55&gt;=ThamSo!$C$11,M55,""),"")</f>
        <v>50.40076555</v>
      </c>
      <c r="Y55" s="35" t="n">
        <f aca="false">IF(U55=1,P55,"")</f>
        <v>0.292480523471886</v>
      </c>
      <c r="Z55" s="35" t="str">
        <f aca="false">IF(AND(U55=1,V55="Nhỏ–vừa"),P55,"")</f>
        <v/>
      </c>
      <c r="AA55" s="35" t="n">
        <f aca="false">IF(AND(U55=1,V55="Lớn"),P55,"")</f>
        <v>0.292480523471886</v>
      </c>
      <c r="AB55" s="37" t="n">
        <f aca="false">IF(U55=1,L55,"")</f>
        <v>63.23796496</v>
      </c>
      <c r="AC55" s="37" t="str">
        <f aca="false">IF(AND(U55=1,V55="Nhỏ–vừa"),L55,"")</f>
        <v/>
      </c>
      <c r="AD55" s="37" t="n">
        <f aca="false">IF(AND(U55=1,V55="Lớn"),L55,"")</f>
        <v>63.23796496</v>
      </c>
      <c r="AE55" s="37" t="n">
        <f aca="false">IF(U55=1,M55,"")</f>
        <v>50.40076555</v>
      </c>
      <c r="AF55" s="37" t="str">
        <f aca="false">IF(AND(U55=1,V55="Nhỏ–vừa"),M55,"")</f>
        <v/>
      </c>
      <c r="AG55" s="37" t="n">
        <f aca="false">IF(AND(U55=1,V55="Lớn"),M55,"")</f>
        <v>50.40076555</v>
      </c>
      <c r="AH55" s="37" t="n">
        <f aca="false">IF(U55=1,N55,"")</f>
        <v>15.36306074</v>
      </c>
      <c r="AI55" s="37" t="str">
        <f aca="false">IF(AND(U55=1,V55="Nhỏ–vừa"),N55,"")</f>
        <v/>
      </c>
      <c r="AJ55" s="37" t="n">
        <f aca="false">IF(AND(U55=1,V55="Lớn"),N55,"")</f>
        <v>15.36306074</v>
      </c>
      <c r="AK55" s="35" t="n">
        <f aca="false">IF(U55=1,Q55,"")</f>
        <v>0.133554267576944</v>
      </c>
      <c r="AL55" s="35" t="n">
        <f aca="false">IF(AND(U55=1,R55&lt;&gt;""),R55,"")</f>
        <v>-0.0264925887612427</v>
      </c>
      <c r="AM55" s="2" t="str">
        <f aca="false">A55&amp;"-"&amp;B55</f>
        <v>MSH-2025</v>
      </c>
    </row>
    <row r="56" customFormat="false" ht="15" hidden="false" customHeight="false" outlineLevel="0" collapsed="false">
      <c r="A56" s="30" t="s">
        <v>294</v>
      </c>
      <c r="B56" s="30" t="n">
        <v>2023</v>
      </c>
      <c r="C56" s="30" t="s">
        <v>359</v>
      </c>
      <c r="D56" s="31" t="n">
        <v>524132187401</v>
      </c>
      <c r="E56" s="32" t="n">
        <v>0.08668146</v>
      </c>
      <c r="F56" s="31" t="n">
        <v>414680865439</v>
      </c>
      <c r="G56" s="31" t="n">
        <v>349606688651</v>
      </c>
      <c r="H56" s="31" t="n">
        <v>38851243245</v>
      </c>
      <c r="I56" s="31" t="n">
        <v>7080657534</v>
      </c>
      <c r="J56" s="31" t="n">
        <v>177328997577</v>
      </c>
      <c r="K56" s="31" t="n">
        <v>6298539183</v>
      </c>
      <c r="L56" s="33" t="n">
        <v>61.06565211</v>
      </c>
      <c r="M56" s="33" t="n">
        <v>111.1370326</v>
      </c>
      <c r="N56" s="33" t="n">
        <v>17.8974127</v>
      </c>
      <c r="O56" s="34" t="n">
        <f aca="false">IF(OR(D56="",E56=""),"",D56*(1-E56))</f>
        <v>478699644164.088</v>
      </c>
      <c r="P56" s="35" t="n">
        <f aca="false">IF(OR(H56="",D56=""),"",IF(D56&lt;=0,"",(H56+N(I56))/D56))</f>
        <v>0.0876341920666259</v>
      </c>
      <c r="Q56" s="35" t="n">
        <f aca="false">IF(OR(H56="",D56=""),"",IF(D56&lt;=0,"",H56/D56))</f>
        <v>0.0741248947858948</v>
      </c>
      <c r="R56" s="35" t="str">
        <f aca="false">IF(OR(A55&lt;&gt;A56,B56&lt;=ThamSo!$C$22,H56="",H55="",D56=""),"",IF(D56&lt;=0,"",(H56-H55)/D56))</f>
        <v/>
      </c>
      <c r="S56" s="36" t="str">
        <f aca="false">INDEX(HoSoDN!$H$5:$H$32,MATCH(A56,HoSoDN!$A$5:$A$32,0))</f>
        <v>FOB</v>
      </c>
      <c r="T56" s="36" t="str">
        <f aca="false">INDEX(HoSoDN!$I$5:$I$32,MATCH(A56,HoSoDN!$A$5:$A$32,0))</f>
        <v>Không</v>
      </c>
      <c r="U56" s="2" t="n">
        <f aca="false">IF(AND(S56="FOB",T56&lt;&gt;"Có",B56&gt;=ThamSo!$C$22,B56&lt;=ThamSo!$C$23,D56&lt;&gt;"",E56&lt;&gt;"",G56&lt;&gt;"",P56&lt;&gt;"",L56&lt;&gt;"",M56&lt;&gt;"",N56&lt;&gt;""),IF(D56&gt;=ThamSo!$C$11,1,0),0)</f>
        <v>1</v>
      </c>
      <c r="V56" s="2" t="str">
        <f aca="false">IF(D56="","",IF(D56&lt;=ThamSo!$C$12,"Nhỏ–vừa","Lớn"))</f>
        <v>Nhỏ–vừa</v>
      </c>
      <c r="W56" s="2" t="str">
        <f aca="false">IF(D56="","",IF(OR(D56&lt;=ThamSo!$C$13,F56&lt;=ThamSo!$C$14),"Có","Không"))</f>
        <v>Không</v>
      </c>
      <c r="X56" s="37" t="n">
        <f aca="false">IF(AND(T56&lt;&gt;"Có",M56&lt;&gt;"",D56&lt;&gt;""),IF(D56&gt;=ThamSo!$C$11,M56,""),"")</f>
        <v>111.1370326</v>
      </c>
      <c r="Y56" s="35" t="n">
        <f aca="false">IF(U56=1,P56,"")</f>
        <v>0.0876341920666259</v>
      </c>
      <c r="Z56" s="35" t="n">
        <f aca="false">IF(AND(U56=1,V56="Nhỏ–vừa"),P56,"")</f>
        <v>0.0876341920666259</v>
      </c>
      <c r="AA56" s="35" t="str">
        <f aca="false">IF(AND(U56=1,V56="Lớn"),P56,"")</f>
        <v/>
      </c>
      <c r="AB56" s="37" t="n">
        <f aca="false">IF(U56=1,L56,"")</f>
        <v>61.06565211</v>
      </c>
      <c r="AC56" s="37" t="n">
        <f aca="false">IF(AND(U56=1,V56="Nhỏ–vừa"),L56,"")</f>
        <v>61.06565211</v>
      </c>
      <c r="AD56" s="37" t="str">
        <f aca="false">IF(AND(U56=1,V56="Lớn"),L56,"")</f>
        <v/>
      </c>
      <c r="AE56" s="37" t="n">
        <f aca="false">IF(U56=1,M56,"")</f>
        <v>111.1370326</v>
      </c>
      <c r="AF56" s="37" t="n">
        <f aca="false">IF(AND(U56=1,V56="Nhỏ–vừa"),M56,"")</f>
        <v>111.1370326</v>
      </c>
      <c r="AG56" s="37" t="str">
        <f aca="false">IF(AND(U56=1,V56="Lớn"),M56,"")</f>
        <v/>
      </c>
      <c r="AH56" s="37" t="n">
        <f aca="false">IF(U56=1,N56,"")</f>
        <v>17.8974127</v>
      </c>
      <c r="AI56" s="37" t="n">
        <f aca="false">IF(AND(U56=1,V56="Nhỏ–vừa"),N56,"")</f>
        <v>17.8974127</v>
      </c>
      <c r="AJ56" s="37" t="str">
        <f aca="false">IF(AND(U56=1,V56="Lớn"),N56,"")</f>
        <v/>
      </c>
      <c r="AK56" s="35" t="n">
        <f aca="false">IF(U56=1,Q56,"")</f>
        <v>0.0741248947858948</v>
      </c>
      <c r="AL56" s="35" t="str">
        <f aca="false">IF(AND(U56=1,R56&lt;&gt;""),R56,"")</f>
        <v/>
      </c>
      <c r="AM56" s="2" t="str">
        <f aca="false">A56&amp;"-"&amp;B56</f>
        <v>NJC-2023</v>
      </c>
    </row>
    <row r="57" customFormat="false" ht="15" hidden="false" customHeight="false" outlineLevel="0" collapsed="false">
      <c r="A57" s="30" t="s">
        <v>294</v>
      </c>
      <c r="B57" s="30" t="n">
        <v>2024</v>
      </c>
      <c r="C57" s="30" t="s">
        <v>359</v>
      </c>
      <c r="D57" s="31" t="n">
        <v>804895415372</v>
      </c>
      <c r="E57" s="32" t="n">
        <v>0.09076951</v>
      </c>
      <c r="F57" s="31" t="n">
        <v>367055608018</v>
      </c>
      <c r="G57" s="31" t="n">
        <v>283454335161</v>
      </c>
      <c r="H57" s="31" t="n">
        <v>33515279071</v>
      </c>
      <c r="I57" s="31" t="n">
        <v>16000000000</v>
      </c>
      <c r="J57" s="31" t="n">
        <v>119417428962</v>
      </c>
      <c r="K57" s="31" t="n">
        <v>11897445676</v>
      </c>
      <c r="L57" s="33" t="n">
        <v>47.95098</v>
      </c>
      <c r="M57" s="33" t="n">
        <v>77.73020344</v>
      </c>
      <c r="N57" s="33" t="n">
        <v>14.87434433</v>
      </c>
      <c r="O57" s="34" t="n">
        <f aca="false">IF(OR(D57="",E57=""),"",D57*(1-E57))</f>
        <v>731835452917.437</v>
      </c>
      <c r="P57" s="35" t="n">
        <f aca="false">IF(OR(H57="",D57=""),"",IF(D57&lt;=0,"",(H57+N(I57))/D57))</f>
        <v>0.0615176557417903</v>
      </c>
      <c r="Q57" s="35" t="n">
        <f aca="false">IF(OR(H57="",D57=""),"",IF(D57&lt;=0,"",H57/D57))</f>
        <v>0.0416392967718796</v>
      </c>
      <c r="R57" s="35" t="n">
        <f aca="false">IF(OR(A56&lt;&gt;A57,B57&lt;=ThamSo!$C$22,H57="",H56="",D57=""),"",IF(D57&lt;=0,"",(H57-H56)/D57))</f>
        <v>-0.00662938820633469</v>
      </c>
      <c r="S57" s="36" t="str">
        <f aca="false">INDEX(HoSoDN!$H$5:$H$32,MATCH(A57,HoSoDN!$A$5:$A$32,0))</f>
        <v>FOB</v>
      </c>
      <c r="T57" s="36" t="str">
        <f aca="false">INDEX(HoSoDN!$I$5:$I$32,MATCH(A57,HoSoDN!$A$5:$A$32,0))</f>
        <v>Không</v>
      </c>
      <c r="U57" s="2" t="n">
        <f aca="false">IF(AND(S57="FOB",T57&lt;&gt;"Có",B57&gt;=ThamSo!$C$22,B57&lt;=ThamSo!$C$23,D57&lt;&gt;"",E57&lt;&gt;"",G57&lt;&gt;"",P57&lt;&gt;"",L57&lt;&gt;"",M57&lt;&gt;"",N57&lt;&gt;""),IF(D57&gt;=ThamSo!$C$11,1,0),0)</f>
        <v>1</v>
      </c>
      <c r="V57" s="2" t="str">
        <f aca="false">IF(D57="","",IF(D57&lt;=ThamSo!$C$12,"Nhỏ–vừa","Lớn"))</f>
        <v>Nhỏ–vừa</v>
      </c>
      <c r="W57" s="2" t="str">
        <f aca="false">IF(D57="","",IF(OR(D57&lt;=ThamSo!$C$13,F57&lt;=ThamSo!$C$14),"Có","Không"))</f>
        <v>Không</v>
      </c>
      <c r="X57" s="37" t="n">
        <f aca="false">IF(AND(T57&lt;&gt;"Có",M57&lt;&gt;"",D57&lt;&gt;""),IF(D57&gt;=ThamSo!$C$11,M57,""),"")</f>
        <v>77.73020344</v>
      </c>
      <c r="Y57" s="35" t="n">
        <f aca="false">IF(U57=1,P57,"")</f>
        <v>0.0615176557417903</v>
      </c>
      <c r="Z57" s="35" t="n">
        <f aca="false">IF(AND(U57=1,V57="Nhỏ–vừa"),P57,"")</f>
        <v>0.0615176557417903</v>
      </c>
      <c r="AA57" s="35" t="str">
        <f aca="false">IF(AND(U57=1,V57="Lớn"),P57,"")</f>
        <v/>
      </c>
      <c r="AB57" s="37" t="n">
        <f aca="false">IF(U57=1,L57,"")</f>
        <v>47.95098</v>
      </c>
      <c r="AC57" s="37" t="n">
        <f aca="false">IF(AND(U57=1,V57="Nhỏ–vừa"),L57,"")</f>
        <v>47.95098</v>
      </c>
      <c r="AD57" s="37" t="str">
        <f aca="false">IF(AND(U57=1,V57="Lớn"),L57,"")</f>
        <v/>
      </c>
      <c r="AE57" s="37" t="n">
        <f aca="false">IF(U57=1,M57,"")</f>
        <v>77.73020344</v>
      </c>
      <c r="AF57" s="37" t="n">
        <f aca="false">IF(AND(U57=1,V57="Nhỏ–vừa"),M57,"")</f>
        <v>77.73020344</v>
      </c>
      <c r="AG57" s="37" t="str">
        <f aca="false">IF(AND(U57=1,V57="Lớn"),M57,"")</f>
        <v/>
      </c>
      <c r="AH57" s="37" t="n">
        <f aca="false">IF(U57=1,N57,"")</f>
        <v>14.87434433</v>
      </c>
      <c r="AI57" s="37" t="n">
        <f aca="false">IF(AND(U57=1,V57="Nhỏ–vừa"),N57,"")</f>
        <v>14.87434433</v>
      </c>
      <c r="AJ57" s="37" t="str">
        <f aca="false">IF(AND(U57=1,V57="Lớn"),N57,"")</f>
        <v/>
      </c>
      <c r="AK57" s="35" t="n">
        <f aca="false">IF(U57=1,Q57,"")</f>
        <v>0.0416392967718796</v>
      </c>
      <c r="AL57" s="35" t="n">
        <f aca="false">IF(AND(U57=1,R57&lt;&gt;""),R57,"")</f>
        <v>-0.00662938820633469</v>
      </c>
      <c r="AM57" s="2" t="str">
        <f aca="false">A57&amp;"-"&amp;B57</f>
        <v>NJC-2024</v>
      </c>
    </row>
    <row r="58" customFormat="false" ht="15" hidden="false" customHeight="false" outlineLevel="0" collapsed="false">
      <c r="A58" s="30" t="s">
        <v>294</v>
      </c>
      <c r="B58" s="30" t="n">
        <v>2025</v>
      </c>
      <c r="C58" s="30" t="s">
        <v>359</v>
      </c>
      <c r="D58" s="31" t="n">
        <v>661508276276</v>
      </c>
      <c r="E58" s="32" t="n">
        <v>0.09258787</v>
      </c>
      <c r="F58" s="31" t="n">
        <v>409330851696</v>
      </c>
      <c r="G58" s="31" t="n">
        <v>347100136454</v>
      </c>
      <c r="H58" s="31" t="n">
        <v>22599716278</v>
      </c>
      <c r="I58" s="31" t="n">
        <v>15000000000</v>
      </c>
      <c r="J58" s="31" t="n">
        <v>153206226113</v>
      </c>
      <c r="K58" s="31" t="n">
        <v>12595341779</v>
      </c>
      <c r="L58" s="33" t="n">
        <v>67.14684189</v>
      </c>
      <c r="M58" s="33" t="n">
        <v>86.73010008</v>
      </c>
      <c r="N58" s="33" t="n">
        <v>20.98670805</v>
      </c>
      <c r="O58" s="34" t="n">
        <f aca="false">IF(OR(D58="",E58=""),"",D58*(1-E58))</f>
        <v>600260633988.234</v>
      </c>
      <c r="P58" s="35" t="n">
        <f aca="false">IF(OR(H58="",D58=""),"",IF(D58&lt;=0,"",(H58+N(I58))/D58))</f>
        <v>0.056839373937496</v>
      </c>
      <c r="Q58" s="35" t="n">
        <f aca="false">IF(OR(H58="",D58=""),"",IF(D58&lt;=0,"",H58/D58))</f>
        <v>0.0341639206771931</v>
      </c>
      <c r="R58" s="35" t="n">
        <f aca="false">IF(OR(A57&lt;&gt;A58,B58&lt;=ThamSo!$C$22,H58="",H57="",D58=""),"",IF(D58&lt;=0,"",(H58-H57)/D58))</f>
        <v>-0.0165010222615049</v>
      </c>
      <c r="S58" s="36" t="str">
        <f aca="false">INDEX(HoSoDN!$H$5:$H$32,MATCH(A58,HoSoDN!$A$5:$A$32,0))</f>
        <v>FOB</v>
      </c>
      <c r="T58" s="36" t="str">
        <f aca="false">INDEX(HoSoDN!$I$5:$I$32,MATCH(A58,HoSoDN!$A$5:$A$32,0))</f>
        <v>Không</v>
      </c>
      <c r="U58" s="2" t="n">
        <f aca="false">IF(AND(S58="FOB",T58&lt;&gt;"Có",B58&gt;=ThamSo!$C$22,B58&lt;=ThamSo!$C$23,D58&lt;&gt;"",E58&lt;&gt;"",G58&lt;&gt;"",P58&lt;&gt;"",L58&lt;&gt;"",M58&lt;&gt;"",N58&lt;&gt;""),IF(D58&gt;=ThamSo!$C$11,1,0),0)</f>
        <v>1</v>
      </c>
      <c r="V58" s="2" t="str">
        <f aca="false">IF(D58="","",IF(D58&lt;=ThamSo!$C$12,"Nhỏ–vừa","Lớn"))</f>
        <v>Nhỏ–vừa</v>
      </c>
      <c r="W58" s="2" t="str">
        <f aca="false">IF(D58="","",IF(OR(D58&lt;=ThamSo!$C$13,F58&lt;=ThamSo!$C$14),"Có","Không"))</f>
        <v>Không</v>
      </c>
      <c r="X58" s="37" t="n">
        <f aca="false">IF(AND(T58&lt;&gt;"Có",M58&lt;&gt;"",D58&lt;&gt;""),IF(D58&gt;=ThamSo!$C$11,M58,""),"")</f>
        <v>86.73010008</v>
      </c>
      <c r="Y58" s="35" t="n">
        <f aca="false">IF(U58=1,P58,"")</f>
        <v>0.056839373937496</v>
      </c>
      <c r="Z58" s="35" t="n">
        <f aca="false">IF(AND(U58=1,V58="Nhỏ–vừa"),P58,"")</f>
        <v>0.056839373937496</v>
      </c>
      <c r="AA58" s="35" t="str">
        <f aca="false">IF(AND(U58=1,V58="Lớn"),P58,"")</f>
        <v/>
      </c>
      <c r="AB58" s="37" t="n">
        <f aca="false">IF(U58=1,L58,"")</f>
        <v>67.14684189</v>
      </c>
      <c r="AC58" s="37" t="n">
        <f aca="false">IF(AND(U58=1,V58="Nhỏ–vừa"),L58,"")</f>
        <v>67.14684189</v>
      </c>
      <c r="AD58" s="37" t="str">
        <f aca="false">IF(AND(U58=1,V58="Lớn"),L58,"")</f>
        <v/>
      </c>
      <c r="AE58" s="37" t="n">
        <f aca="false">IF(U58=1,M58,"")</f>
        <v>86.73010008</v>
      </c>
      <c r="AF58" s="37" t="n">
        <f aca="false">IF(AND(U58=1,V58="Nhỏ–vừa"),M58,"")</f>
        <v>86.73010008</v>
      </c>
      <c r="AG58" s="37" t="str">
        <f aca="false">IF(AND(U58=1,V58="Lớn"),M58,"")</f>
        <v/>
      </c>
      <c r="AH58" s="37" t="n">
        <f aca="false">IF(U58=1,N58,"")</f>
        <v>20.98670805</v>
      </c>
      <c r="AI58" s="37" t="n">
        <f aca="false">IF(AND(U58=1,V58="Nhỏ–vừa"),N58,"")</f>
        <v>20.98670805</v>
      </c>
      <c r="AJ58" s="37" t="str">
        <f aca="false">IF(AND(U58=1,V58="Lớn"),N58,"")</f>
        <v/>
      </c>
      <c r="AK58" s="35" t="n">
        <f aca="false">IF(U58=1,Q58,"")</f>
        <v>0.0341639206771931</v>
      </c>
      <c r="AL58" s="35" t="n">
        <f aca="false">IF(AND(U58=1,R58&lt;&gt;""),R58,"")</f>
        <v>-0.0165010222615049</v>
      </c>
      <c r="AM58" s="2" t="str">
        <f aca="false">A58&amp;"-"&amp;B58</f>
        <v>NJC-2025</v>
      </c>
    </row>
    <row r="59" customFormat="false" ht="15" hidden="false" customHeight="false" outlineLevel="0" collapsed="false">
      <c r="A59" s="30" t="s">
        <v>296</v>
      </c>
      <c r="B59" s="30" t="n">
        <v>2023</v>
      </c>
      <c r="C59" s="30" t="s">
        <v>357</v>
      </c>
      <c r="D59" s="31" t="n">
        <v>801781567706</v>
      </c>
      <c r="E59" s="32" t="n">
        <v>0.04385932</v>
      </c>
      <c r="F59" s="31" t="n">
        <v>1040987023950</v>
      </c>
      <c r="G59" s="31" t="n">
        <v>477965760493</v>
      </c>
      <c r="H59" s="31" t="n">
        <v>58132985214</v>
      </c>
      <c r="I59" s="31" t="n">
        <v>44620000000</v>
      </c>
      <c r="J59" s="31" t="n">
        <v>262231841788</v>
      </c>
      <c r="K59" s="31" t="n">
        <v>-16483653623</v>
      </c>
      <c r="L59" s="33" t="n">
        <v>59.46983037</v>
      </c>
      <c r="M59" s="33" t="n">
        <v>154.65072088</v>
      </c>
      <c r="N59" s="33" t="n">
        <v>112.52078833</v>
      </c>
      <c r="O59" s="34" t="n">
        <f aca="false">IF(OR(D59="",E59=""),"",D59*(1-E59))</f>
        <v>766615973357.881</v>
      </c>
      <c r="P59" s="35" t="n">
        <f aca="false">IF(OR(H59="",D59=""),"",IF(D59&lt;=0,"",(H59+N(I59))/D59))</f>
        <v>0.128155833649294</v>
      </c>
      <c r="Q59" s="35" t="n">
        <f aca="false">IF(OR(H59="",D59=""),"",IF(D59&lt;=0,"",H59/D59))</f>
        <v>0.0725047663297199</v>
      </c>
      <c r="R59" s="35" t="str">
        <f aca="false">IF(OR(A58&lt;&gt;A59,B59&lt;=ThamSo!$C$22,H59="",H58="",D59=""),"",IF(D59&lt;=0,"",(H59-H58)/D59))</f>
        <v/>
      </c>
      <c r="S59" s="36" t="str">
        <f aca="false">INDEX(HoSoDN!$H$5:$H$32,MATCH(A59,HoSoDN!$A$5:$A$32,0))</f>
        <v>FOB</v>
      </c>
      <c r="T59" s="36" t="str">
        <f aca="false">INDEX(HoSoDN!$I$5:$I$32,MATCH(A59,HoSoDN!$A$5:$A$32,0))</f>
        <v>Không</v>
      </c>
      <c r="U59" s="2" t="n">
        <f aca="false">IF(AND(S59="FOB",T59&lt;&gt;"Có",B59&gt;=ThamSo!$C$22,B59&lt;=ThamSo!$C$23,D59&lt;&gt;"",E59&lt;&gt;"",G59&lt;&gt;"",P59&lt;&gt;"",L59&lt;&gt;"",M59&lt;&gt;"",N59&lt;&gt;""),IF(D59&gt;=ThamSo!$C$11,1,0),0)</f>
        <v>1</v>
      </c>
      <c r="V59" s="2" t="str">
        <f aca="false">IF(D59="","",IF(D59&lt;=ThamSo!$C$12,"Nhỏ–vừa","Lớn"))</f>
        <v>Nhỏ–vừa</v>
      </c>
      <c r="W59" s="2" t="str">
        <f aca="false">IF(D59="","",IF(OR(D59&lt;=ThamSo!$C$13,F59&lt;=ThamSo!$C$14),"Có","Không"))</f>
        <v>Không</v>
      </c>
      <c r="X59" s="37" t="n">
        <f aca="false">IF(AND(T59&lt;&gt;"Có",M59&lt;&gt;"",D59&lt;&gt;""),IF(D59&gt;=ThamSo!$C$11,M59,""),"")</f>
        <v>154.65072088</v>
      </c>
      <c r="Y59" s="35" t="n">
        <f aca="false">IF(U59=1,P59,"")</f>
        <v>0.128155833649294</v>
      </c>
      <c r="Z59" s="35" t="n">
        <f aca="false">IF(AND(U59=1,V59="Nhỏ–vừa"),P59,"")</f>
        <v>0.128155833649294</v>
      </c>
      <c r="AA59" s="35" t="str">
        <f aca="false">IF(AND(U59=1,V59="Lớn"),P59,"")</f>
        <v/>
      </c>
      <c r="AB59" s="37" t="n">
        <f aca="false">IF(U59=1,L59,"")</f>
        <v>59.46983037</v>
      </c>
      <c r="AC59" s="37" t="n">
        <f aca="false">IF(AND(U59=1,V59="Nhỏ–vừa"),L59,"")</f>
        <v>59.46983037</v>
      </c>
      <c r="AD59" s="37" t="str">
        <f aca="false">IF(AND(U59=1,V59="Lớn"),L59,"")</f>
        <v/>
      </c>
      <c r="AE59" s="37" t="n">
        <f aca="false">IF(U59=1,M59,"")</f>
        <v>154.65072088</v>
      </c>
      <c r="AF59" s="37" t="n">
        <f aca="false">IF(AND(U59=1,V59="Nhỏ–vừa"),M59,"")</f>
        <v>154.65072088</v>
      </c>
      <c r="AG59" s="37" t="str">
        <f aca="false">IF(AND(U59=1,V59="Lớn"),M59,"")</f>
        <v/>
      </c>
      <c r="AH59" s="37" t="n">
        <f aca="false">IF(U59=1,N59,"")</f>
        <v>112.52078833</v>
      </c>
      <c r="AI59" s="37" t="n">
        <f aca="false">IF(AND(U59=1,V59="Nhỏ–vừa"),N59,"")</f>
        <v>112.52078833</v>
      </c>
      <c r="AJ59" s="37" t="str">
        <f aca="false">IF(AND(U59=1,V59="Lớn"),N59,"")</f>
        <v/>
      </c>
      <c r="AK59" s="35" t="n">
        <f aca="false">IF(U59=1,Q59,"")</f>
        <v>0.0725047663297199</v>
      </c>
      <c r="AL59" s="35" t="str">
        <f aca="false">IF(AND(U59=1,R59&lt;&gt;""),R59,"")</f>
        <v/>
      </c>
      <c r="AM59" s="2" t="str">
        <f aca="false">A59&amp;"-"&amp;B59</f>
        <v>NTT-2023</v>
      </c>
    </row>
    <row r="60" customFormat="false" ht="15" hidden="false" customHeight="false" outlineLevel="0" collapsed="false">
      <c r="A60" s="30" t="s">
        <v>296</v>
      </c>
      <c r="B60" s="30" t="n">
        <v>2024</v>
      </c>
      <c r="C60" s="30" t="s">
        <v>357</v>
      </c>
      <c r="D60" s="31" t="n">
        <v>1233648206745</v>
      </c>
      <c r="E60" s="32" t="n">
        <v>0.0771879</v>
      </c>
      <c r="F60" s="31" t="n">
        <v>1234813575320</v>
      </c>
      <c r="G60" s="31" t="n">
        <v>739726368206</v>
      </c>
      <c r="H60" s="31" t="n">
        <v>34093204093</v>
      </c>
      <c r="I60" s="31" t="n">
        <v>67570000000</v>
      </c>
      <c r="J60" s="31" t="n">
        <v>389790016266</v>
      </c>
      <c r="K60" s="31" t="n">
        <v>29511755656</v>
      </c>
      <c r="L60" s="33" t="n">
        <v>51.58610154</v>
      </c>
      <c r="M60" s="33" t="n">
        <v>104.63331123</v>
      </c>
      <c r="N60" s="33" t="n">
        <v>73.679788</v>
      </c>
      <c r="O60" s="34" t="n">
        <f aca="false">IF(OR(D60="",E60=""),"",D60*(1-E60))</f>
        <v>1138425492327.59</v>
      </c>
      <c r="P60" s="35" t="n">
        <f aca="false">IF(OR(H60="",D60=""),"",IF(D60&lt;=0,"",(H60+N(I60))/D60))</f>
        <v>0.0824085858003555</v>
      </c>
      <c r="Q60" s="35" t="n">
        <f aca="false">IF(OR(H60="",D60=""),"",IF(D60&lt;=0,"",H60/D60))</f>
        <v>0.0276360828853758</v>
      </c>
      <c r="R60" s="35" t="n">
        <f aca="false">IF(OR(A59&lt;&gt;A60,B60&lt;=ThamSo!$C$22,H60="",H59="",D60=""),"",IF(D60&lt;=0,"",(H60-H59)/D60))</f>
        <v>-0.0194867394039581</v>
      </c>
      <c r="S60" s="36" t="str">
        <f aca="false">INDEX(HoSoDN!$H$5:$H$32,MATCH(A60,HoSoDN!$A$5:$A$32,0))</f>
        <v>FOB</v>
      </c>
      <c r="T60" s="36" t="str">
        <f aca="false">INDEX(HoSoDN!$I$5:$I$32,MATCH(A60,HoSoDN!$A$5:$A$32,0))</f>
        <v>Không</v>
      </c>
      <c r="U60" s="2" t="n">
        <f aca="false">IF(AND(S60="FOB",T60&lt;&gt;"Có",B60&gt;=ThamSo!$C$22,B60&lt;=ThamSo!$C$23,D60&lt;&gt;"",E60&lt;&gt;"",G60&lt;&gt;"",P60&lt;&gt;"",L60&lt;&gt;"",M60&lt;&gt;"",N60&lt;&gt;""),IF(D60&gt;=ThamSo!$C$11,1,0),0)</f>
        <v>1</v>
      </c>
      <c r="V60" s="2" t="str">
        <f aca="false">IF(D60="","",IF(D60&lt;=ThamSo!$C$12,"Nhỏ–vừa","Lớn"))</f>
        <v>Nhỏ–vừa</v>
      </c>
      <c r="W60" s="2" t="str">
        <f aca="false">IF(D60="","",IF(OR(D60&lt;=ThamSo!$C$13,F60&lt;=ThamSo!$C$14),"Có","Không"))</f>
        <v>Không</v>
      </c>
      <c r="X60" s="37" t="n">
        <f aca="false">IF(AND(T60&lt;&gt;"Có",M60&lt;&gt;"",D60&lt;&gt;""),IF(D60&gt;=ThamSo!$C$11,M60,""),"")</f>
        <v>104.63331123</v>
      </c>
      <c r="Y60" s="35" t="n">
        <f aca="false">IF(U60=1,P60,"")</f>
        <v>0.0824085858003555</v>
      </c>
      <c r="Z60" s="35" t="n">
        <f aca="false">IF(AND(U60=1,V60="Nhỏ–vừa"),P60,"")</f>
        <v>0.0824085858003555</v>
      </c>
      <c r="AA60" s="35" t="str">
        <f aca="false">IF(AND(U60=1,V60="Lớn"),P60,"")</f>
        <v/>
      </c>
      <c r="AB60" s="37" t="n">
        <f aca="false">IF(U60=1,L60,"")</f>
        <v>51.58610154</v>
      </c>
      <c r="AC60" s="37" t="n">
        <f aca="false">IF(AND(U60=1,V60="Nhỏ–vừa"),L60,"")</f>
        <v>51.58610154</v>
      </c>
      <c r="AD60" s="37" t="str">
        <f aca="false">IF(AND(U60=1,V60="Lớn"),L60,"")</f>
        <v/>
      </c>
      <c r="AE60" s="37" t="n">
        <f aca="false">IF(U60=1,M60,"")</f>
        <v>104.63331123</v>
      </c>
      <c r="AF60" s="37" t="n">
        <f aca="false">IF(AND(U60=1,V60="Nhỏ–vừa"),M60,"")</f>
        <v>104.63331123</v>
      </c>
      <c r="AG60" s="37" t="str">
        <f aca="false">IF(AND(U60=1,V60="Lớn"),M60,"")</f>
        <v/>
      </c>
      <c r="AH60" s="37" t="n">
        <f aca="false">IF(U60=1,N60,"")</f>
        <v>73.679788</v>
      </c>
      <c r="AI60" s="37" t="n">
        <f aca="false">IF(AND(U60=1,V60="Nhỏ–vừa"),N60,"")</f>
        <v>73.679788</v>
      </c>
      <c r="AJ60" s="37" t="str">
        <f aca="false">IF(AND(U60=1,V60="Lớn"),N60,"")</f>
        <v/>
      </c>
      <c r="AK60" s="35" t="n">
        <f aca="false">IF(U60=1,Q60,"")</f>
        <v>0.0276360828853758</v>
      </c>
      <c r="AL60" s="35" t="n">
        <f aca="false">IF(AND(U60=1,R60&lt;&gt;""),R60,"")</f>
        <v>-0.0194867394039581</v>
      </c>
      <c r="AM60" s="2" t="str">
        <f aca="false">A60&amp;"-"&amp;B60</f>
        <v>NTT-2024</v>
      </c>
    </row>
    <row r="61" customFormat="false" ht="15" hidden="false" customHeight="false" outlineLevel="0" collapsed="false">
      <c r="A61" s="30" t="s">
        <v>296</v>
      </c>
      <c r="B61" s="30" t="n">
        <v>2025</v>
      </c>
      <c r="C61" s="30" t="s">
        <v>357</v>
      </c>
      <c r="D61" s="31" t="n">
        <v>1526835689293</v>
      </c>
      <c r="E61" s="32" t="n">
        <v>0.08361146</v>
      </c>
      <c r="F61" s="31" t="n">
        <v>1123848048291</v>
      </c>
      <c r="G61" s="31" t="n">
        <v>608874680858</v>
      </c>
      <c r="H61" s="31" t="n">
        <v>51125520814</v>
      </c>
      <c r="I61" s="31" t="n">
        <v>11000000000</v>
      </c>
      <c r="J61" s="31" t="n">
        <v>239393005368</v>
      </c>
      <c r="K61" s="31" t="n">
        <v>39500751050</v>
      </c>
      <c r="L61" s="33" t="n">
        <v>51.66785441</v>
      </c>
      <c r="M61" s="33" t="n">
        <v>82.09985277</v>
      </c>
      <c r="N61" s="33" t="n">
        <v>58.33055948</v>
      </c>
      <c r="O61" s="34" t="n">
        <f aca="false">IF(OR(D61="",E61=""),"",D61*(1-E61))</f>
        <v>1399174728131.11</v>
      </c>
      <c r="P61" s="35" t="n">
        <f aca="false">IF(OR(H61="",D61=""),"",IF(D61&lt;=0,"",(H61+N(I61))/D61))</f>
        <v>0.0406890677560512</v>
      </c>
      <c r="Q61" s="35" t="n">
        <f aca="false">IF(OR(H61="",D61=""),"",IF(D61&lt;=0,"",H61/D61))</f>
        <v>0.0334846252105056</v>
      </c>
      <c r="R61" s="35" t="n">
        <f aca="false">IF(OR(A60&lt;&gt;A61,B61&lt;=ThamSo!$C$22,H61="",H60="",D61=""),"",IF(D61&lt;=0,"",(H61-H60)/D61))</f>
        <v>0.0111553042939983</v>
      </c>
      <c r="S61" s="36" t="str">
        <f aca="false">INDEX(HoSoDN!$H$5:$H$32,MATCH(A61,HoSoDN!$A$5:$A$32,0))</f>
        <v>FOB</v>
      </c>
      <c r="T61" s="36" t="str">
        <f aca="false">INDEX(HoSoDN!$I$5:$I$32,MATCH(A61,HoSoDN!$A$5:$A$32,0))</f>
        <v>Không</v>
      </c>
      <c r="U61" s="2" t="n">
        <f aca="false">IF(AND(S61="FOB",T61&lt;&gt;"Có",B61&gt;=ThamSo!$C$22,B61&lt;=ThamSo!$C$23,D61&lt;&gt;"",E61&lt;&gt;"",G61&lt;&gt;"",P61&lt;&gt;"",L61&lt;&gt;"",M61&lt;&gt;"",N61&lt;&gt;""),IF(D61&gt;=ThamSo!$C$11,1,0),0)</f>
        <v>1</v>
      </c>
      <c r="V61" s="2" t="str">
        <f aca="false">IF(D61="","",IF(D61&lt;=ThamSo!$C$12,"Nhỏ–vừa","Lớn"))</f>
        <v>Lớn</v>
      </c>
      <c r="W61" s="2" t="str">
        <f aca="false">IF(D61="","",IF(OR(D61&lt;=ThamSo!$C$13,F61&lt;=ThamSo!$C$14),"Có","Không"))</f>
        <v>Không</v>
      </c>
      <c r="X61" s="37" t="n">
        <f aca="false">IF(AND(T61&lt;&gt;"Có",M61&lt;&gt;"",D61&lt;&gt;""),IF(D61&gt;=ThamSo!$C$11,M61,""),"")</f>
        <v>82.09985277</v>
      </c>
      <c r="Y61" s="35" t="n">
        <f aca="false">IF(U61=1,P61,"")</f>
        <v>0.0406890677560512</v>
      </c>
      <c r="Z61" s="35" t="str">
        <f aca="false">IF(AND(U61=1,V61="Nhỏ–vừa"),P61,"")</f>
        <v/>
      </c>
      <c r="AA61" s="35" t="n">
        <f aca="false">IF(AND(U61=1,V61="Lớn"),P61,"")</f>
        <v>0.0406890677560512</v>
      </c>
      <c r="AB61" s="37" t="n">
        <f aca="false">IF(U61=1,L61,"")</f>
        <v>51.66785441</v>
      </c>
      <c r="AC61" s="37" t="str">
        <f aca="false">IF(AND(U61=1,V61="Nhỏ–vừa"),L61,"")</f>
        <v/>
      </c>
      <c r="AD61" s="37" t="n">
        <f aca="false">IF(AND(U61=1,V61="Lớn"),L61,"")</f>
        <v>51.66785441</v>
      </c>
      <c r="AE61" s="37" t="n">
        <f aca="false">IF(U61=1,M61,"")</f>
        <v>82.09985277</v>
      </c>
      <c r="AF61" s="37" t="str">
        <f aca="false">IF(AND(U61=1,V61="Nhỏ–vừa"),M61,"")</f>
        <v/>
      </c>
      <c r="AG61" s="37" t="n">
        <f aca="false">IF(AND(U61=1,V61="Lớn"),M61,"")</f>
        <v>82.09985277</v>
      </c>
      <c r="AH61" s="37" t="n">
        <f aca="false">IF(U61=1,N61,"")</f>
        <v>58.33055948</v>
      </c>
      <c r="AI61" s="37" t="str">
        <f aca="false">IF(AND(U61=1,V61="Nhỏ–vừa"),N61,"")</f>
        <v/>
      </c>
      <c r="AJ61" s="37" t="n">
        <f aca="false">IF(AND(U61=1,V61="Lớn"),N61,"")</f>
        <v>58.33055948</v>
      </c>
      <c r="AK61" s="35" t="n">
        <f aca="false">IF(U61=1,Q61,"")</f>
        <v>0.0334846252105056</v>
      </c>
      <c r="AL61" s="35" t="n">
        <f aca="false">IF(AND(U61=1,R61&lt;&gt;""),R61,"")</f>
        <v>0.0111553042939983</v>
      </c>
      <c r="AM61" s="2" t="str">
        <f aca="false">A61&amp;"-"&amp;B61</f>
        <v>NTT-2025</v>
      </c>
    </row>
    <row r="62" customFormat="false" ht="15" hidden="false" customHeight="false" outlineLevel="0" collapsed="false">
      <c r="A62" s="30" t="s">
        <v>298</v>
      </c>
      <c r="B62" s="30" t="n">
        <v>2023</v>
      </c>
      <c r="C62" s="30" t="s">
        <v>359</v>
      </c>
      <c r="D62" s="31" t="n">
        <v>460825919834</v>
      </c>
      <c r="E62" s="32" t="n">
        <v>0.12309845</v>
      </c>
      <c r="F62" s="31" t="n">
        <v>321783059013</v>
      </c>
      <c r="G62" s="31" t="n">
        <v>281295211998</v>
      </c>
      <c r="H62" s="31" t="n">
        <v>80773892017</v>
      </c>
      <c r="I62" s="31" t="n">
        <v>146000000000</v>
      </c>
      <c r="J62" s="31" t="n">
        <v>6041107368</v>
      </c>
      <c r="K62" s="31" t="n">
        <v>46722206980</v>
      </c>
      <c r="L62" s="33" t="n">
        <v>28.44142022</v>
      </c>
      <c r="M62" s="33" t="n">
        <v>4.95421441</v>
      </c>
      <c r="N62" s="33" t="n">
        <v>4.701281</v>
      </c>
      <c r="O62" s="34" t="n">
        <f aca="false">IF(OR(D62="",E62=""),"",D62*(1-E62))</f>
        <v>404098963382.61</v>
      </c>
      <c r="P62" s="35" t="n">
        <f aca="false">IF(OR(H62="",D62=""),"",IF(D62&lt;=0,"",(H62+N(I62))/D62))</f>
        <v>0.492103161425228</v>
      </c>
      <c r="Q62" s="35" t="n">
        <f aca="false">IF(OR(H62="",D62=""),"",IF(D62&lt;=0,"",H62/D62))</f>
        <v>0.175280704796502</v>
      </c>
      <c r="R62" s="35" t="str">
        <f aca="false">IF(OR(A61&lt;&gt;A62,B62&lt;=ThamSo!$C$22,H62="",H61="",D62=""),"",IF(D62&lt;=0,"",(H62-H61)/D62))</f>
        <v/>
      </c>
      <c r="S62" s="36" t="str">
        <f aca="false">INDEX(HoSoDN!$H$5:$H$32,MATCH(A62,HoSoDN!$A$5:$A$32,0))</f>
        <v>CMT</v>
      </c>
      <c r="T62" s="36" t="str">
        <f aca="false">INDEX(HoSoDN!$I$5:$I$32,MATCH(A62,HoSoDN!$A$5:$A$32,0))</f>
        <v>Không</v>
      </c>
      <c r="U62" s="2" t="n">
        <f aca="false">IF(AND(S62="FOB",T62&lt;&gt;"Có",B62&gt;=ThamSo!$C$22,B62&lt;=ThamSo!$C$23,D62&lt;&gt;"",E62&lt;&gt;"",G62&lt;&gt;"",P62&lt;&gt;"",L62&lt;&gt;"",M62&lt;&gt;"",N62&lt;&gt;""),IF(D62&gt;=ThamSo!$C$11,1,0),0)</f>
        <v>0</v>
      </c>
      <c r="V62" s="2" t="str">
        <f aca="false">IF(D62="","",IF(D62&lt;=ThamSo!$C$12,"Nhỏ–vừa","Lớn"))</f>
        <v>Nhỏ–vừa</v>
      </c>
      <c r="W62" s="2" t="str">
        <f aca="false">IF(D62="","",IF(OR(D62&lt;=ThamSo!$C$13,F62&lt;=ThamSo!$C$14),"Có","Không"))</f>
        <v>Không</v>
      </c>
      <c r="X62" s="37" t="n">
        <f aca="false">IF(AND(T62&lt;&gt;"Có",M62&lt;&gt;"",D62&lt;&gt;""),IF(D62&gt;=ThamSo!$C$11,M62,""),"")</f>
        <v>4.95421441</v>
      </c>
      <c r="Y62" s="35" t="str">
        <f aca="false">IF(U62=1,P62,"")</f>
        <v/>
      </c>
      <c r="Z62" s="35" t="str">
        <f aca="false">IF(AND(U62=1,V62="Nhỏ–vừa"),P62,"")</f>
        <v/>
      </c>
      <c r="AA62" s="35" t="str">
        <f aca="false">IF(AND(U62=1,V62="Lớn"),P62,"")</f>
        <v/>
      </c>
      <c r="AB62" s="37" t="str">
        <f aca="false">IF(U62=1,L62,"")</f>
        <v/>
      </c>
      <c r="AC62" s="37" t="str">
        <f aca="false">IF(AND(U62=1,V62="Nhỏ–vừa"),L62,"")</f>
        <v/>
      </c>
      <c r="AD62" s="37" t="str">
        <f aca="false">IF(AND(U62=1,V62="Lớn"),L62,"")</f>
        <v/>
      </c>
      <c r="AE62" s="37" t="str">
        <f aca="false">IF(U62=1,M62,"")</f>
        <v/>
      </c>
      <c r="AF62" s="37" t="str">
        <f aca="false">IF(AND(U62=1,V62="Nhỏ–vừa"),M62,"")</f>
        <v/>
      </c>
      <c r="AG62" s="37" t="str">
        <f aca="false">IF(AND(U62=1,V62="Lớn"),M62,"")</f>
        <v/>
      </c>
      <c r="AH62" s="37" t="str">
        <f aca="false">IF(U62=1,N62,"")</f>
        <v/>
      </c>
      <c r="AI62" s="37" t="str">
        <f aca="false">IF(AND(U62=1,V62="Nhỏ–vừa"),N62,"")</f>
        <v/>
      </c>
      <c r="AJ62" s="37" t="str">
        <f aca="false">IF(AND(U62=1,V62="Lớn"),N62,"")</f>
        <v/>
      </c>
      <c r="AK62" s="35" t="str">
        <f aca="false">IF(U62=1,Q62,"")</f>
        <v/>
      </c>
      <c r="AL62" s="35" t="str">
        <f aca="false">IF(AND(U62=1,R62&lt;&gt;""),R62,"")</f>
        <v/>
      </c>
      <c r="AM62" s="2" t="str">
        <f aca="false">A62&amp;"-"&amp;B62</f>
        <v>PTG-2023</v>
      </c>
    </row>
    <row r="63" customFormat="false" ht="15" hidden="false" customHeight="false" outlineLevel="0" collapsed="false">
      <c r="A63" s="30" t="s">
        <v>298</v>
      </c>
      <c r="B63" s="30" t="n">
        <v>2024</v>
      </c>
      <c r="C63" s="30" t="s">
        <v>359</v>
      </c>
      <c r="D63" s="31" t="n">
        <v>488148803973</v>
      </c>
      <c r="E63" s="32" t="n">
        <v>0.1322806</v>
      </c>
      <c r="F63" s="31" t="n">
        <v>363679213348</v>
      </c>
      <c r="G63" s="31" t="n">
        <v>331710162955</v>
      </c>
      <c r="H63" s="31" t="n">
        <v>121108811298</v>
      </c>
      <c r="I63" s="31" t="n">
        <v>141500000000</v>
      </c>
      <c r="J63" s="31" t="n">
        <v>4095403133</v>
      </c>
      <c r="K63" s="31" t="n">
        <v>52468288084</v>
      </c>
      <c r="L63" s="33" t="n">
        <v>26.76657327</v>
      </c>
      <c r="M63" s="33" t="n">
        <v>4.36736821</v>
      </c>
      <c r="N63" s="33" t="n">
        <v>4.1139862</v>
      </c>
      <c r="O63" s="34" t="n">
        <f aca="false">IF(OR(D63="",E63=""),"",D63*(1-E63))</f>
        <v>423576187294.169</v>
      </c>
      <c r="P63" s="35" t="n">
        <f aca="false">IF(OR(H63="",D63=""),"",IF(D63&lt;=0,"",(H63+N(I63))/D63))</f>
        <v>0.537968769278241</v>
      </c>
      <c r="Q63" s="35" t="n">
        <f aca="false">IF(OR(H63="",D63=""),"",IF(D63&lt;=0,"",H63/D63))</f>
        <v>0.248098142026173</v>
      </c>
      <c r="R63" s="35" t="n">
        <f aca="false">IF(OR(A62&lt;&gt;A63,B63&lt;=ThamSo!$C$22,H63="",H62="",D63=""),"",IF(D63&lt;=0,"",(H63-H62)/D63))</f>
        <v>0.0826283275769963</v>
      </c>
      <c r="S63" s="36" t="str">
        <f aca="false">INDEX(HoSoDN!$H$5:$H$32,MATCH(A63,HoSoDN!$A$5:$A$32,0))</f>
        <v>CMT</v>
      </c>
      <c r="T63" s="36" t="str">
        <f aca="false">INDEX(HoSoDN!$I$5:$I$32,MATCH(A63,HoSoDN!$A$5:$A$32,0))</f>
        <v>Không</v>
      </c>
      <c r="U63" s="2" t="n">
        <f aca="false">IF(AND(S63="FOB",T63&lt;&gt;"Có",B63&gt;=ThamSo!$C$22,B63&lt;=ThamSo!$C$23,D63&lt;&gt;"",E63&lt;&gt;"",G63&lt;&gt;"",P63&lt;&gt;"",L63&lt;&gt;"",M63&lt;&gt;"",N63&lt;&gt;""),IF(D63&gt;=ThamSo!$C$11,1,0),0)</f>
        <v>0</v>
      </c>
      <c r="V63" s="2" t="str">
        <f aca="false">IF(D63="","",IF(D63&lt;=ThamSo!$C$12,"Nhỏ–vừa","Lớn"))</f>
        <v>Nhỏ–vừa</v>
      </c>
      <c r="W63" s="2" t="str">
        <f aca="false">IF(D63="","",IF(OR(D63&lt;=ThamSo!$C$13,F63&lt;=ThamSo!$C$14),"Có","Không"))</f>
        <v>Không</v>
      </c>
      <c r="X63" s="37" t="n">
        <f aca="false">IF(AND(T63&lt;&gt;"Có",M63&lt;&gt;"",D63&lt;&gt;""),IF(D63&gt;=ThamSo!$C$11,M63,""),"")</f>
        <v>4.36736821</v>
      </c>
      <c r="Y63" s="35" t="str">
        <f aca="false">IF(U63=1,P63,"")</f>
        <v/>
      </c>
      <c r="Z63" s="35" t="str">
        <f aca="false">IF(AND(U63=1,V63="Nhỏ–vừa"),P63,"")</f>
        <v/>
      </c>
      <c r="AA63" s="35" t="str">
        <f aca="false">IF(AND(U63=1,V63="Lớn"),P63,"")</f>
        <v/>
      </c>
      <c r="AB63" s="37" t="str">
        <f aca="false">IF(U63=1,L63,"")</f>
        <v/>
      </c>
      <c r="AC63" s="37" t="str">
        <f aca="false">IF(AND(U63=1,V63="Nhỏ–vừa"),L63,"")</f>
        <v/>
      </c>
      <c r="AD63" s="37" t="str">
        <f aca="false">IF(AND(U63=1,V63="Lớn"),L63,"")</f>
        <v/>
      </c>
      <c r="AE63" s="37" t="str">
        <f aca="false">IF(U63=1,M63,"")</f>
        <v/>
      </c>
      <c r="AF63" s="37" t="str">
        <f aca="false">IF(AND(U63=1,V63="Nhỏ–vừa"),M63,"")</f>
        <v/>
      </c>
      <c r="AG63" s="37" t="str">
        <f aca="false">IF(AND(U63=1,V63="Lớn"),M63,"")</f>
        <v/>
      </c>
      <c r="AH63" s="37" t="str">
        <f aca="false">IF(U63=1,N63,"")</f>
        <v/>
      </c>
      <c r="AI63" s="37" t="str">
        <f aca="false">IF(AND(U63=1,V63="Nhỏ–vừa"),N63,"")</f>
        <v/>
      </c>
      <c r="AJ63" s="37" t="str">
        <f aca="false">IF(AND(U63=1,V63="Lớn"),N63,"")</f>
        <v/>
      </c>
      <c r="AK63" s="35" t="str">
        <f aca="false">IF(U63=1,Q63,"")</f>
        <v/>
      </c>
      <c r="AL63" s="35" t="str">
        <f aca="false">IF(AND(U63=1,R63&lt;&gt;""),R63,"")</f>
        <v/>
      </c>
      <c r="AM63" s="2" t="str">
        <f aca="false">A63&amp;"-"&amp;B63</f>
        <v>PTG-2024</v>
      </c>
    </row>
    <row r="64" customFormat="false" ht="15" hidden="false" customHeight="false" outlineLevel="0" collapsed="false">
      <c r="A64" s="30" t="s">
        <v>298</v>
      </c>
      <c r="B64" s="30" t="n">
        <v>2025</v>
      </c>
      <c r="C64" s="30" t="s">
        <v>359</v>
      </c>
      <c r="D64" s="31" t="n">
        <v>556072935990</v>
      </c>
      <c r="E64" s="32" t="n">
        <v>0.15441648</v>
      </c>
      <c r="F64" s="31" t="n">
        <v>385385118703</v>
      </c>
      <c r="G64" s="31" t="n">
        <v>348155715067</v>
      </c>
      <c r="H64" s="31" t="n">
        <v>195187650284</v>
      </c>
      <c r="I64" s="31" t="n">
        <v>86500000000</v>
      </c>
      <c r="J64" s="31" t="n">
        <v>4065247758</v>
      </c>
      <c r="K64" s="31" t="n">
        <v>64662527370</v>
      </c>
      <c r="L64" s="33" t="n">
        <v>30.21138961</v>
      </c>
      <c r="M64" s="33" t="n">
        <v>3.16737438</v>
      </c>
      <c r="N64" s="33" t="n">
        <v>4.33464187</v>
      </c>
      <c r="O64" s="34" t="n">
        <f aca="false">IF(OR(D64="",E64=""),"",D64*(1-E64))</f>
        <v>470206110591.159</v>
      </c>
      <c r="P64" s="35" t="n">
        <f aca="false">IF(OR(H64="",D64=""),"",IF(D64&lt;=0,"",(H64+N(I64))/D64))</f>
        <v>0.506566013291943</v>
      </c>
      <c r="Q64" s="35" t="n">
        <f aca="false">IF(OR(H64="",D64=""),"",IF(D64&lt;=0,"",H64/D64))</f>
        <v>0.351010879420879</v>
      </c>
      <c r="R64" s="35" t="n">
        <f aca="false">IF(OR(A63&lt;&gt;A64,B64&lt;=ThamSo!$C$22,H64="",H63="",D64=""),"",IF(D64&lt;=0,"",(H64-H63)/D64))</f>
        <v>0.133217846421737</v>
      </c>
      <c r="S64" s="36" t="str">
        <f aca="false">INDEX(HoSoDN!$H$5:$H$32,MATCH(A64,HoSoDN!$A$5:$A$32,0))</f>
        <v>CMT</v>
      </c>
      <c r="T64" s="36" t="str">
        <f aca="false">INDEX(HoSoDN!$I$5:$I$32,MATCH(A64,HoSoDN!$A$5:$A$32,0))</f>
        <v>Không</v>
      </c>
      <c r="U64" s="2" t="n">
        <f aca="false">IF(AND(S64="FOB",T64&lt;&gt;"Có",B64&gt;=ThamSo!$C$22,B64&lt;=ThamSo!$C$23,D64&lt;&gt;"",E64&lt;&gt;"",G64&lt;&gt;"",P64&lt;&gt;"",L64&lt;&gt;"",M64&lt;&gt;"",N64&lt;&gt;""),IF(D64&gt;=ThamSo!$C$11,1,0),0)</f>
        <v>0</v>
      </c>
      <c r="V64" s="2" t="str">
        <f aca="false">IF(D64="","",IF(D64&lt;=ThamSo!$C$12,"Nhỏ–vừa","Lớn"))</f>
        <v>Nhỏ–vừa</v>
      </c>
      <c r="W64" s="2" t="str">
        <f aca="false">IF(D64="","",IF(OR(D64&lt;=ThamSo!$C$13,F64&lt;=ThamSo!$C$14),"Có","Không"))</f>
        <v>Không</v>
      </c>
      <c r="X64" s="37" t="n">
        <f aca="false">IF(AND(T64&lt;&gt;"Có",M64&lt;&gt;"",D64&lt;&gt;""),IF(D64&gt;=ThamSo!$C$11,M64,""),"")</f>
        <v>3.16737438</v>
      </c>
      <c r="Y64" s="35" t="str">
        <f aca="false">IF(U64=1,P64,"")</f>
        <v/>
      </c>
      <c r="Z64" s="35" t="str">
        <f aca="false">IF(AND(U64=1,V64="Nhỏ–vừa"),P64,"")</f>
        <v/>
      </c>
      <c r="AA64" s="35" t="str">
        <f aca="false">IF(AND(U64=1,V64="Lớn"),P64,"")</f>
        <v/>
      </c>
      <c r="AB64" s="37" t="str">
        <f aca="false">IF(U64=1,L64,"")</f>
        <v/>
      </c>
      <c r="AC64" s="37" t="str">
        <f aca="false">IF(AND(U64=1,V64="Nhỏ–vừa"),L64,"")</f>
        <v/>
      </c>
      <c r="AD64" s="37" t="str">
        <f aca="false">IF(AND(U64=1,V64="Lớn"),L64,"")</f>
        <v/>
      </c>
      <c r="AE64" s="37" t="str">
        <f aca="false">IF(U64=1,M64,"")</f>
        <v/>
      </c>
      <c r="AF64" s="37" t="str">
        <f aca="false">IF(AND(U64=1,V64="Nhỏ–vừa"),M64,"")</f>
        <v/>
      </c>
      <c r="AG64" s="37" t="str">
        <f aca="false">IF(AND(U64=1,V64="Lớn"),M64,"")</f>
        <v/>
      </c>
      <c r="AH64" s="37" t="str">
        <f aca="false">IF(U64=1,N64,"")</f>
        <v/>
      </c>
      <c r="AI64" s="37" t="str">
        <f aca="false">IF(AND(U64=1,V64="Nhỏ–vừa"),N64,"")</f>
        <v/>
      </c>
      <c r="AJ64" s="37" t="str">
        <f aca="false">IF(AND(U64=1,V64="Lớn"),N64,"")</f>
        <v/>
      </c>
      <c r="AK64" s="35" t="str">
        <f aca="false">IF(U64=1,Q64,"")</f>
        <v/>
      </c>
      <c r="AL64" s="35" t="str">
        <f aca="false">IF(AND(U64=1,R64&lt;&gt;""),R64,"")</f>
        <v/>
      </c>
      <c r="AM64" s="2" t="str">
        <f aca="false">A64&amp;"-"&amp;B64</f>
        <v>PTG-2025</v>
      </c>
    </row>
    <row r="65" customFormat="false" ht="15" hidden="false" customHeight="false" outlineLevel="0" collapsed="false">
      <c r="A65" s="30" t="s">
        <v>300</v>
      </c>
      <c r="B65" s="30" t="n">
        <v>2023</v>
      </c>
      <c r="C65" s="30" t="s">
        <v>358</v>
      </c>
      <c r="D65" s="31" t="n">
        <v>3327935318862</v>
      </c>
      <c r="E65" s="32" t="n">
        <v>0.14998823</v>
      </c>
      <c r="F65" s="31" t="n">
        <v>3279364384954</v>
      </c>
      <c r="G65" s="31" t="n">
        <v>2130754199483</v>
      </c>
      <c r="H65" s="31" t="n">
        <v>434896282731</v>
      </c>
      <c r="I65" s="31" t="n">
        <v>312811046575</v>
      </c>
      <c r="J65" s="31" t="n">
        <v>1027930046160</v>
      </c>
      <c r="K65" s="31" t="n">
        <v>131907021874</v>
      </c>
      <c r="L65" s="33" t="n">
        <v>39.68297323</v>
      </c>
      <c r="M65" s="33" t="n">
        <v>150.80339766</v>
      </c>
      <c r="N65" s="33" t="n">
        <v>28.52545102</v>
      </c>
      <c r="O65" s="34" t="n">
        <f aca="false">IF(OR(D65="",E65=""),"",D65*(1-E65))</f>
        <v>2828784190831.4</v>
      </c>
      <c r="P65" s="35" t="n">
        <f aca="false">IF(OR(H65="",D65=""),"",IF(D65&lt;=0,"",(H65+N(I65))/D65))</f>
        <v>0.224676040146622</v>
      </c>
      <c r="Q65" s="35" t="n">
        <f aca="false">IF(OR(H65="",D65=""),"",IF(D65&lt;=0,"",H65/D65))</f>
        <v>0.130680509403565</v>
      </c>
      <c r="R65" s="35" t="str">
        <f aca="false">IF(OR(A64&lt;&gt;A65,B65&lt;=ThamSo!$C$22,H65="",H64="",D65=""),"",IF(D65&lt;=0,"",(H65-H64)/D65))</f>
        <v/>
      </c>
      <c r="S65" s="36" t="str">
        <f aca="false">INDEX(HoSoDN!$H$5:$H$32,MATCH(A65,HoSoDN!$A$5:$A$32,0))</f>
        <v>FOB</v>
      </c>
      <c r="T65" s="36" t="str">
        <f aca="false">INDEX(HoSoDN!$I$5:$I$32,MATCH(A65,HoSoDN!$A$5:$A$32,0))</f>
        <v>Không</v>
      </c>
      <c r="U65" s="2" t="n">
        <f aca="false">IF(AND(S65="FOB",T65&lt;&gt;"Có",B65&gt;=ThamSo!$C$22,B65&lt;=ThamSo!$C$23,D65&lt;&gt;"",E65&lt;&gt;"",G65&lt;&gt;"",P65&lt;&gt;"",L65&lt;&gt;"",M65&lt;&gt;"",N65&lt;&gt;""),IF(D65&gt;=ThamSo!$C$11,1,0),0)</f>
        <v>1</v>
      </c>
      <c r="V65" s="2" t="str">
        <f aca="false">IF(D65="","",IF(D65&lt;=ThamSo!$C$12,"Nhỏ–vừa","Lớn"))</f>
        <v>Lớn</v>
      </c>
      <c r="W65" s="2" t="str">
        <f aca="false">IF(D65="","",IF(OR(D65&lt;=ThamSo!$C$13,F65&lt;=ThamSo!$C$14),"Có","Không"))</f>
        <v>Không</v>
      </c>
      <c r="X65" s="37" t="n">
        <f aca="false">IF(AND(T65&lt;&gt;"Có",M65&lt;&gt;"",D65&lt;&gt;""),IF(D65&gt;=ThamSo!$C$11,M65,""),"")</f>
        <v>150.80339766</v>
      </c>
      <c r="Y65" s="35" t="n">
        <f aca="false">IF(U65=1,P65,"")</f>
        <v>0.224676040146622</v>
      </c>
      <c r="Z65" s="35" t="str">
        <f aca="false">IF(AND(U65=1,V65="Nhỏ–vừa"),P65,"")</f>
        <v/>
      </c>
      <c r="AA65" s="35" t="n">
        <f aca="false">IF(AND(U65=1,V65="Lớn"),P65,"")</f>
        <v>0.224676040146622</v>
      </c>
      <c r="AB65" s="37" t="n">
        <f aca="false">IF(U65=1,L65,"")</f>
        <v>39.68297323</v>
      </c>
      <c r="AC65" s="37" t="str">
        <f aca="false">IF(AND(U65=1,V65="Nhỏ–vừa"),L65,"")</f>
        <v/>
      </c>
      <c r="AD65" s="37" t="n">
        <f aca="false">IF(AND(U65=1,V65="Lớn"),L65,"")</f>
        <v>39.68297323</v>
      </c>
      <c r="AE65" s="37" t="n">
        <f aca="false">IF(U65=1,M65,"")</f>
        <v>150.80339766</v>
      </c>
      <c r="AF65" s="37" t="str">
        <f aca="false">IF(AND(U65=1,V65="Nhỏ–vừa"),M65,"")</f>
        <v/>
      </c>
      <c r="AG65" s="37" t="n">
        <f aca="false">IF(AND(U65=1,V65="Lớn"),M65,"")</f>
        <v>150.80339766</v>
      </c>
      <c r="AH65" s="37" t="n">
        <f aca="false">IF(U65=1,N65,"")</f>
        <v>28.52545102</v>
      </c>
      <c r="AI65" s="37" t="str">
        <f aca="false">IF(AND(U65=1,V65="Nhỏ–vừa"),N65,"")</f>
        <v/>
      </c>
      <c r="AJ65" s="37" t="n">
        <f aca="false">IF(AND(U65=1,V65="Lớn"),N65,"")</f>
        <v>28.52545102</v>
      </c>
      <c r="AK65" s="35" t="n">
        <f aca="false">IF(U65=1,Q65,"")</f>
        <v>0.130680509403565</v>
      </c>
      <c r="AL65" s="35" t="str">
        <f aca="false">IF(AND(U65=1,R65&lt;&gt;""),R65,"")</f>
        <v/>
      </c>
      <c r="AM65" s="2" t="str">
        <f aca="false">A65&amp;"-"&amp;B65</f>
        <v>TCM-2023</v>
      </c>
    </row>
    <row r="66" customFormat="false" ht="15" hidden="false" customHeight="false" outlineLevel="0" collapsed="false">
      <c r="A66" s="30" t="s">
        <v>300</v>
      </c>
      <c r="B66" s="30" t="n">
        <v>2024</v>
      </c>
      <c r="C66" s="30" t="s">
        <v>358</v>
      </c>
      <c r="D66" s="31" t="n">
        <v>3810904287996</v>
      </c>
      <c r="E66" s="32" t="n">
        <v>0.16183457</v>
      </c>
      <c r="F66" s="31" t="n">
        <v>3895534414371</v>
      </c>
      <c r="G66" s="31" t="n">
        <v>2690037141466</v>
      </c>
      <c r="H66" s="31" t="n">
        <v>563280117447</v>
      </c>
      <c r="I66" s="31" t="n">
        <v>533141312876</v>
      </c>
      <c r="J66" s="31" t="n">
        <v>1002737488623</v>
      </c>
      <c r="K66" s="31" t="n">
        <v>276064288479</v>
      </c>
      <c r="L66" s="33" t="n">
        <v>44.37421928</v>
      </c>
      <c r="M66" s="33" t="n">
        <v>119.08267348</v>
      </c>
      <c r="N66" s="33" t="n">
        <v>42.50564924</v>
      </c>
      <c r="O66" s="34" t="n">
        <f aca="false">IF(OR(D66="",E66=""),"",D66*(1-E66))</f>
        <v>3194168231237.01</v>
      </c>
      <c r="P66" s="35" t="n">
        <f aca="false">IF(OR(H66="",D66=""),"",IF(D66&lt;=0,"",(H66+N(I66))/D66))</f>
        <v>0.287706367692473</v>
      </c>
      <c r="Q66" s="35" t="n">
        <f aca="false">IF(OR(H66="",D66=""),"",IF(D66&lt;=0,"",H66/D66))</f>
        <v>0.147807469009726</v>
      </c>
      <c r="R66" s="35" t="n">
        <f aca="false">IF(OR(A65&lt;&gt;A66,B66&lt;=ThamSo!$C$22,H66="",H65="",D66=""),"",IF(D66&lt;=0,"",(H66-H65)/D66))</f>
        <v>0.0336885487049353</v>
      </c>
      <c r="S66" s="36" t="str">
        <f aca="false">INDEX(HoSoDN!$H$5:$H$32,MATCH(A66,HoSoDN!$A$5:$A$32,0))</f>
        <v>FOB</v>
      </c>
      <c r="T66" s="36" t="str">
        <f aca="false">INDEX(HoSoDN!$I$5:$I$32,MATCH(A66,HoSoDN!$A$5:$A$32,0))</f>
        <v>Không</v>
      </c>
      <c r="U66" s="2" t="n">
        <f aca="false">IF(AND(S66="FOB",T66&lt;&gt;"Có",B66&gt;=ThamSo!$C$22,B66&lt;=ThamSo!$C$23,D66&lt;&gt;"",E66&lt;&gt;"",G66&lt;&gt;"",P66&lt;&gt;"",L66&lt;&gt;"",M66&lt;&gt;"",N66&lt;&gt;""),IF(D66&gt;=ThamSo!$C$11,1,0),0)</f>
        <v>1</v>
      </c>
      <c r="V66" s="2" t="str">
        <f aca="false">IF(D66="","",IF(D66&lt;=ThamSo!$C$12,"Nhỏ–vừa","Lớn"))</f>
        <v>Lớn</v>
      </c>
      <c r="W66" s="2" t="str">
        <f aca="false">IF(D66="","",IF(OR(D66&lt;=ThamSo!$C$13,F66&lt;=ThamSo!$C$14),"Có","Không"))</f>
        <v>Không</v>
      </c>
      <c r="X66" s="37" t="n">
        <f aca="false">IF(AND(T66&lt;&gt;"Có",M66&lt;&gt;"",D66&lt;&gt;""),IF(D66&gt;=ThamSo!$C$11,M66,""),"")</f>
        <v>119.08267348</v>
      </c>
      <c r="Y66" s="35" t="n">
        <f aca="false">IF(U66=1,P66,"")</f>
        <v>0.287706367692473</v>
      </c>
      <c r="Z66" s="35" t="str">
        <f aca="false">IF(AND(U66=1,V66="Nhỏ–vừa"),P66,"")</f>
        <v/>
      </c>
      <c r="AA66" s="35" t="n">
        <f aca="false">IF(AND(U66=1,V66="Lớn"),P66,"")</f>
        <v>0.287706367692473</v>
      </c>
      <c r="AB66" s="37" t="n">
        <f aca="false">IF(U66=1,L66,"")</f>
        <v>44.37421928</v>
      </c>
      <c r="AC66" s="37" t="str">
        <f aca="false">IF(AND(U66=1,V66="Nhỏ–vừa"),L66,"")</f>
        <v/>
      </c>
      <c r="AD66" s="37" t="n">
        <f aca="false">IF(AND(U66=1,V66="Lớn"),L66,"")</f>
        <v>44.37421928</v>
      </c>
      <c r="AE66" s="37" t="n">
        <f aca="false">IF(U66=1,M66,"")</f>
        <v>119.08267348</v>
      </c>
      <c r="AF66" s="37" t="str">
        <f aca="false">IF(AND(U66=1,V66="Nhỏ–vừa"),M66,"")</f>
        <v/>
      </c>
      <c r="AG66" s="37" t="n">
        <f aca="false">IF(AND(U66=1,V66="Lớn"),M66,"")</f>
        <v>119.08267348</v>
      </c>
      <c r="AH66" s="37" t="n">
        <f aca="false">IF(U66=1,N66,"")</f>
        <v>42.50564924</v>
      </c>
      <c r="AI66" s="37" t="str">
        <f aca="false">IF(AND(U66=1,V66="Nhỏ–vừa"),N66,"")</f>
        <v/>
      </c>
      <c r="AJ66" s="37" t="n">
        <f aca="false">IF(AND(U66=1,V66="Lớn"),N66,"")</f>
        <v>42.50564924</v>
      </c>
      <c r="AK66" s="35" t="n">
        <f aca="false">IF(U66=1,Q66,"")</f>
        <v>0.147807469009726</v>
      </c>
      <c r="AL66" s="35" t="n">
        <f aca="false">IF(AND(U66=1,R66&lt;&gt;""),R66,"")</f>
        <v>0.0336885487049353</v>
      </c>
      <c r="AM66" s="2" t="str">
        <f aca="false">A66&amp;"-"&amp;B66</f>
        <v>TCM-2024</v>
      </c>
    </row>
    <row r="67" customFormat="false" ht="15" hidden="false" customHeight="false" outlineLevel="0" collapsed="false">
      <c r="A67" s="30" t="s">
        <v>300</v>
      </c>
      <c r="B67" s="30" t="n">
        <v>2025</v>
      </c>
      <c r="C67" s="30" t="s">
        <v>358</v>
      </c>
      <c r="D67" s="31" t="n">
        <v>3645252201477</v>
      </c>
      <c r="E67" s="32" t="n">
        <v>0.16268355</v>
      </c>
      <c r="F67" s="31" t="n">
        <v>4171199741030</v>
      </c>
      <c r="G67" s="31" t="n">
        <v>2810959206998</v>
      </c>
      <c r="H67" s="31" t="n">
        <v>814328555629</v>
      </c>
      <c r="I67" s="31" t="n">
        <v>375912562838</v>
      </c>
      <c r="J67" s="31" t="n">
        <v>987343611157</v>
      </c>
      <c r="K67" s="31" t="n">
        <v>269062774093</v>
      </c>
      <c r="L67" s="33" t="n">
        <v>52.39149408</v>
      </c>
      <c r="M67" s="33" t="n">
        <v>121.89984075</v>
      </c>
      <c r="N67" s="33" t="n">
        <v>52.66526953</v>
      </c>
      <c r="O67" s="34" t="n">
        <f aca="false">IF(OR(D67="",E67=""),"",D67*(1-E67))</f>
        <v>3052229632695.41</v>
      </c>
      <c r="P67" s="35" t="n">
        <f aca="false">IF(OR(H67="",D67=""),"",IF(D67&lt;=0,"",(H67+N(I67))/D67))</f>
        <v>0.326518181097246</v>
      </c>
      <c r="Q67" s="35" t="n">
        <f aca="false">IF(OR(H67="",D67=""),"",IF(D67&lt;=0,"",H67/D67))</f>
        <v>0.223394297738589</v>
      </c>
      <c r="R67" s="35" t="n">
        <f aca="false">IF(OR(A66&lt;&gt;A67,B67&lt;=ThamSo!$C$22,H67="",H66="",D67=""),"",IF(D67&lt;=0,"",(H67-H66)/D67))</f>
        <v>0.0688699777974975</v>
      </c>
      <c r="S67" s="36" t="str">
        <f aca="false">INDEX(HoSoDN!$H$5:$H$32,MATCH(A67,HoSoDN!$A$5:$A$32,0))</f>
        <v>FOB</v>
      </c>
      <c r="T67" s="36" t="str">
        <f aca="false">INDEX(HoSoDN!$I$5:$I$32,MATCH(A67,HoSoDN!$A$5:$A$32,0))</f>
        <v>Không</v>
      </c>
      <c r="U67" s="2" t="n">
        <f aca="false">IF(AND(S67="FOB",T67&lt;&gt;"Có",B67&gt;=ThamSo!$C$22,B67&lt;=ThamSo!$C$23,D67&lt;&gt;"",E67&lt;&gt;"",G67&lt;&gt;"",P67&lt;&gt;"",L67&lt;&gt;"",M67&lt;&gt;"",N67&lt;&gt;""),IF(D67&gt;=ThamSo!$C$11,1,0),0)</f>
        <v>1</v>
      </c>
      <c r="V67" s="2" t="str">
        <f aca="false">IF(D67="","",IF(D67&lt;=ThamSo!$C$12,"Nhỏ–vừa","Lớn"))</f>
        <v>Lớn</v>
      </c>
      <c r="W67" s="2" t="str">
        <f aca="false">IF(D67="","",IF(OR(D67&lt;=ThamSo!$C$13,F67&lt;=ThamSo!$C$14),"Có","Không"))</f>
        <v>Không</v>
      </c>
      <c r="X67" s="37" t="n">
        <f aca="false">IF(AND(T67&lt;&gt;"Có",M67&lt;&gt;"",D67&lt;&gt;""),IF(D67&gt;=ThamSo!$C$11,M67,""),"")</f>
        <v>121.89984075</v>
      </c>
      <c r="Y67" s="35" t="n">
        <f aca="false">IF(U67=1,P67,"")</f>
        <v>0.326518181097246</v>
      </c>
      <c r="Z67" s="35" t="str">
        <f aca="false">IF(AND(U67=1,V67="Nhỏ–vừa"),P67,"")</f>
        <v/>
      </c>
      <c r="AA67" s="35" t="n">
        <f aca="false">IF(AND(U67=1,V67="Lớn"),P67,"")</f>
        <v>0.326518181097246</v>
      </c>
      <c r="AB67" s="37" t="n">
        <f aca="false">IF(U67=1,L67,"")</f>
        <v>52.39149408</v>
      </c>
      <c r="AC67" s="37" t="str">
        <f aca="false">IF(AND(U67=1,V67="Nhỏ–vừa"),L67,"")</f>
        <v/>
      </c>
      <c r="AD67" s="37" t="n">
        <f aca="false">IF(AND(U67=1,V67="Lớn"),L67,"")</f>
        <v>52.39149408</v>
      </c>
      <c r="AE67" s="37" t="n">
        <f aca="false">IF(U67=1,M67,"")</f>
        <v>121.89984075</v>
      </c>
      <c r="AF67" s="37" t="str">
        <f aca="false">IF(AND(U67=1,V67="Nhỏ–vừa"),M67,"")</f>
        <v/>
      </c>
      <c r="AG67" s="37" t="n">
        <f aca="false">IF(AND(U67=1,V67="Lớn"),M67,"")</f>
        <v>121.89984075</v>
      </c>
      <c r="AH67" s="37" t="n">
        <f aca="false">IF(U67=1,N67,"")</f>
        <v>52.66526953</v>
      </c>
      <c r="AI67" s="37" t="str">
        <f aca="false">IF(AND(U67=1,V67="Nhỏ–vừa"),N67,"")</f>
        <v/>
      </c>
      <c r="AJ67" s="37" t="n">
        <f aca="false">IF(AND(U67=1,V67="Lớn"),N67,"")</f>
        <v>52.66526953</v>
      </c>
      <c r="AK67" s="35" t="n">
        <f aca="false">IF(U67=1,Q67,"")</f>
        <v>0.223394297738589</v>
      </c>
      <c r="AL67" s="35" t="n">
        <f aca="false">IF(AND(U67=1,R67&lt;&gt;""),R67,"")</f>
        <v>0.0688699777974975</v>
      </c>
      <c r="AM67" s="2" t="str">
        <f aca="false">A67&amp;"-"&amp;B67</f>
        <v>TCM-2025</v>
      </c>
    </row>
    <row r="68" customFormat="false" ht="15" hidden="false" customHeight="false" outlineLevel="0" collapsed="false">
      <c r="A68" s="30" t="s">
        <v>302</v>
      </c>
      <c r="B68" s="30" t="n">
        <v>2023</v>
      </c>
      <c r="C68" s="30" t="s">
        <v>360</v>
      </c>
      <c r="D68" s="31" t="n">
        <v>487142222819</v>
      </c>
      <c r="E68" s="32" t="n">
        <v>0.23318899</v>
      </c>
      <c r="F68" s="31" t="n">
        <v>585345295808</v>
      </c>
      <c r="G68" s="31" t="n">
        <v>401135195325</v>
      </c>
      <c r="H68" s="31" t="n">
        <v>17713662591</v>
      </c>
      <c r="I68" s="31" t="n">
        <v>0</v>
      </c>
      <c r="J68" s="31" t="n">
        <v>288886204494</v>
      </c>
      <c r="K68" s="31" t="n">
        <v>12975052473</v>
      </c>
      <c r="L68" s="33" t="n">
        <v>34.64300002</v>
      </c>
      <c r="M68" s="33" t="n">
        <v>255.11526195</v>
      </c>
      <c r="N68" s="33" t="n">
        <v>19.41741588</v>
      </c>
      <c r="O68" s="34" t="n">
        <f aca="false">IF(OR(D68="",E68=""),"",D68*(1-E68))</f>
        <v>373546019893.482</v>
      </c>
      <c r="P68" s="35" t="n">
        <f aca="false">IF(OR(H68="",D68=""),"",IF(D68&lt;=0,"",(H68+N(I68))/D68))</f>
        <v>0.036362404573544</v>
      </c>
      <c r="Q68" s="35" t="n">
        <f aca="false">IF(OR(H68="",D68=""),"",IF(D68&lt;=0,"",H68/D68))</f>
        <v>0.036362404573544</v>
      </c>
      <c r="R68" s="35" t="str">
        <f aca="false">IF(OR(A67&lt;&gt;A68,B68&lt;=ThamSo!$C$22,H68="",H67="",D68=""),"",IF(D68&lt;=0,"",(H68-H67)/D68))</f>
        <v/>
      </c>
      <c r="S68" s="36" t="str">
        <f aca="false">INDEX(HoSoDN!$H$5:$H$32,MATCH(A68,HoSoDN!$A$5:$A$32,0))</f>
        <v>FOB</v>
      </c>
      <c r="T68" s="36" t="str">
        <f aca="false">INDEX(HoSoDN!$I$5:$I$32,MATCH(A68,HoSoDN!$A$5:$A$32,0))</f>
        <v>Không</v>
      </c>
      <c r="U68" s="2" t="n">
        <f aca="false">IF(AND(S68="FOB",T68&lt;&gt;"Có",B68&gt;=ThamSo!$C$22,B68&lt;=ThamSo!$C$23,D68&lt;&gt;"",E68&lt;&gt;"",G68&lt;&gt;"",P68&lt;&gt;"",L68&lt;&gt;"",M68&lt;&gt;"",N68&lt;&gt;""),IF(D68&gt;=ThamSo!$C$11,1,0),0)</f>
        <v>1</v>
      </c>
      <c r="V68" s="2" t="str">
        <f aca="false">IF(D68="","",IF(D68&lt;=ThamSo!$C$12,"Nhỏ–vừa","Lớn"))</f>
        <v>Nhỏ–vừa</v>
      </c>
      <c r="W68" s="2" t="str">
        <f aca="false">IF(D68="","",IF(OR(D68&lt;=ThamSo!$C$13,F68&lt;=ThamSo!$C$14),"Có","Không"))</f>
        <v>Không</v>
      </c>
      <c r="X68" s="37" t="n">
        <f aca="false">IF(AND(T68&lt;&gt;"Có",M68&lt;&gt;"",D68&lt;&gt;""),IF(D68&gt;=ThamSo!$C$11,M68,""),"")</f>
        <v>255.11526195</v>
      </c>
      <c r="Y68" s="35" t="n">
        <f aca="false">IF(U68=1,P68,"")</f>
        <v>0.036362404573544</v>
      </c>
      <c r="Z68" s="35" t="n">
        <f aca="false">IF(AND(U68=1,V68="Nhỏ–vừa"),P68,"")</f>
        <v>0.036362404573544</v>
      </c>
      <c r="AA68" s="35" t="str">
        <f aca="false">IF(AND(U68=1,V68="Lớn"),P68,"")</f>
        <v/>
      </c>
      <c r="AB68" s="37" t="n">
        <f aca="false">IF(U68=1,L68,"")</f>
        <v>34.64300002</v>
      </c>
      <c r="AC68" s="37" t="n">
        <f aca="false">IF(AND(U68=1,V68="Nhỏ–vừa"),L68,"")</f>
        <v>34.64300002</v>
      </c>
      <c r="AD68" s="37" t="str">
        <f aca="false">IF(AND(U68=1,V68="Lớn"),L68,"")</f>
        <v/>
      </c>
      <c r="AE68" s="37" t="n">
        <f aca="false">IF(U68=1,M68,"")</f>
        <v>255.11526195</v>
      </c>
      <c r="AF68" s="37" t="n">
        <f aca="false">IF(AND(U68=1,V68="Nhỏ–vừa"),M68,"")</f>
        <v>255.11526195</v>
      </c>
      <c r="AG68" s="37" t="str">
        <f aca="false">IF(AND(U68=1,V68="Lớn"),M68,"")</f>
        <v/>
      </c>
      <c r="AH68" s="37" t="n">
        <f aca="false">IF(U68=1,N68,"")</f>
        <v>19.41741588</v>
      </c>
      <c r="AI68" s="37" t="n">
        <f aca="false">IF(AND(U68=1,V68="Nhỏ–vừa"),N68,"")</f>
        <v>19.41741588</v>
      </c>
      <c r="AJ68" s="37" t="str">
        <f aca="false">IF(AND(U68=1,V68="Lớn"),N68,"")</f>
        <v/>
      </c>
      <c r="AK68" s="35" t="n">
        <f aca="false">IF(U68=1,Q68,"")</f>
        <v>0.036362404573544</v>
      </c>
      <c r="AL68" s="35" t="str">
        <f aca="false">IF(AND(U68=1,R68&lt;&gt;""),R68,"")</f>
        <v/>
      </c>
      <c r="AM68" s="2" t="str">
        <f aca="false">A68&amp;"-"&amp;B68</f>
        <v>TDT-2023</v>
      </c>
    </row>
    <row r="69" customFormat="false" ht="15" hidden="false" customHeight="false" outlineLevel="0" collapsed="false">
      <c r="A69" s="30" t="s">
        <v>302</v>
      </c>
      <c r="B69" s="30" t="n">
        <v>2024</v>
      </c>
      <c r="C69" s="30" t="s">
        <v>360</v>
      </c>
      <c r="D69" s="31" t="n">
        <v>563129638093</v>
      </c>
      <c r="E69" s="32" t="n">
        <v>0.23726944</v>
      </c>
      <c r="F69" s="31" t="n">
        <v>615181871309</v>
      </c>
      <c r="G69" s="31" t="n">
        <v>449613307903</v>
      </c>
      <c r="H69" s="31" t="n">
        <v>66188652548</v>
      </c>
      <c r="I69" s="31" t="n">
        <v>0</v>
      </c>
      <c r="J69" s="31" t="n">
        <v>313521911320</v>
      </c>
      <c r="K69" s="31" t="n">
        <v>14794749264</v>
      </c>
      <c r="L69" s="33" t="n">
        <v>36.33661749</v>
      </c>
      <c r="M69" s="33" t="n">
        <v>256.14216454</v>
      </c>
      <c r="N69" s="33" t="n">
        <v>16.78718093</v>
      </c>
      <c r="O69" s="34" t="n">
        <f aca="false">IF(OR(D69="",E69=""),"",D69*(1-E69))</f>
        <v>429516184215.271</v>
      </c>
      <c r="P69" s="35" t="n">
        <f aca="false">IF(OR(H69="",D69=""),"",IF(D69&lt;=0,"",(H69+N(I69))/D69))</f>
        <v>0.117537149655528</v>
      </c>
      <c r="Q69" s="35" t="n">
        <f aca="false">IF(OR(H69="",D69=""),"",IF(D69&lt;=0,"",H69/D69))</f>
        <v>0.117537149655528</v>
      </c>
      <c r="R69" s="35" t="n">
        <f aca="false">IF(OR(A68&lt;&gt;A69,B69&lt;=ThamSo!$C$22,H69="",H68="",D69=""),"",IF(D69&lt;=0,"",(H69-H68)/D69))</f>
        <v>0.0860814041348583</v>
      </c>
      <c r="S69" s="36" t="str">
        <f aca="false">INDEX(HoSoDN!$H$5:$H$32,MATCH(A69,HoSoDN!$A$5:$A$32,0))</f>
        <v>FOB</v>
      </c>
      <c r="T69" s="36" t="str">
        <f aca="false">INDEX(HoSoDN!$I$5:$I$32,MATCH(A69,HoSoDN!$A$5:$A$32,0))</f>
        <v>Không</v>
      </c>
      <c r="U69" s="2" t="n">
        <f aca="false">IF(AND(S69="FOB",T69&lt;&gt;"Có",B69&gt;=ThamSo!$C$22,B69&lt;=ThamSo!$C$23,D69&lt;&gt;"",E69&lt;&gt;"",G69&lt;&gt;"",P69&lt;&gt;"",L69&lt;&gt;"",M69&lt;&gt;"",N69&lt;&gt;""),IF(D69&gt;=ThamSo!$C$11,1,0),0)</f>
        <v>1</v>
      </c>
      <c r="V69" s="2" t="str">
        <f aca="false">IF(D69="","",IF(D69&lt;=ThamSo!$C$12,"Nhỏ–vừa","Lớn"))</f>
        <v>Nhỏ–vừa</v>
      </c>
      <c r="W69" s="2" t="str">
        <f aca="false">IF(D69="","",IF(OR(D69&lt;=ThamSo!$C$13,F69&lt;=ThamSo!$C$14),"Có","Không"))</f>
        <v>Không</v>
      </c>
      <c r="X69" s="37" t="n">
        <f aca="false">IF(AND(T69&lt;&gt;"Có",M69&lt;&gt;"",D69&lt;&gt;""),IF(D69&gt;=ThamSo!$C$11,M69,""),"")</f>
        <v>256.14216454</v>
      </c>
      <c r="Y69" s="35" t="n">
        <f aca="false">IF(U69=1,P69,"")</f>
        <v>0.117537149655528</v>
      </c>
      <c r="Z69" s="35" t="n">
        <f aca="false">IF(AND(U69=1,V69="Nhỏ–vừa"),P69,"")</f>
        <v>0.117537149655528</v>
      </c>
      <c r="AA69" s="35" t="str">
        <f aca="false">IF(AND(U69=1,V69="Lớn"),P69,"")</f>
        <v/>
      </c>
      <c r="AB69" s="37" t="n">
        <f aca="false">IF(U69=1,L69,"")</f>
        <v>36.33661749</v>
      </c>
      <c r="AC69" s="37" t="n">
        <f aca="false">IF(AND(U69=1,V69="Nhỏ–vừa"),L69,"")</f>
        <v>36.33661749</v>
      </c>
      <c r="AD69" s="37" t="str">
        <f aca="false">IF(AND(U69=1,V69="Lớn"),L69,"")</f>
        <v/>
      </c>
      <c r="AE69" s="37" t="n">
        <f aca="false">IF(U69=1,M69,"")</f>
        <v>256.14216454</v>
      </c>
      <c r="AF69" s="37" t="n">
        <f aca="false">IF(AND(U69=1,V69="Nhỏ–vừa"),M69,"")</f>
        <v>256.14216454</v>
      </c>
      <c r="AG69" s="37" t="str">
        <f aca="false">IF(AND(U69=1,V69="Lớn"),M69,"")</f>
        <v/>
      </c>
      <c r="AH69" s="37" t="n">
        <f aca="false">IF(U69=1,N69,"")</f>
        <v>16.78718093</v>
      </c>
      <c r="AI69" s="37" t="n">
        <f aca="false">IF(AND(U69=1,V69="Nhỏ–vừa"),N69,"")</f>
        <v>16.78718093</v>
      </c>
      <c r="AJ69" s="37" t="str">
        <f aca="false">IF(AND(U69=1,V69="Lớn"),N69,"")</f>
        <v/>
      </c>
      <c r="AK69" s="35" t="n">
        <f aca="false">IF(U69=1,Q69,"")</f>
        <v>0.117537149655528</v>
      </c>
      <c r="AL69" s="35" t="n">
        <f aca="false">IF(AND(U69=1,R69&lt;&gt;""),R69,"")</f>
        <v>0.0860814041348583</v>
      </c>
      <c r="AM69" s="2" t="str">
        <f aca="false">A69&amp;"-"&amp;B69</f>
        <v>TDT-2024</v>
      </c>
    </row>
    <row r="70" customFormat="false" ht="15" hidden="false" customHeight="false" outlineLevel="0" collapsed="false">
      <c r="A70" s="30" t="s">
        <v>302</v>
      </c>
      <c r="B70" s="30" t="n">
        <v>2025</v>
      </c>
      <c r="C70" s="30" t="s">
        <v>360</v>
      </c>
      <c r="D70" s="31" t="n">
        <v>628215172303</v>
      </c>
      <c r="E70" s="32" t="n">
        <v>0.24663498</v>
      </c>
      <c r="F70" s="31" t="n">
        <v>664668291093</v>
      </c>
      <c r="G70" s="31" t="n">
        <v>503400375334</v>
      </c>
      <c r="H70" s="31" t="n">
        <v>69029538757</v>
      </c>
      <c r="I70" s="31" t="n">
        <v>0</v>
      </c>
      <c r="J70" s="31" t="n">
        <v>346953279488</v>
      </c>
      <c r="K70" s="31" t="n">
        <v>17169621979</v>
      </c>
      <c r="L70" s="33" t="n">
        <v>29.01355105</v>
      </c>
      <c r="M70" s="33" t="n">
        <v>254.97705074</v>
      </c>
      <c r="N70" s="33" t="n">
        <v>14.89468721</v>
      </c>
      <c r="O70" s="34" t="n">
        <f aca="false">IF(OR(D70="",E70=""),"",D70*(1-E70))</f>
        <v>473275335846.353</v>
      </c>
      <c r="P70" s="35" t="n">
        <f aca="false">IF(OR(H70="",D70=""),"",IF(D70&lt;=0,"",(H70+N(I70))/D70))</f>
        <v>0.109881998717003</v>
      </c>
      <c r="Q70" s="35" t="n">
        <f aca="false">IF(OR(H70="",D70=""),"",IF(D70&lt;=0,"",H70/D70))</f>
        <v>0.109881998717003</v>
      </c>
      <c r="R70" s="35" t="n">
        <f aca="false">IF(OR(A69&lt;&gt;A70,B70&lt;=ThamSo!$C$22,H70="",H69="",D70=""),"",IF(D70&lt;=0,"",(H70-H69)/D70))</f>
        <v>0.00452215472381139</v>
      </c>
      <c r="S70" s="36" t="str">
        <f aca="false">INDEX(HoSoDN!$H$5:$H$32,MATCH(A70,HoSoDN!$A$5:$A$32,0))</f>
        <v>FOB</v>
      </c>
      <c r="T70" s="36" t="str">
        <f aca="false">INDEX(HoSoDN!$I$5:$I$32,MATCH(A70,HoSoDN!$A$5:$A$32,0))</f>
        <v>Không</v>
      </c>
      <c r="U70" s="2" t="n">
        <f aca="false">IF(AND(S70="FOB",T70&lt;&gt;"Có",B70&gt;=ThamSo!$C$22,B70&lt;=ThamSo!$C$23,D70&lt;&gt;"",E70&lt;&gt;"",G70&lt;&gt;"",P70&lt;&gt;"",L70&lt;&gt;"",M70&lt;&gt;"",N70&lt;&gt;""),IF(D70&gt;=ThamSo!$C$11,1,0),0)</f>
        <v>1</v>
      </c>
      <c r="V70" s="2" t="str">
        <f aca="false">IF(D70="","",IF(D70&lt;=ThamSo!$C$12,"Nhỏ–vừa","Lớn"))</f>
        <v>Nhỏ–vừa</v>
      </c>
      <c r="W70" s="2" t="str">
        <f aca="false">IF(D70="","",IF(OR(D70&lt;=ThamSo!$C$13,F70&lt;=ThamSo!$C$14),"Có","Không"))</f>
        <v>Không</v>
      </c>
      <c r="X70" s="37" t="n">
        <f aca="false">IF(AND(T70&lt;&gt;"Có",M70&lt;&gt;"",D70&lt;&gt;""),IF(D70&gt;=ThamSo!$C$11,M70,""),"")</f>
        <v>254.97705074</v>
      </c>
      <c r="Y70" s="35" t="n">
        <f aca="false">IF(U70=1,P70,"")</f>
        <v>0.109881998717003</v>
      </c>
      <c r="Z70" s="35" t="n">
        <f aca="false">IF(AND(U70=1,V70="Nhỏ–vừa"),P70,"")</f>
        <v>0.109881998717003</v>
      </c>
      <c r="AA70" s="35" t="str">
        <f aca="false">IF(AND(U70=1,V70="Lớn"),P70,"")</f>
        <v/>
      </c>
      <c r="AB70" s="37" t="n">
        <f aca="false">IF(U70=1,L70,"")</f>
        <v>29.01355105</v>
      </c>
      <c r="AC70" s="37" t="n">
        <f aca="false">IF(AND(U70=1,V70="Nhỏ–vừa"),L70,"")</f>
        <v>29.01355105</v>
      </c>
      <c r="AD70" s="37" t="str">
        <f aca="false">IF(AND(U70=1,V70="Lớn"),L70,"")</f>
        <v/>
      </c>
      <c r="AE70" s="37" t="n">
        <f aca="false">IF(U70=1,M70,"")</f>
        <v>254.97705074</v>
      </c>
      <c r="AF70" s="37" t="n">
        <f aca="false">IF(AND(U70=1,V70="Nhỏ–vừa"),M70,"")</f>
        <v>254.97705074</v>
      </c>
      <c r="AG70" s="37" t="str">
        <f aca="false">IF(AND(U70=1,V70="Lớn"),M70,"")</f>
        <v/>
      </c>
      <c r="AH70" s="37" t="n">
        <f aca="false">IF(U70=1,N70,"")</f>
        <v>14.89468721</v>
      </c>
      <c r="AI70" s="37" t="n">
        <f aca="false">IF(AND(U70=1,V70="Nhỏ–vừa"),N70,"")</f>
        <v>14.89468721</v>
      </c>
      <c r="AJ70" s="37" t="str">
        <f aca="false">IF(AND(U70=1,V70="Lớn"),N70,"")</f>
        <v/>
      </c>
      <c r="AK70" s="35" t="n">
        <f aca="false">IF(U70=1,Q70,"")</f>
        <v>0.109881998717003</v>
      </c>
      <c r="AL70" s="35" t="n">
        <f aca="false">IF(AND(U70=1,R70&lt;&gt;""),R70,"")</f>
        <v>0.00452215472381139</v>
      </c>
      <c r="AM70" s="2" t="str">
        <f aca="false">A70&amp;"-"&amp;B70</f>
        <v>TDT-2025</v>
      </c>
    </row>
    <row r="71" customFormat="false" ht="15" hidden="false" customHeight="false" outlineLevel="0" collapsed="false">
      <c r="A71" s="30" t="s">
        <v>304</v>
      </c>
      <c r="B71" s="30" t="n">
        <v>2023</v>
      </c>
      <c r="C71" s="30" t="s">
        <v>357</v>
      </c>
      <c r="D71" s="31" t="n">
        <v>79651182951</v>
      </c>
      <c r="E71" s="32" t="n">
        <v>0.36379027</v>
      </c>
      <c r="F71" s="31" t="n">
        <v>174683578972</v>
      </c>
      <c r="G71" s="31" t="n">
        <v>77951662694</v>
      </c>
      <c r="H71" s="31" t="n">
        <v>72152293627</v>
      </c>
      <c r="I71" s="31" t="n">
        <v>0</v>
      </c>
      <c r="J71" s="31" t="n">
        <v>1703382594</v>
      </c>
      <c r="K71" s="31" t="n">
        <v>6486662625</v>
      </c>
      <c r="L71" s="33" t="n">
        <v>10.35512888</v>
      </c>
      <c r="M71" s="33" t="n">
        <v>22.87407415</v>
      </c>
      <c r="N71" s="33" t="n">
        <v>13.1895531</v>
      </c>
      <c r="O71" s="34" t="n">
        <f aca="false">IF(OR(D71="",E71=""),"",D71*(1-E71))</f>
        <v>50674857599.4363</v>
      </c>
      <c r="P71" s="35" t="n">
        <f aca="false">IF(OR(H71="",D71=""),"",IF(D71&lt;=0,"",(H71+N(I71))/D71))</f>
        <v>0.905853384141034</v>
      </c>
      <c r="Q71" s="35" t="n">
        <f aca="false">IF(OR(H71="",D71=""),"",IF(D71&lt;=0,"",H71/D71))</f>
        <v>0.905853384141034</v>
      </c>
      <c r="R71" s="35" t="str">
        <f aca="false">IF(OR(A70&lt;&gt;A71,B71&lt;=ThamSo!$C$22,H71="",H70="",D71=""),"",IF(D71&lt;=0,"",(H71-H70)/D71))</f>
        <v/>
      </c>
      <c r="S71" s="36" t="str">
        <f aca="false">INDEX(HoSoDN!$H$5:$H$32,MATCH(A71,HoSoDN!$A$5:$A$32,0))</f>
        <v>CMT</v>
      </c>
      <c r="T71" s="36" t="str">
        <f aca="false">INDEX(HoSoDN!$I$5:$I$32,MATCH(A71,HoSoDN!$A$5:$A$32,0))</f>
        <v>Không</v>
      </c>
      <c r="U71" s="2" t="n">
        <f aca="false">IF(AND(S71="FOB",T71&lt;&gt;"Có",B71&gt;=ThamSo!$C$22,B71&lt;=ThamSo!$C$23,D71&lt;&gt;"",E71&lt;&gt;"",G71&lt;&gt;"",P71&lt;&gt;"",L71&lt;&gt;"",M71&lt;&gt;"",N71&lt;&gt;""),IF(D71&gt;=ThamSo!$C$11,1,0),0)</f>
        <v>0</v>
      </c>
      <c r="V71" s="2" t="str">
        <f aca="false">IF(D71="","",IF(D71&lt;=ThamSo!$C$12,"Nhỏ–vừa","Lớn"))</f>
        <v>Nhỏ–vừa</v>
      </c>
      <c r="W71" s="2" t="str">
        <f aca="false">IF(D71="","",IF(OR(D71&lt;=ThamSo!$C$13,F71&lt;=ThamSo!$C$14),"Có","Không"))</f>
        <v>Có</v>
      </c>
      <c r="X71" s="37" t="n">
        <f aca="false">IF(AND(T71&lt;&gt;"Có",M71&lt;&gt;"",D71&lt;&gt;""),IF(D71&gt;=ThamSo!$C$11,M71,""),"")</f>
        <v>22.87407415</v>
      </c>
      <c r="Y71" s="35" t="str">
        <f aca="false">IF(U71=1,P71,"")</f>
        <v/>
      </c>
      <c r="Z71" s="35" t="str">
        <f aca="false">IF(AND(U71=1,V71="Nhỏ–vừa"),P71,"")</f>
        <v/>
      </c>
      <c r="AA71" s="35" t="str">
        <f aca="false">IF(AND(U71=1,V71="Lớn"),P71,"")</f>
        <v/>
      </c>
      <c r="AB71" s="37" t="str">
        <f aca="false">IF(U71=1,L71,"")</f>
        <v/>
      </c>
      <c r="AC71" s="37" t="str">
        <f aca="false">IF(AND(U71=1,V71="Nhỏ–vừa"),L71,"")</f>
        <v/>
      </c>
      <c r="AD71" s="37" t="str">
        <f aca="false">IF(AND(U71=1,V71="Lớn"),L71,"")</f>
        <v/>
      </c>
      <c r="AE71" s="37" t="str">
        <f aca="false">IF(U71=1,M71,"")</f>
        <v/>
      </c>
      <c r="AF71" s="37" t="str">
        <f aca="false">IF(AND(U71=1,V71="Nhỏ–vừa"),M71,"")</f>
        <v/>
      </c>
      <c r="AG71" s="37" t="str">
        <f aca="false">IF(AND(U71=1,V71="Lớn"),M71,"")</f>
        <v/>
      </c>
      <c r="AH71" s="37" t="str">
        <f aca="false">IF(U71=1,N71,"")</f>
        <v/>
      </c>
      <c r="AI71" s="37" t="str">
        <f aca="false">IF(AND(U71=1,V71="Nhỏ–vừa"),N71,"")</f>
        <v/>
      </c>
      <c r="AJ71" s="37" t="str">
        <f aca="false">IF(AND(U71=1,V71="Lớn"),N71,"")</f>
        <v/>
      </c>
      <c r="AK71" s="35" t="str">
        <f aca="false">IF(U71=1,Q71,"")</f>
        <v/>
      </c>
      <c r="AL71" s="35" t="str">
        <f aca="false">IF(AND(U71=1,R71&lt;&gt;""),R71,"")</f>
        <v/>
      </c>
      <c r="AM71" s="2" t="str">
        <f aca="false">A71&amp;"-"&amp;B71</f>
        <v>THM-2023</v>
      </c>
    </row>
    <row r="72" customFormat="false" ht="15" hidden="false" customHeight="false" outlineLevel="0" collapsed="false">
      <c r="A72" s="30" t="s">
        <v>304</v>
      </c>
      <c r="B72" s="30" t="n">
        <v>2024</v>
      </c>
      <c r="C72" s="30" t="s">
        <v>357</v>
      </c>
      <c r="D72" s="31" t="n">
        <v>134728448260</v>
      </c>
      <c r="E72" s="32" t="n">
        <v>0.26203309</v>
      </c>
      <c r="F72" s="31" t="n">
        <v>175598773756</v>
      </c>
      <c r="G72" s="31" t="n">
        <v>86967820758</v>
      </c>
      <c r="H72" s="31" t="n">
        <v>36178584126</v>
      </c>
      <c r="I72" s="31" t="n">
        <v>0</v>
      </c>
      <c r="J72" s="31" t="n">
        <v>343663382</v>
      </c>
      <c r="K72" s="31" t="n">
        <v>6459520474</v>
      </c>
      <c r="L72" s="33" t="n">
        <v>4.85727462</v>
      </c>
      <c r="M72" s="33" t="n">
        <v>3.75745918</v>
      </c>
      <c r="N72" s="33" t="n">
        <v>7.84935682</v>
      </c>
      <c r="O72" s="34" t="n">
        <f aca="false">IF(OR(D72="",E72=""),"",D72*(1-E72))</f>
        <v>99425136651.5271</v>
      </c>
      <c r="P72" s="35" t="n">
        <f aca="false">IF(OR(H72="",D72=""),"",IF(D72&lt;=0,"",(H72+N(I72))/D72))</f>
        <v>0.268529657939668</v>
      </c>
      <c r="Q72" s="35" t="n">
        <f aca="false">IF(OR(H72="",D72=""),"",IF(D72&lt;=0,"",H72/D72))</f>
        <v>0.268529657939668</v>
      </c>
      <c r="R72" s="35" t="n">
        <f aca="false">IF(OR(A71&lt;&gt;A72,B72&lt;=ThamSo!$C$22,H72="",H71="",D72=""),"",IF(D72&lt;=0,"",(H72-H71)/D72))</f>
        <v>-0.267009009348773</v>
      </c>
      <c r="S72" s="36" t="str">
        <f aca="false">INDEX(HoSoDN!$H$5:$H$32,MATCH(A72,HoSoDN!$A$5:$A$32,0))</f>
        <v>CMT</v>
      </c>
      <c r="T72" s="36" t="str">
        <f aca="false">INDEX(HoSoDN!$I$5:$I$32,MATCH(A72,HoSoDN!$A$5:$A$32,0))</f>
        <v>Không</v>
      </c>
      <c r="U72" s="2" t="n">
        <f aca="false">IF(AND(S72="FOB",T72&lt;&gt;"Có",B72&gt;=ThamSo!$C$22,B72&lt;=ThamSo!$C$23,D72&lt;&gt;"",E72&lt;&gt;"",G72&lt;&gt;"",P72&lt;&gt;"",L72&lt;&gt;"",M72&lt;&gt;"",N72&lt;&gt;""),IF(D72&gt;=ThamSo!$C$11,1,0),0)</f>
        <v>0</v>
      </c>
      <c r="V72" s="2" t="str">
        <f aca="false">IF(D72="","",IF(D72&lt;=ThamSo!$C$12,"Nhỏ–vừa","Lớn"))</f>
        <v>Nhỏ–vừa</v>
      </c>
      <c r="W72" s="2" t="str">
        <f aca="false">IF(D72="","",IF(OR(D72&lt;=ThamSo!$C$13,F72&lt;=ThamSo!$C$14),"Có","Không"))</f>
        <v>Có</v>
      </c>
      <c r="X72" s="37" t="n">
        <f aca="false">IF(AND(T72&lt;&gt;"Có",M72&lt;&gt;"",D72&lt;&gt;""),IF(D72&gt;=ThamSo!$C$11,M72,""),"")</f>
        <v>3.75745918</v>
      </c>
      <c r="Y72" s="35" t="str">
        <f aca="false">IF(U72=1,P72,"")</f>
        <v/>
      </c>
      <c r="Z72" s="35" t="str">
        <f aca="false">IF(AND(U72=1,V72="Nhỏ–vừa"),P72,"")</f>
        <v/>
      </c>
      <c r="AA72" s="35" t="str">
        <f aca="false">IF(AND(U72=1,V72="Lớn"),P72,"")</f>
        <v/>
      </c>
      <c r="AB72" s="37" t="str">
        <f aca="false">IF(U72=1,L72,"")</f>
        <v/>
      </c>
      <c r="AC72" s="37" t="str">
        <f aca="false">IF(AND(U72=1,V72="Nhỏ–vừa"),L72,"")</f>
        <v/>
      </c>
      <c r="AD72" s="37" t="str">
        <f aca="false">IF(AND(U72=1,V72="Lớn"),L72,"")</f>
        <v/>
      </c>
      <c r="AE72" s="37" t="str">
        <f aca="false">IF(U72=1,M72,"")</f>
        <v/>
      </c>
      <c r="AF72" s="37" t="str">
        <f aca="false">IF(AND(U72=1,V72="Nhỏ–vừa"),M72,"")</f>
        <v/>
      </c>
      <c r="AG72" s="37" t="str">
        <f aca="false">IF(AND(U72=1,V72="Lớn"),M72,"")</f>
        <v/>
      </c>
      <c r="AH72" s="37" t="str">
        <f aca="false">IF(U72=1,N72,"")</f>
        <v/>
      </c>
      <c r="AI72" s="37" t="str">
        <f aca="false">IF(AND(U72=1,V72="Nhỏ–vừa"),N72,"")</f>
        <v/>
      </c>
      <c r="AJ72" s="37" t="str">
        <f aca="false">IF(AND(U72=1,V72="Lớn"),N72,"")</f>
        <v/>
      </c>
      <c r="AK72" s="35" t="str">
        <f aca="false">IF(U72=1,Q72,"")</f>
        <v/>
      </c>
      <c r="AL72" s="35" t="str">
        <f aca="false">IF(AND(U72=1,R72&lt;&gt;""),R72,"")</f>
        <v/>
      </c>
      <c r="AM72" s="2" t="str">
        <f aca="false">A72&amp;"-"&amp;B72</f>
        <v>THM-2024</v>
      </c>
    </row>
    <row r="73" customFormat="false" ht="15" hidden="false" customHeight="false" outlineLevel="0" collapsed="false">
      <c r="A73" s="30" t="s">
        <v>304</v>
      </c>
      <c r="B73" s="30" t="n">
        <v>2025</v>
      </c>
      <c r="C73" s="30" t="s">
        <v>357</v>
      </c>
      <c r="D73" s="31" t="n">
        <v>118423411128</v>
      </c>
      <c r="E73" s="32" t="n">
        <v>0.21224414</v>
      </c>
      <c r="F73" s="31" t="n">
        <v>163821319508</v>
      </c>
      <c r="G73" s="31" t="n">
        <v>40714174580</v>
      </c>
      <c r="H73" s="31" t="n">
        <v>2068778136</v>
      </c>
      <c r="I73" s="31" t="n">
        <v>0</v>
      </c>
      <c r="J73" s="31" t="n">
        <v>2161246867</v>
      </c>
      <c r="K73" s="31" t="n">
        <v>58178885</v>
      </c>
      <c r="L73" s="33" t="n">
        <v>4.92023755</v>
      </c>
      <c r="M73" s="33" t="n">
        <v>4.90033568</v>
      </c>
      <c r="N73" s="33" t="n">
        <v>6.6574894</v>
      </c>
      <c r="O73" s="34" t="n">
        <f aca="false">IF(OR(D73="",E73=""),"",D73*(1-E73))</f>
        <v>93288736077.2712</v>
      </c>
      <c r="P73" s="35" t="n">
        <f aca="false">IF(OR(H73="",D73=""),"",IF(D73&lt;=0,"",(H73+N(I73))/D73))</f>
        <v>0.017469334114721</v>
      </c>
      <c r="Q73" s="35" t="n">
        <f aca="false">IF(OR(H73="",D73=""),"",IF(D73&lt;=0,"",H73/D73))</f>
        <v>0.017469334114721</v>
      </c>
      <c r="R73" s="35" t="n">
        <f aca="false">IF(OR(A72&lt;&gt;A73,B73&lt;=ThamSo!$C$22,H73="",H72="",D73=""),"",IF(D73&lt;=0,"",(H73-H72)/D73))</f>
        <v>-0.288032625180268</v>
      </c>
      <c r="S73" s="36" t="str">
        <f aca="false">INDEX(HoSoDN!$H$5:$H$32,MATCH(A73,HoSoDN!$A$5:$A$32,0))</f>
        <v>CMT</v>
      </c>
      <c r="T73" s="36" t="str">
        <f aca="false">INDEX(HoSoDN!$I$5:$I$32,MATCH(A73,HoSoDN!$A$5:$A$32,0))</f>
        <v>Không</v>
      </c>
      <c r="U73" s="2" t="n">
        <f aca="false">IF(AND(S73="FOB",T73&lt;&gt;"Có",B73&gt;=ThamSo!$C$22,B73&lt;=ThamSo!$C$23,D73&lt;&gt;"",E73&lt;&gt;"",G73&lt;&gt;"",P73&lt;&gt;"",L73&lt;&gt;"",M73&lt;&gt;"",N73&lt;&gt;""),IF(D73&gt;=ThamSo!$C$11,1,0),0)</f>
        <v>0</v>
      </c>
      <c r="V73" s="2" t="str">
        <f aca="false">IF(D73="","",IF(D73&lt;=ThamSo!$C$12,"Nhỏ–vừa","Lớn"))</f>
        <v>Nhỏ–vừa</v>
      </c>
      <c r="W73" s="2" t="str">
        <f aca="false">IF(D73="","",IF(OR(D73&lt;=ThamSo!$C$13,F73&lt;=ThamSo!$C$14),"Có","Không"))</f>
        <v>Có</v>
      </c>
      <c r="X73" s="37" t="n">
        <f aca="false">IF(AND(T73&lt;&gt;"Có",M73&lt;&gt;"",D73&lt;&gt;""),IF(D73&gt;=ThamSo!$C$11,M73,""),"")</f>
        <v>4.90033568</v>
      </c>
      <c r="Y73" s="35" t="str">
        <f aca="false">IF(U73=1,P73,"")</f>
        <v/>
      </c>
      <c r="Z73" s="35" t="str">
        <f aca="false">IF(AND(U73=1,V73="Nhỏ–vừa"),P73,"")</f>
        <v/>
      </c>
      <c r="AA73" s="35" t="str">
        <f aca="false">IF(AND(U73=1,V73="Lớn"),P73,"")</f>
        <v/>
      </c>
      <c r="AB73" s="37" t="str">
        <f aca="false">IF(U73=1,L73,"")</f>
        <v/>
      </c>
      <c r="AC73" s="37" t="str">
        <f aca="false">IF(AND(U73=1,V73="Nhỏ–vừa"),L73,"")</f>
        <v/>
      </c>
      <c r="AD73" s="37" t="str">
        <f aca="false">IF(AND(U73=1,V73="Lớn"),L73,"")</f>
        <v/>
      </c>
      <c r="AE73" s="37" t="str">
        <f aca="false">IF(U73=1,M73,"")</f>
        <v/>
      </c>
      <c r="AF73" s="37" t="str">
        <f aca="false">IF(AND(U73=1,V73="Nhỏ–vừa"),M73,"")</f>
        <v/>
      </c>
      <c r="AG73" s="37" t="str">
        <f aca="false">IF(AND(U73=1,V73="Lớn"),M73,"")</f>
        <v/>
      </c>
      <c r="AH73" s="37" t="str">
        <f aca="false">IF(U73=1,N73,"")</f>
        <v/>
      </c>
      <c r="AI73" s="37" t="str">
        <f aca="false">IF(AND(U73=1,V73="Nhỏ–vừa"),N73,"")</f>
        <v/>
      </c>
      <c r="AJ73" s="37" t="str">
        <f aca="false">IF(AND(U73=1,V73="Lớn"),N73,"")</f>
        <v/>
      </c>
      <c r="AK73" s="35" t="str">
        <f aca="false">IF(U73=1,Q73,"")</f>
        <v/>
      </c>
      <c r="AL73" s="35" t="str">
        <f aca="false">IF(AND(U73=1,R73&lt;&gt;""),R73,"")</f>
        <v/>
      </c>
      <c r="AM73" s="2" t="str">
        <f aca="false">A73&amp;"-"&amp;B73</f>
        <v>THM-2025</v>
      </c>
    </row>
    <row r="74" customFormat="false" ht="15" hidden="false" customHeight="false" outlineLevel="0" collapsed="false">
      <c r="A74" s="30" t="s">
        <v>306</v>
      </c>
      <c r="B74" s="30" t="n">
        <v>2023</v>
      </c>
      <c r="C74" s="30" t="s">
        <v>361</v>
      </c>
      <c r="D74" s="31" t="n">
        <v>7095204710246</v>
      </c>
      <c r="E74" s="32" t="n">
        <v>0.13815897</v>
      </c>
      <c r="F74" s="31" t="n">
        <v>5230414452595</v>
      </c>
      <c r="G74" s="31" t="n">
        <v>2259844812960</v>
      </c>
      <c r="H74" s="31" t="n">
        <v>283755423299</v>
      </c>
      <c r="I74" s="31" t="n">
        <v>15000000000</v>
      </c>
      <c r="J74" s="31" t="n">
        <v>1038742851995</v>
      </c>
      <c r="K74" s="31" t="n">
        <v>217629053790</v>
      </c>
      <c r="L74" s="33" t="n">
        <v>30.03555042</v>
      </c>
      <c r="M74" s="33" t="n">
        <v>70.38219954</v>
      </c>
      <c r="N74" s="33" t="n">
        <v>33.87791365</v>
      </c>
      <c r="O74" s="34" t="n">
        <f aca="false">IF(OR(D74="",E74=""),"",D74*(1-E74))</f>
        <v>6114938535539.27</v>
      </c>
      <c r="P74" s="35" t="n">
        <f aca="false">IF(OR(H74="",D74=""),"",IF(D74&lt;=0,"",(H74+N(I74))/D74))</f>
        <v>0.0421066671786897</v>
      </c>
      <c r="Q74" s="35" t="n">
        <f aca="false">IF(OR(H74="",D74=""),"",IF(D74&lt;=0,"",H74/D74))</f>
        <v>0.0399925632715341</v>
      </c>
      <c r="R74" s="35" t="str">
        <f aca="false">IF(OR(A73&lt;&gt;A74,B74&lt;=ThamSo!$C$22,H74="",H73="",D74=""),"",IF(D74&lt;=0,"",(H74-H73)/D74))</f>
        <v/>
      </c>
      <c r="S74" s="36" t="str">
        <f aca="false">INDEX(HoSoDN!$H$5:$H$32,MATCH(A74,HoSoDN!$A$5:$A$32,0))</f>
        <v>FOB</v>
      </c>
      <c r="T74" s="36" t="str">
        <f aca="false">INDEX(HoSoDN!$I$5:$I$32,MATCH(A74,HoSoDN!$A$5:$A$32,0))</f>
        <v>Không</v>
      </c>
      <c r="U74" s="2" t="n">
        <f aca="false">IF(AND(S74="FOB",T74&lt;&gt;"Có",B74&gt;=ThamSo!$C$22,B74&lt;=ThamSo!$C$23,D74&lt;&gt;"",E74&lt;&gt;"",G74&lt;&gt;"",P74&lt;&gt;"",L74&lt;&gt;"",M74&lt;&gt;"",N74&lt;&gt;""),IF(D74&gt;=ThamSo!$C$11,1,0),0)</f>
        <v>1</v>
      </c>
      <c r="V74" s="2" t="str">
        <f aca="false">IF(D74="","",IF(D74&lt;=ThamSo!$C$12,"Nhỏ–vừa","Lớn"))</f>
        <v>Lớn</v>
      </c>
      <c r="W74" s="2" t="str">
        <f aca="false">IF(D74="","",IF(OR(D74&lt;=ThamSo!$C$13,F74&lt;=ThamSo!$C$14),"Có","Không"))</f>
        <v>Không</v>
      </c>
      <c r="X74" s="37" t="n">
        <f aca="false">IF(AND(T74&lt;&gt;"Có",M74&lt;&gt;"",D74&lt;&gt;""),IF(D74&gt;=ThamSo!$C$11,M74,""),"")</f>
        <v>70.38219954</v>
      </c>
      <c r="Y74" s="35" t="n">
        <f aca="false">IF(U74=1,P74,"")</f>
        <v>0.0421066671786897</v>
      </c>
      <c r="Z74" s="35" t="str">
        <f aca="false">IF(AND(U74=1,V74="Nhỏ–vừa"),P74,"")</f>
        <v/>
      </c>
      <c r="AA74" s="35" t="n">
        <f aca="false">IF(AND(U74=1,V74="Lớn"),P74,"")</f>
        <v>0.0421066671786897</v>
      </c>
      <c r="AB74" s="37" t="n">
        <f aca="false">IF(U74=1,L74,"")</f>
        <v>30.03555042</v>
      </c>
      <c r="AC74" s="37" t="str">
        <f aca="false">IF(AND(U74=1,V74="Nhỏ–vừa"),L74,"")</f>
        <v/>
      </c>
      <c r="AD74" s="37" t="n">
        <f aca="false">IF(AND(U74=1,V74="Lớn"),L74,"")</f>
        <v>30.03555042</v>
      </c>
      <c r="AE74" s="37" t="n">
        <f aca="false">IF(U74=1,M74,"")</f>
        <v>70.38219954</v>
      </c>
      <c r="AF74" s="37" t="str">
        <f aca="false">IF(AND(U74=1,V74="Nhỏ–vừa"),M74,"")</f>
        <v/>
      </c>
      <c r="AG74" s="37" t="n">
        <f aca="false">IF(AND(U74=1,V74="Lớn"),M74,"")</f>
        <v>70.38219954</v>
      </c>
      <c r="AH74" s="37" t="n">
        <f aca="false">IF(U74=1,N74,"")</f>
        <v>33.87791365</v>
      </c>
      <c r="AI74" s="37" t="str">
        <f aca="false">IF(AND(U74=1,V74="Nhỏ–vừa"),N74,"")</f>
        <v/>
      </c>
      <c r="AJ74" s="37" t="n">
        <f aca="false">IF(AND(U74=1,V74="Lớn"),N74,"")</f>
        <v>33.87791365</v>
      </c>
      <c r="AK74" s="35" t="n">
        <f aca="false">IF(U74=1,Q74,"")</f>
        <v>0.0399925632715341</v>
      </c>
      <c r="AL74" s="35" t="str">
        <f aca="false">IF(AND(U74=1,R74&lt;&gt;""),R74,"")</f>
        <v/>
      </c>
      <c r="AM74" s="2" t="str">
        <f aca="false">A74&amp;"-"&amp;B74</f>
        <v>TNG-2023</v>
      </c>
    </row>
    <row r="75" customFormat="false" ht="15" hidden="false" customHeight="false" outlineLevel="0" collapsed="false">
      <c r="A75" s="30" t="s">
        <v>306</v>
      </c>
      <c r="B75" s="30" t="n">
        <v>2024</v>
      </c>
      <c r="C75" s="30" t="s">
        <v>361</v>
      </c>
      <c r="D75" s="31" t="n">
        <v>7655752759635</v>
      </c>
      <c r="E75" s="32" t="n">
        <v>0.15437835</v>
      </c>
      <c r="F75" s="31" t="n">
        <v>5816875229408</v>
      </c>
      <c r="G75" s="31" t="n">
        <v>2637646921136</v>
      </c>
      <c r="H75" s="31" t="n">
        <v>444562511913</v>
      </c>
      <c r="I75" s="31" t="n">
        <v>260000000000</v>
      </c>
      <c r="J75" s="31" t="n">
        <v>1074432497798</v>
      </c>
      <c r="K75" s="31" t="n">
        <v>314824208164</v>
      </c>
      <c r="L75" s="33" t="n">
        <v>33.0760229</v>
      </c>
      <c r="M75" s="33" t="n">
        <v>60.54259779</v>
      </c>
      <c r="N75" s="33" t="n">
        <v>35.33239076</v>
      </c>
      <c r="O75" s="34" t="n">
        <f aca="false">IF(OR(D75="",E75=""),"",D75*(1-E75))</f>
        <v>6473870280594.6</v>
      </c>
      <c r="P75" s="35" t="n">
        <f aca="false">IF(OR(H75="",D75=""),"",IF(D75&lt;=0,"",(H75+N(I75))/D75))</f>
        <v>0.0920304683332787</v>
      </c>
      <c r="Q75" s="35" t="n">
        <f aca="false">IF(OR(H75="",D75=""),"",IF(D75&lt;=0,"",H75/D75))</f>
        <v>0.0580690790142752</v>
      </c>
      <c r="R75" s="35" t="n">
        <f aca="false">IF(OR(A74&lt;&gt;A75,B75&lt;=ThamSo!$C$22,H75="",H74="",D75=""),"",IF(D75&lt;=0,"",(H75-H74)/D75))</f>
        <v>0.0210047390064444</v>
      </c>
      <c r="S75" s="36" t="str">
        <f aca="false">INDEX(HoSoDN!$H$5:$H$32,MATCH(A75,HoSoDN!$A$5:$A$32,0))</f>
        <v>FOB</v>
      </c>
      <c r="T75" s="36" t="str">
        <f aca="false">INDEX(HoSoDN!$I$5:$I$32,MATCH(A75,HoSoDN!$A$5:$A$32,0))</f>
        <v>Không</v>
      </c>
      <c r="U75" s="2" t="n">
        <f aca="false">IF(AND(S75="FOB",T75&lt;&gt;"Có",B75&gt;=ThamSo!$C$22,B75&lt;=ThamSo!$C$23,D75&lt;&gt;"",E75&lt;&gt;"",G75&lt;&gt;"",P75&lt;&gt;"",L75&lt;&gt;"",M75&lt;&gt;"",N75&lt;&gt;""),IF(D75&gt;=ThamSo!$C$11,1,0),0)</f>
        <v>1</v>
      </c>
      <c r="V75" s="2" t="str">
        <f aca="false">IF(D75="","",IF(D75&lt;=ThamSo!$C$12,"Nhỏ–vừa","Lớn"))</f>
        <v>Lớn</v>
      </c>
      <c r="W75" s="2" t="str">
        <f aca="false">IF(D75="","",IF(OR(D75&lt;=ThamSo!$C$13,F75&lt;=ThamSo!$C$14),"Có","Không"))</f>
        <v>Không</v>
      </c>
      <c r="X75" s="37" t="n">
        <f aca="false">IF(AND(T75&lt;&gt;"Có",M75&lt;&gt;"",D75&lt;&gt;""),IF(D75&gt;=ThamSo!$C$11,M75,""),"")</f>
        <v>60.54259779</v>
      </c>
      <c r="Y75" s="35" t="n">
        <f aca="false">IF(U75=1,P75,"")</f>
        <v>0.0920304683332787</v>
      </c>
      <c r="Z75" s="35" t="str">
        <f aca="false">IF(AND(U75=1,V75="Nhỏ–vừa"),P75,"")</f>
        <v/>
      </c>
      <c r="AA75" s="35" t="n">
        <f aca="false">IF(AND(U75=1,V75="Lớn"),P75,"")</f>
        <v>0.0920304683332787</v>
      </c>
      <c r="AB75" s="37" t="n">
        <f aca="false">IF(U75=1,L75,"")</f>
        <v>33.0760229</v>
      </c>
      <c r="AC75" s="37" t="str">
        <f aca="false">IF(AND(U75=1,V75="Nhỏ–vừa"),L75,"")</f>
        <v/>
      </c>
      <c r="AD75" s="37" t="n">
        <f aca="false">IF(AND(U75=1,V75="Lớn"),L75,"")</f>
        <v>33.0760229</v>
      </c>
      <c r="AE75" s="37" t="n">
        <f aca="false">IF(U75=1,M75,"")</f>
        <v>60.54259779</v>
      </c>
      <c r="AF75" s="37" t="str">
        <f aca="false">IF(AND(U75=1,V75="Nhỏ–vừa"),M75,"")</f>
        <v/>
      </c>
      <c r="AG75" s="37" t="n">
        <f aca="false">IF(AND(U75=1,V75="Lớn"),M75,"")</f>
        <v>60.54259779</v>
      </c>
      <c r="AH75" s="37" t="n">
        <f aca="false">IF(U75=1,N75,"")</f>
        <v>35.33239076</v>
      </c>
      <c r="AI75" s="37" t="str">
        <f aca="false">IF(AND(U75=1,V75="Nhỏ–vừa"),N75,"")</f>
        <v/>
      </c>
      <c r="AJ75" s="37" t="n">
        <f aca="false">IF(AND(U75=1,V75="Lớn"),N75,"")</f>
        <v>35.33239076</v>
      </c>
      <c r="AK75" s="35" t="n">
        <f aca="false">IF(U75=1,Q75,"")</f>
        <v>0.0580690790142752</v>
      </c>
      <c r="AL75" s="35" t="n">
        <f aca="false">IF(AND(U75=1,R75&lt;&gt;""),R75,"")</f>
        <v>0.0210047390064444</v>
      </c>
      <c r="AM75" s="2" t="str">
        <f aca="false">A75&amp;"-"&amp;B75</f>
        <v>TNG-2024</v>
      </c>
    </row>
    <row r="76" customFormat="false" ht="15" hidden="false" customHeight="false" outlineLevel="0" collapsed="false">
      <c r="A76" s="30" t="s">
        <v>306</v>
      </c>
      <c r="B76" s="30" t="n">
        <v>2025</v>
      </c>
      <c r="C76" s="30" t="s">
        <v>361</v>
      </c>
      <c r="D76" s="31" t="n">
        <v>8698588493272</v>
      </c>
      <c r="E76" s="32" t="n">
        <v>0.14245961</v>
      </c>
      <c r="F76" s="31" t="n">
        <v>6909526281043</v>
      </c>
      <c r="G76" s="31" t="n">
        <v>3368332182728</v>
      </c>
      <c r="H76" s="31" t="n">
        <v>314638236802</v>
      </c>
      <c r="I76" s="31" t="n">
        <v>474370776326</v>
      </c>
      <c r="J76" s="31" t="n">
        <v>1445531410182</v>
      </c>
      <c r="K76" s="31" t="n">
        <v>393094573856</v>
      </c>
      <c r="L76" s="33" t="n">
        <v>41.80020879</v>
      </c>
      <c r="M76" s="33" t="n">
        <v>73.35750663</v>
      </c>
      <c r="N76" s="33" t="n">
        <v>42.18515926</v>
      </c>
      <c r="O76" s="34" t="n">
        <f aca="false">IF(OR(D76="",E76=""),"",D76*(1-E76))</f>
        <v>7459390968969.98</v>
      </c>
      <c r="P76" s="35" t="n">
        <f aca="false">IF(OR(H76="",D76=""),"",IF(D76&lt;=0,"",(H76+N(I76))/D76))</f>
        <v>0.0907054074046917</v>
      </c>
      <c r="Q76" s="35" t="n">
        <f aca="false">IF(OR(H76="",D76=""),"",IF(D76&lt;=0,"",H76/D76))</f>
        <v>0.0361711830655468</v>
      </c>
      <c r="R76" s="35" t="n">
        <f aca="false">IF(OR(A75&lt;&gt;A76,B76&lt;=ThamSo!$C$22,H76="",H75="",D76=""),"",IF(D76&lt;=0,"",(H76-H75)/D76))</f>
        <v>-0.0149362480144326</v>
      </c>
      <c r="S76" s="36" t="str">
        <f aca="false">INDEX(HoSoDN!$H$5:$H$32,MATCH(A76,HoSoDN!$A$5:$A$32,0))</f>
        <v>FOB</v>
      </c>
      <c r="T76" s="36" t="str">
        <f aca="false">INDEX(HoSoDN!$I$5:$I$32,MATCH(A76,HoSoDN!$A$5:$A$32,0))</f>
        <v>Không</v>
      </c>
      <c r="U76" s="2" t="n">
        <f aca="false">IF(AND(S76="FOB",T76&lt;&gt;"Có",B76&gt;=ThamSo!$C$22,B76&lt;=ThamSo!$C$23,D76&lt;&gt;"",E76&lt;&gt;"",G76&lt;&gt;"",P76&lt;&gt;"",L76&lt;&gt;"",M76&lt;&gt;"",N76&lt;&gt;""),IF(D76&gt;=ThamSo!$C$11,1,0),0)</f>
        <v>1</v>
      </c>
      <c r="V76" s="2" t="str">
        <f aca="false">IF(D76="","",IF(D76&lt;=ThamSo!$C$12,"Nhỏ–vừa","Lớn"))</f>
        <v>Lớn</v>
      </c>
      <c r="W76" s="2" t="str">
        <f aca="false">IF(D76="","",IF(OR(D76&lt;=ThamSo!$C$13,F76&lt;=ThamSo!$C$14),"Có","Không"))</f>
        <v>Không</v>
      </c>
      <c r="X76" s="37" t="n">
        <f aca="false">IF(AND(T76&lt;&gt;"Có",M76&lt;&gt;"",D76&lt;&gt;""),IF(D76&gt;=ThamSo!$C$11,M76,""),"")</f>
        <v>73.35750663</v>
      </c>
      <c r="Y76" s="35" t="n">
        <f aca="false">IF(U76=1,P76,"")</f>
        <v>0.0907054074046917</v>
      </c>
      <c r="Z76" s="35" t="str">
        <f aca="false">IF(AND(U76=1,V76="Nhỏ–vừa"),P76,"")</f>
        <v/>
      </c>
      <c r="AA76" s="35" t="n">
        <f aca="false">IF(AND(U76=1,V76="Lớn"),P76,"")</f>
        <v>0.0907054074046917</v>
      </c>
      <c r="AB76" s="37" t="n">
        <f aca="false">IF(U76=1,L76,"")</f>
        <v>41.80020879</v>
      </c>
      <c r="AC76" s="37" t="str">
        <f aca="false">IF(AND(U76=1,V76="Nhỏ–vừa"),L76,"")</f>
        <v/>
      </c>
      <c r="AD76" s="37" t="n">
        <f aca="false">IF(AND(U76=1,V76="Lớn"),L76,"")</f>
        <v>41.80020879</v>
      </c>
      <c r="AE76" s="37" t="n">
        <f aca="false">IF(U76=1,M76,"")</f>
        <v>73.35750663</v>
      </c>
      <c r="AF76" s="37" t="str">
        <f aca="false">IF(AND(U76=1,V76="Nhỏ–vừa"),M76,"")</f>
        <v/>
      </c>
      <c r="AG76" s="37" t="n">
        <f aca="false">IF(AND(U76=1,V76="Lớn"),M76,"")</f>
        <v>73.35750663</v>
      </c>
      <c r="AH76" s="37" t="n">
        <f aca="false">IF(U76=1,N76,"")</f>
        <v>42.18515926</v>
      </c>
      <c r="AI76" s="37" t="str">
        <f aca="false">IF(AND(U76=1,V76="Nhỏ–vừa"),N76,"")</f>
        <v/>
      </c>
      <c r="AJ76" s="37" t="n">
        <f aca="false">IF(AND(U76=1,V76="Lớn"),N76,"")</f>
        <v>42.18515926</v>
      </c>
      <c r="AK76" s="35" t="n">
        <f aca="false">IF(U76=1,Q76,"")</f>
        <v>0.0361711830655468</v>
      </c>
      <c r="AL76" s="35" t="n">
        <f aca="false">IF(AND(U76=1,R76&lt;&gt;""),R76,"")</f>
        <v>-0.0149362480144326</v>
      </c>
      <c r="AM76" s="2" t="str">
        <f aca="false">A76&amp;"-"&amp;B76</f>
        <v>TNG-2025</v>
      </c>
    </row>
    <row r="77" customFormat="false" ht="15" hidden="false" customHeight="false" outlineLevel="0" collapsed="false">
      <c r="A77" s="30" t="s">
        <v>308</v>
      </c>
      <c r="B77" s="30" t="n">
        <v>2023</v>
      </c>
      <c r="C77" s="30" t="s">
        <v>361</v>
      </c>
      <c r="D77" s="31" t="n">
        <v>8606837411154</v>
      </c>
      <c r="E77" s="32" t="n">
        <v>0.09523211</v>
      </c>
      <c r="F77" s="31" t="n">
        <v>4960637925024</v>
      </c>
      <c r="G77" s="31" t="n">
        <v>3724543458324</v>
      </c>
      <c r="H77" s="31" t="n">
        <v>495082059081</v>
      </c>
      <c r="I77" s="31" t="n">
        <v>26954476281</v>
      </c>
      <c r="J77" s="31" t="n">
        <v>1153538355488</v>
      </c>
      <c r="K77" s="31" t="n">
        <v>191208509601</v>
      </c>
      <c r="L77" s="33" t="n">
        <v>66.16509129</v>
      </c>
      <c r="M77" s="33" t="n">
        <v>67.38164761</v>
      </c>
      <c r="N77" s="33" t="n">
        <v>98.91870929</v>
      </c>
      <c r="O77" s="34" t="n">
        <f aca="false">IF(OR(D77="",E77=""),"",D77*(1-E77))</f>
        <v>7787190124062.87</v>
      </c>
      <c r="P77" s="35" t="n">
        <f aca="false">IF(OR(H77="",D77=""),"",IF(D77&lt;=0,"",(H77+N(I77))/D77))</f>
        <v>0.0606537001251434</v>
      </c>
      <c r="Q77" s="35" t="n">
        <f aca="false">IF(OR(H77="",D77=""),"",IF(D77&lt;=0,"",H77/D77))</f>
        <v>0.0575219485893158</v>
      </c>
      <c r="R77" s="35" t="str">
        <f aca="false">IF(OR(A76&lt;&gt;A77,B77&lt;=ThamSo!$C$22,H77="",H76="",D77=""),"",IF(D77&lt;=0,"",(H77-H76)/D77))</f>
        <v/>
      </c>
      <c r="S77" s="36" t="str">
        <f aca="false">INDEX(HoSoDN!$H$5:$H$32,MATCH(A77,HoSoDN!$A$5:$A$32,0))</f>
        <v>FOB</v>
      </c>
      <c r="T77" s="36" t="str">
        <f aca="false">INDEX(HoSoDN!$I$5:$I$32,MATCH(A77,HoSoDN!$A$5:$A$32,0))</f>
        <v>Không</v>
      </c>
      <c r="U77" s="2" t="n">
        <f aca="false">IF(AND(S77="FOB",T77&lt;&gt;"Có",B77&gt;=ThamSo!$C$22,B77&lt;=ThamSo!$C$23,D77&lt;&gt;"",E77&lt;&gt;"",G77&lt;&gt;"",P77&lt;&gt;"",L77&lt;&gt;"",M77&lt;&gt;"",N77&lt;&gt;""),IF(D77&gt;=ThamSo!$C$11,1,0),0)</f>
        <v>1</v>
      </c>
      <c r="V77" s="2" t="str">
        <f aca="false">IF(D77="","",IF(D77&lt;=ThamSo!$C$12,"Nhỏ–vừa","Lớn"))</f>
        <v>Lớn</v>
      </c>
      <c r="W77" s="2" t="str">
        <f aca="false">IF(D77="","",IF(OR(D77&lt;=ThamSo!$C$13,F77&lt;=ThamSo!$C$14),"Có","Không"))</f>
        <v>Không</v>
      </c>
      <c r="X77" s="37" t="n">
        <f aca="false">IF(AND(T77&lt;&gt;"Có",M77&lt;&gt;"",D77&lt;&gt;""),IF(D77&gt;=ThamSo!$C$11,M77,""),"")</f>
        <v>67.38164761</v>
      </c>
      <c r="Y77" s="35" t="n">
        <f aca="false">IF(U77=1,P77,"")</f>
        <v>0.0606537001251434</v>
      </c>
      <c r="Z77" s="35" t="str">
        <f aca="false">IF(AND(U77=1,V77="Nhỏ–vừa"),P77,"")</f>
        <v/>
      </c>
      <c r="AA77" s="35" t="n">
        <f aca="false">IF(AND(U77=1,V77="Lớn"),P77,"")</f>
        <v>0.0606537001251434</v>
      </c>
      <c r="AB77" s="37" t="n">
        <f aca="false">IF(U77=1,L77,"")</f>
        <v>66.16509129</v>
      </c>
      <c r="AC77" s="37" t="str">
        <f aca="false">IF(AND(U77=1,V77="Nhỏ–vừa"),L77,"")</f>
        <v/>
      </c>
      <c r="AD77" s="37" t="n">
        <f aca="false">IF(AND(U77=1,V77="Lớn"),L77,"")</f>
        <v>66.16509129</v>
      </c>
      <c r="AE77" s="37" t="n">
        <f aca="false">IF(U77=1,M77,"")</f>
        <v>67.38164761</v>
      </c>
      <c r="AF77" s="37" t="str">
        <f aca="false">IF(AND(U77=1,V77="Nhỏ–vừa"),M77,"")</f>
        <v/>
      </c>
      <c r="AG77" s="37" t="n">
        <f aca="false">IF(AND(U77=1,V77="Lớn"),M77,"")</f>
        <v>67.38164761</v>
      </c>
      <c r="AH77" s="37" t="n">
        <f aca="false">IF(U77=1,N77,"")</f>
        <v>98.91870929</v>
      </c>
      <c r="AI77" s="37" t="str">
        <f aca="false">IF(AND(U77=1,V77="Nhỏ–vừa"),N77,"")</f>
        <v/>
      </c>
      <c r="AJ77" s="37" t="n">
        <f aca="false">IF(AND(U77=1,V77="Lớn"),N77,"")</f>
        <v>98.91870929</v>
      </c>
      <c r="AK77" s="35" t="n">
        <f aca="false">IF(U77=1,Q77,"")</f>
        <v>0.0575219485893158</v>
      </c>
      <c r="AL77" s="35" t="str">
        <f aca="false">IF(AND(U77=1,R77&lt;&gt;""),R77,"")</f>
        <v/>
      </c>
      <c r="AM77" s="2" t="str">
        <f aca="false">A77&amp;"-"&amp;B77</f>
        <v>VGG-2023</v>
      </c>
    </row>
    <row r="78" customFormat="false" ht="15" hidden="false" customHeight="false" outlineLevel="0" collapsed="false">
      <c r="A78" s="30" t="s">
        <v>308</v>
      </c>
      <c r="B78" s="30" t="n">
        <v>2024</v>
      </c>
      <c r="C78" s="30" t="s">
        <v>361</v>
      </c>
      <c r="D78" s="31" t="n">
        <v>9756363238727</v>
      </c>
      <c r="E78" s="32" t="n">
        <v>0.10807398</v>
      </c>
      <c r="F78" s="31" t="n">
        <v>5292050165245</v>
      </c>
      <c r="G78" s="31" t="n">
        <v>4077146627949</v>
      </c>
      <c r="H78" s="31" t="n">
        <v>802247263959</v>
      </c>
      <c r="I78" s="31" t="n">
        <v>9558241096</v>
      </c>
      <c r="J78" s="31" t="n">
        <v>1494576526720</v>
      </c>
      <c r="K78" s="31" t="n">
        <v>350973753595</v>
      </c>
      <c r="L78" s="33" t="n">
        <v>58.48321057</v>
      </c>
      <c r="M78" s="33" t="n">
        <v>56.28810723</v>
      </c>
      <c r="N78" s="33" t="n">
        <v>75.51954217</v>
      </c>
      <c r="O78" s="34" t="n">
        <f aca="false">IF(OR(D78="",E78=""),"",D78*(1-E78))</f>
        <v>8701954233192.08</v>
      </c>
      <c r="P78" s="35" t="n">
        <f aca="false">IF(OR(H78="",D78=""),"",IF(D78&lt;=0,"",(H78+N(I78))/D78))</f>
        <v>0.0832077983559091</v>
      </c>
      <c r="Q78" s="35" t="n">
        <f aca="false">IF(OR(H78="",D78=""),"",IF(D78&lt;=0,"",H78/D78))</f>
        <v>0.0822281053225399</v>
      </c>
      <c r="R78" s="35" t="n">
        <f aca="false">IF(OR(A77&lt;&gt;A78,B78&lt;=ThamSo!$C$22,H78="",H77="",D78=""),"",IF(D78&lt;=0,"",(H78-H77)/D78))</f>
        <v>0.0314835761402092</v>
      </c>
      <c r="S78" s="36" t="str">
        <f aca="false">INDEX(HoSoDN!$H$5:$H$32,MATCH(A78,HoSoDN!$A$5:$A$32,0))</f>
        <v>FOB</v>
      </c>
      <c r="T78" s="36" t="str">
        <f aca="false">INDEX(HoSoDN!$I$5:$I$32,MATCH(A78,HoSoDN!$A$5:$A$32,0))</f>
        <v>Không</v>
      </c>
      <c r="U78" s="2" t="n">
        <f aca="false">IF(AND(S78="FOB",T78&lt;&gt;"Có",B78&gt;=ThamSo!$C$22,B78&lt;=ThamSo!$C$23,D78&lt;&gt;"",E78&lt;&gt;"",G78&lt;&gt;"",P78&lt;&gt;"",L78&lt;&gt;"",M78&lt;&gt;"",N78&lt;&gt;""),IF(D78&gt;=ThamSo!$C$11,1,0),0)</f>
        <v>1</v>
      </c>
      <c r="V78" s="2" t="str">
        <f aca="false">IF(D78="","",IF(D78&lt;=ThamSo!$C$12,"Nhỏ–vừa","Lớn"))</f>
        <v>Lớn</v>
      </c>
      <c r="W78" s="2" t="str">
        <f aca="false">IF(D78="","",IF(OR(D78&lt;=ThamSo!$C$13,F78&lt;=ThamSo!$C$14),"Có","Không"))</f>
        <v>Không</v>
      </c>
      <c r="X78" s="37" t="n">
        <f aca="false">IF(AND(T78&lt;&gt;"Có",M78&lt;&gt;"",D78&lt;&gt;""),IF(D78&gt;=ThamSo!$C$11,M78,""),"")</f>
        <v>56.28810723</v>
      </c>
      <c r="Y78" s="35" t="n">
        <f aca="false">IF(U78=1,P78,"")</f>
        <v>0.0832077983559091</v>
      </c>
      <c r="Z78" s="35" t="str">
        <f aca="false">IF(AND(U78=1,V78="Nhỏ–vừa"),P78,"")</f>
        <v/>
      </c>
      <c r="AA78" s="35" t="n">
        <f aca="false">IF(AND(U78=1,V78="Lớn"),P78,"")</f>
        <v>0.0832077983559091</v>
      </c>
      <c r="AB78" s="37" t="n">
        <f aca="false">IF(U78=1,L78,"")</f>
        <v>58.48321057</v>
      </c>
      <c r="AC78" s="37" t="str">
        <f aca="false">IF(AND(U78=1,V78="Nhỏ–vừa"),L78,"")</f>
        <v/>
      </c>
      <c r="AD78" s="37" t="n">
        <f aca="false">IF(AND(U78=1,V78="Lớn"),L78,"")</f>
        <v>58.48321057</v>
      </c>
      <c r="AE78" s="37" t="n">
        <f aca="false">IF(U78=1,M78,"")</f>
        <v>56.28810723</v>
      </c>
      <c r="AF78" s="37" t="str">
        <f aca="false">IF(AND(U78=1,V78="Nhỏ–vừa"),M78,"")</f>
        <v/>
      </c>
      <c r="AG78" s="37" t="n">
        <f aca="false">IF(AND(U78=1,V78="Lớn"),M78,"")</f>
        <v>56.28810723</v>
      </c>
      <c r="AH78" s="37" t="n">
        <f aca="false">IF(U78=1,N78,"")</f>
        <v>75.51954217</v>
      </c>
      <c r="AI78" s="37" t="str">
        <f aca="false">IF(AND(U78=1,V78="Nhỏ–vừa"),N78,"")</f>
        <v/>
      </c>
      <c r="AJ78" s="37" t="n">
        <f aca="false">IF(AND(U78=1,V78="Lớn"),N78,"")</f>
        <v>75.51954217</v>
      </c>
      <c r="AK78" s="35" t="n">
        <f aca="false">IF(U78=1,Q78,"")</f>
        <v>0.0822281053225399</v>
      </c>
      <c r="AL78" s="35" t="n">
        <f aca="false">IF(AND(U78=1,R78&lt;&gt;""),R78,"")</f>
        <v>0.0314835761402092</v>
      </c>
      <c r="AM78" s="2" t="str">
        <f aca="false">A78&amp;"-"&amp;B78</f>
        <v>VGG-2024</v>
      </c>
    </row>
    <row r="79" customFormat="false" ht="15" hidden="false" customHeight="false" outlineLevel="0" collapsed="false">
      <c r="A79" s="30" t="s">
        <v>308</v>
      </c>
      <c r="B79" s="30" t="n">
        <v>2025</v>
      </c>
      <c r="C79" s="30" t="s">
        <v>361</v>
      </c>
      <c r="D79" s="31" t="n">
        <v>10510903558693</v>
      </c>
      <c r="E79" s="32" t="n">
        <v>0.10738748</v>
      </c>
      <c r="F79" s="31" t="n">
        <v>5877148441437</v>
      </c>
      <c r="G79" s="31" t="n">
        <v>4597423614093</v>
      </c>
      <c r="H79" s="31" t="n">
        <v>809630349055</v>
      </c>
      <c r="I79" s="31" t="n">
        <v>120000000000</v>
      </c>
      <c r="J79" s="31" t="n">
        <v>1442089823868</v>
      </c>
      <c r="K79" s="31" t="n">
        <v>423394898923</v>
      </c>
      <c r="L79" s="33" t="n">
        <v>56.92157999</v>
      </c>
      <c r="M79" s="33" t="n">
        <v>57.60614383</v>
      </c>
      <c r="N79" s="33" t="n">
        <v>76.86591314</v>
      </c>
      <c r="O79" s="34" t="n">
        <f aca="false">IF(OR(D79="",E79=""),"",D79*(1-E79))</f>
        <v>9382164113001.93</v>
      </c>
      <c r="P79" s="35" t="n">
        <f aca="false">IF(OR(H79="",D79=""),"",IF(D79&lt;=0,"",(H79+N(I79))/D79))</f>
        <v>0.0884443800539063</v>
      </c>
      <c r="Q79" s="35" t="n">
        <f aca="false">IF(OR(H79="",D79=""),"",IF(D79&lt;=0,"",H79/D79))</f>
        <v>0.0770276641331561</v>
      </c>
      <c r="R79" s="35" t="n">
        <f aca="false">IF(OR(A78&lt;&gt;A79,B79&lt;=ThamSo!$C$22,H79="",H78="",D79=""),"",IF(D79&lt;=0,"",(H79-H78)/D79))</f>
        <v>0.000702421542997971</v>
      </c>
      <c r="S79" s="36" t="str">
        <f aca="false">INDEX(HoSoDN!$H$5:$H$32,MATCH(A79,HoSoDN!$A$5:$A$32,0))</f>
        <v>FOB</v>
      </c>
      <c r="T79" s="36" t="str">
        <f aca="false">INDEX(HoSoDN!$I$5:$I$32,MATCH(A79,HoSoDN!$A$5:$A$32,0))</f>
        <v>Không</v>
      </c>
      <c r="U79" s="2" t="n">
        <f aca="false">IF(AND(S79="FOB",T79&lt;&gt;"Có",B79&gt;=ThamSo!$C$22,B79&lt;=ThamSo!$C$23,D79&lt;&gt;"",E79&lt;&gt;"",G79&lt;&gt;"",P79&lt;&gt;"",L79&lt;&gt;"",M79&lt;&gt;"",N79&lt;&gt;""),IF(D79&gt;=ThamSo!$C$11,1,0),0)</f>
        <v>1</v>
      </c>
      <c r="V79" s="2" t="str">
        <f aca="false">IF(D79="","",IF(D79&lt;=ThamSo!$C$12,"Nhỏ–vừa","Lớn"))</f>
        <v>Lớn</v>
      </c>
      <c r="W79" s="2" t="str">
        <f aca="false">IF(D79="","",IF(OR(D79&lt;=ThamSo!$C$13,F79&lt;=ThamSo!$C$14),"Có","Không"))</f>
        <v>Không</v>
      </c>
      <c r="X79" s="37" t="n">
        <f aca="false">IF(AND(T79&lt;&gt;"Có",M79&lt;&gt;"",D79&lt;&gt;""),IF(D79&gt;=ThamSo!$C$11,M79,""),"")</f>
        <v>57.60614383</v>
      </c>
      <c r="Y79" s="35" t="n">
        <f aca="false">IF(U79=1,P79,"")</f>
        <v>0.0884443800539063</v>
      </c>
      <c r="Z79" s="35" t="str">
        <f aca="false">IF(AND(U79=1,V79="Nhỏ–vừa"),P79,"")</f>
        <v/>
      </c>
      <c r="AA79" s="35" t="n">
        <f aca="false">IF(AND(U79=1,V79="Lớn"),P79,"")</f>
        <v>0.0884443800539063</v>
      </c>
      <c r="AB79" s="37" t="n">
        <f aca="false">IF(U79=1,L79,"")</f>
        <v>56.92157999</v>
      </c>
      <c r="AC79" s="37" t="str">
        <f aca="false">IF(AND(U79=1,V79="Nhỏ–vừa"),L79,"")</f>
        <v/>
      </c>
      <c r="AD79" s="37" t="n">
        <f aca="false">IF(AND(U79=1,V79="Lớn"),L79,"")</f>
        <v>56.92157999</v>
      </c>
      <c r="AE79" s="37" t="n">
        <f aca="false">IF(U79=1,M79,"")</f>
        <v>57.60614383</v>
      </c>
      <c r="AF79" s="37" t="str">
        <f aca="false">IF(AND(U79=1,V79="Nhỏ–vừa"),M79,"")</f>
        <v/>
      </c>
      <c r="AG79" s="37" t="n">
        <f aca="false">IF(AND(U79=1,V79="Lớn"),M79,"")</f>
        <v>57.60614383</v>
      </c>
      <c r="AH79" s="37" t="n">
        <f aca="false">IF(U79=1,N79,"")</f>
        <v>76.86591314</v>
      </c>
      <c r="AI79" s="37" t="str">
        <f aca="false">IF(AND(U79=1,V79="Nhỏ–vừa"),N79,"")</f>
        <v/>
      </c>
      <c r="AJ79" s="37" t="n">
        <f aca="false">IF(AND(U79=1,V79="Lớn"),N79,"")</f>
        <v>76.86591314</v>
      </c>
      <c r="AK79" s="35" t="n">
        <f aca="false">IF(U79=1,Q79,"")</f>
        <v>0.0770276641331561</v>
      </c>
      <c r="AL79" s="35" t="n">
        <f aca="false">IF(AND(U79=1,R79&lt;&gt;""),R79,"")</f>
        <v>0.000702421542997971</v>
      </c>
      <c r="AM79" s="2" t="str">
        <f aca="false">A79&amp;"-"&amp;B79</f>
        <v>VGG-2025</v>
      </c>
    </row>
    <row r="80" customFormat="false" ht="15" hidden="false" customHeight="false" outlineLevel="0" collapsed="false">
      <c r="A80" s="30" t="s">
        <v>310</v>
      </c>
      <c r="B80" s="30" t="n">
        <v>2023</v>
      </c>
      <c r="C80" s="30" t="s">
        <v>357</v>
      </c>
      <c r="D80" s="31" t="n">
        <v>9247808664</v>
      </c>
      <c r="E80" s="32" t="n">
        <v>0.31717879</v>
      </c>
      <c r="F80" s="31" t="n">
        <v>12035420412</v>
      </c>
      <c r="G80" s="31" t="n">
        <v>8804471454</v>
      </c>
      <c r="H80" s="31" t="n">
        <v>734099884</v>
      </c>
      <c r="I80" s="31" t="n">
        <v>0</v>
      </c>
      <c r="J80" s="31" t="n">
        <v>0</v>
      </c>
      <c r="K80" s="31" t="n">
        <v>44464101374</v>
      </c>
      <c r="L80" s="33" t="n">
        <v>9368.3258699</v>
      </c>
      <c r="M80" s="33" t="n">
        <v>3.10783747</v>
      </c>
      <c r="N80" s="33" t="n">
        <v>360.01028268</v>
      </c>
      <c r="O80" s="34" t="n">
        <f aca="false">IF(OR(D80="",E80=""),"",D80*(1-E80))</f>
        <v>6314599901.80096</v>
      </c>
      <c r="P80" s="35" t="n">
        <f aca="false">IF(OR(H80="",D80=""),"",IF(D80&lt;=0,"",(H80+N(I80))/D80))</f>
        <v>0.0793809550642753</v>
      </c>
      <c r="Q80" s="35" t="n">
        <f aca="false">IF(OR(H80="",D80=""),"",IF(D80&lt;=0,"",H80/D80))</f>
        <v>0.0793809550642753</v>
      </c>
      <c r="R80" s="35" t="str">
        <f aca="false">IF(OR(A79&lt;&gt;A80,B80&lt;=ThamSo!$C$22,H80="",H79="",D80=""),"",IF(D80&lt;=0,"",(H80-H79)/D80))</f>
        <v/>
      </c>
      <c r="S80" s="36" t="str">
        <f aca="false">INDEX(HoSoDN!$H$5:$H$32,MATCH(A80,HoSoDN!$A$5:$A$32,0))</f>
        <v>Loại</v>
      </c>
      <c r="T80" s="36" t="str">
        <f aca="false">INDEX(HoSoDN!$I$5:$I$32,MATCH(A80,HoSoDN!$A$5:$A$32,0))</f>
        <v>Có</v>
      </c>
      <c r="U80" s="2" t="n">
        <f aca="false">IF(AND(S80="FOB",T80&lt;&gt;"Có",B80&gt;=ThamSo!$C$22,B80&lt;=ThamSo!$C$23,D80&lt;&gt;"",E80&lt;&gt;"",G80&lt;&gt;"",P80&lt;&gt;"",L80&lt;&gt;"",M80&lt;&gt;"",N80&lt;&gt;""),IF(D80&gt;=ThamSo!$C$11,1,0),0)</f>
        <v>0</v>
      </c>
      <c r="V80" s="2" t="str">
        <f aca="false">IF(D80="","",IF(D80&lt;=ThamSo!$C$12,"Nhỏ–vừa","Lớn"))</f>
        <v>Nhỏ–vừa</v>
      </c>
      <c r="W80" s="2" t="str">
        <f aca="false">IF(D80="","",IF(OR(D80&lt;=ThamSo!$C$13,F80&lt;=ThamSo!$C$14),"Có","Không"))</f>
        <v>Có</v>
      </c>
      <c r="X80" s="37" t="str">
        <f aca="false">IF(AND(T80&lt;&gt;"Có",M80&lt;&gt;"",D80&lt;&gt;""),IF(D80&gt;=ThamSo!$C$11,M80,""),"")</f>
        <v/>
      </c>
      <c r="Y80" s="35" t="str">
        <f aca="false">IF(U80=1,P80,"")</f>
        <v/>
      </c>
      <c r="Z80" s="35" t="str">
        <f aca="false">IF(AND(U80=1,V80="Nhỏ–vừa"),P80,"")</f>
        <v/>
      </c>
      <c r="AA80" s="35" t="str">
        <f aca="false">IF(AND(U80=1,V80="Lớn"),P80,"")</f>
        <v/>
      </c>
      <c r="AB80" s="37" t="str">
        <f aca="false">IF(U80=1,L80,"")</f>
        <v/>
      </c>
      <c r="AC80" s="37" t="str">
        <f aca="false">IF(AND(U80=1,V80="Nhỏ–vừa"),L80,"")</f>
        <v/>
      </c>
      <c r="AD80" s="37" t="str">
        <f aca="false">IF(AND(U80=1,V80="Lớn"),L80,"")</f>
        <v/>
      </c>
      <c r="AE80" s="37" t="str">
        <f aca="false">IF(U80=1,M80,"")</f>
        <v/>
      </c>
      <c r="AF80" s="37" t="str">
        <f aca="false">IF(AND(U80=1,V80="Nhỏ–vừa"),M80,"")</f>
        <v/>
      </c>
      <c r="AG80" s="37" t="str">
        <f aca="false">IF(AND(U80=1,V80="Lớn"),M80,"")</f>
        <v/>
      </c>
      <c r="AH80" s="37" t="str">
        <f aca="false">IF(U80=1,N80,"")</f>
        <v/>
      </c>
      <c r="AI80" s="37" t="str">
        <f aca="false">IF(AND(U80=1,V80="Nhỏ–vừa"),N80,"")</f>
        <v/>
      </c>
      <c r="AJ80" s="37" t="str">
        <f aca="false">IF(AND(U80=1,V80="Lớn"),N80,"")</f>
        <v/>
      </c>
      <c r="AK80" s="35" t="str">
        <f aca="false">IF(U80=1,Q80,"")</f>
        <v/>
      </c>
      <c r="AL80" s="35" t="str">
        <f aca="false">IF(AND(U80=1,R80&lt;&gt;""),R80,"")</f>
        <v/>
      </c>
      <c r="AM80" s="2" t="str">
        <f aca="false">A80&amp;"-"&amp;B80</f>
        <v>VTI-2023</v>
      </c>
    </row>
    <row r="81" customFormat="false" ht="15" hidden="false" customHeight="false" outlineLevel="0" collapsed="false">
      <c r="A81" s="30" t="s">
        <v>310</v>
      </c>
      <c r="B81" s="30" t="n">
        <v>2024</v>
      </c>
      <c r="C81" s="30" t="s">
        <v>357</v>
      </c>
      <c r="D81" s="31" t="n">
        <v>4871069227</v>
      </c>
      <c r="E81" s="32" t="n">
        <v>0.79357596</v>
      </c>
      <c r="F81" s="31" t="n">
        <v>3473364641</v>
      </c>
      <c r="G81" s="31" t="n">
        <v>342724247</v>
      </c>
      <c r="H81" s="31" t="n">
        <v>268342720</v>
      </c>
      <c r="I81" s="31" t="n">
        <v>0</v>
      </c>
      <c r="J81" s="31" t="n">
        <v>0</v>
      </c>
      <c r="K81" s="31" t="n">
        <v>3388972003</v>
      </c>
      <c r="L81" s="33" t="n">
        <v>17498.70197985</v>
      </c>
      <c r="M81" s="33" t="n">
        <v>19.51729209</v>
      </c>
      <c r="N81" s="33" t="n">
        <v>2172.02380967</v>
      </c>
      <c r="O81" s="34" t="n">
        <f aca="false">IF(OR(D81="",E81=""),"",D81*(1-E81))</f>
        <v>1005505788.95702</v>
      </c>
      <c r="P81" s="35" t="n">
        <f aca="false">IF(OR(H81="",D81=""),"",IF(D81&lt;=0,"",(H81+N(I81))/D81))</f>
        <v>0.0550890795213082</v>
      </c>
      <c r="Q81" s="35" t="n">
        <f aca="false">IF(OR(H81="",D81=""),"",IF(D81&lt;=0,"",H81/D81))</f>
        <v>0.0550890795213082</v>
      </c>
      <c r="R81" s="35" t="n">
        <f aca="false">IF(OR(A80&lt;&gt;A81,B81&lt;=ThamSo!$C$22,H81="",H80="",D81=""),"",IF(D81&lt;=0,"",(H81-H80)/D81))</f>
        <v>-0.0956170282734518</v>
      </c>
      <c r="S81" s="36" t="str">
        <f aca="false">INDEX(HoSoDN!$H$5:$H$32,MATCH(A81,HoSoDN!$A$5:$A$32,0))</f>
        <v>Loại</v>
      </c>
      <c r="T81" s="36" t="str">
        <f aca="false">INDEX(HoSoDN!$I$5:$I$32,MATCH(A81,HoSoDN!$A$5:$A$32,0))</f>
        <v>Có</v>
      </c>
      <c r="U81" s="2" t="n">
        <f aca="false">IF(AND(S81="FOB",T81&lt;&gt;"Có",B81&gt;=ThamSo!$C$22,B81&lt;=ThamSo!$C$23,D81&lt;&gt;"",E81&lt;&gt;"",G81&lt;&gt;"",P81&lt;&gt;"",L81&lt;&gt;"",M81&lt;&gt;"",N81&lt;&gt;""),IF(D81&gt;=ThamSo!$C$11,1,0),0)</f>
        <v>0</v>
      </c>
      <c r="V81" s="2" t="str">
        <f aca="false">IF(D81="","",IF(D81&lt;=ThamSo!$C$12,"Nhỏ–vừa","Lớn"))</f>
        <v>Nhỏ–vừa</v>
      </c>
      <c r="W81" s="2" t="str">
        <f aca="false">IF(D81="","",IF(OR(D81&lt;=ThamSo!$C$13,F81&lt;=ThamSo!$C$14),"Có","Không"))</f>
        <v>Có</v>
      </c>
      <c r="X81" s="37" t="str">
        <f aca="false">IF(AND(T81&lt;&gt;"Có",M81&lt;&gt;"",D81&lt;&gt;""),IF(D81&gt;=ThamSo!$C$11,M81,""),"")</f>
        <v/>
      </c>
      <c r="Y81" s="35" t="str">
        <f aca="false">IF(U81=1,P81,"")</f>
        <v/>
      </c>
      <c r="Z81" s="35" t="str">
        <f aca="false">IF(AND(U81=1,V81="Nhỏ–vừa"),P81,"")</f>
        <v/>
      </c>
      <c r="AA81" s="35" t="str">
        <f aca="false">IF(AND(U81=1,V81="Lớn"),P81,"")</f>
        <v/>
      </c>
      <c r="AB81" s="37" t="str">
        <f aca="false">IF(U81=1,L81,"")</f>
        <v/>
      </c>
      <c r="AC81" s="37" t="str">
        <f aca="false">IF(AND(U81=1,V81="Nhỏ–vừa"),L81,"")</f>
        <v/>
      </c>
      <c r="AD81" s="37" t="str">
        <f aca="false">IF(AND(U81=1,V81="Lớn"),L81,"")</f>
        <v/>
      </c>
      <c r="AE81" s="37" t="str">
        <f aca="false">IF(U81=1,M81,"")</f>
        <v/>
      </c>
      <c r="AF81" s="37" t="str">
        <f aca="false">IF(AND(U81=1,V81="Nhỏ–vừa"),M81,"")</f>
        <v/>
      </c>
      <c r="AG81" s="37" t="str">
        <f aca="false">IF(AND(U81=1,V81="Lớn"),M81,"")</f>
        <v/>
      </c>
      <c r="AH81" s="37" t="str">
        <f aca="false">IF(U81=1,N81,"")</f>
        <v/>
      </c>
      <c r="AI81" s="37" t="str">
        <f aca="false">IF(AND(U81=1,V81="Nhỏ–vừa"),N81,"")</f>
        <v/>
      </c>
      <c r="AJ81" s="37" t="str">
        <f aca="false">IF(AND(U81=1,V81="Lớn"),N81,"")</f>
        <v/>
      </c>
      <c r="AK81" s="35" t="str">
        <f aca="false">IF(U81=1,Q81,"")</f>
        <v/>
      </c>
      <c r="AL81" s="35" t="str">
        <f aca="false">IF(AND(U81=1,R81&lt;&gt;""),R81,"")</f>
        <v/>
      </c>
      <c r="AM81" s="2" t="str">
        <f aca="false">A81&amp;"-"&amp;B81</f>
        <v>VTI-2024</v>
      </c>
    </row>
    <row r="82" customFormat="false" ht="15" hidden="false" customHeight="false" outlineLevel="0" collapsed="false">
      <c r="A82" s="30" t="s">
        <v>310</v>
      </c>
      <c r="B82" s="30" t="n">
        <v>2025</v>
      </c>
      <c r="C82" s="30" t="s">
        <v>357</v>
      </c>
      <c r="D82" s="31" t="n">
        <v>4820334221</v>
      </c>
      <c r="E82" s="32" t="n">
        <v>0.80149775</v>
      </c>
      <c r="F82" s="31" t="n">
        <v>1721287069</v>
      </c>
      <c r="G82" s="31" t="n">
        <v>685355949</v>
      </c>
      <c r="H82" s="31" t="n">
        <v>579090871</v>
      </c>
      <c r="I82" s="31" t="n">
        <v>0</v>
      </c>
      <c r="J82" s="31" t="n">
        <v>0</v>
      </c>
      <c r="K82" s="31" t="n">
        <v>6330677160</v>
      </c>
      <c r="L82" s="33" t="n">
        <v>17544.95594534</v>
      </c>
      <c r="M82" s="33" t="n">
        <v>20.50980623</v>
      </c>
      <c r="N82" s="33" t="n">
        <v>2336.24371694</v>
      </c>
      <c r="O82" s="34" t="n">
        <f aca="false">IF(OR(D82="",E82=""),"",D82*(1-E82))</f>
        <v>956847188.620497</v>
      </c>
      <c r="P82" s="35" t="n">
        <f aca="false">IF(OR(H82="",D82=""),"",IF(D82&lt;=0,"",(H82+N(I82))/D82))</f>
        <v>0.120135004016353</v>
      </c>
      <c r="Q82" s="35" t="n">
        <f aca="false">IF(OR(H82="",D82=""),"",IF(D82&lt;=0,"",H82/D82))</f>
        <v>0.120135004016353</v>
      </c>
      <c r="R82" s="35" t="n">
        <f aca="false">IF(OR(A81&lt;&gt;A82,B82&lt;=ThamSo!$C$22,H82="",H81="",D82=""),"",IF(D82&lt;=0,"",(H82-H81)/D82))</f>
        <v>0.0644661006380454</v>
      </c>
      <c r="S82" s="36" t="str">
        <f aca="false">INDEX(HoSoDN!$H$5:$H$32,MATCH(A82,HoSoDN!$A$5:$A$32,0))</f>
        <v>Loại</v>
      </c>
      <c r="T82" s="36" t="str">
        <f aca="false">INDEX(HoSoDN!$I$5:$I$32,MATCH(A82,HoSoDN!$A$5:$A$32,0))</f>
        <v>Có</v>
      </c>
      <c r="U82" s="2" t="n">
        <f aca="false">IF(AND(S82="FOB",T82&lt;&gt;"Có",B82&gt;=ThamSo!$C$22,B82&lt;=ThamSo!$C$23,D82&lt;&gt;"",E82&lt;&gt;"",G82&lt;&gt;"",P82&lt;&gt;"",L82&lt;&gt;"",M82&lt;&gt;"",N82&lt;&gt;""),IF(D82&gt;=ThamSo!$C$11,1,0),0)</f>
        <v>0</v>
      </c>
      <c r="V82" s="2" t="str">
        <f aca="false">IF(D82="","",IF(D82&lt;=ThamSo!$C$12,"Nhỏ–vừa","Lớn"))</f>
        <v>Nhỏ–vừa</v>
      </c>
      <c r="W82" s="2" t="str">
        <f aca="false">IF(D82="","",IF(OR(D82&lt;=ThamSo!$C$13,F82&lt;=ThamSo!$C$14),"Có","Không"))</f>
        <v>Có</v>
      </c>
      <c r="X82" s="37" t="str">
        <f aca="false">IF(AND(T82&lt;&gt;"Có",M82&lt;&gt;"",D82&lt;&gt;""),IF(D82&gt;=ThamSo!$C$11,M82,""),"")</f>
        <v/>
      </c>
      <c r="Y82" s="35" t="str">
        <f aca="false">IF(U82=1,P82,"")</f>
        <v/>
      </c>
      <c r="Z82" s="35" t="str">
        <f aca="false">IF(AND(U82=1,V82="Nhỏ–vừa"),P82,"")</f>
        <v/>
      </c>
      <c r="AA82" s="35" t="str">
        <f aca="false">IF(AND(U82=1,V82="Lớn"),P82,"")</f>
        <v/>
      </c>
      <c r="AB82" s="37" t="str">
        <f aca="false">IF(U82=1,L82,"")</f>
        <v/>
      </c>
      <c r="AC82" s="37" t="str">
        <f aca="false">IF(AND(U82=1,V82="Nhỏ–vừa"),L82,"")</f>
        <v/>
      </c>
      <c r="AD82" s="37" t="str">
        <f aca="false">IF(AND(U82=1,V82="Lớn"),L82,"")</f>
        <v/>
      </c>
      <c r="AE82" s="37" t="str">
        <f aca="false">IF(U82=1,M82,"")</f>
        <v/>
      </c>
      <c r="AF82" s="37" t="str">
        <f aca="false">IF(AND(U82=1,V82="Nhỏ–vừa"),M82,"")</f>
        <v/>
      </c>
      <c r="AG82" s="37" t="str">
        <f aca="false">IF(AND(U82=1,V82="Lớn"),M82,"")</f>
        <v/>
      </c>
      <c r="AH82" s="37" t="str">
        <f aca="false">IF(U82=1,N82,"")</f>
        <v/>
      </c>
      <c r="AI82" s="37" t="str">
        <f aca="false">IF(AND(U82=1,V82="Nhỏ–vừa"),N82,"")</f>
        <v/>
      </c>
      <c r="AJ82" s="37" t="str">
        <f aca="false">IF(AND(U82=1,V82="Lớn"),N82,"")</f>
        <v/>
      </c>
      <c r="AK82" s="35" t="str">
        <f aca="false">IF(U82=1,Q82,"")</f>
        <v/>
      </c>
      <c r="AL82" s="35" t="str">
        <f aca="false">IF(AND(U82=1,R82&lt;&gt;""),R82,"")</f>
        <v/>
      </c>
      <c r="AM82" s="2" t="str">
        <f aca="false">A82&amp;"-"&amp;B82</f>
        <v>VTI-2025</v>
      </c>
    </row>
    <row r="83" customFormat="false" ht="15" hidden="false" customHeight="false" outlineLevel="0" collapsed="false">
      <c r="A83" s="30" t="s">
        <v>313</v>
      </c>
      <c r="B83" s="30" t="n">
        <v>2023</v>
      </c>
      <c r="C83" s="30" t="s">
        <v>357</v>
      </c>
      <c r="D83" s="31" t="n">
        <v>1034395080781</v>
      </c>
      <c r="E83" s="32" t="n">
        <v>0.16480855</v>
      </c>
      <c r="F83" s="31" t="n">
        <v>589764035144</v>
      </c>
      <c r="G83" s="31" t="n">
        <v>380902925026</v>
      </c>
      <c r="H83" s="31" t="n">
        <v>55568521339</v>
      </c>
      <c r="I83" s="31" t="n">
        <v>300000000</v>
      </c>
      <c r="J83" s="31" t="n">
        <v>219539809977</v>
      </c>
      <c r="K83" s="31" t="n">
        <v>20380492065</v>
      </c>
      <c r="L83" s="33" t="n">
        <v>29.27016342</v>
      </c>
      <c r="M83" s="33" t="n">
        <v>85.91404006</v>
      </c>
      <c r="N83" s="33" t="n">
        <v>78.55328725</v>
      </c>
      <c r="O83" s="34" t="n">
        <f aca="false">IF(OR(D83="",E83=""),"",D83*(1-E83))</f>
        <v>863917927390.351</v>
      </c>
      <c r="P83" s="35" t="n">
        <f aca="false">IF(OR(H83="",D83=""),"",IF(D83&lt;=0,"",(H83+N(I83))/D83))</f>
        <v>0.054010814994226</v>
      </c>
      <c r="Q83" s="35" t="n">
        <f aca="false">IF(OR(H83="",D83=""),"",IF(D83&lt;=0,"",H83/D83))</f>
        <v>0.0537207904131215</v>
      </c>
      <c r="R83" s="35" t="str">
        <f aca="false">IF(OR(A82&lt;&gt;A83,B83&lt;=ThamSo!$C$22,H83="",H82="",D83=""),"",IF(D83&lt;=0,"",(H83-H82)/D83))</f>
        <v/>
      </c>
      <c r="S83" s="36" t="str">
        <f aca="false">INDEX(HoSoDN!$H$5:$H$32,MATCH(A83,HoSoDN!$A$5:$A$32,0))</f>
        <v>FOB</v>
      </c>
      <c r="T83" s="36" t="str">
        <f aca="false">INDEX(HoSoDN!$I$5:$I$32,MATCH(A83,HoSoDN!$A$5:$A$32,0))</f>
        <v>Không</v>
      </c>
      <c r="U83" s="2" t="n">
        <f aca="false">IF(AND(S83="FOB",T83&lt;&gt;"Có",B83&gt;=ThamSo!$C$22,B83&lt;=ThamSo!$C$23,D83&lt;&gt;"",E83&lt;&gt;"",G83&lt;&gt;"",P83&lt;&gt;"",L83&lt;&gt;"",M83&lt;&gt;"",N83&lt;&gt;""),IF(D83&gt;=ThamSo!$C$11,1,0),0)</f>
        <v>1</v>
      </c>
      <c r="V83" s="2" t="str">
        <f aca="false">IF(D83="","",IF(D83&lt;=ThamSo!$C$12,"Nhỏ–vừa","Lớn"))</f>
        <v>Nhỏ–vừa</v>
      </c>
      <c r="W83" s="2" t="str">
        <f aca="false">IF(D83="","",IF(OR(D83&lt;=ThamSo!$C$13,F83&lt;=ThamSo!$C$14),"Có","Không"))</f>
        <v>Không</v>
      </c>
      <c r="X83" s="37" t="n">
        <f aca="false">IF(AND(T83&lt;&gt;"Có",M83&lt;&gt;"",D83&lt;&gt;""),IF(D83&gt;=ThamSo!$C$11,M83,""),"")</f>
        <v>85.91404006</v>
      </c>
      <c r="Y83" s="35" t="n">
        <f aca="false">IF(U83=1,P83,"")</f>
        <v>0.054010814994226</v>
      </c>
      <c r="Z83" s="35" t="n">
        <f aca="false">IF(AND(U83=1,V83="Nhỏ–vừa"),P83,"")</f>
        <v>0.054010814994226</v>
      </c>
      <c r="AA83" s="35" t="str">
        <f aca="false">IF(AND(U83=1,V83="Lớn"),P83,"")</f>
        <v/>
      </c>
      <c r="AB83" s="37" t="n">
        <f aca="false">IF(U83=1,L83,"")</f>
        <v>29.27016342</v>
      </c>
      <c r="AC83" s="37" t="n">
        <f aca="false">IF(AND(U83=1,V83="Nhỏ–vừa"),L83,"")</f>
        <v>29.27016342</v>
      </c>
      <c r="AD83" s="37" t="str">
        <f aca="false">IF(AND(U83=1,V83="Lớn"),L83,"")</f>
        <v/>
      </c>
      <c r="AE83" s="37" t="n">
        <f aca="false">IF(U83=1,M83,"")</f>
        <v>85.91404006</v>
      </c>
      <c r="AF83" s="37" t="n">
        <f aca="false">IF(AND(U83=1,V83="Nhỏ–vừa"),M83,"")</f>
        <v>85.91404006</v>
      </c>
      <c r="AG83" s="37" t="str">
        <f aca="false">IF(AND(U83=1,V83="Lớn"),M83,"")</f>
        <v/>
      </c>
      <c r="AH83" s="37" t="n">
        <f aca="false">IF(U83=1,N83,"")</f>
        <v>78.55328725</v>
      </c>
      <c r="AI83" s="37" t="n">
        <f aca="false">IF(AND(U83=1,V83="Nhỏ–vừa"),N83,"")</f>
        <v>78.55328725</v>
      </c>
      <c r="AJ83" s="37" t="str">
        <f aca="false">IF(AND(U83=1,V83="Lớn"),N83,"")</f>
        <v/>
      </c>
      <c r="AK83" s="35" t="n">
        <f aca="false">IF(U83=1,Q83,"")</f>
        <v>0.0537207904131215</v>
      </c>
      <c r="AL83" s="35" t="str">
        <f aca="false">IF(AND(U83=1,R83&lt;&gt;""),R83,"")</f>
        <v/>
      </c>
      <c r="AM83" s="2" t="str">
        <f aca="false">A83&amp;"-"&amp;B83</f>
        <v>X20-2023</v>
      </c>
    </row>
    <row r="84" customFormat="false" ht="15" hidden="false" customHeight="false" outlineLevel="0" collapsed="false">
      <c r="A84" s="30" t="s">
        <v>313</v>
      </c>
      <c r="B84" s="30" t="n">
        <v>2024</v>
      </c>
      <c r="C84" s="30" t="s">
        <v>357</v>
      </c>
      <c r="D84" s="31" t="n">
        <v>1301769510923</v>
      </c>
      <c r="E84" s="32" t="n">
        <v>0.18401166</v>
      </c>
      <c r="F84" s="31" t="n">
        <v>689073335693</v>
      </c>
      <c r="G84" s="31" t="n">
        <v>498601724905</v>
      </c>
      <c r="H84" s="31" t="n">
        <v>231086174686</v>
      </c>
      <c r="I84" s="31" t="n">
        <v>400000000</v>
      </c>
      <c r="J84" s="31" t="n">
        <v>178244994817</v>
      </c>
      <c r="K84" s="31" t="n">
        <v>45223758758</v>
      </c>
      <c r="L84" s="33" t="n">
        <v>22.11726546</v>
      </c>
      <c r="M84" s="33" t="n">
        <v>69.9651124</v>
      </c>
      <c r="N84" s="33" t="n">
        <v>72.42039395</v>
      </c>
      <c r="O84" s="34" t="n">
        <f aca="false">IF(OR(D84="",E84=""),"",D84*(1-E84))</f>
        <v>1062228742280.67</v>
      </c>
      <c r="P84" s="35" t="n">
        <f aca="false">IF(OR(H84="",D84=""),"",IF(D84&lt;=0,"",(H84+N(I84))/D84))</f>
        <v>0.177824240576865</v>
      </c>
      <c r="Q84" s="35" t="n">
        <f aca="false">IF(OR(H84="",D84=""),"",IF(D84&lt;=0,"",H84/D84))</f>
        <v>0.177516966519021</v>
      </c>
      <c r="R84" s="35" t="n">
        <f aca="false">IF(OR(A83&lt;&gt;A84,B84&lt;=ThamSo!$C$22,H84="",H83="",D84=""),"",IF(D84&lt;=0,"",(H84-H83)/D84))</f>
        <v>0.134830053918341</v>
      </c>
      <c r="S84" s="36" t="str">
        <f aca="false">INDEX(HoSoDN!$H$5:$H$32,MATCH(A84,HoSoDN!$A$5:$A$32,0))</f>
        <v>FOB</v>
      </c>
      <c r="T84" s="36" t="str">
        <f aca="false">INDEX(HoSoDN!$I$5:$I$32,MATCH(A84,HoSoDN!$A$5:$A$32,0))</f>
        <v>Không</v>
      </c>
      <c r="U84" s="2" t="n">
        <f aca="false">IF(AND(S84="FOB",T84&lt;&gt;"Có",B84&gt;=ThamSo!$C$22,B84&lt;=ThamSo!$C$23,D84&lt;&gt;"",E84&lt;&gt;"",G84&lt;&gt;"",P84&lt;&gt;"",L84&lt;&gt;"",M84&lt;&gt;"",N84&lt;&gt;""),IF(D84&gt;=ThamSo!$C$11,1,0),0)</f>
        <v>1</v>
      </c>
      <c r="V84" s="2" t="str">
        <f aca="false">IF(D84="","",IF(D84&lt;=ThamSo!$C$12,"Nhỏ–vừa","Lớn"))</f>
        <v>Nhỏ–vừa</v>
      </c>
      <c r="W84" s="2" t="str">
        <f aca="false">IF(D84="","",IF(OR(D84&lt;=ThamSo!$C$13,F84&lt;=ThamSo!$C$14),"Có","Không"))</f>
        <v>Không</v>
      </c>
      <c r="X84" s="37" t="n">
        <f aca="false">IF(AND(T84&lt;&gt;"Có",M84&lt;&gt;"",D84&lt;&gt;""),IF(D84&gt;=ThamSo!$C$11,M84,""),"")</f>
        <v>69.9651124</v>
      </c>
      <c r="Y84" s="35" t="n">
        <f aca="false">IF(U84=1,P84,"")</f>
        <v>0.177824240576865</v>
      </c>
      <c r="Z84" s="35" t="n">
        <f aca="false">IF(AND(U84=1,V84="Nhỏ–vừa"),P84,"")</f>
        <v>0.177824240576865</v>
      </c>
      <c r="AA84" s="35" t="str">
        <f aca="false">IF(AND(U84=1,V84="Lớn"),P84,"")</f>
        <v/>
      </c>
      <c r="AB84" s="37" t="n">
        <f aca="false">IF(U84=1,L84,"")</f>
        <v>22.11726546</v>
      </c>
      <c r="AC84" s="37" t="n">
        <f aca="false">IF(AND(U84=1,V84="Nhỏ–vừa"),L84,"")</f>
        <v>22.11726546</v>
      </c>
      <c r="AD84" s="37" t="str">
        <f aca="false">IF(AND(U84=1,V84="Lớn"),L84,"")</f>
        <v/>
      </c>
      <c r="AE84" s="37" t="n">
        <f aca="false">IF(U84=1,M84,"")</f>
        <v>69.9651124</v>
      </c>
      <c r="AF84" s="37" t="n">
        <f aca="false">IF(AND(U84=1,V84="Nhỏ–vừa"),M84,"")</f>
        <v>69.9651124</v>
      </c>
      <c r="AG84" s="37" t="str">
        <f aca="false">IF(AND(U84=1,V84="Lớn"),M84,"")</f>
        <v/>
      </c>
      <c r="AH84" s="37" t="n">
        <f aca="false">IF(U84=1,N84,"")</f>
        <v>72.42039395</v>
      </c>
      <c r="AI84" s="37" t="n">
        <f aca="false">IF(AND(U84=1,V84="Nhỏ–vừa"),N84,"")</f>
        <v>72.42039395</v>
      </c>
      <c r="AJ84" s="37" t="str">
        <f aca="false">IF(AND(U84=1,V84="Lớn"),N84,"")</f>
        <v/>
      </c>
      <c r="AK84" s="35" t="n">
        <f aca="false">IF(U84=1,Q84,"")</f>
        <v>0.177516966519021</v>
      </c>
      <c r="AL84" s="35" t="n">
        <f aca="false">IF(AND(U84=1,R84&lt;&gt;""),R84,"")</f>
        <v>0.134830053918341</v>
      </c>
      <c r="AM84" s="2" t="str">
        <f aca="false">A84&amp;"-"&amp;B84</f>
        <v>X20-2024</v>
      </c>
    </row>
    <row r="85" customFormat="false" ht="15" hidden="false" customHeight="false" outlineLevel="0" collapsed="false">
      <c r="A85" s="30" t="s">
        <v>313</v>
      </c>
      <c r="B85" s="30" t="n">
        <v>2025</v>
      </c>
      <c r="C85" s="30" t="s">
        <v>357</v>
      </c>
      <c r="D85" s="31" t="n">
        <v>1115545482734</v>
      </c>
      <c r="E85" s="32" t="n">
        <v>0.17886232</v>
      </c>
      <c r="F85" s="31" t="n">
        <v>599212981165</v>
      </c>
      <c r="G85" s="31" t="n">
        <v>406414181317</v>
      </c>
      <c r="H85" s="31" t="n">
        <v>132743221348</v>
      </c>
      <c r="I85" s="31" t="n">
        <v>25904122466</v>
      </c>
      <c r="J85" s="31" t="n">
        <v>142028472059</v>
      </c>
      <c r="K85" s="31" t="n">
        <v>34743264060</v>
      </c>
      <c r="L85" s="33" t="n">
        <v>24.97202885</v>
      </c>
      <c r="M85" s="33" t="n">
        <v>64.76614903</v>
      </c>
      <c r="N85" s="33" t="n">
        <v>67.80081102</v>
      </c>
      <c r="O85" s="34" t="n">
        <f aca="false">IF(OR(D85="",E85=""),"",D85*(1-E85))</f>
        <v>916016429626.677</v>
      </c>
      <c r="P85" s="35" t="n">
        <f aca="false">IF(OR(H85="",D85=""),"",IF(D85&lt;=0,"",(H85+N(I85))/D85))</f>
        <v>0.142215038534497</v>
      </c>
      <c r="Q85" s="35" t="n">
        <f aca="false">IF(OR(H85="",D85=""),"",IF(D85&lt;=0,"",H85/D85))</f>
        <v>0.118994001950212</v>
      </c>
      <c r="R85" s="35" t="n">
        <f aca="false">IF(OR(A84&lt;&gt;A85,B85&lt;=ThamSo!$C$22,H85="",H84="",D85=""),"",IF(D85&lt;=0,"",(H85-H84)/D85))</f>
        <v>-0.0881568298739189</v>
      </c>
      <c r="S85" s="36" t="str">
        <f aca="false">INDEX(HoSoDN!$H$5:$H$32,MATCH(A85,HoSoDN!$A$5:$A$32,0))</f>
        <v>FOB</v>
      </c>
      <c r="T85" s="36" t="str">
        <f aca="false">INDEX(HoSoDN!$I$5:$I$32,MATCH(A85,HoSoDN!$A$5:$A$32,0))</f>
        <v>Không</v>
      </c>
      <c r="U85" s="2" t="n">
        <f aca="false">IF(AND(S85="FOB",T85&lt;&gt;"Có",B85&gt;=ThamSo!$C$22,B85&lt;=ThamSo!$C$23,D85&lt;&gt;"",E85&lt;&gt;"",G85&lt;&gt;"",P85&lt;&gt;"",L85&lt;&gt;"",M85&lt;&gt;"",N85&lt;&gt;""),IF(D85&gt;=ThamSo!$C$11,1,0),0)</f>
        <v>1</v>
      </c>
      <c r="V85" s="2" t="str">
        <f aca="false">IF(D85="","",IF(D85&lt;=ThamSo!$C$12,"Nhỏ–vừa","Lớn"))</f>
        <v>Nhỏ–vừa</v>
      </c>
      <c r="W85" s="2" t="str">
        <f aca="false">IF(D85="","",IF(OR(D85&lt;=ThamSo!$C$13,F85&lt;=ThamSo!$C$14),"Có","Không"))</f>
        <v>Không</v>
      </c>
      <c r="X85" s="37" t="n">
        <f aca="false">IF(AND(T85&lt;&gt;"Có",M85&lt;&gt;"",D85&lt;&gt;""),IF(D85&gt;=ThamSo!$C$11,M85,""),"")</f>
        <v>64.76614903</v>
      </c>
      <c r="Y85" s="35" t="n">
        <f aca="false">IF(U85=1,P85,"")</f>
        <v>0.142215038534497</v>
      </c>
      <c r="Z85" s="35" t="n">
        <f aca="false">IF(AND(U85=1,V85="Nhỏ–vừa"),P85,"")</f>
        <v>0.142215038534497</v>
      </c>
      <c r="AA85" s="35" t="str">
        <f aca="false">IF(AND(U85=1,V85="Lớn"),P85,"")</f>
        <v/>
      </c>
      <c r="AB85" s="37" t="n">
        <f aca="false">IF(U85=1,L85,"")</f>
        <v>24.97202885</v>
      </c>
      <c r="AC85" s="37" t="n">
        <f aca="false">IF(AND(U85=1,V85="Nhỏ–vừa"),L85,"")</f>
        <v>24.97202885</v>
      </c>
      <c r="AD85" s="37" t="str">
        <f aca="false">IF(AND(U85=1,V85="Lớn"),L85,"")</f>
        <v/>
      </c>
      <c r="AE85" s="37" t="n">
        <f aca="false">IF(U85=1,M85,"")</f>
        <v>64.76614903</v>
      </c>
      <c r="AF85" s="37" t="n">
        <f aca="false">IF(AND(U85=1,V85="Nhỏ–vừa"),M85,"")</f>
        <v>64.76614903</v>
      </c>
      <c r="AG85" s="37" t="str">
        <f aca="false">IF(AND(U85=1,V85="Lớn"),M85,"")</f>
        <v/>
      </c>
      <c r="AH85" s="37" t="n">
        <f aca="false">IF(U85=1,N85,"")</f>
        <v>67.80081102</v>
      </c>
      <c r="AI85" s="37" t="n">
        <f aca="false">IF(AND(U85=1,V85="Nhỏ–vừa"),N85,"")</f>
        <v>67.80081102</v>
      </c>
      <c r="AJ85" s="37" t="str">
        <f aca="false">IF(AND(U85=1,V85="Lớn"),N85,"")</f>
        <v/>
      </c>
      <c r="AK85" s="35" t="n">
        <f aca="false">IF(U85=1,Q85,"")</f>
        <v>0.118994001950212</v>
      </c>
      <c r="AL85" s="35" t="n">
        <f aca="false">IF(AND(U85=1,R85&lt;&gt;""),R85,"")</f>
        <v>-0.0881568298739189</v>
      </c>
      <c r="AM85" s="2" t="str">
        <f aca="false">A85&amp;"-"&amp;B85</f>
        <v>X20-2025</v>
      </c>
    </row>
    <row r="86" customFormat="false" ht="15" hidden="false" customHeight="false" outlineLevel="0" collapsed="false">
      <c r="A86" s="30" t="s">
        <v>315</v>
      </c>
      <c r="B86" s="30" t="n">
        <v>2023</v>
      </c>
      <c r="C86" s="30" t="s">
        <v>357</v>
      </c>
      <c r="D86" s="31" t="n">
        <v>779226496300</v>
      </c>
      <c r="E86" s="32" t="n">
        <v>0.11386484</v>
      </c>
      <c r="F86" s="31" t="n">
        <v>711883301482</v>
      </c>
      <c r="G86" s="31" t="n">
        <v>546177392801</v>
      </c>
      <c r="H86" s="31" t="n">
        <v>198786109967</v>
      </c>
      <c r="I86" s="31" t="n">
        <v>0</v>
      </c>
      <c r="J86" s="31" t="n">
        <v>194739110330</v>
      </c>
      <c r="K86" s="31" t="n">
        <v>18282391319</v>
      </c>
      <c r="L86" s="33" t="n">
        <v>77.7995234</v>
      </c>
      <c r="M86" s="33" t="n">
        <v>95.20455914</v>
      </c>
      <c r="N86" s="33" t="n">
        <v>92.20761784</v>
      </c>
      <c r="O86" s="34" t="n">
        <f aca="false">IF(OR(D86="",E86=""),"",D86*(1-E86))</f>
        <v>690499995975.04</v>
      </c>
      <c r="P86" s="35" t="n">
        <f aca="false">IF(OR(H86="",D86=""),"",IF(D86&lt;=0,"",(H86+N(I86))/D86))</f>
        <v>0.255106969425316</v>
      </c>
      <c r="Q86" s="35" t="n">
        <f aca="false">IF(OR(H86="",D86=""),"",IF(D86&lt;=0,"",H86/D86))</f>
        <v>0.255106969425316</v>
      </c>
      <c r="R86" s="35" t="str">
        <f aca="false">IF(OR(A85&lt;&gt;A86,B86&lt;=ThamSo!$C$22,H86="",H85="",D86=""),"",IF(D86&lt;=0,"",(H86-H85)/D86))</f>
        <v/>
      </c>
      <c r="S86" s="36" t="str">
        <f aca="false">INDEX(HoSoDN!$H$5:$H$32,MATCH(A86,HoSoDN!$A$5:$A$32,0))</f>
        <v>FOB</v>
      </c>
      <c r="T86" s="36" t="str">
        <f aca="false">INDEX(HoSoDN!$I$5:$I$32,MATCH(A86,HoSoDN!$A$5:$A$32,0))</f>
        <v>Không</v>
      </c>
      <c r="U86" s="2" t="n">
        <f aca="false">IF(AND(S86="FOB",T86&lt;&gt;"Có",B86&gt;=ThamSo!$C$22,B86&lt;=ThamSo!$C$23,D86&lt;&gt;"",E86&lt;&gt;"",G86&lt;&gt;"",P86&lt;&gt;"",L86&lt;&gt;"",M86&lt;&gt;"",N86&lt;&gt;""),IF(D86&gt;=ThamSo!$C$11,1,0),0)</f>
        <v>1</v>
      </c>
      <c r="V86" s="2" t="str">
        <f aca="false">IF(D86="","",IF(D86&lt;=ThamSo!$C$12,"Nhỏ–vừa","Lớn"))</f>
        <v>Nhỏ–vừa</v>
      </c>
      <c r="W86" s="2" t="str">
        <f aca="false">IF(D86="","",IF(OR(D86&lt;=ThamSo!$C$13,F86&lt;=ThamSo!$C$14),"Có","Không"))</f>
        <v>Không</v>
      </c>
      <c r="X86" s="37" t="n">
        <f aca="false">IF(AND(T86&lt;&gt;"Có",M86&lt;&gt;"",D86&lt;&gt;""),IF(D86&gt;=ThamSo!$C$11,M86,""),"")</f>
        <v>95.20455914</v>
      </c>
      <c r="Y86" s="35" t="n">
        <f aca="false">IF(U86=1,P86,"")</f>
        <v>0.255106969425316</v>
      </c>
      <c r="Z86" s="35" t="n">
        <f aca="false">IF(AND(U86=1,V86="Nhỏ–vừa"),P86,"")</f>
        <v>0.255106969425316</v>
      </c>
      <c r="AA86" s="35" t="str">
        <f aca="false">IF(AND(U86=1,V86="Lớn"),P86,"")</f>
        <v/>
      </c>
      <c r="AB86" s="37" t="n">
        <f aca="false">IF(U86=1,L86,"")</f>
        <v>77.7995234</v>
      </c>
      <c r="AC86" s="37" t="n">
        <f aca="false">IF(AND(U86=1,V86="Nhỏ–vừa"),L86,"")</f>
        <v>77.7995234</v>
      </c>
      <c r="AD86" s="37" t="str">
        <f aca="false">IF(AND(U86=1,V86="Lớn"),L86,"")</f>
        <v/>
      </c>
      <c r="AE86" s="37" t="n">
        <f aca="false">IF(U86=1,M86,"")</f>
        <v>95.20455914</v>
      </c>
      <c r="AF86" s="37" t="n">
        <f aca="false">IF(AND(U86=1,V86="Nhỏ–vừa"),M86,"")</f>
        <v>95.20455914</v>
      </c>
      <c r="AG86" s="37" t="str">
        <f aca="false">IF(AND(U86=1,V86="Lớn"),M86,"")</f>
        <v/>
      </c>
      <c r="AH86" s="37" t="n">
        <f aca="false">IF(U86=1,N86,"")</f>
        <v>92.20761784</v>
      </c>
      <c r="AI86" s="37" t="n">
        <f aca="false">IF(AND(U86=1,V86="Nhỏ–vừa"),N86,"")</f>
        <v>92.20761784</v>
      </c>
      <c r="AJ86" s="37" t="str">
        <f aca="false">IF(AND(U86=1,V86="Lớn"),N86,"")</f>
        <v/>
      </c>
      <c r="AK86" s="35" t="n">
        <f aca="false">IF(U86=1,Q86,"")</f>
        <v>0.255106969425316</v>
      </c>
      <c r="AL86" s="35" t="str">
        <f aca="false">IF(AND(U86=1,R86&lt;&gt;""),R86,"")</f>
        <v/>
      </c>
      <c r="AM86" s="2" t="str">
        <f aca="false">A86&amp;"-"&amp;B86</f>
        <v>X26-2023</v>
      </c>
    </row>
    <row r="87" customFormat="false" ht="15" hidden="false" customHeight="false" outlineLevel="0" collapsed="false">
      <c r="A87" s="30" t="s">
        <v>315</v>
      </c>
      <c r="B87" s="30" t="n">
        <v>2024</v>
      </c>
      <c r="C87" s="30" t="s">
        <v>357</v>
      </c>
      <c r="D87" s="31" t="n">
        <v>1138125575561</v>
      </c>
      <c r="E87" s="32" t="n">
        <v>0.10436705</v>
      </c>
      <c r="F87" s="31" t="n">
        <v>722657146743</v>
      </c>
      <c r="G87" s="31" t="n">
        <v>579896879628</v>
      </c>
      <c r="H87" s="31" t="n">
        <v>175420769406</v>
      </c>
      <c r="I87" s="31" t="n">
        <v>0</v>
      </c>
      <c r="J87" s="31" t="n">
        <v>209708283889</v>
      </c>
      <c r="K87" s="31" t="n">
        <v>32772673034</v>
      </c>
      <c r="L87" s="33" t="n">
        <v>42.92825138</v>
      </c>
      <c r="M87" s="33" t="n">
        <v>73.05360951</v>
      </c>
      <c r="N87" s="33" t="n">
        <v>74.86253987</v>
      </c>
      <c r="O87" s="34" t="n">
        <f aca="false">IF(OR(D87="",E87=""),"",D87*(1-E87))</f>
        <v>1019342766710.15</v>
      </c>
      <c r="P87" s="35" t="n">
        <f aca="false">IF(OR(H87="",D87=""),"",IF(D87&lt;=0,"",(H87+N(I87))/D87))</f>
        <v>0.154131295502724</v>
      </c>
      <c r="Q87" s="35" t="n">
        <f aca="false">IF(OR(H87="",D87=""),"",IF(D87&lt;=0,"",H87/D87))</f>
        <v>0.154131295502724</v>
      </c>
      <c r="R87" s="35" t="n">
        <f aca="false">IF(OR(A86&lt;&gt;A87,B87&lt;=ThamSo!$C$22,H87="",H86="",D87=""),"",IF(D87&lt;=0,"",(H87-H86)/D87))</f>
        <v>-0.0205296683096528</v>
      </c>
      <c r="S87" s="36" t="str">
        <f aca="false">INDEX(HoSoDN!$H$5:$H$32,MATCH(A87,HoSoDN!$A$5:$A$32,0))</f>
        <v>FOB</v>
      </c>
      <c r="T87" s="36" t="str">
        <f aca="false">INDEX(HoSoDN!$I$5:$I$32,MATCH(A87,HoSoDN!$A$5:$A$32,0))</f>
        <v>Không</v>
      </c>
      <c r="U87" s="2" t="n">
        <f aca="false">IF(AND(S87="FOB",T87&lt;&gt;"Có",B87&gt;=ThamSo!$C$22,B87&lt;=ThamSo!$C$23,D87&lt;&gt;"",E87&lt;&gt;"",G87&lt;&gt;"",P87&lt;&gt;"",L87&lt;&gt;"",M87&lt;&gt;"",N87&lt;&gt;""),IF(D87&gt;=ThamSo!$C$11,1,0),0)</f>
        <v>1</v>
      </c>
      <c r="V87" s="2" t="str">
        <f aca="false">IF(D87="","",IF(D87&lt;=ThamSo!$C$12,"Nhỏ–vừa","Lớn"))</f>
        <v>Nhỏ–vừa</v>
      </c>
      <c r="W87" s="2" t="str">
        <f aca="false">IF(D87="","",IF(OR(D87&lt;=ThamSo!$C$13,F87&lt;=ThamSo!$C$14),"Có","Không"))</f>
        <v>Không</v>
      </c>
      <c r="X87" s="37" t="n">
        <f aca="false">IF(AND(T87&lt;&gt;"Có",M87&lt;&gt;"",D87&lt;&gt;""),IF(D87&gt;=ThamSo!$C$11,M87,""),"")</f>
        <v>73.05360951</v>
      </c>
      <c r="Y87" s="35" t="n">
        <f aca="false">IF(U87=1,P87,"")</f>
        <v>0.154131295502724</v>
      </c>
      <c r="Z87" s="35" t="n">
        <f aca="false">IF(AND(U87=1,V87="Nhỏ–vừa"),P87,"")</f>
        <v>0.154131295502724</v>
      </c>
      <c r="AA87" s="35" t="str">
        <f aca="false">IF(AND(U87=1,V87="Lớn"),P87,"")</f>
        <v/>
      </c>
      <c r="AB87" s="37" t="n">
        <f aca="false">IF(U87=1,L87,"")</f>
        <v>42.92825138</v>
      </c>
      <c r="AC87" s="37" t="n">
        <f aca="false">IF(AND(U87=1,V87="Nhỏ–vừa"),L87,"")</f>
        <v>42.92825138</v>
      </c>
      <c r="AD87" s="37" t="str">
        <f aca="false">IF(AND(U87=1,V87="Lớn"),L87,"")</f>
        <v/>
      </c>
      <c r="AE87" s="37" t="n">
        <f aca="false">IF(U87=1,M87,"")</f>
        <v>73.05360951</v>
      </c>
      <c r="AF87" s="37" t="n">
        <f aca="false">IF(AND(U87=1,V87="Nhỏ–vừa"),M87,"")</f>
        <v>73.05360951</v>
      </c>
      <c r="AG87" s="37" t="str">
        <f aca="false">IF(AND(U87=1,V87="Lớn"),M87,"")</f>
        <v/>
      </c>
      <c r="AH87" s="37" t="n">
        <f aca="false">IF(U87=1,N87,"")</f>
        <v>74.86253987</v>
      </c>
      <c r="AI87" s="37" t="n">
        <f aca="false">IF(AND(U87=1,V87="Nhỏ–vừa"),N87,"")</f>
        <v>74.86253987</v>
      </c>
      <c r="AJ87" s="37" t="str">
        <f aca="false">IF(AND(U87=1,V87="Lớn"),N87,"")</f>
        <v/>
      </c>
      <c r="AK87" s="35" t="n">
        <f aca="false">IF(U87=1,Q87,"")</f>
        <v>0.154131295502724</v>
      </c>
      <c r="AL87" s="35" t="n">
        <f aca="false">IF(AND(U87=1,R87&lt;&gt;""),R87,"")</f>
        <v>-0.0205296683096528</v>
      </c>
      <c r="AM87" s="2" t="str">
        <f aca="false">A87&amp;"-"&amp;B87</f>
        <v>X26-2024</v>
      </c>
    </row>
    <row r="88" customFormat="false" ht="15" hidden="false" customHeight="false" outlineLevel="0" collapsed="false">
      <c r="A88" s="30" t="s">
        <v>315</v>
      </c>
      <c r="B88" s="30" t="n">
        <v>2025</v>
      </c>
      <c r="C88" s="30" t="s">
        <v>357</v>
      </c>
      <c r="D88" s="31" t="n">
        <v>1073011778159</v>
      </c>
      <c r="E88" s="32" t="n">
        <v>0.10492067</v>
      </c>
      <c r="F88" s="31" t="n">
        <v>640153730142</v>
      </c>
      <c r="G88" s="31" t="n">
        <v>477731916291</v>
      </c>
      <c r="H88" s="31" t="n">
        <v>123757098577</v>
      </c>
      <c r="I88" s="31" t="n">
        <v>16012470000</v>
      </c>
      <c r="J88" s="31" t="n">
        <v>179093363144</v>
      </c>
      <c r="K88" s="31" t="n">
        <v>26936869665</v>
      </c>
      <c r="L88" s="33" t="n">
        <v>48.09836885</v>
      </c>
      <c r="M88" s="33" t="n">
        <v>73.87966986</v>
      </c>
      <c r="N88" s="33" t="n">
        <v>67.2864971</v>
      </c>
      <c r="O88" s="34" t="n">
        <f aca="false">IF(OR(D88="",E88=""),"",D88*(1-E88))</f>
        <v>960430663476.666</v>
      </c>
      <c r="P88" s="35" t="n">
        <f aca="false">IF(OR(H88="",D88=""),"",IF(D88&lt;=0,"",(H88+N(I88))/D88))</f>
        <v>0.130259118699337</v>
      </c>
      <c r="Q88" s="35" t="n">
        <f aca="false">IF(OR(H88="",D88=""),"",IF(D88&lt;=0,"",H88/D88))</f>
        <v>0.115336197697041</v>
      </c>
      <c r="R88" s="35" t="n">
        <f aca="false">IF(OR(A87&lt;&gt;A88,B88&lt;=ThamSo!$C$22,H88="",H87="",D88=""),"",IF(D88&lt;=0,"",(H88-H87)/D88))</f>
        <v>-0.0481482793391523</v>
      </c>
      <c r="S88" s="36" t="str">
        <f aca="false">INDEX(HoSoDN!$H$5:$H$32,MATCH(A88,HoSoDN!$A$5:$A$32,0))</f>
        <v>FOB</v>
      </c>
      <c r="T88" s="36" t="str">
        <f aca="false">INDEX(HoSoDN!$I$5:$I$32,MATCH(A88,HoSoDN!$A$5:$A$32,0))</f>
        <v>Không</v>
      </c>
      <c r="U88" s="2" t="n">
        <f aca="false">IF(AND(S88="FOB",T88&lt;&gt;"Có",B88&gt;=ThamSo!$C$22,B88&lt;=ThamSo!$C$23,D88&lt;&gt;"",E88&lt;&gt;"",G88&lt;&gt;"",P88&lt;&gt;"",L88&lt;&gt;"",M88&lt;&gt;"",N88&lt;&gt;""),IF(D88&gt;=ThamSo!$C$11,1,0),0)</f>
        <v>1</v>
      </c>
      <c r="V88" s="2" t="str">
        <f aca="false">IF(D88="","",IF(D88&lt;=ThamSo!$C$12,"Nhỏ–vừa","Lớn"))</f>
        <v>Nhỏ–vừa</v>
      </c>
      <c r="W88" s="2" t="str">
        <f aca="false">IF(D88="","",IF(OR(D88&lt;=ThamSo!$C$13,F88&lt;=ThamSo!$C$14),"Có","Không"))</f>
        <v>Không</v>
      </c>
      <c r="X88" s="37" t="n">
        <f aca="false">IF(AND(T88&lt;&gt;"Có",M88&lt;&gt;"",D88&lt;&gt;""),IF(D88&gt;=ThamSo!$C$11,M88,""),"")</f>
        <v>73.87966986</v>
      </c>
      <c r="Y88" s="35" t="n">
        <f aca="false">IF(U88=1,P88,"")</f>
        <v>0.130259118699337</v>
      </c>
      <c r="Z88" s="35" t="n">
        <f aca="false">IF(AND(U88=1,V88="Nhỏ–vừa"),P88,"")</f>
        <v>0.130259118699337</v>
      </c>
      <c r="AA88" s="35" t="str">
        <f aca="false">IF(AND(U88=1,V88="Lớn"),P88,"")</f>
        <v/>
      </c>
      <c r="AB88" s="37" t="n">
        <f aca="false">IF(U88=1,L88,"")</f>
        <v>48.09836885</v>
      </c>
      <c r="AC88" s="37" t="n">
        <f aca="false">IF(AND(U88=1,V88="Nhỏ–vừa"),L88,"")</f>
        <v>48.09836885</v>
      </c>
      <c r="AD88" s="37" t="str">
        <f aca="false">IF(AND(U88=1,V88="Lớn"),L88,"")</f>
        <v/>
      </c>
      <c r="AE88" s="37" t="n">
        <f aca="false">IF(U88=1,M88,"")</f>
        <v>73.87966986</v>
      </c>
      <c r="AF88" s="37" t="n">
        <f aca="false">IF(AND(U88=1,V88="Nhỏ–vừa"),M88,"")</f>
        <v>73.87966986</v>
      </c>
      <c r="AG88" s="37" t="str">
        <f aca="false">IF(AND(U88=1,V88="Lớn"),M88,"")</f>
        <v/>
      </c>
      <c r="AH88" s="37" t="n">
        <f aca="false">IF(U88=1,N88,"")</f>
        <v>67.2864971</v>
      </c>
      <c r="AI88" s="37" t="n">
        <f aca="false">IF(AND(U88=1,V88="Nhỏ–vừa"),N88,"")</f>
        <v>67.2864971</v>
      </c>
      <c r="AJ88" s="37" t="str">
        <f aca="false">IF(AND(U88=1,V88="Lớn"),N88,"")</f>
        <v/>
      </c>
      <c r="AK88" s="35" t="n">
        <f aca="false">IF(U88=1,Q88,"")</f>
        <v>0.115336197697041</v>
      </c>
      <c r="AL88" s="35" t="n">
        <f aca="false">IF(AND(U88=1,R88&lt;&gt;""),R88,"")</f>
        <v>-0.0481482793391523</v>
      </c>
      <c r="AM88" s="2" t="str">
        <f aca="false">A88&amp;"-"&amp;B88</f>
        <v>X26-2025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 collapsed="false" customWidth="true" hidden="false" outlineLevel="0" max="4" min="3" style="0" width="12"/>
    <col collapsed="false" customWidth="true" hidden="false" outlineLevel="0" max="6" min="5" style="0" width="16"/>
    <col collapsed="false" customWidth="true" hidden="false" outlineLevel="0" max="7" min="7" style="0" width="18"/>
    <col collapsed="false" customWidth="true" hidden="false" outlineLevel="0" max="8" min="8" style="0" width="44"/>
  </cols>
  <sheetData>
    <row r="1" customFormat="false" ht="17.35" hidden="false" customHeight="false" outlineLevel="0" collapsed="false">
      <c r="A1" s="15" t="s">
        <v>362</v>
      </c>
    </row>
    <row r="2" customFormat="false" ht="15" hidden="false" customHeight="false" outlineLevel="0" collapsed="false">
      <c r="A2" s="16" t="s">
        <v>363</v>
      </c>
    </row>
    <row r="3" customFormat="false" ht="15" hidden="false" customHeight="false" outlineLevel="0" collapsed="false">
      <c r="A3" s="16" t="s">
        <v>364</v>
      </c>
    </row>
    <row r="4" customFormat="false" ht="15" hidden="false" customHeight="false" outlineLevel="0" collapsed="false">
      <c r="A4" s="4" t="s">
        <v>365</v>
      </c>
      <c r="B4" s="4" t="s">
        <v>366</v>
      </c>
      <c r="C4" s="4" t="s">
        <v>181</v>
      </c>
      <c r="D4" s="4" t="s">
        <v>231</v>
      </c>
      <c r="E4" s="4" t="s">
        <v>367</v>
      </c>
      <c r="F4" s="4" t="s">
        <v>368</v>
      </c>
      <c r="G4" s="4" t="s">
        <v>369</v>
      </c>
      <c r="H4" s="4" t="s">
        <v>370</v>
      </c>
    </row>
    <row r="5" customFormat="false" ht="15" hidden="false" customHeight="false" outlineLevel="0" collapsed="false">
      <c r="A5" s="5" t="s">
        <v>371</v>
      </c>
      <c r="B5" s="5" t="n">
        <f aca="false">COUNT(DuLieu!$AB$5:$AB$88)</f>
        <v>60</v>
      </c>
      <c r="C5" s="26" t="n">
        <f aca="false">PERCENTILE(DuLieu!$AB$5:$AB$88,ThamSo!$C$7)</f>
        <v>25.76923076</v>
      </c>
      <c r="D5" s="26" t="n">
        <f aca="false">PERCENTILE(DuLieu!$AB$5:$AB$88,ThamSo!$C$8)</f>
        <v>34.408949135</v>
      </c>
      <c r="E5" s="38" t="n">
        <f aca="false">PERCENTILE(DuLieu!$AB$5:$AB$88,ThamSo!$C$4)</f>
        <v>43.24705229</v>
      </c>
      <c r="F5" s="38" t="n">
        <f aca="false">PERCENTILE(DuLieu!$AB$5:$AB$88,ThamSo!$C$5)</f>
        <v>58.2071385175</v>
      </c>
      <c r="G5" s="38" t="n">
        <f aca="false">PERCENTILE(DuLieu!$AB$5:$AB$88,ThamSo!$C$6)</f>
        <v>66.26326635</v>
      </c>
      <c r="H5" s="19" t="s">
        <v>372</v>
      </c>
    </row>
    <row r="6" customFormat="false" ht="15" hidden="false" customHeight="false" outlineLevel="0" collapsed="false">
      <c r="A6" s="5" t="s">
        <v>373</v>
      </c>
      <c r="B6" s="5" t="n">
        <f aca="false">COUNT(DuLieu!$AE$5:$AE$88)</f>
        <v>60</v>
      </c>
      <c r="C6" s="26" t="n">
        <f aca="false">PERCENTILE(DuLieu!$AE$5:$AE$88,ThamSo!$C$7)</f>
        <v>33.857892339</v>
      </c>
      <c r="D6" s="26" t="n">
        <f aca="false">PERCENTILE(DuLieu!$AE$5:$AE$88,ThamSo!$C$8)</f>
        <v>57.27663468</v>
      </c>
      <c r="E6" s="38" t="n">
        <f aca="false">PERCENTILE(DuLieu!$AE$5:$AE$88,ThamSo!$C$4)</f>
        <v>69.751755075</v>
      </c>
      <c r="F6" s="38" t="n">
        <f aca="false">PERCENTILE(DuLieu!$AE$5:$AE$88,ThamSo!$C$5)</f>
        <v>86.118055065</v>
      </c>
      <c r="G6" s="38" t="n">
        <f aca="false">PERCENTILE(DuLieu!$AE$5:$AE$88,ThamSo!$C$6)</f>
        <v>137.965147652</v>
      </c>
      <c r="H6" s="19" t="s">
        <v>374</v>
      </c>
    </row>
    <row r="7" customFormat="false" ht="15" hidden="false" customHeight="false" outlineLevel="0" collapsed="false">
      <c r="A7" s="5" t="s">
        <v>375</v>
      </c>
      <c r="B7" s="5" t="n">
        <f aca="false">COUNT(DuLieu!$AH$5:$AH$88)</f>
        <v>60</v>
      </c>
      <c r="C7" s="26" t="n">
        <f aca="false">PERCENTILE(DuLieu!$AH$5:$AH$88,ThamSo!$C$7)</f>
        <v>14.892652922</v>
      </c>
      <c r="D7" s="26" t="n">
        <f aca="false">PERCENTILE(DuLieu!$AH$5:$AH$88,ThamSo!$C$8)</f>
        <v>19.3757025575</v>
      </c>
      <c r="E7" s="38" t="n">
        <f aca="false">PERCENTILE(DuLieu!$AH$5:$AH$88,ThamSo!$C$4)</f>
        <v>34.262286885</v>
      </c>
      <c r="F7" s="38" t="n">
        <f aca="false">PERCENTILE(DuLieu!$AH$5:$AH$88,ThamSo!$C$5)</f>
        <v>68.3092044425</v>
      </c>
      <c r="G7" s="38" t="n">
        <f aca="false">PERCENTILE(DuLieu!$AH$5:$AH$88,ThamSo!$C$6)</f>
        <v>88.215244975</v>
      </c>
      <c r="H7" s="19" t="s">
        <v>376</v>
      </c>
    </row>
    <row r="8" customFormat="false" ht="15" hidden="false" customHeight="false" outlineLevel="0" collapsed="false">
      <c r="A8" s="5" t="s">
        <v>377</v>
      </c>
      <c r="B8" s="5" t="n">
        <f aca="false">COUNT(DuLieu!$Y$5:$Y$88)</f>
        <v>60</v>
      </c>
      <c r="C8" s="20" t="n">
        <f aca="false">PERCENTILE(DuLieu!$Y$5:$Y$88,ThamSo!$C$7)</f>
        <v>0.0445121717234173</v>
      </c>
      <c r="D8" s="20" t="n">
        <f aca="false">PERCENTILE(DuLieu!$Y$5:$Y$88,ThamSo!$C$8)</f>
        <v>0.0830079952170207</v>
      </c>
      <c r="E8" s="39" t="n">
        <f aca="false">PERCENTILE(DuLieu!$Y$5:$Y$88,ThamSo!$C$4)</f>
        <v>0.118831765401653</v>
      </c>
      <c r="F8" s="39" t="n">
        <f aca="false">PERCENTILE(DuLieu!$Y$5:$Y$88,ThamSo!$C$5)</f>
        <v>0.183401513073855</v>
      </c>
      <c r="G8" s="39" t="n">
        <f aca="false">PERCENTILE(DuLieu!$Y$5:$Y$88,ThamSo!$C$6)</f>
        <v>0.298400259274756</v>
      </c>
      <c r="H8" s="19" t="s">
        <v>378</v>
      </c>
    </row>
    <row r="9" customFormat="false" ht="15" hidden="false" customHeight="false" outlineLevel="0" collapsed="false">
      <c r="A9" s="5" t="s">
        <v>336</v>
      </c>
      <c r="B9" s="5" t="n">
        <f aca="false">COUNT(DuLieu!$AK$5:$AK$88)</f>
        <v>60</v>
      </c>
      <c r="C9" s="20" t="n">
        <f aca="false">PERCENTILE(DuLieu!$AK$5:$AK$88,ThamSo!$C$7)</f>
        <v>0.0328997709779926</v>
      </c>
      <c r="D9" s="20" t="n">
        <f aca="false">PERCENTILE(DuLieu!$AK$5:$AK$88,ThamSo!$C$8)</f>
        <v>0.0417986209613163</v>
      </c>
      <c r="E9" s="39" t="n">
        <f aca="false">PERCENTILE(DuLieu!$AK$5:$AK$88,ThamSo!$C$4)</f>
        <v>0.0726280065038532</v>
      </c>
      <c r="F9" s="39" t="n">
        <f aca="false">PERCENTILE(DuLieu!$AK$5:$AK$88,ThamSo!$C$5)</f>
        <v>0.120773901806323</v>
      </c>
      <c r="G9" s="39" t="n">
        <f aca="false">PERCENTILE(DuLieu!$AK$5:$AK$88,ThamSo!$C$6)</f>
        <v>0.170776134860736</v>
      </c>
      <c r="H9" s="19" t="s">
        <v>379</v>
      </c>
    </row>
    <row r="10" customFormat="false" ht="15" hidden="false" customHeight="false" outlineLevel="0" collapsed="false">
      <c r="A10" s="16" t="s">
        <v>380</v>
      </c>
    </row>
    <row r="12" customFormat="false" ht="15" hidden="false" customHeight="false" outlineLevel="0" collapsed="false">
      <c r="A12" s="3" t="s">
        <v>381</v>
      </c>
    </row>
    <row r="13" customFormat="false" ht="23.85" hidden="false" customHeight="false" outlineLevel="0" collapsed="false">
      <c r="A13" s="4" t="s">
        <v>321</v>
      </c>
      <c r="B13" s="4" t="s">
        <v>382</v>
      </c>
      <c r="C13" s="4" t="s">
        <v>383</v>
      </c>
      <c r="D13" s="4" t="s">
        <v>384</v>
      </c>
    </row>
    <row r="14" customFormat="false" ht="15" hidden="false" customHeight="false" outlineLevel="0" collapsed="false">
      <c r="A14" s="5" t="n">
        <v>2023</v>
      </c>
      <c r="B14" s="40" t="n">
        <v>36.18905212</v>
      </c>
      <c r="C14" s="40" t="n">
        <v>106.57561469</v>
      </c>
      <c r="D14" s="40" t="n">
        <v>32.95330273</v>
      </c>
    </row>
    <row r="15" customFormat="false" ht="15" hidden="false" customHeight="false" outlineLevel="0" collapsed="false">
      <c r="A15" s="5" t="n">
        <v>2024</v>
      </c>
      <c r="B15" s="40" t="n">
        <v>36.26463364</v>
      </c>
      <c r="C15" s="40" t="n">
        <v>98.26814086</v>
      </c>
      <c r="D15" s="40" t="n">
        <v>31.08132979</v>
      </c>
    </row>
    <row r="16" customFormat="false" ht="15" hidden="false" customHeight="false" outlineLevel="0" collapsed="false">
      <c r="A16" s="5" t="n">
        <v>2025</v>
      </c>
      <c r="B16" s="40" t="n">
        <v>38.18208543</v>
      </c>
      <c r="C16" s="40" t="n">
        <v>108.39890839</v>
      </c>
      <c r="D16" s="40" t="n">
        <v>32.97201548</v>
      </c>
    </row>
    <row r="17" customFormat="false" ht="15" hidden="false" customHeight="false" outlineLevel="0" collapsed="false">
      <c r="A17" s="27" t="s">
        <v>385</v>
      </c>
      <c r="B17" s="26" t="n">
        <f aca="false">MEDIAN(B14:B16)</f>
        <v>36.26463364</v>
      </c>
      <c r="C17" s="26" t="n">
        <f aca="false">MEDIAN(C14:C16)</f>
        <v>106.57561469</v>
      </c>
      <c r="D17" s="26" t="n">
        <f aca="false">MEDIAN(D14:D16)</f>
        <v>32.95330273</v>
      </c>
    </row>
    <row r="18" customFormat="false" ht="15" hidden="false" customHeight="false" outlineLevel="0" collapsed="false">
      <c r="A18" s="27" t="s">
        <v>386</v>
      </c>
      <c r="B18" s="26" t="n">
        <f aca="false">E5</f>
        <v>43.24705229</v>
      </c>
      <c r="C18" s="26" t="n">
        <f aca="false">E6</f>
        <v>69.751755075</v>
      </c>
      <c r="D18" s="26" t="n">
        <f aca="false">E7</f>
        <v>34.262286885</v>
      </c>
    </row>
    <row r="19" customFormat="false" ht="15" hidden="false" customHeight="false" outlineLevel="0" collapsed="false">
      <c r="A19" s="16" t="s">
        <v>387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0"/>
    <col collapsed="false" customWidth="true" hidden="false" outlineLevel="0" max="8" min="7" style="0" width="14"/>
    <col collapsed="false" customWidth="true" hidden="false" outlineLevel="0" max="9" min="9" style="0" width="44"/>
  </cols>
  <sheetData>
    <row r="1" customFormat="false" ht="17.35" hidden="false" customHeight="false" outlineLevel="0" collapsed="false">
      <c r="A1" s="15" t="s">
        <v>388</v>
      </c>
    </row>
    <row r="2" customFormat="false" ht="15" hidden="false" customHeight="false" outlineLevel="0" collapsed="false">
      <c r="A2" s="16" t="s">
        <v>389</v>
      </c>
    </row>
    <row r="3" customFormat="false" ht="15" hidden="false" customHeight="false" outlineLevel="0" collapsed="false">
      <c r="A3" s="16" t="s">
        <v>390</v>
      </c>
    </row>
    <row r="4" customFormat="false" ht="23.85" hidden="false" customHeight="false" outlineLevel="0" collapsed="false">
      <c r="A4" s="4" t="s">
        <v>365</v>
      </c>
      <c r="B4" s="4" t="s">
        <v>391</v>
      </c>
      <c r="C4" s="4" t="s">
        <v>392</v>
      </c>
      <c r="D4" s="4" t="s">
        <v>393</v>
      </c>
      <c r="E4" s="4" t="s">
        <v>9</v>
      </c>
      <c r="F4" s="4" t="s">
        <v>394</v>
      </c>
      <c r="G4" s="4" t="s">
        <v>395</v>
      </c>
      <c r="H4" s="4" t="s">
        <v>396</v>
      </c>
      <c r="I4" s="4" t="s">
        <v>397</v>
      </c>
    </row>
    <row r="5" customFormat="false" ht="15" hidden="false" customHeight="false" outlineLevel="0" collapsed="false">
      <c r="A5" s="5" t="s">
        <v>398</v>
      </c>
      <c r="B5" s="5" t="s">
        <v>399</v>
      </c>
      <c r="C5" s="5" t="s">
        <v>400</v>
      </c>
      <c r="D5" s="26" t="n">
        <f aca="false">MEDIAN(DuLieu!$AC$5:$AC$88)</f>
        <v>36.135936565</v>
      </c>
      <c r="E5" s="26" t="n">
        <f aca="false">MEDIAN(DuLieu!$AB$5:$AB$88)</f>
        <v>43.24705229</v>
      </c>
      <c r="F5" s="41" t="n">
        <f aca="false">IF(E5=0,1,D5/E5)</f>
        <v>0.83556993255135</v>
      </c>
      <c r="G5" s="42" t="n">
        <f aca="false">B2a_KiemDinhMannWhitney!L37</f>
        <v>0.171460206064327</v>
      </c>
      <c r="H5" s="43" t="n">
        <f aca="false">IF(G5&lt;ThamSo!$C$16,MIN(MAX(F5,ThamSo!$C$17),ThamSo!$C$18),1)</f>
        <v>1</v>
      </c>
      <c r="I5" s="5" t="str">
        <f aca="false">IF(G5&lt;ThamSo!$C$16,IF(OR(F5&lt;ThamSo!$C$17,F5&gt;ThamSo!$C$18),"Có ý nghĩa → áp dụng (đã chặn min/max)","Có ý nghĩa → áp dụng"),"Không có ý nghĩa → hệ số = 1")</f>
        <v>Không có ý nghĩa → hệ số = 1</v>
      </c>
    </row>
    <row r="6" customFormat="false" ht="15" hidden="false" customHeight="false" outlineLevel="0" collapsed="false">
      <c r="A6" s="5" t="s">
        <v>398</v>
      </c>
      <c r="B6" s="5" t="s">
        <v>399</v>
      </c>
      <c r="C6" s="5" t="s">
        <v>401</v>
      </c>
      <c r="D6" s="26" t="n">
        <f aca="false">MEDIAN(DuLieu!$AD$5:$AD$88)</f>
        <v>49.733717515</v>
      </c>
      <c r="E6" s="26" t="n">
        <f aca="false">MEDIAN(DuLieu!$AB$5:$AB$88)</f>
        <v>43.24705229</v>
      </c>
      <c r="F6" s="41" t="n">
        <f aca="false">IF(E6=0,1,D6/E6)</f>
        <v>1.14999092149686</v>
      </c>
      <c r="G6" s="42" t="n">
        <f aca="false">B2a_KiemDinhMannWhitney!L37</f>
        <v>0.171460206064327</v>
      </c>
      <c r="H6" s="43" t="n">
        <f aca="false">IF(G6&lt;ThamSo!$C$16,MIN(MAX(F6,ThamSo!$C$17),ThamSo!$C$18),1)</f>
        <v>1</v>
      </c>
      <c r="I6" s="5" t="str">
        <f aca="false">IF(G6&lt;ThamSo!$C$16,IF(OR(F6&lt;ThamSo!$C$17,F6&gt;ThamSo!$C$18),"Có ý nghĩa → áp dụng (đã chặn min/max)","Có ý nghĩa → áp dụng"),"Không có ý nghĩa → hệ số = 1")</f>
        <v>Không có ý nghĩa → hệ số = 1</v>
      </c>
    </row>
    <row r="7" customFormat="false" ht="15" hidden="false" customHeight="false" outlineLevel="0" collapsed="false">
      <c r="A7" s="5" t="s">
        <v>402</v>
      </c>
      <c r="B7" s="5" t="s">
        <v>399</v>
      </c>
      <c r="C7" s="5" t="s">
        <v>400</v>
      </c>
      <c r="D7" s="26" t="n">
        <f aca="false">MEDIAN(DuLieu!$AF$5:$AF$88)</f>
        <v>75.80493665</v>
      </c>
      <c r="E7" s="26" t="n">
        <f aca="false">MEDIAN(DuLieu!$AE$5:$AE$88)</f>
        <v>69.751755075</v>
      </c>
      <c r="F7" s="41" t="n">
        <f aca="false">IF(E7=0,1,D7/E7)</f>
        <v>1.08678178159806</v>
      </c>
      <c r="G7" s="42" t="n">
        <f aca="false">B2a_KiemDinhMannWhitney!L38</f>
        <v>0.287495418869168</v>
      </c>
      <c r="H7" s="43" t="n">
        <f aca="false">IF(G7&lt;ThamSo!$C$16,MIN(MAX(F7,ThamSo!$C$17),ThamSo!$C$18),1)</f>
        <v>1</v>
      </c>
      <c r="I7" s="5" t="str">
        <f aca="false">IF(G7&lt;ThamSo!$C$16,IF(OR(F7&lt;ThamSo!$C$17,F7&gt;ThamSo!$C$18),"Có ý nghĩa → áp dụng (đã chặn min/max)","Có ý nghĩa → áp dụng"),"Không có ý nghĩa → hệ số = 1")</f>
        <v>Không có ý nghĩa → hệ số = 1</v>
      </c>
    </row>
    <row r="8" customFormat="false" ht="15" hidden="false" customHeight="false" outlineLevel="0" collapsed="false">
      <c r="A8" s="5" t="s">
        <v>402</v>
      </c>
      <c r="B8" s="5" t="s">
        <v>399</v>
      </c>
      <c r="C8" s="5" t="s">
        <v>401</v>
      </c>
      <c r="D8" s="26" t="n">
        <f aca="false">MEDIAN(DuLieu!$AG$5:$AG$88)</f>
        <v>65.92623084</v>
      </c>
      <c r="E8" s="26" t="n">
        <f aca="false">MEDIAN(DuLieu!$AE$5:$AE$88)</f>
        <v>69.751755075</v>
      </c>
      <c r="F8" s="41" t="n">
        <f aca="false">IF(E8=0,1,D8/E8)</f>
        <v>0.945155154434657</v>
      </c>
      <c r="G8" s="42" t="n">
        <f aca="false">B2a_KiemDinhMannWhitney!L38</f>
        <v>0.287495418869168</v>
      </c>
      <c r="H8" s="43" t="n">
        <f aca="false">IF(G8&lt;ThamSo!$C$16,MIN(MAX(F8,ThamSo!$C$17),ThamSo!$C$18),1)</f>
        <v>1</v>
      </c>
      <c r="I8" s="5" t="str">
        <f aca="false">IF(G8&lt;ThamSo!$C$16,IF(OR(F8&lt;ThamSo!$C$17,F8&gt;ThamSo!$C$18),"Có ý nghĩa → áp dụng (đã chặn min/max)","Có ý nghĩa → áp dụng"),"Không có ý nghĩa → hệ số = 1")</f>
        <v>Không có ý nghĩa → hệ số = 1</v>
      </c>
    </row>
    <row r="9" customFormat="false" ht="15" hidden="false" customHeight="false" outlineLevel="0" collapsed="false">
      <c r="A9" s="5" t="s">
        <v>403</v>
      </c>
      <c r="B9" s="5" t="s">
        <v>399</v>
      </c>
      <c r="C9" s="5" t="s">
        <v>400</v>
      </c>
      <c r="D9" s="26" t="n">
        <f aca="false">MEDIAN(DuLieu!$AI$5:$AI$88)</f>
        <v>29.967554965</v>
      </c>
      <c r="E9" s="26" t="n">
        <f aca="false">MEDIAN(DuLieu!$AH$5:$AH$88)</f>
        <v>34.262286885</v>
      </c>
      <c r="F9" s="41" t="n">
        <f aca="false">IF(E9=0,1,D9/E9)</f>
        <v>0.874651335025736</v>
      </c>
      <c r="G9" s="42" t="n">
        <f aca="false">B2a_KiemDinhMannWhitney!L39</f>
        <v>0.594853423788325</v>
      </c>
      <c r="H9" s="43" t="n">
        <f aca="false">IF(G9&lt;ThamSo!$C$16,MIN(MAX(F9,ThamSo!$C$17),ThamSo!$C$18),1)</f>
        <v>1</v>
      </c>
      <c r="I9" s="5" t="str">
        <f aca="false">IF(G9&lt;ThamSo!$C$16,IF(OR(F9&lt;ThamSo!$C$17,F9&gt;ThamSo!$C$18),"Có ý nghĩa → áp dụng (đã chặn min/max)","Có ý nghĩa → áp dụng"),"Không có ý nghĩa → hệ số = 1")</f>
        <v>Không có ý nghĩa → hệ số = 1</v>
      </c>
    </row>
    <row r="10" customFormat="false" ht="15" hidden="false" customHeight="false" outlineLevel="0" collapsed="false">
      <c r="A10" s="5" t="s">
        <v>403</v>
      </c>
      <c r="B10" s="5" t="s">
        <v>399</v>
      </c>
      <c r="C10" s="5" t="s">
        <v>401</v>
      </c>
      <c r="D10" s="26" t="n">
        <f aca="false">MEDIAN(DuLieu!$AJ$5:$AJ$88)</f>
        <v>36.93810506</v>
      </c>
      <c r="E10" s="26" t="n">
        <f aca="false">MEDIAN(DuLieu!$AH$5:$AH$88)</f>
        <v>34.262286885</v>
      </c>
      <c r="F10" s="41" t="n">
        <f aca="false">IF(E10=0,1,D10/E10)</f>
        <v>1.07809806111254</v>
      </c>
      <c r="G10" s="42" t="n">
        <f aca="false">B2a_KiemDinhMannWhitney!L39</f>
        <v>0.594853423788325</v>
      </c>
      <c r="H10" s="43" t="n">
        <f aca="false">IF(G10&lt;ThamSo!$C$16,MIN(MAX(F10,ThamSo!$C$17),ThamSo!$C$18),1)</f>
        <v>1</v>
      </c>
      <c r="I10" s="5" t="str">
        <f aca="false">IF(G10&lt;ThamSo!$C$16,IF(OR(F10&lt;ThamSo!$C$17,F10&gt;ThamSo!$C$18),"Có ý nghĩa → áp dụng (đã chặn min/max)","Có ý nghĩa → áp dụng"),"Không có ý nghĩa → hệ số = 1")</f>
        <v>Không có ý nghĩa → hệ số = 1</v>
      </c>
    </row>
    <row r="11" customFormat="false" ht="15" hidden="false" customHeight="false" outlineLevel="0" collapsed="false">
      <c r="A11" s="5" t="s">
        <v>404</v>
      </c>
      <c r="B11" s="5" t="s">
        <v>399</v>
      </c>
      <c r="C11" s="5" t="s">
        <v>400</v>
      </c>
      <c r="D11" s="20" t="n">
        <f aca="false">MEDIAN(DuLieu!$Z$5:$Z$88)</f>
        <v>0.117979570473285</v>
      </c>
      <c r="E11" s="20" t="n">
        <f aca="false">MEDIAN(DuLieu!$Y$5:$Y$88)</f>
        <v>0.118831765401653</v>
      </c>
      <c r="F11" s="41" t="n">
        <f aca="false">IF(E11=0,1,D11/E11)</f>
        <v>0.992828559556555</v>
      </c>
      <c r="G11" s="42" t="n">
        <f aca="false">B2a_KiemDinhMannWhitney!L40</f>
        <v>0.447411702009319</v>
      </c>
      <c r="H11" s="43" t="n">
        <f aca="false">IF(G11&lt;ThamSo!$C$16,MIN(MAX(F11,ThamSo!$C$17),ThamSo!$C$18),1)</f>
        <v>1</v>
      </c>
      <c r="I11" s="5" t="str">
        <f aca="false">IF(G11&lt;ThamSo!$C$16,IF(OR(F11&lt;ThamSo!$C$17,F11&gt;ThamSo!$C$18),"Có ý nghĩa → áp dụng (đã chặn min/max)","Có ý nghĩa → áp dụng"),"Không có ý nghĩa → hệ số = 1")</f>
        <v>Không có ý nghĩa → hệ số = 1</v>
      </c>
    </row>
    <row r="12" customFormat="false" ht="15" hidden="false" customHeight="false" outlineLevel="0" collapsed="false">
      <c r="A12" s="5" t="s">
        <v>404</v>
      </c>
      <c r="B12" s="5" t="s">
        <v>399</v>
      </c>
      <c r="C12" s="5" t="s">
        <v>401</v>
      </c>
      <c r="D12" s="20" t="n">
        <f aca="false">MEDIAN(DuLieu!$AA$5:$AA$88)</f>
        <v>0.132862914182225</v>
      </c>
      <c r="E12" s="20" t="n">
        <f aca="false">MEDIAN(DuLieu!$Y$5:$Y$88)</f>
        <v>0.118831765401653</v>
      </c>
      <c r="F12" s="41" t="n">
        <f aca="false">IF(E12=0,1,D12/E12)</f>
        <v>1.11807574122245</v>
      </c>
      <c r="G12" s="42" t="n">
        <f aca="false">B2a_KiemDinhMannWhitney!L40</f>
        <v>0.447411702009319</v>
      </c>
      <c r="H12" s="43" t="n">
        <f aca="false">IF(G12&lt;ThamSo!$C$16,MIN(MAX(F12,ThamSo!$C$17),ThamSo!$C$18),1)</f>
        <v>1</v>
      </c>
      <c r="I12" s="5" t="str">
        <f aca="false">IF(G12&lt;ThamSo!$C$16,IF(OR(F12&lt;ThamSo!$C$17,F12&gt;ThamSo!$C$18),"Có ý nghĩa → áp dụng (đã chặn min/max)","Có ý nghĩa → áp dụng"),"Không có ý nghĩa → hệ số = 1")</f>
        <v>Không có ý nghĩa → hệ số = 1</v>
      </c>
    </row>
    <row r="13" customFormat="false" ht="15" hidden="false" customHeight="false" outlineLevel="0" collapsed="false">
      <c r="A13" s="5" t="s">
        <v>405</v>
      </c>
      <c r="B13" s="5" t="s">
        <v>406</v>
      </c>
      <c r="C13" s="5" t="s">
        <v>407</v>
      </c>
      <c r="H13" s="43" t="n">
        <f aca="false">ThamSo!$C$19</f>
        <v>1</v>
      </c>
      <c r="I13" s="5" t="s">
        <v>408</v>
      </c>
    </row>
    <row r="15" customFormat="false" ht="15" hidden="false" customHeight="false" outlineLevel="0" collapsed="false">
      <c r="A15" s="16" t="s">
        <v>409</v>
      </c>
    </row>
    <row r="16" customFormat="false" ht="15" hidden="false" customHeight="false" outlineLevel="0" collapsed="false">
      <c r="A16" s="16" t="s">
        <v>410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4" min="3" style="0" width="12"/>
    <col collapsed="false" customWidth="true" hidden="false" outlineLevel="0" max="5" min="5" style="0" width="10"/>
    <col collapsed="false" customWidth="true" hidden="false" outlineLevel="0" max="6" min="6" style="0" width="14"/>
    <col collapsed="false" customWidth="true" hidden="false" outlineLevel="0" max="7" min="7" style="0" width="16"/>
    <col collapsed="false" customWidth="true" hidden="false" outlineLevel="0" max="8" min="8" style="0" width="14"/>
    <col collapsed="false" customWidth="true" hidden="false" outlineLevel="0" max="9" min="9" style="0" width="10"/>
    <col collapsed="false" customWidth="true" hidden="false" outlineLevel="0" max="10" min="10" style="0" width="18"/>
    <col collapsed="false" customWidth="true" hidden="false" outlineLevel="0" max="11" min="11" style="0" width="14"/>
    <col collapsed="false" customWidth="true" hidden="false" outlineLevel="0" max="12" min="12" style="0" width="12"/>
    <col collapsed="false" customWidth="true" hidden="false" outlineLevel="0" max="13" min="13" style="0" width="26"/>
  </cols>
  <sheetData>
    <row r="1" customFormat="false" ht="17.35" hidden="false" customHeight="false" outlineLevel="0" collapsed="false">
      <c r="A1" s="15" t="s">
        <v>411</v>
      </c>
    </row>
    <row r="2" customFormat="false" ht="15" hidden="false" customHeight="false" outlineLevel="0" collapsed="false">
      <c r="A2" s="16" t="s">
        <v>412</v>
      </c>
    </row>
    <row r="3" customFormat="false" ht="15" hidden="false" customHeight="false" outlineLevel="0" collapsed="false">
      <c r="A3" s="16" t="s">
        <v>413</v>
      </c>
    </row>
    <row r="5" customFormat="false" ht="23.85" hidden="false" customHeight="false" outlineLevel="0" collapsed="false">
      <c r="A5" s="4" t="s">
        <v>147</v>
      </c>
      <c r="B5" s="4" t="s">
        <v>254</v>
      </c>
      <c r="C5" s="4" t="s">
        <v>339</v>
      </c>
      <c r="D5" s="4" t="s">
        <v>250</v>
      </c>
      <c r="E5" s="4" t="s">
        <v>414</v>
      </c>
      <c r="F5" s="4" t="s">
        <v>415</v>
      </c>
      <c r="G5" s="4" t="s">
        <v>416</v>
      </c>
      <c r="H5" s="4" t="s">
        <v>252</v>
      </c>
      <c r="I5" s="4" t="s">
        <v>417</v>
      </c>
      <c r="J5" s="4" t="s">
        <v>253</v>
      </c>
      <c r="K5" s="4" t="s">
        <v>418</v>
      </c>
    </row>
    <row r="6" customFormat="false" ht="15" hidden="false" customHeight="false" outlineLevel="0" collapsed="false">
      <c r="A6" s="44" t="str">
        <f aca="false">HoSoDN!A5</f>
        <v>AG1</v>
      </c>
      <c r="B6" s="44" t="str">
        <f aca="false">HoSoDN!Q5</f>
        <v>Có</v>
      </c>
      <c r="C6" s="44" t="str">
        <f aca="false">HoSoDN!L5</f>
        <v>Nhỏ–vừa</v>
      </c>
      <c r="D6" s="26" t="n">
        <f aca="false">IF(B6&lt;&gt;"Có","",HoSoDN!M5)</f>
        <v>25.85780875</v>
      </c>
      <c r="E6" s="45" t="n">
        <f aca="false">IF(D6="","",RANK(D6,D$6:D$33,1)+(COUNTIF(D$6:D$33,D6)-1)/2)</f>
        <v>3</v>
      </c>
      <c r="F6" s="26" t="n">
        <f aca="false">IF(B6&lt;&gt;"Có","",HoSoDN!N5)</f>
        <v>105.5378848</v>
      </c>
      <c r="G6" s="45" t="n">
        <f aca="false">IF(F6="","",RANK(F6,F$6:F$33,1)+(COUNTIF(F$6:F$33,F6)-1)/2)</f>
        <v>18</v>
      </c>
      <c r="H6" s="26" t="n">
        <f aca="false">IF(B6&lt;&gt;"Có","",HoSoDN!O5)</f>
        <v>84.01270669</v>
      </c>
      <c r="I6" s="45" t="n">
        <f aca="false">IF(H6="","",RANK(H6,H$6:H$33,1)+(COUNTIF(H$6:H$33,H6)-1)/2)</f>
        <v>19</v>
      </c>
      <c r="J6" s="20" t="n">
        <f aca="false">IF(B6&lt;&gt;"Có","",HoSoDN!P5)</f>
        <v>0.0447794500061648</v>
      </c>
      <c r="K6" s="45" t="n">
        <f aca="false">IF(J6="","",RANK(J6,J$6:J$33,1)+(COUNTIF(J$6:J$33,J6)-1)/2)</f>
        <v>1</v>
      </c>
    </row>
    <row r="7" customFormat="false" ht="15" hidden="false" customHeight="false" outlineLevel="0" collapsed="false">
      <c r="A7" s="44" t="str">
        <f aca="false">HoSoDN!A6</f>
        <v>BDG</v>
      </c>
      <c r="B7" s="44" t="str">
        <f aca="false">HoSoDN!Q6</f>
        <v>Có</v>
      </c>
      <c r="C7" s="44" t="str">
        <f aca="false">HoSoDN!L6</f>
        <v>Lớn</v>
      </c>
      <c r="D7" s="26" t="n">
        <f aca="false">IF(B7&lt;&gt;"Có","",HoSoDN!M6)</f>
        <v>47.79958062</v>
      </c>
      <c r="E7" s="45" t="n">
        <f aca="false">IF(D7="","",RANK(D7,D$6:D$33,1)+(COUNTIF(D$6:D$33,D7)-1)/2)</f>
        <v>12</v>
      </c>
      <c r="F7" s="26" t="n">
        <f aca="false">IF(B7&lt;&gt;"Có","",HoSoDN!N6)</f>
        <v>59.72035259</v>
      </c>
      <c r="G7" s="45" t="n">
        <f aca="false">IF(F7="","",RANK(F7,F$6:F$33,1)+(COUNTIF(F$6:F$33,F7)-1)/2)</f>
        <v>7</v>
      </c>
      <c r="H7" s="26" t="n">
        <f aca="false">IF(B7&lt;&gt;"Có","",HoSoDN!O6)</f>
        <v>32.64284081</v>
      </c>
      <c r="I7" s="45" t="n">
        <f aca="false">IF(H7="","",RANK(H7,H$6:H$33,1)+(COUNTIF(H$6:H$33,H7)-1)/2)</f>
        <v>9</v>
      </c>
      <c r="J7" s="20" t="n">
        <f aca="false">IF(B7&lt;&gt;"Có","",HoSoDN!P6)</f>
        <v>0.15094065222397</v>
      </c>
      <c r="K7" s="45" t="n">
        <f aca="false">IF(J7="","",RANK(J7,J$6:J$33,1)+(COUNTIF(J$6:J$33,J7)-1)/2)</f>
        <v>14</v>
      </c>
    </row>
    <row r="8" customFormat="false" ht="15" hidden="false" customHeight="false" outlineLevel="0" collapsed="false">
      <c r="A8" s="44" t="str">
        <f aca="false">HoSoDN!A7</f>
        <v>BMG</v>
      </c>
      <c r="B8" s="44" t="str">
        <f aca="false">HoSoDN!Q7</f>
        <v>Có</v>
      </c>
      <c r="C8" s="44" t="str">
        <f aca="false">HoSoDN!L7</f>
        <v>Nhỏ–vừa</v>
      </c>
      <c r="D8" s="26" t="n">
        <f aca="false">IF(B8&lt;&gt;"Có","",HoSoDN!M7)</f>
        <v>31.71454488</v>
      </c>
      <c r="E8" s="45" t="n">
        <f aca="false">IF(D8="","",RANK(D8,D$6:D$33,1)+(COUNTIF(D$6:D$33,D8)-1)/2)</f>
        <v>4</v>
      </c>
      <c r="F8" s="26" t="n">
        <f aca="false">IF(B8&lt;&gt;"Có","",HoSoDN!N7)</f>
        <v>64.14008177</v>
      </c>
      <c r="G8" s="45" t="n">
        <f aca="false">IF(F8="","",RANK(F8,F$6:F$33,1)+(COUNTIF(F$6:F$33,F8)-1)/2)</f>
        <v>8</v>
      </c>
      <c r="H8" s="26" t="n">
        <f aca="false">IF(B8&lt;&gt;"Có","",HoSoDN!O7)</f>
        <v>34.06861014</v>
      </c>
      <c r="I8" s="45" t="n">
        <f aca="false">IF(H8="","",RANK(H8,H$6:H$33,1)+(COUNTIF(H$6:H$33,H8)-1)/2)</f>
        <v>10</v>
      </c>
      <c r="J8" s="20" t="n">
        <f aca="false">IF(B8&lt;&gt;"Có","",HoSoDN!P7)</f>
        <v>0.118421991291043</v>
      </c>
      <c r="K8" s="45" t="n">
        <f aca="false">IF(J8="","",RANK(J8,J$6:J$33,1)+(COUNTIF(J$6:J$33,J8)-1)/2)</f>
        <v>11</v>
      </c>
    </row>
    <row r="9" customFormat="false" ht="15" hidden="false" customHeight="false" outlineLevel="0" collapsed="false">
      <c r="A9" s="44" t="str">
        <f aca="false">HoSoDN!A8</f>
        <v>DCG</v>
      </c>
      <c r="B9" s="44" t="str">
        <f aca="false">HoSoDN!Q8</f>
        <v>Không</v>
      </c>
      <c r="C9" s="44" t="str">
        <f aca="false">HoSoDN!L8</f>
        <v/>
      </c>
      <c r="D9" s="26" t="str">
        <f aca="false">IF(B9&lt;&gt;"Có","",HoSoDN!M8)</f>
        <v/>
      </c>
      <c r="E9" s="45" t="str">
        <f aca="false">IF(D9="","",RANK(D9,D$6:D$33,1)+(COUNTIF(D$6:D$33,D9)-1)/2)</f>
        <v/>
      </c>
      <c r="F9" s="26" t="str">
        <f aca="false">IF(B9&lt;&gt;"Có","",HoSoDN!N8)</f>
        <v/>
      </c>
      <c r="G9" s="45" t="str">
        <f aca="false">IF(F9="","",RANK(F9,F$6:F$33,1)+(COUNTIF(F$6:F$33,F9)-1)/2)</f>
        <v/>
      </c>
      <c r="H9" s="26" t="str">
        <f aca="false">IF(B9&lt;&gt;"Có","",HoSoDN!O8)</f>
        <v/>
      </c>
      <c r="I9" s="45" t="str">
        <f aca="false">IF(H9="","",RANK(H9,H$6:H$33,1)+(COUNTIF(H$6:H$33,H9)-1)/2)</f>
        <v/>
      </c>
      <c r="J9" s="20" t="str">
        <f aca="false">IF(B9&lt;&gt;"Có","",HoSoDN!P8)</f>
        <v/>
      </c>
      <c r="K9" s="45" t="str">
        <f aca="false">IF(J9="","",RANK(J9,J$6:J$33,1)+(COUNTIF(J$6:J$33,J9)-1)/2)</f>
        <v/>
      </c>
    </row>
    <row r="10" customFormat="false" ht="15" hidden="false" customHeight="false" outlineLevel="0" collapsed="false">
      <c r="A10" s="44" t="str">
        <f aca="false">HoSoDN!A9</f>
        <v>DM7</v>
      </c>
      <c r="B10" s="44" t="str">
        <f aca="false">HoSoDN!Q9</f>
        <v>Có</v>
      </c>
      <c r="C10" s="44" t="str">
        <f aca="false">HoSoDN!L9</f>
        <v>Nhỏ–vừa</v>
      </c>
      <c r="D10" s="26" t="n">
        <f aca="false">IF(B10&lt;&gt;"Có","",HoSoDN!M9)</f>
        <v>83.30746808</v>
      </c>
      <c r="E10" s="45" t="n">
        <f aca="false">IF(D10="","",RANK(D10,D$6:D$33,1)+(COUNTIF(D$6:D$33,D10)-1)/2)</f>
        <v>20</v>
      </c>
      <c r="F10" s="26" t="n">
        <f aca="false">IF(B10&lt;&gt;"Có","",HoSoDN!N9)</f>
        <v>55.71253193</v>
      </c>
      <c r="G10" s="45" t="n">
        <f aca="false">IF(F10="","",RANK(F10,F$6:F$33,1)+(COUNTIF(F$6:F$33,F10)-1)/2)</f>
        <v>5</v>
      </c>
      <c r="H10" s="26" t="n">
        <f aca="false">IF(B10&lt;&gt;"Có","",HoSoDN!O9)</f>
        <v>46.20003895</v>
      </c>
      <c r="I10" s="45" t="n">
        <f aca="false">IF(H10="","",RANK(H10,H$6:H$33,1)+(COUNTIF(H$6:H$33,H10)-1)/2)</f>
        <v>13</v>
      </c>
      <c r="J10" s="20" t="n">
        <f aca="false">IF(B10&lt;&gt;"Có","",HoSoDN!P9)</f>
        <v>0.0703663696380406</v>
      </c>
      <c r="K10" s="45" t="n">
        <f aca="false">IF(J10="","",RANK(J10,J$6:J$33,1)+(COUNTIF(J$6:J$33,J10)-1)/2)</f>
        <v>3</v>
      </c>
    </row>
    <row r="11" customFormat="false" ht="15" hidden="false" customHeight="false" outlineLevel="0" collapsed="false">
      <c r="A11" s="44" t="str">
        <f aca="false">HoSoDN!A10</f>
        <v>G20</v>
      </c>
      <c r="B11" s="44" t="str">
        <f aca="false">HoSoDN!Q10</f>
        <v>Không</v>
      </c>
      <c r="C11" s="44" t="str">
        <f aca="false">HoSoDN!L10</f>
        <v/>
      </c>
      <c r="D11" s="26" t="str">
        <f aca="false">IF(B11&lt;&gt;"Có","",HoSoDN!M10)</f>
        <v/>
      </c>
      <c r="E11" s="45" t="str">
        <f aca="false">IF(D11="","",RANK(D11,D$6:D$33,1)+(COUNTIF(D$6:D$33,D11)-1)/2)</f>
        <v/>
      </c>
      <c r="F11" s="26" t="str">
        <f aca="false">IF(B11&lt;&gt;"Có","",HoSoDN!N10)</f>
        <v/>
      </c>
      <c r="G11" s="45" t="str">
        <f aca="false">IF(F11="","",RANK(F11,F$6:F$33,1)+(COUNTIF(F$6:F$33,F11)-1)/2)</f>
        <v/>
      </c>
      <c r="H11" s="26" t="str">
        <f aca="false">IF(B11&lt;&gt;"Có","",HoSoDN!O10)</f>
        <v/>
      </c>
      <c r="I11" s="45" t="str">
        <f aca="false">IF(H11="","",RANK(H11,H$6:H$33,1)+(COUNTIF(H$6:H$33,H11)-1)/2)</f>
        <v/>
      </c>
      <c r="J11" s="20" t="str">
        <f aca="false">IF(B11&lt;&gt;"Có","",HoSoDN!P10)</f>
        <v/>
      </c>
      <c r="K11" s="45" t="str">
        <f aca="false">IF(J11="","",RANK(J11,J$6:J$33,1)+(COUNTIF(J$6:J$33,J11)-1)/2)</f>
        <v/>
      </c>
    </row>
    <row r="12" customFormat="false" ht="15" hidden="false" customHeight="false" outlineLevel="0" collapsed="false">
      <c r="A12" s="44" t="str">
        <f aca="false">HoSoDN!A11</f>
        <v>GIL</v>
      </c>
      <c r="B12" s="44" t="str">
        <f aca="false">HoSoDN!Q11</f>
        <v>Không</v>
      </c>
      <c r="C12" s="44" t="str">
        <f aca="false">HoSoDN!L11</f>
        <v/>
      </c>
      <c r="D12" s="26" t="str">
        <f aca="false">IF(B12&lt;&gt;"Có","",HoSoDN!M11)</f>
        <v/>
      </c>
      <c r="E12" s="45" t="str">
        <f aca="false">IF(D12="","",RANK(D12,D$6:D$33,1)+(COUNTIF(D$6:D$33,D12)-1)/2)</f>
        <v/>
      </c>
      <c r="F12" s="26" t="str">
        <f aca="false">IF(B12&lt;&gt;"Có","",HoSoDN!N11)</f>
        <v/>
      </c>
      <c r="G12" s="45" t="str">
        <f aca="false">IF(F12="","",RANK(F12,F$6:F$33,1)+(COUNTIF(F$6:F$33,F12)-1)/2)</f>
        <v/>
      </c>
      <c r="H12" s="26" t="str">
        <f aca="false">IF(B12&lt;&gt;"Có","",HoSoDN!O11)</f>
        <v/>
      </c>
      <c r="I12" s="45" t="str">
        <f aca="false">IF(H12="","",RANK(H12,H$6:H$33,1)+(COUNTIF(H$6:H$33,H12)-1)/2)</f>
        <v/>
      </c>
      <c r="J12" s="20" t="str">
        <f aca="false">IF(B12&lt;&gt;"Có","",HoSoDN!P11)</f>
        <v/>
      </c>
      <c r="K12" s="45" t="str">
        <f aca="false">IF(J12="","",RANK(J12,J$6:J$33,1)+(COUNTIF(J$6:J$33,J12)-1)/2)</f>
        <v/>
      </c>
    </row>
    <row r="13" customFormat="false" ht="15" hidden="false" customHeight="false" outlineLevel="0" collapsed="false">
      <c r="A13" s="44" t="str">
        <f aca="false">HoSoDN!A12</f>
        <v>GMC</v>
      </c>
      <c r="B13" s="44" t="str">
        <f aca="false">HoSoDN!Q12</f>
        <v>Không</v>
      </c>
      <c r="C13" s="44" t="str">
        <f aca="false">HoSoDN!L12</f>
        <v/>
      </c>
      <c r="D13" s="26" t="str">
        <f aca="false">IF(B13&lt;&gt;"Có","",HoSoDN!M12)</f>
        <v/>
      </c>
      <c r="E13" s="45" t="str">
        <f aca="false">IF(D13="","",RANK(D13,D$6:D$33,1)+(COUNTIF(D$6:D$33,D13)-1)/2)</f>
        <v/>
      </c>
      <c r="F13" s="26" t="str">
        <f aca="false">IF(B13&lt;&gt;"Có","",HoSoDN!N12)</f>
        <v/>
      </c>
      <c r="G13" s="45" t="str">
        <f aca="false">IF(F13="","",RANK(F13,F$6:F$33,1)+(COUNTIF(F$6:F$33,F13)-1)/2)</f>
        <v/>
      </c>
      <c r="H13" s="26" t="str">
        <f aca="false">IF(B13&lt;&gt;"Có","",HoSoDN!O12)</f>
        <v/>
      </c>
      <c r="I13" s="45" t="str">
        <f aca="false">IF(H13="","",RANK(H13,H$6:H$33,1)+(COUNTIF(H$6:H$33,H13)-1)/2)</f>
        <v/>
      </c>
      <c r="J13" s="20" t="str">
        <f aca="false">IF(B13&lt;&gt;"Có","",HoSoDN!P12)</f>
        <v/>
      </c>
      <c r="K13" s="45" t="str">
        <f aca="false">IF(J13="","",RANK(J13,J$6:J$33,1)+(COUNTIF(J$6:J$33,J13)-1)/2)</f>
        <v/>
      </c>
    </row>
    <row r="14" customFormat="false" ht="15" hidden="false" customHeight="false" outlineLevel="0" collapsed="false">
      <c r="A14" s="44" t="str">
        <f aca="false">HoSoDN!A13</f>
        <v>HLT</v>
      </c>
      <c r="B14" s="44" t="str">
        <f aca="false">HoSoDN!Q13</f>
        <v>Có</v>
      </c>
      <c r="C14" s="44" t="str">
        <f aca="false">HoSoDN!L13</f>
        <v>Nhỏ–vừa</v>
      </c>
      <c r="D14" s="26" t="n">
        <f aca="false">IF(B14&lt;&gt;"Có","",HoSoDN!M13)</f>
        <v>21.52821737</v>
      </c>
      <c r="E14" s="45" t="n">
        <f aca="false">IF(D14="","",RANK(D14,D$6:D$33,1)+(COUNTIF(D$6:D$33,D14)-1)/2)</f>
        <v>1</v>
      </c>
      <c r="F14" s="26" t="n">
        <f aca="false">IF(B14&lt;&gt;"Có","",HoSoDN!N13)</f>
        <v>87.24594236</v>
      </c>
      <c r="G14" s="45" t="n">
        <f aca="false">IF(F14="","",RANK(F14,F$6:F$33,1)+(COUNTIF(F$6:F$33,F14)-1)/2)</f>
        <v>16</v>
      </c>
      <c r="H14" s="26" t="n">
        <f aca="false">IF(B14&lt;&gt;"Có","",HoSoDN!O13)</f>
        <v>8.13715467</v>
      </c>
      <c r="I14" s="45" t="n">
        <f aca="false">IF(H14="","",RANK(H14,H$6:H$33,1)+(COUNTIF(H$6:H$33,H14)-1)/2)</f>
        <v>1</v>
      </c>
      <c r="J14" s="20" t="n">
        <f aca="false">IF(B14&lt;&gt;"Có","",HoSoDN!P13)</f>
        <v>0.094380675053546</v>
      </c>
      <c r="K14" s="45" t="n">
        <f aca="false">IF(J14="","",RANK(J14,J$6:J$33,1)+(COUNTIF(J$6:J$33,J14)-1)/2)</f>
        <v>7</v>
      </c>
    </row>
    <row r="15" customFormat="false" ht="15" hidden="false" customHeight="false" outlineLevel="0" collapsed="false">
      <c r="A15" s="44" t="str">
        <f aca="false">HoSoDN!A14</f>
        <v>HNI</v>
      </c>
      <c r="B15" s="44" t="str">
        <f aca="false">HoSoDN!Q14</f>
        <v>Có</v>
      </c>
      <c r="C15" s="44" t="str">
        <f aca="false">HoSoDN!L14</f>
        <v>Nhỏ–vừa</v>
      </c>
      <c r="D15" s="26" t="n">
        <f aca="false">IF(B15&lt;&gt;"Có","",HoSoDN!M14)</f>
        <v>41.23760297</v>
      </c>
      <c r="E15" s="45" t="n">
        <f aca="false">IF(D15="","",RANK(D15,D$6:D$33,1)+(COUNTIF(D$6:D$33,D15)-1)/2)</f>
        <v>9</v>
      </c>
      <c r="F15" s="26" t="n">
        <f aca="false">IF(B15&lt;&gt;"Có","",HoSoDN!N14)</f>
        <v>26.97783069</v>
      </c>
      <c r="G15" s="45" t="n">
        <f aca="false">IF(F15="","",RANK(F15,F$6:F$33,1)+(COUNTIF(F$6:F$33,F15)-1)/2)</f>
        <v>2</v>
      </c>
      <c r="H15" s="26" t="n">
        <f aca="false">IF(B15&lt;&gt;"Có","",HoSoDN!O14)</f>
        <v>12.94331968</v>
      </c>
      <c r="I15" s="45" t="n">
        <f aca="false">IF(H15="","",RANK(H15,H$6:H$33,1)+(COUNTIF(H$6:H$33,H15)-1)/2)</f>
        <v>2</v>
      </c>
      <c r="J15" s="20" t="n">
        <f aca="false">IF(B15&lt;&gt;"Có","",HoSoDN!P14)</f>
        <v>0.296668264212535</v>
      </c>
      <c r="K15" s="45" t="n">
        <f aca="false">IF(J15="","",RANK(J15,J$6:J$33,1)+(COUNTIF(J$6:J$33,J15)-1)/2)</f>
        <v>19</v>
      </c>
    </row>
    <row r="16" customFormat="false" ht="15" hidden="false" customHeight="false" outlineLevel="0" collapsed="false">
      <c r="A16" s="44" t="str">
        <f aca="false">HoSoDN!A15</f>
        <v>HTG</v>
      </c>
      <c r="B16" s="44" t="str">
        <f aca="false">HoSoDN!Q15</f>
        <v>Có</v>
      </c>
      <c r="C16" s="44" t="str">
        <f aca="false">HoSoDN!L15</f>
        <v>Lớn</v>
      </c>
      <c r="D16" s="26" t="n">
        <f aca="false">IF(B16&lt;&gt;"Có","",HoSoDN!M15)</f>
        <v>38.70394026</v>
      </c>
      <c r="E16" s="45" t="n">
        <f aca="false">IF(D16="","",RANK(D16,D$6:D$33,1)+(COUNTIF(D$6:D$33,D16)-1)/2)</f>
        <v>8</v>
      </c>
      <c r="F16" s="26" t="n">
        <f aca="false">IF(B16&lt;&gt;"Có","",HoSoDN!N15)</f>
        <v>64.5579232</v>
      </c>
      <c r="G16" s="45" t="n">
        <f aca="false">IF(F16="","",RANK(F16,F$6:F$33,1)+(COUNTIF(F$6:F$33,F16)-1)/2)</f>
        <v>9</v>
      </c>
      <c r="H16" s="26" t="n">
        <f aca="false">IF(B16&lt;&gt;"Có","",HoSoDN!O15)</f>
        <v>20.48673333</v>
      </c>
      <c r="I16" s="45" t="n">
        <f aca="false">IF(H16="","",RANK(H16,H$6:H$33,1)+(COUNTIF(H$6:H$33,H16)-1)/2)</f>
        <v>7</v>
      </c>
      <c r="J16" s="20" t="n">
        <f aca="false">IF(B16&lt;&gt;"Có","",HoSoDN!P15)</f>
        <v>0.141117835468456</v>
      </c>
      <c r="K16" s="45" t="n">
        <f aca="false">IF(J16="","",RANK(J16,J$6:J$33,1)+(COUNTIF(J$6:J$33,J16)-1)/2)</f>
        <v>12</v>
      </c>
    </row>
    <row r="17" customFormat="false" ht="15" hidden="false" customHeight="false" outlineLevel="0" collapsed="false">
      <c r="A17" s="44" t="str">
        <f aca="false">HoSoDN!A16</f>
        <v>HUG</v>
      </c>
      <c r="B17" s="44" t="str">
        <f aca="false">HoSoDN!Q16</f>
        <v>Có</v>
      </c>
      <c r="C17" s="44" t="str">
        <f aca="false">HoSoDN!L16</f>
        <v>Nhỏ–vừa</v>
      </c>
      <c r="D17" s="26" t="n">
        <f aca="false">IF(B17&lt;&gt;"Có","",HoSoDN!M16)</f>
        <v>33.70679648</v>
      </c>
      <c r="E17" s="45" t="n">
        <f aca="false">IF(D17="","",RANK(D17,D$6:D$33,1)+(COUNTIF(D$6:D$33,D17)-1)/2)</f>
        <v>6</v>
      </c>
      <c r="F17" s="26" t="n">
        <f aca="false">IF(B17&lt;&gt;"Có","",HoSoDN!N16)</f>
        <v>38.47962145</v>
      </c>
      <c r="G17" s="45" t="n">
        <f aca="false">IF(F17="","",RANK(F17,F$6:F$33,1)+(COUNTIF(F$6:F$33,F17)-1)/2)</f>
        <v>3</v>
      </c>
      <c r="H17" s="26" t="n">
        <f aca="false">IF(B17&lt;&gt;"Có","",HoSoDN!O16)</f>
        <v>18.73577608</v>
      </c>
      <c r="I17" s="45" t="n">
        <f aca="false">IF(H17="","",RANK(H17,H$6:H$33,1)+(COUNTIF(H$6:H$33,H17)-1)/2)</f>
        <v>6</v>
      </c>
      <c r="J17" s="20" t="n">
        <f aca="false">IF(B17&lt;&gt;"Có","",HoSoDN!P16)</f>
        <v>0.337957003956656</v>
      </c>
      <c r="K17" s="45" t="n">
        <f aca="false">IF(J17="","",RANK(J17,J$6:J$33,1)+(COUNTIF(J$6:J$33,J17)-1)/2)</f>
        <v>20</v>
      </c>
    </row>
    <row r="18" customFormat="false" ht="15" hidden="false" customHeight="false" outlineLevel="0" collapsed="false">
      <c r="A18" s="44" t="str">
        <f aca="false">HoSoDN!A17</f>
        <v>M10</v>
      </c>
      <c r="B18" s="44" t="str">
        <f aca="false">HoSoDN!Q17</f>
        <v>Có</v>
      </c>
      <c r="C18" s="44" t="str">
        <f aca="false">HoSoDN!L17</f>
        <v>Lớn</v>
      </c>
      <c r="D18" s="26" t="n">
        <f aca="false">IF(B18&lt;&gt;"Có","",HoSoDN!M17)</f>
        <v>43.5658532</v>
      </c>
      <c r="E18" s="45" t="n">
        <f aca="false">IF(D18="","",RANK(D18,D$6:D$33,1)+(COUNTIF(D$6:D$33,D18)-1)/2)</f>
        <v>10</v>
      </c>
      <c r="F18" s="26" t="n">
        <f aca="false">IF(B18&lt;&gt;"Có","",HoSoDN!N17)</f>
        <v>69.53839775</v>
      </c>
      <c r="G18" s="45" t="n">
        <f aca="false">IF(F18="","",RANK(F18,F$6:F$33,1)+(COUNTIF(F$6:F$33,F18)-1)/2)</f>
        <v>11</v>
      </c>
      <c r="H18" s="26" t="n">
        <f aca="false">IF(B18&lt;&gt;"Có","",HoSoDN!O17)</f>
        <v>61.42468402</v>
      </c>
      <c r="I18" s="45" t="n">
        <f aca="false">IF(H18="","",RANK(H18,H$6:H$33,1)+(COUNTIF(H$6:H$33,H18)-1)/2)</f>
        <v>14</v>
      </c>
      <c r="J18" s="20" t="n">
        <f aca="false">IF(B18&lt;&gt;"Có","",HoSoDN!P17)</f>
        <v>0.109723236875776</v>
      </c>
      <c r="K18" s="45" t="n">
        <f aca="false">IF(J18="","",RANK(J18,J$6:J$33,1)+(COUNTIF(J$6:J$33,J18)-1)/2)</f>
        <v>9</v>
      </c>
    </row>
    <row r="19" customFormat="false" ht="15" hidden="false" customHeight="false" outlineLevel="0" collapsed="false">
      <c r="A19" s="44" t="str">
        <f aca="false">HoSoDN!A18</f>
        <v>MGG</v>
      </c>
      <c r="B19" s="44" t="str">
        <f aca="false">HoSoDN!Q18</f>
        <v>Có</v>
      </c>
      <c r="C19" s="44" t="str">
        <f aca="false">HoSoDN!L18</f>
        <v>Lớn</v>
      </c>
      <c r="D19" s="26" t="n">
        <f aca="false">IF(B19&lt;&gt;"Có","",HoSoDN!M18)</f>
        <v>54.73756874</v>
      </c>
      <c r="E19" s="45" t="n">
        <f aca="false">IF(D19="","",RANK(D19,D$6:D$33,1)+(COUNTIF(D$6:D$33,D19)-1)/2)</f>
        <v>16</v>
      </c>
      <c r="F19" s="26" t="n">
        <f aca="false">IF(B19&lt;&gt;"Có","",HoSoDN!N18)</f>
        <v>23.2849121</v>
      </c>
      <c r="G19" s="45" t="n">
        <f aca="false">IF(F19="","",RANK(F19,F$6:F$33,1)+(COUNTIF(F$6:F$33,F19)-1)/2)</f>
        <v>1</v>
      </c>
      <c r="H19" s="26" t="n">
        <f aca="false">IF(B19&lt;&gt;"Có","",HoSoDN!O18)</f>
        <v>100.84165651</v>
      </c>
      <c r="I19" s="45" t="n">
        <f aca="false">IF(H19="","",RANK(H19,H$6:H$33,1)+(COUNTIF(H$6:H$33,H19)-1)/2)</f>
        <v>20</v>
      </c>
      <c r="J19" s="20" t="n">
        <f aca="false">IF(B19&lt;&gt;"Có","",HoSoDN!P18)</f>
        <v>0.162474505891535</v>
      </c>
      <c r="K19" s="45" t="n">
        <f aca="false">IF(J19="","",RANK(J19,J$6:J$33,1)+(COUNTIF(J$6:J$33,J19)-1)/2)</f>
        <v>16</v>
      </c>
    </row>
    <row r="20" customFormat="false" ht="15" hidden="false" customHeight="false" outlineLevel="0" collapsed="false">
      <c r="A20" s="44" t="str">
        <f aca="false">HoSoDN!A19</f>
        <v>MNB</v>
      </c>
      <c r="B20" s="44" t="str">
        <f aca="false">HoSoDN!Q19</f>
        <v>Có</v>
      </c>
      <c r="C20" s="44" t="str">
        <f aca="false">HoSoDN!L19</f>
        <v>Lớn</v>
      </c>
      <c r="D20" s="26" t="n">
        <f aca="false">IF(B20&lt;&gt;"Có","",HoSoDN!M19)</f>
        <v>61.3786369</v>
      </c>
      <c r="E20" s="45" t="n">
        <f aca="false">IF(D20="","",RANK(D20,D$6:D$33,1)+(COUNTIF(D$6:D$33,D20)-1)/2)</f>
        <v>19</v>
      </c>
      <c r="F20" s="26" t="n">
        <f aca="false">IF(B20&lt;&gt;"Có","",HoSoDN!N19)</f>
        <v>67.29453848</v>
      </c>
      <c r="G20" s="45" t="n">
        <f aca="false">IF(F20="","",RANK(F20,F$6:F$33,1)+(COUNTIF(F$6:F$33,F20)-1)/2)</f>
        <v>10</v>
      </c>
      <c r="H20" s="26" t="n">
        <f aca="false">IF(B20&lt;&gt;"Có","",HoSoDN!O19)</f>
        <v>24.57389009</v>
      </c>
      <c r="I20" s="45" t="n">
        <f aca="false">IF(H20="","",RANK(H20,H$6:H$33,1)+(COUNTIF(H$6:H$33,H20)-1)/2)</f>
        <v>8</v>
      </c>
      <c r="J20" s="20" t="n">
        <f aca="false">IF(B20&lt;&gt;"Có","",HoSoDN!P19)</f>
        <v>0.106490431900481</v>
      </c>
      <c r="K20" s="45" t="n">
        <f aca="false">IF(J20="","",RANK(J20,J$6:J$33,1)+(COUNTIF(J$6:J$33,J20)-1)/2)</f>
        <v>8</v>
      </c>
    </row>
    <row r="21" customFormat="false" ht="15" hidden="false" customHeight="false" outlineLevel="0" collapsed="false">
      <c r="A21" s="44" t="str">
        <f aca="false">HoSoDN!A20</f>
        <v>MPT</v>
      </c>
      <c r="B21" s="44" t="str">
        <f aca="false">HoSoDN!Q20</f>
        <v>Không</v>
      </c>
      <c r="C21" s="44" t="str">
        <f aca="false">HoSoDN!L20</f>
        <v/>
      </c>
      <c r="D21" s="26" t="str">
        <f aca="false">IF(B21&lt;&gt;"Có","",HoSoDN!M20)</f>
        <v/>
      </c>
      <c r="E21" s="45" t="str">
        <f aca="false">IF(D21="","",RANK(D21,D$6:D$33,1)+(COUNTIF(D$6:D$33,D21)-1)/2)</f>
        <v/>
      </c>
      <c r="F21" s="26" t="str">
        <f aca="false">IF(B21&lt;&gt;"Có","",HoSoDN!N20)</f>
        <v/>
      </c>
      <c r="G21" s="45" t="str">
        <f aca="false">IF(F21="","",RANK(F21,F$6:F$33,1)+(COUNTIF(F$6:F$33,F21)-1)/2)</f>
        <v/>
      </c>
      <c r="H21" s="26" t="str">
        <f aca="false">IF(B21&lt;&gt;"Có","",HoSoDN!O20)</f>
        <v/>
      </c>
      <c r="I21" s="45" t="str">
        <f aca="false">IF(H21="","",RANK(H21,H$6:H$33,1)+(COUNTIF(H$6:H$33,H21)-1)/2)</f>
        <v/>
      </c>
      <c r="J21" s="20" t="str">
        <f aca="false">IF(B21&lt;&gt;"Có","",HoSoDN!P20)</f>
        <v/>
      </c>
      <c r="K21" s="45" t="str">
        <f aca="false">IF(J21="","",RANK(J21,J$6:J$33,1)+(COUNTIF(J$6:J$33,J21)-1)/2)</f>
        <v/>
      </c>
    </row>
    <row r="22" customFormat="false" ht="15" hidden="false" customHeight="false" outlineLevel="0" collapsed="false">
      <c r="A22" s="44" t="str">
        <f aca="false">HoSoDN!A21</f>
        <v>MSH</v>
      </c>
      <c r="B22" s="44" t="str">
        <f aca="false">HoSoDN!Q21</f>
        <v>Có</v>
      </c>
      <c r="C22" s="44" t="str">
        <f aca="false">HoSoDN!L21</f>
        <v>Lớn</v>
      </c>
      <c r="D22" s="26" t="n">
        <f aca="false">IF(B22&lt;&gt;"Có","",HoSoDN!M21)</f>
        <v>54.08305787</v>
      </c>
      <c r="E22" s="45" t="n">
        <f aca="false">IF(D22="","",RANK(D22,D$6:D$33,1)+(COUNTIF(D$6:D$33,D22)-1)/2)</f>
        <v>15</v>
      </c>
      <c r="F22" s="26" t="n">
        <f aca="false">IF(B22&lt;&gt;"Có","",HoSoDN!N21)</f>
        <v>50.40076555</v>
      </c>
      <c r="G22" s="45" t="n">
        <f aca="false">IF(F22="","",RANK(F22,F$6:F$33,1)+(COUNTIF(F$6:F$33,F22)-1)/2)</f>
        <v>4</v>
      </c>
      <c r="H22" s="26" t="n">
        <f aca="false">IF(B22&lt;&gt;"Có","",HoSoDN!O21)</f>
        <v>15.36306074</v>
      </c>
      <c r="I22" s="45" t="n">
        <f aca="false">IF(H22="","",RANK(H22,H$6:H$33,1)+(COUNTIF(H$6:H$33,H22)-1)/2)</f>
        <v>3</v>
      </c>
      <c r="J22" s="20" t="n">
        <f aca="false">IF(B22&lt;&gt;"Có","",HoSoDN!P21)</f>
        <v>0.292480523471886</v>
      </c>
      <c r="K22" s="45" t="n">
        <f aca="false">IF(J22="","",RANK(J22,J$6:J$33,1)+(COUNTIF(J$6:J$33,J22)-1)/2)</f>
        <v>18</v>
      </c>
    </row>
    <row r="23" customFormat="false" ht="15" hidden="false" customHeight="false" outlineLevel="0" collapsed="false">
      <c r="A23" s="44" t="str">
        <f aca="false">HoSoDN!A22</f>
        <v>NJC</v>
      </c>
      <c r="B23" s="44" t="str">
        <f aca="false">HoSoDN!Q22</f>
        <v>Có</v>
      </c>
      <c r="C23" s="44" t="str">
        <f aca="false">HoSoDN!L22</f>
        <v>Nhỏ–vừa</v>
      </c>
      <c r="D23" s="26" t="n">
        <f aca="false">IF(B23&lt;&gt;"Có","",HoSoDN!M22)</f>
        <v>61.06565211</v>
      </c>
      <c r="E23" s="45" t="n">
        <f aca="false">IF(D23="","",RANK(D23,D$6:D$33,1)+(COUNTIF(D$6:D$33,D23)-1)/2)</f>
        <v>18</v>
      </c>
      <c r="F23" s="26" t="n">
        <f aca="false">IF(B23&lt;&gt;"Có","",HoSoDN!N22)</f>
        <v>86.73010008</v>
      </c>
      <c r="G23" s="45" t="n">
        <f aca="false">IF(F23="","",RANK(F23,F$6:F$33,1)+(COUNTIF(F$6:F$33,F23)-1)/2)</f>
        <v>15</v>
      </c>
      <c r="H23" s="26" t="n">
        <f aca="false">IF(B23&lt;&gt;"Có","",HoSoDN!O22)</f>
        <v>17.8974127</v>
      </c>
      <c r="I23" s="45" t="n">
        <f aca="false">IF(H23="","",RANK(H23,H$6:H$33,1)+(COUNTIF(H$6:H$33,H23)-1)/2)</f>
        <v>5</v>
      </c>
      <c r="J23" s="20" t="n">
        <f aca="false">IF(B23&lt;&gt;"Có","",HoSoDN!P22)</f>
        <v>0.0615176557417903</v>
      </c>
      <c r="K23" s="45" t="n">
        <f aca="false">IF(J23="","",RANK(J23,J$6:J$33,1)+(COUNTIF(J$6:J$33,J23)-1)/2)</f>
        <v>2</v>
      </c>
    </row>
    <row r="24" customFormat="false" ht="15" hidden="false" customHeight="false" outlineLevel="0" collapsed="false">
      <c r="A24" s="44" t="str">
        <f aca="false">HoSoDN!A23</f>
        <v>NTT</v>
      </c>
      <c r="B24" s="44" t="str">
        <f aca="false">HoSoDN!Q23</f>
        <v>Có</v>
      </c>
      <c r="C24" s="44" t="str">
        <f aca="false">HoSoDN!L23</f>
        <v>Nhỏ–vừa</v>
      </c>
      <c r="D24" s="26" t="n">
        <f aca="false">IF(B24&lt;&gt;"Có","",HoSoDN!M23)</f>
        <v>51.66785441</v>
      </c>
      <c r="E24" s="45" t="n">
        <f aca="false">IF(D24="","",RANK(D24,D$6:D$33,1)+(COUNTIF(D$6:D$33,D24)-1)/2)</f>
        <v>14</v>
      </c>
      <c r="F24" s="26" t="n">
        <f aca="false">IF(B24&lt;&gt;"Có","",HoSoDN!N23)</f>
        <v>104.63331123</v>
      </c>
      <c r="G24" s="45" t="n">
        <f aca="false">IF(F24="","",RANK(F24,F$6:F$33,1)+(COUNTIF(F$6:F$33,F24)-1)/2)</f>
        <v>17</v>
      </c>
      <c r="H24" s="26" t="n">
        <f aca="false">IF(B24&lt;&gt;"Có","",HoSoDN!O23)</f>
        <v>73.679788</v>
      </c>
      <c r="I24" s="45" t="n">
        <f aca="false">IF(H24="","",RANK(H24,H$6:H$33,1)+(COUNTIF(H$6:H$33,H24)-1)/2)</f>
        <v>16</v>
      </c>
      <c r="J24" s="20" t="n">
        <f aca="false">IF(B24&lt;&gt;"Có","",HoSoDN!P23)</f>
        <v>0.0824085858003555</v>
      </c>
      <c r="K24" s="45" t="n">
        <f aca="false">IF(J24="","",RANK(J24,J$6:J$33,1)+(COUNTIF(J$6:J$33,J24)-1)/2)</f>
        <v>4</v>
      </c>
    </row>
    <row r="25" customFormat="false" ht="15" hidden="false" customHeight="false" outlineLevel="0" collapsed="false">
      <c r="A25" s="44" t="str">
        <f aca="false">HoSoDN!A24</f>
        <v>PTG</v>
      </c>
      <c r="B25" s="44" t="str">
        <f aca="false">HoSoDN!Q24</f>
        <v>Không</v>
      </c>
      <c r="C25" s="44" t="str">
        <f aca="false">HoSoDN!L24</f>
        <v/>
      </c>
      <c r="D25" s="26" t="str">
        <f aca="false">IF(B25&lt;&gt;"Có","",HoSoDN!M24)</f>
        <v/>
      </c>
      <c r="E25" s="45" t="str">
        <f aca="false">IF(D25="","",RANK(D25,D$6:D$33,1)+(COUNTIF(D$6:D$33,D25)-1)/2)</f>
        <v/>
      </c>
      <c r="F25" s="26" t="str">
        <f aca="false">IF(B25&lt;&gt;"Có","",HoSoDN!N24)</f>
        <v/>
      </c>
      <c r="G25" s="45" t="str">
        <f aca="false">IF(F25="","",RANK(F25,F$6:F$33,1)+(COUNTIF(F$6:F$33,F25)-1)/2)</f>
        <v/>
      </c>
      <c r="H25" s="26" t="str">
        <f aca="false">IF(B25&lt;&gt;"Có","",HoSoDN!O24)</f>
        <v/>
      </c>
      <c r="I25" s="45" t="str">
        <f aca="false">IF(H25="","",RANK(H25,H$6:H$33,1)+(COUNTIF(H$6:H$33,H25)-1)/2)</f>
        <v/>
      </c>
      <c r="J25" s="20" t="str">
        <f aca="false">IF(B25&lt;&gt;"Có","",HoSoDN!P24)</f>
        <v/>
      </c>
      <c r="K25" s="45" t="str">
        <f aca="false">IF(J25="","",RANK(J25,J$6:J$33,1)+(COUNTIF(J$6:J$33,J25)-1)/2)</f>
        <v/>
      </c>
    </row>
    <row r="26" customFormat="false" ht="15" hidden="false" customHeight="false" outlineLevel="0" collapsed="false">
      <c r="A26" s="44" t="str">
        <f aca="false">HoSoDN!A25</f>
        <v>TCM</v>
      </c>
      <c r="B26" s="44" t="str">
        <f aca="false">HoSoDN!Q25</f>
        <v>Có</v>
      </c>
      <c r="C26" s="44" t="str">
        <f aca="false">HoSoDN!L25</f>
        <v>Lớn</v>
      </c>
      <c r="D26" s="26" t="n">
        <f aca="false">IF(B26&lt;&gt;"Có","",HoSoDN!M25)</f>
        <v>44.37421928</v>
      </c>
      <c r="E26" s="45" t="n">
        <f aca="false">IF(D26="","",RANK(D26,D$6:D$33,1)+(COUNTIF(D$6:D$33,D26)-1)/2)</f>
        <v>11</v>
      </c>
      <c r="F26" s="26" t="n">
        <f aca="false">IF(B26&lt;&gt;"Có","",HoSoDN!N25)</f>
        <v>121.89984075</v>
      </c>
      <c r="G26" s="45" t="n">
        <f aca="false">IF(F26="","",RANK(F26,F$6:F$33,1)+(COUNTIF(F$6:F$33,F26)-1)/2)</f>
        <v>19</v>
      </c>
      <c r="H26" s="26" t="n">
        <f aca="false">IF(B26&lt;&gt;"Có","",HoSoDN!O25)</f>
        <v>42.50564924</v>
      </c>
      <c r="I26" s="45" t="n">
        <f aca="false">IF(H26="","",RANK(H26,H$6:H$33,1)+(COUNTIF(H$6:H$33,H26)-1)/2)</f>
        <v>12</v>
      </c>
      <c r="J26" s="20" t="n">
        <f aca="false">IF(B26&lt;&gt;"Có","",HoSoDN!P25)</f>
        <v>0.287706367692473</v>
      </c>
      <c r="K26" s="45" t="n">
        <f aca="false">IF(J26="","",RANK(J26,J$6:J$33,1)+(COUNTIF(J$6:J$33,J26)-1)/2)</f>
        <v>17</v>
      </c>
    </row>
    <row r="27" customFormat="false" ht="15" hidden="false" customHeight="false" outlineLevel="0" collapsed="false">
      <c r="A27" s="44" t="str">
        <f aca="false">HoSoDN!A26</f>
        <v>TDT</v>
      </c>
      <c r="B27" s="44" t="str">
        <f aca="false">HoSoDN!Q26</f>
        <v>Có</v>
      </c>
      <c r="C27" s="44" t="str">
        <f aca="false">HoSoDN!L26</f>
        <v>Nhỏ–vừa</v>
      </c>
      <c r="D27" s="26" t="n">
        <f aca="false">IF(B27&lt;&gt;"Có","",HoSoDN!M26)</f>
        <v>34.64300002</v>
      </c>
      <c r="E27" s="45" t="n">
        <f aca="false">IF(D27="","",RANK(D27,D$6:D$33,1)+(COUNTIF(D$6:D$33,D27)-1)/2)</f>
        <v>7</v>
      </c>
      <c r="F27" s="26" t="n">
        <f aca="false">IF(B27&lt;&gt;"Có","",HoSoDN!N26)</f>
        <v>255.11526195</v>
      </c>
      <c r="G27" s="45" t="n">
        <f aca="false">IF(F27="","",RANK(F27,F$6:F$33,1)+(COUNTIF(F$6:F$33,F27)-1)/2)</f>
        <v>20</v>
      </c>
      <c r="H27" s="26" t="n">
        <f aca="false">IF(B27&lt;&gt;"Có","",HoSoDN!O26)</f>
        <v>16.78718093</v>
      </c>
      <c r="I27" s="45" t="n">
        <f aca="false">IF(H27="","",RANK(H27,H$6:H$33,1)+(COUNTIF(H$6:H$33,H27)-1)/2)</f>
        <v>4</v>
      </c>
      <c r="J27" s="20" t="n">
        <f aca="false">IF(B27&lt;&gt;"Có","",HoSoDN!P26)</f>
        <v>0.109881998717003</v>
      </c>
      <c r="K27" s="45" t="n">
        <f aca="false">IF(J27="","",RANK(J27,J$6:J$33,1)+(COUNTIF(J$6:J$33,J27)-1)/2)</f>
        <v>10</v>
      </c>
    </row>
    <row r="28" customFormat="false" ht="15" hidden="false" customHeight="false" outlineLevel="0" collapsed="false">
      <c r="A28" s="44" t="str">
        <f aca="false">HoSoDN!A27</f>
        <v>THM</v>
      </c>
      <c r="B28" s="44" t="str">
        <f aca="false">HoSoDN!Q27</f>
        <v>Không</v>
      </c>
      <c r="C28" s="44" t="str">
        <f aca="false">HoSoDN!L27</f>
        <v/>
      </c>
      <c r="D28" s="26" t="str">
        <f aca="false">IF(B28&lt;&gt;"Có","",HoSoDN!M27)</f>
        <v/>
      </c>
      <c r="E28" s="45" t="str">
        <f aca="false">IF(D28="","",RANK(D28,D$6:D$33,1)+(COUNTIF(D$6:D$33,D28)-1)/2)</f>
        <v/>
      </c>
      <c r="F28" s="26" t="str">
        <f aca="false">IF(B28&lt;&gt;"Có","",HoSoDN!N27)</f>
        <v/>
      </c>
      <c r="G28" s="45" t="str">
        <f aca="false">IF(F28="","",RANK(F28,F$6:F$33,1)+(COUNTIF(F$6:F$33,F28)-1)/2)</f>
        <v/>
      </c>
      <c r="H28" s="26" t="str">
        <f aca="false">IF(B28&lt;&gt;"Có","",HoSoDN!O27)</f>
        <v/>
      </c>
      <c r="I28" s="45" t="str">
        <f aca="false">IF(H28="","",RANK(H28,H$6:H$33,1)+(COUNTIF(H$6:H$33,H28)-1)/2)</f>
        <v/>
      </c>
      <c r="J28" s="20" t="str">
        <f aca="false">IF(B28&lt;&gt;"Có","",HoSoDN!P27)</f>
        <v/>
      </c>
      <c r="K28" s="45" t="str">
        <f aca="false">IF(J28="","",RANK(J28,J$6:J$33,1)+(COUNTIF(J$6:J$33,J28)-1)/2)</f>
        <v/>
      </c>
    </row>
    <row r="29" customFormat="false" ht="15" hidden="false" customHeight="false" outlineLevel="0" collapsed="false">
      <c r="A29" s="44" t="str">
        <f aca="false">HoSoDN!A28</f>
        <v>TNG</v>
      </c>
      <c r="B29" s="44" t="str">
        <f aca="false">HoSoDN!Q28</f>
        <v>Có</v>
      </c>
      <c r="C29" s="44" t="str">
        <f aca="false">HoSoDN!L28</f>
        <v>Lớn</v>
      </c>
      <c r="D29" s="26" t="n">
        <f aca="false">IF(B29&lt;&gt;"Có","",HoSoDN!M28)</f>
        <v>33.0760229</v>
      </c>
      <c r="E29" s="45" t="n">
        <f aca="false">IF(D29="","",RANK(D29,D$6:D$33,1)+(COUNTIF(D$6:D$33,D29)-1)/2)</f>
        <v>5</v>
      </c>
      <c r="F29" s="26" t="n">
        <f aca="false">IF(B29&lt;&gt;"Có","",HoSoDN!N28)</f>
        <v>70.38219954</v>
      </c>
      <c r="G29" s="45" t="n">
        <f aca="false">IF(F29="","",RANK(F29,F$6:F$33,1)+(COUNTIF(F$6:F$33,F29)-1)/2)</f>
        <v>13</v>
      </c>
      <c r="H29" s="26" t="n">
        <f aca="false">IF(B29&lt;&gt;"Có","",HoSoDN!O28)</f>
        <v>35.33239076</v>
      </c>
      <c r="I29" s="45" t="n">
        <f aca="false">IF(H29="","",RANK(H29,H$6:H$33,1)+(COUNTIF(H$6:H$33,H29)-1)/2)</f>
        <v>11</v>
      </c>
      <c r="J29" s="20" t="n">
        <f aca="false">IF(B29&lt;&gt;"Có","",HoSoDN!P28)</f>
        <v>0.0907054074046917</v>
      </c>
      <c r="K29" s="45" t="n">
        <f aca="false">IF(J29="","",RANK(J29,J$6:J$33,1)+(COUNTIF(J$6:J$33,J29)-1)/2)</f>
        <v>6</v>
      </c>
    </row>
    <row r="30" customFormat="false" ht="15" hidden="false" customHeight="false" outlineLevel="0" collapsed="false">
      <c r="A30" s="44" t="str">
        <f aca="false">HoSoDN!A29</f>
        <v>VGG</v>
      </c>
      <c r="B30" s="44" t="str">
        <f aca="false">HoSoDN!Q29</f>
        <v>Có</v>
      </c>
      <c r="C30" s="44" t="str">
        <f aca="false">HoSoDN!L29</f>
        <v>Lớn</v>
      </c>
      <c r="D30" s="26" t="n">
        <f aca="false">IF(B30&lt;&gt;"Có","",HoSoDN!M29)</f>
        <v>58.48321057</v>
      </c>
      <c r="E30" s="45" t="n">
        <f aca="false">IF(D30="","",RANK(D30,D$6:D$33,1)+(COUNTIF(D$6:D$33,D30)-1)/2)</f>
        <v>17</v>
      </c>
      <c r="F30" s="26" t="n">
        <f aca="false">IF(B30&lt;&gt;"Có","",HoSoDN!N29)</f>
        <v>57.60614383</v>
      </c>
      <c r="G30" s="45" t="n">
        <f aca="false">IF(F30="","",RANK(F30,F$6:F$33,1)+(COUNTIF(F$6:F$33,F30)-1)/2)</f>
        <v>6</v>
      </c>
      <c r="H30" s="26" t="n">
        <f aca="false">IF(B30&lt;&gt;"Có","",HoSoDN!O29)</f>
        <v>76.86591314</v>
      </c>
      <c r="I30" s="45" t="n">
        <f aca="false">IF(H30="","",RANK(H30,H$6:H$33,1)+(COUNTIF(H$6:H$33,H30)-1)/2)</f>
        <v>18</v>
      </c>
      <c r="J30" s="20" t="n">
        <f aca="false">IF(B30&lt;&gt;"Có","",HoSoDN!P29)</f>
        <v>0.0832077983559091</v>
      </c>
      <c r="K30" s="45" t="n">
        <f aca="false">IF(J30="","",RANK(J30,J$6:J$33,1)+(COUNTIF(J$6:J$33,J30)-1)/2)</f>
        <v>5</v>
      </c>
    </row>
    <row r="31" customFormat="false" ht="15" hidden="false" customHeight="false" outlineLevel="0" collapsed="false">
      <c r="A31" s="44" t="str">
        <f aca="false">HoSoDN!A30</f>
        <v>VTI</v>
      </c>
      <c r="B31" s="44" t="str">
        <f aca="false">HoSoDN!Q30</f>
        <v>Không</v>
      </c>
      <c r="C31" s="44" t="str">
        <f aca="false">HoSoDN!L30</f>
        <v/>
      </c>
      <c r="D31" s="26" t="str">
        <f aca="false">IF(B31&lt;&gt;"Có","",HoSoDN!M30)</f>
        <v/>
      </c>
      <c r="E31" s="45" t="str">
        <f aca="false">IF(D31="","",RANK(D31,D$6:D$33,1)+(COUNTIF(D$6:D$33,D31)-1)/2)</f>
        <v/>
      </c>
      <c r="F31" s="26" t="str">
        <f aca="false">IF(B31&lt;&gt;"Có","",HoSoDN!N30)</f>
        <v/>
      </c>
      <c r="G31" s="45" t="str">
        <f aca="false">IF(F31="","",RANK(F31,F$6:F$33,1)+(COUNTIF(F$6:F$33,F31)-1)/2)</f>
        <v/>
      </c>
      <c r="H31" s="26" t="str">
        <f aca="false">IF(B31&lt;&gt;"Có","",HoSoDN!O30)</f>
        <v/>
      </c>
      <c r="I31" s="45" t="str">
        <f aca="false">IF(H31="","",RANK(H31,H$6:H$33,1)+(COUNTIF(H$6:H$33,H31)-1)/2)</f>
        <v/>
      </c>
      <c r="J31" s="20" t="str">
        <f aca="false">IF(B31&lt;&gt;"Có","",HoSoDN!P30)</f>
        <v/>
      </c>
      <c r="K31" s="45" t="str">
        <f aca="false">IF(J31="","",RANK(J31,J$6:J$33,1)+(COUNTIF(J$6:J$33,J31)-1)/2)</f>
        <v/>
      </c>
    </row>
    <row r="32" customFormat="false" ht="15" hidden="false" customHeight="false" outlineLevel="0" collapsed="false">
      <c r="A32" s="44" t="str">
        <f aca="false">HoSoDN!A31</f>
        <v>X20</v>
      </c>
      <c r="B32" s="44" t="str">
        <f aca="false">HoSoDN!Q31</f>
        <v>Có</v>
      </c>
      <c r="C32" s="44" t="str">
        <f aca="false">HoSoDN!L31</f>
        <v>Nhỏ–vừa</v>
      </c>
      <c r="D32" s="26" t="n">
        <f aca="false">IF(B32&lt;&gt;"Có","",HoSoDN!M31)</f>
        <v>24.97202885</v>
      </c>
      <c r="E32" s="45" t="n">
        <f aca="false">IF(D32="","",RANK(D32,D$6:D$33,1)+(COUNTIF(D$6:D$33,D32)-1)/2)</f>
        <v>2</v>
      </c>
      <c r="F32" s="26" t="n">
        <f aca="false">IF(B32&lt;&gt;"Có","",HoSoDN!N31)</f>
        <v>69.9651124</v>
      </c>
      <c r="G32" s="45" t="n">
        <f aca="false">IF(F32="","",RANK(F32,F$6:F$33,1)+(COUNTIF(F$6:F$33,F32)-1)/2)</f>
        <v>12</v>
      </c>
      <c r="H32" s="26" t="n">
        <f aca="false">IF(B32&lt;&gt;"Có","",HoSoDN!O31)</f>
        <v>72.42039395</v>
      </c>
      <c r="I32" s="45" t="n">
        <f aca="false">IF(H32="","",RANK(H32,H$6:H$33,1)+(COUNTIF(H$6:H$33,H32)-1)/2)</f>
        <v>15</v>
      </c>
      <c r="J32" s="20" t="n">
        <f aca="false">IF(B32&lt;&gt;"Có","",HoSoDN!P31)</f>
        <v>0.142215038534497</v>
      </c>
      <c r="K32" s="45" t="n">
        <f aca="false">IF(J32="","",RANK(J32,J$6:J$33,1)+(COUNTIF(J$6:J$33,J32)-1)/2)</f>
        <v>13</v>
      </c>
    </row>
    <row r="33" customFormat="false" ht="15" hidden="false" customHeight="false" outlineLevel="0" collapsed="false">
      <c r="A33" s="44" t="str">
        <f aca="false">HoSoDN!A32</f>
        <v>X26</v>
      </c>
      <c r="B33" s="44" t="str">
        <f aca="false">HoSoDN!Q32</f>
        <v>Có</v>
      </c>
      <c r="C33" s="44" t="str">
        <f aca="false">HoSoDN!L32</f>
        <v>Nhỏ–vừa</v>
      </c>
      <c r="D33" s="26" t="n">
        <f aca="false">IF(B33&lt;&gt;"Có","",HoSoDN!M32)</f>
        <v>48.09836885</v>
      </c>
      <c r="E33" s="45" t="n">
        <f aca="false">IF(D33="","",RANK(D33,D$6:D$33,1)+(COUNTIF(D$6:D$33,D33)-1)/2)</f>
        <v>13</v>
      </c>
      <c r="F33" s="26" t="n">
        <f aca="false">IF(B33&lt;&gt;"Có","",HoSoDN!N32)</f>
        <v>73.87966986</v>
      </c>
      <c r="G33" s="45" t="n">
        <f aca="false">IF(F33="","",RANK(F33,F$6:F$33,1)+(COUNTIF(F$6:F$33,F33)-1)/2)</f>
        <v>14</v>
      </c>
      <c r="H33" s="26" t="n">
        <f aca="false">IF(B33&lt;&gt;"Có","",HoSoDN!O32)</f>
        <v>74.86253987</v>
      </c>
      <c r="I33" s="45" t="n">
        <f aca="false">IF(H33="","",RANK(H33,H$6:H$33,1)+(COUNTIF(H$6:H$33,H33)-1)/2)</f>
        <v>17</v>
      </c>
      <c r="J33" s="20" t="n">
        <f aca="false">IF(B33&lt;&gt;"Có","",HoSoDN!P32)</f>
        <v>0.154131295502724</v>
      </c>
      <c r="K33" s="45" t="n">
        <f aca="false">IF(J33="","",RANK(J33,J$6:J$33,1)+(COUNTIF(J$6:J$33,J33)-1)/2)</f>
        <v>15</v>
      </c>
    </row>
    <row r="35" customFormat="false" ht="15" hidden="false" customHeight="false" outlineLevel="0" collapsed="false">
      <c r="A35" s="3" t="s">
        <v>419</v>
      </c>
    </row>
    <row r="36" customFormat="false" ht="35.05" hidden="false" customHeight="false" outlineLevel="0" collapsed="false">
      <c r="A36" s="4" t="s">
        <v>365</v>
      </c>
      <c r="B36" s="4" t="s">
        <v>391</v>
      </c>
      <c r="C36" s="4" t="s">
        <v>420</v>
      </c>
      <c r="D36" s="4" t="s">
        <v>421</v>
      </c>
      <c r="E36" s="4" t="s">
        <v>422</v>
      </c>
      <c r="F36" s="4" t="s">
        <v>423</v>
      </c>
      <c r="G36" s="4" t="s">
        <v>424</v>
      </c>
      <c r="H36" s="4" t="s">
        <v>425</v>
      </c>
      <c r="I36" s="4" t="s">
        <v>426</v>
      </c>
      <c r="J36" s="4" t="s">
        <v>427</v>
      </c>
      <c r="K36" s="4" t="s">
        <v>428</v>
      </c>
      <c r="L36" s="4" t="s">
        <v>429</v>
      </c>
      <c r="M36" s="4" t="s">
        <v>430</v>
      </c>
    </row>
    <row r="37" customFormat="false" ht="15" hidden="false" customHeight="false" outlineLevel="0" collapsed="false">
      <c r="A37" s="5" t="s">
        <v>398</v>
      </c>
      <c r="B37" s="5" t="s">
        <v>399</v>
      </c>
      <c r="C37" s="5" t="s">
        <v>400</v>
      </c>
      <c r="D37" s="5" t="n">
        <f aca="false">COUNTIFS(C$6:C$33,C37,E$6:E$33,"&gt;0")</f>
        <v>11</v>
      </c>
      <c r="E37" s="5" t="n">
        <f aca="false">COUNTIF(E$6:E$33,"&gt;0")-D37</f>
        <v>9</v>
      </c>
      <c r="F37" s="45" t="n">
        <f aca="false">SUMIFS(E$6:E$33,C$6:C$33,C37)</f>
        <v>97</v>
      </c>
      <c r="G37" s="45" t="n">
        <f aca="false">F37-D37*(D37+1)/2</f>
        <v>31</v>
      </c>
      <c r="H37" s="45" t="n">
        <f aca="false">MIN(G37,D37*E37-G37)</f>
        <v>31</v>
      </c>
      <c r="I37" s="45" t="n">
        <f aca="false">D37*E37/2</f>
        <v>49.5</v>
      </c>
      <c r="J37" s="41" t="n">
        <f aca="false">SQRT(D37*E37*(D37+E37+1)/12)</f>
        <v>13.1624465810882</v>
      </c>
      <c r="K37" s="41" t="n">
        <f aca="false">MIN(0,(H37-I37+0.5)/J37)</f>
        <v>-1.36752691751566</v>
      </c>
      <c r="L37" s="46" t="n">
        <f aca="false">MIN(1,2*NORMSDIST(K37))</f>
        <v>0.171460206064327</v>
      </c>
      <c r="M37" s="5" t="str">
        <f aca="false">IF(L37&lt;ThamSo!$C$16,"Có – khác biệt có ý nghĩa","Không – coi như cùng chuẩn")</f>
        <v>Không – coi như cùng chuẩn</v>
      </c>
    </row>
    <row r="38" customFormat="false" ht="15" hidden="false" customHeight="false" outlineLevel="0" collapsed="false">
      <c r="A38" s="5" t="s">
        <v>402</v>
      </c>
      <c r="B38" s="5" t="s">
        <v>399</v>
      </c>
      <c r="C38" s="5" t="s">
        <v>400</v>
      </c>
      <c r="D38" s="5" t="n">
        <f aca="false">COUNTIFS(C$6:C$33,C38,G$6:G$33,"&gt;0")</f>
        <v>11</v>
      </c>
      <c r="E38" s="5" t="n">
        <f aca="false">COUNTIF(G$6:G$33,"&gt;0")-D38</f>
        <v>9</v>
      </c>
      <c r="F38" s="45" t="n">
        <f aca="false">SUMIFS(G$6:G$33,C$6:C$33,C38)</f>
        <v>130</v>
      </c>
      <c r="G38" s="45" t="n">
        <f aca="false">F38-D38*(D38+1)/2</f>
        <v>64</v>
      </c>
      <c r="H38" s="45" t="n">
        <f aca="false">MIN(G38,D38*E38-G38)</f>
        <v>35</v>
      </c>
      <c r="I38" s="45" t="n">
        <f aca="false">D38*E38/2</f>
        <v>49.5</v>
      </c>
      <c r="J38" s="41" t="n">
        <f aca="false">SQRT(D38*E38*(D38+E38+1)/12)</f>
        <v>13.1624465810882</v>
      </c>
      <c r="K38" s="41" t="n">
        <f aca="false">MIN(0,(H38-I38+0.5)/J38)</f>
        <v>-1.06363204695662</v>
      </c>
      <c r="L38" s="46" t="n">
        <f aca="false">MIN(1,2*NORMSDIST(K38))</f>
        <v>0.287495418869168</v>
      </c>
      <c r="M38" s="5" t="str">
        <f aca="false">IF(L38&lt;ThamSo!$C$16,"Có – khác biệt có ý nghĩa","Không – coi như cùng chuẩn")</f>
        <v>Không – coi như cùng chuẩn</v>
      </c>
    </row>
    <row r="39" customFormat="false" ht="15" hidden="false" customHeight="false" outlineLevel="0" collapsed="false">
      <c r="A39" s="5" t="s">
        <v>403</v>
      </c>
      <c r="B39" s="5" t="s">
        <v>399</v>
      </c>
      <c r="C39" s="5" t="s">
        <v>400</v>
      </c>
      <c r="D39" s="5" t="n">
        <f aca="false">COUNTIFS(C$6:C$33,C39,I$6:I$33,"&gt;0")</f>
        <v>11</v>
      </c>
      <c r="E39" s="5" t="n">
        <f aca="false">COUNTIF(I$6:I$33,"&gt;0")-D39</f>
        <v>9</v>
      </c>
      <c r="F39" s="45" t="n">
        <f aca="false">SUMIFS(I$6:I$33,C$6:C$33,C39)</f>
        <v>108</v>
      </c>
      <c r="G39" s="45" t="n">
        <f aca="false">F39-D39*(D39+1)/2</f>
        <v>42</v>
      </c>
      <c r="H39" s="45" t="n">
        <f aca="false">MIN(G39,D39*E39-G39)</f>
        <v>42</v>
      </c>
      <c r="I39" s="45" t="n">
        <f aca="false">D39*E39/2</f>
        <v>49.5</v>
      </c>
      <c r="J39" s="41" t="n">
        <f aca="false">SQRT(D39*E39*(D39+E39+1)/12)</f>
        <v>13.1624465810882</v>
      </c>
      <c r="K39" s="41" t="n">
        <f aca="false">MIN(0,(H39-I39+0.5)/J39)</f>
        <v>-0.531816023478311</v>
      </c>
      <c r="L39" s="46" t="n">
        <f aca="false">MIN(1,2*NORMSDIST(K39))</f>
        <v>0.594853423788325</v>
      </c>
      <c r="M39" s="5" t="str">
        <f aca="false">IF(L39&lt;ThamSo!$C$16,"Có – khác biệt có ý nghĩa","Không – coi như cùng chuẩn")</f>
        <v>Không – coi như cùng chuẩn</v>
      </c>
    </row>
    <row r="40" customFormat="false" ht="15" hidden="false" customHeight="false" outlineLevel="0" collapsed="false">
      <c r="A40" s="5" t="s">
        <v>404</v>
      </c>
      <c r="B40" s="5" t="s">
        <v>399</v>
      </c>
      <c r="C40" s="5" t="s">
        <v>400</v>
      </c>
      <c r="D40" s="5" t="n">
        <f aca="false">COUNTIFS(C$6:C$33,C40,K$6:K$33,"&gt;0")</f>
        <v>11</v>
      </c>
      <c r="E40" s="5" t="n">
        <f aca="false">COUNTIF(K$6:K$33,"&gt;0")-D40</f>
        <v>9</v>
      </c>
      <c r="F40" s="45" t="n">
        <f aca="false">SUMIFS(K$6:K$33,C$6:C$33,C40)</f>
        <v>105</v>
      </c>
      <c r="G40" s="45" t="n">
        <f aca="false">F40-D40*(D40+1)/2</f>
        <v>39</v>
      </c>
      <c r="H40" s="45" t="n">
        <f aca="false">MIN(G40,D40*E40-G40)</f>
        <v>39</v>
      </c>
      <c r="I40" s="45" t="n">
        <f aca="false">D40*E40/2</f>
        <v>49.5</v>
      </c>
      <c r="J40" s="41" t="n">
        <f aca="false">SQRT(D40*E40*(D40+E40+1)/12)</f>
        <v>13.1624465810882</v>
      </c>
      <c r="K40" s="41" t="n">
        <f aca="false">MIN(0,(H40-I40+0.5)/J40)</f>
        <v>-0.759737176397586</v>
      </c>
      <c r="L40" s="46" t="n">
        <f aca="false">MIN(1,2*NORMSDIST(K40))</f>
        <v>0.447411702009319</v>
      </c>
      <c r="M40" s="5" t="str">
        <f aca="false">IF(L40&lt;ThamSo!$C$16,"Có – khác biệt có ý nghĩa","Không – coi như cùng chuẩn")</f>
        <v>Không – coi như cùng chuẩn</v>
      </c>
    </row>
    <row r="43" customFormat="false" ht="15" hidden="false" customHeight="false" outlineLevel="0" collapsed="false">
      <c r="A43" s="10" t="s">
        <v>431</v>
      </c>
    </row>
    <row r="44" customFormat="false" ht="15" hidden="false" customHeight="false" outlineLevel="0" collapsed="false">
      <c r="A44" s="2" t="s">
        <v>432</v>
      </c>
    </row>
    <row r="45" customFormat="false" ht="15" hidden="false" customHeight="false" outlineLevel="0" collapsed="false">
      <c r="A45" s="2" t="s">
        <v>433</v>
      </c>
    </row>
    <row r="46" customFormat="false" ht="15" hidden="false" customHeight="false" outlineLevel="0" collapsed="false">
      <c r="A46" s="2" t="s">
        <v>434</v>
      </c>
    </row>
    <row r="47" customFormat="false" ht="15" hidden="false" customHeight="false" outlineLevel="0" collapsed="false">
      <c r="A47" s="2" t="s">
        <v>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26"/>
    <col collapsed="false" customWidth="true" hidden="false" outlineLevel="0" max="4" min="4" style="0" width="46"/>
    <col collapsed="false" customWidth="true" hidden="false" outlineLevel="0" max="5" min="5" style="0" width="40"/>
    <col collapsed="false" customWidth="true" hidden="false" outlineLevel="0" max="6" min="6" style="0" width="60"/>
    <col collapsed="false" customWidth="true" hidden="false" outlineLevel="0" max="7" min="7" style="0" width="20"/>
  </cols>
  <sheetData>
    <row r="1" customFormat="false" ht="17.35" hidden="false" customHeight="false" outlineLevel="0" collapsed="false">
      <c r="A1" s="15" t="s">
        <v>436</v>
      </c>
    </row>
    <row r="2" customFormat="false" ht="15" hidden="false" customHeight="false" outlineLevel="0" collapsed="false">
      <c r="A2" s="16" t="s">
        <v>437</v>
      </c>
    </row>
    <row r="3" customFormat="false" ht="15" hidden="false" customHeight="false" outlineLevel="0" collapsed="false">
      <c r="B3" s="2" t="s">
        <v>438</v>
      </c>
      <c r="C3" s="47" t="s">
        <v>439</v>
      </c>
      <c r="D3" s="2" t="n">
        <f aca="false">IFERROR(MATCH(C3,B4_PhanLopW!$C$5:$C$64,0),"không tìm thấy")</f>
        <v>12</v>
      </c>
    </row>
    <row r="5" customFormat="false" ht="15" hidden="false" customHeight="false" outlineLevel="0" collapsed="false">
      <c r="A5" s="4" t="s">
        <v>440</v>
      </c>
      <c r="B5" s="4" t="s">
        <v>392</v>
      </c>
      <c r="C5" s="4" t="s">
        <v>441</v>
      </c>
      <c r="D5" s="4" t="s">
        <v>442</v>
      </c>
      <c r="E5" s="4" t="s">
        <v>443</v>
      </c>
      <c r="F5" s="4" t="s">
        <v>444</v>
      </c>
      <c r="G5" s="4" t="s">
        <v>445</v>
      </c>
    </row>
    <row r="6" customFormat="false" ht="15" hidden="false" customHeight="false" outlineLevel="0" collapsed="false">
      <c r="A6" s="5" t="n">
        <v>1</v>
      </c>
      <c r="B6" s="19" t="s">
        <v>446</v>
      </c>
      <c r="C6" s="19" t="s">
        <v>447</v>
      </c>
      <c r="D6" s="19" t="s">
        <v>448</v>
      </c>
      <c r="E6" s="19" t="s">
        <v>449</v>
      </c>
      <c r="F6" s="19" t="str">
        <f aca="false">"DT = "&amp;TEXT(INDEX(B4_PhanLopW!$F$5:$F$64,$D$3)/1000000000,"#,##0.0")&amp;" tỷ đồng"</f>
        <v>DT = 741.1 tỷ đồng</v>
      </c>
      <c r="G6" s="19" t="s">
        <v>41</v>
      </c>
    </row>
    <row r="7" customFormat="false" ht="15" hidden="false" customHeight="false" outlineLevel="0" collapsed="false">
      <c r="A7" s="5" t="n">
        <v>2</v>
      </c>
      <c r="B7" s="19" t="s">
        <v>446</v>
      </c>
      <c r="C7" s="19" t="s">
        <v>450</v>
      </c>
      <c r="D7" s="19" t="s">
        <v>451</v>
      </c>
      <c r="E7" s="19" t="s">
        <v>452</v>
      </c>
      <c r="F7" s="19" t="str">
        <f aca="false">"Giá vốn = "&amp;TEXT(INDEX(B4_PhanLopW!$G$5:$G$64,$D$3)/1000000000,"#,##0.0")&amp;" tỷ đồng"</f>
        <v>Giá vốn = 620.7 tỷ đồng</v>
      </c>
      <c r="G7" s="19" t="s">
        <v>41</v>
      </c>
    </row>
    <row r="8" customFormat="false" ht="23.85" hidden="false" customHeight="false" outlineLevel="0" collapsed="false">
      <c r="A8" s="5" t="n">
        <v>3</v>
      </c>
      <c r="B8" s="19" t="s">
        <v>446</v>
      </c>
      <c r="C8" s="19" t="s">
        <v>371</v>
      </c>
      <c r="D8" s="19" t="s">
        <v>453</v>
      </c>
      <c r="E8" s="19" t="s">
        <v>454</v>
      </c>
      <c r="F8" s="19" t="str">
        <f aca="false">"DSO = "&amp;TEXT(INDEX(B4_PhanLopW!$I$5:$I$64,$D$3),"#,##0.0")&amp;" ngày"</f>
        <v>DSO = 112.9 ngày</v>
      </c>
      <c r="G8" s="19" t="s">
        <v>41</v>
      </c>
    </row>
    <row r="9" customFormat="false" ht="15" hidden="false" customHeight="false" outlineLevel="0" collapsed="false">
      <c r="A9" s="5" t="n">
        <v>4</v>
      </c>
      <c r="B9" s="19" t="s">
        <v>446</v>
      </c>
      <c r="C9" s="19" t="s">
        <v>373</v>
      </c>
      <c r="D9" s="19" t="s">
        <v>455</v>
      </c>
      <c r="E9" s="19" t="s">
        <v>456</v>
      </c>
      <c r="F9" s="19" t="str">
        <f aca="false">"DIO = "&amp;TEXT(INDEX(B4_PhanLopW!$J$5:$J$64,$D$3),"#,##0.0")&amp;" ngày"</f>
        <v>DIO = 55.7 ngày</v>
      </c>
      <c r="G9" s="19" t="s">
        <v>41</v>
      </c>
    </row>
    <row r="10" customFormat="false" ht="15" hidden="false" customHeight="false" outlineLevel="0" collapsed="false">
      <c r="A10" s="5" t="n">
        <v>5</v>
      </c>
      <c r="B10" s="19" t="s">
        <v>446</v>
      </c>
      <c r="C10" s="19" t="s">
        <v>375</v>
      </c>
      <c r="D10" s="19" t="s">
        <v>457</v>
      </c>
      <c r="E10" s="19" t="s">
        <v>458</v>
      </c>
      <c r="F10" s="19" t="str">
        <f aca="false">"DPO = "&amp;TEXT(INDEX(B4_PhanLopW!$K$5:$K$64,$D$3),"#,##0.0")&amp;" ngày"</f>
        <v>DPO = 36.1 ngày</v>
      </c>
      <c r="G10" s="19" t="s">
        <v>41</v>
      </c>
    </row>
    <row r="11" customFormat="false" ht="15" hidden="false" customHeight="false" outlineLevel="0" collapsed="false">
      <c r="A11" s="5" t="n">
        <v>6</v>
      </c>
      <c r="B11" s="19" t="s">
        <v>446</v>
      </c>
      <c r="C11" s="19" t="s">
        <v>404</v>
      </c>
      <c r="D11" s="19" t="s">
        <v>459</v>
      </c>
      <c r="E11" s="19" t="s">
        <v>460</v>
      </c>
      <c r="F11" s="19" t="str">
        <f aca="false">"Đệm tiền = "&amp;TEXT(INDEX(B4_PhanLopW!$L$5:$L$64,$D$3),"0.0%")</f>
        <v>Đệm tiền = 7.0%</v>
      </c>
      <c r="G11" s="19" t="s">
        <v>41</v>
      </c>
    </row>
    <row r="12" customFormat="false" ht="23.85" hidden="false" customHeight="false" outlineLevel="0" collapsed="false">
      <c r="A12" s="5" t="n">
        <v>7</v>
      </c>
      <c r="B12" s="19" t="s">
        <v>461</v>
      </c>
      <c r="C12" s="19" t="s">
        <v>462</v>
      </c>
      <c r="D12" s="19" t="s">
        <v>463</v>
      </c>
      <c r="E12" s="19" t="s">
        <v>464</v>
      </c>
      <c r="F12" s="19" t="str">
        <f aca="false">HoSoDN!Q34&amp;" DN FOB trong mẫu"</f>
        <v>20 DN FOB trong mẫu</v>
      </c>
      <c r="G12" s="19" t="s">
        <v>39</v>
      </c>
    </row>
    <row r="13" customFormat="false" ht="15" hidden="false" customHeight="false" outlineLevel="0" collapsed="false">
      <c r="A13" s="5" t="n">
        <v>8</v>
      </c>
      <c r="B13" s="19" t="s">
        <v>465</v>
      </c>
      <c r="C13" s="19" t="s">
        <v>466</v>
      </c>
      <c r="D13" s="19" t="s">
        <v>467</v>
      </c>
      <c r="E13" s="19" t="s">
        <v>468</v>
      </c>
      <c r="F13" s="19" t="str">
        <f aca="false">"P75 DSO = "&amp;TEXT(B1_ChuanNganh!F5,"0.0")&amp;" ngày; P90 = "&amp;TEXT(B1_ChuanNganh!G5,"0.0")&amp;" ngày"</f>
        <v>P75 DSO = 58.2 ngày; P90 = 66.3 ngày</v>
      </c>
      <c r="G13" s="19" t="s">
        <v>43</v>
      </c>
    </row>
    <row r="14" customFormat="false" ht="23.85" hidden="false" customHeight="false" outlineLevel="0" collapsed="false">
      <c r="A14" s="5" t="n">
        <v>9</v>
      </c>
      <c r="B14" s="19" t="s">
        <v>469</v>
      </c>
      <c r="C14" s="19" t="s">
        <v>470</v>
      </c>
      <c r="D14" s="19" t="s">
        <v>471</v>
      </c>
      <c r="E14" s="19" t="s">
        <v>472</v>
      </c>
      <c r="F14" s="19" t="str">
        <f aca="false">"p DSO theo quy mô = "&amp;TEXT(B2_BienDieuTiet!G5,"0.000")&amp;" → hệ số "&amp;TEXT(B2_BienDieuTiet!H5,"0.00")</f>
        <v>p DSO theo quy mô = 0.171 → hệ số 1.00</v>
      </c>
      <c r="G14" s="19" t="s">
        <v>45</v>
      </c>
    </row>
    <row r="15" customFormat="false" ht="15" hidden="false" customHeight="false" outlineLevel="0" collapsed="false">
      <c r="A15" s="5" t="n">
        <v>10</v>
      </c>
      <c r="B15" s="19" t="s">
        <v>473</v>
      </c>
      <c r="C15" s="19" t="s">
        <v>474</v>
      </c>
      <c r="D15" s="19" t="s">
        <v>475</v>
      </c>
      <c r="E15" s="19" t="s">
        <v>476</v>
      </c>
      <c r="F15" s="19" t="str">
        <f aca="false">"DSO có nguy cơ = "&amp;TEXT(INDEX(B4_PhanLopW!$M$5:$M$64,$D$3),"0.0")&amp;" ngày; trầm trọng = "&amp;TEXT(INDEX(B4_PhanLopW!$N$5:$N$64,$D$3),"0.0")&amp;" ngày"</f>
        <v>DSO có nguy cơ = 58.2 ngày; trầm trọng = 66.3 ngày</v>
      </c>
      <c r="G15" s="19" t="s">
        <v>49</v>
      </c>
    </row>
    <row r="16" customFormat="false" ht="23.85" hidden="false" customHeight="false" outlineLevel="0" collapsed="false">
      <c r="A16" s="5" t="n">
        <v>11</v>
      </c>
      <c r="B16" s="19" t="s">
        <v>477</v>
      </c>
      <c r="C16" s="19" t="s">
        <v>478</v>
      </c>
      <c r="D16" s="19" t="s">
        <v>479</v>
      </c>
      <c r="E16" s="19" t="s">
        <v>480</v>
      </c>
      <c r="F16" s="19" t="str">
        <f aca="false">"Phải thu: "&amp;INDEX(B4_PhanLopW!$AA$5:$AA$64,$D$3)&amp;"; Tồn kho: "&amp;INDEX(B4_PhanLopW!$AB$5:$AB$64,$D$3)</f>
        <v>Phải thu: Trầm trọng; Tồn kho: An toàn</v>
      </c>
      <c r="G16" s="19" t="s">
        <v>51</v>
      </c>
    </row>
    <row r="17" customFormat="false" ht="15" hidden="false" customHeight="false" outlineLevel="0" collapsed="false">
      <c r="A17" s="5" t="n">
        <v>12</v>
      </c>
      <c r="B17" s="19" t="s">
        <v>477</v>
      </c>
      <c r="C17" s="19" t="s">
        <v>481</v>
      </c>
      <c r="D17" s="19" t="s">
        <v>482</v>
      </c>
      <c r="E17" s="19" t="s">
        <v>483</v>
      </c>
      <c r="F17" s="19" t="str">
        <f aca="false">TEXT(INDEX(B4_PhanLopW!$X$5:$X$64,$D$3)/1000000000,"#,##0.0")&amp;" tỷ đồng"</f>
        <v>111.0 tỷ đồng</v>
      </c>
      <c r="G17" s="19" t="s">
        <v>51</v>
      </c>
    </row>
    <row r="18" customFormat="false" ht="15" hidden="false" customHeight="false" outlineLevel="0" collapsed="false">
      <c r="A18" s="5" t="n">
        <v>13</v>
      </c>
      <c r="B18" s="19" t="s">
        <v>477</v>
      </c>
      <c r="C18" s="19" t="s">
        <v>484</v>
      </c>
      <c r="D18" s="19" t="s">
        <v>485</v>
      </c>
      <c r="E18" s="19" t="s">
        <v>486</v>
      </c>
      <c r="F18" s="19" t="str">
        <f aca="false">TEXT(INDEX(B4_PhanLopW!$Y$5:$Y$64,$D$3)/1000000000,"#,##0.0")&amp;" tỷ đồng"</f>
        <v>0.0 tỷ đồng</v>
      </c>
      <c r="G18" s="19" t="s">
        <v>51</v>
      </c>
    </row>
    <row r="19" customFormat="false" ht="15" hidden="false" customHeight="false" outlineLevel="0" collapsed="false">
      <c r="A19" s="5" t="n">
        <v>14</v>
      </c>
      <c r="B19" s="19" t="s">
        <v>477</v>
      </c>
      <c r="C19" s="19" t="s">
        <v>487</v>
      </c>
      <c r="D19" s="19" t="s">
        <v>488</v>
      </c>
      <c r="E19" s="19" t="s">
        <v>489</v>
      </c>
      <c r="F19" s="19" t="str">
        <f aca="false">TEXT(INDEX(B4_PhanLopW!$Z$5:$Z$64,$D$3),"0.0%")</f>
        <v>27.3%</v>
      </c>
      <c r="G19" s="19" t="s">
        <v>51</v>
      </c>
    </row>
    <row r="20" customFormat="false" ht="15" hidden="false" customHeight="false" outlineLevel="0" collapsed="false">
      <c r="A20" s="5" t="n">
        <v>15</v>
      </c>
      <c r="B20" s="19" t="s">
        <v>477</v>
      </c>
      <c r="C20" s="19" t="s">
        <v>490</v>
      </c>
      <c r="D20" s="19" t="s">
        <v>491</v>
      </c>
      <c r="E20" s="19" t="s">
        <v>492</v>
      </c>
      <c r="F20" s="19" t="str">
        <f aca="false">INDEX(B4_PhanLopW!$AC$5:$AC$64,$D$3)</f>
        <v>An toàn</v>
      </c>
      <c r="G20" s="19" t="s">
        <v>51</v>
      </c>
    </row>
    <row r="21" customFormat="false" ht="23.85" hidden="false" customHeight="false" outlineLevel="0" collapsed="false">
      <c r="A21" s="5" t="n">
        <v>16</v>
      </c>
      <c r="B21" s="19" t="s">
        <v>477</v>
      </c>
      <c r="C21" s="19" t="s">
        <v>493</v>
      </c>
      <c r="D21" s="19" t="s">
        <v>494</v>
      </c>
      <c r="E21" s="19" t="s">
        <v>495</v>
      </c>
      <c r="F21" s="19" t="str">
        <f aca="false">INDEX(B4_PhanLopW!$AD$5:$AD$64,$D$3)&amp;" – "&amp;INDEX(B4_PhanLopW!$AE$5:$AE$64,$D$3)&amp;" ("&amp;INDEX(B4_PhanLopW!$AG$5:$AG$64,$D$3)&amp;")"</f>
        <v>W2 – Thiếu trầm trọng (R-AR-2 R-MAT)</v>
      </c>
      <c r="G21" s="19" t="s">
        <v>51</v>
      </c>
    </row>
    <row r="22" customFormat="false" ht="23.85" hidden="false" customHeight="false" outlineLevel="0" collapsed="false">
      <c r="A22" s="5" t="n">
        <v>17</v>
      </c>
      <c r="B22" s="19" t="s">
        <v>496</v>
      </c>
      <c r="C22" s="19" t="s">
        <v>497</v>
      </c>
      <c r="D22" s="19" t="s">
        <v>498</v>
      </c>
      <c r="E22" s="19" t="s">
        <v>499</v>
      </c>
      <c r="F22" s="19" t="str">
        <f aca="false">"Biến cố năm sau = "&amp;INDEX(B4_PhanLopW!$AI$5:$AI$64,$D$3)</f>
        <v>Biến cố năm sau = </v>
      </c>
      <c r="G22" s="19" t="s">
        <v>53</v>
      </c>
    </row>
    <row r="23" customFormat="false" ht="15" hidden="false" customHeight="false" outlineLevel="0" collapsed="false">
      <c r="A23" s="5" t="n">
        <v>18</v>
      </c>
      <c r="B23" s="19" t="s">
        <v>500</v>
      </c>
      <c r="C23" s="19" t="s">
        <v>501</v>
      </c>
      <c r="D23" s="19" t="s">
        <v>502</v>
      </c>
      <c r="E23" s="19" t="s">
        <v>503</v>
      </c>
      <c r="F23" s="19" t="str">
        <f aca="false">"ℓ = "&amp;TEXT(B6_MillerOrr!C17,"0.0%")&amp;" doanh thu"</f>
        <v>ℓ = 4.2% doanh thu</v>
      </c>
      <c r="G23" s="19" t="s">
        <v>55</v>
      </c>
    </row>
    <row r="24" customFormat="false" ht="15" hidden="false" customHeight="false" outlineLevel="0" collapsed="false">
      <c r="A24" s="5" t="n">
        <v>19</v>
      </c>
      <c r="B24" s="19" t="s">
        <v>500</v>
      </c>
      <c r="C24" s="19" t="s">
        <v>504</v>
      </c>
      <c r="D24" s="19" t="s">
        <v>505</v>
      </c>
      <c r="E24" s="19" t="s">
        <v>506</v>
      </c>
      <c r="F24" s="19" t="str">
        <f aca="false">"DN DT 300 tỷ: S = "&amp;TEXT(B6_MillerOrr!D30,"0.00")&amp;" tỷ đồng"</f>
        <v>DN DT 300 tỷ: S = 4.45 tỷ đồng</v>
      </c>
      <c r="G24" s="19" t="s">
        <v>55</v>
      </c>
    </row>
    <row r="25" customFormat="false" ht="15" hidden="false" customHeight="false" outlineLevel="0" collapsed="false">
      <c r="A25" s="5" t="n">
        <v>20</v>
      </c>
      <c r="B25" s="19" t="s">
        <v>500</v>
      </c>
      <c r="C25" s="19" t="s">
        <v>507</v>
      </c>
      <c r="D25" s="19" t="s">
        <v>508</v>
      </c>
      <c r="E25" s="19" t="s">
        <v>509</v>
      </c>
      <c r="F25" s="19" t="str">
        <f aca="false">"DN DT 300 tỷ: L = "&amp;TEXT(B6_MillerOrr!B30,"0.0")&amp;"; Z = "&amp;TEXT(B6_MillerOrr!E30,"0.0")&amp;"; H = "&amp;TEXT(B6_MillerOrr!F30,"0.0")&amp;" tỷ"</f>
        <v>DN DT 300 tỷ: L = 12.5; Z = 14.0; H = 17.0 tỷ</v>
      </c>
      <c r="G25" s="19" t="s">
        <v>55</v>
      </c>
    </row>
    <row r="26" customFormat="false" ht="15" hidden="false" customHeight="false" outlineLevel="0" collapsed="false">
      <c r="A26" s="5" t="n">
        <v>21</v>
      </c>
      <c r="B26" s="19" t="s">
        <v>510</v>
      </c>
      <c r="C26" s="19" t="s">
        <v>511</v>
      </c>
      <c r="D26" s="19" t="s">
        <v>512</v>
      </c>
      <c r="E26" s="19" t="s">
        <v>513</v>
      </c>
      <c r="F26" s="19" t="str">
        <f aca="false">"W2 + Thiếu → M5"</f>
        <v>W2 + Thiếu → M5</v>
      </c>
      <c r="G26" s="19"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34"/>
    <col collapsed="false" customWidth="true" hidden="false" outlineLevel="0" max="4" min="4" style="0" width="14"/>
    <col collapsed="false" customWidth="true" hidden="false" outlineLevel="0" max="5" min="5" style="0" width="40"/>
    <col collapsed="false" customWidth="true" hidden="false" outlineLevel="0" max="6" min="6" style="0" width="14"/>
    <col collapsed="false" customWidth="true" hidden="false" outlineLevel="0" max="7" min="7" style="0" width="12"/>
    <col collapsed="false" customWidth="true" hidden="false" outlineLevel="0" max="9" min="8" style="0" width="14"/>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14"/>
  </cols>
  <sheetData>
    <row r="1" customFormat="false" ht="17.35" hidden="false" customHeight="false" outlineLevel="0" collapsed="false">
      <c r="A1" s="15" t="s">
        <v>514</v>
      </c>
    </row>
    <row r="2" customFormat="false" ht="15" hidden="false" customHeight="false" outlineLevel="0" collapsed="false">
      <c r="A2" s="16" t="s">
        <v>515</v>
      </c>
    </row>
    <row r="3" customFormat="false" ht="45" hidden="false" customHeight="true" outlineLevel="0" collapsed="false">
      <c r="A3" s="4" t="s">
        <v>516</v>
      </c>
      <c r="B3" s="4" t="s">
        <v>245</v>
      </c>
      <c r="C3" s="4" t="s">
        <v>399</v>
      </c>
      <c r="D3" s="4" t="s">
        <v>517</v>
      </c>
      <c r="E3" s="4" t="s">
        <v>518</v>
      </c>
      <c r="F3" s="4" t="s">
        <v>519</v>
      </c>
      <c r="G3" s="4" t="s">
        <v>520</v>
      </c>
      <c r="H3" s="4" t="s">
        <v>521</v>
      </c>
      <c r="I3" s="4" t="s">
        <v>522</v>
      </c>
      <c r="J3" s="4" t="s">
        <v>523</v>
      </c>
      <c r="K3" s="4" t="s">
        <v>524</v>
      </c>
      <c r="L3" s="4" t="s">
        <v>525</v>
      </c>
      <c r="M3" s="4" t="s">
        <v>526</v>
      </c>
    </row>
    <row r="4" customFormat="false" ht="15" hidden="false" customHeight="false" outlineLevel="0" collapsed="false">
      <c r="A4" s="5" t="str">
        <f aca="false">B4&amp;"|"&amp;C4</f>
        <v>FOB|Nhỏ–vừa</v>
      </c>
      <c r="B4" s="5" t="s">
        <v>527</v>
      </c>
      <c r="C4" s="5" t="s">
        <v>400</v>
      </c>
      <c r="D4" s="26" t="n">
        <f aca="false">B1_ChuanNganh!$E$5*B2_BienDieuTiet!$H$5*B2_BienDieuTiet!$H$13</f>
        <v>43.24705229</v>
      </c>
      <c r="E4" s="48" t="n">
        <f aca="false">B1_ChuanNganh!$F$5*B2_BienDieuTiet!$H$5*B2_BienDieuTiet!$H$13</f>
        <v>58.2071385175</v>
      </c>
      <c r="F4" s="48" t="n">
        <f aca="false">B1_ChuanNganh!$G$5*B2_BienDieuTiet!$H$5*B2_BienDieuTiet!$H$13</f>
        <v>66.26326635</v>
      </c>
      <c r="G4" s="26" t="n">
        <f aca="false">B1_ChuanNganh!$E$6*B2_BienDieuTiet!$H$7*B2_BienDieuTiet!$H$13</f>
        <v>69.751755075</v>
      </c>
      <c r="H4" s="48" t="n">
        <f aca="false">B1_ChuanNganh!$F$6*B2_BienDieuTiet!$H$7*B2_BienDieuTiet!$H$13</f>
        <v>86.118055065</v>
      </c>
      <c r="I4" s="48" t="n">
        <f aca="false">B1_ChuanNganh!$G$6*B2_BienDieuTiet!$H$7*B2_BienDieuTiet!$H$13</f>
        <v>137.965147652</v>
      </c>
      <c r="J4" s="26" t="n">
        <f aca="false">B1_ChuanNganh!$E$7*B2_BienDieuTiet!$H$9</f>
        <v>34.262286885</v>
      </c>
      <c r="K4" s="26" t="n">
        <f aca="false">B1_ChuanNganh!$F$7*B2_BienDieuTiet!$H$9</f>
        <v>68.3092044425</v>
      </c>
      <c r="L4" s="38" t="n">
        <f aca="false">B1_ChuanNganh!$C$7*B2_BienDieuTiet!$H$9</f>
        <v>14.892652922</v>
      </c>
      <c r="M4" s="20" t="n">
        <f aca="false">B1_ChuanNganh!$D$8*B2_BienDieuTiet!$H$11</f>
        <v>0.0830079952170207</v>
      </c>
    </row>
    <row r="5" customFormat="false" ht="15" hidden="false" customHeight="false" outlineLevel="0" collapsed="false">
      <c r="A5" s="5" t="str">
        <f aca="false">B5&amp;"|"&amp;C5</f>
        <v>FOB|Lớn</v>
      </c>
      <c r="B5" s="5" t="s">
        <v>527</v>
      </c>
      <c r="C5" s="5" t="s">
        <v>401</v>
      </c>
      <c r="D5" s="26" t="n">
        <f aca="false">B1_ChuanNganh!$E$5*B2_BienDieuTiet!$H$6*B2_BienDieuTiet!$H$13</f>
        <v>43.24705229</v>
      </c>
      <c r="E5" s="48" t="n">
        <f aca="false">B1_ChuanNganh!$F$5*B2_BienDieuTiet!$H$6*B2_BienDieuTiet!$H$13</f>
        <v>58.2071385175</v>
      </c>
      <c r="F5" s="48" t="n">
        <f aca="false">B1_ChuanNganh!$G$5*B2_BienDieuTiet!$H$6*B2_BienDieuTiet!$H$13</f>
        <v>66.26326635</v>
      </c>
      <c r="G5" s="26" t="n">
        <f aca="false">B1_ChuanNganh!$E$6*B2_BienDieuTiet!$H$8*B2_BienDieuTiet!$H$13</f>
        <v>69.751755075</v>
      </c>
      <c r="H5" s="48" t="n">
        <f aca="false">B1_ChuanNganh!$F$6*B2_BienDieuTiet!$H$8*B2_BienDieuTiet!$H$13</f>
        <v>86.118055065</v>
      </c>
      <c r="I5" s="48" t="n">
        <f aca="false">B1_ChuanNganh!$G$6*B2_BienDieuTiet!$H$8*B2_BienDieuTiet!$H$13</f>
        <v>137.965147652</v>
      </c>
      <c r="J5" s="26" t="n">
        <f aca="false">B1_ChuanNganh!$E$7*B2_BienDieuTiet!$H$10</f>
        <v>34.262286885</v>
      </c>
      <c r="K5" s="26" t="n">
        <f aca="false">B1_ChuanNganh!$F$7*B2_BienDieuTiet!$H$10</f>
        <v>68.3092044425</v>
      </c>
      <c r="L5" s="38" t="n">
        <f aca="false">B1_ChuanNganh!$C$7*B2_BienDieuTiet!$H$10</f>
        <v>14.892652922</v>
      </c>
      <c r="M5" s="20" t="n">
        <f aca="false">B1_ChuanNganh!$D$8*B2_BienDieuTiet!$H$12</f>
        <v>0.0830079952170207</v>
      </c>
    </row>
    <row r="7" customFormat="false" ht="15" hidden="false" customHeight="false" outlineLevel="0" collapsed="false">
      <c r="A7" s="16" t="s">
        <v>528</v>
      </c>
    </row>
    <row r="9" customFormat="false" ht="15" hidden="false" customHeight="false" outlineLevel="0" collapsed="false">
      <c r="A9" s="3" t="s">
        <v>529</v>
      </c>
    </row>
    <row r="10" customFormat="false" ht="23.85" hidden="false" customHeight="false" outlineLevel="0" collapsed="false">
      <c r="A10" s="4" t="s">
        <v>530</v>
      </c>
      <c r="B10" s="4" t="s">
        <v>531</v>
      </c>
      <c r="C10" s="4" t="s">
        <v>532</v>
      </c>
      <c r="D10" s="4" t="s">
        <v>533</v>
      </c>
      <c r="E10" s="4" t="s">
        <v>534</v>
      </c>
    </row>
    <row r="11" customFormat="false" ht="15" hidden="false" customHeight="false" outlineLevel="0" collapsed="false">
      <c r="A11" s="18" t="s">
        <v>535</v>
      </c>
      <c r="B11" s="19" t="s">
        <v>536</v>
      </c>
      <c r="C11" s="19" t="s">
        <v>537</v>
      </c>
      <c r="D11" s="19" t="s">
        <v>104</v>
      </c>
      <c r="E11" s="19" t="s">
        <v>538</v>
      </c>
    </row>
    <row r="12" customFormat="false" ht="15" hidden="false" customHeight="false" outlineLevel="0" collapsed="false">
      <c r="A12" s="18" t="s">
        <v>539</v>
      </c>
      <c r="B12" s="19" t="s">
        <v>536</v>
      </c>
      <c r="C12" s="19" t="s">
        <v>540</v>
      </c>
      <c r="D12" s="19" t="s">
        <v>541</v>
      </c>
      <c r="E12" s="19" t="s">
        <v>542</v>
      </c>
    </row>
    <row r="13" customFormat="false" ht="15" hidden="false" customHeight="false" outlineLevel="0" collapsed="false">
      <c r="A13" s="18" t="s">
        <v>543</v>
      </c>
      <c r="B13" s="19" t="s">
        <v>544</v>
      </c>
      <c r="C13" s="19" t="s">
        <v>545</v>
      </c>
      <c r="D13" s="19" t="s">
        <v>104</v>
      </c>
      <c r="E13" s="19" t="s">
        <v>546</v>
      </c>
    </row>
    <row r="14" customFormat="false" ht="15" hidden="false" customHeight="false" outlineLevel="0" collapsed="false">
      <c r="A14" s="18" t="s">
        <v>547</v>
      </c>
      <c r="B14" s="19" t="s">
        <v>544</v>
      </c>
      <c r="C14" s="19" t="s">
        <v>548</v>
      </c>
      <c r="D14" s="19" t="s">
        <v>541</v>
      </c>
      <c r="E14" s="19" t="s">
        <v>549</v>
      </c>
    </row>
    <row r="15" customFormat="false" ht="23.85" hidden="false" customHeight="false" outlineLevel="0" collapsed="false">
      <c r="A15" s="18" t="s">
        <v>550</v>
      </c>
      <c r="B15" s="19" t="s">
        <v>551</v>
      </c>
      <c r="C15" s="19" t="s">
        <v>552</v>
      </c>
      <c r="D15" s="19" t="s">
        <v>104</v>
      </c>
      <c r="E15" s="19" t="s">
        <v>553</v>
      </c>
    </row>
    <row r="16" customFormat="false" ht="23.85" hidden="false" customHeight="false" outlineLevel="0" collapsed="false">
      <c r="A16" s="18" t="s">
        <v>554</v>
      </c>
      <c r="B16" s="19" t="s">
        <v>551</v>
      </c>
      <c r="C16" s="19" t="s">
        <v>555</v>
      </c>
      <c r="D16" s="19" t="s">
        <v>556</v>
      </c>
      <c r="E16" s="19" t="s">
        <v>557</v>
      </c>
    </row>
    <row r="17" customFormat="false" ht="35.05" hidden="false" customHeight="false" outlineLevel="0" collapsed="false">
      <c r="A17" s="18" t="s">
        <v>558</v>
      </c>
      <c r="B17" s="19" t="s">
        <v>559</v>
      </c>
      <c r="C17" s="19" t="s">
        <v>560</v>
      </c>
      <c r="D17" s="19" t="s">
        <v>561</v>
      </c>
      <c r="E17" s="19" t="s">
        <v>562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sheetPr filterMode="false">
    <pageSetUpPr fitToPage="false"/>
  </sheetPr>
  <dimension ref="A1:A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
    <col collapsed="false" customWidth="true" hidden="false" outlineLevel="0" max="3" min="3" style="0" width="10"/>
    <col collapsed="false" customWidth="true" hidden="false" outlineLevel="0" max="4" min="4" style="0" width="15"/>
    <col collapsed="false" customWidth="true" hidden="false" outlineLevel="0" max="5" min="5" style="0" width="8"/>
    <col collapsed="false" customWidth="true" hidden="false" outlineLevel="0" max="8" min="6" style="0" width="15"/>
    <col collapsed="false" customWidth="true" hidden="false" outlineLevel="0" max="23" min="9" style="0" width="10"/>
    <col collapsed="false" customWidth="true" hidden="false" outlineLevel="0" max="25" min="24" style="0" width="16"/>
    <col collapsed="false" customWidth="true" hidden="false" outlineLevel="0" max="26" min="26" style="0" width="10"/>
    <col collapsed="false" customWidth="true" hidden="false" outlineLevel="0" max="28" min="27" style="0" width="13"/>
    <col collapsed="false" customWidth="true" hidden="false" outlineLevel="0" max="29" min="29" style="0" width="26"/>
    <col collapsed="false" customWidth="true" hidden="false" outlineLevel="0" max="30" min="30" style="0" width="8"/>
    <col collapsed="false" customWidth="true" hidden="false" outlineLevel="0" max="31" min="31" style="0" width="16"/>
    <col collapsed="false" customWidth="true" hidden="false" outlineLevel="0" max="32" min="32" style="0" width="12"/>
    <col collapsed="false" customWidth="true" hidden="false" outlineLevel="0" max="33" min="33" style="0" width="18"/>
    <col collapsed="false" customWidth="true" hidden="false" outlineLevel="0" max="34" min="34" style="0" width="16"/>
    <col collapsed="false" customWidth="true" hidden="false" outlineLevel="0" max="35" min="35" style="0" width="10"/>
  </cols>
  <sheetData>
    <row r="1" customFormat="false" ht="17.35" hidden="false" customHeight="false" outlineLevel="0" collapsed="false">
      <c r="A1" s="15" t="s">
        <v>563</v>
      </c>
    </row>
    <row r="2" customFormat="false" ht="15" hidden="false" customHeight="false" outlineLevel="0" collapsed="false">
      <c r="A2" s="16" t="inlineStr">
        <is>
          <t>Dòng 3 (chữ đỏ) ghi công thức của từng cột. W2 – Thiếu trầm trọng = có khoản vượt P90, hoặc vượt P75 và vốn vượt ngưỡng ≥ mức trọng yếu. W1 – Có nguy cơ = có tín hiệu nhưng chưa trọng yếu. W0 – An toàn = không có tín hiệu. Giả định doanh nghiệp luôn tải đủ dữ liệu; W chỉ gồm W0, W1 và W2.</t>
        </is>
      </c>
    </row>
    <row r="3" customFormat="false" ht="48" hidden="false" customHeight="true" outlineLevel="0" collapsed="false">
      <c r="L3" s="49" t="s">
        <v>565</v>
      </c>
      <c r="M3" s="49" t="s">
        <v>566</v>
      </c>
      <c r="N3" s="49" t="s">
        <v>567</v>
      </c>
      <c r="O3" s="49" t="s">
        <v>567</v>
      </c>
      <c r="P3" s="49" t="s">
        <v>567</v>
      </c>
      <c r="Q3" s="49" t="s">
        <v>567</v>
      </c>
      <c r="R3" s="49" t="s">
        <v>567</v>
      </c>
      <c r="S3" s="49" t="s">
        <v>567</v>
      </c>
      <c r="T3" s="49" t="s">
        <v>568</v>
      </c>
      <c r="U3" s="49" t="s">
        <v>569</v>
      </c>
      <c r="V3" s="49" t="s">
        <v>570</v>
      </c>
      <c r="W3" s="49" t="s">
        <v>571</v>
      </c>
      <c r="X3" s="49" t="s">
        <v>572</v>
      </c>
      <c r="Y3" s="49" t="s">
        <v>573</v>
      </c>
      <c r="Z3" s="49" t="s">
        <v>574</v>
      </c>
      <c r="AD3" s="49" t="s">
        <v>575</v>
      </c>
      <c r="AH3" s="49" t="s">
        <v>576</v>
      </c>
      <c r="AI3" s="49" t="s">
        <v>577</v>
      </c>
    </row>
    <row r="4" customFormat="false" ht="60" hidden="false" customHeight="true" outlineLevel="0" collapsed="false">
      <c r="A4" s="4" t="s">
        <v>147</v>
      </c>
      <c r="B4" s="4" t="s">
        <v>321</v>
      </c>
      <c r="C4" s="4" t="s">
        <v>356</v>
      </c>
      <c r="D4" s="4" t="s">
        <v>578</v>
      </c>
      <c r="E4" s="4" t="s">
        <v>579</v>
      </c>
      <c r="F4" s="4" t="s">
        <v>580</v>
      </c>
      <c r="G4" s="4" t="s">
        <v>581</v>
      </c>
      <c r="H4" s="4" t="s">
        <v>582</v>
      </c>
      <c r="I4" s="4" t="s">
        <v>398</v>
      </c>
      <c r="J4" s="4" t="s">
        <v>402</v>
      </c>
      <c r="K4" s="4" t="s">
        <v>403</v>
      </c>
      <c r="L4" s="4" t="s">
        <v>404</v>
      </c>
      <c r="M4" s="4" t="s">
        <v>583</v>
      </c>
      <c r="N4" s="4" t="s">
        <v>584</v>
      </c>
      <c r="O4" s="4" t="s">
        <v>585</v>
      </c>
      <c r="P4" s="4" t="s">
        <v>586</v>
      </c>
      <c r="Q4" s="4" t="s">
        <v>587</v>
      </c>
      <c r="R4" s="4" t="s">
        <v>588</v>
      </c>
      <c r="S4" s="4" t="s">
        <v>589</v>
      </c>
      <c r="T4" s="4" t="s">
        <v>590</v>
      </c>
      <c r="U4" s="4" t="s">
        <v>591</v>
      </c>
      <c r="V4" s="4" t="s">
        <v>592</v>
      </c>
      <c r="W4" s="4" t="s">
        <v>593</v>
      </c>
      <c r="X4" s="4" t="s">
        <v>594</v>
      </c>
      <c r="Y4" s="4" t="s">
        <v>595</v>
      </c>
      <c r="Z4" s="4" t="s">
        <v>596</v>
      </c>
      <c r="AA4" s="4" t="s">
        <v>597</v>
      </c>
      <c r="AB4" s="4" t="s">
        <v>598</v>
      </c>
      <c r="AC4" s="4" t="s">
        <v>599</v>
      </c>
      <c r="AD4" s="4" t="s">
        <v>600</v>
      </c>
      <c r="AE4" s="4" t="s">
        <v>90</v>
      </c>
      <c r="AF4" s="4" t="s">
        <v>601</v>
      </c>
      <c r="AG4" s="4" t="s">
        <v>602</v>
      </c>
      <c r="AH4" s="4" t="s">
        <v>603</v>
      </c>
      <c r="AI4" s="4" t="s">
        <v>604</v>
      </c>
    </row>
    <row r="5" customFormat="false" ht="15" hidden="false" customHeight="false" outlineLevel="0" collapsed="false">
      <c r="A5" s="36" t="str">
        <f aca="false">DuLieu!A5</f>
        <v>AG1</v>
      </c>
      <c r="B5" s="36" t="n">
        <f aca="false">DuLieu!B5</f>
        <v>2023</v>
      </c>
      <c r="C5" s="2" t="str">
        <f aca="false">A5&amp;"-"&amp;B5</f>
        <v>AG1-2023</v>
      </c>
      <c r="D5" s="2" t="str">
        <f aca="false">DuLieu!S5&amp;"|"&amp;DuLieu!V5</f>
        <v>FOB|Nhỏ–vừa</v>
      </c>
      <c r="E5" s="36" t="n">
        <f aca="false">DuLieu!U5</f>
        <v>1</v>
      </c>
      <c r="F5" s="34" t="n">
        <f aca="false">IF(E5=1,DuLieu!D5,"")</f>
        <v>269017127126</v>
      </c>
      <c r="G5" s="34" t="n">
        <f aca="false">IF(E5=1,DuLieu!O5,"")</f>
        <v>229672164396.922</v>
      </c>
      <c r="H5" s="34" t="n">
        <f aca="false">IF(E5=1,DuLieu!G5,"")</f>
        <v>128660408494</v>
      </c>
      <c r="I5" s="37" t="n">
        <f aca="false">IF(E5=1,DuLieu!L5,"")</f>
        <v>25.85780875</v>
      </c>
      <c r="J5" s="37" t="n">
        <f aca="false">IF(E5=1,DuLieu!M5,"")</f>
        <v>145.84776527</v>
      </c>
      <c r="K5" s="37" t="n">
        <f aca="false">IF(E5=1,DuLieu!N5,"")</f>
        <v>107.20841446</v>
      </c>
      <c r="L5" s="35" t="n">
        <f aca="false">IF(E5=1,DuLieu!P5,"")</f>
        <v>0.0252928118394971</v>
      </c>
      <c r="M5" s="37" t="n">
        <f aca="false">IF(E5=1,INDEX(B3_NguongKhoanMuc!$E$4:$E$5,MATCH(D5,B3_NguongKhoanMuc!$A$4:$A$5,0)),"")</f>
        <v>58.2071385175</v>
      </c>
      <c r="N5" s="37" t="n">
        <f aca="false">IF(E5=1,INDEX(B3_NguongKhoanMuc!$F$4:$F$5,MATCH(D5,B3_NguongKhoanMuc!$A$4:$A$5,0)),"")</f>
        <v>66.26326635</v>
      </c>
      <c r="O5" s="37" t="n">
        <f aca="false">IF(E5=1,INDEX(B3_NguongKhoanMuc!$H$4:$H$5,MATCH(D5,B3_NguongKhoanMuc!$A$4:$A$5,0)),"")</f>
        <v>86.118055065</v>
      </c>
      <c r="P5" s="37" t="n">
        <f aca="false">IF(E5=1,INDEX(B3_NguongKhoanMuc!$I$4:$I$5,MATCH(D5,B3_NguongKhoanMuc!$A$4:$A$5,0)),"")</f>
        <v>137.965147652</v>
      </c>
      <c r="Q5" s="37" t="n">
        <f aca="false">IF(E5=1,INDEX(B3_NguongKhoanMuc!$K$4:$K$5,MATCH(D5,B3_NguongKhoanMuc!$A$4:$A$5,0)),"")</f>
        <v>68.3092044425</v>
      </c>
      <c r="R5" s="37" t="n">
        <f aca="false">IF(E5=1,INDEX(B3_NguongKhoanMuc!$L$4:$L$5,MATCH(D5,B3_NguongKhoanMuc!$A$4:$A$5,0)),"")</f>
        <v>14.892652922</v>
      </c>
      <c r="S5" s="35" t="n">
        <f aca="false">IF(E5=1,INDEX(B3_NguongKhoanMuc!$M$4:$M$5,MATCH(D5,B3_NguongKhoanMuc!$A$4:$A$5,0)),"")</f>
        <v>0.0830079952170207</v>
      </c>
      <c r="T5" s="2" t="n">
        <f aca="false">IF(E5&lt;&gt;1,"",IF(I5&gt;N5,2,IF(I5&gt;M5,1,0)))</f>
        <v>0</v>
      </c>
      <c r="U5" s="2" t="n">
        <f aca="false">IF(E5&lt;&gt;1,"",IF(J5&gt;P5,2,IF(J5&gt;O5,1,0)))</f>
        <v>2</v>
      </c>
      <c r="V5" s="2" t="n">
        <f aca="false">IF(E5&lt;&gt;1,"",IF(AND(K5&lt;R5,L5&lt;S5),1,0))</f>
        <v>0</v>
      </c>
      <c r="W5" s="2" t="n">
        <f aca="false">IF(E5&lt;&gt;1,"",IF(K5&gt;Q5,1,0))</f>
        <v>1</v>
      </c>
      <c r="X5" s="34" t="n">
        <f aca="false">IF(E5&lt;&gt;1,"",IF(T5&gt;=1,(I5-M5)*F5/365,0))</f>
        <v>0</v>
      </c>
      <c r="Y5" s="34" t="n">
        <f aca="false">IF(E5&lt;&gt;1,"",IF(U5&gt;=1,(J5-O5)*G5/365,0))</f>
        <v>37584251565.9815</v>
      </c>
      <c r="Z5" s="35" t="n">
        <f aca="false">IF(E5&lt;&gt;1,"",IF(H5&gt;0,MAX(X5,Y5)/H5,0))</f>
        <v>0.292119790430591</v>
      </c>
      <c r="AA5" s="2" t="str">
        <f aca="false">IF(E5&lt;&gt;1,"",CHOOSE(T5+1,"An toàn","Có nguy cơ","Trầm trọng"))</f>
        <v>An toàn</v>
      </c>
      <c r="AB5" s="2" t="str">
        <f aca="false">IF(E5&lt;&gt;1,"",CHOOSE(U5+1,"An toàn","Có nguy cơ","Trầm trọng"))</f>
        <v>Trầm trọng</v>
      </c>
      <c r="AC5" s="2" t="str">
        <f aca="false">IF(E5&lt;&gt;1,"",IF(V5=1,"Có nguy cơ: NCC cho nợ ít + tiền mỏng",IF(W5=1,"Lưu ý: DPO cao – kiểm tra quá hạn NCC","An toàn")))</f>
        <v>Lưu ý: DPO cao – kiểm tra quá hạn NCC</v>
      </c>
      <c r="AD5" s="10" t="str">
        <f aca="false">IF(OR(AND(ThamSo!$C$10=1,MAX(T5,U5)=2),AND(MAX(T5,U5)&gt;=1,Z5&gt;=ThamSo!$C$9)),"W2",IF(OR(MAX(T5,U5)&gt;=1,V5=1),"W1","W0"))</f>
        <v>W2</v>
      </c>
      <c r="AE5" s="10" t="str">
        <f aca="false">CHOOSE(MATCH(AD5,{"W0","W1","W2"},0),"An toàn","Có nguy cơ","Thiếu trầm trọng")</f>
        <v>Thiếu trầm trọng</v>
      </c>
      <c r="AF5" s="2" t="str">
        <f aca="false">IF(OR(E5&lt;&gt;1,AD5="W0"),"",IF(AND(T5=0,U5=0),"Phải trả",IF(T5&gt;U5,"Phải thu",IF(U5&gt;T5,"Tồn kho",IF(X5&gt;=Y5,"Phải thu","Tồn kho")))))</f>
        <v>Tồn kho</v>
      </c>
      <c r="AG5" s="2" t="str">
        <f aca="false">TRIM(IF(T5=2,"R-AR-2 ",IF(T5=1,"R-AR-1 ",""))&amp;IF(U5=2,"R-INV-2 ",IF(U5=1,"R-INV-1 ",""))&amp;IF(V5=1,"R-AP-1 ","")&amp;IF(AND(MAX(T5,U5)&gt;=1,Z5&gt;=ThamSo!$C$9),"R-MAT",""))</f>
        <v>R-INV-2 R-MAT</v>
      </c>
      <c r="AH5" s="34" t="n">
        <f aca="false">IF(E5&lt;&gt;1,"",X5+Y5)</f>
        <v>37584251565.9815</v>
      </c>
      <c r="AI5" s="2" t="n">
        <f aca="false">IF(OR(E5&lt;&gt;1,DuLieu!A6&lt;&gt;DuLieu!A5,DuLieu!B6&gt;ThamSo!$C$23,DuLieu!D6="",DuLieu!K6=""),"",IF(OR(DuLieu!K6&lt;0,DuLieu!D6&lt;DuLieu!D5*(1-ThamSo!$C$20)),1,0))</f>
        <v>0</v>
      </c>
    </row>
    <row r="6" customFormat="false" ht="15" hidden="false" customHeight="false" outlineLevel="0" collapsed="false">
      <c r="A6" s="36" t="str">
        <f aca="false">DuLieu!A6</f>
        <v>AG1</v>
      </c>
      <c r="B6" s="36" t="n">
        <f aca="false">DuLieu!B6</f>
        <v>2024</v>
      </c>
      <c r="C6" s="2" t="str">
        <f aca="false">A6&amp;"-"&amp;B6</f>
        <v>AG1-2024</v>
      </c>
      <c r="D6" s="2" t="str">
        <f aca="false">DuLieu!S6&amp;"|"&amp;DuLieu!V6</f>
        <v>FOB|Nhỏ–vừa</v>
      </c>
      <c r="E6" s="36" t="n">
        <f aca="false">DuLieu!U6</f>
        <v>1</v>
      </c>
      <c r="F6" s="34" t="n">
        <f aca="false">IF(E6=1,DuLieu!D6,"")</f>
        <v>337512371714</v>
      </c>
      <c r="G6" s="34" t="n">
        <f aca="false">IF(E6=1,DuLieu!O6,"")</f>
        <v>297824970324.018</v>
      </c>
      <c r="H6" s="34" t="n">
        <f aca="false">IF(E6=1,DuLieu!G6,"")</f>
        <v>135967622195</v>
      </c>
      <c r="I6" s="37" t="n">
        <f aca="false">IF(E6=1,DuLieu!L6,"")</f>
        <v>20.64064379</v>
      </c>
      <c r="J6" s="37" t="n">
        <f aca="false">IF(E6=1,DuLieu!M6,"")</f>
        <v>105.5378848</v>
      </c>
      <c r="K6" s="37" t="n">
        <f aca="false">IF(E6=1,DuLieu!N6,"")</f>
        <v>84.01270669</v>
      </c>
      <c r="L6" s="35" t="n">
        <f aca="false">IF(E6=1,DuLieu!P6,"")</f>
        <v>0.118979388281589</v>
      </c>
      <c r="M6" s="37" t="n">
        <f aca="false">IF(E6=1,INDEX(B3_NguongKhoanMuc!$E$4:$E$5,MATCH(D6,B3_NguongKhoanMuc!$A$4:$A$5,0)),"")</f>
        <v>58.2071385175</v>
      </c>
      <c r="N6" s="37" t="n">
        <f aca="false">IF(E6=1,INDEX(B3_NguongKhoanMuc!$F$4:$F$5,MATCH(D6,B3_NguongKhoanMuc!$A$4:$A$5,0)),"")</f>
        <v>66.26326635</v>
      </c>
      <c r="O6" s="37" t="n">
        <f aca="false">IF(E6=1,INDEX(B3_NguongKhoanMuc!$H$4:$H$5,MATCH(D6,B3_NguongKhoanMuc!$A$4:$A$5,0)),"")</f>
        <v>86.118055065</v>
      </c>
      <c r="P6" s="37" t="n">
        <f aca="false">IF(E6=1,INDEX(B3_NguongKhoanMuc!$I$4:$I$5,MATCH(D6,B3_NguongKhoanMuc!$A$4:$A$5,0)),"")</f>
        <v>137.965147652</v>
      </c>
      <c r="Q6" s="37" t="n">
        <f aca="false">IF(E6=1,INDEX(B3_NguongKhoanMuc!$K$4:$K$5,MATCH(D6,B3_NguongKhoanMuc!$A$4:$A$5,0)),"")</f>
        <v>68.3092044425</v>
      </c>
      <c r="R6" s="37" t="n">
        <f aca="false">IF(E6=1,INDEX(B3_NguongKhoanMuc!$L$4:$L$5,MATCH(D6,B3_NguongKhoanMuc!$A$4:$A$5,0)),"")</f>
        <v>14.892652922</v>
      </c>
      <c r="S6" s="35" t="n">
        <f aca="false">IF(E6=1,INDEX(B3_NguongKhoanMuc!$M$4:$M$5,MATCH(D6,B3_NguongKhoanMuc!$A$4:$A$5,0)),"")</f>
        <v>0.0830079952170207</v>
      </c>
      <c r="T6" s="2" t="n">
        <f aca="false">IF(E6&lt;&gt;1,"",IF(I6&gt;N6,2,IF(I6&gt;M6,1,0)))</f>
        <v>0</v>
      </c>
      <c r="U6" s="2" t="n">
        <f aca="false">IF(E6&lt;&gt;1,"",IF(J6&gt;P6,2,IF(J6&gt;O6,1,0)))</f>
        <v>1</v>
      </c>
      <c r="V6" s="2" t="n">
        <f aca="false">IF(E6&lt;&gt;1,"",IF(AND(K6&lt;R6,L6&lt;S6),1,0))</f>
        <v>0</v>
      </c>
      <c r="W6" s="2" t="n">
        <f aca="false">IF(E6&lt;&gt;1,"",IF(K6&gt;Q6,1,0))</f>
        <v>1</v>
      </c>
      <c r="X6" s="34" t="n">
        <f aca="false">IF(E6&lt;&gt;1,"",IF(T6&gt;=1,(I6-M6)*F6/365,0))</f>
        <v>0</v>
      </c>
      <c r="Y6" s="34" t="n">
        <f aca="false">IF(E6&lt;&gt;1,"",IF(U6&gt;=1,(J6-O6)*G6/365,0))</f>
        <v>15845781409.6544</v>
      </c>
      <c r="Z6" s="35" t="n">
        <f aca="false">IF(E6&lt;&gt;1,"",IF(H6&gt;0,MAX(X6,Y6)/H6,0))</f>
        <v>0.116540843723287</v>
      </c>
      <c r="AA6" s="2" t="str">
        <f aca="false">IF(E6&lt;&gt;1,"",CHOOSE(T6+1,"An toàn","Có nguy cơ","Trầm trọng"))</f>
        <v>An toàn</v>
      </c>
      <c r="AB6" s="2" t="str">
        <f aca="false">IF(E6&lt;&gt;1,"",CHOOSE(U6+1,"An toàn","Có nguy cơ","Trầm trọng"))</f>
        <v>Có nguy cơ</v>
      </c>
      <c r="AC6" s="2" t="str">
        <f aca="false">IF(E6&lt;&gt;1,"",IF(V6=1,"Có nguy cơ: NCC cho nợ ít + tiền mỏng",IF(W6=1,"Lưu ý: DPO cao – kiểm tra quá hạn NCC","An toàn")))</f>
        <v>Lưu ý: DPO cao – kiểm tra quá hạn NCC</v>
      </c>
      <c r="AD6" s="10" t="str">
        <f aca="false">IF(OR(AND(ThamSo!$C$10=1,MAX(T6,U6)=2),AND(MAX(T6,U6)&gt;=1,Z6&gt;=ThamSo!$C$9)),"W2",IF(OR(MAX(T6,U6)&gt;=1,V6=1),"W1","W0"))</f>
        <v>W2</v>
      </c>
      <c r="AE6" s="10" t="str">
        <f aca="false">CHOOSE(MATCH(AD6,{"W0","W1","W2"},0),"An toàn","Có nguy cơ","Thiếu trầm trọng")</f>
        <v>Thiếu trầm trọng</v>
      </c>
      <c r="AF6" s="2" t="str">
        <f aca="false">IF(OR(E6&lt;&gt;1,AD6="W0"),"",IF(AND(T6=0,U6=0),"Phải trả",IF(T6&gt;U6,"Phải thu",IF(U6&gt;T6,"Tồn kho",IF(X6&gt;=Y6,"Phải thu","Tồn kho")))))</f>
        <v>Tồn kho</v>
      </c>
      <c r="AG6" s="2" t="str">
        <f aca="false">TRIM(IF(T6=2,"R-AR-2 ",IF(T6=1,"R-AR-1 ",""))&amp;IF(U6=2,"R-INV-2 ",IF(U6=1,"R-INV-1 ",""))&amp;IF(V6=1,"R-AP-1 ","")&amp;IF(AND(MAX(T6,U6)&gt;=1,Z6&gt;=ThamSo!$C$9),"R-MAT",""))</f>
        <v>R-INV-1 R-MAT</v>
      </c>
      <c r="AH6" s="34" t="n">
        <f aca="false">IF(E6&lt;&gt;1,"",X6+Y6)</f>
        <v>15845781409.6544</v>
      </c>
      <c r="AI6" s="2" t="n">
        <f aca="false">IF(OR(E6&lt;&gt;1,DuLieu!A7&lt;&gt;DuLieu!A6,DuLieu!B7&gt;ThamSo!$C$23,DuLieu!D7="",DuLieu!K7=""),"",IF(OR(DuLieu!K7&lt;0,DuLieu!D7&lt;DuLieu!D6*(1-ThamSo!$C$20)),1,0))</f>
        <v>0</v>
      </c>
    </row>
    <row r="7" customFormat="false" ht="15" hidden="false" customHeight="false" outlineLevel="0" collapsed="false">
      <c r="A7" s="36" t="str">
        <f aca="false">DuLieu!A7</f>
        <v>AG1</v>
      </c>
      <c r="B7" s="36" t="n">
        <f aca="false">DuLieu!B7</f>
        <v>2025</v>
      </c>
      <c r="C7" s="2" t="str">
        <f aca="false">A7&amp;"-"&amp;B7</f>
        <v>AG1-2025</v>
      </c>
      <c r="D7" s="2" t="str">
        <f aca="false">DuLieu!S7&amp;"|"&amp;DuLieu!V7</f>
        <v>FOB|Nhỏ–vừa</v>
      </c>
      <c r="E7" s="36" t="n">
        <f aca="false">DuLieu!U7</f>
        <v>1</v>
      </c>
      <c r="F7" s="34" t="n">
        <f aca="false">IF(E7=1,DuLieu!D7,"")</f>
        <v>384757383278</v>
      </c>
      <c r="G7" s="34" t="n">
        <f aca="false">IF(E7=1,DuLieu!O7,"")</f>
        <v>340235686704.158</v>
      </c>
      <c r="H7" s="34" t="n">
        <f aca="false">IF(E7=1,DuLieu!G7,"")</f>
        <v>145047321035</v>
      </c>
      <c r="I7" s="37" t="n">
        <f aca="false">IF(E7=1,DuLieu!L7,"")</f>
        <v>26.75693833</v>
      </c>
      <c r="J7" s="37" t="n">
        <f aca="false">IF(E7=1,DuLieu!M7,"")</f>
        <v>83.61477187</v>
      </c>
      <c r="K7" s="37" t="n">
        <f aca="false">IF(E7=1,DuLieu!N7,"")</f>
        <v>69.83438471</v>
      </c>
      <c r="L7" s="35" t="n">
        <f aca="false">IF(E7=1,DuLieu!P7,"")</f>
        <v>0.0447794500061648</v>
      </c>
      <c r="M7" s="37" t="n">
        <f aca="false">IF(E7=1,INDEX(B3_NguongKhoanMuc!$E$4:$E$5,MATCH(D7,B3_NguongKhoanMuc!$A$4:$A$5,0)),"")</f>
        <v>58.2071385175</v>
      </c>
      <c r="N7" s="37" t="n">
        <f aca="false">IF(E7=1,INDEX(B3_NguongKhoanMuc!$F$4:$F$5,MATCH(D7,B3_NguongKhoanMuc!$A$4:$A$5,0)),"")</f>
        <v>66.26326635</v>
      </c>
      <c r="O7" s="37" t="n">
        <f aca="false">IF(E7=1,INDEX(B3_NguongKhoanMuc!$H$4:$H$5,MATCH(D7,B3_NguongKhoanMuc!$A$4:$A$5,0)),"")</f>
        <v>86.118055065</v>
      </c>
      <c r="P7" s="37" t="n">
        <f aca="false">IF(E7=1,INDEX(B3_NguongKhoanMuc!$I$4:$I$5,MATCH(D7,B3_NguongKhoanMuc!$A$4:$A$5,0)),"")</f>
        <v>137.965147652</v>
      </c>
      <c r="Q7" s="37" t="n">
        <f aca="false">IF(E7=1,INDEX(B3_NguongKhoanMuc!$K$4:$K$5,MATCH(D7,B3_NguongKhoanMuc!$A$4:$A$5,0)),"")</f>
        <v>68.3092044425</v>
      </c>
      <c r="R7" s="37" t="n">
        <f aca="false">IF(E7=1,INDEX(B3_NguongKhoanMuc!$L$4:$L$5,MATCH(D7,B3_NguongKhoanMuc!$A$4:$A$5,0)),"")</f>
        <v>14.892652922</v>
      </c>
      <c r="S7" s="35" t="n">
        <f aca="false">IF(E7=1,INDEX(B3_NguongKhoanMuc!$M$4:$M$5,MATCH(D7,B3_NguongKhoanMuc!$A$4:$A$5,0)),"")</f>
        <v>0.0830079952170207</v>
      </c>
      <c r="T7" s="2" t="n">
        <f aca="false">IF(E7&lt;&gt;1,"",IF(I7&gt;N7,2,IF(I7&gt;M7,1,0)))</f>
        <v>0</v>
      </c>
      <c r="U7" s="2" t="n">
        <f aca="false">IF(E7&lt;&gt;1,"",IF(J7&gt;P7,2,IF(J7&gt;O7,1,0)))</f>
        <v>0</v>
      </c>
      <c r="V7" s="2" t="n">
        <f aca="false">IF(E7&lt;&gt;1,"",IF(AND(K7&lt;R7,L7&lt;S7),1,0))</f>
        <v>0</v>
      </c>
      <c r="W7" s="2" t="n">
        <f aca="false">IF(E7&lt;&gt;1,"",IF(K7&gt;Q7,1,0))</f>
        <v>1</v>
      </c>
      <c r="X7" s="34" t="n">
        <f aca="false">IF(E7&lt;&gt;1,"",IF(T7&gt;=1,(I7-M7)*F7/365,0))</f>
        <v>0</v>
      </c>
      <c r="Y7" s="34" t="n">
        <f aca="false">IF(E7&lt;&gt;1,"",IF(U7&gt;=1,(J7-O7)*G7/365,0))</f>
        <v>0</v>
      </c>
      <c r="Z7" s="35" t="n">
        <f aca="false">IF(E7&lt;&gt;1,"",IF(H7&gt;0,MAX(X7,Y7)/H7,0))</f>
        <v>0</v>
      </c>
      <c r="AA7" s="2" t="str">
        <f aca="false">IF(E7&lt;&gt;1,"",CHOOSE(T7+1,"An toàn","Có nguy cơ","Trầm trọng"))</f>
        <v>An toàn</v>
      </c>
      <c r="AB7" s="2" t="str">
        <f aca="false">IF(E7&lt;&gt;1,"",CHOOSE(U7+1,"An toàn","Có nguy cơ","Trầm trọng"))</f>
        <v>An toàn</v>
      </c>
      <c r="AC7" s="2" t="str">
        <f aca="false">IF(E7&lt;&gt;1,"",IF(V7=1,"Có nguy cơ: NCC cho nợ ít + tiền mỏng",IF(W7=1,"Lưu ý: DPO cao – kiểm tra quá hạn NCC","An toàn")))</f>
        <v>Lưu ý: DPO cao – kiểm tra quá hạn NCC</v>
      </c>
      <c r="AD7" s="10" t="str">
        <f aca="false">IF(OR(AND(ThamSo!$C$10=1,MAX(T7,U7)=2),AND(MAX(T7,U7)&gt;=1,Z7&gt;=ThamSo!$C$9)),"W2",IF(OR(MAX(T7,U7)&gt;=1,V7=1),"W1","W0"))</f>
        <v>W0</v>
      </c>
      <c r="AE7" s="10" t="str">
        <f aca="false">CHOOSE(MATCH(AD7,{"W0","W1","W2"},0),"An toàn","Có nguy cơ","Thiếu trầm trọng")</f>
        <v>An toàn</v>
      </c>
      <c r="AF7" s="2" t="str">
        <f aca="false">IF(OR(E7&lt;&gt;1,AD7="W0"),"",IF(AND(T7=0,U7=0),"Phải trả",IF(T7&gt;U7,"Phải thu",IF(U7&gt;T7,"Tồn kho",IF(X7&gt;=Y7,"Phải thu","Tồn kho")))))</f>
        <v/>
      </c>
      <c r="AG7" s="2" t="str">
        <f aca="false">TRIM(IF(T7=2,"R-AR-2 ",IF(T7=1,"R-AR-1 ",""))&amp;IF(U7=2,"R-INV-2 ",IF(U7=1,"R-INV-1 ",""))&amp;IF(V7=1,"R-AP-1 ","")&amp;IF(AND(MAX(T7,U7)&gt;=1,Z7&gt;=ThamSo!$C$9),"R-MAT",""))</f>
        <v/>
      </c>
      <c r="AH7" s="34" t="n">
        <f aca="false">IF(E7&lt;&gt;1,"",X7+Y7)</f>
        <v>0</v>
      </c>
      <c r="AI7" s="2" t="str">
        <f aca="false">IF(OR(E7&lt;&gt;1,DuLieu!A8&lt;&gt;DuLieu!A7,DuLieu!B8&gt;ThamSo!$C$23,DuLieu!D8="",DuLieu!K8=""),"",IF(OR(DuLieu!K8&lt;0,DuLieu!D8&lt;DuLieu!D7*(1-ThamSo!$C$20)),1,0))</f>
        <v/>
      </c>
    </row>
    <row r="8" customFormat="false" ht="15" hidden="false" customHeight="false" outlineLevel="0" collapsed="false">
      <c r="A8" s="36" t="str">
        <f aca="false">DuLieu!A8</f>
        <v>BDG</v>
      </c>
      <c r="B8" s="36" t="n">
        <f aca="false">DuLieu!B8</f>
        <v>2023</v>
      </c>
      <c r="C8" s="2" t="str">
        <f aca="false">A8&amp;"-"&amp;B8</f>
        <v>BDG-2023</v>
      </c>
      <c r="D8" s="2" t="str">
        <f aca="false">DuLieu!S8&amp;"|"&amp;DuLieu!V8</f>
        <v>FOB|Lớn</v>
      </c>
      <c r="E8" s="36" t="n">
        <f aca="false">DuLieu!U8</f>
        <v>1</v>
      </c>
      <c r="F8" s="34" t="n">
        <f aca="false">IF(E8=1,DuLieu!D8,"")</f>
        <v>1565802348007</v>
      </c>
      <c r="G8" s="34" t="n">
        <f aca="false">IF(E8=1,DuLieu!O8,"")</f>
        <v>1298626299129.78</v>
      </c>
      <c r="H8" s="34" t="n">
        <f aca="false">IF(E8=1,DuLieu!G8,"")</f>
        <v>762014891824</v>
      </c>
      <c r="I8" s="37" t="n">
        <f aca="false">IF(E8=1,DuLieu!L8,"")</f>
        <v>46.39947881</v>
      </c>
      <c r="J8" s="37" t="n">
        <f aca="false">IF(E8=1,DuLieu!M8,"")</f>
        <v>75.03106944</v>
      </c>
      <c r="K8" s="37" t="n">
        <f aca="false">IF(E8=1,DuLieu!N8,"")</f>
        <v>38.54381936</v>
      </c>
      <c r="L8" s="35" t="n">
        <f aca="false">IF(E8=1,DuLieu!P8,"")</f>
        <v>0.15094065222397</v>
      </c>
      <c r="M8" s="37" t="n">
        <f aca="false">IF(E8=1,INDEX(B3_NguongKhoanMuc!$E$4:$E$5,MATCH(D8,B3_NguongKhoanMuc!$A$4:$A$5,0)),"")</f>
        <v>58.2071385175</v>
      </c>
      <c r="N8" s="37" t="n">
        <f aca="false">IF(E8=1,INDEX(B3_NguongKhoanMuc!$F$4:$F$5,MATCH(D8,B3_NguongKhoanMuc!$A$4:$A$5,0)),"")</f>
        <v>66.26326635</v>
      </c>
      <c r="O8" s="37" t="n">
        <f aca="false">IF(E8=1,INDEX(B3_NguongKhoanMuc!$H$4:$H$5,MATCH(D8,B3_NguongKhoanMuc!$A$4:$A$5,0)),"")</f>
        <v>86.118055065</v>
      </c>
      <c r="P8" s="37" t="n">
        <f aca="false">IF(E8=1,INDEX(B3_NguongKhoanMuc!$I$4:$I$5,MATCH(D8,B3_NguongKhoanMuc!$A$4:$A$5,0)),"")</f>
        <v>137.965147652</v>
      </c>
      <c r="Q8" s="37" t="n">
        <f aca="false">IF(E8=1,INDEX(B3_NguongKhoanMuc!$K$4:$K$5,MATCH(D8,B3_NguongKhoanMuc!$A$4:$A$5,0)),"")</f>
        <v>68.3092044425</v>
      </c>
      <c r="R8" s="37" t="n">
        <f aca="false">IF(E8=1,INDEX(B3_NguongKhoanMuc!$L$4:$L$5,MATCH(D8,B3_NguongKhoanMuc!$A$4:$A$5,0)),"")</f>
        <v>14.892652922</v>
      </c>
      <c r="S8" s="35" t="n">
        <f aca="false">IF(E8=1,INDEX(B3_NguongKhoanMuc!$M$4:$M$5,MATCH(D8,B3_NguongKhoanMuc!$A$4:$A$5,0)),"")</f>
        <v>0.0830079952170207</v>
      </c>
      <c r="T8" s="2" t="n">
        <f aca="false">IF(E8&lt;&gt;1,"",IF(I8&gt;N8,2,IF(I8&gt;M8,1,0)))</f>
        <v>0</v>
      </c>
      <c r="U8" s="2" t="n">
        <f aca="false">IF(E8&lt;&gt;1,"",IF(J8&gt;P8,2,IF(J8&gt;O8,1,0)))</f>
        <v>0</v>
      </c>
      <c r="V8" s="2" t="n">
        <f aca="false">IF(E8&lt;&gt;1,"",IF(AND(K8&lt;R8,L8&lt;S8),1,0))</f>
        <v>0</v>
      </c>
      <c r="W8" s="2" t="n">
        <f aca="false">IF(E8&lt;&gt;1,"",IF(K8&gt;Q8,1,0))</f>
        <v>0</v>
      </c>
      <c r="X8" s="34" t="n">
        <f aca="false">IF(E8&lt;&gt;1,"",IF(T8&gt;=1,(I8-M8)*F8/365,0))</f>
        <v>0</v>
      </c>
      <c r="Y8" s="34" t="n">
        <f aca="false">IF(E8&lt;&gt;1,"",IF(U8&gt;=1,(J8-O8)*G8/365,0))</f>
        <v>0</v>
      </c>
      <c r="Z8" s="35" t="n">
        <f aca="false">IF(E8&lt;&gt;1,"",IF(H8&gt;0,MAX(X8,Y8)/H8,0))</f>
        <v>0</v>
      </c>
      <c r="AA8" s="2" t="str">
        <f aca="false">IF(E8&lt;&gt;1,"",CHOOSE(T8+1,"An toàn","Có nguy cơ","Trầm trọng"))</f>
        <v>An toàn</v>
      </c>
      <c r="AB8" s="2" t="str">
        <f aca="false">IF(E8&lt;&gt;1,"",CHOOSE(U8+1,"An toàn","Có nguy cơ","Trầm trọng"))</f>
        <v>An toàn</v>
      </c>
      <c r="AC8" s="2" t="str">
        <f aca="false">IF(E8&lt;&gt;1,"",IF(V8=1,"Có nguy cơ: NCC cho nợ ít + tiền mỏng",IF(W8=1,"Lưu ý: DPO cao – kiểm tra quá hạn NCC","An toàn")))</f>
        <v>An toàn</v>
      </c>
      <c r="AD8" s="10" t="str">
        <f aca="false">IF(OR(AND(ThamSo!$C$10=1,MAX(T8,U8)=2),AND(MAX(T8,U8)&gt;=1,Z8&gt;=ThamSo!$C$9)),"W2",IF(OR(MAX(T8,U8)&gt;=1,V8=1),"W1","W0"))</f>
        <v>W0</v>
      </c>
      <c r="AE8" s="10" t="str">
        <f aca="false">CHOOSE(MATCH(AD8,{"W0","W1","W2"},0),"An toàn","Có nguy cơ","Thiếu trầm trọng")</f>
        <v>An toàn</v>
      </c>
      <c r="AF8" s="2" t="str">
        <f aca="false">IF(OR(E8&lt;&gt;1,AD8="W0"),"",IF(AND(T8=0,U8=0),"Phải trả",IF(T8&gt;U8,"Phải thu",IF(U8&gt;T8,"Tồn kho",IF(X8&gt;=Y8,"Phải thu","Tồn kho")))))</f>
        <v/>
      </c>
      <c r="AG8" s="2" t="str">
        <f aca="false">TRIM(IF(T8=2,"R-AR-2 ",IF(T8=1,"R-AR-1 ",""))&amp;IF(U8=2,"R-INV-2 ",IF(U8=1,"R-INV-1 ",""))&amp;IF(V8=1,"R-AP-1 ","")&amp;IF(AND(MAX(T8,U8)&gt;=1,Z8&gt;=ThamSo!$C$9),"R-MAT",""))</f>
        <v/>
      </c>
      <c r="AH8" s="34" t="n">
        <f aca="false">IF(E8&lt;&gt;1,"",X8+Y8)</f>
        <v>0</v>
      </c>
      <c r="AI8" s="2" t="n">
        <f aca="false">IF(OR(E8&lt;&gt;1,DuLieu!A9&lt;&gt;DuLieu!A8,DuLieu!B9&gt;ThamSo!$C$23,DuLieu!D9="",DuLieu!K9=""),"",IF(OR(DuLieu!K9&lt;0,DuLieu!D9&lt;DuLieu!D8*(1-ThamSo!$C$20)),1,0))</f>
        <v>0</v>
      </c>
    </row>
    <row r="9" customFormat="false" ht="15" hidden="false" customHeight="false" outlineLevel="0" collapsed="false">
      <c r="A9" s="36" t="str">
        <f aca="false">DuLieu!A9</f>
        <v>BDG</v>
      </c>
      <c r="B9" s="36" t="n">
        <f aca="false">DuLieu!B9</f>
        <v>2024</v>
      </c>
      <c r="C9" s="2" t="str">
        <f aca="false">A9&amp;"-"&amp;B9</f>
        <v>BDG-2024</v>
      </c>
      <c r="D9" s="2" t="str">
        <f aca="false">DuLieu!S9&amp;"|"&amp;DuLieu!V9</f>
        <v>FOB|Lớn</v>
      </c>
      <c r="E9" s="36" t="n">
        <f aca="false">DuLieu!U9</f>
        <v>1</v>
      </c>
      <c r="F9" s="34" t="n">
        <f aca="false">IF(E9=1,DuLieu!D9,"")</f>
        <v>1821385866875</v>
      </c>
      <c r="G9" s="34" t="n">
        <f aca="false">IF(E9=1,DuLieu!O9,"")</f>
        <v>1508175016546.59</v>
      </c>
      <c r="H9" s="34" t="n">
        <f aca="false">IF(E9=1,DuLieu!G9,"")</f>
        <v>892610103449</v>
      </c>
      <c r="I9" s="37" t="n">
        <f aca="false">IF(E9=1,DuLieu!L9,"")</f>
        <v>47.79958062</v>
      </c>
      <c r="J9" s="37" t="n">
        <f aca="false">IF(E9=1,DuLieu!M9,"")</f>
        <v>59.72035259</v>
      </c>
      <c r="K9" s="37" t="n">
        <f aca="false">IF(E9=1,DuLieu!N9,"")</f>
        <v>31.09371347</v>
      </c>
      <c r="L9" s="35" t="n">
        <f aca="false">IF(E9=1,DuLieu!P9,"")</f>
        <v>0.172541283057275</v>
      </c>
      <c r="M9" s="37" t="n">
        <f aca="false">IF(E9=1,INDEX(B3_NguongKhoanMuc!$E$4:$E$5,MATCH(D9,B3_NguongKhoanMuc!$A$4:$A$5,0)),"")</f>
        <v>58.2071385175</v>
      </c>
      <c r="N9" s="37" t="n">
        <f aca="false">IF(E9=1,INDEX(B3_NguongKhoanMuc!$F$4:$F$5,MATCH(D9,B3_NguongKhoanMuc!$A$4:$A$5,0)),"")</f>
        <v>66.26326635</v>
      </c>
      <c r="O9" s="37" t="n">
        <f aca="false">IF(E9=1,INDEX(B3_NguongKhoanMuc!$H$4:$H$5,MATCH(D9,B3_NguongKhoanMuc!$A$4:$A$5,0)),"")</f>
        <v>86.118055065</v>
      </c>
      <c r="P9" s="37" t="n">
        <f aca="false">IF(E9=1,INDEX(B3_NguongKhoanMuc!$I$4:$I$5,MATCH(D9,B3_NguongKhoanMuc!$A$4:$A$5,0)),"")</f>
        <v>137.965147652</v>
      </c>
      <c r="Q9" s="37" t="n">
        <f aca="false">IF(E9=1,INDEX(B3_NguongKhoanMuc!$K$4:$K$5,MATCH(D9,B3_NguongKhoanMuc!$A$4:$A$5,0)),"")</f>
        <v>68.3092044425</v>
      </c>
      <c r="R9" s="37" t="n">
        <f aca="false">IF(E9=1,INDEX(B3_NguongKhoanMuc!$L$4:$L$5,MATCH(D9,B3_NguongKhoanMuc!$A$4:$A$5,0)),"")</f>
        <v>14.892652922</v>
      </c>
      <c r="S9" s="35" t="n">
        <f aca="false">IF(E9=1,INDEX(B3_NguongKhoanMuc!$M$4:$M$5,MATCH(D9,B3_NguongKhoanMuc!$A$4:$A$5,0)),"")</f>
        <v>0.0830079952170207</v>
      </c>
      <c r="T9" s="2" t="n">
        <f aca="false">IF(E9&lt;&gt;1,"",IF(I9&gt;N9,2,IF(I9&gt;M9,1,0)))</f>
        <v>0</v>
      </c>
      <c r="U9" s="2" t="n">
        <f aca="false">IF(E9&lt;&gt;1,"",IF(J9&gt;P9,2,IF(J9&gt;O9,1,0)))</f>
        <v>0</v>
      </c>
      <c r="V9" s="2" t="n">
        <f aca="false">IF(E9&lt;&gt;1,"",IF(AND(K9&lt;R9,L9&lt;S9),1,0))</f>
        <v>0</v>
      </c>
      <c r="W9" s="2" t="n">
        <f aca="false">IF(E9&lt;&gt;1,"",IF(K9&gt;Q9,1,0))</f>
        <v>0</v>
      </c>
      <c r="X9" s="34" t="n">
        <f aca="false">IF(E9&lt;&gt;1,"",IF(T9&gt;=1,(I9-M9)*F9/365,0))</f>
        <v>0</v>
      </c>
      <c r="Y9" s="34" t="n">
        <f aca="false">IF(E9&lt;&gt;1,"",IF(U9&gt;=1,(J9-O9)*G9/365,0))</f>
        <v>0</v>
      </c>
      <c r="Z9" s="35" t="n">
        <f aca="false">IF(E9&lt;&gt;1,"",IF(H9&gt;0,MAX(X9,Y9)/H9,0))</f>
        <v>0</v>
      </c>
      <c r="AA9" s="2" t="str">
        <f aca="false">IF(E9&lt;&gt;1,"",CHOOSE(T9+1,"An toàn","Có nguy cơ","Trầm trọng"))</f>
        <v>An toàn</v>
      </c>
      <c r="AB9" s="2" t="str">
        <f aca="false">IF(E9&lt;&gt;1,"",CHOOSE(U9+1,"An toàn","Có nguy cơ","Trầm trọng"))</f>
        <v>An toàn</v>
      </c>
      <c r="AC9" s="2" t="str">
        <f aca="false">IF(E9&lt;&gt;1,"",IF(V9=1,"Có nguy cơ: NCC cho nợ ít + tiền mỏng",IF(W9=1,"Lưu ý: DPO cao – kiểm tra quá hạn NCC","An toàn")))</f>
        <v>An toàn</v>
      </c>
      <c r="AD9" s="10" t="str">
        <f aca="false">IF(OR(AND(ThamSo!$C$10=1,MAX(T9,U9)=2),AND(MAX(T9,U9)&gt;=1,Z9&gt;=ThamSo!$C$9)),"W2",IF(OR(MAX(T9,U9)&gt;=1,V9=1),"W1","W0"))</f>
        <v>W0</v>
      </c>
      <c r="AE9" s="10" t="str">
        <f aca="false">CHOOSE(MATCH(AD9,{"W0","W1","W2"},0),"An toàn","Có nguy cơ","Thiếu trầm trọng")</f>
        <v>An toàn</v>
      </c>
      <c r="AF9" s="2" t="str">
        <f aca="false">IF(OR(E9&lt;&gt;1,AD9="W0"),"",IF(AND(T9=0,U9=0),"Phải trả",IF(T9&gt;U9,"Phải thu",IF(U9&gt;T9,"Tồn kho",IF(X9&gt;=Y9,"Phải thu","Tồn kho")))))</f>
        <v/>
      </c>
      <c r="AG9" s="2" t="str">
        <f aca="false">TRIM(IF(T9=2,"R-AR-2 ",IF(T9=1,"R-AR-1 ",""))&amp;IF(U9=2,"R-INV-2 ",IF(U9=1,"R-INV-1 ",""))&amp;IF(V9=1,"R-AP-1 ","")&amp;IF(AND(MAX(T9,U9)&gt;=1,Z9&gt;=ThamSo!$C$9),"R-MAT",""))</f>
        <v/>
      </c>
      <c r="AH9" s="34" t="n">
        <f aca="false">IF(E9&lt;&gt;1,"",X9+Y9)</f>
        <v>0</v>
      </c>
      <c r="AI9" s="2" t="n">
        <f aca="false">IF(OR(E9&lt;&gt;1,DuLieu!A10&lt;&gt;DuLieu!A9,DuLieu!B10&gt;ThamSo!$C$23,DuLieu!D10="",DuLieu!K10=""),"",IF(OR(DuLieu!K10&lt;0,DuLieu!D10&lt;DuLieu!D9*(1-ThamSo!$C$20)),1,0))</f>
        <v>0</v>
      </c>
    </row>
    <row r="10" customFormat="false" ht="15" hidden="false" customHeight="false" outlineLevel="0" collapsed="false">
      <c r="A10" s="36" t="str">
        <f aca="false">DuLieu!A10</f>
        <v>BDG</v>
      </c>
      <c r="B10" s="36" t="n">
        <f aca="false">DuLieu!B10</f>
        <v>2025</v>
      </c>
      <c r="C10" s="2" t="str">
        <f aca="false">A10&amp;"-"&amp;B10</f>
        <v>BDG-2025</v>
      </c>
      <c r="D10" s="2" t="str">
        <f aca="false">DuLieu!S10&amp;"|"&amp;DuLieu!V10</f>
        <v>FOB|Lớn</v>
      </c>
      <c r="E10" s="36" t="n">
        <f aca="false">DuLieu!U10</f>
        <v>1</v>
      </c>
      <c r="F10" s="34" t="n">
        <f aca="false">IF(E10=1,DuLieu!D10,"")</f>
        <v>1765786732419</v>
      </c>
      <c r="G10" s="34" t="n">
        <f aca="false">IF(E10=1,DuLieu!O10,"")</f>
        <v>1478345063889.71</v>
      </c>
      <c r="H10" s="34" t="n">
        <f aca="false">IF(E10=1,DuLieu!G10,"")</f>
        <v>836089871106</v>
      </c>
      <c r="I10" s="37" t="n">
        <f aca="false">IF(E10=1,DuLieu!L10,"")</f>
        <v>58.1151145</v>
      </c>
      <c r="J10" s="37" t="n">
        <f aca="false">IF(E10=1,DuLieu!M10,"")</f>
        <v>58.32588451</v>
      </c>
      <c r="K10" s="37" t="n">
        <f aca="false">IF(E10=1,DuLieu!N10,"")</f>
        <v>32.64284081</v>
      </c>
      <c r="L10" s="35" t="n">
        <f aca="false">IF(E10=1,DuLieu!P10,"")</f>
        <v>0.128339469624708</v>
      </c>
      <c r="M10" s="37" t="n">
        <f aca="false">IF(E10=1,INDEX(B3_NguongKhoanMuc!$E$4:$E$5,MATCH(D10,B3_NguongKhoanMuc!$A$4:$A$5,0)),"")</f>
        <v>58.2071385175</v>
      </c>
      <c r="N10" s="37" t="n">
        <f aca="false">IF(E10=1,INDEX(B3_NguongKhoanMuc!$F$4:$F$5,MATCH(D10,B3_NguongKhoanMuc!$A$4:$A$5,0)),"")</f>
        <v>66.26326635</v>
      </c>
      <c r="O10" s="37" t="n">
        <f aca="false">IF(E10=1,INDEX(B3_NguongKhoanMuc!$H$4:$H$5,MATCH(D10,B3_NguongKhoanMuc!$A$4:$A$5,0)),"")</f>
        <v>86.118055065</v>
      </c>
      <c r="P10" s="37" t="n">
        <f aca="false">IF(E10=1,INDEX(B3_NguongKhoanMuc!$I$4:$I$5,MATCH(D10,B3_NguongKhoanMuc!$A$4:$A$5,0)),"")</f>
        <v>137.965147652</v>
      </c>
      <c r="Q10" s="37" t="n">
        <f aca="false">IF(E10=1,INDEX(B3_NguongKhoanMuc!$K$4:$K$5,MATCH(D10,B3_NguongKhoanMuc!$A$4:$A$5,0)),"")</f>
        <v>68.3092044425</v>
      </c>
      <c r="R10" s="37" t="n">
        <f aca="false">IF(E10=1,INDEX(B3_NguongKhoanMuc!$L$4:$L$5,MATCH(D10,B3_NguongKhoanMuc!$A$4:$A$5,0)),"")</f>
        <v>14.892652922</v>
      </c>
      <c r="S10" s="35" t="n">
        <f aca="false">IF(E10=1,INDEX(B3_NguongKhoanMuc!$M$4:$M$5,MATCH(D10,B3_NguongKhoanMuc!$A$4:$A$5,0)),"")</f>
        <v>0.0830079952170207</v>
      </c>
      <c r="T10" s="2" t="n">
        <f aca="false">IF(E10&lt;&gt;1,"",IF(I10&gt;N10,2,IF(I10&gt;M10,1,0)))</f>
        <v>0</v>
      </c>
      <c r="U10" s="2" t="n">
        <f aca="false">IF(E10&lt;&gt;1,"",IF(J10&gt;P10,2,IF(J10&gt;O10,1,0)))</f>
        <v>0</v>
      </c>
      <c r="V10" s="2" t="n">
        <f aca="false">IF(E10&lt;&gt;1,"",IF(AND(K10&lt;R10,L10&lt;S10),1,0))</f>
        <v>0</v>
      </c>
      <c r="W10" s="2" t="n">
        <f aca="false">IF(E10&lt;&gt;1,"",IF(K10&gt;Q10,1,0))</f>
        <v>0</v>
      </c>
      <c r="X10" s="34" t="n">
        <f aca="false">IF(E10&lt;&gt;1,"",IF(T10&gt;=1,(I10-M10)*F10/365,0))</f>
        <v>0</v>
      </c>
      <c r="Y10" s="34" t="n">
        <f aca="false">IF(E10&lt;&gt;1,"",IF(U10&gt;=1,(J10-O10)*G10/365,0))</f>
        <v>0</v>
      </c>
      <c r="Z10" s="35" t="n">
        <f aca="false">IF(E10&lt;&gt;1,"",IF(H10&gt;0,MAX(X10,Y10)/H10,0))</f>
        <v>0</v>
      </c>
      <c r="AA10" s="2" t="str">
        <f aca="false">IF(E10&lt;&gt;1,"",CHOOSE(T10+1,"An toàn","Có nguy cơ","Trầm trọng"))</f>
        <v>An toàn</v>
      </c>
      <c r="AB10" s="2" t="str">
        <f aca="false">IF(E10&lt;&gt;1,"",CHOOSE(U10+1,"An toàn","Có nguy cơ","Trầm trọng"))</f>
        <v>An toàn</v>
      </c>
      <c r="AC10" s="2" t="str">
        <f aca="false">IF(E10&lt;&gt;1,"",IF(V10=1,"Có nguy cơ: NCC cho nợ ít + tiền mỏng",IF(W10=1,"Lưu ý: DPO cao – kiểm tra quá hạn NCC","An toàn")))</f>
        <v>An toàn</v>
      </c>
      <c r="AD10" s="10" t="str">
        <f aca="false">IF(OR(AND(ThamSo!$C$10=1,MAX(T10,U10)=2),AND(MAX(T10,U10)&gt;=1,Z10&gt;=ThamSo!$C$9)),"W2",IF(OR(MAX(T10,U10)&gt;=1,V10=1),"W1","W0"))</f>
        <v>W0</v>
      </c>
      <c r="AE10" s="10" t="str">
        <f aca="false">CHOOSE(MATCH(AD10,{"W0","W1","W2"},0),"An toàn","Có nguy cơ","Thiếu trầm trọng")</f>
        <v>An toàn</v>
      </c>
      <c r="AF10" s="2" t="str">
        <f aca="false">IF(OR(E10&lt;&gt;1,AD10="W0"),"",IF(AND(T10=0,U10=0),"Phải trả",IF(T10&gt;U10,"Phải thu",IF(U10&gt;T10,"Tồn kho",IF(X10&gt;=Y10,"Phải thu","Tồn kho")))))</f>
        <v/>
      </c>
      <c r="AG10" s="2" t="str">
        <f aca="false">TRIM(IF(T10=2,"R-AR-2 ",IF(T10=1,"R-AR-1 ",""))&amp;IF(U10=2,"R-INV-2 ",IF(U10=1,"R-INV-1 ",""))&amp;IF(V10=1,"R-AP-1 ","")&amp;IF(AND(MAX(T10,U10)&gt;=1,Z10&gt;=ThamSo!$C$9),"R-MAT",""))</f>
        <v/>
      </c>
      <c r="AH10" s="34" t="n">
        <f aca="false">IF(E10&lt;&gt;1,"",X10+Y10)</f>
        <v>0</v>
      </c>
      <c r="AI10" s="2" t="str">
        <f aca="false">IF(OR(E10&lt;&gt;1,DuLieu!A11&lt;&gt;DuLieu!A10,DuLieu!B11&gt;ThamSo!$C$23,DuLieu!D11="",DuLieu!K11=""),"",IF(OR(DuLieu!K11&lt;0,DuLieu!D11&lt;DuLieu!D10*(1-ThamSo!$C$20)),1,0))</f>
        <v/>
      </c>
    </row>
    <row r="11" customFormat="false" ht="15" hidden="false" customHeight="false" outlineLevel="0" collapsed="false">
      <c r="A11" s="36" t="str">
        <f aca="false">DuLieu!A11</f>
        <v>BMG</v>
      </c>
      <c r="B11" s="36" t="n">
        <f aca="false">DuLieu!B11</f>
        <v>2023</v>
      </c>
      <c r="C11" s="2" t="str">
        <f aca="false">A11&amp;"-"&amp;B11</f>
        <v>BMG-2023</v>
      </c>
      <c r="D11" s="2" t="str">
        <f aca="false">DuLieu!S11&amp;"|"&amp;DuLieu!V11</f>
        <v>FOB|Nhỏ–vừa</v>
      </c>
      <c r="E11" s="36" t="n">
        <f aca="false">DuLieu!U11</f>
        <v>1</v>
      </c>
      <c r="F11" s="34" t="n">
        <f aca="false">IF(E11=1,DuLieu!D11,"")</f>
        <v>295724897278</v>
      </c>
      <c r="G11" s="34" t="n">
        <f aca="false">IF(E11=1,DuLieu!O11,"")</f>
        <v>246122498926.721</v>
      </c>
      <c r="H11" s="34" t="n">
        <f aca="false">IF(E11=1,DuLieu!G11,"")</f>
        <v>99960557124</v>
      </c>
      <c r="I11" s="37" t="n">
        <f aca="false">IF(E11=1,DuLieu!L11,"")</f>
        <v>35.01329593</v>
      </c>
      <c r="J11" s="37" t="n">
        <f aca="false">IF(E11=1,DuLieu!M11,"")</f>
        <v>61.04221981</v>
      </c>
      <c r="K11" s="37" t="n">
        <f aca="false">IF(E11=1,DuLieu!N11,"")</f>
        <v>24.97989403</v>
      </c>
      <c r="L11" s="35" t="n">
        <f aca="false">IF(E11=1,DuLieu!P11,"")</f>
        <v>0.118421991291043</v>
      </c>
      <c r="M11" s="37" t="n">
        <f aca="false">IF(E11=1,INDEX(B3_NguongKhoanMuc!$E$4:$E$5,MATCH(D11,B3_NguongKhoanMuc!$A$4:$A$5,0)),"")</f>
        <v>58.2071385175</v>
      </c>
      <c r="N11" s="37" t="n">
        <f aca="false">IF(E11=1,INDEX(B3_NguongKhoanMuc!$F$4:$F$5,MATCH(D11,B3_NguongKhoanMuc!$A$4:$A$5,0)),"")</f>
        <v>66.26326635</v>
      </c>
      <c r="O11" s="37" t="n">
        <f aca="false">IF(E11=1,INDEX(B3_NguongKhoanMuc!$H$4:$H$5,MATCH(D11,B3_NguongKhoanMuc!$A$4:$A$5,0)),"")</f>
        <v>86.118055065</v>
      </c>
      <c r="P11" s="37" t="n">
        <f aca="false">IF(E11=1,INDEX(B3_NguongKhoanMuc!$I$4:$I$5,MATCH(D11,B3_NguongKhoanMuc!$A$4:$A$5,0)),"")</f>
        <v>137.965147652</v>
      </c>
      <c r="Q11" s="37" t="n">
        <f aca="false">IF(E11=1,INDEX(B3_NguongKhoanMuc!$K$4:$K$5,MATCH(D11,B3_NguongKhoanMuc!$A$4:$A$5,0)),"")</f>
        <v>68.3092044425</v>
      </c>
      <c r="R11" s="37" t="n">
        <f aca="false">IF(E11=1,INDEX(B3_NguongKhoanMuc!$L$4:$L$5,MATCH(D11,B3_NguongKhoanMuc!$A$4:$A$5,0)),"")</f>
        <v>14.892652922</v>
      </c>
      <c r="S11" s="35" t="n">
        <f aca="false">IF(E11=1,INDEX(B3_NguongKhoanMuc!$M$4:$M$5,MATCH(D11,B3_NguongKhoanMuc!$A$4:$A$5,0)),"")</f>
        <v>0.0830079952170207</v>
      </c>
      <c r="T11" s="2" t="n">
        <f aca="false">IF(E11&lt;&gt;1,"",IF(I11&gt;N11,2,IF(I11&gt;M11,1,0)))</f>
        <v>0</v>
      </c>
      <c r="U11" s="2" t="n">
        <f aca="false">IF(E11&lt;&gt;1,"",IF(J11&gt;P11,2,IF(J11&gt;O11,1,0)))</f>
        <v>0</v>
      </c>
      <c r="V11" s="2" t="n">
        <f aca="false">IF(E11&lt;&gt;1,"",IF(AND(K11&lt;R11,L11&lt;S11),1,0))</f>
        <v>0</v>
      </c>
      <c r="W11" s="2" t="n">
        <f aca="false">IF(E11&lt;&gt;1,"",IF(K11&gt;Q11,1,0))</f>
        <v>0</v>
      </c>
      <c r="X11" s="34" t="n">
        <f aca="false">IF(E11&lt;&gt;1,"",IF(T11&gt;=1,(I11-M11)*F11/365,0))</f>
        <v>0</v>
      </c>
      <c r="Y11" s="34" t="n">
        <f aca="false">IF(E11&lt;&gt;1,"",IF(U11&gt;=1,(J11-O11)*G11/365,0))</f>
        <v>0</v>
      </c>
      <c r="Z11" s="35" t="n">
        <f aca="false">IF(E11&lt;&gt;1,"",IF(H11&gt;0,MAX(X11,Y11)/H11,0))</f>
        <v>0</v>
      </c>
      <c r="AA11" s="2" t="str">
        <f aca="false">IF(E11&lt;&gt;1,"",CHOOSE(T11+1,"An toàn","Có nguy cơ","Trầm trọng"))</f>
        <v>An toàn</v>
      </c>
      <c r="AB11" s="2" t="str">
        <f aca="false">IF(E11&lt;&gt;1,"",CHOOSE(U11+1,"An toàn","Có nguy cơ","Trầm trọng"))</f>
        <v>An toàn</v>
      </c>
      <c r="AC11" s="2" t="str">
        <f aca="false">IF(E11&lt;&gt;1,"",IF(V11=1,"Có nguy cơ: NCC cho nợ ít + tiền mỏng",IF(W11=1,"Lưu ý: DPO cao – kiểm tra quá hạn NCC","An toàn")))</f>
        <v>An toàn</v>
      </c>
      <c r="AD11" s="10" t="str">
        <f aca="false">IF(OR(AND(ThamSo!$C$10=1,MAX(T11,U11)=2),AND(MAX(T11,U11)&gt;=1,Z11&gt;=ThamSo!$C$9)),"W2",IF(OR(MAX(T11,U11)&gt;=1,V11=1),"W1","W0"))</f>
        <v>W0</v>
      </c>
      <c r="AE11" s="10" t="str">
        <f aca="false">CHOOSE(MATCH(AD11,{"W0","W1","W2"},0),"An toàn","Có nguy cơ","Thiếu trầm trọng")</f>
        <v>An toàn</v>
      </c>
      <c r="AF11" s="2" t="str">
        <f aca="false">IF(OR(E11&lt;&gt;1,AD11="W0"),"",IF(AND(T11=0,U11=0),"Phải trả",IF(T11&gt;U11,"Phải thu",IF(U11&gt;T11,"Tồn kho",IF(X11&gt;=Y11,"Phải thu","Tồn kho")))))</f>
        <v/>
      </c>
      <c r="AG11" s="2" t="str">
        <f aca="false">TRIM(IF(T11=2,"R-AR-2 ",IF(T11=1,"R-AR-1 ",""))&amp;IF(U11=2,"R-INV-2 ",IF(U11=1,"R-INV-1 ",""))&amp;IF(V11=1,"R-AP-1 ","")&amp;IF(AND(MAX(T11,U11)&gt;=1,Z11&gt;=ThamSo!$C$9),"R-MAT",""))</f>
        <v/>
      </c>
      <c r="AH11" s="34" t="n">
        <f aca="false">IF(E11&lt;&gt;1,"",X11+Y11)</f>
        <v>0</v>
      </c>
      <c r="AI11" s="2" t="n">
        <f aca="false">IF(OR(E11&lt;&gt;1,DuLieu!A12&lt;&gt;DuLieu!A11,DuLieu!B12&gt;ThamSo!$C$23,DuLieu!D12="",DuLieu!K12=""),"",IF(OR(DuLieu!K12&lt;0,DuLieu!D12&lt;DuLieu!D11*(1-ThamSo!$C$20)),1,0))</f>
        <v>0</v>
      </c>
    </row>
    <row r="12" customFormat="false" ht="15" hidden="false" customHeight="false" outlineLevel="0" collapsed="false">
      <c r="A12" s="36" t="str">
        <f aca="false">DuLieu!A12</f>
        <v>BMG</v>
      </c>
      <c r="B12" s="36" t="n">
        <f aca="false">DuLieu!B12</f>
        <v>2024</v>
      </c>
      <c r="C12" s="2" t="str">
        <f aca="false">A12&amp;"-"&amp;B12</f>
        <v>BMG-2024</v>
      </c>
      <c r="D12" s="2" t="str">
        <f aca="false">DuLieu!S12&amp;"|"&amp;DuLieu!V12</f>
        <v>FOB|Nhỏ–vừa</v>
      </c>
      <c r="E12" s="36" t="n">
        <f aca="false">DuLieu!U12</f>
        <v>1</v>
      </c>
      <c r="F12" s="34" t="n">
        <f aca="false">IF(E12=1,DuLieu!D12,"")</f>
        <v>275980198004</v>
      </c>
      <c r="G12" s="34" t="n">
        <f aca="false">IF(E12=1,DuLieu!O12,"")</f>
        <v>226405394830.997</v>
      </c>
      <c r="H12" s="34" t="n">
        <f aca="false">IF(E12=1,DuLieu!G12,"")</f>
        <v>110968220994</v>
      </c>
      <c r="I12" s="37" t="n">
        <f aca="false">IF(E12=1,DuLieu!L12,"")</f>
        <v>31.71454488</v>
      </c>
      <c r="J12" s="37" t="n">
        <f aca="false">IF(E12=1,DuLieu!M12,"")</f>
        <v>64.14008177</v>
      </c>
      <c r="K12" s="37" t="n">
        <f aca="false">IF(E12=1,DuLieu!N12,"")</f>
        <v>34.45596363</v>
      </c>
      <c r="L12" s="35" t="n">
        <f aca="false">IF(E12=1,DuLieu!P12,"")</f>
        <v>0.141948270833664</v>
      </c>
      <c r="M12" s="37" t="n">
        <f aca="false">IF(E12=1,INDEX(B3_NguongKhoanMuc!$E$4:$E$5,MATCH(D12,B3_NguongKhoanMuc!$A$4:$A$5,0)),"")</f>
        <v>58.2071385175</v>
      </c>
      <c r="N12" s="37" t="n">
        <f aca="false">IF(E12=1,INDEX(B3_NguongKhoanMuc!$F$4:$F$5,MATCH(D12,B3_NguongKhoanMuc!$A$4:$A$5,0)),"")</f>
        <v>66.26326635</v>
      </c>
      <c r="O12" s="37" t="n">
        <f aca="false">IF(E12=1,INDEX(B3_NguongKhoanMuc!$H$4:$H$5,MATCH(D12,B3_NguongKhoanMuc!$A$4:$A$5,0)),"")</f>
        <v>86.118055065</v>
      </c>
      <c r="P12" s="37" t="n">
        <f aca="false">IF(E12=1,INDEX(B3_NguongKhoanMuc!$I$4:$I$5,MATCH(D12,B3_NguongKhoanMuc!$A$4:$A$5,0)),"")</f>
        <v>137.965147652</v>
      </c>
      <c r="Q12" s="37" t="n">
        <f aca="false">IF(E12=1,INDEX(B3_NguongKhoanMuc!$K$4:$K$5,MATCH(D12,B3_NguongKhoanMuc!$A$4:$A$5,0)),"")</f>
        <v>68.3092044425</v>
      </c>
      <c r="R12" s="37" t="n">
        <f aca="false">IF(E12=1,INDEX(B3_NguongKhoanMuc!$L$4:$L$5,MATCH(D12,B3_NguongKhoanMuc!$A$4:$A$5,0)),"")</f>
        <v>14.892652922</v>
      </c>
      <c r="S12" s="35" t="n">
        <f aca="false">IF(E12=1,INDEX(B3_NguongKhoanMuc!$M$4:$M$5,MATCH(D12,B3_NguongKhoanMuc!$A$4:$A$5,0)),"")</f>
        <v>0.0830079952170207</v>
      </c>
      <c r="T12" s="2" t="n">
        <f aca="false">IF(E12&lt;&gt;1,"",IF(I12&gt;N12,2,IF(I12&gt;M12,1,0)))</f>
        <v>0</v>
      </c>
      <c r="U12" s="2" t="n">
        <f aca="false">IF(E12&lt;&gt;1,"",IF(J12&gt;P12,2,IF(J12&gt;O12,1,0)))</f>
        <v>0</v>
      </c>
      <c r="V12" s="2" t="n">
        <f aca="false">IF(E12&lt;&gt;1,"",IF(AND(K12&lt;R12,L12&lt;S12),1,0))</f>
        <v>0</v>
      </c>
      <c r="W12" s="2" t="n">
        <f aca="false">IF(E12&lt;&gt;1,"",IF(K12&gt;Q12,1,0))</f>
        <v>0</v>
      </c>
      <c r="X12" s="34" t="n">
        <f aca="false">IF(E12&lt;&gt;1,"",IF(T12&gt;=1,(I12-M12)*F12/365,0))</f>
        <v>0</v>
      </c>
      <c r="Y12" s="34" t="n">
        <f aca="false">IF(E12&lt;&gt;1,"",IF(U12&gt;=1,(J12-O12)*G12/365,0))</f>
        <v>0</v>
      </c>
      <c r="Z12" s="35" t="n">
        <f aca="false">IF(E12&lt;&gt;1,"",IF(H12&gt;0,MAX(X12,Y12)/H12,0))</f>
        <v>0</v>
      </c>
      <c r="AA12" s="2" t="str">
        <f aca="false">IF(E12&lt;&gt;1,"",CHOOSE(T12+1,"An toàn","Có nguy cơ","Trầm trọng"))</f>
        <v>An toàn</v>
      </c>
      <c r="AB12" s="2" t="str">
        <f aca="false">IF(E12&lt;&gt;1,"",CHOOSE(U12+1,"An toàn","Có nguy cơ","Trầm trọng"))</f>
        <v>An toàn</v>
      </c>
      <c r="AC12" s="2" t="str">
        <f aca="false">IF(E12&lt;&gt;1,"",IF(V12=1,"Có nguy cơ: NCC cho nợ ít + tiền mỏng",IF(W12=1,"Lưu ý: DPO cao – kiểm tra quá hạn NCC","An toàn")))</f>
        <v>An toàn</v>
      </c>
      <c r="AD12" s="10" t="str">
        <f aca="false">IF(OR(AND(ThamSo!$C$10=1,MAX(T12,U12)=2),AND(MAX(T12,U12)&gt;=1,Z12&gt;=ThamSo!$C$9)),"W2",IF(OR(MAX(T12,U12)&gt;=1,V12=1),"W1","W0"))</f>
        <v>W0</v>
      </c>
      <c r="AE12" s="10" t="str">
        <f aca="false">CHOOSE(MATCH(AD12,{"W0","W1","W2"},0),"An toàn","Có nguy cơ","Thiếu trầm trọng")</f>
        <v>An toàn</v>
      </c>
      <c r="AF12" s="2" t="str">
        <f aca="false">IF(OR(E12&lt;&gt;1,AD12="W0"),"",IF(AND(T12=0,U12=0),"Phải trả",IF(T12&gt;U12,"Phải thu",IF(U12&gt;T12,"Tồn kho",IF(X12&gt;=Y12,"Phải thu","Tồn kho")))))</f>
        <v/>
      </c>
      <c r="AG12" s="2" t="str">
        <f aca="false">TRIM(IF(T12=2,"R-AR-2 ",IF(T12=1,"R-AR-1 ",""))&amp;IF(U12=2,"R-INV-2 ",IF(U12=1,"R-INV-1 ",""))&amp;IF(V12=1,"R-AP-1 ","")&amp;IF(AND(MAX(T12,U12)&gt;=1,Z12&gt;=ThamSo!$C$9),"R-MAT",""))</f>
        <v/>
      </c>
      <c r="AH12" s="34" t="n">
        <f aca="false">IF(E12&lt;&gt;1,"",X12+Y12)</f>
        <v>0</v>
      </c>
      <c r="AI12" s="2" t="n">
        <f aca="false">IF(OR(E12&lt;&gt;1,DuLieu!A13&lt;&gt;DuLieu!A12,DuLieu!B13&gt;ThamSo!$C$23,DuLieu!D13="",DuLieu!K13=""),"",IF(OR(DuLieu!K13&lt;0,DuLieu!D13&lt;DuLieu!D12*(1-ThamSo!$C$20)),1,0))</f>
        <v>0</v>
      </c>
    </row>
    <row r="13" customFormat="false" ht="15" hidden="false" customHeight="false" outlineLevel="0" collapsed="false">
      <c r="A13" s="36" t="str">
        <f aca="false">DuLieu!A13</f>
        <v>BMG</v>
      </c>
      <c r="B13" s="36" t="n">
        <f aca="false">DuLieu!B13</f>
        <v>2025</v>
      </c>
      <c r="C13" s="2" t="str">
        <f aca="false">A13&amp;"-"&amp;B13</f>
        <v>BMG-2025</v>
      </c>
      <c r="D13" s="2" t="str">
        <f aca="false">DuLieu!S13&amp;"|"&amp;DuLieu!V13</f>
        <v>FOB|Nhỏ–vừa</v>
      </c>
      <c r="E13" s="36" t="n">
        <f aca="false">DuLieu!U13</f>
        <v>1</v>
      </c>
      <c r="F13" s="34" t="n">
        <f aca="false">IF(E13=1,DuLieu!D13,"")</f>
        <v>295940834048</v>
      </c>
      <c r="G13" s="34" t="n">
        <f aca="false">IF(E13=1,DuLieu!O13,"")</f>
        <v>240996713307.766</v>
      </c>
      <c r="H13" s="34" t="n">
        <f aca="false">IF(E13=1,DuLieu!G13,"")</f>
        <v>113467882537</v>
      </c>
      <c r="I13" s="37" t="n">
        <f aca="false">IF(E13=1,DuLieu!L13,"")</f>
        <v>22.35158291</v>
      </c>
      <c r="J13" s="37" t="n">
        <f aca="false">IF(E13=1,DuLieu!M13,"")</f>
        <v>73.81293373</v>
      </c>
      <c r="K13" s="37" t="n">
        <f aca="false">IF(E13=1,DuLieu!N13,"")</f>
        <v>34.06861014</v>
      </c>
      <c r="L13" s="35" t="n">
        <f aca="false">IF(E13=1,DuLieu!P13,"")</f>
        <v>0.041458427061843</v>
      </c>
      <c r="M13" s="37" t="n">
        <f aca="false">IF(E13=1,INDEX(B3_NguongKhoanMuc!$E$4:$E$5,MATCH(D13,B3_NguongKhoanMuc!$A$4:$A$5,0)),"")</f>
        <v>58.2071385175</v>
      </c>
      <c r="N13" s="37" t="n">
        <f aca="false">IF(E13=1,INDEX(B3_NguongKhoanMuc!$F$4:$F$5,MATCH(D13,B3_NguongKhoanMuc!$A$4:$A$5,0)),"")</f>
        <v>66.26326635</v>
      </c>
      <c r="O13" s="37" t="n">
        <f aca="false">IF(E13=1,INDEX(B3_NguongKhoanMuc!$H$4:$H$5,MATCH(D13,B3_NguongKhoanMuc!$A$4:$A$5,0)),"")</f>
        <v>86.118055065</v>
      </c>
      <c r="P13" s="37" t="n">
        <f aca="false">IF(E13=1,INDEX(B3_NguongKhoanMuc!$I$4:$I$5,MATCH(D13,B3_NguongKhoanMuc!$A$4:$A$5,0)),"")</f>
        <v>137.965147652</v>
      </c>
      <c r="Q13" s="37" t="n">
        <f aca="false">IF(E13=1,INDEX(B3_NguongKhoanMuc!$K$4:$K$5,MATCH(D13,B3_NguongKhoanMuc!$A$4:$A$5,0)),"")</f>
        <v>68.3092044425</v>
      </c>
      <c r="R13" s="37" t="n">
        <f aca="false">IF(E13=1,INDEX(B3_NguongKhoanMuc!$L$4:$L$5,MATCH(D13,B3_NguongKhoanMuc!$A$4:$A$5,0)),"")</f>
        <v>14.892652922</v>
      </c>
      <c r="S13" s="35" t="n">
        <f aca="false">IF(E13=1,INDEX(B3_NguongKhoanMuc!$M$4:$M$5,MATCH(D13,B3_NguongKhoanMuc!$A$4:$A$5,0)),"")</f>
        <v>0.0830079952170207</v>
      </c>
      <c r="T13" s="2" t="n">
        <f aca="false">IF(E13&lt;&gt;1,"",IF(I13&gt;N13,2,IF(I13&gt;M13,1,0)))</f>
        <v>0</v>
      </c>
      <c r="U13" s="2" t="n">
        <f aca="false">IF(E13&lt;&gt;1,"",IF(J13&gt;P13,2,IF(J13&gt;O13,1,0)))</f>
        <v>0</v>
      </c>
      <c r="V13" s="2" t="n">
        <f aca="false">IF(E13&lt;&gt;1,"",IF(AND(K13&lt;R13,L13&lt;S13),1,0))</f>
        <v>0</v>
      </c>
      <c r="W13" s="2" t="n">
        <f aca="false">IF(E13&lt;&gt;1,"",IF(K13&gt;Q13,1,0))</f>
        <v>0</v>
      </c>
      <c r="X13" s="34" t="n">
        <f aca="false">IF(E13&lt;&gt;1,"",IF(T13&gt;=1,(I13-M13)*F13/365,0))</f>
        <v>0</v>
      </c>
      <c r="Y13" s="34" t="n">
        <f aca="false">IF(E13&lt;&gt;1,"",IF(U13&gt;=1,(J13-O13)*G13/365,0))</f>
        <v>0</v>
      </c>
      <c r="Z13" s="35" t="n">
        <f aca="false">IF(E13&lt;&gt;1,"",IF(H13&gt;0,MAX(X13,Y13)/H13,0))</f>
        <v>0</v>
      </c>
      <c r="AA13" s="2" t="str">
        <f aca="false">IF(E13&lt;&gt;1,"",CHOOSE(T13+1,"An toàn","Có nguy cơ","Trầm trọng"))</f>
        <v>An toàn</v>
      </c>
      <c r="AB13" s="2" t="str">
        <f aca="false">IF(E13&lt;&gt;1,"",CHOOSE(U13+1,"An toàn","Có nguy cơ","Trầm trọng"))</f>
        <v>An toàn</v>
      </c>
      <c r="AC13" s="2" t="str">
        <f aca="false">IF(E13&lt;&gt;1,"",IF(V13=1,"Có nguy cơ: NCC cho nợ ít + tiền mỏng",IF(W13=1,"Lưu ý: DPO cao – kiểm tra quá hạn NCC","An toàn")))</f>
        <v>An toàn</v>
      </c>
      <c r="AD13" s="10" t="str">
        <f aca="false">IF(OR(AND(ThamSo!$C$10=1,MAX(T13,U13)=2),AND(MAX(T13,U13)&gt;=1,Z13&gt;=ThamSo!$C$9)),"W2",IF(OR(MAX(T13,U13)&gt;=1,V13=1),"W1","W0"))</f>
        <v>W0</v>
      </c>
      <c r="AE13" s="10" t="str">
        <f aca="false">CHOOSE(MATCH(AD13,{"W0","W1","W2"},0),"An toàn","Có nguy cơ","Thiếu trầm trọng")</f>
        <v>An toàn</v>
      </c>
      <c r="AF13" s="2" t="str">
        <f aca="false">IF(OR(E13&lt;&gt;1,AD13="W0"),"",IF(AND(T13=0,U13=0),"Phải trả",IF(T13&gt;U13,"Phải thu",IF(U13&gt;T13,"Tồn kho",IF(X13&gt;=Y13,"Phải thu","Tồn kho")))))</f>
        <v/>
      </c>
      <c r="AG13" s="2" t="str">
        <f aca="false">TRIM(IF(T13=2,"R-AR-2 ",IF(T13=1,"R-AR-1 ",""))&amp;IF(U13=2,"R-INV-2 ",IF(U13=1,"R-INV-1 ",""))&amp;IF(V13=1,"R-AP-1 ","")&amp;IF(AND(MAX(T13,U13)&gt;=1,Z13&gt;=ThamSo!$C$9),"R-MAT",""))</f>
        <v/>
      </c>
      <c r="AH13" s="34" t="n">
        <f aca="false">IF(E13&lt;&gt;1,"",X13+Y13)</f>
        <v>0</v>
      </c>
      <c r="AI13" s="2" t="str">
        <f aca="false">IF(OR(E13&lt;&gt;1,DuLieu!A14&lt;&gt;DuLieu!A13,DuLieu!B14&gt;ThamSo!$C$23,DuLieu!D14="",DuLieu!K14=""),"",IF(OR(DuLieu!K14&lt;0,DuLieu!D14&lt;DuLieu!D13*(1-ThamSo!$C$20)),1,0))</f>
        <v/>
      </c>
    </row>
    <row r="14" customFormat="false" ht="15" hidden="false" customHeight="false" outlineLevel="0" collapsed="false">
      <c r="A14" s="36" t="str">
        <f aca="false">DuLieu!A17</f>
        <v>DM7</v>
      </c>
      <c r="B14" s="36" t="n">
        <f aca="false">DuLieu!B17</f>
        <v>2023</v>
      </c>
      <c r="C14" s="2" t="str">
        <f aca="false">A14&amp;"-"&amp;B14</f>
        <v>DM7-2023</v>
      </c>
      <c r="D14" s="2" t="str">
        <f aca="false">DuLieu!S17&amp;"|"&amp;DuLieu!V17</f>
        <v>FOB|Nhỏ–vừa</v>
      </c>
      <c r="E14" s="36" t="n">
        <f aca="false">DuLieu!U17</f>
        <v>1</v>
      </c>
      <c r="F14" s="34" t="n">
        <f aca="false">IF(E14=1,DuLieu!D17,"")</f>
        <v>620231260463</v>
      </c>
      <c r="G14" s="34" t="n">
        <f aca="false">IF(E14=1,DuLieu!O17,"")</f>
        <v>535228653048.922</v>
      </c>
      <c r="H14" s="34" t="n">
        <f aca="false">IF(E14=1,DuLieu!G17,"")</f>
        <v>333140259403</v>
      </c>
      <c r="I14" s="37" t="n">
        <f aca="false">IF(E14=1,DuLieu!L17,"")</f>
        <v>83.30746808</v>
      </c>
      <c r="J14" s="37" t="n">
        <f aca="false">IF(E14=1,DuLieu!M17,"")</f>
        <v>81.81882247</v>
      </c>
      <c r="K14" s="37" t="n">
        <f aca="false">IF(E14=1,DuLieu!N17,"")</f>
        <v>53.50763762</v>
      </c>
      <c r="L14" s="35" t="n">
        <f aca="false">IF(E14=1,DuLieu!P17,"")</f>
        <v>0.0246676982365882</v>
      </c>
      <c r="M14" s="37" t="n">
        <f aca="false">IF(E14=1,INDEX(B3_NguongKhoanMuc!$E$4:$E$5,MATCH(D14,B3_NguongKhoanMuc!$A$4:$A$5,0)),"")</f>
        <v>58.2071385175</v>
      </c>
      <c r="N14" s="37" t="n">
        <f aca="false">IF(E14=1,INDEX(B3_NguongKhoanMuc!$F$4:$F$5,MATCH(D14,B3_NguongKhoanMuc!$A$4:$A$5,0)),"")</f>
        <v>66.26326635</v>
      </c>
      <c r="O14" s="37" t="n">
        <f aca="false">IF(E14=1,INDEX(B3_NguongKhoanMuc!$H$4:$H$5,MATCH(D14,B3_NguongKhoanMuc!$A$4:$A$5,0)),"")</f>
        <v>86.118055065</v>
      </c>
      <c r="P14" s="37" t="n">
        <f aca="false">IF(E14=1,INDEX(B3_NguongKhoanMuc!$I$4:$I$5,MATCH(D14,B3_NguongKhoanMuc!$A$4:$A$5,0)),"")</f>
        <v>137.965147652</v>
      </c>
      <c r="Q14" s="37" t="n">
        <f aca="false">IF(E14=1,INDEX(B3_NguongKhoanMuc!$K$4:$K$5,MATCH(D14,B3_NguongKhoanMuc!$A$4:$A$5,0)),"")</f>
        <v>68.3092044425</v>
      </c>
      <c r="R14" s="37" t="n">
        <f aca="false">IF(E14=1,INDEX(B3_NguongKhoanMuc!$L$4:$L$5,MATCH(D14,B3_NguongKhoanMuc!$A$4:$A$5,0)),"")</f>
        <v>14.892652922</v>
      </c>
      <c r="S14" s="35" t="n">
        <f aca="false">IF(E14=1,INDEX(B3_NguongKhoanMuc!$M$4:$M$5,MATCH(D14,B3_NguongKhoanMuc!$A$4:$A$5,0)),"")</f>
        <v>0.0830079952170207</v>
      </c>
      <c r="T14" s="2" t="n">
        <f aca="false">IF(E14&lt;&gt;1,"",IF(I14&gt;N14,2,IF(I14&gt;M14,1,0)))</f>
        <v>2</v>
      </c>
      <c r="U14" s="2" t="n">
        <f aca="false">IF(E14&lt;&gt;1,"",IF(J14&gt;P14,2,IF(J14&gt;O14,1,0)))</f>
        <v>0</v>
      </c>
      <c r="V14" s="2" t="n">
        <f aca="false">IF(E14&lt;&gt;1,"",IF(AND(K14&lt;R14,L14&lt;S14),1,0))</f>
        <v>0</v>
      </c>
      <c r="W14" s="2" t="n">
        <f aca="false">IF(E14&lt;&gt;1,"",IF(K14&gt;Q14,1,0))</f>
        <v>0</v>
      </c>
      <c r="X14" s="34" t="n">
        <f aca="false">IF(E14&lt;&gt;1,"",IF(T14&gt;=1,(I14-M14)*F14/365,0))</f>
        <v>42652079568.729</v>
      </c>
      <c r="Y14" s="34" t="n">
        <f aca="false">IF(E14&lt;&gt;1,"",IF(U14&gt;=1,(J14-O14)*G14/365,0))</f>
        <v>0</v>
      </c>
      <c r="Z14" s="35" t="n">
        <f aca="false">IF(E14&lt;&gt;1,"",IF(H14&gt;0,MAX(X14,Y14)/H14,0))</f>
        <v>0.128030396701867</v>
      </c>
      <c r="AA14" s="2" t="str">
        <f aca="false">IF(E14&lt;&gt;1,"",CHOOSE(T14+1,"An toàn","Có nguy cơ","Trầm trọng"))</f>
        <v>Trầm trọng</v>
      </c>
      <c r="AB14" s="2" t="str">
        <f aca="false">IF(E14&lt;&gt;1,"",CHOOSE(U14+1,"An toàn","Có nguy cơ","Trầm trọng"))</f>
        <v>An toàn</v>
      </c>
      <c r="AC14" s="2" t="str">
        <f aca="false">IF(E14&lt;&gt;1,"",IF(V14=1,"Có nguy cơ: NCC cho nợ ít + tiền mỏng",IF(W14=1,"Lưu ý: DPO cao – kiểm tra quá hạn NCC","An toàn")))</f>
        <v>An toàn</v>
      </c>
      <c r="AD14" s="10" t="str">
        <f aca="false">IF(OR(AND(ThamSo!$C$10=1,MAX(T14,U14)=2),AND(MAX(T14,U14)&gt;=1,Z14&gt;=ThamSo!$C$9)),"W2",IF(OR(MAX(T14,U14)&gt;=1,V14=1),"W1","W0"))</f>
        <v>W2</v>
      </c>
      <c r="AE14" s="10" t="str">
        <f aca="false">CHOOSE(MATCH(AD14,{"W0","W1","W2"},0),"An toàn","Có nguy cơ","Thiếu trầm trọng")</f>
        <v>Thiếu trầm trọng</v>
      </c>
      <c r="AF14" s="2" t="str">
        <f aca="false">IF(OR(E14&lt;&gt;1,AD14="W0"),"",IF(AND(T14=0,U14=0),"Phải trả",IF(T14&gt;U14,"Phải thu",IF(U14&gt;T14,"Tồn kho",IF(X14&gt;=Y14,"Phải thu","Tồn kho")))))</f>
        <v>Phải thu</v>
      </c>
      <c r="AG14" s="2" t="str">
        <f aca="false">TRIM(IF(T14=2,"R-AR-2 ",IF(T14=1,"R-AR-1 ",""))&amp;IF(U14=2,"R-INV-2 ",IF(U14=1,"R-INV-1 ",""))&amp;IF(V14=1,"R-AP-1 ","")&amp;IF(AND(MAX(T14,U14)&gt;=1,Z14&gt;=ThamSo!$C$9),"R-MAT",""))</f>
        <v>R-AR-2 R-MAT</v>
      </c>
      <c r="AH14" s="34" t="n">
        <f aca="false">IF(E14&lt;&gt;1,"",X14+Y14)</f>
        <v>42652079568.729</v>
      </c>
      <c r="AI14" s="2" t="n">
        <f aca="false">IF(OR(E14&lt;&gt;1,DuLieu!A18&lt;&gt;DuLieu!A17,DuLieu!B18&gt;ThamSo!$C$23,DuLieu!D18="",DuLieu!K18=""),"",IF(OR(DuLieu!K18&lt;0,DuLieu!D18&lt;DuLieu!D17*(1-ThamSo!$C$20)),1,0))</f>
        <v>0</v>
      </c>
    </row>
    <row r="15" customFormat="false" ht="15" hidden="false" customHeight="false" outlineLevel="0" collapsed="false">
      <c r="A15" s="36" t="str">
        <f aca="false">DuLieu!A18</f>
        <v>DM7</v>
      </c>
      <c r="B15" s="36" t="n">
        <f aca="false">DuLieu!B18</f>
        <v>2024</v>
      </c>
      <c r="C15" s="2" t="str">
        <f aca="false">A15&amp;"-"&amp;B15</f>
        <v>DM7-2024</v>
      </c>
      <c r="D15" s="2" t="str">
        <f aca="false">DuLieu!S18&amp;"|"&amp;DuLieu!V18</f>
        <v>FOB|Nhỏ–vừa</v>
      </c>
      <c r="E15" s="36" t="n">
        <f aca="false">DuLieu!U18</f>
        <v>1</v>
      </c>
      <c r="F15" s="34" t="n">
        <f aca="false">IF(E15=1,DuLieu!D18,"")</f>
        <v>868155807971</v>
      </c>
      <c r="G15" s="34" t="n">
        <f aca="false">IF(E15=1,DuLieu!O18,"")</f>
        <v>740060321386.919</v>
      </c>
      <c r="H15" s="34" t="n">
        <f aca="false">IF(E15=1,DuLieu!G18,"")</f>
        <v>389114842980</v>
      </c>
      <c r="I15" s="37" t="n">
        <f aca="false">IF(E15=1,DuLieu!L18,"")</f>
        <v>77.61517198</v>
      </c>
      <c r="J15" s="37" t="n">
        <f aca="false">IF(E15=1,DuLieu!M18,"")</f>
        <v>51.79639005</v>
      </c>
      <c r="K15" s="37" t="n">
        <f aca="false">IF(E15=1,DuLieu!N18,"")</f>
        <v>46.20003895</v>
      </c>
      <c r="L15" s="35" t="n">
        <f aca="false">IF(E15=1,DuLieu!P18,"")</f>
        <v>0.106583857981966</v>
      </c>
      <c r="M15" s="37" t="n">
        <f aca="false">IF(E15=1,INDEX(B3_NguongKhoanMuc!$E$4:$E$5,MATCH(D15,B3_NguongKhoanMuc!$A$4:$A$5,0)),"")</f>
        <v>58.2071385175</v>
      </c>
      <c r="N15" s="37" t="n">
        <f aca="false">IF(E15=1,INDEX(B3_NguongKhoanMuc!$F$4:$F$5,MATCH(D15,B3_NguongKhoanMuc!$A$4:$A$5,0)),"")</f>
        <v>66.26326635</v>
      </c>
      <c r="O15" s="37" t="n">
        <f aca="false">IF(E15=1,INDEX(B3_NguongKhoanMuc!$H$4:$H$5,MATCH(D15,B3_NguongKhoanMuc!$A$4:$A$5,0)),"")</f>
        <v>86.118055065</v>
      </c>
      <c r="P15" s="37" t="n">
        <f aca="false">IF(E15=1,INDEX(B3_NguongKhoanMuc!$I$4:$I$5,MATCH(D15,B3_NguongKhoanMuc!$A$4:$A$5,0)),"")</f>
        <v>137.965147652</v>
      </c>
      <c r="Q15" s="37" t="n">
        <f aca="false">IF(E15=1,INDEX(B3_NguongKhoanMuc!$K$4:$K$5,MATCH(D15,B3_NguongKhoanMuc!$A$4:$A$5,0)),"")</f>
        <v>68.3092044425</v>
      </c>
      <c r="R15" s="37" t="n">
        <f aca="false">IF(E15=1,INDEX(B3_NguongKhoanMuc!$L$4:$L$5,MATCH(D15,B3_NguongKhoanMuc!$A$4:$A$5,0)),"")</f>
        <v>14.892652922</v>
      </c>
      <c r="S15" s="35" t="n">
        <f aca="false">IF(E15=1,INDEX(B3_NguongKhoanMuc!$M$4:$M$5,MATCH(D15,B3_NguongKhoanMuc!$A$4:$A$5,0)),"")</f>
        <v>0.0830079952170207</v>
      </c>
      <c r="T15" s="2" t="n">
        <f aca="false">IF(E15&lt;&gt;1,"",IF(I15&gt;N15,2,IF(I15&gt;M15,1,0)))</f>
        <v>2</v>
      </c>
      <c r="U15" s="2" t="n">
        <f aca="false">IF(E15&lt;&gt;1,"",IF(J15&gt;P15,2,IF(J15&gt;O15,1,0)))</f>
        <v>0</v>
      </c>
      <c r="V15" s="2" t="n">
        <f aca="false">IF(E15&lt;&gt;1,"",IF(AND(K15&lt;R15,L15&lt;S15),1,0))</f>
        <v>0</v>
      </c>
      <c r="W15" s="2" t="n">
        <f aca="false">IF(E15&lt;&gt;1,"",IF(K15&gt;Q15,1,0))</f>
        <v>0</v>
      </c>
      <c r="X15" s="34" t="n">
        <f aca="false">IF(E15&lt;&gt;1,"",IF(T15&gt;=1,(I15-M15)*F15/365,0))</f>
        <v>46162183484.2874</v>
      </c>
      <c r="Y15" s="34" t="n">
        <f aca="false">IF(E15&lt;&gt;1,"",IF(U15&gt;=1,(J15-O15)*G15/365,0))</f>
        <v>0</v>
      </c>
      <c r="Z15" s="35" t="n">
        <f aca="false">IF(E15&lt;&gt;1,"",IF(H15&gt;0,MAX(X15,Y15)/H15,0))</f>
        <v>0.118633828333966</v>
      </c>
      <c r="AA15" s="2" t="str">
        <f aca="false">IF(E15&lt;&gt;1,"",CHOOSE(T15+1,"An toàn","Có nguy cơ","Trầm trọng"))</f>
        <v>Trầm trọng</v>
      </c>
      <c r="AB15" s="2" t="str">
        <f aca="false">IF(E15&lt;&gt;1,"",CHOOSE(U15+1,"An toàn","Có nguy cơ","Trầm trọng"))</f>
        <v>An toàn</v>
      </c>
      <c r="AC15" s="2" t="str">
        <f aca="false">IF(E15&lt;&gt;1,"",IF(V15=1,"Có nguy cơ: NCC cho nợ ít + tiền mỏng",IF(W15=1,"Lưu ý: DPO cao – kiểm tra quá hạn NCC","An toàn")))</f>
        <v>An toàn</v>
      </c>
      <c r="AD15" s="10" t="str">
        <f aca="false">IF(OR(AND(ThamSo!$C$10=1,MAX(T15,U15)=2),AND(MAX(T15,U15)&gt;=1,Z15&gt;=ThamSo!$C$9)),"W2",IF(OR(MAX(T15,U15)&gt;=1,V15=1),"W1","W0"))</f>
        <v>W2</v>
      </c>
      <c r="AE15" s="10" t="str">
        <f aca="false">CHOOSE(MATCH(AD15,{"W0","W1","W2"},0),"An toàn","Có nguy cơ","Thiếu trầm trọng")</f>
        <v>Thiếu trầm trọng</v>
      </c>
      <c r="AF15" s="2" t="str">
        <f aca="false">IF(OR(E15&lt;&gt;1,AD15="W0"),"",IF(AND(T15=0,U15=0),"Phải trả",IF(T15&gt;U15,"Phải thu",IF(U15&gt;T15,"Tồn kho",IF(X15&gt;=Y15,"Phải thu","Tồn kho")))))</f>
        <v>Phải thu</v>
      </c>
      <c r="AG15" s="2" t="str">
        <f aca="false">TRIM(IF(T15=2,"R-AR-2 ",IF(T15=1,"R-AR-1 ",""))&amp;IF(U15=2,"R-INV-2 ",IF(U15=1,"R-INV-1 ",""))&amp;IF(V15=1,"R-AP-1 ","")&amp;IF(AND(MAX(T15,U15)&gt;=1,Z15&gt;=ThamSo!$C$9),"R-MAT",""))</f>
        <v>R-AR-2 R-MAT</v>
      </c>
      <c r="AH15" s="34" t="n">
        <f aca="false">IF(E15&lt;&gt;1,"",X15+Y15)</f>
        <v>46162183484.2874</v>
      </c>
      <c r="AI15" s="2" t="n">
        <f aca="false">IF(OR(E15&lt;&gt;1,DuLieu!A19&lt;&gt;DuLieu!A18,DuLieu!B19&gt;ThamSo!$C$23,DuLieu!D19="",DuLieu!K19=""),"",IF(OR(DuLieu!K19&lt;0,DuLieu!D19&lt;DuLieu!D18*(1-ThamSo!$C$20)),1,0))</f>
        <v>0</v>
      </c>
    </row>
    <row r="16" customFormat="false" ht="15" hidden="false" customHeight="false" outlineLevel="0" collapsed="false">
      <c r="A16" s="36" t="str">
        <f aca="false">DuLieu!A19</f>
        <v>DM7</v>
      </c>
      <c r="B16" s="36" t="n">
        <f aca="false">DuLieu!B19</f>
        <v>2025</v>
      </c>
      <c r="C16" s="2" t="str">
        <f aca="false">A16&amp;"-"&amp;B16</f>
        <v>DM7-2025</v>
      </c>
      <c r="D16" s="2" t="str">
        <f aca="false">DuLieu!S19&amp;"|"&amp;DuLieu!V19</f>
        <v>FOB|Nhỏ–vừa</v>
      </c>
      <c r="E16" s="36" t="n">
        <f aca="false">DuLieu!U19</f>
        <v>1</v>
      </c>
      <c r="F16" s="34" t="n">
        <f aca="false">IF(E16=1,DuLieu!D19,"")</f>
        <v>741070971989</v>
      </c>
      <c r="G16" s="34" t="n">
        <f aca="false">IF(E16=1,DuLieu!O19,"")</f>
        <v>620684311249.905</v>
      </c>
      <c r="H16" s="34" t="n">
        <f aca="false">IF(E16=1,DuLieu!G19,"")</f>
        <v>406303984542</v>
      </c>
      <c r="I16" s="37" t="n">
        <f aca="false">IF(E16=1,DuLieu!L19,"")</f>
        <v>112.89637465</v>
      </c>
      <c r="J16" s="37" t="n">
        <f aca="false">IF(E16=1,DuLieu!M19,"")</f>
        <v>55.71253193</v>
      </c>
      <c r="K16" s="37" t="n">
        <f aca="false">IF(E16=1,DuLieu!N19,"")</f>
        <v>36.14441135</v>
      </c>
      <c r="L16" s="35" t="n">
        <f aca="false">IF(E16=1,DuLieu!P19,"")</f>
        <v>0.0703663696380406</v>
      </c>
      <c r="M16" s="37" t="n">
        <f aca="false">IF(E16=1,INDEX(B3_NguongKhoanMuc!$E$4:$E$5,MATCH(D16,B3_NguongKhoanMuc!$A$4:$A$5,0)),"")</f>
        <v>58.2071385175</v>
      </c>
      <c r="N16" s="37" t="n">
        <f aca="false">IF(E16=1,INDEX(B3_NguongKhoanMuc!$F$4:$F$5,MATCH(D16,B3_NguongKhoanMuc!$A$4:$A$5,0)),"")</f>
        <v>66.26326635</v>
      </c>
      <c r="O16" s="37" t="n">
        <f aca="false">IF(E16=1,INDEX(B3_NguongKhoanMuc!$H$4:$H$5,MATCH(D16,B3_NguongKhoanMuc!$A$4:$A$5,0)),"")</f>
        <v>86.118055065</v>
      </c>
      <c r="P16" s="37" t="n">
        <f aca="false">IF(E16=1,INDEX(B3_NguongKhoanMuc!$I$4:$I$5,MATCH(D16,B3_NguongKhoanMuc!$A$4:$A$5,0)),"")</f>
        <v>137.965147652</v>
      </c>
      <c r="Q16" s="37" t="n">
        <f aca="false">IF(E16=1,INDEX(B3_NguongKhoanMuc!$K$4:$K$5,MATCH(D16,B3_NguongKhoanMuc!$A$4:$A$5,0)),"")</f>
        <v>68.3092044425</v>
      </c>
      <c r="R16" s="37" t="n">
        <f aca="false">IF(E16=1,INDEX(B3_NguongKhoanMuc!$L$4:$L$5,MATCH(D16,B3_NguongKhoanMuc!$A$4:$A$5,0)),"")</f>
        <v>14.892652922</v>
      </c>
      <c r="S16" s="35" t="n">
        <f aca="false">IF(E16=1,INDEX(B3_NguongKhoanMuc!$M$4:$M$5,MATCH(D16,B3_NguongKhoanMuc!$A$4:$A$5,0)),"")</f>
        <v>0.0830079952170207</v>
      </c>
      <c r="T16" s="2" t="n">
        <f aca="false">IF(E16&lt;&gt;1,"",IF(I16&gt;N16,2,IF(I16&gt;M16,1,0)))</f>
        <v>2</v>
      </c>
      <c r="U16" s="2" t="n">
        <f aca="false">IF(E16&lt;&gt;1,"",IF(J16&gt;P16,2,IF(J16&gt;O16,1,0)))</f>
        <v>0</v>
      </c>
      <c r="V16" s="2" t="n">
        <f aca="false">IF(E16&lt;&gt;1,"",IF(AND(K16&lt;R16,L16&lt;S16),1,0))</f>
        <v>0</v>
      </c>
      <c r="W16" s="2" t="n">
        <f aca="false">IF(E16&lt;&gt;1,"",IF(K16&gt;Q16,1,0))</f>
        <v>0</v>
      </c>
      <c r="X16" s="34" t="n">
        <f aca="false">IF(E16&lt;&gt;1,"",IF(T16&gt;=1,(I16-M16)*F16/365,0))</f>
        <v>111037275008.35</v>
      </c>
      <c r="Y16" s="34" t="n">
        <f aca="false">IF(E16&lt;&gt;1,"",IF(U16&gt;=1,(J16-O16)*G16/365,0))</f>
        <v>0</v>
      </c>
      <c r="Z16" s="35" t="n">
        <f aca="false">IF(E16&lt;&gt;1,"",IF(H16&gt;0,MAX(X16,Y16)/H16,0))</f>
        <v>0.273286207452568</v>
      </c>
      <c r="AA16" s="2" t="str">
        <f aca="false">IF(E16&lt;&gt;1,"",CHOOSE(T16+1,"An toàn","Có nguy cơ","Trầm trọng"))</f>
        <v>Trầm trọng</v>
      </c>
      <c r="AB16" s="2" t="str">
        <f aca="false">IF(E16&lt;&gt;1,"",CHOOSE(U16+1,"An toàn","Có nguy cơ","Trầm trọng"))</f>
        <v>An toàn</v>
      </c>
      <c r="AC16" s="2" t="str">
        <f aca="false">IF(E16&lt;&gt;1,"",IF(V16=1,"Có nguy cơ: NCC cho nợ ít + tiền mỏng",IF(W16=1,"Lưu ý: DPO cao – kiểm tra quá hạn NCC","An toàn")))</f>
        <v>An toàn</v>
      </c>
      <c r="AD16" s="10" t="str">
        <f aca="false">IF(OR(AND(ThamSo!$C$10=1,MAX(T16,U16)=2),AND(MAX(T16,U16)&gt;=1,Z16&gt;=ThamSo!$C$9)),"W2",IF(OR(MAX(T16,U16)&gt;=1,V16=1),"W1","W0"))</f>
        <v>W2</v>
      </c>
      <c r="AE16" s="10" t="str">
        <f aca="false">CHOOSE(MATCH(AD16,{"W0","W1","W2"},0),"An toàn","Có nguy cơ","Thiếu trầm trọng")</f>
        <v>Thiếu trầm trọng</v>
      </c>
      <c r="AF16" s="2" t="str">
        <f aca="false">IF(OR(E16&lt;&gt;1,AD16="W0"),"",IF(AND(T16=0,U16=0),"Phải trả",IF(T16&gt;U16,"Phải thu",IF(U16&gt;T16,"Tồn kho",IF(X16&gt;=Y16,"Phải thu","Tồn kho")))))</f>
        <v>Phải thu</v>
      </c>
      <c r="AG16" s="2" t="str">
        <f aca="false">TRIM(IF(T16=2,"R-AR-2 ",IF(T16=1,"R-AR-1 ",""))&amp;IF(U16=2,"R-INV-2 ",IF(U16=1,"R-INV-1 ",""))&amp;IF(V16=1,"R-AP-1 ","")&amp;IF(AND(MAX(T16,U16)&gt;=1,Z16&gt;=ThamSo!$C$9),"R-MAT",""))</f>
        <v>R-AR-2 R-MAT</v>
      </c>
      <c r="AH16" s="34" t="n">
        <f aca="false">IF(E16&lt;&gt;1,"",X16+Y16)</f>
        <v>111037275008.35</v>
      </c>
      <c r="AI16" s="2" t="str">
        <f aca="false">IF(OR(E16&lt;&gt;1,DuLieu!A20&lt;&gt;DuLieu!A19,DuLieu!B20&gt;ThamSo!$C$23,DuLieu!D20="",DuLieu!K20=""),"",IF(OR(DuLieu!K20&lt;0,DuLieu!D20&lt;DuLieu!D19*(1-ThamSo!$C$20)),1,0))</f>
        <v/>
      </c>
    </row>
    <row r="17" customFormat="false" ht="15" hidden="false" customHeight="false" outlineLevel="0" collapsed="false">
      <c r="A17" s="36" t="str">
        <f aca="false">DuLieu!A29</f>
        <v>HLT</v>
      </c>
      <c r="B17" s="36" t="n">
        <f aca="false">DuLieu!B29</f>
        <v>2023</v>
      </c>
      <c r="C17" s="2" t="str">
        <f aca="false">A17&amp;"-"&amp;B17</f>
        <v>HLT-2023</v>
      </c>
      <c r="D17" s="2" t="str">
        <f aca="false">DuLieu!S29&amp;"|"&amp;DuLieu!V29</f>
        <v>FOB|Nhỏ–vừa</v>
      </c>
      <c r="E17" s="36" t="n">
        <f aca="false">DuLieu!U29</f>
        <v>1</v>
      </c>
      <c r="F17" s="34" t="n">
        <f aca="false">IF(E17=1,DuLieu!D29,"")</f>
        <v>780824095814</v>
      </c>
      <c r="G17" s="34" t="n">
        <f aca="false">IF(E17=1,DuLieu!O29,"")</f>
        <v>773993790186.421</v>
      </c>
      <c r="H17" s="34" t="n">
        <f aca="false">IF(E17=1,DuLieu!G29,"")</f>
        <v>303661082534</v>
      </c>
      <c r="I17" s="37" t="n">
        <f aca="false">IF(E17=1,DuLieu!L29,"")</f>
        <v>21.52821737</v>
      </c>
      <c r="J17" s="37" t="n">
        <f aca="false">IF(E17=1,DuLieu!M29,"")</f>
        <v>87.24594236</v>
      </c>
      <c r="K17" s="37" t="n">
        <f aca="false">IF(E17=1,DuLieu!N29,"")</f>
        <v>6.90676889</v>
      </c>
      <c r="L17" s="35" t="n">
        <f aca="false">IF(E17=1,DuLieu!P29,"")</f>
        <v>0.094380675053546</v>
      </c>
      <c r="M17" s="37" t="n">
        <f aca="false">IF(E17=1,INDEX(B3_NguongKhoanMuc!$E$4:$E$5,MATCH(D17,B3_NguongKhoanMuc!$A$4:$A$5,0)),"")</f>
        <v>58.2071385175</v>
      </c>
      <c r="N17" s="37" t="n">
        <f aca="false">IF(E17=1,INDEX(B3_NguongKhoanMuc!$F$4:$F$5,MATCH(D17,B3_NguongKhoanMuc!$A$4:$A$5,0)),"")</f>
        <v>66.26326635</v>
      </c>
      <c r="O17" s="37" t="n">
        <f aca="false">IF(E17=1,INDEX(B3_NguongKhoanMuc!$H$4:$H$5,MATCH(D17,B3_NguongKhoanMuc!$A$4:$A$5,0)),"")</f>
        <v>86.118055065</v>
      </c>
      <c r="P17" s="37" t="n">
        <f aca="false">IF(E17=1,INDEX(B3_NguongKhoanMuc!$I$4:$I$5,MATCH(D17,B3_NguongKhoanMuc!$A$4:$A$5,0)),"")</f>
        <v>137.965147652</v>
      </c>
      <c r="Q17" s="37" t="n">
        <f aca="false">IF(E17=1,INDEX(B3_NguongKhoanMuc!$K$4:$K$5,MATCH(D17,B3_NguongKhoanMuc!$A$4:$A$5,0)),"")</f>
        <v>68.3092044425</v>
      </c>
      <c r="R17" s="37" t="n">
        <f aca="false">IF(E17=1,INDEX(B3_NguongKhoanMuc!$L$4:$L$5,MATCH(D17,B3_NguongKhoanMuc!$A$4:$A$5,0)),"")</f>
        <v>14.892652922</v>
      </c>
      <c r="S17" s="35" t="n">
        <f aca="false">IF(E17=1,INDEX(B3_NguongKhoanMuc!$M$4:$M$5,MATCH(D17,B3_NguongKhoanMuc!$A$4:$A$5,0)),"")</f>
        <v>0.0830079952170207</v>
      </c>
      <c r="T17" s="2" t="n">
        <f aca="false">IF(E17&lt;&gt;1,"",IF(I17&gt;N17,2,IF(I17&gt;M17,1,0)))</f>
        <v>0</v>
      </c>
      <c r="U17" s="2" t="n">
        <f aca="false">IF(E17&lt;&gt;1,"",IF(J17&gt;P17,2,IF(J17&gt;O17,1,0)))</f>
        <v>1</v>
      </c>
      <c r="V17" s="2" t="n">
        <f aca="false">IF(E17&lt;&gt;1,"",IF(AND(K17&lt;R17,L17&lt;S17),1,0))</f>
        <v>0</v>
      </c>
      <c r="W17" s="2" t="n">
        <f aca="false">IF(E17&lt;&gt;1,"",IF(K17&gt;Q17,1,0))</f>
        <v>0</v>
      </c>
      <c r="X17" s="34" t="n">
        <f aca="false">IF(E17&lt;&gt;1,"",IF(T17&gt;=1,(I17-M17)*F17/365,0))</f>
        <v>0</v>
      </c>
      <c r="Y17" s="34" t="n">
        <f aca="false">IF(E17&lt;&gt;1,"",IF(U17&gt;=1,(J17-O17)*G17/365,0))</f>
        <v>2391719896.87714</v>
      </c>
      <c r="Z17" s="35" t="n">
        <f aca="false">IF(E17&lt;&gt;1,"",IF(H17&gt;0,MAX(X17,Y17)/H17,0))</f>
        <v>0.0078762806116564</v>
      </c>
      <c r="AA17" s="2" t="str">
        <f aca="false">IF(E17&lt;&gt;1,"",CHOOSE(T17+1,"An toàn","Có nguy cơ","Trầm trọng"))</f>
        <v>An toàn</v>
      </c>
      <c r="AB17" s="2" t="str">
        <f aca="false">IF(E17&lt;&gt;1,"",CHOOSE(U17+1,"An toàn","Có nguy cơ","Trầm trọng"))</f>
        <v>Có nguy cơ</v>
      </c>
      <c r="AC17" s="2" t="str">
        <f aca="false">IF(E17&lt;&gt;1,"",IF(V17=1,"Có nguy cơ: NCC cho nợ ít + tiền mỏng",IF(W17=1,"Lưu ý: DPO cao – kiểm tra quá hạn NCC","An toàn")))</f>
        <v>An toàn</v>
      </c>
      <c r="AD17" s="10" t="str">
        <f aca="false">IF(OR(AND(ThamSo!$C$10=1,MAX(T17,U17)=2),AND(MAX(T17,U17)&gt;=1,Z17&gt;=ThamSo!$C$9)),"W2",IF(OR(MAX(T17,U17)&gt;=1,V17=1),"W1","W0"))</f>
        <v>W1</v>
      </c>
      <c r="AE17" s="10" t="str">
        <f aca="false">CHOOSE(MATCH(AD17,{"W0","W1","W2"},0),"An toàn","Có nguy cơ","Thiếu trầm trọng")</f>
        <v>Có nguy cơ</v>
      </c>
      <c r="AF17" s="2" t="str">
        <f aca="false">IF(OR(E17&lt;&gt;1,AD17="W0"),"",IF(AND(T17=0,U17=0),"Phải trả",IF(T17&gt;U17,"Phải thu",IF(U17&gt;T17,"Tồn kho",IF(X17&gt;=Y17,"Phải thu","Tồn kho")))))</f>
        <v>Tồn kho</v>
      </c>
      <c r="AG17" s="2" t="str">
        <f aca="false">TRIM(IF(T17=2,"R-AR-2 ",IF(T17=1,"R-AR-1 ",""))&amp;IF(U17=2,"R-INV-2 ",IF(U17=1,"R-INV-1 ",""))&amp;IF(V17=1,"R-AP-1 ","")&amp;IF(AND(MAX(T17,U17)&gt;=1,Z17&gt;=ThamSo!$C$9),"R-MAT",""))</f>
        <v>R-INV-1</v>
      </c>
      <c r="AH17" s="34" t="n">
        <f aca="false">IF(E17&lt;&gt;1,"",X17+Y17)</f>
        <v>2391719896.87714</v>
      </c>
      <c r="AI17" s="2" t="n">
        <f aca="false">IF(OR(E17&lt;&gt;1,DuLieu!A30&lt;&gt;DuLieu!A29,DuLieu!B30&gt;ThamSo!$C$23,DuLieu!D30="",DuLieu!K30=""),"",IF(OR(DuLieu!K30&lt;0,DuLieu!D30&lt;DuLieu!D29*(1-ThamSo!$C$20)),1,0))</f>
        <v>1</v>
      </c>
    </row>
    <row r="18" customFormat="false" ht="15" hidden="false" customHeight="false" outlineLevel="0" collapsed="false">
      <c r="A18" s="36" t="str">
        <f aca="false">DuLieu!A30</f>
        <v>HLT</v>
      </c>
      <c r="B18" s="36" t="n">
        <f aca="false">DuLieu!B30</f>
        <v>2024</v>
      </c>
      <c r="C18" s="2" t="str">
        <f aca="false">A18&amp;"-"&amp;B18</f>
        <v>HLT-2024</v>
      </c>
      <c r="D18" s="2" t="str">
        <f aca="false">DuLieu!S30&amp;"|"&amp;DuLieu!V30</f>
        <v>FOB|Nhỏ–vừa</v>
      </c>
      <c r="E18" s="36" t="n">
        <f aca="false">DuLieu!U30</f>
        <v>1</v>
      </c>
      <c r="F18" s="34" t="n">
        <f aca="false">IF(E18=1,DuLieu!D30,"")</f>
        <v>808339562494</v>
      </c>
      <c r="G18" s="34" t="n">
        <f aca="false">IF(E18=1,DuLieu!O30,"")</f>
        <v>797312687269.59</v>
      </c>
      <c r="H18" s="34" t="n">
        <f aca="false">IF(E18=1,DuLieu!G30,"")</f>
        <v>165103351958</v>
      </c>
      <c r="I18" s="37" t="n">
        <f aca="false">IF(E18=1,DuLieu!L30,"")</f>
        <v>17.97537032</v>
      </c>
      <c r="J18" s="37" t="n">
        <f aca="false">IF(E18=1,DuLieu!M30,"")</f>
        <v>61.56053251</v>
      </c>
      <c r="K18" s="37" t="n">
        <f aca="false">IF(E18=1,DuLieu!N30,"")</f>
        <v>8.13715467</v>
      </c>
      <c r="L18" s="35" t="n">
        <f aca="false">IF(E18=1,DuLieu!P30,"")</f>
        <v>0.0507049961955861</v>
      </c>
      <c r="M18" s="37" t="n">
        <f aca="false">IF(E18=1,INDEX(B3_NguongKhoanMuc!$E$4:$E$5,MATCH(D18,B3_NguongKhoanMuc!$A$4:$A$5,0)),"")</f>
        <v>58.2071385175</v>
      </c>
      <c r="N18" s="37" t="n">
        <f aca="false">IF(E18=1,INDEX(B3_NguongKhoanMuc!$F$4:$F$5,MATCH(D18,B3_NguongKhoanMuc!$A$4:$A$5,0)),"")</f>
        <v>66.26326635</v>
      </c>
      <c r="O18" s="37" t="n">
        <f aca="false">IF(E18=1,INDEX(B3_NguongKhoanMuc!$H$4:$H$5,MATCH(D18,B3_NguongKhoanMuc!$A$4:$A$5,0)),"")</f>
        <v>86.118055065</v>
      </c>
      <c r="P18" s="37" t="n">
        <f aca="false">IF(E18=1,INDEX(B3_NguongKhoanMuc!$I$4:$I$5,MATCH(D18,B3_NguongKhoanMuc!$A$4:$A$5,0)),"")</f>
        <v>137.965147652</v>
      </c>
      <c r="Q18" s="37" t="n">
        <f aca="false">IF(E18=1,INDEX(B3_NguongKhoanMuc!$K$4:$K$5,MATCH(D18,B3_NguongKhoanMuc!$A$4:$A$5,0)),"")</f>
        <v>68.3092044425</v>
      </c>
      <c r="R18" s="37" t="n">
        <f aca="false">IF(E18=1,INDEX(B3_NguongKhoanMuc!$L$4:$L$5,MATCH(D18,B3_NguongKhoanMuc!$A$4:$A$5,0)),"")</f>
        <v>14.892652922</v>
      </c>
      <c r="S18" s="35" t="n">
        <f aca="false">IF(E18=1,INDEX(B3_NguongKhoanMuc!$M$4:$M$5,MATCH(D18,B3_NguongKhoanMuc!$A$4:$A$5,0)),"")</f>
        <v>0.0830079952170207</v>
      </c>
      <c r="T18" s="2" t="n">
        <f aca="false">IF(E18&lt;&gt;1,"",IF(I18&gt;N18,2,IF(I18&gt;M18,1,0)))</f>
        <v>0</v>
      </c>
      <c r="U18" s="2" t="n">
        <f aca="false">IF(E18&lt;&gt;1,"",IF(J18&gt;P18,2,IF(J18&gt;O18,1,0)))</f>
        <v>0</v>
      </c>
      <c r="V18" s="2" t="n">
        <f aca="false">IF(E18&lt;&gt;1,"",IF(AND(K18&lt;R18,L18&lt;S18),1,0))</f>
        <v>1</v>
      </c>
      <c r="W18" s="2" t="n">
        <f aca="false">IF(E18&lt;&gt;1,"",IF(K18&gt;Q18,1,0))</f>
        <v>0</v>
      </c>
      <c r="X18" s="34" t="n">
        <f aca="false">IF(E18&lt;&gt;1,"",IF(T18&gt;=1,(I18-M18)*F18/365,0))</f>
        <v>0</v>
      </c>
      <c r="Y18" s="34" t="n">
        <f aca="false">IF(E18&lt;&gt;1,"",IF(U18&gt;=1,(J18-O18)*G18/365,0))</f>
        <v>0</v>
      </c>
      <c r="Z18" s="35" t="n">
        <f aca="false">IF(E18&lt;&gt;1,"",IF(H18&gt;0,MAX(X18,Y18)/H18,0))</f>
        <v>0</v>
      </c>
      <c r="AA18" s="2" t="str">
        <f aca="false">IF(E18&lt;&gt;1,"",CHOOSE(T18+1,"An toàn","Có nguy cơ","Trầm trọng"))</f>
        <v>An toàn</v>
      </c>
      <c r="AB18" s="2" t="str">
        <f aca="false">IF(E18&lt;&gt;1,"",CHOOSE(U18+1,"An toàn","Có nguy cơ","Trầm trọng"))</f>
        <v>An toàn</v>
      </c>
      <c r="AC18" s="2" t="str">
        <f aca="false">IF(E18&lt;&gt;1,"",IF(V18=1,"Có nguy cơ: NCC cho nợ ít + tiền mỏng",IF(W18=1,"Lưu ý: DPO cao – kiểm tra quá hạn NCC","An toàn")))</f>
        <v>Có nguy cơ: NCC cho nợ ít + tiền mỏng</v>
      </c>
      <c r="AD18" s="10" t="str">
        <f aca="false">IF(OR(AND(ThamSo!$C$10=1,MAX(T18,U18)=2),AND(MAX(T18,U18)&gt;=1,Z18&gt;=ThamSo!$C$9)),"W2",IF(OR(MAX(T18,U18)&gt;=1,V18=1),"W1","W0"))</f>
        <v>W1</v>
      </c>
      <c r="AE18" s="10" t="str">
        <f aca="false">CHOOSE(MATCH(AD18,{"W0","W1","W2"},0),"An toàn","Có nguy cơ","Thiếu trầm trọng")</f>
        <v>Có nguy cơ</v>
      </c>
      <c r="AF18" s="2" t="str">
        <f aca="false">IF(OR(E18&lt;&gt;1,AD18="W0"),"",IF(AND(T18=0,U18=0),"Phải trả",IF(T18&gt;U18,"Phải thu",IF(U18&gt;T18,"Tồn kho",IF(X18&gt;=Y18,"Phải thu","Tồn kho")))))</f>
        <v>Phải trả</v>
      </c>
      <c r="AG18" s="2" t="str">
        <f aca="false">TRIM(IF(T18=2,"R-AR-2 ",IF(T18=1,"R-AR-1 ",""))&amp;IF(U18=2,"R-INV-2 ",IF(U18=1,"R-INV-1 ",""))&amp;IF(V18=1,"R-AP-1 ","")&amp;IF(AND(MAX(T18,U18)&gt;=1,Z18&gt;=ThamSo!$C$9),"R-MAT",""))</f>
        <v>R-AP-1</v>
      </c>
      <c r="AH18" s="34" t="n">
        <f aca="false">IF(E18&lt;&gt;1,"",X18+Y18)</f>
        <v>0</v>
      </c>
      <c r="AI18" s="2" t="n">
        <f aca="false">IF(OR(E18&lt;&gt;1,DuLieu!A31&lt;&gt;DuLieu!A30,DuLieu!B31&gt;ThamSo!$C$23,DuLieu!D31="",DuLieu!K31=""),"",IF(OR(DuLieu!K31&lt;0,DuLieu!D31&lt;DuLieu!D30*(1-ThamSo!$C$20)),1,0))</f>
        <v>1</v>
      </c>
    </row>
    <row r="19" customFormat="false" ht="15" hidden="false" customHeight="false" outlineLevel="0" collapsed="false">
      <c r="A19" s="36" t="str">
        <f aca="false">DuLieu!A31</f>
        <v>HLT</v>
      </c>
      <c r="B19" s="36" t="n">
        <f aca="false">DuLieu!B31</f>
        <v>2025</v>
      </c>
      <c r="C19" s="2" t="str">
        <f aca="false">A19&amp;"-"&amp;B19</f>
        <v>HLT-2025</v>
      </c>
      <c r="D19" s="2" t="str">
        <f aca="false">DuLieu!S31&amp;"|"&amp;DuLieu!V31</f>
        <v>FOB|Nhỏ–vừa</v>
      </c>
      <c r="E19" s="36" t="n">
        <f aca="false">DuLieu!U31</f>
        <v>1</v>
      </c>
      <c r="F19" s="34" t="n">
        <f aca="false">IF(E19=1,DuLieu!D31,"")</f>
        <v>240789814001</v>
      </c>
      <c r="G19" s="34" t="n">
        <f aca="false">IF(E19=1,DuLieu!O31,"")</f>
        <v>233239211289.992</v>
      </c>
      <c r="H19" s="34" t="n">
        <f aca="false">IF(E19=1,DuLieu!G31,"")</f>
        <v>130486354054</v>
      </c>
      <c r="I19" s="37" t="n">
        <f aca="false">IF(E19=1,DuLieu!L31,"")</f>
        <v>39.37963681</v>
      </c>
      <c r="J19" s="37" t="n">
        <f aca="false">IF(E19=1,DuLieu!M31,"")</f>
        <v>137.08930125</v>
      </c>
      <c r="K19" s="37" t="n">
        <f aca="false">IF(E19=1,DuLieu!N31,"")</f>
        <v>19.25056259</v>
      </c>
      <c r="L19" s="35" t="n">
        <f aca="false">IF(E19=1,DuLieu!P31,"")</f>
        <v>0.126113601374657</v>
      </c>
      <c r="M19" s="37" t="n">
        <f aca="false">IF(E19=1,INDEX(B3_NguongKhoanMuc!$E$4:$E$5,MATCH(D19,B3_NguongKhoanMuc!$A$4:$A$5,0)),"")</f>
        <v>58.2071385175</v>
      </c>
      <c r="N19" s="37" t="n">
        <f aca="false">IF(E19=1,INDEX(B3_NguongKhoanMuc!$F$4:$F$5,MATCH(D19,B3_NguongKhoanMuc!$A$4:$A$5,0)),"")</f>
        <v>66.26326635</v>
      </c>
      <c r="O19" s="37" t="n">
        <f aca="false">IF(E19=1,INDEX(B3_NguongKhoanMuc!$H$4:$H$5,MATCH(D19,B3_NguongKhoanMuc!$A$4:$A$5,0)),"")</f>
        <v>86.118055065</v>
      </c>
      <c r="P19" s="37" t="n">
        <f aca="false">IF(E19=1,INDEX(B3_NguongKhoanMuc!$I$4:$I$5,MATCH(D19,B3_NguongKhoanMuc!$A$4:$A$5,0)),"")</f>
        <v>137.965147652</v>
      </c>
      <c r="Q19" s="37" t="n">
        <f aca="false">IF(E19=1,INDEX(B3_NguongKhoanMuc!$K$4:$K$5,MATCH(D19,B3_NguongKhoanMuc!$A$4:$A$5,0)),"")</f>
        <v>68.3092044425</v>
      </c>
      <c r="R19" s="37" t="n">
        <f aca="false">IF(E19=1,INDEX(B3_NguongKhoanMuc!$L$4:$L$5,MATCH(D19,B3_NguongKhoanMuc!$A$4:$A$5,0)),"")</f>
        <v>14.892652922</v>
      </c>
      <c r="S19" s="35" t="n">
        <f aca="false">IF(E19=1,INDEX(B3_NguongKhoanMuc!$M$4:$M$5,MATCH(D19,B3_NguongKhoanMuc!$A$4:$A$5,0)),"")</f>
        <v>0.0830079952170207</v>
      </c>
      <c r="T19" s="2" t="n">
        <f aca="false">IF(E19&lt;&gt;1,"",IF(I19&gt;N19,2,IF(I19&gt;M19,1,0)))</f>
        <v>0</v>
      </c>
      <c r="U19" s="2" t="n">
        <f aca="false">IF(E19&lt;&gt;1,"",IF(J19&gt;P19,2,IF(J19&gt;O19,1,0)))</f>
        <v>1</v>
      </c>
      <c r="V19" s="2" t="n">
        <f aca="false">IF(E19&lt;&gt;1,"",IF(AND(K19&lt;R19,L19&lt;S19),1,0))</f>
        <v>0</v>
      </c>
      <c r="W19" s="2" t="n">
        <f aca="false">IF(E19&lt;&gt;1,"",IF(K19&gt;Q19,1,0))</f>
        <v>0</v>
      </c>
      <c r="X19" s="34" t="n">
        <f aca="false">IF(E19&lt;&gt;1,"",IF(T19&gt;=1,(I19-M19)*F19/365,0))</f>
        <v>0</v>
      </c>
      <c r="Y19" s="34" t="n">
        <f aca="false">IF(E19&lt;&gt;1,"",IF(U19&gt;=1,(J19-O19)*G19/365,0))</f>
        <v>32571214407.2805</v>
      </c>
      <c r="Z19" s="35" t="n">
        <f aca="false">IF(E19&lt;&gt;1,"",IF(H19&gt;0,MAX(X19,Y19)/H19,0))</f>
        <v>0.249613951155393</v>
      </c>
      <c r="AA19" s="2" t="str">
        <f aca="false">IF(E19&lt;&gt;1,"",CHOOSE(T19+1,"An toàn","Có nguy cơ","Trầm trọng"))</f>
        <v>An toàn</v>
      </c>
      <c r="AB19" s="2" t="str">
        <f aca="false">IF(E19&lt;&gt;1,"",CHOOSE(U19+1,"An toàn","Có nguy cơ","Trầm trọng"))</f>
        <v>Có nguy cơ</v>
      </c>
      <c r="AC19" s="2" t="str">
        <f aca="false">IF(E19&lt;&gt;1,"",IF(V19=1,"Có nguy cơ: NCC cho nợ ít + tiền mỏng",IF(W19=1,"Lưu ý: DPO cao – kiểm tra quá hạn NCC","An toàn")))</f>
        <v>An toàn</v>
      </c>
      <c r="AD19" s="10" t="str">
        <f aca="false">IF(OR(AND(ThamSo!$C$10=1,MAX(T19,U19)=2),AND(MAX(T19,U19)&gt;=1,Z19&gt;=ThamSo!$C$9)),"W2",IF(OR(MAX(T19,U19)&gt;=1,V19=1),"W1","W0"))</f>
        <v>W2</v>
      </c>
      <c r="AE19" s="10" t="str">
        <f aca="false">CHOOSE(MATCH(AD19,{"W0","W1","W2"},0),"An toàn","Có nguy cơ","Thiếu trầm trọng")</f>
        <v>Thiếu trầm trọng</v>
      </c>
      <c r="AF19" s="2" t="str">
        <f aca="false">IF(OR(E19&lt;&gt;1,AD19="W0"),"",IF(AND(T19=0,U19=0),"Phải trả",IF(T19&gt;U19,"Phải thu",IF(U19&gt;T19,"Tồn kho",IF(X19&gt;=Y19,"Phải thu","Tồn kho")))))</f>
        <v>Tồn kho</v>
      </c>
      <c r="AG19" s="2" t="str">
        <f aca="false">TRIM(IF(T19=2,"R-AR-2 ",IF(T19=1,"R-AR-1 ",""))&amp;IF(U19=2,"R-INV-2 ",IF(U19=1,"R-INV-1 ",""))&amp;IF(V19=1,"R-AP-1 ","")&amp;IF(AND(MAX(T19,U19)&gt;=1,Z19&gt;=ThamSo!$C$9),"R-MAT",""))</f>
        <v>R-INV-1 R-MAT</v>
      </c>
      <c r="AH19" s="34" t="n">
        <f aca="false">IF(E19&lt;&gt;1,"",X19+Y19)</f>
        <v>32571214407.2805</v>
      </c>
      <c r="AI19" s="2" t="str">
        <f aca="false">IF(OR(E19&lt;&gt;1,DuLieu!A32&lt;&gt;DuLieu!A31,DuLieu!B32&gt;ThamSo!$C$23,DuLieu!D32="",DuLieu!K32=""),"",IF(OR(DuLieu!K32&lt;0,DuLieu!D32&lt;DuLieu!D31*(1-ThamSo!$C$20)),1,0))</f>
        <v/>
      </c>
    </row>
    <row r="20" customFormat="false" ht="15" hidden="false" customHeight="false" outlineLevel="0" collapsed="false">
      <c r="A20" s="36" t="str">
        <f aca="false">DuLieu!A32</f>
        <v>HNI</v>
      </c>
      <c r="B20" s="36" t="n">
        <f aca="false">DuLieu!B32</f>
        <v>2023</v>
      </c>
      <c r="C20" s="2" t="str">
        <f aca="false">A20&amp;"-"&amp;B20</f>
        <v>HNI-2023</v>
      </c>
      <c r="D20" s="2" t="str">
        <f aca="false">DuLieu!S32&amp;"|"&amp;DuLieu!V32</f>
        <v>FOB|Nhỏ–vừa</v>
      </c>
      <c r="E20" s="36" t="n">
        <f aca="false">DuLieu!U32</f>
        <v>1</v>
      </c>
      <c r="F20" s="34" t="n">
        <f aca="false">IF(E20=1,DuLieu!D32,"")</f>
        <v>869534864259</v>
      </c>
      <c r="G20" s="34" t="n">
        <f aca="false">IF(E20=1,DuLieu!O32,"")</f>
        <v>726801255402.501</v>
      </c>
      <c r="H20" s="34" t="n">
        <f aca="false">IF(E20=1,DuLieu!G32,"")</f>
        <v>520762094698</v>
      </c>
      <c r="I20" s="37" t="n">
        <f aca="false">IF(E20=1,DuLieu!L32,"")</f>
        <v>37.84470161</v>
      </c>
      <c r="J20" s="37" t="n">
        <f aca="false">IF(E20=1,DuLieu!M32,"")</f>
        <v>31.89960609</v>
      </c>
      <c r="K20" s="37" t="n">
        <f aca="false">IF(E20=1,DuLieu!N32,"")</f>
        <v>12.94331968</v>
      </c>
      <c r="L20" s="35" t="n">
        <f aca="false">IF(E20=1,DuLieu!P32,"")</f>
        <v>0.296668264212535</v>
      </c>
      <c r="M20" s="37" t="n">
        <f aca="false">IF(E20=1,INDEX(B3_NguongKhoanMuc!$E$4:$E$5,MATCH(D20,B3_NguongKhoanMuc!$A$4:$A$5,0)),"")</f>
        <v>58.2071385175</v>
      </c>
      <c r="N20" s="37" t="n">
        <f aca="false">IF(E20=1,INDEX(B3_NguongKhoanMuc!$F$4:$F$5,MATCH(D20,B3_NguongKhoanMuc!$A$4:$A$5,0)),"")</f>
        <v>66.26326635</v>
      </c>
      <c r="O20" s="37" t="n">
        <f aca="false">IF(E20=1,INDEX(B3_NguongKhoanMuc!$H$4:$H$5,MATCH(D20,B3_NguongKhoanMuc!$A$4:$A$5,0)),"")</f>
        <v>86.118055065</v>
      </c>
      <c r="P20" s="37" t="n">
        <f aca="false">IF(E20=1,INDEX(B3_NguongKhoanMuc!$I$4:$I$5,MATCH(D20,B3_NguongKhoanMuc!$A$4:$A$5,0)),"")</f>
        <v>137.965147652</v>
      </c>
      <c r="Q20" s="37" t="n">
        <f aca="false">IF(E20=1,INDEX(B3_NguongKhoanMuc!$K$4:$K$5,MATCH(D20,B3_NguongKhoanMuc!$A$4:$A$5,0)),"")</f>
        <v>68.3092044425</v>
      </c>
      <c r="R20" s="37" t="n">
        <f aca="false">IF(E20=1,INDEX(B3_NguongKhoanMuc!$L$4:$L$5,MATCH(D20,B3_NguongKhoanMuc!$A$4:$A$5,0)),"")</f>
        <v>14.892652922</v>
      </c>
      <c r="S20" s="35" t="n">
        <f aca="false">IF(E20=1,INDEX(B3_NguongKhoanMuc!$M$4:$M$5,MATCH(D20,B3_NguongKhoanMuc!$A$4:$A$5,0)),"")</f>
        <v>0.0830079952170207</v>
      </c>
      <c r="T20" s="2" t="n">
        <f aca="false">IF(E20&lt;&gt;1,"",IF(I20&gt;N20,2,IF(I20&gt;M20,1,0)))</f>
        <v>0</v>
      </c>
      <c r="U20" s="2" t="n">
        <f aca="false">IF(E20&lt;&gt;1,"",IF(J20&gt;P20,2,IF(J20&gt;O20,1,0)))</f>
        <v>0</v>
      </c>
      <c r="V20" s="2" t="n">
        <f aca="false">IF(E20&lt;&gt;1,"",IF(AND(K20&lt;R20,L20&lt;S20),1,0))</f>
        <v>0</v>
      </c>
      <c r="W20" s="2" t="n">
        <f aca="false">IF(E20&lt;&gt;1,"",IF(K20&gt;Q20,1,0))</f>
        <v>0</v>
      </c>
      <c r="X20" s="34" t="n">
        <f aca="false">IF(E20&lt;&gt;1,"",IF(T20&gt;=1,(I20-M20)*F20/365,0))</f>
        <v>0</v>
      </c>
      <c r="Y20" s="34" t="n">
        <f aca="false">IF(E20&lt;&gt;1,"",IF(U20&gt;=1,(J20-O20)*G20/365,0))</f>
        <v>0</v>
      </c>
      <c r="Z20" s="35" t="n">
        <f aca="false">IF(E20&lt;&gt;1,"",IF(H20&gt;0,MAX(X20,Y20)/H20,0))</f>
        <v>0</v>
      </c>
      <c r="AA20" s="2" t="str">
        <f aca="false">IF(E20&lt;&gt;1,"",CHOOSE(T20+1,"An toàn","Có nguy cơ","Trầm trọng"))</f>
        <v>An toàn</v>
      </c>
      <c r="AB20" s="2" t="str">
        <f aca="false">IF(E20&lt;&gt;1,"",CHOOSE(U20+1,"An toàn","Có nguy cơ","Trầm trọng"))</f>
        <v>An toàn</v>
      </c>
      <c r="AC20" s="2" t="str">
        <f aca="false">IF(E20&lt;&gt;1,"",IF(V20=1,"Có nguy cơ: NCC cho nợ ít + tiền mỏng",IF(W20=1,"Lưu ý: DPO cao – kiểm tra quá hạn NCC","An toàn")))</f>
        <v>An toàn</v>
      </c>
      <c r="AD20" s="10" t="str">
        <f aca="false">IF(OR(AND(ThamSo!$C$10=1,MAX(T20,U20)=2),AND(MAX(T20,U20)&gt;=1,Z20&gt;=ThamSo!$C$9)),"W2",IF(OR(MAX(T20,U20)&gt;=1,V20=1),"W1","W0"))</f>
        <v>W0</v>
      </c>
      <c r="AE20" s="10" t="str">
        <f aca="false">CHOOSE(MATCH(AD20,{"W0","W1","W2"},0),"An toàn","Có nguy cơ","Thiếu trầm trọng")</f>
        <v>An toàn</v>
      </c>
      <c r="AF20" s="2" t="str">
        <f aca="false">IF(OR(E20&lt;&gt;1,AD20="W0"),"",IF(AND(T20=0,U20=0),"Phải trả",IF(T20&gt;U20,"Phải thu",IF(U20&gt;T20,"Tồn kho",IF(X20&gt;=Y20,"Phải thu","Tồn kho")))))</f>
        <v/>
      </c>
      <c r="AG20" s="2" t="str">
        <f aca="false">TRIM(IF(T20=2,"R-AR-2 ",IF(T20=1,"R-AR-1 ",""))&amp;IF(U20=2,"R-INV-2 ",IF(U20=1,"R-INV-1 ",""))&amp;IF(V20=1,"R-AP-1 ","")&amp;IF(AND(MAX(T20,U20)&gt;=1,Z20&gt;=ThamSo!$C$9),"R-MAT",""))</f>
        <v/>
      </c>
      <c r="AH20" s="34" t="n">
        <f aca="false">IF(E20&lt;&gt;1,"",X20+Y20)</f>
        <v>0</v>
      </c>
      <c r="AI20" s="2" t="n">
        <f aca="false">IF(OR(E20&lt;&gt;1,DuLieu!A33&lt;&gt;DuLieu!A32,DuLieu!B33&gt;ThamSo!$C$23,DuLieu!D33="",DuLieu!K33=""),"",IF(OR(DuLieu!K33&lt;0,DuLieu!D33&lt;DuLieu!D32*(1-ThamSo!$C$20)),1,0))</f>
        <v>0</v>
      </c>
    </row>
    <row r="21" customFormat="false" ht="15" hidden="false" customHeight="false" outlineLevel="0" collapsed="false">
      <c r="A21" s="36" t="str">
        <f aca="false">DuLieu!A33</f>
        <v>HNI</v>
      </c>
      <c r="B21" s="36" t="n">
        <f aca="false">DuLieu!B33</f>
        <v>2024</v>
      </c>
      <c r="C21" s="2" t="str">
        <f aca="false">A21&amp;"-"&amp;B21</f>
        <v>HNI-2024</v>
      </c>
      <c r="D21" s="2" t="str">
        <f aca="false">DuLieu!S33&amp;"|"&amp;DuLieu!V33</f>
        <v>FOB|Nhỏ–vừa</v>
      </c>
      <c r="E21" s="36" t="n">
        <f aca="false">DuLieu!U33</f>
        <v>1</v>
      </c>
      <c r="F21" s="34" t="n">
        <f aca="false">IF(E21=1,DuLieu!D33,"")</f>
        <v>1182125636807</v>
      </c>
      <c r="G21" s="34" t="n">
        <f aca="false">IF(E21=1,DuLieu!O33,"")</f>
        <v>983757885839.477</v>
      </c>
      <c r="H21" s="34" t="n">
        <f aca="false">IF(E21=1,DuLieu!G33,"")</f>
        <v>620029094940</v>
      </c>
      <c r="I21" s="37" t="n">
        <f aca="false">IF(E21=1,DuLieu!L33,"")</f>
        <v>41.23760297</v>
      </c>
      <c r="J21" s="37" t="n">
        <f aca="false">IF(E21=1,DuLieu!M33,"")</f>
        <v>25.58492596</v>
      </c>
      <c r="K21" s="37" t="n">
        <f aca="false">IF(E21=1,DuLieu!N33,"")</f>
        <v>12.05520922</v>
      </c>
      <c r="L21" s="35" t="n">
        <f aca="false">IF(E21=1,DuLieu!P33,"")</f>
        <v>0.273545451667414</v>
      </c>
      <c r="M21" s="37" t="n">
        <f aca="false">IF(E21=1,INDEX(B3_NguongKhoanMuc!$E$4:$E$5,MATCH(D21,B3_NguongKhoanMuc!$A$4:$A$5,0)),"")</f>
        <v>58.2071385175</v>
      </c>
      <c r="N21" s="37" t="n">
        <f aca="false">IF(E21=1,INDEX(B3_NguongKhoanMuc!$F$4:$F$5,MATCH(D21,B3_NguongKhoanMuc!$A$4:$A$5,0)),"")</f>
        <v>66.26326635</v>
      </c>
      <c r="O21" s="37" t="n">
        <f aca="false">IF(E21=1,INDEX(B3_NguongKhoanMuc!$H$4:$H$5,MATCH(D21,B3_NguongKhoanMuc!$A$4:$A$5,0)),"")</f>
        <v>86.118055065</v>
      </c>
      <c r="P21" s="37" t="n">
        <f aca="false">IF(E21=1,INDEX(B3_NguongKhoanMuc!$I$4:$I$5,MATCH(D21,B3_NguongKhoanMuc!$A$4:$A$5,0)),"")</f>
        <v>137.965147652</v>
      </c>
      <c r="Q21" s="37" t="n">
        <f aca="false">IF(E21=1,INDEX(B3_NguongKhoanMuc!$K$4:$K$5,MATCH(D21,B3_NguongKhoanMuc!$A$4:$A$5,0)),"")</f>
        <v>68.3092044425</v>
      </c>
      <c r="R21" s="37" t="n">
        <f aca="false">IF(E21=1,INDEX(B3_NguongKhoanMuc!$L$4:$L$5,MATCH(D21,B3_NguongKhoanMuc!$A$4:$A$5,0)),"")</f>
        <v>14.892652922</v>
      </c>
      <c r="S21" s="35" t="n">
        <f aca="false">IF(E21=1,INDEX(B3_NguongKhoanMuc!$M$4:$M$5,MATCH(D21,B3_NguongKhoanMuc!$A$4:$A$5,0)),"")</f>
        <v>0.0830079952170207</v>
      </c>
      <c r="T21" s="2" t="n">
        <f aca="false">IF(E21&lt;&gt;1,"",IF(I21&gt;N21,2,IF(I21&gt;M21,1,0)))</f>
        <v>0</v>
      </c>
      <c r="U21" s="2" t="n">
        <f aca="false">IF(E21&lt;&gt;1,"",IF(J21&gt;P21,2,IF(J21&gt;O21,1,0)))</f>
        <v>0</v>
      </c>
      <c r="V21" s="2" t="n">
        <f aca="false">IF(E21&lt;&gt;1,"",IF(AND(K21&lt;R21,L21&lt;S21),1,0))</f>
        <v>0</v>
      </c>
      <c r="W21" s="2" t="n">
        <f aca="false">IF(E21&lt;&gt;1,"",IF(K21&gt;Q21,1,0))</f>
        <v>0</v>
      </c>
      <c r="X21" s="34" t="n">
        <f aca="false">IF(E21&lt;&gt;1,"",IF(T21&gt;=1,(I21-M21)*F21/365,0))</f>
        <v>0</v>
      </c>
      <c r="Y21" s="34" t="n">
        <f aca="false">IF(E21&lt;&gt;1,"",IF(U21&gt;=1,(J21-O21)*G21/365,0))</f>
        <v>0</v>
      </c>
      <c r="Z21" s="35" t="n">
        <f aca="false">IF(E21&lt;&gt;1,"",IF(H21&gt;0,MAX(X21,Y21)/H21,0))</f>
        <v>0</v>
      </c>
      <c r="AA21" s="2" t="str">
        <f aca="false">IF(E21&lt;&gt;1,"",CHOOSE(T21+1,"An toàn","Có nguy cơ","Trầm trọng"))</f>
        <v>An toàn</v>
      </c>
      <c r="AB21" s="2" t="str">
        <f aca="false">IF(E21&lt;&gt;1,"",CHOOSE(U21+1,"An toàn","Có nguy cơ","Trầm trọng"))</f>
        <v>An toàn</v>
      </c>
      <c r="AC21" s="2" t="str">
        <f aca="false">IF(E21&lt;&gt;1,"",IF(V21=1,"Có nguy cơ: NCC cho nợ ít + tiền mỏng",IF(W21=1,"Lưu ý: DPO cao – kiểm tra quá hạn NCC","An toàn")))</f>
        <v>An toàn</v>
      </c>
      <c r="AD21" s="10" t="str">
        <f aca="false">IF(OR(AND(ThamSo!$C$10=1,MAX(T21,U21)=2),AND(MAX(T21,U21)&gt;=1,Z21&gt;=ThamSo!$C$9)),"W2",IF(OR(MAX(T21,U21)&gt;=1,V21=1),"W1","W0"))</f>
        <v>W0</v>
      </c>
      <c r="AE21" s="10" t="str">
        <f aca="false">CHOOSE(MATCH(AD21,{"W0","W1","W2"},0),"An toàn","Có nguy cơ","Thiếu trầm trọng")</f>
        <v>An toàn</v>
      </c>
      <c r="AF21" s="2" t="str">
        <f aca="false">IF(OR(E21&lt;&gt;1,AD21="W0"),"",IF(AND(T21=0,U21=0),"Phải trả",IF(T21&gt;U21,"Phải thu",IF(U21&gt;T21,"Tồn kho",IF(X21&gt;=Y21,"Phải thu","Tồn kho")))))</f>
        <v/>
      </c>
      <c r="AG21" s="2" t="str">
        <f aca="false">TRIM(IF(T21=2,"R-AR-2 ",IF(T21=1,"R-AR-1 ",""))&amp;IF(U21=2,"R-INV-2 ",IF(U21=1,"R-INV-1 ",""))&amp;IF(V21=1,"R-AP-1 ","")&amp;IF(AND(MAX(T21,U21)&gt;=1,Z21&gt;=ThamSo!$C$9),"R-MAT",""))</f>
        <v/>
      </c>
      <c r="AH21" s="34" t="n">
        <f aca="false">IF(E21&lt;&gt;1,"",X21+Y21)</f>
        <v>0</v>
      </c>
      <c r="AI21" s="2" t="n">
        <f aca="false">IF(OR(E21&lt;&gt;1,DuLieu!A34&lt;&gt;DuLieu!A33,DuLieu!B34&gt;ThamSo!$C$23,DuLieu!D34="",DuLieu!K34=""),"",IF(OR(DuLieu!K34&lt;0,DuLieu!D34&lt;DuLieu!D33*(1-ThamSo!$C$20)),1,0))</f>
        <v>0</v>
      </c>
    </row>
    <row r="22" customFormat="false" ht="15" hidden="false" customHeight="false" outlineLevel="0" collapsed="false">
      <c r="A22" s="36" t="str">
        <f aca="false">DuLieu!A34</f>
        <v>HNI</v>
      </c>
      <c r="B22" s="36" t="n">
        <f aca="false">DuLieu!B34</f>
        <v>2025</v>
      </c>
      <c r="C22" s="2" t="str">
        <f aca="false">A22&amp;"-"&amp;B22</f>
        <v>HNI-2025</v>
      </c>
      <c r="D22" s="2" t="str">
        <f aca="false">DuLieu!S34&amp;"|"&amp;DuLieu!V34</f>
        <v>FOB|Nhỏ–vừa</v>
      </c>
      <c r="E22" s="36" t="n">
        <f aca="false">DuLieu!U34</f>
        <v>1</v>
      </c>
      <c r="F22" s="34" t="n">
        <f aca="false">IF(E22=1,DuLieu!D34,"")</f>
        <v>980292288149</v>
      </c>
      <c r="G22" s="34" t="n">
        <f aca="false">IF(E22=1,DuLieu!O34,"")</f>
        <v>806980415138.335</v>
      </c>
      <c r="H22" s="34" t="n">
        <f aca="false">IF(E22=1,DuLieu!G34,"")</f>
        <v>624387760545</v>
      </c>
      <c r="I22" s="37" t="n">
        <f aca="false">IF(E22=1,DuLieu!L34,"")</f>
        <v>63.25233935</v>
      </c>
      <c r="J22" s="37" t="n">
        <f aca="false">IF(E22=1,DuLieu!M34,"")</f>
        <v>26.97783069</v>
      </c>
      <c r="K22" s="37" t="n">
        <f aca="false">IF(E22=1,DuLieu!N34,"")</f>
        <v>25.86649979</v>
      </c>
      <c r="L22" s="35" t="n">
        <f aca="false">IF(E22=1,DuLieu!P34,"")</f>
        <v>0.342142140663276</v>
      </c>
      <c r="M22" s="37" t="n">
        <f aca="false">IF(E22=1,INDEX(B3_NguongKhoanMuc!$E$4:$E$5,MATCH(D22,B3_NguongKhoanMuc!$A$4:$A$5,0)),"")</f>
        <v>58.2071385175</v>
      </c>
      <c r="N22" s="37" t="n">
        <f aca="false">IF(E22=1,INDEX(B3_NguongKhoanMuc!$F$4:$F$5,MATCH(D22,B3_NguongKhoanMuc!$A$4:$A$5,0)),"")</f>
        <v>66.26326635</v>
      </c>
      <c r="O22" s="37" t="n">
        <f aca="false">IF(E22=1,INDEX(B3_NguongKhoanMuc!$H$4:$H$5,MATCH(D22,B3_NguongKhoanMuc!$A$4:$A$5,0)),"")</f>
        <v>86.118055065</v>
      </c>
      <c r="P22" s="37" t="n">
        <f aca="false">IF(E22=1,INDEX(B3_NguongKhoanMuc!$I$4:$I$5,MATCH(D22,B3_NguongKhoanMuc!$A$4:$A$5,0)),"")</f>
        <v>137.965147652</v>
      </c>
      <c r="Q22" s="37" t="n">
        <f aca="false">IF(E22=1,INDEX(B3_NguongKhoanMuc!$K$4:$K$5,MATCH(D22,B3_NguongKhoanMuc!$A$4:$A$5,0)),"")</f>
        <v>68.3092044425</v>
      </c>
      <c r="R22" s="37" t="n">
        <f aca="false">IF(E22=1,INDEX(B3_NguongKhoanMuc!$L$4:$L$5,MATCH(D22,B3_NguongKhoanMuc!$A$4:$A$5,0)),"")</f>
        <v>14.892652922</v>
      </c>
      <c r="S22" s="35" t="n">
        <f aca="false">IF(E22=1,INDEX(B3_NguongKhoanMuc!$M$4:$M$5,MATCH(D22,B3_NguongKhoanMuc!$A$4:$A$5,0)),"")</f>
        <v>0.0830079952170207</v>
      </c>
      <c r="T22" s="2" t="n">
        <f aca="false">IF(E22&lt;&gt;1,"",IF(I22&gt;N22,2,IF(I22&gt;M22,1,0)))</f>
        <v>1</v>
      </c>
      <c r="U22" s="2" t="n">
        <f aca="false">IF(E22&lt;&gt;1,"",IF(J22&gt;P22,2,IF(J22&gt;O22,1,0)))</f>
        <v>0</v>
      </c>
      <c r="V22" s="2" t="n">
        <f aca="false">IF(E22&lt;&gt;1,"",IF(AND(K22&lt;R22,L22&lt;S22),1,0))</f>
        <v>0</v>
      </c>
      <c r="W22" s="2" t="n">
        <f aca="false">IF(E22&lt;&gt;1,"",IF(K22&gt;Q22,1,0))</f>
        <v>0</v>
      </c>
      <c r="X22" s="34" t="n">
        <f aca="false">IF(E22&lt;&gt;1,"",IF(T22&gt;=1,(I22-M22)*F22/365,0))</f>
        <v>13550058817.158</v>
      </c>
      <c r="Y22" s="34" t="n">
        <f aca="false">IF(E22&lt;&gt;1,"",IF(U22&gt;=1,(J22-O22)*G22/365,0))</f>
        <v>0</v>
      </c>
      <c r="Z22" s="35" t="n">
        <f aca="false">IF(E22&lt;&gt;1,"",IF(H22&gt;0,MAX(X22,Y22)/H22,0))</f>
        <v>0.021701352386105</v>
      </c>
      <c r="AA22" s="2" t="str">
        <f aca="false">IF(E22&lt;&gt;1,"",CHOOSE(T22+1,"An toàn","Có nguy cơ","Trầm trọng"))</f>
        <v>Có nguy cơ</v>
      </c>
      <c r="AB22" s="2" t="str">
        <f aca="false">IF(E22&lt;&gt;1,"",CHOOSE(U22+1,"An toàn","Có nguy cơ","Trầm trọng"))</f>
        <v>An toàn</v>
      </c>
      <c r="AC22" s="2" t="str">
        <f aca="false">IF(E22&lt;&gt;1,"",IF(V22=1,"Có nguy cơ: NCC cho nợ ít + tiền mỏng",IF(W22=1,"Lưu ý: DPO cao – kiểm tra quá hạn NCC","An toàn")))</f>
        <v>An toàn</v>
      </c>
      <c r="AD22" s="10" t="str">
        <f aca="false">IF(OR(AND(ThamSo!$C$10=1,MAX(T22,U22)=2),AND(MAX(T22,U22)&gt;=1,Z22&gt;=ThamSo!$C$9)),"W2",IF(OR(MAX(T22,U22)&gt;=1,V22=1),"W1","W0"))</f>
        <v>W1</v>
      </c>
      <c r="AE22" s="10" t="str">
        <f aca="false">CHOOSE(MATCH(AD22,{"W0","W1","W2"},0),"An toàn","Có nguy cơ","Thiếu trầm trọng")</f>
        <v>Có nguy cơ</v>
      </c>
      <c r="AF22" s="2" t="str">
        <f aca="false">IF(OR(E22&lt;&gt;1,AD22="W0"),"",IF(AND(T22=0,U22=0),"Phải trả",IF(T22&gt;U22,"Phải thu",IF(U22&gt;T22,"Tồn kho",IF(X22&gt;=Y22,"Phải thu","Tồn kho")))))</f>
        <v>Phải thu</v>
      </c>
      <c r="AG22" s="2" t="str">
        <f aca="false">TRIM(IF(T22=2,"R-AR-2 ",IF(T22=1,"R-AR-1 ",""))&amp;IF(U22=2,"R-INV-2 ",IF(U22=1,"R-INV-1 ",""))&amp;IF(V22=1,"R-AP-1 ","")&amp;IF(AND(MAX(T22,U22)&gt;=1,Z22&gt;=ThamSo!$C$9),"R-MAT",""))</f>
        <v>R-AR-1</v>
      </c>
      <c r="AH22" s="34" t="n">
        <f aca="false">IF(E22&lt;&gt;1,"",X22+Y22)</f>
        <v>13550058817.158</v>
      </c>
      <c r="AI22" s="2" t="str">
        <f aca="false">IF(OR(E22&lt;&gt;1,DuLieu!A35&lt;&gt;DuLieu!A34,DuLieu!B35&gt;ThamSo!$C$23,DuLieu!D35="",DuLieu!K35=""),"",IF(OR(DuLieu!K35&lt;0,DuLieu!D35&lt;DuLieu!D34*(1-ThamSo!$C$20)),1,0))</f>
        <v/>
      </c>
    </row>
    <row r="23" customFormat="false" ht="15" hidden="false" customHeight="false" outlineLevel="0" collapsed="false">
      <c r="A23" s="36" t="str">
        <f aca="false">DuLieu!A35</f>
        <v>HTG</v>
      </c>
      <c r="B23" s="36" t="n">
        <f aca="false">DuLieu!B35</f>
        <v>2023</v>
      </c>
      <c r="C23" s="2" t="str">
        <f aca="false">A23&amp;"-"&amp;B23</f>
        <v>HTG-2023</v>
      </c>
      <c r="D23" s="2" t="str">
        <f aca="false">DuLieu!S35&amp;"|"&amp;DuLieu!V35</f>
        <v>FOB|Lớn</v>
      </c>
      <c r="E23" s="36" t="n">
        <f aca="false">DuLieu!U35</f>
        <v>1</v>
      </c>
      <c r="F23" s="34" t="n">
        <f aca="false">IF(E23=1,DuLieu!D35,"")</f>
        <v>4703966718679</v>
      </c>
      <c r="G23" s="34" t="n">
        <f aca="false">IF(E23=1,DuLieu!O35,"")</f>
        <v>4271488111014.7</v>
      </c>
      <c r="H23" s="34" t="n">
        <f aca="false">IF(E23=1,DuLieu!G35,"")</f>
        <v>1761375593537</v>
      </c>
      <c r="I23" s="37" t="n">
        <f aca="false">IF(E23=1,DuLieu!L35,"")</f>
        <v>38.70394026</v>
      </c>
      <c r="J23" s="37" t="n">
        <f aca="false">IF(E23=1,DuLieu!M35,"")</f>
        <v>74.0027962</v>
      </c>
      <c r="K23" s="37" t="n">
        <f aca="false">IF(E23=1,DuLieu!N35,"")</f>
        <v>20.48673333</v>
      </c>
      <c r="L23" s="35" t="n">
        <f aca="false">IF(E23=1,DuLieu!P35,"")</f>
        <v>0.0823969007125217</v>
      </c>
      <c r="M23" s="37" t="n">
        <f aca="false">IF(E23=1,INDEX(B3_NguongKhoanMuc!$E$4:$E$5,MATCH(D23,B3_NguongKhoanMuc!$A$4:$A$5,0)),"")</f>
        <v>58.2071385175</v>
      </c>
      <c r="N23" s="37" t="n">
        <f aca="false">IF(E23=1,INDEX(B3_NguongKhoanMuc!$F$4:$F$5,MATCH(D23,B3_NguongKhoanMuc!$A$4:$A$5,0)),"")</f>
        <v>66.26326635</v>
      </c>
      <c r="O23" s="37" t="n">
        <f aca="false">IF(E23=1,INDEX(B3_NguongKhoanMuc!$H$4:$H$5,MATCH(D23,B3_NguongKhoanMuc!$A$4:$A$5,0)),"")</f>
        <v>86.118055065</v>
      </c>
      <c r="P23" s="37" t="n">
        <f aca="false">IF(E23=1,INDEX(B3_NguongKhoanMuc!$I$4:$I$5,MATCH(D23,B3_NguongKhoanMuc!$A$4:$A$5,0)),"")</f>
        <v>137.965147652</v>
      </c>
      <c r="Q23" s="37" t="n">
        <f aca="false">IF(E23=1,INDEX(B3_NguongKhoanMuc!$K$4:$K$5,MATCH(D23,B3_NguongKhoanMuc!$A$4:$A$5,0)),"")</f>
        <v>68.3092044425</v>
      </c>
      <c r="R23" s="37" t="n">
        <f aca="false">IF(E23=1,INDEX(B3_NguongKhoanMuc!$L$4:$L$5,MATCH(D23,B3_NguongKhoanMuc!$A$4:$A$5,0)),"")</f>
        <v>14.892652922</v>
      </c>
      <c r="S23" s="35" t="n">
        <f aca="false">IF(E23=1,INDEX(B3_NguongKhoanMuc!$M$4:$M$5,MATCH(D23,B3_NguongKhoanMuc!$A$4:$A$5,0)),"")</f>
        <v>0.0830079952170207</v>
      </c>
      <c r="T23" s="2" t="n">
        <f aca="false">IF(E23&lt;&gt;1,"",IF(I23&gt;N23,2,IF(I23&gt;M23,1,0)))</f>
        <v>0</v>
      </c>
      <c r="U23" s="2" t="n">
        <f aca="false">IF(E23&lt;&gt;1,"",IF(J23&gt;P23,2,IF(J23&gt;O23,1,0)))</f>
        <v>0</v>
      </c>
      <c r="V23" s="2" t="n">
        <f aca="false">IF(E23&lt;&gt;1,"",IF(AND(K23&lt;R23,L23&lt;S23),1,0))</f>
        <v>0</v>
      </c>
      <c r="W23" s="2" t="n">
        <f aca="false">IF(E23&lt;&gt;1,"",IF(K23&gt;Q23,1,0))</f>
        <v>0</v>
      </c>
      <c r="X23" s="34" t="n">
        <f aca="false">IF(E23&lt;&gt;1,"",IF(T23&gt;=1,(I23-M23)*F23/365,0))</f>
        <v>0</v>
      </c>
      <c r="Y23" s="34" t="n">
        <f aca="false">IF(E23&lt;&gt;1,"",IF(U23&gt;=1,(J23-O23)*G23/365,0))</f>
        <v>0</v>
      </c>
      <c r="Z23" s="35" t="n">
        <f aca="false">IF(E23&lt;&gt;1,"",IF(H23&gt;0,MAX(X23,Y23)/H23,0))</f>
        <v>0</v>
      </c>
      <c r="AA23" s="2" t="str">
        <f aca="false">IF(E23&lt;&gt;1,"",CHOOSE(T23+1,"An toàn","Có nguy cơ","Trầm trọng"))</f>
        <v>An toàn</v>
      </c>
      <c r="AB23" s="2" t="str">
        <f aca="false">IF(E23&lt;&gt;1,"",CHOOSE(U23+1,"An toàn","Có nguy cơ","Trầm trọng"))</f>
        <v>An toàn</v>
      </c>
      <c r="AC23" s="2" t="str">
        <f aca="false">IF(E23&lt;&gt;1,"",IF(V23=1,"Có nguy cơ: NCC cho nợ ít + tiền mỏng",IF(W23=1,"Lưu ý: DPO cao – kiểm tra quá hạn NCC","An toàn")))</f>
        <v>An toàn</v>
      </c>
      <c r="AD23" s="10" t="str">
        <f aca="false">IF(OR(AND(ThamSo!$C$10=1,MAX(T23,U23)=2),AND(MAX(T23,U23)&gt;=1,Z23&gt;=ThamSo!$C$9)),"W2",IF(OR(MAX(T23,U23)&gt;=1,V23=1),"W1","W0"))</f>
        <v>W0</v>
      </c>
      <c r="AE23" s="10" t="str">
        <f aca="false">CHOOSE(MATCH(AD23,{"W0","W1","W2"},0),"An toàn","Có nguy cơ","Thiếu trầm trọng")</f>
        <v>An toàn</v>
      </c>
      <c r="AF23" s="2" t="str">
        <f aca="false">IF(OR(E23&lt;&gt;1,AD23="W0"),"",IF(AND(T23=0,U23=0),"Phải trả",IF(T23&gt;U23,"Phải thu",IF(U23&gt;T23,"Tồn kho",IF(X23&gt;=Y23,"Phải thu","Tồn kho")))))</f>
        <v/>
      </c>
      <c r="AG23" s="2" t="str">
        <f aca="false">TRIM(IF(T23=2,"R-AR-2 ",IF(T23=1,"R-AR-1 ",""))&amp;IF(U23=2,"R-INV-2 ",IF(U23=1,"R-INV-1 ",""))&amp;IF(V23=1,"R-AP-1 ","")&amp;IF(AND(MAX(T23,U23)&gt;=1,Z23&gt;=ThamSo!$C$9),"R-MAT",""))</f>
        <v/>
      </c>
      <c r="AH23" s="34" t="n">
        <f aca="false">IF(E23&lt;&gt;1,"",X23+Y23)</f>
        <v>0</v>
      </c>
      <c r="AI23" s="2" t="n">
        <f aca="false">IF(OR(E23&lt;&gt;1,DuLieu!A36&lt;&gt;DuLieu!A35,DuLieu!B36&gt;ThamSo!$C$23,DuLieu!D36="",DuLieu!K36=""),"",IF(OR(DuLieu!K36&lt;0,DuLieu!D36&lt;DuLieu!D35*(1-ThamSo!$C$20)),1,0))</f>
        <v>0</v>
      </c>
    </row>
    <row r="24" customFormat="false" ht="15" hidden="false" customHeight="false" outlineLevel="0" collapsed="false">
      <c r="A24" s="36" t="str">
        <f aca="false">DuLieu!A36</f>
        <v>HTG</v>
      </c>
      <c r="B24" s="36" t="n">
        <f aca="false">DuLieu!B36</f>
        <v>2024</v>
      </c>
      <c r="C24" s="2" t="str">
        <f aca="false">A24&amp;"-"&amp;B24</f>
        <v>HTG-2024</v>
      </c>
      <c r="D24" s="2" t="str">
        <f aca="false">DuLieu!S36&amp;"|"&amp;DuLieu!V36</f>
        <v>FOB|Lớn</v>
      </c>
      <c r="E24" s="36" t="n">
        <f aca="false">DuLieu!U36</f>
        <v>1</v>
      </c>
      <c r="F24" s="34" t="n">
        <f aca="false">IF(E24=1,DuLieu!D36,"")</f>
        <v>5111153311349</v>
      </c>
      <c r="G24" s="34" t="n">
        <f aca="false">IF(E24=1,DuLieu!O36,"")</f>
        <v>4517986642757.22</v>
      </c>
      <c r="H24" s="34" t="n">
        <f aca="false">IF(E24=1,DuLieu!G36,"")</f>
        <v>2095059428168</v>
      </c>
      <c r="I24" s="37" t="n">
        <f aca="false">IF(E24=1,DuLieu!L36,"")</f>
        <v>36.91400843</v>
      </c>
      <c r="J24" s="37" t="n">
        <f aca="false">IF(E24=1,DuLieu!M36,"")</f>
        <v>63.40738288</v>
      </c>
      <c r="K24" s="37" t="n">
        <f aca="false">IF(E24=1,DuLieu!N36,"")</f>
        <v>20.51128896</v>
      </c>
      <c r="L24" s="35" t="n">
        <f aca="false">IF(E24=1,DuLieu!P36,"")</f>
        <v>0.141117835468456</v>
      </c>
      <c r="M24" s="37" t="n">
        <f aca="false">IF(E24=1,INDEX(B3_NguongKhoanMuc!$E$4:$E$5,MATCH(D24,B3_NguongKhoanMuc!$A$4:$A$5,0)),"")</f>
        <v>58.2071385175</v>
      </c>
      <c r="N24" s="37" t="n">
        <f aca="false">IF(E24=1,INDEX(B3_NguongKhoanMuc!$F$4:$F$5,MATCH(D24,B3_NguongKhoanMuc!$A$4:$A$5,0)),"")</f>
        <v>66.26326635</v>
      </c>
      <c r="O24" s="37" t="n">
        <f aca="false">IF(E24=1,INDEX(B3_NguongKhoanMuc!$H$4:$H$5,MATCH(D24,B3_NguongKhoanMuc!$A$4:$A$5,0)),"")</f>
        <v>86.118055065</v>
      </c>
      <c r="P24" s="37" t="n">
        <f aca="false">IF(E24=1,INDEX(B3_NguongKhoanMuc!$I$4:$I$5,MATCH(D24,B3_NguongKhoanMuc!$A$4:$A$5,0)),"")</f>
        <v>137.965147652</v>
      </c>
      <c r="Q24" s="37" t="n">
        <f aca="false">IF(E24=1,INDEX(B3_NguongKhoanMuc!$K$4:$K$5,MATCH(D24,B3_NguongKhoanMuc!$A$4:$A$5,0)),"")</f>
        <v>68.3092044425</v>
      </c>
      <c r="R24" s="37" t="n">
        <f aca="false">IF(E24=1,INDEX(B3_NguongKhoanMuc!$L$4:$L$5,MATCH(D24,B3_NguongKhoanMuc!$A$4:$A$5,0)),"")</f>
        <v>14.892652922</v>
      </c>
      <c r="S24" s="35" t="n">
        <f aca="false">IF(E24=1,INDEX(B3_NguongKhoanMuc!$M$4:$M$5,MATCH(D24,B3_NguongKhoanMuc!$A$4:$A$5,0)),"")</f>
        <v>0.0830079952170207</v>
      </c>
      <c r="T24" s="2" t="n">
        <f aca="false">IF(E24&lt;&gt;1,"",IF(I24&gt;N24,2,IF(I24&gt;M24,1,0)))</f>
        <v>0</v>
      </c>
      <c r="U24" s="2" t="n">
        <f aca="false">IF(E24&lt;&gt;1,"",IF(J24&gt;P24,2,IF(J24&gt;O24,1,0)))</f>
        <v>0</v>
      </c>
      <c r="V24" s="2" t="n">
        <f aca="false">IF(E24&lt;&gt;1,"",IF(AND(K24&lt;R24,L24&lt;S24),1,0))</f>
        <v>0</v>
      </c>
      <c r="W24" s="2" t="n">
        <f aca="false">IF(E24&lt;&gt;1,"",IF(K24&gt;Q24,1,0))</f>
        <v>0</v>
      </c>
      <c r="X24" s="34" t="n">
        <f aca="false">IF(E24&lt;&gt;1,"",IF(T24&gt;=1,(I24-M24)*F24/365,0))</f>
        <v>0</v>
      </c>
      <c r="Y24" s="34" t="n">
        <f aca="false">IF(E24&lt;&gt;1,"",IF(U24&gt;=1,(J24-O24)*G24/365,0))</f>
        <v>0</v>
      </c>
      <c r="Z24" s="35" t="n">
        <f aca="false">IF(E24&lt;&gt;1,"",IF(H24&gt;0,MAX(X24,Y24)/H24,0))</f>
        <v>0</v>
      </c>
      <c r="AA24" s="2" t="str">
        <f aca="false">IF(E24&lt;&gt;1,"",CHOOSE(T24+1,"An toàn","Có nguy cơ","Trầm trọng"))</f>
        <v>An toàn</v>
      </c>
      <c r="AB24" s="2" t="str">
        <f aca="false">IF(E24&lt;&gt;1,"",CHOOSE(U24+1,"An toàn","Có nguy cơ","Trầm trọng"))</f>
        <v>An toàn</v>
      </c>
      <c r="AC24" s="2" t="str">
        <f aca="false">IF(E24&lt;&gt;1,"",IF(V24=1,"Có nguy cơ: NCC cho nợ ít + tiền mỏng",IF(W24=1,"Lưu ý: DPO cao – kiểm tra quá hạn NCC","An toàn")))</f>
        <v>An toàn</v>
      </c>
      <c r="AD24" s="10" t="str">
        <f aca="false">IF(OR(AND(ThamSo!$C$10=1,MAX(T24,U24)=2),AND(MAX(T24,U24)&gt;=1,Z24&gt;=ThamSo!$C$9)),"W2",IF(OR(MAX(T24,U24)&gt;=1,V24=1),"W1","W0"))</f>
        <v>W0</v>
      </c>
      <c r="AE24" s="10" t="str">
        <f aca="false">CHOOSE(MATCH(AD24,{"W0","W1","W2"},0),"An toàn","Có nguy cơ","Thiếu trầm trọng")</f>
        <v>An toàn</v>
      </c>
      <c r="AF24" s="2" t="str">
        <f aca="false">IF(OR(E24&lt;&gt;1,AD24="W0"),"",IF(AND(T24=0,U24=0),"Phải trả",IF(T24&gt;U24,"Phải thu",IF(U24&gt;T24,"Tồn kho",IF(X24&gt;=Y24,"Phải thu","Tồn kho")))))</f>
        <v/>
      </c>
      <c r="AG24" s="2" t="str">
        <f aca="false">TRIM(IF(T24=2,"R-AR-2 ",IF(T24=1,"R-AR-1 ",""))&amp;IF(U24=2,"R-INV-2 ",IF(U24=1,"R-INV-1 ",""))&amp;IF(V24=1,"R-AP-1 ","")&amp;IF(AND(MAX(T24,U24)&gt;=1,Z24&gt;=ThamSo!$C$9),"R-MAT",""))</f>
        <v/>
      </c>
      <c r="AH24" s="34" t="n">
        <f aca="false">IF(E24&lt;&gt;1,"",X24+Y24)</f>
        <v>0</v>
      </c>
      <c r="AI24" s="2" t="n">
        <f aca="false">IF(OR(E24&lt;&gt;1,DuLieu!A37&lt;&gt;DuLieu!A36,DuLieu!B37&gt;ThamSo!$C$23,DuLieu!D37="",DuLieu!K37=""),"",IF(OR(DuLieu!K37&lt;0,DuLieu!D37&lt;DuLieu!D36*(1-ThamSo!$C$20)),1,0))</f>
        <v>0</v>
      </c>
    </row>
    <row r="25" customFormat="false" ht="15" hidden="false" customHeight="false" outlineLevel="0" collapsed="false">
      <c r="A25" s="36" t="str">
        <f aca="false">DuLieu!A37</f>
        <v>HTG</v>
      </c>
      <c r="B25" s="36" t="n">
        <f aca="false">DuLieu!B37</f>
        <v>2025</v>
      </c>
      <c r="C25" s="2" t="str">
        <f aca="false">A25&amp;"-"&amp;B25</f>
        <v>HTG-2025</v>
      </c>
      <c r="D25" s="2" t="str">
        <f aca="false">DuLieu!S37&amp;"|"&amp;DuLieu!V37</f>
        <v>FOB|Lớn</v>
      </c>
      <c r="E25" s="36" t="n">
        <f aca="false">DuLieu!U37</f>
        <v>1</v>
      </c>
      <c r="F25" s="34" t="n">
        <f aca="false">IF(E25=1,DuLieu!D37,"")</f>
        <v>5412229347365</v>
      </c>
      <c r="G25" s="34" t="n">
        <f aca="false">IF(E25=1,DuLieu!O37,"")</f>
        <v>4781690123622.33</v>
      </c>
      <c r="H25" s="34" t="n">
        <f aca="false">IF(E25=1,DuLieu!G37,"")</f>
        <v>2744916696990</v>
      </c>
      <c r="I25" s="37" t="n">
        <f aca="false">IF(E25=1,DuLieu!L37,"")</f>
        <v>41.52168612</v>
      </c>
      <c r="J25" s="37" t="n">
        <f aca="false">IF(E25=1,DuLieu!M37,"")</f>
        <v>64.5579232</v>
      </c>
      <c r="K25" s="37" t="n">
        <f aca="false">IF(E25=1,DuLieu!N37,"")</f>
        <v>18.70767516</v>
      </c>
      <c r="L25" s="35" t="n">
        <f aca="false">IF(E25=1,DuLieu!P37,"")</f>
        <v>0.217797755953172</v>
      </c>
      <c r="M25" s="37" t="n">
        <f aca="false">IF(E25=1,INDEX(B3_NguongKhoanMuc!$E$4:$E$5,MATCH(D25,B3_NguongKhoanMuc!$A$4:$A$5,0)),"")</f>
        <v>58.2071385175</v>
      </c>
      <c r="N25" s="37" t="n">
        <f aca="false">IF(E25=1,INDEX(B3_NguongKhoanMuc!$F$4:$F$5,MATCH(D25,B3_NguongKhoanMuc!$A$4:$A$5,0)),"")</f>
        <v>66.26326635</v>
      </c>
      <c r="O25" s="37" t="n">
        <f aca="false">IF(E25=1,INDEX(B3_NguongKhoanMuc!$H$4:$H$5,MATCH(D25,B3_NguongKhoanMuc!$A$4:$A$5,0)),"")</f>
        <v>86.118055065</v>
      </c>
      <c r="P25" s="37" t="n">
        <f aca="false">IF(E25=1,INDEX(B3_NguongKhoanMuc!$I$4:$I$5,MATCH(D25,B3_NguongKhoanMuc!$A$4:$A$5,0)),"")</f>
        <v>137.965147652</v>
      </c>
      <c r="Q25" s="37" t="n">
        <f aca="false">IF(E25=1,INDEX(B3_NguongKhoanMuc!$K$4:$K$5,MATCH(D25,B3_NguongKhoanMuc!$A$4:$A$5,0)),"")</f>
        <v>68.3092044425</v>
      </c>
      <c r="R25" s="37" t="n">
        <f aca="false">IF(E25=1,INDEX(B3_NguongKhoanMuc!$L$4:$L$5,MATCH(D25,B3_NguongKhoanMuc!$A$4:$A$5,0)),"")</f>
        <v>14.892652922</v>
      </c>
      <c r="S25" s="35" t="n">
        <f aca="false">IF(E25=1,INDEX(B3_NguongKhoanMuc!$M$4:$M$5,MATCH(D25,B3_NguongKhoanMuc!$A$4:$A$5,0)),"")</f>
        <v>0.0830079952170207</v>
      </c>
      <c r="T25" s="2" t="n">
        <f aca="false">IF(E25&lt;&gt;1,"",IF(I25&gt;N25,2,IF(I25&gt;M25,1,0)))</f>
        <v>0</v>
      </c>
      <c r="U25" s="2" t="n">
        <f aca="false">IF(E25&lt;&gt;1,"",IF(J25&gt;P25,2,IF(J25&gt;O25,1,0)))</f>
        <v>0</v>
      </c>
      <c r="V25" s="2" t="n">
        <f aca="false">IF(E25&lt;&gt;1,"",IF(AND(K25&lt;R25,L25&lt;S25),1,0))</f>
        <v>0</v>
      </c>
      <c r="W25" s="2" t="n">
        <f aca="false">IF(E25&lt;&gt;1,"",IF(K25&gt;Q25,1,0))</f>
        <v>0</v>
      </c>
      <c r="X25" s="34" t="n">
        <f aca="false">IF(E25&lt;&gt;1,"",IF(T25&gt;=1,(I25-M25)*F25/365,0))</f>
        <v>0</v>
      </c>
      <c r="Y25" s="34" t="n">
        <f aca="false">IF(E25&lt;&gt;1,"",IF(U25&gt;=1,(J25-O25)*G25/365,0))</f>
        <v>0</v>
      </c>
      <c r="Z25" s="35" t="n">
        <f aca="false">IF(E25&lt;&gt;1,"",IF(H25&gt;0,MAX(X25,Y25)/H25,0))</f>
        <v>0</v>
      </c>
      <c r="AA25" s="2" t="str">
        <f aca="false">IF(E25&lt;&gt;1,"",CHOOSE(T25+1,"An toàn","Có nguy cơ","Trầm trọng"))</f>
        <v>An toàn</v>
      </c>
      <c r="AB25" s="2" t="str">
        <f aca="false">IF(E25&lt;&gt;1,"",CHOOSE(U25+1,"An toàn","Có nguy cơ","Trầm trọng"))</f>
        <v>An toàn</v>
      </c>
      <c r="AC25" s="2" t="str">
        <f aca="false">IF(E25&lt;&gt;1,"",IF(V25=1,"Có nguy cơ: NCC cho nợ ít + tiền mỏng",IF(W25=1,"Lưu ý: DPO cao – kiểm tra quá hạn NCC","An toàn")))</f>
        <v>An toàn</v>
      </c>
      <c r="AD25" s="10" t="str">
        <f aca="false">IF(OR(AND(ThamSo!$C$10=1,MAX(T25,U25)=2),AND(MAX(T25,U25)&gt;=1,Z25&gt;=ThamSo!$C$9)),"W2",IF(OR(MAX(T25,U25)&gt;=1,V25=1),"W1","W0"))</f>
        <v>W0</v>
      </c>
      <c r="AE25" s="10" t="str">
        <f aca="false">CHOOSE(MATCH(AD25,{"W0","W1","W2"},0),"An toàn","Có nguy cơ","Thiếu trầm trọng")</f>
        <v>An toàn</v>
      </c>
      <c r="AF25" s="2" t="str">
        <f aca="false">IF(OR(E25&lt;&gt;1,AD25="W0"),"",IF(AND(T25=0,U25=0),"Phải trả",IF(T25&gt;U25,"Phải thu",IF(U25&gt;T25,"Tồn kho",IF(X25&gt;=Y25,"Phải thu","Tồn kho")))))</f>
        <v/>
      </c>
      <c r="AG25" s="2" t="str">
        <f aca="false">TRIM(IF(T25=2,"R-AR-2 ",IF(T25=1,"R-AR-1 ",""))&amp;IF(U25=2,"R-INV-2 ",IF(U25=1,"R-INV-1 ",""))&amp;IF(V25=1,"R-AP-1 ","")&amp;IF(AND(MAX(T25,U25)&gt;=1,Z25&gt;=ThamSo!$C$9),"R-MAT",""))</f>
        <v/>
      </c>
      <c r="AH25" s="34" t="n">
        <f aca="false">IF(E25&lt;&gt;1,"",X25+Y25)</f>
        <v>0</v>
      </c>
      <c r="AI25" s="2" t="str">
        <f aca="false">IF(OR(E25&lt;&gt;1,DuLieu!A38&lt;&gt;DuLieu!A37,DuLieu!B38&gt;ThamSo!$C$23,DuLieu!D38="",DuLieu!K38=""),"",IF(OR(DuLieu!K38&lt;0,DuLieu!D38&lt;DuLieu!D37*(1-ThamSo!$C$20)),1,0))</f>
        <v/>
      </c>
    </row>
    <row r="26" customFormat="false" ht="15" hidden="false" customHeight="false" outlineLevel="0" collapsed="false">
      <c r="A26" s="36" t="str">
        <f aca="false">DuLieu!A38</f>
        <v>HUG</v>
      </c>
      <c r="B26" s="36" t="n">
        <f aca="false">DuLieu!B38</f>
        <v>2023</v>
      </c>
      <c r="C26" s="2" t="str">
        <f aca="false">A26&amp;"-"&amp;B26</f>
        <v>HUG-2023</v>
      </c>
      <c r="D26" s="2" t="str">
        <f aca="false">DuLieu!S38&amp;"|"&amp;DuLieu!V38</f>
        <v>FOB|Nhỏ–vừa</v>
      </c>
      <c r="E26" s="36" t="n">
        <f aca="false">DuLieu!U38</f>
        <v>1</v>
      </c>
      <c r="F26" s="34" t="n">
        <f aca="false">IF(E26=1,DuLieu!D38,"")</f>
        <v>690525695082</v>
      </c>
      <c r="G26" s="34" t="n">
        <f aca="false">IF(E26=1,DuLieu!O38,"")</f>
        <v>537093295569.455</v>
      </c>
      <c r="H26" s="34" t="n">
        <f aca="false">IF(E26=1,DuLieu!G38,"")</f>
        <v>397047551511</v>
      </c>
      <c r="I26" s="37" t="n">
        <f aca="false">IF(E26=1,DuLieu!L38,"")</f>
        <v>35.93525564</v>
      </c>
      <c r="J26" s="37" t="n">
        <f aca="false">IF(E26=1,DuLieu!M38,"")</f>
        <v>44.2838733</v>
      </c>
      <c r="K26" s="37" t="n">
        <f aca="false">IF(E26=1,DuLieu!N38,"")</f>
        <v>25.44780206</v>
      </c>
      <c r="L26" s="35" t="n">
        <f aca="false">IF(E26=1,DuLieu!P38,"")</f>
        <v>0.337957003956656</v>
      </c>
      <c r="M26" s="37" t="n">
        <f aca="false">IF(E26=1,INDEX(B3_NguongKhoanMuc!$E$4:$E$5,MATCH(D26,B3_NguongKhoanMuc!$A$4:$A$5,0)),"")</f>
        <v>58.2071385175</v>
      </c>
      <c r="N26" s="37" t="n">
        <f aca="false">IF(E26=1,INDEX(B3_NguongKhoanMuc!$F$4:$F$5,MATCH(D26,B3_NguongKhoanMuc!$A$4:$A$5,0)),"")</f>
        <v>66.26326635</v>
      </c>
      <c r="O26" s="37" t="n">
        <f aca="false">IF(E26=1,INDEX(B3_NguongKhoanMuc!$H$4:$H$5,MATCH(D26,B3_NguongKhoanMuc!$A$4:$A$5,0)),"")</f>
        <v>86.118055065</v>
      </c>
      <c r="P26" s="37" t="n">
        <f aca="false">IF(E26=1,INDEX(B3_NguongKhoanMuc!$I$4:$I$5,MATCH(D26,B3_NguongKhoanMuc!$A$4:$A$5,0)),"")</f>
        <v>137.965147652</v>
      </c>
      <c r="Q26" s="37" t="n">
        <f aca="false">IF(E26=1,INDEX(B3_NguongKhoanMuc!$K$4:$K$5,MATCH(D26,B3_NguongKhoanMuc!$A$4:$A$5,0)),"")</f>
        <v>68.3092044425</v>
      </c>
      <c r="R26" s="37" t="n">
        <f aca="false">IF(E26=1,INDEX(B3_NguongKhoanMuc!$L$4:$L$5,MATCH(D26,B3_NguongKhoanMuc!$A$4:$A$5,0)),"")</f>
        <v>14.892652922</v>
      </c>
      <c r="S26" s="35" t="n">
        <f aca="false">IF(E26=1,INDEX(B3_NguongKhoanMuc!$M$4:$M$5,MATCH(D26,B3_NguongKhoanMuc!$A$4:$A$5,0)),"")</f>
        <v>0.0830079952170207</v>
      </c>
      <c r="T26" s="2" t="n">
        <f aca="false">IF(E26&lt;&gt;1,"",IF(I26&gt;N26,2,IF(I26&gt;M26,1,0)))</f>
        <v>0</v>
      </c>
      <c r="U26" s="2" t="n">
        <f aca="false">IF(E26&lt;&gt;1,"",IF(J26&gt;P26,2,IF(J26&gt;O26,1,0)))</f>
        <v>0</v>
      </c>
      <c r="V26" s="2" t="n">
        <f aca="false">IF(E26&lt;&gt;1,"",IF(AND(K26&lt;R26,L26&lt;S26),1,0))</f>
        <v>0</v>
      </c>
      <c r="W26" s="2" t="n">
        <f aca="false">IF(E26&lt;&gt;1,"",IF(K26&gt;Q26,1,0))</f>
        <v>0</v>
      </c>
      <c r="X26" s="34" t="n">
        <f aca="false">IF(E26&lt;&gt;1,"",IF(T26&gt;=1,(I26-M26)*F26/365,0))</f>
        <v>0</v>
      </c>
      <c r="Y26" s="34" t="n">
        <f aca="false">IF(E26&lt;&gt;1,"",IF(U26&gt;=1,(J26-O26)*G26/365,0))</f>
        <v>0</v>
      </c>
      <c r="Z26" s="35" t="n">
        <f aca="false">IF(E26&lt;&gt;1,"",IF(H26&gt;0,MAX(X26,Y26)/H26,0))</f>
        <v>0</v>
      </c>
      <c r="AA26" s="2" t="str">
        <f aca="false">IF(E26&lt;&gt;1,"",CHOOSE(T26+1,"An toàn","Có nguy cơ","Trầm trọng"))</f>
        <v>An toàn</v>
      </c>
      <c r="AB26" s="2" t="str">
        <f aca="false">IF(E26&lt;&gt;1,"",CHOOSE(U26+1,"An toàn","Có nguy cơ","Trầm trọng"))</f>
        <v>An toàn</v>
      </c>
      <c r="AC26" s="2" t="str">
        <f aca="false">IF(E26&lt;&gt;1,"",IF(V26=1,"Có nguy cơ: NCC cho nợ ít + tiền mỏng",IF(W26=1,"Lưu ý: DPO cao – kiểm tra quá hạn NCC","An toàn")))</f>
        <v>An toàn</v>
      </c>
      <c r="AD26" s="10" t="str">
        <f aca="false">IF(OR(AND(ThamSo!$C$10=1,MAX(T26,U26)=2),AND(MAX(T26,U26)&gt;=1,Z26&gt;=ThamSo!$C$9)),"W2",IF(OR(MAX(T26,U26)&gt;=1,V26=1),"W1","W0"))</f>
        <v>W0</v>
      </c>
      <c r="AE26" s="10" t="str">
        <f aca="false">CHOOSE(MATCH(AD26,{"W0","W1","W2"},0),"An toàn","Có nguy cơ","Thiếu trầm trọng")</f>
        <v>An toàn</v>
      </c>
      <c r="AF26" s="2" t="str">
        <f aca="false">IF(OR(E26&lt;&gt;1,AD26="W0"),"",IF(AND(T26=0,U26=0),"Phải trả",IF(T26&gt;U26,"Phải thu",IF(U26&gt;T26,"Tồn kho",IF(X26&gt;=Y26,"Phải thu","Tồn kho")))))</f>
        <v/>
      </c>
      <c r="AG26" s="2" t="str">
        <f aca="false">TRIM(IF(T26=2,"R-AR-2 ",IF(T26=1,"R-AR-1 ",""))&amp;IF(U26=2,"R-INV-2 ",IF(U26=1,"R-INV-1 ",""))&amp;IF(V26=1,"R-AP-1 ","")&amp;IF(AND(MAX(T26,U26)&gt;=1,Z26&gt;=ThamSo!$C$9),"R-MAT",""))</f>
        <v/>
      </c>
      <c r="AH26" s="34" t="n">
        <f aca="false">IF(E26&lt;&gt;1,"",X26+Y26)</f>
        <v>0</v>
      </c>
      <c r="AI26" s="2" t="n">
        <f aca="false">IF(OR(E26&lt;&gt;1,DuLieu!A39&lt;&gt;DuLieu!A38,DuLieu!B39&gt;ThamSo!$C$23,DuLieu!D39="",DuLieu!K39=""),"",IF(OR(DuLieu!K39&lt;0,DuLieu!D39&lt;DuLieu!D38*(1-ThamSo!$C$20)),1,0))</f>
        <v>0</v>
      </c>
    </row>
    <row r="27" customFormat="false" ht="15" hidden="false" customHeight="false" outlineLevel="0" collapsed="false">
      <c r="A27" s="36" t="str">
        <f aca="false">DuLieu!A39</f>
        <v>HUG</v>
      </c>
      <c r="B27" s="36" t="n">
        <f aca="false">DuLieu!B39</f>
        <v>2024</v>
      </c>
      <c r="C27" s="2" t="str">
        <f aca="false">A27&amp;"-"&amp;B27</f>
        <v>HUG-2024</v>
      </c>
      <c r="D27" s="2" t="str">
        <f aca="false">DuLieu!S39&amp;"|"&amp;DuLieu!V39</f>
        <v>FOB|Nhỏ–vừa</v>
      </c>
      <c r="E27" s="36" t="n">
        <f aca="false">DuLieu!U39</f>
        <v>1</v>
      </c>
      <c r="F27" s="34" t="n">
        <f aca="false">IF(E27=1,DuLieu!D39,"")</f>
        <v>678363642180</v>
      </c>
      <c r="G27" s="34" t="n">
        <f aca="false">IF(E27=1,DuLieu!O39,"")</f>
        <v>519160480169.52</v>
      </c>
      <c r="H27" s="34" t="n">
        <f aca="false">IF(E27=1,DuLieu!G39,"")</f>
        <v>407025079356</v>
      </c>
      <c r="I27" s="37" t="n">
        <f aca="false">IF(E27=1,DuLieu!L39,"")</f>
        <v>33.70679648</v>
      </c>
      <c r="J27" s="37" t="n">
        <f aca="false">IF(E27=1,DuLieu!M39,"")</f>
        <v>38.47962145</v>
      </c>
      <c r="K27" s="37" t="n">
        <f aca="false">IF(E27=1,DuLieu!N39,"")</f>
        <v>18.73577608</v>
      </c>
      <c r="L27" s="35" t="n">
        <f aca="false">IF(E27=1,DuLieu!P39,"")</f>
        <v>0.383515534704861</v>
      </c>
      <c r="M27" s="37" t="n">
        <f aca="false">IF(E27=1,INDEX(B3_NguongKhoanMuc!$E$4:$E$5,MATCH(D27,B3_NguongKhoanMuc!$A$4:$A$5,0)),"")</f>
        <v>58.2071385175</v>
      </c>
      <c r="N27" s="37" t="n">
        <f aca="false">IF(E27=1,INDEX(B3_NguongKhoanMuc!$F$4:$F$5,MATCH(D27,B3_NguongKhoanMuc!$A$4:$A$5,0)),"")</f>
        <v>66.26326635</v>
      </c>
      <c r="O27" s="37" t="n">
        <f aca="false">IF(E27=1,INDEX(B3_NguongKhoanMuc!$H$4:$H$5,MATCH(D27,B3_NguongKhoanMuc!$A$4:$A$5,0)),"")</f>
        <v>86.118055065</v>
      </c>
      <c r="P27" s="37" t="n">
        <f aca="false">IF(E27=1,INDEX(B3_NguongKhoanMuc!$I$4:$I$5,MATCH(D27,B3_NguongKhoanMuc!$A$4:$A$5,0)),"")</f>
        <v>137.965147652</v>
      </c>
      <c r="Q27" s="37" t="n">
        <f aca="false">IF(E27=1,INDEX(B3_NguongKhoanMuc!$K$4:$K$5,MATCH(D27,B3_NguongKhoanMuc!$A$4:$A$5,0)),"")</f>
        <v>68.3092044425</v>
      </c>
      <c r="R27" s="37" t="n">
        <f aca="false">IF(E27=1,INDEX(B3_NguongKhoanMuc!$L$4:$L$5,MATCH(D27,B3_NguongKhoanMuc!$A$4:$A$5,0)),"")</f>
        <v>14.892652922</v>
      </c>
      <c r="S27" s="35" t="n">
        <f aca="false">IF(E27=1,INDEX(B3_NguongKhoanMuc!$M$4:$M$5,MATCH(D27,B3_NguongKhoanMuc!$A$4:$A$5,0)),"")</f>
        <v>0.0830079952170207</v>
      </c>
      <c r="T27" s="2" t="n">
        <f aca="false">IF(E27&lt;&gt;1,"",IF(I27&gt;N27,2,IF(I27&gt;M27,1,0)))</f>
        <v>0</v>
      </c>
      <c r="U27" s="2" t="n">
        <f aca="false">IF(E27&lt;&gt;1,"",IF(J27&gt;P27,2,IF(J27&gt;O27,1,0)))</f>
        <v>0</v>
      </c>
      <c r="V27" s="2" t="n">
        <f aca="false">IF(E27&lt;&gt;1,"",IF(AND(K27&lt;R27,L27&lt;S27),1,0))</f>
        <v>0</v>
      </c>
      <c r="W27" s="2" t="n">
        <f aca="false">IF(E27&lt;&gt;1,"",IF(K27&gt;Q27,1,0))</f>
        <v>0</v>
      </c>
      <c r="X27" s="34" t="n">
        <f aca="false">IF(E27&lt;&gt;1,"",IF(T27&gt;=1,(I27-M27)*F27/365,0))</f>
        <v>0</v>
      </c>
      <c r="Y27" s="34" t="n">
        <f aca="false">IF(E27&lt;&gt;1,"",IF(U27&gt;=1,(J27-O27)*G27/365,0))</f>
        <v>0</v>
      </c>
      <c r="Z27" s="35" t="n">
        <f aca="false">IF(E27&lt;&gt;1,"",IF(H27&gt;0,MAX(X27,Y27)/H27,0))</f>
        <v>0</v>
      </c>
      <c r="AA27" s="2" t="str">
        <f aca="false">IF(E27&lt;&gt;1,"",CHOOSE(T27+1,"An toàn","Có nguy cơ","Trầm trọng"))</f>
        <v>An toàn</v>
      </c>
      <c r="AB27" s="2" t="str">
        <f aca="false">IF(E27&lt;&gt;1,"",CHOOSE(U27+1,"An toàn","Có nguy cơ","Trầm trọng"))</f>
        <v>An toàn</v>
      </c>
      <c r="AC27" s="2" t="str">
        <f aca="false">IF(E27&lt;&gt;1,"",IF(V27=1,"Có nguy cơ: NCC cho nợ ít + tiền mỏng",IF(W27=1,"Lưu ý: DPO cao – kiểm tra quá hạn NCC","An toàn")))</f>
        <v>An toàn</v>
      </c>
      <c r="AD27" s="10" t="str">
        <f aca="false">IF(OR(AND(ThamSo!$C$10=1,MAX(T27,U27)=2),AND(MAX(T27,U27)&gt;=1,Z27&gt;=ThamSo!$C$9)),"W2",IF(OR(MAX(T27,U27)&gt;=1,V27=1),"W1","W0"))</f>
        <v>W0</v>
      </c>
      <c r="AE27" s="10" t="str">
        <f aca="false">CHOOSE(MATCH(AD27,{"W0","W1","W2"},0),"An toàn","Có nguy cơ","Thiếu trầm trọng")</f>
        <v>An toàn</v>
      </c>
      <c r="AF27" s="2" t="str">
        <f aca="false">IF(OR(E27&lt;&gt;1,AD27="W0"),"",IF(AND(T27=0,U27=0),"Phải trả",IF(T27&gt;U27,"Phải thu",IF(U27&gt;T27,"Tồn kho",IF(X27&gt;=Y27,"Phải thu","Tồn kho")))))</f>
        <v/>
      </c>
      <c r="AG27" s="2" t="str">
        <f aca="false">TRIM(IF(T27=2,"R-AR-2 ",IF(T27=1,"R-AR-1 ",""))&amp;IF(U27=2,"R-INV-2 ",IF(U27=1,"R-INV-1 ",""))&amp;IF(V27=1,"R-AP-1 ","")&amp;IF(AND(MAX(T27,U27)&gt;=1,Z27&gt;=ThamSo!$C$9),"R-MAT",""))</f>
        <v/>
      </c>
      <c r="AH27" s="34" t="n">
        <f aca="false">IF(E27&lt;&gt;1,"",X27+Y27)</f>
        <v>0</v>
      </c>
      <c r="AI27" s="2" t="n">
        <f aca="false">IF(OR(E27&lt;&gt;1,DuLieu!A40&lt;&gt;DuLieu!A39,DuLieu!B40&gt;ThamSo!$C$23,DuLieu!D40="",DuLieu!K40=""),"",IF(OR(DuLieu!K40&lt;0,DuLieu!D40&lt;DuLieu!D39*(1-ThamSo!$C$20)),1,0))</f>
        <v>0</v>
      </c>
    </row>
    <row r="28" customFormat="false" ht="15" hidden="false" customHeight="false" outlineLevel="0" collapsed="false">
      <c r="A28" s="36" t="str">
        <f aca="false">DuLieu!A40</f>
        <v>HUG</v>
      </c>
      <c r="B28" s="36" t="n">
        <f aca="false">DuLieu!B40</f>
        <v>2025</v>
      </c>
      <c r="C28" s="2" t="str">
        <f aca="false">A28&amp;"-"&amp;B28</f>
        <v>HUG-2025</v>
      </c>
      <c r="D28" s="2" t="str">
        <f aca="false">DuLieu!S40&amp;"|"&amp;DuLieu!V40</f>
        <v>FOB|Nhỏ–vừa</v>
      </c>
      <c r="E28" s="36" t="n">
        <f aca="false">DuLieu!U40</f>
        <v>1</v>
      </c>
      <c r="F28" s="34" t="n">
        <f aca="false">IF(E28=1,DuLieu!D40,"")</f>
        <v>789319259119</v>
      </c>
      <c r="G28" s="34" t="n">
        <f aca="false">IF(E28=1,DuLieu!O40,"")</f>
        <v>604826167129.88</v>
      </c>
      <c r="H28" s="34" t="n">
        <f aca="false">IF(E28=1,DuLieu!G40,"")</f>
        <v>414865770472</v>
      </c>
      <c r="I28" s="37" t="n">
        <f aca="false">IF(E28=1,DuLieu!L40,"")</f>
        <v>28.4060085</v>
      </c>
      <c r="J28" s="37" t="n">
        <f aca="false">IF(E28=1,DuLieu!M40,"")</f>
        <v>34.0754797</v>
      </c>
      <c r="K28" s="37" t="n">
        <f aca="false">IF(E28=1,DuLieu!N40,"")</f>
        <v>16.68748309</v>
      </c>
      <c r="L28" s="35" t="n">
        <f aca="false">IF(E28=1,DuLieu!P40,"")</f>
        <v>0.335092263011821</v>
      </c>
      <c r="M28" s="37" t="n">
        <f aca="false">IF(E28=1,INDEX(B3_NguongKhoanMuc!$E$4:$E$5,MATCH(D28,B3_NguongKhoanMuc!$A$4:$A$5,0)),"")</f>
        <v>58.2071385175</v>
      </c>
      <c r="N28" s="37" t="n">
        <f aca="false">IF(E28=1,INDEX(B3_NguongKhoanMuc!$F$4:$F$5,MATCH(D28,B3_NguongKhoanMuc!$A$4:$A$5,0)),"")</f>
        <v>66.26326635</v>
      </c>
      <c r="O28" s="37" t="n">
        <f aca="false">IF(E28=1,INDEX(B3_NguongKhoanMuc!$H$4:$H$5,MATCH(D28,B3_NguongKhoanMuc!$A$4:$A$5,0)),"")</f>
        <v>86.118055065</v>
      </c>
      <c r="P28" s="37" t="n">
        <f aca="false">IF(E28=1,INDEX(B3_NguongKhoanMuc!$I$4:$I$5,MATCH(D28,B3_NguongKhoanMuc!$A$4:$A$5,0)),"")</f>
        <v>137.965147652</v>
      </c>
      <c r="Q28" s="37" t="n">
        <f aca="false">IF(E28=1,INDEX(B3_NguongKhoanMuc!$K$4:$K$5,MATCH(D28,B3_NguongKhoanMuc!$A$4:$A$5,0)),"")</f>
        <v>68.3092044425</v>
      </c>
      <c r="R28" s="37" t="n">
        <f aca="false">IF(E28=1,INDEX(B3_NguongKhoanMuc!$L$4:$L$5,MATCH(D28,B3_NguongKhoanMuc!$A$4:$A$5,0)),"")</f>
        <v>14.892652922</v>
      </c>
      <c r="S28" s="35" t="n">
        <f aca="false">IF(E28=1,INDEX(B3_NguongKhoanMuc!$M$4:$M$5,MATCH(D28,B3_NguongKhoanMuc!$A$4:$A$5,0)),"")</f>
        <v>0.0830079952170207</v>
      </c>
      <c r="T28" s="2" t="n">
        <f aca="false">IF(E28&lt;&gt;1,"",IF(I28&gt;N28,2,IF(I28&gt;M28,1,0)))</f>
        <v>0</v>
      </c>
      <c r="U28" s="2" t="n">
        <f aca="false">IF(E28&lt;&gt;1,"",IF(J28&gt;P28,2,IF(J28&gt;O28,1,0)))</f>
        <v>0</v>
      </c>
      <c r="V28" s="2" t="n">
        <f aca="false">IF(E28&lt;&gt;1,"",IF(AND(K28&lt;R28,L28&lt;S28),1,0))</f>
        <v>0</v>
      </c>
      <c r="W28" s="2" t="n">
        <f aca="false">IF(E28&lt;&gt;1,"",IF(K28&gt;Q28,1,0))</f>
        <v>0</v>
      </c>
      <c r="X28" s="34" t="n">
        <f aca="false">IF(E28&lt;&gt;1,"",IF(T28&gt;=1,(I28-M28)*F28/365,0))</f>
        <v>0</v>
      </c>
      <c r="Y28" s="34" t="n">
        <f aca="false">IF(E28&lt;&gt;1,"",IF(U28&gt;=1,(J28-O28)*G28/365,0))</f>
        <v>0</v>
      </c>
      <c r="Z28" s="35" t="n">
        <f aca="false">IF(E28&lt;&gt;1,"",IF(H28&gt;0,MAX(X28,Y28)/H28,0))</f>
        <v>0</v>
      </c>
      <c r="AA28" s="2" t="str">
        <f aca="false">IF(E28&lt;&gt;1,"",CHOOSE(T28+1,"An toàn","Có nguy cơ","Trầm trọng"))</f>
        <v>An toàn</v>
      </c>
      <c r="AB28" s="2" t="str">
        <f aca="false">IF(E28&lt;&gt;1,"",CHOOSE(U28+1,"An toàn","Có nguy cơ","Trầm trọng"))</f>
        <v>An toàn</v>
      </c>
      <c r="AC28" s="2" t="str">
        <f aca="false">IF(E28&lt;&gt;1,"",IF(V28=1,"Có nguy cơ: NCC cho nợ ít + tiền mỏng",IF(W28=1,"Lưu ý: DPO cao – kiểm tra quá hạn NCC","An toàn")))</f>
        <v>An toàn</v>
      </c>
      <c r="AD28" s="10" t="str">
        <f aca="false">IF(OR(AND(ThamSo!$C$10=1,MAX(T28,U28)=2),AND(MAX(T28,U28)&gt;=1,Z28&gt;=ThamSo!$C$9)),"W2",IF(OR(MAX(T28,U28)&gt;=1,V28=1),"W1","W0"))</f>
        <v>W0</v>
      </c>
      <c r="AE28" s="10" t="str">
        <f aca="false">CHOOSE(MATCH(AD28,{"W0","W1","W2"},0),"An toàn","Có nguy cơ","Thiếu trầm trọng")</f>
        <v>An toàn</v>
      </c>
      <c r="AF28" s="2" t="str">
        <f aca="false">IF(OR(E28&lt;&gt;1,AD28="W0"),"",IF(AND(T28=0,U28=0),"Phải trả",IF(T28&gt;U28,"Phải thu",IF(U28&gt;T28,"Tồn kho",IF(X28&gt;=Y28,"Phải thu","Tồn kho")))))</f>
        <v/>
      </c>
      <c r="AG28" s="2" t="str">
        <f aca="false">TRIM(IF(T28=2,"R-AR-2 ",IF(T28=1,"R-AR-1 ",""))&amp;IF(U28=2,"R-INV-2 ",IF(U28=1,"R-INV-1 ",""))&amp;IF(V28=1,"R-AP-1 ","")&amp;IF(AND(MAX(T28,U28)&gt;=1,Z28&gt;=ThamSo!$C$9),"R-MAT",""))</f>
        <v/>
      </c>
      <c r="AH28" s="34" t="n">
        <f aca="false">IF(E28&lt;&gt;1,"",X28+Y28)</f>
        <v>0</v>
      </c>
      <c r="AI28" s="2" t="str">
        <f aca="false">IF(OR(E28&lt;&gt;1,DuLieu!A41&lt;&gt;DuLieu!A40,DuLieu!B41&gt;ThamSo!$C$23,DuLieu!D41="",DuLieu!K41=""),"",IF(OR(DuLieu!K41&lt;0,DuLieu!D41&lt;DuLieu!D40*(1-ThamSo!$C$20)),1,0))</f>
        <v/>
      </c>
    </row>
    <row r="29" customFormat="false" ht="15" hidden="false" customHeight="false" outlineLevel="0" collapsed="false">
      <c r="A29" s="36" t="str">
        <f aca="false">DuLieu!A41</f>
        <v>M10</v>
      </c>
      <c r="B29" s="36" t="n">
        <f aca="false">DuLieu!B41</f>
        <v>2023</v>
      </c>
      <c r="C29" s="2" t="str">
        <f aca="false">A29&amp;"-"&amp;B29</f>
        <v>M10-2023</v>
      </c>
      <c r="D29" s="2" t="str">
        <f aca="false">DuLieu!S41&amp;"|"&amp;DuLieu!V41</f>
        <v>FOB|Lớn</v>
      </c>
      <c r="E29" s="36" t="n">
        <f aca="false">DuLieu!U41</f>
        <v>1</v>
      </c>
      <c r="F29" s="34" t="n">
        <f aca="false">IF(E29=1,DuLieu!D41,"")</f>
        <v>4139737619391</v>
      </c>
      <c r="G29" s="34" t="n">
        <f aca="false">IF(E29=1,DuLieu!O41,"")</f>
        <v>3703044977396.68</v>
      </c>
      <c r="H29" s="34" t="n">
        <f aca="false">IF(E29=1,DuLieu!G41,"")</f>
        <v>1781338762540</v>
      </c>
      <c r="I29" s="37" t="n">
        <f aca="false">IF(E29=1,DuLieu!L41,"")</f>
        <v>40.24373698</v>
      </c>
      <c r="J29" s="37" t="n">
        <f aca="false">IF(E29=1,DuLieu!M41,"")</f>
        <v>78.03938668</v>
      </c>
      <c r="K29" s="37" t="n">
        <f aca="false">IF(E29=1,DuLieu!N41,"")</f>
        <v>57.73413951</v>
      </c>
      <c r="L29" s="35" t="n">
        <f aca="false">IF(E29=1,DuLieu!P41,"")</f>
        <v>0.109723236875776</v>
      </c>
      <c r="M29" s="37" t="n">
        <f aca="false">IF(E29=1,INDEX(B3_NguongKhoanMuc!$E$4:$E$5,MATCH(D29,B3_NguongKhoanMuc!$A$4:$A$5,0)),"")</f>
        <v>58.2071385175</v>
      </c>
      <c r="N29" s="37" t="n">
        <f aca="false">IF(E29=1,INDEX(B3_NguongKhoanMuc!$F$4:$F$5,MATCH(D29,B3_NguongKhoanMuc!$A$4:$A$5,0)),"")</f>
        <v>66.26326635</v>
      </c>
      <c r="O29" s="37" t="n">
        <f aca="false">IF(E29=1,INDEX(B3_NguongKhoanMuc!$H$4:$H$5,MATCH(D29,B3_NguongKhoanMuc!$A$4:$A$5,0)),"")</f>
        <v>86.118055065</v>
      </c>
      <c r="P29" s="37" t="n">
        <f aca="false">IF(E29=1,INDEX(B3_NguongKhoanMuc!$I$4:$I$5,MATCH(D29,B3_NguongKhoanMuc!$A$4:$A$5,0)),"")</f>
        <v>137.965147652</v>
      </c>
      <c r="Q29" s="37" t="n">
        <f aca="false">IF(E29=1,INDEX(B3_NguongKhoanMuc!$K$4:$K$5,MATCH(D29,B3_NguongKhoanMuc!$A$4:$A$5,0)),"")</f>
        <v>68.3092044425</v>
      </c>
      <c r="R29" s="37" t="n">
        <f aca="false">IF(E29=1,INDEX(B3_NguongKhoanMuc!$L$4:$L$5,MATCH(D29,B3_NguongKhoanMuc!$A$4:$A$5,0)),"")</f>
        <v>14.892652922</v>
      </c>
      <c r="S29" s="35" t="n">
        <f aca="false">IF(E29=1,INDEX(B3_NguongKhoanMuc!$M$4:$M$5,MATCH(D29,B3_NguongKhoanMuc!$A$4:$A$5,0)),"")</f>
        <v>0.0830079952170207</v>
      </c>
      <c r="T29" s="2" t="n">
        <f aca="false">IF(E29&lt;&gt;1,"",IF(I29&gt;N29,2,IF(I29&gt;M29,1,0)))</f>
        <v>0</v>
      </c>
      <c r="U29" s="2" t="n">
        <f aca="false">IF(E29&lt;&gt;1,"",IF(J29&gt;P29,2,IF(J29&gt;O29,1,0)))</f>
        <v>0</v>
      </c>
      <c r="V29" s="2" t="n">
        <f aca="false">IF(E29&lt;&gt;1,"",IF(AND(K29&lt;R29,L29&lt;S29),1,0))</f>
        <v>0</v>
      </c>
      <c r="W29" s="2" t="n">
        <f aca="false">IF(E29&lt;&gt;1,"",IF(K29&gt;Q29,1,0))</f>
        <v>0</v>
      </c>
      <c r="X29" s="34" t="n">
        <f aca="false">IF(E29&lt;&gt;1,"",IF(T29&gt;=1,(I29-M29)*F29/365,0))</f>
        <v>0</v>
      </c>
      <c r="Y29" s="34" t="n">
        <f aca="false">IF(E29&lt;&gt;1,"",IF(U29&gt;=1,(J29-O29)*G29/365,0))</f>
        <v>0</v>
      </c>
      <c r="Z29" s="35" t="n">
        <f aca="false">IF(E29&lt;&gt;1,"",IF(H29&gt;0,MAX(X29,Y29)/H29,0))</f>
        <v>0</v>
      </c>
      <c r="AA29" s="2" t="str">
        <f aca="false">IF(E29&lt;&gt;1,"",CHOOSE(T29+1,"An toàn","Có nguy cơ","Trầm trọng"))</f>
        <v>An toàn</v>
      </c>
      <c r="AB29" s="2" t="str">
        <f aca="false">IF(E29&lt;&gt;1,"",CHOOSE(U29+1,"An toàn","Có nguy cơ","Trầm trọng"))</f>
        <v>An toàn</v>
      </c>
      <c r="AC29" s="2" t="str">
        <f aca="false">IF(E29&lt;&gt;1,"",IF(V29=1,"Có nguy cơ: NCC cho nợ ít + tiền mỏng",IF(W29=1,"Lưu ý: DPO cao – kiểm tra quá hạn NCC","An toàn")))</f>
        <v>An toàn</v>
      </c>
      <c r="AD29" s="10" t="str">
        <f aca="false">IF(OR(AND(ThamSo!$C$10=1,MAX(T29,U29)=2),AND(MAX(T29,U29)&gt;=1,Z29&gt;=ThamSo!$C$9)),"W2",IF(OR(MAX(T29,U29)&gt;=1,V29=1),"W1","W0"))</f>
        <v>W0</v>
      </c>
      <c r="AE29" s="10" t="str">
        <f aca="false">CHOOSE(MATCH(AD29,{"W0","W1","W2"},0),"An toàn","Có nguy cơ","Thiếu trầm trọng")</f>
        <v>An toàn</v>
      </c>
      <c r="AF29" s="2" t="str">
        <f aca="false">IF(OR(E29&lt;&gt;1,AD29="W0"),"",IF(AND(T29=0,U29=0),"Phải trả",IF(T29&gt;U29,"Phải thu",IF(U29&gt;T29,"Tồn kho",IF(X29&gt;=Y29,"Phải thu","Tồn kho")))))</f>
        <v/>
      </c>
      <c r="AG29" s="2" t="str">
        <f aca="false">TRIM(IF(T29=2,"R-AR-2 ",IF(T29=1,"R-AR-1 ",""))&amp;IF(U29=2,"R-INV-2 ",IF(U29=1,"R-INV-1 ",""))&amp;IF(V29=1,"R-AP-1 ","")&amp;IF(AND(MAX(T29,U29)&gt;=1,Z29&gt;=ThamSo!$C$9),"R-MAT",""))</f>
        <v/>
      </c>
      <c r="AH29" s="34" t="n">
        <f aca="false">IF(E29&lt;&gt;1,"",X29+Y29)</f>
        <v>0</v>
      </c>
      <c r="AI29" s="2" t="n">
        <f aca="false">IF(OR(E29&lt;&gt;1,DuLieu!A42&lt;&gt;DuLieu!A41,DuLieu!B42&gt;ThamSo!$C$23,DuLieu!D42="",DuLieu!K42=""),"",IF(OR(DuLieu!K42&lt;0,DuLieu!D42&lt;DuLieu!D41*(1-ThamSo!$C$20)),1,0))</f>
        <v>0</v>
      </c>
    </row>
    <row r="30" customFormat="false" ht="15" hidden="false" customHeight="false" outlineLevel="0" collapsed="false">
      <c r="A30" s="36" t="str">
        <f aca="false">DuLieu!A42</f>
        <v>M10</v>
      </c>
      <c r="B30" s="36" t="n">
        <f aca="false">DuLieu!B42</f>
        <v>2024</v>
      </c>
      <c r="C30" s="2" t="str">
        <f aca="false">A30&amp;"-"&amp;B30</f>
        <v>M10-2024</v>
      </c>
      <c r="D30" s="2" t="str">
        <f aca="false">DuLieu!S42&amp;"|"&amp;DuLieu!V42</f>
        <v>FOB|Lớn</v>
      </c>
      <c r="E30" s="36" t="n">
        <f aca="false">DuLieu!U42</f>
        <v>1</v>
      </c>
      <c r="F30" s="34" t="n">
        <f aca="false">IF(E30=1,DuLieu!D42,"")</f>
        <v>4660199353022</v>
      </c>
      <c r="G30" s="34" t="n">
        <f aca="false">IF(E30=1,DuLieu!O42,"")</f>
        <v>4104226199320.05</v>
      </c>
      <c r="H30" s="34" t="n">
        <f aca="false">IF(E30=1,DuLieu!G42,"")</f>
        <v>2054803490754</v>
      </c>
      <c r="I30" s="37" t="n">
        <f aca="false">IF(E30=1,DuLieu!L42,"")</f>
        <v>43.5658532</v>
      </c>
      <c r="J30" s="37" t="n">
        <f aca="false">IF(E30=1,DuLieu!M42,"")</f>
        <v>69.36503665</v>
      </c>
      <c r="K30" s="37" t="n">
        <f aca="false">IF(E30=1,DuLieu!N42,"")</f>
        <v>61.42468402</v>
      </c>
      <c r="L30" s="35" t="n">
        <f aca="false">IF(E30=1,DuLieu!P42,"")</f>
        <v>0.137386358739743</v>
      </c>
      <c r="M30" s="37" t="n">
        <f aca="false">IF(E30=1,INDEX(B3_NguongKhoanMuc!$E$4:$E$5,MATCH(D30,B3_NguongKhoanMuc!$A$4:$A$5,0)),"")</f>
        <v>58.2071385175</v>
      </c>
      <c r="N30" s="37" t="n">
        <f aca="false">IF(E30=1,INDEX(B3_NguongKhoanMuc!$F$4:$F$5,MATCH(D30,B3_NguongKhoanMuc!$A$4:$A$5,0)),"")</f>
        <v>66.26326635</v>
      </c>
      <c r="O30" s="37" t="n">
        <f aca="false">IF(E30=1,INDEX(B3_NguongKhoanMuc!$H$4:$H$5,MATCH(D30,B3_NguongKhoanMuc!$A$4:$A$5,0)),"")</f>
        <v>86.118055065</v>
      </c>
      <c r="P30" s="37" t="n">
        <f aca="false">IF(E30=1,INDEX(B3_NguongKhoanMuc!$I$4:$I$5,MATCH(D30,B3_NguongKhoanMuc!$A$4:$A$5,0)),"")</f>
        <v>137.965147652</v>
      </c>
      <c r="Q30" s="37" t="n">
        <f aca="false">IF(E30=1,INDEX(B3_NguongKhoanMuc!$K$4:$K$5,MATCH(D30,B3_NguongKhoanMuc!$A$4:$A$5,0)),"")</f>
        <v>68.3092044425</v>
      </c>
      <c r="R30" s="37" t="n">
        <f aca="false">IF(E30=1,INDEX(B3_NguongKhoanMuc!$L$4:$L$5,MATCH(D30,B3_NguongKhoanMuc!$A$4:$A$5,0)),"")</f>
        <v>14.892652922</v>
      </c>
      <c r="S30" s="35" t="n">
        <f aca="false">IF(E30=1,INDEX(B3_NguongKhoanMuc!$M$4:$M$5,MATCH(D30,B3_NguongKhoanMuc!$A$4:$A$5,0)),"")</f>
        <v>0.0830079952170207</v>
      </c>
      <c r="T30" s="2" t="n">
        <f aca="false">IF(E30&lt;&gt;1,"",IF(I30&gt;N30,2,IF(I30&gt;M30,1,0)))</f>
        <v>0</v>
      </c>
      <c r="U30" s="2" t="n">
        <f aca="false">IF(E30&lt;&gt;1,"",IF(J30&gt;P30,2,IF(J30&gt;O30,1,0)))</f>
        <v>0</v>
      </c>
      <c r="V30" s="2" t="n">
        <f aca="false">IF(E30&lt;&gt;1,"",IF(AND(K30&lt;R30,L30&lt;S30),1,0))</f>
        <v>0</v>
      </c>
      <c r="W30" s="2" t="n">
        <f aca="false">IF(E30&lt;&gt;1,"",IF(K30&gt;Q30,1,0))</f>
        <v>0</v>
      </c>
      <c r="X30" s="34" t="n">
        <f aca="false">IF(E30&lt;&gt;1,"",IF(T30&gt;=1,(I30-M30)*F30/365,0))</f>
        <v>0</v>
      </c>
      <c r="Y30" s="34" t="n">
        <f aca="false">IF(E30&lt;&gt;1,"",IF(U30&gt;=1,(J30-O30)*G30/365,0))</f>
        <v>0</v>
      </c>
      <c r="Z30" s="35" t="n">
        <f aca="false">IF(E30&lt;&gt;1,"",IF(H30&gt;0,MAX(X30,Y30)/H30,0))</f>
        <v>0</v>
      </c>
      <c r="AA30" s="2" t="str">
        <f aca="false">IF(E30&lt;&gt;1,"",CHOOSE(T30+1,"An toàn","Có nguy cơ","Trầm trọng"))</f>
        <v>An toàn</v>
      </c>
      <c r="AB30" s="2" t="str">
        <f aca="false">IF(E30&lt;&gt;1,"",CHOOSE(U30+1,"An toàn","Có nguy cơ","Trầm trọng"))</f>
        <v>An toàn</v>
      </c>
      <c r="AC30" s="2" t="str">
        <f aca="false">IF(E30&lt;&gt;1,"",IF(V30=1,"Có nguy cơ: NCC cho nợ ít + tiền mỏng",IF(W30=1,"Lưu ý: DPO cao – kiểm tra quá hạn NCC","An toàn")))</f>
        <v>An toàn</v>
      </c>
      <c r="AD30" s="10" t="str">
        <f aca="false">IF(OR(AND(ThamSo!$C$10=1,MAX(T30,U30)=2),AND(MAX(T30,U30)&gt;=1,Z30&gt;=ThamSo!$C$9)),"W2",IF(OR(MAX(T30,U30)&gt;=1,V30=1),"W1","W0"))</f>
        <v>W0</v>
      </c>
      <c r="AE30" s="10" t="str">
        <f aca="false">CHOOSE(MATCH(AD30,{"W0","W1","W2"},0),"An toàn","Có nguy cơ","Thiếu trầm trọng")</f>
        <v>An toàn</v>
      </c>
      <c r="AF30" s="2" t="str">
        <f aca="false">IF(OR(E30&lt;&gt;1,AD30="W0"),"",IF(AND(T30=0,U30=0),"Phải trả",IF(T30&gt;U30,"Phải thu",IF(U30&gt;T30,"Tồn kho",IF(X30&gt;=Y30,"Phải thu","Tồn kho")))))</f>
        <v/>
      </c>
      <c r="AG30" s="2" t="str">
        <f aca="false">TRIM(IF(T30=2,"R-AR-2 ",IF(T30=1,"R-AR-1 ",""))&amp;IF(U30=2,"R-INV-2 ",IF(U30=1,"R-INV-1 ",""))&amp;IF(V30=1,"R-AP-1 ","")&amp;IF(AND(MAX(T30,U30)&gt;=1,Z30&gt;=ThamSo!$C$9),"R-MAT",""))</f>
        <v/>
      </c>
      <c r="AH30" s="34" t="n">
        <f aca="false">IF(E30&lt;&gt;1,"",X30+Y30)</f>
        <v>0</v>
      </c>
      <c r="AI30" s="2" t="n">
        <f aca="false">IF(OR(E30&lt;&gt;1,DuLieu!A43&lt;&gt;DuLieu!A42,DuLieu!B43&gt;ThamSo!$C$23,DuLieu!D43="",DuLieu!K43=""),"",IF(OR(DuLieu!K43&lt;0,DuLieu!D43&lt;DuLieu!D42*(1-ThamSo!$C$20)),1,0))</f>
        <v>0</v>
      </c>
    </row>
    <row r="31" customFormat="false" ht="15" hidden="false" customHeight="false" outlineLevel="0" collapsed="false">
      <c r="A31" s="36" t="str">
        <f aca="false">DuLieu!A43</f>
        <v>M10</v>
      </c>
      <c r="B31" s="36" t="n">
        <f aca="false">DuLieu!B43</f>
        <v>2025</v>
      </c>
      <c r="C31" s="2" t="str">
        <f aca="false">A31&amp;"-"&amp;B31</f>
        <v>M10-2025</v>
      </c>
      <c r="D31" s="2" t="str">
        <f aca="false">DuLieu!S43&amp;"|"&amp;DuLieu!V43</f>
        <v>FOB|Lớn</v>
      </c>
      <c r="E31" s="36" t="n">
        <f aca="false">DuLieu!U43</f>
        <v>1</v>
      </c>
      <c r="F31" s="34" t="n">
        <f aca="false">IF(E31=1,DuLieu!D43,"")</f>
        <v>5010690065872</v>
      </c>
      <c r="G31" s="34" t="n">
        <f aca="false">IF(E31=1,DuLieu!O43,"")</f>
        <v>4471571532452.29</v>
      </c>
      <c r="H31" s="34" t="n">
        <f aca="false">IF(E31=1,DuLieu!G43,"")</f>
        <v>2094088030559</v>
      </c>
      <c r="I31" s="37" t="n">
        <f aca="false">IF(E31=1,DuLieu!L43,"")</f>
        <v>43.71211475</v>
      </c>
      <c r="J31" s="37" t="n">
        <f aca="false">IF(E31=1,DuLieu!M43,"")</f>
        <v>69.53839775</v>
      </c>
      <c r="K31" s="37" t="n">
        <f aca="false">IF(E31=1,DuLieu!N43,"")</f>
        <v>64.05639265</v>
      </c>
      <c r="L31" s="35" t="n">
        <f aca="false">IF(E31=1,DuLieu!P43,"")</f>
        <v>0.107257324956392</v>
      </c>
      <c r="M31" s="37" t="n">
        <f aca="false">IF(E31=1,INDEX(B3_NguongKhoanMuc!$E$4:$E$5,MATCH(D31,B3_NguongKhoanMuc!$A$4:$A$5,0)),"")</f>
        <v>58.2071385175</v>
      </c>
      <c r="N31" s="37" t="n">
        <f aca="false">IF(E31=1,INDEX(B3_NguongKhoanMuc!$F$4:$F$5,MATCH(D31,B3_NguongKhoanMuc!$A$4:$A$5,0)),"")</f>
        <v>66.26326635</v>
      </c>
      <c r="O31" s="37" t="n">
        <f aca="false">IF(E31=1,INDEX(B3_NguongKhoanMuc!$H$4:$H$5,MATCH(D31,B3_NguongKhoanMuc!$A$4:$A$5,0)),"")</f>
        <v>86.118055065</v>
      </c>
      <c r="P31" s="37" t="n">
        <f aca="false">IF(E31=1,INDEX(B3_NguongKhoanMuc!$I$4:$I$5,MATCH(D31,B3_NguongKhoanMuc!$A$4:$A$5,0)),"")</f>
        <v>137.965147652</v>
      </c>
      <c r="Q31" s="37" t="n">
        <f aca="false">IF(E31=1,INDEX(B3_NguongKhoanMuc!$K$4:$K$5,MATCH(D31,B3_NguongKhoanMuc!$A$4:$A$5,0)),"")</f>
        <v>68.3092044425</v>
      </c>
      <c r="R31" s="37" t="n">
        <f aca="false">IF(E31=1,INDEX(B3_NguongKhoanMuc!$L$4:$L$5,MATCH(D31,B3_NguongKhoanMuc!$A$4:$A$5,0)),"")</f>
        <v>14.892652922</v>
      </c>
      <c r="S31" s="35" t="n">
        <f aca="false">IF(E31=1,INDEX(B3_NguongKhoanMuc!$M$4:$M$5,MATCH(D31,B3_NguongKhoanMuc!$A$4:$A$5,0)),"")</f>
        <v>0.0830079952170207</v>
      </c>
      <c r="T31" s="2" t="n">
        <f aca="false">IF(E31&lt;&gt;1,"",IF(I31&gt;N31,2,IF(I31&gt;M31,1,0)))</f>
        <v>0</v>
      </c>
      <c r="U31" s="2" t="n">
        <f aca="false">IF(E31&lt;&gt;1,"",IF(J31&gt;P31,2,IF(J31&gt;O31,1,0)))</f>
        <v>0</v>
      </c>
      <c r="V31" s="2" t="n">
        <f aca="false">IF(E31&lt;&gt;1,"",IF(AND(K31&lt;R31,L31&lt;S31),1,0))</f>
        <v>0</v>
      </c>
      <c r="W31" s="2" t="n">
        <f aca="false">IF(E31&lt;&gt;1,"",IF(K31&gt;Q31,1,0))</f>
        <v>0</v>
      </c>
      <c r="X31" s="34" t="n">
        <f aca="false">IF(E31&lt;&gt;1,"",IF(T31&gt;=1,(I31-M31)*F31/365,0))</f>
        <v>0</v>
      </c>
      <c r="Y31" s="34" t="n">
        <f aca="false">IF(E31&lt;&gt;1,"",IF(U31&gt;=1,(J31-O31)*G31/365,0))</f>
        <v>0</v>
      </c>
      <c r="Z31" s="35" t="n">
        <f aca="false">IF(E31&lt;&gt;1,"",IF(H31&gt;0,MAX(X31,Y31)/H31,0))</f>
        <v>0</v>
      </c>
      <c r="AA31" s="2" t="str">
        <f aca="false">IF(E31&lt;&gt;1,"",CHOOSE(T31+1,"An toàn","Có nguy cơ","Trầm trọng"))</f>
        <v>An toàn</v>
      </c>
      <c r="AB31" s="2" t="str">
        <f aca="false">IF(E31&lt;&gt;1,"",CHOOSE(U31+1,"An toàn","Có nguy cơ","Trầm trọng"))</f>
        <v>An toàn</v>
      </c>
      <c r="AC31" s="2" t="str">
        <f aca="false">IF(E31&lt;&gt;1,"",IF(V31=1,"Có nguy cơ: NCC cho nợ ít + tiền mỏng",IF(W31=1,"Lưu ý: DPO cao – kiểm tra quá hạn NCC","An toàn")))</f>
        <v>An toàn</v>
      </c>
      <c r="AD31" s="10" t="str">
        <f aca="false">IF(OR(AND(ThamSo!$C$10=1,MAX(T31,U31)=2),AND(MAX(T31,U31)&gt;=1,Z31&gt;=ThamSo!$C$9)),"W2",IF(OR(MAX(T31,U31)&gt;=1,V31=1),"W1","W0"))</f>
        <v>W0</v>
      </c>
      <c r="AE31" s="10" t="str">
        <f aca="false">CHOOSE(MATCH(AD31,{"W0","W1","W2"},0),"An toàn","Có nguy cơ","Thiếu trầm trọng")</f>
        <v>An toàn</v>
      </c>
      <c r="AF31" s="2" t="str">
        <f aca="false">IF(OR(E31&lt;&gt;1,AD31="W0"),"",IF(AND(T31=0,U31=0),"Phải trả",IF(T31&gt;U31,"Phải thu",IF(U31&gt;T31,"Tồn kho",IF(X31&gt;=Y31,"Phải thu","Tồn kho")))))</f>
        <v/>
      </c>
      <c r="AG31" s="2" t="str">
        <f aca="false">TRIM(IF(T31=2,"R-AR-2 ",IF(T31=1,"R-AR-1 ",""))&amp;IF(U31=2,"R-INV-2 ",IF(U31=1,"R-INV-1 ",""))&amp;IF(V31=1,"R-AP-1 ","")&amp;IF(AND(MAX(T31,U31)&gt;=1,Z31&gt;=ThamSo!$C$9),"R-MAT",""))</f>
        <v/>
      </c>
      <c r="AH31" s="34" t="n">
        <f aca="false">IF(E31&lt;&gt;1,"",X31+Y31)</f>
        <v>0</v>
      </c>
      <c r="AI31" s="2" t="str">
        <f aca="false">IF(OR(E31&lt;&gt;1,DuLieu!A44&lt;&gt;DuLieu!A43,DuLieu!B44&gt;ThamSo!$C$23,DuLieu!D44="",DuLieu!K44=""),"",IF(OR(DuLieu!K44&lt;0,DuLieu!D44&lt;DuLieu!D43*(1-ThamSo!$C$20)),1,0))</f>
        <v/>
      </c>
    </row>
    <row r="32" customFormat="false" ht="15" hidden="false" customHeight="false" outlineLevel="0" collapsed="false">
      <c r="A32" s="36" t="str">
        <f aca="false">DuLieu!A44</f>
        <v>MGG</v>
      </c>
      <c r="B32" s="36" t="n">
        <f aca="false">DuLieu!B44</f>
        <v>2023</v>
      </c>
      <c r="C32" s="2" t="str">
        <f aca="false">A32&amp;"-"&amp;B32</f>
        <v>MGG-2023</v>
      </c>
      <c r="D32" s="2" t="str">
        <f aca="false">DuLieu!S44&amp;"|"&amp;DuLieu!V44</f>
        <v>FOB|Lớn</v>
      </c>
      <c r="E32" s="36" t="n">
        <f aca="false">DuLieu!U44</f>
        <v>1</v>
      </c>
      <c r="F32" s="34" t="n">
        <f aca="false">IF(E32=1,DuLieu!D44,"")</f>
        <v>1765089962849</v>
      </c>
      <c r="G32" s="34" t="n">
        <f aca="false">IF(E32=1,DuLieu!O44,"")</f>
        <v>1550800804490.28</v>
      </c>
      <c r="H32" s="34" t="n">
        <f aca="false">IF(E32=1,DuLieu!G44,"")</f>
        <v>757114007971</v>
      </c>
      <c r="I32" s="37" t="n">
        <f aca="false">IF(E32=1,DuLieu!L44,"")</f>
        <v>53.63166646</v>
      </c>
      <c r="J32" s="37" t="n">
        <f aca="false">IF(E32=1,DuLieu!M44,"")</f>
        <v>23.2849121</v>
      </c>
      <c r="K32" s="37" t="n">
        <f aca="false">IF(E32=1,DuLieu!N44,"")</f>
        <v>87.77164799</v>
      </c>
      <c r="L32" s="35" t="n">
        <f aca="false">IF(E32=1,DuLieu!P44,"")</f>
        <v>0.162474505891535</v>
      </c>
      <c r="M32" s="37" t="n">
        <f aca="false">IF(E32=1,INDEX(B3_NguongKhoanMuc!$E$4:$E$5,MATCH(D32,B3_NguongKhoanMuc!$A$4:$A$5,0)),"")</f>
        <v>58.2071385175</v>
      </c>
      <c r="N32" s="37" t="n">
        <f aca="false">IF(E32=1,INDEX(B3_NguongKhoanMuc!$F$4:$F$5,MATCH(D32,B3_NguongKhoanMuc!$A$4:$A$5,0)),"")</f>
        <v>66.26326635</v>
      </c>
      <c r="O32" s="37" t="n">
        <f aca="false">IF(E32=1,INDEX(B3_NguongKhoanMuc!$H$4:$H$5,MATCH(D32,B3_NguongKhoanMuc!$A$4:$A$5,0)),"")</f>
        <v>86.118055065</v>
      </c>
      <c r="P32" s="37" t="n">
        <f aca="false">IF(E32=1,INDEX(B3_NguongKhoanMuc!$I$4:$I$5,MATCH(D32,B3_NguongKhoanMuc!$A$4:$A$5,0)),"")</f>
        <v>137.965147652</v>
      </c>
      <c r="Q32" s="37" t="n">
        <f aca="false">IF(E32=1,INDEX(B3_NguongKhoanMuc!$K$4:$K$5,MATCH(D32,B3_NguongKhoanMuc!$A$4:$A$5,0)),"")</f>
        <v>68.3092044425</v>
      </c>
      <c r="R32" s="37" t="n">
        <f aca="false">IF(E32=1,INDEX(B3_NguongKhoanMuc!$L$4:$L$5,MATCH(D32,B3_NguongKhoanMuc!$A$4:$A$5,0)),"")</f>
        <v>14.892652922</v>
      </c>
      <c r="S32" s="35" t="n">
        <f aca="false">IF(E32=1,INDEX(B3_NguongKhoanMuc!$M$4:$M$5,MATCH(D32,B3_NguongKhoanMuc!$A$4:$A$5,0)),"")</f>
        <v>0.0830079952170207</v>
      </c>
      <c r="T32" s="2" t="n">
        <f aca="false">IF(E32&lt;&gt;1,"",IF(I32&gt;N32,2,IF(I32&gt;M32,1,0)))</f>
        <v>0</v>
      </c>
      <c r="U32" s="2" t="n">
        <f aca="false">IF(E32&lt;&gt;1,"",IF(J32&gt;P32,2,IF(J32&gt;O32,1,0)))</f>
        <v>0</v>
      </c>
      <c r="V32" s="2" t="n">
        <f aca="false">IF(E32&lt;&gt;1,"",IF(AND(K32&lt;R32,L32&lt;S32),1,0))</f>
        <v>0</v>
      </c>
      <c r="W32" s="2" t="n">
        <f aca="false">IF(E32&lt;&gt;1,"",IF(K32&gt;Q32,1,0))</f>
        <v>1</v>
      </c>
      <c r="X32" s="34" t="n">
        <f aca="false">IF(E32&lt;&gt;1,"",IF(T32&gt;=1,(I32-M32)*F32/365,0))</f>
        <v>0</v>
      </c>
      <c r="Y32" s="34" t="n">
        <f aca="false">IF(E32&lt;&gt;1,"",IF(U32&gt;=1,(J32-O32)*G32/365,0))</f>
        <v>0</v>
      </c>
      <c r="Z32" s="35" t="n">
        <f aca="false">IF(E32&lt;&gt;1,"",IF(H32&gt;0,MAX(X32,Y32)/H32,0))</f>
        <v>0</v>
      </c>
      <c r="AA32" s="2" t="str">
        <f aca="false">IF(E32&lt;&gt;1,"",CHOOSE(T32+1,"An toàn","Có nguy cơ","Trầm trọng"))</f>
        <v>An toàn</v>
      </c>
      <c r="AB32" s="2" t="str">
        <f aca="false">IF(E32&lt;&gt;1,"",CHOOSE(U32+1,"An toàn","Có nguy cơ","Trầm trọng"))</f>
        <v>An toàn</v>
      </c>
      <c r="AC32" s="2" t="str">
        <f aca="false">IF(E32&lt;&gt;1,"",IF(V32=1,"Có nguy cơ: NCC cho nợ ít + tiền mỏng",IF(W32=1,"Lưu ý: DPO cao – kiểm tra quá hạn NCC","An toàn")))</f>
        <v>Lưu ý: DPO cao – kiểm tra quá hạn NCC</v>
      </c>
      <c r="AD32" s="10" t="str">
        <f aca="false">IF(OR(AND(ThamSo!$C$10=1,MAX(T32,U32)=2),AND(MAX(T32,U32)&gt;=1,Z32&gt;=ThamSo!$C$9)),"W2",IF(OR(MAX(T32,U32)&gt;=1,V32=1),"W1","W0"))</f>
        <v>W0</v>
      </c>
      <c r="AE32" s="10" t="str">
        <f aca="false">CHOOSE(MATCH(AD32,{"W0","W1","W2"},0),"An toàn","Có nguy cơ","Thiếu trầm trọng")</f>
        <v>An toàn</v>
      </c>
      <c r="AF32" s="2" t="str">
        <f aca="false">IF(OR(E32&lt;&gt;1,AD32="W0"),"",IF(AND(T32=0,U32=0),"Phải trả",IF(T32&gt;U32,"Phải thu",IF(U32&gt;T32,"Tồn kho",IF(X32&gt;=Y32,"Phải thu","Tồn kho")))))</f>
        <v/>
      </c>
      <c r="AG32" s="2" t="str">
        <f aca="false">TRIM(IF(T32=2,"R-AR-2 ",IF(T32=1,"R-AR-1 ",""))&amp;IF(U32=2,"R-INV-2 ",IF(U32=1,"R-INV-1 ",""))&amp;IF(V32=1,"R-AP-1 ","")&amp;IF(AND(MAX(T32,U32)&gt;=1,Z32&gt;=ThamSo!$C$9),"R-MAT",""))</f>
        <v/>
      </c>
      <c r="AH32" s="34" t="n">
        <f aca="false">IF(E32&lt;&gt;1,"",X32+Y32)</f>
        <v>0</v>
      </c>
      <c r="AI32" s="2" t="n">
        <f aca="false">IF(OR(E32&lt;&gt;1,DuLieu!A45&lt;&gt;DuLieu!A44,DuLieu!B45&gt;ThamSo!$C$23,DuLieu!D45="",DuLieu!K45=""),"",IF(OR(DuLieu!K45&lt;0,DuLieu!D45&lt;DuLieu!D44*(1-ThamSo!$C$20)),1,0))</f>
        <v>0</v>
      </c>
    </row>
    <row r="33" customFormat="false" ht="15" hidden="false" customHeight="false" outlineLevel="0" collapsed="false">
      <c r="A33" s="36" t="str">
        <f aca="false">DuLieu!A45</f>
        <v>MGG</v>
      </c>
      <c r="B33" s="36" t="n">
        <f aca="false">DuLieu!B45</f>
        <v>2024</v>
      </c>
      <c r="C33" s="2" t="str">
        <f aca="false">A33&amp;"-"&amp;B33</f>
        <v>MGG-2024</v>
      </c>
      <c r="D33" s="2" t="str">
        <f aca="false">DuLieu!S45&amp;"|"&amp;DuLieu!V45</f>
        <v>FOB|Lớn</v>
      </c>
      <c r="E33" s="36" t="n">
        <f aca="false">DuLieu!U45</f>
        <v>1</v>
      </c>
      <c r="F33" s="34" t="n">
        <f aca="false">IF(E33=1,DuLieu!D45,"")</f>
        <v>1534124294505</v>
      </c>
      <c r="G33" s="34" t="n">
        <f aca="false">IF(E33=1,DuLieu!O45,"")</f>
        <v>1324539075584.08</v>
      </c>
      <c r="H33" s="34" t="n">
        <f aca="false">IF(E33=1,DuLieu!G45,"")</f>
        <v>794042884511</v>
      </c>
      <c r="I33" s="37" t="n">
        <f aca="false">IF(E33=1,DuLieu!L45,"")</f>
        <v>62.00699765</v>
      </c>
      <c r="J33" s="37" t="n">
        <f aca="false">IF(E33=1,DuLieu!M45,"")</f>
        <v>19.96607912</v>
      </c>
      <c r="K33" s="37" t="n">
        <f aca="false">IF(E33=1,DuLieu!N45,"")</f>
        <v>110.1532872</v>
      </c>
      <c r="L33" s="35" t="n">
        <f aca="false">IF(E33=1,DuLieu!P45,"")</f>
        <v>0.142269555942612</v>
      </c>
      <c r="M33" s="37" t="n">
        <f aca="false">IF(E33=1,INDEX(B3_NguongKhoanMuc!$E$4:$E$5,MATCH(D33,B3_NguongKhoanMuc!$A$4:$A$5,0)),"")</f>
        <v>58.2071385175</v>
      </c>
      <c r="N33" s="37" t="n">
        <f aca="false">IF(E33=1,INDEX(B3_NguongKhoanMuc!$F$4:$F$5,MATCH(D33,B3_NguongKhoanMuc!$A$4:$A$5,0)),"")</f>
        <v>66.26326635</v>
      </c>
      <c r="O33" s="37" t="n">
        <f aca="false">IF(E33=1,INDEX(B3_NguongKhoanMuc!$H$4:$H$5,MATCH(D33,B3_NguongKhoanMuc!$A$4:$A$5,0)),"")</f>
        <v>86.118055065</v>
      </c>
      <c r="P33" s="37" t="n">
        <f aca="false">IF(E33=1,INDEX(B3_NguongKhoanMuc!$I$4:$I$5,MATCH(D33,B3_NguongKhoanMuc!$A$4:$A$5,0)),"")</f>
        <v>137.965147652</v>
      </c>
      <c r="Q33" s="37" t="n">
        <f aca="false">IF(E33=1,INDEX(B3_NguongKhoanMuc!$K$4:$K$5,MATCH(D33,B3_NguongKhoanMuc!$A$4:$A$5,0)),"")</f>
        <v>68.3092044425</v>
      </c>
      <c r="R33" s="37" t="n">
        <f aca="false">IF(E33=1,INDEX(B3_NguongKhoanMuc!$L$4:$L$5,MATCH(D33,B3_NguongKhoanMuc!$A$4:$A$5,0)),"")</f>
        <v>14.892652922</v>
      </c>
      <c r="S33" s="35" t="n">
        <f aca="false">IF(E33=1,INDEX(B3_NguongKhoanMuc!$M$4:$M$5,MATCH(D33,B3_NguongKhoanMuc!$A$4:$A$5,0)),"")</f>
        <v>0.0830079952170207</v>
      </c>
      <c r="T33" s="2" t="n">
        <f aca="false">IF(E33&lt;&gt;1,"",IF(I33&gt;N33,2,IF(I33&gt;M33,1,0)))</f>
        <v>1</v>
      </c>
      <c r="U33" s="2" t="n">
        <f aca="false">IF(E33&lt;&gt;1,"",IF(J33&gt;P33,2,IF(J33&gt;O33,1,0)))</f>
        <v>0</v>
      </c>
      <c r="V33" s="2" t="n">
        <f aca="false">IF(E33&lt;&gt;1,"",IF(AND(K33&lt;R33,L33&lt;S33),1,0))</f>
        <v>0</v>
      </c>
      <c r="W33" s="2" t="n">
        <f aca="false">IF(E33&lt;&gt;1,"",IF(K33&gt;Q33,1,0))</f>
        <v>1</v>
      </c>
      <c r="X33" s="34" t="n">
        <f aca="false">IF(E33&lt;&gt;1,"",IF(T33&gt;=1,(I33-M33)*F33/365,0))</f>
        <v>15971112906.4793</v>
      </c>
      <c r="Y33" s="34" t="n">
        <f aca="false">IF(E33&lt;&gt;1,"",IF(U33&gt;=1,(J33-O33)*G33/365,0))</f>
        <v>0</v>
      </c>
      <c r="Z33" s="35" t="n">
        <f aca="false">IF(E33&lt;&gt;1,"",IF(H33&gt;0,MAX(X33,Y33)/H33,0))</f>
        <v>0.0201136654178507</v>
      </c>
      <c r="AA33" s="2" t="str">
        <f aca="false">IF(E33&lt;&gt;1,"",CHOOSE(T33+1,"An toàn","Có nguy cơ","Trầm trọng"))</f>
        <v>Có nguy cơ</v>
      </c>
      <c r="AB33" s="2" t="str">
        <f aca="false">IF(E33&lt;&gt;1,"",CHOOSE(U33+1,"An toàn","Có nguy cơ","Trầm trọng"))</f>
        <v>An toàn</v>
      </c>
      <c r="AC33" s="2" t="str">
        <f aca="false">IF(E33&lt;&gt;1,"",IF(V33=1,"Có nguy cơ: NCC cho nợ ít + tiền mỏng",IF(W33=1,"Lưu ý: DPO cao – kiểm tra quá hạn NCC","An toàn")))</f>
        <v>Lưu ý: DPO cao – kiểm tra quá hạn NCC</v>
      </c>
      <c r="AD33" s="10" t="str">
        <f aca="false">IF(OR(AND(ThamSo!$C$10=1,MAX(T33,U33)=2),AND(MAX(T33,U33)&gt;=1,Z33&gt;=ThamSo!$C$9)),"W2",IF(OR(MAX(T33,U33)&gt;=1,V33=1),"W1","W0"))</f>
        <v>W1</v>
      </c>
      <c r="AE33" s="10" t="str">
        <f aca="false">CHOOSE(MATCH(AD33,{"W0","W1","W2"},0),"An toàn","Có nguy cơ","Thiếu trầm trọng")</f>
        <v>Có nguy cơ</v>
      </c>
      <c r="AF33" s="2" t="str">
        <f aca="false">IF(OR(E33&lt;&gt;1,AD33="W0"),"",IF(AND(T33=0,U33=0),"Phải trả",IF(T33&gt;U33,"Phải thu",IF(U33&gt;T33,"Tồn kho",IF(X33&gt;=Y33,"Phải thu","Tồn kho")))))</f>
        <v>Phải thu</v>
      </c>
      <c r="AG33" s="2" t="str">
        <f aca="false">TRIM(IF(T33=2,"R-AR-2 ",IF(T33=1,"R-AR-1 ",""))&amp;IF(U33=2,"R-INV-2 ",IF(U33=1,"R-INV-1 ",""))&amp;IF(V33=1,"R-AP-1 ","")&amp;IF(AND(MAX(T33,U33)&gt;=1,Z33&gt;=ThamSo!$C$9),"R-MAT",""))</f>
        <v>R-AR-1</v>
      </c>
      <c r="AH33" s="34" t="n">
        <f aca="false">IF(E33&lt;&gt;1,"",X33+Y33)</f>
        <v>15971112906.4793</v>
      </c>
      <c r="AI33" s="2" t="n">
        <f aca="false">IF(OR(E33&lt;&gt;1,DuLieu!A46&lt;&gt;DuLieu!A45,DuLieu!B46&gt;ThamSo!$C$23,DuLieu!D46="",DuLieu!K46=""),"",IF(OR(DuLieu!K46&lt;0,DuLieu!D46&lt;DuLieu!D45*(1-ThamSo!$C$20)),1,0))</f>
        <v>0</v>
      </c>
    </row>
    <row r="34" customFormat="false" ht="15" hidden="false" customHeight="false" outlineLevel="0" collapsed="false">
      <c r="A34" s="36" t="str">
        <f aca="false">DuLieu!A46</f>
        <v>MGG</v>
      </c>
      <c r="B34" s="36" t="n">
        <f aca="false">DuLieu!B46</f>
        <v>2025</v>
      </c>
      <c r="C34" s="2" t="str">
        <f aca="false">A34&amp;"-"&amp;B34</f>
        <v>MGG-2025</v>
      </c>
      <c r="D34" s="2" t="str">
        <f aca="false">DuLieu!S46&amp;"|"&amp;DuLieu!V46</f>
        <v>FOB|Lớn</v>
      </c>
      <c r="E34" s="36" t="n">
        <f aca="false">DuLieu!U46</f>
        <v>1</v>
      </c>
      <c r="F34" s="34" t="n">
        <f aca="false">IF(E34=1,DuLieu!D46,"")</f>
        <v>1660788747801</v>
      </c>
      <c r="G34" s="34" t="n">
        <f aca="false">IF(E34=1,DuLieu!O46,"")</f>
        <v>1428316488034.28</v>
      </c>
      <c r="H34" s="34" t="n">
        <f aca="false">IF(E34=1,DuLieu!G46,"")</f>
        <v>709964550439</v>
      </c>
      <c r="I34" s="37" t="n">
        <f aca="false">IF(E34=1,DuLieu!L46,"")</f>
        <v>54.73756874</v>
      </c>
      <c r="J34" s="37" t="n">
        <f aca="false">IF(E34=1,DuLieu!M46,"")</f>
        <v>24.46245626</v>
      </c>
      <c r="K34" s="37" t="n">
        <f aca="false">IF(E34=1,DuLieu!N46,"")</f>
        <v>100.84165651</v>
      </c>
      <c r="L34" s="35" t="n">
        <f aca="false">IF(E34=1,DuLieu!P46,"")</f>
        <v>0.200133330564825</v>
      </c>
      <c r="M34" s="37" t="n">
        <f aca="false">IF(E34=1,INDEX(B3_NguongKhoanMuc!$E$4:$E$5,MATCH(D34,B3_NguongKhoanMuc!$A$4:$A$5,0)),"")</f>
        <v>58.2071385175</v>
      </c>
      <c r="N34" s="37" t="n">
        <f aca="false">IF(E34=1,INDEX(B3_NguongKhoanMuc!$F$4:$F$5,MATCH(D34,B3_NguongKhoanMuc!$A$4:$A$5,0)),"")</f>
        <v>66.26326635</v>
      </c>
      <c r="O34" s="37" t="n">
        <f aca="false">IF(E34=1,INDEX(B3_NguongKhoanMuc!$H$4:$H$5,MATCH(D34,B3_NguongKhoanMuc!$A$4:$A$5,0)),"")</f>
        <v>86.118055065</v>
      </c>
      <c r="P34" s="37" t="n">
        <f aca="false">IF(E34=1,INDEX(B3_NguongKhoanMuc!$I$4:$I$5,MATCH(D34,B3_NguongKhoanMuc!$A$4:$A$5,0)),"")</f>
        <v>137.965147652</v>
      </c>
      <c r="Q34" s="37" t="n">
        <f aca="false">IF(E34=1,INDEX(B3_NguongKhoanMuc!$K$4:$K$5,MATCH(D34,B3_NguongKhoanMuc!$A$4:$A$5,0)),"")</f>
        <v>68.3092044425</v>
      </c>
      <c r="R34" s="37" t="n">
        <f aca="false">IF(E34=1,INDEX(B3_NguongKhoanMuc!$L$4:$L$5,MATCH(D34,B3_NguongKhoanMuc!$A$4:$A$5,0)),"")</f>
        <v>14.892652922</v>
      </c>
      <c r="S34" s="35" t="n">
        <f aca="false">IF(E34=1,INDEX(B3_NguongKhoanMuc!$M$4:$M$5,MATCH(D34,B3_NguongKhoanMuc!$A$4:$A$5,0)),"")</f>
        <v>0.0830079952170207</v>
      </c>
      <c r="T34" s="2" t="n">
        <f aca="false">IF(E34&lt;&gt;1,"",IF(I34&gt;N34,2,IF(I34&gt;M34,1,0)))</f>
        <v>0</v>
      </c>
      <c r="U34" s="2" t="n">
        <f aca="false">IF(E34&lt;&gt;1,"",IF(J34&gt;P34,2,IF(J34&gt;O34,1,0)))</f>
        <v>0</v>
      </c>
      <c r="V34" s="2" t="n">
        <f aca="false">IF(E34&lt;&gt;1,"",IF(AND(K34&lt;R34,L34&lt;S34),1,0))</f>
        <v>0</v>
      </c>
      <c r="W34" s="2" t="n">
        <f aca="false">IF(E34&lt;&gt;1,"",IF(K34&gt;Q34,1,0))</f>
        <v>1</v>
      </c>
      <c r="X34" s="34" t="n">
        <f aca="false">IF(E34&lt;&gt;1,"",IF(T34&gt;=1,(I34-M34)*F34/365,0))</f>
        <v>0</v>
      </c>
      <c r="Y34" s="34" t="n">
        <f aca="false">IF(E34&lt;&gt;1,"",IF(U34&gt;=1,(J34-O34)*G34/365,0))</f>
        <v>0</v>
      </c>
      <c r="Z34" s="35" t="n">
        <f aca="false">IF(E34&lt;&gt;1,"",IF(H34&gt;0,MAX(X34,Y34)/H34,0))</f>
        <v>0</v>
      </c>
      <c r="AA34" s="2" t="str">
        <f aca="false">IF(E34&lt;&gt;1,"",CHOOSE(T34+1,"An toàn","Có nguy cơ","Trầm trọng"))</f>
        <v>An toàn</v>
      </c>
      <c r="AB34" s="2" t="str">
        <f aca="false">IF(E34&lt;&gt;1,"",CHOOSE(U34+1,"An toàn","Có nguy cơ","Trầm trọng"))</f>
        <v>An toàn</v>
      </c>
      <c r="AC34" s="2" t="str">
        <f aca="false">IF(E34&lt;&gt;1,"",IF(V34=1,"Có nguy cơ: NCC cho nợ ít + tiền mỏng",IF(W34=1,"Lưu ý: DPO cao – kiểm tra quá hạn NCC","An toàn")))</f>
        <v>Lưu ý: DPO cao – kiểm tra quá hạn NCC</v>
      </c>
      <c r="AD34" s="10" t="str">
        <f aca="false">IF(OR(AND(ThamSo!$C$10=1,MAX(T34,U34)=2),AND(MAX(T34,U34)&gt;=1,Z34&gt;=ThamSo!$C$9)),"W2",IF(OR(MAX(T34,U34)&gt;=1,V34=1),"W1","W0"))</f>
        <v>W0</v>
      </c>
      <c r="AE34" s="10" t="str">
        <f aca="false">CHOOSE(MATCH(AD34,{"W0","W1","W2"},0),"An toàn","Có nguy cơ","Thiếu trầm trọng")</f>
        <v>An toàn</v>
      </c>
      <c r="AF34" s="2" t="str">
        <f aca="false">IF(OR(E34&lt;&gt;1,AD34="W0"),"",IF(AND(T34=0,U34=0),"Phải trả",IF(T34&gt;U34,"Phải thu",IF(U34&gt;T34,"Tồn kho",IF(X34&gt;=Y34,"Phải thu","Tồn kho")))))</f>
        <v/>
      </c>
      <c r="AG34" s="2" t="str">
        <f aca="false">TRIM(IF(T34=2,"R-AR-2 ",IF(T34=1,"R-AR-1 ",""))&amp;IF(U34=2,"R-INV-2 ",IF(U34=1,"R-INV-1 ",""))&amp;IF(V34=1,"R-AP-1 ","")&amp;IF(AND(MAX(T34,U34)&gt;=1,Z34&gt;=ThamSo!$C$9),"R-MAT",""))</f>
        <v/>
      </c>
      <c r="AH34" s="34" t="n">
        <f aca="false">IF(E34&lt;&gt;1,"",X34+Y34)</f>
        <v>0</v>
      </c>
      <c r="AI34" s="2" t="str">
        <f aca="false">IF(OR(E34&lt;&gt;1,DuLieu!A47&lt;&gt;DuLieu!A46,DuLieu!B47&gt;ThamSo!$C$23,DuLieu!D47="",DuLieu!K47=""),"",IF(OR(DuLieu!K47&lt;0,DuLieu!D47&lt;DuLieu!D46*(1-ThamSo!$C$20)),1,0))</f>
        <v/>
      </c>
    </row>
    <row r="35" customFormat="false" ht="15" hidden="false" customHeight="false" outlineLevel="0" collapsed="false">
      <c r="A35" s="36" t="str">
        <f aca="false">DuLieu!A47</f>
        <v>MNB</v>
      </c>
      <c r="B35" s="36" t="n">
        <f aca="false">DuLieu!B47</f>
        <v>2023</v>
      </c>
      <c r="C35" s="2" t="str">
        <f aca="false">A35&amp;"-"&amp;B35</f>
        <v>MNB-2023</v>
      </c>
      <c r="D35" s="2" t="str">
        <f aca="false">DuLieu!S47&amp;"|"&amp;DuLieu!V47</f>
        <v>FOB|Lớn</v>
      </c>
      <c r="E35" s="36" t="n">
        <f aca="false">DuLieu!U47</f>
        <v>1</v>
      </c>
      <c r="F35" s="34" t="n">
        <f aca="false">IF(E35=1,DuLieu!D47,"")</f>
        <v>3751918453654</v>
      </c>
      <c r="G35" s="34" t="n">
        <f aca="false">IF(E35=1,DuLieu!O47,"")</f>
        <v>3103838473475.72</v>
      </c>
      <c r="H35" s="34" t="n">
        <f aca="false">IF(E35=1,DuLieu!G47,"")</f>
        <v>1936266435552</v>
      </c>
      <c r="I35" s="37" t="n">
        <f aca="false">IF(E35=1,DuLieu!L47,"")</f>
        <v>61.3786369</v>
      </c>
      <c r="J35" s="37" t="n">
        <f aca="false">IF(E35=1,DuLieu!M47,"")</f>
        <v>85.81084747</v>
      </c>
      <c r="K35" s="37" t="n">
        <f aca="false">IF(E35=1,DuLieu!N47,"")</f>
        <v>30.4567722</v>
      </c>
      <c r="L35" s="35" t="n">
        <f aca="false">IF(E35=1,DuLieu!P47,"")</f>
        <v>0.106490431900481</v>
      </c>
      <c r="M35" s="37" t="n">
        <f aca="false">IF(E35=1,INDEX(B3_NguongKhoanMuc!$E$4:$E$5,MATCH(D35,B3_NguongKhoanMuc!$A$4:$A$5,0)),"")</f>
        <v>58.2071385175</v>
      </c>
      <c r="N35" s="37" t="n">
        <f aca="false">IF(E35=1,INDEX(B3_NguongKhoanMuc!$F$4:$F$5,MATCH(D35,B3_NguongKhoanMuc!$A$4:$A$5,0)),"")</f>
        <v>66.26326635</v>
      </c>
      <c r="O35" s="37" t="n">
        <f aca="false">IF(E35=1,INDEX(B3_NguongKhoanMuc!$H$4:$H$5,MATCH(D35,B3_NguongKhoanMuc!$A$4:$A$5,0)),"")</f>
        <v>86.118055065</v>
      </c>
      <c r="P35" s="37" t="n">
        <f aca="false">IF(E35=1,INDEX(B3_NguongKhoanMuc!$I$4:$I$5,MATCH(D35,B3_NguongKhoanMuc!$A$4:$A$5,0)),"")</f>
        <v>137.965147652</v>
      </c>
      <c r="Q35" s="37" t="n">
        <f aca="false">IF(E35=1,INDEX(B3_NguongKhoanMuc!$K$4:$K$5,MATCH(D35,B3_NguongKhoanMuc!$A$4:$A$5,0)),"")</f>
        <v>68.3092044425</v>
      </c>
      <c r="R35" s="37" t="n">
        <f aca="false">IF(E35=1,INDEX(B3_NguongKhoanMuc!$L$4:$L$5,MATCH(D35,B3_NguongKhoanMuc!$A$4:$A$5,0)),"")</f>
        <v>14.892652922</v>
      </c>
      <c r="S35" s="35" t="n">
        <f aca="false">IF(E35=1,INDEX(B3_NguongKhoanMuc!$M$4:$M$5,MATCH(D35,B3_NguongKhoanMuc!$A$4:$A$5,0)),"")</f>
        <v>0.0830079952170207</v>
      </c>
      <c r="T35" s="2" t="n">
        <f aca="false">IF(E35&lt;&gt;1,"",IF(I35&gt;N35,2,IF(I35&gt;M35,1,0)))</f>
        <v>1</v>
      </c>
      <c r="U35" s="2" t="n">
        <f aca="false">IF(E35&lt;&gt;1,"",IF(J35&gt;P35,2,IF(J35&gt;O35,1,0)))</f>
        <v>0</v>
      </c>
      <c r="V35" s="2" t="n">
        <f aca="false">IF(E35&lt;&gt;1,"",IF(AND(K35&lt;R35,L35&lt;S35),1,0))</f>
        <v>0</v>
      </c>
      <c r="W35" s="2" t="n">
        <f aca="false">IF(E35&lt;&gt;1,"",IF(K35&gt;Q35,1,0))</f>
        <v>0</v>
      </c>
      <c r="X35" s="34" t="n">
        <f aca="false">IF(E35&lt;&gt;1,"",IF(T35&gt;=1,(I35-M35)*F35/365,0))</f>
        <v>32600557005.5769</v>
      </c>
      <c r="Y35" s="34" t="n">
        <f aca="false">IF(E35&lt;&gt;1,"",IF(U35&gt;=1,(J35-O35)*G35/365,0))</f>
        <v>0</v>
      </c>
      <c r="Z35" s="35" t="n">
        <f aca="false">IF(E35&lt;&gt;1,"",IF(H35&gt;0,MAX(X35,Y35)/H35,0))</f>
        <v>0.016836813574307</v>
      </c>
      <c r="AA35" s="2" t="str">
        <f aca="false">IF(E35&lt;&gt;1,"",CHOOSE(T35+1,"An toàn","Có nguy cơ","Trầm trọng"))</f>
        <v>Có nguy cơ</v>
      </c>
      <c r="AB35" s="2" t="str">
        <f aca="false">IF(E35&lt;&gt;1,"",CHOOSE(U35+1,"An toàn","Có nguy cơ","Trầm trọng"))</f>
        <v>An toàn</v>
      </c>
      <c r="AC35" s="2" t="str">
        <f aca="false">IF(E35&lt;&gt;1,"",IF(V35=1,"Có nguy cơ: NCC cho nợ ít + tiền mỏng",IF(W35=1,"Lưu ý: DPO cao – kiểm tra quá hạn NCC","An toàn")))</f>
        <v>An toàn</v>
      </c>
      <c r="AD35" s="10" t="str">
        <f aca="false">IF(OR(AND(ThamSo!$C$10=1,MAX(T35,U35)=2),AND(MAX(T35,U35)&gt;=1,Z35&gt;=ThamSo!$C$9)),"W2",IF(OR(MAX(T35,U35)&gt;=1,V35=1),"W1","W0"))</f>
        <v>W1</v>
      </c>
      <c r="AE35" s="10" t="str">
        <f aca="false">CHOOSE(MATCH(AD35,{"W0","W1","W2"},0),"An toàn","Có nguy cơ","Thiếu trầm trọng")</f>
        <v>Có nguy cơ</v>
      </c>
      <c r="AF35" s="2" t="str">
        <f aca="false">IF(OR(E35&lt;&gt;1,AD35="W0"),"",IF(AND(T35=0,U35=0),"Phải trả",IF(T35&gt;U35,"Phải thu",IF(U35&gt;T35,"Tồn kho",IF(X35&gt;=Y35,"Phải thu","Tồn kho")))))</f>
        <v>Phải thu</v>
      </c>
      <c r="AG35" s="2" t="str">
        <f aca="false">TRIM(IF(T35=2,"R-AR-2 ",IF(T35=1,"R-AR-1 ",""))&amp;IF(U35=2,"R-INV-2 ",IF(U35=1,"R-INV-1 ",""))&amp;IF(V35=1,"R-AP-1 ","")&amp;IF(AND(MAX(T35,U35)&gt;=1,Z35&gt;=ThamSo!$C$9),"R-MAT",""))</f>
        <v>R-AR-1</v>
      </c>
      <c r="AH35" s="34" t="n">
        <f aca="false">IF(E35&lt;&gt;1,"",X35+Y35)</f>
        <v>32600557005.5769</v>
      </c>
      <c r="AI35" s="2" t="n">
        <f aca="false">IF(OR(E35&lt;&gt;1,DuLieu!A48&lt;&gt;DuLieu!A47,DuLieu!B48&gt;ThamSo!$C$23,DuLieu!D48="",DuLieu!K48=""),"",IF(OR(DuLieu!K48&lt;0,DuLieu!D48&lt;DuLieu!D47*(1-ThamSo!$C$20)),1,0))</f>
        <v>0</v>
      </c>
    </row>
    <row r="36" customFormat="false" ht="15" hidden="false" customHeight="false" outlineLevel="0" collapsed="false">
      <c r="A36" s="36" t="str">
        <f aca="false">DuLieu!A48</f>
        <v>MNB</v>
      </c>
      <c r="B36" s="36" t="n">
        <f aca="false">DuLieu!B48</f>
        <v>2024</v>
      </c>
      <c r="C36" s="2" t="str">
        <f aca="false">A36&amp;"-"&amp;B36</f>
        <v>MNB-2024</v>
      </c>
      <c r="D36" s="2" t="str">
        <f aca="false">DuLieu!S48&amp;"|"&amp;DuLieu!V48</f>
        <v>FOB|Lớn</v>
      </c>
      <c r="E36" s="36" t="n">
        <f aca="false">DuLieu!U48</f>
        <v>1</v>
      </c>
      <c r="F36" s="34" t="n">
        <f aca="false">IF(E36=1,DuLieu!D48,"")</f>
        <v>4637372808954</v>
      </c>
      <c r="G36" s="34" t="n">
        <f aca="false">IF(E36=1,DuLieu!O48,"")</f>
        <v>3769387439404.75</v>
      </c>
      <c r="H36" s="34" t="n">
        <f aca="false">IF(E36=1,DuLieu!G48,"")</f>
        <v>2311878047117</v>
      </c>
      <c r="I36" s="37" t="n">
        <f aca="false">IF(E36=1,DuLieu!L48,"")</f>
        <v>60.15672121</v>
      </c>
      <c r="J36" s="37" t="n">
        <f aca="false">IF(E36=1,DuLieu!M48,"")</f>
        <v>67.29453848</v>
      </c>
      <c r="K36" s="37" t="n">
        <f aca="false">IF(E36=1,DuLieu!N48,"")</f>
        <v>23.19799202</v>
      </c>
      <c r="L36" s="35" t="n">
        <f aca="false">IF(E36=1,DuLieu!P48,"")</f>
        <v>0.0954560448269948</v>
      </c>
      <c r="M36" s="37" t="n">
        <f aca="false">IF(E36=1,INDEX(B3_NguongKhoanMuc!$E$4:$E$5,MATCH(D36,B3_NguongKhoanMuc!$A$4:$A$5,0)),"")</f>
        <v>58.2071385175</v>
      </c>
      <c r="N36" s="37" t="n">
        <f aca="false">IF(E36=1,INDEX(B3_NguongKhoanMuc!$F$4:$F$5,MATCH(D36,B3_NguongKhoanMuc!$A$4:$A$5,0)),"")</f>
        <v>66.26326635</v>
      </c>
      <c r="O36" s="37" t="n">
        <f aca="false">IF(E36=1,INDEX(B3_NguongKhoanMuc!$H$4:$H$5,MATCH(D36,B3_NguongKhoanMuc!$A$4:$A$5,0)),"")</f>
        <v>86.118055065</v>
      </c>
      <c r="P36" s="37" t="n">
        <f aca="false">IF(E36=1,INDEX(B3_NguongKhoanMuc!$I$4:$I$5,MATCH(D36,B3_NguongKhoanMuc!$A$4:$A$5,0)),"")</f>
        <v>137.965147652</v>
      </c>
      <c r="Q36" s="37" t="n">
        <f aca="false">IF(E36=1,INDEX(B3_NguongKhoanMuc!$K$4:$K$5,MATCH(D36,B3_NguongKhoanMuc!$A$4:$A$5,0)),"")</f>
        <v>68.3092044425</v>
      </c>
      <c r="R36" s="37" t="n">
        <f aca="false">IF(E36=1,INDEX(B3_NguongKhoanMuc!$L$4:$L$5,MATCH(D36,B3_NguongKhoanMuc!$A$4:$A$5,0)),"")</f>
        <v>14.892652922</v>
      </c>
      <c r="S36" s="35" t="n">
        <f aca="false">IF(E36=1,INDEX(B3_NguongKhoanMuc!$M$4:$M$5,MATCH(D36,B3_NguongKhoanMuc!$A$4:$A$5,0)),"")</f>
        <v>0.0830079952170207</v>
      </c>
      <c r="T36" s="2" t="n">
        <f aca="false">IF(E36&lt;&gt;1,"",IF(I36&gt;N36,2,IF(I36&gt;M36,1,0)))</f>
        <v>1</v>
      </c>
      <c r="U36" s="2" t="n">
        <f aca="false">IF(E36&lt;&gt;1,"",IF(J36&gt;P36,2,IF(J36&gt;O36,1,0)))</f>
        <v>0</v>
      </c>
      <c r="V36" s="2" t="n">
        <f aca="false">IF(E36&lt;&gt;1,"",IF(AND(K36&lt;R36,L36&lt;S36),1,0))</f>
        <v>0</v>
      </c>
      <c r="W36" s="2" t="n">
        <f aca="false">IF(E36&lt;&gt;1,"",IF(K36&gt;Q36,1,0))</f>
        <v>0</v>
      </c>
      <c r="X36" s="34" t="n">
        <f aca="false">IF(E36&lt;&gt;1,"",IF(T36&gt;=1,(I36-M36)*F36/365,0))</f>
        <v>24769703471.2516</v>
      </c>
      <c r="Y36" s="34" t="n">
        <f aca="false">IF(E36&lt;&gt;1,"",IF(U36&gt;=1,(J36-O36)*G36/365,0))</f>
        <v>0</v>
      </c>
      <c r="Z36" s="35" t="n">
        <f aca="false">IF(E36&lt;&gt;1,"",IF(H36&gt;0,MAX(X36,Y36)/H36,0))</f>
        <v>0.0107141047090007</v>
      </c>
      <c r="AA36" s="2" t="str">
        <f aca="false">IF(E36&lt;&gt;1,"",CHOOSE(T36+1,"An toàn","Có nguy cơ","Trầm trọng"))</f>
        <v>Có nguy cơ</v>
      </c>
      <c r="AB36" s="2" t="str">
        <f aca="false">IF(E36&lt;&gt;1,"",CHOOSE(U36+1,"An toàn","Có nguy cơ","Trầm trọng"))</f>
        <v>An toàn</v>
      </c>
      <c r="AC36" s="2" t="str">
        <f aca="false">IF(E36&lt;&gt;1,"",IF(V36=1,"Có nguy cơ: NCC cho nợ ít + tiền mỏng",IF(W36=1,"Lưu ý: DPO cao – kiểm tra quá hạn NCC","An toàn")))</f>
        <v>An toàn</v>
      </c>
      <c r="AD36" s="10" t="str">
        <f aca="false">IF(OR(AND(ThamSo!$C$10=1,MAX(T36,U36)=2),AND(MAX(T36,U36)&gt;=1,Z36&gt;=ThamSo!$C$9)),"W2",IF(OR(MAX(T36,U36)&gt;=1,V36=1),"W1","W0"))</f>
        <v>W1</v>
      </c>
      <c r="AE36" s="10" t="str">
        <f aca="false">CHOOSE(MATCH(AD36,{"W0","W1","W2"},0),"An toàn","Có nguy cơ","Thiếu trầm trọng")</f>
        <v>Có nguy cơ</v>
      </c>
      <c r="AF36" s="2" t="str">
        <f aca="false">IF(OR(E36&lt;&gt;1,AD36="W0"),"",IF(AND(T36=0,U36=0),"Phải trả",IF(T36&gt;U36,"Phải thu",IF(U36&gt;T36,"Tồn kho",IF(X36&gt;=Y36,"Phải thu","Tồn kho")))))</f>
        <v>Phải thu</v>
      </c>
      <c r="AG36" s="2" t="str">
        <f aca="false">TRIM(IF(T36=2,"R-AR-2 ",IF(T36=1,"R-AR-1 ",""))&amp;IF(U36=2,"R-INV-2 ",IF(U36=1,"R-INV-1 ",""))&amp;IF(V36=1,"R-AP-1 ","")&amp;IF(AND(MAX(T36,U36)&gt;=1,Z36&gt;=ThamSo!$C$9),"R-MAT",""))</f>
        <v>R-AR-1</v>
      </c>
      <c r="AH36" s="34" t="n">
        <f aca="false">IF(E36&lt;&gt;1,"",X36+Y36)</f>
        <v>24769703471.2516</v>
      </c>
      <c r="AI36" s="2" t="n">
        <f aca="false">IF(OR(E36&lt;&gt;1,DuLieu!A49&lt;&gt;DuLieu!A48,DuLieu!B49&gt;ThamSo!$C$23,DuLieu!D49="",DuLieu!K49=""),"",IF(OR(DuLieu!K49&lt;0,DuLieu!D49&lt;DuLieu!D48*(1-ThamSo!$C$20)),1,0))</f>
        <v>0</v>
      </c>
    </row>
    <row r="37" customFormat="false" ht="15" hidden="false" customHeight="false" outlineLevel="0" collapsed="false">
      <c r="A37" s="36" t="str">
        <f aca="false">DuLieu!A49</f>
        <v>MNB</v>
      </c>
      <c r="B37" s="36" t="n">
        <f aca="false">DuLieu!B49</f>
        <v>2025</v>
      </c>
      <c r="C37" s="2" t="str">
        <f aca="false">A37&amp;"-"&amp;B37</f>
        <v>MNB-2025</v>
      </c>
      <c r="D37" s="2" t="str">
        <f aca="false">DuLieu!S49&amp;"|"&amp;DuLieu!V49</f>
        <v>FOB|Lớn</v>
      </c>
      <c r="E37" s="36" t="n">
        <f aca="false">DuLieu!U49</f>
        <v>1</v>
      </c>
      <c r="F37" s="34" t="n">
        <f aca="false">IF(E37=1,DuLieu!D49,"")</f>
        <v>5249810552745</v>
      </c>
      <c r="G37" s="34" t="n">
        <f aca="false">IF(E37=1,DuLieu!O49,"")</f>
        <v>4270136895732.17</v>
      </c>
      <c r="H37" s="34" t="n">
        <f aca="false">IF(E37=1,DuLieu!G49,"")</f>
        <v>2668413771619</v>
      </c>
      <c r="I37" s="37" t="n">
        <f aca="false">IF(E37=1,DuLieu!L49,"")</f>
        <v>71.09773073</v>
      </c>
      <c r="J37" s="37" t="n">
        <f aca="false">IF(E37=1,DuLieu!M49,"")</f>
        <v>59.78962883</v>
      </c>
      <c r="K37" s="37" t="n">
        <f aca="false">IF(E37=1,DuLieu!N49,"")</f>
        <v>24.57389009</v>
      </c>
      <c r="L37" s="35" t="n">
        <f aca="false">IF(E37=1,DuLieu!P49,"")</f>
        <v>0.118684142521717</v>
      </c>
      <c r="M37" s="37" t="n">
        <f aca="false">IF(E37=1,INDEX(B3_NguongKhoanMuc!$E$4:$E$5,MATCH(D37,B3_NguongKhoanMuc!$A$4:$A$5,0)),"")</f>
        <v>58.2071385175</v>
      </c>
      <c r="N37" s="37" t="n">
        <f aca="false">IF(E37=1,INDEX(B3_NguongKhoanMuc!$F$4:$F$5,MATCH(D37,B3_NguongKhoanMuc!$A$4:$A$5,0)),"")</f>
        <v>66.26326635</v>
      </c>
      <c r="O37" s="37" t="n">
        <f aca="false">IF(E37=1,INDEX(B3_NguongKhoanMuc!$H$4:$H$5,MATCH(D37,B3_NguongKhoanMuc!$A$4:$A$5,0)),"")</f>
        <v>86.118055065</v>
      </c>
      <c r="P37" s="37" t="n">
        <f aca="false">IF(E37=1,INDEX(B3_NguongKhoanMuc!$I$4:$I$5,MATCH(D37,B3_NguongKhoanMuc!$A$4:$A$5,0)),"")</f>
        <v>137.965147652</v>
      </c>
      <c r="Q37" s="37" t="n">
        <f aca="false">IF(E37=1,INDEX(B3_NguongKhoanMuc!$K$4:$K$5,MATCH(D37,B3_NguongKhoanMuc!$A$4:$A$5,0)),"")</f>
        <v>68.3092044425</v>
      </c>
      <c r="R37" s="37" t="n">
        <f aca="false">IF(E37=1,INDEX(B3_NguongKhoanMuc!$L$4:$L$5,MATCH(D37,B3_NguongKhoanMuc!$A$4:$A$5,0)),"")</f>
        <v>14.892652922</v>
      </c>
      <c r="S37" s="35" t="n">
        <f aca="false">IF(E37=1,INDEX(B3_NguongKhoanMuc!$M$4:$M$5,MATCH(D37,B3_NguongKhoanMuc!$A$4:$A$5,0)),"")</f>
        <v>0.0830079952170207</v>
      </c>
      <c r="T37" s="2" t="n">
        <f aca="false">IF(E37&lt;&gt;1,"",IF(I37&gt;N37,2,IF(I37&gt;M37,1,0)))</f>
        <v>2</v>
      </c>
      <c r="U37" s="2" t="n">
        <f aca="false">IF(E37&lt;&gt;1,"",IF(J37&gt;P37,2,IF(J37&gt;O37,1,0)))</f>
        <v>0</v>
      </c>
      <c r="V37" s="2" t="n">
        <f aca="false">IF(E37&lt;&gt;1,"",IF(AND(K37&lt;R37,L37&lt;S37),1,0))</f>
        <v>0</v>
      </c>
      <c r="W37" s="2" t="n">
        <f aca="false">IF(E37&lt;&gt;1,"",IF(K37&gt;Q37,1,0))</f>
        <v>0</v>
      </c>
      <c r="X37" s="34" t="n">
        <f aca="false">IF(E37&lt;&gt;1,"",IF(T37&gt;=1,(I37-M37)*F37/365,0))</f>
        <v>185405937063.877</v>
      </c>
      <c r="Y37" s="34" t="n">
        <f aca="false">IF(E37&lt;&gt;1,"",IF(U37&gt;=1,(J37-O37)*G37/365,0))</f>
        <v>0</v>
      </c>
      <c r="Z37" s="35" t="n">
        <f aca="false">IF(E37&lt;&gt;1,"",IF(H37&gt;0,MAX(X37,Y37)/H37,0))</f>
        <v>0.0694817044627175</v>
      </c>
      <c r="AA37" s="2" t="str">
        <f aca="false">IF(E37&lt;&gt;1,"",CHOOSE(T37+1,"An toàn","Có nguy cơ","Trầm trọng"))</f>
        <v>Trầm trọng</v>
      </c>
      <c r="AB37" s="2" t="str">
        <f aca="false">IF(E37&lt;&gt;1,"",CHOOSE(U37+1,"An toàn","Có nguy cơ","Trầm trọng"))</f>
        <v>An toàn</v>
      </c>
      <c r="AC37" s="2" t="str">
        <f aca="false">IF(E37&lt;&gt;1,"",IF(V37=1,"Có nguy cơ: NCC cho nợ ít + tiền mỏng",IF(W37=1,"Lưu ý: DPO cao – kiểm tra quá hạn NCC","An toàn")))</f>
        <v>An toàn</v>
      </c>
      <c r="AD37" s="10" t="str">
        <f aca="false">IF(OR(AND(ThamSo!$C$10=1,MAX(T37,U37)=2),AND(MAX(T37,U37)&gt;=1,Z37&gt;=ThamSo!$C$9)),"W2",IF(OR(MAX(T37,U37)&gt;=1,V37=1),"W1","W0"))</f>
        <v>W2</v>
      </c>
      <c r="AE37" s="10" t="str">
        <f aca="false">CHOOSE(MATCH(AD37,{"W0","W1","W2"},0),"An toàn","Có nguy cơ","Thiếu trầm trọng")</f>
        <v>Thiếu trầm trọng</v>
      </c>
      <c r="AF37" s="2" t="str">
        <f aca="false">IF(OR(E37&lt;&gt;1,AD37="W0"),"",IF(AND(T37=0,U37=0),"Phải trả",IF(T37&gt;U37,"Phải thu",IF(U37&gt;T37,"Tồn kho",IF(X37&gt;=Y37,"Phải thu","Tồn kho")))))</f>
        <v>Phải thu</v>
      </c>
      <c r="AG37" s="2" t="str">
        <f aca="false">TRIM(IF(T37=2,"R-AR-2 ",IF(T37=1,"R-AR-1 ",""))&amp;IF(U37=2,"R-INV-2 ",IF(U37=1,"R-INV-1 ",""))&amp;IF(V37=1,"R-AP-1 ","")&amp;IF(AND(MAX(T37,U37)&gt;=1,Z37&gt;=ThamSo!$C$9),"R-MAT",""))</f>
        <v>R-AR-2 R-MAT</v>
      </c>
      <c r="AH37" s="34" t="n">
        <f aca="false">IF(E37&lt;&gt;1,"",X37+Y37)</f>
        <v>185405937063.877</v>
      </c>
      <c r="AI37" s="2" t="str">
        <f aca="false">IF(OR(E37&lt;&gt;1,DuLieu!A50&lt;&gt;DuLieu!A49,DuLieu!B50&gt;ThamSo!$C$23,DuLieu!D50="",DuLieu!K50=""),"",IF(OR(DuLieu!K50&lt;0,DuLieu!D50&lt;DuLieu!D49*(1-ThamSo!$C$20)),1,0))</f>
        <v/>
      </c>
    </row>
    <row r="38" customFormat="false" ht="15" hidden="false" customHeight="false" outlineLevel="0" collapsed="false">
      <c r="A38" s="36" t="str">
        <f aca="false">DuLieu!A53</f>
        <v>MSH</v>
      </c>
      <c r="B38" s="36" t="n">
        <f aca="false">DuLieu!B53</f>
        <v>2023</v>
      </c>
      <c r="C38" s="2" t="str">
        <f aca="false">A38&amp;"-"&amp;B38</f>
        <v>MSH-2023</v>
      </c>
      <c r="D38" s="2" t="str">
        <f aca="false">DuLieu!S53&amp;"|"&amp;DuLieu!V53</f>
        <v>FOB|Lớn</v>
      </c>
      <c r="E38" s="36" t="n">
        <f aca="false">DuLieu!U53</f>
        <v>1</v>
      </c>
      <c r="F38" s="34" t="n">
        <f aca="false">IF(E38=1,DuLieu!D53,"")</f>
        <v>4541917426355</v>
      </c>
      <c r="G38" s="34" t="n">
        <f aca="false">IF(E38=1,DuLieu!O53,"")</f>
        <v>3977933822933.87</v>
      </c>
      <c r="H38" s="34" t="n">
        <f aca="false">IF(E38=1,DuLieu!G53,"")</f>
        <v>2552594388012</v>
      </c>
      <c r="I38" s="37" t="n">
        <f aca="false">IF(E38=1,DuLieu!L53,"")</f>
        <v>37.57573807</v>
      </c>
      <c r="J38" s="37" t="n">
        <f aca="false">IF(E38=1,DuLieu!M53,"")</f>
        <v>51.88080571</v>
      </c>
      <c r="K38" s="37" t="n">
        <f aca="false">IF(E38=1,DuLieu!N53,"")</f>
        <v>16.66393955</v>
      </c>
      <c r="L38" s="35" t="n">
        <f aca="false">IF(E38=1,DuLieu!P53,"")</f>
        <v>0.313988214834739</v>
      </c>
      <c r="M38" s="37" t="n">
        <f aca="false">IF(E38=1,INDEX(B3_NguongKhoanMuc!$E$4:$E$5,MATCH(D38,B3_NguongKhoanMuc!$A$4:$A$5,0)),"")</f>
        <v>58.2071385175</v>
      </c>
      <c r="N38" s="37" t="n">
        <f aca="false">IF(E38=1,INDEX(B3_NguongKhoanMuc!$F$4:$F$5,MATCH(D38,B3_NguongKhoanMuc!$A$4:$A$5,0)),"")</f>
        <v>66.26326635</v>
      </c>
      <c r="O38" s="37" t="n">
        <f aca="false">IF(E38=1,INDEX(B3_NguongKhoanMuc!$H$4:$H$5,MATCH(D38,B3_NguongKhoanMuc!$A$4:$A$5,0)),"")</f>
        <v>86.118055065</v>
      </c>
      <c r="P38" s="37" t="n">
        <f aca="false">IF(E38=1,INDEX(B3_NguongKhoanMuc!$I$4:$I$5,MATCH(D38,B3_NguongKhoanMuc!$A$4:$A$5,0)),"")</f>
        <v>137.965147652</v>
      </c>
      <c r="Q38" s="37" t="n">
        <f aca="false">IF(E38=1,INDEX(B3_NguongKhoanMuc!$K$4:$K$5,MATCH(D38,B3_NguongKhoanMuc!$A$4:$A$5,0)),"")</f>
        <v>68.3092044425</v>
      </c>
      <c r="R38" s="37" t="n">
        <f aca="false">IF(E38=1,INDEX(B3_NguongKhoanMuc!$L$4:$L$5,MATCH(D38,B3_NguongKhoanMuc!$A$4:$A$5,0)),"")</f>
        <v>14.892652922</v>
      </c>
      <c r="S38" s="35" t="n">
        <f aca="false">IF(E38=1,INDEX(B3_NguongKhoanMuc!$M$4:$M$5,MATCH(D38,B3_NguongKhoanMuc!$A$4:$A$5,0)),"")</f>
        <v>0.0830079952170207</v>
      </c>
      <c r="T38" s="2" t="n">
        <f aca="false">IF(E38&lt;&gt;1,"",IF(I38&gt;N38,2,IF(I38&gt;M38,1,0)))</f>
        <v>0</v>
      </c>
      <c r="U38" s="2" t="n">
        <f aca="false">IF(E38&lt;&gt;1,"",IF(J38&gt;P38,2,IF(J38&gt;O38,1,0)))</f>
        <v>0</v>
      </c>
      <c r="V38" s="2" t="n">
        <f aca="false">IF(E38&lt;&gt;1,"",IF(AND(K38&lt;R38,L38&lt;S38),1,0))</f>
        <v>0</v>
      </c>
      <c r="W38" s="2" t="n">
        <f aca="false">IF(E38&lt;&gt;1,"",IF(K38&gt;Q38,1,0))</f>
        <v>0</v>
      </c>
      <c r="X38" s="34" t="n">
        <f aca="false">IF(E38&lt;&gt;1,"",IF(T38&gt;=1,(I38-M38)*F38/365,0))</f>
        <v>0</v>
      </c>
      <c r="Y38" s="34" t="n">
        <f aca="false">IF(E38&lt;&gt;1,"",IF(U38&gt;=1,(J38-O38)*G38/365,0))</f>
        <v>0</v>
      </c>
      <c r="Z38" s="35" t="n">
        <f aca="false">IF(E38&lt;&gt;1,"",IF(H38&gt;0,MAX(X38,Y38)/H38,0))</f>
        <v>0</v>
      </c>
      <c r="AA38" s="2" t="str">
        <f aca="false">IF(E38&lt;&gt;1,"",CHOOSE(T38+1,"An toàn","Có nguy cơ","Trầm trọng"))</f>
        <v>An toàn</v>
      </c>
      <c r="AB38" s="2" t="str">
        <f aca="false">IF(E38&lt;&gt;1,"",CHOOSE(U38+1,"An toàn","Có nguy cơ","Trầm trọng"))</f>
        <v>An toàn</v>
      </c>
      <c r="AC38" s="2" t="str">
        <f aca="false">IF(E38&lt;&gt;1,"",IF(V38=1,"Có nguy cơ: NCC cho nợ ít + tiền mỏng",IF(W38=1,"Lưu ý: DPO cao – kiểm tra quá hạn NCC","An toàn")))</f>
        <v>An toàn</v>
      </c>
      <c r="AD38" s="10" t="str">
        <f aca="false">IF(OR(AND(ThamSo!$C$10=1,MAX(T38,U38)=2),AND(MAX(T38,U38)&gt;=1,Z38&gt;=ThamSo!$C$9)),"W2",IF(OR(MAX(T38,U38)&gt;=1,V38=1),"W1","W0"))</f>
        <v>W0</v>
      </c>
      <c r="AE38" s="10" t="str">
        <f aca="false">CHOOSE(MATCH(AD38,{"W0","W1","W2"},0),"An toàn","Có nguy cơ","Thiếu trầm trọng")</f>
        <v>An toàn</v>
      </c>
      <c r="AF38" s="2" t="str">
        <f aca="false">IF(OR(E38&lt;&gt;1,AD38="W0"),"",IF(AND(T38=0,U38=0),"Phải trả",IF(T38&gt;U38,"Phải thu",IF(U38&gt;T38,"Tồn kho",IF(X38&gt;=Y38,"Phải thu","Tồn kho")))))</f>
        <v/>
      </c>
      <c r="AG38" s="2" t="str">
        <f aca="false">TRIM(IF(T38=2,"R-AR-2 ",IF(T38=1,"R-AR-1 ",""))&amp;IF(U38=2,"R-INV-2 ",IF(U38=1,"R-INV-1 ",""))&amp;IF(V38=1,"R-AP-1 ","")&amp;IF(AND(MAX(T38,U38)&gt;=1,Z38&gt;=ThamSo!$C$9),"R-MAT",""))</f>
        <v/>
      </c>
      <c r="AH38" s="34" t="n">
        <f aca="false">IF(E38&lt;&gt;1,"",X38+Y38)</f>
        <v>0</v>
      </c>
      <c r="AI38" s="2" t="n">
        <f aca="false">IF(OR(E38&lt;&gt;1,DuLieu!A54&lt;&gt;DuLieu!A53,DuLieu!B54&gt;ThamSo!$C$23,DuLieu!D54="",DuLieu!K54=""),"",IF(OR(DuLieu!K54&lt;0,DuLieu!D54&lt;DuLieu!D53*(1-ThamSo!$C$20)),1,0))</f>
        <v>0</v>
      </c>
    </row>
    <row r="39" customFormat="false" ht="15" hidden="false" customHeight="false" outlineLevel="0" collapsed="false">
      <c r="A39" s="36" t="str">
        <f aca="false">DuLieu!A54</f>
        <v>MSH</v>
      </c>
      <c r="B39" s="36" t="n">
        <f aca="false">DuLieu!B54</f>
        <v>2024</v>
      </c>
      <c r="C39" s="2" t="str">
        <f aca="false">A39&amp;"-"&amp;B39</f>
        <v>MSH-2024</v>
      </c>
      <c r="D39" s="2" t="str">
        <f aca="false">DuLieu!S54&amp;"|"&amp;DuLieu!V54</f>
        <v>FOB|Lớn</v>
      </c>
      <c r="E39" s="36" t="n">
        <f aca="false">DuLieu!U54</f>
        <v>1</v>
      </c>
      <c r="F39" s="34" t="n">
        <f aca="false">IF(E39=1,DuLieu!D54,"")</f>
        <v>5280403155194</v>
      </c>
      <c r="G39" s="34" t="n">
        <f aca="false">IF(E39=1,DuLieu!O54,"")</f>
        <v>4450894960406.8</v>
      </c>
      <c r="H39" s="34" t="n">
        <f aca="false">IF(E39=1,DuLieu!G54,"")</f>
        <v>3249615903700</v>
      </c>
      <c r="I39" s="37" t="n">
        <f aca="false">IF(E39=1,DuLieu!L54,"")</f>
        <v>54.08305787</v>
      </c>
      <c r="J39" s="37" t="n">
        <f aca="false">IF(E39=1,DuLieu!M54,"")</f>
        <v>48.03935101</v>
      </c>
      <c r="K39" s="37" t="n">
        <f aca="false">IF(E39=1,DuLieu!N54,"")</f>
        <v>12.94747287</v>
      </c>
      <c r="L39" s="35" t="n">
        <f aca="false">IF(E39=1,DuLieu!P54,"")</f>
        <v>0.291540813145628</v>
      </c>
      <c r="M39" s="37" t="n">
        <f aca="false">IF(E39=1,INDEX(B3_NguongKhoanMuc!$E$4:$E$5,MATCH(D39,B3_NguongKhoanMuc!$A$4:$A$5,0)),"")</f>
        <v>58.2071385175</v>
      </c>
      <c r="N39" s="37" t="n">
        <f aca="false">IF(E39=1,INDEX(B3_NguongKhoanMuc!$F$4:$F$5,MATCH(D39,B3_NguongKhoanMuc!$A$4:$A$5,0)),"")</f>
        <v>66.26326635</v>
      </c>
      <c r="O39" s="37" t="n">
        <f aca="false">IF(E39=1,INDEX(B3_NguongKhoanMuc!$H$4:$H$5,MATCH(D39,B3_NguongKhoanMuc!$A$4:$A$5,0)),"")</f>
        <v>86.118055065</v>
      </c>
      <c r="P39" s="37" t="n">
        <f aca="false">IF(E39=1,INDEX(B3_NguongKhoanMuc!$I$4:$I$5,MATCH(D39,B3_NguongKhoanMuc!$A$4:$A$5,0)),"")</f>
        <v>137.965147652</v>
      </c>
      <c r="Q39" s="37" t="n">
        <f aca="false">IF(E39=1,INDEX(B3_NguongKhoanMuc!$K$4:$K$5,MATCH(D39,B3_NguongKhoanMuc!$A$4:$A$5,0)),"")</f>
        <v>68.3092044425</v>
      </c>
      <c r="R39" s="37" t="n">
        <f aca="false">IF(E39=1,INDEX(B3_NguongKhoanMuc!$L$4:$L$5,MATCH(D39,B3_NguongKhoanMuc!$A$4:$A$5,0)),"")</f>
        <v>14.892652922</v>
      </c>
      <c r="S39" s="35" t="n">
        <f aca="false">IF(E39=1,INDEX(B3_NguongKhoanMuc!$M$4:$M$5,MATCH(D39,B3_NguongKhoanMuc!$A$4:$A$5,0)),"")</f>
        <v>0.0830079952170207</v>
      </c>
      <c r="T39" s="2" t="n">
        <f aca="false">IF(E39&lt;&gt;1,"",IF(I39&gt;N39,2,IF(I39&gt;M39,1,0)))</f>
        <v>0</v>
      </c>
      <c r="U39" s="2" t="n">
        <f aca="false">IF(E39&lt;&gt;1,"",IF(J39&gt;P39,2,IF(J39&gt;O39,1,0)))</f>
        <v>0</v>
      </c>
      <c r="V39" s="2" t="n">
        <f aca="false">IF(E39&lt;&gt;1,"",IF(AND(K39&lt;R39,L39&lt;S39),1,0))</f>
        <v>0</v>
      </c>
      <c r="W39" s="2" t="n">
        <f aca="false">IF(E39&lt;&gt;1,"",IF(K39&gt;Q39,1,0))</f>
        <v>0</v>
      </c>
      <c r="X39" s="34" t="n">
        <f aca="false">IF(E39&lt;&gt;1,"",IF(T39&gt;=1,(I39-M39)*F39/365,0))</f>
        <v>0</v>
      </c>
      <c r="Y39" s="34" t="n">
        <f aca="false">IF(E39&lt;&gt;1,"",IF(U39&gt;=1,(J39-O39)*G39/365,0))</f>
        <v>0</v>
      </c>
      <c r="Z39" s="35" t="n">
        <f aca="false">IF(E39&lt;&gt;1,"",IF(H39&gt;0,MAX(X39,Y39)/H39,0))</f>
        <v>0</v>
      </c>
      <c r="AA39" s="2" t="str">
        <f aca="false">IF(E39&lt;&gt;1,"",CHOOSE(T39+1,"An toàn","Có nguy cơ","Trầm trọng"))</f>
        <v>An toàn</v>
      </c>
      <c r="AB39" s="2" t="str">
        <f aca="false">IF(E39&lt;&gt;1,"",CHOOSE(U39+1,"An toàn","Có nguy cơ","Trầm trọng"))</f>
        <v>An toàn</v>
      </c>
      <c r="AC39" s="2" t="str">
        <f aca="false">IF(E39&lt;&gt;1,"",IF(V39=1,"Có nguy cơ: NCC cho nợ ít + tiền mỏng",IF(W39=1,"Lưu ý: DPO cao – kiểm tra quá hạn NCC","An toàn")))</f>
        <v>An toàn</v>
      </c>
      <c r="AD39" s="10" t="str">
        <f aca="false">IF(OR(AND(ThamSo!$C$10=1,MAX(T39,U39)=2),AND(MAX(T39,U39)&gt;=1,Z39&gt;=ThamSo!$C$9)),"W2",IF(OR(MAX(T39,U39)&gt;=1,V39=1),"W1","W0"))</f>
        <v>W0</v>
      </c>
      <c r="AE39" s="10" t="str">
        <f aca="false">CHOOSE(MATCH(AD39,{"W0","W1","W2"},0),"An toàn","Có nguy cơ","Thiếu trầm trọng")</f>
        <v>An toàn</v>
      </c>
      <c r="AF39" s="2" t="str">
        <f aca="false">IF(OR(E39&lt;&gt;1,AD39="W0"),"",IF(AND(T39=0,U39=0),"Phải trả",IF(T39&gt;U39,"Phải thu",IF(U39&gt;T39,"Tồn kho",IF(X39&gt;=Y39,"Phải thu","Tồn kho")))))</f>
        <v/>
      </c>
      <c r="AG39" s="2" t="str">
        <f aca="false">TRIM(IF(T39=2,"R-AR-2 ",IF(T39=1,"R-AR-1 ",""))&amp;IF(U39=2,"R-INV-2 ",IF(U39=1,"R-INV-1 ",""))&amp;IF(V39=1,"R-AP-1 ","")&amp;IF(AND(MAX(T39,U39)&gt;=1,Z39&gt;=ThamSo!$C$9),"R-MAT",""))</f>
        <v/>
      </c>
      <c r="AH39" s="34" t="n">
        <f aca="false">IF(E39&lt;&gt;1,"",X39+Y39)</f>
        <v>0</v>
      </c>
      <c r="AI39" s="2" t="n">
        <f aca="false">IF(OR(E39&lt;&gt;1,DuLieu!A55&lt;&gt;DuLieu!A54,DuLieu!B55&gt;ThamSo!$C$23,DuLieu!D55="",DuLieu!K55=""),"",IF(OR(DuLieu!K55&lt;0,DuLieu!D55&lt;DuLieu!D54*(1-ThamSo!$C$20)),1,0))</f>
        <v>0</v>
      </c>
    </row>
    <row r="40" customFormat="false" ht="15" hidden="false" customHeight="false" outlineLevel="0" collapsed="false">
      <c r="A40" s="36" t="str">
        <f aca="false">DuLieu!A55</f>
        <v>MSH</v>
      </c>
      <c r="B40" s="36" t="n">
        <f aca="false">DuLieu!B55</f>
        <v>2025</v>
      </c>
      <c r="C40" s="2" t="str">
        <f aca="false">A40&amp;"-"&amp;B40</f>
        <v>MSH-2025</v>
      </c>
      <c r="D40" s="2" t="str">
        <f aca="false">DuLieu!S55&amp;"|"&amp;DuLieu!V55</f>
        <v>FOB|Lớn</v>
      </c>
      <c r="E40" s="36" t="n">
        <f aca="false">DuLieu!U55</f>
        <v>1</v>
      </c>
      <c r="F40" s="34" t="n">
        <f aca="false">IF(E40=1,DuLieu!D55,"")</f>
        <v>5538068232450</v>
      </c>
      <c r="G40" s="34" t="n">
        <f aca="false">IF(E40=1,DuLieu!O55,"")</f>
        <v>4363660609576.61</v>
      </c>
      <c r="H40" s="34" t="n">
        <f aca="false">IF(E40=1,DuLieu!G55,"")</f>
        <v>3275000080003</v>
      </c>
      <c r="I40" s="37" t="n">
        <f aca="false">IF(E40=1,DuLieu!L55,"")</f>
        <v>63.23796496</v>
      </c>
      <c r="J40" s="37" t="n">
        <f aca="false">IF(E40=1,DuLieu!M55,"")</f>
        <v>50.40076555</v>
      </c>
      <c r="K40" s="37" t="n">
        <f aca="false">IF(E40=1,DuLieu!N55,"")</f>
        <v>15.36306074</v>
      </c>
      <c r="L40" s="35" t="n">
        <f aca="false">IF(E40=1,DuLieu!P55,"")</f>
        <v>0.292480523471886</v>
      </c>
      <c r="M40" s="37" t="n">
        <f aca="false">IF(E40=1,INDEX(B3_NguongKhoanMuc!$E$4:$E$5,MATCH(D40,B3_NguongKhoanMuc!$A$4:$A$5,0)),"")</f>
        <v>58.2071385175</v>
      </c>
      <c r="N40" s="37" t="n">
        <f aca="false">IF(E40=1,INDEX(B3_NguongKhoanMuc!$F$4:$F$5,MATCH(D40,B3_NguongKhoanMuc!$A$4:$A$5,0)),"")</f>
        <v>66.26326635</v>
      </c>
      <c r="O40" s="37" t="n">
        <f aca="false">IF(E40=1,INDEX(B3_NguongKhoanMuc!$H$4:$H$5,MATCH(D40,B3_NguongKhoanMuc!$A$4:$A$5,0)),"")</f>
        <v>86.118055065</v>
      </c>
      <c r="P40" s="37" t="n">
        <f aca="false">IF(E40=1,INDEX(B3_NguongKhoanMuc!$I$4:$I$5,MATCH(D40,B3_NguongKhoanMuc!$A$4:$A$5,0)),"")</f>
        <v>137.965147652</v>
      </c>
      <c r="Q40" s="37" t="n">
        <f aca="false">IF(E40=1,INDEX(B3_NguongKhoanMuc!$K$4:$K$5,MATCH(D40,B3_NguongKhoanMuc!$A$4:$A$5,0)),"")</f>
        <v>68.3092044425</v>
      </c>
      <c r="R40" s="37" t="n">
        <f aca="false">IF(E40=1,INDEX(B3_NguongKhoanMuc!$L$4:$L$5,MATCH(D40,B3_NguongKhoanMuc!$A$4:$A$5,0)),"")</f>
        <v>14.892652922</v>
      </c>
      <c r="S40" s="35" t="n">
        <f aca="false">IF(E40=1,INDEX(B3_NguongKhoanMuc!$M$4:$M$5,MATCH(D40,B3_NguongKhoanMuc!$A$4:$A$5,0)),"")</f>
        <v>0.0830079952170207</v>
      </c>
      <c r="T40" s="2" t="n">
        <f aca="false">IF(E40&lt;&gt;1,"",IF(I40&gt;N40,2,IF(I40&gt;M40,1,0)))</f>
        <v>1</v>
      </c>
      <c r="U40" s="2" t="n">
        <f aca="false">IF(E40&lt;&gt;1,"",IF(J40&gt;P40,2,IF(J40&gt;O40,1,0)))</f>
        <v>0</v>
      </c>
      <c r="V40" s="2" t="n">
        <f aca="false">IF(E40&lt;&gt;1,"",IF(AND(K40&lt;R40,L40&lt;S40),1,0))</f>
        <v>0</v>
      </c>
      <c r="W40" s="2" t="n">
        <f aca="false">IF(E40&lt;&gt;1,"",IF(K40&gt;Q40,1,0))</f>
        <v>0</v>
      </c>
      <c r="X40" s="34" t="n">
        <f aca="false">IF(E40&lt;&gt;1,"",IF(T40&gt;=1,(I40-M40)*F40/365,0))</f>
        <v>76331671518.2978</v>
      </c>
      <c r="Y40" s="34" t="n">
        <f aca="false">IF(E40&lt;&gt;1,"",IF(U40&gt;=1,(J40-O40)*G40/365,0))</f>
        <v>0</v>
      </c>
      <c r="Z40" s="35" t="n">
        <f aca="false">IF(E40&lt;&gt;1,"",IF(H40&gt;0,MAX(X40,Y40)/H40,0))</f>
        <v>0.0233073800469122</v>
      </c>
      <c r="AA40" s="2" t="str">
        <f aca="false">IF(E40&lt;&gt;1,"",CHOOSE(T40+1,"An toàn","Có nguy cơ","Trầm trọng"))</f>
        <v>Có nguy cơ</v>
      </c>
      <c r="AB40" s="2" t="str">
        <f aca="false">IF(E40&lt;&gt;1,"",CHOOSE(U40+1,"An toàn","Có nguy cơ","Trầm trọng"))</f>
        <v>An toàn</v>
      </c>
      <c r="AC40" s="2" t="str">
        <f aca="false">IF(E40&lt;&gt;1,"",IF(V40=1,"Có nguy cơ: NCC cho nợ ít + tiền mỏng",IF(W40=1,"Lưu ý: DPO cao – kiểm tra quá hạn NCC","An toàn")))</f>
        <v>An toàn</v>
      </c>
      <c r="AD40" s="10" t="str">
        <f aca="false">IF(OR(AND(ThamSo!$C$10=1,MAX(T40,U40)=2),AND(MAX(T40,U40)&gt;=1,Z40&gt;=ThamSo!$C$9)),"W2",IF(OR(MAX(T40,U40)&gt;=1,V40=1),"W1","W0"))</f>
        <v>W1</v>
      </c>
      <c r="AE40" s="10" t="str">
        <f aca="false">CHOOSE(MATCH(AD40,{"W0","W1","W2"},0),"An toàn","Có nguy cơ","Thiếu trầm trọng")</f>
        <v>Có nguy cơ</v>
      </c>
      <c r="AF40" s="2" t="str">
        <f aca="false">IF(OR(E40&lt;&gt;1,AD40="W0"),"",IF(AND(T40=0,U40=0),"Phải trả",IF(T40&gt;U40,"Phải thu",IF(U40&gt;T40,"Tồn kho",IF(X40&gt;=Y40,"Phải thu","Tồn kho")))))</f>
        <v>Phải thu</v>
      </c>
      <c r="AG40" s="2" t="str">
        <f aca="false">TRIM(IF(T40=2,"R-AR-2 ",IF(T40=1,"R-AR-1 ",""))&amp;IF(U40=2,"R-INV-2 ",IF(U40=1,"R-INV-1 ",""))&amp;IF(V40=1,"R-AP-1 ","")&amp;IF(AND(MAX(T40,U40)&gt;=1,Z40&gt;=ThamSo!$C$9),"R-MAT",""))</f>
        <v>R-AR-1</v>
      </c>
      <c r="AH40" s="34" t="n">
        <f aca="false">IF(E40&lt;&gt;1,"",X40+Y40)</f>
        <v>76331671518.2978</v>
      </c>
      <c r="AI40" s="2" t="str">
        <f aca="false">IF(OR(E40&lt;&gt;1,DuLieu!A56&lt;&gt;DuLieu!A55,DuLieu!B56&gt;ThamSo!$C$23,DuLieu!D56="",DuLieu!K56=""),"",IF(OR(DuLieu!K56&lt;0,DuLieu!D56&lt;DuLieu!D55*(1-ThamSo!$C$20)),1,0))</f>
        <v/>
      </c>
    </row>
    <row r="41" customFormat="false" ht="15" hidden="false" customHeight="false" outlineLevel="0" collapsed="false">
      <c r="A41" s="36" t="str">
        <f aca="false">DuLieu!A56</f>
        <v>NJC</v>
      </c>
      <c r="B41" s="36" t="n">
        <f aca="false">DuLieu!B56</f>
        <v>2023</v>
      </c>
      <c r="C41" s="2" t="str">
        <f aca="false">A41&amp;"-"&amp;B41</f>
        <v>NJC-2023</v>
      </c>
      <c r="D41" s="2" t="str">
        <f aca="false">DuLieu!S56&amp;"|"&amp;DuLieu!V56</f>
        <v>FOB|Nhỏ–vừa</v>
      </c>
      <c r="E41" s="36" t="n">
        <f aca="false">DuLieu!U56</f>
        <v>1</v>
      </c>
      <c r="F41" s="34" t="n">
        <f aca="false">IF(E41=1,DuLieu!D56,"")</f>
        <v>524132187401</v>
      </c>
      <c r="G41" s="34" t="n">
        <f aca="false">IF(E41=1,DuLieu!O56,"")</f>
        <v>478699644164.088</v>
      </c>
      <c r="H41" s="34" t="n">
        <f aca="false">IF(E41=1,DuLieu!G56,"")</f>
        <v>349606688651</v>
      </c>
      <c r="I41" s="37" t="n">
        <f aca="false">IF(E41=1,DuLieu!L56,"")</f>
        <v>61.06565211</v>
      </c>
      <c r="J41" s="37" t="n">
        <f aca="false">IF(E41=1,DuLieu!M56,"")</f>
        <v>111.1370326</v>
      </c>
      <c r="K41" s="37" t="n">
        <f aca="false">IF(E41=1,DuLieu!N56,"")</f>
        <v>17.8974127</v>
      </c>
      <c r="L41" s="35" t="n">
        <f aca="false">IF(E41=1,DuLieu!P56,"")</f>
        <v>0.0876341920666259</v>
      </c>
      <c r="M41" s="37" t="n">
        <f aca="false">IF(E41=1,INDEX(B3_NguongKhoanMuc!$E$4:$E$5,MATCH(D41,B3_NguongKhoanMuc!$A$4:$A$5,0)),"")</f>
        <v>58.2071385175</v>
      </c>
      <c r="N41" s="37" t="n">
        <f aca="false">IF(E41=1,INDEX(B3_NguongKhoanMuc!$F$4:$F$5,MATCH(D41,B3_NguongKhoanMuc!$A$4:$A$5,0)),"")</f>
        <v>66.26326635</v>
      </c>
      <c r="O41" s="37" t="n">
        <f aca="false">IF(E41=1,INDEX(B3_NguongKhoanMuc!$H$4:$H$5,MATCH(D41,B3_NguongKhoanMuc!$A$4:$A$5,0)),"")</f>
        <v>86.118055065</v>
      </c>
      <c r="P41" s="37" t="n">
        <f aca="false">IF(E41=1,INDEX(B3_NguongKhoanMuc!$I$4:$I$5,MATCH(D41,B3_NguongKhoanMuc!$A$4:$A$5,0)),"")</f>
        <v>137.965147652</v>
      </c>
      <c r="Q41" s="37" t="n">
        <f aca="false">IF(E41=1,INDEX(B3_NguongKhoanMuc!$K$4:$K$5,MATCH(D41,B3_NguongKhoanMuc!$A$4:$A$5,0)),"")</f>
        <v>68.3092044425</v>
      </c>
      <c r="R41" s="37" t="n">
        <f aca="false">IF(E41=1,INDEX(B3_NguongKhoanMuc!$L$4:$L$5,MATCH(D41,B3_NguongKhoanMuc!$A$4:$A$5,0)),"")</f>
        <v>14.892652922</v>
      </c>
      <c r="S41" s="35" t="n">
        <f aca="false">IF(E41=1,INDEX(B3_NguongKhoanMuc!$M$4:$M$5,MATCH(D41,B3_NguongKhoanMuc!$A$4:$A$5,0)),"")</f>
        <v>0.0830079952170207</v>
      </c>
      <c r="T41" s="2" t="n">
        <f aca="false">IF(E41&lt;&gt;1,"",IF(I41&gt;N41,2,IF(I41&gt;M41,1,0)))</f>
        <v>1</v>
      </c>
      <c r="U41" s="2" t="n">
        <f aca="false">IF(E41&lt;&gt;1,"",IF(J41&gt;P41,2,IF(J41&gt;O41,1,0)))</f>
        <v>1</v>
      </c>
      <c r="V41" s="2" t="n">
        <f aca="false">IF(E41&lt;&gt;1,"",IF(AND(K41&lt;R41,L41&lt;S41),1,0))</f>
        <v>0</v>
      </c>
      <c r="W41" s="2" t="n">
        <f aca="false">IF(E41&lt;&gt;1,"",IF(K41&gt;Q41,1,0))</f>
        <v>0</v>
      </c>
      <c r="X41" s="34" t="n">
        <f aca="false">IF(E41&lt;&gt;1,"",IF(T41&gt;=1,(I41-M41)*F41/365,0))</f>
        <v>4104764334.11649</v>
      </c>
      <c r="Y41" s="34" t="n">
        <f aca="false">IF(E41&lt;&gt;1,"",IF(U41&gt;=1,(J41-O41)*G41/365,0))</f>
        <v>32812536009.1885</v>
      </c>
      <c r="Z41" s="35" t="n">
        <f aca="false">IF(E41&lt;&gt;1,"",IF(H41&gt;0,MAX(X41,Y41)/H41,0))</f>
        <v>0.0938555727746505</v>
      </c>
      <c r="AA41" s="2" t="str">
        <f aca="false">IF(E41&lt;&gt;1,"",CHOOSE(T41+1,"An toàn","Có nguy cơ","Trầm trọng"))</f>
        <v>Có nguy cơ</v>
      </c>
      <c r="AB41" s="2" t="str">
        <f aca="false">IF(E41&lt;&gt;1,"",CHOOSE(U41+1,"An toàn","Có nguy cơ","Trầm trọng"))</f>
        <v>Có nguy cơ</v>
      </c>
      <c r="AC41" s="2" t="str">
        <f aca="false">IF(E41&lt;&gt;1,"",IF(V41=1,"Có nguy cơ: NCC cho nợ ít + tiền mỏng",IF(W41=1,"Lưu ý: DPO cao – kiểm tra quá hạn NCC","An toàn")))</f>
        <v>An toàn</v>
      </c>
      <c r="AD41" s="10" t="str">
        <f aca="false">IF(OR(AND(ThamSo!$C$10=1,MAX(T41,U41)=2),AND(MAX(T41,U41)&gt;=1,Z41&gt;=ThamSo!$C$9)),"W2",IF(OR(MAX(T41,U41)&gt;=1,V41=1),"W1","W0"))</f>
        <v>W2</v>
      </c>
      <c r="AE41" s="10" t="str">
        <f aca="false">CHOOSE(MATCH(AD41,{"W0","W1","W2"},0),"An toàn","Có nguy cơ","Thiếu trầm trọng")</f>
        <v>Thiếu trầm trọng</v>
      </c>
      <c r="AF41" s="2" t="str">
        <f aca="false">IF(OR(E41&lt;&gt;1,AD41="W0"),"",IF(AND(T41=0,U41=0),"Phải trả",IF(T41&gt;U41,"Phải thu",IF(U41&gt;T41,"Tồn kho",IF(X41&gt;=Y41,"Phải thu","Tồn kho")))))</f>
        <v>Tồn kho</v>
      </c>
      <c r="AG41" s="2" t="str">
        <f aca="false">TRIM(IF(T41=2,"R-AR-2 ",IF(T41=1,"R-AR-1 ",""))&amp;IF(U41=2,"R-INV-2 ",IF(U41=1,"R-INV-1 ",""))&amp;IF(V41=1,"R-AP-1 ","")&amp;IF(AND(MAX(T41,U41)&gt;=1,Z41&gt;=ThamSo!$C$9),"R-MAT",""))</f>
        <v>R-AR-1 R-INV-1 R-MAT</v>
      </c>
      <c r="AH41" s="34" t="n">
        <f aca="false">IF(E41&lt;&gt;1,"",X41+Y41)</f>
        <v>36917300343.305</v>
      </c>
      <c r="AI41" s="2" t="n">
        <f aca="false">IF(OR(E41&lt;&gt;1,DuLieu!A57&lt;&gt;DuLieu!A56,DuLieu!B57&gt;ThamSo!$C$23,DuLieu!D57="",DuLieu!K57=""),"",IF(OR(DuLieu!K57&lt;0,DuLieu!D57&lt;DuLieu!D56*(1-ThamSo!$C$20)),1,0))</f>
        <v>0</v>
      </c>
    </row>
    <row r="42" customFormat="false" ht="15" hidden="false" customHeight="false" outlineLevel="0" collapsed="false">
      <c r="A42" s="36" t="str">
        <f aca="false">DuLieu!A57</f>
        <v>NJC</v>
      </c>
      <c r="B42" s="36" t="n">
        <f aca="false">DuLieu!B57</f>
        <v>2024</v>
      </c>
      <c r="C42" s="2" t="str">
        <f aca="false">A42&amp;"-"&amp;B42</f>
        <v>NJC-2024</v>
      </c>
      <c r="D42" s="2" t="str">
        <f aca="false">DuLieu!S57&amp;"|"&amp;DuLieu!V57</f>
        <v>FOB|Nhỏ–vừa</v>
      </c>
      <c r="E42" s="36" t="n">
        <f aca="false">DuLieu!U57</f>
        <v>1</v>
      </c>
      <c r="F42" s="34" t="n">
        <f aca="false">IF(E42=1,DuLieu!D57,"")</f>
        <v>804895415372</v>
      </c>
      <c r="G42" s="34" t="n">
        <f aca="false">IF(E42=1,DuLieu!O57,"")</f>
        <v>731835452917.437</v>
      </c>
      <c r="H42" s="34" t="n">
        <f aca="false">IF(E42=1,DuLieu!G57,"")</f>
        <v>283454335161</v>
      </c>
      <c r="I42" s="37" t="n">
        <f aca="false">IF(E42=1,DuLieu!L57,"")</f>
        <v>47.95098</v>
      </c>
      <c r="J42" s="37" t="n">
        <f aca="false">IF(E42=1,DuLieu!M57,"")</f>
        <v>77.73020344</v>
      </c>
      <c r="K42" s="37" t="n">
        <f aca="false">IF(E42=1,DuLieu!N57,"")</f>
        <v>14.87434433</v>
      </c>
      <c r="L42" s="35" t="n">
        <f aca="false">IF(E42=1,DuLieu!P57,"")</f>
        <v>0.0615176557417903</v>
      </c>
      <c r="M42" s="37" t="n">
        <f aca="false">IF(E42=1,INDEX(B3_NguongKhoanMuc!$E$4:$E$5,MATCH(D42,B3_NguongKhoanMuc!$A$4:$A$5,0)),"")</f>
        <v>58.2071385175</v>
      </c>
      <c r="N42" s="37" t="n">
        <f aca="false">IF(E42=1,INDEX(B3_NguongKhoanMuc!$F$4:$F$5,MATCH(D42,B3_NguongKhoanMuc!$A$4:$A$5,0)),"")</f>
        <v>66.26326635</v>
      </c>
      <c r="O42" s="37" t="n">
        <f aca="false">IF(E42=1,INDEX(B3_NguongKhoanMuc!$H$4:$H$5,MATCH(D42,B3_NguongKhoanMuc!$A$4:$A$5,0)),"")</f>
        <v>86.118055065</v>
      </c>
      <c r="P42" s="37" t="n">
        <f aca="false">IF(E42=1,INDEX(B3_NguongKhoanMuc!$I$4:$I$5,MATCH(D42,B3_NguongKhoanMuc!$A$4:$A$5,0)),"")</f>
        <v>137.965147652</v>
      </c>
      <c r="Q42" s="37" t="n">
        <f aca="false">IF(E42=1,INDEX(B3_NguongKhoanMuc!$K$4:$K$5,MATCH(D42,B3_NguongKhoanMuc!$A$4:$A$5,0)),"")</f>
        <v>68.3092044425</v>
      </c>
      <c r="R42" s="37" t="n">
        <f aca="false">IF(E42=1,INDEX(B3_NguongKhoanMuc!$L$4:$L$5,MATCH(D42,B3_NguongKhoanMuc!$A$4:$A$5,0)),"")</f>
        <v>14.892652922</v>
      </c>
      <c r="S42" s="35" t="n">
        <f aca="false">IF(E42=1,INDEX(B3_NguongKhoanMuc!$M$4:$M$5,MATCH(D42,B3_NguongKhoanMuc!$A$4:$A$5,0)),"")</f>
        <v>0.0830079952170207</v>
      </c>
      <c r="T42" s="2" t="n">
        <f aca="false">IF(E42&lt;&gt;1,"",IF(I42&gt;N42,2,IF(I42&gt;M42,1,0)))</f>
        <v>0</v>
      </c>
      <c r="U42" s="2" t="n">
        <f aca="false">IF(E42&lt;&gt;1,"",IF(J42&gt;P42,2,IF(J42&gt;O42,1,0)))</f>
        <v>0</v>
      </c>
      <c r="V42" s="2" t="n">
        <f aca="false">IF(E42&lt;&gt;1,"",IF(AND(K42&lt;R42,L42&lt;S42),1,0))</f>
        <v>1</v>
      </c>
      <c r="W42" s="2" t="n">
        <f aca="false">IF(E42&lt;&gt;1,"",IF(K42&gt;Q42,1,0))</f>
        <v>0</v>
      </c>
      <c r="X42" s="34" t="n">
        <f aca="false">IF(E42&lt;&gt;1,"",IF(T42&gt;=1,(I42-M42)*F42/365,0))</f>
        <v>0</v>
      </c>
      <c r="Y42" s="34" t="n">
        <f aca="false">IF(E42&lt;&gt;1,"",IF(U42&gt;=1,(J42-O42)*G42/365,0))</f>
        <v>0</v>
      </c>
      <c r="Z42" s="35" t="n">
        <f aca="false">IF(E42&lt;&gt;1,"",IF(H42&gt;0,MAX(X42,Y42)/H42,0))</f>
        <v>0</v>
      </c>
      <c r="AA42" s="2" t="str">
        <f aca="false">IF(E42&lt;&gt;1,"",CHOOSE(T42+1,"An toàn","Có nguy cơ","Trầm trọng"))</f>
        <v>An toàn</v>
      </c>
      <c r="AB42" s="2" t="str">
        <f aca="false">IF(E42&lt;&gt;1,"",CHOOSE(U42+1,"An toàn","Có nguy cơ","Trầm trọng"))</f>
        <v>An toàn</v>
      </c>
      <c r="AC42" s="2" t="str">
        <f aca="false">IF(E42&lt;&gt;1,"",IF(V42=1,"Có nguy cơ: NCC cho nợ ít + tiền mỏng",IF(W42=1,"Lưu ý: DPO cao – kiểm tra quá hạn NCC","An toàn")))</f>
        <v>Có nguy cơ: NCC cho nợ ít + tiền mỏng</v>
      </c>
      <c r="AD42" s="10" t="str">
        <f aca="false">IF(OR(AND(ThamSo!$C$10=1,MAX(T42,U42)=2),AND(MAX(T42,U42)&gt;=1,Z42&gt;=ThamSo!$C$9)),"W2",IF(OR(MAX(T42,U42)&gt;=1,V42=1),"W1","W0"))</f>
        <v>W1</v>
      </c>
      <c r="AE42" s="10" t="str">
        <f aca="false">CHOOSE(MATCH(AD42,{"W0","W1","W2"},0),"An toàn","Có nguy cơ","Thiếu trầm trọng")</f>
        <v>Có nguy cơ</v>
      </c>
      <c r="AF42" s="2" t="str">
        <f aca="false">IF(OR(E42&lt;&gt;1,AD42="W0"),"",IF(AND(T42=0,U42=0),"Phải trả",IF(T42&gt;U42,"Phải thu",IF(U42&gt;T42,"Tồn kho",IF(X42&gt;=Y42,"Phải thu","Tồn kho")))))</f>
        <v>Phải trả</v>
      </c>
      <c r="AG42" s="2" t="str">
        <f aca="false">TRIM(IF(T42=2,"R-AR-2 ",IF(T42=1,"R-AR-1 ",""))&amp;IF(U42=2,"R-INV-2 ",IF(U42=1,"R-INV-1 ",""))&amp;IF(V42=1,"R-AP-1 ","")&amp;IF(AND(MAX(T42,U42)&gt;=1,Z42&gt;=ThamSo!$C$9),"R-MAT",""))</f>
        <v>R-AP-1</v>
      </c>
      <c r="AH42" s="34" t="n">
        <f aca="false">IF(E42&lt;&gt;1,"",X42+Y42)</f>
        <v>0</v>
      </c>
      <c r="AI42" s="2" t="n">
        <f aca="false">IF(OR(E42&lt;&gt;1,DuLieu!A58&lt;&gt;DuLieu!A57,DuLieu!B58&gt;ThamSo!$C$23,DuLieu!D58="",DuLieu!K58=""),"",IF(OR(DuLieu!K58&lt;0,DuLieu!D58&lt;DuLieu!D57*(1-ThamSo!$C$20)),1,0))</f>
        <v>0</v>
      </c>
    </row>
    <row r="43" customFormat="false" ht="15" hidden="false" customHeight="false" outlineLevel="0" collapsed="false">
      <c r="A43" s="36" t="str">
        <f aca="false">DuLieu!A58</f>
        <v>NJC</v>
      </c>
      <c r="B43" s="36" t="n">
        <f aca="false">DuLieu!B58</f>
        <v>2025</v>
      </c>
      <c r="C43" s="2" t="str">
        <f aca="false">A43&amp;"-"&amp;B43</f>
        <v>NJC-2025</v>
      </c>
      <c r="D43" s="2" t="str">
        <f aca="false">DuLieu!S58&amp;"|"&amp;DuLieu!V58</f>
        <v>FOB|Nhỏ–vừa</v>
      </c>
      <c r="E43" s="36" t="n">
        <f aca="false">DuLieu!U58</f>
        <v>1</v>
      </c>
      <c r="F43" s="34" t="n">
        <f aca="false">IF(E43=1,DuLieu!D58,"")</f>
        <v>661508276276</v>
      </c>
      <c r="G43" s="34" t="n">
        <f aca="false">IF(E43=1,DuLieu!O58,"")</f>
        <v>600260633988.234</v>
      </c>
      <c r="H43" s="34" t="n">
        <f aca="false">IF(E43=1,DuLieu!G58,"")</f>
        <v>347100136454</v>
      </c>
      <c r="I43" s="37" t="n">
        <f aca="false">IF(E43=1,DuLieu!L58,"")</f>
        <v>67.14684189</v>
      </c>
      <c r="J43" s="37" t="n">
        <f aca="false">IF(E43=1,DuLieu!M58,"")</f>
        <v>86.73010008</v>
      </c>
      <c r="K43" s="37" t="n">
        <f aca="false">IF(E43=1,DuLieu!N58,"")</f>
        <v>20.98670805</v>
      </c>
      <c r="L43" s="35" t="n">
        <f aca="false">IF(E43=1,DuLieu!P58,"")</f>
        <v>0.056839373937496</v>
      </c>
      <c r="M43" s="37" t="n">
        <f aca="false">IF(E43=1,INDEX(B3_NguongKhoanMuc!$E$4:$E$5,MATCH(D43,B3_NguongKhoanMuc!$A$4:$A$5,0)),"")</f>
        <v>58.2071385175</v>
      </c>
      <c r="N43" s="37" t="n">
        <f aca="false">IF(E43=1,INDEX(B3_NguongKhoanMuc!$F$4:$F$5,MATCH(D43,B3_NguongKhoanMuc!$A$4:$A$5,0)),"")</f>
        <v>66.26326635</v>
      </c>
      <c r="O43" s="37" t="n">
        <f aca="false">IF(E43=1,INDEX(B3_NguongKhoanMuc!$H$4:$H$5,MATCH(D43,B3_NguongKhoanMuc!$A$4:$A$5,0)),"")</f>
        <v>86.118055065</v>
      </c>
      <c r="P43" s="37" t="n">
        <f aca="false">IF(E43=1,INDEX(B3_NguongKhoanMuc!$I$4:$I$5,MATCH(D43,B3_NguongKhoanMuc!$A$4:$A$5,0)),"")</f>
        <v>137.965147652</v>
      </c>
      <c r="Q43" s="37" t="n">
        <f aca="false">IF(E43=1,INDEX(B3_NguongKhoanMuc!$K$4:$K$5,MATCH(D43,B3_NguongKhoanMuc!$A$4:$A$5,0)),"")</f>
        <v>68.3092044425</v>
      </c>
      <c r="R43" s="37" t="n">
        <f aca="false">IF(E43=1,INDEX(B3_NguongKhoanMuc!$L$4:$L$5,MATCH(D43,B3_NguongKhoanMuc!$A$4:$A$5,0)),"")</f>
        <v>14.892652922</v>
      </c>
      <c r="S43" s="35" t="n">
        <f aca="false">IF(E43=1,INDEX(B3_NguongKhoanMuc!$M$4:$M$5,MATCH(D43,B3_NguongKhoanMuc!$A$4:$A$5,0)),"")</f>
        <v>0.0830079952170207</v>
      </c>
      <c r="T43" s="2" t="n">
        <f aca="false">IF(E43&lt;&gt;1,"",IF(I43&gt;N43,2,IF(I43&gt;M43,1,0)))</f>
        <v>2</v>
      </c>
      <c r="U43" s="2" t="n">
        <f aca="false">IF(E43&lt;&gt;1,"",IF(J43&gt;P43,2,IF(J43&gt;O43,1,0)))</f>
        <v>1</v>
      </c>
      <c r="V43" s="2" t="n">
        <f aca="false">IF(E43&lt;&gt;1,"",IF(AND(K43&lt;R43,L43&lt;S43),1,0))</f>
        <v>0</v>
      </c>
      <c r="W43" s="2" t="n">
        <f aca="false">IF(E43&lt;&gt;1,"",IF(K43&gt;Q43,1,0))</f>
        <v>0</v>
      </c>
      <c r="X43" s="34" t="n">
        <f aca="false">IF(E43&lt;&gt;1,"",IF(T43&gt;=1,(I43-M43)*F43/365,0))</f>
        <v>16201884296.8801</v>
      </c>
      <c r="Y43" s="34" t="n">
        <f aca="false">IF(E43&lt;&gt;1,"",IF(U43&gt;=1,(J43-O43)*G43/365,0))</f>
        <v>1006538434.88557</v>
      </c>
      <c r="Z43" s="35" t="n">
        <f aca="false">IF(E43&lt;&gt;1,"",IF(H43&gt;0,MAX(X43,Y43)/H43,0))</f>
        <v>0.0466778390305451</v>
      </c>
      <c r="AA43" s="2" t="str">
        <f aca="false">IF(E43&lt;&gt;1,"",CHOOSE(T43+1,"An toàn","Có nguy cơ","Trầm trọng"))</f>
        <v>Trầm trọng</v>
      </c>
      <c r="AB43" s="2" t="str">
        <f aca="false">IF(E43&lt;&gt;1,"",CHOOSE(U43+1,"An toàn","Có nguy cơ","Trầm trọng"))</f>
        <v>Có nguy cơ</v>
      </c>
      <c r="AC43" s="2" t="str">
        <f aca="false">IF(E43&lt;&gt;1,"",IF(V43=1,"Có nguy cơ: NCC cho nợ ít + tiền mỏng",IF(W43=1,"Lưu ý: DPO cao – kiểm tra quá hạn NCC","An toàn")))</f>
        <v>An toàn</v>
      </c>
      <c r="AD43" s="10" t="str">
        <f aca="false">IF(OR(AND(ThamSo!$C$10=1,MAX(T43,U43)=2),AND(MAX(T43,U43)&gt;=1,Z43&gt;=ThamSo!$C$9)),"W2",IF(OR(MAX(T43,U43)&gt;=1,V43=1),"W1","W0"))</f>
        <v>W2</v>
      </c>
      <c r="AE43" s="10" t="str">
        <f aca="false">CHOOSE(MATCH(AD43,{"W0","W1","W2"},0),"An toàn","Có nguy cơ","Thiếu trầm trọng")</f>
        <v>Thiếu trầm trọng</v>
      </c>
      <c r="AF43" s="2" t="str">
        <f aca="false">IF(OR(E43&lt;&gt;1,AD43="W0"),"",IF(AND(T43=0,U43=0),"Phải trả",IF(T43&gt;U43,"Phải thu",IF(U43&gt;T43,"Tồn kho",IF(X43&gt;=Y43,"Phải thu","Tồn kho")))))</f>
        <v>Phải thu</v>
      </c>
      <c r="AG43" s="2" t="str">
        <f aca="false">TRIM(IF(T43=2,"R-AR-2 ",IF(T43=1,"R-AR-1 ",""))&amp;IF(U43=2,"R-INV-2 ",IF(U43=1,"R-INV-1 ",""))&amp;IF(V43=1,"R-AP-1 ","")&amp;IF(AND(MAX(T43,U43)&gt;=1,Z43&gt;=ThamSo!$C$9),"R-MAT",""))</f>
        <v>R-AR-2 R-INV-1</v>
      </c>
      <c r="AH43" s="34" t="n">
        <f aca="false">IF(E43&lt;&gt;1,"",X43+Y43)</f>
        <v>17208422731.7656</v>
      </c>
      <c r="AI43" s="2" t="str">
        <f aca="false">IF(OR(E43&lt;&gt;1,DuLieu!A59&lt;&gt;DuLieu!A58,DuLieu!B59&gt;ThamSo!$C$23,DuLieu!D59="",DuLieu!K59=""),"",IF(OR(DuLieu!K59&lt;0,DuLieu!D59&lt;DuLieu!D58*(1-ThamSo!$C$20)),1,0))</f>
        <v/>
      </c>
    </row>
    <row r="44" customFormat="false" ht="15" hidden="false" customHeight="false" outlineLevel="0" collapsed="false">
      <c r="A44" s="36" t="str">
        <f aca="false">DuLieu!A59</f>
        <v>NTT</v>
      </c>
      <c r="B44" s="36" t="n">
        <f aca="false">DuLieu!B59</f>
        <v>2023</v>
      </c>
      <c r="C44" s="2" t="str">
        <f aca="false">A44&amp;"-"&amp;B44</f>
        <v>NTT-2023</v>
      </c>
      <c r="D44" s="2" t="str">
        <f aca="false">DuLieu!S59&amp;"|"&amp;DuLieu!V59</f>
        <v>FOB|Nhỏ–vừa</v>
      </c>
      <c r="E44" s="36" t="n">
        <f aca="false">DuLieu!U59</f>
        <v>1</v>
      </c>
      <c r="F44" s="34" t="n">
        <f aca="false">IF(E44=1,DuLieu!D59,"")</f>
        <v>801781567706</v>
      </c>
      <c r="G44" s="34" t="n">
        <f aca="false">IF(E44=1,DuLieu!O59,"")</f>
        <v>766615973357.881</v>
      </c>
      <c r="H44" s="34" t="n">
        <f aca="false">IF(E44=1,DuLieu!G59,"")</f>
        <v>477965760493</v>
      </c>
      <c r="I44" s="37" t="n">
        <f aca="false">IF(E44=1,DuLieu!L59,"")</f>
        <v>59.46983037</v>
      </c>
      <c r="J44" s="37" t="n">
        <f aca="false">IF(E44=1,DuLieu!M59,"")</f>
        <v>154.65072088</v>
      </c>
      <c r="K44" s="37" t="n">
        <f aca="false">IF(E44=1,DuLieu!N59,"")</f>
        <v>112.52078833</v>
      </c>
      <c r="L44" s="35" t="n">
        <f aca="false">IF(E44=1,DuLieu!P59,"")</f>
        <v>0.128155833649294</v>
      </c>
      <c r="M44" s="37" t="n">
        <f aca="false">IF(E44=1,INDEX(B3_NguongKhoanMuc!$E$4:$E$5,MATCH(D44,B3_NguongKhoanMuc!$A$4:$A$5,0)),"")</f>
        <v>58.2071385175</v>
      </c>
      <c r="N44" s="37" t="n">
        <f aca="false">IF(E44=1,INDEX(B3_NguongKhoanMuc!$F$4:$F$5,MATCH(D44,B3_NguongKhoanMuc!$A$4:$A$5,0)),"")</f>
        <v>66.26326635</v>
      </c>
      <c r="O44" s="37" t="n">
        <f aca="false">IF(E44=1,INDEX(B3_NguongKhoanMuc!$H$4:$H$5,MATCH(D44,B3_NguongKhoanMuc!$A$4:$A$5,0)),"")</f>
        <v>86.118055065</v>
      </c>
      <c r="P44" s="37" t="n">
        <f aca="false">IF(E44=1,INDEX(B3_NguongKhoanMuc!$I$4:$I$5,MATCH(D44,B3_NguongKhoanMuc!$A$4:$A$5,0)),"")</f>
        <v>137.965147652</v>
      </c>
      <c r="Q44" s="37" t="n">
        <f aca="false">IF(E44=1,INDEX(B3_NguongKhoanMuc!$K$4:$K$5,MATCH(D44,B3_NguongKhoanMuc!$A$4:$A$5,0)),"")</f>
        <v>68.3092044425</v>
      </c>
      <c r="R44" s="37" t="n">
        <f aca="false">IF(E44=1,INDEX(B3_NguongKhoanMuc!$L$4:$L$5,MATCH(D44,B3_NguongKhoanMuc!$A$4:$A$5,0)),"")</f>
        <v>14.892652922</v>
      </c>
      <c r="S44" s="35" t="n">
        <f aca="false">IF(E44=1,INDEX(B3_NguongKhoanMuc!$M$4:$M$5,MATCH(D44,B3_NguongKhoanMuc!$A$4:$A$5,0)),"")</f>
        <v>0.0830079952170207</v>
      </c>
      <c r="T44" s="2" t="n">
        <f aca="false">IF(E44&lt;&gt;1,"",IF(I44&gt;N44,2,IF(I44&gt;M44,1,0)))</f>
        <v>1</v>
      </c>
      <c r="U44" s="2" t="n">
        <f aca="false">IF(E44&lt;&gt;1,"",IF(J44&gt;P44,2,IF(J44&gt;O44,1,0)))</f>
        <v>2</v>
      </c>
      <c r="V44" s="2" t="n">
        <f aca="false">IF(E44&lt;&gt;1,"",IF(AND(K44&lt;R44,L44&lt;S44),1,0))</f>
        <v>0</v>
      </c>
      <c r="W44" s="2" t="n">
        <f aca="false">IF(E44&lt;&gt;1,"",IF(K44&gt;Q44,1,0))</f>
        <v>1</v>
      </c>
      <c r="X44" s="34" t="n">
        <f aca="false">IF(E44&lt;&gt;1,"",IF(T44&gt;=1,(I44-M44)*F44/365,0))</f>
        <v>2773706994.59463</v>
      </c>
      <c r="Y44" s="34" t="n">
        <f aca="false">IF(E44&lt;&gt;1,"",IF(U44&gt;=1,(J44-O44)*G44/365,0))</f>
        <v>143940373453.635</v>
      </c>
      <c r="Z44" s="35" t="n">
        <f aca="false">IF(E44&lt;&gt;1,"",IF(H44&gt;0,MAX(X44,Y44)/H44,0))</f>
        <v>0.301152060150013</v>
      </c>
      <c r="AA44" s="2" t="str">
        <f aca="false">IF(E44&lt;&gt;1,"",CHOOSE(T44+1,"An toàn","Có nguy cơ","Trầm trọng"))</f>
        <v>Có nguy cơ</v>
      </c>
      <c r="AB44" s="2" t="str">
        <f aca="false">IF(E44&lt;&gt;1,"",CHOOSE(U44+1,"An toàn","Có nguy cơ","Trầm trọng"))</f>
        <v>Trầm trọng</v>
      </c>
      <c r="AC44" s="2" t="str">
        <f aca="false">IF(E44&lt;&gt;1,"",IF(V44=1,"Có nguy cơ: NCC cho nợ ít + tiền mỏng",IF(W44=1,"Lưu ý: DPO cao – kiểm tra quá hạn NCC","An toàn")))</f>
        <v>Lưu ý: DPO cao – kiểm tra quá hạn NCC</v>
      </c>
      <c r="AD44" s="10" t="str">
        <f aca="false">IF(OR(AND(ThamSo!$C$10=1,MAX(T44,U44)=2),AND(MAX(T44,U44)&gt;=1,Z44&gt;=ThamSo!$C$9)),"W2",IF(OR(MAX(T44,U44)&gt;=1,V44=1),"W1","W0"))</f>
        <v>W2</v>
      </c>
      <c r="AE44" s="10" t="str">
        <f aca="false">CHOOSE(MATCH(AD44,{"W0","W1","W2"},0),"An toàn","Có nguy cơ","Thiếu trầm trọng")</f>
        <v>Thiếu trầm trọng</v>
      </c>
      <c r="AF44" s="2" t="str">
        <f aca="false">IF(OR(E44&lt;&gt;1,AD44="W0"),"",IF(AND(T44=0,U44=0),"Phải trả",IF(T44&gt;U44,"Phải thu",IF(U44&gt;T44,"Tồn kho",IF(X44&gt;=Y44,"Phải thu","Tồn kho")))))</f>
        <v>Tồn kho</v>
      </c>
      <c r="AG44" s="2" t="str">
        <f aca="false">TRIM(IF(T44=2,"R-AR-2 ",IF(T44=1,"R-AR-1 ",""))&amp;IF(U44=2,"R-INV-2 ",IF(U44=1,"R-INV-1 ",""))&amp;IF(V44=1,"R-AP-1 ","")&amp;IF(AND(MAX(T44,U44)&gt;=1,Z44&gt;=ThamSo!$C$9),"R-MAT",""))</f>
        <v>R-AR-1 R-INV-2 R-MAT</v>
      </c>
      <c r="AH44" s="34" t="n">
        <f aca="false">IF(E44&lt;&gt;1,"",X44+Y44)</f>
        <v>146714080448.229</v>
      </c>
      <c r="AI44" s="2" t="n">
        <f aca="false">IF(OR(E44&lt;&gt;1,DuLieu!A60&lt;&gt;DuLieu!A59,DuLieu!B60&gt;ThamSo!$C$23,DuLieu!D60="",DuLieu!K60=""),"",IF(OR(DuLieu!K60&lt;0,DuLieu!D60&lt;DuLieu!D59*(1-ThamSo!$C$20)),1,0))</f>
        <v>0</v>
      </c>
    </row>
    <row r="45" customFormat="false" ht="15" hidden="false" customHeight="false" outlineLevel="0" collapsed="false">
      <c r="A45" s="36" t="str">
        <f aca="false">DuLieu!A60</f>
        <v>NTT</v>
      </c>
      <c r="B45" s="36" t="n">
        <f aca="false">DuLieu!B60</f>
        <v>2024</v>
      </c>
      <c r="C45" s="2" t="str">
        <f aca="false">A45&amp;"-"&amp;B45</f>
        <v>NTT-2024</v>
      </c>
      <c r="D45" s="2" t="str">
        <f aca="false">DuLieu!S60&amp;"|"&amp;DuLieu!V60</f>
        <v>FOB|Nhỏ–vừa</v>
      </c>
      <c r="E45" s="36" t="n">
        <f aca="false">DuLieu!U60</f>
        <v>1</v>
      </c>
      <c r="F45" s="34" t="n">
        <f aca="false">IF(E45=1,DuLieu!D60,"")</f>
        <v>1233648206745</v>
      </c>
      <c r="G45" s="34" t="n">
        <f aca="false">IF(E45=1,DuLieu!O60,"")</f>
        <v>1138425492327.59</v>
      </c>
      <c r="H45" s="34" t="n">
        <f aca="false">IF(E45=1,DuLieu!G60,"")</f>
        <v>739726368206</v>
      </c>
      <c r="I45" s="37" t="n">
        <f aca="false">IF(E45=1,DuLieu!L60,"")</f>
        <v>51.58610154</v>
      </c>
      <c r="J45" s="37" t="n">
        <f aca="false">IF(E45=1,DuLieu!M60,"")</f>
        <v>104.63331123</v>
      </c>
      <c r="K45" s="37" t="n">
        <f aca="false">IF(E45=1,DuLieu!N60,"")</f>
        <v>73.679788</v>
      </c>
      <c r="L45" s="35" t="n">
        <f aca="false">IF(E45=1,DuLieu!P60,"")</f>
        <v>0.0824085858003555</v>
      </c>
      <c r="M45" s="37" t="n">
        <f aca="false">IF(E45=1,INDEX(B3_NguongKhoanMuc!$E$4:$E$5,MATCH(D45,B3_NguongKhoanMuc!$A$4:$A$5,0)),"")</f>
        <v>58.2071385175</v>
      </c>
      <c r="N45" s="37" t="n">
        <f aca="false">IF(E45=1,INDEX(B3_NguongKhoanMuc!$F$4:$F$5,MATCH(D45,B3_NguongKhoanMuc!$A$4:$A$5,0)),"")</f>
        <v>66.26326635</v>
      </c>
      <c r="O45" s="37" t="n">
        <f aca="false">IF(E45=1,INDEX(B3_NguongKhoanMuc!$H$4:$H$5,MATCH(D45,B3_NguongKhoanMuc!$A$4:$A$5,0)),"")</f>
        <v>86.118055065</v>
      </c>
      <c r="P45" s="37" t="n">
        <f aca="false">IF(E45=1,INDEX(B3_NguongKhoanMuc!$I$4:$I$5,MATCH(D45,B3_NguongKhoanMuc!$A$4:$A$5,0)),"")</f>
        <v>137.965147652</v>
      </c>
      <c r="Q45" s="37" t="n">
        <f aca="false">IF(E45=1,INDEX(B3_NguongKhoanMuc!$K$4:$K$5,MATCH(D45,B3_NguongKhoanMuc!$A$4:$A$5,0)),"")</f>
        <v>68.3092044425</v>
      </c>
      <c r="R45" s="37" t="n">
        <f aca="false">IF(E45=1,INDEX(B3_NguongKhoanMuc!$L$4:$L$5,MATCH(D45,B3_NguongKhoanMuc!$A$4:$A$5,0)),"")</f>
        <v>14.892652922</v>
      </c>
      <c r="S45" s="35" t="n">
        <f aca="false">IF(E45=1,INDEX(B3_NguongKhoanMuc!$M$4:$M$5,MATCH(D45,B3_NguongKhoanMuc!$A$4:$A$5,0)),"")</f>
        <v>0.0830079952170207</v>
      </c>
      <c r="T45" s="2" t="n">
        <f aca="false">IF(E45&lt;&gt;1,"",IF(I45&gt;N45,2,IF(I45&gt;M45,1,0)))</f>
        <v>0</v>
      </c>
      <c r="U45" s="2" t="n">
        <f aca="false">IF(E45&lt;&gt;1,"",IF(J45&gt;P45,2,IF(J45&gt;O45,1,0)))</f>
        <v>1</v>
      </c>
      <c r="V45" s="2" t="n">
        <f aca="false">IF(E45&lt;&gt;1,"",IF(AND(K45&lt;R45,L45&lt;S45),1,0))</f>
        <v>0</v>
      </c>
      <c r="W45" s="2" t="n">
        <f aca="false">IF(E45&lt;&gt;1,"",IF(K45&gt;Q45,1,0))</f>
        <v>1</v>
      </c>
      <c r="X45" s="34" t="n">
        <f aca="false">IF(E45&lt;&gt;1,"",IF(T45&gt;=1,(I45-M45)*F45/365,0))</f>
        <v>0</v>
      </c>
      <c r="Y45" s="34" t="n">
        <f aca="false">IF(E45&lt;&gt;1,"",IF(U45&gt;=1,(J45-O45)*G45/365,0))</f>
        <v>57748601685.511</v>
      </c>
      <c r="Z45" s="35" t="n">
        <f aca="false">IF(E45&lt;&gt;1,"",IF(H45&gt;0,MAX(X45,Y45)/H45,0))</f>
        <v>0.0780675181629177</v>
      </c>
      <c r="AA45" s="2" t="str">
        <f aca="false">IF(E45&lt;&gt;1,"",CHOOSE(T45+1,"An toàn","Có nguy cơ","Trầm trọng"))</f>
        <v>An toàn</v>
      </c>
      <c r="AB45" s="2" t="str">
        <f aca="false">IF(E45&lt;&gt;1,"",CHOOSE(U45+1,"An toàn","Có nguy cơ","Trầm trọng"))</f>
        <v>Có nguy cơ</v>
      </c>
      <c r="AC45" s="2" t="str">
        <f aca="false">IF(E45&lt;&gt;1,"",IF(V45=1,"Có nguy cơ: NCC cho nợ ít + tiền mỏng",IF(W45=1,"Lưu ý: DPO cao – kiểm tra quá hạn NCC","An toàn")))</f>
        <v>Lưu ý: DPO cao – kiểm tra quá hạn NCC</v>
      </c>
      <c r="AD45" s="10" t="str">
        <f aca="false">IF(OR(AND(ThamSo!$C$10=1,MAX(T45,U45)=2),AND(MAX(T45,U45)&gt;=1,Z45&gt;=ThamSo!$C$9)),"W2",IF(OR(MAX(T45,U45)&gt;=1,V45=1),"W1","W0"))</f>
        <v>W2</v>
      </c>
      <c r="AE45" s="10" t="str">
        <f aca="false">CHOOSE(MATCH(AD45,{"W0","W1","W2"},0),"An toàn","Có nguy cơ","Thiếu trầm trọng")</f>
        <v>Thiếu trầm trọng</v>
      </c>
      <c r="AF45" s="2" t="str">
        <f aca="false">IF(OR(E45&lt;&gt;1,AD45="W0"),"",IF(AND(T45=0,U45=0),"Phải trả",IF(T45&gt;U45,"Phải thu",IF(U45&gt;T45,"Tồn kho",IF(X45&gt;=Y45,"Phải thu","Tồn kho")))))</f>
        <v>Tồn kho</v>
      </c>
      <c r="AG45" s="2" t="str">
        <f aca="false">TRIM(IF(T45=2,"R-AR-2 ",IF(T45=1,"R-AR-1 ",""))&amp;IF(U45=2,"R-INV-2 ",IF(U45=1,"R-INV-1 ",""))&amp;IF(V45=1,"R-AP-1 ","")&amp;IF(AND(MAX(T45,U45)&gt;=1,Z45&gt;=ThamSo!$C$9),"R-MAT",""))</f>
        <v>R-INV-1 R-MAT</v>
      </c>
      <c r="AH45" s="34" t="n">
        <f aca="false">IF(E45&lt;&gt;1,"",X45+Y45)</f>
        <v>57748601685.511</v>
      </c>
      <c r="AI45" s="2" t="n">
        <f aca="false">IF(OR(E45&lt;&gt;1,DuLieu!A61&lt;&gt;DuLieu!A60,DuLieu!B61&gt;ThamSo!$C$23,DuLieu!D61="",DuLieu!K61=""),"",IF(OR(DuLieu!K61&lt;0,DuLieu!D61&lt;DuLieu!D60*(1-ThamSo!$C$20)),1,0))</f>
        <v>0</v>
      </c>
    </row>
    <row r="46" customFormat="false" ht="15" hidden="false" customHeight="false" outlineLevel="0" collapsed="false">
      <c r="A46" s="36" t="str">
        <f aca="false">DuLieu!A61</f>
        <v>NTT</v>
      </c>
      <c r="B46" s="36" t="n">
        <f aca="false">DuLieu!B61</f>
        <v>2025</v>
      </c>
      <c r="C46" s="2" t="str">
        <f aca="false">A46&amp;"-"&amp;B46</f>
        <v>NTT-2025</v>
      </c>
      <c r="D46" s="2" t="str">
        <f aca="false">DuLieu!S61&amp;"|"&amp;DuLieu!V61</f>
        <v>FOB|Lớn</v>
      </c>
      <c r="E46" s="36" t="n">
        <f aca="false">DuLieu!U61</f>
        <v>1</v>
      </c>
      <c r="F46" s="34" t="n">
        <f aca="false">IF(E46=1,DuLieu!D61,"")</f>
        <v>1526835689293</v>
      </c>
      <c r="G46" s="34" t="n">
        <f aca="false">IF(E46=1,DuLieu!O61,"")</f>
        <v>1399174728131.11</v>
      </c>
      <c r="H46" s="34" t="n">
        <f aca="false">IF(E46=1,DuLieu!G61,"")</f>
        <v>608874680858</v>
      </c>
      <c r="I46" s="37" t="n">
        <f aca="false">IF(E46=1,DuLieu!L61,"")</f>
        <v>51.66785441</v>
      </c>
      <c r="J46" s="37" t="n">
        <f aca="false">IF(E46=1,DuLieu!M61,"")</f>
        <v>82.09985277</v>
      </c>
      <c r="K46" s="37" t="n">
        <f aca="false">IF(E46=1,DuLieu!N61,"")</f>
        <v>58.33055948</v>
      </c>
      <c r="L46" s="35" t="n">
        <f aca="false">IF(E46=1,DuLieu!P61,"")</f>
        <v>0.0406890677560512</v>
      </c>
      <c r="M46" s="37" t="n">
        <f aca="false">IF(E46=1,INDEX(B3_NguongKhoanMuc!$E$4:$E$5,MATCH(D46,B3_NguongKhoanMuc!$A$4:$A$5,0)),"")</f>
        <v>58.2071385175</v>
      </c>
      <c r="N46" s="37" t="n">
        <f aca="false">IF(E46=1,INDEX(B3_NguongKhoanMuc!$F$4:$F$5,MATCH(D46,B3_NguongKhoanMuc!$A$4:$A$5,0)),"")</f>
        <v>66.26326635</v>
      </c>
      <c r="O46" s="37" t="n">
        <f aca="false">IF(E46=1,INDEX(B3_NguongKhoanMuc!$H$4:$H$5,MATCH(D46,B3_NguongKhoanMuc!$A$4:$A$5,0)),"")</f>
        <v>86.118055065</v>
      </c>
      <c r="P46" s="37" t="n">
        <f aca="false">IF(E46=1,INDEX(B3_NguongKhoanMuc!$I$4:$I$5,MATCH(D46,B3_NguongKhoanMuc!$A$4:$A$5,0)),"")</f>
        <v>137.965147652</v>
      </c>
      <c r="Q46" s="37" t="n">
        <f aca="false">IF(E46=1,INDEX(B3_NguongKhoanMuc!$K$4:$K$5,MATCH(D46,B3_NguongKhoanMuc!$A$4:$A$5,0)),"")</f>
        <v>68.3092044425</v>
      </c>
      <c r="R46" s="37" t="n">
        <f aca="false">IF(E46=1,INDEX(B3_NguongKhoanMuc!$L$4:$L$5,MATCH(D46,B3_NguongKhoanMuc!$A$4:$A$5,0)),"")</f>
        <v>14.892652922</v>
      </c>
      <c r="S46" s="35" t="n">
        <f aca="false">IF(E46=1,INDEX(B3_NguongKhoanMuc!$M$4:$M$5,MATCH(D46,B3_NguongKhoanMuc!$A$4:$A$5,0)),"")</f>
        <v>0.0830079952170207</v>
      </c>
      <c r="T46" s="2" t="n">
        <f aca="false">IF(E46&lt;&gt;1,"",IF(I46&gt;N46,2,IF(I46&gt;M46,1,0)))</f>
        <v>0</v>
      </c>
      <c r="U46" s="2" t="n">
        <f aca="false">IF(E46&lt;&gt;1,"",IF(J46&gt;P46,2,IF(J46&gt;O46,1,0)))</f>
        <v>0</v>
      </c>
      <c r="V46" s="2" t="n">
        <f aca="false">IF(E46&lt;&gt;1,"",IF(AND(K46&lt;R46,L46&lt;S46),1,0))</f>
        <v>0</v>
      </c>
      <c r="W46" s="2" t="n">
        <f aca="false">IF(E46&lt;&gt;1,"",IF(K46&gt;Q46,1,0))</f>
        <v>0</v>
      </c>
      <c r="X46" s="34" t="n">
        <f aca="false">IF(E46&lt;&gt;1,"",IF(T46&gt;=1,(I46-M46)*F46/365,0))</f>
        <v>0</v>
      </c>
      <c r="Y46" s="34" t="n">
        <f aca="false">IF(E46&lt;&gt;1,"",IF(U46&gt;=1,(J46-O46)*G46/365,0))</f>
        <v>0</v>
      </c>
      <c r="Z46" s="35" t="n">
        <f aca="false">IF(E46&lt;&gt;1,"",IF(H46&gt;0,MAX(X46,Y46)/H46,0))</f>
        <v>0</v>
      </c>
      <c r="AA46" s="2" t="str">
        <f aca="false">IF(E46&lt;&gt;1,"",CHOOSE(T46+1,"An toàn","Có nguy cơ","Trầm trọng"))</f>
        <v>An toàn</v>
      </c>
      <c r="AB46" s="2" t="str">
        <f aca="false">IF(E46&lt;&gt;1,"",CHOOSE(U46+1,"An toàn","Có nguy cơ","Trầm trọng"))</f>
        <v>An toàn</v>
      </c>
      <c r="AC46" s="2" t="str">
        <f aca="false">IF(E46&lt;&gt;1,"",IF(V46=1,"Có nguy cơ: NCC cho nợ ít + tiền mỏng",IF(W46=1,"Lưu ý: DPO cao – kiểm tra quá hạn NCC","An toàn")))</f>
        <v>An toàn</v>
      </c>
      <c r="AD46" s="10" t="str">
        <f aca="false">IF(OR(AND(ThamSo!$C$10=1,MAX(T46,U46)=2),AND(MAX(T46,U46)&gt;=1,Z46&gt;=ThamSo!$C$9)),"W2",IF(OR(MAX(T46,U46)&gt;=1,V46=1),"W1","W0"))</f>
        <v>W0</v>
      </c>
      <c r="AE46" s="10" t="str">
        <f aca="false">CHOOSE(MATCH(AD46,{"W0","W1","W2"},0),"An toàn","Có nguy cơ","Thiếu trầm trọng")</f>
        <v>An toàn</v>
      </c>
      <c r="AF46" s="2" t="str">
        <f aca="false">IF(OR(E46&lt;&gt;1,AD46="W0"),"",IF(AND(T46=0,U46=0),"Phải trả",IF(T46&gt;U46,"Phải thu",IF(U46&gt;T46,"Tồn kho",IF(X46&gt;=Y46,"Phải thu","Tồn kho")))))</f>
        <v/>
      </c>
      <c r="AG46" s="2" t="str">
        <f aca="false">TRIM(IF(T46=2,"R-AR-2 ",IF(T46=1,"R-AR-1 ",""))&amp;IF(U46=2,"R-INV-2 ",IF(U46=1,"R-INV-1 ",""))&amp;IF(V46=1,"R-AP-1 ","")&amp;IF(AND(MAX(T46,U46)&gt;=1,Z46&gt;=ThamSo!$C$9),"R-MAT",""))</f>
        <v/>
      </c>
      <c r="AH46" s="34" t="n">
        <f aca="false">IF(E46&lt;&gt;1,"",X46+Y46)</f>
        <v>0</v>
      </c>
      <c r="AI46" s="2" t="str">
        <f aca="false">IF(OR(E46&lt;&gt;1,DuLieu!A62&lt;&gt;DuLieu!A61,DuLieu!B62&gt;ThamSo!$C$23,DuLieu!D62="",DuLieu!K62=""),"",IF(OR(DuLieu!K62&lt;0,DuLieu!D62&lt;DuLieu!D61*(1-ThamSo!$C$20)),1,0))</f>
        <v/>
      </c>
    </row>
    <row r="47" customFormat="false" ht="15" hidden="false" customHeight="false" outlineLevel="0" collapsed="false">
      <c r="A47" s="36" t="str">
        <f aca="false">DuLieu!A65</f>
        <v>TCM</v>
      </c>
      <c r="B47" s="36" t="n">
        <f aca="false">DuLieu!B65</f>
        <v>2023</v>
      </c>
      <c r="C47" s="2" t="str">
        <f aca="false">A47&amp;"-"&amp;B47</f>
        <v>TCM-2023</v>
      </c>
      <c r="D47" s="2" t="str">
        <f aca="false">DuLieu!S65&amp;"|"&amp;DuLieu!V65</f>
        <v>FOB|Lớn</v>
      </c>
      <c r="E47" s="36" t="n">
        <f aca="false">DuLieu!U65</f>
        <v>1</v>
      </c>
      <c r="F47" s="34" t="n">
        <f aca="false">IF(E47=1,DuLieu!D65,"")</f>
        <v>3327935318862</v>
      </c>
      <c r="G47" s="34" t="n">
        <f aca="false">IF(E47=1,DuLieu!O65,"")</f>
        <v>2828784190831.4</v>
      </c>
      <c r="H47" s="34" t="n">
        <f aca="false">IF(E47=1,DuLieu!G65,"")</f>
        <v>2130754199483</v>
      </c>
      <c r="I47" s="37" t="n">
        <f aca="false">IF(E47=1,DuLieu!L65,"")</f>
        <v>39.68297323</v>
      </c>
      <c r="J47" s="37" t="n">
        <f aca="false">IF(E47=1,DuLieu!M65,"")</f>
        <v>150.80339766</v>
      </c>
      <c r="K47" s="37" t="n">
        <f aca="false">IF(E47=1,DuLieu!N65,"")</f>
        <v>28.52545102</v>
      </c>
      <c r="L47" s="35" t="n">
        <f aca="false">IF(E47=1,DuLieu!P65,"")</f>
        <v>0.224676040146622</v>
      </c>
      <c r="M47" s="37" t="n">
        <f aca="false">IF(E47=1,INDEX(B3_NguongKhoanMuc!$E$4:$E$5,MATCH(D47,B3_NguongKhoanMuc!$A$4:$A$5,0)),"")</f>
        <v>58.2071385175</v>
      </c>
      <c r="N47" s="37" t="n">
        <f aca="false">IF(E47=1,INDEX(B3_NguongKhoanMuc!$F$4:$F$5,MATCH(D47,B3_NguongKhoanMuc!$A$4:$A$5,0)),"")</f>
        <v>66.26326635</v>
      </c>
      <c r="O47" s="37" t="n">
        <f aca="false">IF(E47=1,INDEX(B3_NguongKhoanMuc!$H$4:$H$5,MATCH(D47,B3_NguongKhoanMuc!$A$4:$A$5,0)),"")</f>
        <v>86.118055065</v>
      </c>
      <c r="P47" s="37" t="n">
        <f aca="false">IF(E47=1,INDEX(B3_NguongKhoanMuc!$I$4:$I$5,MATCH(D47,B3_NguongKhoanMuc!$A$4:$A$5,0)),"")</f>
        <v>137.965147652</v>
      </c>
      <c r="Q47" s="37" t="n">
        <f aca="false">IF(E47=1,INDEX(B3_NguongKhoanMuc!$K$4:$K$5,MATCH(D47,B3_NguongKhoanMuc!$A$4:$A$5,0)),"")</f>
        <v>68.3092044425</v>
      </c>
      <c r="R47" s="37" t="n">
        <f aca="false">IF(E47=1,INDEX(B3_NguongKhoanMuc!$L$4:$L$5,MATCH(D47,B3_NguongKhoanMuc!$A$4:$A$5,0)),"")</f>
        <v>14.892652922</v>
      </c>
      <c r="S47" s="35" t="n">
        <f aca="false">IF(E47=1,INDEX(B3_NguongKhoanMuc!$M$4:$M$5,MATCH(D47,B3_NguongKhoanMuc!$A$4:$A$5,0)),"")</f>
        <v>0.0830079952170207</v>
      </c>
      <c r="T47" s="2" t="n">
        <f aca="false">IF(E47&lt;&gt;1,"",IF(I47&gt;N47,2,IF(I47&gt;M47,1,0)))</f>
        <v>0</v>
      </c>
      <c r="U47" s="2" t="n">
        <f aca="false">IF(E47&lt;&gt;1,"",IF(J47&gt;P47,2,IF(J47&gt;O47,1,0)))</f>
        <v>2</v>
      </c>
      <c r="V47" s="2" t="n">
        <f aca="false">IF(E47&lt;&gt;1,"",IF(AND(K47&lt;R47,L47&lt;S47),1,0))</f>
        <v>0</v>
      </c>
      <c r="W47" s="2" t="n">
        <f aca="false">IF(E47&lt;&gt;1,"",IF(K47&gt;Q47,1,0))</f>
        <v>0</v>
      </c>
      <c r="X47" s="34" t="n">
        <f aca="false">IF(E47&lt;&gt;1,"",IF(T47&gt;=1,(I47-M47)*F47/365,0))</f>
        <v>0</v>
      </c>
      <c r="Y47" s="34" t="n">
        <f aca="false">IF(E47&lt;&gt;1,"",IF(U47&gt;=1,(J47-O47)*G47/365,0))</f>
        <v>501317464414.381</v>
      </c>
      <c r="Z47" s="35" t="n">
        <f aca="false">IF(E47&lt;&gt;1,"",IF(H47&gt;0,MAX(X47,Y47)/H47,0))</f>
        <v>0.235277004046745</v>
      </c>
      <c r="AA47" s="2" t="str">
        <f aca="false">IF(E47&lt;&gt;1,"",CHOOSE(T47+1,"An toàn","Có nguy cơ","Trầm trọng"))</f>
        <v>An toàn</v>
      </c>
      <c r="AB47" s="2" t="str">
        <f aca="false">IF(E47&lt;&gt;1,"",CHOOSE(U47+1,"An toàn","Có nguy cơ","Trầm trọng"))</f>
        <v>Trầm trọng</v>
      </c>
      <c r="AC47" s="2" t="str">
        <f aca="false">IF(E47&lt;&gt;1,"",IF(V47=1,"Có nguy cơ: NCC cho nợ ít + tiền mỏng",IF(W47=1,"Lưu ý: DPO cao – kiểm tra quá hạn NCC","An toàn")))</f>
        <v>An toàn</v>
      </c>
      <c r="AD47" s="10" t="str">
        <f aca="false">IF(OR(AND(ThamSo!$C$10=1,MAX(T47,U47)=2),AND(MAX(T47,U47)&gt;=1,Z47&gt;=ThamSo!$C$9)),"W2",IF(OR(MAX(T47,U47)&gt;=1,V47=1),"W1","W0"))</f>
        <v>W2</v>
      </c>
      <c r="AE47" s="10" t="str">
        <f aca="false">CHOOSE(MATCH(AD47,{"W0","W1","W2"},0),"An toàn","Có nguy cơ","Thiếu trầm trọng")</f>
        <v>Thiếu trầm trọng</v>
      </c>
      <c r="AF47" s="2" t="str">
        <f aca="false">IF(OR(E47&lt;&gt;1,AD47="W0"),"",IF(AND(T47=0,U47=0),"Phải trả",IF(T47&gt;U47,"Phải thu",IF(U47&gt;T47,"Tồn kho",IF(X47&gt;=Y47,"Phải thu","Tồn kho")))))</f>
        <v>Tồn kho</v>
      </c>
      <c r="AG47" s="2" t="str">
        <f aca="false">TRIM(IF(T47=2,"R-AR-2 ",IF(T47=1,"R-AR-1 ",""))&amp;IF(U47=2,"R-INV-2 ",IF(U47=1,"R-INV-1 ",""))&amp;IF(V47=1,"R-AP-1 ","")&amp;IF(AND(MAX(T47,U47)&gt;=1,Z47&gt;=ThamSo!$C$9),"R-MAT",""))</f>
        <v>R-INV-2 R-MAT</v>
      </c>
      <c r="AH47" s="34" t="n">
        <f aca="false">IF(E47&lt;&gt;1,"",X47+Y47)</f>
        <v>501317464414.381</v>
      </c>
      <c r="AI47" s="2" t="n">
        <f aca="false">IF(OR(E47&lt;&gt;1,DuLieu!A66&lt;&gt;DuLieu!A65,DuLieu!B66&gt;ThamSo!$C$23,DuLieu!D66="",DuLieu!K66=""),"",IF(OR(DuLieu!K66&lt;0,DuLieu!D66&lt;DuLieu!D65*(1-ThamSo!$C$20)),1,0))</f>
        <v>0</v>
      </c>
    </row>
    <row r="48" customFormat="false" ht="15" hidden="false" customHeight="false" outlineLevel="0" collapsed="false">
      <c r="A48" s="36" t="str">
        <f aca="false">DuLieu!A66</f>
        <v>TCM</v>
      </c>
      <c r="B48" s="36" t="n">
        <f aca="false">DuLieu!B66</f>
        <v>2024</v>
      </c>
      <c r="C48" s="2" t="str">
        <f aca="false">A48&amp;"-"&amp;B48</f>
        <v>TCM-2024</v>
      </c>
      <c r="D48" s="2" t="str">
        <f aca="false">DuLieu!S66&amp;"|"&amp;DuLieu!V66</f>
        <v>FOB|Lớn</v>
      </c>
      <c r="E48" s="36" t="n">
        <f aca="false">DuLieu!U66</f>
        <v>1</v>
      </c>
      <c r="F48" s="34" t="n">
        <f aca="false">IF(E48=1,DuLieu!D66,"")</f>
        <v>3810904287996</v>
      </c>
      <c r="G48" s="34" t="n">
        <f aca="false">IF(E48=1,DuLieu!O66,"")</f>
        <v>3194168231237.01</v>
      </c>
      <c r="H48" s="34" t="n">
        <f aca="false">IF(E48=1,DuLieu!G66,"")</f>
        <v>2690037141466</v>
      </c>
      <c r="I48" s="37" t="n">
        <f aca="false">IF(E48=1,DuLieu!L66,"")</f>
        <v>44.37421928</v>
      </c>
      <c r="J48" s="37" t="n">
        <f aca="false">IF(E48=1,DuLieu!M66,"")</f>
        <v>119.08267348</v>
      </c>
      <c r="K48" s="37" t="n">
        <f aca="false">IF(E48=1,DuLieu!N66,"")</f>
        <v>42.50564924</v>
      </c>
      <c r="L48" s="35" t="n">
        <f aca="false">IF(E48=1,DuLieu!P66,"")</f>
        <v>0.287706367692473</v>
      </c>
      <c r="M48" s="37" t="n">
        <f aca="false">IF(E48=1,INDEX(B3_NguongKhoanMuc!$E$4:$E$5,MATCH(D48,B3_NguongKhoanMuc!$A$4:$A$5,0)),"")</f>
        <v>58.2071385175</v>
      </c>
      <c r="N48" s="37" t="n">
        <f aca="false">IF(E48=1,INDEX(B3_NguongKhoanMuc!$F$4:$F$5,MATCH(D48,B3_NguongKhoanMuc!$A$4:$A$5,0)),"")</f>
        <v>66.26326635</v>
      </c>
      <c r="O48" s="37" t="n">
        <f aca="false">IF(E48=1,INDEX(B3_NguongKhoanMuc!$H$4:$H$5,MATCH(D48,B3_NguongKhoanMuc!$A$4:$A$5,0)),"")</f>
        <v>86.118055065</v>
      </c>
      <c r="P48" s="37" t="n">
        <f aca="false">IF(E48=1,INDEX(B3_NguongKhoanMuc!$I$4:$I$5,MATCH(D48,B3_NguongKhoanMuc!$A$4:$A$5,0)),"")</f>
        <v>137.965147652</v>
      </c>
      <c r="Q48" s="37" t="n">
        <f aca="false">IF(E48=1,INDEX(B3_NguongKhoanMuc!$K$4:$K$5,MATCH(D48,B3_NguongKhoanMuc!$A$4:$A$5,0)),"")</f>
        <v>68.3092044425</v>
      </c>
      <c r="R48" s="37" t="n">
        <f aca="false">IF(E48=1,INDEX(B3_NguongKhoanMuc!$L$4:$L$5,MATCH(D48,B3_NguongKhoanMuc!$A$4:$A$5,0)),"")</f>
        <v>14.892652922</v>
      </c>
      <c r="S48" s="35" t="n">
        <f aca="false">IF(E48=1,INDEX(B3_NguongKhoanMuc!$M$4:$M$5,MATCH(D48,B3_NguongKhoanMuc!$A$4:$A$5,0)),"")</f>
        <v>0.0830079952170207</v>
      </c>
      <c r="T48" s="2" t="n">
        <f aca="false">IF(E48&lt;&gt;1,"",IF(I48&gt;N48,2,IF(I48&gt;M48,1,0)))</f>
        <v>0</v>
      </c>
      <c r="U48" s="2" t="n">
        <f aca="false">IF(E48&lt;&gt;1,"",IF(J48&gt;P48,2,IF(J48&gt;O48,1,0)))</f>
        <v>1</v>
      </c>
      <c r="V48" s="2" t="n">
        <f aca="false">IF(E48&lt;&gt;1,"",IF(AND(K48&lt;R48,L48&lt;S48),1,0))</f>
        <v>0</v>
      </c>
      <c r="W48" s="2" t="n">
        <f aca="false">IF(E48&lt;&gt;1,"",IF(K48&gt;Q48,1,0))</f>
        <v>0</v>
      </c>
      <c r="X48" s="34" t="n">
        <f aca="false">IF(E48&lt;&gt;1,"",IF(T48&gt;=1,(I48-M48)*F48/365,0))</f>
        <v>0</v>
      </c>
      <c r="Y48" s="34" t="n">
        <f aca="false">IF(E48&lt;&gt;1,"",IF(U48&gt;=1,(J48-O48)*G48/365,0))</f>
        <v>288478183276.832</v>
      </c>
      <c r="Z48" s="35" t="n">
        <f aca="false">IF(E48&lt;&gt;1,"",IF(H48&gt;0,MAX(X48,Y48)/H48,0))</f>
        <v>0.107239479645109</v>
      </c>
      <c r="AA48" s="2" t="str">
        <f aca="false">IF(E48&lt;&gt;1,"",CHOOSE(T48+1,"An toàn","Có nguy cơ","Trầm trọng"))</f>
        <v>An toàn</v>
      </c>
      <c r="AB48" s="2" t="str">
        <f aca="false">IF(E48&lt;&gt;1,"",CHOOSE(U48+1,"An toàn","Có nguy cơ","Trầm trọng"))</f>
        <v>Có nguy cơ</v>
      </c>
      <c r="AC48" s="2" t="str">
        <f aca="false">IF(E48&lt;&gt;1,"",IF(V48=1,"Có nguy cơ: NCC cho nợ ít + tiền mỏng",IF(W48=1,"Lưu ý: DPO cao – kiểm tra quá hạn NCC","An toàn")))</f>
        <v>An toàn</v>
      </c>
      <c r="AD48" s="10" t="str">
        <f aca="false">IF(OR(AND(ThamSo!$C$10=1,MAX(T48,U48)=2),AND(MAX(T48,U48)&gt;=1,Z48&gt;=ThamSo!$C$9)),"W2",IF(OR(MAX(T48,U48)&gt;=1,V48=1),"W1","W0"))</f>
        <v>W2</v>
      </c>
      <c r="AE48" s="10" t="str">
        <f aca="false">CHOOSE(MATCH(AD48,{"W0","W1","W2"},0),"An toàn","Có nguy cơ","Thiếu trầm trọng")</f>
        <v>Thiếu trầm trọng</v>
      </c>
      <c r="AF48" s="2" t="str">
        <f aca="false">IF(OR(E48&lt;&gt;1,AD48="W0"),"",IF(AND(T48=0,U48=0),"Phải trả",IF(T48&gt;U48,"Phải thu",IF(U48&gt;T48,"Tồn kho",IF(X48&gt;=Y48,"Phải thu","Tồn kho")))))</f>
        <v>Tồn kho</v>
      </c>
      <c r="AG48" s="2" t="str">
        <f aca="false">TRIM(IF(T48=2,"R-AR-2 ",IF(T48=1,"R-AR-1 ",""))&amp;IF(U48=2,"R-INV-2 ",IF(U48=1,"R-INV-1 ",""))&amp;IF(V48=1,"R-AP-1 ","")&amp;IF(AND(MAX(T48,U48)&gt;=1,Z48&gt;=ThamSo!$C$9),"R-MAT",""))</f>
        <v>R-INV-1 R-MAT</v>
      </c>
      <c r="AH48" s="34" t="n">
        <f aca="false">IF(E48&lt;&gt;1,"",X48+Y48)</f>
        <v>288478183276.832</v>
      </c>
      <c r="AI48" s="2" t="n">
        <f aca="false">IF(OR(E48&lt;&gt;1,DuLieu!A67&lt;&gt;DuLieu!A66,DuLieu!B67&gt;ThamSo!$C$23,DuLieu!D67="",DuLieu!K67=""),"",IF(OR(DuLieu!K67&lt;0,DuLieu!D67&lt;DuLieu!D66*(1-ThamSo!$C$20)),1,0))</f>
        <v>0</v>
      </c>
    </row>
    <row r="49" customFormat="false" ht="15" hidden="false" customHeight="false" outlineLevel="0" collapsed="false">
      <c r="A49" s="36" t="str">
        <f aca="false">DuLieu!A67</f>
        <v>TCM</v>
      </c>
      <c r="B49" s="36" t="n">
        <f aca="false">DuLieu!B67</f>
        <v>2025</v>
      </c>
      <c r="C49" s="2" t="str">
        <f aca="false">A49&amp;"-"&amp;B49</f>
        <v>TCM-2025</v>
      </c>
      <c r="D49" s="2" t="str">
        <f aca="false">DuLieu!S67&amp;"|"&amp;DuLieu!V67</f>
        <v>FOB|Lớn</v>
      </c>
      <c r="E49" s="36" t="n">
        <f aca="false">DuLieu!U67</f>
        <v>1</v>
      </c>
      <c r="F49" s="34" t="n">
        <f aca="false">IF(E49=1,DuLieu!D67,"")</f>
        <v>3645252201477</v>
      </c>
      <c r="G49" s="34" t="n">
        <f aca="false">IF(E49=1,DuLieu!O67,"")</f>
        <v>3052229632695.41</v>
      </c>
      <c r="H49" s="34" t="n">
        <f aca="false">IF(E49=1,DuLieu!G67,"")</f>
        <v>2810959206998</v>
      </c>
      <c r="I49" s="37" t="n">
        <f aca="false">IF(E49=1,DuLieu!L67,"")</f>
        <v>52.39149408</v>
      </c>
      <c r="J49" s="37" t="n">
        <f aca="false">IF(E49=1,DuLieu!M67,"")</f>
        <v>121.89984075</v>
      </c>
      <c r="K49" s="37" t="n">
        <f aca="false">IF(E49=1,DuLieu!N67,"")</f>
        <v>52.66526953</v>
      </c>
      <c r="L49" s="35" t="n">
        <f aca="false">IF(E49=1,DuLieu!P67,"")</f>
        <v>0.326518181097246</v>
      </c>
      <c r="M49" s="37" t="n">
        <f aca="false">IF(E49=1,INDEX(B3_NguongKhoanMuc!$E$4:$E$5,MATCH(D49,B3_NguongKhoanMuc!$A$4:$A$5,0)),"")</f>
        <v>58.2071385175</v>
      </c>
      <c r="N49" s="37" t="n">
        <f aca="false">IF(E49=1,INDEX(B3_NguongKhoanMuc!$F$4:$F$5,MATCH(D49,B3_NguongKhoanMuc!$A$4:$A$5,0)),"")</f>
        <v>66.26326635</v>
      </c>
      <c r="O49" s="37" t="n">
        <f aca="false">IF(E49=1,INDEX(B3_NguongKhoanMuc!$H$4:$H$5,MATCH(D49,B3_NguongKhoanMuc!$A$4:$A$5,0)),"")</f>
        <v>86.118055065</v>
      </c>
      <c r="P49" s="37" t="n">
        <f aca="false">IF(E49=1,INDEX(B3_NguongKhoanMuc!$I$4:$I$5,MATCH(D49,B3_NguongKhoanMuc!$A$4:$A$5,0)),"")</f>
        <v>137.965147652</v>
      </c>
      <c r="Q49" s="37" t="n">
        <f aca="false">IF(E49=1,INDEX(B3_NguongKhoanMuc!$K$4:$K$5,MATCH(D49,B3_NguongKhoanMuc!$A$4:$A$5,0)),"")</f>
        <v>68.3092044425</v>
      </c>
      <c r="R49" s="37" t="n">
        <f aca="false">IF(E49=1,INDEX(B3_NguongKhoanMuc!$L$4:$L$5,MATCH(D49,B3_NguongKhoanMuc!$A$4:$A$5,0)),"")</f>
        <v>14.892652922</v>
      </c>
      <c r="S49" s="35" t="n">
        <f aca="false">IF(E49=1,INDEX(B3_NguongKhoanMuc!$M$4:$M$5,MATCH(D49,B3_NguongKhoanMuc!$A$4:$A$5,0)),"")</f>
        <v>0.0830079952170207</v>
      </c>
      <c r="T49" s="2" t="n">
        <f aca="false">IF(E49&lt;&gt;1,"",IF(I49&gt;N49,2,IF(I49&gt;M49,1,0)))</f>
        <v>0</v>
      </c>
      <c r="U49" s="2" t="n">
        <f aca="false">IF(E49&lt;&gt;1,"",IF(J49&gt;P49,2,IF(J49&gt;O49,1,0)))</f>
        <v>1</v>
      </c>
      <c r="V49" s="2" t="n">
        <f aca="false">IF(E49&lt;&gt;1,"",IF(AND(K49&lt;R49,L49&lt;S49),1,0))</f>
        <v>0</v>
      </c>
      <c r="W49" s="2" t="n">
        <f aca="false">IF(E49&lt;&gt;1,"",IF(K49&gt;Q49,1,0))</f>
        <v>0</v>
      </c>
      <c r="X49" s="34" t="n">
        <f aca="false">IF(E49&lt;&gt;1,"",IF(T49&gt;=1,(I49-M49)*F49/365,0))</f>
        <v>0</v>
      </c>
      <c r="Y49" s="34" t="n">
        <f aca="false">IF(E49&lt;&gt;1,"",IF(U49&gt;=1,(J49-O49)*G49/365,0))</f>
        <v>299217059119.214</v>
      </c>
      <c r="Z49" s="35" t="n">
        <f aca="false">IF(E49&lt;&gt;1,"",IF(H49&gt;0,MAX(X49,Y49)/H49,0))</f>
        <v>0.106446603129032</v>
      </c>
      <c r="AA49" s="2" t="str">
        <f aca="false">IF(E49&lt;&gt;1,"",CHOOSE(T49+1,"An toàn","Có nguy cơ","Trầm trọng"))</f>
        <v>An toàn</v>
      </c>
      <c r="AB49" s="2" t="str">
        <f aca="false">IF(E49&lt;&gt;1,"",CHOOSE(U49+1,"An toàn","Có nguy cơ","Trầm trọng"))</f>
        <v>Có nguy cơ</v>
      </c>
      <c r="AC49" s="2" t="str">
        <f aca="false">IF(E49&lt;&gt;1,"",IF(V49=1,"Có nguy cơ: NCC cho nợ ít + tiền mỏng",IF(W49=1,"Lưu ý: DPO cao – kiểm tra quá hạn NCC","An toàn")))</f>
        <v>An toàn</v>
      </c>
      <c r="AD49" s="10" t="str">
        <f aca="false">IF(OR(AND(ThamSo!$C$10=1,MAX(T49,U49)=2),AND(MAX(T49,U49)&gt;=1,Z49&gt;=ThamSo!$C$9)),"W2",IF(OR(MAX(T49,U49)&gt;=1,V49=1),"W1","W0"))</f>
        <v>W2</v>
      </c>
      <c r="AE49" s="10" t="str">
        <f aca="false">CHOOSE(MATCH(AD49,{"W0","W1","W2"},0),"An toàn","Có nguy cơ","Thiếu trầm trọng")</f>
        <v>Thiếu trầm trọng</v>
      </c>
      <c r="AF49" s="2" t="str">
        <f aca="false">IF(OR(E49&lt;&gt;1,AD49="W0"),"",IF(AND(T49=0,U49=0),"Phải trả",IF(T49&gt;U49,"Phải thu",IF(U49&gt;T49,"Tồn kho",IF(X49&gt;=Y49,"Phải thu","Tồn kho")))))</f>
        <v>Tồn kho</v>
      </c>
      <c r="AG49" s="2" t="str">
        <f aca="false">TRIM(IF(T49=2,"R-AR-2 ",IF(T49=1,"R-AR-1 ",""))&amp;IF(U49=2,"R-INV-2 ",IF(U49=1,"R-INV-1 ",""))&amp;IF(V49=1,"R-AP-1 ","")&amp;IF(AND(MAX(T49,U49)&gt;=1,Z49&gt;=ThamSo!$C$9),"R-MAT",""))</f>
        <v>R-INV-1 R-MAT</v>
      </c>
      <c r="AH49" s="34" t="n">
        <f aca="false">IF(E49&lt;&gt;1,"",X49+Y49)</f>
        <v>299217059119.214</v>
      </c>
      <c r="AI49" s="2" t="str">
        <f aca="false">IF(OR(E49&lt;&gt;1,DuLieu!A68&lt;&gt;DuLieu!A67,DuLieu!B68&gt;ThamSo!$C$23,DuLieu!D68="",DuLieu!K68=""),"",IF(OR(DuLieu!K68&lt;0,DuLieu!D68&lt;DuLieu!D67*(1-ThamSo!$C$20)),1,0))</f>
        <v/>
      </c>
    </row>
    <row r="50" customFormat="false" ht="15" hidden="false" customHeight="false" outlineLevel="0" collapsed="false">
      <c r="A50" s="36" t="str">
        <f aca="false">DuLieu!A68</f>
        <v>TDT</v>
      </c>
      <c r="B50" s="36" t="n">
        <f aca="false">DuLieu!B68</f>
        <v>2023</v>
      </c>
      <c r="C50" s="2" t="str">
        <f aca="false">A50&amp;"-"&amp;B50</f>
        <v>TDT-2023</v>
      </c>
      <c r="D50" s="2" t="str">
        <f aca="false">DuLieu!S68&amp;"|"&amp;DuLieu!V68</f>
        <v>FOB|Nhỏ–vừa</v>
      </c>
      <c r="E50" s="36" t="n">
        <f aca="false">DuLieu!U68</f>
        <v>1</v>
      </c>
      <c r="F50" s="34" t="n">
        <f aca="false">IF(E50=1,DuLieu!D68,"")</f>
        <v>487142222819</v>
      </c>
      <c r="G50" s="34" t="n">
        <f aca="false">IF(E50=1,DuLieu!O68,"")</f>
        <v>373546019893.482</v>
      </c>
      <c r="H50" s="34" t="n">
        <f aca="false">IF(E50=1,DuLieu!G68,"")</f>
        <v>401135195325</v>
      </c>
      <c r="I50" s="37" t="n">
        <f aca="false">IF(E50=1,DuLieu!L68,"")</f>
        <v>34.64300002</v>
      </c>
      <c r="J50" s="37" t="n">
        <f aca="false">IF(E50=1,DuLieu!M68,"")</f>
        <v>255.11526195</v>
      </c>
      <c r="K50" s="37" t="n">
        <f aca="false">IF(E50=1,DuLieu!N68,"")</f>
        <v>19.41741588</v>
      </c>
      <c r="L50" s="35" t="n">
        <f aca="false">IF(E50=1,DuLieu!P68,"")</f>
        <v>0.036362404573544</v>
      </c>
      <c r="M50" s="37" t="n">
        <f aca="false">IF(E50=1,INDEX(B3_NguongKhoanMuc!$E$4:$E$5,MATCH(D50,B3_NguongKhoanMuc!$A$4:$A$5,0)),"")</f>
        <v>58.2071385175</v>
      </c>
      <c r="N50" s="37" t="n">
        <f aca="false">IF(E50=1,INDEX(B3_NguongKhoanMuc!$F$4:$F$5,MATCH(D50,B3_NguongKhoanMuc!$A$4:$A$5,0)),"")</f>
        <v>66.26326635</v>
      </c>
      <c r="O50" s="37" t="n">
        <f aca="false">IF(E50=1,INDEX(B3_NguongKhoanMuc!$H$4:$H$5,MATCH(D50,B3_NguongKhoanMuc!$A$4:$A$5,0)),"")</f>
        <v>86.118055065</v>
      </c>
      <c r="P50" s="37" t="n">
        <f aca="false">IF(E50=1,INDEX(B3_NguongKhoanMuc!$I$4:$I$5,MATCH(D50,B3_NguongKhoanMuc!$A$4:$A$5,0)),"")</f>
        <v>137.965147652</v>
      </c>
      <c r="Q50" s="37" t="n">
        <f aca="false">IF(E50=1,INDEX(B3_NguongKhoanMuc!$K$4:$K$5,MATCH(D50,B3_NguongKhoanMuc!$A$4:$A$5,0)),"")</f>
        <v>68.3092044425</v>
      </c>
      <c r="R50" s="37" t="n">
        <f aca="false">IF(E50=1,INDEX(B3_NguongKhoanMuc!$L$4:$L$5,MATCH(D50,B3_NguongKhoanMuc!$A$4:$A$5,0)),"")</f>
        <v>14.892652922</v>
      </c>
      <c r="S50" s="35" t="n">
        <f aca="false">IF(E50=1,INDEX(B3_NguongKhoanMuc!$M$4:$M$5,MATCH(D50,B3_NguongKhoanMuc!$A$4:$A$5,0)),"")</f>
        <v>0.0830079952170207</v>
      </c>
      <c r="T50" s="2" t="n">
        <f aca="false">IF(E50&lt;&gt;1,"",IF(I50&gt;N50,2,IF(I50&gt;M50,1,0)))</f>
        <v>0</v>
      </c>
      <c r="U50" s="2" t="n">
        <f aca="false">IF(E50&lt;&gt;1,"",IF(J50&gt;P50,2,IF(J50&gt;O50,1,0)))</f>
        <v>2</v>
      </c>
      <c r="V50" s="2" t="n">
        <f aca="false">IF(E50&lt;&gt;1,"",IF(AND(K50&lt;R50,L50&lt;S50),1,0))</f>
        <v>0</v>
      </c>
      <c r="W50" s="2" t="n">
        <f aca="false">IF(E50&lt;&gt;1,"",IF(K50&gt;Q50,1,0))</f>
        <v>0</v>
      </c>
      <c r="X50" s="34" t="n">
        <f aca="false">IF(E50&lt;&gt;1,"",IF(T50&gt;=1,(I50-M50)*F50/365,0))</f>
        <v>0</v>
      </c>
      <c r="Y50" s="34" t="n">
        <f aca="false">IF(E50&lt;&gt;1,"",IF(U50&gt;=1,(J50-O50)*G50/365,0))</f>
        <v>172954065767.143</v>
      </c>
      <c r="Z50" s="35" t="n">
        <f aca="false">IF(E50&lt;&gt;1,"",IF(H50&gt;0,MAX(X50,Y50)/H50,0))</f>
        <v>0.431161533026329</v>
      </c>
      <c r="AA50" s="2" t="str">
        <f aca="false">IF(E50&lt;&gt;1,"",CHOOSE(T50+1,"An toàn","Có nguy cơ","Trầm trọng"))</f>
        <v>An toàn</v>
      </c>
      <c r="AB50" s="2" t="str">
        <f aca="false">IF(E50&lt;&gt;1,"",CHOOSE(U50+1,"An toàn","Có nguy cơ","Trầm trọng"))</f>
        <v>Trầm trọng</v>
      </c>
      <c r="AC50" s="2" t="str">
        <f aca="false">IF(E50&lt;&gt;1,"",IF(V50=1,"Có nguy cơ: NCC cho nợ ít + tiền mỏng",IF(W50=1,"Lưu ý: DPO cao – kiểm tra quá hạn NCC","An toàn")))</f>
        <v>An toàn</v>
      </c>
      <c r="AD50" s="10" t="str">
        <f aca="false">IF(OR(AND(ThamSo!$C$10=1,MAX(T50,U50)=2),AND(MAX(T50,U50)&gt;=1,Z50&gt;=ThamSo!$C$9)),"W2",IF(OR(MAX(T50,U50)&gt;=1,V50=1),"W1","W0"))</f>
        <v>W2</v>
      </c>
      <c r="AE50" s="10" t="str">
        <f aca="false">CHOOSE(MATCH(AD50,{"W0","W1","W2"},0),"An toàn","Có nguy cơ","Thiếu trầm trọng")</f>
        <v>Thiếu trầm trọng</v>
      </c>
      <c r="AF50" s="2" t="str">
        <f aca="false">IF(OR(E50&lt;&gt;1,AD50="W0"),"",IF(AND(T50=0,U50=0),"Phải trả",IF(T50&gt;U50,"Phải thu",IF(U50&gt;T50,"Tồn kho",IF(X50&gt;=Y50,"Phải thu","Tồn kho")))))</f>
        <v>Tồn kho</v>
      </c>
      <c r="AG50" s="2" t="str">
        <f aca="false">TRIM(IF(T50=2,"R-AR-2 ",IF(T50=1,"R-AR-1 ",""))&amp;IF(U50=2,"R-INV-2 ",IF(U50=1,"R-INV-1 ",""))&amp;IF(V50=1,"R-AP-1 ","")&amp;IF(AND(MAX(T50,U50)&gt;=1,Z50&gt;=ThamSo!$C$9),"R-MAT",""))</f>
        <v>R-INV-2 R-MAT</v>
      </c>
      <c r="AH50" s="34" t="n">
        <f aca="false">IF(E50&lt;&gt;1,"",X50+Y50)</f>
        <v>172954065767.143</v>
      </c>
      <c r="AI50" s="2" t="n">
        <f aca="false">IF(OR(E50&lt;&gt;1,DuLieu!A69&lt;&gt;DuLieu!A68,DuLieu!B69&gt;ThamSo!$C$23,DuLieu!D69="",DuLieu!K69=""),"",IF(OR(DuLieu!K69&lt;0,DuLieu!D69&lt;DuLieu!D68*(1-ThamSo!$C$20)),1,0))</f>
        <v>0</v>
      </c>
    </row>
    <row r="51" customFormat="false" ht="15" hidden="false" customHeight="false" outlineLevel="0" collapsed="false">
      <c r="A51" s="36" t="str">
        <f aca="false">DuLieu!A69</f>
        <v>TDT</v>
      </c>
      <c r="B51" s="36" t="n">
        <f aca="false">DuLieu!B69</f>
        <v>2024</v>
      </c>
      <c r="C51" s="2" t="str">
        <f aca="false">A51&amp;"-"&amp;B51</f>
        <v>TDT-2024</v>
      </c>
      <c r="D51" s="2" t="str">
        <f aca="false">DuLieu!S69&amp;"|"&amp;DuLieu!V69</f>
        <v>FOB|Nhỏ–vừa</v>
      </c>
      <c r="E51" s="36" t="n">
        <f aca="false">DuLieu!U69</f>
        <v>1</v>
      </c>
      <c r="F51" s="34" t="n">
        <f aca="false">IF(E51=1,DuLieu!D69,"")</f>
        <v>563129638093</v>
      </c>
      <c r="G51" s="34" t="n">
        <f aca="false">IF(E51=1,DuLieu!O69,"")</f>
        <v>429516184215.271</v>
      </c>
      <c r="H51" s="34" t="n">
        <f aca="false">IF(E51=1,DuLieu!G69,"")</f>
        <v>449613307903</v>
      </c>
      <c r="I51" s="37" t="n">
        <f aca="false">IF(E51=1,DuLieu!L69,"")</f>
        <v>36.33661749</v>
      </c>
      <c r="J51" s="37" t="n">
        <f aca="false">IF(E51=1,DuLieu!M69,"")</f>
        <v>256.14216454</v>
      </c>
      <c r="K51" s="37" t="n">
        <f aca="false">IF(E51=1,DuLieu!N69,"")</f>
        <v>16.78718093</v>
      </c>
      <c r="L51" s="35" t="n">
        <f aca="false">IF(E51=1,DuLieu!P69,"")</f>
        <v>0.117537149655528</v>
      </c>
      <c r="M51" s="37" t="n">
        <f aca="false">IF(E51=1,INDEX(B3_NguongKhoanMuc!$E$4:$E$5,MATCH(D51,B3_NguongKhoanMuc!$A$4:$A$5,0)),"")</f>
        <v>58.2071385175</v>
      </c>
      <c r="N51" s="37" t="n">
        <f aca="false">IF(E51=1,INDEX(B3_NguongKhoanMuc!$F$4:$F$5,MATCH(D51,B3_NguongKhoanMuc!$A$4:$A$5,0)),"")</f>
        <v>66.26326635</v>
      </c>
      <c r="O51" s="37" t="n">
        <f aca="false">IF(E51=1,INDEX(B3_NguongKhoanMuc!$H$4:$H$5,MATCH(D51,B3_NguongKhoanMuc!$A$4:$A$5,0)),"")</f>
        <v>86.118055065</v>
      </c>
      <c r="P51" s="37" t="n">
        <f aca="false">IF(E51=1,INDEX(B3_NguongKhoanMuc!$I$4:$I$5,MATCH(D51,B3_NguongKhoanMuc!$A$4:$A$5,0)),"")</f>
        <v>137.965147652</v>
      </c>
      <c r="Q51" s="37" t="n">
        <f aca="false">IF(E51=1,INDEX(B3_NguongKhoanMuc!$K$4:$K$5,MATCH(D51,B3_NguongKhoanMuc!$A$4:$A$5,0)),"")</f>
        <v>68.3092044425</v>
      </c>
      <c r="R51" s="37" t="n">
        <f aca="false">IF(E51=1,INDEX(B3_NguongKhoanMuc!$L$4:$L$5,MATCH(D51,B3_NguongKhoanMuc!$A$4:$A$5,0)),"")</f>
        <v>14.892652922</v>
      </c>
      <c r="S51" s="35" t="n">
        <f aca="false">IF(E51=1,INDEX(B3_NguongKhoanMuc!$M$4:$M$5,MATCH(D51,B3_NguongKhoanMuc!$A$4:$A$5,0)),"")</f>
        <v>0.0830079952170207</v>
      </c>
      <c r="T51" s="2" t="n">
        <f aca="false">IF(E51&lt;&gt;1,"",IF(I51&gt;N51,2,IF(I51&gt;M51,1,0)))</f>
        <v>0</v>
      </c>
      <c r="U51" s="2" t="n">
        <f aca="false">IF(E51&lt;&gt;1,"",IF(J51&gt;P51,2,IF(J51&gt;O51,1,0)))</f>
        <v>2</v>
      </c>
      <c r="V51" s="2" t="n">
        <f aca="false">IF(E51&lt;&gt;1,"",IF(AND(K51&lt;R51,L51&lt;S51),1,0))</f>
        <v>0</v>
      </c>
      <c r="W51" s="2" t="n">
        <f aca="false">IF(E51&lt;&gt;1,"",IF(K51&gt;Q51,1,0))</f>
        <v>0</v>
      </c>
      <c r="X51" s="34" t="n">
        <f aca="false">IF(E51&lt;&gt;1,"",IF(T51&gt;=1,(I51-M51)*F51/365,0))</f>
        <v>0</v>
      </c>
      <c r="Y51" s="34" t="n">
        <f aca="false">IF(E51&lt;&gt;1,"",IF(U51&gt;=1,(J51-O51)*G51/365,0))</f>
        <v>200077004729.593</v>
      </c>
      <c r="Z51" s="35" t="n">
        <f aca="false">IF(E51&lt;&gt;1,"",IF(H51&gt;0,MAX(X51,Y51)/H51,0))</f>
        <v>0.444997959830758</v>
      </c>
      <c r="AA51" s="2" t="str">
        <f aca="false">IF(E51&lt;&gt;1,"",CHOOSE(T51+1,"An toàn","Có nguy cơ","Trầm trọng"))</f>
        <v>An toàn</v>
      </c>
      <c r="AB51" s="2" t="str">
        <f aca="false">IF(E51&lt;&gt;1,"",CHOOSE(U51+1,"An toàn","Có nguy cơ","Trầm trọng"))</f>
        <v>Trầm trọng</v>
      </c>
      <c r="AC51" s="2" t="str">
        <f aca="false">IF(E51&lt;&gt;1,"",IF(V51=1,"Có nguy cơ: NCC cho nợ ít + tiền mỏng",IF(W51=1,"Lưu ý: DPO cao – kiểm tra quá hạn NCC","An toàn")))</f>
        <v>An toàn</v>
      </c>
      <c r="AD51" s="10" t="str">
        <f aca="false">IF(OR(AND(ThamSo!$C$10=1,MAX(T51,U51)=2),AND(MAX(T51,U51)&gt;=1,Z51&gt;=ThamSo!$C$9)),"W2",IF(OR(MAX(T51,U51)&gt;=1,V51=1),"W1","W0"))</f>
        <v>W2</v>
      </c>
      <c r="AE51" s="10" t="str">
        <f aca="false">CHOOSE(MATCH(AD51,{"W0","W1","W2"},0),"An toàn","Có nguy cơ","Thiếu trầm trọng")</f>
        <v>Thiếu trầm trọng</v>
      </c>
      <c r="AF51" s="2" t="str">
        <f aca="false">IF(OR(E51&lt;&gt;1,AD51="W0"),"",IF(AND(T51=0,U51=0),"Phải trả",IF(T51&gt;U51,"Phải thu",IF(U51&gt;T51,"Tồn kho",IF(X51&gt;=Y51,"Phải thu","Tồn kho")))))</f>
        <v>Tồn kho</v>
      </c>
      <c r="AG51" s="2" t="str">
        <f aca="false">TRIM(IF(T51=2,"R-AR-2 ",IF(T51=1,"R-AR-1 ",""))&amp;IF(U51=2,"R-INV-2 ",IF(U51=1,"R-INV-1 ",""))&amp;IF(V51=1,"R-AP-1 ","")&amp;IF(AND(MAX(T51,U51)&gt;=1,Z51&gt;=ThamSo!$C$9),"R-MAT",""))</f>
        <v>R-INV-2 R-MAT</v>
      </c>
      <c r="AH51" s="34" t="n">
        <f aca="false">IF(E51&lt;&gt;1,"",X51+Y51)</f>
        <v>200077004729.593</v>
      </c>
      <c r="AI51" s="2" t="n">
        <f aca="false">IF(OR(E51&lt;&gt;1,DuLieu!A70&lt;&gt;DuLieu!A69,DuLieu!B70&gt;ThamSo!$C$23,DuLieu!D70="",DuLieu!K70=""),"",IF(OR(DuLieu!K70&lt;0,DuLieu!D70&lt;DuLieu!D69*(1-ThamSo!$C$20)),1,0))</f>
        <v>0</v>
      </c>
    </row>
    <row r="52" customFormat="false" ht="15" hidden="false" customHeight="false" outlineLevel="0" collapsed="false">
      <c r="A52" s="36" t="str">
        <f aca="false">DuLieu!A70</f>
        <v>TDT</v>
      </c>
      <c r="B52" s="36" t="n">
        <f aca="false">DuLieu!B70</f>
        <v>2025</v>
      </c>
      <c r="C52" s="2" t="str">
        <f aca="false">A52&amp;"-"&amp;B52</f>
        <v>TDT-2025</v>
      </c>
      <c r="D52" s="2" t="str">
        <f aca="false">DuLieu!S70&amp;"|"&amp;DuLieu!V70</f>
        <v>FOB|Nhỏ–vừa</v>
      </c>
      <c r="E52" s="36" t="n">
        <f aca="false">DuLieu!U70</f>
        <v>1</v>
      </c>
      <c r="F52" s="34" t="n">
        <f aca="false">IF(E52=1,DuLieu!D70,"")</f>
        <v>628215172303</v>
      </c>
      <c r="G52" s="34" t="n">
        <f aca="false">IF(E52=1,DuLieu!O70,"")</f>
        <v>473275335846.353</v>
      </c>
      <c r="H52" s="34" t="n">
        <f aca="false">IF(E52=1,DuLieu!G70,"")</f>
        <v>503400375334</v>
      </c>
      <c r="I52" s="37" t="n">
        <f aca="false">IF(E52=1,DuLieu!L70,"")</f>
        <v>29.01355105</v>
      </c>
      <c r="J52" s="37" t="n">
        <f aca="false">IF(E52=1,DuLieu!M70,"")</f>
        <v>254.97705074</v>
      </c>
      <c r="K52" s="37" t="n">
        <f aca="false">IF(E52=1,DuLieu!N70,"")</f>
        <v>14.89468721</v>
      </c>
      <c r="L52" s="35" t="n">
        <f aca="false">IF(E52=1,DuLieu!P70,"")</f>
        <v>0.109881998717003</v>
      </c>
      <c r="M52" s="37" t="n">
        <f aca="false">IF(E52=1,INDEX(B3_NguongKhoanMuc!$E$4:$E$5,MATCH(D52,B3_NguongKhoanMuc!$A$4:$A$5,0)),"")</f>
        <v>58.2071385175</v>
      </c>
      <c r="N52" s="37" t="n">
        <f aca="false">IF(E52=1,INDEX(B3_NguongKhoanMuc!$F$4:$F$5,MATCH(D52,B3_NguongKhoanMuc!$A$4:$A$5,0)),"")</f>
        <v>66.26326635</v>
      </c>
      <c r="O52" s="37" t="n">
        <f aca="false">IF(E52=1,INDEX(B3_NguongKhoanMuc!$H$4:$H$5,MATCH(D52,B3_NguongKhoanMuc!$A$4:$A$5,0)),"")</f>
        <v>86.118055065</v>
      </c>
      <c r="P52" s="37" t="n">
        <f aca="false">IF(E52=1,INDEX(B3_NguongKhoanMuc!$I$4:$I$5,MATCH(D52,B3_NguongKhoanMuc!$A$4:$A$5,0)),"")</f>
        <v>137.965147652</v>
      </c>
      <c r="Q52" s="37" t="n">
        <f aca="false">IF(E52=1,INDEX(B3_NguongKhoanMuc!$K$4:$K$5,MATCH(D52,B3_NguongKhoanMuc!$A$4:$A$5,0)),"")</f>
        <v>68.3092044425</v>
      </c>
      <c r="R52" s="37" t="n">
        <f aca="false">IF(E52=1,INDEX(B3_NguongKhoanMuc!$L$4:$L$5,MATCH(D52,B3_NguongKhoanMuc!$A$4:$A$5,0)),"")</f>
        <v>14.892652922</v>
      </c>
      <c r="S52" s="35" t="n">
        <f aca="false">IF(E52=1,INDEX(B3_NguongKhoanMuc!$M$4:$M$5,MATCH(D52,B3_NguongKhoanMuc!$A$4:$A$5,0)),"")</f>
        <v>0.0830079952170207</v>
      </c>
      <c r="T52" s="2" t="n">
        <f aca="false">IF(E52&lt;&gt;1,"",IF(I52&gt;N52,2,IF(I52&gt;M52,1,0)))</f>
        <v>0</v>
      </c>
      <c r="U52" s="2" t="n">
        <f aca="false">IF(E52&lt;&gt;1,"",IF(J52&gt;P52,2,IF(J52&gt;O52,1,0)))</f>
        <v>2</v>
      </c>
      <c r="V52" s="2" t="n">
        <f aca="false">IF(E52&lt;&gt;1,"",IF(AND(K52&lt;R52,L52&lt;S52),1,0))</f>
        <v>0</v>
      </c>
      <c r="W52" s="2" t="n">
        <f aca="false">IF(E52&lt;&gt;1,"",IF(K52&gt;Q52,1,0))</f>
        <v>0</v>
      </c>
      <c r="X52" s="34" t="n">
        <f aca="false">IF(E52&lt;&gt;1,"",IF(T52&gt;=1,(I52-M52)*F52/365,0))</f>
        <v>0</v>
      </c>
      <c r="Y52" s="34" t="n">
        <f aca="false">IF(E52&lt;&gt;1,"",IF(U52&gt;=1,(J52-O52)*G52/365,0))</f>
        <v>218950131202.092</v>
      </c>
      <c r="Z52" s="35" t="n">
        <f aca="false">IF(E52&lt;&gt;1,"",IF(H52&gt;0,MAX(X52,Y52)/H52,0))</f>
        <v>0.434942328075979</v>
      </c>
      <c r="AA52" s="2" t="str">
        <f aca="false">IF(E52&lt;&gt;1,"",CHOOSE(T52+1,"An toàn","Có nguy cơ","Trầm trọng"))</f>
        <v>An toàn</v>
      </c>
      <c r="AB52" s="2" t="str">
        <f aca="false">IF(E52&lt;&gt;1,"",CHOOSE(U52+1,"An toàn","Có nguy cơ","Trầm trọng"))</f>
        <v>Trầm trọng</v>
      </c>
      <c r="AC52" s="2" t="str">
        <f aca="false">IF(E52&lt;&gt;1,"",IF(V52=1,"Có nguy cơ: NCC cho nợ ít + tiền mỏng",IF(W52=1,"Lưu ý: DPO cao – kiểm tra quá hạn NCC","An toàn")))</f>
        <v>An toàn</v>
      </c>
      <c r="AD52" s="10" t="str">
        <f aca="false">IF(OR(AND(ThamSo!$C$10=1,MAX(T52,U52)=2),AND(MAX(T52,U52)&gt;=1,Z52&gt;=ThamSo!$C$9)),"W2",IF(OR(MAX(T52,U52)&gt;=1,V52=1),"W1","W0"))</f>
        <v>W2</v>
      </c>
      <c r="AE52" s="10" t="str">
        <f aca="false">CHOOSE(MATCH(AD52,{"W0","W1","W2"},0),"An toàn","Có nguy cơ","Thiếu trầm trọng")</f>
        <v>Thiếu trầm trọng</v>
      </c>
      <c r="AF52" s="2" t="str">
        <f aca="false">IF(OR(E52&lt;&gt;1,AD52="W0"),"",IF(AND(T52=0,U52=0),"Phải trả",IF(T52&gt;U52,"Phải thu",IF(U52&gt;T52,"Tồn kho",IF(X52&gt;=Y52,"Phải thu","Tồn kho")))))</f>
        <v>Tồn kho</v>
      </c>
      <c r="AG52" s="2" t="str">
        <f aca="false">TRIM(IF(T52=2,"R-AR-2 ",IF(T52=1,"R-AR-1 ",""))&amp;IF(U52=2,"R-INV-2 ",IF(U52=1,"R-INV-1 ",""))&amp;IF(V52=1,"R-AP-1 ","")&amp;IF(AND(MAX(T52,U52)&gt;=1,Z52&gt;=ThamSo!$C$9),"R-MAT",""))</f>
        <v>R-INV-2 R-MAT</v>
      </c>
      <c r="AH52" s="34" t="n">
        <f aca="false">IF(E52&lt;&gt;1,"",X52+Y52)</f>
        <v>218950131202.092</v>
      </c>
      <c r="AI52" s="2" t="str">
        <f aca="false">IF(OR(E52&lt;&gt;1,DuLieu!A71&lt;&gt;DuLieu!A70,DuLieu!B71&gt;ThamSo!$C$23,DuLieu!D71="",DuLieu!K71=""),"",IF(OR(DuLieu!K71&lt;0,DuLieu!D71&lt;DuLieu!D70*(1-ThamSo!$C$20)),1,0))</f>
        <v/>
      </c>
    </row>
    <row r="53" customFormat="false" ht="15" hidden="false" customHeight="false" outlineLevel="0" collapsed="false">
      <c r="A53" s="36" t="str">
        <f aca="false">DuLieu!A74</f>
        <v>TNG</v>
      </c>
      <c r="B53" s="36" t="n">
        <f aca="false">DuLieu!B74</f>
        <v>2023</v>
      </c>
      <c r="C53" s="2" t="str">
        <f aca="false">A53&amp;"-"&amp;B53</f>
        <v>TNG-2023</v>
      </c>
      <c r="D53" s="2" t="str">
        <f aca="false">DuLieu!S74&amp;"|"&amp;DuLieu!V74</f>
        <v>FOB|Lớn</v>
      </c>
      <c r="E53" s="36" t="n">
        <f aca="false">DuLieu!U74</f>
        <v>1</v>
      </c>
      <c r="F53" s="34" t="n">
        <f aca="false">IF(E53=1,DuLieu!D74,"")</f>
        <v>7095204710246</v>
      </c>
      <c r="G53" s="34" t="n">
        <f aca="false">IF(E53=1,DuLieu!O74,"")</f>
        <v>6114938535539.27</v>
      </c>
      <c r="H53" s="34" t="n">
        <f aca="false">IF(E53=1,DuLieu!G74,"")</f>
        <v>2259844812960</v>
      </c>
      <c r="I53" s="37" t="n">
        <f aca="false">IF(E53=1,DuLieu!L74,"")</f>
        <v>30.03555042</v>
      </c>
      <c r="J53" s="37" t="n">
        <f aca="false">IF(E53=1,DuLieu!M74,"")</f>
        <v>70.38219954</v>
      </c>
      <c r="K53" s="37" t="n">
        <f aca="false">IF(E53=1,DuLieu!N74,"")</f>
        <v>33.87791365</v>
      </c>
      <c r="L53" s="35" t="n">
        <f aca="false">IF(E53=1,DuLieu!P74,"")</f>
        <v>0.0421066671786897</v>
      </c>
      <c r="M53" s="37" t="n">
        <f aca="false">IF(E53=1,INDEX(B3_NguongKhoanMuc!$E$4:$E$5,MATCH(D53,B3_NguongKhoanMuc!$A$4:$A$5,0)),"")</f>
        <v>58.2071385175</v>
      </c>
      <c r="N53" s="37" t="n">
        <f aca="false">IF(E53=1,INDEX(B3_NguongKhoanMuc!$F$4:$F$5,MATCH(D53,B3_NguongKhoanMuc!$A$4:$A$5,0)),"")</f>
        <v>66.26326635</v>
      </c>
      <c r="O53" s="37" t="n">
        <f aca="false">IF(E53=1,INDEX(B3_NguongKhoanMuc!$H$4:$H$5,MATCH(D53,B3_NguongKhoanMuc!$A$4:$A$5,0)),"")</f>
        <v>86.118055065</v>
      </c>
      <c r="P53" s="37" t="n">
        <f aca="false">IF(E53=1,INDEX(B3_NguongKhoanMuc!$I$4:$I$5,MATCH(D53,B3_NguongKhoanMuc!$A$4:$A$5,0)),"")</f>
        <v>137.965147652</v>
      </c>
      <c r="Q53" s="37" t="n">
        <f aca="false">IF(E53=1,INDEX(B3_NguongKhoanMuc!$K$4:$K$5,MATCH(D53,B3_NguongKhoanMuc!$A$4:$A$5,0)),"")</f>
        <v>68.3092044425</v>
      </c>
      <c r="R53" s="37" t="n">
        <f aca="false">IF(E53=1,INDEX(B3_NguongKhoanMuc!$L$4:$L$5,MATCH(D53,B3_NguongKhoanMuc!$A$4:$A$5,0)),"")</f>
        <v>14.892652922</v>
      </c>
      <c r="S53" s="35" t="n">
        <f aca="false">IF(E53=1,INDEX(B3_NguongKhoanMuc!$M$4:$M$5,MATCH(D53,B3_NguongKhoanMuc!$A$4:$A$5,0)),"")</f>
        <v>0.0830079952170207</v>
      </c>
      <c r="T53" s="2" t="n">
        <f aca="false">IF(E53&lt;&gt;1,"",IF(I53&gt;N53,2,IF(I53&gt;M53,1,0)))</f>
        <v>0</v>
      </c>
      <c r="U53" s="2" t="n">
        <f aca="false">IF(E53&lt;&gt;1,"",IF(J53&gt;P53,2,IF(J53&gt;O53,1,0)))</f>
        <v>0</v>
      </c>
      <c r="V53" s="2" t="n">
        <f aca="false">IF(E53&lt;&gt;1,"",IF(AND(K53&lt;R53,L53&lt;S53),1,0))</f>
        <v>0</v>
      </c>
      <c r="W53" s="2" t="n">
        <f aca="false">IF(E53&lt;&gt;1,"",IF(K53&gt;Q53,1,0))</f>
        <v>0</v>
      </c>
      <c r="X53" s="34" t="n">
        <f aca="false">IF(E53&lt;&gt;1,"",IF(T53&gt;=1,(I53-M53)*F53/365,0))</f>
        <v>0</v>
      </c>
      <c r="Y53" s="34" t="n">
        <f aca="false">IF(E53&lt;&gt;1,"",IF(U53&gt;=1,(J53-O53)*G53/365,0))</f>
        <v>0</v>
      </c>
      <c r="Z53" s="35" t="n">
        <f aca="false">IF(E53&lt;&gt;1,"",IF(H53&gt;0,MAX(X53,Y53)/H53,0))</f>
        <v>0</v>
      </c>
      <c r="AA53" s="2" t="str">
        <f aca="false">IF(E53&lt;&gt;1,"",CHOOSE(T53+1,"An toàn","Có nguy cơ","Trầm trọng"))</f>
        <v>An toàn</v>
      </c>
      <c r="AB53" s="2" t="str">
        <f aca="false">IF(E53&lt;&gt;1,"",CHOOSE(U53+1,"An toàn","Có nguy cơ","Trầm trọng"))</f>
        <v>An toàn</v>
      </c>
      <c r="AC53" s="2" t="str">
        <f aca="false">IF(E53&lt;&gt;1,"",IF(V53=1,"Có nguy cơ: NCC cho nợ ít + tiền mỏng",IF(W53=1,"Lưu ý: DPO cao – kiểm tra quá hạn NCC","An toàn")))</f>
        <v>An toàn</v>
      </c>
      <c r="AD53" s="10" t="str">
        <f aca="false">IF(OR(AND(ThamSo!$C$10=1,MAX(T53,U53)=2),AND(MAX(T53,U53)&gt;=1,Z53&gt;=ThamSo!$C$9)),"W2",IF(OR(MAX(T53,U53)&gt;=1,V53=1),"W1","W0"))</f>
        <v>W0</v>
      </c>
      <c r="AE53" s="10" t="str">
        <f aca="false">CHOOSE(MATCH(AD53,{"W0","W1","W2"},0),"An toàn","Có nguy cơ","Thiếu trầm trọng")</f>
        <v>An toàn</v>
      </c>
      <c r="AF53" s="2" t="str">
        <f aca="false">IF(OR(E53&lt;&gt;1,AD53="W0"),"",IF(AND(T53=0,U53=0),"Phải trả",IF(T53&gt;U53,"Phải thu",IF(U53&gt;T53,"Tồn kho",IF(X53&gt;=Y53,"Phải thu","Tồn kho")))))</f>
        <v/>
      </c>
      <c r="AG53" s="2" t="str">
        <f aca="false">TRIM(IF(T53=2,"R-AR-2 ",IF(T53=1,"R-AR-1 ",""))&amp;IF(U53=2,"R-INV-2 ",IF(U53=1,"R-INV-1 ",""))&amp;IF(V53=1,"R-AP-1 ","")&amp;IF(AND(MAX(T53,U53)&gt;=1,Z53&gt;=ThamSo!$C$9),"R-MAT",""))</f>
        <v/>
      </c>
      <c r="AH53" s="34" t="n">
        <f aca="false">IF(E53&lt;&gt;1,"",X53+Y53)</f>
        <v>0</v>
      </c>
      <c r="AI53" s="2" t="n">
        <f aca="false">IF(OR(E53&lt;&gt;1,DuLieu!A75&lt;&gt;DuLieu!A74,DuLieu!B75&gt;ThamSo!$C$23,DuLieu!D75="",DuLieu!K75=""),"",IF(OR(DuLieu!K75&lt;0,DuLieu!D75&lt;DuLieu!D74*(1-ThamSo!$C$20)),1,0))</f>
        <v>0</v>
      </c>
    </row>
    <row r="54" customFormat="false" ht="15" hidden="false" customHeight="false" outlineLevel="0" collapsed="false">
      <c r="A54" s="36" t="str">
        <f aca="false">DuLieu!A75</f>
        <v>TNG</v>
      </c>
      <c r="B54" s="36" t="n">
        <f aca="false">DuLieu!B75</f>
        <v>2024</v>
      </c>
      <c r="C54" s="2" t="str">
        <f aca="false">A54&amp;"-"&amp;B54</f>
        <v>TNG-2024</v>
      </c>
      <c r="D54" s="2" t="str">
        <f aca="false">DuLieu!S75&amp;"|"&amp;DuLieu!V75</f>
        <v>FOB|Lớn</v>
      </c>
      <c r="E54" s="36" t="n">
        <f aca="false">DuLieu!U75</f>
        <v>1</v>
      </c>
      <c r="F54" s="34" t="n">
        <f aca="false">IF(E54=1,DuLieu!D75,"")</f>
        <v>7655752759635</v>
      </c>
      <c r="G54" s="34" t="n">
        <f aca="false">IF(E54=1,DuLieu!O75,"")</f>
        <v>6473870280594.6</v>
      </c>
      <c r="H54" s="34" t="n">
        <f aca="false">IF(E54=1,DuLieu!G75,"")</f>
        <v>2637646921136</v>
      </c>
      <c r="I54" s="37" t="n">
        <f aca="false">IF(E54=1,DuLieu!L75,"")</f>
        <v>33.0760229</v>
      </c>
      <c r="J54" s="37" t="n">
        <f aca="false">IF(E54=1,DuLieu!M75,"")</f>
        <v>60.54259779</v>
      </c>
      <c r="K54" s="37" t="n">
        <f aca="false">IF(E54=1,DuLieu!N75,"")</f>
        <v>35.33239076</v>
      </c>
      <c r="L54" s="35" t="n">
        <f aca="false">IF(E54=1,DuLieu!P75,"")</f>
        <v>0.0920304683332787</v>
      </c>
      <c r="M54" s="37" t="n">
        <f aca="false">IF(E54=1,INDEX(B3_NguongKhoanMuc!$E$4:$E$5,MATCH(D54,B3_NguongKhoanMuc!$A$4:$A$5,0)),"")</f>
        <v>58.2071385175</v>
      </c>
      <c r="N54" s="37" t="n">
        <f aca="false">IF(E54=1,INDEX(B3_NguongKhoanMuc!$F$4:$F$5,MATCH(D54,B3_NguongKhoanMuc!$A$4:$A$5,0)),"")</f>
        <v>66.26326635</v>
      </c>
      <c r="O54" s="37" t="n">
        <f aca="false">IF(E54=1,INDEX(B3_NguongKhoanMuc!$H$4:$H$5,MATCH(D54,B3_NguongKhoanMuc!$A$4:$A$5,0)),"")</f>
        <v>86.118055065</v>
      </c>
      <c r="P54" s="37" t="n">
        <f aca="false">IF(E54=1,INDEX(B3_NguongKhoanMuc!$I$4:$I$5,MATCH(D54,B3_NguongKhoanMuc!$A$4:$A$5,0)),"")</f>
        <v>137.965147652</v>
      </c>
      <c r="Q54" s="37" t="n">
        <f aca="false">IF(E54=1,INDEX(B3_NguongKhoanMuc!$K$4:$K$5,MATCH(D54,B3_NguongKhoanMuc!$A$4:$A$5,0)),"")</f>
        <v>68.3092044425</v>
      </c>
      <c r="R54" s="37" t="n">
        <f aca="false">IF(E54=1,INDEX(B3_NguongKhoanMuc!$L$4:$L$5,MATCH(D54,B3_NguongKhoanMuc!$A$4:$A$5,0)),"")</f>
        <v>14.892652922</v>
      </c>
      <c r="S54" s="35" t="n">
        <f aca="false">IF(E54=1,INDEX(B3_NguongKhoanMuc!$M$4:$M$5,MATCH(D54,B3_NguongKhoanMuc!$A$4:$A$5,0)),"")</f>
        <v>0.0830079952170207</v>
      </c>
      <c r="T54" s="2" t="n">
        <f aca="false">IF(E54&lt;&gt;1,"",IF(I54&gt;N54,2,IF(I54&gt;M54,1,0)))</f>
        <v>0</v>
      </c>
      <c r="U54" s="2" t="n">
        <f aca="false">IF(E54&lt;&gt;1,"",IF(J54&gt;P54,2,IF(J54&gt;O54,1,0)))</f>
        <v>0</v>
      </c>
      <c r="V54" s="2" t="n">
        <f aca="false">IF(E54&lt;&gt;1,"",IF(AND(K54&lt;R54,L54&lt;S54),1,0))</f>
        <v>0</v>
      </c>
      <c r="W54" s="2" t="n">
        <f aca="false">IF(E54&lt;&gt;1,"",IF(K54&gt;Q54,1,0))</f>
        <v>0</v>
      </c>
      <c r="X54" s="34" t="n">
        <f aca="false">IF(E54&lt;&gt;1,"",IF(T54&gt;=1,(I54-M54)*F54/365,0))</f>
        <v>0</v>
      </c>
      <c r="Y54" s="34" t="n">
        <f aca="false">IF(E54&lt;&gt;1,"",IF(U54&gt;=1,(J54-O54)*G54/365,0))</f>
        <v>0</v>
      </c>
      <c r="Z54" s="35" t="n">
        <f aca="false">IF(E54&lt;&gt;1,"",IF(H54&gt;0,MAX(X54,Y54)/H54,0))</f>
        <v>0</v>
      </c>
      <c r="AA54" s="2" t="str">
        <f aca="false">IF(E54&lt;&gt;1,"",CHOOSE(T54+1,"An toàn","Có nguy cơ","Trầm trọng"))</f>
        <v>An toàn</v>
      </c>
      <c r="AB54" s="2" t="str">
        <f aca="false">IF(E54&lt;&gt;1,"",CHOOSE(U54+1,"An toàn","Có nguy cơ","Trầm trọng"))</f>
        <v>An toàn</v>
      </c>
      <c r="AC54" s="2" t="str">
        <f aca="false">IF(E54&lt;&gt;1,"",IF(V54=1,"Có nguy cơ: NCC cho nợ ít + tiền mỏng",IF(W54=1,"Lưu ý: DPO cao – kiểm tra quá hạn NCC","An toàn")))</f>
        <v>An toàn</v>
      </c>
      <c r="AD54" s="10" t="str">
        <f aca="false">IF(OR(AND(ThamSo!$C$10=1,MAX(T54,U54)=2),AND(MAX(T54,U54)&gt;=1,Z54&gt;=ThamSo!$C$9)),"W2",IF(OR(MAX(T54,U54)&gt;=1,V54=1),"W1","W0"))</f>
        <v>W0</v>
      </c>
      <c r="AE54" s="10" t="str">
        <f aca="false">CHOOSE(MATCH(AD54,{"W0","W1","W2"},0),"An toàn","Có nguy cơ","Thiếu trầm trọng")</f>
        <v>An toàn</v>
      </c>
      <c r="AF54" s="2" t="str">
        <f aca="false">IF(OR(E54&lt;&gt;1,AD54="W0"),"",IF(AND(T54=0,U54=0),"Phải trả",IF(T54&gt;U54,"Phải thu",IF(U54&gt;T54,"Tồn kho",IF(X54&gt;=Y54,"Phải thu","Tồn kho")))))</f>
        <v/>
      </c>
      <c r="AG54" s="2" t="str">
        <f aca="false">TRIM(IF(T54=2,"R-AR-2 ",IF(T54=1,"R-AR-1 ",""))&amp;IF(U54=2,"R-INV-2 ",IF(U54=1,"R-INV-1 ",""))&amp;IF(V54=1,"R-AP-1 ","")&amp;IF(AND(MAX(T54,U54)&gt;=1,Z54&gt;=ThamSo!$C$9),"R-MAT",""))</f>
        <v/>
      </c>
      <c r="AH54" s="34" t="n">
        <f aca="false">IF(E54&lt;&gt;1,"",X54+Y54)</f>
        <v>0</v>
      </c>
      <c r="AI54" s="2" t="n">
        <f aca="false">IF(OR(E54&lt;&gt;1,DuLieu!A76&lt;&gt;DuLieu!A75,DuLieu!B76&gt;ThamSo!$C$23,DuLieu!D76="",DuLieu!K76=""),"",IF(OR(DuLieu!K76&lt;0,DuLieu!D76&lt;DuLieu!D75*(1-ThamSo!$C$20)),1,0))</f>
        <v>0</v>
      </c>
    </row>
    <row r="55" customFormat="false" ht="15" hidden="false" customHeight="false" outlineLevel="0" collapsed="false">
      <c r="A55" s="36" t="str">
        <f aca="false">DuLieu!A76</f>
        <v>TNG</v>
      </c>
      <c r="B55" s="36" t="n">
        <f aca="false">DuLieu!B76</f>
        <v>2025</v>
      </c>
      <c r="C55" s="2" t="str">
        <f aca="false">A55&amp;"-"&amp;B55</f>
        <v>TNG-2025</v>
      </c>
      <c r="D55" s="2" t="str">
        <f aca="false">DuLieu!S76&amp;"|"&amp;DuLieu!V76</f>
        <v>FOB|Lớn</v>
      </c>
      <c r="E55" s="36" t="n">
        <f aca="false">DuLieu!U76</f>
        <v>1</v>
      </c>
      <c r="F55" s="34" t="n">
        <f aca="false">IF(E55=1,DuLieu!D76,"")</f>
        <v>8698588493272</v>
      </c>
      <c r="G55" s="34" t="n">
        <f aca="false">IF(E55=1,DuLieu!O76,"")</f>
        <v>7459390968969.98</v>
      </c>
      <c r="H55" s="34" t="n">
        <f aca="false">IF(E55=1,DuLieu!G76,"")</f>
        <v>3368332182728</v>
      </c>
      <c r="I55" s="37" t="n">
        <f aca="false">IF(E55=1,DuLieu!L76,"")</f>
        <v>41.80020879</v>
      </c>
      <c r="J55" s="37" t="n">
        <f aca="false">IF(E55=1,DuLieu!M76,"")</f>
        <v>73.35750663</v>
      </c>
      <c r="K55" s="37" t="n">
        <f aca="false">IF(E55=1,DuLieu!N76,"")</f>
        <v>42.18515926</v>
      </c>
      <c r="L55" s="35" t="n">
        <f aca="false">IF(E55=1,DuLieu!P76,"")</f>
        <v>0.0907054074046917</v>
      </c>
      <c r="M55" s="37" t="n">
        <f aca="false">IF(E55=1,INDEX(B3_NguongKhoanMuc!$E$4:$E$5,MATCH(D55,B3_NguongKhoanMuc!$A$4:$A$5,0)),"")</f>
        <v>58.2071385175</v>
      </c>
      <c r="N55" s="37" t="n">
        <f aca="false">IF(E55=1,INDEX(B3_NguongKhoanMuc!$F$4:$F$5,MATCH(D55,B3_NguongKhoanMuc!$A$4:$A$5,0)),"")</f>
        <v>66.26326635</v>
      </c>
      <c r="O55" s="37" t="n">
        <f aca="false">IF(E55=1,INDEX(B3_NguongKhoanMuc!$H$4:$H$5,MATCH(D55,B3_NguongKhoanMuc!$A$4:$A$5,0)),"")</f>
        <v>86.118055065</v>
      </c>
      <c r="P55" s="37" t="n">
        <f aca="false">IF(E55=1,INDEX(B3_NguongKhoanMuc!$I$4:$I$5,MATCH(D55,B3_NguongKhoanMuc!$A$4:$A$5,0)),"")</f>
        <v>137.965147652</v>
      </c>
      <c r="Q55" s="37" t="n">
        <f aca="false">IF(E55=1,INDEX(B3_NguongKhoanMuc!$K$4:$K$5,MATCH(D55,B3_NguongKhoanMuc!$A$4:$A$5,0)),"")</f>
        <v>68.3092044425</v>
      </c>
      <c r="R55" s="37" t="n">
        <f aca="false">IF(E55=1,INDEX(B3_NguongKhoanMuc!$L$4:$L$5,MATCH(D55,B3_NguongKhoanMuc!$A$4:$A$5,0)),"")</f>
        <v>14.892652922</v>
      </c>
      <c r="S55" s="35" t="n">
        <f aca="false">IF(E55=1,INDEX(B3_NguongKhoanMuc!$M$4:$M$5,MATCH(D55,B3_NguongKhoanMuc!$A$4:$A$5,0)),"")</f>
        <v>0.0830079952170207</v>
      </c>
      <c r="T55" s="2" t="n">
        <f aca="false">IF(E55&lt;&gt;1,"",IF(I55&gt;N55,2,IF(I55&gt;M55,1,0)))</f>
        <v>0</v>
      </c>
      <c r="U55" s="2" t="n">
        <f aca="false">IF(E55&lt;&gt;1,"",IF(J55&gt;P55,2,IF(J55&gt;O55,1,0)))</f>
        <v>0</v>
      </c>
      <c r="V55" s="2" t="n">
        <f aca="false">IF(E55&lt;&gt;1,"",IF(AND(K55&lt;R55,L55&lt;S55),1,0))</f>
        <v>0</v>
      </c>
      <c r="W55" s="2" t="n">
        <f aca="false">IF(E55&lt;&gt;1,"",IF(K55&gt;Q55,1,0))</f>
        <v>0</v>
      </c>
      <c r="X55" s="34" t="n">
        <f aca="false">IF(E55&lt;&gt;1,"",IF(T55&gt;=1,(I55-M55)*F55/365,0))</f>
        <v>0</v>
      </c>
      <c r="Y55" s="34" t="n">
        <f aca="false">IF(E55&lt;&gt;1,"",IF(U55&gt;=1,(J55-O55)*G55/365,0))</f>
        <v>0</v>
      </c>
      <c r="Z55" s="35" t="n">
        <f aca="false">IF(E55&lt;&gt;1,"",IF(H55&gt;0,MAX(X55,Y55)/H55,0))</f>
        <v>0</v>
      </c>
      <c r="AA55" s="2" t="str">
        <f aca="false">IF(E55&lt;&gt;1,"",CHOOSE(T55+1,"An toàn","Có nguy cơ","Trầm trọng"))</f>
        <v>An toàn</v>
      </c>
      <c r="AB55" s="2" t="str">
        <f aca="false">IF(E55&lt;&gt;1,"",CHOOSE(U55+1,"An toàn","Có nguy cơ","Trầm trọng"))</f>
        <v>An toàn</v>
      </c>
      <c r="AC55" s="2" t="str">
        <f aca="false">IF(E55&lt;&gt;1,"",IF(V55=1,"Có nguy cơ: NCC cho nợ ít + tiền mỏng",IF(W55=1,"Lưu ý: DPO cao – kiểm tra quá hạn NCC","An toàn")))</f>
        <v>An toàn</v>
      </c>
      <c r="AD55" s="10" t="str">
        <f aca="false">IF(OR(AND(ThamSo!$C$10=1,MAX(T55,U55)=2),AND(MAX(T55,U55)&gt;=1,Z55&gt;=ThamSo!$C$9)),"W2",IF(OR(MAX(T55,U55)&gt;=1,V55=1),"W1","W0"))</f>
        <v>W0</v>
      </c>
      <c r="AE55" s="10" t="str">
        <f aca="false">CHOOSE(MATCH(AD55,{"W0","W1","W2"},0),"An toàn","Có nguy cơ","Thiếu trầm trọng")</f>
        <v>An toàn</v>
      </c>
      <c r="AF55" s="2" t="str">
        <f aca="false">IF(OR(E55&lt;&gt;1,AD55="W0"),"",IF(AND(T55=0,U55=0),"Phải trả",IF(T55&gt;U55,"Phải thu",IF(U55&gt;T55,"Tồn kho",IF(X55&gt;=Y55,"Phải thu","Tồn kho")))))</f>
        <v/>
      </c>
      <c r="AG55" s="2" t="str">
        <f aca="false">TRIM(IF(T55=2,"R-AR-2 ",IF(T55=1,"R-AR-1 ",""))&amp;IF(U55=2,"R-INV-2 ",IF(U55=1,"R-INV-1 ",""))&amp;IF(V55=1,"R-AP-1 ","")&amp;IF(AND(MAX(T55,U55)&gt;=1,Z55&gt;=ThamSo!$C$9),"R-MAT",""))</f>
        <v/>
      </c>
      <c r="AH55" s="34" t="n">
        <f aca="false">IF(E55&lt;&gt;1,"",X55+Y55)</f>
        <v>0</v>
      </c>
      <c r="AI55" s="2" t="str">
        <f aca="false">IF(OR(E55&lt;&gt;1,DuLieu!A77&lt;&gt;DuLieu!A76,DuLieu!B77&gt;ThamSo!$C$23,DuLieu!D77="",DuLieu!K77=""),"",IF(OR(DuLieu!K77&lt;0,DuLieu!D77&lt;DuLieu!D76*(1-ThamSo!$C$20)),1,0))</f>
        <v/>
      </c>
    </row>
    <row r="56" customFormat="false" ht="15" hidden="false" customHeight="false" outlineLevel="0" collapsed="false">
      <c r="A56" s="36" t="str">
        <f aca="false">DuLieu!A77</f>
        <v>VGG</v>
      </c>
      <c r="B56" s="36" t="n">
        <f aca="false">DuLieu!B77</f>
        <v>2023</v>
      </c>
      <c r="C56" s="2" t="str">
        <f aca="false">A56&amp;"-"&amp;B56</f>
        <v>VGG-2023</v>
      </c>
      <c r="D56" s="2" t="str">
        <f aca="false">DuLieu!S77&amp;"|"&amp;DuLieu!V77</f>
        <v>FOB|Lớn</v>
      </c>
      <c r="E56" s="36" t="n">
        <f aca="false">DuLieu!U77</f>
        <v>1</v>
      </c>
      <c r="F56" s="34" t="n">
        <f aca="false">IF(E56=1,DuLieu!D77,"")</f>
        <v>8606837411154</v>
      </c>
      <c r="G56" s="34" t="n">
        <f aca="false">IF(E56=1,DuLieu!O77,"")</f>
        <v>7787190124062.87</v>
      </c>
      <c r="H56" s="34" t="n">
        <f aca="false">IF(E56=1,DuLieu!G77,"")</f>
        <v>3724543458324</v>
      </c>
      <c r="I56" s="37" t="n">
        <f aca="false">IF(E56=1,DuLieu!L77,"")</f>
        <v>66.16509129</v>
      </c>
      <c r="J56" s="37" t="n">
        <f aca="false">IF(E56=1,DuLieu!M77,"")</f>
        <v>67.38164761</v>
      </c>
      <c r="K56" s="37" t="n">
        <f aca="false">IF(E56=1,DuLieu!N77,"")</f>
        <v>98.91870929</v>
      </c>
      <c r="L56" s="35" t="n">
        <f aca="false">IF(E56=1,DuLieu!P77,"")</f>
        <v>0.0606537001251434</v>
      </c>
      <c r="M56" s="37" t="n">
        <f aca="false">IF(E56=1,INDEX(B3_NguongKhoanMuc!$E$4:$E$5,MATCH(D56,B3_NguongKhoanMuc!$A$4:$A$5,0)),"")</f>
        <v>58.2071385175</v>
      </c>
      <c r="N56" s="37" t="n">
        <f aca="false">IF(E56=1,INDEX(B3_NguongKhoanMuc!$F$4:$F$5,MATCH(D56,B3_NguongKhoanMuc!$A$4:$A$5,0)),"")</f>
        <v>66.26326635</v>
      </c>
      <c r="O56" s="37" t="n">
        <f aca="false">IF(E56=1,INDEX(B3_NguongKhoanMuc!$H$4:$H$5,MATCH(D56,B3_NguongKhoanMuc!$A$4:$A$5,0)),"")</f>
        <v>86.118055065</v>
      </c>
      <c r="P56" s="37" t="n">
        <f aca="false">IF(E56=1,INDEX(B3_NguongKhoanMuc!$I$4:$I$5,MATCH(D56,B3_NguongKhoanMuc!$A$4:$A$5,0)),"")</f>
        <v>137.965147652</v>
      </c>
      <c r="Q56" s="37" t="n">
        <f aca="false">IF(E56=1,INDEX(B3_NguongKhoanMuc!$K$4:$K$5,MATCH(D56,B3_NguongKhoanMuc!$A$4:$A$5,0)),"")</f>
        <v>68.3092044425</v>
      </c>
      <c r="R56" s="37" t="n">
        <f aca="false">IF(E56=1,INDEX(B3_NguongKhoanMuc!$L$4:$L$5,MATCH(D56,B3_NguongKhoanMuc!$A$4:$A$5,0)),"")</f>
        <v>14.892652922</v>
      </c>
      <c r="S56" s="35" t="n">
        <f aca="false">IF(E56=1,INDEX(B3_NguongKhoanMuc!$M$4:$M$5,MATCH(D56,B3_NguongKhoanMuc!$A$4:$A$5,0)),"")</f>
        <v>0.0830079952170207</v>
      </c>
      <c r="T56" s="2" t="n">
        <f aca="false">IF(E56&lt;&gt;1,"",IF(I56&gt;N56,2,IF(I56&gt;M56,1,0)))</f>
        <v>1</v>
      </c>
      <c r="U56" s="2" t="n">
        <f aca="false">IF(E56&lt;&gt;1,"",IF(J56&gt;P56,2,IF(J56&gt;O56,1,0)))</f>
        <v>0</v>
      </c>
      <c r="V56" s="2" t="n">
        <f aca="false">IF(E56&lt;&gt;1,"",IF(AND(K56&lt;R56,L56&lt;S56),1,0))</f>
        <v>0</v>
      </c>
      <c r="W56" s="2" t="n">
        <f aca="false">IF(E56&lt;&gt;1,"",IF(K56&gt;Q56,1,0))</f>
        <v>1</v>
      </c>
      <c r="X56" s="34" t="n">
        <f aca="false">IF(E56&lt;&gt;1,"",IF(T56&gt;=1,(I56-M56)*F56/365,0))</f>
        <v>187651522297.397</v>
      </c>
      <c r="Y56" s="34" t="n">
        <f aca="false">IF(E56&lt;&gt;1,"",IF(U56&gt;=1,(J56-O56)*G56/365,0))</f>
        <v>0</v>
      </c>
      <c r="Z56" s="35" t="n">
        <f aca="false">IF(E56&lt;&gt;1,"",IF(H56&gt;0,MAX(X56,Y56)/H56,0))</f>
        <v>0.0503824225430941</v>
      </c>
      <c r="AA56" s="2" t="str">
        <f aca="false">IF(E56&lt;&gt;1,"",CHOOSE(T56+1,"An toàn","Có nguy cơ","Trầm trọng"))</f>
        <v>Có nguy cơ</v>
      </c>
      <c r="AB56" s="2" t="str">
        <f aca="false">IF(E56&lt;&gt;1,"",CHOOSE(U56+1,"An toàn","Có nguy cơ","Trầm trọng"))</f>
        <v>An toàn</v>
      </c>
      <c r="AC56" s="2" t="str">
        <f aca="false">IF(E56&lt;&gt;1,"",IF(V56=1,"Có nguy cơ: NCC cho nợ ít + tiền mỏng",IF(W56=1,"Lưu ý: DPO cao – kiểm tra quá hạn NCC","An toàn")))</f>
        <v>Lưu ý: DPO cao – kiểm tra quá hạn NCC</v>
      </c>
      <c r="AD56" s="10" t="str">
        <f aca="false">IF(OR(AND(ThamSo!$C$10=1,MAX(T56,U56)=2),AND(MAX(T56,U56)&gt;=1,Z56&gt;=ThamSo!$C$9)),"W2",IF(OR(MAX(T56,U56)&gt;=1,V56=1),"W1","W0"))</f>
        <v>W2</v>
      </c>
      <c r="AE56" s="10" t="str">
        <f aca="false">CHOOSE(MATCH(AD56,{"W0","W1","W2"},0),"An toàn","Có nguy cơ","Thiếu trầm trọng")</f>
        <v>Thiếu trầm trọng</v>
      </c>
      <c r="AF56" s="2" t="str">
        <f aca="false">IF(OR(E56&lt;&gt;1,AD56="W0"),"",IF(AND(T56=0,U56=0),"Phải trả",IF(T56&gt;U56,"Phải thu",IF(U56&gt;T56,"Tồn kho",IF(X56&gt;=Y56,"Phải thu","Tồn kho")))))</f>
        <v>Phải thu</v>
      </c>
      <c r="AG56" s="2" t="str">
        <f aca="false">TRIM(IF(T56=2,"R-AR-2 ",IF(T56=1,"R-AR-1 ",""))&amp;IF(U56=2,"R-INV-2 ",IF(U56=1,"R-INV-1 ",""))&amp;IF(V56=1,"R-AP-1 ","")&amp;IF(AND(MAX(T56,U56)&gt;=1,Z56&gt;=ThamSo!$C$9),"R-MAT",""))</f>
        <v>R-AR-1 R-MAT</v>
      </c>
      <c r="AH56" s="34" t="n">
        <f aca="false">IF(E56&lt;&gt;1,"",X56+Y56)</f>
        <v>187651522297.397</v>
      </c>
      <c r="AI56" s="2" t="n">
        <f aca="false">IF(OR(E56&lt;&gt;1,DuLieu!A78&lt;&gt;DuLieu!A77,DuLieu!B78&gt;ThamSo!$C$23,DuLieu!D78="",DuLieu!K78=""),"",IF(OR(DuLieu!K78&lt;0,DuLieu!D78&lt;DuLieu!D77*(1-ThamSo!$C$20)),1,0))</f>
        <v>0</v>
      </c>
    </row>
    <row r="57" customFormat="false" ht="15" hidden="false" customHeight="false" outlineLevel="0" collapsed="false">
      <c r="A57" s="36" t="str">
        <f aca="false">DuLieu!A78</f>
        <v>VGG</v>
      </c>
      <c r="B57" s="36" t="n">
        <f aca="false">DuLieu!B78</f>
        <v>2024</v>
      </c>
      <c r="C57" s="2" t="str">
        <f aca="false">A57&amp;"-"&amp;B57</f>
        <v>VGG-2024</v>
      </c>
      <c r="D57" s="2" t="str">
        <f aca="false">DuLieu!S78&amp;"|"&amp;DuLieu!V78</f>
        <v>FOB|Lớn</v>
      </c>
      <c r="E57" s="36" t="n">
        <f aca="false">DuLieu!U78</f>
        <v>1</v>
      </c>
      <c r="F57" s="34" t="n">
        <f aca="false">IF(E57=1,DuLieu!D78,"")</f>
        <v>9756363238727</v>
      </c>
      <c r="G57" s="34" t="n">
        <f aca="false">IF(E57=1,DuLieu!O78,"")</f>
        <v>8701954233192.08</v>
      </c>
      <c r="H57" s="34" t="n">
        <f aca="false">IF(E57=1,DuLieu!G78,"")</f>
        <v>4077146627949</v>
      </c>
      <c r="I57" s="37" t="n">
        <f aca="false">IF(E57=1,DuLieu!L78,"")</f>
        <v>58.48321057</v>
      </c>
      <c r="J57" s="37" t="n">
        <f aca="false">IF(E57=1,DuLieu!M78,"")</f>
        <v>56.28810723</v>
      </c>
      <c r="K57" s="37" t="n">
        <f aca="false">IF(E57=1,DuLieu!N78,"")</f>
        <v>75.51954217</v>
      </c>
      <c r="L57" s="35" t="n">
        <f aca="false">IF(E57=1,DuLieu!P78,"")</f>
        <v>0.0832077983559091</v>
      </c>
      <c r="M57" s="37" t="n">
        <f aca="false">IF(E57=1,INDEX(B3_NguongKhoanMuc!$E$4:$E$5,MATCH(D57,B3_NguongKhoanMuc!$A$4:$A$5,0)),"")</f>
        <v>58.2071385175</v>
      </c>
      <c r="N57" s="37" t="n">
        <f aca="false">IF(E57=1,INDEX(B3_NguongKhoanMuc!$F$4:$F$5,MATCH(D57,B3_NguongKhoanMuc!$A$4:$A$5,0)),"")</f>
        <v>66.26326635</v>
      </c>
      <c r="O57" s="37" t="n">
        <f aca="false">IF(E57=1,INDEX(B3_NguongKhoanMuc!$H$4:$H$5,MATCH(D57,B3_NguongKhoanMuc!$A$4:$A$5,0)),"")</f>
        <v>86.118055065</v>
      </c>
      <c r="P57" s="37" t="n">
        <f aca="false">IF(E57=1,INDEX(B3_NguongKhoanMuc!$I$4:$I$5,MATCH(D57,B3_NguongKhoanMuc!$A$4:$A$5,0)),"")</f>
        <v>137.965147652</v>
      </c>
      <c r="Q57" s="37" t="n">
        <f aca="false">IF(E57=1,INDEX(B3_NguongKhoanMuc!$K$4:$K$5,MATCH(D57,B3_NguongKhoanMuc!$A$4:$A$5,0)),"")</f>
        <v>68.3092044425</v>
      </c>
      <c r="R57" s="37" t="n">
        <f aca="false">IF(E57=1,INDEX(B3_NguongKhoanMuc!$L$4:$L$5,MATCH(D57,B3_NguongKhoanMuc!$A$4:$A$5,0)),"")</f>
        <v>14.892652922</v>
      </c>
      <c r="S57" s="35" t="n">
        <f aca="false">IF(E57=1,INDEX(B3_NguongKhoanMuc!$M$4:$M$5,MATCH(D57,B3_NguongKhoanMuc!$A$4:$A$5,0)),"")</f>
        <v>0.0830079952170207</v>
      </c>
      <c r="T57" s="2" t="n">
        <f aca="false">IF(E57&lt;&gt;1,"",IF(I57&gt;N57,2,IF(I57&gt;M57,1,0)))</f>
        <v>1</v>
      </c>
      <c r="U57" s="2" t="n">
        <f aca="false">IF(E57&lt;&gt;1,"",IF(J57&gt;P57,2,IF(J57&gt;O57,1,0)))</f>
        <v>0</v>
      </c>
      <c r="V57" s="2" t="n">
        <f aca="false">IF(E57&lt;&gt;1,"",IF(AND(K57&lt;R57,L57&lt;S57),1,0))</f>
        <v>0</v>
      </c>
      <c r="W57" s="2" t="n">
        <f aca="false">IF(E57&lt;&gt;1,"",IF(K57&gt;Q57,1,0))</f>
        <v>1</v>
      </c>
      <c r="X57" s="34" t="n">
        <f aca="false">IF(E57&lt;&gt;1,"",IF(T57&gt;=1,(I57-M57)*F57/365,0))</f>
        <v>7379340340.41341</v>
      </c>
      <c r="Y57" s="34" t="n">
        <f aca="false">IF(E57&lt;&gt;1,"",IF(U57&gt;=1,(J57-O57)*G57/365,0))</f>
        <v>0</v>
      </c>
      <c r="Z57" s="35" t="n">
        <f aca="false">IF(E57&lt;&gt;1,"",IF(H57&gt;0,MAX(X57,Y57)/H57,0))</f>
        <v>0.00180992763169903</v>
      </c>
      <c r="AA57" s="2" t="str">
        <f aca="false">IF(E57&lt;&gt;1,"",CHOOSE(T57+1,"An toàn","Có nguy cơ","Trầm trọng"))</f>
        <v>Có nguy cơ</v>
      </c>
      <c r="AB57" s="2" t="str">
        <f aca="false">IF(E57&lt;&gt;1,"",CHOOSE(U57+1,"An toàn","Có nguy cơ","Trầm trọng"))</f>
        <v>An toàn</v>
      </c>
      <c r="AC57" s="2" t="str">
        <f aca="false">IF(E57&lt;&gt;1,"",IF(V57=1,"Có nguy cơ: NCC cho nợ ít + tiền mỏng",IF(W57=1,"Lưu ý: DPO cao – kiểm tra quá hạn NCC","An toàn")))</f>
        <v>Lưu ý: DPO cao – kiểm tra quá hạn NCC</v>
      </c>
      <c r="AD57" s="10" t="str">
        <f aca="false">IF(OR(AND(ThamSo!$C$10=1,MAX(T57,U57)=2),AND(MAX(T57,U57)&gt;=1,Z57&gt;=ThamSo!$C$9)),"W2",IF(OR(MAX(T57,U57)&gt;=1,V57=1),"W1","W0"))</f>
        <v>W1</v>
      </c>
      <c r="AE57" s="10" t="str">
        <f aca="false">CHOOSE(MATCH(AD57,{"W0","W1","W2"},0),"An toàn","Có nguy cơ","Thiếu trầm trọng")</f>
        <v>Có nguy cơ</v>
      </c>
      <c r="AF57" s="2" t="str">
        <f aca="false">IF(OR(E57&lt;&gt;1,AD57="W0"),"",IF(AND(T57=0,U57=0),"Phải trả",IF(T57&gt;U57,"Phải thu",IF(U57&gt;T57,"Tồn kho",IF(X57&gt;=Y57,"Phải thu","Tồn kho")))))</f>
        <v>Phải thu</v>
      </c>
      <c r="AG57" s="2" t="str">
        <f aca="false">TRIM(IF(T57=2,"R-AR-2 ",IF(T57=1,"R-AR-1 ",""))&amp;IF(U57=2,"R-INV-2 ",IF(U57=1,"R-INV-1 ",""))&amp;IF(V57=1,"R-AP-1 ","")&amp;IF(AND(MAX(T57,U57)&gt;=1,Z57&gt;=ThamSo!$C$9),"R-MAT",""))</f>
        <v>R-AR-1</v>
      </c>
      <c r="AH57" s="34" t="n">
        <f aca="false">IF(E57&lt;&gt;1,"",X57+Y57)</f>
        <v>7379340340.41341</v>
      </c>
      <c r="AI57" s="2" t="n">
        <f aca="false">IF(OR(E57&lt;&gt;1,DuLieu!A79&lt;&gt;DuLieu!A78,DuLieu!B79&gt;ThamSo!$C$23,DuLieu!D79="",DuLieu!K79=""),"",IF(OR(DuLieu!K79&lt;0,DuLieu!D79&lt;DuLieu!D78*(1-ThamSo!$C$20)),1,0))</f>
        <v>0</v>
      </c>
    </row>
    <row r="58" customFormat="false" ht="15" hidden="false" customHeight="false" outlineLevel="0" collapsed="false">
      <c r="A58" s="36" t="str">
        <f aca="false">DuLieu!A79</f>
        <v>VGG</v>
      </c>
      <c r="B58" s="36" t="n">
        <f aca="false">DuLieu!B79</f>
        <v>2025</v>
      </c>
      <c r="C58" s="2" t="str">
        <f aca="false">A58&amp;"-"&amp;B58</f>
        <v>VGG-2025</v>
      </c>
      <c r="D58" s="2" t="str">
        <f aca="false">DuLieu!S79&amp;"|"&amp;DuLieu!V79</f>
        <v>FOB|Lớn</v>
      </c>
      <c r="E58" s="36" t="n">
        <f aca="false">DuLieu!U79</f>
        <v>1</v>
      </c>
      <c r="F58" s="34" t="n">
        <f aca="false">IF(E58=1,DuLieu!D79,"")</f>
        <v>10510903558693</v>
      </c>
      <c r="G58" s="34" t="n">
        <f aca="false">IF(E58=1,DuLieu!O79,"")</f>
        <v>9382164113001.93</v>
      </c>
      <c r="H58" s="34" t="n">
        <f aca="false">IF(E58=1,DuLieu!G79,"")</f>
        <v>4597423614093</v>
      </c>
      <c r="I58" s="37" t="n">
        <f aca="false">IF(E58=1,DuLieu!L79,"")</f>
        <v>56.92157999</v>
      </c>
      <c r="J58" s="37" t="n">
        <f aca="false">IF(E58=1,DuLieu!M79,"")</f>
        <v>57.60614383</v>
      </c>
      <c r="K58" s="37" t="n">
        <f aca="false">IF(E58=1,DuLieu!N79,"")</f>
        <v>76.86591314</v>
      </c>
      <c r="L58" s="35" t="n">
        <f aca="false">IF(E58=1,DuLieu!P79,"")</f>
        <v>0.0884443800539063</v>
      </c>
      <c r="M58" s="37" t="n">
        <f aca="false">IF(E58=1,INDEX(B3_NguongKhoanMuc!$E$4:$E$5,MATCH(D58,B3_NguongKhoanMuc!$A$4:$A$5,0)),"")</f>
        <v>58.2071385175</v>
      </c>
      <c r="N58" s="37" t="n">
        <f aca="false">IF(E58=1,INDEX(B3_NguongKhoanMuc!$F$4:$F$5,MATCH(D58,B3_NguongKhoanMuc!$A$4:$A$5,0)),"")</f>
        <v>66.26326635</v>
      </c>
      <c r="O58" s="37" t="n">
        <f aca="false">IF(E58=1,INDEX(B3_NguongKhoanMuc!$H$4:$H$5,MATCH(D58,B3_NguongKhoanMuc!$A$4:$A$5,0)),"")</f>
        <v>86.118055065</v>
      </c>
      <c r="P58" s="37" t="n">
        <f aca="false">IF(E58=1,INDEX(B3_NguongKhoanMuc!$I$4:$I$5,MATCH(D58,B3_NguongKhoanMuc!$A$4:$A$5,0)),"")</f>
        <v>137.965147652</v>
      </c>
      <c r="Q58" s="37" t="n">
        <f aca="false">IF(E58=1,INDEX(B3_NguongKhoanMuc!$K$4:$K$5,MATCH(D58,B3_NguongKhoanMuc!$A$4:$A$5,0)),"")</f>
        <v>68.3092044425</v>
      </c>
      <c r="R58" s="37" t="n">
        <f aca="false">IF(E58=1,INDEX(B3_NguongKhoanMuc!$L$4:$L$5,MATCH(D58,B3_NguongKhoanMuc!$A$4:$A$5,0)),"")</f>
        <v>14.892652922</v>
      </c>
      <c r="S58" s="35" t="n">
        <f aca="false">IF(E58=1,INDEX(B3_NguongKhoanMuc!$M$4:$M$5,MATCH(D58,B3_NguongKhoanMuc!$A$4:$A$5,0)),"")</f>
        <v>0.0830079952170207</v>
      </c>
      <c r="T58" s="2" t="n">
        <f aca="false">IF(E58&lt;&gt;1,"",IF(I58&gt;N58,2,IF(I58&gt;M58,1,0)))</f>
        <v>0</v>
      </c>
      <c r="U58" s="2" t="n">
        <f aca="false">IF(E58&lt;&gt;1,"",IF(J58&gt;P58,2,IF(J58&gt;O58,1,0)))</f>
        <v>0</v>
      </c>
      <c r="V58" s="2" t="n">
        <f aca="false">IF(E58&lt;&gt;1,"",IF(AND(K58&lt;R58,L58&lt;S58),1,0))</f>
        <v>0</v>
      </c>
      <c r="W58" s="2" t="n">
        <f aca="false">IF(E58&lt;&gt;1,"",IF(K58&gt;Q58,1,0))</f>
        <v>1</v>
      </c>
      <c r="X58" s="34" t="n">
        <f aca="false">IF(E58&lt;&gt;1,"",IF(T58&gt;=1,(I58-M58)*F58/365,0))</f>
        <v>0</v>
      </c>
      <c r="Y58" s="34" t="n">
        <f aca="false">IF(E58&lt;&gt;1,"",IF(U58&gt;=1,(J58-O58)*G58/365,0))</f>
        <v>0</v>
      </c>
      <c r="Z58" s="35" t="n">
        <f aca="false">IF(E58&lt;&gt;1,"",IF(H58&gt;0,MAX(X58,Y58)/H58,0))</f>
        <v>0</v>
      </c>
      <c r="AA58" s="2" t="str">
        <f aca="false">IF(E58&lt;&gt;1,"",CHOOSE(T58+1,"An toàn","Có nguy cơ","Trầm trọng"))</f>
        <v>An toàn</v>
      </c>
      <c r="AB58" s="2" t="str">
        <f aca="false">IF(E58&lt;&gt;1,"",CHOOSE(U58+1,"An toàn","Có nguy cơ","Trầm trọng"))</f>
        <v>An toàn</v>
      </c>
      <c r="AC58" s="2" t="str">
        <f aca="false">IF(E58&lt;&gt;1,"",IF(V58=1,"Có nguy cơ: NCC cho nợ ít + tiền mỏng",IF(W58=1,"Lưu ý: DPO cao – kiểm tra quá hạn NCC","An toàn")))</f>
        <v>Lưu ý: DPO cao – kiểm tra quá hạn NCC</v>
      </c>
      <c r="AD58" s="10" t="str">
        <f aca="false">IF(OR(AND(ThamSo!$C$10=1,MAX(T58,U58)=2),AND(MAX(T58,U58)&gt;=1,Z58&gt;=ThamSo!$C$9)),"W2",IF(OR(MAX(T58,U58)&gt;=1,V58=1),"W1","W0"))</f>
        <v>W0</v>
      </c>
      <c r="AE58" s="10" t="str">
        <f aca="false">CHOOSE(MATCH(AD58,{"W0","W1","W2"},0),"An toàn","Có nguy cơ","Thiếu trầm trọng")</f>
        <v>An toàn</v>
      </c>
      <c r="AF58" s="2" t="str">
        <f aca="false">IF(OR(E58&lt;&gt;1,AD58="W0"),"",IF(AND(T58=0,U58=0),"Phải trả",IF(T58&gt;U58,"Phải thu",IF(U58&gt;T58,"Tồn kho",IF(X58&gt;=Y58,"Phải thu","Tồn kho")))))</f>
        <v/>
      </c>
      <c r="AG58" s="2" t="str">
        <f aca="false">TRIM(IF(T58=2,"R-AR-2 ",IF(T58=1,"R-AR-1 ",""))&amp;IF(U58=2,"R-INV-2 ",IF(U58=1,"R-INV-1 ",""))&amp;IF(V58=1,"R-AP-1 ","")&amp;IF(AND(MAX(T58,U58)&gt;=1,Z58&gt;=ThamSo!$C$9),"R-MAT",""))</f>
        <v/>
      </c>
      <c r="AH58" s="34" t="n">
        <f aca="false">IF(E58&lt;&gt;1,"",X58+Y58)</f>
        <v>0</v>
      </c>
      <c r="AI58" s="2" t="str">
        <f aca="false">IF(OR(E58&lt;&gt;1,DuLieu!A80&lt;&gt;DuLieu!A79,DuLieu!B80&gt;ThamSo!$C$23,DuLieu!D80="",DuLieu!K80=""),"",IF(OR(DuLieu!K80&lt;0,DuLieu!D80&lt;DuLieu!D79*(1-ThamSo!$C$20)),1,0))</f>
        <v/>
      </c>
    </row>
    <row r="59" customFormat="false" ht="15" hidden="false" customHeight="false" outlineLevel="0" collapsed="false">
      <c r="A59" s="36" t="str">
        <f aca="false">DuLieu!A83</f>
        <v>X20</v>
      </c>
      <c r="B59" s="36" t="n">
        <f aca="false">DuLieu!B83</f>
        <v>2023</v>
      </c>
      <c r="C59" s="2" t="str">
        <f aca="false">A59&amp;"-"&amp;B59</f>
        <v>X20-2023</v>
      </c>
      <c r="D59" s="2" t="str">
        <f aca="false">DuLieu!S83&amp;"|"&amp;DuLieu!V83</f>
        <v>FOB|Nhỏ–vừa</v>
      </c>
      <c r="E59" s="36" t="n">
        <f aca="false">DuLieu!U83</f>
        <v>1</v>
      </c>
      <c r="F59" s="34" t="n">
        <f aca="false">IF(E59=1,DuLieu!D83,"")</f>
        <v>1034395080781</v>
      </c>
      <c r="G59" s="34" t="n">
        <f aca="false">IF(E59=1,DuLieu!O83,"")</f>
        <v>863917927390.351</v>
      </c>
      <c r="H59" s="34" t="n">
        <f aca="false">IF(E59=1,DuLieu!G83,"")</f>
        <v>380902925026</v>
      </c>
      <c r="I59" s="37" t="n">
        <f aca="false">IF(E59=1,DuLieu!L83,"")</f>
        <v>29.27016342</v>
      </c>
      <c r="J59" s="37" t="n">
        <f aca="false">IF(E59=1,DuLieu!M83,"")</f>
        <v>85.91404006</v>
      </c>
      <c r="K59" s="37" t="n">
        <f aca="false">IF(E59=1,DuLieu!N83,"")</f>
        <v>78.55328725</v>
      </c>
      <c r="L59" s="35" t="n">
        <f aca="false">IF(E59=1,DuLieu!P83,"")</f>
        <v>0.054010814994226</v>
      </c>
      <c r="M59" s="37" t="n">
        <f aca="false">IF(E59=1,INDEX(B3_NguongKhoanMuc!$E$4:$E$5,MATCH(D59,B3_NguongKhoanMuc!$A$4:$A$5,0)),"")</f>
        <v>58.2071385175</v>
      </c>
      <c r="N59" s="37" t="n">
        <f aca="false">IF(E59=1,INDEX(B3_NguongKhoanMuc!$F$4:$F$5,MATCH(D59,B3_NguongKhoanMuc!$A$4:$A$5,0)),"")</f>
        <v>66.26326635</v>
      </c>
      <c r="O59" s="37" t="n">
        <f aca="false">IF(E59=1,INDEX(B3_NguongKhoanMuc!$H$4:$H$5,MATCH(D59,B3_NguongKhoanMuc!$A$4:$A$5,0)),"")</f>
        <v>86.118055065</v>
      </c>
      <c r="P59" s="37" t="n">
        <f aca="false">IF(E59=1,INDEX(B3_NguongKhoanMuc!$I$4:$I$5,MATCH(D59,B3_NguongKhoanMuc!$A$4:$A$5,0)),"")</f>
        <v>137.965147652</v>
      </c>
      <c r="Q59" s="37" t="n">
        <f aca="false">IF(E59=1,INDEX(B3_NguongKhoanMuc!$K$4:$K$5,MATCH(D59,B3_NguongKhoanMuc!$A$4:$A$5,0)),"")</f>
        <v>68.3092044425</v>
      </c>
      <c r="R59" s="37" t="n">
        <f aca="false">IF(E59=1,INDEX(B3_NguongKhoanMuc!$L$4:$L$5,MATCH(D59,B3_NguongKhoanMuc!$A$4:$A$5,0)),"")</f>
        <v>14.892652922</v>
      </c>
      <c r="S59" s="35" t="n">
        <f aca="false">IF(E59=1,INDEX(B3_NguongKhoanMuc!$M$4:$M$5,MATCH(D59,B3_NguongKhoanMuc!$A$4:$A$5,0)),"")</f>
        <v>0.0830079952170207</v>
      </c>
      <c r="T59" s="2" t="n">
        <f aca="false">IF(E59&lt;&gt;1,"",IF(I59&gt;N59,2,IF(I59&gt;M59,1,0)))</f>
        <v>0</v>
      </c>
      <c r="U59" s="2" t="n">
        <f aca="false">IF(E59&lt;&gt;1,"",IF(J59&gt;P59,2,IF(J59&gt;O59,1,0)))</f>
        <v>0</v>
      </c>
      <c r="V59" s="2" t="n">
        <f aca="false">IF(E59&lt;&gt;1,"",IF(AND(K59&lt;R59,L59&lt;S59),1,0))</f>
        <v>0</v>
      </c>
      <c r="W59" s="2" t="n">
        <f aca="false">IF(E59&lt;&gt;1,"",IF(K59&gt;Q59,1,0))</f>
        <v>1</v>
      </c>
      <c r="X59" s="34" t="n">
        <f aca="false">IF(E59&lt;&gt;1,"",IF(T59&gt;=1,(I59-M59)*F59/365,0))</f>
        <v>0</v>
      </c>
      <c r="Y59" s="34" t="n">
        <f aca="false">IF(E59&lt;&gt;1,"",IF(U59&gt;=1,(J59-O59)*G59/365,0))</f>
        <v>0</v>
      </c>
      <c r="Z59" s="35" t="n">
        <f aca="false">IF(E59&lt;&gt;1,"",IF(H59&gt;0,MAX(X59,Y59)/H59,0))</f>
        <v>0</v>
      </c>
      <c r="AA59" s="2" t="str">
        <f aca="false">IF(E59&lt;&gt;1,"",CHOOSE(T59+1,"An toàn","Có nguy cơ","Trầm trọng"))</f>
        <v>An toàn</v>
      </c>
      <c r="AB59" s="2" t="str">
        <f aca="false">IF(E59&lt;&gt;1,"",CHOOSE(U59+1,"An toàn","Có nguy cơ","Trầm trọng"))</f>
        <v>An toàn</v>
      </c>
      <c r="AC59" s="2" t="str">
        <f aca="false">IF(E59&lt;&gt;1,"",IF(V59=1,"Có nguy cơ: NCC cho nợ ít + tiền mỏng",IF(W59=1,"Lưu ý: DPO cao – kiểm tra quá hạn NCC","An toàn")))</f>
        <v>Lưu ý: DPO cao – kiểm tra quá hạn NCC</v>
      </c>
      <c r="AD59" s="10" t="str">
        <f aca="false">IF(OR(AND(ThamSo!$C$10=1,MAX(T59,U59)=2),AND(MAX(T59,U59)&gt;=1,Z59&gt;=ThamSo!$C$9)),"W2",IF(OR(MAX(T59,U59)&gt;=1,V59=1),"W1","W0"))</f>
        <v>W0</v>
      </c>
      <c r="AE59" s="10" t="str">
        <f aca="false">CHOOSE(MATCH(AD59,{"W0","W1","W2"},0),"An toàn","Có nguy cơ","Thiếu trầm trọng")</f>
        <v>An toàn</v>
      </c>
      <c r="AF59" s="2" t="str">
        <f aca="false">IF(OR(E59&lt;&gt;1,AD59="W0"),"",IF(AND(T59=0,U59=0),"Phải trả",IF(T59&gt;U59,"Phải thu",IF(U59&gt;T59,"Tồn kho",IF(X59&gt;=Y59,"Phải thu","Tồn kho")))))</f>
        <v/>
      </c>
      <c r="AG59" s="2" t="str">
        <f aca="false">TRIM(IF(T59=2,"R-AR-2 ",IF(T59=1,"R-AR-1 ",""))&amp;IF(U59=2,"R-INV-2 ",IF(U59=1,"R-INV-1 ",""))&amp;IF(V59=1,"R-AP-1 ","")&amp;IF(AND(MAX(T59,U59)&gt;=1,Z59&gt;=ThamSo!$C$9),"R-MAT",""))</f>
        <v/>
      </c>
      <c r="AH59" s="34" t="n">
        <f aca="false">IF(E59&lt;&gt;1,"",X59+Y59)</f>
        <v>0</v>
      </c>
      <c r="AI59" s="2" t="n">
        <f aca="false">IF(OR(E59&lt;&gt;1,DuLieu!A84&lt;&gt;DuLieu!A83,DuLieu!B84&gt;ThamSo!$C$23,DuLieu!D84="",DuLieu!K84=""),"",IF(OR(DuLieu!K84&lt;0,DuLieu!D84&lt;DuLieu!D83*(1-ThamSo!$C$20)),1,0))</f>
        <v>0</v>
      </c>
    </row>
    <row r="60" customFormat="false" ht="15" hidden="false" customHeight="false" outlineLevel="0" collapsed="false">
      <c r="A60" s="36" t="str">
        <f aca="false">DuLieu!A84</f>
        <v>X20</v>
      </c>
      <c r="B60" s="36" t="n">
        <f aca="false">DuLieu!B84</f>
        <v>2024</v>
      </c>
      <c r="C60" s="2" t="str">
        <f aca="false">A60&amp;"-"&amp;B60</f>
        <v>X20-2024</v>
      </c>
      <c r="D60" s="2" t="str">
        <f aca="false">DuLieu!S84&amp;"|"&amp;DuLieu!V84</f>
        <v>FOB|Nhỏ–vừa</v>
      </c>
      <c r="E60" s="36" t="n">
        <f aca="false">DuLieu!U84</f>
        <v>1</v>
      </c>
      <c r="F60" s="34" t="n">
        <f aca="false">IF(E60=1,DuLieu!D84,"")</f>
        <v>1301769510923</v>
      </c>
      <c r="G60" s="34" t="n">
        <f aca="false">IF(E60=1,DuLieu!O84,"")</f>
        <v>1062228742280.67</v>
      </c>
      <c r="H60" s="34" t="n">
        <f aca="false">IF(E60=1,DuLieu!G84,"")</f>
        <v>498601724905</v>
      </c>
      <c r="I60" s="37" t="n">
        <f aca="false">IF(E60=1,DuLieu!L84,"")</f>
        <v>22.11726546</v>
      </c>
      <c r="J60" s="37" t="n">
        <f aca="false">IF(E60=1,DuLieu!M84,"")</f>
        <v>69.9651124</v>
      </c>
      <c r="K60" s="37" t="n">
        <f aca="false">IF(E60=1,DuLieu!N84,"")</f>
        <v>72.42039395</v>
      </c>
      <c r="L60" s="35" t="n">
        <f aca="false">IF(E60=1,DuLieu!P84,"")</f>
        <v>0.177824240576865</v>
      </c>
      <c r="M60" s="37" t="n">
        <f aca="false">IF(E60=1,INDEX(B3_NguongKhoanMuc!$E$4:$E$5,MATCH(D60,B3_NguongKhoanMuc!$A$4:$A$5,0)),"")</f>
        <v>58.2071385175</v>
      </c>
      <c r="N60" s="37" t="n">
        <f aca="false">IF(E60=1,INDEX(B3_NguongKhoanMuc!$F$4:$F$5,MATCH(D60,B3_NguongKhoanMuc!$A$4:$A$5,0)),"")</f>
        <v>66.26326635</v>
      </c>
      <c r="O60" s="37" t="n">
        <f aca="false">IF(E60=1,INDEX(B3_NguongKhoanMuc!$H$4:$H$5,MATCH(D60,B3_NguongKhoanMuc!$A$4:$A$5,0)),"")</f>
        <v>86.118055065</v>
      </c>
      <c r="P60" s="37" t="n">
        <f aca="false">IF(E60=1,INDEX(B3_NguongKhoanMuc!$I$4:$I$5,MATCH(D60,B3_NguongKhoanMuc!$A$4:$A$5,0)),"")</f>
        <v>137.965147652</v>
      </c>
      <c r="Q60" s="37" t="n">
        <f aca="false">IF(E60=1,INDEX(B3_NguongKhoanMuc!$K$4:$K$5,MATCH(D60,B3_NguongKhoanMuc!$A$4:$A$5,0)),"")</f>
        <v>68.3092044425</v>
      </c>
      <c r="R60" s="37" t="n">
        <f aca="false">IF(E60=1,INDEX(B3_NguongKhoanMuc!$L$4:$L$5,MATCH(D60,B3_NguongKhoanMuc!$A$4:$A$5,0)),"")</f>
        <v>14.892652922</v>
      </c>
      <c r="S60" s="35" t="n">
        <f aca="false">IF(E60=1,INDEX(B3_NguongKhoanMuc!$M$4:$M$5,MATCH(D60,B3_NguongKhoanMuc!$A$4:$A$5,0)),"")</f>
        <v>0.0830079952170207</v>
      </c>
      <c r="T60" s="2" t="n">
        <f aca="false">IF(E60&lt;&gt;1,"",IF(I60&gt;N60,2,IF(I60&gt;M60,1,0)))</f>
        <v>0</v>
      </c>
      <c r="U60" s="2" t="n">
        <f aca="false">IF(E60&lt;&gt;1,"",IF(J60&gt;P60,2,IF(J60&gt;O60,1,0)))</f>
        <v>0</v>
      </c>
      <c r="V60" s="2" t="n">
        <f aca="false">IF(E60&lt;&gt;1,"",IF(AND(K60&lt;R60,L60&lt;S60),1,0))</f>
        <v>0</v>
      </c>
      <c r="W60" s="2" t="n">
        <f aca="false">IF(E60&lt;&gt;1,"",IF(K60&gt;Q60,1,0))</f>
        <v>1</v>
      </c>
      <c r="X60" s="34" t="n">
        <f aca="false">IF(E60&lt;&gt;1,"",IF(T60&gt;=1,(I60-M60)*F60/365,0))</f>
        <v>0</v>
      </c>
      <c r="Y60" s="34" t="n">
        <f aca="false">IF(E60&lt;&gt;1,"",IF(U60&gt;=1,(J60-O60)*G60/365,0))</f>
        <v>0</v>
      </c>
      <c r="Z60" s="35" t="n">
        <f aca="false">IF(E60&lt;&gt;1,"",IF(H60&gt;0,MAX(X60,Y60)/H60,0))</f>
        <v>0</v>
      </c>
      <c r="AA60" s="2" t="str">
        <f aca="false">IF(E60&lt;&gt;1,"",CHOOSE(T60+1,"An toàn","Có nguy cơ","Trầm trọng"))</f>
        <v>An toàn</v>
      </c>
      <c r="AB60" s="2" t="str">
        <f aca="false">IF(E60&lt;&gt;1,"",CHOOSE(U60+1,"An toàn","Có nguy cơ","Trầm trọng"))</f>
        <v>An toàn</v>
      </c>
      <c r="AC60" s="2" t="str">
        <f aca="false">IF(E60&lt;&gt;1,"",IF(V60=1,"Có nguy cơ: NCC cho nợ ít + tiền mỏng",IF(W60=1,"Lưu ý: DPO cao – kiểm tra quá hạn NCC","An toàn")))</f>
        <v>Lưu ý: DPO cao – kiểm tra quá hạn NCC</v>
      </c>
      <c r="AD60" s="10" t="str">
        <f aca="false">IF(OR(AND(ThamSo!$C$10=1,MAX(T60,U60)=2),AND(MAX(T60,U60)&gt;=1,Z60&gt;=ThamSo!$C$9)),"W2",IF(OR(MAX(T60,U60)&gt;=1,V60=1),"W1","W0"))</f>
        <v>W0</v>
      </c>
      <c r="AE60" s="10" t="str">
        <f aca="false">CHOOSE(MATCH(AD60,{"W0","W1","W2"},0),"An toàn","Có nguy cơ","Thiếu trầm trọng")</f>
        <v>An toàn</v>
      </c>
      <c r="AF60" s="2" t="str">
        <f aca="false">IF(OR(E60&lt;&gt;1,AD60="W0"),"",IF(AND(T60=0,U60=0),"Phải trả",IF(T60&gt;U60,"Phải thu",IF(U60&gt;T60,"Tồn kho",IF(X60&gt;=Y60,"Phải thu","Tồn kho")))))</f>
        <v/>
      </c>
      <c r="AG60" s="2" t="str">
        <f aca="false">TRIM(IF(T60=2,"R-AR-2 ",IF(T60=1,"R-AR-1 ",""))&amp;IF(U60=2,"R-INV-2 ",IF(U60=1,"R-INV-1 ",""))&amp;IF(V60=1,"R-AP-1 ","")&amp;IF(AND(MAX(T60,U60)&gt;=1,Z60&gt;=ThamSo!$C$9),"R-MAT",""))</f>
        <v/>
      </c>
      <c r="AH60" s="34" t="n">
        <f aca="false">IF(E60&lt;&gt;1,"",X60+Y60)</f>
        <v>0</v>
      </c>
      <c r="AI60" s="2" t="n">
        <f aca="false">IF(OR(E60&lt;&gt;1,DuLieu!A85&lt;&gt;DuLieu!A84,DuLieu!B85&gt;ThamSo!$C$23,DuLieu!D85="",DuLieu!K85=""),"",IF(OR(DuLieu!K85&lt;0,DuLieu!D85&lt;DuLieu!D84*(1-ThamSo!$C$20)),1,0))</f>
        <v>0</v>
      </c>
    </row>
    <row r="61" customFormat="false" ht="15" hidden="false" customHeight="false" outlineLevel="0" collapsed="false">
      <c r="A61" s="36" t="str">
        <f aca="false">DuLieu!A85</f>
        <v>X20</v>
      </c>
      <c r="B61" s="36" t="n">
        <f aca="false">DuLieu!B85</f>
        <v>2025</v>
      </c>
      <c r="C61" s="2" t="str">
        <f aca="false">A61&amp;"-"&amp;B61</f>
        <v>X20-2025</v>
      </c>
      <c r="D61" s="2" t="str">
        <f aca="false">DuLieu!S85&amp;"|"&amp;DuLieu!V85</f>
        <v>FOB|Nhỏ–vừa</v>
      </c>
      <c r="E61" s="36" t="n">
        <f aca="false">DuLieu!U85</f>
        <v>1</v>
      </c>
      <c r="F61" s="34" t="n">
        <f aca="false">IF(E61=1,DuLieu!D85,"")</f>
        <v>1115545482734</v>
      </c>
      <c r="G61" s="34" t="n">
        <f aca="false">IF(E61=1,DuLieu!O85,"")</f>
        <v>916016429626.677</v>
      </c>
      <c r="H61" s="34" t="n">
        <f aca="false">IF(E61=1,DuLieu!G85,"")</f>
        <v>406414181317</v>
      </c>
      <c r="I61" s="37" t="n">
        <f aca="false">IF(E61=1,DuLieu!L85,"")</f>
        <v>24.97202885</v>
      </c>
      <c r="J61" s="37" t="n">
        <f aca="false">IF(E61=1,DuLieu!M85,"")</f>
        <v>64.76614903</v>
      </c>
      <c r="K61" s="37" t="n">
        <f aca="false">IF(E61=1,DuLieu!N85,"")</f>
        <v>67.80081102</v>
      </c>
      <c r="L61" s="35" t="n">
        <f aca="false">IF(E61=1,DuLieu!P85,"")</f>
        <v>0.142215038534497</v>
      </c>
      <c r="M61" s="37" t="n">
        <f aca="false">IF(E61=1,INDEX(B3_NguongKhoanMuc!$E$4:$E$5,MATCH(D61,B3_NguongKhoanMuc!$A$4:$A$5,0)),"")</f>
        <v>58.2071385175</v>
      </c>
      <c r="N61" s="37" t="n">
        <f aca="false">IF(E61=1,INDEX(B3_NguongKhoanMuc!$F$4:$F$5,MATCH(D61,B3_NguongKhoanMuc!$A$4:$A$5,0)),"")</f>
        <v>66.26326635</v>
      </c>
      <c r="O61" s="37" t="n">
        <f aca="false">IF(E61=1,INDEX(B3_NguongKhoanMuc!$H$4:$H$5,MATCH(D61,B3_NguongKhoanMuc!$A$4:$A$5,0)),"")</f>
        <v>86.118055065</v>
      </c>
      <c r="P61" s="37" t="n">
        <f aca="false">IF(E61=1,INDEX(B3_NguongKhoanMuc!$I$4:$I$5,MATCH(D61,B3_NguongKhoanMuc!$A$4:$A$5,0)),"")</f>
        <v>137.965147652</v>
      </c>
      <c r="Q61" s="37" t="n">
        <f aca="false">IF(E61=1,INDEX(B3_NguongKhoanMuc!$K$4:$K$5,MATCH(D61,B3_NguongKhoanMuc!$A$4:$A$5,0)),"")</f>
        <v>68.3092044425</v>
      </c>
      <c r="R61" s="37" t="n">
        <f aca="false">IF(E61=1,INDEX(B3_NguongKhoanMuc!$L$4:$L$5,MATCH(D61,B3_NguongKhoanMuc!$A$4:$A$5,0)),"")</f>
        <v>14.892652922</v>
      </c>
      <c r="S61" s="35" t="n">
        <f aca="false">IF(E61=1,INDEX(B3_NguongKhoanMuc!$M$4:$M$5,MATCH(D61,B3_NguongKhoanMuc!$A$4:$A$5,0)),"")</f>
        <v>0.0830079952170207</v>
      </c>
      <c r="T61" s="2" t="n">
        <f aca="false">IF(E61&lt;&gt;1,"",IF(I61&gt;N61,2,IF(I61&gt;M61,1,0)))</f>
        <v>0</v>
      </c>
      <c r="U61" s="2" t="n">
        <f aca="false">IF(E61&lt;&gt;1,"",IF(J61&gt;P61,2,IF(J61&gt;O61,1,0)))</f>
        <v>0</v>
      </c>
      <c r="V61" s="2" t="n">
        <f aca="false">IF(E61&lt;&gt;1,"",IF(AND(K61&lt;R61,L61&lt;S61),1,0))</f>
        <v>0</v>
      </c>
      <c r="W61" s="2" t="n">
        <f aca="false">IF(E61&lt;&gt;1,"",IF(K61&gt;Q61,1,0))</f>
        <v>0</v>
      </c>
      <c r="X61" s="34" t="n">
        <f aca="false">IF(E61&lt;&gt;1,"",IF(T61&gt;=1,(I61-M61)*F61/365,0))</f>
        <v>0</v>
      </c>
      <c r="Y61" s="34" t="n">
        <f aca="false">IF(E61&lt;&gt;1,"",IF(U61&gt;=1,(J61-O61)*G61/365,0))</f>
        <v>0</v>
      </c>
      <c r="Z61" s="35" t="n">
        <f aca="false">IF(E61&lt;&gt;1,"",IF(H61&gt;0,MAX(X61,Y61)/H61,0))</f>
        <v>0</v>
      </c>
      <c r="AA61" s="2" t="str">
        <f aca="false">IF(E61&lt;&gt;1,"",CHOOSE(T61+1,"An toàn","Có nguy cơ","Trầm trọng"))</f>
        <v>An toàn</v>
      </c>
      <c r="AB61" s="2" t="str">
        <f aca="false">IF(E61&lt;&gt;1,"",CHOOSE(U61+1,"An toàn","Có nguy cơ","Trầm trọng"))</f>
        <v>An toàn</v>
      </c>
      <c r="AC61" s="2" t="str">
        <f aca="false">IF(E61&lt;&gt;1,"",IF(V61=1,"Có nguy cơ: NCC cho nợ ít + tiền mỏng",IF(W61=1,"Lưu ý: DPO cao – kiểm tra quá hạn NCC","An toàn")))</f>
        <v>An toàn</v>
      </c>
      <c r="AD61" s="10" t="str">
        <f aca="false">IF(OR(AND(ThamSo!$C$10=1,MAX(T61,U61)=2),AND(MAX(T61,U61)&gt;=1,Z61&gt;=ThamSo!$C$9)),"W2",IF(OR(MAX(T61,U61)&gt;=1,V61=1),"W1","W0"))</f>
        <v>W0</v>
      </c>
      <c r="AE61" s="10" t="str">
        <f aca="false">CHOOSE(MATCH(AD61,{"W0","W1","W2"},0),"An toàn","Có nguy cơ","Thiếu trầm trọng")</f>
        <v>An toàn</v>
      </c>
      <c r="AF61" s="2" t="str">
        <f aca="false">IF(OR(E61&lt;&gt;1,AD61="W0"),"",IF(AND(T61=0,U61=0),"Phải trả",IF(T61&gt;U61,"Phải thu",IF(U61&gt;T61,"Tồn kho",IF(X61&gt;=Y61,"Phải thu","Tồn kho")))))</f>
        <v/>
      </c>
      <c r="AG61" s="2" t="str">
        <f aca="false">TRIM(IF(T61=2,"R-AR-2 ",IF(T61=1,"R-AR-1 ",""))&amp;IF(U61=2,"R-INV-2 ",IF(U61=1,"R-INV-1 ",""))&amp;IF(V61=1,"R-AP-1 ","")&amp;IF(AND(MAX(T61,U61)&gt;=1,Z61&gt;=ThamSo!$C$9),"R-MAT",""))</f>
        <v/>
      </c>
      <c r="AH61" s="34" t="n">
        <f aca="false">IF(E61&lt;&gt;1,"",X61+Y61)</f>
        <v>0</v>
      </c>
      <c r="AI61" s="2" t="str">
        <f aca="false">IF(OR(E61&lt;&gt;1,DuLieu!A86&lt;&gt;DuLieu!A85,DuLieu!B86&gt;ThamSo!$C$23,DuLieu!D86="",DuLieu!K86=""),"",IF(OR(DuLieu!K86&lt;0,DuLieu!D86&lt;DuLieu!D85*(1-ThamSo!$C$20)),1,0))</f>
        <v/>
      </c>
    </row>
    <row r="62" customFormat="false" ht="15" hidden="false" customHeight="false" outlineLevel="0" collapsed="false">
      <c r="A62" s="36" t="str">
        <f aca="false">DuLieu!A86</f>
        <v>X26</v>
      </c>
      <c r="B62" s="36" t="n">
        <f aca="false">DuLieu!B86</f>
        <v>2023</v>
      </c>
      <c r="C62" s="2" t="str">
        <f aca="false">A62&amp;"-"&amp;B62</f>
        <v>X26-2023</v>
      </c>
      <c r="D62" s="2" t="str">
        <f aca="false">DuLieu!S86&amp;"|"&amp;DuLieu!V86</f>
        <v>FOB|Nhỏ–vừa</v>
      </c>
      <c r="E62" s="36" t="n">
        <f aca="false">DuLieu!U86</f>
        <v>1</v>
      </c>
      <c r="F62" s="34" t="n">
        <f aca="false">IF(E62=1,DuLieu!D86,"")</f>
        <v>779226496300</v>
      </c>
      <c r="G62" s="34" t="n">
        <f aca="false">IF(E62=1,DuLieu!O86,"")</f>
        <v>690499995975.04</v>
      </c>
      <c r="H62" s="34" t="n">
        <f aca="false">IF(E62=1,DuLieu!G86,"")</f>
        <v>546177392801</v>
      </c>
      <c r="I62" s="37" t="n">
        <f aca="false">IF(E62=1,DuLieu!L86,"")</f>
        <v>77.7995234</v>
      </c>
      <c r="J62" s="37" t="n">
        <f aca="false">IF(E62=1,DuLieu!M86,"")</f>
        <v>95.20455914</v>
      </c>
      <c r="K62" s="37" t="n">
        <f aca="false">IF(E62=1,DuLieu!N86,"")</f>
        <v>92.20761784</v>
      </c>
      <c r="L62" s="35" t="n">
        <f aca="false">IF(E62=1,DuLieu!P86,"")</f>
        <v>0.255106969425316</v>
      </c>
      <c r="M62" s="37" t="n">
        <f aca="false">IF(E62=1,INDEX(B3_NguongKhoanMuc!$E$4:$E$5,MATCH(D62,B3_NguongKhoanMuc!$A$4:$A$5,0)),"")</f>
        <v>58.2071385175</v>
      </c>
      <c r="N62" s="37" t="n">
        <f aca="false">IF(E62=1,INDEX(B3_NguongKhoanMuc!$F$4:$F$5,MATCH(D62,B3_NguongKhoanMuc!$A$4:$A$5,0)),"")</f>
        <v>66.26326635</v>
      </c>
      <c r="O62" s="37" t="n">
        <f aca="false">IF(E62=1,INDEX(B3_NguongKhoanMuc!$H$4:$H$5,MATCH(D62,B3_NguongKhoanMuc!$A$4:$A$5,0)),"")</f>
        <v>86.118055065</v>
      </c>
      <c r="P62" s="37" t="n">
        <f aca="false">IF(E62=1,INDEX(B3_NguongKhoanMuc!$I$4:$I$5,MATCH(D62,B3_NguongKhoanMuc!$A$4:$A$5,0)),"")</f>
        <v>137.965147652</v>
      </c>
      <c r="Q62" s="37" t="n">
        <f aca="false">IF(E62=1,INDEX(B3_NguongKhoanMuc!$K$4:$K$5,MATCH(D62,B3_NguongKhoanMuc!$A$4:$A$5,0)),"")</f>
        <v>68.3092044425</v>
      </c>
      <c r="R62" s="37" t="n">
        <f aca="false">IF(E62=1,INDEX(B3_NguongKhoanMuc!$L$4:$L$5,MATCH(D62,B3_NguongKhoanMuc!$A$4:$A$5,0)),"")</f>
        <v>14.892652922</v>
      </c>
      <c r="S62" s="35" t="n">
        <f aca="false">IF(E62=1,INDEX(B3_NguongKhoanMuc!$M$4:$M$5,MATCH(D62,B3_NguongKhoanMuc!$A$4:$A$5,0)),"")</f>
        <v>0.0830079952170207</v>
      </c>
      <c r="T62" s="2" t="n">
        <f aca="false">IF(E62&lt;&gt;1,"",IF(I62&gt;N62,2,IF(I62&gt;M62,1,0)))</f>
        <v>2</v>
      </c>
      <c r="U62" s="2" t="n">
        <f aca="false">IF(E62&lt;&gt;1,"",IF(J62&gt;P62,2,IF(J62&gt;O62,1,0)))</f>
        <v>1</v>
      </c>
      <c r="V62" s="2" t="n">
        <f aca="false">IF(E62&lt;&gt;1,"",IF(AND(K62&lt;R62,L62&lt;S62),1,0))</f>
        <v>0</v>
      </c>
      <c r="W62" s="2" t="n">
        <f aca="false">IF(E62&lt;&gt;1,"",IF(K62&gt;Q62,1,0))</f>
        <v>1</v>
      </c>
      <c r="X62" s="34" t="n">
        <f aca="false">IF(E62&lt;&gt;1,"",IF(T62&gt;=1,(I62-M62)*F62/365,0))</f>
        <v>41827138153.8399</v>
      </c>
      <c r="Y62" s="34" t="n">
        <f aca="false">IF(E62&lt;&gt;1,"",IF(U62&gt;=1,(J62-O62)*G62/365,0))</f>
        <v>17189674047.1635</v>
      </c>
      <c r="Z62" s="35" t="n">
        <f aca="false">IF(E62&lt;&gt;1,"",IF(H62&gt;0,MAX(X62,Y62)/H62,0))</f>
        <v>0.0765815991382119</v>
      </c>
      <c r="AA62" s="2" t="str">
        <f aca="false">IF(E62&lt;&gt;1,"",CHOOSE(T62+1,"An toàn","Có nguy cơ","Trầm trọng"))</f>
        <v>Trầm trọng</v>
      </c>
      <c r="AB62" s="2" t="str">
        <f aca="false">IF(E62&lt;&gt;1,"",CHOOSE(U62+1,"An toàn","Có nguy cơ","Trầm trọng"))</f>
        <v>Có nguy cơ</v>
      </c>
      <c r="AC62" s="2" t="str">
        <f aca="false">IF(E62&lt;&gt;1,"",IF(V62=1,"Có nguy cơ: NCC cho nợ ít + tiền mỏng",IF(W62=1,"Lưu ý: DPO cao – kiểm tra quá hạn NCC","An toàn")))</f>
        <v>Lưu ý: DPO cao – kiểm tra quá hạn NCC</v>
      </c>
      <c r="AD62" s="10" t="str">
        <f aca="false">IF(OR(AND(ThamSo!$C$10=1,MAX(T62,U62)=2),AND(MAX(T62,U62)&gt;=1,Z62&gt;=ThamSo!$C$9)),"W2",IF(OR(MAX(T62,U62)&gt;=1,V62=1),"W1","W0"))</f>
        <v>W2</v>
      </c>
      <c r="AE62" s="10" t="str">
        <f aca="false">CHOOSE(MATCH(AD62,{"W0","W1","W2"},0),"An toàn","Có nguy cơ","Thiếu trầm trọng")</f>
        <v>Thiếu trầm trọng</v>
      </c>
      <c r="AF62" s="2" t="str">
        <f aca="false">IF(OR(E62&lt;&gt;1,AD62="W0"),"",IF(AND(T62=0,U62=0),"Phải trả",IF(T62&gt;U62,"Phải thu",IF(U62&gt;T62,"Tồn kho",IF(X62&gt;=Y62,"Phải thu","Tồn kho")))))</f>
        <v>Phải thu</v>
      </c>
      <c r="AG62" s="2" t="str">
        <f aca="false">TRIM(IF(T62=2,"R-AR-2 ",IF(T62=1,"R-AR-1 ",""))&amp;IF(U62=2,"R-INV-2 ",IF(U62=1,"R-INV-1 ",""))&amp;IF(V62=1,"R-AP-1 ","")&amp;IF(AND(MAX(T62,U62)&gt;=1,Z62&gt;=ThamSo!$C$9),"R-MAT",""))</f>
        <v>R-AR-2 R-INV-1 R-MAT</v>
      </c>
      <c r="AH62" s="34" t="n">
        <f aca="false">IF(E62&lt;&gt;1,"",X62+Y62)</f>
        <v>59016812201.0034</v>
      </c>
      <c r="AI62" s="2" t="n">
        <f aca="false">IF(OR(E62&lt;&gt;1,DuLieu!A87&lt;&gt;DuLieu!A86,DuLieu!B87&gt;ThamSo!$C$23,DuLieu!D87="",DuLieu!K87=""),"",IF(OR(DuLieu!K87&lt;0,DuLieu!D87&lt;DuLieu!D86*(1-ThamSo!$C$20)),1,0))</f>
        <v>0</v>
      </c>
    </row>
    <row r="63" customFormat="false" ht="15" hidden="false" customHeight="false" outlineLevel="0" collapsed="false">
      <c r="A63" s="36" t="str">
        <f aca="false">DuLieu!A87</f>
        <v>X26</v>
      </c>
      <c r="B63" s="36" t="n">
        <f aca="false">DuLieu!B87</f>
        <v>2024</v>
      </c>
      <c r="C63" s="2" t="str">
        <f aca="false">A63&amp;"-"&amp;B63</f>
        <v>X26-2024</v>
      </c>
      <c r="D63" s="2" t="str">
        <f aca="false">DuLieu!S87&amp;"|"&amp;DuLieu!V87</f>
        <v>FOB|Nhỏ–vừa</v>
      </c>
      <c r="E63" s="36" t="n">
        <f aca="false">DuLieu!U87</f>
        <v>1</v>
      </c>
      <c r="F63" s="34" t="n">
        <f aca="false">IF(E63=1,DuLieu!D87,"")</f>
        <v>1138125575561</v>
      </c>
      <c r="G63" s="34" t="n">
        <f aca="false">IF(E63=1,DuLieu!O87,"")</f>
        <v>1019342766710.15</v>
      </c>
      <c r="H63" s="34" t="n">
        <f aca="false">IF(E63=1,DuLieu!G87,"")</f>
        <v>579896879628</v>
      </c>
      <c r="I63" s="37" t="n">
        <f aca="false">IF(E63=1,DuLieu!L87,"")</f>
        <v>42.92825138</v>
      </c>
      <c r="J63" s="37" t="n">
        <f aca="false">IF(E63=1,DuLieu!M87,"")</f>
        <v>73.05360951</v>
      </c>
      <c r="K63" s="37" t="n">
        <f aca="false">IF(E63=1,DuLieu!N87,"")</f>
        <v>74.86253987</v>
      </c>
      <c r="L63" s="35" t="n">
        <f aca="false">IF(E63=1,DuLieu!P87,"")</f>
        <v>0.154131295502724</v>
      </c>
      <c r="M63" s="37" t="n">
        <f aca="false">IF(E63=1,INDEX(B3_NguongKhoanMuc!$E$4:$E$5,MATCH(D63,B3_NguongKhoanMuc!$A$4:$A$5,0)),"")</f>
        <v>58.2071385175</v>
      </c>
      <c r="N63" s="37" t="n">
        <f aca="false">IF(E63=1,INDEX(B3_NguongKhoanMuc!$F$4:$F$5,MATCH(D63,B3_NguongKhoanMuc!$A$4:$A$5,0)),"")</f>
        <v>66.26326635</v>
      </c>
      <c r="O63" s="37" t="n">
        <f aca="false">IF(E63=1,INDEX(B3_NguongKhoanMuc!$H$4:$H$5,MATCH(D63,B3_NguongKhoanMuc!$A$4:$A$5,0)),"")</f>
        <v>86.118055065</v>
      </c>
      <c r="P63" s="37" t="n">
        <f aca="false">IF(E63=1,INDEX(B3_NguongKhoanMuc!$I$4:$I$5,MATCH(D63,B3_NguongKhoanMuc!$A$4:$A$5,0)),"")</f>
        <v>137.965147652</v>
      </c>
      <c r="Q63" s="37" t="n">
        <f aca="false">IF(E63=1,INDEX(B3_NguongKhoanMuc!$K$4:$K$5,MATCH(D63,B3_NguongKhoanMuc!$A$4:$A$5,0)),"")</f>
        <v>68.3092044425</v>
      </c>
      <c r="R63" s="37" t="n">
        <f aca="false">IF(E63=1,INDEX(B3_NguongKhoanMuc!$L$4:$L$5,MATCH(D63,B3_NguongKhoanMuc!$A$4:$A$5,0)),"")</f>
        <v>14.892652922</v>
      </c>
      <c r="S63" s="35" t="n">
        <f aca="false">IF(E63=1,INDEX(B3_NguongKhoanMuc!$M$4:$M$5,MATCH(D63,B3_NguongKhoanMuc!$A$4:$A$5,0)),"")</f>
        <v>0.0830079952170207</v>
      </c>
      <c r="T63" s="2" t="n">
        <f aca="false">IF(E63&lt;&gt;1,"",IF(I63&gt;N63,2,IF(I63&gt;M63,1,0)))</f>
        <v>0</v>
      </c>
      <c r="U63" s="2" t="n">
        <f aca="false">IF(E63&lt;&gt;1,"",IF(J63&gt;P63,2,IF(J63&gt;O63,1,0)))</f>
        <v>0</v>
      </c>
      <c r="V63" s="2" t="n">
        <f aca="false">IF(E63&lt;&gt;1,"",IF(AND(K63&lt;R63,L63&lt;S63),1,0))</f>
        <v>0</v>
      </c>
      <c r="W63" s="2" t="n">
        <f aca="false">IF(E63&lt;&gt;1,"",IF(K63&gt;Q63,1,0))</f>
        <v>1</v>
      </c>
      <c r="X63" s="34" t="n">
        <f aca="false">IF(E63&lt;&gt;1,"",IF(T63&gt;=1,(I63-M63)*F63/365,0))</f>
        <v>0</v>
      </c>
      <c r="Y63" s="34" t="n">
        <f aca="false">IF(E63&lt;&gt;1,"",IF(U63&gt;=1,(J63-O63)*G63/365,0))</f>
        <v>0</v>
      </c>
      <c r="Z63" s="35" t="n">
        <f aca="false">IF(E63&lt;&gt;1,"",IF(H63&gt;0,MAX(X63,Y63)/H63,0))</f>
        <v>0</v>
      </c>
      <c r="AA63" s="2" t="str">
        <f aca="false">IF(E63&lt;&gt;1,"",CHOOSE(T63+1,"An toàn","Có nguy cơ","Trầm trọng"))</f>
        <v>An toàn</v>
      </c>
      <c r="AB63" s="2" t="str">
        <f aca="false">IF(E63&lt;&gt;1,"",CHOOSE(U63+1,"An toàn","Có nguy cơ","Trầm trọng"))</f>
        <v>An toàn</v>
      </c>
      <c r="AC63" s="2" t="str">
        <f aca="false">IF(E63&lt;&gt;1,"",IF(V63=1,"Có nguy cơ: NCC cho nợ ít + tiền mỏng",IF(W63=1,"Lưu ý: DPO cao – kiểm tra quá hạn NCC","An toàn")))</f>
        <v>Lưu ý: DPO cao – kiểm tra quá hạn NCC</v>
      </c>
      <c r="AD63" s="10" t="str">
        <f aca="false">IF(OR(AND(ThamSo!$C$10=1,MAX(T63,U63)=2),AND(MAX(T63,U63)&gt;=1,Z63&gt;=ThamSo!$C$9)),"W2",IF(OR(MAX(T63,U63)&gt;=1,V63=1),"W1","W0"))</f>
        <v>W0</v>
      </c>
      <c r="AE63" s="10" t="str">
        <f aca="false">CHOOSE(MATCH(AD63,{"W0","W1","W2"},0),"An toàn","Có nguy cơ","Thiếu trầm trọng")</f>
        <v>An toàn</v>
      </c>
      <c r="AF63" s="2" t="str">
        <f aca="false">IF(OR(E63&lt;&gt;1,AD63="W0"),"",IF(AND(T63=0,U63=0),"Phải trả",IF(T63&gt;U63,"Phải thu",IF(U63&gt;T63,"Tồn kho",IF(X63&gt;=Y63,"Phải thu","Tồn kho")))))</f>
        <v/>
      </c>
      <c r="AG63" s="2" t="str">
        <f aca="false">TRIM(IF(T63=2,"R-AR-2 ",IF(T63=1,"R-AR-1 ",""))&amp;IF(U63=2,"R-INV-2 ",IF(U63=1,"R-INV-1 ",""))&amp;IF(V63=1,"R-AP-1 ","")&amp;IF(AND(MAX(T63,U63)&gt;=1,Z63&gt;=ThamSo!$C$9),"R-MAT",""))</f>
        <v/>
      </c>
      <c r="AH63" s="34" t="n">
        <f aca="false">IF(E63&lt;&gt;1,"",X63+Y63)</f>
        <v>0</v>
      </c>
      <c r="AI63" s="2" t="n">
        <f aca="false">IF(OR(E63&lt;&gt;1,DuLieu!A88&lt;&gt;DuLieu!A87,DuLieu!B88&gt;ThamSo!$C$23,DuLieu!D88="",DuLieu!K88=""),"",IF(OR(DuLieu!K88&lt;0,DuLieu!D88&lt;DuLieu!D87*(1-ThamSo!$C$20)),1,0))</f>
        <v>0</v>
      </c>
    </row>
    <row r="64" customFormat="false" ht="15" hidden="false" customHeight="false" outlineLevel="0" collapsed="false">
      <c r="A64" s="36" t="str">
        <f aca="false">DuLieu!A88</f>
        <v>X26</v>
      </c>
      <c r="B64" s="36" t="n">
        <f aca="false">DuLieu!B88</f>
        <v>2025</v>
      </c>
      <c r="C64" s="2" t="str">
        <f aca="false">A64&amp;"-"&amp;B64</f>
        <v>X26-2025</v>
      </c>
      <c r="D64" s="2" t="str">
        <f aca="false">DuLieu!S88&amp;"|"&amp;DuLieu!V88</f>
        <v>FOB|Nhỏ–vừa</v>
      </c>
      <c r="E64" s="36" t="n">
        <f aca="false">DuLieu!U88</f>
        <v>1</v>
      </c>
      <c r="F64" s="34" t="n">
        <f aca="false">IF(E64=1,DuLieu!D88,"")</f>
        <v>1073011778159</v>
      </c>
      <c r="G64" s="34" t="n">
        <f aca="false">IF(E64=1,DuLieu!O88,"")</f>
        <v>960430663476.666</v>
      </c>
      <c r="H64" s="34" t="n">
        <f aca="false">IF(E64=1,DuLieu!G88,"")</f>
        <v>477731916291</v>
      </c>
      <c r="I64" s="37" t="n">
        <f aca="false">IF(E64=1,DuLieu!L88,"")</f>
        <v>48.09836885</v>
      </c>
      <c r="J64" s="37" t="n">
        <f aca="false">IF(E64=1,DuLieu!M88,"")</f>
        <v>73.87966986</v>
      </c>
      <c r="K64" s="37" t="n">
        <f aca="false">IF(E64=1,DuLieu!N88,"")</f>
        <v>67.2864971</v>
      </c>
      <c r="L64" s="35" t="n">
        <f aca="false">IF(E64=1,DuLieu!P88,"")</f>
        <v>0.130259118699337</v>
      </c>
      <c r="M64" s="37" t="n">
        <f aca="false">IF(E64=1,INDEX(B3_NguongKhoanMuc!$E$4:$E$5,MATCH(D64,B3_NguongKhoanMuc!$A$4:$A$5,0)),"")</f>
        <v>58.2071385175</v>
      </c>
      <c r="N64" s="37" t="n">
        <f aca="false">IF(E64=1,INDEX(B3_NguongKhoanMuc!$F$4:$F$5,MATCH(D64,B3_NguongKhoanMuc!$A$4:$A$5,0)),"")</f>
        <v>66.26326635</v>
      </c>
      <c r="O64" s="37" t="n">
        <f aca="false">IF(E64=1,INDEX(B3_NguongKhoanMuc!$H$4:$H$5,MATCH(D64,B3_NguongKhoanMuc!$A$4:$A$5,0)),"")</f>
        <v>86.118055065</v>
      </c>
      <c r="P64" s="37" t="n">
        <f aca="false">IF(E64=1,INDEX(B3_NguongKhoanMuc!$I$4:$I$5,MATCH(D64,B3_NguongKhoanMuc!$A$4:$A$5,0)),"")</f>
        <v>137.965147652</v>
      </c>
      <c r="Q64" s="37" t="n">
        <f aca="false">IF(E64=1,INDEX(B3_NguongKhoanMuc!$K$4:$K$5,MATCH(D64,B3_NguongKhoanMuc!$A$4:$A$5,0)),"")</f>
        <v>68.3092044425</v>
      </c>
      <c r="R64" s="37" t="n">
        <f aca="false">IF(E64=1,INDEX(B3_NguongKhoanMuc!$L$4:$L$5,MATCH(D64,B3_NguongKhoanMuc!$A$4:$A$5,0)),"")</f>
        <v>14.892652922</v>
      </c>
      <c r="S64" s="35" t="n">
        <f aca="false">IF(E64=1,INDEX(B3_NguongKhoanMuc!$M$4:$M$5,MATCH(D64,B3_NguongKhoanMuc!$A$4:$A$5,0)),"")</f>
        <v>0.0830079952170207</v>
      </c>
      <c r="T64" s="2" t="n">
        <f aca="false">IF(E64&lt;&gt;1,"",IF(I64&gt;N64,2,IF(I64&gt;M64,1,0)))</f>
        <v>0</v>
      </c>
      <c r="U64" s="2" t="n">
        <f aca="false">IF(E64&lt;&gt;1,"",IF(J64&gt;P64,2,IF(J64&gt;O64,1,0)))</f>
        <v>0</v>
      </c>
      <c r="V64" s="2" t="n">
        <f aca="false">IF(E64&lt;&gt;1,"",IF(AND(K64&lt;R64,L64&lt;S64),1,0))</f>
        <v>0</v>
      </c>
      <c r="W64" s="2" t="n">
        <f aca="false">IF(E64&lt;&gt;1,"",IF(K64&gt;Q64,1,0))</f>
        <v>0</v>
      </c>
      <c r="X64" s="34" t="n">
        <f aca="false">IF(E64&lt;&gt;1,"",IF(T64&gt;=1,(I64-M64)*F64/365,0))</f>
        <v>0</v>
      </c>
      <c r="Y64" s="34" t="n">
        <f aca="false">IF(E64&lt;&gt;1,"",IF(U64&gt;=1,(J64-O64)*G64/365,0))</f>
        <v>0</v>
      </c>
      <c r="Z64" s="35" t="n">
        <f aca="false">IF(E64&lt;&gt;1,"",IF(H64&gt;0,MAX(X64,Y64)/H64,0))</f>
        <v>0</v>
      </c>
      <c r="AA64" s="2" t="str">
        <f aca="false">IF(E64&lt;&gt;1,"",CHOOSE(T64+1,"An toàn","Có nguy cơ","Trầm trọng"))</f>
        <v>An toàn</v>
      </c>
      <c r="AB64" s="2" t="str">
        <f aca="false">IF(E64&lt;&gt;1,"",CHOOSE(U64+1,"An toàn","Có nguy cơ","Trầm trọng"))</f>
        <v>An toàn</v>
      </c>
      <c r="AC64" s="2" t="str">
        <f aca="false">IF(E64&lt;&gt;1,"",IF(V64=1,"Có nguy cơ: NCC cho nợ ít + tiền mỏng",IF(W64=1,"Lưu ý: DPO cao – kiểm tra quá hạn NCC","An toàn")))</f>
        <v>An toàn</v>
      </c>
      <c r="AD64" s="10" t="str">
        <f aca="false">IF(OR(AND(ThamSo!$C$10=1,MAX(T64,U64)=2),AND(MAX(T64,U64)&gt;=1,Z64&gt;=ThamSo!$C$9)),"W2",IF(OR(MAX(T64,U64)&gt;=1,V64=1),"W1","W0"))</f>
        <v>W0</v>
      </c>
      <c r="AE64" s="10" t="str">
        <f aca="false">CHOOSE(MATCH(AD64,{"W0","W1","W2"},0),"An toàn","Có nguy cơ","Thiếu trầm trọng")</f>
        <v>An toàn</v>
      </c>
      <c r="AF64" s="2" t="str">
        <f aca="false">IF(OR(E64&lt;&gt;1,AD64="W0"),"",IF(AND(T64=0,U64=0),"Phải trả",IF(T64&gt;U64,"Phải thu",IF(U64&gt;T64,"Tồn kho",IF(X64&gt;=Y64,"Phải thu","Tồn kho")))))</f>
        <v/>
      </c>
      <c r="AG64" s="2" t="str">
        <f aca="false">TRIM(IF(T64=2,"R-AR-2 ",IF(T64=1,"R-AR-1 ",""))&amp;IF(U64=2,"R-INV-2 ",IF(U64=1,"R-INV-1 ",""))&amp;IF(V64=1,"R-AP-1 ","")&amp;IF(AND(MAX(T64,U64)&gt;=1,Z64&gt;=ThamSo!$C$9),"R-MAT",""))</f>
        <v/>
      </c>
      <c r="AH64" s="34" t="n">
        <f aca="false">IF(E64&lt;&gt;1,"",X64+Y64)</f>
        <v>0</v>
      </c>
      <c r="AI64" s="2" t="str">
        <f aca="false">IF(OR(E64&lt;&gt;1,DuLieu!A89&lt;&gt;DuLieu!A88,DuLieu!B89&gt;ThamSo!$C$23,DuLieu!D89="",DuLieu!K89=""),"",IF(OR(DuLieu!K89&lt;0,DuLieu!D89&lt;DuLieu!D88*(1-ThamSo!$C$20)),1,0))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2"/>
    <col collapsed="false" customWidth="true" hidden="false" outlineLevel="0" max="6" min="5" style="0" width="14"/>
    <col collapsed="false" customWidth="true" hidden="false" outlineLevel="0" max="7" min="7" style="0" width="12"/>
  </cols>
  <sheetData>
    <row r="1" customFormat="false" ht="17.35" hidden="false" customHeight="false" outlineLevel="0" collapsed="false">
      <c r="A1" s="15" t="s">
        <v>605</v>
      </c>
    </row>
    <row r="2" customFormat="false" ht="15" hidden="false" customHeight="false" outlineLevel="0" collapsed="false">
      <c r="A2" s="16" t="s">
        <v>606</v>
      </c>
    </row>
    <row r="4" customFormat="false" ht="15" hidden="false" customHeight="false" outlineLevel="0" collapsed="false">
      <c r="A4" s="4" t="s">
        <v>607</v>
      </c>
      <c r="B4" s="4" t="s">
        <v>608</v>
      </c>
      <c r="C4" s="4" t="s">
        <v>609</v>
      </c>
      <c r="D4" s="4" t="s">
        <v>610</v>
      </c>
      <c r="E4" s="4" t="s">
        <v>611</v>
      </c>
    </row>
    <row r="5" customFormat="false" ht="15" hidden="false" customHeight="false" outlineLevel="0" collapsed="false">
      <c r="A5" s="27" t="s">
        <v>97</v>
      </c>
      <c r="B5" s="5" t="n">
        <f aca="false">COUNTIFS(B4_PhanLopW!$AD$5:$AD$64,A5,B4_PhanLopW!$AI$5:$AI$64,"&gt;=0")</f>
        <v>20</v>
      </c>
      <c r="C5" s="5" t="n">
        <f aca="false">COUNTIFS(B4_PhanLopW!$AD$5:$AD$64,A5,B4_PhanLopW!$AI$5:$AI$64,1)</f>
        <v>0</v>
      </c>
      <c r="D5" s="39" t="n">
        <f aca="false">IF(B5&gt;0,C5/B5,"")</f>
        <v>0</v>
      </c>
      <c r="E5" s="41" t="str">
        <f aca="false">IF(AND(ISNUMBER(D5),$D$5&gt;0),D5/$D$5,"")</f>
        <v/>
      </c>
      <c r="F5" s="16" t="s">
        <v>98</v>
      </c>
    </row>
    <row r="6" customFormat="false" ht="15" hidden="false" customHeight="false" outlineLevel="0" collapsed="false">
      <c r="A6" s="27" t="s">
        <v>103</v>
      </c>
      <c r="B6" s="5" t="n">
        <f aca="false">COUNTIFS(B4_PhanLopW!$AD$5:$AD$64,A6,B4_PhanLopW!$AI$5:$AI$64,"&gt;=0")</f>
        <v>7</v>
      </c>
      <c r="C6" s="5" t="n">
        <f aca="false">COUNTIFS(B4_PhanLopW!$AD$5:$AD$64,A6,B4_PhanLopW!$AI$5:$AI$64,1)</f>
        <v>2</v>
      </c>
      <c r="D6" s="39" t="n">
        <f aca="false">IF(B6&gt;0,C6/B6,"")</f>
        <v>0.285714285714286</v>
      </c>
      <c r="E6" s="41" t="str">
        <f aca="false">IF(AND(ISNUMBER(D6),$D$5&gt;0),D6/$D$5,"")</f>
        <v/>
      </c>
      <c r="F6" s="16" t="s">
        <v>104</v>
      </c>
    </row>
    <row r="7" customFormat="false" ht="15" hidden="false" customHeight="false" outlineLevel="0" collapsed="false">
      <c r="A7" s="27" t="s">
        <v>109</v>
      </c>
      <c r="B7" s="5" t="n">
        <f aca="false">COUNTIFS(B4_PhanLopW!$AD$5:$AD$64,A7,B4_PhanLopW!$AI$5:$AI$64,"&gt;=0")</f>
        <v>13</v>
      </c>
      <c r="C7" s="5" t="n">
        <f aca="false">COUNTIFS(B4_PhanLopW!$AD$5:$AD$64,A7,B4_PhanLopW!$AI$5:$AI$64,1)</f>
        <v>0</v>
      </c>
      <c r="D7" s="39" t="n">
        <f aca="false">IF(B7&gt;0,C7/B7,"")</f>
        <v>0</v>
      </c>
      <c r="E7" s="41" t="str">
        <f aca="false">IF(AND(ISNUMBER(D7),$D$5&gt;0),D7/$D$5,"")</f>
        <v/>
      </c>
      <c r="F7" s="16" t="s">
        <v>110</v>
      </c>
    </row>
    <row r="8" customFormat="false" ht="15" hidden="false" customHeight="false" outlineLevel="0" collapsed="false">
      <c r="A8" s="27" t="s">
        <v>612</v>
      </c>
      <c r="B8" s="5" t="n">
        <f aca="false">SUM(B5:B7)</f>
        <v>40</v>
      </c>
      <c r="C8" s="5" t="n">
        <f aca="false">SUM(C5:C7)</f>
        <v>2</v>
      </c>
      <c r="D8" s="20" t="n">
        <f aca="false">IF(B8&gt;0,C8/B8,"")</f>
        <v>0.05</v>
      </c>
    </row>
    <row r="10" customFormat="false" ht="15" hidden="false" customHeight="false" outlineLevel="0" collapsed="false">
      <c r="A10" s="3" t="s">
        <v>613</v>
      </c>
    </row>
    <row r="11" customFormat="false" ht="15" hidden="false" customHeight="false" outlineLevel="0" collapsed="false">
      <c r="A11" s="4" t="s">
        <v>614</v>
      </c>
      <c r="B11" s="4" t="s">
        <v>533</v>
      </c>
      <c r="C11" s="4" t="s">
        <v>608</v>
      </c>
      <c r="D11" s="4" t="s">
        <v>609</v>
      </c>
      <c r="E11" s="4" t="s">
        <v>610</v>
      </c>
    </row>
    <row r="12" customFormat="false" ht="15" hidden="false" customHeight="false" outlineLevel="0" collapsed="false">
      <c r="A12" s="5" t="s">
        <v>615</v>
      </c>
      <c r="B12" s="5" t="n">
        <v>0</v>
      </c>
      <c r="C12" s="5" t="n">
        <f aca="false">COUNTIFS(B4_PhanLopW!$T$5:$T$64,B12,B4_PhanLopW!$AI$5:$AI$64,"&gt;=0")</f>
        <v>30</v>
      </c>
      <c r="D12" s="5" t="n">
        <f aca="false">COUNTIFS(B4_PhanLopW!$T$5:$T$64,B12,B4_PhanLopW!$AI$5:$AI$64,1)</f>
        <v>2</v>
      </c>
      <c r="E12" s="20" t="n">
        <f aca="false">IF(C12&gt;0,D12/C12,"")</f>
        <v>0.0666666666666667</v>
      </c>
    </row>
    <row r="13" customFormat="false" ht="15" hidden="false" customHeight="false" outlineLevel="0" collapsed="false">
      <c r="A13" s="5" t="s">
        <v>615</v>
      </c>
      <c r="B13" s="5" t="n">
        <v>1</v>
      </c>
      <c r="C13" s="5" t="n">
        <f aca="false">COUNTIFS(B4_PhanLopW!$T$5:$T$64,B13,B4_PhanLopW!$AI$5:$AI$64,"&gt;=0")</f>
        <v>7</v>
      </c>
      <c r="D13" s="5" t="n">
        <f aca="false">COUNTIFS(B4_PhanLopW!$T$5:$T$64,B13,B4_PhanLopW!$AI$5:$AI$64,1)</f>
        <v>0</v>
      </c>
      <c r="E13" s="20" t="n">
        <f aca="false">IF(C13&gt;0,D13/C13,"")</f>
        <v>0</v>
      </c>
    </row>
    <row r="14" customFormat="false" ht="15" hidden="false" customHeight="false" outlineLevel="0" collapsed="false">
      <c r="A14" s="5" t="s">
        <v>615</v>
      </c>
      <c r="B14" s="5" t="n">
        <v>2</v>
      </c>
      <c r="C14" s="5" t="n">
        <f aca="false">COUNTIFS(B4_PhanLopW!$T$5:$T$64,B14,B4_PhanLopW!$AI$5:$AI$64,"&gt;=0")</f>
        <v>3</v>
      </c>
      <c r="D14" s="5" t="n">
        <f aca="false">COUNTIFS(B4_PhanLopW!$T$5:$T$64,B14,B4_PhanLopW!$AI$5:$AI$64,1)</f>
        <v>0</v>
      </c>
      <c r="E14" s="20" t="n">
        <f aca="false">IF(C14&gt;0,D14/C14,"")</f>
        <v>0</v>
      </c>
    </row>
    <row r="15" customFormat="false" ht="15" hidden="false" customHeight="false" outlineLevel="0" collapsed="false">
      <c r="A15" s="5" t="s">
        <v>616</v>
      </c>
      <c r="B15" s="5" t="n">
        <v>0</v>
      </c>
      <c r="C15" s="5" t="n">
        <f aca="false">COUNTIFS(B4_PhanLopW!$U$5:$U$64,B15,B4_PhanLopW!$AI$5:$AI$64,"&gt;=0")</f>
        <v>29</v>
      </c>
      <c r="D15" s="5" t="n">
        <f aca="false">COUNTIFS(B4_PhanLopW!$U$5:$U$64,B15,B4_PhanLopW!$AI$5:$AI$64,1)</f>
        <v>1</v>
      </c>
      <c r="E15" s="20" t="n">
        <f aca="false">IF(C15&gt;0,D15/C15,"")</f>
        <v>0.0344827586206897</v>
      </c>
    </row>
    <row r="16" customFormat="false" ht="15" hidden="false" customHeight="false" outlineLevel="0" collapsed="false">
      <c r="A16" s="5" t="s">
        <v>616</v>
      </c>
      <c r="B16" s="5" t="n">
        <v>1</v>
      </c>
      <c r="C16" s="5" t="n">
        <f aca="false">COUNTIFS(B4_PhanLopW!$U$5:$U$64,B16,B4_PhanLopW!$AI$5:$AI$64,"&gt;=0")</f>
        <v>6</v>
      </c>
      <c r="D16" s="5" t="n">
        <f aca="false">COUNTIFS(B4_PhanLopW!$U$5:$U$64,B16,B4_PhanLopW!$AI$5:$AI$64,1)</f>
        <v>1</v>
      </c>
      <c r="E16" s="20" t="n">
        <f aca="false">IF(C16&gt;0,D16/C16,"")</f>
        <v>0.166666666666667</v>
      </c>
    </row>
    <row r="17" customFormat="false" ht="15" hidden="false" customHeight="false" outlineLevel="0" collapsed="false">
      <c r="A17" s="5" t="s">
        <v>616</v>
      </c>
      <c r="B17" s="5" t="n">
        <v>2</v>
      </c>
      <c r="C17" s="5" t="n">
        <f aca="false">COUNTIFS(B4_PhanLopW!$U$5:$U$64,B17,B4_PhanLopW!$AI$5:$AI$64,"&gt;=0")</f>
        <v>5</v>
      </c>
      <c r="D17" s="5" t="n">
        <f aca="false">COUNTIFS(B4_PhanLopW!$U$5:$U$64,B17,B4_PhanLopW!$AI$5:$AI$64,1)</f>
        <v>0</v>
      </c>
      <c r="E17" s="20" t="n">
        <f aca="false">IF(C17&gt;0,D17/C17,"")</f>
        <v>0</v>
      </c>
    </row>
    <row r="18" customFormat="false" ht="15" hidden="false" customHeight="false" outlineLevel="0" collapsed="false">
      <c r="A18" s="5" t="s">
        <v>617</v>
      </c>
      <c r="B18" s="5" t="n">
        <v>0</v>
      </c>
      <c r="C18" s="5" t="n">
        <f aca="false">COUNTIFS(B4_PhanLopW!$V$5:$V$64,B18,B4_PhanLopW!$AI$5:$AI$64,"&gt;=0")</f>
        <v>38</v>
      </c>
      <c r="D18" s="5" t="n">
        <f aca="false">COUNTIFS(B4_PhanLopW!$V$5:$V$64,B18,B4_PhanLopW!$AI$5:$AI$64,1)</f>
        <v>1</v>
      </c>
      <c r="E18" s="20" t="n">
        <f aca="false">IF(C18&gt;0,D18/C18,"")</f>
        <v>0.0263157894736842</v>
      </c>
    </row>
    <row r="19" customFormat="false" ht="15" hidden="false" customHeight="false" outlineLevel="0" collapsed="false">
      <c r="A19" s="5" t="s">
        <v>617</v>
      </c>
      <c r="B19" s="5" t="n">
        <v>1</v>
      </c>
      <c r="C19" s="5" t="n">
        <f aca="false">COUNTIFS(B4_PhanLopW!$V$5:$V$64,B19,B4_PhanLopW!$AI$5:$AI$64,"&gt;=0")</f>
        <v>2</v>
      </c>
      <c r="D19" s="5" t="n">
        <f aca="false">COUNTIFS(B4_PhanLopW!$V$5:$V$64,B19,B4_PhanLopW!$AI$5:$AI$64,1)</f>
        <v>1</v>
      </c>
      <c r="E19" s="20" t="n">
        <f aca="false">IF(C19&gt;0,D19/C19,"")</f>
        <v>0.5</v>
      </c>
    </row>
    <row r="20" customFormat="false" ht="15" hidden="false" customHeight="false" outlineLevel="0" collapsed="false">
      <c r="A20" s="5" t="s">
        <v>618</v>
      </c>
      <c r="B20" s="5" t="n">
        <v>0</v>
      </c>
      <c r="C20" s="5" t="n">
        <f aca="false">COUNTIFS(B4_PhanLopW!$W$5:$W$64,B20,B4_PhanLopW!$AI$5:$AI$64,"&gt;=0")</f>
        <v>28</v>
      </c>
      <c r="D20" s="5" t="n">
        <f aca="false">COUNTIFS(B4_PhanLopW!$W$5:$W$64,B20,B4_PhanLopW!$AI$5:$AI$64,1)</f>
        <v>2</v>
      </c>
      <c r="E20" s="20" t="n">
        <f aca="false">IF(C20&gt;0,D20/C20,"")</f>
        <v>0.0714285714285714</v>
      </c>
    </row>
    <row r="21" customFormat="false" ht="15" hidden="false" customHeight="false" outlineLevel="0" collapsed="false">
      <c r="A21" s="5" t="s">
        <v>618</v>
      </c>
      <c r="B21" s="5" t="n">
        <v>1</v>
      </c>
      <c r="C21" s="5" t="n">
        <f aca="false">COUNTIFS(B4_PhanLopW!$W$5:$W$64,B21,B4_PhanLopW!$AI$5:$AI$64,"&gt;=0")</f>
        <v>12</v>
      </c>
      <c r="D21" s="5" t="n">
        <f aca="false">COUNTIFS(B4_PhanLopW!$W$5:$W$64,B21,B4_PhanLopW!$AI$5:$AI$64,1)</f>
        <v>0</v>
      </c>
      <c r="E21" s="20" t="n">
        <f aca="false">IF(C21&gt;0,D21/C21,"")</f>
        <v>0</v>
      </c>
    </row>
    <row r="23" customFormat="false" ht="15" hidden="false" customHeight="false" outlineLevel="0" collapsed="false">
      <c r="A23" s="3" t="s">
        <v>619</v>
      </c>
    </row>
    <row r="24" customFormat="false" ht="15" hidden="false" customHeight="false" outlineLevel="0" collapsed="false">
      <c r="A24" s="4" t="s">
        <v>620</v>
      </c>
      <c r="B24" s="4" t="s">
        <v>621</v>
      </c>
      <c r="C24" s="4" t="s">
        <v>622</v>
      </c>
      <c r="D24" s="4" t="s">
        <v>623</v>
      </c>
      <c r="E24" s="4" t="s">
        <v>624</v>
      </c>
      <c r="F24" s="4" t="s">
        <v>625</v>
      </c>
      <c r="G24" s="4" t="s">
        <v>626</v>
      </c>
    </row>
    <row r="25" customFormat="false" ht="15" hidden="false" customHeight="false" outlineLevel="0" collapsed="false">
      <c r="A25" s="5" t="s">
        <v>627</v>
      </c>
      <c r="B25" s="25" t="n">
        <v>20</v>
      </c>
      <c r="C25" s="50" t="n">
        <v>0</v>
      </c>
      <c r="D25" s="25" t="n">
        <v>7</v>
      </c>
      <c r="E25" s="50" t="n">
        <v>0.285714285714286</v>
      </c>
      <c r="F25" s="25" t="n">
        <v>13</v>
      </c>
      <c r="G25" s="50" t="n">
        <v>0</v>
      </c>
    </row>
    <row r="26" customFormat="false" ht="15" hidden="false" customHeight="false" outlineLevel="0" collapsed="false">
      <c r="A26" s="5" t="s">
        <v>628</v>
      </c>
      <c r="B26" s="25" t="n">
        <v>20</v>
      </c>
      <c r="C26" s="50" t="n">
        <v>0</v>
      </c>
      <c r="D26" s="25" t="n">
        <v>7</v>
      </c>
      <c r="E26" s="50" t="n">
        <v>0.285714285714286</v>
      </c>
      <c r="F26" s="25" t="n">
        <v>13</v>
      </c>
      <c r="G26" s="50" t="n">
        <v>0</v>
      </c>
    </row>
    <row r="27" customFormat="false" ht="15" hidden="false" customHeight="false" outlineLevel="0" collapsed="false">
      <c r="A27" s="5" t="s">
        <v>629</v>
      </c>
      <c r="B27" s="25" t="n">
        <v>20</v>
      </c>
      <c r="C27" s="50" t="n">
        <v>0</v>
      </c>
      <c r="D27" s="25" t="n">
        <v>10</v>
      </c>
      <c r="E27" s="50" t="n">
        <v>0.2</v>
      </c>
      <c r="F27" s="25" t="n">
        <v>10</v>
      </c>
      <c r="G27" s="50" t="n">
        <v>0</v>
      </c>
    </row>
    <row r="28" customFormat="false" ht="15" hidden="false" customHeight="false" outlineLevel="0" collapsed="false">
      <c r="A28" s="5" t="s">
        <v>630</v>
      </c>
      <c r="B28" s="25" t="n">
        <v>19</v>
      </c>
      <c r="C28" s="50" t="n">
        <v>0</v>
      </c>
      <c r="D28" s="25" t="n">
        <v>8</v>
      </c>
      <c r="E28" s="50" t="n">
        <v>0.25</v>
      </c>
      <c r="F28" s="25" t="n">
        <v>13</v>
      </c>
      <c r="G28" s="50" t="n">
        <v>0</v>
      </c>
    </row>
    <row r="29" customFormat="false" ht="15" hidden="false" customHeight="false" outlineLevel="0" collapsed="false">
      <c r="A29" s="5" t="s">
        <v>631</v>
      </c>
      <c r="B29" s="25" t="n">
        <v>23</v>
      </c>
      <c r="C29" s="50" t="n">
        <v>0.0434782608695652</v>
      </c>
      <c r="D29" s="25" t="n">
        <v>6</v>
      </c>
      <c r="E29" s="50" t="n">
        <v>0.166666666666667</v>
      </c>
      <c r="F29" s="25" t="n">
        <v>11</v>
      </c>
      <c r="G29" s="50" t="n">
        <v>0</v>
      </c>
    </row>
    <row r="32" customFormat="false" ht="15" hidden="false" customHeight="false" outlineLevel="0" collapsed="false">
      <c r="A32" s="10" t="s">
        <v>632</v>
      </c>
    </row>
    <row r="33" customFormat="false" ht="15" hidden="false" customHeight="false" outlineLevel="0" collapsed="false">
      <c r="A33" s="2" t="s">
        <v>633</v>
      </c>
    </row>
    <row r="34" customFormat="false" ht="15" hidden="false" customHeight="false" outlineLevel="0" collapsed="false">
      <c r="A34" s="2" t="s">
        <v>634</v>
      </c>
    </row>
    <row r="35" customFormat="false" ht="15" hidden="false" customHeight="false" outlineLevel="0" collapsed="false">
      <c r="A35" s="2" t="s">
        <v>635</v>
      </c>
    </row>
    <row r="36" customFormat="false" ht="15" hidden="false" customHeight="false" outlineLevel="0" collapsed="false">
      <c r="A36" s="2" t="s">
        <v>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40"/>
    <col collapsed="false" customWidth="true" hidden="false" outlineLevel="0" max="4" min="4" style="0" width="60"/>
    <col collapsed="false" customWidth="true" hidden="false" outlineLevel="0" max="6" min="5" style="0" width="12"/>
    <col collapsed="false" customWidth="true" hidden="false" outlineLevel="0" max="9" min="7" style="0" width="14"/>
  </cols>
  <sheetData>
    <row r="1" customFormat="false" ht="17.35" hidden="false" customHeight="false" outlineLevel="0" collapsed="false">
      <c r="A1" s="15" t="s">
        <v>637</v>
      </c>
    </row>
    <row r="2" customFormat="false" ht="15" hidden="false" customHeight="false" outlineLevel="0" collapsed="false">
      <c r="A2" s="16" t="s">
        <v>638</v>
      </c>
    </row>
    <row r="4" customFormat="false" ht="15" hidden="false" customHeight="false" outlineLevel="0" collapsed="false">
      <c r="A4" s="3" t="s">
        <v>639</v>
      </c>
    </row>
    <row r="5" customFormat="false" ht="15" hidden="false" customHeight="false" outlineLevel="0" collapsed="false">
      <c r="A5" s="4" t="s">
        <v>640</v>
      </c>
      <c r="B5" s="4" t="s">
        <v>641</v>
      </c>
      <c r="C5" s="4" t="s">
        <v>442</v>
      </c>
      <c r="D5" s="4" t="s">
        <v>443</v>
      </c>
    </row>
    <row r="6" customFormat="false" ht="15" hidden="false" customHeight="false" outlineLevel="0" collapsed="false">
      <c r="A6" s="18" t="s">
        <v>642</v>
      </c>
      <c r="B6" s="19" t="s">
        <v>643</v>
      </c>
      <c r="C6" s="19" t="s">
        <v>644</v>
      </c>
      <c r="D6" s="19" t="s">
        <v>645</v>
      </c>
    </row>
    <row r="7" customFormat="false" ht="35.05" hidden="false" customHeight="false" outlineLevel="0" collapsed="false">
      <c r="A7" s="18" t="s">
        <v>646</v>
      </c>
      <c r="B7" s="19" t="s">
        <v>647</v>
      </c>
      <c r="C7" s="19" t="s">
        <v>648</v>
      </c>
      <c r="D7" s="19" t="s">
        <v>649</v>
      </c>
    </row>
    <row r="8" customFormat="false" ht="15" hidden="false" customHeight="false" outlineLevel="0" collapsed="false">
      <c r="A8" s="18" t="s">
        <v>650</v>
      </c>
      <c r="B8" s="19" t="s">
        <v>651</v>
      </c>
      <c r="C8" s="19" t="s">
        <v>652</v>
      </c>
      <c r="D8" s="19" t="s">
        <v>653</v>
      </c>
    </row>
    <row r="9" customFormat="false" ht="15" hidden="false" customHeight="false" outlineLevel="0" collapsed="false">
      <c r="A9" s="18" t="s">
        <v>654</v>
      </c>
      <c r="B9" s="19" t="s">
        <v>655</v>
      </c>
      <c r="C9" s="19" t="s">
        <v>656</v>
      </c>
      <c r="D9" s="19" t="s">
        <v>657</v>
      </c>
    </row>
    <row r="10" customFormat="false" ht="15" hidden="false" customHeight="false" outlineLevel="0" collapsed="false">
      <c r="A10" s="18" t="s">
        <v>658</v>
      </c>
      <c r="B10" s="19" t="s">
        <v>659</v>
      </c>
      <c r="C10" s="19" t="s">
        <v>505</v>
      </c>
      <c r="D10" s="19" t="s">
        <v>660</v>
      </c>
    </row>
    <row r="11" customFormat="false" ht="15" hidden="false" customHeight="false" outlineLevel="0" collapsed="false">
      <c r="A11" s="18" t="s">
        <v>661</v>
      </c>
      <c r="B11" s="19" t="s">
        <v>662</v>
      </c>
      <c r="C11" s="19" t="s">
        <v>663</v>
      </c>
      <c r="D11" s="19" t="s">
        <v>664</v>
      </c>
    </row>
    <row r="12" customFormat="false" ht="23.85" hidden="false" customHeight="false" outlineLevel="0" collapsed="false">
      <c r="A12" s="18" t="s">
        <v>665</v>
      </c>
      <c r="B12" s="19" t="s">
        <v>666</v>
      </c>
      <c r="C12" s="19" t="s">
        <v>667</v>
      </c>
      <c r="D12" s="19" t="s">
        <v>668</v>
      </c>
    </row>
    <row r="13" customFormat="false" ht="15" hidden="false" customHeight="false" outlineLevel="0" collapsed="false">
      <c r="A13" s="18" t="s">
        <v>119</v>
      </c>
      <c r="B13" s="19" t="s">
        <v>669</v>
      </c>
      <c r="C13" s="19" t="s">
        <v>670</v>
      </c>
      <c r="D13" s="19" t="s">
        <v>671</v>
      </c>
    </row>
    <row r="15" customFormat="false" ht="15" hidden="false" customHeight="false" outlineLevel="0" collapsed="false">
      <c r="A15" s="3" t="s">
        <v>672</v>
      </c>
    </row>
    <row r="16" customFormat="false" ht="15" hidden="false" customHeight="false" outlineLevel="0" collapsed="false">
      <c r="A16" s="4" t="s">
        <v>147</v>
      </c>
      <c r="B16" s="4" t="s">
        <v>148</v>
      </c>
      <c r="C16" s="4" t="s">
        <v>149</v>
      </c>
      <c r="D16" s="4" t="s">
        <v>673</v>
      </c>
    </row>
    <row r="17" customFormat="false" ht="15" hidden="false" customHeight="false" outlineLevel="0" collapsed="false">
      <c r="A17" s="27" t="s">
        <v>674</v>
      </c>
      <c r="B17" s="19" t="s">
        <v>675</v>
      </c>
      <c r="C17" s="51" t="n">
        <f aca="false">PERCENTILE(DuLieu!$AK$5:$AK$88,ThamSo!$C$24)</f>
        <v>0.0417986209613163</v>
      </c>
      <c r="D17" s="19" t="s">
        <v>676</v>
      </c>
    </row>
    <row r="18" customFormat="false" ht="23.85" hidden="false" customHeight="false" outlineLevel="0" collapsed="false">
      <c r="A18" s="27" t="s">
        <v>677</v>
      </c>
      <c r="B18" s="19" t="s">
        <v>678</v>
      </c>
      <c r="C18" s="51" t="n">
        <f aca="false">STDEV(DuLieu!$AL$5:$AL$88)</f>
        <v>0.0478749879778917</v>
      </c>
      <c r="D18" s="19" t="s">
        <v>679</v>
      </c>
    </row>
    <row r="19" customFormat="false" ht="15" hidden="false" customHeight="false" outlineLevel="0" collapsed="false">
      <c r="A19" s="27" t="s">
        <v>680</v>
      </c>
      <c r="B19" s="19" t="s">
        <v>681</v>
      </c>
      <c r="C19" s="52" t="n">
        <f aca="false">COUNT(DuLieu!$AL$5:$AL$88)</f>
        <v>40</v>
      </c>
      <c r="D19" s="19" t="s">
        <v>682</v>
      </c>
    </row>
    <row r="20" customFormat="false" ht="15" hidden="false" customHeight="false" outlineLevel="0" collapsed="false">
      <c r="A20" s="27" t="s">
        <v>683</v>
      </c>
      <c r="B20" s="19" t="s">
        <v>684</v>
      </c>
      <c r="C20" s="53" t="n">
        <f aca="false">C18/SQRT(ThamSo!$C$27)</f>
        <v>0.00250589140013474</v>
      </c>
      <c r="D20" s="19" t="s">
        <v>685</v>
      </c>
    </row>
    <row r="21" customFormat="false" ht="15" hidden="false" customHeight="false" outlineLevel="0" collapsed="false">
      <c r="A21" s="27" t="s">
        <v>686</v>
      </c>
      <c r="B21" s="19" t="s">
        <v>687</v>
      </c>
      <c r="C21" s="53" t="n">
        <f aca="false">ThamSo!$C$26/ThamSo!$C$27</f>
        <v>0.00013013698630137</v>
      </c>
      <c r="D21" s="19" t="s">
        <v>688</v>
      </c>
    </row>
    <row r="22" customFormat="false" ht="15" hidden="false" customHeight="false" outlineLevel="0" collapsed="false">
      <c r="A22" s="27" t="s">
        <v>654</v>
      </c>
      <c r="B22" s="19" t="s">
        <v>689</v>
      </c>
      <c r="C22" s="54" t="n">
        <f aca="false">ThamSo!$C$25</f>
        <v>1000000</v>
      </c>
      <c r="D22" s="19" t="s">
        <v>220</v>
      </c>
    </row>
    <row r="23" customFormat="false" ht="15" hidden="false" customHeight="false" outlineLevel="0" collapsed="false">
      <c r="A23" s="27" t="s">
        <v>690</v>
      </c>
      <c r="B23" s="19" t="s">
        <v>691</v>
      </c>
      <c r="C23" s="54" t="n">
        <f aca="false">ThamSo!$C$28</f>
        <v>0</v>
      </c>
      <c r="D23" s="19" t="s">
        <v>231</v>
      </c>
    </row>
    <row r="25" customFormat="false" ht="15" hidden="false" customHeight="false" outlineLevel="0" collapsed="false">
      <c r="A25" s="3" t="s">
        <v>692</v>
      </c>
    </row>
    <row r="26" customFormat="false" ht="23.85" hidden="false" customHeight="false" outlineLevel="0" collapsed="false">
      <c r="A26" s="4" t="s">
        <v>693</v>
      </c>
      <c r="B26" s="4" t="s">
        <v>694</v>
      </c>
      <c r="C26" s="4" t="s">
        <v>695</v>
      </c>
      <c r="D26" s="4" t="s">
        <v>696</v>
      </c>
      <c r="E26" s="4" t="s">
        <v>697</v>
      </c>
      <c r="F26" s="4" t="s">
        <v>698</v>
      </c>
      <c r="G26" s="4" t="s">
        <v>699</v>
      </c>
      <c r="H26" s="4" t="s">
        <v>700</v>
      </c>
      <c r="I26" s="4" t="s">
        <v>701</v>
      </c>
    </row>
    <row r="27" customFormat="false" ht="15" hidden="false" customHeight="false" outlineLevel="0" collapsed="false">
      <c r="A27" s="23" t="n">
        <v>50</v>
      </c>
      <c r="B27" s="41" t="n">
        <f aca="false">MAX(A27*1000000000*$C$17,$C$23)/1000000000</f>
        <v>2.08993104806581</v>
      </c>
      <c r="C27" s="55" t="n">
        <f aca="false">A27*$C$20</f>
        <v>0.125294570006737</v>
      </c>
      <c r="D27" s="41" t="n">
        <f aca="false">3*(0.75*$C$22*(C27*1000000000)^2/$C$21)^(1/3)/1000000000</f>
        <v>1.34677876708518</v>
      </c>
      <c r="E27" s="43" t="n">
        <f aca="false">B27+D27/3</f>
        <v>2.53885730376087</v>
      </c>
      <c r="F27" s="43" t="n">
        <f aca="false">B27+D27</f>
        <v>3.43670981515099</v>
      </c>
      <c r="G27" s="26" t="n">
        <f aca="false">B27/(A27/ThamSo!$C$27)</f>
        <v>15.2564966508804</v>
      </c>
      <c r="H27" s="26" t="n">
        <f aca="false">E27/(A27/ThamSo!$C$27)</f>
        <v>18.5336583174544</v>
      </c>
      <c r="I27" s="26" t="n">
        <f aca="false">F27/(A27/ThamSo!$C$27)</f>
        <v>25.0879816506022</v>
      </c>
    </row>
    <row r="28" customFormat="false" ht="15" hidden="false" customHeight="false" outlineLevel="0" collapsed="false">
      <c r="A28" s="23" t="n">
        <v>100</v>
      </c>
      <c r="B28" s="41" t="n">
        <f aca="false">MAX(A28*1000000000*$C$17,$C$23)/1000000000</f>
        <v>4.17986209613163</v>
      </c>
      <c r="C28" s="55" t="n">
        <f aca="false">A28*$C$20</f>
        <v>0.250589140013474</v>
      </c>
      <c r="D28" s="41" t="n">
        <f aca="false">3*(0.75*$C$22*(C28*1000000000)^2/$C$21)^(1/3)/1000000000</f>
        <v>2.13787803163945</v>
      </c>
      <c r="E28" s="43" t="n">
        <f aca="false">B28+D28/3</f>
        <v>4.89248810667811</v>
      </c>
      <c r="F28" s="43" t="n">
        <f aca="false">B28+D28</f>
        <v>6.31774012777107</v>
      </c>
      <c r="G28" s="26" t="n">
        <f aca="false">B28/(A28/ThamSo!$C$27)</f>
        <v>15.2564966508804</v>
      </c>
      <c r="H28" s="26" t="n">
        <f aca="false">E28/(A28/ThamSo!$C$27)</f>
        <v>17.8575815893751</v>
      </c>
      <c r="I28" s="26" t="n">
        <f aca="false">F28/(A28/ThamSo!$C$27)</f>
        <v>23.0597514663644</v>
      </c>
    </row>
    <row r="29" customFormat="false" ht="15" hidden="false" customHeight="false" outlineLevel="0" collapsed="false">
      <c r="A29" s="23" t="n">
        <v>200</v>
      </c>
      <c r="B29" s="41" t="n">
        <f aca="false">MAX(A29*1000000000*$C$17,$C$23)/1000000000</f>
        <v>8.35972419226325</v>
      </c>
      <c r="C29" s="55" t="n">
        <f aca="false">A29*$C$20</f>
        <v>0.501178280026948</v>
      </c>
      <c r="D29" s="41" t="n">
        <f aca="false">3*(0.75*$C$22*(C29*1000000000)^2/$C$21)^(1/3)/1000000000</f>
        <v>3.39366983640416</v>
      </c>
      <c r="E29" s="43" t="n">
        <f aca="false">B29+D29/3</f>
        <v>9.49094747106464</v>
      </c>
      <c r="F29" s="43" t="n">
        <f aca="false">B29+D29</f>
        <v>11.7533940286674</v>
      </c>
      <c r="G29" s="26" t="n">
        <f aca="false">B29/(A29/ThamSo!$C$27)</f>
        <v>15.2564966508804</v>
      </c>
      <c r="H29" s="26" t="n">
        <f aca="false">E29/(A29/ThamSo!$C$27)</f>
        <v>17.320979134693</v>
      </c>
      <c r="I29" s="26" t="n">
        <f aca="false">F29/(A29/ThamSo!$C$27)</f>
        <v>21.449944102318</v>
      </c>
    </row>
    <row r="30" customFormat="false" ht="15" hidden="false" customHeight="false" outlineLevel="0" collapsed="false">
      <c r="A30" s="23" t="n">
        <v>300</v>
      </c>
      <c r="B30" s="41" t="n">
        <f aca="false">MAX(A30*1000000000*$C$17,$C$23)/1000000000</f>
        <v>12.5395862883949</v>
      </c>
      <c r="C30" s="55" t="n">
        <f aca="false">A30*$C$20</f>
        <v>0.751767420040421</v>
      </c>
      <c r="D30" s="41" t="n">
        <f aca="false">3*(0.75*$C$22*(C30*1000000000)^2/$C$21)^(1/3)/1000000000</f>
        <v>4.44696550927126</v>
      </c>
      <c r="E30" s="43" t="n">
        <f aca="false">B30+D30/3</f>
        <v>14.0219081248186</v>
      </c>
      <c r="F30" s="43" t="n">
        <f aca="false">B30+D30</f>
        <v>16.9865517976661</v>
      </c>
      <c r="G30" s="26" t="n">
        <f aca="false">B30/(A30/ThamSo!$C$27)</f>
        <v>15.2564966508804</v>
      </c>
      <c r="H30" s="26" t="n">
        <f aca="false">E30/(A30/ThamSo!$C$27)</f>
        <v>17.0599882185293</v>
      </c>
      <c r="I30" s="26" t="n">
        <f aca="false">F30/(A30/ThamSo!$C$27)</f>
        <v>20.6669713538271</v>
      </c>
    </row>
    <row r="31" customFormat="false" ht="15" hidden="false" customHeight="false" outlineLevel="0" collapsed="false">
      <c r="A31" s="23" t="n">
        <v>500</v>
      </c>
      <c r="B31" s="41" t="n">
        <f aca="false">MAX(A31*1000000000*$C$17,$C$23)/1000000000</f>
        <v>20.8993104806581</v>
      </c>
      <c r="C31" s="55" t="n">
        <f aca="false">A31*$C$20</f>
        <v>1.25294570006737</v>
      </c>
      <c r="D31" s="41" t="n">
        <f aca="false">3*(0.75*$C$22*(C31*1000000000)^2/$C$21)^(1/3)/1000000000</f>
        <v>6.25119328664934</v>
      </c>
      <c r="E31" s="43" t="n">
        <f aca="false">B31+D31/3</f>
        <v>22.9830415762079</v>
      </c>
      <c r="F31" s="43" t="n">
        <f aca="false">B31+D31</f>
        <v>27.1505037673075</v>
      </c>
      <c r="G31" s="26" t="n">
        <f aca="false">B31/(A31/ThamSo!$C$27)</f>
        <v>15.2564966508804</v>
      </c>
      <c r="H31" s="26" t="n">
        <f aca="false">E31/(A31/ThamSo!$C$27)</f>
        <v>16.7776203506318</v>
      </c>
      <c r="I31" s="26" t="n">
        <f aca="false">F31/(A31/ThamSo!$C$27)</f>
        <v>19.8198677501345</v>
      </c>
    </row>
    <row r="32" customFormat="false" ht="15" hidden="false" customHeight="false" outlineLevel="0" collapsed="false">
      <c r="A32" s="23" t="n">
        <v>1000</v>
      </c>
      <c r="B32" s="41" t="n">
        <f aca="false">MAX(A32*1000000000*$C$17,$C$23)/1000000000</f>
        <v>41.7986209613163</v>
      </c>
      <c r="C32" s="55" t="n">
        <f aca="false">A32*$C$20</f>
        <v>2.50589140013474</v>
      </c>
      <c r="D32" s="41" t="n">
        <f aca="false">3*(0.75*$C$22*(C32*1000000000)^2/$C$21)^(1/3)/1000000000</f>
        <v>9.92315079928372</v>
      </c>
      <c r="E32" s="43" t="n">
        <f aca="false">B32+D32/3</f>
        <v>45.1063378944108</v>
      </c>
      <c r="F32" s="43" t="n">
        <f aca="false">B32+D32</f>
        <v>51.7217717606</v>
      </c>
      <c r="G32" s="26" t="n">
        <f aca="false">B32/(A32/ThamSo!$C$27)</f>
        <v>15.2564966508804</v>
      </c>
      <c r="H32" s="26" t="n">
        <f aca="false">E32/(A32/ThamSo!$C$27)</f>
        <v>16.46381333146</v>
      </c>
      <c r="I32" s="26" t="n">
        <f aca="false">F32/(A32/ThamSo!$C$27)</f>
        <v>18.878446692619</v>
      </c>
    </row>
    <row r="34" customFormat="false" ht="15" hidden="false" customHeight="false" outlineLevel="0" collapsed="false">
      <c r="A34" s="3" t="s">
        <v>702</v>
      </c>
    </row>
    <row r="35" customFormat="false" ht="15" hidden="false" customHeight="false" outlineLevel="0" collapsed="false">
      <c r="A35" s="2" t="s">
        <v>703</v>
      </c>
    </row>
    <row r="36" customFormat="false" ht="15" hidden="false" customHeight="false" outlineLevel="0" collapsed="false">
      <c r="A36" s="2" t="s">
        <v>704</v>
      </c>
    </row>
    <row r="37" customFormat="false" ht="15" hidden="false" customHeight="false" outlineLevel="0" collapsed="false">
      <c r="A37" s="2" t="s">
        <v>705</v>
      </c>
    </row>
    <row r="38" customFormat="false" ht="15" hidden="false" customHeight="false" outlineLevel="0" collapsed="false">
      <c r="A38" s="2" t="s">
        <v>706</v>
      </c>
    </row>
    <row r="39" customFormat="false" ht="15" hidden="false" customHeight="false" outlineLevel="0" collapsed="false">
      <c r="A39" s="2" t="s">
        <v>707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sheetPr filterMode="false">
    <pageSetUpPr fitToPage="false"/>
  </sheetPr>
  <dimension ref="A1:V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6"/>
    <col collapsed="false" customWidth="true" hidden="false" outlineLevel="0" max="4" min="4" style="0" width="8"/>
    <col collapsed="false" customWidth="true" hidden="false" outlineLevel="0" max="5" min="5" style="0" width="13"/>
    <col collapsed="false" customWidth="true" hidden="false" outlineLevel="0" max="6" min="6" style="0" width="8"/>
    <col collapsed="false" customWidth="true" hidden="false" outlineLevel="0" max="7" min="7" style="0" width="13"/>
    <col collapsed="false" customWidth="true" hidden="false" outlineLevel="0" max="8" min="8" style="0" width="8"/>
    <col collapsed="false" customWidth="true" hidden="false" outlineLevel="0" max="9" min="9" style="0" width="30"/>
    <col collapsed="false" customWidth="true" hidden="false" outlineLevel="0" max="10" min="10" style="0" width="8"/>
    <col collapsed="false" customWidth="true" hidden="false" outlineLevel="0" max="11" min="11" style="0" width="15"/>
    <col collapsed="false" customWidth="true" hidden="false" outlineLevel="0" max="12" min="12" style="0" width="12"/>
    <col collapsed="false" customWidth="true" hidden="false" outlineLevel="0" max="13" min="13" style="0" width="18"/>
    <col collapsed="false" customWidth="true" hidden="false" outlineLevel="0" max="14" min="14" style="0" width="11"/>
    <col collapsed="false" customWidth="true" hidden="false" outlineLevel="0" max="15" min="15" style="0" width="10"/>
    <col collapsed="false" customWidth="true" hidden="false" outlineLevel="0" max="16" min="16" style="0" width="11"/>
    <col collapsed="false" customWidth="true" hidden="false" outlineLevel="0" max="19" min="17" style="0" width="10"/>
    <col collapsed="false" customWidth="true" hidden="false" outlineLevel="0" max="20" min="20" style="0" width="15"/>
    <col collapsed="false" customWidth="true" hidden="false" outlineLevel="0" max="21" min="21" style="0" width="9"/>
    <col collapsed="false" customWidth="true" hidden="false" outlineLevel="0" max="22" min="22" style="0" width="44"/>
  </cols>
  <sheetData>
    <row r="1" customFormat="false" ht="17.35" hidden="false" customHeight="false" outlineLevel="0" collapsed="false">
      <c r="A1" s="15" t="str">
        <f aca="false">"TRỤC W, NGƯỠNG MILLER–ORR VÀ Ô MA TRẬN CỦA CÁC DN FOB NĂM "&amp;ThamSo!$C$21</f>
        <v>TRỤC W, NGƯỠNG MILLER–ORR VÀ Ô MA TRẬN CỦA CÁC DN FOB NĂM 2025</v>
      </c>
    </row>
    <row r="2" customFormat="false" ht="15" hidden="false" customHeight="false" outlineLevel="0" collapsed="false">
      <c r="A2" s="16" t="s">
        <v>708</v>
      </c>
    </row>
    <row r="3" customFormat="false" ht="45" hidden="false" customHeight="true" outlineLevel="0" collapsed="false">
      <c r="A3" s="4" t="s">
        <v>147</v>
      </c>
      <c r="B3" s="4" t="s">
        <v>709</v>
      </c>
      <c r="C3" s="4" t="s">
        <v>578</v>
      </c>
      <c r="D3" s="4" t="s">
        <v>398</v>
      </c>
      <c r="E3" s="4" t="s">
        <v>710</v>
      </c>
      <c r="F3" s="4" t="s">
        <v>402</v>
      </c>
      <c r="G3" s="4" t="s">
        <v>711</v>
      </c>
      <c r="H3" s="4" t="s">
        <v>403</v>
      </c>
      <c r="I3" s="4" t="s">
        <v>712</v>
      </c>
      <c r="J3" s="4" t="s">
        <v>600</v>
      </c>
      <c r="K3" s="4" t="s">
        <v>90</v>
      </c>
      <c r="L3" s="4" t="s">
        <v>601</v>
      </c>
      <c r="M3" s="4" t="s">
        <v>713</v>
      </c>
      <c r="N3" s="4" t="s">
        <v>714</v>
      </c>
      <c r="O3" s="4" t="s">
        <v>715</v>
      </c>
      <c r="P3" s="4" t="s">
        <v>716</v>
      </c>
      <c r="Q3" s="4" t="s">
        <v>694</v>
      </c>
      <c r="R3" s="4" t="s">
        <v>697</v>
      </c>
      <c r="S3" s="4" t="s">
        <v>698</v>
      </c>
      <c r="T3" s="4" t="s">
        <v>717</v>
      </c>
      <c r="U3" s="4" t="s">
        <v>718</v>
      </c>
      <c r="V3" s="4" t="s">
        <v>719</v>
      </c>
    </row>
    <row r="4" customFormat="false" ht="15" hidden="false" customHeight="false" outlineLevel="0" collapsed="false">
      <c r="A4" s="25" t="s">
        <v>255</v>
      </c>
      <c r="B4" s="5" t="str">
        <f aca="false">INDEX(HoSoDN!$B$5:$B$32,MATCH(A4,HoSoDN!$A$5:$A$32,0))</f>
        <v>CTCP 28.1</v>
      </c>
      <c r="C4" s="5" t="str">
        <f aca="false">IFERROR(INDEX(B4_PhanLopW!$D$5:$D$64,MATCH($A4&amp;"-"&amp;ThamSo!$C$21,B4_PhanLopW!$C$5:$C$64,0)),"")</f>
        <v>FOB|Nhỏ–vừa</v>
      </c>
      <c r="D4" s="26" t="n">
        <f aca="false">IFERROR(INDEX(B4_PhanLopW!$I$5:$I$64,MATCH($A4&amp;"-"&amp;ThamSo!$C$21,B4_PhanLopW!$C$5:$C$64,0)),"")</f>
        <v>26.75693833</v>
      </c>
      <c r="E4" s="5" t="str">
        <f aca="false">IFERROR(INDEX(B4_PhanLopW!$AA$5:$AA$64,MATCH($A4&amp;"-"&amp;ThamSo!$C$21,B4_PhanLopW!$C$5:$C$64,0)),"")</f>
        <v>An toàn</v>
      </c>
      <c r="F4" s="26" t="n">
        <f aca="false">IFERROR(INDEX(B4_PhanLopW!$J$5:$J$64,MATCH($A4&amp;"-"&amp;ThamSo!$C$21,B4_PhanLopW!$C$5:$C$64,0)),"")</f>
        <v>83.61477187</v>
      </c>
      <c r="G4" s="5" t="str">
        <f aca="false">IFERROR(INDEX(B4_PhanLopW!$AB$5:$AB$64,MATCH($A4&amp;"-"&amp;ThamSo!$C$21,B4_PhanLopW!$C$5:$C$64,0)),"")</f>
        <v>An toàn</v>
      </c>
      <c r="H4" s="26" t="n">
        <f aca="false">IFERROR(INDEX(B4_PhanLopW!$K$5:$K$64,MATCH($A4&amp;"-"&amp;ThamSo!$C$21,B4_PhanLopW!$C$5:$C$64,0)),"")</f>
        <v>69.83438471</v>
      </c>
      <c r="I4" s="5" t="str">
        <f aca="false">IFERROR(INDEX(B4_PhanLopW!$AC$5:$AC$64,MATCH($A4&amp;"-"&amp;ThamSo!$C$21,B4_PhanLopW!$C$5:$C$64,0)),"")</f>
        <v>Lưu ý: DPO cao – kiểm tra quá hạn NCC</v>
      </c>
      <c r="J4" s="27" t="str">
        <f aca="false">IFERROR(INDEX(B4_PhanLopW!$AD$5:$AD$64,MATCH($A4&amp;"-"&amp;ThamSo!$C$21,B4_PhanLopW!$C$5:$C$64,0)),"")</f>
        <v>W0</v>
      </c>
      <c r="K4" s="27" t="str">
        <f aca="false">IFERROR(INDEX(B4_PhanLopW!$AE$5:$AE$64,MATCH($A4&amp;"-"&amp;ThamSo!$C$21,B4_PhanLopW!$C$5:$C$64,0)),"")</f>
        <v>An toàn</v>
      </c>
      <c r="L4" s="5" t="str">
        <f aca="false">IFERROR(INDEX(B4_PhanLopW!$AF$5:$AF$64,MATCH($A4&amp;"-"&amp;ThamSo!$C$21,B4_PhanLopW!$C$5:$C$64,0)),"")</f>
        <v/>
      </c>
      <c r="M4" s="5" t="str">
        <f aca="false">IFERROR(INDEX(B4_PhanLopW!$AG$5:$AG$64,MATCH($A4&amp;"-"&amp;ThamSo!$C$21,B4_PhanLopW!$C$5:$C$64,0)),"")</f>
        <v/>
      </c>
      <c r="N4" s="26" t="n">
        <f aca="false">IFERROR(IFERROR(INDEX(B4_PhanLopW!$AH$5:$AH$64,MATCH($A4&amp;"-"&amp;ThamSo!$C$21,B4_PhanLopW!$C$5:$C$64,0)),"")/1000000000,"")</f>
        <v>0</v>
      </c>
      <c r="O4" s="20" t="n">
        <f aca="false">IFERROR(INDEX(B4_PhanLopW!$Z$5:$Z$64,MATCH($A4&amp;"-"&amp;ThamSo!$C$21,B4_PhanLopW!$C$5:$C$64,0)),"")</f>
        <v>0</v>
      </c>
      <c r="P4" s="26" t="n">
        <f aca="false">IFERROR(IFERROR(INDEX(DuLieu!$H$5:$H$88,MATCH($A4&amp;"-"&amp;ThamSo!$C$21,DuLieu!$AM$5:$AM$88,0)),"")/1000000000,"")</f>
        <v>17.229224009</v>
      </c>
      <c r="Q4" s="26" t="n">
        <f aca="false">IFERROR(MAX(IFERROR(INDEX(DuLieu!$D$5:$D$88,MATCH($A4&amp;"-"&amp;ThamSo!$C$21,DuLieu!$AM$5:$AM$88,0)),"")*B6_MillerOrr!$C$17,B6_MillerOrr!$C$23)/1000000000,"")</f>
        <v>16.082328025705</v>
      </c>
      <c r="R4" s="26" t="n">
        <f aca="false">IFERROR(Q4+3*(0.75*B6_MillerOrr!$C$22*(IFERROR(INDEX(DuLieu!$D$5:$D$88,MATCH($A4&amp;"-"&amp;ThamSo!$C$21,DuLieu!$AM$5:$AM$88,0)),"")*B6_MillerOrr!$C$20)^2/B6_MillerOrr!$C$21)^(1/3)/1000000000/3,"")</f>
        <v>17.832119561901</v>
      </c>
      <c r="S4" s="26" t="n">
        <f aca="false">IFERROR(Q4+3*(R4-Q4),"")</f>
        <v>21.331702634293</v>
      </c>
      <c r="T4" s="27" t="str">
        <f aca="false">IF(P4="","",IF(P4&lt;Q4,"Thiếu",IF(P4&gt;S4,"Thừa","Trong vùng L–H")))</f>
        <v>Trong vùng L–H</v>
      </c>
      <c r="U4" s="29" t="str">
        <f aca="false">IF(OR(J4="",T4="Trong vùng L–H",T4=""),"—","M"&amp;(2*(VALUE(RIGHT(J4,1)))+IF(T4="Thiếu",1,2)))</f>
        <v>—</v>
      </c>
      <c r="V4" s="19" t="str">
        <f aca="false">IFERROR(INDEX(MaTran_6O!$D$14:$D$19,MATCH(U4,MaTran_6O!$A$14:$A$19,0)),"Theo dõi, không hành động")</f>
        <v>Theo dõi, không hành động</v>
      </c>
    </row>
    <row r="5" customFormat="false" ht="15" hidden="false" customHeight="false" outlineLevel="0" collapsed="false">
      <c r="A5" s="25" t="s">
        <v>259</v>
      </c>
      <c r="B5" s="5" t="str">
        <f aca="false">INDEX(HoSoDN!$B$5:$B$32,MATCH(A5,HoSoDN!$A$5:$A$32,0))</f>
        <v>May mặc Bình Dương</v>
      </c>
      <c r="C5" s="5" t="str">
        <f aca="false">IFERROR(INDEX(B4_PhanLopW!$D$5:$D$64,MATCH($A5&amp;"-"&amp;ThamSo!$C$21,B4_PhanLopW!$C$5:$C$64,0)),"")</f>
        <v>FOB|Lớn</v>
      </c>
      <c r="D5" s="26" t="n">
        <f aca="false">IFERROR(INDEX(B4_PhanLopW!$I$5:$I$64,MATCH($A5&amp;"-"&amp;ThamSo!$C$21,B4_PhanLopW!$C$5:$C$64,0)),"")</f>
        <v>58.1151145</v>
      </c>
      <c r="E5" s="5" t="str">
        <f aca="false">IFERROR(INDEX(B4_PhanLopW!$AA$5:$AA$64,MATCH($A5&amp;"-"&amp;ThamSo!$C$21,B4_PhanLopW!$C$5:$C$64,0)),"")</f>
        <v>An toàn</v>
      </c>
      <c r="F5" s="26" t="n">
        <f aca="false">IFERROR(INDEX(B4_PhanLopW!$J$5:$J$64,MATCH($A5&amp;"-"&amp;ThamSo!$C$21,B4_PhanLopW!$C$5:$C$64,0)),"")</f>
        <v>58.32588451</v>
      </c>
      <c r="G5" s="5" t="str">
        <f aca="false">IFERROR(INDEX(B4_PhanLopW!$AB$5:$AB$64,MATCH($A5&amp;"-"&amp;ThamSo!$C$21,B4_PhanLopW!$C$5:$C$64,0)),"")</f>
        <v>An toàn</v>
      </c>
      <c r="H5" s="26" t="n">
        <f aca="false">IFERROR(INDEX(B4_PhanLopW!$K$5:$K$64,MATCH($A5&amp;"-"&amp;ThamSo!$C$21,B4_PhanLopW!$C$5:$C$64,0)),"")</f>
        <v>32.64284081</v>
      </c>
      <c r="I5" s="5" t="str">
        <f aca="false">IFERROR(INDEX(B4_PhanLopW!$AC$5:$AC$64,MATCH($A5&amp;"-"&amp;ThamSo!$C$21,B4_PhanLopW!$C$5:$C$64,0)),"")</f>
        <v>An toàn</v>
      </c>
      <c r="J5" s="27" t="str">
        <f aca="false">IFERROR(INDEX(B4_PhanLopW!$AD$5:$AD$64,MATCH($A5&amp;"-"&amp;ThamSo!$C$21,B4_PhanLopW!$C$5:$C$64,0)),"")</f>
        <v>W0</v>
      </c>
      <c r="K5" s="27" t="str">
        <f aca="false">IFERROR(INDEX(B4_PhanLopW!$AE$5:$AE$64,MATCH($A5&amp;"-"&amp;ThamSo!$C$21,B4_PhanLopW!$C$5:$C$64,0)),"")</f>
        <v>An toàn</v>
      </c>
      <c r="L5" s="5" t="str">
        <f aca="false">IFERROR(INDEX(B4_PhanLopW!$AF$5:$AF$64,MATCH($A5&amp;"-"&amp;ThamSo!$C$21,B4_PhanLopW!$C$5:$C$64,0)),"")</f>
        <v/>
      </c>
      <c r="M5" s="5" t="str">
        <f aca="false">IFERROR(INDEX(B4_PhanLopW!$AG$5:$AG$64,MATCH($A5&amp;"-"&amp;ThamSo!$C$21,B4_PhanLopW!$C$5:$C$64,0)),"")</f>
        <v/>
      </c>
      <c r="N5" s="26" t="n">
        <f aca="false">IFERROR(IFERROR(INDEX(B4_PhanLopW!$AH$5:$AH$64,MATCH($A5&amp;"-"&amp;ThamSo!$C$21,B4_PhanLopW!$C$5:$C$64,0)),"")/1000000000,"")</f>
        <v>0</v>
      </c>
      <c r="O5" s="20" t="n">
        <f aca="false">IFERROR(INDEX(B4_PhanLopW!$Z$5:$Z$64,MATCH($A5&amp;"-"&amp;ThamSo!$C$21,B4_PhanLopW!$C$5:$C$64,0)),"")</f>
        <v>0</v>
      </c>
      <c r="P5" s="26" t="n">
        <f aca="false">IFERROR(IFERROR(INDEX(DuLieu!$H$5:$H$88,MATCH($A5&amp;"-"&amp;ThamSo!$C$21,DuLieu!$AM$5:$AM$88,0)),"")/1000000000,"")</f>
        <v>40.096734073</v>
      </c>
      <c r="Q5" s="26" t="n">
        <f aca="false">IFERROR(MAX(IFERROR(INDEX(DuLieu!$D$5:$D$88,MATCH($A5&amp;"-"&amp;ThamSo!$C$21,DuLieu!$AM$5:$AM$88,0)),"")*B6_MillerOrr!$C$17,B6_MillerOrr!$C$23)/1000000000,"")</f>
        <v>73.8074503269029</v>
      </c>
      <c r="R5" s="26" t="n">
        <f aca="false">IFERROR(Q5+3*(0.75*B6_MillerOrr!$C$22*(IFERROR(INDEX(DuLieu!$D$5:$D$88,MATCH($A5&amp;"-"&amp;ThamSo!$C$21,DuLieu!$AM$5:$AM$88,0)),"")*B6_MillerOrr!$C$20)^2/B6_MillerOrr!$C$21)^(1/3)/1000000000/3,"")</f>
        <v>78.639749744652</v>
      </c>
      <c r="S5" s="26" t="n">
        <f aca="false">IFERROR(Q5+3*(R5-Q5),"")</f>
        <v>88.3043485801501</v>
      </c>
      <c r="T5" s="27" t="str">
        <f aca="false">IF(P5="","",IF(P5&lt;Q5,"Thiếu",IF(P5&gt;S5,"Thừa","Trong vùng L–H")))</f>
        <v>Thiếu</v>
      </c>
      <c r="U5" s="29" t="str">
        <f aca="false">IF(OR(J5="",T5="Trong vùng L–H",T5=""),"—","M"&amp;(2*(VALUE(RIGHT(J5,1)))+IF(T5="Thiếu",1,2)))</f>
        <v>M1</v>
      </c>
      <c r="V5" s="19" t="str">
        <f aca="false">IFERROR(INDEX(MaTran_6O!$D$14:$D$19,MATCH(U5,MaTran_6O!$A$14:$A$19,0)),"Theo dõi, không hành động")</f>
        <v>1. Vay ngắn hạn (short-term financing)</v>
      </c>
    </row>
    <row r="6" customFormat="false" ht="15" hidden="false" customHeight="false" outlineLevel="0" collapsed="false">
      <c r="A6" s="25" t="s">
        <v>262</v>
      </c>
      <c r="B6" s="5" t="str">
        <f aca="false">INDEX(HoSoDN!$B$5:$B$32,MATCH(A6,HoSoDN!$A$5:$A$32,0))</f>
        <v>May Bình Minh</v>
      </c>
      <c r="C6" s="5" t="str">
        <f aca="false">IFERROR(INDEX(B4_PhanLopW!$D$5:$D$64,MATCH($A6&amp;"-"&amp;ThamSo!$C$21,B4_PhanLopW!$C$5:$C$64,0)),"")</f>
        <v>FOB|Nhỏ–vừa</v>
      </c>
      <c r="D6" s="26" t="n">
        <f aca="false">IFERROR(INDEX(B4_PhanLopW!$I$5:$I$64,MATCH($A6&amp;"-"&amp;ThamSo!$C$21,B4_PhanLopW!$C$5:$C$64,0)),"")</f>
        <v>22.35158291</v>
      </c>
      <c r="E6" s="5" t="str">
        <f aca="false">IFERROR(INDEX(B4_PhanLopW!$AA$5:$AA$64,MATCH($A6&amp;"-"&amp;ThamSo!$C$21,B4_PhanLopW!$C$5:$C$64,0)),"")</f>
        <v>An toàn</v>
      </c>
      <c r="F6" s="26" t="n">
        <f aca="false">IFERROR(INDEX(B4_PhanLopW!$J$5:$J$64,MATCH($A6&amp;"-"&amp;ThamSo!$C$21,B4_PhanLopW!$C$5:$C$64,0)),"")</f>
        <v>73.81293373</v>
      </c>
      <c r="G6" s="5" t="str">
        <f aca="false">IFERROR(INDEX(B4_PhanLopW!$AB$5:$AB$64,MATCH($A6&amp;"-"&amp;ThamSo!$C$21,B4_PhanLopW!$C$5:$C$64,0)),"")</f>
        <v>An toàn</v>
      </c>
      <c r="H6" s="26" t="n">
        <f aca="false">IFERROR(INDEX(B4_PhanLopW!$K$5:$K$64,MATCH($A6&amp;"-"&amp;ThamSo!$C$21,B4_PhanLopW!$C$5:$C$64,0)),"")</f>
        <v>34.06861014</v>
      </c>
      <c r="I6" s="5" t="str">
        <f aca="false">IFERROR(INDEX(B4_PhanLopW!$AC$5:$AC$64,MATCH($A6&amp;"-"&amp;ThamSo!$C$21,B4_PhanLopW!$C$5:$C$64,0)),"")</f>
        <v>An toàn</v>
      </c>
      <c r="J6" s="27" t="str">
        <f aca="false">IFERROR(INDEX(B4_PhanLopW!$AD$5:$AD$64,MATCH($A6&amp;"-"&amp;ThamSo!$C$21,B4_PhanLopW!$C$5:$C$64,0)),"")</f>
        <v>W0</v>
      </c>
      <c r="K6" s="27" t="str">
        <f aca="false">IFERROR(INDEX(B4_PhanLopW!$AE$5:$AE$64,MATCH($A6&amp;"-"&amp;ThamSo!$C$21,B4_PhanLopW!$C$5:$C$64,0)),"")</f>
        <v>An toàn</v>
      </c>
      <c r="L6" s="5" t="str">
        <f aca="false">IFERROR(INDEX(B4_PhanLopW!$AF$5:$AF$64,MATCH($A6&amp;"-"&amp;ThamSo!$C$21,B4_PhanLopW!$C$5:$C$64,0)),"")</f>
        <v/>
      </c>
      <c r="M6" s="5" t="str">
        <f aca="false">IFERROR(INDEX(B4_PhanLopW!$AG$5:$AG$64,MATCH($A6&amp;"-"&amp;ThamSo!$C$21,B4_PhanLopW!$C$5:$C$64,0)),"")</f>
        <v/>
      </c>
      <c r="N6" s="26" t="n">
        <f aca="false">IFERROR(IFERROR(INDEX(B4_PhanLopW!$AH$5:$AH$64,MATCH($A6&amp;"-"&amp;ThamSo!$C$21,B4_PhanLopW!$C$5:$C$64,0)),"")/1000000000,"")</f>
        <v>0</v>
      </c>
      <c r="O6" s="20" t="n">
        <f aca="false">IFERROR(INDEX(B4_PhanLopW!$Z$5:$Z$64,MATCH($A6&amp;"-"&amp;ThamSo!$C$21,B4_PhanLopW!$C$5:$C$64,0)),"")</f>
        <v>0</v>
      </c>
      <c r="P6" s="26" t="n">
        <f aca="false">IFERROR(IFERROR(INDEX(DuLieu!$H$5:$H$88,MATCH($A6&amp;"-"&amp;ThamSo!$C$21,DuLieu!$AM$5:$AM$88,0)),"")/1000000000,"")</f>
        <v>11.934241483</v>
      </c>
      <c r="Q6" s="26" t="n">
        <f aca="false">IFERROR(MAX(IFERROR(INDEX(DuLieu!$D$5:$D$88,MATCH($A6&amp;"-"&amp;ThamSo!$C$21,DuLieu!$AM$5:$AM$88,0)),"")*B6_MillerOrr!$C$17,B6_MillerOrr!$C$23)/1000000000,"")</f>
        <v>12.3699187493481</v>
      </c>
      <c r="R6" s="26" t="n">
        <f aca="false">IFERROR(Q6+3*(0.75*B6_MillerOrr!$C$22*(IFERROR(INDEX(DuLieu!$D$5:$D$88,MATCH($A6&amp;"-"&amp;ThamSo!$C$21,DuLieu!$AM$5:$AM$88,0)),"")*B6_MillerOrr!$C$20)^2/B6_MillerOrr!$C$21)^(1/3)/1000000000/3,"")</f>
        <v>13.8388391603417</v>
      </c>
      <c r="S6" s="26" t="n">
        <f aca="false">IFERROR(Q6+3*(R6-Q6),"")</f>
        <v>16.7766799823287</v>
      </c>
      <c r="T6" s="27" t="str">
        <f aca="false">IF(P6="","",IF(P6&lt;Q6,"Thiếu",IF(P6&gt;S6,"Thừa","Trong vùng L–H")))</f>
        <v>Thiếu</v>
      </c>
      <c r="U6" s="29" t="str">
        <f aca="false">IF(OR(J6="",T6="Trong vùng L–H",T6=""),"—","M"&amp;(2*(VALUE(RIGHT(J6,1)))+IF(T6="Thiếu",1,2)))</f>
        <v>M1</v>
      </c>
      <c r="V6" s="19" t="str">
        <f aca="false">IFERROR(INDEX(MaTran_6O!$D$14:$D$19,MATCH(U6,MaTran_6O!$A$14:$A$19,0)),"Theo dõi, không hành động")</f>
        <v>1. Vay ngắn hạn (short-term financing)</v>
      </c>
    </row>
    <row r="7" customFormat="false" ht="15" hidden="false" customHeight="false" outlineLevel="0" collapsed="false">
      <c r="A7" s="25" t="s">
        <v>266</v>
      </c>
      <c r="B7" s="5" t="str">
        <f aca="false">INDEX(HoSoDN!$B$5:$B$32,MATCH(A7,HoSoDN!$A$5:$A$32,0))</f>
        <v>Dệt may 7</v>
      </c>
      <c r="C7" s="5" t="str">
        <f aca="false">IFERROR(INDEX(B4_PhanLopW!$D$5:$D$64,MATCH($A7&amp;"-"&amp;ThamSo!$C$21,B4_PhanLopW!$C$5:$C$64,0)),"")</f>
        <v>FOB|Nhỏ–vừa</v>
      </c>
      <c r="D7" s="26" t="n">
        <f aca="false">IFERROR(INDEX(B4_PhanLopW!$I$5:$I$64,MATCH($A7&amp;"-"&amp;ThamSo!$C$21,B4_PhanLopW!$C$5:$C$64,0)),"")</f>
        <v>112.89637465</v>
      </c>
      <c r="E7" s="5" t="str">
        <f aca="false">IFERROR(INDEX(B4_PhanLopW!$AA$5:$AA$64,MATCH($A7&amp;"-"&amp;ThamSo!$C$21,B4_PhanLopW!$C$5:$C$64,0)),"")</f>
        <v>Trầm trọng</v>
      </c>
      <c r="F7" s="26" t="n">
        <f aca="false">IFERROR(INDEX(B4_PhanLopW!$J$5:$J$64,MATCH($A7&amp;"-"&amp;ThamSo!$C$21,B4_PhanLopW!$C$5:$C$64,0)),"")</f>
        <v>55.71253193</v>
      </c>
      <c r="G7" s="5" t="str">
        <f aca="false">IFERROR(INDEX(B4_PhanLopW!$AB$5:$AB$64,MATCH($A7&amp;"-"&amp;ThamSo!$C$21,B4_PhanLopW!$C$5:$C$64,0)),"")</f>
        <v>An toàn</v>
      </c>
      <c r="H7" s="26" t="n">
        <f aca="false">IFERROR(INDEX(B4_PhanLopW!$K$5:$K$64,MATCH($A7&amp;"-"&amp;ThamSo!$C$21,B4_PhanLopW!$C$5:$C$64,0)),"")</f>
        <v>36.14441135</v>
      </c>
      <c r="I7" s="5" t="str">
        <f aca="false">IFERROR(INDEX(B4_PhanLopW!$AC$5:$AC$64,MATCH($A7&amp;"-"&amp;ThamSo!$C$21,B4_PhanLopW!$C$5:$C$64,0)),"")</f>
        <v>An toàn</v>
      </c>
      <c r="J7" s="27" t="str">
        <f aca="false">IFERROR(INDEX(B4_PhanLopW!$AD$5:$AD$64,MATCH($A7&amp;"-"&amp;ThamSo!$C$21,B4_PhanLopW!$C$5:$C$64,0)),"")</f>
        <v>W2</v>
      </c>
      <c r="K7" s="27" t="str">
        <f aca="false">IFERROR(INDEX(B4_PhanLopW!$AE$5:$AE$64,MATCH($A7&amp;"-"&amp;ThamSo!$C$21,B4_PhanLopW!$C$5:$C$64,0)),"")</f>
        <v>Thiếu trầm trọng</v>
      </c>
      <c r="L7" s="5" t="str">
        <f aca="false">IFERROR(INDEX(B4_PhanLopW!$AF$5:$AF$64,MATCH($A7&amp;"-"&amp;ThamSo!$C$21,B4_PhanLopW!$C$5:$C$64,0)),"")</f>
        <v>Phải thu</v>
      </c>
      <c r="M7" s="5" t="str">
        <f aca="false">IFERROR(INDEX(B4_PhanLopW!$AG$5:$AG$64,MATCH($A7&amp;"-"&amp;ThamSo!$C$21,B4_PhanLopW!$C$5:$C$64,0)),"")</f>
        <v>R-AR-2 R-MAT</v>
      </c>
      <c r="N7" s="26" t="n">
        <f aca="false">IFERROR(IFERROR(INDEX(B4_PhanLopW!$AH$5:$AH$64,MATCH($A7&amp;"-"&amp;ThamSo!$C$21,B4_PhanLopW!$C$5:$C$64,0)),"")/1000000000,"")</f>
        <v>111.03727500835</v>
      </c>
      <c r="O7" s="20" t="n">
        <f aca="false">IFERROR(INDEX(B4_PhanLopW!$Z$5:$Z$64,MATCH($A7&amp;"-"&amp;ThamSo!$C$21,B4_PhanLopW!$C$5:$C$64,0)),"")</f>
        <v>0.273286207452568</v>
      </c>
      <c r="P7" s="26" t="n">
        <f aca="false">IFERROR(IFERROR(INDEX(DuLieu!$H$5:$H$88,MATCH($A7&amp;"-"&amp;ThamSo!$C$21,DuLieu!$AM$5:$AM$88,0)),"")/1000000000,"")</f>
        <v>52.146473943</v>
      </c>
      <c r="Q7" s="26" t="n">
        <f aca="false">IFERROR(MAX(IFERROR(INDEX(DuLieu!$D$5:$D$88,MATCH($A7&amp;"-"&amp;ThamSo!$C$21,DuLieu!$AM$5:$AM$88,0)),"")*B6_MillerOrr!$C$17,B6_MillerOrr!$C$23)/1000000000,"")</f>
        <v>30.9757446636024</v>
      </c>
      <c r="R7" s="26" t="n">
        <f aca="false">IFERROR(Q7+3*(0.75*B6_MillerOrr!$C$22*(IFERROR(INDEX(DuLieu!$D$5:$D$88,MATCH($A7&amp;"-"&amp;ThamSo!$C$21,DuLieu!$AM$5:$AM$88,0)),"")*B6_MillerOrr!$C$20)^2/B6_MillerOrr!$C$21)^(1/3)/1000000000/3,"")</f>
        <v>33.6844901747153</v>
      </c>
      <c r="S7" s="26" t="n">
        <f aca="false">IFERROR(Q7+3*(R7-Q7),"")</f>
        <v>39.101981196941</v>
      </c>
      <c r="T7" s="27" t="str">
        <f aca="false">IF(P7="","",IF(P7&lt;Q7,"Thiếu",IF(P7&gt;S7,"Thừa","Trong vùng L–H")))</f>
        <v>Thừa</v>
      </c>
      <c r="U7" s="29" t="str">
        <f aca="false">IF(OR(J7="",T7="Trong vùng L–H",T7=""),"—","M"&amp;(2*(VALUE(RIGHT(J7,1)))+IF(T7="Thiếu",1,2)))</f>
        <v>M6</v>
      </c>
      <c r="V7" s="19" t="str">
        <f aca="false">IFERROR(INDEX(MaTran_6O!$D$14:$D$19,MATCH(U7,MaTran_6O!$A$14:$A$19,0)),"Theo dõi, không hành động")</f>
        <v>1. Giữ làm dự trữ</v>
      </c>
    </row>
    <row r="8" customFormat="false" ht="15" hidden="false" customHeight="false" outlineLevel="0" collapsed="false">
      <c r="A8" s="25" t="s">
        <v>276</v>
      </c>
      <c r="B8" s="5" t="str">
        <f aca="false">INDEX(HoSoDN!$B$5:$B$32,MATCH(A8,HoSoDN!$A$5:$A$32,0))</f>
        <v>Dệt may Hoàng Thị Loan</v>
      </c>
      <c r="C8" s="5" t="str">
        <f aca="false">IFERROR(INDEX(B4_PhanLopW!$D$5:$D$64,MATCH($A8&amp;"-"&amp;ThamSo!$C$21,B4_PhanLopW!$C$5:$C$64,0)),"")</f>
        <v>FOB|Nhỏ–vừa</v>
      </c>
      <c r="D8" s="26" t="n">
        <f aca="false">IFERROR(INDEX(B4_PhanLopW!$I$5:$I$64,MATCH($A8&amp;"-"&amp;ThamSo!$C$21,B4_PhanLopW!$C$5:$C$64,0)),"")</f>
        <v>39.37963681</v>
      </c>
      <c r="E8" s="5" t="str">
        <f aca="false">IFERROR(INDEX(B4_PhanLopW!$AA$5:$AA$64,MATCH($A8&amp;"-"&amp;ThamSo!$C$21,B4_PhanLopW!$C$5:$C$64,0)),"")</f>
        <v>An toàn</v>
      </c>
      <c r="F8" s="26" t="n">
        <f aca="false">IFERROR(INDEX(B4_PhanLopW!$J$5:$J$64,MATCH($A8&amp;"-"&amp;ThamSo!$C$21,B4_PhanLopW!$C$5:$C$64,0)),"")</f>
        <v>137.08930125</v>
      </c>
      <c r="G8" s="5" t="str">
        <f aca="false">IFERROR(INDEX(B4_PhanLopW!$AB$5:$AB$64,MATCH($A8&amp;"-"&amp;ThamSo!$C$21,B4_PhanLopW!$C$5:$C$64,0)),"")</f>
        <v>Có nguy cơ</v>
      </c>
      <c r="H8" s="26" t="n">
        <f aca="false">IFERROR(INDEX(B4_PhanLopW!$K$5:$K$64,MATCH($A8&amp;"-"&amp;ThamSo!$C$21,B4_PhanLopW!$C$5:$C$64,0)),"")</f>
        <v>19.25056259</v>
      </c>
      <c r="I8" s="5" t="str">
        <f aca="false">IFERROR(INDEX(B4_PhanLopW!$AC$5:$AC$64,MATCH($A8&amp;"-"&amp;ThamSo!$C$21,B4_PhanLopW!$C$5:$C$64,0)),"")</f>
        <v>An toàn</v>
      </c>
      <c r="J8" s="27" t="str">
        <f aca="false">IFERROR(INDEX(B4_PhanLopW!$AD$5:$AD$64,MATCH($A8&amp;"-"&amp;ThamSo!$C$21,B4_PhanLopW!$C$5:$C$64,0)),"")</f>
        <v>W2</v>
      </c>
      <c r="K8" s="27" t="str">
        <f aca="false">IFERROR(INDEX(B4_PhanLopW!$AE$5:$AE$64,MATCH($A8&amp;"-"&amp;ThamSo!$C$21,B4_PhanLopW!$C$5:$C$64,0)),"")</f>
        <v>Thiếu trầm trọng</v>
      </c>
      <c r="L8" s="5" t="str">
        <f aca="false">IFERROR(INDEX(B4_PhanLopW!$AF$5:$AF$64,MATCH($A8&amp;"-"&amp;ThamSo!$C$21,B4_PhanLopW!$C$5:$C$64,0)),"")</f>
        <v>Tồn kho</v>
      </c>
      <c r="M8" s="5" t="str">
        <f aca="false">IFERROR(INDEX(B4_PhanLopW!$AG$5:$AG$64,MATCH($A8&amp;"-"&amp;ThamSo!$C$21,B4_PhanLopW!$C$5:$C$64,0)),"")</f>
        <v>R-INV-1 R-MAT</v>
      </c>
      <c r="N8" s="26" t="n">
        <f aca="false">IFERROR(IFERROR(INDEX(B4_PhanLopW!$AH$5:$AH$64,MATCH($A8&amp;"-"&amp;ThamSo!$C$21,B4_PhanLopW!$C$5:$C$64,0)),"")/1000000000,"")</f>
        <v>32.5712144072805</v>
      </c>
      <c r="O8" s="20" t="n">
        <f aca="false">IFERROR(INDEX(B4_PhanLopW!$Z$5:$Z$64,MATCH($A8&amp;"-"&amp;ThamSo!$C$21,B4_PhanLopW!$C$5:$C$64,0)),"")</f>
        <v>0.249613951155393</v>
      </c>
      <c r="P8" s="26" t="n">
        <f aca="false">IFERROR(IFERROR(INDEX(DuLieu!$H$5:$H$88,MATCH($A8&amp;"-"&amp;ThamSo!$C$21,DuLieu!$AM$5:$AM$88,0)),"")/1000000000,"")</f>
        <v>30.366870618</v>
      </c>
      <c r="Q8" s="26" t="n">
        <f aca="false">IFERROR(MAX(IFERROR(INDEX(DuLieu!$D$5:$D$88,MATCH($A8&amp;"-"&amp;ThamSo!$C$21,DuLieu!$AM$5:$AM$88,0)),"")*B6_MillerOrr!$C$17,B6_MillerOrr!$C$23)/1000000000,"")</f>
        <v>10.0646821667736</v>
      </c>
      <c r="R8" s="26" t="n">
        <f aca="false">IFERROR(Q8+3*(0.75*B6_MillerOrr!$C$22*(IFERROR(INDEX(DuLieu!$D$5:$D$88,MATCH($A8&amp;"-"&amp;ThamSo!$C$21,DuLieu!$AM$5:$AM$88,0)),"")*B6_MillerOrr!$C$20)^2/B6_MillerOrr!$C$21)^(1/3)/1000000000/3,"")</f>
        <v>11.3449094472293</v>
      </c>
      <c r="S8" s="26" t="n">
        <f aca="false">IFERROR(Q8+3*(R8-Q8),"")</f>
        <v>13.9053640081405</v>
      </c>
      <c r="T8" s="27" t="str">
        <f aca="false">IF(P8="","",IF(P8&lt;Q8,"Thiếu",IF(P8&gt;S8,"Thừa","Trong vùng L–H")))</f>
        <v>Thừa</v>
      </c>
      <c r="U8" s="29" t="str">
        <f aca="false">IF(OR(J8="",T8="Trong vùng L–H",T8=""),"—","M"&amp;(2*(VALUE(RIGHT(J8,1)))+IF(T8="Thiếu",1,2)))</f>
        <v>M6</v>
      </c>
      <c r="V8" s="19" t="str">
        <f aca="false">IFERROR(INDEX(MaTran_6O!$D$14:$D$19,MATCH(U8,MaTran_6O!$A$14:$A$19,0)),"Theo dõi, không hành động")</f>
        <v>1. Giữ làm dự trữ</v>
      </c>
    </row>
    <row r="9" customFormat="false" ht="15" hidden="false" customHeight="false" outlineLevel="0" collapsed="false">
      <c r="A9" s="25" t="s">
        <v>278</v>
      </c>
      <c r="B9" s="5" t="str">
        <f aca="false">INDEX(HoSoDN!$B$5:$B$32,MATCH(A9,HoSoDN!$A$5:$A$32,0))</f>
        <v>May Hữu Nghị</v>
      </c>
      <c r="C9" s="5" t="str">
        <f aca="false">IFERROR(INDEX(B4_PhanLopW!$D$5:$D$64,MATCH($A9&amp;"-"&amp;ThamSo!$C$21,B4_PhanLopW!$C$5:$C$64,0)),"")</f>
        <v>FOB|Nhỏ–vừa</v>
      </c>
      <c r="D9" s="26" t="n">
        <f aca="false">IFERROR(INDEX(B4_PhanLopW!$I$5:$I$64,MATCH($A9&amp;"-"&amp;ThamSo!$C$21,B4_PhanLopW!$C$5:$C$64,0)),"")</f>
        <v>63.25233935</v>
      </c>
      <c r="E9" s="5" t="str">
        <f aca="false">IFERROR(INDEX(B4_PhanLopW!$AA$5:$AA$64,MATCH($A9&amp;"-"&amp;ThamSo!$C$21,B4_PhanLopW!$C$5:$C$64,0)),"")</f>
        <v>Có nguy cơ</v>
      </c>
      <c r="F9" s="26" t="n">
        <f aca="false">IFERROR(INDEX(B4_PhanLopW!$J$5:$J$64,MATCH($A9&amp;"-"&amp;ThamSo!$C$21,B4_PhanLopW!$C$5:$C$64,0)),"")</f>
        <v>26.97783069</v>
      </c>
      <c r="G9" s="5" t="str">
        <f aca="false">IFERROR(INDEX(B4_PhanLopW!$AB$5:$AB$64,MATCH($A9&amp;"-"&amp;ThamSo!$C$21,B4_PhanLopW!$C$5:$C$64,0)),"")</f>
        <v>An toàn</v>
      </c>
      <c r="H9" s="26" t="n">
        <f aca="false">IFERROR(INDEX(B4_PhanLopW!$K$5:$K$64,MATCH($A9&amp;"-"&amp;ThamSo!$C$21,B4_PhanLopW!$C$5:$C$64,0)),"")</f>
        <v>25.86649979</v>
      </c>
      <c r="I9" s="5" t="str">
        <f aca="false">IFERROR(INDEX(B4_PhanLopW!$AC$5:$AC$64,MATCH($A9&amp;"-"&amp;ThamSo!$C$21,B4_PhanLopW!$C$5:$C$64,0)),"")</f>
        <v>An toàn</v>
      </c>
      <c r="J9" s="27" t="str">
        <f aca="false">IFERROR(INDEX(B4_PhanLopW!$AD$5:$AD$64,MATCH($A9&amp;"-"&amp;ThamSo!$C$21,B4_PhanLopW!$C$5:$C$64,0)),"")</f>
        <v>W1</v>
      </c>
      <c r="K9" s="27" t="str">
        <f aca="false">IFERROR(INDEX(B4_PhanLopW!$AE$5:$AE$64,MATCH($A9&amp;"-"&amp;ThamSo!$C$21,B4_PhanLopW!$C$5:$C$64,0)),"")</f>
        <v>Có nguy cơ</v>
      </c>
      <c r="L9" s="5" t="str">
        <f aca="false">IFERROR(INDEX(B4_PhanLopW!$AF$5:$AF$64,MATCH($A9&amp;"-"&amp;ThamSo!$C$21,B4_PhanLopW!$C$5:$C$64,0)),"")</f>
        <v>Phải thu</v>
      </c>
      <c r="M9" s="5" t="str">
        <f aca="false">IFERROR(INDEX(B4_PhanLopW!$AG$5:$AG$64,MATCH($A9&amp;"-"&amp;ThamSo!$C$21,B4_PhanLopW!$C$5:$C$64,0)),"")</f>
        <v>R-AR-1</v>
      </c>
      <c r="N9" s="26" t="n">
        <f aca="false">IFERROR(IFERROR(INDEX(B4_PhanLopW!$AH$5:$AH$64,MATCH($A9&amp;"-"&amp;ThamSo!$C$21,B4_PhanLopW!$C$5:$C$64,0)),"")/1000000000,"")</f>
        <v>13.550058817158</v>
      </c>
      <c r="O9" s="20" t="n">
        <f aca="false">IFERROR(INDEX(B4_PhanLopW!$Z$5:$Z$64,MATCH($A9&amp;"-"&amp;ThamSo!$C$21,B4_PhanLopW!$C$5:$C$64,0)),"")</f>
        <v>0.021701352386105</v>
      </c>
      <c r="P9" s="26" t="n">
        <f aca="false">IFERROR(IFERROR(INDEX(DuLieu!$H$5:$H$88,MATCH($A9&amp;"-"&amp;ThamSo!$C$21,DuLieu!$AM$5:$AM$88,0)),"")/1000000000,"")</f>
        <v>335.399301943</v>
      </c>
      <c r="Q9" s="26" t="n">
        <f aca="false">IFERROR(MAX(IFERROR(INDEX(DuLieu!$D$5:$D$88,MATCH($A9&amp;"-"&amp;ThamSo!$C$21,DuLieu!$AM$5:$AM$88,0)),"")*B6_MillerOrr!$C$17,B6_MillerOrr!$C$23)/1000000000,"")</f>
        <v>40.9748657836415</v>
      </c>
      <c r="R9" s="26" t="n">
        <f aca="false">IFERROR(Q9+3*(0.75*B6_MillerOrr!$C$22*(IFERROR(INDEX(DuLieu!$D$5:$D$88,MATCH($A9&amp;"-"&amp;ThamSo!$C$21,DuLieu!$AM$5:$AM$88,0)),"")*B6_MillerOrr!$C$20)^2/B6_MillerOrr!$C$21)^(1/3)/1000000000/3,"")</f>
        <v>44.2389803529538</v>
      </c>
      <c r="S9" s="26" t="n">
        <f aca="false">IFERROR(Q9+3*(R9-Q9),"")</f>
        <v>50.7672094915785</v>
      </c>
      <c r="T9" s="27" t="str">
        <f aca="false">IF(P9="","",IF(P9&lt;Q9,"Thiếu",IF(P9&gt;S9,"Thừa","Trong vùng L–H")))</f>
        <v>Thừa</v>
      </c>
      <c r="U9" s="29" t="str">
        <f aca="false">IF(OR(J9="",T9="Trong vùng L–H",T9=""),"—","M"&amp;(2*(VALUE(RIGHT(J9,1)))+IF(T9="Thiếu",1,2)))</f>
        <v>M4</v>
      </c>
      <c r="V9" s="19" t="str">
        <f aca="false">IFERROR(INDEX(MaTran_6O!$D$14:$D$19,MATCH(U9,MaTran_6O!$A$14:$A$19,0)),"Theo dõi, không hành động")</f>
        <v>1. Giữ làm dự trữ</v>
      </c>
    </row>
    <row r="10" customFormat="false" ht="15" hidden="false" customHeight="false" outlineLevel="0" collapsed="false">
      <c r="A10" s="25" t="s">
        <v>280</v>
      </c>
      <c r="B10" s="5" t="str">
        <f aca="false">INDEX(HoSoDN!$B$5:$B$32,MATCH(A10,HoSoDN!$A$5:$A$32,0))</f>
        <v>Dệt may Hòa Thọ</v>
      </c>
      <c r="C10" s="5" t="str">
        <f aca="false">IFERROR(INDEX(B4_PhanLopW!$D$5:$D$64,MATCH($A10&amp;"-"&amp;ThamSo!$C$21,B4_PhanLopW!$C$5:$C$64,0)),"")</f>
        <v>FOB|Lớn</v>
      </c>
      <c r="D10" s="26" t="n">
        <f aca="false">IFERROR(INDEX(B4_PhanLopW!$I$5:$I$64,MATCH($A10&amp;"-"&amp;ThamSo!$C$21,B4_PhanLopW!$C$5:$C$64,0)),"")</f>
        <v>41.52168612</v>
      </c>
      <c r="E10" s="5" t="str">
        <f aca="false">IFERROR(INDEX(B4_PhanLopW!$AA$5:$AA$64,MATCH($A10&amp;"-"&amp;ThamSo!$C$21,B4_PhanLopW!$C$5:$C$64,0)),"")</f>
        <v>An toàn</v>
      </c>
      <c r="F10" s="26" t="n">
        <f aca="false">IFERROR(INDEX(B4_PhanLopW!$J$5:$J$64,MATCH($A10&amp;"-"&amp;ThamSo!$C$21,B4_PhanLopW!$C$5:$C$64,0)),"")</f>
        <v>64.5579232</v>
      </c>
      <c r="G10" s="5" t="str">
        <f aca="false">IFERROR(INDEX(B4_PhanLopW!$AB$5:$AB$64,MATCH($A10&amp;"-"&amp;ThamSo!$C$21,B4_PhanLopW!$C$5:$C$64,0)),"")</f>
        <v>An toàn</v>
      </c>
      <c r="H10" s="26" t="n">
        <f aca="false">IFERROR(INDEX(B4_PhanLopW!$K$5:$K$64,MATCH($A10&amp;"-"&amp;ThamSo!$C$21,B4_PhanLopW!$C$5:$C$64,0)),"")</f>
        <v>18.70767516</v>
      </c>
      <c r="I10" s="5" t="str">
        <f aca="false">IFERROR(INDEX(B4_PhanLopW!$AC$5:$AC$64,MATCH($A10&amp;"-"&amp;ThamSo!$C$21,B4_PhanLopW!$C$5:$C$64,0)),"")</f>
        <v>An toàn</v>
      </c>
      <c r="J10" s="27" t="str">
        <f aca="false">IFERROR(INDEX(B4_PhanLopW!$AD$5:$AD$64,MATCH($A10&amp;"-"&amp;ThamSo!$C$21,B4_PhanLopW!$C$5:$C$64,0)),"")</f>
        <v>W0</v>
      </c>
      <c r="K10" s="27" t="str">
        <f aca="false">IFERROR(INDEX(B4_PhanLopW!$AE$5:$AE$64,MATCH($A10&amp;"-"&amp;ThamSo!$C$21,B4_PhanLopW!$C$5:$C$64,0)),"")</f>
        <v>An toàn</v>
      </c>
      <c r="L10" s="5" t="str">
        <f aca="false">IFERROR(INDEX(B4_PhanLopW!$AF$5:$AF$64,MATCH($A10&amp;"-"&amp;ThamSo!$C$21,B4_PhanLopW!$C$5:$C$64,0)),"")</f>
        <v/>
      </c>
      <c r="M10" s="5" t="str">
        <f aca="false">IFERROR(INDEX(B4_PhanLopW!$AG$5:$AG$64,MATCH($A10&amp;"-"&amp;ThamSo!$C$21,B4_PhanLopW!$C$5:$C$64,0)),"")</f>
        <v/>
      </c>
      <c r="N10" s="26" t="n">
        <f aca="false">IFERROR(IFERROR(INDEX(B4_PhanLopW!$AH$5:$AH$64,MATCH($A10&amp;"-"&amp;ThamSo!$C$21,B4_PhanLopW!$C$5:$C$64,0)),"")/1000000000,"")</f>
        <v>0</v>
      </c>
      <c r="O10" s="20" t="n">
        <f aca="false">IFERROR(INDEX(B4_PhanLopW!$Z$5:$Z$64,MATCH($A10&amp;"-"&amp;ThamSo!$C$21,B4_PhanLopW!$C$5:$C$64,0)),"")</f>
        <v>0</v>
      </c>
      <c r="P10" s="26" t="n">
        <f aca="false">IFERROR(IFERROR(INDEX(DuLieu!$H$5:$H$88,MATCH($A10&amp;"-"&amp;ThamSo!$C$21,DuLieu!$AM$5:$AM$88,0)),"")/1000000000,"")</f>
        <v>386.872729034</v>
      </c>
      <c r="Q10" s="26" t="n">
        <f aca="false">IFERROR(MAX(IFERROR(INDEX(DuLieu!$D$5:$D$88,MATCH($A10&amp;"-"&amp;ThamSo!$C$21,DuLieu!$AM$5:$AM$88,0)),"")*B6_MillerOrr!$C$17,B6_MillerOrr!$C$23)/1000000000,"")</f>
        <v>226.223723046222</v>
      </c>
      <c r="R10" s="26" t="n">
        <f aca="false">IFERROR(Q10+3*(0.75*B6_MillerOrr!$C$22*(IFERROR(INDEX(DuLieu!$D$5:$D$88,MATCH($A10&amp;"-"&amp;ThamSo!$C$21,DuLieu!$AM$5:$AM$88,0)),"")*B6_MillerOrr!$C$20)^2/B6_MillerOrr!$C$21)^(1/3)/1000000000/3,"")</f>
        <v>236.420098006542</v>
      </c>
      <c r="S10" s="26" t="n">
        <f aca="false">IFERROR(Q10+3*(R10-Q10),"")</f>
        <v>256.812847927183</v>
      </c>
      <c r="T10" s="27" t="str">
        <f aca="false">IF(P10="","",IF(P10&lt;Q10,"Thiếu",IF(P10&gt;S10,"Thừa","Trong vùng L–H")))</f>
        <v>Thừa</v>
      </c>
      <c r="U10" s="29" t="str">
        <f aca="false">IF(OR(J10="",T10="Trong vùng L–H",T10=""),"—","M"&amp;(2*(VALUE(RIGHT(J10,1)))+IF(T10="Thiếu",1,2)))</f>
        <v>M2</v>
      </c>
      <c r="V10" s="19" t="str">
        <f aca="false">IFERROR(INDEX(MaTran_6O!$D$14:$D$19,MATCH(U10,MaTran_6O!$A$14:$A$19,0)),"Theo dõi, không hành động")</f>
        <v>1. Đầu tư ngắn hạn phần (Tiền − Z)</v>
      </c>
    </row>
    <row r="11" customFormat="false" ht="15" hidden="false" customHeight="false" outlineLevel="0" collapsed="false">
      <c r="A11" s="25" t="s">
        <v>282</v>
      </c>
      <c r="B11" s="5" t="str">
        <f aca="false">INDEX(HoSoDN!$B$5:$B$32,MATCH(A11,HoSoDN!$A$5:$A$32,0))</f>
        <v>May Hưng Yên</v>
      </c>
      <c r="C11" s="5" t="str">
        <f aca="false">IFERROR(INDEX(B4_PhanLopW!$D$5:$D$64,MATCH($A11&amp;"-"&amp;ThamSo!$C$21,B4_PhanLopW!$C$5:$C$64,0)),"")</f>
        <v>FOB|Nhỏ–vừa</v>
      </c>
      <c r="D11" s="26" t="n">
        <f aca="false">IFERROR(INDEX(B4_PhanLopW!$I$5:$I$64,MATCH($A11&amp;"-"&amp;ThamSo!$C$21,B4_PhanLopW!$C$5:$C$64,0)),"")</f>
        <v>28.4060085</v>
      </c>
      <c r="E11" s="5" t="str">
        <f aca="false">IFERROR(INDEX(B4_PhanLopW!$AA$5:$AA$64,MATCH($A11&amp;"-"&amp;ThamSo!$C$21,B4_PhanLopW!$C$5:$C$64,0)),"")</f>
        <v>An toàn</v>
      </c>
      <c r="F11" s="26" t="n">
        <f aca="false">IFERROR(INDEX(B4_PhanLopW!$J$5:$J$64,MATCH($A11&amp;"-"&amp;ThamSo!$C$21,B4_PhanLopW!$C$5:$C$64,0)),"")</f>
        <v>34.0754797</v>
      </c>
      <c r="G11" s="5" t="str">
        <f aca="false">IFERROR(INDEX(B4_PhanLopW!$AB$5:$AB$64,MATCH($A11&amp;"-"&amp;ThamSo!$C$21,B4_PhanLopW!$C$5:$C$64,0)),"")</f>
        <v>An toàn</v>
      </c>
      <c r="H11" s="26" t="n">
        <f aca="false">IFERROR(INDEX(B4_PhanLopW!$K$5:$K$64,MATCH($A11&amp;"-"&amp;ThamSo!$C$21,B4_PhanLopW!$C$5:$C$64,0)),"")</f>
        <v>16.68748309</v>
      </c>
      <c r="I11" s="5" t="str">
        <f aca="false">IFERROR(INDEX(B4_PhanLopW!$AC$5:$AC$64,MATCH($A11&amp;"-"&amp;ThamSo!$C$21,B4_PhanLopW!$C$5:$C$64,0)),"")</f>
        <v>An toàn</v>
      </c>
      <c r="J11" s="27" t="str">
        <f aca="false">IFERROR(INDEX(B4_PhanLopW!$AD$5:$AD$64,MATCH($A11&amp;"-"&amp;ThamSo!$C$21,B4_PhanLopW!$C$5:$C$64,0)),"")</f>
        <v>W0</v>
      </c>
      <c r="K11" s="27" t="str">
        <f aca="false">IFERROR(INDEX(B4_PhanLopW!$AE$5:$AE$64,MATCH($A11&amp;"-"&amp;ThamSo!$C$21,B4_PhanLopW!$C$5:$C$64,0)),"")</f>
        <v>An toàn</v>
      </c>
      <c r="L11" s="5" t="str">
        <f aca="false">IFERROR(INDEX(B4_PhanLopW!$AF$5:$AF$64,MATCH($A11&amp;"-"&amp;ThamSo!$C$21,B4_PhanLopW!$C$5:$C$64,0)),"")</f>
        <v/>
      </c>
      <c r="M11" s="5" t="str">
        <f aca="false">IFERROR(INDEX(B4_PhanLopW!$AG$5:$AG$64,MATCH($A11&amp;"-"&amp;ThamSo!$C$21,B4_PhanLopW!$C$5:$C$64,0)),"")</f>
        <v/>
      </c>
      <c r="N11" s="26" t="n">
        <f aca="false">IFERROR(IFERROR(INDEX(B4_PhanLopW!$AH$5:$AH$64,MATCH($A11&amp;"-"&amp;ThamSo!$C$21,B4_PhanLopW!$C$5:$C$64,0)),"")/1000000000,"")</f>
        <v>0</v>
      </c>
      <c r="O11" s="20" t="n">
        <f aca="false">IFERROR(INDEX(B4_PhanLopW!$Z$5:$Z$64,MATCH($A11&amp;"-"&amp;ThamSo!$C$21,B4_PhanLopW!$C$5:$C$64,0)),"")</f>
        <v>0</v>
      </c>
      <c r="P11" s="26" t="n">
        <f aca="false">IFERROR(IFERROR(INDEX(DuLieu!$H$5:$H$88,MATCH($A11&amp;"-"&amp;ThamSo!$C$21,DuLieu!$AM$5:$AM$88,0)),"")/1000000000,"")</f>
        <v>43.517168767</v>
      </c>
      <c r="Q11" s="26" t="n">
        <f aca="false">IFERROR(MAX(IFERROR(INDEX(DuLieu!$D$5:$D$88,MATCH($A11&amp;"-"&amp;ThamSo!$C$21,DuLieu!$AM$5:$AM$88,0)),"")*B6_MillerOrr!$C$17,B6_MillerOrr!$C$23)/1000000000,"")</f>
        <v>32.992456529382</v>
      </c>
      <c r="R11" s="26" t="n">
        <f aca="false">IFERROR(Q11+3*(0.75*B6_MillerOrr!$C$22*(IFERROR(INDEX(DuLieu!$D$5:$D$88,MATCH($A11&amp;"-"&amp;ThamSo!$C$21,DuLieu!$AM$5:$AM$88,0)),"")*B6_MillerOrr!$C$20)^2/B6_MillerOrr!$C$21)^(1/3)/1000000000/3,"")</f>
        <v>35.8175325331293</v>
      </c>
      <c r="S11" s="26" t="n">
        <f aca="false">IFERROR(Q11+3*(R11-Q11),"")</f>
        <v>41.4676845406237</v>
      </c>
      <c r="T11" s="27" t="str">
        <f aca="false">IF(P11="","",IF(P11&lt;Q11,"Thiếu",IF(P11&gt;S11,"Thừa","Trong vùng L–H")))</f>
        <v>Thừa</v>
      </c>
      <c r="U11" s="29" t="str">
        <f aca="false">IF(OR(J11="",T11="Trong vùng L–H",T11=""),"—","M"&amp;(2*(VALUE(RIGHT(J11,1)))+IF(T11="Thiếu",1,2)))</f>
        <v>M2</v>
      </c>
      <c r="V11" s="19" t="str">
        <f aca="false">IFERROR(INDEX(MaTran_6O!$D$14:$D$19,MATCH(U11,MaTran_6O!$A$14:$A$19,0)),"Theo dõi, không hành động")</f>
        <v>1. Đầu tư ngắn hạn phần (Tiền − Z)</v>
      </c>
    </row>
    <row r="12" customFormat="false" ht="15" hidden="false" customHeight="false" outlineLevel="0" collapsed="false">
      <c r="A12" s="25" t="s">
        <v>284</v>
      </c>
      <c r="B12" s="5" t="str">
        <f aca="false">INDEX(HoSoDN!$B$5:$B$32,MATCH(A12,HoSoDN!$A$5:$A$32,0))</f>
        <v>Tổng Công ty May 10</v>
      </c>
      <c r="C12" s="5" t="str">
        <f aca="false">IFERROR(INDEX(B4_PhanLopW!$D$5:$D$64,MATCH($A12&amp;"-"&amp;ThamSo!$C$21,B4_PhanLopW!$C$5:$C$64,0)),"")</f>
        <v>FOB|Lớn</v>
      </c>
      <c r="D12" s="26" t="n">
        <f aca="false">IFERROR(INDEX(B4_PhanLopW!$I$5:$I$64,MATCH($A12&amp;"-"&amp;ThamSo!$C$21,B4_PhanLopW!$C$5:$C$64,0)),"")</f>
        <v>43.71211475</v>
      </c>
      <c r="E12" s="5" t="str">
        <f aca="false">IFERROR(INDEX(B4_PhanLopW!$AA$5:$AA$64,MATCH($A12&amp;"-"&amp;ThamSo!$C$21,B4_PhanLopW!$C$5:$C$64,0)),"")</f>
        <v>An toàn</v>
      </c>
      <c r="F12" s="26" t="n">
        <f aca="false">IFERROR(INDEX(B4_PhanLopW!$J$5:$J$64,MATCH($A12&amp;"-"&amp;ThamSo!$C$21,B4_PhanLopW!$C$5:$C$64,0)),"")</f>
        <v>69.53839775</v>
      </c>
      <c r="G12" s="5" t="str">
        <f aca="false">IFERROR(INDEX(B4_PhanLopW!$AB$5:$AB$64,MATCH($A12&amp;"-"&amp;ThamSo!$C$21,B4_PhanLopW!$C$5:$C$64,0)),"")</f>
        <v>An toàn</v>
      </c>
      <c r="H12" s="26" t="n">
        <f aca="false">IFERROR(INDEX(B4_PhanLopW!$K$5:$K$64,MATCH($A12&amp;"-"&amp;ThamSo!$C$21,B4_PhanLopW!$C$5:$C$64,0)),"")</f>
        <v>64.05639265</v>
      </c>
      <c r="I12" s="5" t="str">
        <f aca="false">IFERROR(INDEX(B4_PhanLopW!$AC$5:$AC$64,MATCH($A12&amp;"-"&amp;ThamSo!$C$21,B4_PhanLopW!$C$5:$C$64,0)),"")</f>
        <v>An toàn</v>
      </c>
      <c r="J12" s="27" t="str">
        <f aca="false">IFERROR(INDEX(B4_PhanLopW!$AD$5:$AD$64,MATCH($A12&amp;"-"&amp;ThamSo!$C$21,B4_PhanLopW!$C$5:$C$64,0)),"")</f>
        <v>W0</v>
      </c>
      <c r="K12" s="27" t="str">
        <f aca="false">IFERROR(INDEX(B4_PhanLopW!$AE$5:$AE$64,MATCH($A12&amp;"-"&amp;ThamSo!$C$21,B4_PhanLopW!$C$5:$C$64,0)),"")</f>
        <v>An toàn</v>
      </c>
      <c r="L12" s="5" t="str">
        <f aca="false">IFERROR(INDEX(B4_PhanLopW!$AF$5:$AF$64,MATCH($A12&amp;"-"&amp;ThamSo!$C$21,B4_PhanLopW!$C$5:$C$64,0)),"")</f>
        <v/>
      </c>
      <c r="M12" s="5" t="str">
        <f aca="false">IFERROR(INDEX(B4_PhanLopW!$AG$5:$AG$64,MATCH($A12&amp;"-"&amp;ThamSo!$C$21,B4_PhanLopW!$C$5:$C$64,0)),"")</f>
        <v/>
      </c>
      <c r="N12" s="26" t="n">
        <f aca="false">IFERROR(IFERROR(INDEX(B4_PhanLopW!$AH$5:$AH$64,MATCH($A12&amp;"-"&amp;ThamSo!$C$21,B4_PhanLopW!$C$5:$C$64,0)),"")/1000000000,"")</f>
        <v>0</v>
      </c>
      <c r="O12" s="20" t="n">
        <f aca="false">IFERROR(INDEX(B4_PhanLopW!$Z$5:$Z$64,MATCH($A12&amp;"-"&amp;ThamSo!$C$21,B4_PhanLopW!$C$5:$C$64,0)),"")</f>
        <v>0</v>
      </c>
      <c r="P12" s="26" t="n">
        <f aca="false">IFERROR(IFERROR(INDEX(DuLieu!$H$5:$H$88,MATCH($A12&amp;"-"&amp;ThamSo!$C$21,DuLieu!$AM$5:$AM$88,0)),"")/1000000000,"")</f>
        <v>100.89832957</v>
      </c>
      <c r="Q12" s="26" t="n">
        <f aca="false">IFERROR(MAX(IFERROR(INDEX(DuLieu!$D$5:$D$88,MATCH($A12&amp;"-"&amp;ThamSo!$C$21,DuLieu!$AM$5:$AM$88,0)),"")*B6_MillerOrr!$C$17,B6_MillerOrr!$C$23)/1000000000,"")</f>
        <v>209.439934818016</v>
      </c>
      <c r="R12" s="26" t="n">
        <f aca="false">IFERROR(Q12+3*(0.75*B6_MillerOrr!$C$22*(IFERROR(INDEX(DuLieu!$D$5:$D$88,MATCH($A12&amp;"-"&amp;ThamSo!$C$21,DuLieu!$AM$5:$AM$88,0)),"")*B6_MillerOrr!$C$20)^2/B6_MillerOrr!$C$21)^(1/3)/1000000000/3,"")</f>
        <v>219.125538552357</v>
      </c>
      <c r="S12" s="26" t="n">
        <f aca="false">IFERROR(Q12+3*(R12-Q12),"")</f>
        <v>238.496746021038</v>
      </c>
      <c r="T12" s="27" t="str">
        <f aca="false">IF(P12="","",IF(P12&lt;Q12,"Thiếu",IF(P12&gt;S12,"Thừa","Trong vùng L–H")))</f>
        <v>Thiếu</v>
      </c>
      <c r="U12" s="29" t="str">
        <f aca="false">IF(OR(J12="",T12="Trong vùng L–H",T12=""),"—","M"&amp;(2*(VALUE(RIGHT(J12,1)))+IF(T12="Thiếu",1,2)))</f>
        <v>M1</v>
      </c>
      <c r="V12" s="19" t="str">
        <f aca="false">IFERROR(INDEX(MaTran_6O!$D$14:$D$19,MATCH(U12,MaTran_6O!$A$14:$A$19,0)),"Theo dõi, không hành động")</f>
        <v>1. Vay ngắn hạn (short-term financing)</v>
      </c>
    </row>
    <row r="13" customFormat="false" ht="15" hidden="false" customHeight="false" outlineLevel="0" collapsed="false">
      <c r="A13" s="25" t="s">
        <v>286</v>
      </c>
      <c r="B13" s="5" t="str">
        <f aca="false">INDEX(HoSoDN!$B$5:$B$32,MATCH(A13,HoSoDN!$A$5:$A$32,0))</f>
        <v>May Đức Giang</v>
      </c>
      <c r="C13" s="5" t="str">
        <f aca="false">IFERROR(INDEX(B4_PhanLopW!$D$5:$D$64,MATCH($A13&amp;"-"&amp;ThamSo!$C$21,B4_PhanLopW!$C$5:$C$64,0)),"")</f>
        <v>FOB|Lớn</v>
      </c>
      <c r="D13" s="26" t="n">
        <f aca="false">IFERROR(INDEX(B4_PhanLopW!$I$5:$I$64,MATCH($A13&amp;"-"&amp;ThamSo!$C$21,B4_PhanLopW!$C$5:$C$64,0)),"")</f>
        <v>54.73756874</v>
      </c>
      <c r="E13" s="5" t="str">
        <f aca="false">IFERROR(INDEX(B4_PhanLopW!$AA$5:$AA$64,MATCH($A13&amp;"-"&amp;ThamSo!$C$21,B4_PhanLopW!$C$5:$C$64,0)),"")</f>
        <v>An toàn</v>
      </c>
      <c r="F13" s="26" t="n">
        <f aca="false">IFERROR(INDEX(B4_PhanLopW!$J$5:$J$64,MATCH($A13&amp;"-"&amp;ThamSo!$C$21,B4_PhanLopW!$C$5:$C$64,0)),"")</f>
        <v>24.46245626</v>
      </c>
      <c r="G13" s="5" t="str">
        <f aca="false">IFERROR(INDEX(B4_PhanLopW!$AB$5:$AB$64,MATCH($A13&amp;"-"&amp;ThamSo!$C$21,B4_PhanLopW!$C$5:$C$64,0)),"")</f>
        <v>An toàn</v>
      </c>
      <c r="H13" s="26" t="n">
        <f aca="false">IFERROR(INDEX(B4_PhanLopW!$K$5:$K$64,MATCH($A13&amp;"-"&amp;ThamSo!$C$21,B4_PhanLopW!$C$5:$C$64,0)),"")</f>
        <v>100.84165651</v>
      </c>
      <c r="I13" s="5" t="str">
        <f aca="false">IFERROR(INDEX(B4_PhanLopW!$AC$5:$AC$64,MATCH($A13&amp;"-"&amp;ThamSo!$C$21,B4_PhanLopW!$C$5:$C$64,0)),"")</f>
        <v>Lưu ý: DPO cao – kiểm tra quá hạn NCC</v>
      </c>
      <c r="J13" s="27" t="str">
        <f aca="false">IFERROR(INDEX(B4_PhanLopW!$AD$5:$AD$64,MATCH($A13&amp;"-"&amp;ThamSo!$C$21,B4_PhanLopW!$C$5:$C$64,0)),"")</f>
        <v>W0</v>
      </c>
      <c r="K13" s="27" t="str">
        <f aca="false">IFERROR(INDEX(B4_PhanLopW!$AE$5:$AE$64,MATCH($A13&amp;"-"&amp;ThamSo!$C$21,B4_PhanLopW!$C$5:$C$64,0)),"")</f>
        <v>An toàn</v>
      </c>
      <c r="L13" s="5" t="str">
        <f aca="false">IFERROR(INDEX(B4_PhanLopW!$AF$5:$AF$64,MATCH($A13&amp;"-"&amp;ThamSo!$C$21,B4_PhanLopW!$C$5:$C$64,0)),"")</f>
        <v/>
      </c>
      <c r="M13" s="5" t="str">
        <f aca="false">IFERROR(INDEX(B4_PhanLopW!$AG$5:$AG$64,MATCH($A13&amp;"-"&amp;ThamSo!$C$21,B4_PhanLopW!$C$5:$C$64,0)),"")</f>
        <v/>
      </c>
      <c r="N13" s="26" t="n">
        <f aca="false">IFERROR(IFERROR(INDEX(B4_PhanLopW!$AH$5:$AH$64,MATCH($A13&amp;"-"&amp;ThamSo!$C$21,B4_PhanLopW!$C$5:$C$64,0)),"")/1000000000,"")</f>
        <v>0</v>
      </c>
      <c r="O13" s="20" t="n">
        <f aca="false">IFERROR(INDEX(B4_PhanLopW!$Z$5:$Z$64,MATCH($A13&amp;"-"&amp;ThamSo!$C$21,B4_PhanLopW!$C$5:$C$64,0)),"")</f>
        <v>0</v>
      </c>
      <c r="P13" s="26" t="n">
        <f aca="false">IFERROR(IFERROR(INDEX(DuLieu!$H$5:$H$88,MATCH($A13&amp;"-"&amp;ThamSo!$C$21,DuLieu!$AM$5:$AM$88,0)),"")/1000000000,"")</f>
        <v>282.379183462</v>
      </c>
      <c r="Q13" s="26" t="n">
        <f aca="false">IFERROR(MAX(IFERROR(INDEX(DuLieu!$D$5:$D$88,MATCH($A13&amp;"-"&amp;ThamSo!$C$21,DuLieu!$AM$5:$AM$88,0)),"")*B6_MillerOrr!$C$17,B6_MillerOrr!$C$23)/1000000000,"")</f>
        <v>69.418679366153</v>
      </c>
      <c r="R13" s="26" t="n">
        <f aca="false">IFERROR(Q13+3*(0.75*B6_MillerOrr!$C$22*(IFERROR(INDEX(DuLieu!$D$5:$D$88,MATCH($A13&amp;"-"&amp;ThamSo!$C$21,DuLieu!$AM$5:$AM$88,0)),"")*B6_MillerOrr!$C$20)^2/B6_MillerOrr!$C$21)^(1/3)/1000000000/3,"")</f>
        <v>74.0574681566237</v>
      </c>
      <c r="S13" s="26" t="n">
        <f aca="false">IFERROR(Q13+3*(R13-Q13),"")</f>
        <v>83.3350457375649</v>
      </c>
      <c r="T13" s="27" t="str">
        <f aca="false">IF(P13="","",IF(P13&lt;Q13,"Thiếu",IF(P13&gt;S13,"Thừa","Trong vùng L–H")))</f>
        <v>Thừa</v>
      </c>
      <c r="U13" s="29" t="str">
        <f aca="false">IF(OR(J13="",T13="Trong vùng L–H",T13=""),"—","M"&amp;(2*(VALUE(RIGHT(J13,1)))+IF(T13="Thiếu",1,2)))</f>
        <v>M2</v>
      </c>
      <c r="V13" s="19" t="str">
        <f aca="false">IFERROR(INDEX(MaTran_6O!$D$14:$D$19,MATCH(U13,MaTran_6O!$A$14:$A$19,0)),"Theo dõi, không hành động")</f>
        <v>1. Đầu tư ngắn hạn phần (Tiền − Z)</v>
      </c>
    </row>
    <row r="14" customFormat="false" ht="15" hidden="false" customHeight="false" outlineLevel="0" collapsed="false">
      <c r="A14" s="25" t="s">
        <v>288</v>
      </c>
      <c r="B14" s="5" t="str">
        <f aca="false">INDEX(HoSoDN!$B$5:$B$32,MATCH(A14,HoSoDN!$A$5:$A$32,0))</f>
        <v>May Nhà Bè</v>
      </c>
      <c r="C14" s="5" t="str">
        <f aca="false">IFERROR(INDEX(B4_PhanLopW!$D$5:$D$64,MATCH($A14&amp;"-"&amp;ThamSo!$C$21,B4_PhanLopW!$C$5:$C$64,0)),"")</f>
        <v>FOB|Lớn</v>
      </c>
      <c r="D14" s="26" t="n">
        <f aca="false">IFERROR(INDEX(B4_PhanLopW!$I$5:$I$64,MATCH($A14&amp;"-"&amp;ThamSo!$C$21,B4_PhanLopW!$C$5:$C$64,0)),"")</f>
        <v>71.09773073</v>
      </c>
      <c r="E14" s="5" t="str">
        <f aca="false">IFERROR(INDEX(B4_PhanLopW!$AA$5:$AA$64,MATCH($A14&amp;"-"&amp;ThamSo!$C$21,B4_PhanLopW!$C$5:$C$64,0)),"")</f>
        <v>Trầm trọng</v>
      </c>
      <c r="F14" s="26" t="n">
        <f aca="false">IFERROR(INDEX(B4_PhanLopW!$J$5:$J$64,MATCH($A14&amp;"-"&amp;ThamSo!$C$21,B4_PhanLopW!$C$5:$C$64,0)),"")</f>
        <v>59.78962883</v>
      </c>
      <c r="G14" s="5" t="str">
        <f aca="false">IFERROR(INDEX(B4_PhanLopW!$AB$5:$AB$64,MATCH($A14&amp;"-"&amp;ThamSo!$C$21,B4_PhanLopW!$C$5:$C$64,0)),"")</f>
        <v>An toàn</v>
      </c>
      <c r="H14" s="26" t="n">
        <f aca="false">IFERROR(INDEX(B4_PhanLopW!$K$5:$K$64,MATCH($A14&amp;"-"&amp;ThamSo!$C$21,B4_PhanLopW!$C$5:$C$64,0)),"")</f>
        <v>24.57389009</v>
      </c>
      <c r="I14" s="5" t="str">
        <f aca="false">IFERROR(INDEX(B4_PhanLopW!$AC$5:$AC$64,MATCH($A14&amp;"-"&amp;ThamSo!$C$21,B4_PhanLopW!$C$5:$C$64,0)),"")</f>
        <v>An toàn</v>
      </c>
      <c r="J14" s="27" t="str">
        <f aca="false">IFERROR(INDEX(B4_PhanLopW!$AD$5:$AD$64,MATCH($A14&amp;"-"&amp;ThamSo!$C$21,B4_PhanLopW!$C$5:$C$64,0)),"")</f>
        <v>W2</v>
      </c>
      <c r="K14" s="27" t="str">
        <f aca="false">IFERROR(INDEX(B4_PhanLopW!$AE$5:$AE$64,MATCH($A14&amp;"-"&amp;ThamSo!$C$21,B4_PhanLopW!$C$5:$C$64,0)),"")</f>
        <v>Thiếu trầm trọng</v>
      </c>
      <c r="L14" s="5" t="str">
        <f aca="false">IFERROR(INDEX(B4_PhanLopW!$AF$5:$AF$64,MATCH($A14&amp;"-"&amp;ThamSo!$C$21,B4_PhanLopW!$C$5:$C$64,0)),"")</f>
        <v>Phải thu</v>
      </c>
      <c r="M14" s="5" t="str">
        <f aca="false">IFERROR(INDEX(B4_PhanLopW!$AG$5:$AG$64,MATCH($A14&amp;"-"&amp;ThamSo!$C$21,B4_PhanLopW!$C$5:$C$64,0)),"")</f>
        <v>R-AR-2 R-MAT</v>
      </c>
      <c r="N14" s="26" t="n">
        <f aca="false">IFERROR(IFERROR(INDEX(B4_PhanLopW!$AH$5:$AH$64,MATCH($A14&amp;"-"&amp;ThamSo!$C$21,B4_PhanLopW!$C$5:$C$64,0)),"")/1000000000,"")</f>
        <v>185.405937063877</v>
      </c>
      <c r="O14" s="20" t="n">
        <f aca="false">IFERROR(INDEX(B4_PhanLopW!$Z$5:$Z$64,MATCH($A14&amp;"-"&amp;ThamSo!$C$21,B4_PhanLopW!$C$5:$C$64,0)),"")</f>
        <v>0.0694817044627175</v>
      </c>
      <c r="P14" s="26" t="n">
        <f aca="false">IFERROR(IFERROR(INDEX(DuLieu!$H$5:$H$88,MATCH($A14&amp;"-"&amp;ThamSo!$C$21,DuLieu!$AM$5:$AM$88,0)),"")/1000000000,"")</f>
        <v>507.882290593</v>
      </c>
      <c r="Q14" s="26" t="n">
        <f aca="false">IFERROR(MAX(IFERROR(INDEX(DuLieu!$D$5:$D$88,MATCH($A14&amp;"-"&amp;ThamSo!$C$21,DuLieu!$AM$5:$AM$88,0)),"")*B6_MillerOrr!$C$17,B6_MillerOrr!$C$23)/1000000000,"")</f>
        <v>219.434841412906</v>
      </c>
      <c r="R14" s="26" t="n">
        <f aca="false">IFERROR(Q14+3*(0.75*B6_MillerOrr!$C$22*(IFERROR(INDEX(DuLieu!$D$5:$D$88,MATCH($A14&amp;"-"&amp;ThamSo!$C$21,DuLieu!$AM$5:$AM$88,0)),"")*B6_MillerOrr!$C$20)^2/B6_MillerOrr!$C$21)^(1/3)/1000000000/3,"")</f>
        <v>229.426189530553</v>
      </c>
      <c r="S14" s="26" t="n">
        <f aca="false">IFERROR(Q14+3*(R14-Q14),"")</f>
        <v>249.408885765847</v>
      </c>
      <c r="T14" s="27" t="str">
        <f aca="false">IF(P14="","",IF(P14&lt;Q14,"Thiếu",IF(P14&gt;S14,"Thừa","Trong vùng L–H")))</f>
        <v>Thừa</v>
      </c>
      <c r="U14" s="29" t="str">
        <f aca="false">IF(OR(J14="",T14="Trong vùng L–H",T14=""),"—","M"&amp;(2*(VALUE(RIGHT(J14,1)))+IF(T14="Thiếu",1,2)))</f>
        <v>M6</v>
      </c>
      <c r="V14" s="19" t="str">
        <f aca="false">IFERROR(INDEX(MaTran_6O!$D$14:$D$19,MATCH(U14,MaTran_6O!$A$14:$A$19,0)),"Theo dõi, không hành động")</f>
        <v>1. Giữ làm dự trữ</v>
      </c>
    </row>
    <row r="15" customFormat="false" ht="15" hidden="false" customHeight="false" outlineLevel="0" collapsed="false">
      <c r="A15" s="25" t="s">
        <v>292</v>
      </c>
      <c r="B15" s="5" t="str">
        <f aca="false">INDEX(HoSoDN!$B$5:$B$32,MATCH(A15,HoSoDN!$A$5:$A$32,0))</f>
        <v>May Sông Hồng</v>
      </c>
      <c r="C15" s="5" t="str">
        <f aca="false">IFERROR(INDEX(B4_PhanLopW!$D$5:$D$64,MATCH($A15&amp;"-"&amp;ThamSo!$C$21,B4_PhanLopW!$C$5:$C$64,0)),"")</f>
        <v>FOB|Lớn</v>
      </c>
      <c r="D15" s="26" t="n">
        <f aca="false">IFERROR(INDEX(B4_PhanLopW!$I$5:$I$64,MATCH($A15&amp;"-"&amp;ThamSo!$C$21,B4_PhanLopW!$C$5:$C$64,0)),"")</f>
        <v>63.23796496</v>
      </c>
      <c r="E15" s="5" t="str">
        <f aca="false">IFERROR(INDEX(B4_PhanLopW!$AA$5:$AA$64,MATCH($A15&amp;"-"&amp;ThamSo!$C$21,B4_PhanLopW!$C$5:$C$64,0)),"")</f>
        <v>Có nguy cơ</v>
      </c>
      <c r="F15" s="26" t="n">
        <f aca="false">IFERROR(INDEX(B4_PhanLopW!$J$5:$J$64,MATCH($A15&amp;"-"&amp;ThamSo!$C$21,B4_PhanLopW!$C$5:$C$64,0)),"")</f>
        <v>50.40076555</v>
      </c>
      <c r="G15" s="5" t="str">
        <f aca="false">IFERROR(INDEX(B4_PhanLopW!$AB$5:$AB$64,MATCH($A15&amp;"-"&amp;ThamSo!$C$21,B4_PhanLopW!$C$5:$C$64,0)),"")</f>
        <v>An toàn</v>
      </c>
      <c r="H15" s="26" t="n">
        <f aca="false">IFERROR(INDEX(B4_PhanLopW!$K$5:$K$64,MATCH($A15&amp;"-"&amp;ThamSo!$C$21,B4_PhanLopW!$C$5:$C$64,0)),"")</f>
        <v>15.36306074</v>
      </c>
      <c r="I15" s="5" t="str">
        <f aca="false">IFERROR(INDEX(B4_PhanLopW!$AC$5:$AC$64,MATCH($A15&amp;"-"&amp;ThamSo!$C$21,B4_PhanLopW!$C$5:$C$64,0)),"")</f>
        <v>An toàn</v>
      </c>
      <c r="J15" s="27" t="str">
        <f aca="false">IFERROR(INDEX(B4_PhanLopW!$AD$5:$AD$64,MATCH($A15&amp;"-"&amp;ThamSo!$C$21,B4_PhanLopW!$C$5:$C$64,0)),"")</f>
        <v>W1</v>
      </c>
      <c r="K15" s="27" t="str">
        <f aca="false">IFERROR(INDEX(B4_PhanLopW!$AE$5:$AE$64,MATCH($A15&amp;"-"&amp;ThamSo!$C$21,B4_PhanLopW!$C$5:$C$64,0)),"")</f>
        <v>Có nguy cơ</v>
      </c>
      <c r="L15" s="5" t="str">
        <f aca="false">IFERROR(INDEX(B4_PhanLopW!$AF$5:$AF$64,MATCH($A15&amp;"-"&amp;ThamSo!$C$21,B4_PhanLopW!$C$5:$C$64,0)),"")</f>
        <v>Phải thu</v>
      </c>
      <c r="M15" s="5" t="str">
        <f aca="false">IFERROR(INDEX(B4_PhanLopW!$AG$5:$AG$64,MATCH($A15&amp;"-"&amp;ThamSo!$C$21,B4_PhanLopW!$C$5:$C$64,0)),"")</f>
        <v>R-AR-1</v>
      </c>
      <c r="N15" s="26" t="n">
        <f aca="false">IFERROR(IFERROR(INDEX(B4_PhanLopW!$AH$5:$AH$64,MATCH($A15&amp;"-"&amp;ThamSo!$C$21,B4_PhanLopW!$C$5:$C$64,0)),"")/1000000000,"")</f>
        <v>76.3316715182978</v>
      </c>
      <c r="O15" s="20" t="n">
        <f aca="false">IFERROR(INDEX(B4_PhanLopW!$Z$5:$Z$64,MATCH($A15&amp;"-"&amp;ThamSo!$C$21,B4_PhanLopW!$C$5:$C$64,0)),"")</f>
        <v>0.0233073800469122</v>
      </c>
      <c r="P15" s="26" t="n">
        <f aca="false">IFERROR(IFERROR(INDEX(DuLieu!$H$5:$H$88,MATCH($A15&amp;"-"&amp;ThamSo!$C$21,DuLieu!$AM$5:$AM$88,0)),"")/1000000000,"")</f>
        <v>739.632646576</v>
      </c>
      <c r="Q15" s="26" t="n">
        <f aca="false">IFERROR(MAX(IFERROR(INDEX(DuLieu!$D$5:$D$88,MATCH($A15&amp;"-"&amp;ThamSo!$C$21,DuLieu!$AM$5:$AM$88,0)),"")*B6_MillerOrr!$C$17,B6_MillerOrr!$C$23)/1000000000,"")</f>
        <v>231.483614906084</v>
      </c>
      <c r="R15" s="26" t="n">
        <f aca="false">IFERROR(Q15+3*(0.75*B6_MillerOrr!$C$22*(IFERROR(INDEX(DuLieu!$D$5:$D$88,MATCH($A15&amp;"-"&amp;ThamSo!$C$21,DuLieu!$AM$5:$AM$88,0)),"")*B6_MillerOrr!$C$20)^2/B6_MillerOrr!$C$21)^(1/3)/1000000000/3,"")</f>
        <v>241.837433176811</v>
      </c>
      <c r="S15" s="26" t="n">
        <f aca="false">IFERROR(Q15+3*(R15-Q15),"")</f>
        <v>262.545069718265</v>
      </c>
      <c r="T15" s="27" t="str">
        <f aca="false">IF(P15="","",IF(P15&lt;Q15,"Thiếu",IF(P15&gt;S15,"Thừa","Trong vùng L–H")))</f>
        <v>Thừa</v>
      </c>
      <c r="U15" s="29" t="str">
        <f aca="false">IF(OR(J15="",T15="Trong vùng L–H",T15=""),"—","M"&amp;(2*(VALUE(RIGHT(J15,1)))+IF(T15="Thiếu",1,2)))</f>
        <v>M4</v>
      </c>
      <c r="V15" s="19" t="str">
        <f aca="false">IFERROR(INDEX(MaTran_6O!$D$14:$D$19,MATCH(U15,MaTran_6O!$A$14:$A$19,0)),"Theo dõi, không hành động")</f>
        <v>1. Giữ làm dự trữ</v>
      </c>
    </row>
    <row r="16" customFormat="false" ht="23.85" hidden="false" customHeight="false" outlineLevel="0" collapsed="false">
      <c r="A16" s="25" t="s">
        <v>294</v>
      </c>
      <c r="B16" s="5" t="str">
        <f aca="false">INDEX(HoSoDN!$B$5:$B$32,MATCH(A16,HoSoDN!$A$5:$A$32,0))</f>
        <v>May Nam Định</v>
      </c>
      <c r="C16" s="5" t="str">
        <f aca="false">IFERROR(INDEX(B4_PhanLopW!$D$5:$D$64,MATCH($A16&amp;"-"&amp;ThamSo!$C$21,B4_PhanLopW!$C$5:$C$64,0)),"")</f>
        <v>FOB|Nhỏ–vừa</v>
      </c>
      <c r="D16" s="26" t="n">
        <f aca="false">IFERROR(INDEX(B4_PhanLopW!$I$5:$I$64,MATCH($A16&amp;"-"&amp;ThamSo!$C$21,B4_PhanLopW!$C$5:$C$64,0)),"")</f>
        <v>67.14684189</v>
      </c>
      <c r="E16" s="5" t="str">
        <f aca="false">IFERROR(INDEX(B4_PhanLopW!$AA$5:$AA$64,MATCH($A16&amp;"-"&amp;ThamSo!$C$21,B4_PhanLopW!$C$5:$C$64,0)),"")</f>
        <v>Trầm trọng</v>
      </c>
      <c r="F16" s="26" t="n">
        <f aca="false">IFERROR(INDEX(B4_PhanLopW!$J$5:$J$64,MATCH($A16&amp;"-"&amp;ThamSo!$C$21,B4_PhanLopW!$C$5:$C$64,0)),"")</f>
        <v>86.73010008</v>
      </c>
      <c r="G16" s="5" t="str">
        <f aca="false">IFERROR(INDEX(B4_PhanLopW!$AB$5:$AB$64,MATCH($A16&amp;"-"&amp;ThamSo!$C$21,B4_PhanLopW!$C$5:$C$64,0)),"")</f>
        <v>Có nguy cơ</v>
      </c>
      <c r="H16" s="26" t="n">
        <f aca="false">IFERROR(INDEX(B4_PhanLopW!$K$5:$K$64,MATCH($A16&amp;"-"&amp;ThamSo!$C$21,B4_PhanLopW!$C$5:$C$64,0)),"")</f>
        <v>20.98670805</v>
      </c>
      <c r="I16" s="5" t="str">
        <f aca="false">IFERROR(INDEX(B4_PhanLopW!$AC$5:$AC$64,MATCH($A16&amp;"-"&amp;ThamSo!$C$21,B4_PhanLopW!$C$5:$C$64,0)),"")</f>
        <v>An toàn</v>
      </c>
      <c r="J16" s="27" t="str">
        <f aca="false">IFERROR(INDEX(B4_PhanLopW!$AD$5:$AD$64,MATCH($A16&amp;"-"&amp;ThamSo!$C$21,B4_PhanLopW!$C$5:$C$64,0)),"")</f>
        <v>W2</v>
      </c>
      <c r="K16" s="27" t="str">
        <f aca="false">IFERROR(INDEX(B4_PhanLopW!$AE$5:$AE$64,MATCH($A16&amp;"-"&amp;ThamSo!$C$21,B4_PhanLopW!$C$5:$C$64,0)),"")</f>
        <v>Thiếu trầm trọng</v>
      </c>
      <c r="L16" s="5" t="str">
        <f aca="false">IFERROR(INDEX(B4_PhanLopW!$AF$5:$AF$64,MATCH($A16&amp;"-"&amp;ThamSo!$C$21,B4_PhanLopW!$C$5:$C$64,0)),"")</f>
        <v>Phải thu</v>
      </c>
      <c r="M16" s="5" t="str">
        <f aca="false">IFERROR(INDEX(B4_PhanLopW!$AG$5:$AG$64,MATCH($A16&amp;"-"&amp;ThamSo!$C$21,B4_PhanLopW!$C$5:$C$64,0)),"")</f>
        <v>R-AR-2 R-INV-1</v>
      </c>
      <c r="N16" s="26" t="n">
        <f aca="false">IFERROR(IFERROR(INDEX(B4_PhanLopW!$AH$5:$AH$64,MATCH($A16&amp;"-"&amp;ThamSo!$C$21,B4_PhanLopW!$C$5:$C$64,0)),"")/1000000000,"")</f>
        <v>17.2084227317656</v>
      </c>
      <c r="O16" s="20" t="n">
        <f aca="false">IFERROR(INDEX(B4_PhanLopW!$Z$5:$Z$64,MATCH($A16&amp;"-"&amp;ThamSo!$C$21,B4_PhanLopW!$C$5:$C$64,0)),"")</f>
        <v>0.0466778390305451</v>
      </c>
      <c r="P16" s="26" t="n">
        <f aca="false">IFERROR(IFERROR(INDEX(DuLieu!$H$5:$H$88,MATCH($A16&amp;"-"&amp;ThamSo!$C$21,DuLieu!$AM$5:$AM$88,0)),"")/1000000000,"")</f>
        <v>22.599716278</v>
      </c>
      <c r="Q16" s="26" t="n">
        <f aca="false">IFERROR(MAX(IFERROR(INDEX(DuLieu!$D$5:$D$88,MATCH($A16&amp;"-"&amp;ThamSo!$C$21,DuLieu!$AM$5:$AM$88,0)),"")*B6_MillerOrr!$C$17,B6_MillerOrr!$C$23)/1000000000,"")</f>
        <v>27.6501337028342</v>
      </c>
      <c r="R16" s="26" t="n">
        <f aca="false">IFERROR(Q16+3*(0.75*B6_MillerOrr!$C$22*(IFERROR(INDEX(DuLieu!$D$5:$D$88,MATCH($A16&amp;"-"&amp;ThamSo!$C$21,DuLieu!$AM$5:$AM$88,0)),"")*B6_MillerOrr!$C$20)^2/B6_MillerOrr!$C$21)^(1/3)/1000000000/3,"")</f>
        <v>30.1613561877064</v>
      </c>
      <c r="S16" s="26" t="n">
        <f aca="false">IFERROR(Q16+3*(R16-Q16),"")</f>
        <v>35.1838011574508</v>
      </c>
      <c r="T16" s="27" t="str">
        <f aca="false">IF(P16="","",IF(P16&lt;Q16,"Thiếu",IF(P16&gt;S16,"Thừa","Trong vùng L–H")))</f>
        <v>Thiếu</v>
      </c>
      <c r="U16" s="29" t="str">
        <f aca="false">IF(OR(J16="",T16="Trong vùng L–H",T16=""),"—","M"&amp;(2*(VALUE(RIGHT(J16,1)))+IF(T16="Thiếu",1,2)))</f>
        <v>M5</v>
      </c>
      <c r="V16" s="19" t="str">
        <f aca="false">IFERROR(INDEX(MaTran_6O!$D$14:$D$19,MATCH(U16,MaTran_6O!$A$14:$A$19,0)),"Theo dõi, không hành động")</f>
        <v>1. AR → 2. Hàng tồn kho → 3. AP → 4. Vay (chỉ khi 3 nguồn trên chưa đủ)</v>
      </c>
    </row>
    <row r="17" customFormat="false" ht="15" hidden="false" customHeight="false" outlineLevel="0" collapsed="false">
      <c r="A17" s="25" t="s">
        <v>296</v>
      </c>
      <c r="B17" s="5" t="str">
        <f aca="false">INDEX(HoSoDN!$B$5:$B$32,MATCH(A17,HoSoDN!$A$5:$A$32,0))</f>
        <v>Dệt may Nha Trang</v>
      </c>
      <c r="C17" s="5" t="str">
        <f aca="false">IFERROR(INDEX(B4_PhanLopW!$D$5:$D$64,MATCH($A17&amp;"-"&amp;ThamSo!$C$21,B4_PhanLopW!$C$5:$C$64,0)),"")</f>
        <v>FOB|Lớn</v>
      </c>
      <c r="D17" s="26" t="n">
        <f aca="false">IFERROR(INDEX(B4_PhanLopW!$I$5:$I$64,MATCH($A17&amp;"-"&amp;ThamSo!$C$21,B4_PhanLopW!$C$5:$C$64,0)),"")</f>
        <v>51.66785441</v>
      </c>
      <c r="E17" s="5" t="str">
        <f aca="false">IFERROR(INDEX(B4_PhanLopW!$AA$5:$AA$64,MATCH($A17&amp;"-"&amp;ThamSo!$C$21,B4_PhanLopW!$C$5:$C$64,0)),"")</f>
        <v>An toàn</v>
      </c>
      <c r="F17" s="26" t="n">
        <f aca="false">IFERROR(INDEX(B4_PhanLopW!$J$5:$J$64,MATCH($A17&amp;"-"&amp;ThamSo!$C$21,B4_PhanLopW!$C$5:$C$64,0)),"")</f>
        <v>82.09985277</v>
      </c>
      <c r="G17" s="5" t="str">
        <f aca="false">IFERROR(INDEX(B4_PhanLopW!$AB$5:$AB$64,MATCH($A17&amp;"-"&amp;ThamSo!$C$21,B4_PhanLopW!$C$5:$C$64,0)),"")</f>
        <v>An toàn</v>
      </c>
      <c r="H17" s="26" t="n">
        <f aca="false">IFERROR(INDEX(B4_PhanLopW!$K$5:$K$64,MATCH($A17&amp;"-"&amp;ThamSo!$C$21,B4_PhanLopW!$C$5:$C$64,0)),"")</f>
        <v>58.33055948</v>
      </c>
      <c r="I17" s="5" t="str">
        <f aca="false">IFERROR(INDEX(B4_PhanLopW!$AC$5:$AC$64,MATCH($A17&amp;"-"&amp;ThamSo!$C$21,B4_PhanLopW!$C$5:$C$64,0)),"")</f>
        <v>An toàn</v>
      </c>
      <c r="J17" s="27" t="str">
        <f aca="false">IFERROR(INDEX(B4_PhanLopW!$AD$5:$AD$64,MATCH($A17&amp;"-"&amp;ThamSo!$C$21,B4_PhanLopW!$C$5:$C$64,0)),"")</f>
        <v>W0</v>
      </c>
      <c r="K17" s="27" t="str">
        <f aca="false">IFERROR(INDEX(B4_PhanLopW!$AE$5:$AE$64,MATCH($A17&amp;"-"&amp;ThamSo!$C$21,B4_PhanLopW!$C$5:$C$64,0)),"")</f>
        <v>An toàn</v>
      </c>
      <c r="L17" s="5" t="str">
        <f aca="false">IFERROR(INDEX(B4_PhanLopW!$AF$5:$AF$64,MATCH($A17&amp;"-"&amp;ThamSo!$C$21,B4_PhanLopW!$C$5:$C$64,0)),"")</f>
        <v/>
      </c>
      <c r="M17" s="5" t="str">
        <f aca="false">IFERROR(INDEX(B4_PhanLopW!$AG$5:$AG$64,MATCH($A17&amp;"-"&amp;ThamSo!$C$21,B4_PhanLopW!$C$5:$C$64,0)),"")</f>
        <v/>
      </c>
      <c r="N17" s="26" t="n">
        <f aca="false">IFERROR(IFERROR(INDEX(B4_PhanLopW!$AH$5:$AH$64,MATCH($A17&amp;"-"&amp;ThamSo!$C$21,B4_PhanLopW!$C$5:$C$64,0)),"")/1000000000,"")</f>
        <v>0</v>
      </c>
      <c r="O17" s="20" t="n">
        <f aca="false">IFERROR(INDEX(B4_PhanLopW!$Z$5:$Z$64,MATCH($A17&amp;"-"&amp;ThamSo!$C$21,B4_PhanLopW!$C$5:$C$64,0)),"")</f>
        <v>0</v>
      </c>
      <c r="P17" s="26" t="n">
        <f aca="false">IFERROR(IFERROR(INDEX(DuLieu!$H$5:$H$88,MATCH($A17&amp;"-"&amp;ThamSo!$C$21,DuLieu!$AM$5:$AM$88,0)),"")/1000000000,"")</f>
        <v>51.125520814</v>
      </c>
      <c r="Q17" s="26" t="n">
        <f aca="false">IFERROR(MAX(IFERROR(INDEX(DuLieu!$D$5:$D$88,MATCH($A17&amp;"-"&amp;ThamSo!$C$21,DuLieu!$AM$5:$AM$88,0)),"")*B6_MillerOrr!$C$17,B6_MillerOrr!$C$23)/1000000000,"")</f>
        <v>63.8196262469681</v>
      </c>
      <c r="R17" s="26" t="n">
        <f aca="false">IFERROR(Q17+3*(0.75*B6_MillerOrr!$C$22*(IFERROR(INDEX(DuLieu!$D$5:$D$88,MATCH($A17&amp;"-"&amp;ThamSo!$C$21,DuLieu!$AM$5:$AM$88,0)),"")*B6_MillerOrr!$C$20)^2/B6_MillerOrr!$C$21)^(1/3)/1000000000/3,"")</f>
        <v>68.205504161395</v>
      </c>
      <c r="S17" s="26" t="n">
        <f aca="false">IFERROR(Q17+3*(R17-Q17),"")</f>
        <v>76.9772599902488</v>
      </c>
      <c r="T17" s="27" t="str">
        <f aca="false">IF(P17="","",IF(P17&lt;Q17,"Thiếu",IF(P17&gt;S17,"Thừa","Trong vùng L–H")))</f>
        <v>Thiếu</v>
      </c>
      <c r="U17" s="29" t="str">
        <f aca="false">IF(OR(J17="",T17="Trong vùng L–H",T17=""),"—","M"&amp;(2*(VALUE(RIGHT(J17,1)))+IF(T17="Thiếu",1,2)))</f>
        <v>M1</v>
      </c>
      <c r="V17" s="19" t="str">
        <f aca="false">IFERROR(INDEX(MaTran_6O!$D$14:$D$19,MATCH(U17,MaTran_6O!$A$14:$A$19,0)),"Theo dõi, không hành động")</f>
        <v>1. Vay ngắn hạn (short-term financing)</v>
      </c>
    </row>
    <row r="18" customFormat="false" ht="15" hidden="false" customHeight="false" outlineLevel="0" collapsed="false">
      <c r="A18" s="25" t="s">
        <v>300</v>
      </c>
      <c r="B18" s="5" t="str">
        <f aca="false">INDEX(HoSoDN!$B$5:$B$32,MATCH(A18,HoSoDN!$A$5:$A$32,0))</f>
        <v>Dệt may Thành Công</v>
      </c>
      <c r="C18" s="5" t="str">
        <f aca="false">IFERROR(INDEX(B4_PhanLopW!$D$5:$D$64,MATCH($A18&amp;"-"&amp;ThamSo!$C$21,B4_PhanLopW!$C$5:$C$64,0)),"")</f>
        <v>FOB|Lớn</v>
      </c>
      <c r="D18" s="26" t="n">
        <f aca="false">IFERROR(INDEX(B4_PhanLopW!$I$5:$I$64,MATCH($A18&amp;"-"&amp;ThamSo!$C$21,B4_PhanLopW!$C$5:$C$64,0)),"")</f>
        <v>52.39149408</v>
      </c>
      <c r="E18" s="5" t="str">
        <f aca="false">IFERROR(INDEX(B4_PhanLopW!$AA$5:$AA$64,MATCH($A18&amp;"-"&amp;ThamSo!$C$21,B4_PhanLopW!$C$5:$C$64,0)),"")</f>
        <v>An toàn</v>
      </c>
      <c r="F18" s="26" t="n">
        <f aca="false">IFERROR(INDEX(B4_PhanLopW!$J$5:$J$64,MATCH($A18&amp;"-"&amp;ThamSo!$C$21,B4_PhanLopW!$C$5:$C$64,0)),"")</f>
        <v>121.89984075</v>
      </c>
      <c r="G18" s="5" t="str">
        <f aca="false">IFERROR(INDEX(B4_PhanLopW!$AB$5:$AB$64,MATCH($A18&amp;"-"&amp;ThamSo!$C$21,B4_PhanLopW!$C$5:$C$64,0)),"")</f>
        <v>Có nguy cơ</v>
      </c>
      <c r="H18" s="26" t="n">
        <f aca="false">IFERROR(INDEX(B4_PhanLopW!$K$5:$K$64,MATCH($A18&amp;"-"&amp;ThamSo!$C$21,B4_PhanLopW!$C$5:$C$64,0)),"")</f>
        <v>52.66526953</v>
      </c>
      <c r="I18" s="5" t="str">
        <f aca="false">IFERROR(INDEX(B4_PhanLopW!$AC$5:$AC$64,MATCH($A18&amp;"-"&amp;ThamSo!$C$21,B4_PhanLopW!$C$5:$C$64,0)),"")</f>
        <v>An toàn</v>
      </c>
      <c r="J18" s="27" t="str">
        <f aca="false">IFERROR(INDEX(B4_PhanLopW!$AD$5:$AD$64,MATCH($A18&amp;"-"&amp;ThamSo!$C$21,B4_PhanLopW!$C$5:$C$64,0)),"")</f>
        <v>W2</v>
      </c>
      <c r="K18" s="27" t="str">
        <f aca="false">IFERROR(INDEX(B4_PhanLopW!$AE$5:$AE$64,MATCH($A18&amp;"-"&amp;ThamSo!$C$21,B4_PhanLopW!$C$5:$C$64,0)),"")</f>
        <v>Thiếu trầm trọng</v>
      </c>
      <c r="L18" s="5" t="str">
        <f aca="false">IFERROR(INDEX(B4_PhanLopW!$AF$5:$AF$64,MATCH($A18&amp;"-"&amp;ThamSo!$C$21,B4_PhanLopW!$C$5:$C$64,0)),"")</f>
        <v>Tồn kho</v>
      </c>
      <c r="M18" s="5" t="str">
        <f aca="false">IFERROR(INDEX(B4_PhanLopW!$AG$5:$AG$64,MATCH($A18&amp;"-"&amp;ThamSo!$C$21,B4_PhanLopW!$C$5:$C$64,0)),"")</f>
        <v>R-INV-1 R-MAT</v>
      </c>
      <c r="N18" s="26" t="n">
        <f aca="false">IFERROR(IFERROR(INDEX(B4_PhanLopW!$AH$5:$AH$64,MATCH($A18&amp;"-"&amp;ThamSo!$C$21,B4_PhanLopW!$C$5:$C$64,0)),"")/1000000000,"")</f>
        <v>299.217059119214</v>
      </c>
      <c r="O18" s="20" t="n">
        <f aca="false">IFERROR(INDEX(B4_PhanLopW!$Z$5:$Z$64,MATCH($A18&amp;"-"&amp;ThamSo!$C$21,B4_PhanLopW!$C$5:$C$64,0)),"")</f>
        <v>0.106446603129032</v>
      </c>
      <c r="P18" s="26" t="n">
        <f aca="false">IFERROR(IFERROR(INDEX(DuLieu!$H$5:$H$88,MATCH($A18&amp;"-"&amp;ThamSo!$C$21,DuLieu!$AM$5:$AM$88,0)),"")/1000000000,"")</f>
        <v>814.328555629</v>
      </c>
      <c r="Q18" s="26" t="n">
        <f aca="false">IFERROR(MAX(IFERROR(INDEX(DuLieu!$D$5:$D$88,MATCH($A18&amp;"-"&amp;ThamSo!$C$21,DuLieu!$AM$5:$AM$88,0)),"")*B6_MillerOrr!$C$17,B6_MillerOrr!$C$23)/1000000000,"")</f>
        <v>152.366515077941</v>
      </c>
      <c r="R18" s="26" t="n">
        <f aca="false">IFERROR(Q18+3*(0.75*B6_MillerOrr!$C$22*(IFERROR(INDEX(DuLieu!$D$5:$D$88,MATCH($A18&amp;"-"&amp;ThamSo!$C$21,DuLieu!$AM$5:$AM$88,0)),"")*B6_MillerOrr!$C$20)^2/B6_MillerOrr!$C$21)^(1/3)/1000000000/3,"")</f>
        <v>160.201053061992</v>
      </c>
      <c r="S18" s="26" t="n">
        <f aca="false">IFERROR(Q18+3*(R18-Q18),"")</f>
        <v>175.870129030094</v>
      </c>
      <c r="T18" s="27" t="str">
        <f aca="false">IF(P18="","",IF(P18&lt;Q18,"Thiếu",IF(P18&gt;S18,"Thừa","Trong vùng L–H")))</f>
        <v>Thừa</v>
      </c>
      <c r="U18" s="29" t="str">
        <f aca="false">IF(OR(J18="",T18="Trong vùng L–H",T18=""),"—","M"&amp;(2*(VALUE(RIGHT(J18,1)))+IF(T18="Thiếu",1,2)))</f>
        <v>M6</v>
      </c>
      <c r="V18" s="19" t="str">
        <f aca="false">IFERROR(INDEX(MaTran_6O!$D$14:$D$19,MATCH(U18,MaTran_6O!$A$14:$A$19,0)),"Theo dõi, không hành động")</f>
        <v>1. Giữ làm dự trữ</v>
      </c>
    </row>
    <row r="19" customFormat="false" ht="15" hidden="false" customHeight="false" outlineLevel="0" collapsed="false">
      <c r="A19" s="25" t="s">
        <v>302</v>
      </c>
      <c r="B19" s="5" t="str">
        <f aca="false">INDEX(HoSoDN!$B$5:$B$32,MATCH(A19,HoSoDN!$A$5:$A$32,0))</f>
        <v>Đầu tư Phát triển TDT</v>
      </c>
      <c r="C19" s="5" t="str">
        <f aca="false">IFERROR(INDEX(B4_PhanLopW!$D$5:$D$64,MATCH($A19&amp;"-"&amp;ThamSo!$C$21,B4_PhanLopW!$C$5:$C$64,0)),"")</f>
        <v>FOB|Nhỏ–vừa</v>
      </c>
      <c r="D19" s="26" t="n">
        <f aca="false">IFERROR(INDEX(B4_PhanLopW!$I$5:$I$64,MATCH($A19&amp;"-"&amp;ThamSo!$C$21,B4_PhanLopW!$C$5:$C$64,0)),"")</f>
        <v>29.01355105</v>
      </c>
      <c r="E19" s="5" t="str">
        <f aca="false">IFERROR(INDEX(B4_PhanLopW!$AA$5:$AA$64,MATCH($A19&amp;"-"&amp;ThamSo!$C$21,B4_PhanLopW!$C$5:$C$64,0)),"")</f>
        <v>An toàn</v>
      </c>
      <c r="F19" s="26" t="n">
        <f aca="false">IFERROR(INDEX(B4_PhanLopW!$J$5:$J$64,MATCH($A19&amp;"-"&amp;ThamSo!$C$21,B4_PhanLopW!$C$5:$C$64,0)),"")</f>
        <v>254.97705074</v>
      </c>
      <c r="G19" s="5" t="str">
        <f aca="false">IFERROR(INDEX(B4_PhanLopW!$AB$5:$AB$64,MATCH($A19&amp;"-"&amp;ThamSo!$C$21,B4_PhanLopW!$C$5:$C$64,0)),"")</f>
        <v>Trầm trọng</v>
      </c>
      <c r="H19" s="26" t="n">
        <f aca="false">IFERROR(INDEX(B4_PhanLopW!$K$5:$K$64,MATCH($A19&amp;"-"&amp;ThamSo!$C$21,B4_PhanLopW!$C$5:$C$64,0)),"")</f>
        <v>14.89468721</v>
      </c>
      <c r="I19" s="5" t="str">
        <f aca="false">IFERROR(INDEX(B4_PhanLopW!$AC$5:$AC$64,MATCH($A19&amp;"-"&amp;ThamSo!$C$21,B4_PhanLopW!$C$5:$C$64,0)),"")</f>
        <v>An toàn</v>
      </c>
      <c r="J19" s="27" t="str">
        <f aca="false">IFERROR(INDEX(B4_PhanLopW!$AD$5:$AD$64,MATCH($A19&amp;"-"&amp;ThamSo!$C$21,B4_PhanLopW!$C$5:$C$64,0)),"")</f>
        <v>W2</v>
      </c>
      <c r="K19" s="27" t="str">
        <f aca="false">IFERROR(INDEX(B4_PhanLopW!$AE$5:$AE$64,MATCH($A19&amp;"-"&amp;ThamSo!$C$21,B4_PhanLopW!$C$5:$C$64,0)),"")</f>
        <v>Thiếu trầm trọng</v>
      </c>
      <c r="L19" s="5" t="str">
        <f aca="false">IFERROR(INDEX(B4_PhanLopW!$AF$5:$AF$64,MATCH($A19&amp;"-"&amp;ThamSo!$C$21,B4_PhanLopW!$C$5:$C$64,0)),"")</f>
        <v>Tồn kho</v>
      </c>
      <c r="M19" s="5" t="str">
        <f aca="false">IFERROR(INDEX(B4_PhanLopW!$AG$5:$AG$64,MATCH($A19&amp;"-"&amp;ThamSo!$C$21,B4_PhanLopW!$C$5:$C$64,0)),"")</f>
        <v>R-INV-2 R-MAT</v>
      </c>
      <c r="N19" s="26" t="n">
        <f aca="false">IFERROR(IFERROR(INDEX(B4_PhanLopW!$AH$5:$AH$64,MATCH($A19&amp;"-"&amp;ThamSo!$C$21,B4_PhanLopW!$C$5:$C$64,0)),"")/1000000000,"")</f>
        <v>218.950131202092</v>
      </c>
      <c r="O19" s="20" t="n">
        <f aca="false">IFERROR(INDEX(B4_PhanLopW!$Z$5:$Z$64,MATCH($A19&amp;"-"&amp;ThamSo!$C$21,B4_PhanLopW!$C$5:$C$64,0)),"")</f>
        <v>0.434942328075979</v>
      </c>
      <c r="P19" s="26" t="n">
        <f aca="false">IFERROR(IFERROR(INDEX(DuLieu!$H$5:$H$88,MATCH($A19&amp;"-"&amp;ThamSo!$C$21,DuLieu!$AM$5:$AM$88,0)),"")/1000000000,"")</f>
        <v>69.029538757</v>
      </c>
      <c r="Q19" s="26" t="n">
        <f aca="false">IFERROR(MAX(IFERROR(INDEX(DuLieu!$D$5:$D$88,MATCH($A19&amp;"-"&amp;ThamSo!$C$21,DuLieu!$AM$5:$AM$88,0)),"")*B6_MillerOrr!$C$17,B6_MillerOrr!$C$23)/1000000000,"")</f>
        <v>26.2585278692411</v>
      </c>
      <c r="R19" s="26" t="n">
        <f aca="false">IFERROR(Q19+3*(0.75*B6_MillerOrr!$C$22*(IFERROR(INDEX(DuLieu!$D$5:$D$88,MATCH($A19&amp;"-"&amp;ThamSo!$C$21,DuLieu!$AM$5:$AM$88,0)),"")*B6_MillerOrr!$C$20)^2/B6_MillerOrr!$C$21)^(1/3)/1000000000/3,"")</f>
        <v>28.6847689426723</v>
      </c>
      <c r="S19" s="26" t="n">
        <f aca="false">IFERROR(Q19+3*(R19-Q19),"")</f>
        <v>33.5372510895347</v>
      </c>
      <c r="T19" s="27" t="str">
        <f aca="false">IF(P19="","",IF(P19&lt;Q19,"Thiếu",IF(P19&gt;S19,"Thừa","Trong vùng L–H")))</f>
        <v>Thừa</v>
      </c>
      <c r="U19" s="29" t="str">
        <f aca="false">IF(OR(J19="",T19="Trong vùng L–H",T19=""),"—","M"&amp;(2*(VALUE(RIGHT(J19,1)))+IF(T19="Thiếu",1,2)))</f>
        <v>M6</v>
      </c>
      <c r="V19" s="19" t="str">
        <f aca="false">IFERROR(INDEX(MaTran_6O!$D$14:$D$19,MATCH(U19,MaTran_6O!$A$14:$A$19,0)),"Theo dõi, không hành động")</f>
        <v>1. Giữ làm dự trữ</v>
      </c>
    </row>
    <row r="20" customFormat="false" ht="15" hidden="false" customHeight="false" outlineLevel="0" collapsed="false">
      <c r="A20" s="25" t="s">
        <v>306</v>
      </c>
      <c r="B20" s="5" t="str">
        <f aca="false">INDEX(HoSoDN!$B$5:$B$32,MATCH(A20,HoSoDN!$A$5:$A$32,0))</f>
        <v>Đầu tư và Thương mại TNG</v>
      </c>
      <c r="C20" s="5" t="str">
        <f aca="false">IFERROR(INDEX(B4_PhanLopW!$D$5:$D$64,MATCH($A20&amp;"-"&amp;ThamSo!$C$21,B4_PhanLopW!$C$5:$C$64,0)),"")</f>
        <v>FOB|Lớn</v>
      </c>
      <c r="D20" s="26" t="n">
        <f aca="false">IFERROR(INDEX(B4_PhanLopW!$I$5:$I$64,MATCH($A20&amp;"-"&amp;ThamSo!$C$21,B4_PhanLopW!$C$5:$C$64,0)),"")</f>
        <v>41.80020879</v>
      </c>
      <c r="E20" s="5" t="str">
        <f aca="false">IFERROR(INDEX(B4_PhanLopW!$AA$5:$AA$64,MATCH($A20&amp;"-"&amp;ThamSo!$C$21,B4_PhanLopW!$C$5:$C$64,0)),"")</f>
        <v>An toàn</v>
      </c>
      <c r="F20" s="26" t="n">
        <f aca="false">IFERROR(INDEX(B4_PhanLopW!$J$5:$J$64,MATCH($A20&amp;"-"&amp;ThamSo!$C$21,B4_PhanLopW!$C$5:$C$64,0)),"")</f>
        <v>73.35750663</v>
      </c>
      <c r="G20" s="5" t="str">
        <f aca="false">IFERROR(INDEX(B4_PhanLopW!$AB$5:$AB$64,MATCH($A20&amp;"-"&amp;ThamSo!$C$21,B4_PhanLopW!$C$5:$C$64,0)),"")</f>
        <v>An toàn</v>
      </c>
      <c r="H20" s="26" t="n">
        <f aca="false">IFERROR(INDEX(B4_PhanLopW!$K$5:$K$64,MATCH($A20&amp;"-"&amp;ThamSo!$C$21,B4_PhanLopW!$C$5:$C$64,0)),"")</f>
        <v>42.18515926</v>
      </c>
      <c r="I20" s="5" t="str">
        <f aca="false">IFERROR(INDEX(B4_PhanLopW!$AC$5:$AC$64,MATCH($A20&amp;"-"&amp;ThamSo!$C$21,B4_PhanLopW!$C$5:$C$64,0)),"")</f>
        <v>An toàn</v>
      </c>
      <c r="J20" s="27" t="str">
        <f aca="false">IFERROR(INDEX(B4_PhanLopW!$AD$5:$AD$64,MATCH($A20&amp;"-"&amp;ThamSo!$C$21,B4_PhanLopW!$C$5:$C$64,0)),"")</f>
        <v>W0</v>
      </c>
      <c r="K20" s="27" t="str">
        <f aca="false">IFERROR(INDEX(B4_PhanLopW!$AE$5:$AE$64,MATCH($A20&amp;"-"&amp;ThamSo!$C$21,B4_PhanLopW!$C$5:$C$64,0)),"")</f>
        <v>An toàn</v>
      </c>
      <c r="L20" s="5" t="str">
        <f aca="false">IFERROR(INDEX(B4_PhanLopW!$AF$5:$AF$64,MATCH($A20&amp;"-"&amp;ThamSo!$C$21,B4_PhanLopW!$C$5:$C$64,0)),"")</f>
        <v/>
      </c>
      <c r="M20" s="5" t="str">
        <f aca="false">IFERROR(INDEX(B4_PhanLopW!$AG$5:$AG$64,MATCH($A20&amp;"-"&amp;ThamSo!$C$21,B4_PhanLopW!$C$5:$C$64,0)),"")</f>
        <v/>
      </c>
      <c r="N20" s="26" t="n">
        <f aca="false">IFERROR(IFERROR(INDEX(B4_PhanLopW!$AH$5:$AH$64,MATCH($A20&amp;"-"&amp;ThamSo!$C$21,B4_PhanLopW!$C$5:$C$64,0)),"")/1000000000,"")</f>
        <v>0</v>
      </c>
      <c r="O20" s="20" t="n">
        <f aca="false">IFERROR(INDEX(B4_PhanLopW!$Z$5:$Z$64,MATCH($A20&amp;"-"&amp;ThamSo!$C$21,B4_PhanLopW!$C$5:$C$64,0)),"")</f>
        <v>0</v>
      </c>
      <c r="P20" s="26" t="n">
        <f aca="false">IFERROR(IFERROR(INDEX(DuLieu!$H$5:$H$88,MATCH($A20&amp;"-"&amp;ThamSo!$C$21,DuLieu!$AM$5:$AM$88,0)),"")/1000000000,"")</f>
        <v>314.638236802</v>
      </c>
      <c r="Q20" s="26" t="n">
        <f aca="false">IFERROR(MAX(IFERROR(INDEX(DuLieu!$D$5:$D$88,MATCH($A20&amp;"-"&amp;ThamSo!$C$21,DuLieu!$AM$5:$AM$88,0)),"")*B6_MillerOrr!$C$17,B6_MillerOrr!$C$23)/1000000000,"")</f>
        <v>363.589003328743</v>
      </c>
      <c r="R20" s="26" t="n">
        <f aca="false">IFERROR(Q20+3*(0.75*B6_MillerOrr!$C$22*(IFERROR(INDEX(DuLieu!$D$5:$D$88,MATCH($A20&amp;"-"&amp;ThamSo!$C$21,DuLieu!$AM$5:$AM$88,0)),"")*B6_MillerOrr!$C$20)^2/B6_MillerOrr!$C$21)^(1/3)/1000000000/3,"")</f>
        <v>377.579319431414</v>
      </c>
      <c r="S20" s="26" t="n">
        <f aca="false">IFERROR(Q20+3*(R20-Q20),"")</f>
        <v>405.559951636754</v>
      </c>
      <c r="T20" s="27" t="str">
        <f aca="false">IF(P20="","",IF(P20&lt;Q20,"Thiếu",IF(P20&gt;S20,"Thừa","Trong vùng L–H")))</f>
        <v>Thiếu</v>
      </c>
      <c r="U20" s="29" t="str">
        <f aca="false">IF(OR(J20="",T20="Trong vùng L–H",T20=""),"—","M"&amp;(2*(VALUE(RIGHT(J20,1)))+IF(T20="Thiếu",1,2)))</f>
        <v>M1</v>
      </c>
      <c r="V20" s="19" t="str">
        <f aca="false">IFERROR(INDEX(MaTran_6O!$D$14:$D$19,MATCH(U20,MaTran_6O!$A$14:$A$19,0)),"Theo dõi, không hành động")</f>
        <v>1. Vay ngắn hạn (short-term financing)</v>
      </c>
    </row>
    <row r="21" customFormat="false" ht="15" hidden="false" customHeight="false" outlineLevel="0" collapsed="false">
      <c r="A21" s="25" t="s">
        <v>308</v>
      </c>
      <c r="B21" s="5" t="str">
        <f aca="false">INDEX(HoSoDN!$B$5:$B$32,MATCH(A21,HoSoDN!$A$5:$A$32,0))</f>
        <v>May Việt Tiến</v>
      </c>
      <c r="C21" s="5" t="str">
        <f aca="false">IFERROR(INDEX(B4_PhanLopW!$D$5:$D$64,MATCH($A21&amp;"-"&amp;ThamSo!$C$21,B4_PhanLopW!$C$5:$C$64,0)),"")</f>
        <v>FOB|Lớn</v>
      </c>
      <c r="D21" s="26" t="n">
        <f aca="false">IFERROR(INDEX(B4_PhanLopW!$I$5:$I$64,MATCH($A21&amp;"-"&amp;ThamSo!$C$21,B4_PhanLopW!$C$5:$C$64,0)),"")</f>
        <v>56.92157999</v>
      </c>
      <c r="E21" s="5" t="str">
        <f aca="false">IFERROR(INDEX(B4_PhanLopW!$AA$5:$AA$64,MATCH($A21&amp;"-"&amp;ThamSo!$C$21,B4_PhanLopW!$C$5:$C$64,0)),"")</f>
        <v>An toàn</v>
      </c>
      <c r="F21" s="26" t="n">
        <f aca="false">IFERROR(INDEX(B4_PhanLopW!$J$5:$J$64,MATCH($A21&amp;"-"&amp;ThamSo!$C$21,B4_PhanLopW!$C$5:$C$64,0)),"")</f>
        <v>57.60614383</v>
      </c>
      <c r="G21" s="5" t="str">
        <f aca="false">IFERROR(INDEX(B4_PhanLopW!$AB$5:$AB$64,MATCH($A21&amp;"-"&amp;ThamSo!$C$21,B4_PhanLopW!$C$5:$C$64,0)),"")</f>
        <v>An toàn</v>
      </c>
      <c r="H21" s="26" t="n">
        <f aca="false">IFERROR(INDEX(B4_PhanLopW!$K$5:$K$64,MATCH($A21&amp;"-"&amp;ThamSo!$C$21,B4_PhanLopW!$C$5:$C$64,0)),"")</f>
        <v>76.86591314</v>
      </c>
      <c r="I21" s="5" t="str">
        <f aca="false">IFERROR(INDEX(B4_PhanLopW!$AC$5:$AC$64,MATCH($A21&amp;"-"&amp;ThamSo!$C$21,B4_PhanLopW!$C$5:$C$64,0)),"")</f>
        <v>Lưu ý: DPO cao – kiểm tra quá hạn NCC</v>
      </c>
      <c r="J21" s="27" t="str">
        <f aca="false">IFERROR(INDEX(B4_PhanLopW!$AD$5:$AD$64,MATCH($A21&amp;"-"&amp;ThamSo!$C$21,B4_PhanLopW!$C$5:$C$64,0)),"")</f>
        <v>W0</v>
      </c>
      <c r="K21" s="27" t="str">
        <f aca="false">IFERROR(INDEX(B4_PhanLopW!$AE$5:$AE$64,MATCH($A21&amp;"-"&amp;ThamSo!$C$21,B4_PhanLopW!$C$5:$C$64,0)),"")</f>
        <v>An toàn</v>
      </c>
      <c r="L21" s="5" t="str">
        <f aca="false">IFERROR(INDEX(B4_PhanLopW!$AF$5:$AF$64,MATCH($A21&amp;"-"&amp;ThamSo!$C$21,B4_PhanLopW!$C$5:$C$64,0)),"")</f>
        <v/>
      </c>
      <c r="M21" s="5" t="str">
        <f aca="false">IFERROR(INDEX(B4_PhanLopW!$AG$5:$AG$64,MATCH($A21&amp;"-"&amp;ThamSo!$C$21,B4_PhanLopW!$C$5:$C$64,0)),"")</f>
        <v/>
      </c>
      <c r="N21" s="26" t="n">
        <f aca="false">IFERROR(IFERROR(INDEX(B4_PhanLopW!$AH$5:$AH$64,MATCH($A21&amp;"-"&amp;ThamSo!$C$21,B4_PhanLopW!$C$5:$C$64,0)),"")/1000000000,"")</f>
        <v>0</v>
      </c>
      <c r="O21" s="20" t="n">
        <f aca="false">IFERROR(INDEX(B4_PhanLopW!$Z$5:$Z$64,MATCH($A21&amp;"-"&amp;ThamSo!$C$21,B4_PhanLopW!$C$5:$C$64,0)),"")</f>
        <v>0</v>
      </c>
      <c r="P21" s="26" t="n">
        <f aca="false">IFERROR(IFERROR(INDEX(DuLieu!$H$5:$H$88,MATCH($A21&amp;"-"&amp;ThamSo!$C$21,DuLieu!$AM$5:$AM$88,0)),"")/1000000000,"")</f>
        <v>809.630349055</v>
      </c>
      <c r="Q21" s="26" t="n">
        <f aca="false">IFERROR(MAX(IFERROR(INDEX(DuLieu!$D$5:$D$88,MATCH($A21&amp;"-"&amp;ThamSo!$C$21,DuLieu!$AM$5:$AM$88,0)),"")*B6_MillerOrr!$C$17,B6_MillerOrr!$C$23)/1000000000,"")</f>
        <v>439.341273810759</v>
      </c>
      <c r="R21" s="26" t="n">
        <f aca="false">IFERROR(Q21+3*(0.75*B6_MillerOrr!$C$22*(IFERROR(INDEX(DuLieu!$D$5:$D$88,MATCH($A21&amp;"-"&amp;ThamSo!$C$21,DuLieu!$AM$5:$AM$88,0)),"")*B6_MillerOrr!$C$20)^2/B6_MillerOrr!$C$21)^(1/3)/1000000000/3,"")</f>
        <v>455.212910148796</v>
      </c>
      <c r="S21" s="26" t="n">
        <f aca="false">IFERROR(Q21+3*(R21-Q21),"")</f>
        <v>486.95618282487</v>
      </c>
      <c r="T21" s="27" t="str">
        <f aca="false">IF(P21="","",IF(P21&lt;Q21,"Thiếu",IF(P21&gt;S21,"Thừa","Trong vùng L–H")))</f>
        <v>Thừa</v>
      </c>
      <c r="U21" s="29" t="str">
        <f aca="false">IF(OR(J21="",T21="Trong vùng L–H",T21=""),"—","M"&amp;(2*(VALUE(RIGHT(J21,1)))+IF(T21="Thiếu",1,2)))</f>
        <v>M2</v>
      </c>
      <c r="V21" s="19" t="str">
        <f aca="false">IFERROR(INDEX(MaTran_6O!$D$14:$D$19,MATCH(U21,MaTran_6O!$A$14:$A$19,0)),"Theo dõi, không hành động")</f>
        <v>1. Đầu tư ngắn hạn phần (Tiền − Z)</v>
      </c>
    </row>
    <row r="22" customFormat="false" ht="15" hidden="false" customHeight="false" outlineLevel="0" collapsed="false">
      <c r="A22" s="25" t="s">
        <v>313</v>
      </c>
      <c r="B22" s="5" t="str">
        <f aca="false">INDEX(HoSoDN!$B$5:$B$32,MATCH(A22,HoSoDN!$A$5:$A$32,0))</f>
        <v>CTCP X20</v>
      </c>
      <c r="C22" s="5" t="str">
        <f aca="false">IFERROR(INDEX(B4_PhanLopW!$D$5:$D$64,MATCH($A22&amp;"-"&amp;ThamSo!$C$21,B4_PhanLopW!$C$5:$C$64,0)),"")</f>
        <v>FOB|Nhỏ–vừa</v>
      </c>
      <c r="D22" s="26" t="n">
        <f aca="false">IFERROR(INDEX(B4_PhanLopW!$I$5:$I$64,MATCH($A22&amp;"-"&amp;ThamSo!$C$21,B4_PhanLopW!$C$5:$C$64,0)),"")</f>
        <v>24.97202885</v>
      </c>
      <c r="E22" s="5" t="str">
        <f aca="false">IFERROR(INDEX(B4_PhanLopW!$AA$5:$AA$64,MATCH($A22&amp;"-"&amp;ThamSo!$C$21,B4_PhanLopW!$C$5:$C$64,0)),"")</f>
        <v>An toàn</v>
      </c>
      <c r="F22" s="26" t="n">
        <f aca="false">IFERROR(INDEX(B4_PhanLopW!$J$5:$J$64,MATCH($A22&amp;"-"&amp;ThamSo!$C$21,B4_PhanLopW!$C$5:$C$64,0)),"")</f>
        <v>64.76614903</v>
      </c>
      <c r="G22" s="5" t="str">
        <f aca="false">IFERROR(INDEX(B4_PhanLopW!$AB$5:$AB$64,MATCH($A22&amp;"-"&amp;ThamSo!$C$21,B4_PhanLopW!$C$5:$C$64,0)),"")</f>
        <v>An toàn</v>
      </c>
      <c r="H22" s="26" t="n">
        <f aca="false">IFERROR(INDEX(B4_PhanLopW!$K$5:$K$64,MATCH($A22&amp;"-"&amp;ThamSo!$C$21,B4_PhanLopW!$C$5:$C$64,0)),"")</f>
        <v>67.80081102</v>
      </c>
      <c r="I22" s="5" t="str">
        <f aca="false">IFERROR(INDEX(B4_PhanLopW!$AC$5:$AC$64,MATCH($A22&amp;"-"&amp;ThamSo!$C$21,B4_PhanLopW!$C$5:$C$64,0)),"")</f>
        <v>An toàn</v>
      </c>
      <c r="J22" s="27" t="str">
        <f aca="false">IFERROR(INDEX(B4_PhanLopW!$AD$5:$AD$64,MATCH($A22&amp;"-"&amp;ThamSo!$C$21,B4_PhanLopW!$C$5:$C$64,0)),"")</f>
        <v>W0</v>
      </c>
      <c r="K22" s="27" t="str">
        <f aca="false">IFERROR(INDEX(B4_PhanLopW!$AE$5:$AE$64,MATCH($A22&amp;"-"&amp;ThamSo!$C$21,B4_PhanLopW!$C$5:$C$64,0)),"")</f>
        <v>An toàn</v>
      </c>
      <c r="L22" s="5" t="str">
        <f aca="false">IFERROR(INDEX(B4_PhanLopW!$AF$5:$AF$64,MATCH($A22&amp;"-"&amp;ThamSo!$C$21,B4_PhanLopW!$C$5:$C$64,0)),"")</f>
        <v/>
      </c>
      <c r="M22" s="5" t="str">
        <f aca="false">IFERROR(INDEX(B4_PhanLopW!$AG$5:$AG$64,MATCH($A22&amp;"-"&amp;ThamSo!$C$21,B4_PhanLopW!$C$5:$C$64,0)),"")</f>
        <v/>
      </c>
      <c r="N22" s="26" t="n">
        <f aca="false">IFERROR(IFERROR(INDEX(B4_PhanLopW!$AH$5:$AH$64,MATCH($A22&amp;"-"&amp;ThamSo!$C$21,B4_PhanLopW!$C$5:$C$64,0)),"")/1000000000,"")</f>
        <v>0</v>
      </c>
      <c r="O22" s="20" t="n">
        <f aca="false">IFERROR(INDEX(B4_PhanLopW!$Z$5:$Z$64,MATCH($A22&amp;"-"&amp;ThamSo!$C$21,B4_PhanLopW!$C$5:$C$64,0)),"")</f>
        <v>0</v>
      </c>
      <c r="P22" s="26" t="n">
        <f aca="false">IFERROR(IFERROR(INDEX(DuLieu!$H$5:$H$88,MATCH($A22&amp;"-"&amp;ThamSo!$C$21,DuLieu!$AM$5:$AM$88,0)),"")/1000000000,"")</f>
        <v>132.743221348</v>
      </c>
      <c r="Q22" s="26" t="n">
        <f aca="false">IFERROR(MAX(IFERROR(INDEX(DuLieu!$D$5:$D$88,MATCH($A22&amp;"-"&amp;ThamSo!$C$21,DuLieu!$AM$5:$AM$88,0)),"")*B6_MillerOrr!$C$17,B6_MillerOrr!$C$23)/1000000000,"")</f>
        <v>46.628262797907</v>
      </c>
      <c r="R22" s="26" t="n">
        <f aca="false">IFERROR(Q22+3*(0.75*B6_MillerOrr!$C$22*(IFERROR(INDEX(DuLieu!$D$5:$D$88,MATCH($A22&amp;"-"&amp;ThamSo!$C$21,DuLieu!$AM$5:$AM$88,0)),"")*B6_MillerOrr!$C$20)^2/B6_MillerOrr!$C$21)^(1/3)/1000000000/3,"")</f>
        <v>50.1861037072479</v>
      </c>
      <c r="S22" s="26" t="n">
        <f aca="false">IFERROR(Q22+3*(R22-Q22),"")</f>
        <v>57.3017855259297</v>
      </c>
      <c r="T22" s="27" t="str">
        <f aca="false">IF(P22="","",IF(P22&lt;Q22,"Thiếu",IF(P22&gt;S22,"Thừa","Trong vùng L–H")))</f>
        <v>Thừa</v>
      </c>
      <c r="U22" s="29" t="str">
        <f aca="false">IF(OR(J22="",T22="Trong vùng L–H",T22=""),"—","M"&amp;(2*(VALUE(RIGHT(J22,1)))+IF(T22="Thiếu",1,2)))</f>
        <v>M2</v>
      </c>
      <c r="V22" s="19" t="str">
        <f aca="false">IFERROR(INDEX(MaTran_6O!$D$14:$D$19,MATCH(U22,MaTran_6O!$A$14:$A$19,0)),"Theo dõi, không hành động")</f>
        <v>1. Đầu tư ngắn hạn phần (Tiền − Z)</v>
      </c>
    </row>
    <row r="23" customFormat="false" ht="15" hidden="false" customHeight="false" outlineLevel="0" collapsed="false">
      <c r="A23" s="25" t="s">
        <v>315</v>
      </c>
      <c r="B23" s="5" t="str">
        <f aca="false">INDEX(HoSoDN!$B$5:$B$32,MATCH(A23,HoSoDN!$A$5:$A$32,0))</f>
        <v>CTCP 26</v>
      </c>
      <c r="C23" s="5" t="str">
        <f aca="false">IFERROR(INDEX(B4_PhanLopW!$D$5:$D$64,MATCH($A23&amp;"-"&amp;ThamSo!$C$21,B4_PhanLopW!$C$5:$C$64,0)),"")</f>
        <v>FOB|Nhỏ–vừa</v>
      </c>
      <c r="D23" s="26" t="n">
        <f aca="false">IFERROR(INDEX(B4_PhanLopW!$I$5:$I$64,MATCH($A23&amp;"-"&amp;ThamSo!$C$21,B4_PhanLopW!$C$5:$C$64,0)),"")</f>
        <v>48.09836885</v>
      </c>
      <c r="E23" s="5" t="str">
        <f aca="false">IFERROR(INDEX(B4_PhanLopW!$AA$5:$AA$64,MATCH($A23&amp;"-"&amp;ThamSo!$C$21,B4_PhanLopW!$C$5:$C$64,0)),"")</f>
        <v>An toàn</v>
      </c>
      <c r="F23" s="26" t="n">
        <f aca="false">IFERROR(INDEX(B4_PhanLopW!$J$5:$J$64,MATCH($A23&amp;"-"&amp;ThamSo!$C$21,B4_PhanLopW!$C$5:$C$64,0)),"")</f>
        <v>73.87966986</v>
      </c>
      <c r="G23" s="5" t="str">
        <f aca="false">IFERROR(INDEX(B4_PhanLopW!$AB$5:$AB$64,MATCH($A23&amp;"-"&amp;ThamSo!$C$21,B4_PhanLopW!$C$5:$C$64,0)),"")</f>
        <v>An toàn</v>
      </c>
      <c r="H23" s="26" t="n">
        <f aca="false">IFERROR(INDEX(B4_PhanLopW!$K$5:$K$64,MATCH($A23&amp;"-"&amp;ThamSo!$C$21,B4_PhanLopW!$C$5:$C$64,0)),"")</f>
        <v>67.2864971</v>
      </c>
      <c r="I23" s="5" t="str">
        <f aca="false">IFERROR(INDEX(B4_PhanLopW!$AC$5:$AC$64,MATCH($A23&amp;"-"&amp;ThamSo!$C$21,B4_PhanLopW!$C$5:$C$64,0)),"")</f>
        <v>An toàn</v>
      </c>
      <c r="J23" s="27" t="str">
        <f aca="false">IFERROR(INDEX(B4_PhanLopW!$AD$5:$AD$64,MATCH($A23&amp;"-"&amp;ThamSo!$C$21,B4_PhanLopW!$C$5:$C$64,0)),"")</f>
        <v>W0</v>
      </c>
      <c r="K23" s="27" t="str">
        <f aca="false">IFERROR(INDEX(B4_PhanLopW!$AE$5:$AE$64,MATCH($A23&amp;"-"&amp;ThamSo!$C$21,B4_PhanLopW!$C$5:$C$64,0)),"")</f>
        <v>An toàn</v>
      </c>
      <c r="L23" s="5" t="str">
        <f aca="false">IFERROR(INDEX(B4_PhanLopW!$AF$5:$AF$64,MATCH($A23&amp;"-"&amp;ThamSo!$C$21,B4_PhanLopW!$C$5:$C$64,0)),"")</f>
        <v/>
      </c>
      <c r="M23" s="5" t="str">
        <f aca="false">IFERROR(INDEX(B4_PhanLopW!$AG$5:$AG$64,MATCH($A23&amp;"-"&amp;ThamSo!$C$21,B4_PhanLopW!$C$5:$C$64,0)),"")</f>
        <v/>
      </c>
      <c r="N23" s="26" t="n">
        <f aca="false">IFERROR(IFERROR(INDEX(B4_PhanLopW!$AH$5:$AH$64,MATCH($A23&amp;"-"&amp;ThamSo!$C$21,B4_PhanLopW!$C$5:$C$64,0)),"")/1000000000,"")</f>
        <v>0</v>
      </c>
      <c r="O23" s="20" t="n">
        <f aca="false">IFERROR(INDEX(B4_PhanLopW!$Z$5:$Z$64,MATCH($A23&amp;"-"&amp;ThamSo!$C$21,B4_PhanLopW!$C$5:$C$64,0)),"")</f>
        <v>0</v>
      </c>
      <c r="P23" s="26" t="n">
        <f aca="false">IFERROR(IFERROR(INDEX(DuLieu!$H$5:$H$88,MATCH($A23&amp;"-"&amp;ThamSo!$C$21,DuLieu!$AM$5:$AM$88,0)),"")/1000000000,"")</f>
        <v>123.757098577</v>
      </c>
      <c r="Q23" s="26" t="n">
        <f aca="false">IFERROR(MAX(IFERROR(INDEX(DuLieu!$D$5:$D$88,MATCH($A23&amp;"-"&amp;ThamSo!$C$21,DuLieu!$AM$5:$AM$88,0)),"")*B6_MillerOrr!$C$17,B6_MillerOrr!$C$23)/1000000000,"")</f>
        <v>44.850412602296</v>
      </c>
      <c r="R23" s="26" t="n">
        <f aca="false">IFERROR(Q23+3*(0.75*B6_MillerOrr!$C$22*(IFERROR(INDEX(DuLieu!$D$5:$D$88,MATCH($A23&amp;"-"&amp;ThamSo!$C$21,DuLieu!$AM$5:$AM$88,0)),"")*B6_MillerOrr!$C$20)^2/B6_MillerOrr!$C$21)^(1/3)/1000000000/3,"")</f>
        <v>48.3172328892839</v>
      </c>
      <c r="S23" s="26" t="n">
        <f aca="false">IFERROR(Q23+3*(R23-Q23),"")</f>
        <v>55.2508734632596</v>
      </c>
      <c r="T23" s="27" t="str">
        <f aca="false">IF(P23="","",IF(P23&lt;Q23,"Thiếu",IF(P23&gt;S23,"Thừa","Trong vùng L–H")))</f>
        <v>Thừa</v>
      </c>
      <c r="U23" s="29" t="str">
        <f aca="false">IF(OR(J23="",T23="Trong vùng L–H",T23=""),"—","M"&amp;(2*(VALUE(RIGHT(J23,1)))+IF(T23="Thiếu",1,2)))</f>
        <v>M2</v>
      </c>
      <c r="V23" s="19" t="str">
        <f aca="false">IFERROR(INDEX(MaTran_6O!$D$14:$D$19,MATCH(U23,MaTran_6O!$A$14:$A$19,0)),"Theo dõi, không hành động")</f>
        <v>1. Đầu tư ngắn hạn phần (Tiền − Z)</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48"/>
    <col collapsed="false" customWidth="true" hidden="false" outlineLevel="0" max="4" min="4" style="0" width="58"/>
    <col collapsed="false" customWidth="true" hidden="false" outlineLevel="0" max="5" min="5" style="0" width="20"/>
  </cols>
  <sheetData>
    <row r="1" customFormat="false" ht="17.35" hidden="false" customHeight="false" outlineLevel="0" collapsed="false">
      <c r="A1" s="15" t="s">
        <v>720</v>
      </c>
    </row>
    <row r="3" customFormat="false" ht="15" hidden="false" customHeight="false" outlineLevel="0" collapsed="false">
      <c r="A3" s="4" t="s">
        <v>440</v>
      </c>
      <c r="B3" s="4" t="s">
        <v>721</v>
      </c>
      <c r="C3" s="4" t="s">
        <v>722</v>
      </c>
      <c r="D3" s="4" t="s">
        <v>723</v>
      </c>
      <c r="E3" s="4" t="s">
        <v>724</v>
      </c>
    </row>
    <row r="4" customFormat="false" ht="23.85" hidden="false" customHeight="false" outlineLevel="0" collapsed="false">
      <c r="A4" s="5" t="n">
        <v>1</v>
      </c>
      <c r="B4" s="18" t="s">
        <v>725</v>
      </c>
      <c r="C4" s="19" t="str">
        <f aca="false">HoSoDN!Q34&amp;" DN FOB, "&amp;B1_ChuanNganh!B5&amp;" năm–DN; loại 3 DN gia công (DIO &lt; 20 ngày)"</f>
        <v>20 DN FOB, 60 năm–DN; loại 3 DN gia công (DIO &lt; 20 ngày)</v>
      </c>
      <c r="D4" s="19" t="s">
        <v>726</v>
      </c>
      <c r="E4" s="19" t="s">
        <v>39</v>
      </c>
    </row>
    <row r="5" customFormat="false" ht="23.85" hidden="false" customHeight="false" outlineLevel="0" collapsed="false">
      <c r="A5" s="5" t="n">
        <v>2</v>
      </c>
      <c r="B5" s="18" t="s">
        <v>727</v>
      </c>
      <c r="C5" s="19" t="str">
        <f aca="false">"Cửa sổ "&amp;ThamSo!C22&amp;"–"&amp;ThamSo!C23</f>
        <v>Cửa sổ 2023–2025</v>
      </c>
      <c r="D5" s="19" t="s">
        <v>728</v>
      </c>
      <c r="E5" s="19" t="s">
        <v>729</v>
      </c>
    </row>
    <row r="6" customFormat="false" ht="23.85" hidden="false" customHeight="false" outlineLevel="0" collapsed="false">
      <c r="A6" s="5" t="n">
        <v>3</v>
      </c>
      <c r="B6" s="18" t="s">
        <v>730</v>
      </c>
      <c r="C6" s="19" t="str">
        <f aca="false">"Tỷ lệ khó khăn năm sau W0/W1/W2: "&amp;TEXT(B5_KiemDinh!D5,"0%")&amp;" / "&amp;TEXT(B5_KiemDinh!D6,"0%")&amp;" / "&amp;TEXT(B5_KiemDinh!D7,"0%")</f>
        <v>Tỷ lệ khó khăn năm sau W0/W1/W2: 0% / 29% / 0%</v>
      </c>
      <c r="D6" s="19" t="s">
        <v>731</v>
      </c>
      <c r="E6" s="19" t="s">
        <v>732</v>
      </c>
    </row>
    <row r="7" customFormat="false" ht="23.85" hidden="false" customHeight="false" outlineLevel="0" collapsed="false">
      <c r="A7" s="5" t="n">
        <v>4</v>
      </c>
      <c r="B7" s="18" t="s">
        <v>733</v>
      </c>
      <c r="C7" s="19" t="str">
        <f aca="false">"p-value quy mô: DSO "&amp;TEXT(B2_BienDieuTiet!G5,"0.00")&amp;", DIO "&amp;TEXT(B2_BienDieuTiet!G7,"0.00")&amp;", DPO "&amp;TEXT(B2_BienDieuTiet!G9,"0.00")</f>
        <v>p-value quy mô: DSO 0.17, DIO 0.29, DPO 0.59</v>
      </c>
      <c r="D7" s="19" t="s">
        <v>734</v>
      </c>
      <c r="E7" s="19" t="s">
        <v>45</v>
      </c>
    </row>
    <row r="8" customFormat="false" ht="15" hidden="false" customHeight="false" outlineLevel="0" collapsed="false">
      <c r="A8" s="5" t="n">
        <v>5</v>
      </c>
      <c r="B8" s="18" t="s">
        <v>735</v>
      </c>
      <c r="C8" s="19" t="s">
        <v>736</v>
      </c>
      <c r="D8" s="19" t="s">
        <v>737</v>
      </c>
      <c r="E8" s="19" t="s">
        <v>738</v>
      </c>
    </row>
    <row r="9" customFormat="false" ht="23.85" hidden="false" customHeight="false" outlineLevel="0" collapsed="false">
      <c r="A9" s="5" t="n">
        <v>6</v>
      </c>
      <c r="B9" s="18" t="s">
        <v>739</v>
      </c>
      <c r="C9" s="19" t="str">
        <f aca="false">"Tỷ lệ biến cố khi DPO cao: "&amp;TEXT(B5_KiemDinh!E21,"0%")&amp;", khi bình thường: "&amp;TEXT(B5_KiemDinh!E20,"0%")</f>
        <v>Tỷ lệ biến cố khi DPO cao: 0%, khi bình thường: 7%</v>
      </c>
      <c r="D9" s="19" t="s">
        <v>740</v>
      </c>
      <c r="E9" s="19" t="s">
        <v>53</v>
      </c>
    </row>
    <row r="10" customFormat="false" ht="23.85" hidden="false" customHeight="false" outlineLevel="0" collapsed="false">
      <c r="A10" s="5" t="n">
        <v>7</v>
      </c>
      <c r="B10" s="18" t="s">
        <v>741</v>
      </c>
      <c r="C10" s="19" t="s">
        <v>742</v>
      </c>
      <c r="D10" s="19" t="s">
        <v>743</v>
      </c>
      <c r="E10" s="19" t="s">
        <v>744</v>
      </c>
    </row>
    <row r="11" customFormat="false" ht="23.85" hidden="false" customHeight="false" outlineLevel="0" collapsed="false">
      <c r="A11" s="5" t="n">
        <v>8</v>
      </c>
      <c r="B11" s="18" t="s">
        <v>745</v>
      </c>
      <c r="C11" s="19" t="str">
        <f aca="false">"ℓ = "&amp;TEXT(B6_MillerOrr!C17,"0.0%")&amp;" DT; s = "&amp;TEXT(B6_MillerOrr!C18,"0.0%")&amp;" DT/năm"</f>
        <v>ℓ = 4.2% DT; s = 4.8% DT/năm</v>
      </c>
      <c r="D11" s="19" t="s">
        <v>746</v>
      </c>
      <c r="E11" s="19" t="s">
        <v>55</v>
      </c>
    </row>
    <row r="12" customFormat="false" ht="23.85" hidden="false" customHeight="false" outlineLevel="0" collapsed="false">
      <c r="A12" s="5" t="n">
        <v>9</v>
      </c>
      <c r="B12" s="18" t="s">
        <v>747</v>
      </c>
      <c r="C12" s="19" t="str">
        <f aca="false">"P25 = "&amp;TEXT(B6_MillerOrr!C17,"0.0%")&amp;" DT ≈ "&amp;TEXT(B6_MillerOrr!G30,"0")&amp;" ngày doanh thu"</f>
        <v>P25 = 4.2% DT ≈ 15 ngày doanh thu</v>
      </c>
      <c r="D12" s="19" t="s">
        <v>748</v>
      </c>
      <c r="E12" s="19" t="s">
        <v>749</v>
      </c>
    </row>
    <row r="13" customFormat="false" ht="23.85" hidden="false" customHeight="false" outlineLevel="0" collapsed="false">
      <c r="A13" s="5" t="n">
        <v>10</v>
      </c>
      <c r="B13" s="18" t="s">
        <v>750</v>
      </c>
      <c r="C13" s="19" t="str">
        <f aca="false">"n = "&amp;B6_MillerOrr!C19&amp;" quan sát biến động tiền năm"</f>
        <v>n = 40 quan sát biến động tiền năm</v>
      </c>
      <c r="D13" s="19" t="s">
        <v>751</v>
      </c>
      <c r="E13" s="19" t="s">
        <v>752</v>
      </c>
    </row>
    <row r="14" customFormat="false" ht="23.85" hidden="false" customHeight="false" outlineLevel="0" collapsed="false">
      <c r="A14" s="5" t="n">
        <v>11</v>
      </c>
      <c r="B14" s="18" t="inlineStr">
        <is>
          <t>Giả định dữ liệu doanh nghiệp đầy đủ</t>
        </is>
      </c>
      <c r="C14" s="19" t="s">
        <v>119</v>
      </c>
      <c r="D14" s="19" t="inlineStr">
        <is>
          <t>Doanh nghiệp luôn tải đủ dữ liệu; hệ thống phân loại W0, W1 hoặc W2.</t>
        </is>
      </c>
      <c r="E14" s="19" t="s">
        <v>51</v>
      </c>
    </row>
    <row r="15" customFormat="false" ht="23.85" hidden="false" customHeight="false" outlineLevel="0" collapsed="false">
      <c r="A15" s="5" t="n">
        <v>12</v>
      </c>
      <c r="B15" s="18" t="s">
        <v>755</v>
      </c>
      <c r="C15" s="19" t="s">
        <v>756</v>
      </c>
      <c r="D15" s="19" t="s">
        <v>757</v>
      </c>
      <c r="E15" s="19" t="s">
        <v>758</v>
      </c>
    </row>
    <row r="16" customFormat="false" ht="23.85" hidden="false" customHeight="false" outlineLevel="0" collapsed="false">
      <c r="A16" s="5" t="n">
        <v>13</v>
      </c>
      <c r="B16" s="18" t="s">
        <v>759</v>
      </c>
      <c r="C16" s="19" t="str">
        <f aca="false">"Chỉ "&amp;HoSoDN!F34&amp;" năm–DN đạt chuẩn SME"</f>
        <v>Chỉ 13 năm–DN đạt chuẩn SME</v>
      </c>
      <c r="D16" s="19" t="s">
        <v>760</v>
      </c>
      <c r="E16" s="19" t="s">
        <v>761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6"/>
    <col collapsed="false" customWidth="true" hidden="false" outlineLevel="0" max="4" min="4" style="0" width="38"/>
    <col collapsed="false" customWidth="true" hidden="false" outlineLevel="0" max="5" min="5" style="0" width="40"/>
    <col collapsed="false" customWidth="true" hidden="false" outlineLevel="0" max="6" min="6" style="0" width="32"/>
  </cols>
  <sheetData>
    <row r="1" customFormat="false" ht="17.35" hidden="false" customHeight="false" outlineLevel="0" collapsed="false">
      <c r="A1" s="15" t="s">
        <v>762</v>
      </c>
    </row>
    <row r="2" customFormat="false" ht="15" hidden="false" customHeight="false" outlineLevel="0" collapsed="false">
      <c r="A2" s="16" t="s">
        <v>763</v>
      </c>
    </row>
    <row r="4" customFormat="false" ht="15" hidden="false" customHeight="false" outlineLevel="0" collapsed="false">
      <c r="A4" s="4" t="s">
        <v>764</v>
      </c>
      <c r="B4" s="4" t="s">
        <v>149</v>
      </c>
      <c r="C4" s="4" t="s">
        <v>5</v>
      </c>
      <c r="D4" s="4" t="s">
        <v>765</v>
      </c>
      <c r="E4" s="4" t="s">
        <v>766</v>
      </c>
      <c r="F4" s="4" t="s">
        <v>767</v>
      </c>
    </row>
    <row r="5" customFormat="false" ht="23.85" hidden="false" customHeight="false" outlineLevel="0" collapsed="false">
      <c r="A5" s="5" t="s">
        <v>768</v>
      </c>
      <c r="B5" s="56" t="n">
        <f aca="false">B3_NguongKhoanMuc!D4</f>
        <v>43.24705229</v>
      </c>
      <c r="C5" s="19" t="s">
        <v>8</v>
      </c>
      <c r="D5" s="19" t="s">
        <v>769</v>
      </c>
      <c r="E5" s="19" t="s">
        <v>770</v>
      </c>
      <c r="F5" s="19"/>
    </row>
    <row r="6" customFormat="false" ht="23.85" hidden="false" customHeight="false" outlineLevel="0" collapsed="false">
      <c r="A6" s="5" t="s">
        <v>771</v>
      </c>
      <c r="B6" s="56" t="n">
        <f aca="false">B3_NguongKhoanMuc!E4</f>
        <v>58.2071385175</v>
      </c>
      <c r="C6" s="19" t="s">
        <v>8</v>
      </c>
      <c r="D6" s="19" t="s">
        <v>772</v>
      </c>
      <c r="E6" s="19" t="s">
        <v>770</v>
      </c>
      <c r="F6" s="19"/>
    </row>
    <row r="7" customFormat="false" ht="23.85" hidden="false" customHeight="false" outlineLevel="0" collapsed="false">
      <c r="A7" s="5" t="s">
        <v>773</v>
      </c>
      <c r="B7" s="56" t="n">
        <f aca="false">B3_NguongKhoanMuc!F4</f>
        <v>66.26326635</v>
      </c>
      <c r="C7" s="19" t="s">
        <v>8</v>
      </c>
      <c r="D7" s="19" t="s">
        <v>774</v>
      </c>
      <c r="E7" s="19" t="s">
        <v>770</v>
      </c>
      <c r="F7" s="19"/>
    </row>
    <row r="8" customFormat="false" ht="23.85" hidden="false" customHeight="false" outlineLevel="0" collapsed="false">
      <c r="A8" s="5" t="s">
        <v>775</v>
      </c>
      <c r="B8" s="56" t="n">
        <f aca="false">B3_NguongKhoanMuc!G4</f>
        <v>69.751755075</v>
      </c>
      <c r="C8" s="19" t="s">
        <v>8</v>
      </c>
      <c r="D8" s="19" t="s">
        <v>776</v>
      </c>
      <c r="E8" s="19" t="s">
        <v>770</v>
      </c>
      <c r="F8" s="19"/>
    </row>
    <row r="9" customFormat="false" ht="23.85" hidden="false" customHeight="false" outlineLevel="0" collapsed="false">
      <c r="A9" s="5" t="s">
        <v>777</v>
      </c>
      <c r="B9" s="56" t="n">
        <f aca="false">B3_NguongKhoanMuc!H4</f>
        <v>86.118055065</v>
      </c>
      <c r="C9" s="19" t="s">
        <v>8</v>
      </c>
      <c r="D9" s="19" t="s">
        <v>778</v>
      </c>
      <c r="E9" s="19" t="s">
        <v>770</v>
      </c>
      <c r="F9" s="19"/>
    </row>
    <row r="10" customFormat="false" ht="23.85" hidden="false" customHeight="false" outlineLevel="0" collapsed="false">
      <c r="A10" s="5" t="s">
        <v>779</v>
      </c>
      <c r="B10" s="56" t="n">
        <f aca="false">B3_NguongKhoanMuc!I4</f>
        <v>137.965147652</v>
      </c>
      <c r="C10" s="19" t="s">
        <v>8</v>
      </c>
      <c r="D10" s="19" t="s">
        <v>780</v>
      </c>
      <c r="E10" s="19" t="s">
        <v>770</v>
      </c>
      <c r="F10" s="19"/>
    </row>
    <row r="11" customFormat="false" ht="23.85" hidden="false" customHeight="false" outlineLevel="0" collapsed="false">
      <c r="A11" s="5" t="s">
        <v>781</v>
      </c>
      <c r="B11" s="56" t="n">
        <f aca="false">B3_NguongKhoanMuc!K4</f>
        <v>68.3092044425</v>
      </c>
      <c r="C11" s="19" t="s">
        <v>8</v>
      </c>
      <c r="D11" s="19" t="s">
        <v>782</v>
      </c>
      <c r="E11" s="19" t="s">
        <v>770</v>
      </c>
      <c r="F11" s="19"/>
    </row>
    <row r="12" customFormat="false" ht="23.85" hidden="false" customHeight="false" outlineLevel="0" collapsed="false">
      <c r="A12" s="5" t="s">
        <v>783</v>
      </c>
      <c r="B12" s="56" t="n">
        <f aca="false">B3_NguongKhoanMuc!L4</f>
        <v>14.892652922</v>
      </c>
      <c r="C12" s="19" t="s">
        <v>8</v>
      </c>
      <c r="D12" s="19" t="s">
        <v>784</v>
      </c>
      <c r="E12" s="19" t="s">
        <v>770</v>
      </c>
      <c r="F12" s="19"/>
    </row>
    <row r="13" customFormat="false" ht="23.85" hidden="false" customHeight="false" outlineLevel="0" collapsed="false">
      <c r="A13" s="5" t="s">
        <v>785</v>
      </c>
      <c r="B13" s="57" t="n">
        <f aca="false">B3_NguongKhoanMuc!M4</f>
        <v>0.0830079952170207</v>
      </c>
      <c r="C13" s="19" t="s">
        <v>786</v>
      </c>
      <c r="D13" s="19" t="s">
        <v>787</v>
      </c>
      <c r="E13" s="19" t="s">
        <v>770</v>
      </c>
      <c r="F13" s="19"/>
    </row>
    <row r="14" customFormat="false" ht="15" hidden="false" customHeight="false" outlineLevel="0" collapsed="false">
      <c r="A14" s="5" t="s">
        <v>788</v>
      </c>
      <c r="B14" s="58" t="n">
        <f aca="false">ThamSo!$C$9</f>
        <v>0.05</v>
      </c>
      <c r="C14" s="19" t="s">
        <v>789</v>
      </c>
      <c r="D14" s="19" t="s">
        <v>790</v>
      </c>
      <c r="E14" s="19" t="s">
        <v>791</v>
      </c>
      <c r="F14" s="19" t="s">
        <v>792</v>
      </c>
    </row>
    <row r="15" customFormat="false" ht="15" hidden="false" customHeight="false" outlineLevel="0" collapsed="false">
      <c r="A15" s="5" t="s">
        <v>793</v>
      </c>
      <c r="B15" s="59" t="n">
        <f aca="false">ThamSo!$C$10</f>
        <v>1</v>
      </c>
      <c r="C15" s="19" t="s">
        <v>172</v>
      </c>
      <c r="D15" s="19" t="s">
        <v>794</v>
      </c>
      <c r="E15" s="19" t="s">
        <v>795</v>
      </c>
      <c r="F15" s="19"/>
    </row>
    <row r="16" customFormat="false" ht="15" hidden="false" customHeight="false" outlineLevel="0" collapsed="false">
      <c r="A16" s="5" t="s">
        <v>796</v>
      </c>
      <c r="B16" s="58" t="n">
        <f aca="false">B2_BienDieuTiet!H5</f>
        <v>1</v>
      </c>
      <c r="C16" s="19" t="s">
        <v>196</v>
      </c>
      <c r="D16" s="19" t="s">
        <v>797</v>
      </c>
      <c r="E16" s="19" t="s">
        <v>798</v>
      </c>
      <c r="F16" s="19" t="s">
        <v>799</v>
      </c>
    </row>
    <row r="17" customFormat="false" ht="15" hidden="false" customHeight="false" outlineLevel="0" collapsed="false">
      <c r="A17" s="5" t="s">
        <v>800</v>
      </c>
      <c r="B17" s="58" t="n">
        <f aca="false">ThamSo!$C$19</f>
        <v>1</v>
      </c>
      <c r="C17" s="19" t="s">
        <v>196</v>
      </c>
      <c r="D17" s="19" t="s">
        <v>801</v>
      </c>
      <c r="E17" s="19" t="s">
        <v>802</v>
      </c>
      <c r="F17" s="19" t="s">
        <v>803</v>
      </c>
    </row>
    <row r="18" customFormat="false" ht="23.85" hidden="false" customHeight="false" outlineLevel="0" collapsed="false">
      <c r="A18" s="5" t="s">
        <v>804</v>
      </c>
      <c r="B18" s="60" t="n">
        <f aca="false">B6_MillerOrr!C17</f>
        <v>0.0417986209613163</v>
      </c>
      <c r="C18" s="19" t="s">
        <v>805</v>
      </c>
      <c r="D18" s="19" t="s">
        <v>806</v>
      </c>
      <c r="E18" s="19" t="s">
        <v>770</v>
      </c>
      <c r="F18" s="19" t="s">
        <v>807</v>
      </c>
    </row>
    <row r="19" customFormat="false" ht="15" hidden="false" customHeight="false" outlineLevel="0" collapsed="false">
      <c r="A19" s="5" t="s">
        <v>808</v>
      </c>
      <c r="B19" s="61" t="n">
        <f aca="false">ThamSo!$C$28</f>
        <v>0</v>
      </c>
      <c r="C19" s="19" t="s">
        <v>176</v>
      </c>
      <c r="D19" s="19" t="s">
        <v>809</v>
      </c>
      <c r="E19" s="19" t="s">
        <v>795</v>
      </c>
      <c r="F19" s="19" t="s">
        <v>810</v>
      </c>
    </row>
    <row r="20" customFormat="false" ht="23.85" hidden="false" customHeight="false" outlineLevel="0" collapsed="false">
      <c r="A20" s="5" t="s">
        <v>811</v>
      </c>
      <c r="B20" s="60" t="n">
        <f aca="false">B6_MillerOrr!C18</f>
        <v>0.0478749879778917</v>
      </c>
      <c r="C20" s="19" t="s">
        <v>812</v>
      </c>
      <c r="D20" s="19" t="s">
        <v>813</v>
      </c>
      <c r="E20" s="19" t="s">
        <v>770</v>
      </c>
      <c r="F20" s="19"/>
    </row>
    <row r="21" customFormat="false" ht="23.85" hidden="false" customHeight="false" outlineLevel="0" collapsed="false">
      <c r="A21" s="5" t="s">
        <v>814</v>
      </c>
      <c r="B21" s="62" t="n">
        <f aca="false">B6_MillerOrr!C20</f>
        <v>0.00250589140013474</v>
      </c>
      <c r="C21" s="19" t="s">
        <v>815</v>
      </c>
      <c r="D21" s="19" t="s">
        <v>816</v>
      </c>
      <c r="E21" s="19" t="s">
        <v>770</v>
      </c>
      <c r="F21" s="19" t="s">
        <v>817</v>
      </c>
    </row>
    <row r="22" customFormat="false" ht="15" hidden="false" customHeight="false" outlineLevel="0" collapsed="false">
      <c r="A22" s="5" t="s">
        <v>818</v>
      </c>
      <c r="B22" s="59" t="n">
        <f aca="false">ThamSo!$C$29</f>
        <v>90</v>
      </c>
      <c r="C22" s="19" t="s">
        <v>8</v>
      </c>
      <c r="D22" s="19" t="s">
        <v>819</v>
      </c>
      <c r="E22" s="19" t="s">
        <v>802</v>
      </c>
      <c r="F22" s="19"/>
    </row>
    <row r="23" customFormat="false" ht="15" hidden="false" customHeight="false" outlineLevel="0" collapsed="false">
      <c r="A23" s="5" t="s">
        <v>820</v>
      </c>
      <c r="B23" s="61" t="n">
        <f aca="false">ThamSo!$C$25</f>
        <v>1000000</v>
      </c>
      <c r="C23" s="19" t="s">
        <v>222</v>
      </c>
      <c r="D23" s="19" t="s">
        <v>821</v>
      </c>
      <c r="E23" s="19" t="s">
        <v>802</v>
      </c>
      <c r="F23" s="19" t="s">
        <v>822</v>
      </c>
    </row>
    <row r="24" customFormat="false" ht="15" hidden="false" customHeight="false" outlineLevel="0" collapsed="false">
      <c r="A24" s="5" t="s">
        <v>823</v>
      </c>
      <c r="B24" s="57" t="n">
        <f aca="false">ThamSo!$C$26</f>
        <v>0.0475</v>
      </c>
      <c r="C24" s="19" t="s">
        <v>226</v>
      </c>
      <c r="D24" s="19" t="s">
        <v>824</v>
      </c>
      <c r="E24" s="19" t="s">
        <v>802</v>
      </c>
      <c r="F24" s="19" t="s">
        <v>825</v>
      </c>
    </row>
    <row r="25" customFormat="false" ht="15" hidden="false" customHeight="false" outlineLevel="0" collapsed="false">
      <c r="A25" s="5" t="s">
        <v>826</v>
      </c>
      <c r="B25" s="25" t="s">
        <v>827</v>
      </c>
      <c r="C25" s="19" t="s">
        <v>119</v>
      </c>
      <c r="D25" s="19" t="s">
        <v>511</v>
      </c>
      <c r="E25" s="19" t="s">
        <v>795</v>
      </c>
      <c r="F25" s="19" t="s">
        <v>828</v>
      </c>
    </row>
    <row r="26" customFormat="false" ht="15" hidden="false" customHeight="false" outlineLevel="0" collapsed="false">
      <c r="A26" s="5" t="s">
        <v>829</v>
      </c>
      <c r="B26" s="63" t="n">
        <v>0.5</v>
      </c>
      <c r="C26" s="19" t="s">
        <v>830</v>
      </c>
      <c r="D26" s="19" t="s">
        <v>831</v>
      </c>
      <c r="E26" s="19" t="s">
        <v>802</v>
      </c>
      <c r="F26" s="19" t="s">
        <v>832</v>
      </c>
    </row>
    <row r="27" customFormat="false" ht="15" hidden="false" customHeight="false" outlineLevel="0" collapsed="false">
      <c r="A27" s="5" t="s">
        <v>833</v>
      </c>
      <c r="B27" s="63" t="n">
        <v>1</v>
      </c>
      <c r="C27" s="19" t="s">
        <v>830</v>
      </c>
      <c r="D27" s="19" t="s">
        <v>834</v>
      </c>
      <c r="E27" s="19" t="s">
        <v>802</v>
      </c>
      <c r="F27" s="19"/>
    </row>
    <row r="28" customFormat="false" ht="15" hidden="false" customHeight="false" outlineLevel="0" collapsed="false">
      <c r="A28" s="5" t="s">
        <v>835</v>
      </c>
      <c r="B28" s="64" t="n">
        <v>60</v>
      </c>
      <c r="C28" s="19" t="s">
        <v>8</v>
      </c>
      <c r="D28" s="19" t="s">
        <v>836</v>
      </c>
      <c r="E28" s="19" t="s">
        <v>802</v>
      </c>
      <c r="F28" s="19"/>
    </row>
    <row r="29" customFormat="false" ht="15" hidden="false" customHeight="false" outlineLevel="0" collapsed="false">
      <c r="A29" s="5" t="s">
        <v>837</v>
      </c>
      <c r="B29" s="64" t="n">
        <v>30</v>
      </c>
      <c r="C29" s="19" t="s">
        <v>8</v>
      </c>
      <c r="D29" s="19" t="s">
        <v>838</v>
      </c>
      <c r="E29" s="19" t="s">
        <v>802</v>
      </c>
      <c r="F29" s="1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2026-10-19T17:21:22Z</dcterms:created>
  <dc:creator>openpyxl</dc:creator>
  <dc:description/>
  <dc:language>en-US</dc:language>
  <cp:lastModifiedBy/>
  <dcterms:modified xsi:type="dcterms:W3CDTF">2026-10-19T17:21:23Z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