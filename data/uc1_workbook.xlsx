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e Thu\Downloads\"/>
    </mc:Choice>
  </mc:AlternateContent>
  <xr:revisionPtr revIDLastSave="0" documentId="8_{D3E847A5-D741-4AD9-87AF-E99F9641F7A3}" xr6:coauthVersionLast="47" xr6:coauthVersionMax="47" xr10:uidLastSave="{00000000-0000-0000-0000-000000000000}"/>
  <bookViews>
    <workbookView xWindow="-108" yWindow="-108" windowWidth="23256" windowHeight="13896" firstSheet="1" activeTab="4" xr2:uid="{00000000-000D-0000-FFFF-FFFF00000000}"/>
  </bookViews>
  <sheets>
    <sheet name="Quy_uoc_chung" sheetId="2" r:id="rId1"/>
    <sheet name="TV1_Boi_canh_nganh" sheetId="5" r:id="rId2"/>
    <sheet name="TV1_Cong_thuc" sheetId="6" r:id="rId3"/>
    <sheet name="TV1_Nguong" sheetId="7" r:id="rId4"/>
    <sheet name="TV1_Output" sheetId="8" r:id="rId5"/>
    <sheet name="TV1_Tinh_tay" sheetId="9" r:id="rId6"/>
    <sheet name="TV1_Doi_chieu" sheetId="10" r:id="rId7"/>
    <sheet name="TV1_Ket_qua" sheetId="11" r:id="rId8"/>
    <sheet name="D_firms" sheetId="12" r:id="rId9"/>
    <sheet name="D_financials" sheetId="13" r:id="rId10"/>
    <sheet name="D_sales" sheetId="14" r:id="rId11"/>
    <sheet name="D_purchases" sheetId="15" r:id="rId12"/>
    <sheet name="D_inventory" sheetId="16" r:id="rId13"/>
    <sheet name="Thuat_ngu" sheetId="20" r:id="rId14"/>
    <sheet name="TV1_Quy_uoc" sheetId="26" r:id="rId15"/>
    <sheet name="TV1_Dien_giai" sheetId="27" r:id="rId16"/>
    <sheet name="TV1_Mau_ket_qua" sheetId="28" r:id="rId17"/>
    <sheet name="TV1_Du_lieu" sheetId="29" r:id="rId18"/>
    <sheet name="TV1_Kiem_thu" sheetId="30" r:id="rId19"/>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0" i="28" l="1"/>
  <c r="B6" i="28"/>
  <c r="I16" i="16"/>
  <c r="H16" i="16"/>
  <c r="J16" i="16" s="1"/>
  <c r="G16" i="16"/>
  <c r="K16" i="16" s="1"/>
  <c r="I15" i="16"/>
  <c r="H15" i="16"/>
  <c r="J15" i="16" s="1"/>
  <c r="G15" i="16"/>
  <c r="I14" i="16"/>
  <c r="H14" i="16"/>
  <c r="G14" i="16"/>
  <c r="K14" i="16" s="1"/>
  <c r="K13" i="16"/>
  <c r="I13" i="16"/>
  <c r="J13" i="16" s="1"/>
  <c r="H13" i="16"/>
  <c r="G13" i="16"/>
  <c r="I12" i="16"/>
  <c r="H12" i="16"/>
  <c r="G12" i="16"/>
  <c r="K12" i="16" s="1"/>
  <c r="K11" i="16"/>
  <c r="I11" i="16"/>
  <c r="H11" i="16"/>
  <c r="G11" i="16"/>
  <c r="I10" i="16"/>
  <c r="J10" i="16" s="1"/>
  <c r="H10" i="16"/>
  <c r="G10" i="16"/>
  <c r="K10" i="16" s="1"/>
  <c r="I9" i="16"/>
  <c r="J9" i="16" s="1"/>
  <c r="H9" i="16"/>
  <c r="G9" i="16"/>
  <c r="K8" i="16"/>
  <c r="J8" i="16"/>
  <c r="I8" i="16"/>
  <c r="H8" i="16"/>
  <c r="G8" i="16"/>
  <c r="J7" i="16"/>
  <c r="I7" i="16"/>
  <c r="H7" i="16"/>
  <c r="G7" i="16"/>
  <c r="K6" i="16"/>
  <c r="I6" i="16"/>
  <c r="H6" i="16"/>
  <c r="J6" i="16" s="1"/>
  <c r="G6" i="16"/>
  <c r="J5" i="16"/>
  <c r="I5" i="16"/>
  <c r="H5" i="16"/>
  <c r="K5" i="16" s="1"/>
  <c r="G5" i="16"/>
  <c r="K4" i="16"/>
  <c r="I4" i="16"/>
  <c r="H4" i="16"/>
  <c r="J4" i="16" s="1"/>
  <c r="G4" i="16"/>
  <c r="K3" i="16"/>
  <c r="I3" i="16"/>
  <c r="H3" i="16"/>
  <c r="G3" i="16"/>
  <c r="N267" i="15"/>
  <c r="M267" i="15"/>
  <c r="L267" i="15"/>
  <c r="K267" i="15"/>
  <c r="J267" i="15"/>
  <c r="T267" i="15" s="1"/>
  <c r="N266" i="15"/>
  <c r="O266" i="15" s="1"/>
  <c r="M266" i="15"/>
  <c r="L266" i="15"/>
  <c r="K266" i="15"/>
  <c r="J266" i="15"/>
  <c r="T266" i="15" s="1"/>
  <c r="T265" i="15"/>
  <c r="R265" i="15"/>
  <c r="N265" i="15"/>
  <c r="O265" i="15" s="1"/>
  <c r="L265" i="15"/>
  <c r="K265" i="15"/>
  <c r="M265" i="15" s="1"/>
  <c r="J265" i="15"/>
  <c r="S265" i="15" s="1"/>
  <c r="N264" i="15"/>
  <c r="L264" i="15"/>
  <c r="M264" i="15" s="1"/>
  <c r="K264" i="15"/>
  <c r="J264" i="15"/>
  <c r="N263" i="15"/>
  <c r="M263" i="15"/>
  <c r="L263" i="15"/>
  <c r="K263" i="15"/>
  <c r="J263" i="15"/>
  <c r="R263" i="15" s="1"/>
  <c r="O262" i="15"/>
  <c r="P262" i="15" s="1"/>
  <c r="N262" i="15"/>
  <c r="M262" i="15"/>
  <c r="L262" i="15"/>
  <c r="K262" i="15"/>
  <c r="J262" i="15"/>
  <c r="T261" i="15"/>
  <c r="N261" i="15"/>
  <c r="L261" i="15"/>
  <c r="K261" i="15"/>
  <c r="M261" i="15" s="1"/>
  <c r="J261" i="15"/>
  <c r="N260" i="15"/>
  <c r="M260" i="15"/>
  <c r="L260" i="15"/>
  <c r="K260" i="15"/>
  <c r="J260" i="15"/>
  <c r="R259" i="15"/>
  <c r="S259" i="15" s="1"/>
  <c r="N259" i="15"/>
  <c r="L259" i="15"/>
  <c r="K259" i="15"/>
  <c r="M259" i="15" s="1"/>
  <c r="J259" i="15"/>
  <c r="O259" i="15" s="1"/>
  <c r="T258" i="15"/>
  <c r="R258" i="15"/>
  <c r="Q258" i="15"/>
  <c r="N258" i="15"/>
  <c r="L258" i="15"/>
  <c r="K258" i="15"/>
  <c r="M258" i="15" s="1"/>
  <c r="J258" i="15"/>
  <c r="O258" i="15" s="1"/>
  <c r="P258" i="15" s="1"/>
  <c r="T257" i="15"/>
  <c r="S257" i="15"/>
  <c r="R257" i="15"/>
  <c r="O257" i="15"/>
  <c r="N257" i="15"/>
  <c r="L257" i="15"/>
  <c r="K257" i="15"/>
  <c r="J257" i="15"/>
  <c r="T256" i="15"/>
  <c r="S256" i="15"/>
  <c r="R256" i="15"/>
  <c r="Q256" i="15"/>
  <c r="N256" i="15"/>
  <c r="O256" i="15" s="1"/>
  <c r="P256" i="15" s="1"/>
  <c r="L256" i="15"/>
  <c r="K256" i="15"/>
  <c r="M256" i="15" s="1"/>
  <c r="J256" i="15"/>
  <c r="T255" i="15"/>
  <c r="R255" i="15"/>
  <c r="O255" i="15"/>
  <c r="N255" i="15"/>
  <c r="M255" i="15"/>
  <c r="L255" i="15"/>
  <c r="K255" i="15"/>
  <c r="J255" i="15"/>
  <c r="S255" i="15" s="1"/>
  <c r="S254" i="15"/>
  <c r="R254" i="15"/>
  <c r="N254" i="15"/>
  <c r="O254" i="15" s="1"/>
  <c r="M254" i="15"/>
  <c r="L254" i="15"/>
  <c r="K254" i="15"/>
  <c r="J254" i="15"/>
  <c r="T254" i="15" s="1"/>
  <c r="T253" i="15"/>
  <c r="R253" i="15"/>
  <c r="N253" i="15"/>
  <c r="O253" i="15" s="1"/>
  <c r="L253" i="15"/>
  <c r="K253" i="15"/>
  <c r="M253" i="15" s="1"/>
  <c r="J253" i="15"/>
  <c r="S253" i="15" s="1"/>
  <c r="N252" i="15"/>
  <c r="M252" i="15"/>
  <c r="L252" i="15"/>
  <c r="K252" i="15"/>
  <c r="J252" i="15"/>
  <c r="N251" i="15"/>
  <c r="L251" i="15"/>
  <c r="M251" i="15" s="1"/>
  <c r="K251" i="15"/>
  <c r="J251" i="15"/>
  <c r="R251" i="15" s="1"/>
  <c r="T250" i="15"/>
  <c r="O250" i="15"/>
  <c r="N250" i="15"/>
  <c r="M250" i="15"/>
  <c r="L250" i="15"/>
  <c r="K250" i="15"/>
  <c r="J250" i="15"/>
  <c r="T249" i="15"/>
  <c r="N249" i="15"/>
  <c r="M249" i="15"/>
  <c r="L249" i="15"/>
  <c r="K249" i="15"/>
  <c r="J249" i="15"/>
  <c r="T248" i="15"/>
  <c r="R248" i="15"/>
  <c r="S248" i="15" s="1"/>
  <c r="N248" i="15"/>
  <c r="L248" i="15"/>
  <c r="K248" i="15"/>
  <c r="M248" i="15" s="1"/>
  <c r="J248" i="15"/>
  <c r="O248" i="15" s="1"/>
  <c r="N247" i="15"/>
  <c r="L247" i="15"/>
  <c r="K247" i="15"/>
  <c r="J247" i="15"/>
  <c r="T247" i="15" s="1"/>
  <c r="T246" i="15"/>
  <c r="R246" i="15"/>
  <c r="N246" i="15"/>
  <c r="L246" i="15"/>
  <c r="K246" i="15"/>
  <c r="M246" i="15" s="1"/>
  <c r="J246" i="15"/>
  <c r="R245" i="15"/>
  <c r="O245" i="15"/>
  <c r="N245" i="15"/>
  <c r="L245" i="15"/>
  <c r="K245" i="15"/>
  <c r="J245" i="15"/>
  <c r="T244" i="15"/>
  <c r="S244" i="15"/>
  <c r="R244" i="15"/>
  <c r="N244" i="15"/>
  <c r="O244" i="15" s="1"/>
  <c r="L244" i="15"/>
  <c r="K244" i="15"/>
  <c r="M244" i="15" s="1"/>
  <c r="J244" i="15"/>
  <c r="T243" i="15"/>
  <c r="R243" i="15"/>
  <c r="S243" i="15" s="1"/>
  <c r="Q243" i="15"/>
  <c r="N243" i="15"/>
  <c r="O243" i="15" s="1"/>
  <c r="P243" i="15" s="1"/>
  <c r="M243" i="15"/>
  <c r="L243" i="15"/>
  <c r="K243" i="15"/>
  <c r="J243" i="15"/>
  <c r="S242" i="15"/>
  <c r="R242" i="15"/>
  <c r="Q242" i="15"/>
  <c r="P242" i="15"/>
  <c r="O242" i="15"/>
  <c r="N242" i="15"/>
  <c r="L242" i="15"/>
  <c r="M242" i="15" s="1"/>
  <c r="K242" i="15"/>
  <c r="J242" i="15"/>
  <c r="T242" i="15" s="1"/>
  <c r="T241" i="15"/>
  <c r="R241" i="15"/>
  <c r="Q241" i="15"/>
  <c r="O241" i="15"/>
  <c r="P241" i="15" s="1"/>
  <c r="N241" i="15"/>
  <c r="M241" i="15"/>
  <c r="L241" i="15"/>
  <c r="K241" i="15"/>
  <c r="J241" i="15"/>
  <c r="S241" i="15" s="1"/>
  <c r="N240" i="15"/>
  <c r="L240" i="15"/>
  <c r="K240" i="15"/>
  <c r="M240" i="15" s="1"/>
  <c r="J240" i="15"/>
  <c r="O239" i="15"/>
  <c r="N239" i="15"/>
  <c r="L239" i="15"/>
  <c r="M239" i="15" s="1"/>
  <c r="K239" i="15"/>
  <c r="J239" i="15"/>
  <c r="T238" i="15"/>
  <c r="O238" i="15"/>
  <c r="N238" i="15"/>
  <c r="L238" i="15"/>
  <c r="K238" i="15"/>
  <c r="M238" i="15" s="1"/>
  <c r="J238" i="15"/>
  <c r="N237" i="15"/>
  <c r="L237" i="15"/>
  <c r="K237" i="15"/>
  <c r="M237" i="15" s="1"/>
  <c r="J237" i="15"/>
  <c r="R236" i="15"/>
  <c r="S236" i="15" s="1"/>
  <c r="N236" i="15"/>
  <c r="L236" i="15"/>
  <c r="K236" i="15"/>
  <c r="M236" i="15" s="1"/>
  <c r="J236" i="15"/>
  <c r="T236" i="15" s="1"/>
  <c r="S235" i="15"/>
  <c r="R235" i="15"/>
  <c r="N235" i="15"/>
  <c r="L235" i="15"/>
  <c r="K235" i="15"/>
  <c r="J235" i="15"/>
  <c r="O235" i="15" s="1"/>
  <c r="N234" i="15"/>
  <c r="M234" i="15"/>
  <c r="L234" i="15"/>
  <c r="K234" i="15"/>
  <c r="J234" i="15"/>
  <c r="T233" i="15"/>
  <c r="R233" i="15"/>
  <c r="S233" i="15" s="1"/>
  <c r="P233" i="15"/>
  <c r="O233" i="15"/>
  <c r="Q233" i="15" s="1"/>
  <c r="N233" i="15"/>
  <c r="L233" i="15"/>
  <c r="K233" i="15"/>
  <c r="M233" i="15" s="1"/>
  <c r="J233" i="15"/>
  <c r="T232" i="15"/>
  <c r="S232" i="15"/>
  <c r="R232" i="15"/>
  <c r="Q232" i="15"/>
  <c r="N232" i="15"/>
  <c r="O232" i="15" s="1"/>
  <c r="P232" i="15" s="1"/>
  <c r="L232" i="15"/>
  <c r="K232" i="15"/>
  <c r="M232" i="15" s="1"/>
  <c r="J232" i="15"/>
  <c r="N231" i="15"/>
  <c r="M231" i="15"/>
  <c r="L231" i="15"/>
  <c r="K231" i="15"/>
  <c r="J231" i="15"/>
  <c r="S230" i="15"/>
  <c r="R230" i="15"/>
  <c r="O230" i="15"/>
  <c r="N230" i="15"/>
  <c r="L230" i="15"/>
  <c r="M230" i="15" s="1"/>
  <c r="K230" i="15"/>
  <c r="J230" i="15"/>
  <c r="T230" i="15" s="1"/>
  <c r="T229" i="15"/>
  <c r="R229" i="15"/>
  <c r="P229" i="15"/>
  <c r="N229" i="15"/>
  <c r="O229" i="15" s="1"/>
  <c r="Q229" i="15" s="1"/>
  <c r="L229" i="15"/>
  <c r="K229" i="15"/>
  <c r="M229" i="15" s="1"/>
  <c r="J229" i="15"/>
  <c r="O228" i="15"/>
  <c r="N228" i="15"/>
  <c r="M228" i="15"/>
  <c r="L228" i="15"/>
  <c r="K228" i="15"/>
  <c r="J228" i="15"/>
  <c r="N227" i="15"/>
  <c r="L227" i="15"/>
  <c r="K227" i="15"/>
  <c r="M227" i="15" s="1"/>
  <c r="J227" i="15"/>
  <c r="T226" i="15"/>
  <c r="N226" i="15"/>
  <c r="O226" i="15" s="1"/>
  <c r="L226" i="15"/>
  <c r="K226" i="15"/>
  <c r="M226" i="15" s="1"/>
  <c r="J226" i="15"/>
  <c r="N225" i="15"/>
  <c r="M225" i="15"/>
  <c r="L225" i="15"/>
  <c r="K225" i="15"/>
  <c r="J225" i="15"/>
  <c r="R224" i="15"/>
  <c r="N224" i="15"/>
  <c r="L224" i="15"/>
  <c r="K224" i="15"/>
  <c r="M224" i="15" s="1"/>
  <c r="J224" i="15"/>
  <c r="N223" i="15"/>
  <c r="L223" i="15"/>
  <c r="K223" i="15"/>
  <c r="M223" i="15" s="1"/>
  <c r="J223" i="15"/>
  <c r="N222" i="15"/>
  <c r="L222" i="15"/>
  <c r="K222" i="15"/>
  <c r="M222" i="15" s="1"/>
  <c r="J222" i="15"/>
  <c r="T221" i="15"/>
  <c r="S221" i="15"/>
  <c r="R221" i="15"/>
  <c r="Q221" i="15"/>
  <c r="P221" i="15"/>
  <c r="O221" i="15"/>
  <c r="N221" i="15"/>
  <c r="L221" i="15"/>
  <c r="K221" i="15"/>
  <c r="M221" i="15" s="1"/>
  <c r="J221" i="15"/>
  <c r="T220" i="15"/>
  <c r="S220" i="15"/>
  <c r="R220" i="15"/>
  <c r="N220" i="15"/>
  <c r="O220" i="15" s="1"/>
  <c r="L220" i="15"/>
  <c r="K220" i="15"/>
  <c r="M220" i="15" s="1"/>
  <c r="J220" i="15"/>
  <c r="T219" i="15"/>
  <c r="R219" i="15"/>
  <c r="S219" i="15" s="1"/>
  <c r="Q219" i="15"/>
  <c r="O219" i="15"/>
  <c r="P219" i="15" s="1"/>
  <c r="N219" i="15"/>
  <c r="M219" i="15"/>
  <c r="L219" i="15"/>
  <c r="K219" i="15"/>
  <c r="J219" i="15"/>
  <c r="R218" i="15"/>
  <c r="S218" i="15" s="1"/>
  <c r="O218" i="15"/>
  <c r="N218" i="15"/>
  <c r="M218" i="15"/>
  <c r="L218" i="15"/>
  <c r="K218" i="15"/>
  <c r="J218" i="15"/>
  <c r="T218" i="15" s="1"/>
  <c r="T217" i="15"/>
  <c r="R217" i="15"/>
  <c r="N217" i="15"/>
  <c r="O217" i="15" s="1"/>
  <c r="L217" i="15"/>
  <c r="K217" i="15"/>
  <c r="M217" i="15" s="1"/>
  <c r="J217" i="15"/>
  <c r="S217" i="15" s="1"/>
  <c r="N216" i="15"/>
  <c r="M216" i="15"/>
  <c r="L216" i="15"/>
  <c r="K216" i="15"/>
  <c r="J216" i="15"/>
  <c r="N215" i="15"/>
  <c r="M215" i="15"/>
  <c r="L215" i="15"/>
  <c r="K215" i="15"/>
  <c r="J215" i="15"/>
  <c r="R215" i="15" s="1"/>
  <c r="N214" i="15"/>
  <c r="L214" i="15"/>
  <c r="K214" i="15"/>
  <c r="M214" i="15" s="1"/>
  <c r="J214" i="15"/>
  <c r="T213" i="15"/>
  <c r="N213" i="15"/>
  <c r="M213" i="15"/>
  <c r="L213" i="15"/>
  <c r="K213" i="15"/>
  <c r="J213" i="15"/>
  <c r="O212" i="15"/>
  <c r="N212" i="15"/>
  <c r="M212" i="15"/>
  <c r="L212" i="15"/>
  <c r="K212" i="15"/>
  <c r="J212" i="15"/>
  <c r="S211" i="15"/>
  <c r="R211" i="15"/>
  <c r="N211" i="15"/>
  <c r="L211" i="15"/>
  <c r="K211" i="15"/>
  <c r="M211" i="15" s="1"/>
  <c r="J211" i="15"/>
  <c r="T210" i="15"/>
  <c r="R210" i="15"/>
  <c r="Q210" i="15"/>
  <c r="N210" i="15"/>
  <c r="L210" i="15"/>
  <c r="K210" i="15"/>
  <c r="M210" i="15" s="1"/>
  <c r="J210" i="15"/>
  <c r="O210" i="15" s="1"/>
  <c r="P210" i="15" s="1"/>
  <c r="T209" i="15"/>
  <c r="S209" i="15"/>
  <c r="R209" i="15"/>
  <c r="O209" i="15"/>
  <c r="N209" i="15"/>
  <c r="L209" i="15"/>
  <c r="K209" i="15"/>
  <c r="M209" i="15" s="1"/>
  <c r="J209" i="15"/>
  <c r="T208" i="15"/>
  <c r="R208" i="15"/>
  <c r="S208" i="15" s="1"/>
  <c r="Q208" i="15"/>
  <c r="N208" i="15"/>
  <c r="O208" i="15" s="1"/>
  <c r="P208" i="15" s="1"/>
  <c r="L208" i="15"/>
  <c r="K208" i="15"/>
  <c r="M208" i="15" s="1"/>
  <c r="J208" i="15"/>
  <c r="T207" i="15"/>
  <c r="R207" i="15"/>
  <c r="S207" i="15" s="1"/>
  <c r="O207" i="15"/>
  <c r="N207" i="15"/>
  <c r="M207" i="15"/>
  <c r="L207" i="15"/>
  <c r="K207" i="15"/>
  <c r="J207" i="15"/>
  <c r="R206" i="15"/>
  <c r="S206" i="15" s="1"/>
  <c r="N206" i="15"/>
  <c r="O206" i="15" s="1"/>
  <c r="M206" i="15"/>
  <c r="L206" i="15"/>
  <c r="K206" i="15"/>
  <c r="J206" i="15"/>
  <c r="T206" i="15" s="1"/>
  <c r="T205" i="15"/>
  <c r="R205" i="15"/>
  <c r="Q205" i="15"/>
  <c r="P205" i="15"/>
  <c r="N205" i="15"/>
  <c r="O205" i="15" s="1"/>
  <c r="L205" i="15"/>
  <c r="K205" i="15"/>
  <c r="M205" i="15" s="1"/>
  <c r="J205" i="15"/>
  <c r="S205" i="15" s="1"/>
  <c r="N204" i="15"/>
  <c r="M204" i="15"/>
  <c r="L204" i="15"/>
  <c r="K204" i="15"/>
  <c r="J204" i="15"/>
  <c r="R203" i="15"/>
  <c r="P203" i="15"/>
  <c r="O203" i="15"/>
  <c r="Q203" i="15" s="1"/>
  <c r="N203" i="15"/>
  <c r="M203" i="15"/>
  <c r="L203" i="15"/>
  <c r="K203" i="15"/>
  <c r="J203" i="15"/>
  <c r="T202" i="15"/>
  <c r="O202" i="15"/>
  <c r="N202" i="15"/>
  <c r="L202" i="15"/>
  <c r="K202" i="15"/>
  <c r="M202" i="15" s="1"/>
  <c r="J202" i="15"/>
  <c r="T201" i="15"/>
  <c r="N201" i="15"/>
  <c r="L201" i="15"/>
  <c r="K201" i="15"/>
  <c r="M201" i="15" s="1"/>
  <c r="J201" i="15"/>
  <c r="N200" i="15"/>
  <c r="M200" i="15"/>
  <c r="L200" i="15"/>
  <c r="K200" i="15"/>
  <c r="J200" i="15"/>
  <c r="N199" i="15"/>
  <c r="L199" i="15"/>
  <c r="K199" i="15"/>
  <c r="M199" i="15" s="1"/>
  <c r="J199" i="15"/>
  <c r="T198" i="15"/>
  <c r="R198" i="15"/>
  <c r="N198" i="15"/>
  <c r="L198" i="15"/>
  <c r="K198" i="15"/>
  <c r="M198" i="15" s="1"/>
  <c r="J198" i="15"/>
  <c r="N197" i="15"/>
  <c r="L197" i="15"/>
  <c r="K197" i="15"/>
  <c r="M197" i="15" s="1"/>
  <c r="J197" i="15"/>
  <c r="R197" i="15" s="1"/>
  <c r="T196" i="15"/>
  <c r="S196" i="15"/>
  <c r="R196" i="15"/>
  <c r="N196" i="15"/>
  <c r="O196" i="15" s="1"/>
  <c r="L196" i="15"/>
  <c r="K196" i="15"/>
  <c r="M196" i="15" s="1"/>
  <c r="J196" i="15"/>
  <c r="T195" i="15"/>
  <c r="R195" i="15"/>
  <c r="S195" i="15" s="1"/>
  <c r="N195" i="15"/>
  <c r="O195" i="15" s="1"/>
  <c r="M195" i="15"/>
  <c r="L195" i="15"/>
  <c r="K195" i="15"/>
  <c r="J195" i="15"/>
  <c r="S194" i="15"/>
  <c r="R194" i="15"/>
  <c r="Q194" i="15"/>
  <c r="O194" i="15"/>
  <c r="P194" i="15" s="1"/>
  <c r="N194" i="15"/>
  <c r="M194" i="15"/>
  <c r="L194" i="15"/>
  <c r="K194" i="15"/>
  <c r="J194" i="15"/>
  <c r="T194" i="15" s="1"/>
  <c r="T193" i="15"/>
  <c r="R193" i="15"/>
  <c r="N193" i="15"/>
  <c r="O193" i="15" s="1"/>
  <c r="M193" i="15"/>
  <c r="L193" i="15"/>
  <c r="K193" i="15"/>
  <c r="J193" i="15"/>
  <c r="S193" i="15" s="1"/>
  <c r="N192" i="15"/>
  <c r="L192" i="15"/>
  <c r="K192" i="15"/>
  <c r="M192" i="15" s="1"/>
  <c r="J192" i="15"/>
  <c r="N191" i="15"/>
  <c r="M191" i="15"/>
  <c r="L191" i="15"/>
  <c r="K191" i="15"/>
  <c r="J191" i="15"/>
  <c r="T190" i="15"/>
  <c r="N190" i="15"/>
  <c r="O190" i="15" s="1"/>
  <c r="L190" i="15"/>
  <c r="K190" i="15"/>
  <c r="M190" i="15" s="1"/>
  <c r="J190" i="15"/>
  <c r="N189" i="15"/>
  <c r="L189" i="15"/>
  <c r="K189" i="15"/>
  <c r="M189" i="15" s="1"/>
  <c r="J189" i="15"/>
  <c r="R188" i="15"/>
  <c r="N188" i="15"/>
  <c r="L188" i="15"/>
  <c r="K188" i="15"/>
  <c r="M188" i="15" s="1"/>
  <c r="J188" i="15"/>
  <c r="T187" i="15"/>
  <c r="R187" i="15"/>
  <c r="N187" i="15"/>
  <c r="L187" i="15"/>
  <c r="K187" i="15"/>
  <c r="J187" i="15"/>
  <c r="R186" i="15"/>
  <c r="N186" i="15"/>
  <c r="L186" i="15"/>
  <c r="K186" i="15"/>
  <c r="M186" i="15" s="1"/>
  <c r="J186" i="15"/>
  <c r="T185" i="15"/>
  <c r="R185" i="15"/>
  <c r="S185" i="15" s="1"/>
  <c r="O185" i="15"/>
  <c r="N185" i="15"/>
  <c r="L185" i="15"/>
  <c r="K185" i="15"/>
  <c r="J185" i="15"/>
  <c r="T184" i="15"/>
  <c r="S184" i="15"/>
  <c r="R184" i="15"/>
  <c r="N184" i="15"/>
  <c r="O184" i="15" s="1"/>
  <c r="P184" i="15" s="1"/>
  <c r="L184" i="15"/>
  <c r="K184" i="15"/>
  <c r="M184" i="15" s="1"/>
  <c r="J184" i="15"/>
  <c r="T183" i="15"/>
  <c r="R183" i="15"/>
  <c r="N183" i="15"/>
  <c r="M183" i="15"/>
  <c r="L183" i="15"/>
  <c r="K183" i="15"/>
  <c r="J183" i="15"/>
  <c r="R182" i="15"/>
  <c r="S182" i="15" s="1"/>
  <c r="P182" i="15"/>
  <c r="O182" i="15"/>
  <c r="Q182" i="15" s="1"/>
  <c r="N182" i="15"/>
  <c r="M182" i="15"/>
  <c r="L182" i="15"/>
  <c r="K182" i="15"/>
  <c r="J182" i="15"/>
  <c r="T182" i="15" s="1"/>
  <c r="N181" i="15"/>
  <c r="M181" i="15"/>
  <c r="L181" i="15"/>
  <c r="K181" i="15"/>
  <c r="J181" i="15"/>
  <c r="N180" i="15"/>
  <c r="M180" i="15"/>
  <c r="L180" i="15"/>
  <c r="K180" i="15"/>
  <c r="J180" i="15"/>
  <c r="R179" i="15"/>
  <c r="N179" i="15"/>
  <c r="L179" i="15"/>
  <c r="K179" i="15"/>
  <c r="M179" i="15" s="1"/>
  <c r="J179" i="15"/>
  <c r="N178" i="15"/>
  <c r="L178" i="15"/>
  <c r="K178" i="15"/>
  <c r="M178" i="15" s="1"/>
  <c r="J178" i="15"/>
  <c r="N177" i="15"/>
  <c r="L177" i="15"/>
  <c r="K177" i="15"/>
  <c r="M177" i="15" s="1"/>
  <c r="J177" i="15"/>
  <c r="R176" i="15"/>
  <c r="S176" i="15" s="1"/>
  <c r="Q176" i="15"/>
  <c r="O176" i="15"/>
  <c r="P176" i="15" s="1"/>
  <c r="N176" i="15"/>
  <c r="L176" i="15"/>
  <c r="K176" i="15"/>
  <c r="J176" i="15"/>
  <c r="T176" i="15" s="1"/>
  <c r="T175" i="15"/>
  <c r="S175" i="15"/>
  <c r="R175" i="15"/>
  <c r="N175" i="15"/>
  <c r="L175" i="15"/>
  <c r="K175" i="15"/>
  <c r="M175" i="15" s="1"/>
  <c r="J175" i="15"/>
  <c r="T174" i="15"/>
  <c r="N174" i="15"/>
  <c r="M174" i="15"/>
  <c r="L174" i="15"/>
  <c r="K174" i="15"/>
  <c r="J174" i="15"/>
  <c r="N173" i="15"/>
  <c r="L173" i="15"/>
  <c r="K173" i="15"/>
  <c r="J173" i="15"/>
  <c r="T172" i="15"/>
  <c r="S172" i="15"/>
  <c r="R172" i="15"/>
  <c r="N172" i="15"/>
  <c r="O172" i="15" s="1"/>
  <c r="M172" i="15"/>
  <c r="L172" i="15"/>
  <c r="K172" i="15"/>
  <c r="J172" i="15"/>
  <c r="R171" i="15"/>
  <c r="N171" i="15"/>
  <c r="M171" i="15"/>
  <c r="L171" i="15"/>
  <c r="K171" i="15"/>
  <c r="J171" i="15"/>
  <c r="R170" i="15"/>
  <c r="S170" i="15" s="1"/>
  <c r="P170" i="15"/>
  <c r="N170" i="15"/>
  <c r="O170" i="15" s="1"/>
  <c r="Q170" i="15" s="1"/>
  <c r="L170" i="15"/>
  <c r="K170" i="15"/>
  <c r="M170" i="15" s="1"/>
  <c r="J170" i="15"/>
  <c r="T170" i="15" s="1"/>
  <c r="R169" i="15"/>
  <c r="Q169" i="15"/>
  <c r="N169" i="15"/>
  <c r="O169" i="15" s="1"/>
  <c r="P169" i="15" s="1"/>
  <c r="L169" i="15"/>
  <c r="K169" i="15"/>
  <c r="M169" i="15" s="1"/>
  <c r="J169" i="15"/>
  <c r="N168" i="15"/>
  <c r="O168" i="15" s="1"/>
  <c r="L168" i="15"/>
  <c r="K168" i="15"/>
  <c r="M168" i="15" s="1"/>
  <c r="J168" i="15"/>
  <c r="O167" i="15"/>
  <c r="Q167" i="15" s="1"/>
  <c r="N167" i="15"/>
  <c r="L167" i="15"/>
  <c r="K167" i="15"/>
  <c r="M167" i="15" s="1"/>
  <c r="J167" i="15"/>
  <c r="T166" i="15"/>
  <c r="S166" i="15"/>
  <c r="O166" i="15"/>
  <c r="N166" i="15"/>
  <c r="M166" i="15"/>
  <c r="L166" i="15"/>
  <c r="K166" i="15"/>
  <c r="J166" i="15"/>
  <c r="R166" i="15" s="1"/>
  <c r="T165" i="15"/>
  <c r="R165" i="15"/>
  <c r="N165" i="15"/>
  <c r="L165" i="15"/>
  <c r="K165" i="15"/>
  <c r="J165" i="15"/>
  <c r="T164" i="15"/>
  <c r="S164" i="15"/>
  <c r="O164" i="15"/>
  <c r="N164" i="15"/>
  <c r="L164" i="15"/>
  <c r="M164" i="15" s="1"/>
  <c r="K164" i="15"/>
  <c r="J164" i="15"/>
  <c r="R164" i="15" s="1"/>
  <c r="T163" i="15"/>
  <c r="N163" i="15"/>
  <c r="L163" i="15"/>
  <c r="K163" i="15"/>
  <c r="J163" i="15"/>
  <c r="R162" i="15"/>
  <c r="N162" i="15"/>
  <c r="L162" i="15"/>
  <c r="K162" i="15"/>
  <c r="M162" i="15" s="1"/>
  <c r="J162" i="15"/>
  <c r="N161" i="15"/>
  <c r="L161" i="15"/>
  <c r="K161" i="15"/>
  <c r="J161" i="15"/>
  <c r="T160" i="15"/>
  <c r="R160" i="15"/>
  <c r="S160" i="15" s="1"/>
  <c r="N160" i="15"/>
  <c r="O160" i="15" s="1"/>
  <c r="P160" i="15" s="1"/>
  <c r="L160" i="15"/>
  <c r="K160" i="15"/>
  <c r="M160" i="15" s="1"/>
  <c r="J160" i="15"/>
  <c r="N159" i="15"/>
  <c r="M159" i="15"/>
  <c r="L159" i="15"/>
  <c r="K159" i="15"/>
  <c r="J159" i="15"/>
  <c r="R158" i="15"/>
  <c r="S158" i="15" s="1"/>
  <c r="O158" i="15"/>
  <c r="Q158" i="15" s="1"/>
  <c r="N158" i="15"/>
  <c r="L158" i="15"/>
  <c r="K158" i="15"/>
  <c r="J158" i="15"/>
  <c r="T158" i="15" s="1"/>
  <c r="T157" i="15"/>
  <c r="R157" i="15"/>
  <c r="N157" i="15"/>
  <c r="O157" i="15" s="1"/>
  <c r="M157" i="15"/>
  <c r="L157" i="15"/>
  <c r="K157" i="15"/>
  <c r="J157" i="15"/>
  <c r="O156" i="15"/>
  <c r="P156" i="15" s="1"/>
  <c r="N156" i="15"/>
  <c r="L156" i="15"/>
  <c r="K156" i="15"/>
  <c r="J156" i="15"/>
  <c r="N155" i="15"/>
  <c r="M155" i="15"/>
  <c r="L155" i="15"/>
  <c r="K155" i="15"/>
  <c r="J155" i="15"/>
  <c r="N154" i="15"/>
  <c r="M154" i="15"/>
  <c r="L154" i="15"/>
  <c r="K154" i="15"/>
  <c r="J154" i="15"/>
  <c r="T153" i="15"/>
  <c r="R153" i="15"/>
  <c r="N153" i="15"/>
  <c r="L153" i="15"/>
  <c r="M153" i="15" s="1"/>
  <c r="K153" i="15"/>
  <c r="J153" i="15"/>
  <c r="N152" i="15"/>
  <c r="M152" i="15"/>
  <c r="L152" i="15"/>
  <c r="K152" i="15"/>
  <c r="J152" i="15"/>
  <c r="R151" i="15"/>
  <c r="S151" i="15" s="1"/>
  <c r="N151" i="15"/>
  <c r="L151" i="15"/>
  <c r="K151" i="15"/>
  <c r="M151" i="15" s="1"/>
  <c r="J151" i="15"/>
  <c r="T150" i="15"/>
  <c r="P150" i="15"/>
  <c r="O150" i="15"/>
  <c r="Q150" i="15" s="1"/>
  <c r="N150" i="15"/>
  <c r="M150" i="15"/>
  <c r="L150" i="15"/>
  <c r="K150" i="15"/>
  <c r="J150" i="15"/>
  <c r="R149" i="15"/>
  <c r="N149" i="15"/>
  <c r="L149" i="15"/>
  <c r="K149" i="15"/>
  <c r="M149" i="15" s="1"/>
  <c r="J149" i="15"/>
  <c r="S149" i="15" s="1"/>
  <c r="T148" i="15"/>
  <c r="R148" i="15"/>
  <c r="S148" i="15" s="1"/>
  <c r="P148" i="15"/>
  <c r="O148" i="15"/>
  <c r="Q148" i="15" s="1"/>
  <c r="N148" i="15"/>
  <c r="L148" i="15"/>
  <c r="K148" i="15"/>
  <c r="M148" i="15" s="1"/>
  <c r="J148" i="15"/>
  <c r="T147" i="15"/>
  <c r="R147" i="15"/>
  <c r="N147" i="15"/>
  <c r="O147" i="15" s="1"/>
  <c r="M147" i="15"/>
  <c r="L147" i="15"/>
  <c r="K147" i="15"/>
  <c r="J147" i="15"/>
  <c r="R146" i="15"/>
  <c r="S146" i="15" s="1"/>
  <c r="O146" i="15"/>
  <c r="N146" i="15"/>
  <c r="M146" i="15"/>
  <c r="L146" i="15"/>
  <c r="K146" i="15"/>
  <c r="J146" i="15"/>
  <c r="T146" i="15" s="1"/>
  <c r="N145" i="15"/>
  <c r="M145" i="15"/>
  <c r="L145" i="15"/>
  <c r="K145" i="15"/>
  <c r="J145" i="15"/>
  <c r="Q144" i="15"/>
  <c r="P144" i="15"/>
  <c r="O144" i="15"/>
  <c r="N144" i="15"/>
  <c r="L144" i="15"/>
  <c r="K144" i="15"/>
  <c r="M144" i="15" s="1"/>
  <c r="J144" i="15"/>
  <c r="N143" i="15"/>
  <c r="L143" i="15"/>
  <c r="K143" i="15"/>
  <c r="M143" i="15" s="1"/>
  <c r="J143" i="15"/>
  <c r="N142" i="15"/>
  <c r="M142" i="15"/>
  <c r="L142" i="15"/>
  <c r="K142" i="15"/>
  <c r="J142" i="15"/>
  <c r="T141" i="15"/>
  <c r="S141" i="15"/>
  <c r="R141" i="15"/>
  <c r="N141" i="15"/>
  <c r="L141" i="15"/>
  <c r="K141" i="15"/>
  <c r="M141" i="15" s="1"/>
  <c r="J141" i="15"/>
  <c r="N140" i="15"/>
  <c r="L140" i="15"/>
  <c r="K140" i="15"/>
  <c r="M140" i="15" s="1"/>
  <c r="J140" i="15"/>
  <c r="T139" i="15"/>
  <c r="N139" i="15"/>
  <c r="L139" i="15"/>
  <c r="K139" i="15"/>
  <c r="M139" i="15" s="1"/>
  <c r="J139" i="15"/>
  <c r="T138" i="15"/>
  <c r="S138" i="15"/>
  <c r="R138" i="15"/>
  <c r="Q138" i="15"/>
  <c r="N138" i="15"/>
  <c r="L138" i="15"/>
  <c r="K138" i="15"/>
  <c r="M138" i="15" s="1"/>
  <c r="J138" i="15"/>
  <c r="O138" i="15" s="1"/>
  <c r="P138" i="15" s="1"/>
  <c r="R137" i="15"/>
  <c r="P137" i="15"/>
  <c r="O137" i="15"/>
  <c r="Q137" i="15" s="1"/>
  <c r="N137" i="15"/>
  <c r="L137" i="15"/>
  <c r="K137" i="15"/>
  <c r="M137" i="15" s="1"/>
  <c r="J137" i="15"/>
  <c r="T136" i="15"/>
  <c r="S136" i="15"/>
  <c r="R136" i="15"/>
  <c r="N136" i="15"/>
  <c r="O136" i="15" s="1"/>
  <c r="M136" i="15"/>
  <c r="L136" i="15"/>
  <c r="K136" i="15"/>
  <c r="J136" i="15"/>
  <c r="T135" i="15"/>
  <c r="N135" i="15"/>
  <c r="M135" i="15"/>
  <c r="L135" i="15"/>
  <c r="K135" i="15"/>
  <c r="J135" i="15"/>
  <c r="R134" i="15"/>
  <c r="S134" i="15" s="1"/>
  <c r="N134" i="15"/>
  <c r="O134" i="15" s="1"/>
  <c r="P134" i="15" s="1"/>
  <c r="M134" i="15"/>
  <c r="L134" i="15"/>
  <c r="K134" i="15"/>
  <c r="J134" i="15"/>
  <c r="T134" i="15" s="1"/>
  <c r="N133" i="15"/>
  <c r="M133" i="15"/>
  <c r="L133" i="15"/>
  <c r="K133" i="15"/>
  <c r="J133" i="15"/>
  <c r="O132" i="15"/>
  <c r="N132" i="15"/>
  <c r="M132" i="15"/>
  <c r="L132" i="15"/>
  <c r="K132" i="15"/>
  <c r="J132" i="15"/>
  <c r="N131" i="15"/>
  <c r="L131" i="15"/>
  <c r="K131" i="15"/>
  <c r="M131" i="15" s="1"/>
  <c r="J131" i="15"/>
  <c r="N130" i="15"/>
  <c r="O130" i="15" s="1"/>
  <c r="L130" i="15"/>
  <c r="K130" i="15"/>
  <c r="M130" i="15" s="1"/>
  <c r="J130" i="15"/>
  <c r="N129" i="15"/>
  <c r="M129" i="15"/>
  <c r="L129" i="15"/>
  <c r="K129" i="15"/>
  <c r="J129" i="15"/>
  <c r="T128" i="15"/>
  <c r="S128" i="15"/>
  <c r="R128" i="15"/>
  <c r="P128" i="15"/>
  <c r="N128" i="15"/>
  <c r="O128" i="15" s="1"/>
  <c r="Q128" i="15" s="1"/>
  <c r="M128" i="15"/>
  <c r="L128" i="15"/>
  <c r="K128" i="15"/>
  <c r="J128" i="15"/>
  <c r="T127" i="15"/>
  <c r="S127" i="15"/>
  <c r="R127" i="15"/>
  <c r="N127" i="15"/>
  <c r="O127" i="15" s="1"/>
  <c r="P127" i="15" s="1"/>
  <c r="M127" i="15"/>
  <c r="L127" i="15"/>
  <c r="K127" i="15"/>
  <c r="J127" i="15"/>
  <c r="R126" i="15"/>
  <c r="N126" i="15"/>
  <c r="M126" i="15"/>
  <c r="L126" i="15"/>
  <c r="K126" i="15"/>
  <c r="J126" i="15"/>
  <c r="O125" i="15"/>
  <c r="Q125" i="15" s="1"/>
  <c r="N125" i="15"/>
  <c r="L125" i="15"/>
  <c r="K125" i="15"/>
  <c r="J125" i="15"/>
  <c r="T124" i="15"/>
  <c r="S124" i="15"/>
  <c r="Q124" i="15"/>
  <c r="N124" i="15"/>
  <c r="O124" i="15" s="1"/>
  <c r="P124" i="15" s="1"/>
  <c r="L124" i="15"/>
  <c r="K124" i="15"/>
  <c r="M124" i="15" s="1"/>
  <c r="J124" i="15"/>
  <c r="R124" i="15" s="1"/>
  <c r="S123" i="15"/>
  <c r="R123" i="15"/>
  <c r="O123" i="15"/>
  <c r="N123" i="15"/>
  <c r="L123" i="15"/>
  <c r="K123" i="15"/>
  <c r="M123" i="15" s="1"/>
  <c r="J123" i="15"/>
  <c r="T123" i="15" s="1"/>
  <c r="T122" i="15"/>
  <c r="R122" i="15"/>
  <c r="O122" i="15"/>
  <c r="N122" i="15"/>
  <c r="M122" i="15"/>
  <c r="L122" i="15"/>
  <c r="K122" i="15"/>
  <c r="J122" i="15"/>
  <c r="T121" i="15"/>
  <c r="R121" i="15"/>
  <c r="S121" i="15" s="1"/>
  <c r="N121" i="15"/>
  <c r="L121" i="15"/>
  <c r="K121" i="15"/>
  <c r="M121" i="15" s="1"/>
  <c r="J121" i="15"/>
  <c r="T120" i="15"/>
  <c r="N120" i="15"/>
  <c r="M120" i="15"/>
  <c r="L120" i="15"/>
  <c r="K120" i="15"/>
  <c r="J120" i="15"/>
  <c r="N119" i="15"/>
  <c r="L119" i="15"/>
  <c r="K119" i="15"/>
  <c r="M119" i="15" s="1"/>
  <c r="J119" i="15"/>
  <c r="N118" i="15"/>
  <c r="L118" i="15"/>
  <c r="K118" i="15"/>
  <c r="M118" i="15" s="1"/>
  <c r="J118" i="15"/>
  <c r="T117" i="15"/>
  <c r="R117" i="15"/>
  <c r="S117" i="15" s="1"/>
  <c r="N117" i="15"/>
  <c r="O117" i="15" s="1"/>
  <c r="M117" i="15"/>
  <c r="L117" i="15"/>
  <c r="K117" i="15"/>
  <c r="J117" i="15"/>
  <c r="T116" i="15"/>
  <c r="R116" i="15"/>
  <c r="S116" i="15" s="1"/>
  <c r="Q116" i="15"/>
  <c r="O116" i="15"/>
  <c r="P116" i="15" s="1"/>
  <c r="N116" i="15"/>
  <c r="L116" i="15"/>
  <c r="K116" i="15"/>
  <c r="M116" i="15" s="1"/>
  <c r="J116" i="15"/>
  <c r="T115" i="15"/>
  <c r="R115" i="15"/>
  <c r="N115" i="15"/>
  <c r="L115" i="15"/>
  <c r="K115" i="15"/>
  <c r="M115" i="15" s="1"/>
  <c r="J115" i="15"/>
  <c r="N114" i="15"/>
  <c r="L114" i="15"/>
  <c r="K114" i="15"/>
  <c r="M114" i="15" s="1"/>
  <c r="J114" i="15"/>
  <c r="T113" i="15"/>
  <c r="N113" i="15"/>
  <c r="O113" i="15" s="1"/>
  <c r="M113" i="15"/>
  <c r="L113" i="15"/>
  <c r="K113" i="15"/>
  <c r="J113" i="15"/>
  <c r="T112" i="15"/>
  <c r="N112" i="15"/>
  <c r="L112" i="15"/>
  <c r="K112" i="15"/>
  <c r="M112" i="15" s="1"/>
  <c r="J112" i="15"/>
  <c r="N111" i="15"/>
  <c r="O111" i="15" s="1"/>
  <c r="L111" i="15"/>
  <c r="K111" i="15"/>
  <c r="M111" i="15" s="1"/>
  <c r="J111" i="15"/>
  <c r="T111" i="15" s="1"/>
  <c r="N110" i="15"/>
  <c r="M110" i="15"/>
  <c r="L110" i="15"/>
  <c r="K110" i="15"/>
  <c r="J110" i="15"/>
  <c r="R110" i="15" s="1"/>
  <c r="T109" i="15"/>
  <c r="S109" i="15"/>
  <c r="R109" i="15"/>
  <c r="N109" i="15"/>
  <c r="M109" i="15"/>
  <c r="L109" i="15"/>
  <c r="K109" i="15"/>
  <c r="J109" i="15"/>
  <c r="N108" i="15"/>
  <c r="L108" i="15"/>
  <c r="K108" i="15"/>
  <c r="M108" i="15" s="1"/>
  <c r="J108" i="15"/>
  <c r="N107" i="15"/>
  <c r="L107" i="15"/>
  <c r="K107" i="15"/>
  <c r="M107" i="15" s="1"/>
  <c r="J107" i="15"/>
  <c r="T106" i="15"/>
  <c r="R106" i="15"/>
  <c r="S106" i="15" s="1"/>
  <c r="N106" i="15"/>
  <c r="M106" i="15"/>
  <c r="L106" i="15"/>
  <c r="K106" i="15"/>
  <c r="J106" i="15"/>
  <c r="O106" i="15" s="1"/>
  <c r="Q106" i="15" s="1"/>
  <c r="T105" i="15"/>
  <c r="R105" i="15"/>
  <c r="S105" i="15" s="1"/>
  <c r="N105" i="15"/>
  <c r="O105" i="15" s="1"/>
  <c r="L105" i="15"/>
  <c r="M105" i="15" s="1"/>
  <c r="K105" i="15"/>
  <c r="J105" i="15"/>
  <c r="T104" i="15"/>
  <c r="S104" i="15"/>
  <c r="R104" i="15"/>
  <c r="Q104" i="15"/>
  <c r="N104" i="15"/>
  <c r="O104" i="15" s="1"/>
  <c r="P104" i="15" s="1"/>
  <c r="M104" i="15"/>
  <c r="L104" i="15"/>
  <c r="K104" i="15"/>
  <c r="J104" i="15"/>
  <c r="R103" i="15"/>
  <c r="N103" i="15"/>
  <c r="B43" i="28" s="1"/>
  <c r="L103" i="15"/>
  <c r="K103" i="15"/>
  <c r="M103" i="15" s="1"/>
  <c r="J103" i="15"/>
  <c r="O102" i="15"/>
  <c r="N102" i="15"/>
  <c r="M102" i="15"/>
  <c r="L102" i="15"/>
  <c r="K102" i="15"/>
  <c r="J102" i="15"/>
  <c r="T101" i="15"/>
  <c r="R101" i="15"/>
  <c r="Q101" i="15"/>
  <c r="N101" i="15"/>
  <c r="O101" i="15" s="1"/>
  <c r="P101" i="15" s="1"/>
  <c r="L101" i="15"/>
  <c r="K101" i="15"/>
  <c r="M101" i="15" s="1"/>
  <c r="J101" i="15"/>
  <c r="N100" i="15"/>
  <c r="L100" i="15"/>
  <c r="K100" i="15"/>
  <c r="M100" i="15" s="1"/>
  <c r="J100" i="15"/>
  <c r="N99" i="15"/>
  <c r="L99" i="15"/>
  <c r="M99" i="15" s="1"/>
  <c r="K99" i="15"/>
  <c r="J99" i="15"/>
  <c r="R98" i="15"/>
  <c r="N98" i="15"/>
  <c r="L98" i="15"/>
  <c r="K98" i="15"/>
  <c r="J98" i="15"/>
  <c r="N97" i="15"/>
  <c r="L97" i="15"/>
  <c r="K97" i="15"/>
  <c r="M97" i="15" s="1"/>
  <c r="J97" i="15"/>
  <c r="T96" i="15"/>
  <c r="R96" i="15"/>
  <c r="S96" i="15" s="1"/>
  <c r="N96" i="15"/>
  <c r="O96" i="15" s="1"/>
  <c r="M96" i="15"/>
  <c r="L96" i="15"/>
  <c r="K96" i="15"/>
  <c r="J96" i="15"/>
  <c r="T95" i="15"/>
  <c r="R95" i="15"/>
  <c r="S95" i="15" s="1"/>
  <c r="Q95" i="15"/>
  <c r="O95" i="15"/>
  <c r="P95" i="15" s="1"/>
  <c r="N95" i="15"/>
  <c r="L95" i="15"/>
  <c r="K95" i="15"/>
  <c r="M95" i="15" s="1"/>
  <c r="J95" i="15"/>
  <c r="R94" i="15"/>
  <c r="N94" i="15"/>
  <c r="L94" i="15"/>
  <c r="K94" i="15"/>
  <c r="M94" i="15" s="1"/>
  <c r="J94" i="15"/>
  <c r="R93" i="15"/>
  <c r="S93" i="15" s="1"/>
  <c r="Q93" i="15"/>
  <c r="O93" i="15"/>
  <c r="P93" i="15" s="1"/>
  <c r="N93" i="15"/>
  <c r="L93" i="15"/>
  <c r="K93" i="15"/>
  <c r="M93" i="15" s="1"/>
  <c r="J93" i="15"/>
  <c r="T93" i="15" s="1"/>
  <c r="O92" i="15"/>
  <c r="Q92" i="15" s="1"/>
  <c r="N92" i="15"/>
  <c r="L92" i="15"/>
  <c r="K92" i="15"/>
  <c r="M92" i="15" s="1"/>
  <c r="J92" i="15"/>
  <c r="R92" i="15" s="1"/>
  <c r="N91" i="15"/>
  <c r="M91" i="15"/>
  <c r="L91" i="15"/>
  <c r="K91" i="15"/>
  <c r="J91" i="15"/>
  <c r="R90" i="15"/>
  <c r="S90" i="15" s="1"/>
  <c r="N90" i="15"/>
  <c r="M90" i="15"/>
  <c r="L90" i="15"/>
  <c r="K90" i="15"/>
  <c r="J90" i="15"/>
  <c r="T89" i="15"/>
  <c r="R89" i="15"/>
  <c r="S89" i="15" s="1"/>
  <c r="O89" i="15"/>
  <c r="N89" i="15"/>
  <c r="L89" i="15"/>
  <c r="K89" i="15"/>
  <c r="M89" i="15" s="1"/>
  <c r="J89" i="15"/>
  <c r="N88" i="15"/>
  <c r="M88" i="15"/>
  <c r="L88" i="15"/>
  <c r="K88" i="15"/>
  <c r="J88" i="15"/>
  <c r="N87" i="15"/>
  <c r="L87" i="15"/>
  <c r="K87" i="15"/>
  <c r="J87" i="15"/>
  <c r="N86" i="15"/>
  <c r="O86" i="15" s="1"/>
  <c r="Q86" i="15" s="1"/>
  <c r="L86" i="15"/>
  <c r="K86" i="15"/>
  <c r="M86" i="15" s="1"/>
  <c r="J86" i="15"/>
  <c r="T85" i="15"/>
  <c r="S85" i="15"/>
  <c r="Q85" i="15"/>
  <c r="O85" i="15"/>
  <c r="P85" i="15" s="1"/>
  <c r="N85" i="15"/>
  <c r="L85" i="15"/>
  <c r="K85" i="15"/>
  <c r="M85" i="15" s="1"/>
  <c r="J85" i="15"/>
  <c r="R85" i="15" s="1"/>
  <c r="T84" i="15"/>
  <c r="R84" i="15"/>
  <c r="N84" i="15"/>
  <c r="M84" i="15"/>
  <c r="L84" i="15"/>
  <c r="K84" i="15"/>
  <c r="J84" i="15"/>
  <c r="T83" i="15"/>
  <c r="R83" i="15"/>
  <c r="S83" i="15" s="1"/>
  <c r="N83" i="15"/>
  <c r="O83" i="15" s="1"/>
  <c r="P83" i="15" s="1"/>
  <c r="L83" i="15"/>
  <c r="K83" i="15"/>
  <c r="M83" i="15" s="1"/>
  <c r="J83" i="15"/>
  <c r="T82" i="15"/>
  <c r="S82" i="15"/>
  <c r="R82" i="15"/>
  <c r="N82" i="15"/>
  <c r="L82" i="15"/>
  <c r="K82" i="15"/>
  <c r="M82" i="15" s="1"/>
  <c r="J82" i="15"/>
  <c r="R81" i="15"/>
  <c r="S81" i="15" s="1"/>
  <c r="O81" i="15"/>
  <c r="P81" i="15" s="1"/>
  <c r="N81" i="15"/>
  <c r="L81" i="15"/>
  <c r="M81" i="15" s="1"/>
  <c r="K81" i="15"/>
  <c r="J81" i="15"/>
  <c r="T81" i="15" s="1"/>
  <c r="T80" i="15"/>
  <c r="N80" i="15"/>
  <c r="O80" i="15" s="1"/>
  <c r="L80" i="15"/>
  <c r="K80" i="15"/>
  <c r="J80" i="15"/>
  <c r="N79" i="15"/>
  <c r="M79" i="15"/>
  <c r="L79" i="15"/>
  <c r="K79" i="15"/>
  <c r="J79" i="15"/>
  <c r="R78" i="15"/>
  <c r="N78" i="15"/>
  <c r="L78" i="15"/>
  <c r="M78" i="15" s="1"/>
  <c r="K78" i="15"/>
  <c r="J78" i="15"/>
  <c r="T77" i="15"/>
  <c r="S77" i="15"/>
  <c r="R77" i="15"/>
  <c r="N77" i="15"/>
  <c r="O77" i="15" s="1"/>
  <c r="P77" i="15" s="1"/>
  <c r="M77" i="15"/>
  <c r="L77" i="15"/>
  <c r="K77" i="15"/>
  <c r="J77" i="15"/>
  <c r="N76" i="15"/>
  <c r="M76" i="15"/>
  <c r="L76" i="15"/>
  <c r="K76" i="15"/>
  <c r="J76" i="15"/>
  <c r="R75" i="15"/>
  <c r="N75" i="15"/>
  <c r="L75" i="15"/>
  <c r="K75" i="15"/>
  <c r="M75" i="15" s="1"/>
  <c r="J75" i="15"/>
  <c r="T74" i="15"/>
  <c r="R74" i="15"/>
  <c r="N74" i="15"/>
  <c r="O74" i="15" s="1"/>
  <c r="L74" i="15"/>
  <c r="K74" i="15"/>
  <c r="J74" i="15"/>
  <c r="N73" i="15"/>
  <c r="L73" i="15"/>
  <c r="K73" i="15"/>
  <c r="M73" i="15" s="1"/>
  <c r="J73" i="15"/>
  <c r="R73" i="15" s="1"/>
  <c r="N72" i="15"/>
  <c r="M72" i="15"/>
  <c r="L72" i="15"/>
  <c r="K72" i="15"/>
  <c r="J72" i="15"/>
  <c r="T71" i="15"/>
  <c r="R71" i="15"/>
  <c r="S71" i="15" s="1"/>
  <c r="O71" i="15"/>
  <c r="N71" i="15"/>
  <c r="L71" i="15"/>
  <c r="K71" i="15"/>
  <c r="M71" i="15" s="1"/>
  <c r="J71" i="15"/>
  <c r="T70" i="15"/>
  <c r="N70" i="15"/>
  <c r="M70" i="15"/>
  <c r="L70" i="15"/>
  <c r="K70" i="15"/>
  <c r="J70" i="15"/>
  <c r="R70" i="15" s="1"/>
  <c r="N69" i="15"/>
  <c r="L69" i="15"/>
  <c r="K69" i="15"/>
  <c r="M69" i="15" s="1"/>
  <c r="J69" i="15"/>
  <c r="R68" i="15"/>
  <c r="N68" i="15"/>
  <c r="L68" i="15"/>
  <c r="K68" i="15"/>
  <c r="J68" i="15"/>
  <c r="P67" i="15"/>
  <c r="O67" i="15"/>
  <c r="Q67" i="15" s="1"/>
  <c r="N67" i="15"/>
  <c r="L67" i="15"/>
  <c r="K67" i="15"/>
  <c r="M67" i="15" s="1"/>
  <c r="J67" i="15"/>
  <c r="T66" i="15"/>
  <c r="S66" i="15"/>
  <c r="N66" i="15"/>
  <c r="O66" i="15" s="1"/>
  <c r="M66" i="15"/>
  <c r="L66" i="15"/>
  <c r="K66" i="15"/>
  <c r="J66" i="15"/>
  <c r="R66" i="15" s="1"/>
  <c r="T65" i="15"/>
  <c r="R65" i="15"/>
  <c r="S65" i="15" s="1"/>
  <c r="N65" i="15"/>
  <c r="O65" i="15" s="1"/>
  <c r="L65" i="15"/>
  <c r="K65" i="15"/>
  <c r="M65" i="15" s="1"/>
  <c r="J65" i="15"/>
  <c r="N64" i="15"/>
  <c r="L64" i="15"/>
  <c r="K64" i="15"/>
  <c r="M64" i="15" s="1"/>
  <c r="J64" i="15"/>
  <c r="N63" i="15"/>
  <c r="M63" i="15"/>
  <c r="L63" i="15"/>
  <c r="K63" i="15"/>
  <c r="J63" i="15"/>
  <c r="R62" i="15"/>
  <c r="N62" i="15"/>
  <c r="L62" i="15"/>
  <c r="K62" i="15"/>
  <c r="M62" i="15" s="1"/>
  <c r="J62" i="15"/>
  <c r="T62" i="15" s="1"/>
  <c r="N61" i="15"/>
  <c r="M61" i="15"/>
  <c r="L61" i="15"/>
  <c r="K61" i="15"/>
  <c r="J61" i="15"/>
  <c r="T60" i="15"/>
  <c r="R60" i="15"/>
  <c r="S60" i="15" s="1"/>
  <c r="O60" i="15"/>
  <c r="N60" i="15"/>
  <c r="M60" i="15"/>
  <c r="L60" i="15"/>
  <c r="K60" i="15"/>
  <c r="J60" i="15"/>
  <c r="T59" i="15"/>
  <c r="R59" i="15"/>
  <c r="S59" i="15" s="1"/>
  <c r="O59" i="15"/>
  <c r="P59" i="15" s="1"/>
  <c r="N59" i="15"/>
  <c r="M59" i="15"/>
  <c r="L59" i="15"/>
  <c r="K59" i="15"/>
  <c r="J59" i="15"/>
  <c r="T58" i="15"/>
  <c r="R58" i="15"/>
  <c r="N58" i="15"/>
  <c r="L58" i="15"/>
  <c r="K58" i="15"/>
  <c r="M58" i="15" s="1"/>
  <c r="J58" i="15"/>
  <c r="R57" i="15"/>
  <c r="S57" i="15" s="1"/>
  <c r="O57" i="15"/>
  <c r="P57" i="15" s="1"/>
  <c r="N57" i="15"/>
  <c r="L57" i="15"/>
  <c r="K57" i="15"/>
  <c r="M57" i="15" s="1"/>
  <c r="J57" i="15"/>
  <c r="T57" i="15" s="1"/>
  <c r="R56" i="15"/>
  <c r="N56" i="15"/>
  <c r="L56" i="15"/>
  <c r="K56" i="15"/>
  <c r="M56" i="15" s="1"/>
  <c r="J56" i="15"/>
  <c r="T56" i="15" s="1"/>
  <c r="O55" i="15"/>
  <c r="N55" i="15"/>
  <c r="M55" i="15"/>
  <c r="L55" i="15"/>
  <c r="K55" i="15"/>
  <c r="J55" i="15"/>
  <c r="T54" i="15"/>
  <c r="R54" i="15"/>
  <c r="S54" i="15" s="1"/>
  <c r="N54" i="15"/>
  <c r="M54" i="15"/>
  <c r="L54" i="15"/>
  <c r="K54" i="15"/>
  <c r="J54" i="15"/>
  <c r="T53" i="15"/>
  <c r="R53" i="15"/>
  <c r="S53" i="15" s="1"/>
  <c r="O53" i="15"/>
  <c r="N53" i="15"/>
  <c r="L53" i="15"/>
  <c r="K53" i="15"/>
  <c r="M53" i="15" s="1"/>
  <c r="J53" i="15"/>
  <c r="T52" i="15"/>
  <c r="S52" i="15"/>
  <c r="N52" i="15"/>
  <c r="O52" i="15" s="1"/>
  <c r="L52" i="15"/>
  <c r="K52" i="15"/>
  <c r="M52" i="15" s="1"/>
  <c r="J52" i="15"/>
  <c r="R52" i="15" s="1"/>
  <c r="R51" i="15"/>
  <c r="S51" i="15" s="1"/>
  <c r="N51" i="15"/>
  <c r="O51" i="15" s="1"/>
  <c r="L51" i="15"/>
  <c r="K51" i="15"/>
  <c r="M51" i="15" s="1"/>
  <c r="J51" i="15"/>
  <c r="T51" i="15" s="1"/>
  <c r="N50" i="15"/>
  <c r="M50" i="15"/>
  <c r="L50" i="15"/>
  <c r="K50" i="15"/>
  <c r="J50" i="15"/>
  <c r="O49" i="15"/>
  <c r="Q49" i="15" s="1"/>
  <c r="N49" i="15"/>
  <c r="M49" i="15"/>
  <c r="L49" i="15"/>
  <c r="K49" i="15"/>
  <c r="J49" i="15"/>
  <c r="T49" i="15" s="1"/>
  <c r="T48" i="15"/>
  <c r="R48" i="15"/>
  <c r="S48" i="15" s="1"/>
  <c r="O48" i="15"/>
  <c r="N48" i="15"/>
  <c r="M48" i="15"/>
  <c r="L48" i="15"/>
  <c r="K48" i="15"/>
  <c r="J48" i="15"/>
  <c r="T47" i="15"/>
  <c r="R47" i="15"/>
  <c r="Q47" i="15"/>
  <c r="N47" i="15"/>
  <c r="L47" i="15"/>
  <c r="K47" i="15"/>
  <c r="M47" i="15" s="1"/>
  <c r="J47" i="15"/>
  <c r="O47" i="15" s="1"/>
  <c r="P47" i="15" s="1"/>
  <c r="R46" i="15"/>
  <c r="N46" i="15"/>
  <c r="L46" i="15"/>
  <c r="K46" i="15"/>
  <c r="M46" i="15" s="1"/>
  <c r="J46" i="15"/>
  <c r="T45" i="15"/>
  <c r="S45" i="15"/>
  <c r="R45" i="15"/>
  <c r="O45" i="15"/>
  <c r="N45" i="15"/>
  <c r="M45" i="15"/>
  <c r="L45" i="15"/>
  <c r="K45" i="15"/>
  <c r="J45" i="15"/>
  <c r="O44" i="15"/>
  <c r="N44" i="15"/>
  <c r="L44" i="15"/>
  <c r="K44" i="15"/>
  <c r="M44" i="15" s="1"/>
  <c r="J44" i="15"/>
  <c r="T44" i="15" s="1"/>
  <c r="R43" i="15"/>
  <c r="O43" i="15"/>
  <c r="Q43" i="15" s="1"/>
  <c r="N43" i="15"/>
  <c r="M43" i="15"/>
  <c r="L43" i="15"/>
  <c r="K43" i="15"/>
  <c r="J43" i="15"/>
  <c r="T43" i="15" s="1"/>
  <c r="T42" i="15"/>
  <c r="R42" i="15"/>
  <c r="N42" i="15"/>
  <c r="M42" i="15"/>
  <c r="L42" i="15"/>
  <c r="K42" i="15"/>
  <c r="J42" i="15"/>
  <c r="T41" i="15"/>
  <c r="S41" i="15"/>
  <c r="R41" i="15"/>
  <c r="O41" i="15"/>
  <c r="Q41" i="15" s="1"/>
  <c r="N41" i="15"/>
  <c r="M41" i="15"/>
  <c r="L41" i="15"/>
  <c r="K41" i="15"/>
  <c r="J41" i="15"/>
  <c r="N40" i="15"/>
  <c r="M40" i="15"/>
  <c r="L40" i="15"/>
  <c r="K40" i="15"/>
  <c r="J40" i="15"/>
  <c r="N39" i="15"/>
  <c r="L39" i="15"/>
  <c r="K39" i="15"/>
  <c r="M39" i="15" s="1"/>
  <c r="J39" i="15"/>
  <c r="N38" i="15"/>
  <c r="L38" i="15"/>
  <c r="K38" i="15"/>
  <c r="M38" i="15" s="1"/>
  <c r="J38" i="15"/>
  <c r="N37" i="15"/>
  <c r="M37" i="15"/>
  <c r="L37" i="15"/>
  <c r="K37" i="15"/>
  <c r="J37" i="15"/>
  <c r="N36" i="15"/>
  <c r="M36" i="15"/>
  <c r="L36" i="15"/>
  <c r="K36" i="15"/>
  <c r="J36" i="15"/>
  <c r="R35" i="15"/>
  <c r="S35" i="15" s="1"/>
  <c r="O35" i="15"/>
  <c r="N35" i="15"/>
  <c r="L35" i="15"/>
  <c r="K35" i="15"/>
  <c r="M35" i="15" s="1"/>
  <c r="J35" i="15"/>
  <c r="T35" i="15" s="1"/>
  <c r="T34" i="15"/>
  <c r="N34" i="15"/>
  <c r="M34" i="15"/>
  <c r="L34" i="15"/>
  <c r="K34" i="15"/>
  <c r="J34" i="15"/>
  <c r="T33" i="15"/>
  <c r="R33" i="15"/>
  <c r="S33" i="15" s="1"/>
  <c r="Q33" i="15"/>
  <c r="O33" i="15"/>
  <c r="P33" i="15" s="1"/>
  <c r="N33" i="15"/>
  <c r="L33" i="15"/>
  <c r="K33" i="15"/>
  <c r="M33" i="15" s="1"/>
  <c r="J33" i="15"/>
  <c r="N32" i="15"/>
  <c r="L32" i="15"/>
  <c r="K32" i="15"/>
  <c r="M32" i="15" s="1"/>
  <c r="J32" i="15"/>
  <c r="R31" i="15"/>
  <c r="N31" i="15"/>
  <c r="L31" i="15"/>
  <c r="K31" i="15"/>
  <c r="M31" i="15" s="1"/>
  <c r="J31" i="15"/>
  <c r="T31" i="15" s="1"/>
  <c r="T30" i="15"/>
  <c r="O30" i="15"/>
  <c r="N30" i="15"/>
  <c r="M30" i="15"/>
  <c r="L30" i="15"/>
  <c r="K30" i="15"/>
  <c r="J30" i="15"/>
  <c r="T29" i="15"/>
  <c r="R29" i="15"/>
  <c r="S29" i="15" s="1"/>
  <c r="O29" i="15"/>
  <c r="N29" i="15"/>
  <c r="M29" i="15"/>
  <c r="L29" i="15"/>
  <c r="K29" i="15"/>
  <c r="J29" i="15"/>
  <c r="T28" i="15"/>
  <c r="S28" i="15"/>
  <c r="R28" i="15"/>
  <c r="Q28" i="15"/>
  <c r="O28" i="15"/>
  <c r="P28" i="15" s="1"/>
  <c r="N28" i="15"/>
  <c r="M28" i="15"/>
  <c r="L28" i="15"/>
  <c r="K28" i="15"/>
  <c r="J28" i="15"/>
  <c r="O27" i="15"/>
  <c r="Q27" i="15" s="1"/>
  <c r="N27" i="15"/>
  <c r="M27" i="15"/>
  <c r="L27" i="15"/>
  <c r="K27" i="15"/>
  <c r="J27" i="15"/>
  <c r="T26" i="15"/>
  <c r="N26" i="15"/>
  <c r="L26" i="15"/>
  <c r="K26" i="15"/>
  <c r="M26" i="15" s="1"/>
  <c r="J26" i="15"/>
  <c r="T25" i="15"/>
  <c r="S25" i="15"/>
  <c r="O25" i="15"/>
  <c r="P25" i="15" s="1"/>
  <c r="N25" i="15"/>
  <c r="L25" i="15"/>
  <c r="K25" i="15"/>
  <c r="M25" i="15" s="1"/>
  <c r="J25" i="15"/>
  <c r="R25" i="15" s="1"/>
  <c r="T24" i="15"/>
  <c r="S24" i="15"/>
  <c r="R24" i="15"/>
  <c r="N24" i="15"/>
  <c r="M24" i="15"/>
  <c r="L24" i="15"/>
  <c r="K24" i="15"/>
  <c r="J24" i="15"/>
  <c r="O23" i="15"/>
  <c r="Q23" i="15" s="1"/>
  <c r="N23" i="15"/>
  <c r="M23" i="15"/>
  <c r="L23" i="15"/>
  <c r="K23" i="15"/>
  <c r="J23" i="15"/>
  <c r="T23" i="15" s="1"/>
  <c r="T22" i="15"/>
  <c r="P22" i="15"/>
  <c r="N22" i="15"/>
  <c r="O22" i="15" s="1"/>
  <c r="Q22" i="15" s="1"/>
  <c r="L22" i="15"/>
  <c r="K22" i="15"/>
  <c r="M22" i="15" s="1"/>
  <c r="J22" i="15"/>
  <c r="T21" i="15"/>
  <c r="N21" i="15"/>
  <c r="L21" i="15"/>
  <c r="K21" i="15"/>
  <c r="M21" i="15" s="1"/>
  <c r="J21" i="15"/>
  <c r="R20" i="15"/>
  <c r="S20" i="15" s="1"/>
  <c r="O20" i="15"/>
  <c r="N20" i="15"/>
  <c r="M20" i="15"/>
  <c r="L20" i="15"/>
  <c r="K20" i="15"/>
  <c r="J20" i="15"/>
  <c r="T20" i="15" s="1"/>
  <c r="T19" i="15"/>
  <c r="S19" i="15"/>
  <c r="R19" i="15"/>
  <c r="O19" i="15"/>
  <c r="P19" i="15" s="1"/>
  <c r="N19" i="15"/>
  <c r="M19" i="15"/>
  <c r="L19" i="15"/>
  <c r="K19" i="15"/>
  <c r="J19" i="15"/>
  <c r="R18" i="15"/>
  <c r="N18" i="15"/>
  <c r="M18" i="15"/>
  <c r="L18" i="15"/>
  <c r="K18" i="15"/>
  <c r="J18" i="15"/>
  <c r="N17" i="15"/>
  <c r="L17" i="15"/>
  <c r="K17" i="15"/>
  <c r="M17" i="15" s="1"/>
  <c r="J17" i="15"/>
  <c r="T16" i="15"/>
  <c r="R16" i="15"/>
  <c r="O16" i="15"/>
  <c r="N16" i="15"/>
  <c r="L16" i="15"/>
  <c r="K16" i="15"/>
  <c r="M16" i="15" s="1"/>
  <c r="J16" i="15"/>
  <c r="S15" i="15"/>
  <c r="O15" i="15"/>
  <c r="Q15" i="15" s="1"/>
  <c r="N15" i="15"/>
  <c r="L15" i="15"/>
  <c r="K15" i="15"/>
  <c r="M15" i="15" s="1"/>
  <c r="J15" i="15"/>
  <c r="R15" i="15" s="1"/>
  <c r="T14" i="15"/>
  <c r="R14" i="15"/>
  <c r="O14" i="15"/>
  <c r="N14" i="15"/>
  <c r="M14" i="15"/>
  <c r="L14" i="15"/>
  <c r="K14" i="15"/>
  <c r="J14" i="15"/>
  <c r="T13" i="15"/>
  <c r="R13" i="15"/>
  <c r="S13" i="15" s="1"/>
  <c r="O13" i="15"/>
  <c r="N13" i="15"/>
  <c r="L13" i="15"/>
  <c r="K13" i="15"/>
  <c r="M13" i="15" s="1"/>
  <c r="J13" i="15"/>
  <c r="N12" i="15"/>
  <c r="M12" i="15"/>
  <c r="L12" i="15"/>
  <c r="K12" i="15"/>
  <c r="J12" i="15"/>
  <c r="O11" i="15"/>
  <c r="Q11" i="15" s="1"/>
  <c r="N11" i="15"/>
  <c r="M11" i="15"/>
  <c r="L11" i="15"/>
  <c r="K11" i="15"/>
  <c r="J11" i="15"/>
  <c r="T10" i="15"/>
  <c r="R10" i="15"/>
  <c r="Q10" i="15"/>
  <c r="N10" i="15"/>
  <c r="O10" i="15" s="1"/>
  <c r="P10" i="15" s="1"/>
  <c r="L10" i="15"/>
  <c r="K10" i="15"/>
  <c r="M10" i="15" s="1"/>
  <c r="J10" i="15"/>
  <c r="O9" i="15"/>
  <c r="Q9" i="15" s="1"/>
  <c r="N9" i="15"/>
  <c r="L9" i="15"/>
  <c r="K9" i="15"/>
  <c r="M9" i="15" s="1"/>
  <c r="J9" i="15"/>
  <c r="T8" i="15"/>
  <c r="S8" i="15"/>
  <c r="N8" i="15"/>
  <c r="M8" i="15"/>
  <c r="L8" i="15"/>
  <c r="K8" i="15"/>
  <c r="J8" i="15"/>
  <c r="R8" i="15" s="1"/>
  <c r="T7" i="15"/>
  <c r="S7" i="15"/>
  <c r="R7" i="15"/>
  <c r="N7" i="15"/>
  <c r="O7" i="15" s="1"/>
  <c r="P7" i="15" s="1"/>
  <c r="L7" i="15"/>
  <c r="K7" i="15"/>
  <c r="M7" i="15" s="1"/>
  <c r="J7" i="15"/>
  <c r="N6" i="15"/>
  <c r="L6" i="15"/>
  <c r="K6" i="15"/>
  <c r="M6" i="15" s="1"/>
  <c r="J6" i="15"/>
  <c r="N5" i="15"/>
  <c r="M5" i="15"/>
  <c r="L5" i="15"/>
  <c r="K5" i="15"/>
  <c r="J5" i="15"/>
  <c r="N4" i="15"/>
  <c r="L4" i="15"/>
  <c r="K4" i="15"/>
  <c r="M4" i="15" s="1"/>
  <c r="J4" i="15"/>
  <c r="T4" i="15" s="1"/>
  <c r="T3" i="15"/>
  <c r="O3" i="15"/>
  <c r="N3" i="15"/>
  <c r="L3" i="15"/>
  <c r="K3" i="15"/>
  <c r="M3" i="15" s="1"/>
  <c r="J3" i="15"/>
  <c r="O263" i="14"/>
  <c r="L263" i="14"/>
  <c r="K263" i="14"/>
  <c r="I263" i="14"/>
  <c r="H263" i="14"/>
  <c r="J263" i="14" s="1"/>
  <c r="S262" i="14"/>
  <c r="Q262" i="14"/>
  <c r="R262" i="14" s="1"/>
  <c r="O262" i="14"/>
  <c r="M262" i="14"/>
  <c r="L262" i="14"/>
  <c r="N262" i="14" s="1"/>
  <c r="I262" i="14"/>
  <c r="H262" i="14"/>
  <c r="J262" i="14" s="1"/>
  <c r="Q261" i="14"/>
  <c r="R261" i="14" s="1"/>
  <c r="P261" i="14"/>
  <c r="O261" i="14"/>
  <c r="N261" i="14"/>
  <c r="L261" i="14"/>
  <c r="K261" i="14"/>
  <c r="I261" i="14"/>
  <c r="H261" i="14"/>
  <c r="J261" i="14" s="1"/>
  <c r="S260" i="14"/>
  <c r="Q260" i="14"/>
  <c r="R260" i="14" s="1"/>
  <c r="P260" i="14"/>
  <c r="O260" i="14"/>
  <c r="N260" i="14"/>
  <c r="M260" i="14"/>
  <c r="L260" i="14"/>
  <c r="K260" i="14"/>
  <c r="I260" i="14"/>
  <c r="H260" i="14"/>
  <c r="J260" i="14" s="1"/>
  <c r="O259" i="14"/>
  <c r="L259" i="14"/>
  <c r="Q259" i="14" s="1"/>
  <c r="R259" i="14" s="1"/>
  <c r="I259" i="14"/>
  <c r="H259" i="14"/>
  <c r="S258" i="14"/>
  <c r="O258" i="14"/>
  <c r="L258" i="14"/>
  <c r="I258" i="14"/>
  <c r="H258" i="14"/>
  <c r="J258" i="14" s="1"/>
  <c r="S257" i="14"/>
  <c r="Q257" i="14"/>
  <c r="R257" i="14" s="1"/>
  <c r="P257" i="14"/>
  <c r="O257" i="14"/>
  <c r="N257" i="14"/>
  <c r="M257" i="14"/>
  <c r="L257" i="14"/>
  <c r="K257" i="14"/>
  <c r="I257" i="14"/>
  <c r="H257" i="14"/>
  <c r="J257" i="14" s="1"/>
  <c r="S256" i="14"/>
  <c r="P256" i="14"/>
  <c r="O256" i="14"/>
  <c r="L256" i="14"/>
  <c r="N256" i="14" s="1"/>
  <c r="I256" i="14"/>
  <c r="H256" i="14"/>
  <c r="O255" i="14"/>
  <c r="L255" i="14"/>
  <c r="I255" i="14"/>
  <c r="H255" i="14"/>
  <c r="J255" i="14" s="1"/>
  <c r="S254" i="14"/>
  <c r="Q254" i="14"/>
  <c r="R254" i="14" s="1"/>
  <c r="P254" i="14"/>
  <c r="O254" i="14"/>
  <c r="N254" i="14"/>
  <c r="M254" i="14"/>
  <c r="L254" i="14"/>
  <c r="I254" i="14"/>
  <c r="H254" i="14"/>
  <c r="J254" i="14" s="1"/>
  <c r="S253" i="14"/>
  <c r="R253" i="14"/>
  <c r="O253" i="14"/>
  <c r="N253" i="14"/>
  <c r="L253" i="14"/>
  <c r="Q253" i="14" s="1"/>
  <c r="I253" i="14"/>
  <c r="H253" i="14"/>
  <c r="R252" i="14"/>
  <c r="Q252" i="14"/>
  <c r="O252" i="14"/>
  <c r="N252" i="14"/>
  <c r="M252" i="14"/>
  <c r="L252" i="14"/>
  <c r="P252" i="14" s="1"/>
  <c r="K252" i="14"/>
  <c r="I252" i="14"/>
  <c r="H252" i="14"/>
  <c r="J252" i="14" s="1"/>
  <c r="S251" i="14"/>
  <c r="P251" i="14"/>
  <c r="O251" i="14"/>
  <c r="N251" i="14"/>
  <c r="M251" i="14"/>
  <c r="L251" i="14"/>
  <c r="Q251" i="14" s="1"/>
  <c r="R251" i="14" s="1"/>
  <c r="K251" i="14"/>
  <c r="I251" i="14"/>
  <c r="H251" i="14"/>
  <c r="J251" i="14" s="1"/>
  <c r="Q250" i="14"/>
  <c r="R250" i="14" s="1"/>
  <c r="O250" i="14"/>
  <c r="L250" i="14"/>
  <c r="N250" i="14" s="1"/>
  <c r="K250" i="14"/>
  <c r="I250" i="14"/>
  <c r="H250" i="14"/>
  <c r="J250" i="14" s="1"/>
  <c r="R249" i="14"/>
  <c r="Q249" i="14"/>
  <c r="P249" i="14"/>
  <c r="O249" i="14"/>
  <c r="N249" i="14"/>
  <c r="L249" i="14"/>
  <c r="K249" i="14"/>
  <c r="I249" i="14"/>
  <c r="H249" i="14"/>
  <c r="J249" i="14" s="1"/>
  <c r="S248" i="14"/>
  <c r="Q248" i="14"/>
  <c r="R248" i="14" s="1"/>
  <c r="P248" i="14"/>
  <c r="O248" i="14"/>
  <c r="N248" i="14"/>
  <c r="M248" i="14"/>
  <c r="L248" i="14"/>
  <c r="I248" i="14"/>
  <c r="H248" i="14"/>
  <c r="S247" i="14"/>
  <c r="R247" i="14"/>
  <c r="P247" i="14"/>
  <c r="O247" i="14"/>
  <c r="M247" i="14"/>
  <c r="L247" i="14"/>
  <c r="Q247" i="14" s="1"/>
  <c r="I247" i="14"/>
  <c r="H247" i="14"/>
  <c r="S246" i="14"/>
  <c r="Q246" i="14"/>
  <c r="R246" i="14" s="1"/>
  <c r="O246" i="14"/>
  <c r="N246" i="14"/>
  <c r="M246" i="14"/>
  <c r="L246" i="14"/>
  <c r="P246" i="14" s="1"/>
  <c r="I246" i="14"/>
  <c r="H246" i="14"/>
  <c r="J246" i="14" s="1"/>
  <c r="Q245" i="14"/>
  <c r="R245" i="14" s="1"/>
  <c r="O245" i="14"/>
  <c r="L245" i="14"/>
  <c r="P245" i="14" s="1"/>
  <c r="K245" i="14"/>
  <c r="I245" i="14"/>
  <c r="H245" i="14"/>
  <c r="J245" i="14" s="1"/>
  <c r="Q244" i="14"/>
  <c r="R244" i="14" s="1"/>
  <c r="P244" i="14"/>
  <c r="O244" i="14"/>
  <c r="M244" i="14"/>
  <c r="L244" i="14"/>
  <c r="S244" i="14" s="1"/>
  <c r="K244" i="14"/>
  <c r="I244" i="14"/>
  <c r="H244" i="14"/>
  <c r="J244" i="14" s="1"/>
  <c r="O243" i="14"/>
  <c r="L243" i="14"/>
  <c r="I243" i="14"/>
  <c r="H243" i="14"/>
  <c r="J243" i="14" s="1"/>
  <c r="S242" i="14"/>
  <c r="Q242" i="14"/>
  <c r="R242" i="14" s="1"/>
  <c r="P242" i="14"/>
  <c r="O242" i="14"/>
  <c r="N242" i="14"/>
  <c r="M242" i="14"/>
  <c r="L242" i="14"/>
  <c r="K242" i="14"/>
  <c r="I242" i="14"/>
  <c r="H242" i="14"/>
  <c r="J242" i="14" s="1"/>
  <c r="O241" i="14"/>
  <c r="L241" i="14"/>
  <c r="I241" i="14"/>
  <c r="H241" i="14"/>
  <c r="S240" i="14"/>
  <c r="O240" i="14"/>
  <c r="L240" i="14"/>
  <c r="P240" i="14" s="1"/>
  <c r="I240" i="14"/>
  <c r="H240" i="14"/>
  <c r="S239" i="14"/>
  <c r="Q239" i="14"/>
  <c r="R239" i="14" s="1"/>
  <c r="P239" i="14"/>
  <c r="O239" i="14"/>
  <c r="L239" i="14"/>
  <c r="M239" i="14" s="1"/>
  <c r="N239" i="14" s="1"/>
  <c r="K239" i="14"/>
  <c r="I239" i="14"/>
  <c r="H239" i="14"/>
  <c r="J239" i="14" s="1"/>
  <c r="S238" i="14"/>
  <c r="O238" i="14"/>
  <c r="L238" i="14"/>
  <c r="I238" i="14"/>
  <c r="H238" i="14"/>
  <c r="J238" i="14" s="1"/>
  <c r="P237" i="14"/>
  <c r="O237" i="14"/>
  <c r="L237" i="14"/>
  <c r="I237" i="14"/>
  <c r="H237" i="14"/>
  <c r="J237" i="14" s="1"/>
  <c r="S236" i="14"/>
  <c r="Q236" i="14"/>
  <c r="R236" i="14" s="1"/>
  <c r="P236" i="14"/>
  <c r="O236" i="14"/>
  <c r="N236" i="14"/>
  <c r="M236" i="14"/>
  <c r="L236" i="14"/>
  <c r="I236" i="14"/>
  <c r="H236" i="14"/>
  <c r="R235" i="14"/>
  <c r="O235" i="14"/>
  <c r="P235" i="14" s="1"/>
  <c r="N235" i="14"/>
  <c r="M235" i="14"/>
  <c r="L235" i="14"/>
  <c r="Q235" i="14" s="1"/>
  <c r="I235" i="14"/>
  <c r="H235" i="14"/>
  <c r="Q234" i="14"/>
  <c r="R234" i="14" s="1"/>
  <c r="O234" i="14"/>
  <c r="L234" i="14"/>
  <c r="P234" i="14" s="1"/>
  <c r="K234" i="14"/>
  <c r="I234" i="14"/>
  <c r="H234" i="14"/>
  <c r="J234" i="14" s="1"/>
  <c r="S233" i="14"/>
  <c r="R233" i="14"/>
  <c r="Q233" i="14"/>
  <c r="P233" i="14"/>
  <c r="O233" i="14"/>
  <c r="M233" i="14"/>
  <c r="L233" i="14"/>
  <c r="N233" i="14" s="1"/>
  <c r="K233" i="14"/>
  <c r="I233" i="14"/>
  <c r="H233" i="14"/>
  <c r="J233" i="14" s="1"/>
  <c r="S232" i="14"/>
  <c r="Q232" i="14"/>
  <c r="R232" i="14" s="1"/>
  <c r="O232" i="14"/>
  <c r="P232" i="14" s="1"/>
  <c r="M232" i="14"/>
  <c r="L232" i="14"/>
  <c r="K232" i="14"/>
  <c r="I232" i="14"/>
  <c r="H232" i="14"/>
  <c r="J232" i="14" s="1"/>
  <c r="O231" i="14"/>
  <c r="L231" i="14"/>
  <c r="K231" i="14"/>
  <c r="I231" i="14"/>
  <c r="H231" i="14"/>
  <c r="J231" i="14" s="1"/>
  <c r="S230" i="14"/>
  <c r="Q230" i="14"/>
  <c r="R230" i="14" s="1"/>
  <c r="O230" i="14"/>
  <c r="P230" i="14" s="1"/>
  <c r="N230" i="14"/>
  <c r="M230" i="14"/>
  <c r="L230" i="14"/>
  <c r="I230" i="14"/>
  <c r="H230" i="14"/>
  <c r="J230" i="14" s="1"/>
  <c r="S229" i="14"/>
  <c r="P229" i="14"/>
  <c r="O229" i="14"/>
  <c r="M229" i="14"/>
  <c r="N229" i="14" s="1"/>
  <c r="L229" i="14"/>
  <c r="Q229" i="14" s="1"/>
  <c r="R229" i="14" s="1"/>
  <c r="I229" i="14"/>
  <c r="H229" i="14"/>
  <c r="S228" i="14"/>
  <c r="Q228" i="14"/>
  <c r="R228" i="14" s="1"/>
  <c r="O228" i="14"/>
  <c r="M228" i="14"/>
  <c r="L228" i="14"/>
  <c r="K228" i="14"/>
  <c r="I228" i="14"/>
  <c r="H228" i="14"/>
  <c r="J228" i="14" s="1"/>
  <c r="O227" i="14"/>
  <c r="L227" i="14"/>
  <c r="K227" i="14"/>
  <c r="I227" i="14"/>
  <c r="H227" i="14"/>
  <c r="J227" i="14" s="1"/>
  <c r="Q226" i="14"/>
  <c r="R226" i="14" s="1"/>
  <c r="P226" i="14"/>
  <c r="O226" i="14"/>
  <c r="M226" i="14"/>
  <c r="L226" i="14"/>
  <c r="I226" i="14"/>
  <c r="H226" i="14"/>
  <c r="J226" i="14" s="1"/>
  <c r="O225" i="14"/>
  <c r="L225" i="14"/>
  <c r="I225" i="14"/>
  <c r="H225" i="14"/>
  <c r="S224" i="14"/>
  <c r="Q224" i="14"/>
  <c r="R224" i="14" s="1"/>
  <c r="O224" i="14"/>
  <c r="P224" i="14" s="1"/>
  <c r="N224" i="14"/>
  <c r="M224" i="14"/>
  <c r="L224" i="14"/>
  <c r="K224" i="14"/>
  <c r="I224" i="14"/>
  <c r="H224" i="14"/>
  <c r="J224" i="14" s="1"/>
  <c r="S223" i="14"/>
  <c r="R223" i="14"/>
  <c r="O223" i="14"/>
  <c r="L223" i="14"/>
  <c r="Q223" i="14" s="1"/>
  <c r="I223" i="14"/>
  <c r="H223" i="14"/>
  <c r="S222" i="14"/>
  <c r="O222" i="14"/>
  <c r="L222" i="14"/>
  <c r="I222" i="14"/>
  <c r="H222" i="14"/>
  <c r="J222" i="14" s="1"/>
  <c r="S221" i="14"/>
  <c r="Q221" i="14"/>
  <c r="R221" i="14" s="1"/>
  <c r="P221" i="14"/>
  <c r="O221" i="14"/>
  <c r="M221" i="14"/>
  <c r="N221" i="14" s="1"/>
  <c r="L221" i="14"/>
  <c r="K221" i="14"/>
  <c r="I221" i="14"/>
  <c r="H221" i="14"/>
  <c r="J221" i="14" s="1"/>
  <c r="O220" i="14"/>
  <c r="P220" i="14" s="1"/>
  <c r="L220" i="14"/>
  <c r="K220" i="14"/>
  <c r="I220" i="14"/>
  <c r="H220" i="14"/>
  <c r="J220" i="14" s="1"/>
  <c r="O219" i="14"/>
  <c r="L219" i="14"/>
  <c r="I219" i="14"/>
  <c r="H219" i="14"/>
  <c r="J219" i="14" s="1"/>
  <c r="S218" i="14"/>
  <c r="Q218" i="14"/>
  <c r="R218" i="14" s="1"/>
  <c r="P218" i="14"/>
  <c r="O218" i="14"/>
  <c r="M218" i="14"/>
  <c r="N218" i="14" s="1"/>
  <c r="L218" i="14"/>
  <c r="I218" i="14"/>
  <c r="H218" i="14"/>
  <c r="R217" i="14"/>
  <c r="P217" i="14"/>
  <c r="O217" i="14"/>
  <c r="L217" i="14"/>
  <c r="Q217" i="14" s="1"/>
  <c r="I217" i="14"/>
  <c r="H217" i="14"/>
  <c r="S216" i="14"/>
  <c r="R216" i="14"/>
  <c r="Q216" i="14"/>
  <c r="O216" i="14"/>
  <c r="M216" i="14"/>
  <c r="N216" i="14" s="1"/>
  <c r="L216" i="14"/>
  <c r="K216" i="14"/>
  <c r="I216" i="14"/>
  <c r="H216" i="14"/>
  <c r="J216" i="14" s="1"/>
  <c r="O215" i="14"/>
  <c r="L215" i="14"/>
  <c r="K215" i="14"/>
  <c r="I215" i="14"/>
  <c r="H215" i="14"/>
  <c r="J215" i="14" s="1"/>
  <c r="S214" i="14"/>
  <c r="R214" i="14"/>
  <c r="Q214" i="14"/>
  <c r="O214" i="14"/>
  <c r="M214" i="14"/>
  <c r="L214" i="14"/>
  <c r="K214" i="14"/>
  <c r="I214" i="14"/>
  <c r="H214" i="14"/>
  <c r="J214" i="14" s="1"/>
  <c r="R213" i="14"/>
  <c r="Q213" i="14"/>
  <c r="O213" i="14"/>
  <c r="P213" i="14" s="1"/>
  <c r="L213" i="14"/>
  <c r="K213" i="14"/>
  <c r="I213" i="14"/>
  <c r="H213" i="14"/>
  <c r="J213" i="14" s="1"/>
  <c r="S212" i="14"/>
  <c r="Q212" i="14"/>
  <c r="R212" i="14" s="1"/>
  <c r="O212" i="14"/>
  <c r="P212" i="14" s="1"/>
  <c r="M212" i="14"/>
  <c r="N212" i="14" s="1"/>
  <c r="L212" i="14"/>
  <c r="I212" i="14"/>
  <c r="H212" i="14"/>
  <c r="S211" i="14"/>
  <c r="R211" i="14"/>
  <c r="O211" i="14"/>
  <c r="P211" i="14" s="1"/>
  <c r="M211" i="14"/>
  <c r="L211" i="14"/>
  <c r="Q211" i="14" s="1"/>
  <c r="I211" i="14"/>
  <c r="H211" i="14"/>
  <c r="O210" i="14"/>
  <c r="L210" i="14"/>
  <c r="I210" i="14"/>
  <c r="H210" i="14"/>
  <c r="J210" i="14" s="1"/>
  <c r="O209" i="14"/>
  <c r="L209" i="14"/>
  <c r="K209" i="14"/>
  <c r="I209" i="14"/>
  <c r="H209" i="14"/>
  <c r="J209" i="14" s="1"/>
  <c r="O208" i="14"/>
  <c r="M208" i="14"/>
  <c r="L208" i="14"/>
  <c r="I208" i="14"/>
  <c r="H208" i="14"/>
  <c r="Q207" i="14"/>
  <c r="R207" i="14" s="1"/>
  <c r="O207" i="14"/>
  <c r="L207" i="14"/>
  <c r="I207" i="14"/>
  <c r="H207" i="14"/>
  <c r="S206" i="14"/>
  <c r="Q206" i="14"/>
  <c r="R206" i="14" s="1"/>
  <c r="P206" i="14"/>
  <c r="O206" i="14"/>
  <c r="N206" i="14"/>
  <c r="M206" i="14"/>
  <c r="L206" i="14"/>
  <c r="K206" i="14"/>
  <c r="I206" i="14"/>
  <c r="H206" i="14"/>
  <c r="J206" i="14" s="1"/>
  <c r="S205" i="14"/>
  <c r="O205" i="14"/>
  <c r="L205" i="14"/>
  <c r="I205" i="14"/>
  <c r="H205" i="14"/>
  <c r="O204" i="14"/>
  <c r="L204" i="14"/>
  <c r="I204" i="14"/>
  <c r="H204" i="14"/>
  <c r="J204" i="14" s="1"/>
  <c r="Q203" i="14"/>
  <c r="R203" i="14" s="1"/>
  <c r="P203" i="14"/>
  <c r="O203" i="14"/>
  <c r="M203" i="14"/>
  <c r="N203" i="14" s="1"/>
  <c r="L203" i="14"/>
  <c r="S203" i="14" s="1"/>
  <c r="K203" i="14"/>
  <c r="I203" i="14"/>
  <c r="H203" i="14"/>
  <c r="J203" i="14" s="1"/>
  <c r="O202" i="14"/>
  <c r="L202" i="14"/>
  <c r="I202" i="14"/>
  <c r="H202" i="14"/>
  <c r="P201" i="14"/>
  <c r="O201" i="14"/>
  <c r="L201" i="14"/>
  <c r="I201" i="14"/>
  <c r="H201" i="14"/>
  <c r="S200" i="14"/>
  <c r="Q200" i="14"/>
  <c r="R200" i="14" s="1"/>
  <c r="P200" i="14"/>
  <c r="O200" i="14"/>
  <c r="M200" i="14"/>
  <c r="N200" i="14" s="1"/>
  <c r="L200" i="14"/>
  <c r="K200" i="14"/>
  <c r="I200" i="14"/>
  <c r="H200" i="14"/>
  <c r="J200" i="14" s="1"/>
  <c r="S199" i="14"/>
  <c r="R199" i="14"/>
  <c r="P199" i="14"/>
  <c r="O199" i="14"/>
  <c r="M199" i="14"/>
  <c r="N199" i="14" s="1"/>
  <c r="L199" i="14"/>
  <c r="Q199" i="14" s="1"/>
  <c r="I199" i="14"/>
  <c r="H199" i="14"/>
  <c r="S198" i="14"/>
  <c r="O198" i="14"/>
  <c r="M198" i="14"/>
  <c r="N198" i="14" s="1"/>
  <c r="L198" i="14"/>
  <c r="P198" i="14" s="1"/>
  <c r="K198" i="14"/>
  <c r="I198" i="14"/>
  <c r="H198" i="14"/>
  <c r="J198" i="14" s="1"/>
  <c r="O197" i="14"/>
  <c r="L197" i="14"/>
  <c r="K197" i="14"/>
  <c r="I197" i="14"/>
  <c r="H197" i="14"/>
  <c r="J197" i="14" s="1"/>
  <c r="R196" i="14"/>
  <c r="Q196" i="14"/>
  <c r="O196" i="14"/>
  <c r="P196" i="14" s="1"/>
  <c r="M196" i="14"/>
  <c r="L196" i="14"/>
  <c r="K196" i="14"/>
  <c r="I196" i="14"/>
  <c r="H196" i="14"/>
  <c r="J196" i="14" s="1"/>
  <c r="R195" i="14"/>
  <c r="Q195" i="14"/>
  <c r="O195" i="14"/>
  <c r="L195" i="14"/>
  <c r="K195" i="14"/>
  <c r="I195" i="14"/>
  <c r="H195" i="14"/>
  <c r="J195" i="14" s="1"/>
  <c r="S194" i="14"/>
  <c r="Q194" i="14"/>
  <c r="R194" i="14" s="1"/>
  <c r="O194" i="14"/>
  <c r="P194" i="14" s="1"/>
  <c r="N194" i="14"/>
  <c r="M194" i="14"/>
  <c r="L194" i="14"/>
  <c r="I194" i="14"/>
  <c r="H194" i="14"/>
  <c r="J194" i="14" s="1"/>
  <c r="O193" i="14"/>
  <c r="L193" i="14"/>
  <c r="I193" i="14"/>
  <c r="H193" i="14"/>
  <c r="O192" i="14"/>
  <c r="L192" i="14"/>
  <c r="I192" i="14"/>
  <c r="H192" i="14"/>
  <c r="O191" i="14"/>
  <c r="L191" i="14"/>
  <c r="K191" i="14"/>
  <c r="I191" i="14"/>
  <c r="H191" i="14"/>
  <c r="J191" i="14" s="1"/>
  <c r="S190" i="14"/>
  <c r="Q190" i="14"/>
  <c r="R190" i="14" s="1"/>
  <c r="O190" i="14"/>
  <c r="M190" i="14"/>
  <c r="L190" i="14"/>
  <c r="I190" i="14"/>
  <c r="H190" i="14"/>
  <c r="E82" i="9" s="1"/>
  <c r="Q189" i="14"/>
  <c r="R189" i="14" s="1"/>
  <c r="P189" i="14"/>
  <c r="O189" i="14"/>
  <c r="L189" i="14"/>
  <c r="K189" i="14"/>
  <c r="I189" i="14"/>
  <c r="H189" i="14"/>
  <c r="J189" i="14" s="1"/>
  <c r="S188" i="14"/>
  <c r="Q188" i="14"/>
  <c r="R188" i="14" s="1"/>
  <c r="P188" i="14"/>
  <c r="O188" i="14"/>
  <c r="M188" i="14"/>
  <c r="N188" i="14" s="1"/>
  <c r="L188" i="14"/>
  <c r="K188" i="14"/>
  <c r="I188" i="14"/>
  <c r="H188" i="14"/>
  <c r="J188" i="14" s="1"/>
  <c r="O187" i="14"/>
  <c r="L187" i="14"/>
  <c r="I187" i="14"/>
  <c r="H187" i="14"/>
  <c r="S186" i="14"/>
  <c r="O186" i="14"/>
  <c r="L186" i="14"/>
  <c r="K186" i="14"/>
  <c r="I186" i="14"/>
  <c r="H186" i="14"/>
  <c r="S185" i="14"/>
  <c r="Q185" i="14"/>
  <c r="R185" i="14" s="1"/>
  <c r="P185" i="14"/>
  <c r="O185" i="14"/>
  <c r="N185" i="14"/>
  <c r="M185" i="14"/>
  <c r="L185" i="14"/>
  <c r="K185" i="14"/>
  <c r="I185" i="14"/>
  <c r="H185" i="14"/>
  <c r="J185" i="14" s="1"/>
  <c r="S184" i="14"/>
  <c r="P184" i="14"/>
  <c r="O184" i="14"/>
  <c r="L184" i="14"/>
  <c r="N184" i="14" s="1"/>
  <c r="I184" i="14"/>
  <c r="H184" i="14"/>
  <c r="P183" i="14"/>
  <c r="O183" i="14"/>
  <c r="L183" i="14"/>
  <c r="I183" i="14"/>
  <c r="H183" i="14"/>
  <c r="J183" i="14" s="1"/>
  <c r="S182" i="14"/>
  <c r="Q182" i="14"/>
  <c r="R182" i="14" s="1"/>
  <c r="P182" i="14"/>
  <c r="O182" i="14"/>
  <c r="N182" i="14"/>
  <c r="M182" i="14"/>
  <c r="L182" i="14"/>
  <c r="I182" i="14"/>
  <c r="H182" i="14"/>
  <c r="J182" i="14" s="1"/>
  <c r="S181" i="14"/>
  <c r="R181" i="14"/>
  <c r="O181" i="14"/>
  <c r="N181" i="14"/>
  <c r="M181" i="14"/>
  <c r="L181" i="14"/>
  <c r="Q181" i="14" s="1"/>
  <c r="J181" i="14"/>
  <c r="I181" i="14"/>
  <c r="H181" i="14"/>
  <c r="O180" i="14"/>
  <c r="L180" i="14"/>
  <c r="I180" i="14"/>
  <c r="H180" i="14"/>
  <c r="S179" i="14"/>
  <c r="P179" i="14"/>
  <c r="O179" i="14"/>
  <c r="N179" i="14"/>
  <c r="M179" i="14"/>
  <c r="L179" i="14"/>
  <c r="Q179" i="14" s="1"/>
  <c r="R179" i="14" s="1"/>
  <c r="I179" i="14"/>
  <c r="H179" i="14"/>
  <c r="R178" i="14"/>
  <c r="P178" i="14"/>
  <c r="O178" i="14"/>
  <c r="N178" i="14"/>
  <c r="L178" i="14"/>
  <c r="Q178" i="14" s="1"/>
  <c r="J178" i="14"/>
  <c r="I178" i="14"/>
  <c r="H178" i="14"/>
  <c r="S177" i="14"/>
  <c r="O177" i="14"/>
  <c r="N177" i="14"/>
  <c r="L177" i="14"/>
  <c r="I177" i="14"/>
  <c r="H177" i="14"/>
  <c r="P176" i="14"/>
  <c r="O176" i="14"/>
  <c r="L176" i="14"/>
  <c r="I176" i="14"/>
  <c r="H176" i="14"/>
  <c r="S175" i="14"/>
  <c r="R175" i="14"/>
  <c r="P175" i="14"/>
  <c r="O175" i="14"/>
  <c r="N175" i="14"/>
  <c r="M175" i="14"/>
  <c r="L175" i="14"/>
  <c r="Q175" i="14" s="1"/>
  <c r="J175" i="14"/>
  <c r="I175" i="14"/>
  <c r="H175" i="14"/>
  <c r="O174" i="14"/>
  <c r="L174" i="14"/>
  <c r="I174" i="14"/>
  <c r="H174" i="14"/>
  <c r="S173" i="14"/>
  <c r="P173" i="14"/>
  <c r="O173" i="14"/>
  <c r="N173" i="14"/>
  <c r="M173" i="14"/>
  <c r="L173" i="14"/>
  <c r="Q173" i="14" s="1"/>
  <c r="R173" i="14" s="1"/>
  <c r="I173" i="14"/>
  <c r="H173" i="14"/>
  <c r="R172" i="14"/>
  <c r="P172" i="14"/>
  <c r="O172" i="14"/>
  <c r="N172" i="14"/>
  <c r="L172" i="14"/>
  <c r="Q172" i="14" s="1"/>
  <c r="J172" i="14"/>
  <c r="I172" i="14"/>
  <c r="H172" i="14"/>
  <c r="O171" i="14"/>
  <c r="L171" i="14"/>
  <c r="I171" i="14"/>
  <c r="H171" i="14"/>
  <c r="O170" i="14"/>
  <c r="L170" i="14"/>
  <c r="I170" i="14"/>
  <c r="H170" i="14"/>
  <c r="S169" i="14"/>
  <c r="R169" i="14"/>
  <c r="P169" i="14"/>
  <c r="O169" i="14"/>
  <c r="N169" i="14"/>
  <c r="M169" i="14"/>
  <c r="L169" i="14"/>
  <c r="Q169" i="14" s="1"/>
  <c r="J169" i="14"/>
  <c r="I169" i="14"/>
  <c r="H169" i="14"/>
  <c r="O168" i="14"/>
  <c r="L168" i="14"/>
  <c r="I168" i="14"/>
  <c r="H168" i="14"/>
  <c r="S167" i="14"/>
  <c r="P167" i="14"/>
  <c r="O167" i="14"/>
  <c r="M167" i="14"/>
  <c r="N167" i="14" s="1"/>
  <c r="L167" i="14"/>
  <c r="Q167" i="14" s="1"/>
  <c r="R167" i="14" s="1"/>
  <c r="I167" i="14"/>
  <c r="H167" i="14"/>
  <c r="R166" i="14"/>
  <c r="P166" i="14"/>
  <c r="O166" i="14"/>
  <c r="N166" i="14"/>
  <c r="L166" i="14"/>
  <c r="Q166" i="14" s="1"/>
  <c r="J166" i="14"/>
  <c r="I166" i="14"/>
  <c r="H166" i="14"/>
  <c r="O165" i="14"/>
  <c r="L165" i="14"/>
  <c r="S165" i="14" s="1"/>
  <c r="I165" i="14"/>
  <c r="H165" i="14"/>
  <c r="O164" i="14"/>
  <c r="L164" i="14"/>
  <c r="I164" i="14"/>
  <c r="H164" i="14"/>
  <c r="S163" i="14"/>
  <c r="R163" i="14"/>
  <c r="P163" i="14"/>
  <c r="O163" i="14"/>
  <c r="N163" i="14"/>
  <c r="M163" i="14"/>
  <c r="L163" i="14"/>
  <c r="Q163" i="14" s="1"/>
  <c r="J163" i="14"/>
  <c r="I163" i="14"/>
  <c r="H163" i="14"/>
  <c r="K163" i="14" s="1"/>
  <c r="O162" i="14"/>
  <c r="L162" i="14"/>
  <c r="J162" i="14"/>
  <c r="I162" i="14"/>
  <c r="H162" i="14"/>
  <c r="S161" i="14"/>
  <c r="P161" i="14"/>
  <c r="O161" i="14"/>
  <c r="M161" i="14"/>
  <c r="N161" i="14" s="1"/>
  <c r="L161" i="14"/>
  <c r="Q161" i="14" s="1"/>
  <c r="R161" i="14" s="1"/>
  <c r="I161" i="14"/>
  <c r="H161" i="14"/>
  <c r="R160" i="14"/>
  <c r="P160" i="14"/>
  <c r="O160" i="14"/>
  <c r="N160" i="14"/>
  <c r="L160" i="14"/>
  <c r="Q160" i="14" s="1"/>
  <c r="J160" i="14"/>
  <c r="I160" i="14"/>
  <c r="H160" i="14"/>
  <c r="S159" i="14"/>
  <c r="O159" i="14"/>
  <c r="L159" i="14"/>
  <c r="I159" i="14"/>
  <c r="H159" i="14"/>
  <c r="O158" i="14"/>
  <c r="M158" i="14"/>
  <c r="L158" i="14"/>
  <c r="I158" i="14"/>
  <c r="H158" i="14"/>
  <c r="K158" i="14" s="1"/>
  <c r="S157" i="14"/>
  <c r="R157" i="14"/>
  <c r="P157" i="14"/>
  <c r="O157" i="14"/>
  <c r="M157" i="14"/>
  <c r="N157" i="14" s="1"/>
  <c r="L157" i="14"/>
  <c r="Q157" i="14" s="1"/>
  <c r="J157" i="14"/>
  <c r="I157" i="14"/>
  <c r="H157" i="14"/>
  <c r="K157" i="14" s="1"/>
  <c r="P156" i="14"/>
  <c r="O156" i="14"/>
  <c r="L156" i="14"/>
  <c r="I156" i="14"/>
  <c r="H156" i="14"/>
  <c r="S155" i="14"/>
  <c r="P155" i="14"/>
  <c r="O155" i="14"/>
  <c r="N155" i="14"/>
  <c r="M155" i="14"/>
  <c r="L155" i="14"/>
  <c r="Q155" i="14" s="1"/>
  <c r="R155" i="14" s="1"/>
  <c r="I155" i="14"/>
  <c r="H155" i="14"/>
  <c r="O154" i="14"/>
  <c r="L154" i="14"/>
  <c r="J154" i="14"/>
  <c r="I154" i="14"/>
  <c r="H154" i="14"/>
  <c r="K154" i="14" s="1"/>
  <c r="O153" i="14"/>
  <c r="L153" i="14"/>
  <c r="I153" i="14"/>
  <c r="H153" i="14"/>
  <c r="S152" i="14"/>
  <c r="P152" i="14"/>
  <c r="O152" i="14"/>
  <c r="L152" i="14"/>
  <c r="I152" i="14"/>
  <c r="H152" i="14"/>
  <c r="K152" i="14" s="1"/>
  <c r="S151" i="14"/>
  <c r="R151" i="14"/>
  <c r="P151" i="14"/>
  <c r="O151" i="14"/>
  <c r="M151" i="14"/>
  <c r="N151" i="14" s="1"/>
  <c r="L151" i="14"/>
  <c r="Q151" i="14" s="1"/>
  <c r="J151" i="14"/>
  <c r="I151" i="14"/>
  <c r="H151" i="14"/>
  <c r="K151" i="14" s="1"/>
  <c r="O150" i="14"/>
  <c r="L150" i="14"/>
  <c r="I150" i="14"/>
  <c r="H150" i="14"/>
  <c r="K150" i="14" s="1"/>
  <c r="S149" i="14"/>
  <c r="O149" i="14"/>
  <c r="L149" i="14"/>
  <c r="Q149" i="14" s="1"/>
  <c r="R149" i="14" s="1"/>
  <c r="I149" i="14"/>
  <c r="H149" i="14"/>
  <c r="S148" i="14"/>
  <c r="P148" i="14"/>
  <c r="O148" i="14"/>
  <c r="L148" i="14"/>
  <c r="J148" i="14"/>
  <c r="I148" i="14"/>
  <c r="H148" i="14"/>
  <c r="K148" i="14" s="1"/>
  <c r="S147" i="14"/>
  <c r="O147" i="14"/>
  <c r="L147" i="14"/>
  <c r="I147" i="14"/>
  <c r="H147" i="14"/>
  <c r="O146" i="14"/>
  <c r="L146" i="14"/>
  <c r="I146" i="14"/>
  <c r="H146" i="14"/>
  <c r="K146" i="14" s="1"/>
  <c r="P145" i="14"/>
  <c r="O145" i="14"/>
  <c r="L145" i="14"/>
  <c r="Q145" i="14" s="1"/>
  <c r="R145" i="14" s="1"/>
  <c r="J145" i="14"/>
  <c r="I145" i="14"/>
  <c r="H145" i="14"/>
  <c r="K145" i="14" s="1"/>
  <c r="P144" i="14"/>
  <c r="O144" i="14"/>
  <c r="L144" i="14"/>
  <c r="J144" i="14"/>
  <c r="I144" i="14"/>
  <c r="H144" i="14"/>
  <c r="K144" i="14" s="1"/>
  <c r="O143" i="14"/>
  <c r="L143" i="14"/>
  <c r="I143" i="14"/>
  <c r="H143" i="14"/>
  <c r="S142" i="14"/>
  <c r="O142" i="14"/>
  <c r="L142" i="14"/>
  <c r="J142" i="14"/>
  <c r="I142" i="14"/>
  <c r="H142" i="14"/>
  <c r="K142" i="14" s="1"/>
  <c r="S141" i="14"/>
  <c r="O141" i="14"/>
  <c r="P141" i="14" s="1"/>
  <c r="L141" i="14"/>
  <c r="I141" i="14"/>
  <c r="H141" i="14"/>
  <c r="O140" i="14"/>
  <c r="P140" i="14" s="1"/>
  <c r="M140" i="14"/>
  <c r="L140" i="14"/>
  <c r="Q140" i="14" s="1"/>
  <c r="R140" i="14" s="1"/>
  <c r="I140" i="14"/>
  <c r="H140" i="14"/>
  <c r="K140" i="14" s="1"/>
  <c r="O139" i="14"/>
  <c r="L139" i="14"/>
  <c r="J139" i="14"/>
  <c r="I139" i="14"/>
  <c r="H139" i="14"/>
  <c r="K139" i="14" s="1"/>
  <c r="O138" i="14"/>
  <c r="P138" i="14" s="1"/>
  <c r="L138" i="14"/>
  <c r="S138" i="14" s="1"/>
  <c r="I138" i="14"/>
  <c r="H138" i="14"/>
  <c r="K138" i="14" s="1"/>
  <c r="S137" i="14"/>
  <c r="O137" i="14"/>
  <c r="L137" i="14"/>
  <c r="Q137" i="14" s="1"/>
  <c r="R137" i="14" s="1"/>
  <c r="I137" i="14"/>
  <c r="H137" i="14"/>
  <c r="O136" i="14"/>
  <c r="L136" i="14"/>
  <c r="J136" i="14"/>
  <c r="I136" i="14"/>
  <c r="H136" i="14"/>
  <c r="K136" i="14" s="1"/>
  <c r="S135" i="14"/>
  <c r="O135" i="14"/>
  <c r="L135" i="14"/>
  <c r="I135" i="14"/>
  <c r="H135" i="14"/>
  <c r="K135" i="14" s="1"/>
  <c r="O134" i="14"/>
  <c r="L134" i="14"/>
  <c r="Q134" i="14" s="1"/>
  <c r="R134" i="14" s="1"/>
  <c r="I134" i="14"/>
  <c r="H134" i="14"/>
  <c r="R133" i="14"/>
  <c r="O133" i="14"/>
  <c r="L133" i="14"/>
  <c r="Q133" i="14" s="1"/>
  <c r="J133" i="14"/>
  <c r="I133" i="14"/>
  <c r="H133" i="14"/>
  <c r="K133" i="14" s="1"/>
  <c r="O132" i="14"/>
  <c r="L132" i="14"/>
  <c r="I132" i="14"/>
  <c r="H132" i="14"/>
  <c r="K132" i="14" s="1"/>
  <c r="S131" i="14"/>
  <c r="O131" i="14"/>
  <c r="L131" i="14"/>
  <c r="Q131" i="14" s="1"/>
  <c r="R131" i="14" s="1"/>
  <c r="I131" i="14"/>
  <c r="H131" i="14"/>
  <c r="S130" i="14"/>
  <c r="O130" i="14"/>
  <c r="L130" i="14"/>
  <c r="Q130" i="14" s="1"/>
  <c r="R130" i="14" s="1"/>
  <c r="J130" i="14"/>
  <c r="I130" i="14"/>
  <c r="H130" i="14"/>
  <c r="K130" i="14" s="1"/>
  <c r="S129" i="14"/>
  <c r="P129" i="14"/>
  <c r="O129" i="14"/>
  <c r="L129" i="14"/>
  <c r="J129" i="14"/>
  <c r="I129" i="14"/>
  <c r="H129" i="14"/>
  <c r="K129" i="14" s="1"/>
  <c r="O128" i="14"/>
  <c r="L128" i="14"/>
  <c r="I128" i="14"/>
  <c r="H128" i="14"/>
  <c r="S127" i="14"/>
  <c r="R127" i="14"/>
  <c r="O127" i="14"/>
  <c r="L127" i="14"/>
  <c r="Q127" i="14" s="1"/>
  <c r="J127" i="14"/>
  <c r="I127" i="14"/>
  <c r="H127" i="14"/>
  <c r="K127" i="14" s="1"/>
  <c r="O126" i="14"/>
  <c r="P126" i="14" s="1"/>
  <c r="L126" i="14"/>
  <c r="S126" i="14" s="1"/>
  <c r="I126" i="14"/>
  <c r="H126" i="14"/>
  <c r="K126" i="14" s="1"/>
  <c r="S125" i="14"/>
  <c r="O125" i="14"/>
  <c r="L125" i="14"/>
  <c r="Q125" i="14" s="1"/>
  <c r="R125" i="14" s="1"/>
  <c r="I125" i="14"/>
  <c r="H125" i="14"/>
  <c r="O124" i="14"/>
  <c r="L124" i="14"/>
  <c r="J124" i="14"/>
  <c r="I124" i="14"/>
  <c r="H124" i="14"/>
  <c r="K124" i="14" s="1"/>
  <c r="S123" i="14"/>
  <c r="O123" i="14"/>
  <c r="L123" i="14"/>
  <c r="J123" i="14"/>
  <c r="I123" i="14"/>
  <c r="H123" i="14"/>
  <c r="K123" i="14" s="1"/>
  <c r="S122" i="14"/>
  <c r="Q122" i="14"/>
  <c r="R122" i="14" s="1"/>
  <c r="O122" i="14"/>
  <c r="P122" i="14" s="1"/>
  <c r="M122" i="14"/>
  <c r="N122" i="14" s="1"/>
  <c r="L122" i="14"/>
  <c r="I122" i="14"/>
  <c r="H122" i="14"/>
  <c r="R121" i="14"/>
  <c r="O121" i="14"/>
  <c r="P121" i="14" s="1"/>
  <c r="M121" i="14"/>
  <c r="N121" i="14" s="1"/>
  <c r="L121" i="14"/>
  <c r="Q121" i="14" s="1"/>
  <c r="I121" i="14"/>
  <c r="H121" i="14"/>
  <c r="Q120" i="14"/>
  <c r="R120" i="14" s="1"/>
  <c r="O120" i="14"/>
  <c r="L120" i="14"/>
  <c r="P120" i="14" s="1"/>
  <c r="J120" i="14"/>
  <c r="I120" i="14"/>
  <c r="H120" i="14"/>
  <c r="K120" i="14" s="1"/>
  <c r="S119" i="14"/>
  <c r="P119" i="14"/>
  <c r="O119" i="14"/>
  <c r="M119" i="14"/>
  <c r="L119" i="14"/>
  <c r="Q119" i="14" s="1"/>
  <c r="R119" i="14" s="1"/>
  <c r="J119" i="14"/>
  <c r="I119" i="14"/>
  <c r="H119" i="14"/>
  <c r="K119" i="14" s="1"/>
  <c r="S118" i="14"/>
  <c r="Q118" i="14"/>
  <c r="R118" i="14" s="1"/>
  <c r="O118" i="14"/>
  <c r="P118" i="14" s="1"/>
  <c r="M118" i="14"/>
  <c r="L118" i="14"/>
  <c r="J118" i="14"/>
  <c r="I118" i="14"/>
  <c r="H118" i="14"/>
  <c r="K118" i="14" s="1"/>
  <c r="Q117" i="14"/>
  <c r="R117" i="14" s="1"/>
  <c r="O117" i="14"/>
  <c r="L117" i="14"/>
  <c r="J117" i="14"/>
  <c r="I117" i="14"/>
  <c r="H117" i="14"/>
  <c r="K117" i="14" s="1"/>
  <c r="S116" i="14"/>
  <c r="Q116" i="14"/>
  <c r="R116" i="14" s="1"/>
  <c r="O116" i="14"/>
  <c r="P116" i="14" s="1"/>
  <c r="N116" i="14"/>
  <c r="M116" i="14"/>
  <c r="L116" i="14"/>
  <c r="I116" i="14"/>
  <c r="H116" i="14"/>
  <c r="K116" i="14" s="1"/>
  <c r="P115" i="14"/>
  <c r="O115" i="14"/>
  <c r="L115" i="14"/>
  <c r="I115" i="14"/>
  <c r="H115" i="14"/>
  <c r="S114" i="14"/>
  <c r="Q114" i="14"/>
  <c r="R114" i="14" s="1"/>
  <c r="O114" i="14"/>
  <c r="M114" i="14"/>
  <c r="L114" i="14"/>
  <c r="I114" i="14"/>
  <c r="H114" i="14"/>
  <c r="O113" i="14"/>
  <c r="L113" i="14"/>
  <c r="J113" i="14"/>
  <c r="I113" i="14"/>
  <c r="H113" i="14"/>
  <c r="K113" i="14" s="1"/>
  <c r="S112" i="14"/>
  <c r="O112" i="14"/>
  <c r="L112" i="14"/>
  <c r="I112" i="14"/>
  <c r="H112" i="14"/>
  <c r="K112" i="14" s="1"/>
  <c r="Q111" i="14"/>
  <c r="R111" i="14" s="1"/>
  <c r="P111" i="14"/>
  <c r="O111" i="14"/>
  <c r="L111" i="14"/>
  <c r="I111" i="14"/>
  <c r="H111" i="14"/>
  <c r="S110" i="14"/>
  <c r="Q110" i="14"/>
  <c r="R110" i="14" s="1"/>
  <c r="O110" i="14"/>
  <c r="P110" i="14" s="1"/>
  <c r="M110" i="14"/>
  <c r="N110" i="14" s="1"/>
  <c r="L110" i="14"/>
  <c r="J110" i="14"/>
  <c r="I110" i="14"/>
  <c r="H110" i="14"/>
  <c r="K110" i="14" s="1"/>
  <c r="R109" i="14"/>
  <c r="O109" i="14"/>
  <c r="L109" i="14"/>
  <c r="Q109" i="14" s="1"/>
  <c r="I109" i="14"/>
  <c r="H109" i="14"/>
  <c r="O108" i="14"/>
  <c r="L108" i="14"/>
  <c r="I108" i="14"/>
  <c r="H108" i="14"/>
  <c r="K108" i="14" s="1"/>
  <c r="S107" i="14"/>
  <c r="Q107" i="14"/>
  <c r="R107" i="14" s="1"/>
  <c r="P107" i="14"/>
  <c r="O107" i="14"/>
  <c r="M107" i="14"/>
  <c r="N107" i="14" s="1"/>
  <c r="L107" i="14"/>
  <c r="J107" i="14"/>
  <c r="I107" i="14"/>
  <c r="H107" i="14"/>
  <c r="K107" i="14" s="1"/>
  <c r="S106" i="14"/>
  <c r="O106" i="14"/>
  <c r="L106" i="14"/>
  <c r="J106" i="14"/>
  <c r="I106" i="14"/>
  <c r="H106" i="14"/>
  <c r="K106" i="14" s="1"/>
  <c r="O105" i="14"/>
  <c r="P105" i="14" s="1"/>
  <c r="L105" i="14"/>
  <c r="Q105" i="14" s="1"/>
  <c r="R105" i="14" s="1"/>
  <c r="I105" i="14"/>
  <c r="H105" i="14"/>
  <c r="K105" i="14" s="1"/>
  <c r="S104" i="14"/>
  <c r="Q104" i="14"/>
  <c r="R104" i="14" s="1"/>
  <c r="P104" i="14"/>
  <c r="O104" i="14"/>
  <c r="M104" i="14"/>
  <c r="N104" i="14" s="1"/>
  <c r="L104" i="14"/>
  <c r="I104" i="14"/>
  <c r="H104" i="14"/>
  <c r="K104" i="14" s="1"/>
  <c r="R103" i="14"/>
  <c r="P103" i="14"/>
  <c r="O103" i="14"/>
  <c r="L103" i="14"/>
  <c r="Q103" i="14" s="1"/>
  <c r="I103" i="14"/>
  <c r="H103" i="14"/>
  <c r="B62" i="9" s="1"/>
  <c r="D62" i="9" s="1"/>
  <c r="D58" i="10" s="1"/>
  <c r="Q102" i="14"/>
  <c r="R102" i="14" s="1"/>
  <c r="O102" i="14"/>
  <c r="M102" i="14"/>
  <c r="N102" i="14" s="1"/>
  <c r="L102" i="14"/>
  <c r="J102" i="14"/>
  <c r="I102" i="14"/>
  <c r="H102" i="14"/>
  <c r="K102" i="14" s="1"/>
  <c r="O101" i="14"/>
  <c r="L101" i="14"/>
  <c r="J101" i="14"/>
  <c r="I101" i="14"/>
  <c r="H101" i="14"/>
  <c r="K101" i="14" s="1"/>
  <c r="S100" i="14"/>
  <c r="Q100" i="14"/>
  <c r="R100" i="14" s="1"/>
  <c r="O100" i="14"/>
  <c r="M100" i="14"/>
  <c r="L100" i="14"/>
  <c r="J100" i="14"/>
  <c r="I100" i="14"/>
  <c r="H100" i="14"/>
  <c r="K100" i="14" s="1"/>
  <c r="R99" i="14"/>
  <c r="Q99" i="14"/>
  <c r="O99" i="14"/>
  <c r="P99" i="14" s="1"/>
  <c r="L99" i="14"/>
  <c r="J99" i="14"/>
  <c r="I99" i="14"/>
  <c r="H99" i="14"/>
  <c r="K99" i="14" s="1"/>
  <c r="S98" i="14"/>
  <c r="Q98" i="14"/>
  <c r="R98" i="14" s="1"/>
  <c r="O98" i="14"/>
  <c r="P98" i="14" s="1"/>
  <c r="M98" i="14"/>
  <c r="N98" i="14" s="1"/>
  <c r="L98" i="14"/>
  <c r="J98" i="14"/>
  <c r="I98" i="14"/>
  <c r="H98" i="14"/>
  <c r="K98" i="14" s="1"/>
  <c r="S97" i="14"/>
  <c r="O97" i="14"/>
  <c r="P97" i="14" s="1"/>
  <c r="M97" i="14"/>
  <c r="L97" i="14"/>
  <c r="Q97" i="14" s="1"/>
  <c r="R97" i="14" s="1"/>
  <c r="I97" i="14"/>
  <c r="H97" i="14"/>
  <c r="O96" i="14"/>
  <c r="L96" i="14"/>
  <c r="I96" i="14"/>
  <c r="H96" i="14"/>
  <c r="K96" i="14" s="1"/>
  <c r="Q95" i="14"/>
  <c r="R95" i="14" s="1"/>
  <c r="O95" i="14"/>
  <c r="L95" i="14"/>
  <c r="P95" i="14" s="1"/>
  <c r="J95" i="14"/>
  <c r="I95" i="14"/>
  <c r="H95" i="14"/>
  <c r="K95" i="14" s="1"/>
  <c r="Q94" i="14"/>
  <c r="R94" i="14" s="1"/>
  <c r="P94" i="14"/>
  <c r="O94" i="14"/>
  <c r="L94" i="14"/>
  <c r="S94" i="14" s="1"/>
  <c r="I94" i="14"/>
  <c r="H94" i="14"/>
  <c r="O93" i="14"/>
  <c r="L93" i="14"/>
  <c r="I93" i="14"/>
  <c r="H93" i="14"/>
  <c r="K93" i="14" s="1"/>
  <c r="S92" i="14"/>
  <c r="Q92" i="14"/>
  <c r="R92" i="14" s="1"/>
  <c r="P92" i="14"/>
  <c r="O92" i="14"/>
  <c r="N92" i="14"/>
  <c r="M92" i="14"/>
  <c r="L92" i="14"/>
  <c r="J92" i="14"/>
  <c r="I92" i="14"/>
  <c r="H92" i="14"/>
  <c r="K92" i="14" s="1"/>
  <c r="O91" i="14"/>
  <c r="L91" i="14"/>
  <c r="I91" i="14"/>
  <c r="H91" i="14"/>
  <c r="O90" i="14"/>
  <c r="L90" i="14"/>
  <c r="P90" i="14" s="1"/>
  <c r="J90" i="14"/>
  <c r="I90" i="14"/>
  <c r="H90" i="14"/>
  <c r="K90" i="14" s="1"/>
  <c r="S89" i="14"/>
  <c r="Q89" i="14"/>
  <c r="R89" i="14" s="1"/>
  <c r="P89" i="14"/>
  <c r="O89" i="14"/>
  <c r="M89" i="14"/>
  <c r="N89" i="14" s="1"/>
  <c r="L89" i="14"/>
  <c r="J89" i="14"/>
  <c r="I89" i="14"/>
  <c r="H89" i="14"/>
  <c r="K89" i="14" s="1"/>
  <c r="S88" i="14"/>
  <c r="O88" i="14"/>
  <c r="P88" i="14" s="1"/>
  <c r="L88" i="14"/>
  <c r="Q88" i="14" s="1"/>
  <c r="R88" i="14" s="1"/>
  <c r="I88" i="14"/>
  <c r="H88" i="14"/>
  <c r="K88" i="14" s="1"/>
  <c r="P87" i="14"/>
  <c r="O87" i="14"/>
  <c r="L87" i="14"/>
  <c r="J87" i="14"/>
  <c r="I87" i="14"/>
  <c r="H87" i="14"/>
  <c r="S86" i="14"/>
  <c r="Q86" i="14"/>
  <c r="R86" i="14" s="1"/>
  <c r="O86" i="14"/>
  <c r="P86" i="14" s="1"/>
  <c r="M86" i="14"/>
  <c r="N86" i="14" s="1"/>
  <c r="L86" i="14"/>
  <c r="I86" i="14"/>
  <c r="H86" i="14"/>
  <c r="R85" i="14"/>
  <c r="P85" i="14"/>
  <c r="O85" i="14"/>
  <c r="M85" i="14"/>
  <c r="N85" i="14" s="1"/>
  <c r="L85" i="14"/>
  <c r="Q85" i="14" s="1"/>
  <c r="I85" i="14"/>
  <c r="H85" i="14"/>
  <c r="S84" i="14"/>
  <c r="Q84" i="14"/>
  <c r="R84" i="14" s="1"/>
  <c r="O84" i="14"/>
  <c r="M84" i="14"/>
  <c r="N84" i="14" s="1"/>
  <c r="L84" i="14"/>
  <c r="P84" i="14" s="1"/>
  <c r="J84" i="14"/>
  <c r="I84" i="14"/>
  <c r="H84" i="14"/>
  <c r="K84" i="14" s="1"/>
  <c r="S83" i="14"/>
  <c r="P83" i="14"/>
  <c r="O83" i="14"/>
  <c r="L83" i="14"/>
  <c r="J83" i="14"/>
  <c r="I83" i="14"/>
  <c r="H83" i="14"/>
  <c r="K83" i="14" s="1"/>
  <c r="S82" i="14"/>
  <c r="R82" i="14"/>
  <c r="Q82" i="14"/>
  <c r="O82" i="14"/>
  <c r="P82" i="14" s="1"/>
  <c r="M82" i="14"/>
  <c r="L82" i="14"/>
  <c r="J82" i="14"/>
  <c r="I82" i="14"/>
  <c r="H82" i="14"/>
  <c r="K82" i="14" s="1"/>
  <c r="Q81" i="14"/>
  <c r="R81" i="14" s="1"/>
  <c r="O81" i="14"/>
  <c r="L81" i="14"/>
  <c r="J81" i="14"/>
  <c r="I81" i="14"/>
  <c r="H81" i="14"/>
  <c r="S80" i="14"/>
  <c r="Q80" i="14"/>
  <c r="R80" i="14" s="1"/>
  <c r="P80" i="14"/>
  <c r="O80" i="14"/>
  <c r="N80" i="14"/>
  <c r="M80" i="14"/>
  <c r="L80" i="14"/>
  <c r="I80" i="14"/>
  <c r="H80" i="14"/>
  <c r="O79" i="14"/>
  <c r="L79" i="14"/>
  <c r="S79" i="14" s="1"/>
  <c r="I79" i="14"/>
  <c r="H79" i="14"/>
  <c r="Q78" i="14"/>
  <c r="R78" i="14" s="1"/>
  <c r="O78" i="14"/>
  <c r="L78" i="14"/>
  <c r="P78" i="14" s="1"/>
  <c r="I78" i="14"/>
  <c r="H78" i="14"/>
  <c r="O77" i="14"/>
  <c r="N77" i="14"/>
  <c r="L77" i="14"/>
  <c r="M77" i="14" s="1"/>
  <c r="J77" i="14"/>
  <c r="I77" i="14"/>
  <c r="H77" i="14"/>
  <c r="S76" i="14"/>
  <c r="O76" i="14"/>
  <c r="L76" i="14"/>
  <c r="I76" i="14"/>
  <c r="H76" i="14"/>
  <c r="Q75" i="14"/>
  <c r="R75" i="14" s="1"/>
  <c r="P75" i="14"/>
  <c r="O75" i="14"/>
  <c r="N75" i="14"/>
  <c r="L75" i="14"/>
  <c r="I75" i="14"/>
  <c r="H75" i="14"/>
  <c r="S74" i="14"/>
  <c r="Q74" i="14"/>
  <c r="R74" i="14" s="1"/>
  <c r="P74" i="14"/>
  <c r="O74" i="14"/>
  <c r="N74" i="14"/>
  <c r="M74" i="14"/>
  <c r="L74" i="14"/>
  <c r="J74" i="14"/>
  <c r="I74" i="14"/>
  <c r="H74" i="14"/>
  <c r="R73" i="14"/>
  <c r="O73" i="14"/>
  <c r="L73" i="14"/>
  <c r="Q73" i="14" s="1"/>
  <c r="I73" i="14"/>
  <c r="H73" i="14"/>
  <c r="S72" i="14"/>
  <c r="O72" i="14"/>
  <c r="N72" i="14"/>
  <c r="L72" i="14"/>
  <c r="P72" i="14" s="1"/>
  <c r="I72" i="14"/>
  <c r="H72" i="14"/>
  <c r="S71" i="14"/>
  <c r="Q71" i="14"/>
  <c r="R71" i="14" s="1"/>
  <c r="P71" i="14"/>
  <c r="O71" i="14"/>
  <c r="N71" i="14"/>
  <c r="M71" i="14"/>
  <c r="L71" i="14"/>
  <c r="J71" i="14"/>
  <c r="I71" i="14"/>
  <c r="H71" i="14"/>
  <c r="S70" i="14"/>
  <c r="P70" i="14"/>
  <c r="O70" i="14"/>
  <c r="L70" i="14"/>
  <c r="N70" i="14" s="1"/>
  <c r="J70" i="14"/>
  <c r="I70" i="14"/>
  <c r="H70" i="14"/>
  <c r="O69" i="14"/>
  <c r="L69" i="14"/>
  <c r="I69" i="14"/>
  <c r="H69" i="14"/>
  <c r="S68" i="14"/>
  <c r="Q68" i="14"/>
  <c r="R68" i="14" s="1"/>
  <c r="P68" i="14"/>
  <c r="O68" i="14"/>
  <c r="N68" i="14"/>
  <c r="M68" i="14"/>
  <c r="L68" i="14"/>
  <c r="I68" i="14"/>
  <c r="H68" i="14"/>
  <c r="S67" i="14"/>
  <c r="R67" i="14"/>
  <c r="P67" i="14"/>
  <c r="O67" i="14"/>
  <c r="M67" i="14"/>
  <c r="N67" i="14" s="1"/>
  <c r="L67" i="14"/>
  <c r="Q67" i="14" s="1"/>
  <c r="I67" i="14"/>
  <c r="H67" i="14"/>
  <c r="R66" i="14"/>
  <c r="Q66" i="14"/>
  <c r="O66" i="14"/>
  <c r="N66" i="14"/>
  <c r="M66" i="14"/>
  <c r="L66" i="14"/>
  <c r="P66" i="14" s="1"/>
  <c r="J66" i="14"/>
  <c r="I66" i="14"/>
  <c r="H66" i="14"/>
  <c r="P65" i="14"/>
  <c r="O65" i="14"/>
  <c r="L65" i="14"/>
  <c r="J65" i="14"/>
  <c r="I65" i="14"/>
  <c r="H65" i="14"/>
  <c r="K65" i="14" s="1"/>
  <c r="Q64" i="14"/>
  <c r="R64" i="14" s="1"/>
  <c r="O64" i="14"/>
  <c r="L64" i="14"/>
  <c r="J64" i="14"/>
  <c r="I64" i="14"/>
  <c r="H64" i="14"/>
  <c r="K64" i="14" s="1"/>
  <c r="Q63" i="14"/>
  <c r="R63" i="14" s="1"/>
  <c r="P63" i="14"/>
  <c r="O63" i="14"/>
  <c r="N63" i="14"/>
  <c r="L63" i="14"/>
  <c r="J63" i="14"/>
  <c r="I63" i="14"/>
  <c r="H63" i="14"/>
  <c r="S62" i="14"/>
  <c r="Q62" i="14"/>
  <c r="R62" i="14" s="1"/>
  <c r="O62" i="14"/>
  <c r="P62" i="14" s="1"/>
  <c r="N62" i="14"/>
  <c r="M62" i="14"/>
  <c r="L62" i="14"/>
  <c r="I62" i="14"/>
  <c r="H62" i="14"/>
  <c r="K62" i="14" s="1"/>
  <c r="O61" i="14"/>
  <c r="P61" i="14" s="1"/>
  <c r="L61" i="14"/>
  <c r="Q61" i="14" s="1"/>
  <c r="R61" i="14" s="1"/>
  <c r="I61" i="14"/>
  <c r="H61" i="14"/>
  <c r="S60" i="14"/>
  <c r="Q60" i="14"/>
  <c r="R60" i="14" s="1"/>
  <c r="O60" i="14"/>
  <c r="L60" i="14"/>
  <c r="I60" i="14"/>
  <c r="H60" i="14"/>
  <c r="Q59" i="14"/>
  <c r="R59" i="14" s="1"/>
  <c r="O59" i="14"/>
  <c r="L59" i="14"/>
  <c r="S59" i="14" s="1"/>
  <c r="J59" i="14"/>
  <c r="I59" i="14"/>
  <c r="H59" i="14"/>
  <c r="K59" i="14" s="1"/>
  <c r="S58" i="14"/>
  <c r="Q58" i="14"/>
  <c r="R58" i="14" s="1"/>
  <c r="P58" i="14"/>
  <c r="O58" i="14"/>
  <c r="M58" i="14"/>
  <c r="L58" i="14"/>
  <c r="I58" i="14"/>
  <c r="H58" i="14"/>
  <c r="O57" i="14"/>
  <c r="N57" i="14"/>
  <c r="L57" i="14"/>
  <c r="I57" i="14"/>
  <c r="H57" i="14"/>
  <c r="S56" i="14"/>
  <c r="Q56" i="14"/>
  <c r="R56" i="14" s="1"/>
  <c r="P56" i="14"/>
  <c r="O56" i="14"/>
  <c r="M56" i="14"/>
  <c r="N56" i="14" s="1"/>
  <c r="L56" i="14"/>
  <c r="J56" i="14"/>
  <c r="I56" i="14"/>
  <c r="H56" i="14"/>
  <c r="K56" i="14" s="1"/>
  <c r="S55" i="14"/>
  <c r="O55" i="14"/>
  <c r="L55" i="14"/>
  <c r="Q55" i="14" s="1"/>
  <c r="R55" i="14" s="1"/>
  <c r="I55" i="14"/>
  <c r="H55" i="14"/>
  <c r="S54" i="14"/>
  <c r="O54" i="14"/>
  <c r="L54" i="14"/>
  <c r="J54" i="14"/>
  <c r="I54" i="14"/>
  <c r="H54" i="14"/>
  <c r="K54" i="14" s="1"/>
  <c r="S53" i="14"/>
  <c r="Q53" i="14"/>
  <c r="R53" i="14" s="1"/>
  <c r="P53" i="14"/>
  <c r="O53" i="14"/>
  <c r="L53" i="14"/>
  <c r="M53" i="14" s="1"/>
  <c r="N53" i="14" s="1"/>
  <c r="J53" i="14"/>
  <c r="I53" i="14"/>
  <c r="H53" i="14"/>
  <c r="K53" i="14" s="1"/>
  <c r="O52" i="14"/>
  <c r="L52" i="14"/>
  <c r="I52" i="14"/>
  <c r="H52" i="14"/>
  <c r="O51" i="14"/>
  <c r="L51" i="14"/>
  <c r="J51" i="14"/>
  <c r="I51" i="14"/>
  <c r="H51" i="14"/>
  <c r="K51" i="14" s="1"/>
  <c r="S50" i="14"/>
  <c r="Q50" i="14"/>
  <c r="R50" i="14" s="1"/>
  <c r="P50" i="14"/>
  <c r="O50" i="14"/>
  <c r="M50" i="14"/>
  <c r="N50" i="14" s="1"/>
  <c r="L50" i="14"/>
  <c r="I50" i="14"/>
  <c r="H50" i="14"/>
  <c r="R49" i="14"/>
  <c r="O49" i="14"/>
  <c r="P49" i="14" s="1"/>
  <c r="M49" i="14"/>
  <c r="N49" i="14" s="1"/>
  <c r="L49" i="14"/>
  <c r="Q49" i="14" s="1"/>
  <c r="I49" i="14"/>
  <c r="H49" i="14"/>
  <c r="Q48" i="14"/>
  <c r="R48" i="14" s="1"/>
  <c r="O48" i="14"/>
  <c r="L48" i="14"/>
  <c r="P48" i="14" s="1"/>
  <c r="J48" i="14"/>
  <c r="I48" i="14"/>
  <c r="H48" i="14"/>
  <c r="K48" i="14" s="1"/>
  <c r="S47" i="14"/>
  <c r="P47" i="14"/>
  <c r="O47" i="14"/>
  <c r="M47" i="14"/>
  <c r="L47" i="14"/>
  <c r="Q47" i="14" s="1"/>
  <c r="R47" i="14" s="1"/>
  <c r="J47" i="14"/>
  <c r="I47" i="14"/>
  <c r="H47" i="14"/>
  <c r="K47" i="14" s="1"/>
  <c r="S46" i="14"/>
  <c r="Q46" i="14"/>
  <c r="R46" i="14" s="1"/>
  <c r="O46" i="14"/>
  <c r="P46" i="14" s="1"/>
  <c r="M46" i="14"/>
  <c r="L46" i="14"/>
  <c r="J46" i="14"/>
  <c r="I46" i="14"/>
  <c r="H46" i="14"/>
  <c r="K46" i="14" s="1"/>
  <c r="Q45" i="14"/>
  <c r="R45" i="14" s="1"/>
  <c r="O45" i="14"/>
  <c r="L45" i="14"/>
  <c r="J45" i="14"/>
  <c r="I45" i="14"/>
  <c r="H45" i="14"/>
  <c r="K45" i="14" s="1"/>
  <c r="S44" i="14"/>
  <c r="Q44" i="14"/>
  <c r="R44" i="14" s="1"/>
  <c r="O44" i="14"/>
  <c r="P44" i="14" s="1"/>
  <c r="N44" i="14"/>
  <c r="M44" i="14"/>
  <c r="L44" i="14"/>
  <c r="I44" i="14"/>
  <c r="H44" i="14"/>
  <c r="S43" i="14"/>
  <c r="O43" i="14"/>
  <c r="M43" i="14"/>
  <c r="L43" i="14"/>
  <c r="I43" i="14"/>
  <c r="H43" i="14"/>
  <c r="S42" i="14"/>
  <c r="Q42" i="14"/>
  <c r="R42" i="14" s="1"/>
  <c r="O42" i="14"/>
  <c r="M42" i="14"/>
  <c r="L42" i="14"/>
  <c r="I42" i="14"/>
  <c r="H42" i="14"/>
  <c r="O41" i="14"/>
  <c r="L41" i="14"/>
  <c r="J41" i="14"/>
  <c r="I41" i="14"/>
  <c r="H41" i="14"/>
  <c r="K41" i="14" s="1"/>
  <c r="O40" i="14"/>
  <c r="L40" i="14"/>
  <c r="M40" i="14" s="1"/>
  <c r="I40" i="14"/>
  <c r="H40" i="14"/>
  <c r="K40" i="14" s="1"/>
  <c r="Q39" i="14"/>
  <c r="R39" i="14" s="1"/>
  <c r="P39" i="14"/>
  <c r="O39" i="14"/>
  <c r="L39" i="14"/>
  <c r="I39" i="14"/>
  <c r="H39" i="14"/>
  <c r="S38" i="14"/>
  <c r="Q38" i="14"/>
  <c r="R38" i="14" s="1"/>
  <c r="O38" i="14"/>
  <c r="P38" i="14" s="1"/>
  <c r="M38" i="14"/>
  <c r="N38" i="14" s="1"/>
  <c r="L38" i="14"/>
  <c r="J38" i="14"/>
  <c r="I38" i="14"/>
  <c r="H38" i="14"/>
  <c r="K38" i="14" s="1"/>
  <c r="O37" i="14"/>
  <c r="L37" i="14"/>
  <c r="I37" i="14"/>
  <c r="H37" i="14"/>
  <c r="O36" i="14"/>
  <c r="L36" i="14"/>
  <c r="I36" i="14"/>
  <c r="H36" i="14"/>
  <c r="S35" i="14"/>
  <c r="Q35" i="14"/>
  <c r="R35" i="14" s="1"/>
  <c r="P35" i="14"/>
  <c r="O35" i="14"/>
  <c r="N35" i="14"/>
  <c r="M35" i="14"/>
  <c r="L35" i="14"/>
  <c r="J35" i="14"/>
  <c r="I35" i="14"/>
  <c r="H35" i="14"/>
  <c r="K35" i="14" s="1"/>
  <c r="O34" i="14"/>
  <c r="L34" i="14"/>
  <c r="I34" i="14"/>
  <c r="H34" i="14"/>
  <c r="K34" i="14" s="1"/>
  <c r="O33" i="14"/>
  <c r="L33" i="14"/>
  <c r="P33" i="14" s="1"/>
  <c r="J33" i="14"/>
  <c r="I33" i="14"/>
  <c r="H33" i="14"/>
  <c r="K33" i="14" s="1"/>
  <c r="S32" i="14"/>
  <c r="Q32" i="14"/>
  <c r="R32" i="14" s="1"/>
  <c r="P32" i="14"/>
  <c r="O32" i="14"/>
  <c r="M32" i="14"/>
  <c r="N32" i="14" s="1"/>
  <c r="L32" i="14"/>
  <c r="I32" i="14"/>
  <c r="H32" i="14"/>
  <c r="R31" i="14"/>
  <c r="P31" i="14"/>
  <c r="O31" i="14"/>
  <c r="L31" i="14"/>
  <c r="Q31" i="14" s="1"/>
  <c r="I31" i="14"/>
  <c r="H31" i="14"/>
  <c r="S30" i="14"/>
  <c r="Q30" i="14"/>
  <c r="R30" i="14" s="1"/>
  <c r="O30" i="14"/>
  <c r="M30" i="14"/>
  <c r="N30" i="14" s="1"/>
  <c r="L30" i="14"/>
  <c r="J30" i="14"/>
  <c r="I30" i="14"/>
  <c r="H30" i="14"/>
  <c r="K30" i="14" s="1"/>
  <c r="S29" i="14"/>
  <c r="P29" i="14"/>
  <c r="O29" i="14"/>
  <c r="M29" i="14"/>
  <c r="L29" i="14"/>
  <c r="J29" i="14"/>
  <c r="I29" i="14"/>
  <c r="H29" i="14"/>
  <c r="K29" i="14" s="1"/>
  <c r="S28" i="14"/>
  <c r="Q28" i="14"/>
  <c r="R28" i="14" s="1"/>
  <c r="O28" i="14"/>
  <c r="M28" i="14"/>
  <c r="L28" i="14"/>
  <c r="J28" i="14"/>
  <c r="I28" i="14"/>
  <c r="H28" i="14"/>
  <c r="K28" i="14" s="1"/>
  <c r="R27" i="14"/>
  <c r="Q27" i="14"/>
  <c r="O27" i="14"/>
  <c r="P27" i="14" s="1"/>
  <c r="L27" i="14"/>
  <c r="J27" i="14"/>
  <c r="I27" i="14"/>
  <c r="H27" i="14"/>
  <c r="K27" i="14" s="1"/>
  <c r="S26" i="14"/>
  <c r="Q26" i="14"/>
  <c r="R26" i="14" s="1"/>
  <c r="O26" i="14"/>
  <c r="P26" i="14" s="1"/>
  <c r="M26" i="14"/>
  <c r="N26" i="14" s="1"/>
  <c r="L26" i="14"/>
  <c r="J26" i="14"/>
  <c r="I26" i="14"/>
  <c r="H26" i="14"/>
  <c r="K26" i="14" s="1"/>
  <c r="S25" i="14"/>
  <c r="P25" i="14"/>
  <c r="O25" i="14"/>
  <c r="M25" i="14"/>
  <c r="L25" i="14"/>
  <c r="Q25" i="14" s="1"/>
  <c r="R25" i="14" s="1"/>
  <c r="I25" i="14"/>
  <c r="H25" i="14"/>
  <c r="S24" i="14"/>
  <c r="Q24" i="14"/>
  <c r="R24" i="14" s="1"/>
  <c r="O24" i="14"/>
  <c r="M24" i="14"/>
  <c r="L24" i="14"/>
  <c r="I24" i="14"/>
  <c r="H24" i="14"/>
  <c r="K24" i="14" s="1"/>
  <c r="S23" i="14"/>
  <c r="R23" i="14"/>
  <c r="Q23" i="14"/>
  <c r="O23" i="14"/>
  <c r="L23" i="14"/>
  <c r="J23" i="14"/>
  <c r="I23" i="14"/>
  <c r="H23" i="14"/>
  <c r="K23" i="14" s="1"/>
  <c r="P22" i="14"/>
  <c r="O22" i="14"/>
  <c r="M22" i="14"/>
  <c r="L22" i="14"/>
  <c r="I22" i="14"/>
  <c r="H22" i="14"/>
  <c r="O21" i="14"/>
  <c r="L21" i="14"/>
  <c r="Q21" i="14" s="1"/>
  <c r="R21" i="14" s="1"/>
  <c r="I21" i="14"/>
  <c r="H21" i="14"/>
  <c r="S20" i="14"/>
  <c r="Q20" i="14"/>
  <c r="R20" i="14" s="1"/>
  <c r="P20" i="14"/>
  <c r="O20" i="14"/>
  <c r="N20" i="14"/>
  <c r="M20" i="14"/>
  <c r="L20" i="14"/>
  <c r="J20" i="14"/>
  <c r="I20" i="14"/>
  <c r="H20" i="14"/>
  <c r="K20" i="14" s="1"/>
  <c r="O19" i="14"/>
  <c r="L19" i="14"/>
  <c r="I19" i="14"/>
  <c r="H19" i="14"/>
  <c r="O18" i="14"/>
  <c r="L18" i="14"/>
  <c r="I18" i="14"/>
  <c r="H18" i="14"/>
  <c r="K18" i="14" s="1"/>
  <c r="S17" i="14"/>
  <c r="R17" i="14"/>
  <c r="Q17" i="14"/>
  <c r="P17" i="14"/>
  <c r="O17" i="14"/>
  <c r="M17" i="14"/>
  <c r="N17" i="14" s="1"/>
  <c r="L17" i="14"/>
  <c r="J17" i="14"/>
  <c r="I17" i="14"/>
  <c r="H17" i="14"/>
  <c r="K17" i="14" s="1"/>
  <c r="S16" i="14"/>
  <c r="Q16" i="14"/>
  <c r="R16" i="14" s="1"/>
  <c r="P16" i="14"/>
  <c r="O16" i="14"/>
  <c r="L16" i="14"/>
  <c r="J16" i="14"/>
  <c r="I16" i="14"/>
  <c r="H16" i="14"/>
  <c r="K16" i="14" s="1"/>
  <c r="P15" i="14"/>
  <c r="O15" i="14"/>
  <c r="L15" i="14"/>
  <c r="I15" i="14"/>
  <c r="H15" i="14"/>
  <c r="B40" i="9" s="1"/>
  <c r="S14" i="14"/>
  <c r="Q14" i="14"/>
  <c r="R14" i="14" s="1"/>
  <c r="O14" i="14"/>
  <c r="P14" i="14" s="1"/>
  <c r="M14" i="14"/>
  <c r="N14" i="14" s="1"/>
  <c r="L14" i="14"/>
  <c r="I14" i="14"/>
  <c r="H14" i="14"/>
  <c r="K14" i="14" s="1"/>
  <c r="S13" i="14"/>
  <c r="R13" i="14"/>
  <c r="P13" i="14"/>
  <c r="O13" i="14"/>
  <c r="N13" i="14"/>
  <c r="M13" i="14"/>
  <c r="L13" i="14"/>
  <c r="Q13" i="14" s="1"/>
  <c r="I13" i="14"/>
  <c r="H13" i="14"/>
  <c r="S12" i="14"/>
  <c r="Q12" i="14"/>
  <c r="R12" i="14" s="1"/>
  <c r="O12" i="14"/>
  <c r="N12" i="14"/>
  <c r="M12" i="14"/>
  <c r="L12" i="14"/>
  <c r="P12" i="14" s="1"/>
  <c r="K12" i="14"/>
  <c r="I12" i="14"/>
  <c r="H12" i="14"/>
  <c r="J12" i="14" s="1"/>
  <c r="S11" i="14"/>
  <c r="Q11" i="14"/>
  <c r="R11" i="14" s="1"/>
  <c r="O11" i="14"/>
  <c r="L11" i="14"/>
  <c r="I11" i="14"/>
  <c r="H11" i="14"/>
  <c r="J11" i="14" s="1"/>
  <c r="O10" i="14"/>
  <c r="L10" i="14"/>
  <c r="P10" i="14" s="1"/>
  <c r="I10" i="14"/>
  <c r="H10" i="14"/>
  <c r="R9" i="14"/>
  <c r="Q9" i="14"/>
  <c r="O9" i="14"/>
  <c r="L9" i="14"/>
  <c r="K9" i="14"/>
  <c r="I9" i="14"/>
  <c r="H9" i="14"/>
  <c r="J9" i="14" s="1"/>
  <c r="S8" i="14"/>
  <c r="O8" i="14"/>
  <c r="L8" i="14"/>
  <c r="I8" i="14"/>
  <c r="H8" i="14"/>
  <c r="S7" i="14"/>
  <c r="O7" i="14"/>
  <c r="L7" i="14"/>
  <c r="I7" i="14"/>
  <c r="C30" i="9" s="1"/>
  <c r="C31" i="9" s="1"/>
  <c r="H7" i="14"/>
  <c r="J7" i="14" s="1"/>
  <c r="S6" i="14"/>
  <c r="Q6" i="14"/>
  <c r="R6" i="14" s="1"/>
  <c r="O6" i="14"/>
  <c r="N6" i="14"/>
  <c r="M6" i="14"/>
  <c r="L6" i="14"/>
  <c r="P6" i="14" s="1"/>
  <c r="K6" i="14"/>
  <c r="I6" i="14"/>
  <c r="H6" i="14"/>
  <c r="J6" i="14" s="1"/>
  <c r="S5" i="14"/>
  <c r="Q5" i="14"/>
  <c r="R5" i="14" s="1"/>
  <c r="O5" i="14"/>
  <c r="L5" i="14"/>
  <c r="I5" i="14"/>
  <c r="H5" i="14"/>
  <c r="O4" i="14"/>
  <c r="L4" i="14"/>
  <c r="P4" i="14" s="1"/>
  <c r="I4" i="14"/>
  <c r="H4" i="14"/>
  <c r="R3" i="14"/>
  <c r="Q3" i="14"/>
  <c r="O3" i="14"/>
  <c r="L3" i="14"/>
  <c r="K3" i="14"/>
  <c r="I3" i="14"/>
  <c r="H3" i="14"/>
  <c r="E98" i="10"/>
  <c r="D69" i="10"/>
  <c r="E69" i="10" s="1"/>
  <c r="D106" i="9"/>
  <c r="F16" i="11" s="1"/>
  <c r="D96" i="9"/>
  <c r="B96" i="9"/>
  <c r="E95" i="9"/>
  <c r="D98" i="10" s="1"/>
  <c r="F98" i="10" s="1"/>
  <c r="D95" i="9"/>
  <c r="C95" i="9"/>
  <c r="D97" i="10" s="1"/>
  <c r="B95" i="9"/>
  <c r="D94" i="9"/>
  <c r="B94" i="9"/>
  <c r="G90" i="9"/>
  <c r="F90" i="9"/>
  <c r="E90" i="9"/>
  <c r="C90" i="9"/>
  <c r="D90" i="9" s="1"/>
  <c r="D94" i="10" s="1"/>
  <c r="F89" i="9"/>
  <c r="G89" i="9" s="1"/>
  <c r="E89" i="9"/>
  <c r="G88" i="9"/>
  <c r="F88" i="9"/>
  <c r="E88" i="9"/>
  <c r="C88" i="9"/>
  <c r="D88" i="9" s="1"/>
  <c r="D93" i="10" s="1"/>
  <c r="F87" i="9"/>
  <c r="G87" i="9" s="1"/>
  <c r="E87" i="9"/>
  <c r="C87" i="9"/>
  <c r="C77" i="9"/>
  <c r="D67" i="10" s="1"/>
  <c r="B77" i="9"/>
  <c r="D76" i="9"/>
  <c r="B76" i="9"/>
  <c r="C76" i="9" s="1"/>
  <c r="D65" i="10" s="1"/>
  <c r="D75" i="9"/>
  <c r="C75" i="9"/>
  <c r="B75" i="9"/>
  <c r="G71" i="9"/>
  <c r="F71" i="9"/>
  <c r="E71" i="9"/>
  <c r="D71" i="9"/>
  <c r="D64" i="10" s="1"/>
  <c r="C71" i="9"/>
  <c r="F70" i="9"/>
  <c r="E70" i="9"/>
  <c r="C70" i="9"/>
  <c r="D70" i="9" s="1"/>
  <c r="D63" i="10" s="1"/>
  <c r="G69" i="9"/>
  <c r="F69" i="9"/>
  <c r="E69" i="9"/>
  <c r="D69" i="9"/>
  <c r="D62" i="10" s="1"/>
  <c r="C69" i="9"/>
  <c r="G68" i="9"/>
  <c r="F68" i="9"/>
  <c r="E68" i="9"/>
  <c r="E64" i="9"/>
  <c r="D64" i="9"/>
  <c r="D52" i="10" s="1"/>
  <c r="F52" i="10" s="1"/>
  <c r="B64" i="9"/>
  <c r="E63" i="9"/>
  <c r="D57" i="9"/>
  <c r="B57" i="9"/>
  <c r="D56" i="9"/>
  <c r="D55" i="9"/>
  <c r="C55" i="9"/>
  <c r="D34" i="10" s="1"/>
  <c r="F34" i="10" s="1"/>
  <c r="B55" i="9"/>
  <c r="D54" i="9"/>
  <c r="B54" i="9"/>
  <c r="G50" i="9"/>
  <c r="F50" i="9"/>
  <c r="E50" i="9"/>
  <c r="D50" i="9"/>
  <c r="C50" i="9"/>
  <c r="F49" i="9"/>
  <c r="G49" i="9" s="1"/>
  <c r="E49" i="9"/>
  <c r="B36" i="28" s="1"/>
  <c r="F48" i="9"/>
  <c r="G48" i="9" s="1"/>
  <c r="E48" i="9"/>
  <c r="C48" i="9"/>
  <c r="G47" i="9"/>
  <c r="F47" i="9"/>
  <c r="E47" i="9"/>
  <c r="C47" i="9"/>
  <c r="F46" i="9"/>
  <c r="G46" i="9" s="1"/>
  <c r="E46" i="9"/>
  <c r="C46" i="9"/>
  <c r="F45" i="9"/>
  <c r="G45" i="9" s="1"/>
  <c r="E45" i="9"/>
  <c r="C45" i="9"/>
  <c r="D45" i="9" s="1"/>
  <c r="D25" i="10" s="1"/>
  <c r="E39" i="9"/>
  <c r="E19" i="9"/>
  <c r="D19" i="9"/>
  <c r="E11" i="9"/>
  <c r="C11" i="9"/>
  <c r="C16" i="9" s="1"/>
  <c r="D13" i="10" s="1"/>
  <c r="E10" i="9"/>
  <c r="E14" i="9" s="1"/>
  <c r="C10" i="9"/>
  <c r="D7" i="10" s="1"/>
  <c r="E9" i="9"/>
  <c r="D9" i="9"/>
  <c r="C9" i="9"/>
  <c r="E7" i="9"/>
  <c r="D7" i="9"/>
  <c r="C64" i="9" s="1"/>
  <c r="E6" i="9"/>
  <c r="C94" i="9" s="1"/>
  <c r="D95" i="10" s="1"/>
  <c r="D6" i="9"/>
  <c r="C6" i="9"/>
  <c r="C19" i="9" s="1"/>
  <c r="E5" i="9"/>
  <c r="E30" i="9" s="1"/>
  <c r="E31" i="9" s="1"/>
  <c r="D5" i="9"/>
  <c r="C5" i="9"/>
  <c r="E95" i="10" l="1"/>
  <c r="F95" i="10"/>
  <c r="E97" i="10"/>
  <c r="F97" i="10"/>
  <c r="E93" i="10"/>
  <c r="F93" i="10"/>
  <c r="F41" i="9"/>
  <c r="F25" i="10"/>
  <c r="E25" i="10"/>
  <c r="F62" i="10"/>
  <c r="E62" i="10"/>
  <c r="E63" i="10"/>
  <c r="F63" i="10"/>
  <c r="F94" i="10"/>
  <c r="E94" i="10"/>
  <c r="E65" i="10"/>
  <c r="F65" i="10"/>
  <c r="F7" i="10"/>
  <c r="E7" i="10"/>
  <c r="N91" i="14"/>
  <c r="F58" i="10"/>
  <c r="E58" i="10"/>
  <c r="E56" i="9"/>
  <c r="B28" i="28"/>
  <c r="D40" i="9"/>
  <c r="E34" i="9"/>
  <c r="D77" i="10"/>
  <c r="F67" i="10"/>
  <c r="E67" i="10"/>
  <c r="F13" i="10"/>
  <c r="E13" i="10"/>
  <c r="F64" i="10"/>
  <c r="E64" i="10"/>
  <c r="D12" i="9"/>
  <c r="E41" i="9"/>
  <c r="D38" i="10"/>
  <c r="P7" i="14"/>
  <c r="N7" i="14"/>
  <c r="K32" i="14"/>
  <c r="J32" i="14"/>
  <c r="S113" i="14"/>
  <c r="Q113" i="14"/>
  <c r="R113" i="14" s="1"/>
  <c r="P113" i="14"/>
  <c r="M113" i="14"/>
  <c r="N113" i="14" s="1"/>
  <c r="Q115" i="14"/>
  <c r="R115" i="14" s="1"/>
  <c r="M115" i="14"/>
  <c r="N115" i="14" s="1"/>
  <c r="Q128" i="14"/>
  <c r="R128" i="14" s="1"/>
  <c r="S128" i="14"/>
  <c r="P128" i="14"/>
  <c r="M128" i="14"/>
  <c r="Q132" i="14"/>
  <c r="R132" i="14" s="1"/>
  <c r="M132" i="14"/>
  <c r="S132" i="14"/>
  <c r="P132" i="14"/>
  <c r="N132" i="14"/>
  <c r="Q143" i="14"/>
  <c r="R143" i="14" s="1"/>
  <c r="S143" i="14"/>
  <c r="P143" i="14"/>
  <c r="M143" i="14"/>
  <c r="Q170" i="14"/>
  <c r="R170" i="14" s="1"/>
  <c r="S170" i="14"/>
  <c r="N170" i="14"/>
  <c r="P170" i="14"/>
  <c r="M170" i="14"/>
  <c r="Q174" i="14"/>
  <c r="R174" i="14" s="1"/>
  <c r="P174" i="14"/>
  <c r="N174" i="14"/>
  <c r="M174" i="14"/>
  <c r="S174" i="14"/>
  <c r="G70" i="9"/>
  <c r="E12" i="9"/>
  <c r="D47" i="9"/>
  <c r="D26" i="10" s="1"/>
  <c r="F95" i="9"/>
  <c r="D71" i="10"/>
  <c r="M7" i="14"/>
  <c r="P23" i="14"/>
  <c r="M23" i="14"/>
  <c r="N23" i="14" s="1"/>
  <c r="Q29" i="14"/>
  <c r="R29" i="14" s="1"/>
  <c r="N29" i="14"/>
  <c r="S52" i="14"/>
  <c r="Q52" i="14"/>
  <c r="R52" i="14" s="1"/>
  <c r="M52" i="14"/>
  <c r="N52" i="14" s="1"/>
  <c r="S57" i="14"/>
  <c r="M57" i="14"/>
  <c r="Q57" i="14"/>
  <c r="R57" i="14" s="1"/>
  <c r="P57" i="14"/>
  <c r="N128" i="14"/>
  <c r="Q139" i="14"/>
  <c r="R139" i="14" s="1"/>
  <c r="P139" i="14"/>
  <c r="M139" i="14"/>
  <c r="N139" i="14" s="1"/>
  <c r="N143" i="14"/>
  <c r="Q197" i="14"/>
  <c r="R197" i="14" s="1"/>
  <c r="P197" i="14"/>
  <c r="N197" i="14"/>
  <c r="S197" i="14"/>
  <c r="M197" i="14"/>
  <c r="S225" i="14"/>
  <c r="M225" i="14"/>
  <c r="N225" i="14" s="1"/>
  <c r="Q225" i="14"/>
  <c r="R225" i="14" s="1"/>
  <c r="P225" i="14"/>
  <c r="Q241" i="14"/>
  <c r="R241" i="14" s="1"/>
  <c r="P241" i="14"/>
  <c r="N241" i="14"/>
  <c r="M241" i="14"/>
  <c r="S241" i="14"/>
  <c r="E108" i="9"/>
  <c r="D74" i="10"/>
  <c r="P18" i="14"/>
  <c r="Q18" i="14"/>
  <c r="R18" i="14" s="1"/>
  <c r="B32" i="28" s="1"/>
  <c r="M18" i="14"/>
  <c r="S21" i="14"/>
  <c r="M21" i="14"/>
  <c r="P21" i="14"/>
  <c r="Q79" i="14"/>
  <c r="R79" i="14" s="1"/>
  <c r="P79" i="14"/>
  <c r="N79" i="14"/>
  <c r="M79" i="14"/>
  <c r="K111" i="14"/>
  <c r="J111" i="14"/>
  <c r="K159" i="14"/>
  <c r="J159" i="14"/>
  <c r="P204" i="14"/>
  <c r="S204" i="14"/>
  <c r="Q204" i="14"/>
  <c r="R204" i="14" s="1"/>
  <c r="M204" i="14"/>
  <c r="N204" i="14" s="1"/>
  <c r="P51" i="15"/>
  <c r="Q51" i="15"/>
  <c r="P53" i="15"/>
  <c r="Q53" i="15"/>
  <c r="M4" i="14"/>
  <c r="N4" i="14" s="1"/>
  <c r="N18" i="14"/>
  <c r="N21" i="14"/>
  <c r="S33" i="14"/>
  <c r="M33" i="14"/>
  <c r="N33" i="14"/>
  <c r="Q33" i="14"/>
  <c r="R33" i="14" s="1"/>
  <c r="N40" i="14"/>
  <c r="Q40" i="14"/>
  <c r="R40" i="14" s="1"/>
  <c r="P40" i="14"/>
  <c r="K44" i="14"/>
  <c r="J44" i="14"/>
  <c r="K52" i="14"/>
  <c r="J52" i="14"/>
  <c r="K86" i="14"/>
  <c r="E61" i="9"/>
  <c r="J86" i="14"/>
  <c r="Q91" i="14"/>
  <c r="R91" i="14" s="1"/>
  <c r="S91" i="14"/>
  <c r="P91" i="14"/>
  <c r="M91" i="14"/>
  <c r="K122" i="14"/>
  <c r="J122" i="14"/>
  <c r="Q153" i="14"/>
  <c r="R153" i="14" s="1"/>
  <c r="M153" i="14"/>
  <c r="P153" i="14"/>
  <c r="S153" i="14"/>
  <c r="N153" i="14"/>
  <c r="Q164" i="14"/>
  <c r="R164" i="14" s="1"/>
  <c r="S164" i="14"/>
  <c r="N164" i="14"/>
  <c r="P164" i="14"/>
  <c r="M164" i="14"/>
  <c r="M219" i="14"/>
  <c r="S219" i="14"/>
  <c r="Q219" i="14"/>
  <c r="R219" i="14" s="1"/>
  <c r="P219" i="14"/>
  <c r="N219" i="14"/>
  <c r="J225" i="14"/>
  <c r="K225" i="14"/>
  <c r="J248" i="14"/>
  <c r="K248" i="14"/>
  <c r="M255" i="14"/>
  <c r="S255" i="14"/>
  <c r="N255" i="14"/>
  <c r="Q255" i="14"/>
  <c r="R255" i="14" s="1"/>
  <c r="P255" i="14"/>
  <c r="Q4" i="14"/>
  <c r="R4" i="14" s="1"/>
  <c r="C101" i="9" s="1"/>
  <c r="B14" i="28" s="1"/>
  <c r="Q10" i="14"/>
  <c r="R10" i="14" s="1"/>
  <c r="S18" i="14"/>
  <c r="K22" i="14"/>
  <c r="J22" i="14"/>
  <c r="K25" i="14"/>
  <c r="J25" i="14"/>
  <c r="Q37" i="14"/>
  <c r="R37" i="14" s="1"/>
  <c r="P37" i="14"/>
  <c r="M37" i="14"/>
  <c r="N37" i="14" s="1"/>
  <c r="S40" i="14"/>
  <c r="S69" i="14"/>
  <c r="M69" i="14"/>
  <c r="Q69" i="14"/>
  <c r="R69" i="14" s="1"/>
  <c r="P69" i="14"/>
  <c r="N69" i="14"/>
  <c r="S93" i="14"/>
  <c r="M93" i="14"/>
  <c r="P93" i="14"/>
  <c r="N93" i="14"/>
  <c r="J171" i="14"/>
  <c r="K171" i="14" s="1"/>
  <c r="J190" i="14"/>
  <c r="B82" i="9"/>
  <c r="D82" i="9" s="1"/>
  <c r="D88" i="10" s="1"/>
  <c r="K190" i="14"/>
  <c r="P253" i="15"/>
  <c r="Q253" i="15"/>
  <c r="B12" i="28"/>
  <c r="C18" i="9"/>
  <c r="E18" i="9"/>
  <c r="C96" i="9"/>
  <c r="D99" i="10" s="1"/>
  <c r="C106" i="9"/>
  <c r="E52" i="10"/>
  <c r="P3" i="14"/>
  <c r="S3" i="14"/>
  <c r="M3" i="14"/>
  <c r="N3" i="14" s="1"/>
  <c r="S4" i="14"/>
  <c r="Q7" i="14"/>
  <c r="R7" i="14" s="1"/>
  <c r="P9" i="14"/>
  <c r="S9" i="14"/>
  <c r="M9" i="14"/>
  <c r="N9" i="14" s="1"/>
  <c r="S10" i="14"/>
  <c r="N16" i="14"/>
  <c r="M16" i="14"/>
  <c r="K19" i="14"/>
  <c r="J19" i="14"/>
  <c r="K39" i="14"/>
  <c r="J39" i="14"/>
  <c r="P52" i="14"/>
  <c r="J78" i="14"/>
  <c r="K78" i="14" s="1"/>
  <c r="K114" i="14"/>
  <c r="J114" i="14"/>
  <c r="S115" i="14"/>
  <c r="Q124" i="14"/>
  <c r="R124" i="14" s="1"/>
  <c r="S124" i="14"/>
  <c r="P124" i="14"/>
  <c r="M124" i="14"/>
  <c r="N124" i="14" s="1"/>
  <c r="J135" i="14"/>
  <c r="S139" i="14"/>
  <c r="J201" i="14"/>
  <c r="K201" i="14"/>
  <c r="B81" i="9"/>
  <c r="D81" i="9" s="1"/>
  <c r="D82" i="10" s="1"/>
  <c r="J236" i="14"/>
  <c r="G83" i="9" s="1"/>
  <c r="D87" i="10" s="1"/>
  <c r="F83" i="9"/>
  <c r="C14" i="9"/>
  <c r="D8" i="10"/>
  <c r="D73" i="10"/>
  <c r="J5" i="14"/>
  <c r="B41" i="9"/>
  <c r="D41" i="9" s="1"/>
  <c r="D22" i="10" s="1"/>
  <c r="K15" i="14"/>
  <c r="E40" i="9"/>
  <c r="N22" i="14"/>
  <c r="S22" i="14"/>
  <c r="J34" i="14"/>
  <c r="P54" i="14"/>
  <c r="Q54" i="14"/>
  <c r="R54" i="14" s="1"/>
  <c r="M54" i="14"/>
  <c r="N54" i="14" s="1"/>
  <c r="K58" i="14"/>
  <c r="J58" i="14"/>
  <c r="N76" i="14"/>
  <c r="P76" i="14"/>
  <c r="M76" i="14"/>
  <c r="Q93" i="14"/>
  <c r="R93" i="14" s="1"/>
  <c r="Q150" i="14"/>
  <c r="R150" i="14" s="1"/>
  <c r="M150" i="14"/>
  <c r="S150" i="14"/>
  <c r="P150" i="14"/>
  <c r="N150" i="14"/>
  <c r="Q154" i="14"/>
  <c r="R154" i="14" s="1"/>
  <c r="M154" i="14"/>
  <c r="N154" i="14" s="1"/>
  <c r="S154" i="14"/>
  <c r="P154" i="14"/>
  <c r="Q171" i="14"/>
  <c r="R171" i="14" s="1"/>
  <c r="M171" i="14"/>
  <c r="P171" i="14"/>
  <c r="S171" i="14"/>
  <c r="N171" i="14"/>
  <c r="J180" i="14"/>
  <c r="K180" i="14" s="1"/>
  <c r="Q30" i="15"/>
  <c r="P30" i="15"/>
  <c r="D48" i="9"/>
  <c r="D29" i="10" s="1"/>
  <c r="E62" i="9"/>
  <c r="B83" i="9"/>
  <c r="D83" i="9" s="1"/>
  <c r="D85" i="10" s="1"/>
  <c r="E106" i="9"/>
  <c r="F17" i="11" s="1"/>
  <c r="E34" i="10"/>
  <c r="J8" i="14"/>
  <c r="K8" i="14"/>
  <c r="Q19" i="14"/>
  <c r="R19" i="14" s="1"/>
  <c r="P19" i="14"/>
  <c r="M19" i="14"/>
  <c r="N19" i="14" s="1"/>
  <c r="K31" i="14"/>
  <c r="J31" i="14"/>
  <c r="N34" i="14"/>
  <c r="Q34" i="14"/>
  <c r="R34" i="14" s="1"/>
  <c r="P34" i="14"/>
  <c r="M34" i="14"/>
  <c r="S37" i="14"/>
  <c r="K94" i="14"/>
  <c r="J94" i="14"/>
  <c r="K103" i="14"/>
  <c r="J103" i="14"/>
  <c r="Q146" i="14"/>
  <c r="R146" i="14" s="1"/>
  <c r="S146" i="14"/>
  <c r="P146" i="14"/>
  <c r="N146" i="14"/>
  <c r="M146" i="14"/>
  <c r="Q156" i="14"/>
  <c r="R156" i="14" s="1"/>
  <c r="N156" i="14"/>
  <c r="M156" i="14"/>
  <c r="S156" i="14"/>
  <c r="Q16" i="15"/>
  <c r="P16" i="15"/>
  <c r="Q130" i="15"/>
  <c r="P130" i="15"/>
  <c r="C54" i="9"/>
  <c r="D32" i="10" s="1"/>
  <c r="F62" i="9"/>
  <c r="K5" i="14"/>
  <c r="K11" i="14"/>
  <c r="J15" i="14"/>
  <c r="S41" i="14"/>
  <c r="Q41" i="14"/>
  <c r="R41" i="14" s="1"/>
  <c r="P41" i="14"/>
  <c r="M41" i="14"/>
  <c r="N41" i="14" s="1"/>
  <c r="Q43" i="14"/>
  <c r="R43" i="14" s="1"/>
  <c r="N43" i="14"/>
  <c r="J62" i="14"/>
  <c r="S65" i="14"/>
  <c r="Q65" i="14"/>
  <c r="R65" i="14" s="1"/>
  <c r="M65" i="14"/>
  <c r="N65" i="14" s="1"/>
  <c r="Q76" i="14"/>
  <c r="R76" i="14" s="1"/>
  <c r="P108" i="14"/>
  <c r="S108" i="14"/>
  <c r="Q108" i="14"/>
  <c r="R108" i="14" s="1"/>
  <c r="M108" i="14"/>
  <c r="N108" i="14" s="1"/>
  <c r="N112" i="14"/>
  <c r="Q112" i="14"/>
  <c r="R112" i="14" s="1"/>
  <c r="P112" i="14"/>
  <c r="M112" i="14"/>
  <c r="Q102" i="15"/>
  <c r="P102" i="15"/>
  <c r="D77" i="9"/>
  <c r="M125" i="15"/>
  <c r="C108" i="9"/>
  <c r="P5" i="14"/>
  <c r="I41" i="9" s="1"/>
  <c r="M5" i="14"/>
  <c r="N5" i="14" s="1"/>
  <c r="P8" i="14"/>
  <c r="Q8" i="14"/>
  <c r="R8" i="14" s="1"/>
  <c r="M8" i="14"/>
  <c r="N8" i="14" s="1"/>
  <c r="P11" i="14"/>
  <c r="M11" i="14"/>
  <c r="M15" i="14"/>
  <c r="N15" i="14" s="1"/>
  <c r="S15" i="14"/>
  <c r="Q15" i="14"/>
  <c r="R15" i="14" s="1"/>
  <c r="K36" i="14"/>
  <c r="J36" i="14"/>
  <c r="K67" i="14"/>
  <c r="J67" i="14"/>
  <c r="K75" i="14"/>
  <c r="J75" i="14"/>
  <c r="P96" i="14"/>
  <c r="Q96" i="14"/>
  <c r="R96" i="14" s="1"/>
  <c r="M96" i="14"/>
  <c r="N96" i="14" s="1"/>
  <c r="Q101" i="14"/>
  <c r="R101" i="14" s="1"/>
  <c r="P101" i="14"/>
  <c r="N101" i="14"/>
  <c r="M101" i="14"/>
  <c r="S101" i="14"/>
  <c r="K147" i="14"/>
  <c r="J147" i="14"/>
  <c r="J184" i="14"/>
  <c r="K184" i="14"/>
  <c r="C62" i="9"/>
  <c r="E55" i="9"/>
  <c r="D87" i="9"/>
  <c r="D91" i="10" s="1"/>
  <c r="J4" i="14"/>
  <c r="K4" i="14"/>
  <c r="J10" i="14"/>
  <c r="K10" i="14"/>
  <c r="N11" i="14"/>
  <c r="K21" i="14"/>
  <c r="J21" i="14"/>
  <c r="Q22" i="14"/>
  <c r="R22" i="14" s="1"/>
  <c r="S34" i="14"/>
  <c r="C102" i="9" s="1"/>
  <c r="B15" i="28" s="1"/>
  <c r="M51" i="14"/>
  <c r="N51" i="14" s="1"/>
  <c r="S51" i="14"/>
  <c r="Q51" i="14"/>
  <c r="R51" i="14" s="1"/>
  <c r="P51" i="14"/>
  <c r="P60" i="14"/>
  <c r="N60" i="14"/>
  <c r="M60" i="14"/>
  <c r="K79" i="14"/>
  <c r="J79" i="14"/>
  <c r="J168" i="14"/>
  <c r="K168" i="14" s="1"/>
  <c r="K179" i="14"/>
  <c r="J179" i="14"/>
  <c r="J202" i="14"/>
  <c r="K202" i="14"/>
  <c r="S215" i="14"/>
  <c r="Q215" i="14"/>
  <c r="R215" i="14" s="1"/>
  <c r="P215" i="14"/>
  <c r="M215" i="14"/>
  <c r="N215" i="14" s="1"/>
  <c r="Q113" i="15"/>
  <c r="P113" i="15"/>
  <c r="I39" i="9"/>
  <c r="Q136" i="14"/>
  <c r="R136" i="14" s="1"/>
  <c r="S136" i="14"/>
  <c r="P136" i="14"/>
  <c r="M136" i="14"/>
  <c r="N136" i="14" s="1"/>
  <c r="E16" i="9"/>
  <c r="D79" i="10" s="1"/>
  <c r="F69" i="10"/>
  <c r="M10" i="14"/>
  <c r="N10" i="14" s="1"/>
  <c r="B39" i="9"/>
  <c r="D39" i="9" s="1"/>
  <c r="D19" i="10" s="1"/>
  <c r="D46" i="9"/>
  <c r="D27" i="10" s="1"/>
  <c r="C7" i="9"/>
  <c r="D11" i="9"/>
  <c r="B61" i="9"/>
  <c r="D61" i="9" s="1"/>
  <c r="D49" i="10" s="1"/>
  <c r="B63" i="9"/>
  <c r="D63" i="9" s="1"/>
  <c r="D55" i="10" s="1"/>
  <c r="J14" i="14"/>
  <c r="J18" i="14"/>
  <c r="S19" i="14"/>
  <c r="P24" i="14"/>
  <c r="N24" i="14"/>
  <c r="P36" i="14"/>
  <c r="S36" i="14"/>
  <c r="Q36" i="14"/>
  <c r="R36" i="14" s="1"/>
  <c r="M36" i="14"/>
  <c r="N36" i="14" s="1"/>
  <c r="K42" i="14"/>
  <c r="J42" i="14"/>
  <c r="P43" i="14"/>
  <c r="K50" i="14"/>
  <c r="J50" i="14"/>
  <c r="S96" i="14"/>
  <c r="Q193" i="14"/>
  <c r="R193" i="14" s="1"/>
  <c r="S193" i="14"/>
  <c r="P193" i="14"/>
  <c r="M193" i="14"/>
  <c r="N193" i="14" s="1"/>
  <c r="T63" i="15"/>
  <c r="S63" i="15"/>
  <c r="R63" i="15"/>
  <c r="O63" i="15"/>
  <c r="B56" i="9"/>
  <c r="C56" i="9" s="1"/>
  <c r="D30" i="10" s="1"/>
  <c r="P65" i="15"/>
  <c r="Q65" i="15"/>
  <c r="K69" i="14"/>
  <c r="S73" i="14"/>
  <c r="M87" i="14"/>
  <c r="S87" i="14"/>
  <c r="S90" i="14"/>
  <c r="K97" i="14"/>
  <c r="J97" i="14"/>
  <c r="Q129" i="14"/>
  <c r="R129" i="14" s="1"/>
  <c r="M129" i="14"/>
  <c r="N129" i="14" s="1"/>
  <c r="Q144" i="14"/>
  <c r="R144" i="14" s="1"/>
  <c r="M144" i="14"/>
  <c r="N144" i="14" s="1"/>
  <c r="K156" i="14"/>
  <c r="Q162" i="14"/>
  <c r="R162" i="14" s="1"/>
  <c r="P162" i="14"/>
  <c r="N162" i="14"/>
  <c r="M162" i="14"/>
  <c r="J177" i="14"/>
  <c r="K177" i="14" s="1"/>
  <c r="J208" i="14"/>
  <c r="K208" i="14"/>
  <c r="J218" i="14"/>
  <c r="K218" i="14"/>
  <c r="P263" i="14"/>
  <c r="Q263" i="14"/>
  <c r="R263" i="14" s="1"/>
  <c r="N263" i="14"/>
  <c r="M263" i="14"/>
  <c r="O32" i="15"/>
  <c r="T32" i="15"/>
  <c r="P35" i="15"/>
  <c r="Q35" i="15"/>
  <c r="Q66" i="15"/>
  <c r="P66" i="15"/>
  <c r="P55" i="14"/>
  <c r="M59" i="14"/>
  <c r="N59" i="14" s="1"/>
  <c r="K63" i="14"/>
  <c r="M70" i="14"/>
  <c r="Q72" i="14"/>
  <c r="R72" i="14" s="1"/>
  <c r="K74" i="14"/>
  <c r="P77" i="14"/>
  <c r="S81" i="14"/>
  <c r="M81" i="14"/>
  <c r="N81" i="14" s="1"/>
  <c r="Q83" i="14"/>
  <c r="R83" i="14" s="1"/>
  <c r="N87" i="14"/>
  <c r="K91" i="14"/>
  <c r="J91" i="14"/>
  <c r="S95" i="14"/>
  <c r="M109" i="14"/>
  <c r="M125" i="14"/>
  <c r="K128" i="14"/>
  <c r="J128" i="14"/>
  <c r="P130" i="14"/>
  <c r="M133" i="14"/>
  <c r="N133" i="14" s="1"/>
  <c r="P134" i="14"/>
  <c r="M137" i="14"/>
  <c r="N137" i="14" s="1"/>
  <c r="K143" i="14"/>
  <c r="J143" i="14"/>
  <c r="Q147" i="14"/>
  <c r="R147" i="14" s="1"/>
  <c r="M147" i="14"/>
  <c r="K153" i="14"/>
  <c r="J153" i="14"/>
  <c r="Q159" i="14"/>
  <c r="R159" i="14" s="1"/>
  <c r="M159" i="14"/>
  <c r="P159" i="14"/>
  <c r="M183" i="14"/>
  <c r="S183" i="14"/>
  <c r="N183" i="14"/>
  <c r="Q183" i="14"/>
  <c r="R183" i="14" s="1"/>
  <c r="P186" i="14"/>
  <c r="Q186" i="14"/>
  <c r="R186" i="14" s="1"/>
  <c r="E101" i="9" s="1"/>
  <c r="N186" i="14"/>
  <c r="M186" i="14"/>
  <c r="S191" i="14"/>
  <c r="Q191" i="14"/>
  <c r="R191" i="14" s="1"/>
  <c r="P191" i="14"/>
  <c r="N191" i="14"/>
  <c r="M191" i="14"/>
  <c r="P210" i="14"/>
  <c r="S210" i="14"/>
  <c r="N210" i="14"/>
  <c r="J212" i="14"/>
  <c r="K212" i="14"/>
  <c r="P258" i="14"/>
  <c r="Q258" i="14"/>
  <c r="R258" i="14" s="1"/>
  <c r="N258" i="14"/>
  <c r="M258" i="14"/>
  <c r="T5" i="15"/>
  <c r="R5" i="15"/>
  <c r="O5" i="15"/>
  <c r="S5" i="15"/>
  <c r="Q136" i="15"/>
  <c r="P136" i="15"/>
  <c r="K13" i="14"/>
  <c r="J13" i="14"/>
  <c r="M31" i="14"/>
  <c r="N31" i="14" s="1"/>
  <c r="P42" i="14"/>
  <c r="M48" i="14"/>
  <c r="N48" i="14" s="1"/>
  <c r="N58" i="14"/>
  <c r="S61" i="14"/>
  <c r="M64" i="14"/>
  <c r="N64" i="14" s="1"/>
  <c r="K68" i="14"/>
  <c r="J69" i="14"/>
  <c r="M75" i="14"/>
  <c r="S75" i="14"/>
  <c r="Q77" i="14"/>
  <c r="R77" i="14" s="1"/>
  <c r="S78" i="14"/>
  <c r="J80" i="14"/>
  <c r="K80" i="14" s="1"/>
  <c r="K85" i="14"/>
  <c r="J85" i="14"/>
  <c r="M103" i="14"/>
  <c r="N103" i="14" s="1"/>
  <c r="J108" i="14"/>
  <c r="N109" i="14"/>
  <c r="P114" i="14"/>
  <c r="M120" i="14"/>
  <c r="N120" i="14" s="1"/>
  <c r="N125" i="14"/>
  <c r="J132" i="14"/>
  <c r="S134" i="14"/>
  <c r="S145" i="14"/>
  <c r="N147" i="14"/>
  <c r="J150" i="14"/>
  <c r="J156" i="14"/>
  <c r="N159" i="14"/>
  <c r="K161" i="14"/>
  <c r="J161" i="14"/>
  <c r="S162" i="14"/>
  <c r="K174" i="14"/>
  <c r="Q177" i="14"/>
  <c r="R177" i="14" s="1"/>
  <c r="M177" i="14"/>
  <c r="P177" i="14"/>
  <c r="Q180" i="14"/>
  <c r="R180" i="14" s="1"/>
  <c r="P180" i="14"/>
  <c r="N180" i="14"/>
  <c r="M180" i="14"/>
  <c r="N208" i="14"/>
  <c r="S208" i="14"/>
  <c r="Q208" i="14"/>
  <c r="R208" i="14" s="1"/>
  <c r="P208" i="14"/>
  <c r="M210" i="14"/>
  <c r="K237" i="14"/>
  <c r="S263" i="14"/>
  <c r="Q14" i="15"/>
  <c r="P14" i="15"/>
  <c r="O152" i="15"/>
  <c r="S152" i="15"/>
  <c r="T152" i="15"/>
  <c r="R152" i="15"/>
  <c r="D10" i="9"/>
  <c r="T173" i="15"/>
  <c r="S173" i="15"/>
  <c r="R173" i="15"/>
  <c r="O173" i="15"/>
  <c r="D30" i="9"/>
  <c r="D31" i="9" s="1"/>
  <c r="D18" i="9"/>
  <c r="F64" i="9"/>
  <c r="K7" i="14"/>
  <c r="J24" i="14"/>
  <c r="N25" i="14"/>
  <c r="P30" i="14"/>
  <c r="J40" i="14"/>
  <c r="N42" i="14"/>
  <c r="N46" i="14"/>
  <c r="N47" i="14"/>
  <c r="S49" i="14"/>
  <c r="J57" i="14"/>
  <c r="P59" i="14"/>
  <c r="M63" i="14"/>
  <c r="S63" i="14"/>
  <c r="P64" i="14"/>
  <c r="S66" i="14"/>
  <c r="J68" i="14"/>
  <c r="G41" i="9" s="1"/>
  <c r="D24" i="10" s="1"/>
  <c r="Q70" i="14"/>
  <c r="R70" i="14" s="1"/>
  <c r="K73" i="14"/>
  <c r="J73" i="14"/>
  <c r="G39" i="9" s="1"/>
  <c r="D21" i="10" s="1"/>
  <c r="S77" i="14"/>
  <c r="P81" i="14"/>
  <c r="Q87" i="14"/>
  <c r="R87" i="14" s="1"/>
  <c r="J96" i="14"/>
  <c r="N97" i="14"/>
  <c r="P102" i="14"/>
  <c r="P109" i="14"/>
  <c r="J112" i="14"/>
  <c r="N114" i="14"/>
  <c r="N118" i="14"/>
  <c r="N119" i="14"/>
  <c r="S121" i="14"/>
  <c r="P125" i="14"/>
  <c r="K131" i="14"/>
  <c r="J131" i="14"/>
  <c r="P133" i="14"/>
  <c r="P137" i="14"/>
  <c r="N140" i="14"/>
  <c r="S144" i="14"/>
  <c r="P147" i="14"/>
  <c r="K149" i="14"/>
  <c r="J149" i="14"/>
  <c r="K155" i="14"/>
  <c r="J155" i="14"/>
  <c r="J174" i="14"/>
  <c r="S180" i="14"/>
  <c r="J192" i="14"/>
  <c r="K192" i="14"/>
  <c r="Q205" i="14"/>
  <c r="R205" i="14" s="1"/>
  <c r="M205" i="14"/>
  <c r="N205" i="14" s="1"/>
  <c r="P205" i="14"/>
  <c r="Q210" i="14"/>
  <c r="R210" i="14" s="1"/>
  <c r="N220" i="14"/>
  <c r="S220" i="14"/>
  <c r="Q220" i="14"/>
  <c r="R220" i="14" s="1"/>
  <c r="M220" i="14"/>
  <c r="K230" i="14"/>
  <c r="R32" i="15"/>
  <c r="S32" i="15" s="1"/>
  <c r="K61" i="14"/>
  <c r="J61" i="14"/>
  <c r="K72" i="14"/>
  <c r="S109" i="14"/>
  <c r="Q123" i="14"/>
  <c r="R123" i="14" s="1"/>
  <c r="M123" i="14"/>
  <c r="N123" i="14" s="1"/>
  <c r="S133" i="14"/>
  <c r="Q135" i="14"/>
  <c r="R135" i="14" s="1"/>
  <c r="M135" i="14"/>
  <c r="N135" i="14" s="1"/>
  <c r="J173" i="14"/>
  <c r="K173" i="14" s="1"/>
  <c r="Q187" i="14"/>
  <c r="R187" i="14" s="1"/>
  <c r="S187" i="14"/>
  <c r="E102" i="9" s="1"/>
  <c r="P187" i="14"/>
  <c r="M187" i="14"/>
  <c r="N187" i="14" s="1"/>
  <c r="P192" i="14"/>
  <c r="S192" i="14"/>
  <c r="Q192" i="14"/>
  <c r="R192" i="14" s="1"/>
  <c r="M227" i="14"/>
  <c r="S227" i="14"/>
  <c r="P227" i="14"/>
  <c r="Q20" i="15"/>
  <c r="P20" i="15"/>
  <c r="P44" i="15"/>
  <c r="Q44" i="15"/>
  <c r="R50" i="15"/>
  <c r="S50" i="15" s="1"/>
  <c r="O50" i="15"/>
  <c r="T50" i="15"/>
  <c r="Q55" i="15"/>
  <c r="P55" i="15"/>
  <c r="Q80" i="15"/>
  <c r="P80" i="15"/>
  <c r="Q123" i="15"/>
  <c r="P123" i="15"/>
  <c r="N28" i="14"/>
  <c r="S31" i="14"/>
  <c r="S45" i="14"/>
  <c r="M45" i="14"/>
  <c r="N45" i="14" s="1"/>
  <c r="S48" i="14"/>
  <c r="K55" i="14"/>
  <c r="J55" i="14"/>
  <c r="S64" i="14"/>
  <c r="K66" i="14"/>
  <c r="M73" i="14"/>
  <c r="M90" i="14"/>
  <c r="N90" i="14" s="1"/>
  <c r="M95" i="14"/>
  <c r="N100" i="14"/>
  <c r="S103" i="14"/>
  <c r="M106" i="14"/>
  <c r="N106" i="14" s="1"/>
  <c r="S117" i="14"/>
  <c r="M117" i="14"/>
  <c r="N117" i="14" s="1"/>
  <c r="S120" i="14"/>
  <c r="M127" i="14"/>
  <c r="N127" i="14" s="1"/>
  <c r="M131" i="14"/>
  <c r="N131" i="14" s="1"/>
  <c r="K134" i="14"/>
  <c r="J134" i="14"/>
  <c r="S140" i="14"/>
  <c r="Q142" i="14"/>
  <c r="R142" i="14" s="1"/>
  <c r="M142" i="14"/>
  <c r="N142" i="14" s="1"/>
  <c r="M149" i="14"/>
  <c r="Q158" i="14"/>
  <c r="R158" i="14" s="1"/>
  <c r="S158" i="14"/>
  <c r="N158" i="14"/>
  <c r="K165" i="14"/>
  <c r="J165" i="14"/>
  <c r="M192" i="14"/>
  <c r="N192" i="14" s="1"/>
  <c r="J207" i="14"/>
  <c r="K207" i="14"/>
  <c r="P222" i="14"/>
  <c r="M222" i="14"/>
  <c r="N222" i="14" s="1"/>
  <c r="Q222" i="14"/>
  <c r="R222" i="14" s="1"/>
  <c r="N227" i="14"/>
  <c r="J229" i="14"/>
  <c r="K229" i="14"/>
  <c r="J256" i="14"/>
  <c r="K256" i="14" s="1"/>
  <c r="Q3" i="15"/>
  <c r="P3" i="15"/>
  <c r="R37" i="15"/>
  <c r="T37" i="15"/>
  <c r="S37" i="15"/>
  <c r="O37" i="15"/>
  <c r="M39" i="14"/>
  <c r="N39" i="14" s="1"/>
  <c r="S39" i="14"/>
  <c r="K49" i="14"/>
  <c r="J49" i="14"/>
  <c r="J72" i="14"/>
  <c r="N73" i="14"/>
  <c r="J88" i="14"/>
  <c r="N94" i="14"/>
  <c r="N95" i="14"/>
  <c r="J105" i="14"/>
  <c r="M111" i="14"/>
  <c r="N111" i="14" s="1"/>
  <c r="S111" i="14"/>
  <c r="J116" i="14"/>
  <c r="K121" i="14"/>
  <c r="J121" i="14"/>
  <c r="J126" i="14"/>
  <c r="J138" i="14"/>
  <c r="K141" i="14"/>
  <c r="J141" i="14"/>
  <c r="N149" i="14"/>
  <c r="Q152" i="14"/>
  <c r="R152" i="14" s="1"/>
  <c r="Q168" i="14"/>
  <c r="R168" i="14" s="1"/>
  <c r="P168" i="14"/>
  <c r="N168" i="14"/>
  <c r="M168" i="14"/>
  <c r="Q176" i="14"/>
  <c r="R176" i="14" s="1"/>
  <c r="S176" i="14"/>
  <c r="N176" i="14"/>
  <c r="Q202" i="14"/>
  <c r="R202" i="14" s="1"/>
  <c r="P202" i="14"/>
  <c r="M202" i="14"/>
  <c r="N202" i="14" s="1"/>
  <c r="S209" i="14"/>
  <c r="Q209" i="14"/>
  <c r="R209" i="14" s="1"/>
  <c r="P209" i="14"/>
  <c r="M209" i="14"/>
  <c r="J235" i="14"/>
  <c r="K235" i="14"/>
  <c r="M238" i="14"/>
  <c r="N238" i="14" s="1"/>
  <c r="Q238" i="14"/>
  <c r="R238" i="14" s="1"/>
  <c r="P238" i="14"/>
  <c r="M243" i="14"/>
  <c r="S243" i="14"/>
  <c r="P243" i="14"/>
  <c r="N243" i="14"/>
  <c r="O12" i="15"/>
  <c r="R12" i="15"/>
  <c r="S12" i="15" s="1"/>
  <c r="T12" i="15"/>
  <c r="P52" i="15"/>
  <c r="Q52" i="15"/>
  <c r="S72" i="15"/>
  <c r="R72" i="15"/>
  <c r="T72" i="15"/>
  <c r="O72" i="15"/>
  <c r="Q74" i="15"/>
  <c r="P74" i="15"/>
  <c r="K43" i="14"/>
  <c r="J43" i="14"/>
  <c r="M61" i="14"/>
  <c r="K70" i="14"/>
  <c r="M78" i="14"/>
  <c r="M83" i="14"/>
  <c r="N83" i="14" s="1"/>
  <c r="H62" i="9" s="1"/>
  <c r="K87" i="14"/>
  <c r="G62" i="9"/>
  <c r="D60" i="10" s="1"/>
  <c r="N88" i="14"/>
  <c r="H63" i="9" s="1"/>
  <c r="M94" i="14"/>
  <c r="S105" i="14"/>
  <c r="M105" i="14"/>
  <c r="N105" i="14" s="1"/>
  <c r="P106" i="14"/>
  <c r="K115" i="14"/>
  <c r="J115" i="14"/>
  <c r="P123" i="14"/>
  <c r="I62" i="9" s="1"/>
  <c r="Q126" i="14"/>
  <c r="R126" i="14" s="1"/>
  <c r="M126" i="14"/>
  <c r="P135" i="14"/>
  <c r="Q138" i="14"/>
  <c r="R138" i="14" s="1"/>
  <c r="M138" i="14"/>
  <c r="N138" i="14" s="1"/>
  <c r="M145" i="14"/>
  <c r="M152" i="14"/>
  <c r="N152" i="14" s="1"/>
  <c r="K162" i="14"/>
  <c r="Q165" i="14"/>
  <c r="R165" i="14" s="1"/>
  <c r="M165" i="14"/>
  <c r="P165" i="14"/>
  <c r="M176" i="14"/>
  <c r="J193" i="14"/>
  <c r="K193" i="14"/>
  <c r="N209" i="14"/>
  <c r="Q227" i="14"/>
  <c r="R227" i="14" s="1"/>
  <c r="J240" i="14"/>
  <c r="G81" i="9" s="1"/>
  <c r="D84" i="10" s="1"/>
  <c r="S40" i="15"/>
  <c r="T40" i="15"/>
  <c r="R40" i="15"/>
  <c r="O40" i="15"/>
  <c r="Q48" i="15"/>
  <c r="P48" i="15"/>
  <c r="P105" i="15"/>
  <c r="Q105" i="15"/>
  <c r="Q147" i="15"/>
  <c r="P147" i="15"/>
  <c r="C57" i="9"/>
  <c r="D36" i="10" s="1"/>
  <c r="J3" i="14"/>
  <c r="M27" i="14"/>
  <c r="N27" i="14" s="1"/>
  <c r="S27" i="14"/>
  <c r="P28" i="14"/>
  <c r="K37" i="14"/>
  <c r="J37" i="14"/>
  <c r="P45" i="14"/>
  <c r="M55" i="14"/>
  <c r="N55" i="14" s="1"/>
  <c r="J60" i="14"/>
  <c r="B33" i="28" s="1"/>
  <c r="B34" i="28" s="1"/>
  <c r="N61" i="14"/>
  <c r="M72" i="14"/>
  <c r="P73" i="14"/>
  <c r="J76" i="14"/>
  <c r="K76" i="14" s="1"/>
  <c r="N78" i="14"/>
  <c r="K81" i="14"/>
  <c r="G64" i="9"/>
  <c r="D54" i="10" s="1"/>
  <c r="N82" i="14"/>
  <c r="S85" i="14"/>
  <c r="D102" i="9" s="1"/>
  <c r="M88" i="14"/>
  <c r="Q90" i="14"/>
  <c r="R90" i="14" s="1"/>
  <c r="D101" i="9" s="1"/>
  <c r="J93" i="14"/>
  <c r="M99" i="14"/>
  <c r="N99" i="14" s="1"/>
  <c r="S99" i="14"/>
  <c r="P100" i="14"/>
  <c r="S102" i="14"/>
  <c r="J104" i="14"/>
  <c r="Q106" i="14"/>
  <c r="R106" i="14" s="1"/>
  <c r="K109" i="14"/>
  <c r="J109" i="14"/>
  <c r="P117" i="14"/>
  <c r="K125" i="14"/>
  <c r="J125" i="14"/>
  <c r="N126" i="14"/>
  <c r="P127" i="14"/>
  <c r="M130" i="14"/>
  <c r="N130" i="14" s="1"/>
  <c r="P131" i="14"/>
  <c r="M134" i="14"/>
  <c r="N134" i="14" s="1"/>
  <c r="K137" i="14"/>
  <c r="J137" i="14"/>
  <c r="Q141" i="14"/>
  <c r="R141" i="14" s="1"/>
  <c r="M141" i="14"/>
  <c r="N141" i="14" s="1"/>
  <c r="P142" i="14"/>
  <c r="N145" i="14"/>
  <c r="Q148" i="14"/>
  <c r="R148" i="14" s="1"/>
  <c r="M148" i="14"/>
  <c r="N148" i="14" s="1"/>
  <c r="P149" i="14"/>
  <c r="P158" i="14"/>
  <c r="N165" i="14"/>
  <c r="K167" i="14"/>
  <c r="J167" i="14"/>
  <c r="S168" i="14"/>
  <c r="J186" i="14"/>
  <c r="E81" i="9"/>
  <c r="S202" i="14"/>
  <c r="K204" i="14"/>
  <c r="K219" i="14"/>
  <c r="N226" i="14"/>
  <c r="S226" i="14"/>
  <c r="Q243" i="14"/>
  <c r="R243" i="14" s="1"/>
  <c r="O18" i="15"/>
  <c r="T18" i="15"/>
  <c r="S18" i="15"/>
  <c r="P86" i="15"/>
  <c r="J253" i="14"/>
  <c r="K253" i="14"/>
  <c r="O64" i="15"/>
  <c r="T64" i="15"/>
  <c r="P71" i="15"/>
  <c r="Q71" i="15"/>
  <c r="P89" i="15"/>
  <c r="Q89" i="15"/>
  <c r="R91" i="15"/>
  <c r="O91" i="15"/>
  <c r="R97" i="15"/>
  <c r="S97" i="15" s="1"/>
  <c r="T97" i="15"/>
  <c r="Q111" i="15"/>
  <c r="P111" i="15"/>
  <c r="R118" i="15"/>
  <c r="S118" i="15"/>
  <c r="T118" i="15"/>
  <c r="O118" i="15"/>
  <c r="R129" i="15"/>
  <c r="S129" i="15" s="1"/>
  <c r="O129" i="15"/>
  <c r="P132" i="15"/>
  <c r="Q132" i="15"/>
  <c r="R155" i="15"/>
  <c r="S155" i="15" s="1"/>
  <c r="O155" i="15"/>
  <c r="T155" i="15"/>
  <c r="P164" i="15"/>
  <c r="Q164" i="15"/>
  <c r="Q172" i="15"/>
  <c r="P172" i="15"/>
  <c r="S237" i="14"/>
  <c r="M237" i="14"/>
  <c r="J247" i="14"/>
  <c r="K247" i="14" s="1"/>
  <c r="O6" i="15"/>
  <c r="T6" i="15"/>
  <c r="P11" i="15"/>
  <c r="Q19" i="15"/>
  <c r="P23" i="15"/>
  <c r="P27" i="15"/>
  <c r="P41" i="15"/>
  <c r="P49" i="15"/>
  <c r="Q59" i="15"/>
  <c r="R61" i="15"/>
  <c r="S61" i="15"/>
  <c r="O76" i="15"/>
  <c r="T76" i="15"/>
  <c r="R79" i="15"/>
  <c r="S79" i="15" s="1"/>
  <c r="O79" i="15"/>
  <c r="O88" i="15"/>
  <c r="R88" i="15"/>
  <c r="S88" i="15" s="1"/>
  <c r="T88" i="15"/>
  <c r="P92" i="15"/>
  <c r="S131" i="15"/>
  <c r="O131" i="15"/>
  <c r="O159" i="15"/>
  <c r="R159" i="15"/>
  <c r="S159" i="15" s="1"/>
  <c r="P168" i="15"/>
  <c r="Q168" i="15"/>
  <c r="O181" i="15"/>
  <c r="T181" i="15"/>
  <c r="R181" i="15"/>
  <c r="S181" i="15" s="1"/>
  <c r="P266" i="15"/>
  <c r="Q266" i="15"/>
  <c r="S160" i="14"/>
  <c r="S166" i="14"/>
  <c r="S172" i="14"/>
  <c r="S178" i="14"/>
  <c r="N214" i="14"/>
  <c r="S217" i="14"/>
  <c r="M231" i="14"/>
  <c r="N231" i="14" s="1"/>
  <c r="S231" i="14"/>
  <c r="S234" i="14"/>
  <c r="N237" i="14"/>
  <c r="J241" i="14"/>
  <c r="K241" i="14"/>
  <c r="S245" i="14"/>
  <c r="S250" i="14"/>
  <c r="M259" i="14"/>
  <c r="R4" i="15"/>
  <c r="Q7" i="15"/>
  <c r="P15" i="15"/>
  <c r="T17" i="15"/>
  <c r="S17" i="15"/>
  <c r="R21" i="15"/>
  <c r="S21" i="15" s="1"/>
  <c r="O21" i="15"/>
  <c r="O36" i="15"/>
  <c r="T39" i="15"/>
  <c r="O39" i="15"/>
  <c r="Q45" i="15"/>
  <c r="P45" i="15"/>
  <c r="T69" i="15"/>
  <c r="R69" i="15"/>
  <c r="O69" i="15"/>
  <c r="Q77" i="15"/>
  <c r="T99" i="15"/>
  <c r="O99" i="15"/>
  <c r="O143" i="15"/>
  <c r="T143" i="15"/>
  <c r="O145" i="15"/>
  <c r="R145" i="15"/>
  <c r="S145" i="15" s="1"/>
  <c r="T145" i="15"/>
  <c r="R161" i="15"/>
  <c r="T161" i="15"/>
  <c r="O161" i="15"/>
  <c r="P190" i="15"/>
  <c r="Q190" i="15"/>
  <c r="Q239" i="15"/>
  <c r="P239" i="15"/>
  <c r="M253" i="14"/>
  <c r="K258" i="14"/>
  <c r="N259" i="14"/>
  <c r="R9" i="15"/>
  <c r="S9" i="15" s="1"/>
  <c r="T9" i="15"/>
  <c r="R23" i="15"/>
  <c r="S23" i="15" s="1"/>
  <c r="O54" i="15"/>
  <c r="Q83" i="15"/>
  <c r="S107" i="15"/>
  <c r="R107" i="15"/>
  <c r="T107" i="15"/>
  <c r="O107" i="15"/>
  <c r="S125" i="15"/>
  <c r="R125" i="15"/>
  <c r="T125" i="15"/>
  <c r="K77" i="14"/>
  <c r="K160" i="14"/>
  <c r="K166" i="14"/>
  <c r="K172" i="14"/>
  <c r="K178" i="14"/>
  <c r="N196" i="14"/>
  <c r="S213" i="14"/>
  <c r="M213" i="14"/>
  <c r="N213" i="14" s="1"/>
  <c r="P214" i="14"/>
  <c r="J223" i="14"/>
  <c r="K223" i="14"/>
  <c r="P231" i="14"/>
  <c r="Q237" i="14"/>
  <c r="R237" i="14" s="1"/>
  <c r="K246" i="14"/>
  <c r="N247" i="14"/>
  <c r="P259" i="14"/>
  <c r="K262" i="14"/>
  <c r="T15" i="15"/>
  <c r="R64" i="15"/>
  <c r="S64" i="15" s="1"/>
  <c r="O73" i="15"/>
  <c r="O97" i="15"/>
  <c r="O110" i="15"/>
  <c r="R131" i="15"/>
  <c r="T156" i="15"/>
  <c r="R156" i="15"/>
  <c r="S156" i="15"/>
  <c r="P193" i="15"/>
  <c r="Q193" i="15"/>
  <c r="P181" i="14"/>
  <c r="N190" i="14"/>
  <c r="Q198" i="14"/>
  <c r="R198" i="14" s="1"/>
  <c r="M207" i="14"/>
  <c r="N207" i="14" s="1"/>
  <c r="S207" i="14"/>
  <c r="J217" i="14"/>
  <c r="K217" i="14"/>
  <c r="Q231" i="14"/>
  <c r="R231" i="14" s="1"/>
  <c r="P253" i="14"/>
  <c r="O17" i="15"/>
  <c r="S42" i="15"/>
  <c r="O42" i="15"/>
  <c r="R44" i="15"/>
  <c r="S44" i="15" s="1"/>
  <c r="O46" i="15"/>
  <c r="S46" i="15"/>
  <c r="T46" i="15"/>
  <c r="O61" i="15"/>
  <c r="T75" i="15"/>
  <c r="S75" i="15"/>
  <c r="O75" i="15"/>
  <c r="T78" i="15"/>
  <c r="S78" i="15"/>
  <c r="S84" i="15"/>
  <c r="T87" i="15"/>
  <c r="O87" i="15"/>
  <c r="S91" i="15"/>
  <c r="T114" i="15"/>
  <c r="S114" i="15"/>
  <c r="O114" i="15"/>
  <c r="T119" i="15"/>
  <c r="O119" i="15"/>
  <c r="T129" i="15"/>
  <c r="T131" i="15"/>
  <c r="R143" i="15"/>
  <c r="S143" i="15" s="1"/>
  <c r="T159" i="15"/>
  <c r="S161" i="15"/>
  <c r="R189" i="15"/>
  <c r="S189" i="15" s="1"/>
  <c r="O189" i="15"/>
  <c r="T189" i="15"/>
  <c r="S201" i="14"/>
  <c r="M201" i="14"/>
  <c r="J211" i="14"/>
  <c r="K211" i="14"/>
  <c r="S259" i="14"/>
  <c r="R6" i="15"/>
  <c r="S6" i="15" s="1"/>
  <c r="T11" i="15"/>
  <c r="R11" i="15"/>
  <c r="S11" i="15" s="1"/>
  <c r="P13" i="15"/>
  <c r="Q13" i="15"/>
  <c r="T27" i="15"/>
  <c r="R27" i="15"/>
  <c r="S27" i="15" s="1"/>
  <c r="Q29" i="15"/>
  <c r="P29" i="15"/>
  <c r="S38" i="15"/>
  <c r="T38" i="15"/>
  <c r="R38" i="15"/>
  <c r="R49" i="15"/>
  <c r="S49" i="15"/>
  <c r="S56" i="15"/>
  <c r="S68" i="15"/>
  <c r="T68" i="15"/>
  <c r="R76" i="15"/>
  <c r="S76" i="15" s="1"/>
  <c r="M87" i="15"/>
  <c r="T91" i="15"/>
  <c r="S98" i="15"/>
  <c r="O98" i="15"/>
  <c r="T98" i="15"/>
  <c r="R99" i="15"/>
  <c r="S99" i="15" s="1"/>
  <c r="T103" i="15"/>
  <c r="O103" i="15"/>
  <c r="S103" i="15"/>
  <c r="S110" i="15"/>
  <c r="T132" i="15"/>
  <c r="R132" i="15"/>
  <c r="S132" i="15"/>
  <c r="T140" i="15"/>
  <c r="R140" i="15"/>
  <c r="S140" i="15" s="1"/>
  <c r="S162" i="15"/>
  <c r="T162" i="15"/>
  <c r="O162" i="15"/>
  <c r="O234" i="15"/>
  <c r="S234" i="15"/>
  <c r="R234" i="15"/>
  <c r="T234" i="15"/>
  <c r="M184" i="14"/>
  <c r="M195" i="14"/>
  <c r="S195" i="14"/>
  <c r="N201" i="14"/>
  <c r="J205" i="14"/>
  <c r="K205" i="14"/>
  <c r="M223" i="14"/>
  <c r="M240" i="14"/>
  <c r="M245" i="14"/>
  <c r="M256" i="14"/>
  <c r="S4" i="15"/>
  <c r="O4" i="15"/>
  <c r="P9" i="15"/>
  <c r="Q25" i="15"/>
  <c r="S31" i="15"/>
  <c r="O31" i="15"/>
  <c r="R36" i="15"/>
  <c r="S36" i="15" s="1"/>
  <c r="R39" i="15"/>
  <c r="T61" i="15"/>
  <c r="S73" i="15"/>
  <c r="T79" i="15"/>
  <c r="S92" i="15"/>
  <c r="T92" i="15"/>
  <c r="T108" i="15"/>
  <c r="O108" i="15"/>
  <c r="R108" i="15"/>
  <c r="S108" i="15" s="1"/>
  <c r="T110" i="15"/>
  <c r="Q117" i="15"/>
  <c r="P117" i="15"/>
  <c r="T180" i="15"/>
  <c r="R180" i="15"/>
  <c r="S180" i="15" s="1"/>
  <c r="O180" i="15"/>
  <c r="M160" i="14"/>
  <c r="M166" i="14"/>
  <c r="M172" i="14"/>
  <c r="K176" i="14"/>
  <c r="M178" i="14"/>
  <c r="K183" i="14"/>
  <c r="S189" i="14"/>
  <c r="M189" i="14"/>
  <c r="N189" i="14" s="1"/>
  <c r="P190" i="14"/>
  <c r="K194" i="14"/>
  <c r="N195" i="14"/>
  <c r="J199" i="14"/>
  <c r="K199" i="14"/>
  <c r="P207" i="14"/>
  <c r="M217" i="14"/>
  <c r="N217" i="14" s="1"/>
  <c r="K222" i="14"/>
  <c r="N223" i="14"/>
  <c r="P228" i="14"/>
  <c r="M234" i="14"/>
  <c r="N234" i="14" s="1"/>
  <c r="K238" i="14"/>
  <c r="N240" i="14"/>
  <c r="N244" i="14"/>
  <c r="N245" i="14"/>
  <c r="M250" i="14"/>
  <c r="K255" i="14"/>
  <c r="S261" i="14"/>
  <c r="M261" i="14"/>
  <c r="P262" i="14"/>
  <c r="R17" i="15"/>
  <c r="T36" i="15"/>
  <c r="S39" i="15"/>
  <c r="P43" i="15"/>
  <c r="S47" i="15"/>
  <c r="Q57" i="15"/>
  <c r="Q60" i="15"/>
  <c r="P60" i="15"/>
  <c r="S62" i="15"/>
  <c r="O62" i="15"/>
  <c r="S69" i="15"/>
  <c r="T73" i="15"/>
  <c r="R80" i="15"/>
  <c r="S80" i="15" s="1"/>
  <c r="Q96" i="15"/>
  <c r="P96" i="15"/>
  <c r="O100" i="15"/>
  <c r="T100" i="15"/>
  <c r="R100" i="15"/>
  <c r="S100" i="15" s="1"/>
  <c r="P122" i="15"/>
  <c r="Q122" i="15"/>
  <c r="P125" i="15"/>
  <c r="O149" i="15"/>
  <c r="T149" i="15"/>
  <c r="P195" i="15"/>
  <c r="Q195" i="15"/>
  <c r="O200" i="15"/>
  <c r="T200" i="15"/>
  <c r="R200" i="15"/>
  <c r="S200" i="15" s="1"/>
  <c r="O70" i="15"/>
  <c r="S70" i="15"/>
  <c r="O78" i="15"/>
  <c r="R114" i="15"/>
  <c r="Q156" i="15"/>
  <c r="Q217" i="15"/>
  <c r="P217" i="15"/>
  <c r="E83" i="9"/>
  <c r="K71" i="14"/>
  <c r="J140" i="14"/>
  <c r="J146" i="14"/>
  <c r="J152" i="14"/>
  <c r="J158" i="14"/>
  <c r="J164" i="14"/>
  <c r="K164" i="14" s="1"/>
  <c r="K169" i="14"/>
  <c r="J170" i="14"/>
  <c r="F61" i="9" s="1"/>
  <c r="K175" i="14"/>
  <c r="J176" i="14"/>
  <c r="K181" i="14"/>
  <c r="K182" i="14"/>
  <c r="Q184" i="14"/>
  <c r="R184" i="14" s="1"/>
  <c r="J187" i="14"/>
  <c r="K187" i="14"/>
  <c r="P195" i="14"/>
  <c r="S196" i="14"/>
  <c r="Q201" i="14"/>
  <c r="R201" i="14" s="1"/>
  <c r="K210" i="14"/>
  <c r="N211" i="14"/>
  <c r="P216" i="14"/>
  <c r="P223" i="14"/>
  <c r="K226" i="14"/>
  <c r="N228" i="14"/>
  <c r="N232" i="14"/>
  <c r="S235" i="14"/>
  <c r="Q240" i="14"/>
  <c r="R240" i="14" s="1"/>
  <c r="K243" i="14"/>
  <c r="S249" i="14"/>
  <c r="M249" i="14"/>
  <c r="P250" i="14"/>
  <c r="S252" i="14"/>
  <c r="K254" i="14"/>
  <c r="Q256" i="14"/>
  <c r="R256" i="14" s="1"/>
  <c r="J259" i="14"/>
  <c r="K259" i="14"/>
  <c r="R3" i="15"/>
  <c r="S3" i="15" s="1"/>
  <c r="O8" i="15"/>
  <c r="S10" i="15"/>
  <c r="S14" i="15"/>
  <c r="S22" i="15"/>
  <c r="R22" i="15"/>
  <c r="R26" i="15"/>
  <c r="S26" i="15" s="1"/>
  <c r="O26" i="15"/>
  <c r="R30" i="15"/>
  <c r="S30" i="15"/>
  <c r="O38" i="15"/>
  <c r="S43" i="15"/>
  <c r="R55" i="15"/>
  <c r="S55" i="15" s="1"/>
  <c r="T55" i="15"/>
  <c r="O56" i="15"/>
  <c r="O58" i="15"/>
  <c r="S58" i="15"/>
  <c r="R67" i="15"/>
  <c r="S67" i="15" s="1"/>
  <c r="T67" i="15"/>
  <c r="O68" i="15"/>
  <c r="M74" i="15"/>
  <c r="E57" i="9" s="1"/>
  <c r="Q81" i="15"/>
  <c r="O84" i="15"/>
  <c r="T86" i="15"/>
  <c r="R86" i="15"/>
  <c r="S86" i="15" s="1"/>
  <c r="R87" i="15"/>
  <c r="S87" i="15" s="1"/>
  <c r="T102" i="15"/>
  <c r="R102" i="15"/>
  <c r="S102" i="15"/>
  <c r="P106" i="15"/>
  <c r="R119" i="15"/>
  <c r="S119" i="15" s="1"/>
  <c r="Q127" i="15"/>
  <c r="O140" i="15"/>
  <c r="P158" i="15"/>
  <c r="Q160" i="15"/>
  <c r="R178" i="15"/>
  <c r="S178" i="15" s="1"/>
  <c r="T178" i="15"/>
  <c r="O178" i="15"/>
  <c r="R113" i="15"/>
  <c r="S113" i="15" s="1"/>
  <c r="O120" i="15"/>
  <c r="R120" i="15"/>
  <c r="S120" i="15" s="1"/>
  <c r="R142" i="15"/>
  <c r="S142" i="15" s="1"/>
  <c r="T142" i="15"/>
  <c r="O142" i="15"/>
  <c r="S147" i="15"/>
  <c r="O177" i="15"/>
  <c r="R177" i="15"/>
  <c r="S177" i="15" s="1"/>
  <c r="T177" i="15"/>
  <c r="Q207" i="15"/>
  <c r="P207" i="15"/>
  <c r="Q212" i="15"/>
  <c r="P212" i="15"/>
  <c r="T260" i="15"/>
  <c r="R260" i="15"/>
  <c r="S260" i="15" s="1"/>
  <c r="O260" i="15"/>
  <c r="O90" i="15"/>
  <c r="O94" i="15"/>
  <c r="S94" i="15"/>
  <c r="T126" i="15"/>
  <c r="O126" i="15"/>
  <c r="T133" i="15"/>
  <c r="O133" i="15"/>
  <c r="R133" i="15"/>
  <c r="S133" i="15" s="1"/>
  <c r="Q134" i="15"/>
  <c r="T144" i="15"/>
  <c r="R144" i="15"/>
  <c r="S144" i="15"/>
  <c r="R150" i="15"/>
  <c r="S150" i="15" s="1"/>
  <c r="O154" i="15"/>
  <c r="M158" i="15"/>
  <c r="M163" i="15"/>
  <c r="E76" i="9" s="1"/>
  <c r="Q184" i="15"/>
  <c r="R213" i="15"/>
  <c r="O213" i="15"/>
  <c r="S213" i="15"/>
  <c r="P226" i="15"/>
  <c r="Q226" i="15"/>
  <c r="P228" i="15"/>
  <c r="Q228" i="15"/>
  <c r="S16" i="15"/>
  <c r="M98" i="15"/>
  <c r="R112" i="15"/>
  <c r="S112" i="15" s="1"/>
  <c r="O112" i="15"/>
  <c r="O115" i="15"/>
  <c r="S115" i="15"/>
  <c r="R130" i="15"/>
  <c r="S130" i="15" s="1"/>
  <c r="T130" i="15"/>
  <c r="O135" i="15"/>
  <c r="M165" i="15"/>
  <c r="S169" i="15"/>
  <c r="O171" i="15"/>
  <c r="T171" i="15"/>
  <c r="T216" i="15"/>
  <c r="R216" i="15"/>
  <c r="S216" i="15" s="1"/>
  <c r="O216" i="15"/>
  <c r="R225" i="15"/>
  <c r="O225" i="15"/>
  <c r="S225" i="15"/>
  <c r="S231" i="15"/>
  <c r="R231" i="15"/>
  <c r="T231" i="15"/>
  <c r="O231" i="15"/>
  <c r="P238" i="15"/>
  <c r="Q238" i="15"/>
  <c r="T191" i="15"/>
  <c r="R191" i="15"/>
  <c r="S191" i="15" s="1"/>
  <c r="O191" i="15"/>
  <c r="Q245" i="15"/>
  <c r="P245" i="15"/>
  <c r="S214" i="15"/>
  <c r="R214" i="15"/>
  <c r="O214" i="15"/>
  <c r="T214" i="15"/>
  <c r="O223" i="15"/>
  <c r="T223" i="15"/>
  <c r="R223" i="15"/>
  <c r="S223" i="15" s="1"/>
  <c r="R237" i="15"/>
  <c r="S237" i="15" s="1"/>
  <c r="O237" i="15"/>
  <c r="T237" i="15"/>
  <c r="R154" i="15"/>
  <c r="S154" i="15" s="1"/>
  <c r="T154" i="15"/>
  <c r="T197" i="15"/>
  <c r="O197" i="15"/>
  <c r="S197" i="15"/>
  <c r="O24" i="15"/>
  <c r="O34" i="15"/>
  <c r="R34" i="15"/>
  <c r="S34" i="15" s="1"/>
  <c r="M68" i="15"/>
  <c r="E54" i="9" s="1"/>
  <c r="T90" i="15"/>
  <c r="T94" i="15"/>
  <c r="S126" i="15"/>
  <c r="R135" i="15"/>
  <c r="S135" i="15" s="1"/>
  <c r="T137" i="15"/>
  <c r="S137" i="15"/>
  <c r="Q146" i="15"/>
  <c r="P146" i="15"/>
  <c r="O151" i="15"/>
  <c r="T151" i="15"/>
  <c r="Q157" i="15"/>
  <c r="P157" i="15"/>
  <c r="P167" i="15"/>
  <c r="S171" i="15"/>
  <c r="T225" i="15"/>
  <c r="Q244" i="15"/>
  <c r="P244" i="15"/>
  <c r="R167" i="15"/>
  <c r="S167" i="15" s="1"/>
  <c r="T188" i="15"/>
  <c r="O188" i="15"/>
  <c r="O246" i="15"/>
  <c r="S246" i="15"/>
  <c r="O251" i="15"/>
  <c r="J11" i="16"/>
  <c r="Q196" i="15"/>
  <c r="P196" i="15"/>
  <c r="T227" i="15"/>
  <c r="S227" i="15"/>
  <c r="R227" i="15"/>
  <c r="O227" i="15"/>
  <c r="Q230" i="15"/>
  <c r="P230" i="15"/>
  <c r="S74" i="15"/>
  <c r="M80" i="15"/>
  <c r="M185" i="15"/>
  <c r="P202" i="15"/>
  <c r="Q202" i="15"/>
  <c r="T240" i="15"/>
  <c r="R240" i="15"/>
  <c r="S240" i="15" s="1"/>
  <c r="O240" i="15"/>
  <c r="Q255" i="15"/>
  <c r="P255" i="15"/>
  <c r="Q265" i="15"/>
  <c r="P265" i="15"/>
  <c r="O163" i="15"/>
  <c r="R163" i="15"/>
  <c r="S163" i="15" s="1"/>
  <c r="T167" i="15"/>
  <c r="R174" i="15"/>
  <c r="O174" i="15"/>
  <c r="S174" i="15"/>
  <c r="Q185" i="15"/>
  <c r="P185" i="15"/>
  <c r="O187" i="15"/>
  <c r="S187" i="15"/>
  <c r="S188" i="15"/>
  <c r="O199" i="15"/>
  <c r="T199" i="15"/>
  <c r="R199" i="15"/>
  <c r="S199" i="15"/>
  <c r="Q206" i="15"/>
  <c r="P206" i="15"/>
  <c r="Q218" i="15"/>
  <c r="P218" i="15"/>
  <c r="T228" i="15"/>
  <c r="R228" i="15"/>
  <c r="S228" i="15" s="1"/>
  <c r="T245" i="15"/>
  <c r="S245" i="15"/>
  <c r="P250" i="15"/>
  <c r="Q250" i="15"/>
  <c r="Q254" i="15"/>
  <c r="P254" i="15"/>
  <c r="P220" i="15"/>
  <c r="Q220" i="15"/>
  <c r="T251" i="15"/>
  <c r="S251" i="15"/>
  <c r="T264" i="15"/>
  <c r="R264" i="15"/>
  <c r="S264" i="15" s="1"/>
  <c r="O264" i="15"/>
  <c r="O82" i="15"/>
  <c r="O109" i="15"/>
  <c r="R111" i="15"/>
  <c r="S111" i="15" s="1"/>
  <c r="S122" i="15"/>
  <c r="O141" i="15"/>
  <c r="O153" i="15"/>
  <c r="S153" i="15"/>
  <c r="M156" i="15"/>
  <c r="E75" i="9" s="1"/>
  <c r="P166" i="15"/>
  <c r="Q166" i="15"/>
  <c r="S183" i="15"/>
  <c r="O183" i="15"/>
  <c r="T224" i="15"/>
  <c r="O224" i="15"/>
  <c r="S224" i="15"/>
  <c r="T239" i="15"/>
  <c r="R239" i="15"/>
  <c r="S239" i="15" s="1"/>
  <c r="T203" i="15"/>
  <c r="S203" i="15"/>
  <c r="S229" i="15"/>
  <c r="Q248" i="15"/>
  <c r="P248" i="15"/>
  <c r="Q257" i="15"/>
  <c r="P257" i="15"/>
  <c r="P259" i="15"/>
  <c r="Q259" i="15"/>
  <c r="R261" i="15"/>
  <c r="O261" i="15"/>
  <c r="S261" i="15"/>
  <c r="M173" i="15"/>
  <c r="S179" i="15"/>
  <c r="T179" i="15"/>
  <c r="O179" i="15"/>
  <c r="O186" i="15"/>
  <c r="S186" i="15"/>
  <c r="O198" i="15"/>
  <c r="S198" i="15"/>
  <c r="O121" i="15"/>
  <c r="S157" i="15"/>
  <c r="O165" i="15"/>
  <c r="M176" i="15"/>
  <c r="Q209" i="15"/>
  <c r="P209" i="15"/>
  <c r="O211" i="15"/>
  <c r="T211" i="15"/>
  <c r="O222" i="15"/>
  <c r="T222" i="15"/>
  <c r="P235" i="15"/>
  <c r="Q235" i="15"/>
  <c r="S101" i="15"/>
  <c r="S165" i="15"/>
  <c r="T186" i="15"/>
  <c r="T192" i="15"/>
  <c r="R192" i="15"/>
  <c r="S192" i="15" s="1"/>
  <c r="O192" i="15"/>
  <c r="T212" i="15"/>
  <c r="R212" i="15"/>
  <c r="S212" i="15" s="1"/>
  <c r="R222" i="15"/>
  <c r="S222" i="15" s="1"/>
  <c r="T235" i="15"/>
  <c r="M257" i="15"/>
  <c r="E94" i="9" s="1"/>
  <c r="S262" i="15"/>
  <c r="R262" i="15"/>
  <c r="R267" i="15"/>
  <c r="S267" i="15" s="1"/>
  <c r="R201" i="15"/>
  <c r="S201" i="15" s="1"/>
  <c r="O201" i="15"/>
  <c r="T204" i="15"/>
  <c r="R204" i="15"/>
  <c r="S204" i="15" s="1"/>
  <c r="O215" i="15"/>
  <c r="M245" i="15"/>
  <c r="R247" i="15"/>
  <c r="S247" i="15" s="1"/>
  <c r="R249" i="15"/>
  <c r="S249" i="15" s="1"/>
  <c r="O249" i="15"/>
  <c r="T252" i="15"/>
  <c r="R252" i="15"/>
  <c r="O139" i="15"/>
  <c r="M161" i="15"/>
  <c r="T169" i="15"/>
  <c r="R226" i="15"/>
  <c r="S226" i="15" s="1"/>
  <c r="J3" i="16"/>
  <c r="C26" i="9" s="1"/>
  <c r="B39" i="28"/>
  <c r="J14" i="16"/>
  <c r="E26" i="9" s="1"/>
  <c r="Q262" i="15"/>
  <c r="M187" i="15"/>
  <c r="R190" i="15"/>
  <c r="S190" i="15" s="1"/>
  <c r="O204" i="15"/>
  <c r="M235" i="15"/>
  <c r="E96" i="9" s="1"/>
  <c r="O236" i="15"/>
  <c r="S238" i="15"/>
  <c r="R238" i="15"/>
  <c r="O252" i="15"/>
  <c r="T259" i="15"/>
  <c r="T262" i="15"/>
  <c r="K9" i="16"/>
  <c r="J12" i="16"/>
  <c r="T263" i="15"/>
  <c r="S263" i="15"/>
  <c r="O263" i="15"/>
  <c r="T215" i="15"/>
  <c r="S215" i="15"/>
  <c r="O247" i="15"/>
  <c r="R139" i="15"/>
  <c r="S139" i="15" s="1"/>
  <c r="T168" i="15"/>
  <c r="R168" i="15"/>
  <c r="S168" i="15" s="1"/>
  <c r="O175" i="15"/>
  <c r="R202" i="15"/>
  <c r="S202" i="15" s="1"/>
  <c r="S210" i="15"/>
  <c r="M247" i="15"/>
  <c r="S250" i="15"/>
  <c r="R250" i="15"/>
  <c r="S252" i="15"/>
  <c r="S258" i="15"/>
  <c r="O267" i="15"/>
  <c r="K7" i="16"/>
  <c r="K15" i="16"/>
  <c r="R266" i="15"/>
  <c r="S266" i="15" s="1"/>
  <c r="D56" i="10" l="1"/>
  <c r="D100" i="10"/>
  <c r="F96" i="9"/>
  <c r="F84" i="10"/>
  <c r="E84" i="10"/>
  <c r="H64" i="9"/>
  <c r="H39" i="9"/>
  <c r="F94" i="9"/>
  <c r="D96" i="10"/>
  <c r="F21" i="10"/>
  <c r="E21" i="10"/>
  <c r="J62" i="9"/>
  <c r="D59" i="10"/>
  <c r="D66" i="10"/>
  <c r="F76" i="9"/>
  <c r="F24" i="10"/>
  <c r="E24" i="10"/>
  <c r="D70" i="10"/>
  <c r="F75" i="9"/>
  <c r="H41" i="9"/>
  <c r="F54" i="9"/>
  <c r="D33" i="10"/>
  <c r="C103" i="9"/>
  <c r="H82" i="9"/>
  <c r="Q72" i="15"/>
  <c r="P72" i="15"/>
  <c r="E29" i="10"/>
  <c r="F29" i="10"/>
  <c r="P139" i="15"/>
  <c r="Q139" i="15"/>
  <c r="Q165" i="15"/>
  <c r="P165" i="15"/>
  <c r="Q141" i="15"/>
  <c r="P141" i="15"/>
  <c r="Q225" i="15"/>
  <c r="P225" i="15"/>
  <c r="P181" i="15"/>
  <c r="Q181" i="15"/>
  <c r="Q215" i="15"/>
  <c r="P215" i="15"/>
  <c r="Q179" i="15"/>
  <c r="P179" i="15"/>
  <c r="E105" i="9"/>
  <c r="P231" i="15"/>
  <c r="Q231" i="15"/>
  <c r="Q94" i="15"/>
  <c r="P94" i="15"/>
  <c r="Q177" i="15"/>
  <c r="P177" i="15"/>
  <c r="Q114" i="15"/>
  <c r="P114" i="15"/>
  <c r="P110" i="15"/>
  <c r="Q110" i="15"/>
  <c r="P131" i="15"/>
  <c r="Q131" i="15"/>
  <c r="Q129" i="15"/>
  <c r="P129" i="15"/>
  <c r="P18" i="15"/>
  <c r="Q18" i="15"/>
  <c r="H81" i="9"/>
  <c r="Q32" i="15"/>
  <c r="P32" i="15"/>
  <c r="D108" i="9"/>
  <c r="D41" i="10"/>
  <c r="D16" i="9"/>
  <c r="D46" i="10" s="1"/>
  <c r="F87" i="10"/>
  <c r="E87" i="10"/>
  <c r="F26" i="10"/>
  <c r="E26" i="10"/>
  <c r="Q234" i="15"/>
  <c r="P234" i="15"/>
  <c r="F56" i="9"/>
  <c r="D31" i="10"/>
  <c r="P192" i="15"/>
  <c r="Q192" i="15"/>
  <c r="Q227" i="15"/>
  <c r="P227" i="15"/>
  <c r="Q197" i="15"/>
  <c r="P197" i="15"/>
  <c r="Q90" i="15"/>
  <c r="P90" i="15"/>
  <c r="Q8" i="15"/>
  <c r="P8" i="15"/>
  <c r="Q100" i="15"/>
  <c r="P100" i="15"/>
  <c r="Q180" i="15"/>
  <c r="P180" i="15"/>
  <c r="Q4" i="15"/>
  <c r="P4" i="15"/>
  <c r="C29" i="9"/>
  <c r="D103" i="9"/>
  <c r="E16" i="11" s="1"/>
  <c r="Q61" i="15"/>
  <c r="P61" i="15"/>
  <c r="Q97" i="15"/>
  <c r="P97" i="15"/>
  <c r="P107" i="15"/>
  <c r="Q107" i="15"/>
  <c r="Q143" i="15"/>
  <c r="P143" i="15"/>
  <c r="P12" i="15"/>
  <c r="Q12" i="15"/>
  <c r="K60" i="14"/>
  <c r="C22" i="9" s="1"/>
  <c r="C41" i="9"/>
  <c r="D5" i="10"/>
  <c r="C39" i="9"/>
  <c r="C40" i="9"/>
  <c r="B29" i="28" s="1"/>
  <c r="C12" i="9"/>
  <c r="I63" i="9"/>
  <c r="F85" i="10"/>
  <c r="E85" i="10"/>
  <c r="F82" i="10"/>
  <c r="E82" i="10"/>
  <c r="D75" i="10"/>
  <c r="B17" i="11"/>
  <c r="E32" i="9"/>
  <c r="E77" i="10"/>
  <c r="F77" i="10"/>
  <c r="F39" i="9"/>
  <c r="F38" i="10"/>
  <c r="E38" i="10"/>
  <c r="P174" i="15"/>
  <c r="Q174" i="15"/>
  <c r="P247" i="15"/>
  <c r="Q247" i="15"/>
  <c r="P211" i="15"/>
  <c r="Q211" i="15"/>
  <c r="P187" i="15"/>
  <c r="Q187" i="15"/>
  <c r="P214" i="15"/>
  <c r="Q214" i="15"/>
  <c r="Q236" i="15"/>
  <c r="P236" i="15"/>
  <c r="P240" i="15"/>
  <c r="Q240" i="15"/>
  <c r="Q135" i="15"/>
  <c r="P135" i="15"/>
  <c r="P142" i="15"/>
  <c r="Q142" i="15"/>
  <c r="Q189" i="15"/>
  <c r="P189" i="15"/>
  <c r="Q73" i="15"/>
  <c r="P73" i="15"/>
  <c r="Q36" i="15"/>
  <c r="P36" i="15"/>
  <c r="P118" i="15"/>
  <c r="Q118" i="15"/>
  <c r="K240" i="14"/>
  <c r="D40" i="10"/>
  <c r="I81" i="9"/>
  <c r="F27" i="10"/>
  <c r="E27" i="10"/>
  <c r="C83" i="9"/>
  <c r="C81" i="9"/>
  <c r="Q201" i="15"/>
  <c r="P201" i="15"/>
  <c r="Q260" i="15"/>
  <c r="P260" i="15"/>
  <c r="Q84" i="15"/>
  <c r="P84" i="15"/>
  <c r="Q38" i="15"/>
  <c r="P38" i="15"/>
  <c r="Q200" i="15"/>
  <c r="P200" i="15"/>
  <c r="Q103" i="15"/>
  <c r="B41" i="28" s="1"/>
  <c r="P103" i="15"/>
  <c r="B42" i="28" s="1"/>
  <c r="Q99" i="15"/>
  <c r="P99" i="15"/>
  <c r="Q21" i="15"/>
  <c r="P21" i="15"/>
  <c r="F36" i="10"/>
  <c r="E36" i="10"/>
  <c r="F19" i="10"/>
  <c r="E19" i="10"/>
  <c r="G82" i="9"/>
  <c r="D90" i="10" s="1"/>
  <c r="B30" i="28"/>
  <c r="D16" i="10"/>
  <c r="P87" i="15"/>
  <c r="Q87" i="15"/>
  <c r="Q50" i="15"/>
  <c r="P50" i="15"/>
  <c r="F88" i="10"/>
  <c r="E88" i="10"/>
  <c r="Q237" i="15"/>
  <c r="P237" i="15"/>
  <c r="Q191" i="15"/>
  <c r="P191" i="15"/>
  <c r="Q133" i="15"/>
  <c r="P133" i="15"/>
  <c r="P68" i="15"/>
  <c r="Q68" i="15"/>
  <c r="Q26" i="15"/>
  <c r="P26" i="15"/>
  <c r="P42" i="15"/>
  <c r="Q42" i="15"/>
  <c r="Q54" i="15"/>
  <c r="P54" i="15"/>
  <c r="Q69" i="15"/>
  <c r="P69" i="15"/>
  <c r="P79" i="15"/>
  <c r="Q79" i="15"/>
  <c r="Q155" i="15"/>
  <c r="P155" i="15"/>
  <c r="Q64" i="15"/>
  <c r="P64" i="15"/>
  <c r="Q37" i="15"/>
  <c r="P37" i="15"/>
  <c r="I61" i="9"/>
  <c r="P152" i="15"/>
  <c r="Q152" i="15"/>
  <c r="Q5" i="15"/>
  <c r="C28" i="9" s="1"/>
  <c r="P5" i="15"/>
  <c r="F81" i="9"/>
  <c r="F73" i="10"/>
  <c r="E73" i="10"/>
  <c r="I40" i="9"/>
  <c r="B44" i="28" s="1"/>
  <c r="C63" i="9"/>
  <c r="B16" i="11"/>
  <c r="D42" i="10"/>
  <c r="D32" i="9"/>
  <c r="Q204" i="15"/>
  <c r="P204" i="15"/>
  <c r="Q153" i="15"/>
  <c r="P153" i="15"/>
  <c r="F22" i="10"/>
  <c r="E22" i="10"/>
  <c r="F60" i="10"/>
  <c r="E60" i="10"/>
  <c r="G63" i="9"/>
  <c r="D57" i="10" s="1"/>
  <c r="F63" i="9"/>
  <c r="D26" i="9"/>
  <c r="P216" i="15"/>
  <c r="Q216" i="15"/>
  <c r="P149" i="15"/>
  <c r="Q149" i="15"/>
  <c r="D105" i="9"/>
  <c r="P98" i="15"/>
  <c r="Q98" i="15"/>
  <c r="I82" i="9"/>
  <c r="H83" i="9"/>
  <c r="F30" i="10"/>
  <c r="E30" i="10"/>
  <c r="F8" i="10"/>
  <c r="E8" i="10"/>
  <c r="C61" i="9"/>
  <c r="P46" i="15"/>
  <c r="Q46" i="15"/>
  <c r="Q261" i="15"/>
  <c r="P261" i="15"/>
  <c r="Q213" i="15"/>
  <c r="P213" i="15"/>
  <c r="P161" i="15"/>
  <c r="Q161" i="15"/>
  <c r="Q88" i="15"/>
  <c r="P88" i="15"/>
  <c r="Q120" i="15"/>
  <c r="P120" i="15"/>
  <c r="D8" i="9"/>
  <c r="C68" i="9"/>
  <c r="D68" i="9" s="1"/>
  <c r="D61" i="10" s="1"/>
  <c r="Q224" i="15"/>
  <c r="P224" i="15"/>
  <c r="Q112" i="15"/>
  <c r="P112" i="15"/>
  <c r="P62" i="15"/>
  <c r="Q62" i="15"/>
  <c r="Q31" i="15"/>
  <c r="P31" i="15"/>
  <c r="Q17" i="15"/>
  <c r="P17" i="15"/>
  <c r="Q6" i="15"/>
  <c r="P6" i="15"/>
  <c r="C105" i="9"/>
  <c r="I83" i="9"/>
  <c r="Q63" i="15"/>
  <c r="P63" i="15"/>
  <c r="F91" i="10"/>
  <c r="E91" i="10"/>
  <c r="B16" i="28"/>
  <c r="F15" i="11"/>
  <c r="F74" i="10"/>
  <c r="E74" i="10"/>
  <c r="P140" i="15"/>
  <c r="Q140" i="15"/>
  <c r="F32" i="10"/>
  <c r="E32" i="10"/>
  <c r="Q121" i="15"/>
  <c r="P121" i="15"/>
  <c r="Q115" i="15"/>
  <c r="P115" i="15"/>
  <c r="Q249" i="15"/>
  <c r="P249" i="15"/>
  <c r="P109" i="15"/>
  <c r="Q109" i="15"/>
  <c r="D29" i="9"/>
  <c r="Q251" i="15"/>
  <c r="P251" i="15"/>
  <c r="C89" i="9"/>
  <c r="D89" i="9" s="1"/>
  <c r="D92" i="10" s="1"/>
  <c r="E8" i="9"/>
  <c r="P175" i="15"/>
  <c r="Q175" i="15"/>
  <c r="P198" i="15"/>
  <c r="Q198" i="15"/>
  <c r="Q82" i="15"/>
  <c r="P82" i="15"/>
  <c r="P163" i="15"/>
  <c r="Q163" i="15"/>
  <c r="P126" i="15"/>
  <c r="Q126" i="15"/>
  <c r="Q78" i="15"/>
  <c r="P78" i="15"/>
  <c r="K170" i="14"/>
  <c r="Q75" i="15"/>
  <c r="P75" i="15"/>
  <c r="P76" i="15"/>
  <c r="Q76" i="15"/>
  <c r="H61" i="9"/>
  <c r="G40" i="9"/>
  <c r="D18" i="10" s="1"/>
  <c r="F40" i="9"/>
  <c r="K57" i="14"/>
  <c r="C21" i="9" s="1"/>
  <c r="C25" i="9" s="1"/>
  <c r="D15" i="10" s="1"/>
  <c r="F55" i="10"/>
  <c r="E55" i="10"/>
  <c r="C82" i="9"/>
  <c r="D14" i="9"/>
  <c r="B9" i="28"/>
  <c r="D11" i="10"/>
  <c r="C34" i="9"/>
  <c r="F99" i="10"/>
  <c r="E99" i="10"/>
  <c r="E71" i="10"/>
  <c r="F71" i="10"/>
  <c r="G61" i="9"/>
  <c r="D51" i="10" s="1"/>
  <c r="Q263" i="15"/>
  <c r="P263" i="15"/>
  <c r="F57" i="9"/>
  <c r="D37" i="10"/>
  <c r="P162" i="15"/>
  <c r="Q162" i="15"/>
  <c r="C49" i="9"/>
  <c r="C8" i="9"/>
  <c r="P264" i="15"/>
  <c r="Q264" i="15"/>
  <c r="P199" i="15"/>
  <c r="Q199" i="15"/>
  <c r="P154" i="15"/>
  <c r="Q154" i="15"/>
  <c r="Q108" i="15"/>
  <c r="P108" i="15"/>
  <c r="Q119" i="15"/>
  <c r="P119" i="15"/>
  <c r="F54" i="10"/>
  <c r="E54" i="10"/>
  <c r="I64" i="9"/>
  <c r="Q173" i="15"/>
  <c r="P173" i="15"/>
  <c r="E77" i="9"/>
  <c r="H40" i="9"/>
  <c r="P183" i="15"/>
  <c r="Q183" i="15"/>
  <c r="P246" i="15"/>
  <c r="Q246" i="15"/>
  <c r="Q34" i="15"/>
  <c r="P34" i="15"/>
  <c r="P58" i="15"/>
  <c r="Q58" i="15"/>
  <c r="P145" i="15"/>
  <c r="Q145" i="15"/>
  <c r="F82" i="9"/>
  <c r="Q40" i="15"/>
  <c r="P40" i="15"/>
  <c r="E49" i="10"/>
  <c r="F49" i="10"/>
  <c r="D35" i="10"/>
  <c r="F55" i="9"/>
  <c r="Q267" i="15"/>
  <c r="P267" i="15"/>
  <c r="Q252" i="15"/>
  <c r="P252" i="15"/>
  <c r="P222" i="15"/>
  <c r="Q222" i="15"/>
  <c r="P186" i="15"/>
  <c r="Q186" i="15"/>
  <c r="E103" i="9"/>
  <c r="Q188" i="15"/>
  <c r="P188" i="15"/>
  <c r="E29" i="9"/>
  <c r="P151" i="15"/>
  <c r="Q151" i="15"/>
  <c r="Q24" i="15"/>
  <c r="P24" i="15"/>
  <c r="P223" i="15"/>
  <c r="Q223" i="15"/>
  <c r="Q171" i="15"/>
  <c r="P171" i="15"/>
  <c r="P178" i="15"/>
  <c r="Q178" i="15"/>
  <c r="P56" i="15"/>
  <c r="Q56" i="15"/>
  <c r="P70" i="15"/>
  <c r="Q70" i="15"/>
  <c r="P39" i="15"/>
  <c r="Q39" i="15"/>
  <c r="Q159" i="15"/>
  <c r="P159" i="15"/>
  <c r="Q91" i="15"/>
  <c r="P91" i="15"/>
  <c r="D22" i="9"/>
  <c r="D24" i="9"/>
  <c r="D23" i="9"/>
  <c r="D21" i="9"/>
  <c r="D25" i="9" s="1"/>
  <c r="D48" i="10" s="1"/>
  <c r="F79" i="10"/>
  <c r="E79" i="10"/>
  <c r="K236" i="14"/>
  <c r="E24" i="9" s="1"/>
  <c r="F15" i="10" l="1"/>
  <c r="E15" i="10"/>
  <c r="F92" i="10"/>
  <c r="E92" i="10"/>
  <c r="D68" i="10"/>
  <c r="F77" i="9"/>
  <c r="F51" i="10"/>
  <c r="E51" i="10"/>
  <c r="F61" i="10"/>
  <c r="E61" i="10"/>
  <c r="F16" i="10"/>
  <c r="E16" i="10"/>
  <c r="F96" i="10"/>
  <c r="E96" i="10"/>
  <c r="B31" i="28"/>
  <c r="D17" i="10"/>
  <c r="J40" i="9"/>
  <c r="F33" i="10"/>
  <c r="E33" i="10"/>
  <c r="D39" i="10"/>
  <c r="D13" i="9"/>
  <c r="D17" i="9"/>
  <c r="D27" i="9"/>
  <c r="D20" i="9"/>
  <c r="J41" i="9"/>
  <c r="D23" i="10"/>
  <c r="D20" i="10"/>
  <c r="J39" i="9"/>
  <c r="J61" i="9"/>
  <c r="D50" i="10"/>
  <c r="F70" i="10"/>
  <c r="E70" i="10"/>
  <c r="J64" i="9"/>
  <c r="D53" i="10"/>
  <c r="F90" i="10"/>
  <c r="E90" i="10"/>
  <c r="C27" i="9"/>
  <c r="D6" i="10"/>
  <c r="C17" i="9"/>
  <c r="C13" i="9"/>
  <c r="C107" i="9" s="1"/>
  <c r="C23" i="9"/>
  <c r="B7" i="28"/>
  <c r="D9" i="10"/>
  <c r="B15" i="11"/>
  <c r="C32" i="9"/>
  <c r="F46" i="10"/>
  <c r="E46" i="10"/>
  <c r="B13" i="28"/>
  <c r="B20" i="28" s="1"/>
  <c r="E15" i="11"/>
  <c r="C104" i="9"/>
  <c r="B35" i="28"/>
  <c r="D49" i="9"/>
  <c r="F42" i="10"/>
  <c r="E42" i="10"/>
  <c r="C24" i="9"/>
  <c r="E41" i="10"/>
  <c r="F41" i="10"/>
  <c r="F75" i="10"/>
  <c r="E75" i="10"/>
  <c r="D28" i="9"/>
  <c r="F48" i="10"/>
  <c r="E48" i="10"/>
  <c r="F11" i="10"/>
  <c r="E11" i="10"/>
  <c r="F57" i="10"/>
  <c r="E57" i="10"/>
  <c r="C20" i="9"/>
  <c r="E21" i="9"/>
  <c r="E25" i="9" s="1"/>
  <c r="D81" i="10" s="1"/>
  <c r="J83" i="9"/>
  <c r="D86" i="10"/>
  <c r="E23" i="9"/>
  <c r="F66" i="10"/>
  <c r="E66" i="10"/>
  <c r="F100" i="10"/>
  <c r="E100" i="10"/>
  <c r="F18" i="10"/>
  <c r="E18" i="10"/>
  <c r="F35" i="10"/>
  <c r="E35" i="10"/>
  <c r="E28" i="9"/>
  <c r="F37" i="10"/>
  <c r="E37" i="10"/>
  <c r="D34" i="9"/>
  <c r="D44" i="10"/>
  <c r="D104" i="9"/>
  <c r="E22" i="9"/>
  <c r="F31" i="10"/>
  <c r="E31" i="10"/>
  <c r="F59" i="10"/>
  <c r="E59" i="10"/>
  <c r="F56" i="10"/>
  <c r="E56" i="10"/>
  <c r="E17" i="11"/>
  <c r="E104" i="9"/>
  <c r="D72" i="10"/>
  <c r="E17" i="9"/>
  <c r="E27" i="9"/>
  <c r="E20" i="9"/>
  <c r="E13" i="9"/>
  <c r="F40" i="10"/>
  <c r="E40" i="10"/>
  <c r="E5" i="10"/>
  <c r="F5" i="10"/>
  <c r="D83" i="10"/>
  <c r="J81" i="9"/>
  <c r="D89" i="10"/>
  <c r="J82" i="9"/>
  <c r="J63" i="9"/>
  <c r="F81" i="10" l="1"/>
  <c r="E81" i="10"/>
  <c r="E53" i="10"/>
  <c r="F53" i="10"/>
  <c r="C15" i="9"/>
  <c r="D33" i="9"/>
  <c r="D43" i="10"/>
  <c r="D107" i="9"/>
  <c r="D15" i="9"/>
  <c r="F72" i="10"/>
  <c r="E72" i="10"/>
  <c r="E89" i="10"/>
  <c r="F89" i="10"/>
  <c r="F83" i="10"/>
  <c r="E83" i="10"/>
  <c r="F39" i="10"/>
  <c r="E39" i="10"/>
  <c r="F9" i="10"/>
  <c r="E9" i="10"/>
  <c r="B37" i="28"/>
  <c r="A38" i="8" s="1"/>
  <c r="D28" i="10"/>
  <c r="F50" i="10"/>
  <c r="E50" i="10"/>
  <c r="F86" i="10"/>
  <c r="E86" i="10"/>
  <c r="D16" i="11"/>
  <c r="D47" i="10"/>
  <c r="B11" i="28"/>
  <c r="D15" i="11"/>
  <c r="D14" i="10"/>
  <c r="D76" i="10"/>
  <c r="E33" i="9"/>
  <c r="E107" i="9"/>
  <c r="E15" i="9"/>
  <c r="B38" i="28"/>
  <c r="F68" i="10"/>
  <c r="E68" i="10"/>
  <c r="B8" i="28"/>
  <c r="D10" i="10"/>
  <c r="C33" i="9"/>
  <c r="E17" i="10"/>
  <c r="F17" i="10"/>
  <c r="D17" i="11"/>
  <c r="D80" i="10"/>
  <c r="F20" i="10"/>
  <c r="E20" i="10"/>
  <c r="F44" i="10"/>
  <c r="E44" i="10"/>
  <c r="F6" i="10"/>
  <c r="E6" i="10"/>
  <c r="E23" i="10"/>
  <c r="F23" i="10"/>
  <c r="C17" i="11" l="1"/>
  <c r="E35" i="9"/>
  <c r="D78" i="10"/>
  <c r="C16" i="11"/>
  <c r="D35" i="9"/>
  <c r="D45" i="10"/>
  <c r="F28" i="10"/>
  <c r="E28" i="10"/>
  <c r="F76" i="10"/>
  <c r="E76" i="10"/>
  <c r="F14" i="10"/>
  <c r="E14" i="10"/>
  <c r="F43" i="10"/>
  <c r="E43" i="10"/>
  <c r="F10" i="10"/>
  <c r="E10" i="10"/>
  <c r="E47" i="10"/>
  <c r="F47" i="10"/>
  <c r="B10" i="28"/>
  <c r="C15" i="11"/>
  <c r="C35" i="9"/>
  <c r="D12" i="10"/>
  <c r="F80" i="10"/>
  <c r="E80" i="10"/>
  <c r="F78" i="10" l="1"/>
  <c r="I6" i="10" s="1"/>
  <c r="E78" i="10"/>
  <c r="F12" i="10"/>
  <c r="I5" i="10" s="1"/>
  <c r="E12" i="10"/>
  <c r="B19" i="28"/>
  <c r="A37" i="8"/>
  <c r="F45" i="10"/>
  <c r="E45" i="10"/>
</calcChain>
</file>

<file path=xl/sharedStrings.xml><?xml version="1.0" encoding="utf-8"?>
<sst xmlns="http://schemas.openxmlformats.org/spreadsheetml/2006/main" count="3246" uniqueCount="1735">
  <si>
    <t>Tham số</t>
  </si>
  <si>
    <t>Mã</t>
  </si>
  <si>
    <t>Giá trị</t>
  </si>
  <si>
    <t>Đơn vị</t>
  </si>
  <si>
    <t>Lý do đề xuất</t>
  </si>
  <si>
    <t>Cửa sổ lịch sử thanh toán</t>
  </si>
  <si>
    <t>lookback</t>
  </si>
  <si>
    <t>ngày</t>
  </si>
  <si>
    <t>Đủ 2 quý để thấy thói quen trả của khách, không quá cũ.</t>
  </si>
  <si>
    <t>Ngưỡng trễ bình quân để gắn cờ</t>
  </si>
  <si>
    <t>late</t>
  </si>
  <si>
    <t>Ngưỡng quá hạn để gắn cờ</t>
  </si>
  <si>
    <t>overdue</t>
  </si>
  <si>
    <t>Có hóa đơn quá hạn hơn 1 tháng là dấu hiệu rủi ro rõ.</t>
  </si>
  <si>
    <t>Ngưỡng tập trung khách hàng</t>
  </si>
  <si>
    <t>conc</t>
  </si>
  <si>
    <t>tỷ lệ</t>
  </si>
  <si>
    <t>Một khách chiếm quá nửa phải thu thì chậm trả của khách đó quyết định thanh khoản.</t>
  </si>
  <si>
    <t>Ngưỡng tồn lâu – nguyên phụ liệu</t>
  </si>
  <si>
    <t>NVL</t>
  </si>
  <si>
    <t>Ngưỡng tồn lâu – bán thành phẩm</t>
  </si>
  <si>
    <t>BTP</t>
  </si>
  <si>
    <t>Hàng trên chuyền may bình thường chỉ vài ngày đến vài tuần.</t>
  </si>
  <si>
    <t>Ngưỡng tồn lâu – thành phẩm</t>
  </si>
  <si>
    <t>TP</t>
  </si>
  <si>
    <t>Thành phẩm chờ xuất quá 1 tháng là chậm giao hoặc khách chưa nhận.</t>
  </si>
  <si>
    <t>Ngưỡng kỳ hạn ngắn của nhà cung cấp</t>
  </si>
  <si>
    <t>short</t>
  </si>
  <si>
    <t>Sai lệch doanh thu cho phép (DQ-01)</t>
  </si>
  <si>
    <t>tol</t>
  </si>
  <si>
    <t>Cho phép lệch nhỏ do làm tròn, hóa đơn điều chỉnh.</t>
  </si>
  <si>
    <t>Số nguyên nhân nêu tên mỗi loại</t>
  </si>
  <si>
    <t>topn</t>
  </si>
  <si>
    <t>mục</t>
  </si>
  <si>
    <t>Đủ để chủ doanh nghiệp tập trung xử lý.</t>
  </si>
  <si>
    <t>Loại tồn kho bị loại trừ</t>
  </si>
  <si>
    <t>excl</t>
  </si>
  <si>
    <t>HGC</t>
  </si>
  <si>
    <t>mã</t>
  </si>
  <si>
    <t>Hàng nhận gia công không phải tài sản của doanh nghiệp.</t>
  </si>
  <si>
    <t>Tham chiếu ngành (DN dệt may niêm yết VGT, MSH, TNG – theo báo cáo ngành của nhóm, chưa kiểm chứng độc lập)</t>
  </si>
  <si>
    <t>Chỉ số</t>
  </si>
  <si>
    <t>Thấp nhất</t>
  </si>
  <si>
    <t>Cao nhất</t>
  </si>
  <si>
    <t>Phương pháp</t>
  </si>
  <si>
    <t>Cách dùng</t>
  </si>
  <si>
    <t>DSO</t>
  </si>
  <si>
    <t>Số dư bình quân / 365 (khác phương pháp tác vụ 1)</t>
  </si>
  <si>
    <t>Chỉ so định hướng, không kết luận tốt xấu tuyệt đối; DN niêm yết lớn hơn SME nhiều.</t>
  </si>
  <si>
    <t>DIO</t>
  </si>
  <si>
    <t>DPO</t>
  </si>
  <si>
    <t>CCC</t>
  </si>
  <si>
    <t>ID</t>
  </si>
  <si>
    <t>Chỉ tiêu</t>
  </si>
  <si>
    <t>F01</t>
  </si>
  <si>
    <t>F02</t>
  </si>
  <si>
    <t>F03</t>
  </si>
  <si>
    <t>T1-01</t>
  </si>
  <si>
    <t>Doanh thu kỳ</t>
  </si>
  <si>
    <t>VND</t>
  </si>
  <si>
    <t>T1-02</t>
  </si>
  <si>
    <t>Giá vốn kỳ</t>
  </si>
  <si>
    <t>T1-03</t>
  </si>
  <si>
    <t>Phải thu</t>
  </si>
  <si>
    <t>T1-04</t>
  </si>
  <si>
    <t>Tồn kho (không gồm HGC)</t>
  </si>
  <si>
    <t>T1-04b</t>
  </si>
  <si>
    <t>Hàng nhận gia công bị loại trừ</t>
  </si>
  <si>
    <t>T1-05</t>
  </si>
  <si>
    <t>Phải trả</t>
  </si>
  <si>
    <t>T1-06</t>
  </si>
  <si>
    <t>Mua hàng trong kỳ</t>
  </si>
  <si>
    <t>T1-07</t>
  </si>
  <si>
    <t>T1-08</t>
  </si>
  <si>
    <t>T1-09</t>
  </si>
  <si>
    <t>T1-10</t>
  </si>
  <si>
    <t>T1-11</t>
  </si>
  <si>
    <t>T1-08b</t>
  </si>
  <si>
    <t>DIO nếu tính nhầm cả hàng nhận gia công</t>
  </si>
  <si>
    <t>T1-20</t>
  </si>
  <si>
    <t>Doanh thu bình quân ngày</t>
  </si>
  <si>
    <t>T1-21</t>
  </si>
  <si>
    <t>Giá vốn bình quân ngày</t>
  </si>
  <si>
    <t>T1-22</t>
  </si>
  <si>
    <t>T1-34a</t>
  </si>
  <si>
    <t>Phải thu chưa đến hạn</t>
  </si>
  <si>
    <t>T1-34b</t>
  </si>
  <si>
    <t>Quá hạn 1–30 ngày</t>
  </si>
  <si>
    <t>T1-34c</t>
  </si>
  <si>
    <t>Quá hạn 31–60 ngày</t>
  </si>
  <si>
    <t>T1-34d</t>
  </si>
  <si>
    <t>Quá hạn &gt; 60 ngày</t>
  </si>
  <si>
    <t>T1-35</t>
  </si>
  <si>
    <t>Tỷ lệ quá hạn</t>
  </si>
  <si>
    <t>%</t>
  </si>
  <si>
    <t>T1-44</t>
  </si>
  <si>
    <t>Giá trị hàng tồn lâu</t>
  </si>
  <si>
    <t>T1-44b</t>
  </si>
  <si>
    <t>Tỷ trọng hàng tồn lâu</t>
  </si>
  <si>
    <t>T1-54</t>
  </si>
  <si>
    <t>Tiết kiệm nếu nhận chiết khấu trả sớm</t>
  </si>
  <si>
    <t>T1-54b</t>
  </si>
  <si>
    <t>Lãi suất ngầm định cao nhất</t>
  </si>
  <si>
    <t>%/năm</t>
  </si>
  <si>
    <t>T1-61</t>
  </si>
  <si>
    <t>DQ-01 lệch doanh thu</t>
  </si>
  <si>
    <t>T1-61b</t>
  </si>
  <si>
    <t>DQ-01 kết quả</t>
  </si>
  <si>
    <t>T1-60a</t>
  </si>
  <si>
    <t>DSO so tham chiếu</t>
  </si>
  <si>
    <t>T1-60b</t>
  </si>
  <si>
    <t>DIO so tham chiếu</t>
  </si>
  <si>
    <t>T1-60c</t>
  </si>
  <si>
    <t>DPO so tham chiếu</t>
  </si>
  <si>
    <t>T1-60d</t>
  </si>
  <si>
    <t>CCC so tham chiếu</t>
  </si>
  <si>
    <t>F01 – Phải thu theo khách hàng (lớp C)</t>
  </si>
  <si>
    <t>Khách hàng</t>
  </si>
  <si>
    <t>Tỷ trọng</t>
  </si>
  <si>
    <t>Đóng góp DSO</t>
  </si>
  <si>
    <t>Số HĐ mở</t>
  </si>
  <si>
    <t>Quá hạn</t>
  </si>
  <si>
    <t>Max ngày quá hạn</t>
  </si>
  <si>
    <t>Trễ BQ có trọng số</t>
  </si>
  <si>
    <t>Kỳ hạn BQ</t>
  </si>
  <si>
    <t>Cờ khách hàng</t>
  </si>
  <si>
    <t>Nhà xuất khẩu K2</t>
  </si>
  <si>
    <t>Nhà xuất khẩu Lớn K1</t>
  </si>
  <si>
    <t>Thương hiệu nội địa K3</t>
  </si>
  <si>
    <t>F01 – Tồn kho theo dòng hàng (lớp D)</t>
  </si>
  <si>
    <t>Dòng hàng</t>
  </si>
  <si>
    <t>Loại</t>
  </si>
  <si>
    <t>Đóng góp DIO</t>
  </si>
  <si>
    <t>Số ngày tồn</t>
  </si>
  <si>
    <t>Ngưỡng</t>
  </si>
  <si>
    <t>Cờ tồn lâu</t>
  </si>
  <si>
    <t>Vải tự mua cho đơn FOB</t>
  </si>
  <si>
    <t>Phụ liệu (chỉ, nút, khóa, nhãn)</t>
  </si>
  <si>
    <t>Bán thành phẩm trên chuyền</t>
  </si>
  <si>
    <t>Thành phẩm chờ xuất (đơn K2)</t>
  </si>
  <si>
    <t>Phụ liệu đơn hàng bị hủy mùa Hè</t>
  </si>
  <si>
    <t>Vải của Nhà xuất khẩu K1 giao để gia công</t>
  </si>
  <si>
    <t>F01 – Phải trả theo nhà cung cấp (lớp E)</t>
  </si>
  <si>
    <t>Nhà cung cấp</t>
  </si>
  <si>
    <t>Đóng góp DPO</t>
  </si>
  <si>
    <t>Mua trong kỳ</t>
  </si>
  <si>
    <t>Cờ kỳ hạn ngắn</t>
  </si>
  <si>
    <t>Bao bì – phụ liệu Gamma (F03)</t>
  </si>
  <si>
    <t>Chỉ – nút – khóa NCC4</t>
  </si>
  <si>
    <t>Nhà phân phối vải Beta (F02)</t>
  </si>
  <si>
    <t>Vận tải nội địa NCC5</t>
  </si>
  <si>
    <t>F02 – Phải thu theo khách hàng (lớp C)</t>
  </si>
  <si>
    <t>Xưởng may KH2</t>
  </si>
  <si>
    <t>Xưởng may KH3</t>
  </si>
  <si>
    <t>Xưởng may KH4</t>
  </si>
  <si>
    <t>Xưởng may gia công Alpha (F01)</t>
  </si>
  <si>
    <t>F02 – Tồn kho theo dòng hàng (lớp D)</t>
  </si>
  <si>
    <t>Vải cotton nhập khẩu</t>
  </si>
  <si>
    <t>Vải polyester nhập khẩu</t>
  </si>
  <si>
    <t>Vải kaki tồn từ mùa trước</t>
  </si>
  <si>
    <t>Hàng đang trên đường về cảng</t>
  </si>
  <si>
    <t>F02 – Phải trả theo nhà cung cấp (lớp E)</t>
  </si>
  <si>
    <t>Logistics – thông quan S3</t>
  </si>
  <si>
    <t>Nhà máy vải nước ngoài S1</t>
  </si>
  <si>
    <t>Nhà máy vải nước ngoài S2</t>
  </si>
  <si>
    <t>F03 – Phải thu theo khách hàng (lớp C)</t>
  </si>
  <si>
    <t>Xưởng may KH5</t>
  </si>
  <si>
    <t>F03 – Tồn kho theo dòng hàng (lớp D)</t>
  </si>
  <si>
    <t>Giấy cuộn</t>
  </si>
  <si>
    <t>Mực in, keo</t>
  </si>
  <si>
    <t>Thùng carton thành phẩm</t>
  </si>
  <si>
    <t>Thẻ bài in theo mẫu đã đổi thiết kế</t>
  </si>
  <si>
    <t>F03 – Phải trả theo nhà cung cấp (lớp E)</t>
  </si>
  <si>
    <t>Giấy cuộn – NCC P1</t>
  </si>
  <si>
    <t>Mực in – NCC P2</t>
  </si>
  <si>
    <t>Điện – NCC P3</t>
  </si>
  <si>
    <t>DN</t>
  </si>
  <si>
    <t>Hạng mục</t>
  </si>
  <si>
    <t>Chênh lệch</t>
  </si>
  <si>
    <t>Kết quả</t>
  </si>
  <si>
    <t>Tổng hợp</t>
  </si>
  <si>
    <t>Số hạng mục Đạt</t>
  </si>
  <si>
    <t>Tồn kho</t>
  </si>
  <si>
    <t>Số hạng mục Không đạt</t>
  </si>
  <si>
    <t>DPO trên mua hàng</t>
  </si>
  <si>
    <t>Vốn lưu động bị giữ</t>
  </si>
  <si>
    <t>Đóng góp DSO – Nhà xuất khẩu Lớn K1</t>
  </si>
  <si>
    <t>Trễ BQ – Nhà xuất khẩu Lớn K1</t>
  </si>
  <si>
    <t>Max ngày quá hạn – Nhà xuất khẩu Lớn K1</t>
  </si>
  <si>
    <t>Đóng góp DSO – Nhà xuất khẩu K2</t>
  </si>
  <si>
    <t>Trễ BQ – Nhà xuất khẩu K2</t>
  </si>
  <si>
    <t>Max ngày quá hạn – Nhà xuất khẩu K2</t>
  </si>
  <si>
    <t>Đóng góp DSO – Thương hiệu nội địa K3</t>
  </si>
  <si>
    <t>Trễ BQ – Thương hiệu nội địa K3</t>
  </si>
  <si>
    <t>Max ngày quá hạn – Thương hiệu nội địa K3</t>
  </si>
  <si>
    <t>Đóng góp DIO – Vải tự mua cho đơn FOB</t>
  </si>
  <si>
    <t>Đóng góp DIO – Bán thành phẩm trên chuyền</t>
  </si>
  <si>
    <t>Đóng góp DIO – Phụ liệu (chỉ, nút, khóa, nhãn)</t>
  </si>
  <si>
    <t>Đóng góp DIO – Phụ liệu đơn hàng bị hủy mùa Hè</t>
  </si>
  <si>
    <t>Đóng góp DIO – Thành phẩm chờ xuất (đơn K2)</t>
  </si>
  <si>
    <t>Đóng góp DPO – Nhà phân phối vải Beta (F02)</t>
  </si>
  <si>
    <t>Kỳ hạn BQ – Nhà phân phối vải Beta (F02)</t>
  </si>
  <si>
    <t>Đóng góp DPO – Bao bì – phụ liệu Gamma (F03)</t>
  </si>
  <si>
    <t>Kỳ hạn BQ – Bao bì – phụ liệu Gamma (F03)</t>
  </si>
  <si>
    <t>Đóng góp DPO – Chỉ – nút – khóa NCC4</t>
  </si>
  <si>
    <t>Kỳ hạn BQ – Chỉ – nút – khóa NCC4</t>
  </si>
  <si>
    <t>Đóng góp DPO – Vận tải nội địa NCC5</t>
  </si>
  <si>
    <t>Kỳ hạn BQ – Vận tải nội địa NCC5</t>
  </si>
  <si>
    <t>Đóng góp DSO – Xưởng may KH2</t>
  </si>
  <si>
    <t>Trễ BQ – Xưởng may KH2</t>
  </si>
  <si>
    <t>Max ngày quá hạn – Xưởng may KH2</t>
  </si>
  <si>
    <t>Đóng góp DSO – Xưởng may gia công Alpha (F01)</t>
  </si>
  <si>
    <t>Trễ BQ – Xưởng may gia công Alpha (F01)</t>
  </si>
  <si>
    <t>Max ngày quá hạn – Xưởng may gia công Alpha (F01)</t>
  </si>
  <si>
    <t>Đóng góp DSO – Xưởng may KH4</t>
  </si>
  <si>
    <t>Trễ BQ – Xưởng may KH4</t>
  </si>
  <si>
    <t>Max ngày quá hạn – Xưởng may KH4</t>
  </si>
  <si>
    <t>Đóng góp DSO – Xưởng may KH3</t>
  </si>
  <si>
    <t>Trễ BQ – Xưởng may KH3</t>
  </si>
  <si>
    <t>Max ngày quá hạn – Xưởng may KH3</t>
  </si>
  <si>
    <t>Đóng góp DIO – Vải cotton nhập khẩu</t>
  </si>
  <si>
    <t>Đóng góp DIO – Vải polyester nhập khẩu</t>
  </si>
  <si>
    <t>Đóng góp DIO – Vải kaki tồn từ mùa trước</t>
  </si>
  <si>
    <t>Đóng góp DIO – Hàng đang trên đường về cảng</t>
  </si>
  <si>
    <t>Đóng góp DPO – Nhà máy vải nước ngoài S1</t>
  </si>
  <si>
    <t>Kỳ hạn BQ – Nhà máy vải nước ngoài S1</t>
  </si>
  <si>
    <t>Đóng góp DPO – Nhà máy vải nước ngoài S2</t>
  </si>
  <si>
    <t>Kỳ hạn BQ – Nhà máy vải nước ngoài S2</t>
  </si>
  <si>
    <t>Đóng góp DPO – Logistics – thông quan S3</t>
  </si>
  <si>
    <t>Kỳ hạn BQ – Logistics – thông quan S3</t>
  </si>
  <si>
    <t>Đóng góp DSO – Xưởng may KH5</t>
  </si>
  <si>
    <t>Trễ BQ – Xưởng may KH5</t>
  </si>
  <si>
    <t>Max ngày quá hạn – Xưởng may KH5</t>
  </si>
  <si>
    <t>Đóng góp DIO – Giấy cuộn</t>
  </si>
  <si>
    <t>Đóng góp DIO – Thùng carton thành phẩm</t>
  </si>
  <si>
    <t>Đóng góp DIO – Mực in, keo</t>
  </si>
  <si>
    <t>Đóng góp DIO – Thẻ bài in theo mẫu đã đổi thiết kế</t>
  </si>
  <si>
    <t>Đóng góp DPO – Giấy cuộn – NCC P1</t>
  </si>
  <si>
    <t>Kỳ hạn BQ – Giấy cuộn – NCC P1</t>
  </si>
  <si>
    <t>Đóng góp DPO – Mực in – NCC P2</t>
  </si>
  <si>
    <t>Kỳ hạn BQ – Mực in – NCC P2</t>
  </si>
  <si>
    <t>Đóng góp DPO – Điện – NCC P3</t>
  </si>
  <si>
    <t>Kỳ hạn BQ – Điện – NCC P3</t>
  </si>
  <si>
    <t>Dữ liệu THỬ NGHIỆM; tên doanh nghiệp, khách hàng, nhà cung cấp đều hư cấu.</t>
  </si>
  <si>
    <t>firm_id</t>
  </si>
  <si>
    <t>name</t>
  </si>
  <si>
    <t>industry</t>
  </si>
  <si>
    <t>supply_chain_position</t>
  </si>
  <si>
    <t>min_cash_buffer_vnd</t>
  </si>
  <si>
    <t>Xưởng may gia công Alpha (giả lập)</t>
  </si>
  <si>
    <t>May mặc</t>
  </si>
  <si>
    <t>Nhà thầu phụ may (CMT kết hợp FOB một phần), bán cho nhà xuất khẩu</t>
  </si>
  <si>
    <t>Nhà phân phối vải Beta (giả lập)</t>
  </si>
  <si>
    <t>Thương mại nguyên phụ liệu dệt may</t>
  </si>
  <si>
    <t>Nhập khẩu và phân phối vải cho xưởng may</t>
  </si>
  <si>
    <t>Bao bì – phụ liệu Gamma (giả lập)</t>
  </si>
  <si>
    <t>Sản xuất bao bì, phụ liệu may</t>
  </si>
  <si>
    <t>Cung cấp thùng carton, nhãn, thẻ bài cho xưởng may</t>
  </si>
  <si>
    <t>Dữ liệu THỬ NGHIỆM. revenue_vnd = tổng hóa đơn bán phát hành trong kỳ.</t>
  </si>
  <si>
    <t>period</t>
  </si>
  <si>
    <t>period_days</t>
  </si>
  <si>
    <t>revenue_vnd</t>
  </si>
  <si>
    <t>cogs_vnd</t>
  </si>
  <si>
    <t>opening_cash_vnd</t>
  </si>
  <si>
    <t>2026-07-03..2026-09-30</t>
  </si>
  <si>
    <t>Dữ liệu THỬ NGHIỆM (seed 42), chữ xanh là dữ liệu gốc, cột sau là cột trợ giúp tính bằng công thức. VND chưa VAT.</t>
  </si>
  <si>
    <t>invoice_id</t>
  </si>
  <si>
    <t>buyer</t>
  </si>
  <si>
    <t>amount_vnd</t>
  </si>
  <si>
    <t>issue_date</t>
  </si>
  <si>
    <t>due_date</t>
  </si>
  <si>
    <t>paid_date</t>
  </si>
  <si>
    <t>open</t>
  </si>
  <si>
    <t>in_period</t>
  </si>
  <si>
    <t>dpd</t>
  </si>
  <si>
    <t>bucket</t>
  </si>
  <si>
    <t>hist</t>
  </si>
  <si>
    <t>days_late</t>
  </si>
  <si>
    <t>amt_x_late</t>
  </si>
  <si>
    <t>terms</t>
  </si>
  <si>
    <t>amt_x_terms_hist</t>
  </si>
  <si>
    <t>S-F01-0001</t>
  </si>
  <si>
    <t>S-F01-0002</t>
  </si>
  <si>
    <t>S-F01-0003</t>
  </si>
  <si>
    <t>S-F01-0004</t>
  </si>
  <si>
    <t>S-F01-0005</t>
  </si>
  <si>
    <t>S-F01-0006</t>
  </si>
  <si>
    <t>S-F01-0007</t>
  </si>
  <si>
    <t>S-F01-0008</t>
  </si>
  <si>
    <t>S-F01-0009</t>
  </si>
  <si>
    <t>S-F01-0010</t>
  </si>
  <si>
    <t>S-F01-0011</t>
  </si>
  <si>
    <t>S-F01-0012</t>
  </si>
  <si>
    <t>S-F01-0013</t>
  </si>
  <si>
    <t>S-F01-0014</t>
  </si>
  <si>
    <t>S-F01-0015</t>
  </si>
  <si>
    <t>S-F01-0016</t>
  </si>
  <si>
    <t>S-F01-0017</t>
  </si>
  <si>
    <t>S-F01-0018</t>
  </si>
  <si>
    <t>S-F01-0019</t>
  </si>
  <si>
    <t>S-F01-0020</t>
  </si>
  <si>
    <t>S-F01-0021</t>
  </si>
  <si>
    <t>S-F01-0022</t>
  </si>
  <si>
    <t>S-F01-0023</t>
  </si>
  <si>
    <t>S-F01-0024</t>
  </si>
  <si>
    <t>S-F01-0025</t>
  </si>
  <si>
    <t>S-F01-0026</t>
  </si>
  <si>
    <t>S-F01-0027</t>
  </si>
  <si>
    <t>S-F01-0028</t>
  </si>
  <si>
    <t>S-F01-0029</t>
  </si>
  <si>
    <t>S-F01-0030</t>
  </si>
  <si>
    <t>S-F01-0031</t>
  </si>
  <si>
    <t>S-F01-0032</t>
  </si>
  <si>
    <t>S-F01-0033</t>
  </si>
  <si>
    <t>S-F01-0034</t>
  </si>
  <si>
    <t>S-F01-0035</t>
  </si>
  <si>
    <t>S-F01-0036</t>
  </si>
  <si>
    <t>S-F01-0037</t>
  </si>
  <si>
    <t>S-F01-0038</t>
  </si>
  <si>
    <t>S-F01-0039</t>
  </si>
  <si>
    <t>S-F01-0040</t>
  </si>
  <si>
    <t>S-F01-0041</t>
  </si>
  <si>
    <t>S-F01-0042</t>
  </si>
  <si>
    <t>S-F01-0043</t>
  </si>
  <si>
    <t>S-F01-0044</t>
  </si>
  <si>
    <t>S-F01-0045</t>
  </si>
  <si>
    <t>S-F01-0046</t>
  </si>
  <si>
    <t>S-F01-0047</t>
  </si>
  <si>
    <t>S-F01-0048</t>
  </si>
  <si>
    <t>S-F01-0049</t>
  </si>
  <si>
    <t>S-F01-0050</t>
  </si>
  <si>
    <t>S-F01-0051</t>
  </si>
  <si>
    <t>S-F01-0052</t>
  </si>
  <si>
    <t>S-F01-0053</t>
  </si>
  <si>
    <t>S-F01-0054</t>
  </si>
  <si>
    <t>S-F01-0055</t>
  </si>
  <si>
    <t>S-F01-0056</t>
  </si>
  <si>
    <t>S-F01-0057</t>
  </si>
  <si>
    <t>S-F01-0058</t>
  </si>
  <si>
    <t>S-F01-0059</t>
  </si>
  <si>
    <t>S-F01-0060</t>
  </si>
  <si>
    <t>S-F01-0061</t>
  </si>
  <si>
    <t>S-F01-0062</t>
  </si>
  <si>
    <t>S-F01-0063</t>
  </si>
  <si>
    <t>S-F01-0064</t>
  </si>
  <si>
    <t>S-F01-0065</t>
  </si>
  <si>
    <t>S-F01-0066</t>
  </si>
  <si>
    <t>S-F01-0067</t>
  </si>
  <si>
    <t>S-F01-0068</t>
  </si>
  <si>
    <t>S-F01-0069</t>
  </si>
  <si>
    <t>S-F01-0070</t>
  </si>
  <si>
    <t>S-F01-0071</t>
  </si>
  <si>
    <t>S-F01-0072</t>
  </si>
  <si>
    <t>S-F01-0073</t>
  </si>
  <si>
    <t>S-F01-0074</t>
  </si>
  <si>
    <t>S-F01-0075</t>
  </si>
  <si>
    <t>S-F01-0076</t>
  </si>
  <si>
    <t>S-F01-0077</t>
  </si>
  <si>
    <t>S-F01-0078</t>
  </si>
  <si>
    <t>S-F02-0001</t>
  </si>
  <si>
    <t>S-F02-0002</t>
  </si>
  <si>
    <t>S-F02-0003</t>
  </si>
  <si>
    <t>S-F02-0004</t>
  </si>
  <si>
    <t>S-F02-0005</t>
  </si>
  <si>
    <t>S-F02-0006</t>
  </si>
  <si>
    <t>S-F02-0007</t>
  </si>
  <si>
    <t>S-F02-0008</t>
  </si>
  <si>
    <t>S-F02-0009</t>
  </si>
  <si>
    <t>S-F02-0010</t>
  </si>
  <si>
    <t>S-F02-0011</t>
  </si>
  <si>
    <t>S-F02-0012</t>
  </si>
  <si>
    <t>S-F02-0013</t>
  </si>
  <si>
    <t>S-F02-0014</t>
  </si>
  <si>
    <t>S-F02-0015</t>
  </si>
  <si>
    <t>S-F02-0016</t>
  </si>
  <si>
    <t>S-F02-0017</t>
  </si>
  <si>
    <t>S-F02-0018</t>
  </si>
  <si>
    <t>S-F02-0019</t>
  </si>
  <si>
    <t>S-F02-0020</t>
  </si>
  <si>
    <t>S-F02-0021</t>
  </si>
  <si>
    <t>S-F02-0022</t>
  </si>
  <si>
    <t>S-F02-0023</t>
  </si>
  <si>
    <t>S-F02-0024</t>
  </si>
  <si>
    <t>S-F02-0025</t>
  </si>
  <si>
    <t>S-F02-0026</t>
  </si>
  <si>
    <t>S-F02-0027</t>
  </si>
  <si>
    <t>S-F02-0028</t>
  </si>
  <si>
    <t>S-F02-0029</t>
  </si>
  <si>
    <t>S-F02-0030</t>
  </si>
  <si>
    <t>S-F02-0031</t>
  </si>
  <si>
    <t>S-F02-0032</t>
  </si>
  <si>
    <t>S-F02-0033</t>
  </si>
  <si>
    <t>S-F02-0034</t>
  </si>
  <si>
    <t>S-F02-0035</t>
  </si>
  <si>
    <t>S-F02-0036</t>
  </si>
  <si>
    <t>S-F02-0037</t>
  </si>
  <si>
    <t>S-F02-0038</t>
  </si>
  <si>
    <t>S-F02-0039</t>
  </si>
  <si>
    <t>S-F02-0040</t>
  </si>
  <si>
    <t>S-F02-0041</t>
  </si>
  <si>
    <t>S-F02-0042</t>
  </si>
  <si>
    <t>S-F02-0043</t>
  </si>
  <si>
    <t>S-F02-0044</t>
  </si>
  <si>
    <t>S-F02-0045</t>
  </si>
  <si>
    <t>S-F02-0046</t>
  </si>
  <si>
    <t>S-F02-0047</t>
  </si>
  <si>
    <t>S-F02-0048</t>
  </si>
  <si>
    <t>S-F02-0049</t>
  </si>
  <si>
    <t>S-F02-0050</t>
  </si>
  <si>
    <t>S-F02-0051</t>
  </si>
  <si>
    <t>S-F02-0052</t>
  </si>
  <si>
    <t>S-F02-0053</t>
  </si>
  <si>
    <t>S-F02-0054</t>
  </si>
  <si>
    <t>S-F02-0055</t>
  </si>
  <si>
    <t>S-F02-0056</t>
  </si>
  <si>
    <t>S-F02-0057</t>
  </si>
  <si>
    <t>S-F02-0058</t>
  </si>
  <si>
    <t>S-F02-0059</t>
  </si>
  <si>
    <t>S-F02-0060</t>
  </si>
  <si>
    <t>S-F02-0061</t>
  </si>
  <si>
    <t>S-F02-0062</t>
  </si>
  <si>
    <t>S-F02-0063</t>
  </si>
  <si>
    <t>S-F02-0064</t>
  </si>
  <si>
    <t>S-F02-0065</t>
  </si>
  <si>
    <t>S-F02-0066</t>
  </si>
  <si>
    <t>S-F02-0067</t>
  </si>
  <si>
    <t>S-F02-0068</t>
  </si>
  <si>
    <t>S-F02-0069</t>
  </si>
  <si>
    <t>S-F02-0070</t>
  </si>
  <si>
    <t>S-F02-0071</t>
  </si>
  <si>
    <t>S-F02-0072</t>
  </si>
  <si>
    <t>S-F02-0073</t>
  </si>
  <si>
    <t>S-F02-0074</t>
  </si>
  <si>
    <t>S-F02-0075</t>
  </si>
  <si>
    <t>S-F02-0076</t>
  </si>
  <si>
    <t>S-F02-0077</t>
  </si>
  <si>
    <t>S-F02-0078</t>
  </si>
  <si>
    <t>S-F02-0079</t>
  </si>
  <si>
    <t>S-F02-0080</t>
  </si>
  <si>
    <t>S-F02-0081</t>
  </si>
  <si>
    <t>S-F02-0082</t>
  </si>
  <si>
    <t>S-F02-0083</t>
  </si>
  <si>
    <t>S-F02-0084</t>
  </si>
  <si>
    <t>S-F02-0085</t>
  </si>
  <si>
    <t>S-F02-0086</t>
  </si>
  <si>
    <t>S-F02-0087</t>
  </si>
  <si>
    <t>S-F02-0088</t>
  </si>
  <si>
    <t>S-F02-0089</t>
  </si>
  <si>
    <t>S-F02-0090</t>
  </si>
  <si>
    <t>S-F02-0091</t>
  </si>
  <si>
    <t>S-F02-0092</t>
  </si>
  <si>
    <t>S-F02-0093</t>
  </si>
  <si>
    <t>S-F02-0094</t>
  </si>
  <si>
    <t>S-F02-0095</t>
  </si>
  <si>
    <t>S-F02-0096</t>
  </si>
  <si>
    <t>S-F02-0097</t>
  </si>
  <si>
    <t>S-F02-0098</t>
  </si>
  <si>
    <t>S-F02-0099</t>
  </si>
  <si>
    <t>S-F02-0100</t>
  </si>
  <si>
    <t>S-F02-0101</t>
  </si>
  <si>
    <t>S-F02-0102</t>
  </si>
  <si>
    <t>S-F02-0103</t>
  </si>
  <si>
    <t>S-F02-0104</t>
  </si>
  <si>
    <t>S-F03-0001</t>
  </si>
  <si>
    <t>S-F03-0002</t>
  </si>
  <si>
    <t>S-F03-0003</t>
  </si>
  <si>
    <t>S-F03-0004</t>
  </si>
  <si>
    <t>S-F03-0005</t>
  </si>
  <si>
    <t>S-F03-0006</t>
  </si>
  <si>
    <t>S-F03-0007</t>
  </si>
  <si>
    <t>S-F03-0008</t>
  </si>
  <si>
    <t>S-F03-0009</t>
  </si>
  <si>
    <t>S-F03-0010</t>
  </si>
  <si>
    <t>S-F03-0011</t>
  </si>
  <si>
    <t>S-F03-0012</t>
  </si>
  <si>
    <t>S-F03-0013</t>
  </si>
  <si>
    <t>S-F03-0014</t>
  </si>
  <si>
    <t>S-F03-0015</t>
  </si>
  <si>
    <t>S-F03-0016</t>
  </si>
  <si>
    <t>S-F03-0017</t>
  </si>
  <si>
    <t>S-F03-0018</t>
  </si>
  <si>
    <t>S-F03-0019</t>
  </si>
  <si>
    <t>S-F03-0020</t>
  </si>
  <si>
    <t>S-F03-0021</t>
  </si>
  <si>
    <t>S-F03-0022</t>
  </si>
  <si>
    <t>S-F03-0023</t>
  </si>
  <si>
    <t>S-F03-0024</t>
  </si>
  <si>
    <t>S-F03-0025</t>
  </si>
  <si>
    <t>S-F03-0026</t>
  </si>
  <si>
    <t>S-F03-0027</t>
  </si>
  <si>
    <t>S-F03-0028</t>
  </si>
  <si>
    <t>S-F03-0029</t>
  </si>
  <si>
    <t>S-F03-0030</t>
  </si>
  <si>
    <t>S-F03-0031</t>
  </si>
  <si>
    <t>S-F03-0032</t>
  </si>
  <si>
    <t>S-F03-0033</t>
  </si>
  <si>
    <t>S-F03-0034</t>
  </si>
  <si>
    <t>S-F03-0035</t>
  </si>
  <si>
    <t>S-F03-0036</t>
  </si>
  <si>
    <t>S-F03-0037</t>
  </si>
  <si>
    <t>S-F03-0038</t>
  </si>
  <si>
    <t>S-F03-0039</t>
  </si>
  <si>
    <t>S-F03-0040</t>
  </si>
  <si>
    <t>S-F03-0041</t>
  </si>
  <si>
    <t>S-F03-0042</t>
  </si>
  <si>
    <t>S-F03-0043</t>
  </si>
  <si>
    <t>S-F03-0044</t>
  </si>
  <si>
    <t>S-F03-0045</t>
  </si>
  <si>
    <t>S-F03-0046</t>
  </si>
  <si>
    <t>S-F03-0047</t>
  </si>
  <si>
    <t>S-F03-0048</t>
  </si>
  <si>
    <t>S-F03-0049</t>
  </si>
  <si>
    <t>S-F03-0050</t>
  </si>
  <si>
    <t>S-F03-0051</t>
  </si>
  <si>
    <t>S-F03-0052</t>
  </si>
  <si>
    <t>S-F03-0053</t>
  </si>
  <si>
    <t>S-F03-0054</t>
  </si>
  <si>
    <t>S-F03-0055</t>
  </si>
  <si>
    <t>S-F03-0056</t>
  </si>
  <si>
    <t>S-F03-0057</t>
  </si>
  <si>
    <t>S-F03-0058</t>
  </si>
  <si>
    <t>S-F03-0059</t>
  </si>
  <si>
    <t>S-F03-0060</t>
  </si>
  <si>
    <t>S-F03-0061</t>
  </si>
  <si>
    <t>S-F03-0062</t>
  </si>
  <si>
    <t>S-F03-0063</t>
  </si>
  <si>
    <t>S-F03-0064</t>
  </si>
  <si>
    <t>S-F03-0065</t>
  </si>
  <si>
    <t>S-F03-0066</t>
  </si>
  <si>
    <t>S-F03-0067</t>
  </si>
  <si>
    <t>S-F03-0068</t>
  </si>
  <si>
    <t>S-F03-0069</t>
  </si>
  <si>
    <t>S-F03-0070</t>
  </si>
  <si>
    <t>S-F03-0071</t>
  </si>
  <si>
    <t>S-F03-0072</t>
  </si>
  <si>
    <t>S-F03-0073</t>
  </si>
  <si>
    <t>S-F03-0074</t>
  </si>
  <si>
    <t>S-F03-0075</t>
  </si>
  <si>
    <t>S-F03-0076</t>
  </si>
  <si>
    <t>S-F03-0077</t>
  </si>
  <si>
    <t>S-F03-0078</t>
  </si>
  <si>
    <t>S-F03-0079</t>
  </si>
  <si>
    <t>Dữ liệu THỬ NGHIỆM (seed 42). Cột sau cột discount_days là cột trợ giúp.</t>
  </si>
  <si>
    <t>supplier</t>
  </si>
  <si>
    <t>early_discount_pct</t>
  </si>
  <si>
    <t>discount_days</t>
  </si>
  <si>
    <t>amt_x_terms_period</t>
  </si>
  <si>
    <t>disc_deadline</t>
  </si>
  <si>
    <t>disc_eligible</t>
  </si>
  <si>
    <t>implied_rate</t>
  </si>
  <si>
    <t>saving_vnd</t>
  </si>
  <si>
    <t>P-F01-0001</t>
  </si>
  <si>
    <t>P-F01-0002</t>
  </si>
  <si>
    <t>P-F01-0003</t>
  </si>
  <si>
    <t>P-F01-0004</t>
  </si>
  <si>
    <t>P-F01-0005</t>
  </si>
  <si>
    <t>P-F01-0006</t>
  </si>
  <si>
    <t>P-F01-0007</t>
  </si>
  <si>
    <t>P-F01-0008</t>
  </si>
  <si>
    <t>P-F01-0009</t>
  </si>
  <si>
    <t>P-F01-0010</t>
  </si>
  <si>
    <t>P-F01-0011</t>
  </si>
  <si>
    <t>P-F01-0012</t>
  </si>
  <si>
    <t>P-F01-0013</t>
  </si>
  <si>
    <t>P-F01-0014</t>
  </si>
  <si>
    <t>P-F01-0015</t>
  </si>
  <si>
    <t>P-F01-0016</t>
  </si>
  <si>
    <t>P-F01-0017</t>
  </si>
  <si>
    <t>P-F01-0018</t>
  </si>
  <si>
    <t>P-F01-0019</t>
  </si>
  <si>
    <t>P-F01-0020</t>
  </si>
  <si>
    <t>P-F01-0021</t>
  </si>
  <si>
    <t>P-F01-0022</t>
  </si>
  <si>
    <t>P-F01-0023</t>
  </si>
  <si>
    <t>P-F01-0024</t>
  </si>
  <si>
    <t>P-F01-0025</t>
  </si>
  <si>
    <t>P-F01-0026</t>
  </si>
  <si>
    <t>P-F01-0027</t>
  </si>
  <si>
    <t>P-F01-0028</t>
  </si>
  <si>
    <t>P-F01-0029</t>
  </si>
  <si>
    <t>P-F01-0030</t>
  </si>
  <si>
    <t>P-F01-0031</t>
  </si>
  <si>
    <t>P-F01-0032</t>
  </si>
  <si>
    <t>P-F01-0033</t>
  </si>
  <si>
    <t>P-F01-0034</t>
  </si>
  <si>
    <t>P-F01-0035</t>
  </si>
  <si>
    <t>P-F01-0036</t>
  </si>
  <si>
    <t>P-F01-0037</t>
  </si>
  <si>
    <t>P-F01-0038</t>
  </si>
  <si>
    <t>P-F01-0039</t>
  </si>
  <si>
    <t>P-F01-0040</t>
  </si>
  <si>
    <t>P-F01-0041</t>
  </si>
  <si>
    <t>P-F01-0042</t>
  </si>
  <si>
    <t>P-F01-0043</t>
  </si>
  <si>
    <t>P-F01-0044</t>
  </si>
  <si>
    <t>P-F01-0045</t>
  </si>
  <si>
    <t>P-F01-0046</t>
  </si>
  <si>
    <t>P-F01-0047</t>
  </si>
  <si>
    <t>P-F01-0048</t>
  </si>
  <si>
    <t>P-F01-0049</t>
  </si>
  <si>
    <t>P-F01-0050</t>
  </si>
  <si>
    <t>P-F01-0051</t>
  </si>
  <si>
    <t>P-F01-0052</t>
  </si>
  <si>
    <t>P-F01-0053</t>
  </si>
  <si>
    <t>P-F01-0054</t>
  </si>
  <si>
    <t>P-F01-0055</t>
  </si>
  <si>
    <t>P-F01-0056</t>
  </si>
  <si>
    <t>P-F01-0057</t>
  </si>
  <si>
    <t>P-F01-0058</t>
  </si>
  <si>
    <t>P-F01-0059</t>
  </si>
  <si>
    <t>P-F01-0060</t>
  </si>
  <si>
    <t>P-F01-0061</t>
  </si>
  <si>
    <t>P-F01-0062</t>
  </si>
  <si>
    <t>P-F01-0063</t>
  </si>
  <si>
    <t>P-F01-0064</t>
  </si>
  <si>
    <t>P-F01-0065</t>
  </si>
  <si>
    <t>P-F01-0066</t>
  </si>
  <si>
    <t>P-F01-0067</t>
  </si>
  <si>
    <t>P-F01-0068</t>
  </si>
  <si>
    <t>P-F01-0069</t>
  </si>
  <si>
    <t>P-F01-0070</t>
  </si>
  <si>
    <t>P-F01-0071</t>
  </si>
  <si>
    <t>P-F01-0072</t>
  </si>
  <si>
    <t>P-F01-0073</t>
  </si>
  <si>
    <t>P-F01-0074</t>
  </si>
  <si>
    <t>P-F01-0075</t>
  </si>
  <si>
    <t>P-F01-0076</t>
  </si>
  <si>
    <t>P-F01-0077</t>
  </si>
  <si>
    <t>P-F01-0078</t>
  </si>
  <si>
    <t>P-F01-0079</t>
  </si>
  <si>
    <t>P-F01-0080</t>
  </si>
  <si>
    <t>P-F01-0081</t>
  </si>
  <si>
    <t>P-F01-0082</t>
  </si>
  <si>
    <t>P-F01-0083</t>
  </si>
  <si>
    <t>P-F01-0084</t>
  </si>
  <si>
    <t>P-F01-0085</t>
  </si>
  <si>
    <t>P-F01-0086</t>
  </si>
  <si>
    <t>P-F01-0087</t>
  </si>
  <si>
    <t>P-F01-0088</t>
  </si>
  <si>
    <t>P-F01-0089</t>
  </si>
  <si>
    <t>P-F01-0090</t>
  </si>
  <si>
    <t>P-F01-0091</t>
  </si>
  <si>
    <t>P-F01-0092</t>
  </si>
  <si>
    <t>P-F01-0093</t>
  </si>
  <si>
    <t>P-F01-0094</t>
  </si>
  <si>
    <t>P-F01-0095</t>
  </si>
  <si>
    <t>P-F01-0096</t>
  </si>
  <si>
    <t>P-F01-0097</t>
  </si>
  <si>
    <t>P-F01-0098</t>
  </si>
  <si>
    <t>P-F01-0099</t>
  </si>
  <si>
    <t>P-F01-0100</t>
  </si>
  <si>
    <t>P-F01-0101</t>
  </si>
  <si>
    <t>P-F01-0102</t>
  </si>
  <si>
    <t>P-F01-0103</t>
  </si>
  <si>
    <t>P-F01-0104</t>
  </si>
  <si>
    <t>P-F01-0105</t>
  </si>
  <si>
    <t>P-F01-0106</t>
  </si>
  <si>
    <t>P-F02-0001</t>
  </si>
  <si>
    <t>P-F02-0002</t>
  </si>
  <si>
    <t>P-F02-0003</t>
  </si>
  <si>
    <t>P-F02-0004</t>
  </si>
  <si>
    <t>P-F02-0005</t>
  </si>
  <si>
    <t>P-F02-0006</t>
  </si>
  <si>
    <t>P-F02-0007</t>
  </si>
  <si>
    <t>P-F02-0008</t>
  </si>
  <si>
    <t>P-F02-0009</t>
  </si>
  <si>
    <t>P-F02-0010</t>
  </si>
  <si>
    <t>P-F02-0011</t>
  </si>
  <si>
    <t>P-F02-0012</t>
  </si>
  <si>
    <t>P-F02-0013</t>
  </si>
  <si>
    <t>P-F02-0014</t>
  </si>
  <si>
    <t>P-F02-0015</t>
  </si>
  <si>
    <t>P-F02-0016</t>
  </si>
  <si>
    <t>P-F02-0017</t>
  </si>
  <si>
    <t>P-F02-0018</t>
  </si>
  <si>
    <t>P-F02-0019</t>
  </si>
  <si>
    <t>P-F02-0020</t>
  </si>
  <si>
    <t>P-F02-0021</t>
  </si>
  <si>
    <t>P-F02-0022</t>
  </si>
  <si>
    <t>P-F02-0023</t>
  </si>
  <si>
    <t>P-F02-0024</t>
  </si>
  <si>
    <t>P-F02-0025</t>
  </si>
  <si>
    <t>P-F02-0026</t>
  </si>
  <si>
    <t>P-F02-0027</t>
  </si>
  <si>
    <t>P-F02-0028</t>
  </si>
  <si>
    <t>P-F02-0029</t>
  </si>
  <si>
    <t>P-F02-0030</t>
  </si>
  <si>
    <t>P-F02-0031</t>
  </si>
  <si>
    <t>P-F02-0032</t>
  </si>
  <si>
    <t>P-F02-0033</t>
  </si>
  <si>
    <t>P-F02-0034</t>
  </si>
  <si>
    <t>P-F02-0035</t>
  </si>
  <si>
    <t>P-F02-0036</t>
  </si>
  <si>
    <t>P-F02-0037</t>
  </si>
  <si>
    <t>P-F02-0038</t>
  </si>
  <si>
    <t>P-F02-0039</t>
  </si>
  <si>
    <t>P-F02-0040</t>
  </si>
  <si>
    <t>P-F02-0041</t>
  </si>
  <si>
    <t>P-F02-0042</t>
  </si>
  <si>
    <t>P-F02-0043</t>
  </si>
  <si>
    <t>P-F02-0044</t>
  </si>
  <si>
    <t>P-F02-0045</t>
  </si>
  <si>
    <t>P-F02-0046</t>
  </si>
  <si>
    <t>P-F02-0047</t>
  </si>
  <si>
    <t>P-F02-0048</t>
  </si>
  <si>
    <t>P-F02-0049</t>
  </si>
  <si>
    <t>P-F02-0050</t>
  </si>
  <si>
    <t>P-F02-0051</t>
  </si>
  <si>
    <t>P-F02-0052</t>
  </si>
  <si>
    <t>P-F02-0053</t>
  </si>
  <si>
    <t>P-F02-0054</t>
  </si>
  <si>
    <t>P-F02-0055</t>
  </si>
  <si>
    <t>P-F02-0056</t>
  </si>
  <si>
    <t>P-F02-0057</t>
  </si>
  <si>
    <t>P-F02-0058</t>
  </si>
  <si>
    <t>P-F02-0059</t>
  </si>
  <si>
    <t>P-F02-0060</t>
  </si>
  <si>
    <t>P-F02-0061</t>
  </si>
  <si>
    <t>P-F02-0062</t>
  </si>
  <si>
    <t>P-F02-0063</t>
  </si>
  <si>
    <t>P-F02-0064</t>
  </si>
  <si>
    <t>P-F02-0065</t>
  </si>
  <si>
    <t>P-F02-0066</t>
  </si>
  <si>
    <t>P-F02-0067</t>
  </si>
  <si>
    <t>P-F02-0068</t>
  </si>
  <si>
    <t>P-F02-0069</t>
  </si>
  <si>
    <t>P-F02-0070</t>
  </si>
  <si>
    <t>P-F02-0071</t>
  </si>
  <si>
    <t>P-F02-0072</t>
  </si>
  <si>
    <t>P-F02-0073</t>
  </si>
  <si>
    <t>P-F02-0074</t>
  </si>
  <si>
    <t>P-F02-0075</t>
  </si>
  <si>
    <t>P-F02-0076</t>
  </si>
  <si>
    <t>P-F02-0077</t>
  </si>
  <si>
    <t>P-F02-0078</t>
  </si>
  <si>
    <t>P-F02-0079</t>
  </si>
  <si>
    <t>P-F03-0001</t>
  </si>
  <si>
    <t>P-F03-0002</t>
  </si>
  <si>
    <t>P-F03-0003</t>
  </si>
  <si>
    <t>P-F03-0004</t>
  </si>
  <si>
    <t>P-F03-0005</t>
  </si>
  <si>
    <t>P-F03-0006</t>
  </si>
  <si>
    <t>P-F03-0007</t>
  </si>
  <si>
    <t>P-F03-0008</t>
  </si>
  <si>
    <t>P-F03-0009</t>
  </si>
  <si>
    <t>P-F03-0010</t>
  </si>
  <si>
    <t>P-F03-0011</t>
  </si>
  <si>
    <t>P-F03-0012</t>
  </si>
  <si>
    <t>P-F03-0013</t>
  </si>
  <si>
    <t>P-F03-0014</t>
  </si>
  <si>
    <t>P-F03-0015</t>
  </si>
  <si>
    <t>P-F03-0016</t>
  </si>
  <si>
    <t>P-F03-0017</t>
  </si>
  <si>
    <t>P-F03-0018</t>
  </si>
  <si>
    <t>P-F03-0019</t>
  </si>
  <si>
    <t>P-F03-0020</t>
  </si>
  <si>
    <t>P-F03-0021</t>
  </si>
  <si>
    <t>P-F03-0022</t>
  </si>
  <si>
    <t>P-F03-0023</t>
  </si>
  <si>
    <t>P-F03-0024</t>
  </si>
  <si>
    <t>P-F03-0025</t>
  </si>
  <si>
    <t>P-F03-0026</t>
  </si>
  <si>
    <t>P-F03-0027</t>
  </si>
  <si>
    <t>P-F03-0028</t>
  </si>
  <si>
    <t>P-F03-0029</t>
  </si>
  <si>
    <t>P-F03-0030</t>
  </si>
  <si>
    <t>P-F03-0031</t>
  </si>
  <si>
    <t>P-F03-0032</t>
  </si>
  <si>
    <t>P-F03-0033</t>
  </si>
  <si>
    <t>P-F03-0034</t>
  </si>
  <si>
    <t>P-F03-0035</t>
  </si>
  <si>
    <t>P-F03-0036</t>
  </si>
  <si>
    <t>P-F03-0037</t>
  </si>
  <si>
    <t>P-F03-0038</t>
  </si>
  <si>
    <t>P-F03-0039</t>
  </si>
  <si>
    <t>P-F03-0040</t>
  </si>
  <si>
    <t>P-F03-0041</t>
  </si>
  <si>
    <t>P-F03-0042</t>
  </si>
  <si>
    <t>P-F03-0043</t>
  </si>
  <si>
    <t>P-F03-0044</t>
  </si>
  <si>
    <t>P-F03-0045</t>
  </si>
  <si>
    <t>P-F03-0046</t>
  </si>
  <si>
    <t>P-F03-0047</t>
  </si>
  <si>
    <t>P-F03-0048</t>
  </si>
  <si>
    <t>P-F03-0049</t>
  </si>
  <si>
    <t>P-F03-0050</t>
  </si>
  <si>
    <t>P-F03-0051</t>
  </si>
  <si>
    <t>P-F03-0052</t>
  </si>
  <si>
    <t>P-F03-0053</t>
  </si>
  <si>
    <t>P-F03-0054</t>
  </si>
  <si>
    <t>P-F03-0055</t>
  </si>
  <si>
    <t>P-F03-0056</t>
  </si>
  <si>
    <t>P-F03-0057</t>
  </si>
  <si>
    <t>P-F03-0058</t>
  </si>
  <si>
    <t>P-F03-0059</t>
  </si>
  <si>
    <t>P-F03-0060</t>
  </si>
  <si>
    <t>P-F03-0061</t>
  </si>
  <si>
    <t>P-F03-0062</t>
  </si>
  <si>
    <t>P-F03-0063</t>
  </si>
  <si>
    <t>P-F03-0064</t>
  </si>
  <si>
    <t>P-F03-0065</t>
  </si>
  <si>
    <t>P-F03-0066</t>
  </si>
  <si>
    <t>P-F03-0067</t>
  </si>
  <si>
    <t>P-F03-0068</t>
  </si>
  <si>
    <t>P-F03-0069</t>
  </si>
  <si>
    <t>P-F03-0070</t>
  </si>
  <si>
    <t>P-F03-0071</t>
  </si>
  <si>
    <t>P-F03-0072</t>
  </si>
  <si>
    <t>P-F03-0073</t>
  </si>
  <si>
    <t>P-F03-0074</t>
  </si>
  <si>
    <t>P-F03-0075</t>
  </si>
  <si>
    <t>P-F03-0076</t>
  </si>
  <si>
    <t>P-F03-0077</t>
  </si>
  <si>
    <t>P-F03-0078</t>
  </si>
  <si>
    <t>P-F03-0079</t>
  </si>
  <si>
    <t>P-F03-0080</t>
  </si>
  <si>
    <t>Dữ liệu THỬ NGHIỆM. inventory_type: NVL nguyên phụ liệu, BTP bán thành phẩm, TP thành phẩm, HGC hàng nhận gia công (bị loại trừ).</t>
  </si>
  <si>
    <t>product_line</t>
  </si>
  <si>
    <t>inventory_type</t>
  </si>
  <si>
    <t>qty</t>
  </si>
  <si>
    <t>unit_cost_vnd</t>
  </si>
  <si>
    <t>days_in_stock</t>
  </si>
  <si>
    <t>value_vnd</t>
  </si>
  <si>
    <t>excluded</t>
  </si>
  <si>
    <t>slow_threshold</t>
  </si>
  <si>
    <t>slow</t>
  </si>
  <si>
    <t>value_own</t>
  </si>
  <si>
    <t>QUY ƯỚC CHUNG – SME LIQUIDITY COPILOT</t>
  </si>
  <si>
    <t>Mục</t>
  </si>
  <si>
    <t>Quy ước</t>
  </si>
  <si>
    <t>Giá trị (ô nhập)</t>
  </si>
  <si>
    <t>Ghi chú</t>
  </si>
  <si>
    <t>Kỳ tính N (ngày)</t>
  </si>
  <si>
    <t>Số ngày thực tế từ ngày đầu đến ngày cuối kỳ, tính cả hai đầu.</t>
  </si>
  <si>
    <t>Dữ liệu mẫu: 03/07/2026–30/09/2026.</t>
  </si>
  <si>
    <t>Ngày chốt dữ liệu</t>
  </si>
  <si>
    <t>Mọi số dư và thông tin quan sát kết thúc tại ngày này.</t>
  </si>
  <si>
    <t>Không dùng thanh toán sau ngày chốt làm giảm số dư lịch sử.</t>
  </si>
  <si>
    <t>Phạm vi bản đặc tả</t>
  </si>
  <si>
    <t>Giữ cấu trúc v2: quy ước, bối cảnh ngành, công thức, ngưỡng, đầu ra, tính tay, đối chiếu, kết quả và dữ liệu.</t>
  </si>
  <si>
    <t>Chỉ bao gồm TV1: quy ước, bối cảnh, công thức, ngưỡng, hợp đồng output, diễn giải, mẫu kết quả, tính tay, đối chiếu, kiểm thử và dữ liệu.</t>
  </si>
  <si>
    <t>Đã loại nội dung thiết kế các tác vụ khác.</t>
  </si>
  <si>
    <t>Hai lớp dữ liệu</t>
  </si>
  <si>
    <t>Đặc tả đầy đủ và dữ liệu minh họa có phạm vi khác nhau.</t>
  </si>
  <si>
    <t>TV1_Tinh_tay dùng dữ liệu v2: trả toàn bộ một lần, chưa VAT, số dư cuối kỳ. Chỉ tiêu mở rộng cần thêm trường thì không tự tính bằng giả định ngầm.</t>
  </si>
  <si>
    <t>Số dư phải thu/phải trả</t>
  </si>
  <si>
    <t>Số dư còn lại sau các lần thanh toán và điều chỉnh đến ngày chốt.</t>
  </si>
  <si>
    <t>Không dùng toàn giá trị hóa đơn khi đã trả một phần. Xem T1-A01/A02 và TV1_Kiem_thu: hóa đơn 100, thu 40 → dư 60.</t>
  </si>
  <si>
    <t>Cơ sở thuế</t>
  </si>
  <si>
    <t>Tỷ số dùng AR/AP và doanh thu/mua chịu cùng cơ sở chưa VAT; dự báo tiền dùng số phải thu/trả thực tế gồm VAT.</t>
  </si>
  <si>
    <t>Thuế phải nộp/hoàn lập lịch riêng. VAT không mặc định 10% cho mọi giao dịch.</t>
  </si>
  <si>
    <t>Phương pháp số dư</t>
  </si>
  <si>
    <t>Bình quân ngày khi đủ lịch sử; bình quân đầu-cuối khi đủ hai thời điểm; cuối kỳ khi chỉ có snapshot.</t>
  </si>
  <si>
    <t>Không gọi số cuối kỳ là bình quân. DSO/DIO/DPO trong một CCC phải cùng phương pháp.</t>
  </si>
  <si>
    <t>Mẫu số bán/mua chịu</t>
  </si>
  <si>
    <t>Tách bán chịu và mua chịu khỏi giao dịch tiền mặt.</t>
  </si>
  <si>
    <t>Dữ liệu mẫu không có cờ bán/mua chịu. Kết quả minh họa giả định toàn bộ là bán/mua chịu. Khi có dữ liệu thực, bỏ giả định này.</t>
  </si>
  <si>
    <t>Chỉ ghi nhận tài sản thuộc quyền sở hữu. Tách NVL, BTP, TP, hàng hóa thương mại và HGC.</t>
  </si>
  <si>
    <t>HGC loại. Hàng đi đường tùy ngày chuyển quyền sở hữu. Thiếu loại/quyền sở hữu: chưa xác định, không mặc định NVL.</t>
  </si>
  <si>
    <t>Làm tròn</t>
  </si>
  <si>
    <t>Tính bằng số chưa làm tròn; chỉ định dạng đầu ra.</t>
  </si>
  <si>
    <t>Tiền VND làm tròn cuối; chỉ số ngày 1 số lẻ; lãi suất tài trợ 2 số lẻ. Không cộng các số ngày đã làm tròn để ra CCC.</t>
  </si>
  <si>
    <t>Phân tuần</t>
  </si>
  <si>
    <t>Tuần t từ ngày chốt + 7(t−1) + 1 đến ngày chốt + 7t.</t>
  </si>
  <si>
    <t>Khoản sau 13 tuần vẫn lưu để thấy nghĩa vụ đáo hạn và tiền thu ngoài horizon.</t>
  </si>
  <si>
    <t>Đệm tiền</t>
  </si>
  <si>
    <t>Ngưỡng tối thiểu chủ doanh nghiệp xác nhận.</t>
  </si>
  <si>
    <t>Thiếu so với đệm khác số dư âm. Tiền phong tỏa/hạn chế không nằm trong tiền khả dụng.</t>
  </si>
  <si>
    <t>Ngưỡng và benchmark</t>
  </si>
  <si>
    <t>Ngưỡng 10/30/50% và 60/30/30 ngày là tham số thử nghiệm.</t>
  </si>
  <si>
    <t>Phải hiệu chỉnh theo hợp đồng/mô hình. Khoảng DN niêm yết khác phương pháp không dùng tự động kết luận tốt/xấu.</t>
  </si>
  <si>
    <t>Bản tính mẫu</t>
  </si>
  <si>
    <t>Các sheet D_* giữ dữ liệu giả lập v2; TV1_Doi_chieu dùng giá trị tham chiếu v2 đã lưu.</t>
  </si>
  <si>
    <t>Khớp tham chiếu chỉ xác minh tính số trên chế độ mẫu, không chứng minh đã chạy code mới cho toàn bộ đặc tả mở rộng.</t>
  </si>
  <si>
    <t>Trạng thái đầu ra</t>
  </si>
  <si>
    <t>ok = đủ và hợp lệ; provisional = tạm tính có giới hạn; missing_data = thiếu; invalid_data = lỗi; not_applicable = không áp dụng.</t>
  </si>
  <si>
    <t>Mẫu số 0 → không áp dụng; trường thiếu → thiếu dữ liệu. Số dư 0 hợp lệ nếu đã kiểm chứng tập dữ liệu.</t>
  </si>
  <si>
    <t>Mã chỉ tiêu</t>
  </si>
  <si>
    <t>T1/T2/T3/T4 xác định tác vụ. A/B/C... xác định nhóm, hai số cuối xác định mục.</t>
  </si>
  <si>
    <t>Mã chuyên sâu T1-B01 là DSO; T1-C03 là hành vi trễ thu. Các dòng tính tay v2 vẫn giữ tên và vị trí để bảo toàn công thức.</t>
  </si>
  <si>
    <t>Phê duyệt</t>
  </si>
  <si>
    <t>Mô phỏng trên bản sao. Chờ duyệt không sửa dữ liệu gốc.</t>
  </si>
  <si>
    <t>Giả lập thực thi chỉ sau chủ DN duyệt; lưu người duyệt, thời điểm, mã kịch bản và mã hành động.</t>
  </si>
  <si>
    <t>Giới hạn số liệu ngành</t>
  </si>
  <si>
    <t>Báo cáo dệt may của nhóm cung cấp bối cảnh, chưa thay thế kiểm chứng độc lập nguồn BCTC.</t>
  </si>
  <si>
    <t>Giữ nguồn phương pháp tại TV1_Du_lieu. Không tạo benchmark mới từ dữ liệu giả lập.</t>
  </si>
  <si>
    <t>BỐI CẢNH NGÀNH VÀ CÁCH ĐẶC TẢ PHẢN ÁNH</t>
  </si>
  <si>
    <t>#</t>
  </si>
  <si>
    <t>Đặc điểm của SME dệt may</t>
  </si>
  <si>
    <t>Tác động lên chỉ số</t>
  </si>
  <si>
    <t>Cách đặc tả xử lý</t>
  </si>
  <si>
    <t>Công thức liên quan</t>
  </si>
  <si>
    <t>F01 gia công CMT, có một phần FOB. Vải khách giao không thuộc DN.</t>
  </si>
  <si>
    <t>Cộng nhầm HGC làm DIO và tài sản bảo đảm tăng sai.</t>
  </si>
  <si>
    <t>Tách sở hữu từng lô; CMT/FOB đọc riêng khi có dữ liệu phân khúc.</t>
  </si>
  <si>
    <t>T1-A04; T1-D01; T1-D05</t>
  </si>
  <si>
    <t>F01 thâm dụng lao động; tiền lương không phải AP thương mại.</t>
  </si>
  <si>
    <t>DPO trên COGS bị pha loãng bởi lương.</t>
  </si>
  <si>
    <t>Giữ DPO_cogs để đối chiếu, thêm DPO mua chịu; không gọi chỉ số nào là kỳ hạn được cấp.</t>
  </si>
  <si>
    <t>T1-B03; T1-B04; T1-E02</t>
  </si>
  <si>
    <t>F02 là doanh nghiệp phân phối vải, không phải xưởng sản xuất.</t>
  </si>
  <si>
    <t>Vải là hàng thương mại của F02. Ngưỡng tuổi nguyên liệu của xưởng chưa chắc phù hợp.</t>
  </si>
  <si>
    <t>Áp ngưỡng theo loại hàng thương mại, mùa mua và thời gian nhập hàng.</t>
  </si>
  <si>
    <t>T1-D01; T1-D02; TV1_Nguong</t>
  </si>
  <si>
    <t>Hàng nhập khẩu và hàng đi đường có ngày chuyển quyền sở hữu riêng.</t>
  </si>
  <si>
    <t>Có hàng trong kho chưa thuộc DN hoặc hàng chưa đến kho đã thuộc DN.</t>
  </si>
  <si>
    <t>Dùng hợp đồng/title_transfer_date; dự báo tỷ giá tại ngày tiền, không dùng một tỷ giá cho mọi mục đích.</t>
  </si>
  <si>
    <t>T1-A04; T2-G06</t>
  </si>
  <si>
    <t>Khách hàng lớn áp kỳ hạn dài và có thể trả chậm.</t>
  </si>
  <si>
    <t>DSO cao chưa chứng minh vi phạm; tập trung làm rủi ro trễ thu lớn.</t>
  </si>
  <si>
    <t>Tách kỳ hạn, trễ dương, tuổi nợ và tập trung, đồng thời stress khách lớn.</t>
  </si>
  <si>
    <t>T1-C01..C04; T2-G06</t>
  </si>
  <si>
    <t>Phụ liệu/thẻ bài theo thiết kế riêng có thể không dùng khi đơn hủy.</t>
  </si>
  <si>
    <t>Tuổi tồn cao là tín hiệu, không phải toàn bộ giá trị bị mất.</t>
  </si>
  <si>
    <t>Bổ sung nhu cầu/đơn hàng, NRV và tiền thanh lý thực tế.</t>
  </si>
  <si>
    <t>T1-D02..D04</t>
  </si>
  <si>
    <t>DPO tăng có thể do không trả được nhà cung cấp.</t>
  </si>
  <si>
    <t>DPO dài có thể che AP quá hạn và ngừng cung ứng.</t>
  </si>
  <si>
    <t>Đo AP quá hạn và khoản phải trả NCC thiết yếu; không kết luận siết nợ chỉ từ kỳ hạn ngắn.</t>
  </si>
  <si>
    <t>T1-E01..E03</t>
  </si>
  <si>
    <t>Lương, thuế, điện và nợ vay có ngày chi khác ngày khách trả.</t>
  </si>
  <si>
    <t>Cuối tuần còn tiền nhưng có thể thiếu đầu tuần.</t>
  </si>
  <si>
    <t>Dự báo theo ngày khi có event date; tách đệm tiền và số dư âm.</t>
  </si>
  <si>
    <t>T2-G03..G05</t>
  </si>
  <si>
    <t>Bao thanh toán có phần giữ lại, phí và nghĩa vụ tùy hợp đồng.</t>
  </si>
  <si>
    <t>Tiền ứng danh nghĩa khác tiền sử dụng; tài trợ không tự rút ngắn vận hành.</t>
  </si>
  <si>
    <t>Tách bán phải thu/vay bảo đảm, loại dòng thu bị thay thế và ghi đầy đủ tất toán.</t>
  </si>
  <si>
    <t>T3-H02..H07</t>
  </si>
  <si>
    <t>F01–F03 có vị trí khác nhau và dữ liệu mẫu được sinh độc lập.</t>
  </si>
  <si>
    <t>Không thể chứng minh lan truyền giữa các DN chỉ từ tên đối tác trùng.</t>
  </si>
  <si>
    <t>Ghép hóa đơn hai sổ trước khi mô phỏng chuỗi; không dùng benchmark niêm yết để xếp hạng tuyệt đối.</t>
  </si>
  <si>
    <t>T4-F06; T1-B07</t>
  </si>
  <si>
    <t>ĐẶC TẢ CÔNG THỨC – TÁC VỤ 1: CHẨN ĐOÁN VỐN LƯU ĐỘNG</t>
  </si>
  <si>
    <t>TV1: công thức dạng ký hiệu. Σ chỉ cộng dòng đã lọc đúng DN, kỳ/ngày chốt và quyền sở hữu. Xem TV1_Quy_uoc để ánh xạ trường và phân biệt dữ liệu mẫu với bản triển khai.</t>
  </si>
  <si>
    <t>Lớp</t>
  </si>
  <si>
    <t>Ý nghĩa với chủ doanh nghiệp</t>
  </si>
  <si>
    <t>Công thức</t>
  </si>
  <si>
    <t>Đầu vào (file.cột)</t>
  </si>
  <si>
    <t>Điều kiện lọc</t>
  </si>
  <si>
    <t>Đơn vị, làm tròn</t>
  </si>
  <si>
    <t>Ngoại lệ</t>
  </si>
  <si>
    <t>A. Cơ sở dữ liệu và cách đo số dư</t>
  </si>
  <si>
    <t>T1-A01</t>
  </si>
  <si>
    <t>A</t>
  </si>
  <si>
    <t>Phải thu thương mại còn lại</t>
  </si>
  <si>
    <t>Phải thu chưa thu, trước dự phòng. Không phải doanh thu; hóa đơn đã thu một phần chỉ tính dư còn lại. Thiếu bảng thanh toán: chế độ trả toàn bộ một lần chỉ hợp lệ khi trả toàn bộ một lần.</t>
  </si>
  <si>
    <t>AR_i = sales.amount_vnd − Σ payment_allocations.amount_net_vnd − Σ credit_notes.amount_net_vnd
AR = Σ MAX(0; AR_i)</t>
  </si>
  <si>
    <t>sales_invoices: firm_id, invoice_id, issue_date, amount_net, credit_note; payments: allocation_id, invoice_id, payment_date, amount_net
Đối chiếu tên trường và hiện trạng tại TV1_Du_lieu.</t>
  </si>
  <si>
    <t>Cùng firm_id; hóa đơn đã ghi nhận đến ngày chốt; cộng điều chỉnh/thanh toán đến ngày chốt; chọn dư dương.</t>
  </si>
  <si>
    <t>VND; làm tròn khi xuất
Chỉ làm tròn đầu ra.</t>
  </si>
  <si>
    <t>Chỉ ghi nhận giao dịch đã phát sinh tại ngày chốt. R_i âm phải tách tiền khách trả thừa/ứng trước, không âm hóa AR. Có trả từng phần: không dùng paid_date nhị phân.
Ưu tiên nền tảng.</t>
  </si>
  <si>
    <t>T1-A02</t>
  </si>
  <si>
    <t>Phải trả thương mại còn lại</t>
  </si>
  <si>
    <t>AP thương mại khác tổng nợ ngắn hạn. Không cộng nghĩa vụ tài chính vào DPO để làm chỉ số đẹp hơn.</t>
  </si>
  <si>
    <t>AP_i = purchases.amount_vnd − Σ payment_allocations.amount_net_vnd − Σ purchase_credits.amount_net_vnd
AP = Σ MAX(0; AP_i)</t>
  </si>
  <si>
    <t>purchase_invoices + payment_allocations: cùng cấu trúc T1-A01; category, supplier_id
Đối chiếu tên trường và hiện trạng tại TV1_Du_lieu.</t>
  </si>
  <si>
    <t>Cùng firm_id; nghĩa vụ mua hàng/dịch vụ thuộc phạm vi thương mại; dư dương tại ngày chốt.</t>
  </si>
  <si>
    <t>Loại vay ngân hàng, thuế, lương và khoản không khớp mẫu số. Khoản ứng trước nhà cung cấp theo dõi riêng. Chỉ khoản đã ghi nhận tại ngày chốt.
Ưu tiên nền tảng.</t>
  </si>
  <si>
    <t>T1-A03</t>
  </si>
  <si>
    <t>Số phải thu/phải trả dùng dự báo tiền</t>
  </si>
  <si>
    <t>Không tự giả định VAT 10% cho mọi hàng hóa.</t>
  </si>
  <si>
    <t>AR_cash_i = sales.amount_gross_vnd − Σ receipts.amount_gross_vnd − Σ credits.amount_gross_vnd
AP_cash_i = purchases.amount_gross_vnd − Σ payments.amount_gross_vnd − Σ credits.amount_gross_vnd</t>
  </si>
  <si>
    <t>gross_amount, tax_amount, net_amount, payment_allocations theo cơ sở gross/net
Đối chiếu tên trường và hiện trạng tại TV1_Du_lieu.</t>
  </si>
  <si>
    <t>Cùng hóa đơn và ngày chốt với T1-A01/T1-A02; dùng cơ sở gồm VAT cho các sự kiện tiền.</t>
  </si>
  <si>
    <t>VND gồm VAT
Chỉ làm tròn đầu ra.</t>
  </si>
  <si>
    <t>Chẩn đoán tỷ số dùng net đồng nhất; lịch thu/chi dùng gross gồm VAT và khấu trừ thực tế. Thuế phải nộp hoàn lại lập lịch riêng, không khấu trừ hai lần.
Ưu tiên nền tảng.</t>
  </si>
  <si>
    <t>T1-A04</t>
  </si>
  <si>
    <t>Tồn kho thuộc sở hữu và giá trị ghi sổ</t>
  </si>
  <si>
    <t>NRV là giá trị thuần có thể thực hiện. Giảm giá trị ghi sổ không tạo tiền. IFRS IAS 2 là tham chiếu phương pháp, cần ánh xạ chế độ kế toán DN áp dụng.</t>
  </si>
  <si>
    <t>INV_cost_l = inventory.qty × inventory.unit_cost_vnd
NRV_l = qty × MAX(0; selling_price_net_vnd − completion_cost_unit_vnd − selling_cost_unit_vnd)
INV_book_l = MIN(INV_cost_l; NRV_l)
INV = Σ INV_book_l</t>
  </si>
  <si>
    <t>inventory: lot_id, inventory_type, ownership, qty, unit_cost, location, NRV inputs, title_transfer_date
Đối chiếu tên trường và hiện trạng tại TV1_Du_lieu.</t>
  </si>
  <si>
    <t>Lô thuộc quyền sở hữu DN tại ngày chốt; tách hàng khách giao và hàng chưa rõ quyền sở hữu.</t>
  </si>
  <si>
    <t>VND; qty theo UOM
Chỉ làm tròn đầu ra.</t>
  </si>
  <si>
    <t>HGC thuộc khách hàng loại khỏi tài sản. Hàng đi đường chỉ cộng khi đã thuộc DN. Thiếu ownership hoặc loại: chưa xác định, không tự coi NVL. Thiếu NRV: dùng cost có nhãn tạm tính.
Ưu tiên nền tảng.</t>
  </si>
  <si>
    <t>T1-A05</t>
  </si>
  <si>
    <t>Mẫu số bán chịu và mua chịu</t>
  </si>
  <si>
    <t>S_total chỉ dùng làm proxy có nhãn khi chưa tách bán chịu. PUR_total chỉ dùng proxy khi chưa tách mua chịu.</t>
  </si>
  <si>
    <t>Rev = financials.revenue_vnd
Rev_credit = Σ sales.amount_vnd [is_credit = true]
COGS = financials.cogs_vnd
PUR = Σ purchases.amount_vnd [issue_date ∈ period]
PUR_credit = Σ purchases.amount_vnd [is_credit = true]
N = period_end − period_start + 1</t>
  </si>
  <si>
    <t>financials, sales ledger: credit_sale, revenue_recognition_date; purchases: credit_purchase, category
Đối chiếu tên trường và hiện trạng tại TV1_Du_lieu.</t>
  </si>
  <si>
    <t>Ngày ghi nhận trong kỳ N; bán chịu/mua chịu; cùng phạm vi số dư; không lấy ngày tiền để lọc doanh thu.</t>
  </si>
  <si>
    <t>VND; N là ngày
Chỉ làm tròn đầu ra.</t>
  </si>
  <si>
    <t>N = end − start + 1. Không mặc nhiên mọi hóa đơn là bán chịu/mua chịu. Hóa đơn không đồng nghĩa ngày ghi doanh thu. COGS phải cùng kỳ.
Ưu tiên nền tảng.</t>
  </si>
  <si>
    <t>T1-A06</t>
  </si>
  <si>
    <t>Số dư bình quân và phương pháp snapshot</t>
  </si>
  <si>
    <t>Snapshot cho biết mức vốn đang tồn tại so với tốc độ kinh doanh vừa qua. Không kết luận mỗi hóa đơn mất đúng từng đó ngày để thu.</t>
  </si>
  <si>
    <t>AR_avg = Σ AR_end_of_day / N
AR_avg_2 = (AR_open + AR_close) / 2
AR_snapshot = AR_close
INV_avg, AP_avg: áp dụng cùng quy tắc.</t>
  </si>
  <si>
    <t>daily_balances hoặc opening/closing balances, method, coverage_days
Đối chiếu tên trường và hiện trạng tại TV1_Du_lieu.</t>
  </si>
  <si>
    <t>Cùng tài khoản, DN, cơ sở kế toán và kỳ; ngày thiếu không tự coi số dư bằng 0.</t>
  </si>
  <si>
    <t>VND bình quân
Chỉ làm tròn đầu ra.</t>
  </si>
  <si>
    <t>Bình quân ngày ưu tiên khi đủ lịch sử. Bình quân đầu-cuối cần cả hai điểm. Chỉ có cuối kỳ: gắn số dư tại ngày chốt, không dựng số bình quân.
Ưu tiên nền tảng.</t>
  </si>
  <si>
    <t>B. Chu kỳ vận hành và hiệu quả sử dụng vốn</t>
  </si>
  <si>
    <t>T1-B01</t>
  </si>
  <si>
    <t>B</t>
  </si>
  <si>
    <t>DSO bán chịu và DSO snapshot</t>
  </si>
  <si>
    <t>DSO cao có thể do kỳ hạn dài, nợ quá hạn hoặc mùa vụ. Cần đọc với tuổi nợ và lịch sử thu, không đồng nhất với thời gian thực tế từng hóa đơn.</t>
  </si>
  <si>
    <t>DSO = AR / Rev × N [mẫu v2]
DSO_credit = AR_selected / Rev_credit × N [đã tách bán chịu]
AR_selected = AR_avg hoặc AR_avg_2 hoặc AR_snapshot</t>
  </si>
  <si>
    <t>T1-A01,T1-A05,T1-A06
Đối chiếu tên trường và hiện trạng tại TV1_Du_lieu.</t>
  </si>
  <si>
    <t>AR và doanh thu cùng cơ sở chưa VAT; mẫu số bán chịu; một phương pháp số dư nhất quán.</t>
  </si>
  <si>
    <t>Ngày; 1 số lẻ
Chỉ làm tròn đầu ra.</t>
  </si>
  <si>
    <t>S_credit=0 → không áp dụng; thiếu → thiếu dữ liệu; âm → dữ liệu không hợp lệ. Chọn một phương pháp nhất quán và ghi vào output.
Ưu tiên nền tảng.</t>
  </si>
  <si>
    <t>T1-B02</t>
  </si>
  <si>
    <t>DIO và vốn trong sản xuất</t>
  </si>
  <si>
    <t>DIO giảm do ghi giảm tồn kho có thể là tổn thất, không phải vận hành tốt hơn. CMT có DIO thấp vì nguyên liệu thuộc khách.</t>
  </si>
  <si>
    <t>DIO = INV / COGS × N
DIO_cost = INV_cost / COGS × N
DIO_book = INV_book / COGS × N</t>
  </si>
  <si>
    <t>T1-A04,T1-A06, financials.cogs_net
Đối chiếu tên trường và hiện trạng tại TV1_Du_lieu.</t>
  </si>
  <si>
    <t>Tồn kho sở hữu và COGS cùng kỳ; chọn giá gốc/ghi sổ rõ ràng.</t>
  </si>
  <si>
    <t>COGS=0: không áp dụng. Hàng khách giao loại. Báo riêng DIO_cost và tác động ghi giảm nếu đã giảm giá trị.
Ưu tiên nền tảng.</t>
  </si>
  <si>
    <t>T1-B03</t>
  </si>
  <si>
    <t>DPO trên giá vốn để đối chiếu CCC</t>
  </si>
  <si>
    <t>Lương làm COGS lớn nhưng không làm AP thương mại lớn: DPO_cogs bị pha loãng ở xưởng may thâm dụng lao động.</t>
  </si>
  <si>
    <t>DPO = AP / COGS × N
AP = AP_trade_selected</t>
  </si>
  <si>
    <t>T1-A02,T1-A06, COGS
Đối chiếu tên trường và hiện trạng tại TV1_Du_lieu.</t>
  </si>
  <si>
    <t>AP thương mại và COGS cùng kỳ; cùng phương pháp số dư với DSO/DIO.</t>
  </si>
  <si>
    <t>AP và COGS cùng phạm vi vận hành. Cho phép giữ công thức đề án để đối chiếu, nêu rõ mẫu số COGS. Không gọi chuẩn duy nhất cho mọi ngành.
Ưu tiên nền tảng.</t>
  </si>
  <si>
    <t>T1-B04</t>
  </si>
  <si>
    <t>DPO trên mua chịu</t>
  </si>
  <si>
    <t>Đọc cùng kỳ hạn hợp đồng và quá hạn. Đây vẫn là tỷ số tồn lượng/lưu lượng, không phải số ngày được phép nợ theo hợp đồng.</t>
  </si>
  <si>
    <t>DPO_PUR = AP / PUR × N [mẫu v2 giả định mua chịu]
DPO_credit_PUR = AP / PUR_credit × N [cùng phạm vi AP]</t>
  </si>
  <si>
    <t>T1-A02,T1-A05,T1-A06
Đối chiếu tên trường và hiện trạng tại TV1_Du_lieu.</t>
  </si>
  <si>
    <t>AP và mua chịu cùng phạm vi hàng/dịch vụ; cùng phương pháp số dư.</t>
  </si>
  <si>
    <t>Cùng loại hàng/dịch vụ AP và mua chịu; không dùng toàn mua có tiền mặt. PUR_credit=0 → không áp dụng.
Ưu tiên nền tảng.</t>
  </si>
  <si>
    <t>T1-B05</t>
  </si>
  <si>
    <t>Chu kỳ chuyển đổi tiền mặt có nhãn mẫu số</t>
  </si>
  <si>
    <t>CCC âm không tự động là tốt: có thể do chậm trả nhà cung cấp. Chênh lệch hai CCC giúp thấy ảnh hưởng cấu trúc giá vốn.</t>
  </si>
  <si>
    <t>CCC = DSO + DIO − DPO
CCC_PUR = DSO + DIO − DPO_PUR</t>
  </si>
  <si>
    <t>T1-B01–T1-B04
Đối chiếu tên trường và hiện trạng tại TV1_Du_lieu.</t>
  </si>
  <si>
    <t>DSO/DIO/DPO đều đủ dữ liệu; cùng kỳ và phương pháp số dư.</t>
  </si>
  <si>
    <t>Không trộn average với snapshot. CCC_purchase là biến thể dùng mẫu số mua chịu; luôn gắn label. Tính chưa làm tròn rồi xuất 0,1 ngày.
Ưu tiên nền tảng.</t>
  </si>
  <si>
    <t>T1-B06</t>
  </si>
  <si>
    <t>Đóng góp theo đối tác và dòng hàng</t>
  </si>
  <si>
    <t>Đóng góp lớn phản ánh quy mô số dư, chưa chứng minh khách đó gây chậm thu. Kèm tỷ trọng quá hạn, lịch sử trễ và hợp đồng.</t>
  </si>
  <si>
    <t>DSO_k = AR_k / Rev × N
DIO_l = INV_l / COGS × N
DPO_s = AP_s / COGS × N
Σ DSO_k = DSO; Σ DIO_l = DIO; Σ DPO_s = DPO</t>
  </si>
  <si>
    <t>T1-A01,T1-A02,T1-A04 + buyer/supplier/product_line
Đối chiếu tên trường và hiện trạng tại TV1_Du_lieu.</t>
  </si>
  <si>
    <t>Nhóm theo buyer/supplier/product_line; mẫu số không đổi giữa các đối tượng.</t>
  </si>
  <si>
    <t>Mọi đóng góp cùng phương pháp và mẫu số với tổng. Σ đóng góp phải bằng chỉ tiêu tổng. Nếu average: dùng số dư đối tượng bình quân.
Ưu tiên nền tảng.</t>
  </si>
  <si>
    <t>T1-B07</t>
  </si>
  <si>
    <t>Xu hướng, mùa vụ và so sánh ngang</t>
  </si>
  <si>
    <t>Khoảng tham chiếu DN niêm yết chỉ tham khảo, không dùng tự động gắn tốt/xấu cho ba SME khác vị trí chuỗi cung ứng.</t>
  </si>
  <si>
    <t>ΔDSO = DSO_current − DSO_previous
ΔCCC = CCC_current − CCC_previous
ΔCCC = ΔDSO + ΔDIO − ΔDPO
benchmark_gap = value − comparable_reference</t>
  </si>
  <si>
    <t>monthly_balances, business_model, historical revenues/cogs, peer_method
Đối chiếu tên trường và hiện trạng tại TV1_Du_lieu.</t>
  </si>
  <si>
    <t>Kỳ trước/cùng mùa/nhóm đối chiếu cùng cơ sở, mô hình kinh doanh và phương pháp.</t>
  </si>
  <si>
    <t>Ngày; phân vị %
Chỉ làm tròn đầu ra.</t>
  </si>
  <si>
    <t>Đồng nhất kỳ, phương pháp, net/gross, ngành và mô hình CMT/FOB/thương mại. Thiếu peer phù hợp: unverified_benchmark.
Phân tích nâng cao, cần thêm dữ liệu.</t>
  </si>
  <si>
    <t>C. Chất lượng phải thu và hành vi thanh toán</t>
  </si>
  <si>
    <t>T1-C01</t>
  </si>
  <si>
    <t>C</t>
  </si>
  <si>
    <t>Tuổi nợ và tỷ lệ phải thu quá hạn</t>
  </si>
  <si>
    <t>Phân biệt ngày từ phát hành với số ngày quá hạn. Nợ quá hạn nhỏ và nợ lớn phải được thấy riêng.</t>
  </si>
  <si>
    <t>DPD_i = MAX(0; as_of − sales.due_date)
AR_overdue = Σ AR_i [DPD_i &gt; 0]
overdue_share = AR_overdue / AR
aging_b = Σ AR_i [DPD_i ∈ bucket_b]</t>
  </si>
  <si>
    <t>T1-A01,due_date, disputed_status
Đối chiếu tên trường và hiện trạng tại TV1_Du_lieu.</t>
  </si>
  <si>
    <t>Hóa đơn bán còn dư tại ngày chốt; phân nhóm theo due_date; dư tiền cùng cơ sở AR.</t>
  </si>
  <si>
    <t>Ngày; VND; %
Chỉ làm tròn đầu ra.</t>
  </si>
  <si>
    <t>Đúng due_date tại ngày chốt là chưa quá hạn. Phân bổ dư còn lại, không face value. AR=0: share không áp dụng, số tiền 0.
Ưu tiên nền tảng.</t>
  </si>
  <si>
    <t>T1-C02</t>
  </si>
  <si>
    <t>Kỳ hạn thương mại và thời gian thu thực tế</t>
  </si>
  <si>
    <t>C02 đo thời gian thực tế các phần đã thu. Mẫu đã trả có thể thiên lệch vì bỏ nợ chưa trả; đọc cùng C01.</t>
  </si>
  <si>
    <t>terms_wavg = Σ(invoice_amount × (due_date − issue_date)) / Σ invoice_amount
collection_days_wavg = Σ(receipt_allocated × (paid_date − issue_date)) / Σ receipt_allocated</t>
  </si>
  <si>
    <t>payment_allocations,issue_date,due_date; kỳ cấp tín dụng và kỳ nhận tiền tách nhau
Đối chiếu tên trường và hiện trạng tại TV1_Du_lieu.</t>
  </si>
  <si>
    <t>Kỳ hạn: nhóm hóa đơn phát hành trong kỳ. Thời gian thu: các phần thanh toán trong cửa sổ lịch sử.</t>
  </si>
  <si>
    <t>Terms dùng cohort hóa đơn phát hành trong kỳ. Collection dùng khoản thanh toán trong cửa sổ lịch sử; từng phần lấy ngày thu riêng. Báo n và giá trị mẫu.
Ưu tiên nền tảng.</t>
  </si>
  <si>
    <t>T1-C03</t>
  </si>
  <si>
    <t>Trễ dương, trả sớm và trễ có dấu</t>
  </si>
  <si>
    <t>Signed phù hợp mô tả tổng quát; Late_pos phù hợp cảnh báo.</t>
  </si>
  <si>
    <t>late_positive_wavg = Σ(receipt_allocated × MAX(0; paid_date − due_date)) / Σ receipt_allocated
early_wavg = Σ(receipt_allocated × MAX(0; due_date − paid_date)) / Σ receipt_allocated
late_signed_wavg = late_positive_wavg − early_wavg</t>
  </si>
  <si>
    <t>payment_allocations: gross/net nhất quán trong trọng số; buyer_id; lookback 180 ngày
Đối chiếu tên trường và hiện trạng tại TV1_Du_lieu.</t>
  </si>
  <si>
    <t>Thanh toán đã xảy ra trong cửa sổ lookback, có ngày phát hành và đến hạn; nhóm theo khách.</t>
  </si>
  <si>
    <t>Không bù khách trả sớm vào trễ dương. Chỉ dùng dữ liệu biết tại ngày chốt. Báo số hóa đơn độc lập, không đếm từng payment như một invoice.
Ưu tiên nền tảng.</t>
  </si>
  <si>
    <t>T1-C04</t>
  </si>
  <si>
    <t>Tập trung và phụ thuộc khách hàng</t>
  </si>
  <si>
    <t>HHI gần 1 là rất tập trung. Tập trung phải thu và tập trung tiền về trong 13 tuần cùng cao làm thanh khoản dễ bị ảnh hưởng.</t>
  </si>
  <si>
    <t>AR_share_k = AR_k / AR
Top1_share = MAX(AR_share_k)
Top3_share = Σ 3 AR_share_k lớn nhất
HHI = Σ AR_share_k²</t>
  </si>
  <si>
    <t>T1-A01 + forecast receipts by buyer
Đối chiếu tên trường và hiện trạng tại TV1_Du_lieu.</t>
  </si>
  <si>
    <t>AR theo cùng ngày chốt; tiền dự báo theo cùng 13 tuần; tách bán chịu với doanh thu tổng.</t>
  </si>
  <si>
    <t>%; HHI từ 0–1
Chỉ làm tròn đầu ra.</t>
  </si>
  <si>
    <t>AR=0: HHI không áp dụng. Mặc định Top1&gt;50% chỉ là cờ giả lập, không ngưỡng ngành. Phân biệt tập trung AR với tập trung doanh thu.
Ưu tiên nền tảng.</t>
  </si>
  <si>
    <t>T1-C05</t>
  </si>
  <si>
    <t>Tranh chấp, chất lượng thu và tổn thất dự kiến</t>
  </si>
  <si>
    <t>Nợ tranh chấp cần lịch riêng. Tổn thất kỳ vọng phản ánh khả năng mất tiền, không quyết định chính xác ngày thu.</t>
  </si>
  <si>
    <t>AR_flagged = Σ AR_i [disputed / cancelled / default_flag]
scenario_loss = Σ AR_at_risk_i × PD_i × LGD_i</t>
  </si>
  <si>
    <t>dispute_flag, dispute_amount, resolution_date, scenario_pd, scenario_lgd, recoveries
Đối chiếu tên trường và hiện trạng tại TV1_Du_lieu.</t>
  </si>
  <si>
    <t>Cờ tranh chấp có số tiền cụ thể; PD/LGD có nguồn hoặc giả định công khai.</t>
  </si>
  <si>
    <t>VND; PD/LGD %
Chỉ làm tròn đầu ra.</t>
  </si>
  <si>
    <t>PD/LGD chỉ dùng khi có cơ sở hoặc giả định công khai; không suy từ DPD đơn lẻ. Không gọi scenario_loss là dự phòng IFRS 9 đã xác lập.
Phân tích nâng cao, cần thêm dữ liệu.</t>
  </si>
  <si>
    <t>T1-C06</t>
  </si>
  <si>
    <t>Thu hồi theo cohort và độ đầy đủ lịch sử</t>
  </si>
  <si>
    <t>Khắc phục thiên lệch chỉ dùng hóa đơn đã thanh toán. Ít lịch sử: dùng giả định bảo thủ có nhãn thay vì chắc chắn.</t>
  </si>
  <si>
    <t>collection_rate_h = receipts_within_h / cohort_invoice_amount
coverage = eligible_observed_amount / total_scope_amount</t>
  </si>
  <si>
    <t>issue cohort, payments đến as_of, horizon h
Đối chiếu tên trường và hiện trạng tại TV1_Du_lieu.</t>
  </si>
  <si>
    <t>Nhóm phát hành đã đủ tuổi h; tất cả thanh toán quan sát được đến ngày chốt.</t>
  </si>
  <si>
    <t>%; h là ngày
Chỉ làm tròn đầu ra.</t>
  </si>
  <si>
    <t>Chỉ cohort đủ tuổi h mới dùng làm mẫu tại h; báo n và coverage. Không coi hóa đơn mới là chưa thu thành thất bại.
Phân tích nâng cao, cần thêm dữ liệu.</t>
  </si>
  <si>
    <t>D. Chất lượng tồn kho và khả năng chuyển thành tiền</t>
  </si>
  <si>
    <t>T1-D01</t>
  </si>
  <si>
    <t>D</t>
  </si>
  <si>
    <t>Cơ cấu vốn trong tồn kho</t>
  </si>
  <si>
    <t>BTP cao có thể do nghẽn chuyền; TP cao có thể do chờ giao; thương mại cao có thể do mua trước mùa. Không suy kết luận từ tuổi duy nhất.</t>
  </si>
  <si>
    <t>INV_l = Σ qty × unit_cost_vnd [mẫu v2: giá gốc, thuộc sở hữu]
INV_share_l = INV_l / INV
age_wavg_l = Σ(INV_lot × days_in_stock) / Σ INV_lot</t>
  </si>
  <si>
    <t>T1-A04,receipt_date,production_stage_date, inventory_type
Đối chiếu tên trường và hiện trạng tại TV1_Du_lieu.</t>
  </si>
  <si>
    <t>Chỉ hàng sở hữu; nhóm theo NVL/BTP/TP/hàng hóa thương mại; thống nhất cách tính tuổi.</t>
  </si>
  <si>
    <t>VND; %; ngày
Chỉ làm tròn đầu ra.</t>
  </si>
  <si>
    <t>NVL/BTP/TP/HGC và trade_goods tách rõ. F02 vải để bán là hàng thương mại; không mặc định nguyên liệu sản xuất của F02.
Ưu tiên nền tảng.</t>
  </si>
  <si>
    <t>T1-D02</t>
  </si>
  <si>
    <t>Hàng chậm luân chuyển và hàng không có nhu cầu</t>
  </si>
  <si>
    <t>Tồn lâu không đồng nghĩa toàn bộ tiền sẽ mất. Tuổi hàng và ngày không có vận động là hai chỉ số khác nhau.</t>
  </si>
  <si>
    <t>INV_slow = Σ INV_lot [days_in_stock &gt; slow_threshold_days]
slow_share = INV_slow / INV
INV_no_demand = Σ INV_lot [committed_demand + forecast_demand = 0]</t>
  </si>
  <si>
    <t>age, last_movement_date, order_id, demand_forecast, threshold by type/model
Đối chiếu tên trường và hiện trạng tại TV1_Du_lieu.</t>
  </si>
  <si>
    <t>Chỉ hàng sở hữu; ngưỡng theo loại và mô hình DN; xét riêng đơn hủy/hàng hư hỏng.</t>
  </si>
  <si>
    <t>VND; %
Chỉ làm tròn đầu ra.</t>
  </si>
  <si>
    <t>Ngưỡng 60/30/30 ngày là giả định demo. Theo dõi cancelled_order, customer_specific, damaged riêng. INV=0: tỷ lệ không áp dụng.
Ưu tiên nền tảng.</t>
  </si>
  <si>
    <t>T1-D03</t>
  </si>
  <si>
    <t>Độ phủ nhu cầu và tồn vượt nhu cầu</t>
  </si>
  <si>
    <t>Ưu tiên hàng excess cao và thiếu đơn hàng. Chỉ tiêu giúp phân biệt dự trữ hợp lý với vốn bị giam do đơn hủy.</t>
  </si>
  <si>
    <t>weeks_cover = usable_qty / weekly_demand
excess_qty = MAX(0; usable_qty − horizon_demand − safety_stock)</t>
  </si>
  <si>
    <t>SKU, UOM, usable_qty, firm_orders, demand_per_week, lead_time, safety_stock
Đối chiếu tên trường và hiện trạng tại TV1_Du_lieu.</t>
  </si>
  <si>
    <t>Từng SKU và UOM; lượng có thể sử dụng; nhu cầu trong kỳ và tồn an toàn đã xác định.</t>
  </si>
  <si>
    <t>Tuần; lượng theo UOM
Chỉ làm tròn đầu ra.</t>
  </si>
  <si>
    <t>Không cộng số lượng khác đơn vị. demand=0: no_demand, không trả 0 tuần. Mức tồn an toàn cần căn cứ lead time, không mặc định 0.
Phân tích nâng cao, cần thêm dữ liệu.</t>
  </si>
  <si>
    <t>T1-D04</t>
  </si>
  <si>
    <t>Giảm giá trị và tiền thu khi thanh lý</t>
  </si>
  <si>
    <t>Giảm 100 triệu tồn không bảo đảm thu 100 triệu. Tách thanh lý, tiết giảm mua tương lai và tiêu thụ bình thường để không đếm trùng.</t>
  </si>
  <si>
    <t>write_down = MAX(0; INV_cost − NRV)
cash_from_write_down = 0
liquidation_cash = qty_sold × price_gross − selling_cash_cost
liquidation_loss = book_value_sold − revenue_net + selling_cost_net</t>
  </si>
  <si>
    <t>NRV inputs, liquidation_price, sale_date, payment_date, VAT schedule
Đối chiếu tên trường và hiện trạng tại TV1_Du_lieu.</t>
  </si>
  <si>
    <t>Lô được chọn thanh lý/ghi giảm; ngày thu và chi thực tế của kịch bản.</t>
  </si>
  <si>
    <t>VND; ngày thu/chi
Chỉ làm tròn đầu ra.</t>
  </si>
  <si>
    <t>HGC không bán/pledge. Ghi giảm sổ sách: không phát sinh tiền. Bán thanh lý: tạo sự kiện thu thực tế theo ngày và chi phí.
Ưu tiên nền tảng.</t>
  </si>
  <si>
    <t>T1-D05</t>
  </si>
  <si>
    <t>Tồn kho đủ điều kiện làm bảo đảm</t>
  </si>
  <si>
    <t>Tồn kho cao chưa chắc vay được nhiều. Giá trị thẩm định khác cost và NRV. Haircut chỉ áp một lần theo định nghĩa catalogue.</t>
  </si>
  <si>
    <t>eligible_value = Σ appraised_value_l [eligible = true]
remaining_capacity = MAX(0; Σ(appraised_value_l × advance_rate_l) − secured_outstanding)</t>
  </si>
  <si>
    <t>ownership, lien_id, appraisal, insurance, location, ageing, provider rules
Đối chiếu tên trường và hiện trạng tại TV1_Du_lieu.</t>
  </si>
  <si>
    <t>Hàng được nhà tài trợ chấp nhận, quyền sở hữu rõ và chưa sử dụng hết làm bảo đảm.</t>
  </si>
  <si>
    <t>VND
Chỉ làm tròn đầu ra.</t>
  </si>
  <si>
    <t>Hàng đi đường, chuyên biệt, hư hỏng chỉ đủ điều kiện nếu catalogue chấp nhận. Không lấy toàn INV làm tài sản bảo đảm.
Ưu tiên nền tảng.</t>
  </si>
  <si>
    <t>E. Nghĩa vụ nhà cung cấp và áp lực thanh toán</t>
  </si>
  <si>
    <t>T1-E01</t>
  </si>
  <si>
    <t>E</t>
  </si>
  <si>
    <t>AP đến hạn, quá hạn và tỷ lệ quá hạn</t>
  </si>
  <si>
    <t>DPO cao kèm AP quá hạn cao là kéo dài nợ ngoài thỏa thuận. Không gọi đó là tối ưu vốn.</t>
  </si>
  <si>
    <t>AP_overdue = Σ AP_i [due_date &lt; as_of]
AP_due_h = Σ AP_cash_i [as_of ≤ due_date ≤ as_of + h]
AP_overdue_share = AP_overdue / AP</t>
  </si>
  <si>
    <t>T1-A02,T1-A03,due_date, agreed_extension_date
Đối chiếu tên trường và hiện trạng tại TV1_Du_lieu.</t>
  </si>
  <si>
    <t>Dư AP thương mại tại ngày chốt; due_date đã được hai bên chấp thuận; gross cho lịch tiền.</t>
  </si>
  <si>
    <t>Giãn hạn chỉ thay lịch cơ sở khi nhà cung cấp đã đồng ý. Khoản đến hạn đúng ngày chốt chưa quá hạn nhưng phải nằm trong nghĩa vụ thanh toán ngay. AP = 0: tỷ lệ không áp dụng.
Ưu tiên nền tảng.</t>
  </si>
  <si>
    <t>T1-E02</t>
  </si>
  <si>
    <t>Kỳ hạn được cấp và hành vi trả nhà cung cấp</t>
  </si>
  <si>
    <t>Không suy DPO_purchase−Terms là số ngày vi phạm chính xác: đây là hai thống kê khác loại. Vi phạm phải đọc từ E01/E02.</t>
  </si>
  <si>
    <t>supplier_terms_wavg = Σ(purchase_amount × (due_date − issue_date)) / Σ purchase_amount
payment_late_wavg = Σ(payment_allocated × MAX(0; paid_date − due_date)) / Σ payment_allocated</t>
  </si>
  <si>
    <t>purchase cohorts,payment_allocations,supplier_id,lookback
Đối chiếu tên trường và hiện trạng tại TV1_Du_lieu.</t>
  </si>
  <si>
    <t>Kỳ hạn: hóa đơn mua chịu phát hành trong kỳ. Trễ: khoản thanh toán trong lịch sử.</t>
  </si>
  <si>
    <t>Terms cùng cohort phát hành; paid_late cùng cohort thanh toán. Phân tích nhà cung cấp thiết yếu riêng.
Ưu tiên nền tảng.</t>
  </si>
  <si>
    <t>T1-E03</t>
  </si>
  <si>
    <t>Nhà cung cấp thiết yếu và nguy cơ ngừng cung ứng</t>
  </si>
  <si>
    <t>Ưu tiên theo nghĩa vụ và tác động vận hành. nhà cung cấp kỳ hạn dưới 30 ngày chưa đủ chứng minh đang siết nợ.</t>
  </si>
  <si>
    <t>critical_due_h = Σ AP_cash_i [critical_supplier; due_date ≤ as_of + h]
purchase_share_s = PUR_s / PUR</t>
  </si>
  <si>
    <t>critical_flag, substitute_lead_days, minimum_payment, stop_supply_date, purchases
Đối chiếu tên trường và hiện trạng tại TV1_Du_lieu.</t>
  </si>
  <si>
    <t>NCC được xác định thiết yếu; khoản cần trả trong h ngày; cùng phạm vi mua để tính tỷ trọng.</t>
  </si>
  <si>
    <t>Cờ critical do nghiệp vụ xác nhận. Lương, điện và vận tải cũng có thể là chi bắt buộc nhưng không gộp AP thương mại.
Ưu tiên nền tảng.</t>
  </si>
  <si>
    <t>T1-E04</t>
  </si>
  <si>
    <t>Chiết khấu trả sớm và chi phí bỏ qua</t>
  </si>
  <si>
    <t>So lợi ích tiền với chi phí vay cùng thời hạn và rủi ro thiếu tiền. Annualization chỉ quy đổi, không chứng minh cơ hội tái đầu tư cả năm.</t>
  </si>
  <si>
    <t>saving = discount_base × d
early_cash_required = discount_base × (1 − d)
days_early = due_date − early_payment_date
simple_annual_rate = d / (1 − d) × 365 / days_early
EAR = (1 / (1 − d))^(365 / days_early) − 1</t>
  </si>
  <si>
    <t>amount eligible, discount_pct, deadline, due_date, day_basis B, payment plan
Đối chiếu tên trường và hiện trạng tại TV1_Du_lieu.</t>
  </si>
  <si>
    <t>Hóa đơn còn dư, thời hạn chiết khấu chưa hết tại ngày trả dự kiến; chỉ phần đủ điều kiện.</t>
  </si>
  <si>
    <t>VND; %/năm
Chỉ làm tròn đầu ra.</t>
  </si>
  <si>
    <t>Δdays=due−discount_payment_date&gt;0; deadline≥feasible pay date. d∈[0,1). Phí và thuế thực tế cộng lịch riêng.
Ưu tiên nền tảng.</t>
  </si>
  <si>
    <t>F. Nhu cầu vốn và khả năng chi trả</t>
  </si>
  <si>
    <t>T1-F01</t>
  </si>
  <si>
    <t>F</t>
  </si>
  <si>
    <t>Vốn lưu động thương mại thuần</t>
  </si>
  <si>
    <t>TWC không bằng tiền bị kẹt chắc chắn và không bằng khoản vay cần ngay. Khoản phải thu có thể chưa đến hạn, tồn kho có thể phục vụ đơn đã ký.</t>
  </si>
  <si>
    <t>TWC = AR + INV − AP
TWC_extended = TWC + supplier_advances − customer_advances
NWC_enterprise = current_assets − current_liabilities</t>
  </si>
  <si>
    <t>T1-A01,T1-A02,T1-A04,prepayments,advances
Đối chiếu tên trường và hiện trạng tại TV1_Du_lieu.</t>
  </si>
  <si>
    <t>AR/AP theo chưa VAT; INV sở hữu; khoản ứng trước và khách ứng trước phân loại riêng.</t>
  </si>
  <si>
    <t>Đổi tên NWC v2 thành TWC. NWC tổng quát = current_assets−current_liabilities cần toàn bảng cân đối.
Ưu tiên nền tảng.</t>
  </si>
  <si>
    <t>T1-F02</t>
  </si>
  <si>
    <t>Độ nhạy vốn theo từng ngày</t>
  </si>
  <si>
    <t>Không dùng CCC×COGS/ngày để thay TWC: AR tính trên doanh thu, inventory/AP dùng cơ sở khác. Tác động tiền phải kiểm bằng I01.</t>
  </si>
  <si>
    <t>Rev_day = Rev / N
COGS_day = COGS / N
PUR_day = PUR / N
cash_per_1_day_DSO = Rev_day
cash_per_1_day_DIO = COGS_day
cash_per_1_day_DPO = COGS_day
equivalent_capital = improvement_days × cash_per_1_day</t>
  </si>
  <si>
    <t>T1-A05,T1-B01–T1-B04
Đối chiếu tên trường và hiện trạng tại TV1_Du_lieu.</t>
  </si>
  <si>
    <t>Lưu lượng cùng kỳ N; mẫu số đúng với DSO/DIO/loại DPO.</t>
  </si>
  <si>
    <t>VND / ngày
Chỉ làm tròn đầu ra.</t>
  </si>
  <si>
    <t>Là xấp xỉ hoạt động ổn định, cố định lưu lượng. Chọn đúng mẫu số DPO. Không hạch toán trực tiếp vào forecast nếu chưa thay lịch.
Ưu tiên nền tảng.</t>
  </si>
  <si>
    <t>T1-F03</t>
  </si>
  <si>
    <t>Tiền khả dụng và hạn mức còn rút được</t>
  </si>
  <si>
    <t>Tài khoản có tiền nhưng bị phong tỏa không dùng trả lương được. Cash_available và borrowing_capacity báo riêng.</t>
  </si>
  <si>
    <t>available_cash = reconciled_cash − restricted_cash
undrawn_committed_limit = MAX(0; committed_limit − drawn_amount − blocked_amount)</t>
  </si>
  <si>
    <t>bank_balances,restrictions,debt limits,covenant status
Đối chiếu tên trường và hiện trạng tại TV1_Du_lieu.</t>
  </si>
  <si>
    <t>Tiền đã đối chiếu tại ngày chốt; hạn mức cam kết còn khả dụng và không vi phạm điều kiện.</t>
  </si>
  <si>
    <t>opening_cash của financials phải là số tại ngày chốt để mở forecast, không đầu kỳ 90 ngày. Hạn mức chưa cam kết không coi như tiền.
Ưu tiên nền tảng.</t>
  </si>
  <si>
    <t>T1-F04</t>
  </si>
  <si>
    <t>Đệm tiền và khả năng chi trả nghĩa vụ</t>
  </si>
  <si>
    <t>Coverage&lt;1 cảnh báo thiếu nguồn cho nghĩa vụ đã biết. Đây là thước đo nội bộ theo horizon, không phải hệ số thanh khoản chuẩn kế toán.</t>
  </si>
  <si>
    <t>buffer = MAX(owner_min_cash; mandatory_daily_outflow × reserve_days)
coverage_h = (available_cash + confirmed_receipts_h + feasible_drawdown_h) / mandatory_outflow_h</t>
  </si>
  <si>
    <t>firms buffer,planned payroll/tax/rent/debt,confirmed receipt schedule
Đối chiếu tên trường và hiện trạng tại TV1_Du_lieu.</t>
  </si>
  <si>
    <t>Cùng kỳ h ngày; chính sách đệm được xác nhận; chỉ thu và rút vốn có căn cứ khả thi.</t>
  </si>
  <si>
    <t>VND; tỷ số lần
Chỉ làm tròn đầu ra.</t>
  </si>
  <si>
    <t>Chính sách buffer do chủ DN xác nhận. mandatory_outflows=0: không áp dụng. Không tính thu chưa chắc chắn như confirmed.
Ưu tiên nền tảng.</t>
  </si>
  <si>
    <t>T1-F05</t>
  </si>
  <si>
    <t>Biên gộp, tiền vận hành và nợ tài chính</t>
  </si>
  <si>
    <t>Lợi nhuận dương vẫn có thể thiếu tiền. Thiếu cấu trúc chi không kết luận chỉ do CCC. Biên thấp khiến trả lãi mới có thể không bền vững.</t>
  </si>
  <si>
    <t>gross_margin = (Rev − COGS) / Rev
operating_net_cash = operating_receipts − operating_payments
DSCR = CFADS / (interest_due + principal_due)</t>
  </si>
  <si>
    <t>financials, categorized cashflows,debt schedule,CFADS mapping
Đối chiếu tên trường và hiện trạng tại TV1_Du_lieu.</t>
  </si>
  <si>
    <t>Doanh thu/COGS cùng kỳ; thu/chi phân loại; CFADS và lịch nợ cùng kỳ trả nợ.</t>
  </si>
  <si>
    <t>%; VND; lần
Chỉ làm tròn đầu ra.</t>
  </si>
  <si>
    <t>CFADS (tiền có thể trả nợ) định nghĩa trước, loại vay mới và thanh lý tài sản, sau thuế và chi đầu tư tài sản duy trì theo chính sách. Chưa đủ dữ liệu: DSCR thiếu dữ liệu.
Phân tích nâng cao, cần thêm dữ liệu.</t>
  </si>
  <si>
    <t>G. Chất lượng dữ liệu và bằng chứng tính toán</t>
  </si>
  <si>
    <t>T1-J01</t>
  </si>
  <si>
    <t>G</t>
  </si>
  <si>
    <t>Đối chiếu dư nợ và luồng tiền</t>
  </si>
  <si>
    <t>Đối chiếu phương trình độc lập, không chỉ so code với Excel cùng giả định. Cả hai cùng sai logic vẫn khớp.</t>
  </si>
  <si>
    <t>AR_close = AR_open + credit_sales − receipts − credits ± other_adjustments
INV_close = INV_open + external_receipts + capitalized_conversion − COGS − write_down ± adjustments
cash_close = cash_open + receipts − payments</t>
  </si>
  <si>
    <t>GL controls,subledger,inventory movements,payment ledger
Đối chiếu tên trường và hiện trạng tại TV1_Du_lieu.</t>
  </si>
  <si>
    <t>Cùng kỳ/cơ sở và số dư kiểm soát từ sổ; điều chỉnh có nguồn, không thêm số cân bằng vô căn cứ.</t>
  </si>
  <si>
    <t>VND; chênh lệch
Chỉ làm tròn đầu ra.</t>
  </si>
  <si>
    <t>Không đối chiếu doanh thu với tổng hóa đơn khi recognition_date khác issue_date. Sai lệch vật chất: đánh dấu affected output tạm tính/blocked.
Ưu tiên nền tảng.</t>
  </si>
  <si>
    <t>T1-J02</t>
  </si>
  <si>
    <t>Dữ liệu hợp lệ, coverage và trạng thái kết quả</t>
  </si>
  <si>
    <t>Một trường thiếu chỉ chặn chỉ tiêu phụ thuộc; không làm toàn bộ DN mất mọi kết quả. Zero khác thiếu. Không bịa ngưỡng ngành.</t>
  </si>
  <si>
    <t>data_coverage = valid_supported_amount / known_scope_amount
duplicate_count = COUNT(duplicate_keys)
excluded_value = Σ amount [invalid_or_out_of_scope]</t>
  </si>
  <si>
    <t>firm_id,invoice_id,allocation_id,dates,UOM,currency,ownership,source lineage
Đối chiếu tên trường và hiện trạng tại TV1_Du_lieu.</t>
  </si>
  <si>
    <t>Toàn population thuộc DN và kỳ; kiểm tra khóa/loại dữ liệu/ngày/tiền tệ/UOM/quyền sở hữu.</t>
  </si>
  <si>
    <t>%; số dòng; VND
Chỉ làm tròn đầu ra.</t>
  </si>
  <si>
    <t>status: ok/tạm tính/thiếu dữ liệu/dữ liệu không hợp lệ/không áp dụng. Record bị loại phải báo amount và reason; không bỏ âm thầm rồi xuất healthy.
Ưu tiên nền tảng.</t>
  </si>
  <si>
    <t>T1-J03</t>
  </si>
  <si>
    <t>Bằng chứng công thức và hợp đồng đầu ra</t>
  </si>
  <si>
    <t>Danh sách nguyên nhân dựa vào amount/risk/urgency đã tính, không dùng Top contribution như bằng chứng quan hệ nhân quả.</t>
  </si>
  <si>
    <t>metric_record = {id, value, unit, as_of, period, method, formula_version, source_ids, assumptions, status}
reported_value = ROUND(raw_value; display_precision)</t>
  </si>
  <si>
    <t>all tools get_working_capital,forecast_cash,match_financing,simulate_scenario
Đối chiếu tên trường và hiện trạng tại TV1_Du_lieu.</t>
  </si>
  <si>
    <t>Mọi công cụ tính toán; cùng snapshot_id và formula_version cho một lần chạy.</t>
  </si>
  <si>
    <t>Bản ghi JSON
Chỉ làm tròn đầu ra.</t>
  </si>
  <si>
    <t>LLM chỉ diễn giải giá trị tool. IDs và số thập phân đầy đủ giữ trong payload; rounding chỉ presentation. run_id và snapshot_id liên kết qua tác vụ.
Ưu tiên nền tảng.</t>
  </si>
  <si>
    <t>THAM SỐ VÀ NGƯỠNG – GIÁ TRỊ THỬ NGHIỆM</t>
  </si>
  <si>
    <t>Chữ xanh là ô nhập. Ngưỡng cảnh báo là giả định thử nghiệm, không phải chuẩn ngành đã xác minh.</t>
  </si>
  <si>
    <t>Dùng trễ dương ở đặc tả đầy đủ. Bảng mẫu v2 vẫn có trễ có dấu; xem phần bổ sung tại TV1_Tinh_tay.</t>
  </si>
  <si>
    <t>NVL của xưởng: tham số demo; cần hiệu chỉnh theo lead time, mùa vụ và đơn hàng.</t>
  </si>
  <si>
    <t>Dưới ngưỡng chỉ là kỳ hạn ngắn. Chưa đủ bằng chứng nhà cung cấp đang siết tín dụng.</t>
  </si>
  <si>
    <t>Ngưỡng tồn lâu – hàng thương mại</t>
  </si>
  <si>
    <t>HH</t>
  </si>
  <si>
    <t>Hàng thương mại của F02: dùng 60 ngày để giữ khả năng đối chiếu dữ liệu mẫu; cần hiệu chỉnh trước dùng thực tế.</t>
  </si>
  <si>
    <t>Ngưỡng số dư thiếu so với đệm</t>
  </si>
  <si>
    <t>cash_gap</t>
  </si>
  <si>
    <t>Thiếu = MAX(0; đệm − tiền). Trên 0 là vi phạm đệm.</t>
  </si>
  <si>
    <t>Độ lệch kiểm chứng ngày</t>
  </si>
  <si>
    <t>tol_days</t>
  </si>
  <si>
    <t>Chỉ kiểm chứng số học, không thay kiểm chứng phương pháp.</t>
  </si>
  <si>
    <t>Độ lệch kiểm chứng tiền</t>
  </si>
  <si>
    <t>tol_vnd</t>
  </si>
  <si>
    <t>Đơn vị VND; không áp 1 VND cho ví dụ theo triệu.</t>
  </si>
  <si>
    <t>TV1 — CẤU TRÚC KẾT QUẢ VÀ MẪU DIỄN GIẢI AGENT</t>
  </si>
  <si>
    <t>Kết quả phải trả số đo, đối tượng, bằng chứng và giới hạn. Mẫu tiếng Anh ở phía dưới liên kết công thức với dữ liệu F01.</t>
  </si>
  <si>
    <t>Trường / đường dẫn</t>
  </si>
  <si>
    <t>Kiểu</t>
  </si>
  <si>
    <t>Nội dung bắt buộc</t>
  </si>
  <si>
    <t>Cách tính / nguồn</t>
  </si>
  <si>
    <t>Kiểm soát và điều kiện</t>
  </si>
  <si>
    <t>status</t>
  </si>
  <si>
    <t>enum</t>
  </si>
  <si>
    <t>Trạng thái toàn yêu cầu; đủ dữ liệu cốt lõi nhưng có giả định → provisional.</t>
  </si>
  <si>
    <t>Tổng hợp trạng thái của chỉ tiêu bắt buộc.</t>
  </si>
  <si>
    <t>Không trả ok nếu phần cốt lõi thiếu hoặc sai. rejected không dùng thay cho thiếu dữ liệu.</t>
  </si>
  <si>
    <t>meta</t>
  </si>
  <si>
    <t>object</t>
  </si>
  <si>
    <t>run_id, firm_id, as_of, period_start/end, period_days, lookback_start/end, formula_version, snapshot_id, currency, generated_at.</t>
  </si>
  <si>
    <t>Nguồn tham số đầu vào đã xác thực.</t>
  </si>
  <si>
    <t>Ngày chốt khác kỳ dòng thu/chi; ghi rõ timezone và basis ngày.</t>
  </si>
  <si>
    <t>inputs</t>
  </si>
  <si>
    <t>Rev, COGS, AR, INV, AP, PUR; nguồn bảng/cột; tax_basis; balance_method; credit_sales_assumption; inventory_valuation.</t>
  </si>
  <si>
    <t>T1-A01…A06; TV1_Quy_uoc.</t>
  </si>
  <si>
    <t>Gắn status từng input. Các số dư là còn lại, không phải tổng hóa đơn gốc.</t>
  </si>
  <si>
    <t>result.metrics[]</t>
  </si>
  <si>
    <t>array&lt;metric&gt;</t>
  </si>
  <si>
    <t>id, name, raw_value, display_value, unit, status, reason, numerator, denominator, period_days, method, formula_id, evidence_ids. DSO/DIO/DPO/CCC/DPO_PUR/CCC_PUR.</t>
  </si>
  <si>
    <t>T1-B01…B05.</t>
  </si>
  <si>
    <t>Không trộn DPO trên COGS với trên mua. Denominator = 0 → null + not_applicable.</t>
  </si>
  <si>
    <t>result.compatibility</t>
  </si>
  <si>
    <t>Giữ result.dso/dio/dpo/ccc/dpo_on_purchases cho bên gọi theo v2; là giá trị làm tròn.</t>
  </si>
  <si>
    <t>Ánh xạ từ result.metrics, không tính lại.</t>
  </si>
  <si>
    <t>raw_value thuộc metric là nguồn đối soát. API triển khai phải phiên bản hóa schema.</t>
  </si>
  <si>
    <t>money</t>
  </si>
  <si>
    <t>revenue_per_day_vnd, cogs_per_day_vnd, purchases_per_day_vnd, trade_working_capital_vnd, cash_per_1_day_dso/dio/dpo_vnd.</t>
  </si>
  <si>
    <t>T1-F01/F02.</t>
  </si>
  <si>
    <t>net_working_capital_vnd cũ là alias TWC, phải gắn definition. Không gọi TWC là vốn lưu động thuần toàn DN.</t>
  </si>
  <si>
    <t>money.interpretation</t>
  </si>
  <si>
    <t>TWC: vốn thương mại thuần tại ngày chốt; one_day_values: vốn tương đương theo lưu lượng kỳ.</t>
  </si>
  <si>
    <t>T1-F01/F02, có assumption_ids.</t>
  </si>
  <si>
    <t>Giảm 1 ngày DSO không phải cam kết tiền sẽ thu; chưa có đánh giá tiền nên chưa xác định ngày giải phóng tiền.</t>
  </si>
  <si>
    <t>benchmark[]</t>
  </si>
  <si>
    <t>array</t>
  </si>
  <si>
    <t>metric_id, value, range, source, reference_period, balance_method, peer_model, comparability, status, reason.</t>
  </si>
  <si>
    <t>T1-B07; TV1_Nguong.</t>
  </si>
  <si>
    <t>Khác kỳ/phương pháp/mô hình → descriptive_only; không good/bad, không xếp hạng tín dụng.</t>
  </si>
  <si>
    <t>drivers.buyers[] — số dư</t>
  </si>
  <si>
    <t>buyer_id/name, ar_vnd, ar_share, rank_by_ar, dso_contribution_days, open_invoice_count, evidence_ids.</t>
  </si>
  <si>
    <t>AR_k/AR; AR_k/Rev×N; đếm invoice_id duy nhất.</t>
  </si>
  <si>
    <t>buyer_id ổn định; cùng phạm vi tổng AR. Tổng đóng góp phải bằng DSO.</t>
  </si>
  <si>
    <t>drivers.buyers[] — quá hạn</t>
  </si>
  <si>
    <t>overdue_vnd, overdue_share_of_buyer_ar, overdue_share_of_total_ar, overdue_invoice_count, max_days_past_due, aging_vnd.</t>
  </si>
  <si>
    <t>T1-C01; DPD theo due_date.</t>
  </si>
  <si>
    <t>Hai tỷ lệ có mẫu số khác nhau phải khác khóa. max DPD chỉ trên hóa đơn còn dư.</t>
  </si>
  <si>
    <t>drivers.buyers[] — hành vi</t>
  </si>
  <si>
    <t>avg_terms_days, collection_days_wavg, late_positive_wavg, early_wavg, late_signed_wavg, history_invoice_count, paid_amount_vnd, lookback, coverage_status.</t>
  </si>
  <si>
    <t>T1-C02/C03.</t>
  </si>
  <si>
    <t>Mẫu ít/thời gian chưa đủ → insufficient_history; không gán 0 ngày trễ.</t>
  </si>
  <si>
    <t>drivers.buyers[] — rủi ro cụ thể</t>
  </si>
  <si>
    <t>disputed_ar_vnd, cancelled_ar_vnd, default_flag, flag_codes, reasons[], source_ids.</t>
  </si>
  <si>
    <t>T1-C05; cờ từ dữ liệu có ngày hiệu lực.</t>
  </si>
  <si>
    <t>Không suy tranh chấp/mất khả năng trả từ DSO hoặc tập trung. PD/LGD chỉ khi có nguồn/giả định.</t>
  </si>
  <si>
    <t>drivers.receivables_aging_vnd</t>
  </si>
  <si>
    <t>not_due, days_1_30, days_31_60, days_61_90, over_90; value_vnd, share, invoice_count mỗi nhóm.</t>
  </si>
  <si>
    <t>T1-C01; tổng 5 nhóm = AR.</t>
  </si>
  <si>
    <t>Công khai bucket_definition; missing_due_date_vnd nằm riêng trong quality, không tự xếp chưa đến hạn.</t>
  </si>
  <si>
    <t>drivers.concentration</t>
  </si>
  <si>
    <t>top1_share, top3_share, HHI, ranked_buyer_ids, concentration_threshold, threshold_source.</t>
  </si>
  <si>
    <t>T1-C04.</t>
  </si>
  <si>
    <t>Không dùng ngưỡng cảnh báo không có chính sách. Tập trung cao có thể kèm trả đúng hạn.</t>
  </si>
  <si>
    <t>drivers.products[] — cấu trúc</t>
  </si>
  <si>
    <t>product_line, inventory_type, owned_cost_vnd, owned_book_vnd, valuation_status, inventory_share, dio_contribution_days, lot_count.</t>
  </si>
  <si>
    <t>T1-D01/B06, cùng valuation với tổng INV.</t>
  </si>
  <si>
    <t>F02 là hàng thương mại; NVL/BTP/TP không áp mặc định cho mọi DN.</t>
  </si>
  <si>
    <t>drivers.products[] — tuổi và nhu cầu</t>
  </si>
  <si>
    <t>age_value_wavg_days, max_age_days, slow_threshold_days, slow_value_vnd, slow_share, committed_demand_qty, weeks_cover, cancelled_order_value_vnd.</t>
  </si>
  <si>
    <t>T1-D02/D03.</t>
  </si>
  <si>
    <t>Không dùng một days_in_stock cho nhiều lô khác tuổi. Thiếu demand → weeks_cover null. Không cộng qty khác UOM.</t>
  </si>
  <si>
    <t>drivers.inventory_exclusions[]</t>
  </si>
  <si>
    <t>owner_id, product_line, excluded_value_vnd, exclusion_reason, lot_ids.</t>
  </si>
  <si>
    <t>Hàng khách giao/không thuộc sở hữu.</t>
  </si>
  <si>
    <t>Giá trị bị loại phải có bằng chứng; không cộng vào INV hay cơ hội thanh lý của DN.</t>
  </si>
  <si>
    <t>drivers.suppliers[] — số dư</t>
  </si>
  <si>
    <t>supplier_id/name, ap_vnd, ap_share, dpo_contribution_days, purchases_in_period_vnd, purchase_share, open_invoice_count.</t>
  </si>
  <si>
    <t>T1-E01/B06.</t>
  </si>
  <si>
    <t>DPO đóng góp giảm CCC về mặt số học; kiểm tra quá hạn trước khi gọi là lợi thế kỳ hạn.</t>
  </si>
  <si>
    <t>drivers.suppliers[] — áp lực</t>
  </si>
  <si>
    <t>avg_terms_days, overdue_vnd, overdue_share, due_today_vnd, due_7d_vnd, due_30d_vnd, next_due_date, critical_supplier, short_terms, flag_codes, reasons.</t>
  </si>
  <si>
    <t>T1-E01…E03; cửa sổ công khai.</t>
  </si>
  <si>
    <t>due_7d/due_30d là cửa sổ cộng dồn gồm hôm nay, không cộng hai cửa sổ. critical/short_terms cần trường hoặc ngưỡng.</t>
  </si>
  <si>
    <t>drivers.early_payment_discounts[]</t>
  </si>
  <si>
    <t>invoice_id, supplier, outstanding_discount_base_vnd, deadline, early_payment_date, normal_due_date, saving_vnd, cash_required_vnd, days_early, simple_annual_rate, EAR, eligibility_status.</t>
  </si>
  <si>
    <t>T1-E04; kiểm tra phần còn dư và ngày hạn.</t>
  </si>
  <si>
    <t>implied_annual_rate cũ = simple_annual_rate. Chưa có đánh giá tiền và chi phí chỉ ghi cơ hội cần đánh giá, không kết luận nên trả sớm.</t>
  </si>
  <si>
    <t>drivers.ranked_views</t>
  </si>
  <si>
    <t>top_buyers, top_products, flagged_buyers, slow_moving_lines, short_terms_suppliers: danh sách ID tham chiếu.</t>
  </si>
  <si>
    <t>Sắp dư/đóng góp giảm dần; hòa thứ hạng theo ID; top_n công khai.</t>
  </si>
  <si>
    <t>Không sao chép các bản ghi số khác nhau. Cảnh báo dựa cờ/threshold có provenance.</t>
  </si>
  <si>
    <t>analysis.ccc_decomposition</t>
  </si>
  <si>
    <t>components: DSO, DIO, −DPO; largest_positive_component; buyer/product/supplier contribution rankings.</t>
  </si>
  <si>
    <t>T1-B05/B06.</t>
  </si>
  <si>
    <t>Phân rã số học; tên khách lớn không mặc nhiên là nguyên nhân chậm thu.</t>
  </si>
  <si>
    <t>insights[]</t>
  </si>
  <si>
    <t>array&lt;insight&gt;</t>
  </si>
  <si>
    <t>insight_id, theme, priority, observation, interpretation, business_implication, evidence_refs[], metric_refs[], formula_ids[], assumptions[], limitations[], confidence_reason.</t>
  </si>
  <si>
    <t>Mẫu chi tiết ở TV1_Dien_giai.</t>
  </si>
  <si>
    <t>Mỗi số/tên đối tượng phải có evidence_ref; suy luận gắn nhãn. Không confidence % tùy ý.</t>
  </si>
  <si>
    <t>actions[]</t>
  </si>
  <si>
    <t>array&lt;action&gt;</t>
  </si>
  <si>
    <t>action_id, linked_insight_ids, target_entity_ids, proposed_step, rationale, indicative_equivalent_capital_vnd, prerequisites, owner_role, urgency_reason, verification_metric.</t>
  </si>
  <si>
    <t>Đề xuất chẩn đoán TV1; vốn tương đương theo T1-F02.</t>
  </si>
  <si>
    <t>Phân biệt vốn tương đương với tiền có thể thu chắc chắn. Chưa có catalogue/dự báo không xếp hạng tài trợ.</t>
  </si>
  <si>
    <t>data_quality[]</t>
  </si>
  <si>
    <t>array&lt;check&gt;</t>
  </si>
  <si>
    <t>id, check, scope, value, affected_value_vnd, status, reason, source_ids, affected_metric_ids, remediation.</t>
  </si>
  <si>
    <t>T1-J01/J02; kiểm tra duplicate, dates, residuals, ownership, denominators, coverage.</t>
  </si>
  <si>
    <t>DQ chỉ kiểm dữ liệu; không là chỉ tiêu sức khỏe DN. Thiếu mẫu kiểm soát → not_tested.</t>
  </si>
  <si>
    <t>reconciliation</t>
  </si>
  <si>
    <t>AR_by_buyer vs AR; aging_total vs AR; INV_by_product vs INV; AP_by_supplier vs AP; contributions vs DSO/DIO/DPO; CCC identity.</t>
  </si>
  <si>
    <t>Tổng các raw_value; tolerance_vnd = 1, tolerance_days = 1e−8.</t>
  </si>
  <si>
    <t>Đối soát số thô. Sai đối soát → invalid_data chỉ tiêu bị ảnh hưởng, không che bằng làm tròn.</t>
  </si>
  <si>
    <t>explanation</t>
  </si>
  <si>
    <t>formula_ids, expressions, input_refs, filter_definition, assumptions, excluded_records, calculation_method.</t>
  </si>
  <si>
    <t>TV1_Cong_thuc.</t>
  </si>
  <si>
    <t>Nếu API cũ chỉ nhận chuỗi, explanation_text là bản biểu diễn của cùng object.</t>
  </si>
  <si>
    <t>evidence[]</t>
  </si>
  <si>
    <t>evidence_id, source_table, source_row_ids, source_columns, filter, as_of, aggregate_value, unit, status.</t>
  </si>
  <si>
    <t>Chỉ dữ liệu của DN được phân quyền.</t>
  </si>
  <si>
    <t>Không lấy mọi số trong chat làm bằng chứng. Bản tổng hợp có đường dẫn đến dòng nguồn.</t>
  </si>
  <si>
    <t>narrative</t>
  </si>
  <si>
    <t>executive_summary, receivables, inventory, payables, priorities, limitations; từng phần gắn insight_ids.</t>
  </si>
  <si>
    <t>Render từ kết quả công cụ; thứ tự ở TV1_Dien_giai.</t>
  </si>
  <si>
    <t>check_answer kiểm cả đơn vị, mẫu số, thời gian, tên đối tượng, phương pháp và không bịa số; chưa có code kèm để xác nhận đã chạy.</t>
  </si>
  <si>
    <t>MẪU DIỄN GIẢI AGENT CHO F01 — ENGLISH DEMO, LINKED TO TOOL-STYLE RESULTS</t>
  </si>
  <si>
    <t>Your DSO is above the listed Vietnamese garment-company reference range of 32.0–47.5 days. Those references use average balances over 365 days, whereas this diagnosis uses closing balances over 90 days, so the comparison is directional rather than a performance verdict. The practical priorities are buyer-specific collection follow-up, an evidence-based recovery plan for cancelled-order trims, and verification of overdue supplier obligations before pursuing discounts. This snapshot does not establish when cash will arrive or whether all payments can be met. These are diagnostic suggestions, not a credit decision.</t>
  </si>
  <si>
    <t>Mẫu không chép nguyên văn số cũ: trễ có dấu 20,5 ngày được gắn đúng nhãn; trễ dương tính riêng; % quá hạn và VND tính từ dữ liệu chưa làm tròn. Đoạn demo dùng dữ liệu giả lập, không phải đánh giá doanh nghiệp thật.</t>
  </si>
  <si>
    <t>TÍNH TAY TRÊN DỮ LIỆU MẪU V2 VÀ CHỈ TIÊU BỔ SUNG</t>
  </si>
  <si>
    <t>Dữ liệu v2 giả định trả toàn bộ một lần, chưa VAT và số dư cuối kỳ. Đây là phần tính được trên dữ liệu hiện có; không phải tất cả chỉ tiêu mở rộng.</t>
  </si>
  <si>
    <t>DPO trên tổng mua (giả định mua chịu)</t>
  </si>
  <si>
    <t>Vốn lưu động thương mại thuần (TWC)</t>
  </si>
  <si>
    <t>CHỈ TIÊU BỔ SUNG TÍNH ĐƯỢC TRÊN DỮ LIỆU MẪU</t>
  </si>
  <si>
    <t>ID mới</t>
  </si>
  <si>
    <t>Trễ dương bình quân đã thu</t>
  </si>
  <si>
    <t>Thời gian thu thực tế đã thu</t>
  </si>
  <si>
    <t>AP quá hạn</t>
  </si>
  <si>
    <t>Tỷ lệ AP quá hạn</t>
  </si>
  <si>
    <t>AP đến hạn đúng ngày chốt</t>
  </si>
  <si>
    <t>Biên lợi nhuận gộp</t>
  </si>
  <si>
    <t>CCC theo tổng mua giả định mua chịu</t>
  </si>
  <si>
    <t>Vốn tương đương 1 ngày DPO mua chịu</t>
  </si>
  <si>
    <t>VND/ngày</t>
  </si>
  <si>
    <t>ĐỐI CHIẾU CÔNG THỨC MẪU VỚI GIÁ TRỊ THAM CHIẾU V2</t>
  </si>
  <si>
    <t>Cột tham chiếu là số lưu từ v2, không phải kết quả code mới. Đổi dữ liệu/ngưỡng có thể làm chênh lệch. Kiểm thử đặc tả đầy đủ xem TV1_Kiem_thu.</t>
  </si>
  <si>
    <t>Tham chiếu v2 (tĩnh)</t>
  </si>
  <si>
    <t>Excel hiện tại</t>
  </si>
  <si>
    <t>KẾT QUẢ MINH HỌA VÀ GIỚI HẠN DỮ LIỆU</t>
  </si>
  <si>
    <t>Nội dung</t>
  </si>
  <si>
    <t>Diễn giải</t>
  </si>
  <si>
    <t>DSO/CCC và TWC</t>
  </si>
  <si>
    <t>Tính lại từ sổ mẫu. Số dư cuối kỳ, giả định toàn doanh thu là bán chịu.</t>
  </si>
  <si>
    <t>DIO trên cost; vải là hàng thương mại. Chưa có NRV để kết luận giá trị thu hồi.</t>
  </si>
  <si>
    <t>DSO cao cần đọc với kỳ hạn và tuổi nợ; không mặc nhiên là khách vi phạm.</t>
  </si>
  <si>
    <t>Chung</t>
  </si>
  <si>
    <t>AP quá hạn và trễ thu dương</t>
  </si>
  <si>
    <t>Bổ sung phép tính trực tiếp từ D_sales/D_purchases. Xem TV1_Tinh_tay hàng 101–108.</t>
  </si>
  <si>
    <t>Giới hạn</t>
  </si>
  <si>
    <t>Dữ liệu còn thiếu</t>
  </si>
  <si>
    <t>Chưa có payment allocation từng phần, NRV, catalogue tài trợ hoàn chỉnh và planned_flows 13 tuần trong bộ mẫu v2.</t>
  </si>
  <si>
    <t>Chuỗi cung ứng</t>
  </si>
  <si>
    <t>Chưa tính lan truyền nhân quả</t>
  </si>
  <si>
    <t>Tên đối tác cho thấy liên hệ nhưng hai sổ chưa khớp từng hóa đơn. Cần bảng ghép giao dịch trước mô phỏng.</t>
  </si>
  <si>
    <t>Tham chiếu</t>
  </si>
  <si>
    <t>Không kết luận tốt/xấu từ benchmark</t>
  </si>
  <si>
    <t>Các tỷ số mẫu không cùng phương pháp với doanh nghiệp niêm yết; chỉ mô tả vị trí số học.</t>
  </si>
  <si>
    <t>DSO cuối kỳ</t>
  </si>
  <si>
    <t>CCC theo COGS</t>
  </si>
  <si>
    <t>TWC (VND)</t>
  </si>
  <si>
    <t>AP quá hạn (VND)</t>
  </si>
  <si>
    <t>Biên gộp</t>
  </si>
  <si>
    <t>late_positive_days</t>
  </si>
  <si>
    <t>weighted_positive_late</t>
  </si>
  <si>
    <t>weighted_collection_days</t>
  </si>
  <si>
    <t>days_past_due</t>
  </si>
  <si>
    <t>open_overdue</t>
  </si>
  <si>
    <t>due_at_as_of</t>
  </si>
  <si>
    <t>TV1 — KÝ HIỆU VÀ THUẬT NGỮ</t>
  </si>
  <si>
    <t>Ký hiệu</t>
  </si>
  <si>
    <t>Ý nghĩa</t>
  </si>
  <si>
    <t>Cách hiểu</t>
  </si>
  <si>
    <t>Rev</t>
  </si>
  <si>
    <t>Doanh thu trong kỳ</t>
  </si>
  <si>
    <t>financials.revenue_vnd; mẫu giả định toàn bộ bán chịu</t>
  </si>
  <si>
    <t>COGS</t>
  </si>
  <si>
    <t>Giá vốn trong kỳ</t>
  </si>
  <si>
    <t>financials.cogs_vnd</t>
  </si>
  <si>
    <t>AR / AP</t>
  </si>
  <si>
    <t>Dư phải thu / phải trả thương mại</t>
  </si>
  <si>
    <t>Dư còn lại tại ngày chốt</t>
  </si>
  <si>
    <t>INV</t>
  </si>
  <si>
    <t>Tồn kho thuộc sở hữu</t>
  </si>
  <si>
    <t>Mẫu dùng giá gốc; bản thật cần đánh giá NRV</t>
  </si>
  <si>
    <t>PUR / N</t>
  </si>
  <si>
    <t>Mua trong kỳ / số ngày kỳ</t>
  </si>
  <si>
    <t>Giả định mẫu toàn mua chịu; N gồm hai đầu</t>
  </si>
  <si>
    <t>DSO / DIO / DPO</t>
  </si>
  <si>
    <t>Số ngày phải thu / tồn kho / phải trả</t>
  </si>
  <si>
    <t>Cùng kỳ, cùng phương pháp số dư</t>
  </si>
  <si>
    <t>Chu kỳ chuyển đổi tiền</t>
  </si>
  <si>
    <t>DSO + DIO − DPO; không tự phản ánh đủ khả năng trả nợ</t>
  </si>
  <si>
    <t>TWC</t>
  </si>
  <si>
    <t>AR + INV − AP; không phải NWC toàn DN</t>
  </si>
  <si>
    <t>DPD</t>
  </si>
  <si>
    <t>Số ngày quá hạn hiện tại</t>
  </si>
  <si>
    <t>MAX(0; as_of − due_date) trên hóa đơn còn dư</t>
  </si>
  <si>
    <t>Trễ dương / trễ có dấu</t>
  </si>
  <si>
    <t>Hai chỉ tiêu hành vi khác nhau</t>
  </si>
  <si>
    <t>Trễ dương không bù trừ trả sớm; trễ có dấu có bù trừ</t>
  </si>
  <si>
    <t>NRV</t>
  </si>
  <si>
    <t>Giá trị thuần có thể thực hiện</t>
  </si>
  <si>
    <t>Giá bán chưa VAT trừ chi phí hoàn thiện/bán</t>
  </si>
  <si>
    <t>simple_annual_rate / EAR</t>
  </si>
  <si>
    <t>Quy đổi năm đơn giản / hiệu dụng</t>
  </si>
  <si>
    <t>Hai công thức khác nhau; tỷ lệ 37,2% mẫu là đơn giản</t>
  </si>
  <si>
    <t>null / 0</t>
  </si>
  <si>
    <t>Chưa xác định / đo được bằng không</t>
  </si>
  <si>
    <t>null cần status và reason</t>
  </si>
  <si>
    <t>evidence_ref</t>
  </si>
  <si>
    <t>Tham chiếu bằng chứng</t>
  </si>
  <si>
    <t>Gắn số, đối tượng, kỳ và cách đo với dữ liệu nguồn</t>
  </si>
  <si>
    <t>TV1 — QUY ƯỚC KÝ HIỆU VÀ PHẠM VI DỮ LIỆU</t>
  </si>
  <si>
    <t>Ký hiệu / trường</t>
  </si>
  <si>
    <t>Cách hiểu và điều kiện</t>
  </si>
  <si>
    <t>Phạm vi</t>
  </si>
  <si>
    <t>TV1: chẩn đoán vốn lưu động</t>
  </si>
  <si>
    <t>TV1: chẩn đoán hiện trạng vốn lưu động, xác định khách hàng, tồn kho và nhà cung cấp cần ưu tiên kiểm chứng. Không thiết kế dự báo, xếp hạng tài trợ hoặc mô phỏng trong file này.</t>
  </si>
  <si>
    <t>Nguồn mẫu</t>
  </si>
  <si>
    <t>financials = D_financials; sales = D_sales; purchases = D_purchases; inventory = D_inventory</t>
  </si>
  <si>
    <t>Tên bảng ngắn dùng trong công thức; firm_id phải khớp với DN đang phân tích. Trường mở rộng không có trong mẫu phải trả null và lý do.</t>
  </si>
  <si>
    <t>Rev; COGS; AR; INV; AP; PUR; N</t>
  </si>
  <si>
    <t>Rev: doanh thu; COGS: giá vốn; AR/AP: phải thu/phải trả thương mại còn lại; INV: tồn thuộc sở hữu; PUR: mua trong kỳ; N: số ngày kỳ. Tất cả giá trị mẫu là VND chưa VAT.</t>
  </si>
  <si>
    <t>AR mẫu</t>
  </si>
  <si>
    <t>AR = Σ sales.amount_vnd [open = 1]</t>
  </si>
  <si>
    <t>open = 1 khi issue_date ≤ as_of và chưa trả tại as_of. Dữ liệu mẫu trả toàn bộ một lần. Bản thật dùng dư còn lại sau phân bổ từng lần trả, không dùng nguyên giá hóa đơn.</t>
  </si>
  <si>
    <t>AP mẫu</t>
  </si>
  <si>
    <t>AP = Σ purchases.amount_vnd [open = 1]</t>
  </si>
  <si>
    <t>Cùng logic ngày chốt với AR; chỉ nghĩa vụ thương mại. Khoản ứng trước phải phân loại riêng.</t>
  </si>
  <si>
    <t>INV mẫu</t>
  </si>
  <si>
    <t>INV = Σ inventory.qty × inventory.unit_cost_vnd [excluded = 0]</t>
  </si>
  <si>
    <t>Loại hàng khách giao. Đây là giá gốc; chưa có NRV nên không khẳng định giá trị ghi sổ sau suy giảm hay giá có thể thu hồi.</t>
  </si>
  <si>
    <t>PUR mẫu</t>
  </si>
  <si>
    <t>PUR = Σ purchases.amount_vnd [in_period = 1]</t>
  </si>
  <si>
    <t>issue_date từ period_start đến period_end, gồm cả hai đầu. Giả định toàn bộ mua là mua chịu; ghi assumption trong kết quả.</t>
  </si>
  <si>
    <t>Rev mẫu</t>
  </si>
  <si>
    <t>Rev = financials.revenue_vnd</t>
  </si>
  <si>
    <t>Giả định toàn doanh thu là bán chịu. Khi có is_credit, DSO dùng Rev_credit cùng phạm vi AR. Không tự đổi mẫu số khi so các DN.</t>
  </si>
  <si>
    <t>balance_method = closing_snapshot</t>
  </si>
  <si>
    <t>Mẫu v2 dùng số cuối kỳ và N = 90. Bình quân ngày/đầu-cuối là các phương pháp riêng; không gọi số cuối kỳ là bình quân.</t>
  </si>
  <si>
    <t>Trọng số lịch sử</t>
  </si>
  <si>
    <t>receipt_allocated = tiền thu phân bổ; invoice_amount = giá trị hóa đơn</t>
  </si>
  <si>
    <t>Hành vi thu tiền dùng receipt_allocated và lookback; kỳ hạn cấp cho khách dùng invoice_amount trên cohort được nêu rõ. Mẫu một lần trả: receipt_allocated = amount_vnd.</t>
  </si>
  <si>
    <t>Trễ thu</t>
  </si>
  <si>
    <t>late_positive_wavg ≠ late_signed_wavg</t>
  </si>
  <si>
    <t>Trễ dương không bị trả sớm bù trừ. Tách lịch sử đã thu khỏi nợ đang mở; không suy hành vi khách chỉ từ một DSO.</t>
  </si>
  <si>
    <t>Tuổi nợ</t>
  </si>
  <si>
    <t>not_due; 1_30; 31_60; 61_90; over_90</t>
  </si>
  <si>
    <t>5 nhóm không trùng; due_date = as_of thuộc not_due. Giữ khóa 4 nhóm cũ chỉ ở chế độ tương thích và trả bucket_definition rõ ràng.</t>
  </si>
  <si>
    <t>Đóng góp</t>
  </si>
  <si>
    <t>DSO_k; DIO_l; DPO_s</t>
  </si>
  <si>
    <t>Đóng góp là phân rã số học, chưa phải bằng chứng nhân quả. DPO_s mang dấu trừ trong CCC; DPO cao do quá hạn không được gọi là tối ưu thanh toán.</t>
  </si>
  <si>
    <t>Định dạng số</t>
  </si>
  <si>
    <t>raw_value; display_value</t>
  </si>
  <si>
    <t>Tính và đối soát từ raw_value; chỉ hiển thị ngày 1 số lẻ, tỷ lệ 1 số lẻ %, VND số nguyên. JSON tỷ lệ là số 0–1, không phải 0–100.</t>
  </si>
  <si>
    <t>Trạng thái</t>
  </si>
  <si>
    <t>ok / provisional / missing_data / invalid_data / not_applicable / rejected</t>
  </si>
  <si>
    <t>rejected: sai quyền truy cập/phạm vi yêu cầu. Từng metric có status riêng. null kèm reason; 0 chỉ khi đo được bằng 0; không coi thiếu dữ liệu là doanh nghiệp khỏe.</t>
  </si>
  <si>
    <t>Nguồn nội dung</t>
  </si>
  <si>
    <t>Bảng đính kèm: Pasted markdown(20261009-181335).md</t>
  </si>
  <si>
    <t>Bảng đính kèm là cơ sở thiết kế get_working_capital. Nội dung này là đặc tả và minh họa bằng Excel; chưa có file code để xác minh thực thi API.</t>
  </si>
  <si>
    <t>TV1 — THIẾT KẾ BÁO CÁO VÀ INSIGHT</t>
  </si>
  <si>
    <t>Phần kết quả</t>
  </si>
  <si>
    <t>Nội dung phân tích</t>
  </si>
  <si>
    <t>Mẫu câu / cách diễn giải</t>
  </si>
  <si>
    <t>Trường chứng minh</t>
  </si>
  <si>
    <t>Giới hạn diễn giải</t>
  </si>
  <si>
    <t>1. Tổng quan</t>
  </si>
  <si>
    <t>Trình bày DSO + DIO − DPO = CCC; TWC và phạm vi đo.</t>
  </si>
  <si>
    <t>“Tại {as_of}, CCC là {ccc} ngày theo số dư cuối kỳ và kỳ {N} ngày; TWC là {twc} VND.”</t>
  </si>
  <si>
    <t>result.metrics; money; meta; inputs.method</t>
  </si>
  <si>
    <t>Không nói DN thiếu tiền/phá sản chỉ từ CCC.</t>
  </si>
  <si>
    <t>2. Trọng tâm phải thu</t>
  </si>
  <si>
    <t>Nêu khách chiếm AR lớn; đóng góp DSO; quá hạn hiện tại; hành vi đã thu và độ phủ.</t>
  </si>
  <si>
    <t>“{buyer} chiếm {ar_share}% AR và đóng góp {dso_k} ngày. Trong dư nợ khách này, {overdue_share}% đã quá hạn. Lịch sử đã thu có trễ dương {late_positive} ngày trên {count} khoản.”</t>
  </si>
  <si>
    <t>drivers.buyers; concentration; aging</t>
  </si>
  <si>
    <t>Tách nợ hiện tại khỏi mẫu lịch sử; không dùng trễ có dấu thay trễ dương.</t>
  </si>
  <si>
    <t>3. Trọng tâm tồn kho</t>
  </si>
  <si>
    <t>Cơ cấu thuộc sở hữu; dòng/lô tồn lâu; ngưỡng theo mô hình; đơn hủy và nhu cầu.</t>
  </si>
  <si>
    <t>“{product} có {value} VND giá gốc thuộc sở hữu, đóng góp {dio_l} ngày. {slow_value} VND vượt ngưỡng {threshold} ngày; chưa có NRV nên chưa xác định mức thu hồi.”</t>
  </si>
  <si>
    <t>drivers.products; inventory_exclusions; recoverability</t>
  </si>
  <si>
    <t>Tồn lâu không mặc nhiên bán được; hàng khách giao không phải vốn bị giam của DN.</t>
  </si>
  <si>
    <t>4. Nghĩa vụ NCC</t>
  </si>
  <si>
    <t>Tách kỳ hạn hữu ích với nợ quá hạn; nêu NCC thiết yếu và nghĩa vụ gần nhất.</t>
  </si>
  <si>
    <t>“DPO là {dpo} ngày; AP quá hạn {overdue} VND cho thấy một phần kỳ thanh toán có thể do chậm trả. {supplier} có {due_7d} VND cần trả trong cửa sổ 7 ngày.”</t>
  </si>
  <si>
    <t>drivers.suppliers; evidence</t>
  </si>
  <si>
    <t>Không gọi kéo dài DPO bằng vi phạm là cải thiện tài chính.</t>
  </si>
  <si>
    <t>5. Ưu tiên theo bằng chứng</t>
  </si>
  <si>
    <t>Quan sát → giải thích → hệ quả → hành động → điều kiện → thước đo xác minh.</t>
  </si>
  <si>
    <t>“Ưu tiên đối soát {invoice_ids} của {buyer}; số dư liên quan {value} VND. Chưa xác nhận ngày trả nên chưa coi đây là tiền có thể thu ngay.”</t>
  </si>
  <si>
    <t>insights; actions; evidence</t>
  </si>
  <si>
    <t>Không gán priority bằng điểm số tùy ý. Nếu thiếu ngày/criticality, ưu tiên xác minh thay kết luận.</t>
  </si>
  <si>
    <t>6. Vốn tương đương</t>
  </si>
  <si>
    <t>Cho biết đòn bẩy 1 ngày và các điều kiện giữ lưu lượng không đổi.</t>
  </si>
  <si>
    <t>“Ở tốc độ bán chịu của kỳ, 1 ngày DSO tương đương {rev_day} VND. Đây là quy đổi vốn, không phải tiền được bảo đảm thu trong ngày.”</t>
  </si>
  <si>
    <t>money; formula T1-F02</t>
  </si>
  <si>
    <t>Không gán tiền quy đổi là khoản tiền chắc chắn thu. Cần ngày trả và cam kết thanh toán.</t>
  </si>
  <si>
    <t>7. So sánh có điều kiện</t>
  </si>
  <si>
    <t>Nguồn, mô hình, phương pháp và kỳ tham chiếu; chênh lệch chỉ khi tương đồng.</t>
  </si>
  <si>
    <t>“Khoảng tham chiếu dùng bình quân năm; số mẫu dùng cuối kỳ 90 ngày. Chỉ mô tả vị trí số học, chưa kết luận hiệu quả kém.”</t>
  </si>
  <si>
    <t>benchmark; meta</t>
  </si>
  <si>
    <t>Không nhắc tỷ số/nguồn chưa có trong tool output.</t>
  </si>
  <si>
    <t>8. Giới hạn và bước tiếp</t>
  </si>
  <si>
    <t>Chỉ rõ thiếu dữ liệu nào ngăn nhận định nào, cần bổ sung gì.</t>
  </si>
  <si>
    <t>Thiếu số dư tiền/lịch thu chi nên TV1 chưa kết luận khả năng đáp ứng các khoản phải trả. Nêu dữ liệu cần bổ sung để kiểm chứng.</t>
  </si>
  <si>
    <t>data_quality; status; actions.prerequisites</t>
  </si>
  <si>
    <t>Không khẳng định đã chạy task1_working_capital.py hay check_answer nếu chỉ có đặc tả.</t>
  </si>
  <si>
    <t>Hợp đồng insight</t>
  </si>
  <si>
    <t>Observation: số đo; interpretation: diễn giải có điều kiện; implication: hệ quả kinh doanh; next_step: bước kiểm chứng.</t>
  </si>
  <si>
    <t>Mỗi insight có ít nhất một evidence_ref; phân biệt observed / inferred / assumed.</t>
  </si>
  <si>
    <t>Ví dụ: AR tập trung là quan sát; nguy cơ phụ thuộc là suy luận; khách mất khả năng trả cần bằng chứng riêng.</t>
  </si>
  <si>
    <t>Quy tắc độ sâu</t>
  </si>
  <si>
    <t>Mỗi nhóm trả cả quy mô, tỷ trọng, đối tượng, thời gian, độ phủ và điều kiện áp dụng khi đủ dữ liệu.</t>
  </si>
  <si>
    <t>Không lặp số tổng trong nhiều đoạn; chọn 3–5 phát hiện ưu tiên có giá trị quyết định. Chi tiết còn lại để bảng drill-down.</t>
  </si>
  <si>
    <t>narrative + ranked_views</t>
  </si>
  <si>
    <t>Độ sâu đến từ bằng chứng và mối liên hệ, không từ đoạn văn dài.</t>
  </si>
  <si>
    <t>TV1 — MẪU KẾT QUẢ F01 CÓ TRUY VẾT</t>
  </si>
  <si>
    <t>Khoản mục</t>
  </si>
  <si>
    <t>Diễn giải / bằng chứng</t>
  </si>
  <si>
    <t>A. Chỉ tiêu tổng quan — giá trị liên kết trực tiếp bảng tính</t>
  </si>
  <si>
    <t>N (ngày)</t>
  </si>
  <si>
    <t>Kỳ dòng doanh thu/giá vốn, không phải tuổi hóa đơn</t>
  </si>
  <si>
    <t>Số dư cuối kỳ; giả định toàn doanh thu bán chịu</t>
  </si>
  <si>
    <t>Tồn thuộc sở hữu theo giá gốc; chưa có NRV</t>
  </si>
  <si>
    <t>DPO trên COGS</t>
  </si>
  <si>
    <t>Không phải trên mua chịu</t>
  </si>
  <si>
    <t>DSO + DIO − DPO</t>
  </si>
  <si>
    <t>Vốn tương đương 1 ngày DSO</t>
  </si>
  <si>
    <t>Không cam kết tiền chắc chắn thu</t>
  </si>
  <si>
    <t>Ngày đến hạn &lt; ngày chốt</t>
  </si>
  <si>
    <t>Trễ dương đã thu</t>
  </si>
  <si>
    <t>Cửa sổ lịch sử; không bù trừ bởi trả sớm</t>
  </si>
  <si>
    <t>Thời gian thu thực tế</t>
  </si>
  <si>
    <t>Từ phát hành đến ngày thu, khác DSO</t>
  </si>
  <si>
    <t>Không chứng minh đủ tiền trả nợ</t>
  </si>
  <si>
    <t>B. Đọc kết quả F01 theo bằng chứng hiện có</t>
  </si>
  <si>
    <t>provisional</t>
  </si>
  <si>
    <t>trạng thái</t>
  </si>
  <si>
    <t>Dữ liệu giả lập v2; số dư cuối kỳ, chưa VAT, thanh toán toàn bộ một lần.</t>
  </si>
  <si>
    <t>Quan sát 1</t>
  </si>
  <si>
    <t>diễn giải</t>
  </si>
  <si>
    <t>Kết quả từ các ô metric phía trên; không sao chép con số lịch sử trong đoạn mẫu.</t>
  </si>
  <si>
    <t>Quan sát 2</t>
  </si>
  <si>
    <t>AP quá hạn là nghĩa vụ đang chậm; cần drill-down hóa đơn/NCC trước khi chọn hành động.</t>
  </si>
  <si>
    <t>Hành động ưu tiên</t>
  </si>
  <si>
    <t>Đối soát công nợ mở và ngày đến hạn; xác minh khoản AP quá hạn trước khi đề xuất giãn trả.</t>
  </si>
  <si>
    <t>bước kiểm chứng</t>
  </si>
  <si>
    <t>TV1 không tự quyết định cấp tín dụng hay giải ngân.</t>
  </si>
  <si>
    <t>Chưa có NRV, thanh toán từng phần, số dư tiền và lịch chi đầy đủ.</t>
  </si>
  <si>
    <t>dữ liệu thiếu</t>
  </si>
  <si>
    <t>Chỉ chẩn đoán TV1; không tự quyết định cấp tín dụng hay giải ngân.</t>
  </si>
  <si>
    <t>Ghi chú mẫu đính kèm</t>
  </si>
  <si>
    <t>Các số/tên trong đoạn tiếng Anh đính kèm chỉ dùng sau khi tool trả đúng bằng chứng.</t>
  </si>
  <si>
    <t>quy tắc</t>
  </si>
  <si>
    <t>Không tự giữ số 20,5 ngày nếu chỉ tiêu đã đổi từ trễ có dấu sang trễ dương; không diễn giải benchmark khác phương pháp là tốt/xấu.</t>
  </si>
  <si>
    <t>§ C. Bằng chứng chi tiết cho đoạn demo F01</t>
  </si>
  <si>
    <t>AR của Exporter K1</t>
  </si>
  <si>
    <t>TV1_Tinh_tay!B40</t>
  </si>
  <si>
    <t>Tỷ trọng AR K1</t>
  </si>
  <si>
    <t>TV1_Tinh_tay!C40</t>
  </si>
  <si>
    <t>Đóng góp DSO K1</t>
  </si>
  <si>
    <t>TV1_Tinh_tay!D40</t>
  </si>
  <si>
    <t>Trễ có dấu K1</t>
  </si>
  <si>
    <t>TV1_Tinh_tay!H40; lịch sử 180 ngày</t>
  </si>
  <si>
    <t>Trễ dương K1</t>
  </si>
  <si>
    <t>D_sales weighted_positive_late / amount đã thu trong hist</t>
  </si>
  <si>
    <t>AR quá hạn tổng</t>
  </si>
  <si>
    <t>SUMIFS D_sales.amount_vnd theo firm, open và dpd &gt; 0</t>
  </si>
  <si>
    <t>Tỷ trọng AR quá hạn</t>
  </si>
  <si>
    <t>AR quá hạn / AR cuối kỳ</t>
  </si>
  <si>
    <t>Phụ liệu đơn hủy</t>
  </si>
  <si>
    <t>TV1_Tinh_tay!C49</t>
  </si>
  <si>
    <t>Tuổi phụ liệu đơn hủy</t>
  </si>
  <si>
    <t>TV1_Tinh_tay!E49</t>
  </si>
  <si>
    <t>Đóng góp DIO phụ liệu đơn hủy</t>
  </si>
  <si>
    <t>TV1_Tinh_tay!D49</t>
  </si>
  <si>
    <t>Tỷ trọng phụ liệu đơn hủy</t>
  </si>
  <si>
    <t>Giá trị đơn hủy / INV</t>
  </si>
  <si>
    <t>Hàng khách giao bị loại</t>
  </si>
  <si>
    <t>SUMIFS D_inventory.value_vnd theo excluded = 1</t>
  </si>
  <si>
    <t>Chiết khấu Beta</t>
  </si>
  <si>
    <t>D_purchases!H103: tham chiếu theo invoice_id trong công thức</t>
  </si>
  <si>
    <t>Tiền tiết kiệm Beta</t>
  </si>
  <si>
    <t>SUMIFS saving_vnd theo P-F01-0101</t>
  </si>
  <si>
    <t>Quy đổi năm đơn giản Beta</t>
  </si>
  <si>
    <t>SUMIFS implied_rate theo P-F01-0101</t>
  </si>
  <si>
    <t>Hạn chiết khấu Beta</t>
  </si>
  <si>
    <t>Tìm bằng invoice_id, không giả định cố định dòng</t>
  </si>
  <si>
    <t>Kỳ hạn K1</t>
  </si>
  <si>
    <t>TV1_Tinh_tay!I40</t>
  </si>
  <si>
    <t>TV1 — ÁNH XẠ TRƯỜNG VÀ DỮ LIỆU BỔ SUNG</t>
  </si>
  <si>
    <t>Bảng / nhóm</t>
  </si>
  <si>
    <t>Trường</t>
  </si>
  <si>
    <t>Hiện trạng</t>
  </si>
  <si>
    <t>Kiểm soát</t>
  </si>
  <si>
    <t>financials</t>
  </si>
  <si>
    <t>firm_id, period, revenue_vnd, cogs_vnd</t>
  </si>
  <si>
    <t>Có trong D_financials</t>
  </si>
  <si>
    <t>Cùng DN, cùng kỳ; N = 90 trên mẫu.</t>
  </si>
  <si>
    <t>sales</t>
  </si>
  <si>
    <t>invoice_id, firm_id, buyer, amount_vnd, issue_date, due_date, paid_date</t>
  </si>
  <si>
    <t>Có trong D_sales</t>
  </si>
  <si>
    <t>Mẫu trả toàn bộ một lần; open/hist/in_period là cờ tính từ thời gian.</t>
  </si>
  <si>
    <t>purchases</t>
  </si>
  <si>
    <t>invoice_id, firm_id, supplier, amount_vnd, issue_date, due_date, paid_date</t>
  </si>
  <si>
    <t>Có trong D_purchases</t>
  </si>
  <si>
    <t>Cùng ngày chốt; tách mua trong kỳ với dư mở.</t>
  </si>
  <si>
    <t>inventory</t>
  </si>
  <si>
    <t>firm_id, product_line, inventory_type, qty, unit_cost_vnd, days_in_stock, excluded</t>
  </si>
  <si>
    <t>Có trong D_inventory</t>
  </si>
  <si>
    <t>excluded = 1: hàng khách giao, không cộng vào INV.</t>
  </si>
  <si>
    <t>discount</t>
  </si>
  <si>
    <t>early_discount_pct, discount_days, disc_deadline, implied_rate, saving_vnd</t>
  </si>
  <si>
    <t>Chỉ hóa đơn mở còn trong hạn chiết khấu; implied_rate là lãi quy đổi đơn giản.</t>
  </si>
  <si>
    <t>payment_allocations</t>
  </si>
  <si>
    <t>invoice_id, allocation_id, amount_net_vnd, paid_date</t>
  </si>
  <si>
    <t>Chưa có trong mẫu</t>
  </si>
  <si>
    <t>Dùng cho trả từng phần; tránh gộp toàn face value.</t>
  </si>
  <si>
    <t>credit_notes</t>
  </si>
  <si>
    <t>invoice_id, amount_net_vnd, credit_date</t>
  </si>
  <si>
    <t>Điều chỉnh có hiệu lực đến ngày chốt.</t>
  </si>
  <si>
    <t>inventory valuation</t>
  </si>
  <si>
    <t>NRV, selling_price, completion_cost, selling_cost, owner_id</t>
  </si>
  <si>
    <t>Chưa đủ trong mẫu</t>
  </si>
  <si>
    <t>Không suy giá trị thu hồi từ giá gốc.</t>
  </si>
  <si>
    <t>comparisons</t>
  </si>
  <si>
    <t>previous_period, average_balances, method, peer_source</t>
  </si>
  <si>
    <t>Chưa có lịch sử tương đồng</t>
  </si>
  <si>
    <t>Không tạo xu hướng từ một kỳ; benchmark trong TV1_Nguong chỉ tham chiếu có điều kiện.</t>
  </si>
  <si>
    <t>ownership/demand</t>
  </si>
  <si>
    <t>lot_id, ownership, order_status, forecast_demand, UOM</t>
  </si>
  <si>
    <t>Cần bổ sung khi triển khai thật</t>
  </si>
  <si>
    <t>Lô mẫu có tên đơn hủy, chưa có ngày bán/giá thu chắc chắn.</t>
  </si>
  <si>
    <t>Nguồn phương pháp</t>
  </si>
  <si>
    <t>IFRS IAS 2; ACCA working capital</t>
  </si>
  <si>
    <t>https://www.ifrs.org/issued-standards/list-of-standards/ias-2-inventories/</t>
  </si>
  <si>
    <t>Nguồn đã dùng trong bản trước; không cập nhật quy định tại bước chỉnh định dạng này.</t>
  </si>
  <si>
    <t>TV1 — YÊU CẦU KIỂM THỬ NGHIỆP VỤ</t>
  </si>
  <si>
    <t>Đây là yêu cầu kiểm thử triển khai; không gắn Đạt nếu chưa chạy code/API trên dữ liệu tình huống.</t>
  </si>
  <si>
    <t>Kiểm tra</t>
  </si>
  <si>
    <t>Điều kiện đạt</t>
  </si>
  <si>
    <t>TV1-Q01</t>
  </si>
  <si>
    <t>AR/AP từng phần</t>
  </si>
  <si>
    <t>Hóa đơn 100, thu 40 trước chốt → dư 60. Thu sau chốt không giảm AR tại ngày chốt.</t>
  </si>
  <si>
    <t>T1-A01/A02</t>
  </si>
  <si>
    <t>TV1-Q02</t>
  </si>
  <si>
    <t>Không nhân bản hóa đơn</t>
  </si>
  <si>
    <t>Tổng theo invoice_id duy nhất; phân bổ thanh toán không làm tăng face value.</t>
  </si>
  <si>
    <t>TV1-Q03</t>
  </si>
  <si>
    <t>Quyền sở hữu tồn</t>
  </si>
  <si>
    <t>Hàng khách giao 2,6 tỷ: excluded_value 2,6 tỷ; INV sở hữu không đổi.</t>
  </si>
  <si>
    <t>T1-A04/D01</t>
  </si>
  <si>
    <t>TV1-Q04</t>
  </si>
  <si>
    <t>Tuổi nợ 5 nhóm</t>
  </si>
  <si>
    <t>due_date = as_of: chưa quá hạn; +1 ngày sang nhóm 1–30; tổng aging = AR.</t>
  </si>
  <si>
    <t>TV1-Q05</t>
  </si>
  <si>
    <t>Trễ có dấu khác dương</t>
  </si>
  <si>
    <t>Trả sớm không giảm late_positive_wavg. Mẫu trả toàn bộ dùng amount_vnd làm trọng số.</t>
  </si>
  <si>
    <t>TV1-Q06</t>
  </si>
  <si>
    <t>Phân rã CCC</t>
  </si>
  <si>
    <t>Σ đóng góp khách = DSO; sản phẩm = DIO; NCC = DPO. CCC = DSO + DIO − DPO.</t>
  </si>
  <si>
    <t>T1-B05/B06</t>
  </si>
  <si>
    <t>TV1-Q07</t>
  </si>
  <si>
    <t>Mẫu số 0/thiếu</t>
  </si>
  <si>
    <t>0 → not_applicable; thiếu → missing_data; không biến null thành 0.</t>
  </si>
  <si>
    <t>TV1-Q08</t>
  </si>
  <si>
    <t>Chiết khấu</t>
  </si>
  <si>
    <t>2/10 net 30: trả 10 ngày sau phát hành so hạn 30 → 20 ngày trả sớm; đơn giản = 37,2449%, không gọi EAR.</t>
  </si>
  <si>
    <t>TV1-Q09</t>
  </si>
  <si>
    <t>Diễn giải có bằng chứng</t>
  </si>
  <si>
    <t>Mọi số/tên/đơn vị/kỳ trong đoạn tiếng Anh có tham chiếu; không khẳng định dòng tiền chắc chắn/nhân quả từ phân rã.</t>
  </si>
  <si>
    <t>TV1-Q10</t>
  </si>
  <si>
    <t>Benchmark</t>
  </si>
  <si>
    <t>Số dư cuối kỳ 90 ngày khác bình quân 365 ngày: descriptive_only, không phán quyết tín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</si>
</sst>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5" formatCode="0.0"/>
    <numFmt numFmtId="166" formatCode="0.0%"/>
    <numFmt numFmtId="167" formatCode="#,##0.0000"/>
    <numFmt numFmtId="168" formatCode="dd/mm/yyyy"/>
  </numFmts>
  <fonts count="15" x14ac:knownFonts="1">
    <font>
      <sz val="11"/>
      <color theme="1"/>
      <name val="Calibri"/>
    </font>
    <font>
      <b/>
      <sz val="13"/>
      <color rgb="FF000000"/>
      <name val="Times New Roman"/>
      <family val="1"/>
    </font>
    <font>
      <i/>
      <sz val="11"/>
      <color rgb="FF595959"/>
      <name val="Times New Roman"/>
      <family val="1"/>
    </font>
    <font>
      <b/>
      <sz val="11"/>
      <color rgb="FF000000"/>
      <name val="Times New Roman"/>
      <family val="1"/>
    </font>
    <font>
      <sz val="11"/>
      <color rgb="FF000000"/>
      <name val="Times New Roman"/>
      <family val="1"/>
    </font>
    <font>
      <b/>
      <sz val="12"/>
      <color rgb="FF000000"/>
      <name val="Times New Roman"/>
      <family val="1"/>
    </font>
    <font>
      <sz val="11"/>
      <color rgb="FF0000FF"/>
      <name val="Times New Roman"/>
      <family val="1"/>
    </font>
    <font>
      <b/>
      <sz val="13"/>
      <color rgb="FF000000"/>
      <name val="Times New Roman"/>
      <family val="1"/>
    </font>
    <font>
      <i/>
      <sz val="11"/>
      <color theme="1"/>
      <name val="Times New Roman"/>
      <family val="1"/>
    </font>
    <font>
      <sz val="11"/>
      <color rgb="FF000000"/>
      <name val="Times New Roman"/>
      <family val="1"/>
    </font>
    <font>
      <b/>
      <sz val="11"/>
      <color rgb="FF000000"/>
      <name val="Times New Roman"/>
      <family val="1"/>
    </font>
    <font>
      <sz val="11"/>
      <color rgb="FF0000FF"/>
      <name val="Times New Roman"/>
      <family val="1"/>
    </font>
    <font>
      <b/>
      <sz val="11"/>
      <color theme="1"/>
      <name val="Calibri"/>
      <family val="2"/>
    </font>
    <font>
      <b/>
      <sz val="13"/>
      <color theme="1"/>
      <name val="Times New Roman"/>
      <family val="1"/>
    </font>
    <font>
      <sz val="12"/>
      <color rgb="FF000000"/>
      <name val="Times New Roman"/>
      <family val="1"/>
    </font>
  </fonts>
  <fills count="9">
    <fill>
      <patternFill patternType="none"/>
    </fill>
    <fill>
      <patternFill patternType="gray125"/>
    </fill>
    <fill>
      <patternFill patternType="solid">
        <fgColor rgb="FF00FFFF"/>
      </patternFill>
    </fill>
    <fill>
      <patternFill patternType="solid">
        <fgColor rgb="FF00FFFF"/>
      </patternFill>
    </fill>
    <fill>
      <patternFill patternType="solid">
        <fgColor rgb="FFD9E2F3"/>
      </patternFill>
    </fill>
    <fill>
      <patternFill patternType="solid">
        <fgColor rgb="FF00FFFF"/>
      </patternFill>
    </fill>
    <fill>
      <patternFill patternType="solid">
        <fgColor rgb="FFD9E2F3"/>
      </patternFill>
    </fill>
    <fill>
      <patternFill patternType="solid">
        <fgColor rgb="FF00FFFF"/>
      </patternFill>
    </fill>
    <fill>
      <patternFill patternType="solid">
        <fgColor rgb="FFD9E2F3"/>
      </patternFill>
    </fill>
  </fills>
  <borders count="3">
    <border>
      <left/>
      <right/>
      <top/>
      <bottom/>
      <diagonal/>
    </border>
    <border>
      <left style="thin">
        <color rgb="FF999999"/>
      </left>
      <right style="thin">
        <color rgb="FF999999"/>
      </right>
      <top style="thin">
        <color rgb="FF999999"/>
      </top>
      <bottom style="thin">
        <color rgb="FF999999"/>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53">
    <xf numFmtId="0" fontId="0" fillId="0" borderId="0" xfId="0"/>
    <xf numFmtId="0" fontId="2" fillId="0" borderId="0" xfId="0" applyFont="1"/>
    <xf numFmtId="0" fontId="3" fillId="2" borderId="1" xfId="0" applyFont="1" applyFill="1" applyBorder="1" applyAlignment="1">
      <alignment horizontal="center" vertical="top" wrapText="1"/>
    </xf>
    <xf numFmtId="0" fontId="4" fillId="0" borderId="1" xfId="0" applyFont="1" applyBorder="1" applyAlignment="1">
      <alignment vertical="top" wrapText="1"/>
    </xf>
    <xf numFmtId="0" fontId="6" fillId="0" borderId="1" xfId="0" applyFont="1" applyBorder="1" applyAlignment="1">
      <alignment vertical="top" wrapText="1"/>
    </xf>
    <xf numFmtId="9" fontId="6" fillId="0" borderId="1" xfId="0" applyNumberFormat="1" applyFont="1" applyBorder="1" applyAlignment="1">
      <alignment vertical="top" wrapText="1"/>
    </xf>
    <xf numFmtId="0" fontId="3" fillId="0" borderId="0" xfId="0" applyFont="1"/>
    <xf numFmtId="3" fontId="4" fillId="0" borderId="1" xfId="0" applyNumberFormat="1" applyFont="1" applyBorder="1" applyAlignment="1">
      <alignment vertical="top" wrapText="1"/>
    </xf>
    <xf numFmtId="165" fontId="4" fillId="0" borderId="1" xfId="0" applyNumberFormat="1" applyFont="1" applyBorder="1" applyAlignment="1">
      <alignment vertical="top" wrapText="1"/>
    </xf>
    <xf numFmtId="165" fontId="3" fillId="0" borderId="1" xfId="0" applyNumberFormat="1" applyFont="1" applyBorder="1" applyAlignment="1">
      <alignment vertical="top" wrapText="1"/>
    </xf>
    <xf numFmtId="166" fontId="4" fillId="0" borderId="1" xfId="0" applyNumberFormat="1" applyFont="1" applyBorder="1" applyAlignment="1">
      <alignment vertical="top" wrapText="1"/>
    </xf>
    <xf numFmtId="10" fontId="4" fillId="0" borderId="1" xfId="0" applyNumberFormat="1" applyFont="1" applyBorder="1" applyAlignment="1">
      <alignment vertical="top" wrapText="1"/>
    </xf>
    <xf numFmtId="0" fontId="5" fillId="0" borderId="0" xfId="0" applyFont="1"/>
    <xf numFmtId="4" fontId="4" fillId="0" borderId="1" xfId="0" applyNumberFormat="1" applyFont="1" applyBorder="1" applyAlignment="1">
      <alignment vertical="top" wrapText="1"/>
    </xf>
    <xf numFmtId="167" fontId="4" fillId="0" borderId="1" xfId="0" applyNumberFormat="1" applyFont="1" applyBorder="1" applyAlignment="1">
      <alignment vertical="top" wrapText="1"/>
    </xf>
    <xf numFmtId="0" fontId="6" fillId="0" borderId="0" xfId="0" applyFont="1"/>
    <xf numFmtId="3" fontId="6" fillId="0" borderId="0" xfId="0" applyNumberFormat="1" applyFont="1"/>
    <xf numFmtId="168" fontId="6" fillId="0" borderId="0" xfId="0" applyNumberFormat="1" applyFont="1"/>
    <xf numFmtId="0" fontId="4" fillId="0" borderId="0" xfId="0" applyFont="1"/>
    <xf numFmtId="1" fontId="4" fillId="0" borderId="0" xfId="0" applyNumberFormat="1" applyFont="1"/>
    <xf numFmtId="3" fontId="4" fillId="0" borderId="0" xfId="0" applyNumberFormat="1" applyFont="1"/>
    <xf numFmtId="168" fontId="4" fillId="0" borderId="0" xfId="0" applyNumberFormat="1" applyFont="1"/>
    <xf numFmtId="166" fontId="4" fillId="0" borderId="0" xfId="0" applyNumberFormat="1" applyFont="1"/>
    <xf numFmtId="0" fontId="9" fillId="0" borderId="2" xfId="0" applyFont="1" applyBorder="1" applyAlignment="1">
      <alignment vertical="top" wrapText="1"/>
    </xf>
    <xf numFmtId="0" fontId="10" fillId="3" borderId="2" xfId="0" applyFont="1" applyFill="1" applyBorder="1" applyAlignment="1">
      <alignment horizontal="center" vertical="center" wrapText="1"/>
    </xf>
    <xf numFmtId="0" fontId="11" fillId="0" borderId="2" xfId="0" applyFont="1" applyBorder="1" applyAlignment="1">
      <alignment vertical="top" wrapText="1"/>
    </xf>
    <xf numFmtId="168" fontId="11" fillId="0" borderId="2" xfId="0" applyNumberFormat="1" applyFont="1" applyBorder="1" applyAlignment="1">
      <alignment vertical="top" wrapText="1"/>
    </xf>
    <xf numFmtId="166" fontId="9" fillId="0" borderId="2" xfId="0" applyNumberFormat="1" applyFont="1" applyBorder="1" applyAlignment="1">
      <alignment vertical="top" wrapText="1"/>
    </xf>
    <xf numFmtId="0" fontId="9" fillId="0" borderId="2" xfId="0" applyFont="1" applyBorder="1" applyAlignment="1">
      <alignment wrapText="1"/>
    </xf>
    <xf numFmtId="0" fontId="3" fillId="3" borderId="1" xfId="0" applyFont="1" applyFill="1" applyBorder="1" applyAlignment="1">
      <alignment horizontal="center" vertical="top" wrapText="1"/>
    </xf>
    <xf numFmtId="0" fontId="9" fillId="3" borderId="2" xfId="0" applyFont="1" applyFill="1" applyBorder="1" applyAlignment="1">
      <alignment wrapText="1"/>
    </xf>
    <xf numFmtId="165" fontId="9" fillId="0" borderId="2" xfId="0" applyNumberFormat="1" applyFont="1" applyBorder="1" applyAlignment="1">
      <alignment wrapText="1"/>
    </xf>
    <xf numFmtId="3" fontId="9" fillId="0" borderId="2" xfId="0" applyNumberFormat="1" applyFont="1" applyBorder="1" applyAlignment="1">
      <alignment wrapText="1"/>
    </xf>
    <xf numFmtId="166" fontId="9" fillId="0" borderId="2" xfId="0" applyNumberFormat="1" applyFont="1" applyBorder="1" applyAlignment="1">
      <alignment wrapText="1"/>
    </xf>
    <xf numFmtId="0" fontId="11" fillId="3" borderId="2" xfId="0" applyFont="1" applyFill="1" applyBorder="1" applyAlignment="1">
      <alignment wrapText="1"/>
    </xf>
    <xf numFmtId="0" fontId="11" fillId="0" borderId="2" xfId="0" applyFont="1" applyBorder="1" applyAlignment="1">
      <alignment wrapText="1"/>
    </xf>
    <xf numFmtId="0" fontId="10" fillId="5" borderId="2" xfId="0" applyFont="1" applyFill="1" applyBorder="1" applyAlignment="1">
      <alignment horizontal="center" vertical="center" wrapText="1"/>
    </xf>
    <xf numFmtId="165" fontId="9" fillId="0" borderId="2" xfId="0" applyNumberFormat="1" applyFont="1" applyBorder="1" applyAlignment="1">
      <alignment vertical="top" wrapText="1"/>
    </xf>
    <xf numFmtId="3" fontId="9" fillId="0" borderId="2" xfId="0" applyNumberFormat="1" applyFont="1" applyBorder="1" applyAlignment="1">
      <alignment vertical="top" wrapText="1"/>
    </xf>
    <xf numFmtId="0" fontId="10" fillId="7" borderId="2" xfId="0" applyFont="1" applyFill="1" applyBorder="1" applyAlignment="1">
      <alignment horizontal="center" vertical="center" wrapText="1"/>
    </xf>
    <xf numFmtId="168" fontId="9" fillId="0" borderId="2" xfId="0" applyNumberFormat="1" applyFont="1" applyBorder="1" applyAlignment="1">
      <alignment wrapText="1"/>
    </xf>
    <xf numFmtId="0" fontId="7" fillId="0" borderId="0" xfId="0" applyFont="1"/>
    <xf numFmtId="0" fontId="8" fillId="0" borderId="0" xfId="0" applyFont="1" applyAlignment="1">
      <alignment wrapText="1"/>
    </xf>
    <xf numFmtId="0" fontId="10" fillId="4" borderId="2" xfId="0" applyFont="1" applyFill="1" applyBorder="1" applyAlignment="1">
      <alignment vertical="top" wrapText="1"/>
    </xf>
    <xf numFmtId="0" fontId="1" fillId="0" borderId="0" xfId="0" applyFont="1"/>
    <xf numFmtId="0" fontId="0" fillId="0" borderId="0" xfId="0"/>
    <xf numFmtId="0" fontId="13" fillId="8" borderId="0" xfId="0" applyFont="1" applyFill="1"/>
    <xf numFmtId="0" fontId="14" fillId="0" borderId="2" xfId="0" applyFont="1" applyBorder="1" applyAlignment="1">
      <alignment vertical="top" wrapText="1"/>
    </xf>
    <xf numFmtId="0" fontId="2" fillId="0" borderId="0" xfId="0" applyFont="1" applyAlignment="1">
      <alignment wrapText="1"/>
    </xf>
    <xf numFmtId="0" fontId="0" fillId="0" borderId="0" xfId="0" applyAlignment="1">
      <alignment wrapText="1"/>
    </xf>
    <xf numFmtId="0" fontId="12" fillId="4" borderId="0" xfId="0" applyFont="1" applyFill="1"/>
    <xf numFmtId="0" fontId="10" fillId="6" borderId="2" xfId="0" applyFont="1" applyFill="1" applyBorder="1" applyAlignment="1">
      <alignment vertical="top" wrapText="1"/>
    </xf>
    <xf numFmtId="0" fontId="0" fillId="8" borderId="0" xfId="0" applyFill="1"/>
  </cellXfs>
  <cellStyles count="1">
    <cellStyle name="Normal" xfId="0" builtinId="0"/>
  </cellStyles>
  <dxfs count="3">
    <dxf>
      <fill>
        <patternFill>
          <bgColor rgb="FFE2EFDA"/>
        </patternFill>
      </fill>
    </dxf>
    <dxf>
      <fill>
        <patternFill>
          <bgColor rgb="FFF8CBAD"/>
        </patternFill>
      </fill>
    </dxf>
    <dxf>
      <fill>
        <patternFill>
          <bgColor rgb="FFF8CBAD"/>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97"/>
  <sheetViews>
    <sheetView showGridLines="0" workbookViewId="0">
      <pane ySplit="2" topLeftCell="A3" activePane="bottomLeft" state="frozen"/>
      <selection pane="bottomLeft" activeCell="B4" sqref="B4"/>
    </sheetView>
  </sheetViews>
  <sheetFormatPr defaultColWidth="14.44140625" defaultRowHeight="14.4" x14ac:dyDescent="0.3"/>
  <cols>
    <col min="1" max="1" width="28" customWidth="1"/>
    <col min="2" max="2" width="58" customWidth="1"/>
    <col min="3" max="3" width="18" customWidth="1"/>
    <col min="4" max="4" width="60" customWidth="1"/>
    <col min="5" max="25" width="8.6640625" customWidth="1"/>
  </cols>
  <sheetData>
    <row r="1" spans="1:4" ht="25.95" customHeight="1" x14ac:dyDescent="0.3">
      <c r="A1" s="41" t="s">
        <v>827</v>
      </c>
      <c r="B1" s="41"/>
      <c r="C1" s="41"/>
      <c r="D1" s="41"/>
    </row>
    <row r="2" spans="1:4" ht="31.95" customHeight="1" x14ac:dyDescent="0.3">
      <c r="A2" s="24" t="s">
        <v>828</v>
      </c>
      <c r="B2" s="24" t="s">
        <v>829</v>
      </c>
      <c r="C2" s="24" t="s">
        <v>830</v>
      </c>
      <c r="D2" s="24" t="s">
        <v>831</v>
      </c>
    </row>
    <row r="3" spans="1:4" ht="37.049999999999997" customHeight="1" x14ac:dyDescent="0.3">
      <c r="A3" s="23" t="s">
        <v>832</v>
      </c>
      <c r="B3" s="23" t="s">
        <v>833</v>
      </c>
      <c r="C3" s="25">
        <v>90</v>
      </c>
      <c r="D3" s="23" t="s">
        <v>834</v>
      </c>
    </row>
    <row r="4" spans="1:4" ht="64.95" customHeight="1" x14ac:dyDescent="0.3">
      <c r="A4" s="23" t="s">
        <v>835</v>
      </c>
      <c r="B4" s="23" t="s">
        <v>836</v>
      </c>
      <c r="C4" s="26">
        <v>46295</v>
      </c>
      <c r="D4" s="23" t="s">
        <v>837</v>
      </c>
    </row>
    <row r="5" spans="1:4" ht="37.049999999999997" customHeight="1" x14ac:dyDescent="0.3">
      <c r="A5" s="23" t="s">
        <v>838</v>
      </c>
      <c r="B5" s="23" t="s">
        <v>839</v>
      </c>
      <c r="C5" s="23" t="s">
        <v>840</v>
      </c>
      <c r="D5" s="23" t="s">
        <v>841</v>
      </c>
    </row>
    <row r="6" spans="1:4" ht="51" customHeight="1" x14ac:dyDescent="0.3">
      <c r="A6" s="23" t="s">
        <v>842</v>
      </c>
      <c r="B6" s="23" t="s">
        <v>843</v>
      </c>
      <c r="C6" s="23"/>
      <c r="D6" s="23" t="s">
        <v>844</v>
      </c>
    </row>
    <row r="7" spans="1:4" ht="37.049999999999997" customHeight="1" x14ac:dyDescent="0.3">
      <c r="A7" s="23" t="s">
        <v>845</v>
      </c>
      <c r="B7" s="23" t="s">
        <v>846</v>
      </c>
      <c r="C7" s="23"/>
      <c r="D7" s="23" t="s">
        <v>847</v>
      </c>
    </row>
    <row r="8" spans="1:4" ht="37.049999999999997" customHeight="1" x14ac:dyDescent="0.3">
      <c r="A8" s="23" t="s">
        <v>848</v>
      </c>
      <c r="B8" s="23" t="s">
        <v>849</v>
      </c>
      <c r="C8" s="23"/>
      <c r="D8" s="23" t="s">
        <v>850</v>
      </c>
    </row>
    <row r="9" spans="1:4" ht="37.049999999999997" customHeight="1" x14ac:dyDescent="0.3">
      <c r="A9" s="23" t="s">
        <v>851</v>
      </c>
      <c r="B9" s="23" t="s">
        <v>852</v>
      </c>
      <c r="C9" s="23"/>
      <c r="D9" s="23" t="s">
        <v>853</v>
      </c>
    </row>
    <row r="10" spans="1:4" ht="51" customHeight="1" x14ac:dyDescent="0.3">
      <c r="A10" s="23" t="s">
        <v>854</v>
      </c>
      <c r="B10" s="23" t="s">
        <v>855</v>
      </c>
      <c r="C10" s="23"/>
      <c r="D10" s="23" t="s">
        <v>856</v>
      </c>
    </row>
    <row r="11" spans="1:4" ht="37.049999999999997" customHeight="1" x14ac:dyDescent="0.3">
      <c r="A11" s="23" t="s">
        <v>182</v>
      </c>
      <c r="B11" s="23" t="s">
        <v>857</v>
      </c>
      <c r="C11" s="23"/>
      <c r="D11" s="23" t="s">
        <v>858</v>
      </c>
    </row>
    <row r="12" spans="1:4" ht="37.049999999999997" customHeight="1" x14ac:dyDescent="0.3">
      <c r="A12" s="23" t="s">
        <v>859</v>
      </c>
      <c r="B12" s="23" t="s">
        <v>860</v>
      </c>
      <c r="C12" s="23"/>
      <c r="D12" s="23" t="s">
        <v>861</v>
      </c>
    </row>
    <row r="13" spans="1:4" ht="37.049999999999997" customHeight="1" x14ac:dyDescent="0.3">
      <c r="A13" s="23" t="s">
        <v>862</v>
      </c>
      <c r="B13" s="23" t="s">
        <v>863</v>
      </c>
      <c r="C13" s="23">
        <v>13</v>
      </c>
      <c r="D13" s="23" t="s">
        <v>864</v>
      </c>
    </row>
    <row r="14" spans="1:4" ht="37.049999999999997" customHeight="1" x14ac:dyDescent="0.3">
      <c r="A14" s="23" t="s">
        <v>865</v>
      </c>
      <c r="B14" s="23" t="s">
        <v>866</v>
      </c>
      <c r="C14" s="23"/>
      <c r="D14" s="23" t="s">
        <v>867</v>
      </c>
    </row>
    <row r="15" spans="1:4" ht="37.049999999999997" customHeight="1" x14ac:dyDescent="0.3">
      <c r="A15" s="23" t="s">
        <v>868</v>
      </c>
      <c r="B15" s="23" t="s">
        <v>869</v>
      </c>
      <c r="C15" s="23"/>
      <c r="D15" s="23" t="s">
        <v>870</v>
      </c>
    </row>
    <row r="16" spans="1:4" ht="37.049999999999997" customHeight="1" x14ac:dyDescent="0.3">
      <c r="A16" s="23" t="s">
        <v>871</v>
      </c>
      <c r="B16" s="23" t="s">
        <v>872</v>
      </c>
      <c r="C16" s="23"/>
      <c r="D16" s="23" t="s">
        <v>873</v>
      </c>
    </row>
    <row r="17" spans="1:4" ht="51" customHeight="1" x14ac:dyDescent="0.3">
      <c r="A17" s="23" t="s">
        <v>874</v>
      </c>
      <c r="B17" s="23" t="s">
        <v>875</v>
      </c>
      <c r="C17" s="23"/>
      <c r="D17" s="23" t="s">
        <v>876</v>
      </c>
    </row>
    <row r="18" spans="1:4" ht="51" customHeight="1" x14ac:dyDescent="0.3">
      <c r="A18" s="23" t="s">
        <v>877</v>
      </c>
      <c r="B18" s="23" t="s">
        <v>878</v>
      </c>
      <c r="C18" s="23"/>
      <c r="D18" s="23" t="s">
        <v>879</v>
      </c>
    </row>
    <row r="19" spans="1:4" ht="37.049999999999997" customHeight="1" x14ac:dyDescent="0.3">
      <c r="A19" s="23" t="s">
        <v>880</v>
      </c>
      <c r="B19" s="23" t="s">
        <v>881</v>
      </c>
      <c r="C19" s="23"/>
      <c r="D19" s="23" t="s">
        <v>882</v>
      </c>
    </row>
    <row r="20" spans="1:4" ht="37.049999999999997" customHeight="1" x14ac:dyDescent="0.3">
      <c r="A20" s="23" t="s">
        <v>883</v>
      </c>
      <c r="B20" s="23" t="s">
        <v>884</v>
      </c>
      <c r="C20" s="23"/>
      <c r="D20" s="23" t="s">
        <v>885</v>
      </c>
    </row>
    <row r="21" spans="1:4" ht="15.75" customHeight="1" x14ac:dyDescent="0.3"/>
    <row r="22" spans="1:4" ht="15.75" customHeight="1" x14ac:dyDescent="0.3"/>
    <row r="23" spans="1:4" ht="15.75" customHeight="1" x14ac:dyDescent="0.3"/>
    <row r="24" spans="1:4" ht="15.75" customHeight="1" x14ac:dyDescent="0.3"/>
    <row r="25" spans="1:4" ht="15.75" customHeight="1" x14ac:dyDescent="0.3"/>
    <row r="26" spans="1:4" ht="15.75" customHeight="1" x14ac:dyDescent="0.3"/>
    <row r="27" spans="1:4" ht="15.75" customHeight="1" x14ac:dyDescent="0.3"/>
    <row r="28" spans="1:4" ht="15.75" customHeight="1" x14ac:dyDescent="0.3"/>
    <row r="29" spans="1:4" ht="15.75" customHeight="1" x14ac:dyDescent="0.3"/>
    <row r="30" spans="1:4" ht="15.75" customHeight="1" x14ac:dyDescent="0.3"/>
    <row r="31" spans="1:4" ht="15.75" customHeight="1" x14ac:dyDescent="0.3"/>
    <row r="32" spans="1:4"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showGridLines="0" workbookViewId="0">
      <pane ySplit="4" topLeftCell="A5" activePane="bottomLeft" state="frozen"/>
      <selection pane="bottomLeft" sqref="A1:E1"/>
    </sheetView>
  </sheetViews>
  <sheetFormatPr defaultColWidth="8.6640625" defaultRowHeight="14.4" x14ac:dyDescent="0.3"/>
  <cols>
    <col min="1" max="1" width="5" customWidth="1"/>
    <col min="2" max="3" width="47" customWidth="1"/>
    <col min="4" max="4" width="56" customWidth="1"/>
    <col min="5" max="5" width="27" customWidth="1"/>
  </cols>
  <sheetData>
    <row r="1" spans="1:5" ht="25.95" customHeight="1" x14ac:dyDescent="0.3">
      <c r="A1" s="41" t="s">
        <v>886</v>
      </c>
      <c r="B1" s="41"/>
      <c r="C1" s="41"/>
      <c r="D1" s="41"/>
      <c r="E1" s="41"/>
    </row>
    <row r="4" spans="1:5" ht="31.95" customHeight="1" x14ac:dyDescent="0.3">
      <c r="A4" s="24" t="s">
        <v>887</v>
      </c>
      <c r="B4" s="24" t="s">
        <v>888</v>
      </c>
      <c r="C4" s="24" t="s">
        <v>889</v>
      </c>
      <c r="D4" s="24" t="s">
        <v>890</v>
      </c>
      <c r="E4" s="24" t="s">
        <v>891</v>
      </c>
    </row>
    <row r="5" spans="1:5" ht="37.049999999999997" customHeight="1" x14ac:dyDescent="0.3">
      <c r="A5" s="23">
        <v>1</v>
      </c>
      <c r="B5" s="23" t="s">
        <v>892</v>
      </c>
      <c r="C5" s="23" t="s">
        <v>893</v>
      </c>
      <c r="D5" s="23" t="s">
        <v>894</v>
      </c>
      <c r="E5" s="23" t="s">
        <v>895</v>
      </c>
    </row>
    <row r="6" spans="1:5" ht="37.049999999999997" customHeight="1" x14ac:dyDescent="0.3">
      <c r="A6" s="23">
        <v>2</v>
      </c>
      <c r="B6" s="23" t="s">
        <v>896</v>
      </c>
      <c r="C6" s="23" t="s">
        <v>897</v>
      </c>
      <c r="D6" s="23" t="s">
        <v>898</v>
      </c>
      <c r="E6" s="23" t="s">
        <v>899</v>
      </c>
    </row>
    <row r="7" spans="1:5" ht="37.049999999999997" customHeight="1" x14ac:dyDescent="0.3">
      <c r="A7" s="23">
        <v>3</v>
      </c>
      <c r="B7" s="23" t="s">
        <v>900</v>
      </c>
      <c r="C7" s="23" t="s">
        <v>901</v>
      </c>
      <c r="D7" s="23" t="s">
        <v>902</v>
      </c>
      <c r="E7" s="23" t="s">
        <v>903</v>
      </c>
    </row>
    <row r="8" spans="1:5" ht="37.049999999999997" customHeight="1" x14ac:dyDescent="0.3">
      <c r="A8" s="23">
        <v>4</v>
      </c>
      <c r="B8" s="23" t="s">
        <v>904</v>
      </c>
      <c r="C8" s="23" t="s">
        <v>905</v>
      </c>
      <c r="D8" s="23" t="s">
        <v>906</v>
      </c>
      <c r="E8" s="23" t="s">
        <v>907</v>
      </c>
    </row>
    <row r="9" spans="1:5" ht="37.049999999999997" customHeight="1" x14ac:dyDescent="0.3">
      <c r="A9" s="23">
        <v>5</v>
      </c>
      <c r="B9" s="23" t="s">
        <v>908</v>
      </c>
      <c r="C9" s="23" t="s">
        <v>909</v>
      </c>
      <c r="D9" s="23" t="s">
        <v>910</v>
      </c>
      <c r="E9" s="23" t="s">
        <v>911</v>
      </c>
    </row>
    <row r="10" spans="1:5" ht="37.049999999999997" customHeight="1" x14ac:dyDescent="0.3">
      <c r="A10" s="23">
        <v>6</v>
      </c>
      <c r="B10" s="23" t="s">
        <v>912</v>
      </c>
      <c r="C10" s="23" t="s">
        <v>913</v>
      </c>
      <c r="D10" s="23" t="s">
        <v>914</v>
      </c>
      <c r="E10" s="23" t="s">
        <v>915</v>
      </c>
    </row>
    <row r="11" spans="1:5" ht="37.049999999999997" customHeight="1" x14ac:dyDescent="0.3">
      <c r="A11" s="23">
        <v>7</v>
      </c>
      <c r="B11" s="23" t="s">
        <v>916</v>
      </c>
      <c r="C11" s="23" t="s">
        <v>917</v>
      </c>
      <c r="D11" s="23" t="s">
        <v>918</v>
      </c>
      <c r="E11" s="23" t="s">
        <v>919</v>
      </c>
    </row>
    <row r="12" spans="1:5" ht="37.049999999999997" customHeight="1" x14ac:dyDescent="0.3">
      <c r="A12" s="23">
        <v>8</v>
      </c>
      <c r="B12" s="23" t="s">
        <v>920</v>
      </c>
      <c r="C12" s="23" t="s">
        <v>921</v>
      </c>
      <c r="D12" s="23" t="s">
        <v>922</v>
      </c>
      <c r="E12" s="23" t="s">
        <v>923</v>
      </c>
    </row>
    <row r="13" spans="1:5" ht="37.049999999999997" customHeight="1" x14ac:dyDescent="0.3">
      <c r="A13" s="23">
        <v>9</v>
      </c>
      <c r="B13" s="23" t="s">
        <v>924</v>
      </c>
      <c r="C13" s="23" t="s">
        <v>925</v>
      </c>
      <c r="D13" s="23" t="s">
        <v>926</v>
      </c>
      <c r="E13" s="23" t="s">
        <v>927</v>
      </c>
    </row>
    <row r="14" spans="1:5" ht="37.049999999999997" customHeight="1" x14ac:dyDescent="0.3">
      <c r="A14" s="23">
        <v>10</v>
      </c>
      <c r="B14" s="23" t="s">
        <v>928</v>
      </c>
      <c r="C14" s="23" t="s">
        <v>929</v>
      </c>
      <c r="D14" s="23" t="s">
        <v>930</v>
      </c>
      <c r="E14" s="23" t="s">
        <v>931</v>
      </c>
    </row>
  </sheetData>
  <mergeCells count="1">
    <mergeCell ref="A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7"/>
  <sheetViews>
    <sheetView showGridLines="0" workbookViewId="0">
      <pane xSplit="3" ySplit="4" topLeftCell="D46" activePane="bottomRight" state="frozen"/>
      <selection pane="topRight"/>
      <selection pane="bottomLeft"/>
      <selection pane="bottomRight" activeCell="A5" sqref="A5:I5"/>
    </sheetView>
  </sheetViews>
  <sheetFormatPr defaultColWidth="8.6640625" defaultRowHeight="14.4" x14ac:dyDescent="0.3"/>
  <cols>
    <col min="1" max="1" width="12" customWidth="1"/>
    <col min="2" max="2" width="6" customWidth="1"/>
    <col min="3" max="3" width="30" customWidth="1"/>
    <col min="4" max="4" width="42" customWidth="1"/>
    <col min="5" max="5" width="56" customWidth="1"/>
    <col min="6" max="6" width="38" customWidth="1"/>
    <col min="7" max="7" width="36" customWidth="1"/>
    <col min="8" max="8" width="18" customWidth="1"/>
    <col min="9" max="9" width="44" customWidth="1"/>
  </cols>
  <sheetData>
    <row r="1" spans="1:9" ht="25.95" customHeight="1" x14ac:dyDescent="0.3">
      <c r="A1" s="41" t="s">
        <v>932</v>
      </c>
      <c r="B1" s="41"/>
      <c r="C1" s="41"/>
      <c r="D1" s="41"/>
      <c r="E1" s="41"/>
      <c r="F1" s="41"/>
      <c r="G1" s="41"/>
      <c r="H1" s="41"/>
      <c r="I1" s="41"/>
    </row>
    <row r="2" spans="1:9" ht="36" customHeight="1" x14ac:dyDescent="0.3">
      <c r="A2" s="42" t="s">
        <v>933</v>
      </c>
      <c r="B2" s="42"/>
      <c r="C2" s="42"/>
      <c r="D2" s="42"/>
      <c r="E2" s="42"/>
      <c r="F2" s="42"/>
      <c r="G2" s="42"/>
      <c r="H2" s="42"/>
      <c r="I2" s="42"/>
    </row>
    <row r="4" spans="1:9" ht="31.95" customHeight="1" x14ac:dyDescent="0.3">
      <c r="A4" s="24" t="s">
        <v>52</v>
      </c>
      <c r="B4" s="24" t="s">
        <v>934</v>
      </c>
      <c r="C4" s="24" t="s">
        <v>53</v>
      </c>
      <c r="D4" s="24" t="s">
        <v>935</v>
      </c>
      <c r="E4" s="24" t="s">
        <v>936</v>
      </c>
      <c r="F4" s="24" t="s">
        <v>937</v>
      </c>
      <c r="G4" s="24" t="s">
        <v>938</v>
      </c>
      <c r="H4" s="24" t="s">
        <v>939</v>
      </c>
      <c r="I4" s="24" t="s">
        <v>940</v>
      </c>
    </row>
    <row r="5" spans="1:9" ht="25.05" customHeight="1" x14ac:dyDescent="0.3">
      <c r="A5" s="43" t="s">
        <v>941</v>
      </c>
      <c r="B5" s="43"/>
      <c r="C5" s="43"/>
      <c r="D5" s="43"/>
      <c r="E5" s="43"/>
      <c r="F5" s="43"/>
      <c r="G5" s="43"/>
      <c r="H5" s="43"/>
      <c r="I5" s="43"/>
    </row>
    <row r="6" spans="1:9" ht="93" customHeight="1" x14ac:dyDescent="0.3">
      <c r="A6" s="23" t="s">
        <v>942</v>
      </c>
      <c r="B6" s="23" t="s">
        <v>943</v>
      </c>
      <c r="C6" s="23" t="s">
        <v>944</v>
      </c>
      <c r="D6" s="23" t="s">
        <v>945</v>
      </c>
      <c r="E6" s="23" t="s">
        <v>946</v>
      </c>
      <c r="F6" s="23" t="s">
        <v>947</v>
      </c>
      <c r="G6" s="23" t="s">
        <v>948</v>
      </c>
      <c r="H6" s="23" t="s">
        <v>949</v>
      </c>
      <c r="I6" s="23" t="s">
        <v>950</v>
      </c>
    </row>
    <row r="7" spans="1:9" ht="79.05" customHeight="1" x14ac:dyDescent="0.3">
      <c r="A7" s="23" t="s">
        <v>951</v>
      </c>
      <c r="B7" s="23" t="s">
        <v>943</v>
      </c>
      <c r="C7" s="23" t="s">
        <v>952</v>
      </c>
      <c r="D7" s="23" t="s">
        <v>953</v>
      </c>
      <c r="E7" s="23" t="s">
        <v>954</v>
      </c>
      <c r="F7" s="23" t="s">
        <v>955</v>
      </c>
      <c r="G7" s="23" t="s">
        <v>956</v>
      </c>
      <c r="H7" s="23" t="s">
        <v>949</v>
      </c>
      <c r="I7" s="23" t="s">
        <v>957</v>
      </c>
    </row>
    <row r="8" spans="1:9" ht="79.05" customHeight="1" x14ac:dyDescent="0.3">
      <c r="A8" s="23" t="s">
        <v>958</v>
      </c>
      <c r="B8" s="23" t="s">
        <v>943</v>
      </c>
      <c r="C8" s="23" t="s">
        <v>959</v>
      </c>
      <c r="D8" s="23" t="s">
        <v>960</v>
      </c>
      <c r="E8" s="23" t="s">
        <v>961</v>
      </c>
      <c r="F8" s="23" t="s">
        <v>962</v>
      </c>
      <c r="G8" s="23" t="s">
        <v>963</v>
      </c>
      <c r="H8" s="23" t="s">
        <v>964</v>
      </c>
      <c r="I8" s="23" t="s">
        <v>965</v>
      </c>
    </row>
    <row r="9" spans="1:9" ht="93" customHeight="1" x14ac:dyDescent="0.3">
      <c r="A9" s="23" t="s">
        <v>966</v>
      </c>
      <c r="B9" s="23" t="s">
        <v>943</v>
      </c>
      <c r="C9" s="23" t="s">
        <v>967</v>
      </c>
      <c r="D9" s="23" t="s">
        <v>968</v>
      </c>
      <c r="E9" s="23" t="s">
        <v>969</v>
      </c>
      <c r="F9" s="23" t="s">
        <v>970</v>
      </c>
      <c r="G9" s="23" t="s">
        <v>971</v>
      </c>
      <c r="H9" s="23" t="s">
        <v>972</v>
      </c>
      <c r="I9" s="23" t="s">
        <v>973</v>
      </c>
    </row>
    <row r="10" spans="1:9" ht="124.05" customHeight="1" x14ac:dyDescent="0.3">
      <c r="A10" s="23" t="s">
        <v>974</v>
      </c>
      <c r="B10" s="23" t="s">
        <v>943</v>
      </c>
      <c r="C10" s="23" t="s">
        <v>975</v>
      </c>
      <c r="D10" s="23" t="s">
        <v>976</v>
      </c>
      <c r="E10" s="23" t="s">
        <v>977</v>
      </c>
      <c r="F10" s="23" t="s">
        <v>978</v>
      </c>
      <c r="G10" s="23" t="s">
        <v>979</v>
      </c>
      <c r="H10" s="23" t="s">
        <v>980</v>
      </c>
      <c r="I10" s="23" t="s">
        <v>981</v>
      </c>
    </row>
    <row r="11" spans="1:9" ht="88.05" customHeight="1" x14ac:dyDescent="0.3">
      <c r="A11" s="23" t="s">
        <v>982</v>
      </c>
      <c r="B11" s="23" t="s">
        <v>943</v>
      </c>
      <c r="C11" s="23" t="s">
        <v>983</v>
      </c>
      <c r="D11" s="23" t="s">
        <v>984</v>
      </c>
      <c r="E11" s="23" t="s">
        <v>985</v>
      </c>
      <c r="F11" s="23" t="s">
        <v>986</v>
      </c>
      <c r="G11" s="23" t="s">
        <v>987</v>
      </c>
      <c r="H11" s="23" t="s">
        <v>988</v>
      </c>
      <c r="I11" s="23" t="s">
        <v>989</v>
      </c>
    </row>
    <row r="12" spans="1:9" ht="25.05" customHeight="1" x14ac:dyDescent="0.3">
      <c r="A12" s="43" t="s">
        <v>990</v>
      </c>
      <c r="B12" s="43"/>
      <c r="C12" s="43"/>
      <c r="D12" s="43"/>
      <c r="E12" s="43"/>
      <c r="F12" s="43"/>
      <c r="G12" s="43"/>
      <c r="H12" s="43"/>
      <c r="I12" s="43"/>
    </row>
    <row r="13" spans="1:9" ht="79.05" customHeight="1" x14ac:dyDescent="0.3">
      <c r="A13" s="23" t="s">
        <v>991</v>
      </c>
      <c r="B13" s="23" t="s">
        <v>992</v>
      </c>
      <c r="C13" s="23" t="s">
        <v>993</v>
      </c>
      <c r="D13" s="23" t="s">
        <v>994</v>
      </c>
      <c r="E13" s="23" t="s">
        <v>995</v>
      </c>
      <c r="F13" s="23" t="s">
        <v>996</v>
      </c>
      <c r="G13" s="23" t="s">
        <v>997</v>
      </c>
      <c r="H13" s="23" t="s">
        <v>998</v>
      </c>
      <c r="I13" s="23" t="s">
        <v>999</v>
      </c>
    </row>
    <row r="14" spans="1:9" ht="70.05" customHeight="1" x14ac:dyDescent="0.3">
      <c r="A14" s="23" t="s">
        <v>1000</v>
      </c>
      <c r="B14" s="23" t="s">
        <v>992</v>
      </c>
      <c r="C14" s="23" t="s">
        <v>1001</v>
      </c>
      <c r="D14" s="23" t="s">
        <v>1002</v>
      </c>
      <c r="E14" s="23" t="s">
        <v>1003</v>
      </c>
      <c r="F14" s="23" t="s">
        <v>1004</v>
      </c>
      <c r="G14" s="23" t="s">
        <v>1005</v>
      </c>
      <c r="H14" s="23" t="s">
        <v>998</v>
      </c>
      <c r="I14" s="23" t="s">
        <v>1006</v>
      </c>
    </row>
    <row r="15" spans="1:9" ht="79.05" customHeight="1" x14ac:dyDescent="0.3">
      <c r="A15" s="23" t="s">
        <v>1007</v>
      </c>
      <c r="B15" s="23" t="s">
        <v>992</v>
      </c>
      <c r="C15" s="23" t="s">
        <v>1008</v>
      </c>
      <c r="D15" s="23" t="s">
        <v>1009</v>
      </c>
      <c r="E15" s="23" t="s">
        <v>1010</v>
      </c>
      <c r="F15" s="23" t="s">
        <v>1011</v>
      </c>
      <c r="G15" s="23" t="s">
        <v>1012</v>
      </c>
      <c r="H15" s="23" t="s">
        <v>998</v>
      </c>
      <c r="I15" s="23" t="s">
        <v>1013</v>
      </c>
    </row>
    <row r="16" spans="1:9" ht="64.95" customHeight="1" x14ac:dyDescent="0.3">
      <c r="A16" s="23" t="s">
        <v>1014</v>
      </c>
      <c r="B16" s="23" t="s">
        <v>992</v>
      </c>
      <c r="C16" s="23" t="s">
        <v>1015</v>
      </c>
      <c r="D16" s="23" t="s">
        <v>1016</v>
      </c>
      <c r="E16" s="23" t="s">
        <v>1017</v>
      </c>
      <c r="F16" s="23" t="s">
        <v>1018</v>
      </c>
      <c r="G16" s="23" t="s">
        <v>1019</v>
      </c>
      <c r="H16" s="23" t="s">
        <v>998</v>
      </c>
      <c r="I16" s="23" t="s">
        <v>1020</v>
      </c>
    </row>
    <row r="17" spans="1:9" ht="79.05" customHeight="1" x14ac:dyDescent="0.3">
      <c r="A17" s="23" t="s">
        <v>1021</v>
      </c>
      <c r="B17" s="23" t="s">
        <v>992</v>
      </c>
      <c r="C17" s="23" t="s">
        <v>1022</v>
      </c>
      <c r="D17" s="23" t="s">
        <v>1023</v>
      </c>
      <c r="E17" s="23" t="s">
        <v>1024</v>
      </c>
      <c r="F17" s="23" t="s">
        <v>1025</v>
      </c>
      <c r="G17" s="23" t="s">
        <v>1026</v>
      </c>
      <c r="H17" s="23" t="s">
        <v>998</v>
      </c>
      <c r="I17" s="23" t="s">
        <v>1027</v>
      </c>
    </row>
    <row r="18" spans="1:9" ht="93" customHeight="1" x14ac:dyDescent="0.3">
      <c r="A18" s="23" t="s">
        <v>1028</v>
      </c>
      <c r="B18" s="23" t="s">
        <v>992</v>
      </c>
      <c r="C18" s="23" t="s">
        <v>1029</v>
      </c>
      <c r="D18" s="23" t="s">
        <v>1030</v>
      </c>
      <c r="E18" s="23" t="s">
        <v>1031</v>
      </c>
      <c r="F18" s="23" t="s">
        <v>1032</v>
      </c>
      <c r="G18" s="23" t="s">
        <v>1033</v>
      </c>
      <c r="H18" s="23" t="s">
        <v>998</v>
      </c>
      <c r="I18" s="23" t="s">
        <v>1034</v>
      </c>
    </row>
    <row r="19" spans="1:9" ht="93" customHeight="1" x14ac:dyDescent="0.3">
      <c r="A19" s="23" t="s">
        <v>1035</v>
      </c>
      <c r="B19" s="23" t="s">
        <v>992</v>
      </c>
      <c r="C19" s="23" t="s">
        <v>1036</v>
      </c>
      <c r="D19" s="23" t="s">
        <v>1037</v>
      </c>
      <c r="E19" s="23" t="s">
        <v>1038</v>
      </c>
      <c r="F19" s="23" t="s">
        <v>1039</v>
      </c>
      <c r="G19" s="23" t="s">
        <v>1040</v>
      </c>
      <c r="H19" s="23" t="s">
        <v>1041</v>
      </c>
      <c r="I19" s="23" t="s">
        <v>1042</v>
      </c>
    </row>
    <row r="20" spans="1:9" ht="25.05" customHeight="1" x14ac:dyDescent="0.3">
      <c r="A20" s="43" t="s">
        <v>1043</v>
      </c>
      <c r="B20" s="43"/>
      <c r="C20" s="43"/>
      <c r="D20" s="43"/>
      <c r="E20" s="43"/>
      <c r="F20" s="43"/>
      <c r="G20" s="43"/>
      <c r="H20" s="43"/>
      <c r="I20" s="43"/>
    </row>
    <row r="21" spans="1:9" ht="88.05" customHeight="1" x14ac:dyDescent="0.3">
      <c r="A21" s="23" t="s">
        <v>1044</v>
      </c>
      <c r="B21" s="23" t="s">
        <v>1045</v>
      </c>
      <c r="C21" s="23" t="s">
        <v>1046</v>
      </c>
      <c r="D21" s="23" t="s">
        <v>1047</v>
      </c>
      <c r="E21" s="23" t="s">
        <v>1048</v>
      </c>
      <c r="F21" s="23" t="s">
        <v>1049</v>
      </c>
      <c r="G21" s="23" t="s">
        <v>1050</v>
      </c>
      <c r="H21" s="23" t="s">
        <v>1051</v>
      </c>
      <c r="I21" s="23" t="s">
        <v>1052</v>
      </c>
    </row>
    <row r="22" spans="1:9" ht="79.05" customHeight="1" x14ac:dyDescent="0.3">
      <c r="A22" s="23" t="s">
        <v>1053</v>
      </c>
      <c r="B22" s="23" t="s">
        <v>1045</v>
      </c>
      <c r="C22" s="23" t="s">
        <v>1054</v>
      </c>
      <c r="D22" s="23" t="s">
        <v>1055</v>
      </c>
      <c r="E22" s="23" t="s">
        <v>1056</v>
      </c>
      <c r="F22" s="23" t="s">
        <v>1057</v>
      </c>
      <c r="G22" s="23" t="s">
        <v>1058</v>
      </c>
      <c r="H22" s="23" t="s">
        <v>998</v>
      </c>
      <c r="I22" s="23" t="s">
        <v>1059</v>
      </c>
    </row>
    <row r="23" spans="1:9" ht="93" customHeight="1" x14ac:dyDescent="0.3">
      <c r="A23" s="23" t="s">
        <v>1060</v>
      </c>
      <c r="B23" s="23" t="s">
        <v>1045</v>
      </c>
      <c r="C23" s="23" t="s">
        <v>1061</v>
      </c>
      <c r="D23" s="23" t="s">
        <v>1062</v>
      </c>
      <c r="E23" s="23" t="s">
        <v>1063</v>
      </c>
      <c r="F23" s="23" t="s">
        <v>1064</v>
      </c>
      <c r="G23" s="23" t="s">
        <v>1065</v>
      </c>
      <c r="H23" s="23" t="s">
        <v>998</v>
      </c>
      <c r="I23" s="23" t="s">
        <v>1066</v>
      </c>
    </row>
    <row r="24" spans="1:9" ht="93" customHeight="1" x14ac:dyDescent="0.3">
      <c r="A24" s="23" t="s">
        <v>1067</v>
      </c>
      <c r="B24" s="23" t="s">
        <v>1045</v>
      </c>
      <c r="C24" s="23" t="s">
        <v>1068</v>
      </c>
      <c r="D24" s="23" t="s">
        <v>1069</v>
      </c>
      <c r="E24" s="23" t="s">
        <v>1070</v>
      </c>
      <c r="F24" s="23" t="s">
        <v>1071</v>
      </c>
      <c r="G24" s="23" t="s">
        <v>1072</v>
      </c>
      <c r="H24" s="23" t="s">
        <v>1073</v>
      </c>
      <c r="I24" s="23" t="s">
        <v>1074</v>
      </c>
    </row>
    <row r="25" spans="1:9" ht="106.95" customHeight="1" x14ac:dyDescent="0.3">
      <c r="A25" s="23" t="s">
        <v>1075</v>
      </c>
      <c r="B25" s="23" t="s">
        <v>1045</v>
      </c>
      <c r="C25" s="23" t="s">
        <v>1076</v>
      </c>
      <c r="D25" s="23" t="s">
        <v>1077</v>
      </c>
      <c r="E25" s="23" t="s">
        <v>1078</v>
      </c>
      <c r="F25" s="23" t="s">
        <v>1079</v>
      </c>
      <c r="G25" s="23" t="s">
        <v>1080</v>
      </c>
      <c r="H25" s="23" t="s">
        <v>1081</v>
      </c>
      <c r="I25" s="23" t="s">
        <v>1082</v>
      </c>
    </row>
    <row r="26" spans="1:9" ht="93" customHeight="1" x14ac:dyDescent="0.3">
      <c r="A26" s="23" t="s">
        <v>1083</v>
      </c>
      <c r="B26" s="23" t="s">
        <v>1045</v>
      </c>
      <c r="C26" s="23" t="s">
        <v>1084</v>
      </c>
      <c r="D26" s="23" t="s">
        <v>1085</v>
      </c>
      <c r="E26" s="23" t="s">
        <v>1086</v>
      </c>
      <c r="F26" s="23" t="s">
        <v>1087</v>
      </c>
      <c r="G26" s="23" t="s">
        <v>1088</v>
      </c>
      <c r="H26" s="23" t="s">
        <v>1089</v>
      </c>
      <c r="I26" s="23" t="s">
        <v>1090</v>
      </c>
    </row>
    <row r="27" spans="1:9" ht="25.05" customHeight="1" x14ac:dyDescent="0.3">
      <c r="A27" s="43" t="s">
        <v>1091</v>
      </c>
      <c r="B27" s="43"/>
      <c r="C27" s="43"/>
      <c r="D27" s="43"/>
      <c r="E27" s="43"/>
      <c r="F27" s="43"/>
      <c r="G27" s="43"/>
      <c r="H27" s="43"/>
      <c r="I27" s="43"/>
    </row>
    <row r="28" spans="1:9" ht="79.05" customHeight="1" x14ac:dyDescent="0.3">
      <c r="A28" s="23" t="s">
        <v>1092</v>
      </c>
      <c r="B28" s="23" t="s">
        <v>1093</v>
      </c>
      <c r="C28" s="23" t="s">
        <v>1094</v>
      </c>
      <c r="D28" s="23" t="s">
        <v>1095</v>
      </c>
      <c r="E28" s="23" t="s">
        <v>1096</v>
      </c>
      <c r="F28" s="23" t="s">
        <v>1097</v>
      </c>
      <c r="G28" s="23" t="s">
        <v>1098</v>
      </c>
      <c r="H28" s="23" t="s">
        <v>1099</v>
      </c>
      <c r="I28" s="23" t="s">
        <v>1100</v>
      </c>
    </row>
    <row r="29" spans="1:9" ht="79.05" customHeight="1" x14ac:dyDescent="0.3">
      <c r="A29" s="23" t="s">
        <v>1101</v>
      </c>
      <c r="B29" s="23" t="s">
        <v>1093</v>
      </c>
      <c r="C29" s="23" t="s">
        <v>1102</v>
      </c>
      <c r="D29" s="23" t="s">
        <v>1103</v>
      </c>
      <c r="E29" s="23" t="s">
        <v>1104</v>
      </c>
      <c r="F29" s="23" t="s">
        <v>1105</v>
      </c>
      <c r="G29" s="23" t="s">
        <v>1106</v>
      </c>
      <c r="H29" s="23" t="s">
        <v>1107</v>
      </c>
      <c r="I29" s="23" t="s">
        <v>1108</v>
      </c>
    </row>
    <row r="30" spans="1:9" ht="93" customHeight="1" x14ac:dyDescent="0.3">
      <c r="A30" s="23" t="s">
        <v>1109</v>
      </c>
      <c r="B30" s="23" t="s">
        <v>1093</v>
      </c>
      <c r="C30" s="23" t="s">
        <v>1110</v>
      </c>
      <c r="D30" s="23" t="s">
        <v>1111</v>
      </c>
      <c r="E30" s="23" t="s">
        <v>1112</v>
      </c>
      <c r="F30" s="23" t="s">
        <v>1113</v>
      </c>
      <c r="G30" s="23" t="s">
        <v>1114</v>
      </c>
      <c r="H30" s="23" t="s">
        <v>1115</v>
      </c>
      <c r="I30" s="23" t="s">
        <v>1116</v>
      </c>
    </row>
    <row r="31" spans="1:9" ht="106.95" customHeight="1" x14ac:dyDescent="0.3">
      <c r="A31" s="23" t="s">
        <v>1117</v>
      </c>
      <c r="B31" s="23" t="s">
        <v>1093</v>
      </c>
      <c r="C31" s="23" t="s">
        <v>1118</v>
      </c>
      <c r="D31" s="23" t="s">
        <v>1119</v>
      </c>
      <c r="E31" s="23" t="s">
        <v>1120</v>
      </c>
      <c r="F31" s="23" t="s">
        <v>1121</v>
      </c>
      <c r="G31" s="23" t="s">
        <v>1122</v>
      </c>
      <c r="H31" s="23" t="s">
        <v>1123</v>
      </c>
      <c r="I31" s="23" t="s">
        <v>1124</v>
      </c>
    </row>
    <row r="32" spans="1:9" ht="93" customHeight="1" x14ac:dyDescent="0.3">
      <c r="A32" s="23" t="s">
        <v>1125</v>
      </c>
      <c r="B32" s="23" t="s">
        <v>1093</v>
      </c>
      <c r="C32" s="23" t="s">
        <v>1126</v>
      </c>
      <c r="D32" s="23" t="s">
        <v>1127</v>
      </c>
      <c r="E32" s="23" t="s">
        <v>1128</v>
      </c>
      <c r="F32" s="23" t="s">
        <v>1129</v>
      </c>
      <c r="G32" s="23" t="s">
        <v>1130</v>
      </c>
      <c r="H32" s="23" t="s">
        <v>1131</v>
      </c>
      <c r="I32" s="23" t="s">
        <v>1132</v>
      </c>
    </row>
    <row r="33" spans="1:9" ht="25.05" customHeight="1" x14ac:dyDescent="0.3">
      <c r="A33" s="43" t="s">
        <v>1133</v>
      </c>
      <c r="B33" s="43"/>
      <c r="C33" s="43"/>
      <c r="D33" s="43"/>
      <c r="E33" s="43"/>
      <c r="F33" s="43"/>
      <c r="G33" s="43"/>
      <c r="H33" s="43"/>
      <c r="I33" s="43"/>
    </row>
    <row r="34" spans="1:9" ht="93" customHeight="1" x14ac:dyDescent="0.3">
      <c r="A34" s="23" t="s">
        <v>1134</v>
      </c>
      <c r="B34" s="23" t="s">
        <v>1135</v>
      </c>
      <c r="C34" s="23" t="s">
        <v>1136</v>
      </c>
      <c r="D34" s="23" t="s">
        <v>1137</v>
      </c>
      <c r="E34" s="23" t="s">
        <v>1138</v>
      </c>
      <c r="F34" s="23" t="s">
        <v>1139</v>
      </c>
      <c r="G34" s="23" t="s">
        <v>1140</v>
      </c>
      <c r="H34" s="23" t="s">
        <v>1107</v>
      </c>
      <c r="I34" s="23" t="s">
        <v>1141</v>
      </c>
    </row>
    <row r="35" spans="1:9" ht="64.95" customHeight="1" x14ac:dyDescent="0.3">
      <c r="A35" s="23" t="s">
        <v>1142</v>
      </c>
      <c r="B35" s="23" t="s">
        <v>1135</v>
      </c>
      <c r="C35" s="23" t="s">
        <v>1143</v>
      </c>
      <c r="D35" s="23" t="s">
        <v>1144</v>
      </c>
      <c r="E35" s="23" t="s">
        <v>1145</v>
      </c>
      <c r="F35" s="23" t="s">
        <v>1146</v>
      </c>
      <c r="G35" s="23" t="s">
        <v>1147</v>
      </c>
      <c r="H35" s="23" t="s">
        <v>998</v>
      </c>
      <c r="I35" s="23" t="s">
        <v>1148</v>
      </c>
    </row>
    <row r="36" spans="1:9" ht="93" customHeight="1" x14ac:dyDescent="0.3">
      <c r="A36" s="23" t="s">
        <v>1149</v>
      </c>
      <c r="B36" s="23" t="s">
        <v>1135</v>
      </c>
      <c r="C36" s="23" t="s">
        <v>1150</v>
      </c>
      <c r="D36" s="23" t="s">
        <v>1151</v>
      </c>
      <c r="E36" s="23" t="s">
        <v>1152</v>
      </c>
      <c r="F36" s="23" t="s">
        <v>1153</v>
      </c>
      <c r="G36" s="23" t="s">
        <v>1154</v>
      </c>
      <c r="H36" s="23" t="s">
        <v>1099</v>
      </c>
      <c r="I36" s="23" t="s">
        <v>1155</v>
      </c>
    </row>
    <row r="37" spans="1:9" ht="106.05" customHeight="1" x14ac:dyDescent="0.3">
      <c r="A37" s="23" t="s">
        <v>1156</v>
      </c>
      <c r="B37" s="23" t="s">
        <v>1135</v>
      </c>
      <c r="C37" s="23" t="s">
        <v>1157</v>
      </c>
      <c r="D37" s="23" t="s">
        <v>1158</v>
      </c>
      <c r="E37" s="23" t="s">
        <v>1159</v>
      </c>
      <c r="F37" s="23" t="s">
        <v>1160</v>
      </c>
      <c r="G37" s="23" t="s">
        <v>1161</v>
      </c>
      <c r="H37" s="23" t="s">
        <v>1162</v>
      </c>
      <c r="I37" s="23" t="s">
        <v>1163</v>
      </c>
    </row>
    <row r="38" spans="1:9" ht="25.05" customHeight="1" x14ac:dyDescent="0.3">
      <c r="A38" s="43" t="s">
        <v>1164</v>
      </c>
      <c r="B38" s="43"/>
      <c r="C38" s="43"/>
      <c r="D38" s="43"/>
      <c r="E38" s="43"/>
      <c r="F38" s="43"/>
      <c r="G38" s="43"/>
      <c r="H38" s="43"/>
      <c r="I38" s="43"/>
    </row>
    <row r="39" spans="1:9" ht="79.05" customHeight="1" x14ac:dyDescent="0.3">
      <c r="A39" s="23" t="s">
        <v>1165</v>
      </c>
      <c r="B39" s="23" t="s">
        <v>1166</v>
      </c>
      <c r="C39" s="23" t="s">
        <v>1167</v>
      </c>
      <c r="D39" s="23" t="s">
        <v>1168</v>
      </c>
      <c r="E39" s="23" t="s">
        <v>1169</v>
      </c>
      <c r="F39" s="23" t="s">
        <v>1170</v>
      </c>
      <c r="G39" s="23" t="s">
        <v>1171</v>
      </c>
      <c r="H39" s="23" t="s">
        <v>1131</v>
      </c>
      <c r="I39" s="23" t="s">
        <v>1172</v>
      </c>
    </row>
    <row r="40" spans="1:9" ht="142.05000000000001" customHeight="1" x14ac:dyDescent="0.3">
      <c r="A40" s="23" t="s">
        <v>1173</v>
      </c>
      <c r="B40" s="23" t="s">
        <v>1166</v>
      </c>
      <c r="C40" s="23" t="s">
        <v>1174</v>
      </c>
      <c r="D40" s="23" t="s">
        <v>1175</v>
      </c>
      <c r="E40" s="23" t="s">
        <v>1176</v>
      </c>
      <c r="F40" s="23" t="s">
        <v>1177</v>
      </c>
      <c r="G40" s="23" t="s">
        <v>1178</v>
      </c>
      <c r="H40" s="23" t="s">
        <v>1179</v>
      </c>
      <c r="I40" s="23" t="s">
        <v>1180</v>
      </c>
    </row>
    <row r="41" spans="1:9" ht="93" customHeight="1" x14ac:dyDescent="0.3">
      <c r="A41" s="23" t="s">
        <v>1181</v>
      </c>
      <c r="B41" s="23" t="s">
        <v>1166</v>
      </c>
      <c r="C41" s="23" t="s">
        <v>1182</v>
      </c>
      <c r="D41" s="23" t="s">
        <v>1183</v>
      </c>
      <c r="E41" s="23" t="s">
        <v>1184</v>
      </c>
      <c r="F41" s="23" t="s">
        <v>1185</v>
      </c>
      <c r="G41" s="23" t="s">
        <v>1186</v>
      </c>
      <c r="H41" s="23" t="s">
        <v>1131</v>
      </c>
      <c r="I41" s="23" t="s">
        <v>1187</v>
      </c>
    </row>
    <row r="42" spans="1:9" ht="79.05" customHeight="1" x14ac:dyDescent="0.3">
      <c r="A42" s="23" t="s">
        <v>1188</v>
      </c>
      <c r="B42" s="23" t="s">
        <v>1166</v>
      </c>
      <c r="C42" s="23" t="s">
        <v>1189</v>
      </c>
      <c r="D42" s="23" t="s">
        <v>1190</v>
      </c>
      <c r="E42" s="23" t="s">
        <v>1191</v>
      </c>
      <c r="F42" s="23" t="s">
        <v>1192</v>
      </c>
      <c r="G42" s="23" t="s">
        <v>1193</v>
      </c>
      <c r="H42" s="23" t="s">
        <v>1194</v>
      </c>
      <c r="I42" s="23" t="s">
        <v>1195</v>
      </c>
    </row>
    <row r="43" spans="1:9" ht="79.05" customHeight="1" x14ac:dyDescent="0.3">
      <c r="A43" s="23" t="s">
        <v>1196</v>
      </c>
      <c r="B43" s="23" t="s">
        <v>1166</v>
      </c>
      <c r="C43" s="23" t="s">
        <v>1197</v>
      </c>
      <c r="D43" s="23" t="s">
        <v>1198</v>
      </c>
      <c r="E43" s="23" t="s">
        <v>1199</v>
      </c>
      <c r="F43" s="23" t="s">
        <v>1200</v>
      </c>
      <c r="G43" s="23" t="s">
        <v>1201</v>
      </c>
      <c r="H43" s="23" t="s">
        <v>1202</v>
      </c>
      <c r="I43" s="23" t="s">
        <v>1203</v>
      </c>
    </row>
    <row r="44" spans="1:9" ht="25.05" customHeight="1" x14ac:dyDescent="0.3">
      <c r="A44" s="43" t="s">
        <v>1204</v>
      </c>
      <c r="B44" s="43"/>
      <c r="C44" s="43"/>
      <c r="D44" s="43"/>
      <c r="E44" s="43"/>
      <c r="F44" s="43"/>
      <c r="G44" s="43"/>
      <c r="H44" s="43"/>
      <c r="I44" s="43"/>
    </row>
    <row r="45" spans="1:9" ht="106.95" customHeight="1" x14ac:dyDescent="0.3">
      <c r="A45" s="23" t="s">
        <v>1205</v>
      </c>
      <c r="B45" s="23" t="s">
        <v>1206</v>
      </c>
      <c r="C45" s="23" t="s">
        <v>1207</v>
      </c>
      <c r="D45" s="23" t="s">
        <v>1208</v>
      </c>
      <c r="E45" s="23" t="s">
        <v>1209</v>
      </c>
      <c r="F45" s="23" t="s">
        <v>1210</v>
      </c>
      <c r="G45" s="23" t="s">
        <v>1211</v>
      </c>
      <c r="H45" s="23" t="s">
        <v>1212</v>
      </c>
      <c r="I45" s="23" t="s">
        <v>1213</v>
      </c>
    </row>
    <row r="46" spans="1:9" ht="79.05" customHeight="1" x14ac:dyDescent="0.3">
      <c r="A46" s="23" t="s">
        <v>1214</v>
      </c>
      <c r="B46" s="23" t="s">
        <v>1206</v>
      </c>
      <c r="C46" s="23" t="s">
        <v>1215</v>
      </c>
      <c r="D46" s="23" t="s">
        <v>1216</v>
      </c>
      <c r="E46" s="23" t="s">
        <v>1217</v>
      </c>
      <c r="F46" s="23" t="s">
        <v>1218</v>
      </c>
      <c r="G46" s="23" t="s">
        <v>1219</v>
      </c>
      <c r="H46" s="23" t="s">
        <v>1220</v>
      </c>
      <c r="I46" s="23" t="s">
        <v>1221</v>
      </c>
    </row>
    <row r="47" spans="1:9" ht="93" customHeight="1" x14ac:dyDescent="0.3">
      <c r="A47" s="23" t="s">
        <v>1222</v>
      </c>
      <c r="B47" s="23" t="s">
        <v>1206</v>
      </c>
      <c r="C47" s="23" t="s">
        <v>1223</v>
      </c>
      <c r="D47" s="23" t="s">
        <v>1224</v>
      </c>
      <c r="E47" s="23" t="s">
        <v>1225</v>
      </c>
      <c r="F47" s="23" t="s">
        <v>1226</v>
      </c>
      <c r="G47" s="23" t="s">
        <v>1227</v>
      </c>
      <c r="H47" s="23" t="s">
        <v>1228</v>
      </c>
      <c r="I47" s="23" t="s">
        <v>1229</v>
      </c>
    </row>
  </sheetData>
  <mergeCells count="9">
    <mergeCell ref="A27:I27"/>
    <mergeCell ref="A33:I33"/>
    <mergeCell ref="A38:I38"/>
    <mergeCell ref="A44:I44"/>
    <mergeCell ref="A1:I1"/>
    <mergeCell ref="A2:I2"/>
    <mergeCell ref="A5:I5"/>
    <mergeCell ref="A12:I12"/>
    <mergeCell ref="A20: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7"/>
  <sheetViews>
    <sheetView showGridLines="0" workbookViewId="0">
      <selection sqref="A1:E1"/>
    </sheetView>
  </sheetViews>
  <sheetFormatPr defaultColWidth="8.6640625" defaultRowHeight="14.4" x14ac:dyDescent="0.3"/>
  <cols>
    <col min="1" max="1" width="38" customWidth="1"/>
    <col min="2" max="3" width="10" customWidth="1"/>
    <col min="4" max="4" width="30" customWidth="1"/>
    <col min="5" max="5" width="80" customWidth="1"/>
  </cols>
  <sheetData>
    <row r="1" spans="1:5" ht="16.8" x14ac:dyDescent="0.3">
      <c r="A1" s="44" t="s">
        <v>1230</v>
      </c>
      <c r="B1" s="45"/>
      <c r="C1" s="45"/>
      <c r="D1" s="45"/>
      <c r="E1" s="45"/>
    </row>
    <row r="2" spans="1:5" x14ac:dyDescent="0.3">
      <c r="A2" s="1" t="s">
        <v>1231</v>
      </c>
    </row>
    <row r="3" spans="1:5" x14ac:dyDescent="0.3">
      <c r="A3" s="2" t="s">
        <v>0</v>
      </c>
      <c r="B3" s="2" t="s">
        <v>1</v>
      </c>
      <c r="C3" s="2" t="s">
        <v>2</v>
      </c>
      <c r="D3" s="2" t="s">
        <v>3</v>
      </c>
      <c r="E3" s="2" t="s">
        <v>4</v>
      </c>
    </row>
    <row r="4" spans="1:5" x14ac:dyDescent="0.3">
      <c r="A4" s="3" t="s">
        <v>5</v>
      </c>
      <c r="B4" s="3" t="s">
        <v>6</v>
      </c>
      <c r="C4" s="4">
        <v>180</v>
      </c>
      <c r="D4" s="3" t="s">
        <v>7</v>
      </c>
      <c r="E4" s="3" t="s">
        <v>8</v>
      </c>
    </row>
    <row r="5" spans="1:5" ht="27.6" x14ac:dyDescent="0.3">
      <c r="A5" s="3" t="s">
        <v>9</v>
      </c>
      <c r="B5" s="3" t="s">
        <v>10</v>
      </c>
      <c r="C5" s="4">
        <v>10</v>
      </c>
      <c r="D5" s="3" t="s">
        <v>7</v>
      </c>
      <c r="E5" s="3" t="s">
        <v>1232</v>
      </c>
    </row>
    <row r="6" spans="1:5" x14ac:dyDescent="0.3">
      <c r="A6" s="3" t="s">
        <v>11</v>
      </c>
      <c r="B6" s="3" t="s">
        <v>12</v>
      </c>
      <c r="C6" s="4">
        <v>30</v>
      </c>
      <c r="D6" s="3" t="s">
        <v>7</v>
      </c>
      <c r="E6" s="3" t="s">
        <v>13</v>
      </c>
    </row>
    <row r="7" spans="1:5" x14ac:dyDescent="0.3">
      <c r="A7" s="3" t="s">
        <v>14</v>
      </c>
      <c r="B7" s="3" t="s">
        <v>15</v>
      </c>
      <c r="C7" s="5">
        <v>0.5</v>
      </c>
      <c r="D7" s="3" t="s">
        <v>16</v>
      </c>
      <c r="E7" s="3" t="s">
        <v>17</v>
      </c>
    </row>
    <row r="8" spans="1:5" x14ac:dyDescent="0.3">
      <c r="A8" s="3" t="s">
        <v>18</v>
      </c>
      <c r="B8" s="3" t="s">
        <v>19</v>
      </c>
      <c r="C8" s="4">
        <v>60</v>
      </c>
      <c r="D8" s="3" t="s">
        <v>7</v>
      </c>
      <c r="E8" s="3" t="s">
        <v>1233</v>
      </c>
    </row>
    <row r="9" spans="1:5" x14ac:dyDescent="0.3">
      <c r="A9" s="3" t="s">
        <v>20</v>
      </c>
      <c r="B9" s="3" t="s">
        <v>21</v>
      </c>
      <c r="C9" s="4">
        <v>30</v>
      </c>
      <c r="D9" s="3" t="s">
        <v>7</v>
      </c>
      <c r="E9" s="3" t="s">
        <v>22</v>
      </c>
    </row>
    <row r="10" spans="1:5" x14ac:dyDescent="0.3">
      <c r="A10" s="3" t="s">
        <v>23</v>
      </c>
      <c r="B10" s="3" t="s">
        <v>24</v>
      </c>
      <c r="C10" s="4">
        <v>30</v>
      </c>
      <c r="D10" s="3" t="s">
        <v>7</v>
      </c>
      <c r="E10" s="3" t="s">
        <v>25</v>
      </c>
    </row>
    <row r="11" spans="1:5" x14ac:dyDescent="0.3">
      <c r="A11" s="3" t="s">
        <v>26</v>
      </c>
      <c r="B11" s="3" t="s">
        <v>27</v>
      </c>
      <c r="C11" s="4">
        <v>30</v>
      </c>
      <c r="D11" s="3" t="s">
        <v>7</v>
      </c>
      <c r="E11" s="3" t="s">
        <v>1234</v>
      </c>
    </row>
    <row r="12" spans="1:5" x14ac:dyDescent="0.3">
      <c r="A12" s="3" t="s">
        <v>28</v>
      </c>
      <c r="B12" s="3" t="s">
        <v>29</v>
      </c>
      <c r="C12" s="5">
        <v>0.02</v>
      </c>
      <c r="D12" s="3" t="s">
        <v>16</v>
      </c>
      <c r="E12" s="3" t="s">
        <v>30</v>
      </c>
    </row>
    <row r="13" spans="1:5" x14ac:dyDescent="0.3">
      <c r="A13" s="3" t="s">
        <v>31</v>
      </c>
      <c r="B13" s="3" t="s">
        <v>32</v>
      </c>
      <c r="C13" s="4">
        <v>3</v>
      </c>
      <c r="D13" s="3" t="s">
        <v>33</v>
      </c>
      <c r="E13" s="3" t="s">
        <v>34</v>
      </c>
    </row>
    <row r="14" spans="1:5" x14ac:dyDescent="0.3">
      <c r="A14" s="3" t="s">
        <v>35</v>
      </c>
      <c r="B14" s="3" t="s">
        <v>36</v>
      </c>
      <c r="C14" s="4" t="s">
        <v>37</v>
      </c>
      <c r="D14" s="3" t="s">
        <v>38</v>
      </c>
      <c r="E14" s="3" t="s">
        <v>39</v>
      </c>
    </row>
    <row r="17" spans="1:5" x14ac:dyDescent="0.3">
      <c r="A17" s="6" t="s">
        <v>40</v>
      </c>
    </row>
    <row r="18" spans="1:5" x14ac:dyDescent="0.3">
      <c r="A18" s="2" t="s">
        <v>41</v>
      </c>
      <c r="B18" s="2" t="s">
        <v>42</v>
      </c>
      <c r="C18" s="2" t="s">
        <v>43</v>
      </c>
      <c r="D18" s="2" t="s">
        <v>44</v>
      </c>
      <c r="E18" s="2" t="s">
        <v>45</v>
      </c>
    </row>
    <row r="19" spans="1:5" ht="27.6" x14ac:dyDescent="0.3">
      <c r="A19" s="3" t="s">
        <v>46</v>
      </c>
      <c r="B19" s="4">
        <v>32</v>
      </c>
      <c r="C19" s="4">
        <v>47.5</v>
      </c>
      <c r="D19" s="3" t="s">
        <v>47</v>
      </c>
      <c r="E19" s="3" t="s">
        <v>48</v>
      </c>
    </row>
    <row r="20" spans="1:5" ht="27.6" x14ac:dyDescent="0.3">
      <c r="A20" s="3" t="s">
        <v>49</v>
      </c>
      <c r="B20" s="4">
        <v>57.6</v>
      </c>
      <c r="C20" s="4">
        <v>82.6</v>
      </c>
      <c r="D20" s="3" t="s">
        <v>47</v>
      </c>
      <c r="E20" s="3" t="s">
        <v>48</v>
      </c>
    </row>
    <row r="21" spans="1:5" ht="27.6" x14ac:dyDescent="0.3">
      <c r="A21" s="3" t="s">
        <v>50</v>
      </c>
      <c r="B21" s="4">
        <v>16.100000000000001</v>
      </c>
      <c r="C21" s="4">
        <v>38.799999999999997</v>
      </c>
      <c r="D21" s="3" t="s">
        <v>47</v>
      </c>
      <c r="E21" s="3" t="s">
        <v>48</v>
      </c>
    </row>
    <row r="22" spans="1:5" ht="27.6" x14ac:dyDescent="0.3">
      <c r="A22" s="3" t="s">
        <v>51</v>
      </c>
      <c r="B22" s="4">
        <v>64.900000000000006</v>
      </c>
      <c r="C22" s="4">
        <v>98</v>
      </c>
      <c r="D22" s="3" t="s">
        <v>47</v>
      </c>
      <c r="E22" s="3" t="s">
        <v>48</v>
      </c>
    </row>
    <row r="24" spans="1:5" ht="28.2" x14ac:dyDescent="0.3">
      <c r="A24" s="30" t="s">
        <v>1235</v>
      </c>
      <c r="B24" s="30" t="s">
        <v>1236</v>
      </c>
      <c r="C24" s="34">
        <v>60</v>
      </c>
      <c r="D24" s="30" t="s">
        <v>7</v>
      </c>
      <c r="E24" s="30" t="s">
        <v>1237</v>
      </c>
    </row>
    <row r="25" spans="1:5" x14ac:dyDescent="0.3">
      <c r="A25" s="28" t="s">
        <v>1238</v>
      </c>
      <c r="B25" s="28" t="s">
        <v>1239</v>
      </c>
      <c r="C25" s="35">
        <v>0</v>
      </c>
      <c r="D25" s="28" t="s">
        <v>59</v>
      </c>
      <c r="E25" s="28" t="s">
        <v>1240</v>
      </c>
    </row>
    <row r="26" spans="1:5" x14ac:dyDescent="0.3">
      <c r="A26" s="28" t="s">
        <v>1241</v>
      </c>
      <c r="B26" s="28" t="s">
        <v>1242</v>
      </c>
      <c r="C26" s="35">
        <v>0.05</v>
      </c>
      <c r="D26" s="28" t="s">
        <v>7</v>
      </c>
      <c r="E26" s="28" t="s">
        <v>1243</v>
      </c>
    </row>
    <row r="27" spans="1:5" x14ac:dyDescent="0.3">
      <c r="A27" s="28" t="s">
        <v>1244</v>
      </c>
      <c r="B27" s="28" t="s">
        <v>1245</v>
      </c>
      <c r="C27" s="35">
        <v>1</v>
      </c>
      <c r="D27" s="28" t="s">
        <v>59</v>
      </c>
      <c r="E27" s="28" t="s">
        <v>1246</v>
      </c>
    </row>
  </sheetData>
  <mergeCells count="1">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40"/>
  <sheetViews>
    <sheetView showGridLines="0" tabSelected="1" zoomScale="77" workbookViewId="0">
      <pane ySplit="4" topLeftCell="A9" activePane="bottomLeft" state="frozen"/>
      <selection pane="bottomLeft" activeCell="C15" sqref="C15"/>
    </sheetView>
  </sheetViews>
  <sheetFormatPr defaultColWidth="8.6640625" defaultRowHeight="14.4" x14ac:dyDescent="0.3"/>
  <cols>
    <col min="1" max="1" width="43" customWidth="1"/>
    <col min="2" max="2" width="19" customWidth="1"/>
    <col min="3" max="3" width="86" customWidth="1"/>
    <col min="4" max="4" width="48" customWidth="1"/>
    <col min="5" max="5" width="76" customWidth="1"/>
  </cols>
  <sheetData>
    <row r="1" spans="1:5" ht="25.95" customHeight="1" x14ac:dyDescent="0.3">
      <c r="A1" s="41" t="s">
        <v>1247</v>
      </c>
      <c r="B1" s="41"/>
      <c r="C1" s="41"/>
      <c r="D1" s="41"/>
      <c r="E1" s="41"/>
    </row>
    <row r="2" spans="1:5" ht="36" customHeight="1" x14ac:dyDescent="0.3">
      <c r="A2" s="42" t="s">
        <v>1248</v>
      </c>
      <c r="B2" s="42"/>
      <c r="C2" s="42"/>
      <c r="D2" s="42"/>
      <c r="E2" s="42"/>
    </row>
    <row r="4" spans="1:5" ht="31.95" customHeight="1" x14ac:dyDescent="0.3">
      <c r="A4" s="39" t="s">
        <v>1249</v>
      </c>
      <c r="B4" s="39" t="s">
        <v>1250</v>
      </c>
      <c r="C4" s="39" t="s">
        <v>1251</v>
      </c>
      <c r="D4" s="39" t="s">
        <v>1252</v>
      </c>
      <c r="E4" s="39" t="s">
        <v>1253</v>
      </c>
    </row>
    <row r="5" spans="1:5" ht="37.049999999999997" customHeight="1" x14ac:dyDescent="0.3">
      <c r="A5" s="23" t="s">
        <v>1254</v>
      </c>
      <c r="B5" s="23" t="s">
        <v>1255</v>
      </c>
      <c r="C5" s="23" t="s">
        <v>1256</v>
      </c>
      <c r="D5" s="23" t="s">
        <v>1257</v>
      </c>
      <c r="E5" s="23" t="s">
        <v>1258</v>
      </c>
    </row>
    <row r="6" spans="1:5" ht="37.049999999999997" customHeight="1" x14ac:dyDescent="0.3">
      <c r="A6" s="23" t="s">
        <v>1259</v>
      </c>
      <c r="B6" s="23" t="s">
        <v>1260</v>
      </c>
      <c r="C6" s="23" t="s">
        <v>1261</v>
      </c>
      <c r="D6" s="23" t="s">
        <v>1262</v>
      </c>
      <c r="E6" s="23" t="s">
        <v>1263</v>
      </c>
    </row>
    <row r="7" spans="1:5" ht="37.049999999999997" customHeight="1" x14ac:dyDescent="0.3">
      <c r="A7" s="23" t="s">
        <v>1264</v>
      </c>
      <c r="B7" s="23" t="s">
        <v>1260</v>
      </c>
      <c r="C7" s="23" t="s">
        <v>1265</v>
      </c>
      <c r="D7" s="23" t="s">
        <v>1266</v>
      </c>
      <c r="E7" s="23" t="s">
        <v>1267</v>
      </c>
    </row>
    <row r="8" spans="1:5" ht="37.049999999999997" customHeight="1" x14ac:dyDescent="0.3">
      <c r="A8" s="23" t="s">
        <v>1268</v>
      </c>
      <c r="B8" s="23" t="s">
        <v>1269</v>
      </c>
      <c r="C8" s="23" t="s">
        <v>1270</v>
      </c>
      <c r="D8" s="23" t="s">
        <v>1271</v>
      </c>
      <c r="E8" s="23" t="s">
        <v>1272</v>
      </c>
    </row>
    <row r="9" spans="1:5" ht="37.049999999999997" customHeight="1" x14ac:dyDescent="0.3">
      <c r="A9" s="23" t="s">
        <v>1273</v>
      </c>
      <c r="B9" s="23" t="s">
        <v>1260</v>
      </c>
      <c r="C9" s="23" t="s">
        <v>1274</v>
      </c>
      <c r="D9" s="23" t="s">
        <v>1275</v>
      </c>
      <c r="E9" s="23" t="s">
        <v>1276</v>
      </c>
    </row>
    <row r="10" spans="1:5" ht="37.049999999999997" customHeight="1" x14ac:dyDescent="0.3">
      <c r="A10" s="23" t="s">
        <v>1277</v>
      </c>
      <c r="B10" s="23" t="s">
        <v>1260</v>
      </c>
      <c r="C10" s="23" t="s">
        <v>1278</v>
      </c>
      <c r="D10" s="23" t="s">
        <v>1279</v>
      </c>
      <c r="E10" s="23" t="s">
        <v>1280</v>
      </c>
    </row>
    <row r="11" spans="1:5" ht="37.049999999999997" customHeight="1" x14ac:dyDescent="0.3">
      <c r="A11" s="23" t="s">
        <v>1281</v>
      </c>
      <c r="B11" s="23" t="s">
        <v>1260</v>
      </c>
      <c r="C11" s="23" t="s">
        <v>1282</v>
      </c>
      <c r="D11" s="23" t="s">
        <v>1283</v>
      </c>
      <c r="E11" s="23" t="s">
        <v>1284</v>
      </c>
    </row>
    <row r="12" spans="1:5" ht="37.049999999999997" customHeight="1" x14ac:dyDescent="0.3">
      <c r="A12" s="23" t="s">
        <v>1285</v>
      </c>
      <c r="B12" s="23" t="s">
        <v>1286</v>
      </c>
      <c r="C12" s="23" t="s">
        <v>1287</v>
      </c>
      <c r="D12" s="23" t="s">
        <v>1288</v>
      </c>
      <c r="E12" s="23" t="s">
        <v>1289</v>
      </c>
    </row>
    <row r="13" spans="1:5" ht="37.049999999999997" customHeight="1" x14ac:dyDescent="0.3">
      <c r="A13" s="23" t="s">
        <v>1290</v>
      </c>
      <c r="B13" s="23" t="s">
        <v>1286</v>
      </c>
      <c r="C13" s="23" t="s">
        <v>1291</v>
      </c>
      <c r="D13" s="23" t="s">
        <v>1292</v>
      </c>
      <c r="E13" s="23" t="s">
        <v>1293</v>
      </c>
    </row>
    <row r="14" spans="1:5" ht="37.049999999999997" customHeight="1" x14ac:dyDescent="0.3">
      <c r="A14" s="23" t="s">
        <v>1294</v>
      </c>
      <c r="B14" s="23" t="s">
        <v>1286</v>
      </c>
      <c r="C14" s="23" t="s">
        <v>1295</v>
      </c>
      <c r="D14" s="23" t="s">
        <v>1296</v>
      </c>
      <c r="E14" s="23" t="s">
        <v>1297</v>
      </c>
    </row>
    <row r="15" spans="1:5" ht="37.049999999999997" customHeight="1" x14ac:dyDescent="0.3">
      <c r="A15" s="23" t="s">
        <v>1298</v>
      </c>
      <c r="B15" s="23" t="s">
        <v>1286</v>
      </c>
      <c r="C15" s="23" t="s">
        <v>1299</v>
      </c>
      <c r="D15" s="23" t="s">
        <v>1300</v>
      </c>
      <c r="E15" s="23" t="s">
        <v>1301</v>
      </c>
    </row>
    <row r="16" spans="1:5" ht="37.049999999999997" customHeight="1" x14ac:dyDescent="0.3">
      <c r="A16" s="23" t="s">
        <v>1302</v>
      </c>
      <c r="B16" s="23" t="s">
        <v>1286</v>
      </c>
      <c r="C16" s="23" t="s">
        <v>1303</v>
      </c>
      <c r="D16" s="23" t="s">
        <v>1304</v>
      </c>
      <c r="E16" s="23" t="s">
        <v>1305</v>
      </c>
    </row>
    <row r="17" spans="1:5" ht="37.049999999999997" customHeight="1" x14ac:dyDescent="0.3">
      <c r="A17" s="23" t="s">
        <v>1306</v>
      </c>
      <c r="B17" s="23" t="s">
        <v>1260</v>
      </c>
      <c r="C17" s="23" t="s">
        <v>1307</v>
      </c>
      <c r="D17" s="23" t="s">
        <v>1308</v>
      </c>
      <c r="E17" s="23" t="s">
        <v>1309</v>
      </c>
    </row>
    <row r="18" spans="1:5" ht="37.049999999999997" customHeight="1" x14ac:dyDescent="0.3">
      <c r="A18" s="23" t="s">
        <v>1310</v>
      </c>
      <c r="B18" s="23" t="s">
        <v>1260</v>
      </c>
      <c r="C18" s="23" t="s">
        <v>1311</v>
      </c>
      <c r="D18" s="23" t="s">
        <v>1312</v>
      </c>
      <c r="E18" s="23" t="s">
        <v>1313</v>
      </c>
    </row>
    <row r="19" spans="1:5" ht="37.049999999999997" customHeight="1" x14ac:dyDescent="0.3">
      <c r="A19" s="23" t="s">
        <v>1314</v>
      </c>
      <c r="B19" s="23" t="s">
        <v>1286</v>
      </c>
      <c r="C19" s="23" t="s">
        <v>1315</v>
      </c>
      <c r="D19" s="23" t="s">
        <v>1316</v>
      </c>
      <c r="E19" s="23" t="s">
        <v>1317</v>
      </c>
    </row>
    <row r="20" spans="1:5" ht="37.049999999999997" customHeight="1" x14ac:dyDescent="0.3">
      <c r="A20" s="23" t="s">
        <v>1318</v>
      </c>
      <c r="B20" s="23" t="s">
        <v>1286</v>
      </c>
      <c r="C20" s="23" t="s">
        <v>1319</v>
      </c>
      <c r="D20" s="23" t="s">
        <v>1320</v>
      </c>
      <c r="E20" s="23" t="s">
        <v>1321</v>
      </c>
    </row>
    <row r="21" spans="1:5" ht="37.049999999999997" customHeight="1" x14ac:dyDescent="0.3">
      <c r="A21" s="23" t="s">
        <v>1322</v>
      </c>
      <c r="B21" s="23" t="s">
        <v>1286</v>
      </c>
      <c r="C21" s="23" t="s">
        <v>1323</v>
      </c>
      <c r="D21" s="23" t="s">
        <v>1324</v>
      </c>
      <c r="E21" s="23" t="s">
        <v>1325</v>
      </c>
    </row>
    <row r="22" spans="1:5" ht="37.049999999999997" customHeight="1" x14ac:dyDescent="0.3">
      <c r="A22" s="23" t="s">
        <v>1326</v>
      </c>
      <c r="B22" s="23" t="s">
        <v>1286</v>
      </c>
      <c r="C22" s="23" t="s">
        <v>1327</v>
      </c>
      <c r="D22" s="23" t="s">
        <v>1328</v>
      </c>
      <c r="E22" s="23" t="s">
        <v>1329</v>
      </c>
    </row>
    <row r="23" spans="1:5" ht="37.049999999999997" customHeight="1" x14ac:dyDescent="0.3">
      <c r="A23" s="23" t="s">
        <v>1330</v>
      </c>
      <c r="B23" s="23" t="s">
        <v>1286</v>
      </c>
      <c r="C23" s="23" t="s">
        <v>1331</v>
      </c>
      <c r="D23" s="23" t="s">
        <v>1332</v>
      </c>
      <c r="E23" s="23" t="s">
        <v>1333</v>
      </c>
    </row>
    <row r="24" spans="1:5" ht="51" customHeight="1" x14ac:dyDescent="0.3">
      <c r="A24" s="23" t="s">
        <v>1334</v>
      </c>
      <c r="B24" s="23" t="s">
        <v>1286</v>
      </c>
      <c r="C24" s="23" t="s">
        <v>1335</v>
      </c>
      <c r="D24" s="23" t="s">
        <v>1336</v>
      </c>
      <c r="E24" s="23" t="s">
        <v>1337</v>
      </c>
    </row>
    <row r="25" spans="1:5" ht="37.049999999999997" customHeight="1" x14ac:dyDescent="0.3">
      <c r="A25" s="23" t="s">
        <v>1338</v>
      </c>
      <c r="B25" s="23" t="s">
        <v>1260</v>
      </c>
      <c r="C25" s="23" t="s">
        <v>1339</v>
      </c>
      <c r="D25" s="23" t="s">
        <v>1340</v>
      </c>
      <c r="E25" s="23" t="s">
        <v>1341</v>
      </c>
    </row>
    <row r="26" spans="1:5" ht="37.049999999999997" customHeight="1" x14ac:dyDescent="0.3">
      <c r="A26" s="23" t="s">
        <v>1342</v>
      </c>
      <c r="B26" s="23" t="s">
        <v>1260</v>
      </c>
      <c r="C26" s="23" t="s">
        <v>1343</v>
      </c>
      <c r="D26" s="23" t="s">
        <v>1344</v>
      </c>
      <c r="E26" s="23" t="s">
        <v>1345</v>
      </c>
    </row>
    <row r="27" spans="1:5" ht="51" customHeight="1" x14ac:dyDescent="0.3">
      <c r="A27" s="23" t="s">
        <v>1346</v>
      </c>
      <c r="B27" s="23" t="s">
        <v>1347</v>
      </c>
      <c r="C27" s="23" t="s">
        <v>1348</v>
      </c>
      <c r="D27" s="23" t="s">
        <v>1349</v>
      </c>
      <c r="E27" s="23" t="s">
        <v>1350</v>
      </c>
    </row>
    <row r="28" spans="1:5" ht="51" customHeight="1" x14ac:dyDescent="0.3">
      <c r="A28" s="23" t="s">
        <v>1351</v>
      </c>
      <c r="B28" s="23" t="s">
        <v>1352</v>
      </c>
      <c r="C28" s="23" t="s">
        <v>1353</v>
      </c>
      <c r="D28" s="23" t="s">
        <v>1354</v>
      </c>
      <c r="E28" s="23" t="s">
        <v>1355</v>
      </c>
    </row>
    <row r="29" spans="1:5" ht="37.049999999999997" customHeight="1" x14ac:dyDescent="0.3">
      <c r="A29" s="23" t="s">
        <v>1356</v>
      </c>
      <c r="B29" s="23" t="s">
        <v>1357</v>
      </c>
      <c r="C29" s="23" t="s">
        <v>1358</v>
      </c>
      <c r="D29" s="23" t="s">
        <v>1359</v>
      </c>
      <c r="E29" s="23" t="s">
        <v>1360</v>
      </c>
    </row>
    <row r="30" spans="1:5" ht="37.049999999999997" customHeight="1" x14ac:dyDescent="0.3">
      <c r="A30" s="23" t="s">
        <v>1361</v>
      </c>
      <c r="B30" s="23" t="s">
        <v>1260</v>
      </c>
      <c r="C30" s="23" t="s">
        <v>1362</v>
      </c>
      <c r="D30" s="23" t="s">
        <v>1363</v>
      </c>
      <c r="E30" s="23" t="s">
        <v>1364</v>
      </c>
    </row>
    <row r="31" spans="1:5" ht="37.049999999999997" customHeight="1" x14ac:dyDescent="0.3">
      <c r="A31" s="23" t="s">
        <v>1365</v>
      </c>
      <c r="B31" s="23" t="s">
        <v>1260</v>
      </c>
      <c r="C31" s="23" t="s">
        <v>1366</v>
      </c>
      <c r="D31" s="23" t="s">
        <v>1367</v>
      </c>
      <c r="E31" s="23" t="s">
        <v>1368</v>
      </c>
    </row>
    <row r="32" spans="1:5" ht="37.049999999999997" customHeight="1" x14ac:dyDescent="0.3">
      <c r="A32" s="23" t="s">
        <v>1369</v>
      </c>
      <c r="B32" s="23" t="s">
        <v>1286</v>
      </c>
      <c r="C32" s="23" t="s">
        <v>1370</v>
      </c>
      <c r="D32" s="23" t="s">
        <v>1371</v>
      </c>
      <c r="E32" s="23" t="s">
        <v>1372</v>
      </c>
    </row>
    <row r="33" spans="1:5" ht="37.049999999999997" customHeight="1" x14ac:dyDescent="0.3">
      <c r="A33" s="23" t="s">
        <v>1373</v>
      </c>
      <c r="B33" s="23" t="s">
        <v>1260</v>
      </c>
      <c r="C33" s="23" t="s">
        <v>1374</v>
      </c>
      <c r="D33" s="23" t="s">
        <v>1375</v>
      </c>
      <c r="E33" s="23" t="s">
        <v>1376</v>
      </c>
    </row>
    <row r="34" spans="1:5" ht="37.049999999999997" customHeight="1" x14ac:dyDescent="0.3"/>
    <row r="35" spans="1:5" ht="37.049999999999997" customHeight="1" x14ac:dyDescent="0.3"/>
    <row r="36" spans="1:5" ht="31.95" customHeight="1" x14ac:dyDescent="0.3">
      <c r="A36" s="46" t="s">
        <v>1377</v>
      </c>
      <c r="B36" s="46"/>
      <c r="C36" s="46"/>
      <c r="D36" s="46"/>
      <c r="E36" s="46"/>
    </row>
    <row r="37" spans="1:5" ht="127.95" customHeight="1" x14ac:dyDescent="0.3">
      <c r="A37" s="47" t="str">
        <f>"Your closing-balance cash conversion cycle is "&amp;TEXT(TV1_Mau_ket_qua!B10,"0.0")&amp;" days (DSO "&amp;TEXT(TV1_Mau_ket_qua!B7,"0.0")&amp;" + DIO "&amp;TEXT(TV1_Mau_ket_qua!B8,"0.0")&amp;" − DPO "&amp;TEXT(TV1_Mau_ket_qua!B9,"0.0")&amp;"), with VND "&amp;TEXT(TV1_Mau_ket_qua!B11/1000000000,"0.00")&amp;" billion in net trade working capital. Receivables are the largest positive component. Exporter K1 accounts for "&amp;TEXT(TV1_Mau_ket_qua!B29,"0.0%")&amp;" of outstanding receivables and contributes "&amp;TEXT(TV1_Mau_ket_qua!B30,"0.0")&amp;" days to DSO. Its historical weighted payment delay is "&amp;TEXT(TV1_Mau_ket_qua!B31,"0.0")&amp;" days after the due date on a signed basis over the 180-day lookback; the positive-delay measure is "&amp;TEXT(TV1_Mau_ket_qua!B32,"0.0")&amp;" days. This separates payment behaviour from the "&amp;TEXT(TV1_Mau_ket_qua!B44,"0")&amp;"-day credit terms. Across all customers, "&amp;TEXT(TV1_Mau_ket_qua!B34,"0.0%")&amp;" of receivables (VND "&amp;TEXT(TV1_Mau_ket_qua!B33/1000000,"0")&amp;" million) is overdue. The first priority is to reconcile overdue invoices and obtain specific payment commitments from K1, rather than treating every outstanding invoice as late. At the period's sales rate, one day of DSO is equivalent to about VND "&amp;TEXT(TV1_Mau_ket_qua!B12/1000000,"0")&amp;" million of capital; this is not guaranteed immediate cash."</f>
        <v>Your closing-balance cash conversion cycle is 69.0 days (DSO 50.0 + DIO 43.9 − DPO 24.8), with VND 6.41 billion in net trade working capital. Receivables are the largest positive component. Exporter K1 accounts for 79.2% of outstanding receivables and contributes 39.6 days to DSO. Its historical weighted payment delay is 20.5 days after the due date on a signed basis over the 180-day lookback; the positive-delay measure is 20.5 days. This separates payment behaviour from the 45-day credit terms. Across all customers, 17.7% of receivables (VND 872 million) is overdue. The first priority is to reconcile overdue invoices and obtain specific payment commitments from K1, rather than treating every outstanding invoice as late. At the period's sales rate, one day of DSO is equivalent to about VND 98 million of capital; this is not guaranteed immediate cash.</v>
      </c>
      <c r="B37" s="47"/>
      <c r="C37" s="47"/>
      <c r="D37" s="47"/>
      <c r="E37" s="47"/>
    </row>
    <row r="38" spans="1:5" ht="127.95" customHeight="1" x14ac:dyDescent="0.3">
      <c r="A38" s="47" t="str">
        <f>"Inventory needs a separate response: cancelled-order summer trims worth VND "&amp;TEXT(TV1_Mau_ket_qua!B35/1000000,"0")&amp;" million have been held for "&amp;TEXT(TV1_Mau_ket_qua!B36,"0")&amp;" days. They represent "&amp;TEXT(TV1_Mau_ket_qua!B38,"0.0%")&amp;" of owned inventory and "&amp;TEXT(TV1_Mau_ket_qua!B37,"0.0")&amp;" days of DIO. Confirm reuse or sale demand before assuming that book value can be recovered; a write-down alone creates no cash. Fabric worth VND "&amp;TEXT(TV1_Mau_ket_qua!B39/1000000000,"0.0")&amp;" billion belongs to Exporter K1 and is excluded, so it is not F01's working-capital release opportunity. On the payment side, VND "&amp;TEXT(TV1_Mau_ket_qua!B13/1000000,"0")&amp;" million of AP is overdue: the DPO offset therefore cannot automatically be described as efficient supplier financing. Supplier Beta offers a "&amp;TEXT(TV1_Mau_ket_qua!B40,"0%")&amp;" discount on invoice P-F01-0101, saving VND "&amp;TEXT(TV1_Mau_ket_qua!B41/1000000,"0.00")&amp;" million if paid by "&amp;TEXT(TV1_Mau_ket_qua!B43,"dd mmm yyyy")&amp;". Its "&amp;TEXT(TV1_Mau_ket_qua!B42,"0.0%")&amp;" simple annualised rate makes it worth evaluating, but affordability and other mandatory payments must be checked before recommending early payment."</f>
        <v>Inventory needs a separate response: cancelled-order summer trims worth VND 430 million have been held for 118 days. They represent 12.5% of owned inventory and 5.5 days of DIO. Confirm reuse or sale demand before assuming that book value can be recovered; a write-down alone creates no cash. Fabric worth VND 2.6 billion belongs to Exporter K1 and is excluded, so it is not F01's working-capital release opportunity. On the payment side, VND 341 million of AP is overdue: the DPO offset therefore cannot automatically be described as efficient supplier financing. Supplier Beta offers a 2% discount on invoice P-F01-0101, saving VND 4.50 million if paid by 03 Oct 2026. Its 37.2% simple annualised rate makes it worth evaluating, but affordability and other mandatory payments must be checked before recommending early payment.</v>
      </c>
      <c r="B38" s="47"/>
      <c r="C38" s="47"/>
      <c r="D38" s="47"/>
      <c r="E38" s="47"/>
    </row>
    <row r="39" spans="1:5" ht="88.05" customHeight="1" x14ac:dyDescent="0.3">
      <c r="A39" s="47" t="s">
        <v>1378</v>
      </c>
      <c r="B39" s="47"/>
      <c r="C39" s="47"/>
      <c r="D39" s="47"/>
      <c r="E39" s="47"/>
    </row>
    <row r="40" spans="1:5" ht="45" customHeight="1" x14ac:dyDescent="0.3">
      <c r="A40" s="42" t="s">
        <v>1379</v>
      </c>
      <c r="B40" s="42"/>
      <c r="C40" s="42"/>
      <c r="D40" s="42"/>
      <c r="E40" s="42"/>
    </row>
  </sheetData>
  <mergeCells count="7">
    <mergeCell ref="A39:E39"/>
    <mergeCell ref="A40:E40"/>
    <mergeCell ref="A1:E1"/>
    <mergeCell ref="A2:E2"/>
    <mergeCell ref="A36:E36"/>
    <mergeCell ref="A37:E37"/>
    <mergeCell ref="A38:E3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8"/>
  <sheetViews>
    <sheetView showGridLines="0" workbookViewId="0">
      <pane xSplit="2" ySplit="4" topLeftCell="C5" activePane="bottomRight" state="frozen"/>
      <selection pane="topRight"/>
      <selection pane="bottomLeft"/>
      <selection pane="bottomRight" activeCell="C5" sqref="C5"/>
    </sheetView>
  </sheetViews>
  <sheetFormatPr defaultColWidth="8.6640625" defaultRowHeight="14.4" x14ac:dyDescent="0.3"/>
  <cols>
    <col min="1" max="1" width="44" customWidth="1"/>
    <col min="2" max="2" width="30" customWidth="1"/>
    <col min="3" max="6" width="14" customWidth="1"/>
    <col min="7" max="8" width="16" customWidth="1"/>
    <col min="9" max="10" width="12" customWidth="1"/>
  </cols>
  <sheetData>
    <row r="1" spans="1:10" ht="16.8" x14ac:dyDescent="0.3">
      <c r="A1" s="44" t="s">
        <v>1380</v>
      </c>
      <c r="B1" s="45"/>
      <c r="C1" s="45"/>
      <c r="D1" s="45"/>
      <c r="E1" s="45"/>
      <c r="F1" s="45"/>
    </row>
    <row r="2" spans="1:10" ht="31.95" customHeight="1" x14ac:dyDescent="0.3">
      <c r="A2" s="48" t="s">
        <v>1381</v>
      </c>
      <c r="B2" s="49"/>
      <c r="C2" s="49"/>
      <c r="D2" s="49"/>
      <c r="E2" s="49"/>
      <c r="F2" s="49"/>
      <c r="G2" s="49"/>
      <c r="H2" s="49"/>
      <c r="I2" s="49"/>
      <c r="J2" s="49"/>
    </row>
    <row r="4" spans="1:10" x14ac:dyDescent="0.3">
      <c r="A4" s="2" t="s">
        <v>52</v>
      </c>
      <c r="B4" s="2" t="s">
        <v>53</v>
      </c>
      <c r="C4" s="2" t="s">
        <v>54</v>
      </c>
      <c r="D4" s="2" t="s">
        <v>55</v>
      </c>
      <c r="E4" s="2" t="s">
        <v>56</v>
      </c>
      <c r="F4" s="2" t="s">
        <v>3</v>
      </c>
    </row>
    <row r="5" spans="1:10" x14ac:dyDescent="0.3">
      <c r="A5" s="3" t="s">
        <v>57</v>
      </c>
      <c r="B5" s="3" t="s">
        <v>58</v>
      </c>
      <c r="C5" s="7">
        <f>SUMIFS(D_financials!$D$3:$D$5,D_financials!$A$3:$A$5,C$4)</f>
        <v>8844078000</v>
      </c>
      <c r="D5" s="7">
        <f>SUMIFS(D_financials!$D$3:$D$5,D_financials!$A$3:$A$5,D$4)</f>
        <v>11697775000</v>
      </c>
      <c r="E5" s="7">
        <f>SUMIFS(D_financials!$D$3:$D$5,D_financials!$A$3:$A$5,E$4)</f>
        <v>6087812000</v>
      </c>
      <c r="F5" s="3" t="s">
        <v>59</v>
      </c>
    </row>
    <row r="6" spans="1:10" x14ac:dyDescent="0.3">
      <c r="A6" s="3" t="s">
        <v>60</v>
      </c>
      <c r="B6" s="3" t="s">
        <v>61</v>
      </c>
      <c r="C6" s="7">
        <f>SUMIFS(D_financials!$E$3:$E$5,D_financials!$A$3:$A$5,C$4)</f>
        <v>7075000000</v>
      </c>
      <c r="D6" s="7">
        <f>SUMIFS(D_financials!$E$3:$E$5,D_financials!$A$3:$A$5,D$4)</f>
        <v>10528000000</v>
      </c>
      <c r="E6" s="7">
        <f>SUMIFS(D_financials!$E$3:$E$5,D_financials!$A$3:$A$5,E$4)</f>
        <v>4870000000</v>
      </c>
      <c r="F6" s="3" t="s">
        <v>59</v>
      </c>
    </row>
    <row r="7" spans="1:10" x14ac:dyDescent="0.3">
      <c r="A7" s="3" t="s">
        <v>62</v>
      </c>
      <c r="B7" s="3" t="s">
        <v>63</v>
      </c>
      <c r="C7" s="7">
        <f>SUMIFS(D_sales!$D$3:$D$263,D_sales!$B$3:$B$263,C$4,D_sales!$H$3:$H$263,1)</f>
        <v>4912255000</v>
      </c>
      <c r="D7" s="7">
        <f>SUMIFS(D_sales!$D$3:$D$263,D_sales!$B$3:$B$263,D$4,D_sales!$H$3:$H$263,1)</f>
        <v>4807643000</v>
      </c>
      <c r="E7" s="7">
        <f>SUMIFS(D_sales!$D$3:$D$263,D_sales!$B$3:$B$263,E$4,D_sales!$H$3:$H$263,1)</f>
        <v>3881055000</v>
      </c>
      <c r="F7" s="3" t="s">
        <v>59</v>
      </c>
    </row>
    <row r="8" spans="1:10" x14ac:dyDescent="0.3">
      <c r="A8" s="3" t="s">
        <v>64</v>
      </c>
      <c r="B8" s="3" t="s">
        <v>65</v>
      </c>
      <c r="C8" s="7">
        <f>SUMIFS(D_inventory!$K$3:$K$16,D_inventory!$A$3:$A$16,C$4)</f>
        <v>3450000000</v>
      </c>
      <c r="D8" s="7">
        <f>SUMIFS(D_inventory!$K$3:$K$16,D_inventory!$A$3:$A$16,D$4)</f>
        <v>8050000000</v>
      </c>
      <c r="E8" s="7">
        <f>SUMIFS(D_inventory!$K$3:$K$16,D_inventory!$A$3:$A$16,E$4)</f>
        <v>1860000000</v>
      </c>
      <c r="F8" s="3" t="s">
        <v>59</v>
      </c>
    </row>
    <row r="9" spans="1:10" x14ac:dyDescent="0.3">
      <c r="A9" s="3" t="s">
        <v>66</v>
      </c>
      <c r="B9" s="3" t="s">
        <v>67</v>
      </c>
      <c r="C9" s="7">
        <f>SUMIFS(D_inventory!$G$3:$G$16,D_inventory!$A$3:$A$16,C$4,D_inventory!$H$3:$H$16,1)</f>
        <v>2600000000</v>
      </c>
      <c r="D9" s="7">
        <f>SUMIFS(D_inventory!$G$3:$G$16,D_inventory!$A$3:$A$16,D$4,D_inventory!$H$3:$H$16,1)</f>
        <v>0</v>
      </c>
      <c r="E9" s="7">
        <f>SUMIFS(D_inventory!$G$3:$G$16,D_inventory!$A$3:$A$16,E$4,D_inventory!$H$3:$H$16,1)</f>
        <v>0</v>
      </c>
      <c r="F9" s="3" t="s">
        <v>59</v>
      </c>
    </row>
    <row r="10" spans="1:10" x14ac:dyDescent="0.3">
      <c r="A10" s="3" t="s">
        <v>68</v>
      </c>
      <c r="B10" s="3" t="s">
        <v>69</v>
      </c>
      <c r="C10" s="7">
        <f>SUMIFS(D_purchases!$D$3:$D$267,D_purchases!$B$3:$B$267,C$4,D_purchases!$J$3:$J$267,1)</f>
        <v>1951577000</v>
      </c>
      <c r="D10" s="7">
        <f>SUMIFS(D_purchases!$D$3:$D$267,D_purchases!$B$3:$B$267,D$4,D_purchases!$J$3:$J$267,1)</f>
        <v>2317750000</v>
      </c>
      <c r="E10" s="7">
        <f>SUMIFS(D_purchases!$D$3:$D$267,D_purchases!$B$3:$B$267,E$4,D_purchases!$J$3:$J$267,1)</f>
        <v>888463000</v>
      </c>
      <c r="F10" s="3" t="s">
        <v>59</v>
      </c>
    </row>
    <row r="11" spans="1:10" x14ac:dyDescent="0.3">
      <c r="A11" s="3" t="s">
        <v>70</v>
      </c>
      <c r="B11" s="3" t="s">
        <v>71</v>
      </c>
      <c r="C11" s="7">
        <f>SUMIFS(D_purchases!$D$3:$D$267,D_purchases!$B$3:$B$267,C$4,D_purchases!$K$3:$K$267,1)</f>
        <v>4238434000</v>
      </c>
      <c r="D11" s="7">
        <f>SUMIFS(D_purchases!$D$3:$D$267,D_purchases!$B$3:$B$267,D$4,D_purchases!$K$3:$K$267,1)</f>
        <v>10535902000</v>
      </c>
      <c r="E11" s="7">
        <f>SUMIFS(D_purchases!$D$3:$D$267,D_purchases!$B$3:$B$267,E$4,D_purchases!$K$3:$K$267,1)</f>
        <v>3029097000</v>
      </c>
      <c r="F11" s="3" t="s">
        <v>59</v>
      </c>
    </row>
    <row r="12" spans="1:10" x14ac:dyDescent="0.3">
      <c r="A12" s="3" t="s">
        <v>72</v>
      </c>
      <c r="B12" s="3" t="s">
        <v>46</v>
      </c>
      <c r="C12" s="8">
        <f>IF(NOT(ISNUMBER(C5)),"missing_data",IF(C5=0,"not_applicable",C7/C5*Quy_uoc_chung!$C$3))</f>
        <v>49.988585582352393</v>
      </c>
      <c r="D12" s="8">
        <f>IF(NOT(ISNUMBER(D5)),"missing_data",IF(D5=0,"not_applicable",D7/D5*Quy_uoc_chung!$C$3))</f>
        <v>36.988903445313319</v>
      </c>
      <c r="E12" s="8">
        <f>IF(NOT(ISNUMBER(E5)),"missing_data",IF(E5=0,"not_applicable",E7/E5*Quy_uoc_chung!$C$3))</f>
        <v>57.376106555195861</v>
      </c>
      <c r="F12" s="3" t="s">
        <v>7</v>
      </c>
    </row>
    <row r="13" spans="1:10" x14ac:dyDescent="0.3">
      <c r="A13" s="3" t="s">
        <v>73</v>
      </c>
      <c r="B13" s="3" t="s">
        <v>49</v>
      </c>
      <c r="C13" s="8">
        <f>IF(NOT(ISNUMBER(C6)),"missing_data",IF(C6=0,"not_applicable",C8/C6*Quy_uoc_chung!$C$3))</f>
        <v>43.886925795053003</v>
      </c>
      <c r="D13" s="8">
        <f>IF(NOT(ISNUMBER(D6)),"missing_data",IF(D6=0,"not_applicable",D8/D6*Quy_uoc_chung!$C$3))</f>
        <v>68.816489361702125</v>
      </c>
      <c r="E13" s="8">
        <f>IF(NOT(ISNUMBER(E6)),"missing_data",IF(E6=0,"not_applicable",E8/E6*Quy_uoc_chung!$C$3))</f>
        <v>34.373716632443532</v>
      </c>
      <c r="F13" s="3" t="s">
        <v>7</v>
      </c>
    </row>
    <row r="14" spans="1:10" x14ac:dyDescent="0.3">
      <c r="A14" s="3" t="s">
        <v>74</v>
      </c>
      <c r="B14" s="3" t="s">
        <v>50</v>
      </c>
      <c r="C14" s="8">
        <f>IF(NOT(ISNUMBER(C6)),"missing_data",IF(C6=0,"not_applicable",C10/C6*Quy_uoc_chung!$C$3))</f>
        <v>24.825714487632506</v>
      </c>
      <c r="D14" s="8">
        <f>IF(NOT(ISNUMBER(D6)),"missing_data",IF(D6=0,"not_applicable",D10/D6*Quy_uoc_chung!$C$3))</f>
        <v>19.813592325227965</v>
      </c>
      <c r="E14" s="8">
        <f>IF(NOT(ISNUMBER(E6)),"missing_data",IF(E6=0,"not_applicable",E10/E6*Quy_uoc_chung!$C$3))</f>
        <v>16.419234086242302</v>
      </c>
      <c r="F14" s="3" t="s">
        <v>7</v>
      </c>
    </row>
    <row r="15" spans="1:10" x14ac:dyDescent="0.3">
      <c r="A15" s="3" t="s">
        <v>75</v>
      </c>
      <c r="B15" s="3" t="s">
        <v>51</v>
      </c>
      <c r="C15" s="9">
        <f>IF(OR(ISTEXT(C12),ISTEXT(C13),ISTEXT(C14)),"missing_data",C12+C13-C14)</f>
        <v>69.049796889772878</v>
      </c>
      <c r="D15" s="9">
        <f>IF(OR(ISTEXT(D12),ISTEXT(D13),ISTEXT(D14)),"missing_data",D12+D13-D14)</f>
        <v>85.991800481787465</v>
      </c>
      <c r="E15" s="9">
        <f>IF(OR(ISTEXT(E12),ISTEXT(E13),ISTEXT(E14)),"missing_data",E12+E13-E14)</f>
        <v>75.330589101397095</v>
      </c>
      <c r="F15" s="3" t="s">
        <v>7</v>
      </c>
    </row>
    <row r="16" spans="1:10" ht="27.6" x14ac:dyDescent="0.3">
      <c r="A16" s="3" t="s">
        <v>76</v>
      </c>
      <c r="B16" s="3" t="s">
        <v>1382</v>
      </c>
      <c r="C16" s="8">
        <f>IF(NOT(ISNUMBER(C11)),"missing_data",IF(C11=0,"not_applicable",C10/C11*Quy_uoc_chung!$C$3))</f>
        <v>41.440289031279008</v>
      </c>
      <c r="D16" s="8">
        <f>IF(NOT(ISNUMBER(D11)),"missing_data",IF(D11=0,"not_applicable",D10/D11*Quy_uoc_chung!$C$3))</f>
        <v>19.79873199276151</v>
      </c>
      <c r="E16" s="8">
        <f>IF(NOT(ISNUMBER(E11)),"missing_data",IF(E11=0,"not_applicable",E10/E11*Quy_uoc_chung!$C$3))</f>
        <v>26.397857183180331</v>
      </c>
      <c r="F16" s="3" t="s">
        <v>7</v>
      </c>
    </row>
    <row r="17" spans="1:6" ht="27.6" x14ac:dyDescent="0.3">
      <c r="A17" s="3" t="s">
        <v>77</v>
      </c>
      <c r="B17" s="3" t="s">
        <v>78</v>
      </c>
      <c r="C17" s="8">
        <f>(C8+C9)/C6*Quy_uoc_chung!$C$3</f>
        <v>76.961130742049463</v>
      </c>
      <c r="D17" s="8">
        <f>(D8+D9)/D6*Quy_uoc_chung!$C$3</f>
        <v>68.816489361702125</v>
      </c>
      <c r="E17" s="8">
        <f>(E8+E9)/E6*Quy_uoc_chung!$C$3</f>
        <v>34.373716632443532</v>
      </c>
      <c r="F17" s="3" t="s">
        <v>7</v>
      </c>
    </row>
    <row r="18" spans="1:6" x14ac:dyDescent="0.3">
      <c r="A18" s="3" t="s">
        <v>79</v>
      </c>
      <c r="B18" s="3" t="s">
        <v>80</v>
      </c>
      <c r="C18" s="7">
        <f>C5/Quy_uoc_chung!$C$3</f>
        <v>98267533.333333328</v>
      </c>
      <c r="D18" s="7">
        <f>D5/Quy_uoc_chung!$C$3</f>
        <v>129975277.77777778</v>
      </c>
      <c r="E18" s="7">
        <f>E5/Quy_uoc_chung!$C$3</f>
        <v>67642355.555555552</v>
      </c>
      <c r="F18" s="3" t="s">
        <v>59</v>
      </c>
    </row>
    <row r="19" spans="1:6" x14ac:dyDescent="0.3">
      <c r="A19" s="3" t="s">
        <v>81</v>
      </c>
      <c r="B19" s="3" t="s">
        <v>82</v>
      </c>
      <c r="C19" s="7">
        <f>C6/Quy_uoc_chung!$C$3</f>
        <v>78611111.111111104</v>
      </c>
      <c r="D19" s="7">
        <f>D6/Quy_uoc_chung!$C$3</f>
        <v>116977777.77777778</v>
      </c>
      <c r="E19" s="7">
        <f>E6/Quy_uoc_chung!$C$3</f>
        <v>54111111.111111112</v>
      </c>
      <c r="F19" s="3" t="s">
        <v>59</v>
      </c>
    </row>
    <row r="20" spans="1:6" ht="27.6" x14ac:dyDescent="0.3">
      <c r="A20" s="3" t="s">
        <v>83</v>
      </c>
      <c r="B20" s="3" t="s">
        <v>1383</v>
      </c>
      <c r="C20" s="7">
        <f>C7+C8-C10</f>
        <v>6410678000</v>
      </c>
      <c r="D20" s="7">
        <f>D7+D8-D10</f>
        <v>10539893000</v>
      </c>
      <c r="E20" s="7">
        <f>E7+E8-E10</f>
        <v>4852592000</v>
      </c>
      <c r="F20" s="3" t="s">
        <v>59</v>
      </c>
    </row>
    <row r="21" spans="1:6" x14ac:dyDescent="0.3">
      <c r="A21" s="3" t="s">
        <v>84</v>
      </c>
      <c r="B21" s="3" t="s">
        <v>85</v>
      </c>
      <c r="C21" s="7">
        <f>SUMIFS(D_sales!$D$3:$D$263,D_sales!$B$3:$B$263,C$4,D_sales!$K$3:$K$263,"Chưa đến hạn")</f>
        <v>4040690000</v>
      </c>
      <c r="D21" s="7">
        <f>SUMIFS(D_sales!$D$3:$D$263,D_sales!$B$3:$B$263,D$4,D_sales!$K$3:$K$263,"Chưa đến hạn")</f>
        <v>3947376000</v>
      </c>
      <c r="E21" s="7">
        <f>SUMIFS(D_sales!$D$3:$D$263,D_sales!$B$3:$B$263,E$4,D_sales!$K$3:$K$263,"Chưa đến hạn")</f>
        <v>3536480000</v>
      </c>
      <c r="F21" s="3" t="s">
        <v>59</v>
      </c>
    </row>
    <row r="22" spans="1:6" x14ac:dyDescent="0.3">
      <c r="A22" s="3" t="s">
        <v>86</v>
      </c>
      <c r="B22" s="3" t="s">
        <v>87</v>
      </c>
      <c r="C22" s="7">
        <f>SUMIFS(D_sales!$D$3:$D$263,D_sales!$B$3:$B$263,C$4,D_sales!$K$3:$K$263,"Quá hạn 1–30 ngày")</f>
        <v>871565000</v>
      </c>
      <c r="D22" s="7">
        <f>SUMIFS(D_sales!$D$3:$D$263,D_sales!$B$3:$B$263,D$4,D_sales!$K$3:$K$263,"Quá hạn 1–30 ngày")</f>
        <v>860267000</v>
      </c>
      <c r="E22" s="7">
        <f>SUMIFS(D_sales!$D$3:$D$263,D_sales!$B$3:$B$263,E$4,D_sales!$K$3:$K$263,"Quá hạn 1–30 ngày")</f>
        <v>344575000</v>
      </c>
      <c r="F22" s="3" t="s">
        <v>59</v>
      </c>
    </row>
    <row r="23" spans="1:6" x14ac:dyDescent="0.3">
      <c r="A23" s="3" t="s">
        <v>88</v>
      </c>
      <c r="B23" s="3" t="s">
        <v>89</v>
      </c>
      <c r="C23" s="7">
        <f>SUMIFS(D_sales!$D$3:$D$263,D_sales!$B$3:$B$263,C$4,D_sales!$K$3:$K$263,"Quá hạn 31–60 ngày")</f>
        <v>0</v>
      </c>
      <c r="D23" s="7">
        <f>SUMIFS(D_sales!$D$3:$D$263,D_sales!$B$3:$B$263,D$4,D_sales!$K$3:$K$263,"Quá hạn 31–60 ngày")</f>
        <v>0</v>
      </c>
      <c r="E23" s="7">
        <f>SUMIFS(D_sales!$D$3:$D$263,D_sales!$B$3:$B$263,E$4,D_sales!$K$3:$K$263,"Quá hạn 31–60 ngày")</f>
        <v>0</v>
      </c>
      <c r="F23" s="3" t="s">
        <v>59</v>
      </c>
    </row>
    <row r="24" spans="1:6" x14ac:dyDescent="0.3">
      <c r="A24" s="3" t="s">
        <v>90</v>
      </c>
      <c r="B24" s="3" t="s">
        <v>91</v>
      </c>
      <c r="C24" s="7">
        <f>SUMIFS(D_sales!$D$3:$D$263,D_sales!$B$3:$B$263,C$4,D_sales!$K$3:$K$263,"Quá hạn &gt; 60 ngày")</f>
        <v>0</v>
      </c>
      <c r="D24" s="7">
        <f>SUMIFS(D_sales!$D$3:$D$263,D_sales!$B$3:$B$263,D$4,D_sales!$K$3:$K$263,"Quá hạn &gt; 60 ngày")</f>
        <v>0</v>
      </c>
      <c r="E24" s="7">
        <f>SUMIFS(D_sales!$D$3:$D$263,D_sales!$B$3:$B$263,E$4,D_sales!$K$3:$K$263,"Quá hạn &gt; 60 ngày")</f>
        <v>0</v>
      </c>
      <c r="F24" s="3" t="s">
        <v>59</v>
      </c>
    </row>
    <row r="25" spans="1:6" x14ac:dyDescent="0.3">
      <c r="A25" s="3" t="s">
        <v>92</v>
      </c>
      <c r="B25" s="3" t="s">
        <v>93</v>
      </c>
      <c r="C25" s="10">
        <f>IF(C7=0,"not_applicable",(C7-C21)/C7)</f>
        <v>0.17742666046449135</v>
      </c>
      <c r="D25" s="10">
        <f>IF(D7=0,"not_applicable",(D7-D21)/D7)</f>
        <v>0.17893737118167885</v>
      </c>
      <c r="E25" s="10">
        <f>IF(E7=0,"not_applicable",(E7-E21)/E7)</f>
        <v>8.8783848721546071E-2</v>
      </c>
      <c r="F25" s="3" t="s">
        <v>94</v>
      </c>
    </row>
    <row r="26" spans="1:6" x14ac:dyDescent="0.3">
      <c r="A26" s="3" t="s">
        <v>95</v>
      </c>
      <c r="B26" s="3" t="s">
        <v>96</v>
      </c>
      <c r="C26" s="7">
        <f>SUMIFS(D_inventory!$K$3:$K$16,D_inventory!$A$3:$A$16,C$4,D_inventory!$J$3:$J$16,1)</f>
        <v>430000000</v>
      </c>
      <c r="D26" s="7">
        <f>SUMIFS(D_inventory!$K$3:$K$16,D_inventory!$A$3:$A$16,D$4,D_inventory!$J$3:$J$16,1)</f>
        <v>1450000000</v>
      </c>
      <c r="E26" s="7">
        <f>SUMIFS(D_inventory!$K$3:$K$16,D_inventory!$A$3:$A$16,E$4,D_inventory!$J$3:$J$16,1)</f>
        <v>170000000</v>
      </c>
      <c r="F26" s="3" t="s">
        <v>59</v>
      </c>
    </row>
    <row r="27" spans="1:6" x14ac:dyDescent="0.3">
      <c r="A27" s="3" t="s">
        <v>97</v>
      </c>
      <c r="B27" s="3" t="s">
        <v>98</v>
      </c>
      <c r="C27" s="10">
        <f>IF(C8=0,"not_applicable",C26/C8)</f>
        <v>0.1246376811594203</v>
      </c>
      <c r="D27" s="10">
        <f>IF(D8=0,"not_applicable",D26/D8)</f>
        <v>0.18012422360248448</v>
      </c>
      <c r="E27" s="10">
        <f>IF(E8=0,"not_applicable",E26/E8)</f>
        <v>9.1397849462365593E-2</v>
      </c>
      <c r="F27" s="3" t="s">
        <v>94</v>
      </c>
    </row>
    <row r="28" spans="1:6" ht="27.6" x14ac:dyDescent="0.3">
      <c r="A28" s="3" t="s">
        <v>99</v>
      </c>
      <c r="B28" s="3" t="s">
        <v>100</v>
      </c>
      <c r="C28" s="7">
        <f>SUMIFS(D_purchases!$Q$3:$Q$267,D_purchases!$B$3:$B$267,C$4)</f>
        <v>4501240</v>
      </c>
      <c r="D28" s="7">
        <f>SUMIFS(D_purchases!$Q$3:$Q$267,D_purchases!$B$3:$B$267,D$4)</f>
        <v>0</v>
      </c>
      <c r="E28" s="7">
        <f>SUMIFS(D_purchases!$Q$3:$Q$267,D_purchases!$B$3:$B$267,E$4)</f>
        <v>0</v>
      </c>
      <c r="F28" s="3" t="s">
        <v>59</v>
      </c>
    </row>
    <row r="29" spans="1:6" x14ac:dyDescent="0.3">
      <c r="A29" s="3" t="s">
        <v>101</v>
      </c>
      <c r="B29" s="3" t="s">
        <v>102</v>
      </c>
      <c r="C29" s="10">
        <f>IFERROR(_xlfn.MAXIFS(D_purchases!$P$3:$P$267,D_purchases!$B$3:$B$267,C$4,D_purchases!$O$3:$O$267,1),0)</f>
        <v>0.37244897959183676</v>
      </c>
      <c r="D29" s="10">
        <f>IFERROR(_xlfn.MAXIFS(D_purchases!$P$3:$P$267,D_purchases!$B$3:$B$267,D$4,D_purchases!$O$3:$O$267,1),0)</f>
        <v>0</v>
      </c>
      <c r="E29" s="10">
        <f>IFERROR(_xlfn.MAXIFS(D_purchases!$P$3:$P$267,D_purchases!$B$3:$B$267,E$4,D_purchases!$O$3:$O$267,1),0)</f>
        <v>0</v>
      </c>
      <c r="F29" s="3" t="s">
        <v>103</v>
      </c>
    </row>
    <row r="30" spans="1:6" x14ac:dyDescent="0.3">
      <c r="A30" s="3" t="s">
        <v>104</v>
      </c>
      <c r="B30" s="3" t="s">
        <v>105</v>
      </c>
      <c r="C30" s="11">
        <f>(SUMIFS(D_sales!$D$3:$D$263,D_sales!$B$3:$B$263,C$4,D_sales!$I$3:$I$263,1)-C5)/C5</f>
        <v>0</v>
      </c>
      <c r="D30" s="11">
        <f>(SUMIFS(D_sales!$D$3:$D$263,D_sales!$B$3:$B$263,D$4,D_sales!$I$3:$I$263,1)-D5)/D5</f>
        <v>0</v>
      </c>
      <c r="E30" s="11">
        <f>(SUMIFS(D_sales!$D$3:$D$263,D_sales!$B$3:$B$263,E$4,D_sales!$I$3:$I$263,1)-E5)/E5</f>
        <v>0</v>
      </c>
      <c r="F30" s="3" t="s">
        <v>94</v>
      </c>
    </row>
    <row r="31" spans="1:6" x14ac:dyDescent="0.3">
      <c r="A31" s="3" t="s">
        <v>106</v>
      </c>
      <c r="B31" s="3" t="s">
        <v>107</v>
      </c>
      <c r="C31" s="3" t="str">
        <f>IF(ABS(C30)&lt;=TV1_Nguong!$C$12,"ok","cảnh báo")</f>
        <v>ok</v>
      </c>
      <c r="D31" s="3" t="str">
        <f>IF(ABS(D30)&lt;=TV1_Nguong!$C$12,"ok","cảnh báo")</f>
        <v>ok</v>
      </c>
      <c r="E31" s="3" t="str">
        <f>IF(ABS(E30)&lt;=TV1_Nguong!$C$12,"ok","cảnh báo")</f>
        <v>ok</v>
      </c>
      <c r="F31" s="3"/>
    </row>
    <row r="32" spans="1:6" ht="41.4" x14ac:dyDescent="0.3">
      <c r="A32" s="3" t="s">
        <v>108</v>
      </c>
      <c r="B32" s="3" t="s">
        <v>109</v>
      </c>
      <c r="C32" s="3" t="str">
        <f>IF(NOT(ISNUMBER(C12)),"not_applicable",IF(C12&gt;TV1_Nguong!$C$19,"Cao hơn khoảng (khác phương pháp)",IF(C12&lt;TV1_Nguong!$B$19,"Thấp hơn khoảng (khác phương pháp)","Trong khoảng (khác phương pháp)")))</f>
        <v>Cao hơn khoảng (khác phương pháp)</v>
      </c>
      <c r="D32" s="3" t="str">
        <f>IF(NOT(ISNUMBER(D12)),"not_applicable",IF(D12&gt;TV1_Nguong!$C$19,"Cao hơn khoảng (khác phương pháp)",IF(D12&lt;TV1_Nguong!$B$19,"Thấp hơn khoảng (khác phương pháp)","Trong khoảng (khác phương pháp)")))</f>
        <v>Trong khoảng (khác phương pháp)</v>
      </c>
      <c r="E32" s="3" t="str">
        <f>IF(NOT(ISNUMBER(E12)),"not_applicable",IF(E12&gt;TV1_Nguong!$C$19,"Cao hơn khoảng (khác phương pháp)",IF(E12&lt;TV1_Nguong!$B$19,"Thấp hơn khoảng (khác phương pháp)","Trong khoảng (khác phương pháp)")))</f>
        <v>Cao hơn khoảng (khác phương pháp)</v>
      </c>
      <c r="F32" s="3"/>
    </row>
    <row r="33" spans="1:10" ht="41.4" x14ac:dyDescent="0.3">
      <c r="A33" s="3" t="s">
        <v>110</v>
      </c>
      <c r="B33" s="3" t="s">
        <v>111</v>
      </c>
      <c r="C33" s="3" t="str">
        <f>IF(NOT(ISNUMBER(C13)),"not_applicable",IF(C13&gt;TV1_Nguong!$C$20,"Cao hơn khoảng (khác phương pháp)",IF(C13&lt;TV1_Nguong!$B$20,"Thấp hơn khoảng (khác phương pháp)","Trong khoảng (khác phương pháp)")))</f>
        <v>Thấp hơn khoảng (khác phương pháp)</v>
      </c>
      <c r="D33" s="3" t="str">
        <f>IF(NOT(ISNUMBER(D13)),"not_applicable",IF(D13&gt;TV1_Nguong!$C$20,"Cao hơn khoảng (khác phương pháp)",IF(D13&lt;TV1_Nguong!$B$20,"Thấp hơn khoảng (khác phương pháp)","Trong khoảng (khác phương pháp)")))</f>
        <v>Trong khoảng (khác phương pháp)</v>
      </c>
      <c r="E33" s="3" t="str">
        <f>IF(NOT(ISNUMBER(E13)),"not_applicable",IF(E13&gt;TV1_Nguong!$C$20,"Cao hơn khoảng (khác phương pháp)",IF(E13&lt;TV1_Nguong!$B$20,"Thấp hơn khoảng (khác phương pháp)","Trong khoảng (khác phương pháp)")))</f>
        <v>Thấp hơn khoảng (khác phương pháp)</v>
      </c>
      <c r="F33" s="3"/>
    </row>
    <row r="34" spans="1:10" ht="41.4" x14ac:dyDescent="0.3">
      <c r="A34" s="3" t="s">
        <v>112</v>
      </c>
      <c r="B34" s="3" t="s">
        <v>113</v>
      </c>
      <c r="C34" s="3" t="str">
        <f>IF(NOT(ISNUMBER(C14)),"not_applicable",IF(C14&gt;TV1_Nguong!$C$21,"Cao hơn khoảng (khác phương pháp)",IF(C14&lt;TV1_Nguong!$B$21,"Thấp hơn khoảng (khác phương pháp)","Trong khoảng (khác phương pháp)")))</f>
        <v>Trong khoảng (khác phương pháp)</v>
      </c>
      <c r="D34" s="3" t="str">
        <f>IF(NOT(ISNUMBER(D14)),"not_applicable",IF(D14&gt;TV1_Nguong!$C$21,"Cao hơn khoảng (khác phương pháp)",IF(D14&lt;TV1_Nguong!$B$21,"Thấp hơn khoảng (khác phương pháp)","Trong khoảng (khác phương pháp)")))</f>
        <v>Trong khoảng (khác phương pháp)</v>
      </c>
      <c r="E34" s="3" t="str">
        <f>IF(NOT(ISNUMBER(E14)),"not_applicable",IF(E14&gt;TV1_Nguong!$C$21,"Cao hơn khoảng (khác phương pháp)",IF(E14&lt;TV1_Nguong!$B$21,"Thấp hơn khoảng (khác phương pháp)","Trong khoảng (khác phương pháp)")))</f>
        <v>Trong khoảng (khác phương pháp)</v>
      </c>
      <c r="F34" s="3"/>
    </row>
    <row r="35" spans="1:10" ht="41.4" x14ac:dyDescent="0.3">
      <c r="A35" s="3" t="s">
        <v>114</v>
      </c>
      <c r="B35" s="3" t="s">
        <v>115</v>
      </c>
      <c r="C35" s="3" t="str">
        <f>IF(NOT(ISNUMBER(C15)),"not_applicable",IF(C15&gt;TV1_Nguong!$C$22,"Cao hơn khoảng (khác phương pháp)",IF(C15&lt;TV1_Nguong!$B$22,"Thấp hơn khoảng (khác phương pháp)","Trong khoảng (khác phương pháp)")))</f>
        <v>Trong khoảng (khác phương pháp)</v>
      </c>
      <c r="D35" s="3" t="str">
        <f>IF(NOT(ISNUMBER(D15)),"not_applicable",IF(D15&gt;TV1_Nguong!$C$22,"Cao hơn khoảng (khác phương pháp)",IF(D15&lt;TV1_Nguong!$B$22,"Thấp hơn khoảng (khác phương pháp)","Trong khoảng (khác phương pháp)")))</f>
        <v>Trong khoảng (khác phương pháp)</v>
      </c>
      <c r="E35" s="3" t="str">
        <f>IF(NOT(ISNUMBER(E15)),"not_applicable",IF(E15&gt;TV1_Nguong!$C$22,"Cao hơn khoảng (khác phương pháp)",IF(E15&lt;TV1_Nguong!$B$22,"Thấp hơn khoảng (khác phương pháp)","Trong khoảng (khác phương pháp)")))</f>
        <v>Trong khoảng (khác phương pháp)</v>
      </c>
      <c r="F35" s="3"/>
    </row>
    <row r="37" spans="1:10" ht="15.6" x14ac:dyDescent="0.3">
      <c r="A37" s="12" t="s">
        <v>116</v>
      </c>
    </row>
    <row r="38" spans="1:10" ht="27.6" x14ac:dyDescent="0.3">
      <c r="A38" s="2" t="s">
        <v>117</v>
      </c>
      <c r="B38" s="2" t="s">
        <v>63</v>
      </c>
      <c r="C38" s="2" t="s">
        <v>118</v>
      </c>
      <c r="D38" s="2" t="s">
        <v>119</v>
      </c>
      <c r="E38" s="2" t="s">
        <v>120</v>
      </c>
      <c r="F38" s="2" t="s">
        <v>121</v>
      </c>
      <c r="G38" s="2" t="s">
        <v>122</v>
      </c>
      <c r="H38" s="2" t="s">
        <v>123</v>
      </c>
      <c r="I38" s="2" t="s">
        <v>124</v>
      </c>
      <c r="J38" s="2" t="s">
        <v>125</v>
      </c>
    </row>
    <row r="39" spans="1:10" x14ac:dyDescent="0.3">
      <c r="A39" s="3" t="s">
        <v>126</v>
      </c>
      <c r="B39" s="7">
        <f>SUMIFS(D_sales!$D$3:$D$263,D_sales!$B$3:$B$263,"F01",D_sales!$C$3:$C$263,A39,D_sales!$H$3:$H$263,1)</f>
        <v>666295000</v>
      </c>
      <c r="C39" s="10">
        <f>IF(TV1_Tinh_tay!$C$7=0,0,B39/TV1_Tinh_tay!$C$7)</f>
        <v>0.13563933468437611</v>
      </c>
      <c r="D39" s="8">
        <f>B39/TV1_Tinh_tay!$C$5*Quy_uoc_chung!$C$3</f>
        <v>6.7804184902032754</v>
      </c>
      <c r="E39" s="3">
        <f>COUNTIFS(D_sales!$B$3:$B$263,"F01",D_sales!$C$3:$C$263,A39,D_sales!$H$3:$H$263,1)</f>
        <v>4</v>
      </c>
      <c r="F39" s="7">
        <f>SUMIFS(D_sales!$D$3:$D$263,D_sales!$B$3:$B$263,"F01",D_sales!$C$3:$C$263,A39,D_sales!$H$3:$H$263,1,D_sales!$J$3:$J$263,"&gt;0")</f>
        <v>0</v>
      </c>
      <c r="G39" s="3">
        <f>MAX(0,_xlfn.MAXIFS(D_sales!$J$3:$J$263,D_sales!$B$3:$B$263,"F01",D_sales!$C$3:$C$263,A39,D_sales!$H$3:$H$263,1))</f>
        <v>0</v>
      </c>
      <c r="H39" s="8">
        <f>IFERROR(SUMIFS(D_sales!$N$3:$N$263,D_sales!$B$3:$B$263,"F01",D_sales!$C$3:$C$263,A39)/SUMIFS(D_sales!$D$3:$D$263,D_sales!$B$3:$B$263,"F01",D_sales!$C$3:$C$263,A39,D_sales!$L$3:$L$263,1),"")</f>
        <v>1.9634710833200306</v>
      </c>
      <c r="I39" s="8">
        <f>IFERROR(SUMIFS(D_sales!$P$3:$P$263,D_sales!$B$3:$B$263,"F01",D_sales!$C$3:$C$263,A39)/SUMIFS(D_sales!$D$3:$D$263,D_sales!$B$3:$B$263,"F01",D_sales!$C$3:$C$263,A39,D_sales!$L$3:$L$263,1),"")</f>
        <v>30</v>
      </c>
      <c r="J39" s="3" t="str">
        <f>IF(OR(AND(H39&lt;&gt;"",H39&gt;TV1_Nguong!$C$5),G39&gt;TV1_Nguong!$C$6,C39&gt;TV1_Nguong!$C$7),"Cờ","")</f>
        <v/>
      </c>
    </row>
    <row r="40" spans="1:10" x14ac:dyDescent="0.3">
      <c r="A40" s="3" t="s">
        <v>127</v>
      </c>
      <c r="B40" s="7">
        <f>SUMIFS(D_sales!$D$3:$D$263,D_sales!$B$3:$B$263,"F01",D_sales!$C$3:$C$263,A40,D_sales!$H$3:$H$263,1)</f>
        <v>3888513000</v>
      </c>
      <c r="C40" s="10">
        <f>IF(TV1_Tinh_tay!$C$7=0,0,B40/TV1_Tinh_tay!$C$7)</f>
        <v>0.79159428816297195</v>
      </c>
      <c r="D40" s="8">
        <f>B40/TV1_Tinh_tay!$C$5*Quy_uoc_chung!$C$3</f>
        <v>39.570678820336049</v>
      </c>
      <c r="E40" s="3">
        <f>COUNTIFS(D_sales!$B$3:$B$263,"F01",D_sales!$C$3:$C$263,A40,D_sales!$H$3:$H$263,1)</f>
        <v>8</v>
      </c>
      <c r="F40" s="7">
        <f>SUMIFS(D_sales!$D$3:$D$263,D_sales!$B$3:$B$263,"F01",D_sales!$C$3:$C$263,A40,D_sales!$H$3:$H$263,1,D_sales!$J$3:$J$263,"&gt;0")</f>
        <v>817756000</v>
      </c>
      <c r="G40" s="3">
        <f>MAX(0,_xlfn.MAXIFS(D_sales!$J$3:$J$263,D_sales!$B$3:$B$263,"F01",D_sales!$C$3:$C$263,A40,D_sales!$H$3:$H$263,1))</f>
        <v>11</v>
      </c>
      <c r="H40" s="8">
        <f>IFERROR(SUMIFS(D_sales!$N$3:$N$263,D_sales!$B$3:$B$263,"F01",D_sales!$C$3:$C$263,A40)/SUMIFS(D_sales!$D$3:$D$263,D_sales!$B$3:$B$263,"F01",D_sales!$C$3:$C$263,A40,D_sales!$L$3:$L$263,1),"")</f>
        <v>20.520664189056813</v>
      </c>
      <c r="I40" s="8">
        <f>IFERROR(SUMIFS(D_sales!$P$3:$P$263,D_sales!$B$3:$B$263,"F01",D_sales!$C$3:$C$263,A40)/SUMIFS(D_sales!$D$3:$D$263,D_sales!$B$3:$B$263,"F01",D_sales!$C$3:$C$263,A40,D_sales!$L$3:$L$263,1),"")</f>
        <v>45</v>
      </c>
      <c r="J40" s="3" t="str">
        <f>IF(OR(AND(H40&lt;&gt;"",H40&gt;TV1_Nguong!$C$5),G40&gt;TV1_Nguong!$C$6,C40&gt;TV1_Nguong!$C$7),"Cờ","")</f>
        <v>Cờ</v>
      </c>
    </row>
    <row r="41" spans="1:10" x14ac:dyDescent="0.3">
      <c r="A41" s="3" t="s">
        <v>128</v>
      </c>
      <c r="B41" s="7">
        <f>SUMIFS(D_sales!$D$3:$D$263,D_sales!$B$3:$B$263,"F01",D_sales!$C$3:$C$263,A41,D_sales!$H$3:$H$263,1)</f>
        <v>357447000</v>
      </c>
      <c r="C41" s="10">
        <f>IF(TV1_Tinh_tay!$C$7=0,0,B41/TV1_Tinh_tay!$C$7)</f>
        <v>7.2766377152651884E-2</v>
      </c>
      <c r="D41" s="8">
        <f>B41/TV1_Tinh_tay!$C$5*Quy_uoc_chung!$C$3</f>
        <v>3.6374882718130706</v>
      </c>
      <c r="E41" s="3">
        <f>COUNTIFS(D_sales!$B$3:$B$263,"F01",D_sales!$C$3:$C$263,A41,D_sales!$H$3:$H$263,1)</f>
        <v>5</v>
      </c>
      <c r="F41" s="7">
        <f>SUMIFS(D_sales!$D$3:$D$263,D_sales!$B$3:$B$263,"F01",D_sales!$C$3:$C$263,A41,D_sales!$H$3:$H$263,1,D_sales!$J$3:$J$263,"&gt;0")</f>
        <v>53809000</v>
      </c>
      <c r="G41" s="3">
        <f>MAX(0,_xlfn.MAXIFS(D_sales!$J$3:$J$263,D_sales!$B$3:$B$263,"F01",D_sales!$C$3:$C$263,A41,D_sales!$H$3:$H$263,1))</f>
        <v>1</v>
      </c>
      <c r="H41" s="8">
        <f>IFERROR(SUMIFS(D_sales!$N$3:$N$263,D_sales!$B$3:$B$263,"F01",D_sales!$C$3:$C$263,A41)/SUMIFS(D_sales!$D$3:$D$263,D_sales!$B$3:$B$263,"F01",D_sales!$C$3:$C$263,A41,D_sales!$L$3:$L$263,1),"")</f>
        <v>9.4617431213458278</v>
      </c>
      <c r="I41" s="8">
        <f>IFERROR(SUMIFS(D_sales!$P$3:$P$263,D_sales!$B$3:$B$263,"F01",D_sales!$C$3:$C$263,A41)/SUMIFS(D_sales!$D$3:$D$263,D_sales!$B$3:$B$263,"F01",D_sales!$C$3:$C$263,A41,D_sales!$L$3:$L$263,1),"")</f>
        <v>30</v>
      </c>
      <c r="J41" s="3" t="str">
        <f>IF(OR(AND(H41&lt;&gt;"",H41&gt;TV1_Nguong!$C$5),G41&gt;TV1_Nguong!$C$6,C41&gt;TV1_Nguong!$C$7),"Cờ","")</f>
        <v/>
      </c>
    </row>
    <row r="43" spans="1:10" ht="15.6" x14ac:dyDescent="0.3">
      <c r="A43" s="12" t="s">
        <v>129</v>
      </c>
    </row>
    <row r="44" spans="1:10" x14ac:dyDescent="0.3">
      <c r="A44" s="2" t="s">
        <v>130</v>
      </c>
      <c r="B44" s="2" t="s">
        <v>131</v>
      </c>
      <c r="C44" s="2" t="s">
        <v>2</v>
      </c>
      <c r="D44" s="2" t="s">
        <v>132</v>
      </c>
      <c r="E44" s="2" t="s">
        <v>133</v>
      </c>
      <c r="F44" s="2" t="s">
        <v>134</v>
      </c>
      <c r="G44" s="2" t="s">
        <v>135</v>
      </c>
    </row>
    <row r="45" spans="1:10" x14ac:dyDescent="0.3">
      <c r="A45" s="3" t="s">
        <v>136</v>
      </c>
      <c r="B45" s="3" t="s">
        <v>19</v>
      </c>
      <c r="C45" s="7">
        <f>SUMIFS(D_inventory!$K$3:$K$16,D_inventory!$A$3:$A$16,"F01",D_inventory!$B$3:$B$16,A45)</f>
        <v>1150000000</v>
      </c>
      <c r="D45" s="8">
        <f>IF(B45=TV1_Nguong!$C$14,"Loại trừ",C45/TV1_Tinh_tay!$C$6*Quy_uoc_chung!$C$3)</f>
        <v>14.628975265017667</v>
      </c>
      <c r="E45" s="3">
        <f>SUMIFS(D_inventory!$F$3:$F$16,D_inventory!$A$3:$A$16,"F01",D_inventory!$B$3:$B$16,A45)</f>
        <v>32</v>
      </c>
      <c r="F45" s="3">
        <f>IFERROR(VLOOKUP(B45,TV1_Nguong!$B$8:$C$10,2,FALSE()),"")</f>
        <v>60</v>
      </c>
      <c r="G45" s="3" t="str">
        <f t="shared" ref="G45:G50" si="0">IF(AND(F45&lt;&gt;"",E45&gt;F45),"Tồn lâu","")</f>
        <v/>
      </c>
    </row>
    <row r="46" spans="1:10" x14ac:dyDescent="0.3">
      <c r="A46" s="3" t="s">
        <v>137</v>
      </c>
      <c r="B46" s="3" t="s">
        <v>19</v>
      </c>
      <c r="C46" s="7">
        <f>SUMIFS(D_inventory!$K$3:$K$16,D_inventory!$A$3:$A$16,"F01",D_inventory!$B$3:$B$16,A46)</f>
        <v>640000000</v>
      </c>
      <c r="D46" s="8">
        <f>IF(B46=TV1_Nguong!$C$14,"Loại trừ",C46/TV1_Tinh_tay!$C$6*Quy_uoc_chung!$C$3)</f>
        <v>8.1413427561837448</v>
      </c>
      <c r="E46" s="3">
        <f>SUMIFS(D_inventory!$F$3:$F$16,D_inventory!$A$3:$A$16,"F01",D_inventory!$B$3:$B$16,A46)</f>
        <v>28</v>
      </c>
      <c r="F46" s="3">
        <f>IFERROR(VLOOKUP(B46,TV1_Nguong!$B$8:$C$10,2,FALSE()),"")</f>
        <v>60</v>
      </c>
      <c r="G46" s="3" t="str">
        <f t="shared" si="0"/>
        <v/>
      </c>
    </row>
    <row r="47" spans="1:10" x14ac:dyDescent="0.3">
      <c r="A47" s="3" t="s">
        <v>138</v>
      </c>
      <c r="B47" s="3" t="s">
        <v>21</v>
      </c>
      <c r="C47" s="7">
        <f>SUMIFS(D_inventory!$K$3:$K$16,D_inventory!$A$3:$A$16,"F01",D_inventory!$B$3:$B$16,A47)</f>
        <v>820000000</v>
      </c>
      <c r="D47" s="8">
        <f>IF(B47=TV1_Nguong!$C$14,"Loại trừ",C47/TV1_Tinh_tay!$C$6*Quy_uoc_chung!$C$3)</f>
        <v>10.431095406360424</v>
      </c>
      <c r="E47" s="3">
        <f>SUMIFS(D_inventory!$F$3:$F$16,D_inventory!$A$3:$A$16,"F01",D_inventory!$B$3:$B$16,A47)</f>
        <v>9</v>
      </c>
      <c r="F47" s="3">
        <f>IFERROR(VLOOKUP(B47,TV1_Nguong!$B$8:$C$10,2,FALSE()),"")</f>
        <v>30</v>
      </c>
      <c r="G47" s="3" t="str">
        <f t="shared" si="0"/>
        <v/>
      </c>
    </row>
    <row r="48" spans="1:10" x14ac:dyDescent="0.3">
      <c r="A48" s="3" t="s">
        <v>139</v>
      </c>
      <c r="B48" s="3" t="s">
        <v>24</v>
      </c>
      <c r="C48" s="7">
        <f>SUMIFS(D_inventory!$K$3:$K$16,D_inventory!$A$3:$A$16,"F01",D_inventory!$B$3:$B$16,A48)</f>
        <v>410000000</v>
      </c>
      <c r="D48" s="8">
        <f>IF(B48=TV1_Nguong!$C$14,"Loại trừ",C48/TV1_Tinh_tay!$C$6*Quy_uoc_chung!$C$3)</f>
        <v>5.2155477031802118</v>
      </c>
      <c r="E48" s="3">
        <f>SUMIFS(D_inventory!$F$3:$F$16,D_inventory!$A$3:$A$16,"F01",D_inventory!$B$3:$B$16,A48)</f>
        <v>16</v>
      </c>
      <c r="F48" s="3">
        <f>IFERROR(VLOOKUP(B48,TV1_Nguong!$B$8:$C$10,2,FALSE()),"")</f>
        <v>30</v>
      </c>
      <c r="G48" s="3" t="str">
        <f t="shared" si="0"/>
        <v/>
      </c>
    </row>
    <row r="49" spans="1:10" x14ac:dyDescent="0.3">
      <c r="A49" s="3" t="s">
        <v>140</v>
      </c>
      <c r="B49" s="3" t="s">
        <v>19</v>
      </c>
      <c r="C49" s="7">
        <f>SUMIFS(D_inventory!$K$3:$K$16,D_inventory!$A$3:$A$16,"F01",D_inventory!$B$3:$B$16,A49)</f>
        <v>430000000</v>
      </c>
      <c r="D49" s="8">
        <f>IF(B49=TV1_Nguong!$C$14,"Loại trừ",C49/TV1_Tinh_tay!$C$6*Quy_uoc_chung!$C$3)</f>
        <v>5.4699646643109539</v>
      </c>
      <c r="E49" s="3">
        <f>SUMIFS(D_inventory!$F$3:$F$16,D_inventory!$A$3:$A$16,"F01",D_inventory!$B$3:$B$16,A49)</f>
        <v>118</v>
      </c>
      <c r="F49" s="3">
        <f>IFERROR(VLOOKUP(B49,TV1_Nguong!$B$8:$C$10,2,FALSE()),"")</f>
        <v>60</v>
      </c>
      <c r="G49" s="3" t="str">
        <f t="shared" si="0"/>
        <v>Tồn lâu</v>
      </c>
    </row>
    <row r="50" spans="1:10" x14ac:dyDescent="0.3">
      <c r="A50" s="3" t="s">
        <v>141</v>
      </c>
      <c r="B50" s="3" t="s">
        <v>37</v>
      </c>
      <c r="C50" s="7">
        <f>SUMIFS(D_inventory!$K$3:$K$16,D_inventory!$A$3:$A$16,"F01",D_inventory!$B$3:$B$16,A50)</f>
        <v>0</v>
      </c>
      <c r="D50" s="8" t="str">
        <f>IF(B50=TV1_Nguong!$C$14,"Loại trừ",C50/TV1_Tinh_tay!$C$6*Quy_uoc_chung!$C$3)</f>
        <v>Loại trừ</v>
      </c>
      <c r="E50" s="3">
        <f>SUMIFS(D_inventory!$F$3:$F$16,D_inventory!$A$3:$A$16,"F01",D_inventory!$B$3:$B$16,A50)</f>
        <v>20</v>
      </c>
      <c r="F50" s="3" t="str">
        <f>IFERROR(VLOOKUP(B50,TV1_Nguong!$B$8:$C$10,2,FALSE()),"")</f>
        <v/>
      </c>
      <c r="G50" s="3" t="str">
        <f t="shared" si="0"/>
        <v/>
      </c>
    </row>
    <row r="52" spans="1:10" ht="15.6" x14ac:dyDescent="0.3">
      <c r="A52" s="12" t="s">
        <v>142</v>
      </c>
    </row>
    <row r="53" spans="1:10" ht="27.6" x14ac:dyDescent="0.3">
      <c r="A53" s="2" t="s">
        <v>143</v>
      </c>
      <c r="B53" s="2" t="s">
        <v>69</v>
      </c>
      <c r="C53" s="2" t="s">
        <v>144</v>
      </c>
      <c r="D53" s="2" t="s">
        <v>145</v>
      </c>
      <c r="E53" s="2" t="s">
        <v>124</v>
      </c>
      <c r="F53" s="2" t="s">
        <v>146</v>
      </c>
    </row>
    <row r="54" spans="1:10" x14ac:dyDescent="0.3">
      <c r="A54" s="3" t="s">
        <v>147</v>
      </c>
      <c r="B54" s="7">
        <f>SUMIFS(D_purchases!$D$3:$D$267,D_purchases!$B$3:$B$267,"F01",D_purchases!$C$3:$C$267,A54,D_purchases!$J$3:$J$267,1)</f>
        <v>823792000</v>
      </c>
      <c r="C54" s="8">
        <f>B54/TV1_Tinh_tay!$C$6*Quy_uoc_chung!$C$3</f>
        <v>10.479332862190812</v>
      </c>
      <c r="D54" s="7">
        <f>SUMIFS(D_purchases!$D$3:$D$267,D_purchases!$B$3:$B$267,"F01",D_purchases!$C$3:$C$267,A54,D_purchases!$K$3:$K$267,1)</f>
        <v>1236231000</v>
      </c>
      <c r="E54" s="8">
        <f>IFERROR(SUMIFS(D_purchases!$M$3:$M$267,D_purchases!$B$3:$B$267,"F01",D_purchases!$C$3:$C$267,A54)/D54,"")</f>
        <v>45</v>
      </c>
      <c r="F54" s="3" t="str">
        <f>IF(AND(E54&lt;&gt;"",E54&lt;TV1_Nguong!$C$11),"Kỳ hạn ngắn","")</f>
        <v/>
      </c>
    </row>
    <row r="55" spans="1:10" x14ac:dyDescent="0.3">
      <c r="A55" s="3" t="s">
        <v>148</v>
      </c>
      <c r="B55" s="7">
        <f>SUMIFS(D_purchases!$D$3:$D$267,D_purchases!$B$3:$B$267,"F01",D_purchases!$C$3:$C$267,A55,D_purchases!$J$3:$J$267,1)</f>
        <v>117480000</v>
      </c>
      <c r="C55" s="8">
        <f>B55/TV1_Tinh_tay!$C$6*Quy_uoc_chung!$C$3</f>
        <v>1.494445229681979</v>
      </c>
      <c r="D55" s="7">
        <f>SUMIFS(D_purchases!$D$3:$D$267,D_purchases!$B$3:$B$267,"F01",D_purchases!$C$3:$C$267,A55,D_purchases!$K$3:$K$267,1)</f>
        <v>498074000</v>
      </c>
      <c r="E55" s="8">
        <f>IFERROR(SUMIFS(D_purchases!$M$3:$M$267,D_purchases!$B$3:$B$267,"F01",D_purchases!$C$3:$C$267,A55)/D55,"")</f>
        <v>15</v>
      </c>
      <c r="F55" s="3" t="str">
        <f>IF(AND(E55&lt;&gt;"",E55&lt;TV1_Nguong!$C$11),"Kỳ hạn ngắn","")</f>
        <v>Kỳ hạn ngắn</v>
      </c>
    </row>
    <row r="56" spans="1:10" x14ac:dyDescent="0.3">
      <c r="A56" s="3" t="s">
        <v>149</v>
      </c>
      <c r="B56" s="7">
        <f>SUMIFS(D_purchases!$D$3:$D$267,D_purchases!$B$3:$B$267,"F01",D_purchases!$C$3:$C$267,A56,D_purchases!$J$3:$J$267,1)</f>
        <v>964442000</v>
      </c>
      <c r="C56" s="8">
        <f>B56/TV1_Tinh_tay!$C$6*Quy_uoc_chung!$C$3</f>
        <v>12.268520141342757</v>
      </c>
      <c r="D56" s="7">
        <f>SUMIFS(D_purchases!$D$3:$D$267,D_purchases!$B$3:$B$267,"F01",D_purchases!$C$3:$C$267,A56,D_purchases!$K$3:$K$267,1)</f>
        <v>2175439000</v>
      </c>
      <c r="E56" s="8">
        <f>IFERROR(SUMIFS(D_purchases!$M$3:$M$267,D_purchases!$B$3:$B$267,"F01",D_purchases!$C$3:$C$267,A56)/D56,"")</f>
        <v>30</v>
      </c>
      <c r="F56" s="3" t="str">
        <f>IF(AND(E56&lt;&gt;"",E56&lt;TV1_Nguong!$C$11),"Kỳ hạn ngắn","")</f>
        <v/>
      </c>
    </row>
    <row r="57" spans="1:10" x14ac:dyDescent="0.3">
      <c r="A57" s="3" t="s">
        <v>150</v>
      </c>
      <c r="B57" s="7">
        <f>SUMIFS(D_purchases!$D$3:$D$267,D_purchases!$B$3:$B$267,"F01",D_purchases!$C$3:$C$267,A57,D_purchases!$J$3:$J$267,1)</f>
        <v>45863000</v>
      </c>
      <c r="C57" s="8">
        <f>B57/TV1_Tinh_tay!$C$6*Quy_uoc_chung!$C$3</f>
        <v>0.5834162544169611</v>
      </c>
      <c r="D57" s="7">
        <f>SUMIFS(D_purchases!$D$3:$D$267,D_purchases!$B$3:$B$267,"F01",D_purchases!$C$3:$C$267,A57,D_purchases!$K$3:$K$267,1)</f>
        <v>328690000</v>
      </c>
      <c r="E57" s="8">
        <f>IFERROR(SUMIFS(D_purchases!$M$3:$M$267,D_purchases!$B$3:$B$267,"F01",D_purchases!$C$3:$C$267,A57)/D57,"")</f>
        <v>15</v>
      </c>
      <c r="F57" s="3" t="str">
        <f>IF(AND(E57&lt;&gt;"",E57&lt;TV1_Nguong!$C$11),"Kỳ hạn ngắn","")</f>
        <v>Kỳ hạn ngắn</v>
      </c>
    </row>
    <row r="59" spans="1:10" ht="15.6" x14ac:dyDescent="0.3">
      <c r="A59" s="12" t="s">
        <v>151</v>
      </c>
    </row>
    <row r="60" spans="1:10" ht="27.6" x14ac:dyDescent="0.3">
      <c r="A60" s="2" t="s">
        <v>117</v>
      </c>
      <c r="B60" s="2" t="s">
        <v>63</v>
      </c>
      <c r="C60" s="2" t="s">
        <v>118</v>
      </c>
      <c r="D60" s="2" t="s">
        <v>119</v>
      </c>
      <c r="E60" s="2" t="s">
        <v>120</v>
      </c>
      <c r="F60" s="2" t="s">
        <v>121</v>
      </c>
      <c r="G60" s="2" t="s">
        <v>122</v>
      </c>
      <c r="H60" s="2" t="s">
        <v>123</v>
      </c>
      <c r="I60" s="2" t="s">
        <v>124</v>
      </c>
      <c r="J60" s="2" t="s">
        <v>125</v>
      </c>
    </row>
    <row r="61" spans="1:10" x14ac:dyDescent="0.3">
      <c r="A61" s="3" t="s">
        <v>152</v>
      </c>
      <c r="B61" s="7">
        <f>SUMIFS(D_sales!$D$3:$D$263,D_sales!$B$3:$B$263,"F02",D_sales!$C$3:$C$263,A61,D_sales!$H$3:$H$263,1)</f>
        <v>1446655000</v>
      </c>
      <c r="C61" s="10">
        <f>IF(TV1_Tinh_tay!$D$7=0,0,B61/TV1_Tinh_tay!$D$7)</f>
        <v>0.30090732610553655</v>
      </c>
      <c r="D61" s="8">
        <f>B61/TV1_Tinh_tay!$D$5*Quy_uoc_chung!$C$3</f>
        <v>11.130232031305098</v>
      </c>
      <c r="E61" s="3">
        <f>COUNTIFS(D_sales!$B$3:$B$263,"F02",D_sales!$C$3:$C$263,A61,D_sales!$H$3:$H$263,1)</f>
        <v>6</v>
      </c>
      <c r="F61" s="7">
        <f>SUMIFS(D_sales!$D$3:$D$263,D_sales!$B$3:$B$263,"F02",D_sales!$C$3:$C$263,A61,D_sales!$H$3:$H$263,1,D_sales!$J$3:$J$263,"&gt;0")</f>
        <v>0</v>
      </c>
      <c r="G61" s="3">
        <f>MAX(0,_xlfn.MAXIFS(D_sales!$J$3:$J$263,D_sales!$B$3:$B$263,"F02",D_sales!$C$3:$C$263,A61,D_sales!$H$3:$H$263,1))</f>
        <v>0</v>
      </c>
      <c r="H61" s="8">
        <f>IFERROR(SUMIFS(D_sales!$N$3:$N$263,D_sales!$B$3:$B$263,"F02",D_sales!$C$3:$C$263,A61)/SUMIFS(D_sales!$D$3:$D$263,D_sales!$B$3:$B$263,"F02",D_sales!$C$3:$C$263,A61,D_sales!$L$3:$L$263,1),"")</f>
        <v>4.9777384697226568</v>
      </c>
      <c r="I61" s="8">
        <f>IFERROR(SUMIFS(D_sales!$P$3:$P$263,D_sales!$B$3:$B$263,"F02",D_sales!$C$3:$C$263,A61)/SUMIFS(D_sales!$D$3:$D$263,D_sales!$B$3:$B$263,"F02",D_sales!$C$3:$C$263,A61,D_sales!$L$3:$L$263,1),"")</f>
        <v>45</v>
      </c>
      <c r="J61" s="3" t="str">
        <f>IF(OR(AND(H61&lt;&gt;"",H61&gt;TV1_Nguong!$C$5),G61&gt;TV1_Nguong!$C$6,C61&gt;TV1_Nguong!$C$7),"Cờ","")</f>
        <v/>
      </c>
    </row>
    <row r="62" spans="1:10" x14ac:dyDescent="0.3">
      <c r="A62" s="3" t="s">
        <v>153</v>
      </c>
      <c r="B62" s="7">
        <f>SUMIFS(D_sales!$D$3:$D$263,D_sales!$B$3:$B$263,"F02",D_sales!$C$3:$C$263,A62,D_sales!$H$3:$H$263,1)</f>
        <v>870240000</v>
      </c>
      <c r="C62" s="10">
        <f>IF(TV1_Tinh_tay!$D$7=0,0,B62/TV1_Tinh_tay!$D$7)</f>
        <v>0.18101177645677935</v>
      </c>
      <c r="D62" s="8">
        <f>B62/TV1_Tinh_tay!$D$5*Quy_uoc_chung!$C$3</f>
        <v>6.6954271218244497</v>
      </c>
      <c r="E62" s="3">
        <f>COUNTIFS(D_sales!$B$3:$B$263,"F02",D_sales!$C$3:$C$263,A62,D_sales!$H$3:$H$263,1)</f>
        <v>4</v>
      </c>
      <c r="F62" s="7">
        <f>SUMIFS(D_sales!$D$3:$D$263,D_sales!$B$3:$B$263,"F02",D_sales!$C$3:$C$263,A62,D_sales!$H$3:$H$263,1,D_sales!$J$3:$J$263,"&gt;0")</f>
        <v>0</v>
      </c>
      <c r="G62" s="3">
        <f>MAX(0,_xlfn.MAXIFS(D_sales!$J$3:$J$263,D_sales!$B$3:$B$263,"F02",D_sales!$C$3:$C$263,A62,D_sales!$H$3:$H$263,1))</f>
        <v>0</v>
      </c>
      <c r="H62" s="8">
        <f>IFERROR(SUMIFS(D_sales!$N$3:$N$263,D_sales!$B$3:$B$263,"F02",D_sales!$C$3:$C$263,A62)/SUMIFS(D_sales!$D$3:$D$263,D_sales!$B$3:$B$263,"F02",D_sales!$C$3:$C$263,A62,D_sales!$L$3:$L$263,1),"")</f>
        <v>1.3380428968663043</v>
      </c>
      <c r="I62" s="8">
        <f>IFERROR(SUMIFS(D_sales!$P$3:$P$263,D_sales!$B$3:$B$263,"F02",D_sales!$C$3:$C$263,A62)/SUMIFS(D_sales!$D$3:$D$263,D_sales!$B$3:$B$263,"F02",D_sales!$C$3:$C$263,A62,D_sales!$L$3:$L$263,1),"")</f>
        <v>30</v>
      </c>
      <c r="J62" s="3" t="str">
        <f>IF(OR(AND(H62&lt;&gt;"",H62&gt;TV1_Nguong!$C$5),G62&gt;TV1_Nguong!$C$6,C62&gt;TV1_Nguong!$C$7),"Cờ","")</f>
        <v/>
      </c>
    </row>
    <row r="63" spans="1:10" x14ac:dyDescent="0.3">
      <c r="A63" s="3" t="s">
        <v>154</v>
      </c>
      <c r="B63" s="7">
        <f>SUMIFS(D_sales!$D$3:$D$263,D_sales!$B$3:$B$263,"F02",D_sales!$C$3:$C$263,A63,D_sales!$H$3:$H$263,1)</f>
        <v>1117243000</v>
      </c>
      <c r="C63" s="10">
        <f>IF(TV1_Tinh_tay!$D$7=0,0,B63/TV1_Tinh_tay!$D$7)</f>
        <v>0.23238892738083922</v>
      </c>
      <c r="D63" s="8">
        <f>B63/TV1_Tinh_tay!$D$5*Quy_uoc_chung!$C$3</f>
        <v>8.5958115966497903</v>
      </c>
      <c r="E63" s="3">
        <f>COUNTIFS(D_sales!$B$3:$B$263,"F02",D_sales!$C$3:$C$263,A63,D_sales!$H$3:$H$263,1)</f>
        <v>8</v>
      </c>
      <c r="F63" s="7">
        <f>SUMIFS(D_sales!$D$3:$D$263,D_sales!$B$3:$B$263,"F02",D_sales!$C$3:$C$263,A63,D_sales!$H$3:$H$263,1,D_sales!$J$3:$J$263,"&gt;0")</f>
        <v>611324000</v>
      </c>
      <c r="G63" s="3">
        <f>MAX(0,_xlfn.MAXIFS(D_sales!$J$3:$J$263,D_sales!$B$3:$B$263,"F02",D_sales!$C$3:$C$263,A63,D_sales!$H$3:$H$263,1))</f>
        <v>24</v>
      </c>
      <c r="H63" s="8">
        <f>IFERROR(SUMIFS(D_sales!$N$3:$N$263,D_sales!$B$3:$B$263,"F02",D_sales!$C$3:$C$263,A63)/SUMIFS(D_sales!$D$3:$D$263,D_sales!$B$3:$B$263,"F02",D_sales!$C$3:$C$263,A63,D_sales!$L$3:$L$263,1),"")</f>
        <v>14.318822984459494</v>
      </c>
      <c r="I63" s="8">
        <f>IFERROR(SUMIFS(D_sales!$P$3:$P$263,D_sales!$B$3:$B$263,"F02",D_sales!$C$3:$C$263,A63)/SUMIFS(D_sales!$D$3:$D$263,D_sales!$B$3:$B$263,"F02",D_sales!$C$3:$C$263,A63,D_sales!$L$3:$L$263,1),"")</f>
        <v>30</v>
      </c>
      <c r="J63" s="3" t="str">
        <f>IF(OR(AND(H63&lt;&gt;"",H63&gt;TV1_Nguong!$C$5),G63&gt;TV1_Nguong!$C$6,C63&gt;TV1_Nguong!$C$7),"Cờ","")</f>
        <v>Cờ</v>
      </c>
    </row>
    <row r="64" spans="1:10" x14ac:dyDescent="0.3">
      <c r="A64" s="3" t="s">
        <v>155</v>
      </c>
      <c r="B64" s="7">
        <f>SUMIFS(D_sales!$D$3:$D$263,D_sales!$B$3:$B$263,"F02",D_sales!$C$3:$C$263,A64,D_sales!$H$3:$H$263,1)</f>
        <v>1373505000</v>
      </c>
      <c r="C64" s="10">
        <f>IF(TV1_Tinh_tay!$D$7=0,0,B64/TV1_Tinh_tay!$D$7)</f>
        <v>0.28569197005684488</v>
      </c>
      <c r="D64" s="8">
        <f>B64/TV1_Tinh_tay!$D$5*Quy_uoc_chung!$C$3</f>
        <v>10.567432695533979</v>
      </c>
      <c r="E64" s="3">
        <f>COUNTIFS(D_sales!$B$3:$B$263,"F02",D_sales!$C$3:$C$263,A64,D_sales!$H$3:$H$263,1)</f>
        <v>5</v>
      </c>
      <c r="F64" s="7">
        <f>SUMIFS(D_sales!$D$3:$D$263,D_sales!$B$3:$B$263,"F02",D_sales!$C$3:$C$263,A64,D_sales!$H$3:$H$263,1,D_sales!$J$3:$J$263,"&gt;0")</f>
        <v>248943000</v>
      </c>
      <c r="G64" s="3">
        <f>MAX(0,_xlfn.MAXIFS(D_sales!$J$3:$J$263,D_sales!$B$3:$B$263,"F02",D_sales!$C$3:$C$263,A64,D_sales!$H$3:$H$263,1))</f>
        <v>2</v>
      </c>
      <c r="H64" s="8">
        <f>IFERROR(SUMIFS(D_sales!$N$3:$N$263,D_sales!$B$3:$B$263,"F02",D_sales!$C$3:$C$263,A64)/SUMIFS(D_sales!$D$3:$D$263,D_sales!$B$3:$B$263,"F02",D_sales!$C$3:$C$263,A64,D_sales!$L$3:$L$263,1),"")</f>
        <v>6.271699084098648</v>
      </c>
      <c r="I64" s="8">
        <f>IFERROR(SUMIFS(D_sales!$P$3:$P$263,D_sales!$B$3:$B$263,"F02",D_sales!$C$3:$C$263,A64)/SUMIFS(D_sales!$D$3:$D$263,D_sales!$B$3:$B$263,"F02",D_sales!$C$3:$C$263,A64,D_sales!$L$3:$L$263,1),"")</f>
        <v>30</v>
      </c>
      <c r="J64" s="3" t="str">
        <f>IF(OR(AND(H64&lt;&gt;"",H64&gt;TV1_Nguong!$C$5),G64&gt;TV1_Nguong!$C$6,C64&gt;TV1_Nguong!$C$7),"Cờ","")</f>
        <v/>
      </c>
    </row>
    <row r="66" spans="1:10" ht="15.6" x14ac:dyDescent="0.3">
      <c r="A66" s="12" t="s">
        <v>156</v>
      </c>
    </row>
    <row r="67" spans="1:10" x14ac:dyDescent="0.3">
      <c r="A67" s="2" t="s">
        <v>130</v>
      </c>
      <c r="B67" s="2" t="s">
        <v>131</v>
      </c>
      <c r="C67" s="2" t="s">
        <v>2</v>
      </c>
      <c r="D67" s="2" t="s">
        <v>132</v>
      </c>
      <c r="E67" s="2" t="s">
        <v>133</v>
      </c>
      <c r="F67" s="2" t="s">
        <v>134</v>
      </c>
      <c r="G67" s="2" t="s">
        <v>135</v>
      </c>
    </row>
    <row r="68" spans="1:10" x14ac:dyDescent="0.3">
      <c r="A68" s="3" t="s">
        <v>157</v>
      </c>
      <c r="B68" s="3" t="s">
        <v>19</v>
      </c>
      <c r="C68" s="7">
        <f>SUMIFS(D_inventory!$K$3:$K$16,D_inventory!$A$3:$A$16,"F02",D_inventory!$B$3:$B$16,A68)</f>
        <v>3200000000</v>
      </c>
      <c r="D68" s="8">
        <f>IF(B68=TV1_Nguong!$C$14,"Loại trừ",C68/TV1_Tinh_tay!$D$6*Quy_uoc_chung!$C$3)</f>
        <v>27.355623100303951</v>
      </c>
      <c r="E68" s="3">
        <f>SUMIFS(D_inventory!$F$3:$F$16,D_inventory!$A$3:$A$16,"F02",D_inventory!$B$3:$B$16,A68)</f>
        <v>48</v>
      </c>
      <c r="F68" s="3">
        <f>IFERROR(VLOOKUP(B68,TV1_Nguong!$B$8:$C$10,2,FALSE()),"")</f>
        <v>60</v>
      </c>
      <c r="G68" s="3" t="str">
        <f>IF(AND(F68&lt;&gt;"",E68&gt;F68),"Tồn lâu","")</f>
        <v/>
      </c>
    </row>
    <row r="69" spans="1:10" x14ac:dyDescent="0.3">
      <c r="A69" s="3" t="s">
        <v>158</v>
      </c>
      <c r="B69" s="3" t="s">
        <v>19</v>
      </c>
      <c r="C69" s="7">
        <f>SUMIFS(D_inventory!$K$3:$K$16,D_inventory!$A$3:$A$16,"F02",D_inventory!$B$3:$B$16,A69)</f>
        <v>2500000000</v>
      </c>
      <c r="D69" s="8">
        <f>IF(B69=TV1_Nguong!$C$14,"Loại trừ",C69/TV1_Tinh_tay!$D$6*Quy_uoc_chung!$C$3)</f>
        <v>21.371580547112462</v>
      </c>
      <c r="E69" s="3">
        <f>SUMIFS(D_inventory!$F$3:$F$16,D_inventory!$A$3:$A$16,"F02",D_inventory!$B$3:$B$16,A69)</f>
        <v>41</v>
      </c>
      <c r="F69" s="3">
        <f>IFERROR(VLOOKUP(B69,TV1_Nguong!$B$8:$C$10,2,FALSE()),"")</f>
        <v>60</v>
      </c>
      <c r="G69" s="3" t="str">
        <f>IF(AND(F69&lt;&gt;"",E69&gt;F69),"Tồn lâu","")</f>
        <v/>
      </c>
    </row>
    <row r="70" spans="1:10" x14ac:dyDescent="0.3">
      <c r="A70" s="3" t="s">
        <v>159</v>
      </c>
      <c r="B70" s="3" t="s">
        <v>19</v>
      </c>
      <c r="C70" s="7">
        <f>SUMIFS(D_inventory!$K$3:$K$16,D_inventory!$A$3:$A$16,"F02",D_inventory!$B$3:$B$16,A70)</f>
        <v>1450000000</v>
      </c>
      <c r="D70" s="8">
        <f>IF(B70=TV1_Nguong!$C$14,"Loại trừ",C70/TV1_Tinh_tay!$D$6*Quy_uoc_chung!$C$3)</f>
        <v>12.395516717325227</v>
      </c>
      <c r="E70" s="3">
        <f>SUMIFS(D_inventory!$F$3:$F$16,D_inventory!$A$3:$A$16,"F02",D_inventory!$B$3:$B$16,A70)</f>
        <v>155</v>
      </c>
      <c r="F70" s="3">
        <f>IFERROR(VLOOKUP(B70,TV1_Nguong!$B$8:$C$10,2,FALSE()),"")</f>
        <v>60</v>
      </c>
      <c r="G70" s="3" t="str">
        <f>IF(AND(F70&lt;&gt;"",E70&gt;F70),"Tồn lâu","")</f>
        <v>Tồn lâu</v>
      </c>
    </row>
    <row r="71" spans="1:10" x14ac:dyDescent="0.3">
      <c r="A71" s="3" t="s">
        <v>160</v>
      </c>
      <c r="B71" s="3" t="s">
        <v>19</v>
      </c>
      <c r="C71" s="7">
        <f>SUMIFS(D_inventory!$K$3:$K$16,D_inventory!$A$3:$A$16,"F02",D_inventory!$B$3:$B$16,A71)</f>
        <v>900000000</v>
      </c>
      <c r="D71" s="8">
        <f>IF(B71=TV1_Nguong!$C$14,"Loại trừ",C71/TV1_Tinh_tay!$D$6*Quy_uoc_chung!$C$3)</f>
        <v>7.6937689969604861</v>
      </c>
      <c r="E71" s="3">
        <f>SUMIFS(D_inventory!$F$3:$F$16,D_inventory!$A$3:$A$16,"F02",D_inventory!$B$3:$B$16,A71)</f>
        <v>12</v>
      </c>
      <c r="F71" s="3">
        <f>IFERROR(VLOOKUP(B71,TV1_Nguong!$B$8:$C$10,2,FALSE()),"")</f>
        <v>60</v>
      </c>
      <c r="G71" s="3" t="str">
        <f>IF(AND(F71&lt;&gt;"",E71&gt;F71),"Tồn lâu","")</f>
        <v/>
      </c>
    </row>
    <row r="73" spans="1:10" ht="15.6" x14ac:dyDescent="0.3">
      <c r="A73" s="12" t="s">
        <v>161</v>
      </c>
    </row>
    <row r="74" spans="1:10" ht="27.6" x14ac:dyDescent="0.3">
      <c r="A74" s="2" t="s">
        <v>143</v>
      </c>
      <c r="B74" s="2" t="s">
        <v>69</v>
      </c>
      <c r="C74" s="2" t="s">
        <v>144</v>
      </c>
      <c r="D74" s="2" t="s">
        <v>145</v>
      </c>
      <c r="E74" s="2" t="s">
        <v>124</v>
      </c>
      <c r="F74" s="2" t="s">
        <v>146</v>
      </c>
    </row>
    <row r="75" spans="1:10" x14ac:dyDescent="0.3">
      <c r="A75" s="3" t="s">
        <v>162</v>
      </c>
      <c r="B75" s="7">
        <f>SUMIFS(D_purchases!$D$3:$D$267,D_purchases!$B$3:$B$267,"F02",D_purchases!$C$3:$C$267,A75,D_purchases!$J$3:$J$267,1)</f>
        <v>73228000</v>
      </c>
      <c r="C75" s="8">
        <f>B75/TV1_Tinh_tay!$D$6*Quy_uoc_chung!$C$3</f>
        <v>0.62599924012158059</v>
      </c>
      <c r="D75" s="7">
        <f>SUMIFS(D_purchases!$D$3:$D$267,D_purchases!$B$3:$B$267,"F02",D_purchases!$C$3:$C$267,A75,D_purchases!$K$3:$K$267,1)</f>
        <v>993584000</v>
      </c>
      <c r="E75" s="8">
        <f>IFERROR(SUMIFS(D_purchases!$M$3:$M$267,D_purchases!$B$3:$B$267,"F02",D_purchases!$C$3:$C$267,A75)/D75,"")</f>
        <v>10</v>
      </c>
      <c r="F75" s="3" t="str">
        <f>IF(AND(E75&lt;&gt;"",E75&lt;TV1_Nguong!$C$11),"Kỳ hạn ngắn","")</f>
        <v>Kỳ hạn ngắn</v>
      </c>
    </row>
    <row r="76" spans="1:10" x14ac:dyDescent="0.3">
      <c r="A76" s="3" t="s">
        <v>163</v>
      </c>
      <c r="B76" s="7">
        <f>SUMIFS(D_purchases!$D$3:$D$267,D_purchases!$B$3:$B$267,"F02",D_purchases!$C$3:$C$267,A76,D_purchases!$J$3:$J$267,1)</f>
        <v>1565219000</v>
      </c>
      <c r="C76" s="8">
        <f>B76/TV1_Tinh_tay!$D$6*Quy_uoc_chung!$C$3</f>
        <v>13.380481572948328</v>
      </c>
      <c r="D76" s="7">
        <f>SUMIFS(D_purchases!$D$3:$D$267,D_purchases!$B$3:$B$267,"F02",D_purchases!$C$3:$C$267,A76,D_purchases!$K$3:$K$267,1)</f>
        <v>7365523000</v>
      </c>
      <c r="E76" s="8">
        <f>IFERROR(SUMIFS(D_purchases!$M$3:$M$267,D_purchases!$B$3:$B$267,"F02",D_purchases!$C$3:$C$267,A76)/D76,"")</f>
        <v>20</v>
      </c>
      <c r="F76" s="3" t="str">
        <f>IF(AND(E76&lt;&gt;"",E76&lt;TV1_Nguong!$C$11),"Kỳ hạn ngắn","")</f>
        <v>Kỳ hạn ngắn</v>
      </c>
    </row>
    <row r="77" spans="1:10" x14ac:dyDescent="0.3">
      <c r="A77" s="3" t="s">
        <v>164</v>
      </c>
      <c r="B77" s="7">
        <f>SUMIFS(D_purchases!$D$3:$D$267,D_purchases!$B$3:$B$267,"F02",D_purchases!$C$3:$C$267,A77,D_purchases!$J$3:$J$267,1)</f>
        <v>679303000</v>
      </c>
      <c r="C77" s="8">
        <f>B77/TV1_Tinh_tay!$D$6*Quy_uoc_chung!$C$3</f>
        <v>5.8071115121580545</v>
      </c>
      <c r="D77" s="7">
        <f>SUMIFS(D_purchases!$D$3:$D$267,D_purchases!$B$3:$B$267,"F02",D_purchases!$C$3:$C$267,A77,D_purchases!$K$3:$K$267,1)</f>
        <v>2176795000</v>
      </c>
      <c r="E77" s="8">
        <f>IFERROR(SUMIFS(D_purchases!$M$3:$M$267,D_purchases!$B$3:$B$267,"F02",D_purchases!$C$3:$C$267,A77)/D77,"")</f>
        <v>20</v>
      </c>
      <c r="F77" s="3" t="str">
        <f>IF(AND(E77&lt;&gt;"",E77&lt;TV1_Nguong!$C$11),"Kỳ hạn ngắn","")</f>
        <v>Kỳ hạn ngắn</v>
      </c>
    </row>
    <row r="79" spans="1:10" ht="15.6" x14ac:dyDescent="0.3">
      <c r="A79" s="12" t="s">
        <v>165</v>
      </c>
    </row>
    <row r="80" spans="1:10" ht="27.6" x14ac:dyDescent="0.3">
      <c r="A80" s="2" t="s">
        <v>117</v>
      </c>
      <c r="B80" s="2" t="s">
        <v>63</v>
      </c>
      <c r="C80" s="2" t="s">
        <v>118</v>
      </c>
      <c r="D80" s="2" t="s">
        <v>119</v>
      </c>
      <c r="E80" s="2" t="s">
        <v>120</v>
      </c>
      <c r="F80" s="2" t="s">
        <v>121</v>
      </c>
      <c r="G80" s="2" t="s">
        <v>122</v>
      </c>
      <c r="H80" s="2" t="s">
        <v>123</v>
      </c>
      <c r="I80" s="2" t="s">
        <v>124</v>
      </c>
      <c r="J80" s="2" t="s">
        <v>125</v>
      </c>
    </row>
    <row r="81" spans="1:10" x14ac:dyDescent="0.3">
      <c r="A81" s="3" t="s">
        <v>152</v>
      </c>
      <c r="B81" s="7">
        <f>SUMIFS(D_sales!$D$3:$D$263,D_sales!$B$3:$B$263,"F03",D_sales!$C$3:$C$263,A81,D_sales!$H$3:$H$263,1)</f>
        <v>1651696000</v>
      </c>
      <c r="C81" s="10">
        <f>IF(TV1_Tinh_tay!$E$7=0,0,B81/TV1_Tinh_tay!$E$7)</f>
        <v>0.42557912732491554</v>
      </c>
      <c r="D81" s="8">
        <f>B81/TV1_Tinh_tay!$E$5*Quy_uoc_chung!$C$3</f>
        <v>24.418073357061616</v>
      </c>
      <c r="E81" s="3">
        <f>COUNTIFS(D_sales!$B$3:$B$263,"F03",D_sales!$C$3:$C$263,A81,D_sales!$H$3:$H$263,1)</f>
        <v>9</v>
      </c>
      <c r="F81" s="7">
        <f>SUMIFS(D_sales!$D$3:$D$263,D_sales!$B$3:$B$263,"F03",D_sales!$C$3:$C$263,A81,D_sales!$H$3:$H$263,1,D_sales!$J$3:$J$263,"&gt;0")</f>
        <v>0</v>
      </c>
      <c r="G81" s="3">
        <f>MAX(0,_xlfn.MAXIFS(D_sales!$J$3:$J$263,D_sales!$B$3:$B$263,"F03",D_sales!$C$3:$C$263,A81,D_sales!$H$3:$H$263,1))</f>
        <v>0</v>
      </c>
      <c r="H81" s="8">
        <f>IFERROR(SUMIFS(D_sales!$N$3:$N$263,D_sales!$B$3:$B$263,"F03",D_sales!$C$3:$C$263,A81)/SUMIFS(D_sales!$D$3:$D$263,D_sales!$B$3:$B$263,"F03",D_sales!$C$3:$C$263,A81,D_sales!$L$3:$L$263,1),"")</f>
        <v>5.5370809407083152</v>
      </c>
      <c r="I81" s="8">
        <f>IFERROR(SUMIFS(D_sales!$P$3:$P$263,D_sales!$B$3:$B$263,"F03",D_sales!$C$3:$C$263,A81)/SUMIFS(D_sales!$D$3:$D$263,D_sales!$B$3:$B$263,"F03",D_sales!$C$3:$C$263,A81,D_sales!$L$3:$L$263,1),"")</f>
        <v>60</v>
      </c>
      <c r="J81" s="3" t="str">
        <f>IF(OR(AND(H81&lt;&gt;"",H81&gt;TV1_Nguong!$C$5),G81&gt;TV1_Nguong!$C$6,C81&gt;TV1_Nguong!$C$7),"Cờ","")</f>
        <v/>
      </c>
    </row>
    <row r="82" spans="1:10" x14ac:dyDescent="0.3">
      <c r="A82" s="3" t="s">
        <v>166</v>
      </c>
      <c r="B82" s="7">
        <f>SUMIFS(D_sales!$D$3:$D$263,D_sales!$B$3:$B$263,"F03",D_sales!$C$3:$C$263,A82,D_sales!$H$3:$H$263,1)</f>
        <v>889684000</v>
      </c>
      <c r="C82" s="10">
        <f>IF(TV1_Tinh_tay!$E$7=0,0,B82/TV1_Tinh_tay!$E$7)</f>
        <v>0.22923766862360878</v>
      </c>
      <c r="D82" s="8">
        <f>B82/TV1_Tinh_tay!$E$5*Quy_uoc_chung!$C$3</f>
        <v>13.152764901412857</v>
      </c>
      <c r="E82" s="3">
        <f>COUNTIFS(D_sales!$B$3:$B$263,"F03",D_sales!$C$3:$C$263,A82,D_sales!$H$3:$H$263,1)</f>
        <v>7</v>
      </c>
      <c r="F82" s="7">
        <f>SUMIFS(D_sales!$D$3:$D$263,D_sales!$B$3:$B$263,"F03",D_sales!$C$3:$C$263,A82,D_sales!$H$3:$H$263,1,D_sales!$J$3:$J$263,"&gt;0")</f>
        <v>0</v>
      </c>
      <c r="G82" s="3">
        <f>MAX(0,_xlfn.MAXIFS(D_sales!$J$3:$J$263,D_sales!$B$3:$B$263,"F03",D_sales!$C$3:$C$263,A82,D_sales!$H$3:$H$263,1))</f>
        <v>0</v>
      </c>
      <c r="H82" s="8">
        <f>IFERROR(SUMIFS(D_sales!$N$3:$N$263,D_sales!$B$3:$B$263,"F03",D_sales!$C$3:$C$263,A82)/SUMIFS(D_sales!$D$3:$D$263,D_sales!$B$3:$B$263,"F03",D_sales!$C$3:$C$263,A82,D_sales!$L$3:$L$263,1),"")</f>
        <v>2.7339681392095012</v>
      </c>
      <c r="I82" s="8">
        <f>IFERROR(SUMIFS(D_sales!$P$3:$P$263,D_sales!$B$3:$B$263,"F03",D_sales!$C$3:$C$263,A82)/SUMIFS(D_sales!$D$3:$D$263,D_sales!$B$3:$B$263,"F03",D_sales!$C$3:$C$263,A82,D_sales!$L$3:$L$263,1),"")</f>
        <v>45</v>
      </c>
      <c r="J82" s="3" t="str">
        <f>IF(OR(AND(H82&lt;&gt;"",H82&gt;TV1_Nguong!$C$5),G82&gt;TV1_Nguong!$C$6,C82&gt;TV1_Nguong!$C$7),"Cờ","")</f>
        <v/>
      </c>
    </row>
    <row r="83" spans="1:10" x14ac:dyDescent="0.3">
      <c r="A83" s="3" t="s">
        <v>155</v>
      </c>
      <c r="B83" s="7">
        <f>SUMIFS(D_sales!$D$3:$D$263,D_sales!$B$3:$B$263,"F03",D_sales!$C$3:$C$263,A83,D_sales!$H$3:$H$263,1)</f>
        <v>1339675000</v>
      </c>
      <c r="C83" s="10">
        <f>IF(TV1_Tinh_tay!$E$7=0,0,B83/TV1_Tinh_tay!$E$7)</f>
        <v>0.34518320405147568</v>
      </c>
      <c r="D83" s="8">
        <f>B83/TV1_Tinh_tay!$E$5*Quy_uoc_chung!$C$3</f>
        <v>19.805268296721383</v>
      </c>
      <c r="E83" s="3">
        <f>COUNTIFS(D_sales!$B$3:$B$263,"F03",D_sales!$C$3:$C$263,A83,D_sales!$H$3:$H$263,1)</f>
        <v>8</v>
      </c>
      <c r="F83" s="7">
        <f>SUMIFS(D_sales!$D$3:$D$263,D_sales!$B$3:$B$263,"F03",D_sales!$C$3:$C$263,A83,D_sales!$H$3:$H$263,1,D_sales!$J$3:$J$263,"&gt;0")</f>
        <v>344575000</v>
      </c>
      <c r="G83" s="3">
        <f>MAX(0,_xlfn.MAXIFS(D_sales!$J$3:$J$263,D_sales!$B$3:$B$263,"F03",D_sales!$C$3:$C$263,A83,D_sales!$H$3:$H$263,1))</f>
        <v>14</v>
      </c>
      <c r="H83" s="8">
        <f>IFERROR(SUMIFS(D_sales!$N$3:$N$263,D_sales!$B$3:$B$263,"F03",D_sales!$C$3:$C$263,A83)/SUMIFS(D_sales!$D$3:$D$263,D_sales!$B$3:$B$263,"F03",D_sales!$C$3:$C$263,A83,D_sales!$L$3:$L$263,1),"")</f>
        <v>11.222065561605897</v>
      </c>
      <c r="I83" s="8">
        <f>IFERROR(SUMIFS(D_sales!$P$3:$P$263,D_sales!$B$3:$B$263,"F03",D_sales!$C$3:$C$263,A83)/SUMIFS(D_sales!$D$3:$D$263,D_sales!$B$3:$B$263,"F03",D_sales!$C$3:$C$263,A83,D_sales!$L$3:$L$263,1),"")</f>
        <v>45</v>
      </c>
      <c r="J83" s="3" t="str">
        <f>IF(OR(AND(H83&lt;&gt;"",H83&gt;TV1_Nguong!$C$5),G83&gt;TV1_Nguong!$C$6,C83&gt;TV1_Nguong!$C$7),"Cờ","")</f>
        <v>Cờ</v>
      </c>
    </row>
    <row r="85" spans="1:10" ht="15.6" x14ac:dyDescent="0.3">
      <c r="A85" s="12" t="s">
        <v>167</v>
      </c>
    </row>
    <row r="86" spans="1:10" x14ac:dyDescent="0.3">
      <c r="A86" s="2" t="s">
        <v>130</v>
      </c>
      <c r="B86" s="2" t="s">
        <v>131</v>
      </c>
      <c r="C86" s="2" t="s">
        <v>2</v>
      </c>
      <c r="D86" s="2" t="s">
        <v>132</v>
      </c>
      <c r="E86" s="2" t="s">
        <v>133</v>
      </c>
      <c r="F86" s="2" t="s">
        <v>134</v>
      </c>
      <c r="G86" s="2" t="s">
        <v>135</v>
      </c>
    </row>
    <row r="87" spans="1:10" x14ac:dyDescent="0.3">
      <c r="A87" s="3" t="s">
        <v>168</v>
      </c>
      <c r="B87" s="3" t="s">
        <v>19</v>
      </c>
      <c r="C87" s="7">
        <f>SUMIFS(D_inventory!$K$3:$K$16,D_inventory!$A$3:$A$16,"F03",D_inventory!$B$3:$B$16,A87)</f>
        <v>1050000000</v>
      </c>
      <c r="D87" s="8">
        <f>IF(B87=TV1_Nguong!$C$14,"Loại trừ",C87/TV1_Tinh_tay!$E$6*Quy_uoc_chung!$C$3)</f>
        <v>19.404517453798768</v>
      </c>
      <c r="E87" s="3">
        <f>SUMIFS(D_inventory!$F$3:$F$16,D_inventory!$A$3:$A$16,"F03",D_inventory!$B$3:$B$16,A87)</f>
        <v>30</v>
      </c>
      <c r="F87" s="3">
        <f>IFERROR(VLOOKUP(B87,TV1_Nguong!$B$8:$C$10,2,FALSE()),"")</f>
        <v>60</v>
      </c>
      <c r="G87" s="3" t="str">
        <f>IF(AND(F87&lt;&gt;"",E87&gt;F87),"Tồn lâu","")</f>
        <v/>
      </c>
    </row>
    <row r="88" spans="1:10" x14ac:dyDescent="0.3">
      <c r="A88" s="3" t="s">
        <v>169</v>
      </c>
      <c r="B88" s="3" t="s">
        <v>19</v>
      </c>
      <c r="C88" s="7">
        <f>SUMIFS(D_inventory!$K$3:$K$16,D_inventory!$A$3:$A$16,"F03",D_inventory!$B$3:$B$16,A88)</f>
        <v>260000000</v>
      </c>
      <c r="D88" s="8">
        <f>IF(B88=TV1_Nguong!$C$14,"Loại trừ",C88/TV1_Tinh_tay!$E$6*Quy_uoc_chung!$C$3)</f>
        <v>4.8049281314168377</v>
      </c>
      <c r="E88" s="3">
        <f>SUMIFS(D_inventory!$F$3:$F$16,D_inventory!$A$3:$A$16,"F03",D_inventory!$B$3:$B$16,A88)</f>
        <v>40</v>
      </c>
      <c r="F88" s="3">
        <f>IFERROR(VLOOKUP(B88,TV1_Nguong!$B$8:$C$10,2,FALSE()),"")</f>
        <v>60</v>
      </c>
      <c r="G88" s="3" t="str">
        <f>IF(AND(F88&lt;&gt;"",E88&gt;F88),"Tồn lâu","")</f>
        <v/>
      </c>
    </row>
    <row r="89" spans="1:10" x14ac:dyDescent="0.3">
      <c r="A89" s="3" t="s">
        <v>170</v>
      </c>
      <c r="B89" s="3" t="s">
        <v>24</v>
      </c>
      <c r="C89" s="7">
        <f>SUMIFS(D_inventory!$K$3:$K$16,D_inventory!$A$3:$A$16,"F03",D_inventory!$B$3:$B$16,A89)</f>
        <v>380000000</v>
      </c>
      <c r="D89" s="8">
        <f>IF(B89=TV1_Nguong!$C$14,"Loại trừ",C89/TV1_Tinh_tay!$E$6*Quy_uoc_chung!$C$3)</f>
        <v>7.0225872689938402</v>
      </c>
      <c r="E89" s="3">
        <f>SUMIFS(D_inventory!$F$3:$F$16,D_inventory!$A$3:$A$16,"F03",D_inventory!$B$3:$B$16,A89)</f>
        <v>14</v>
      </c>
      <c r="F89" s="3">
        <f>IFERROR(VLOOKUP(B89,TV1_Nguong!$B$8:$C$10,2,FALSE()),"")</f>
        <v>30</v>
      </c>
      <c r="G89" s="3" t="str">
        <f>IF(AND(F89&lt;&gt;"",E89&gt;F89),"Tồn lâu","")</f>
        <v/>
      </c>
    </row>
    <row r="90" spans="1:10" x14ac:dyDescent="0.3">
      <c r="A90" s="3" t="s">
        <v>171</v>
      </c>
      <c r="B90" s="3" t="s">
        <v>24</v>
      </c>
      <c r="C90" s="7">
        <f>SUMIFS(D_inventory!$K$3:$K$16,D_inventory!$A$3:$A$16,"F03",D_inventory!$B$3:$B$16,A90)</f>
        <v>170000000</v>
      </c>
      <c r="D90" s="8">
        <f>IF(B90=TV1_Nguong!$C$14,"Loại trừ",C90/TV1_Tinh_tay!$E$6*Quy_uoc_chung!$C$3)</f>
        <v>3.1416837782340861</v>
      </c>
      <c r="E90" s="3">
        <f>SUMIFS(D_inventory!$F$3:$F$16,D_inventory!$A$3:$A$16,"F03",D_inventory!$B$3:$B$16,A90)</f>
        <v>95</v>
      </c>
      <c r="F90" s="3">
        <f>IFERROR(VLOOKUP(B90,TV1_Nguong!$B$8:$C$10,2,FALSE()),"")</f>
        <v>30</v>
      </c>
      <c r="G90" s="3" t="str">
        <f>IF(AND(F90&lt;&gt;"",E90&gt;F90),"Tồn lâu","")</f>
        <v>Tồn lâu</v>
      </c>
    </row>
    <row r="92" spans="1:10" ht="15.6" x14ac:dyDescent="0.3">
      <c r="A92" s="12" t="s">
        <v>172</v>
      </c>
    </row>
    <row r="93" spans="1:10" ht="27.6" x14ac:dyDescent="0.3">
      <c r="A93" s="2" t="s">
        <v>143</v>
      </c>
      <c r="B93" s="2" t="s">
        <v>69</v>
      </c>
      <c r="C93" s="2" t="s">
        <v>144</v>
      </c>
      <c r="D93" s="2" t="s">
        <v>145</v>
      </c>
      <c r="E93" s="2" t="s">
        <v>124</v>
      </c>
      <c r="F93" s="2" t="s">
        <v>146</v>
      </c>
    </row>
    <row r="94" spans="1:10" x14ac:dyDescent="0.3">
      <c r="A94" s="3" t="s">
        <v>173</v>
      </c>
      <c r="B94" s="7">
        <f>SUMIFS(D_purchases!$D$3:$D$267,D_purchases!$B$3:$B$267,"F03",D_purchases!$C$3:$C$267,A94,D_purchases!$J$3:$J$267,1)</f>
        <v>585090000</v>
      </c>
      <c r="C94" s="8">
        <f>B94/TV1_Tinh_tay!$E$6*Quy_uoc_chung!$C$3</f>
        <v>10.812751540041068</v>
      </c>
      <c r="D94" s="7">
        <f>SUMIFS(D_purchases!$D$3:$D$267,D_purchases!$B$3:$B$267,"F03",D_purchases!$C$3:$C$267,A94,D_purchases!$K$3:$K$267,1)</f>
        <v>2053782000</v>
      </c>
      <c r="E94" s="8">
        <f>IFERROR(SUMIFS(D_purchases!$M$3:$M$267,D_purchases!$B$3:$B$267,"F03",D_purchases!$C$3:$C$267,A94)/D94,"")</f>
        <v>30</v>
      </c>
      <c r="F94" s="3" t="str">
        <f>IF(AND(E94&lt;&gt;"",E94&lt;TV1_Nguong!$C$11),"Kỳ hạn ngắn","")</f>
        <v/>
      </c>
    </row>
    <row r="95" spans="1:10" x14ac:dyDescent="0.3">
      <c r="A95" s="3" t="s">
        <v>174</v>
      </c>
      <c r="B95" s="7">
        <f>SUMIFS(D_purchases!$D$3:$D$267,D_purchases!$B$3:$B$267,"F03",D_purchases!$C$3:$C$267,A95,D_purchases!$J$3:$J$267,1)</f>
        <v>247944000</v>
      </c>
      <c r="C95" s="8">
        <f>B95/TV1_Tinh_tay!$E$6*Quy_uoc_chung!$C$3</f>
        <v>4.582127310061602</v>
      </c>
      <c r="D95" s="7">
        <f>SUMIFS(D_purchases!$D$3:$D$267,D_purchases!$B$3:$B$267,"F03",D_purchases!$C$3:$C$267,A95,D_purchases!$K$3:$K$267,1)</f>
        <v>660221000</v>
      </c>
      <c r="E95" s="8">
        <f>IFERROR(SUMIFS(D_purchases!$M$3:$M$267,D_purchases!$B$3:$B$267,"F03",D_purchases!$C$3:$C$267,A95)/D95,"")</f>
        <v>30</v>
      </c>
      <c r="F95" s="3" t="str">
        <f>IF(AND(E95&lt;&gt;"",E95&lt;TV1_Nguong!$C$11),"Kỳ hạn ngắn","")</f>
        <v/>
      </c>
    </row>
    <row r="96" spans="1:10" x14ac:dyDescent="0.3">
      <c r="A96" s="3" t="s">
        <v>175</v>
      </c>
      <c r="B96" s="7">
        <f>SUMIFS(D_purchases!$D$3:$D$267,D_purchases!$B$3:$B$267,"F03",D_purchases!$C$3:$C$267,A96,D_purchases!$J$3:$J$267,1)</f>
        <v>55429000</v>
      </c>
      <c r="C96" s="8">
        <f>B96/TV1_Tinh_tay!$E$6*Quy_uoc_chung!$C$3</f>
        <v>1.0243552361396304</v>
      </c>
      <c r="D96" s="7">
        <f>SUMIFS(D_purchases!$D$3:$D$267,D_purchases!$B$3:$B$267,"F03",D_purchases!$C$3:$C$267,A96,D_purchases!$K$3:$K$267,1)</f>
        <v>315094000</v>
      </c>
      <c r="E96" s="8">
        <f>IFERROR(SUMIFS(D_purchases!$M$3:$M$267,D_purchases!$B$3:$B$267,"F03",D_purchases!$C$3:$C$267,A96)/D96,"")</f>
        <v>10</v>
      </c>
      <c r="F96" s="3" t="str">
        <f>IF(AND(E96&lt;&gt;"",E96&lt;TV1_Nguong!$C$11),"Kỳ hạn ngắn","")</f>
        <v>Kỳ hạn ngắn</v>
      </c>
    </row>
    <row r="99" spans="1:6" x14ac:dyDescent="0.3">
      <c r="A99" s="50" t="s">
        <v>1384</v>
      </c>
      <c r="B99" s="50"/>
      <c r="C99" s="50"/>
      <c r="D99" s="50"/>
      <c r="E99" s="50"/>
      <c r="F99" s="50"/>
    </row>
    <row r="100" spans="1:6" ht="36" customHeight="1" x14ac:dyDescent="0.3">
      <c r="A100" s="30" t="s">
        <v>1385</v>
      </c>
      <c r="B100" s="30" t="s">
        <v>53</v>
      </c>
      <c r="C100" s="30" t="s">
        <v>54</v>
      </c>
      <c r="D100" s="30" t="s">
        <v>55</v>
      </c>
      <c r="E100" s="30" t="s">
        <v>56</v>
      </c>
      <c r="F100" s="30" t="s">
        <v>3</v>
      </c>
    </row>
    <row r="101" spans="1:6" ht="36" customHeight="1" x14ac:dyDescent="0.3">
      <c r="A101" s="28" t="s">
        <v>1060</v>
      </c>
      <c r="B101" s="28" t="s">
        <v>1386</v>
      </c>
      <c r="C101" s="31">
        <f>IF(SUMIFS(D_sales!$D$3:$D$263,D_sales!$B$3:$B$263,C$100,D_sales!$L$3:$L$263,1)=0,"not_applicable",SUMIFS(D_sales!$R$3:$R$263,D_sales!$B$3:$B$263,C$100)/SUMIFS(D_sales!$D$3:$D$263,D_sales!$B$3:$B$263,C$100,D_sales!$L$3:$L$263,1))</f>
        <v>14.050546468688546</v>
      </c>
      <c r="D101" s="31">
        <f>IF(SUMIFS(D_sales!$D$3:$D$263,D_sales!$B$3:$B$263,D$100,D_sales!$L$3:$L$263,1)=0,"not_applicable",SUMIFS(D_sales!$R$3:$R$263,D_sales!$B$3:$B$263,D$100)/SUMIFS(D_sales!$D$3:$D$263,D_sales!$B$3:$B$263,D$100,D_sales!$L$3:$L$263,1))</f>
        <v>5.834444070207927</v>
      </c>
      <c r="E101" s="31">
        <f>IF(SUMIFS(D_sales!$D$3:$D$263,D_sales!$B$3:$B$263,E$100,D_sales!$L$3:$L$263,1)=0,"not_applicable",SUMIFS(D_sales!$R$3:$R$263,D_sales!$B$3:$B$263,E$100)/SUMIFS(D_sales!$D$3:$D$263,D_sales!$B$3:$B$263,E$100,D_sales!$L$3:$L$263,1))</f>
        <v>6.8354400114582896</v>
      </c>
      <c r="F101" s="28" t="s">
        <v>7</v>
      </c>
    </row>
    <row r="102" spans="1:6" ht="36" customHeight="1" x14ac:dyDescent="0.3">
      <c r="A102" s="28" t="s">
        <v>1053</v>
      </c>
      <c r="B102" s="28" t="s">
        <v>1387</v>
      </c>
      <c r="C102" s="31">
        <f>IF(SUMIFS(D_sales!$D$3:$D$263,D_sales!$B$3:$B$263,C$100,D_sales!$L$3:$L$263,1)=0,"not_applicable",SUMIFS(D_sales!$S$3:$S$263,D_sales!$B$3:$B$263,C$100)/SUMIFS(D_sales!$D$3:$D$263,D_sales!$B$3:$B$263,C$100,D_sales!$L$3:$L$263,1))</f>
        <v>52.960721333970582</v>
      </c>
      <c r="D102" s="31">
        <f>IF(SUMIFS(D_sales!$D$3:$D$263,D_sales!$B$3:$B$263,D$100,D_sales!$L$3:$L$263,1)=0,"not_applicable",SUMIFS(D_sales!$S$3:$S$263,D_sales!$B$3:$B$263,D$100)/SUMIFS(D_sales!$D$3:$D$263,D_sales!$B$3:$B$263,D$100,D_sales!$L$3:$L$263,1))</f>
        <v>40.088761243892826</v>
      </c>
      <c r="E102" s="31">
        <f>IF(SUMIFS(D_sales!$D$3:$D$263,D_sales!$B$3:$B$263,E$100,D_sales!$L$3:$L$263,1)=0,"not_applicable",SUMIFS(D_sales!$S$3:$S$263,D_sales!$B$3:$B$263,E$100)/SUMIFS(D_sales!$D$3:$D$263,D_sales!$B$3:$B$263,E$100,D_sales!$L$3:$L$263,1))</f>
        <v>57.462876338916587</v>
      </c>
      <c r="F102" s="28" t="s">
        <v>7</v>
      </c>
    </row>
    <row r="103" spans="1:6" ht="36" customHeight="1" x14ac:dyDescent="0.3">
      <c r="A103" s="28" t="s">
        <v>1134</v>
      </c>
      <c r="B103" s="28" t="s">
        <v>1388</v>
      </c>
      <c r="C103" s="32">
        <f>SUMIFS(D_purchases!$D$3:$D$267,D_purchases!$B$3:$B$267,C$100,D_purchases!$S$3:$S$267,1)</f>
        <v>341170000</v>
      </c>
      <c r="D103" s="32">
        <f>SUMIFS(D_purchases!$D$3:$D$267,D_purchases!$B$3:$B$267,D$100,D_purchases!$S$3:$S$267,1)</f>
        <v>0</v>
      </c>
      <c r="E103" s="32">
        <f>SUMIFS(D_purchases!$D$3:$D$267,D_purchases!$B$3:$B$267,E$100,D_purchases!$S$3:$S$267,1)</f>
        <v>0</v>
      </c>
      <c r="F103" s="28" t="s">
        <v>59</v>
      </c>
    </row>
    <row r="104" spans="1:6" ht="36" customHeight="1" x14ac:dyDescent="0.3">
      <c r="A104" s="28" t="s">
        <v>1134</v>
      </c>
      <c r="B104" s="28" t="s">
        <v>1389</v>
      </c>
      <c r="C104" s="33">
        <f>IF(C10=0,"not_applicable",C103/C10)</f>
        <v>0.17481759623115051</v>
      </c>
      <c r="D104" s="33">
        <f>IF(D10=0,"not_applicable",D103/D10)</f>
        <v>0</v>
      </c>
      <c r="E104" s="33">
        <f>IF(E10=0,"not_applicable",E103/E10)</f>
        <v>0</v>
      </c>
      <c r="F104" s="28" t="s">
        <v>94</v>
      </c>
    </row>
    <row r="105" spans="1:6" ht="36" customHeight="1" x14ac:dyDescent="0.3">
      <c r="A105" s="28" t="s">
        <v>1134</v>
      </c>
      <c r="B105" s="28" t="s">
        <v>1390</v>
      </c>
      <c r="C105" s="32">
        <f>SUMIFS(D_purchases!$D$3:$D$267,D_purchases!$B$3:$B$267,C$100,D_purchases!$T$3:$T$267,1)</f>
        <v>0</v>
      </c>
      <c r="D105" s="32">
        <f>SUMIFS(D_purchases!$D$3:$D$267,D_purchases!$B$3:$B$267,D$100,D_purchases!$T$3:$T$267,1)</f>
        <v>0</v>
      </c>
      <c r="E105" s="32">
        <f>SUMIFS(D_purchases!$D$3:$D$267,D_purchases!$B$3:$B$267,E$100,D_purchases!$T$3:$T$267,1)</f>
        <v>0</v>
      </c>
      <c r="F105" s="28" t="s">
        <v>59</v>
      </c>
    </row>
    <row r="106" spans="1:6" ht="36" customHeight="1" x14ac:dyDescent="0.3">
      <c r="A106" s="28" t="s">
        <v>1196</v>
      </c>
      <c r="B106" s="28" t="s">
        <v>1391</v>
      </c>
      <c r="C106" s="33">
        <f>IF(C5=0,"not_applicable",(C5-C6)/C5)</f>
        <v>0.20002966957098298</v>
      </c>
      <c r="D106" s="33">
        <f>IF(D5=0,"not_applicable",(D5-D6)/D5)</f>
        <v>9.9999786284143785E-2</v>
      </c>
      <c r="E106" s="33">
        <f>IF(E5=0,"not_applicable",(E5-E6)/E5)</f>
        <v>0.20004099995203531</v>
      </c>
      <c r="F106" s="28" t="s">
        <v>94</v>
      </c>
    </row>
    <row r="107" spans="1:6" ht="36" customHeight="1" x14ac:dyDescent="0.3">
      <c r="A107" s="28" t="s">
        <v>1021</v>
      </c>
      <c r="B107" s="28" t="s">
        <v>1392</v>
      </c>
      <c r="C107" s="31">
        <f>IF(AND(ISNUMBER(C12),ISNUMBER(C13),ISNUMBER(C16)),C12+C13-C16,"not_applicable")</f>
        <v>52.43522234612638</v>
      </c>
      <c r="D107" s="31">
        <f>IF(AND(ISNUMBER(D12),ISNUMBER(D13),ISNUMBER(D16)),D12+D13-D16,"not_applicable")</f>
        <v>86.006660814253934</v>
      </c>
      <c r="E107" s="31">
        <f>IF(AND(ISNUMBER(E12),ISNUMBER(E13),ISNUMBER(E16)),E12+E13-E16,"not_applicable")</f>
        <v>65.351966004459058</v>
      </c>
      <c r="F107" s="28" t="s">
        <v>7</v>
      </c>
    </row>
    <row r="108" spans="1:6" ht="36" customHeight="1" x14ac:dyDescent="0.3">
      <c r="A108" s="28" t="s">
        <v>1173</v>
      </c>
      <c r="B108" s="28" t="s">
        <v>1393</v>
      </c>
      <c r="C108" s="32">
        <f>C11/Quy_uoc_chung!$C$3</f>
        <v>47093711.111111112</v>
      </c>
      <c r="D108" s="32">
        <f>D11/Quy_uoc_chung!$C$3</f>
        <v>117065577.77777778</v>
      </c>
      <c r="E108" s="32">
        <f>E11/Quy_uoc_chung!$C$3</f>
        <v>33656633.333333336</v>
      </c>
      <c r="F108" s="28" t="s">
        <v>1394</v>
      </c>
    </row>
  </sheetData>
  <mergeCells count="3">
    <mergeCell ref="A1:F1"/>
    <mergeCell ref="A2:J2"/>
    <mergeCell ref="A99:F99"/>
  </mergeCells>
  <conditionalFormatting sqref="A5:J98">
    <cfRule type="expression" dxfId="2" priority="2">
      <formula>OR($J5="Cờ",$G5="Tồn lâu",$F5="Kỳ hạn ngắn")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
  <sheetViews>
    <sheetView showGridLines="0" workbookViewId="0">
      <pane ySplit="4" topLeftCell="A5" activePane="bottomLeft" state="frozen"/>
      <selection pane="bottomLeft" sqref="A1:I1"/>
    </sheetView>
  </sheetViews>
  <sheetFormatPr defaultColWidth="8.6640625" defaultRowHeight="14.4" x14ac:dyDescent="0.3"/>
  <cols>
    <col min="1" max="1" width="6" customWidth="1"/>
    <col min="2" max="2" width="60" customWidth="1"/>
    <col min="3" max="4" width="18" customWidth="1"/>
    <col min="5" max="5" width="14" customWidth="1"/>
    <col min="6" max="6" width="12" customWidth="1"/>
    <col min="7" max="7" width="4" customWidth="1"/>
    <col min="8" max="8" width="24" customWidth="1"/>
    <col min="9" max="9" width="8" customWidth="1"/>
  </cols>
  <sheetData>
    <row r="1" spans="1:9" ht="16.8" x14ac:dyDescent="0.3">
      <c r="A1" s="44" t="s">
        <v>1395</v>
      </c>
      <c r="B1" s="45"/>
      <c r="C1" s="45"/>
      <c r="D1" s="45"/>
      <c r="E1" s="45"/>
      <c r="F1" s="45"/>
      <c r="G1" s="45"/>
      <c r="H1" s="45"/>
      <c r="I1" s="45"/>
    </row>
    <row r="2" spans="1:9" ht="34.049999999999997" customHeight="1" x14ac:dyDescent="0.3">
      <c r="A2" s="48" t="s">
        <v>1396</v>
      </c>
      <c r="B2" s="49"/>
      <c r="C2" s="49"/>
      <c r="D2" s="49"/>
      <c r="E2" s="49"/>
      <c r="F2" s="49"/>
      <c r="G2" s="49"/>
      <c r="H2" s="49"/>
      <c r="I2" s="49"/>
    </row>
    <row r="4" spans="1:9" ht="27.6" x14ac:dyDescent="0.3">
      <c r="A4" s="2" t="s">
        <v>176</v>
      </c>
      <c r="B4" s="2" t="s">
        <v>177</v>
      </c>
      <c r="C4" s="2" t="s">
        <v>1397</v>
      </c>
      <c r="D4" s="2" t="s">
        <v>1398</v>
      </c>
      <c r="E4" s="2" t="s">
        <v>178</v>
      </c>
      <c r="F4" s="2" t="s">
        <v>179</v>
      </c>
      <c r="H4" s="6" t="s">
        <v>180</v>
      </c>
    </row>
    <row r="5" spans="1:9" x14ac:dyDescent="0.3">
      <c r="A5" s="3" t="s">
        <v>54</v>
      </c>
      <c r="B5" s="3" t="s">
        <v>63</v>
      </c>
      <c r="C5" s="13">
        <v>4912255000</v>
      </c>
      <c r="D5" s="13">
        <f>TV1_Tinh_tay!$C$7</f>
        <v>4912255000</v>
      </c>
      <c r="E5" s="14">
        <f t="shared" ref="E5:E36" si="0">IFERROR(D5-C5,"")</f>
        <v>0</v>
      </c>
      <c r="F5" s="3" t="str">
        <f>IF(AND(ISNUMBER(C5),ISNUMBER(D5)),IF(ABS(D5-C5)&lt;=1,"Đạt","Không đạt"),"Không đạt")</f>
        <v>Đạt</v>
      </c>
      <c r="H5" t="s">
        <v>181</v>
      </c>
      <c r="I5">
        <f>COUNTIF(F5:F100,"Đạt")</f>
        <v>96</v>
      </c>
    </row>
    <row r="6" spans="1:9" x14ac:dyDescent="0.3">
      <c r="A6" s="3" t="s">
        <v>54</v>
      </c>
      <c r="B6" s="3" t="s">
        <v>182</v>
      </c>
      <c r="C6" s="13">
        <v>3450000000</v>
      </c>
      <c r="D6" s="13">
        <f>TV1_Tinh_tay!$C$8</f>
        <v>3450000000</v>
      </c>
      <c r="E6" s="14">
        <f t="shared" si="0"/>
        <v>0</v>
      </c>
      <c r="F6" s="3" t="str">
        <f>IF(AND(ISNUMBER(C6),ISNUMBER(D6)),IF(ABS(D6-C6)&lt;=1,"Đạt","Không đạt"),"Không đạt")</f>
        <v>Đạt</v>
      </c>
      <c r="H6" t="s">
        <v>183</v>
      </c>
      <c r="I6">
        <f>COUNTIF(F5:F100,"Không đạt")</f>
        <v>0</v>
      </c>
    </row>
    <row r="7" spans="1:9" x14ac:dyDescent="0.3">
      <c r="A7" s="3" t="s">
        <v>54</v>
      </c>
      <c r="B7" s="3" t="s">
        <v>69</v>
      </c>
      <c r="C7" s="13">
        <v>1951577000</v>
      </c>
      <c r="D7" s="13">
        <f>TV1_Tinh_tay!$C$10</f>
        <v>1951577000</v>
      </c>
      <c r="E7" s="14">
        <f t="shared" si="0"/>
        <v>0</v>
      </c>
      <c r="F7" s="3" t="str">
        <f>IF(AND(ISNUMBER(C7),ISNUMBER(D7)),IF(ABS(D7-C7)&lt;=1,"Đạt","Không đạt"),"Không đạt")</f>
        <v>Đạt</v>
      </c>
    </row>
    <row r="8" spans="1:9" x14ac:dyDescent="0.3">
      <c r="A8" s="3" t="s">
        <v>54</v>
      </c>
      <c r="B8" s="3" t="s">
        <v>71</v>
      </c>
      <c r="C8" s="13">
        <v>4238434000</v>
      </c>
      <c r="D8" s="13">
        <f>TV1_Tinh_tay!$C$11</f>
        <v>4238434000</v>
      </c>
      <c r="E8" s="14">
        <f t="shared" si="0"/>
        <v>0</v>
      </c>
      <c r="F8" s="3" t="str">
        <f>IF(AND(ISNUMBER(C8),ISNUMBER(D8)),IF(ABS(D8-C8)&lt;=1,"Đạt","Không đạt"),"Không đạt")</f>
        <v>Đạt</v>
      </c>
    </row>
    <row r="9" spans="1:9" x14ac:dyDescent="0.3">
      <c r="A9" s="3" t="s">
        <v>54</v>
      </c>
      <c r="B9" s="3" t="s">
        <v>46</v>
      </c>
      <c r="C9" s="13">
        <v>50</v>
      </c>
      <c r="D9" s="13">
        <f>TV1_Tinh_tay!$C$12</f>
        <v>49.988585582352393</v>
      </c>
      <c r="E9" s="14">
        <f t="shared" si="0"/>
        <v>-1.1414417647607422E-2</v>
      </c>
      <c r="F9" s="3" t="str">
        <f>IF(AND(ISNUMBER(C9),ISNUMBER(D9)),IF(ABS(D9-C9)&lt;=0.05,"Đạt","Không đạt"),"Không đạt")</f>
        <v>Đạt</v>
      </c>
    </row>
    <row r="10" spans="1:9" x14ac:dyDescent="0.3">
      <c r="A10" s="3" t="s">
        <v>54</v>
      </c>
      <c r="B10" s="3" t="s">
        <v>49</v>
      </c>
      <c r="C10" s="13">
        <v>43.9</v>
      </c>
      <c r="D10" s="13">
        <f>TV1_Tinh_tay!$C$13</f>
        <v>43.886925795053003</v>
      </c>
      <c r="E10" s="14">
        <f t="shared" si="0"/>
        <v>-1.3074204946995849E-2</v>
      </c>
      <c r="F10" s="3" t="str">
        <f>IF(AND(ISNUMBER(C10),ISNUMBER(D10)),IF(ABS(D10-C10)&lt;=0.05,"Đạt","Không đạt"),"Không đạt")</f>
        <v>Đạt</v>
      </c>
    </row>
    <row r="11" spans="1:9" x14ac:dyDescent="0.3">
      <c r="A11" s="3" t="s">
        <v>54</v>
      </c>
      <c r="B11" s="3" t="s">
        <v>50</v>
      </c>
      <c r="C11" s="13">
        <v>24.8</v>
      </c>
      <c r="D11" s="13">
        <f>TV1_Tinh_tay!$C$14</f>
        <v>24.825714487632506</v>
      </c>
      <c r="E11" s="14">
        <f t="shared" si="0"/>
        <v>2.5714487632505723E-2</v>
      </c>
      <c r="F11" s="3" t="str">
        <f>IF(AND(ISNUMBER(C11),ISNUMBER(D11)),IF(ABS(D11-C11)&lt;=0.05,"Đạt","Không đạt"),"Không đạt")</f>
        <v>Đạt</v>
      </c>
    </row>
    <row r="12" spans="1:9" x14ac:dyDescent="0.3">
      <c r="A12" s="3" t="s">
        <v>54</v>
      </c>
      <c r="B12" s="3" t="s">
        <v>51</v>
      </c>
      <c r="C12" s="13">
        <v>69</v>
      </c>
      <c r="D12" s="13">
        <f>TV1_Tinh_tay!$C$15</f>
        <v>69.049796889772878</v>
      </c>
      <c r="E12" s="14">
        <f t="shared" si="0"/>
        <v>4.9796889772878217E-2</v>
      </c>
      <c r="F12" s="3" t="str">
        <f>IF(AND(ISNUMBER(C12),ISNUMBER(D12)),IF(ABS(D12-C12)&lt;=0.05,"Đạt","Không đạt"),"Không đạt")</f>
        <v>Đạt</v>
      </c>
    </row>
    <row r="13" spans="1:9" x14ac:dyDescent="0.3">
      <c r="A13" s="3" t="s">
        <v>54</v>
      </c>
      <c r="B13" s="3" t="s">
        <v>184</v>
      </c>
      <c r="C13" s="13">
        <v>41.4</v>
      </c>
      <c r="D13" s="13">
        <f>TV1_Tinh_tay!$C$16</f>
        <v>41.440289031279008</v>
      </c>
      <c r="E13" s="14">
        <f t="shared" si="0"/>
        <v>4.028903127900918E-2</v>
      </c>
      <c r="F13" s="3" t="str">
        <f>IF(AND(ISNUMBER(C13),ISNUMBER(D13)),IF(ABS(D13-C13)&lt;=0.05,"Đạt","Không đạt"),"Không đạt")</f>
        <v>Đạt</v>
      </c>
    </row>
    <row r="14" spans="1:9" x14ac:dyDescent="0.3">
      <c r="A14" s="3" t="s">
        <v>54</v>
      </c>
      <c r="B14" s="3" t="s">
        <v>185</v>
      </c>
      <c r="C14" s="13">
        <v>6410678000</v>
      </c>
      <c r="D14" s="13">
        <f>TV1_Tinh_tay!$C$20</f>
        <v>6410678000</v>
      </c>
      <c r="E14" s="14">
        <f t="shared" si="0"/>
        <v>0</v>
      </c>
      <c r="F14" s="3" t="str">
        <f>IF(AND(ISNUMBER(C14),ISNUMBER(D14)),IF(ABS(D14-C14)&lt;=1,"Đạt","Không đạt"),"Không đạt")</f>
        <v>Đạt</v>
      </c>
    </row>
    <row r="15" spans="1:9" x14ac:dyDescent="0.3">
      <c r="A15" s="3" t="s">
        <v>54</v>
      </c>
      <c r="B15" s="3" t="s">
        <v>93</v>
      </c>
      <c r="C15" s="13">
        <v>0.17742666046449099</v>
      </c>
      <c r="D15" s="13">
        <f>TV1_Tinh_tay!$C$25</f>
        <v>0.17742666046449135</v>
      </c>
      <c r="E15" s="14">
        <f t="shared" si="0"/>
        <v>3.6082248300317588E-16</v>
      </c>
      <c r="F15" s="3" t="str">
        <f>IF(AND(ISNUMBER(C15),ISNUMBER(D15)),IF(ABS(D15-C15)&lt;=0.0005,"Đạt","Không đạt"),"Không đạt")</f>
        <v>Đạt</v>
      </c>
    </row>
    <row r="16" spans="1:9" x14ac:dyDescent="0.3">
      <c r="A16" s="3" t="s">
        <v>54</v>
      </c>
      <c r="B16" s="3" t="s">
        <v>186</v>
      </c>
      <c r="C16" s="13">
        <v>39.570678820336099</v>
      </c>
      <c r="D16" s="13">
        <f>TV1_Tinh_tay!$D$40</f>
        <v>39.570678820336049</v>
      </c>
      <c r="E16" s="14">
        <f t="shared" si="0"/>
        <v>-4.9737991503207013E-14</v>
      </c>
      <c r="F16" s="3" t="str">
        <f t="shared" ref="F16:F37" si="1">IF(AND(ISNUMBER(C16),ISNUMBER(D16)),IF(ABS(D16-C16)&lt;=0.05,"Đạt","Không đạt"),"Không đạt")</f>
        <v>Đạt</v>
      </c>
    </row>
    <row r="17" spans="1:6" x14ac:dyDescent="0.3">
      <c r="A17" s="3" t="s">
        <v>54</v>
      </c>
      <c r="B17" s="3" t="s">
        <v>187</v>
      </c>
      <c r="C17" s="13">
        <v>20.520664189056799</v>
      </c>
      <c r="D17" s="13">
        <f>TV1_Tinh_tay!$H$40</f>
        <v>20.520664189056813</v>
      </c>
      <c r="E17" s="14">
        <f t="shared" si="0"/>
        <v>1.4210854715202004E-14</v>
      </c>
      <c r="F17" s="3" t="str">
        <f t="shared" si="1"/>
        <v>Đạt</v>
      </c>
    </row>
    <row r="18" spans="1:6" x14ac:dyDescent="0.3">
      <c r="A18" s="3" t="s">
        <v>54</v>
      </c>
      <c r="B18" s="3" t="s">
        <v>188</v>
      </c>
      <c r="C18" s="13">
        <v>11</v>
      </c>
      <c r="D18" s="13">
        <f>TV1_Tinh_tay!$G$40</f>
        <v>11</v>
      </c>
      <c r="E18" s="14">
        <f t="shared" si="0"/>
        <v>0</v>
      </c>
      <c r="F18" s="3" t="str">
        <f t="shared" si="1"/>
        <v>Đạt</v>
      </c>
    </row>
    <row r="19" spans="1:6" x14ac:dyDescent="0.3">
      <c r="A19" s="3" t="s">
        <v>54</v>
      </c>
      <c r="B19" s="3" t="s">
        <v>189</v>
      </c>
      <c r="C19" s="13">
        <v>6.7804184902032798</v>
      </c>
      <c r="D19" s="13">
        <f>TV1_Tinh_tay!$D$39</f>
        <v>6.7804184902032754</v>
      </c>
      <c r="E19" s="14">
        <f t="shared" si="0"/>
        <v>-4.4408920985006262E-15</v>
      </c>
      <c r="F19" s="3" t="str">
        <f t="shared" si="1"/>
        <v>Đạt</v>
      </c>
    </row>
    <row r="20" spans="1:6" x14ac:dyDescent="0.3">
      <c r="A20" s="3" t="s">
        <v>54</v>
      </c>
      <c r="B20" s="3" t="s">
        <v>190</v>
      </c>
      <c r="C20" s="13">
        <v>1.96347108332003</v>
      </c>
      <c r="D20" s="13">
        <f>TV1_Tinh_tay!$H$39</f>
        <v>1.9634710833200306</v>
      </c>
      <c r="E20" s="14">
        <f t="shared" si="0"/>
        <v>6.6613381477509392E-16</v>
      </c>
      <c r="F20" s="3" t="str">
        <f t="shared" si="1"/>
        <v>Đạt</v>
      </c>
    </row>
    <row r="21" spans="1:6" x14ac:dyDescent="0.3">
      <c r="A21" s="3" t="s">
        <v>54</v>
      </c>
      <c r="B21" s="3" t="s">
        <v>191</v>
      </c>
      <c r="C21" s="13">
        <v>0</v>
      </c>
      <c r="D21" s="13">
        <f>TV1_Tinh_tay!$G$39</f>
        <v>0</v>
      </c>
      <c r="E21" s="14">
        <f t="shared" si="0"/>
        <v>0</v>
      </c>
      <c r="F21" s="3" t="str">
        <f t="shared" si="1"/>
        <v>Đạt</v>
      </c>
    </row>
    <row r="22" spans="1:6" x14ac:dyDescent="0.3">
      <c r="A22" s="3" t="s">
        <v>54</v>
      </c>
      <c r="B22" s="3" t="s">
        <v>192</v>
      </c>
      <c r="C22" s="13">
        <v>3.6374882718130701</v>
      </c>
      <c r="D22" s="13">
        <f>TV1_Tinh_tay!$D$41</f>
        <v>3.6374882718130706</v>
      </c>
      <c r="E22" s="14">
        <f t="shared" si="0"/>
        <v>4.4408920985006262E-16</v>
      </c>
      <c r="F22" s="3" t="str">
        <f t="shared" si="1"/>
        <v>Đạt</v>
      </c>
    </row>
    <row r="23" spans="1:6" x14ac:dyDescent="0.3">
      <c r="A23" s="3" t="s">
        <v>54</v>
      </c>
      <c r="B23" s="3" t="s">
        <v>193</v>
      </c>
      <c r="C23" s="13">
        <v>9.4617431213458296</v>
      </c>
      <c r="D23" s="13">
        <f>TV1_Tinh_tay!$H$41</f>
        <v>9.4617431213458278</v>
      </c>
      <c r="E23" s="14">
        <f t="shared" si="0"/>
        <v>-1.7763568394002505E-15</v>
      </c>
      <c r="F23" s="3" t="str">
        <f t="shared" si="1"/>
        <v>Đạt</v>
      </c>
    </row>
    <row r="24" spans="1:6" x14ac:dyDescent="0.3">
      <c r="A24" s="3" t="s">
        <v>54</v>
      </c>
      <c r="B24" s="3" t="s">
        <v>194</v>
      </c>
      <c r="C24" s="13">
        <v>1</v>
      </c>
      <c r="D24" s="13">
        <f>TV1_Tinh_tay!$G$41</f>
        <v>1</v>
      </c>
      <c r="E24" s="14">
        <f t="shared" si="0"/>
        <v>0</v>
      </c>
      <c r="F24" s="3" t="str">
        <f t="shared" si="1"/>
        <v>Đạt</v>
      </c>
    </row>
    <row r="25" spans="1:6" x14ac:dyDescent="0.3">
      <c r="A25" s="3" t="s">
        <v>54</v>
      </c>
      <c r="B25" s="3" t="s">
        <v>195</v>
      </c>
      <c r="C25" s="13">
        <v>14.628975265017701</v>
      </c>
      <c r="D25" s="13">
        <f>TV1_Tinh_tay!$D$45</f>
        <v>14.628975265017667</v>
      </c>
      <c r="E25" s="14">
        <f t="shared" si="0"/>
        <v>-3.3750779948604759E-14</v>
      </c>
      <c r="F25" s="3" t="str">
        <f t="shared" si="1"/>
        <v>Đạt</v>
      </c>
    </row>
    <row r="26" spans="1:6" x14ac:dyDescent="0.3">
      <c r="A26" s="3" t="s">
        <v>54</v>
      </c>
      <c r="B26" s="3" t="s">
        <v>196</v>
      </c>
      <c r="C26" s="13">
        <v>10.4310954063604</v>
      </c>
      <c r="D26" s="13">
        <f>TV1_Tinh_tay!$D$47</f>
        <v>10.431095406360424</v>
      </c>
      <c r="E26" s="14">
        <f t="shared" si="0"/>
        <v>2.3092638912203256E-14</v>
      </c>
      <c r="F26" s="3" t="str">
        <f t="shared" si="1"/>
        <v>Đạt</v>
      </c>
    </row>
    <row r="27" spans="1:6" x14ac:dyDescent="0.3">
      <c r="A27" s="3" t="s">
        <v>54</v>
      </c>
      <c r="B27" s="3" t="s">
        <v>197</v>
      </c>
      <c r="C27" s="13">
        <v>8.1413427561837501</v>
      </c>
      <c r="D27" s="13">
        <f>TV1_Tinh_tay!$D$46</f>
        <v>8.1413427561837448</v>
      </c>
      <c r="E27" s="14">
        <f t="shared" si="0"/>
        <v>-5.3290705182007514E-15</v>
      </c>
      <c r="F27" s="3" t="str">
        <f t="shared" si="1"/>
        <v>Đạt</v>
      </c>
    </row>
    <row r="28" spans="1:6" x14ac:dyDescent="0.3">
      <c r="A28" s="3" t="s">
        <v>54</v>
      </c>
      <c r="B28" s="3" t="s">
        <v>198</v>
      </c>
      <c r="C28" s="13">
        <v>5.4699646643109503</v>
      </c>
      <c r="D28" s="13">
        <f>TV1_Tinh_tay!$D$49</f>
        <v>5.4699646643109539</v>
      </c>
      <c r="E28" s="14">
        <f t="shared" si="0"/>
        <v>3.5527136788005009E-15</v>
      </c>
      <c r="F28" s="3" t="str">
        <f t="shared" si="1"/>
        <v>Đạt</v>
      </c>
    </row>
    <row r="29" spans="1:6" x14ac:dyDescent="0.3">
      <c r="A29" s="3" t="s">
        <v>54</v>
      </c>
      <c r="B29" s="3" t="s">
        <v>199</v>
      </c>
      <c r="C29" s="13">
        <v>5.21554770318021</v>
      </c>
      <c r="D29" s="13">
        <f>TV1_Tinh_tay!$D$48</f>
        <v>5.2155477031802118</v>
      </c>
      <c r="E29" s="14">
        <f t="shared" si="0"/>
        <v>1.7763568394002505E-15</v>
      </c>
      <c r="F29" s="3" t="str">
        <f t="shared" si="1"/>
        <v>Đạt</v>
      </c>
    </row>
    <row r="30" spans="1:6" x14ac:dyDescent="0.3">
      <c r="A30" s="3" t="s">
        <v>54</v>
      </c>
      <c r="B30" s="3" t="s">
        <v>200</v>
      </c>
      <c r="C30" s="13">
        <v>12.268520141342799</v>
      </c>
      <c r="D30" s="13">
        <f>TV1_Tinh_tay!$C$56</f>
        <v>12.268520141342757</v>
      </c>
      <c r="E30" s="14">
        <f t="shared" si="0"/>
        <v>-4.2632564145606011E-14</v>
      </c>
      <c r="F30" s="3" t="str">
        <f t="shared" si="1"/>
        <v>Đạt</v>
      </c>
    </row>
    <row r="31" spans="1:6" x14ac:dyDescent="0.3">
      <c r="A31" s="3" t="s">
        <v>54</v>
      </c>
      <c r="B31" s="3" t="s">
        <v>201</v>
      </c>
      <c r="C31" s="13">
        <v>30</v>
      </c>
      <c r="D31" s="13">
        <f>TV1_Tinh_tay!$E$56</f>
        <v>30</v>
      </c>
      <c r="E31" s="14">
        <f t="shared" si="0"/>
        <v>0</v>
      </c>
      <c r="F31" s="3" t="str">
        <f t="shared" si="1"/>
        <v>Đạt</v>
      </c>
    </row>
    <row r="32" spans="1:6" x14ac:dyDescent="0.3">
      <c r="A32" s="3" t="s">
        <v>54</v>
      </c>
      <c r="B32" s="3" t="s">
        <v>202</v>
      </c>
      <c r="C32" s="13">
        <v>10.4793328621908</v>
      </c>
      <c r="D32" s="13">
        <f>TV1_Tinh_tay!$C$54</f>
        <v>10.479332862190812</v>
      </c>
      <c r="E32" s="14">
        <f t="shared" si="0"/>
        <v>1.2434497875801753E-14</v>
      </c>
      <c r="F32" s="3" t="str">
        <f t="shared" si="1"/>
        <v>Đạt</v>
      </c>
    </row>
    <row r="33" spans="1:6" x14ac:dyDescent="0.3">
      <c r="A33" s="3" t="s">
        <v>54</v>
      </c>
      <c r="B33" s="3" t="s">
        <v>203</v>
      </c>
      <c r="C33" s="13">
        <v>45</v>
      </c>
      <c r="D33" s="13">
        <f>TV1_Tinh_tay!$E$54</f>
        <v>45</v>
      </c>
      <c r="E33" s="14">
        <f t="shared" si="0"/>
        <v>0</v>
      </c>
      <c r="F33" s="3" t="str">
        <f t="shared" si="1"/>
        <v>Đạt</v>
      </c>
    </row>
    <row r="34" spans="1:6" x14ac:dyDescent="0.3">
      <c r="A34" s="3" t="s">
        <v>54</v>
      </c>
      <c r="B34" s="3" t="s">
        <v>204</v>
      </c>
      <c r="C34" s="13">
        <v>1.4944452296819799</v>
      </c>
      <c r="D34" s="13">
        <f>TV1_Tinh_tay!$C$55</f>
        <v>1.494445229681979</v>
      </c>
      <c r="E34" s="14">
        <f t="shared" si="0"/>
        <v>-8.8817841970012523E-16</v>
      </c>
      <c r="F34" s="3" t="str">
        <f t="shared" si="1"/>
        <v>Đạt</v>
      </c>
    </row>
    <row r="35" spans="1:6" x14ac:dyDescent="0.3">
      <c r="A35" s="3" t="s">
        <v>54</v>
      </c>
      <c r="B35" s="3" t="s">
        <v>205</v>
      </c>
      <c r="C35" s="13">
        <v>15</v>
      </c>
      <c r="D35" s="13">
        <f>TV1_Tinh_tay!$E$55</f>
        <v>15</v>
      </c>
      <c r="E35" s="14">
        <f t="shared" si="0"/>
        <v>0</v>
      </c>
      <c r="F35" s="3" t="str">
        <f t="shared" si="1"/>
        <v>Đạt</v>
      </c>
    </row>
    <row r="36" spans="1:6" x14ac:dyDescent="0.3">
      <c r="A36" s="3" t="s">
        <v>54</v>
      </c>
      <c r="B36" s="3" t="s">
        <v>206</v>
      </c>
      <c r="C36" s="13">
        <v>0.58341625441696099</v>
      </c>
      <c r="D36" s="13">
        <f>TV1_Tinh_tay!$C$57</f>
        <v>0.5834162544169611</v>
      </c>
      <c r="E36" s="14">
        <f t="shared" si="0"/>
        <v>1.1102230246251565E-16</v>
      </c>
      <c r="F36" s="3" t="str">
        <f t="shared" si="1"/>
        <v>Đạt</v>
      </c>
    </row>
    <row r="37" spans="1:6" x14ac:dyDescent="0.3">
      <c r="A37" s="3" t="s">
        <v>54</v>
      </c>
      <c r="B37" s="3" t="s">
        <v>207</v>
      </c>
      <c r="C37" s="13">
        <v>15</v>
      </c>
      <c r="D37" s="13">
        <f>TV1_Tinh_tay!$E$57</f>
        <v>15</v>
      </c>
      <c r="E37" s="14">
        <f t="shared" ref="E37:E68" si="2">IFERROR(D37-C37,"")</f>
        <v>0</v>
      </c>
      <c r="F37" s="3" t="str">
        <f t="shared" si="1"/>
        <v>Đạt</v>
      </c>
    </row>
    <row r="38" spans="1:6" x14ac:dyDescent="0.3">
      <c r="A38" s="3" t="s">
        <v>55</v>
      </c>
      <c r="B38" s="3" t="s">
        <v>63</v>
      </c>
      <c r="C38" s="13">
        <v>4807643000</v>
      </c>
      <c r="D38" s="13">
        <f>TV1_Tinh_tay!$D$7</f>
        <v>4807643000</v>
      </c>
      <c r="E38" s="14">
        <f t="shared" si="2"/>
        <v>0</v>
      </c>
      <c r="F38" s="3" t="str">
        <f>IF(AND(ISNUMBER(C38),ISNUMBER(D38)),IF(ABS(D38-C38)&lt;=1,"Đạt","Không đạt"),"Không đạt")</f>
        <v>Đạt</v>
      </c>
    </row>
    <row r="39" spans="1:6" x14ac:dyDescent="0.3">
      <c r="A39" s="3" t="s">
        <v>55</v>
      </c>
      <c r="B39" s="3" t="s">
        <v>182</v>
      </c>
      <c r="C39" s="13">
        <v>8050000000</v>
      </c>
      <c r="D39" s="13">
        <f>TV1_Tinh_tay!$D$8</f>
        <v>8050000000</v>
      </c>
      <c r="E39" s="14">
        <f t="shared" si="2"/>
        <v>0</v>
      </c>
      <c r="F39" s="3" t="str">
        <f>IF(AND(ISNUMBER(C39),ISNUMBER(D39)),IF(ABS(D39-C39)&lt;=1,"Đạt","Không đạt"),"Không đạt")</f>
        <v>Đạt</v>
      </c>
    </row>
    <row r="40" spans="1:6" x14ac:dyDescent="0.3">
      <c r="A40" s="3" t="s">
        <v>55</v>
      </c>
      <c r="B40" s="3" t="s">
        <v>69</v>
      </c>
      <c r="C40" s="13">
        <v>2317750000</v>
      </c>
      <c r="D40" s="13">
        <f>TV1_Tinh_tay!$D$10</f>
        <v>2317750000</v>
      </c>
      <c r="E40" s="14">
        <f t="shared" si="2"/>
        <v>0</v>
      </c>
      <c r="F40" s="3" t="str">
        <f>IF(AND(ISNUMBER(C40),ISNUMBER(D40)),IF(ABS(D40-C40)&lt;=1,"Đạt","Không đạt"),"Không đạt")</f>
        <v>Đạt</v>
      </c>
    </row>
    <row r="41" spans="1:6" x14ac:dyDescent="0.3">
      <c r="A41" s="3" t="s">
        <v>55</v>
      </c>
      <c r="B41" s="3" t="s">
        <v>71</v>
      </c>
      <c r="C41" s="13">
        <v>10535902000</v>
      </c>
      <c r="D41" s="13">
        <f>TV1_Tinh_tay!$D$11</f>
        <v>10535902000</v>
      </c>
      <c r="E41" s="14">
        <f t="shared" si="2"/>
        <v>0</v>
      </c>
      <c r="F41" s="3" t="str">
        <f>IF(AND(ISNUMBER(C41),ISNUMBER(D41)),IF(ABS(D41-C41)&lt;=1,"Đạt","Không đạt"),"Không đạt")</f>
        <v>Đạt</v>
      </c>
    </row>
    <row r="42" spans="1:6" x14ac:dyDescent="0.3">
      <c r="A42" s="3" t="s">
        <v>55</v>
      </c>
      <c r="B42" s="3" t="s">
        <v>46</v>
      </c>
      <c r="C42" s="13">
        <v>37</v>
      </c>
      <c r="D42" s="13">
        <f>TV1_Tinh_tay!$D$12</f>
        <v>36.988903445313319</v>
      </c>
      <c r="E42" s="14">
        <f t="shared" si="2"/>
        <v>-1.1096554686680804E-2</v>
      </c>
      <c r="F42" s="3" t="str">
        <f>IF(AND(ISNUMBER(C42),ISNUMBER(D42)),IF(ABS(D42-C42)&lt;=0.05,"Đạt","Không đạt"),"Không đạt")</f>
        <v>Đạt</v>
      </c>
    </row>
    <row r="43" spans="1:6" x14ac:dyDescent="0.3">
      <c r="A43" s="3" t="s">
        <v>55</v>
      </c>
      <c r="B43" s="3" t="s">
        <v>49</v>
      </c>
      <c r="C43" s="13">
        <v>68.8</v>
      </c>
      <c r="D43" s="13">
        <f>TV1_Tinh_tay!$D$13</f>
        <v>68.816489361702125</v>
      </c>
      <c r="E43" s="14">
        <f t="shared" si="2"/>
        <v>1.6489361702127781E-2</v>
      </c>
      <c r="F43" s="3" t="str">
        <f>IF(AND(ISNUMBER(C43),ISNUMBER(D43)),IF(ABS(D43-C43)&lt;=0.05,"Đạt","Không đạt"),"Không đạt")</f>
        <v>Đạt</v>
      </c>
    </row>
    <row r="44" spans="1:6" x14ac:dyDescent="0.3">
      <c r="A44" s="3" t="s">
        <v>55</v>
      </c>
      <c r="B44" s="3" t="s">
        <v>50</v>
      </c>
      <c r="C44" s="13">
        <v>19.8</v>
      </c>
      <c r="D44" s="13">
        <f>TV1_Tinh_tay!$D$14</f>
        <v>19.813592325227965</v>
      </c>
      <c r="E44" s="14">
        <f t="shared" si="2"/>
        <v>1.3592325227964608E-2</v>
      </c>
      <c r="F44" s="3" t="str">
        <f>IF(AND(ISNUMBER(C44),ISNUMBER(D44)),IF(ABS(D44-C44)&lt;=0.05,"Đạt","Không đạt"),"Không đạt")</f>
        <v>Đạt</v>
      </c>
    </row>
    <row r="45" spans="1:6" x14ac:dyDescent="0.3">
      <c r="A45" s="3" t="s">
        <v>55</v>
      </c>
      <c r="B45" s="3" t="s">
        <v>51</v>
      </c>
      <c r="C45" s="13">
        <v>86</v>
      </c>
      <c r="D45" s="13">
        <f>TV1_Tinh_tay!$D$15</f>
        <v>85.991800481787465</v>
      </c>
      <c r="E45" s="14">
        <f t="shared" si="2"/>
        <v>-8.1995182125353949E-3</v>
      </c>
      <c r="F45" s="3" t="str">
        <f>IF(AND(ISNUMBER(C45),ISNUMBER(D45)),IF(ABS(D45-C45)&lt;=0.05,"Đạt","Không đạt"),"Không đạt")</f>
        <v>Đạt</v>
      </c>
    </row>
    <row r="46" spans="1:6" x14ac:dyDescent="0.3">
      <c r="A46" s="3" t="s">
        <v>55</v>
      </c>
      <c r="B46" s="3" t="s">
        <v>184</v>
      </c>
      <c r="C46" s="13">
        <v>19.8</v>
      </c>
      <c r="D46" s="13">
        <f>TV1_Tinh_tay!$D$16</f>
        <v>19.79873199276151</v>
      </c>
      <c r="E46" s="14">
        <f t="shared" si="2"/>
        <v>-1.2680072384902985E-3</v>
      </c>
      <c r="F46" s="3" t="str">
        <f>IF(AND(ISNUMBER(C46),ISNUMBER(D46)),IF(ABS(D46-C46)&lt;=0.05,"Đạt","Không đạt"),"Không đạt")</f>
        <v>Đạt</v>
      </c>
    </row>
    <row r="47" spans="1:6" x14ac:dyDescent="0.3">
      <c r="A47" s="3" t="s">
        <v>55</v>
      </c>
      <c r="B47" s="3" t="s">
        <v>185</v>
      </c>
      <c r="C47" s="13">
        <v>10539893000</v>
      </c>
      <c r="D47" s="13">
        <f>TV1_Tinh_tay!$D$20</f>
        <v>10539893000</v>
      </c>
      <c r="E47" s="14">
        <f t="shared" si="2"/>
        <v>0</v>
      </c>
      <c r="F47" s="3" t="str">
        <f>IF(AND(ISNUMBER(C47),ISNUMBER(D47)),IF(ABS(D47-C47)&lt;=1,"Đạt","Không đạt"),"Không đạt")</f>
        <v>Đạt</v>
      </c>
    </row>
    <row r="48" spans="1:6" x14ac:dyDescent="0.3">
      <c r="A48" s="3" t="s">
        <v>55</v>
      </c>
      <c r="B48" s="3" t="s">
        <v>93</v>
      </c>
      <c r="C48" s="13">
        <v>0.17893737118167899</v>
      </c>
      <c r="D48" s="13">
        <f>TV1_Tinh_tay!$D$25</f>
        <v>0.17893737118167885</v>
      </c>
      <c r="E48" s="14">
        <f t="shared" si="2"/>
        <v>-1.3877787807814457E-16</v>
      </c>
      <c r="F48" s="3" t="str">
        <f>IF(AND(ISNUMBER(C48),ISNUMBER(D48)),IF(ABS(D48-C48)&lt;=0.0005,"Đạt","Không đạt"),"Không đạt")</f>
        <v>Đạt</v>
      </c>
    </row>
    <row r="49" spans="1:6" x14ac:dyDescent="0.3">
      <c r="A49" s="3" t="s">
        <v>55</v>
      </c>
      <c r="B49" s="3" t="s">
        <v>208</v>
      </c>
      <c r="C49" s="13">
        <v>11.1302320313051</v>
      </c>
      <c r="D49" s="13">
        <f>TV1_Tinh_tay!$D$61</f>
        <v>11.130232031305098</v>
      </c>
      <c r="E49" s="14">
        <f t="shared" si="2"/>
        <v>-1.7763568394002505E-15</v>
      </c>
      <c r="F49" s="3" t="str">
        <f t="shared" ref="F49:F70" si="3">IF(AND(ISNUMBER(C49),ISNUMBER(D49)),IF(ABS(D49-C49)&lt;=0.05,"Đạt","Không đạt"),"Không đạt")</f>
        <v>Đạt</v>
      </c>
    </row>
    <row r="50" spans="1:6" x14ac:dyDescent="0.3">
      <c r="A50" s="3" t="s">
        <v>55</v>
      </c>
      <c r="B50" s="3" t="s">
        <v>209</v>
      </c>
      <c r="C50" s="13">
        <v>4.9777384697226603</v>
      </c>
      <c r="D50" s="13">
        <f>TV1_Tinh_tay!$H$61</f>
        <v>4.9777384697226568</v>
      </c>
      <c r="E50" s="14">
        <f t="shared" si="2"/>
        <v>-3.5527136788005009E-15</v>
      </c>
      <c r="F50" s="3" t="str">
        <f t="shared" si="3"/>
        <v>Đạt</v>
      </c>
    </row>
    <row r="51" spans="1:6" x14ac:dyDescent="0.3">
      <c r="A51" s="3" t="s">
        <v>55</v>
      </c>
      <c r="B51" s="3" t="s">
        <v>210</v>
      </c>
      <c r="C51" s="13">
        <v>0</v>
      </c>
      <c r="D51" s="13">
        <f>TV1_Tinh_tay!$G$61</f>
        <v>0</v>
      </c>
      <c r="E51" s="14">
        <f t="shared" si="2"/>
        <v>0</v>
      </c>
      <c r="F51" s="3" t="str">
        <f t="shared" si="3"/>
        <v>Đạt</v>
      </c>
    </row>
    <row r="52" spans="1:6" x14ac:dyDescent="0.3">
      <c r="A52" s="3" t="s">
        <v>55</v>
      </c>
      <c r="B52" s="3" t="s">
        <v>211</v>
      </c>
      <c r="C52" s="13">
        <v>10.567432695534</v>
      </c>
      <c r="D52" s="13">
        <f>TV1_Tinh_tay!$D$64</f>
        <v>10.567432695533979</v>
      </c>
      <c r="E52" s="14">
        <f t="shared" si="2"/>
        <v>-2.1316282072803006E-14</v>
      </c>
      <c r="F52" s="3" t="str">
        <f t="shared" si="3"/>
        <v>Đạt</v>
      </c>
    </row>
    <row r="53" spans="1:6" x14ac:dyDescent="0.3">
      <c r="A53" s="3" t="s">
        <v>55</v>
      </c>
      <c r="B53" s="3" t="s">
        <v>212</v>
      </c>
      <c r="C53" s="13">
        <v>6.2716990840986497</v>
      </c>
      <c r="D53" s="13">
        <f>TV1_Tinh_tay!$H$64</f>
        <v>6.271699084098648</v>
      </c>
      <c r="E53" s="14">
        <f t="shared" si="2"/>
        <v>-1.7763568394002505E-15</v>
      </c>
      <c r="F53" s="3" t="str">
        <f t="shared" si="3"/>
        <v>Đạt</v>
      </c>
    </row>
    <row r="54" spans="1:6" x14ac:dyDescent="0.3">
      <c r="A54" s="3" t="s">
        <v>55</v>
      </c>
      <c r="B54" s="3" t="s">
        <v>213</v>
      </c>
      <c r="C54" s="13">
        <v>2</v>
      </c>
      <c r="D54" s="13">
        <f>TV1_Tinh_tay!$G$64</f>
        <v>2</v>
      </c>
      <c r="E54" s="14">
        <f t="shared" si="2"/>
        <v>0</v>
      </c>
      <c r="F54" s="3" t="str">
        <f t="shared" si="3"/>
        <v>Đạt</v>
      </c>
    </row>
    <row r="55" spans="1:6" x14ac:dyDescent="0.3">
      <c r="A55" s="3" t="s">
        <v>55</v>
      </c>
      <c r="B55" s="3" t="s">
        <v>214</v>
      </c>
      <c r="C55" s="13">
        <v>8.5958115966497903</v>
      </c>
      <c r="D55" s="13">
        <f>TV1_Tinh_tay!$D$63</f>
        <v>8.5958115966497903</v>
      </c>
      <c r="E55" s="14">
        <f t="shared" si="2"/>
        <v>0</v>
      </c>
      <c r="F55" s="3" t="str">
        <f t="shared" si="3"/>
        <v>Đạt</v>
      </c>
    </row>
    <row r="56" spans="1:6" x14ac:dyDescent="0.3">
      <c r="A56" s="3" t="s">
        <v>55</v>
      </c>
      <c r="B56" s="3" t="s">
        <v>215</v>
      </c>
      <c r="C56" s="13">
        <v>14.3188229844595</v>
      </c>
      <c r="D56" s="13">
        <f>TV1_Tinh_tay!$H$63</f>
        <v>14.318822984459494</v>
      </c>
      <c r="E56" s="14">
        <f t="shared" si="2"/>
        <v>-5.3290705182007514E-15</v>
      </c>
      <c r="F56" s="3" t="str">
        <f t="shared" si="3"/>
        <v>Đạt</v>
      </c>
    </row>
    <row r="57" spans="1:6" x14ac:dyDescent="0.3">
      <c r="A57" s="3" t="s">
        <v>55</v>
      </c>
      <c r="B57" s="3" t="s">
        <v>216</v>
      </c>
      <c r="C57" s="13">
        <v>24</v>
      </c>
      <c r="D57" s="13">
        <f>TV1_Tinh_tay!$G$63</f>
        <v>24</v>
      </c>
      <c r="E57" s="14">
        <f t="shared" si="2"/>
        <v>0</v>
      </c>
      <c r="F57" s="3" t="str">
        <f t="shared" si="3"/>
        <v>Đạt</v>
      </c>
    </row>
    <row r="58" spans="1:6" x14ac:dyDescent="0.3">
      <c r="A58" s="3" t="s">
        <v>55</v>
      </c>
      <c r="B58" s="3" t="s">
        <v>217</v>
      </c>
      <c r="C58" s="13">
        <v>6.6954271218244497</v>
      </c>
      <c r="D58" s="13">
        <f>TV1_Tinh_tay!$D$62</f>
        <v>6.6954271218244497</v>
      </c>
      <c r="E58" s="14">
        <f t="shared" si="2"/>
        <v>0</v>
      </c>
      <c r="F58" s="3" t="str">
        <f t="shared" si="3"/>
        <v>Đạt</v>
      </c>
    </row>
    <row r="59" spans="1:6" x14ac:dyDescent="0.3">
      <c r="A59" s="3" t="s">
        <v>55</v>
      </c>
      <c r="B59" s="3" t="s">
        <v>218</v>
      </c>
      <c r="C59" s="13">
        <v>1.3380428968663001</v>
      </c>
      <c r="D59" s="13">
        <f>TV1_Tinh_tay!$H$62</f>
        <v>1.3380428968663043</v>
      </c>
      <c r="E59" s="14">
        <f t="shared" si="2"/>
        <v>4.2188474935755949E-15</v>
      </c>
      <c r="F59" s="3" t="str">
        <f t="shared" si="3"/>
        <v>Đạt</v>
      </c>
    </row>
    <row r="60" spans="1:6" x14ac:dyDescent="0.3">
      <c r="A60" s="3" t="s">
        <v>55</v>
      </c>
      <c r="B60" s="3" t="s">
        <v>219</v>
      </c>
      <c r="C60" s="13">
        <v>0</v>
      </c>
      <c r="D60" s="13">
        <f>TV1_Tinh_tay!$G$62</f>
        <v>0</v>
      </c>
      <c r="E60" s="14">
        <f t="shared" si="2"/>
        <v>0</v>
      </c>
      <c r="F60" s="3" t="str">
        <f t="shared" si="3"/>
        <v>Đạt</v>
      </c>
    </row>
    <row r="61" spans="1:6" x14ac:dyDescent="0.3">
      <c r="A61" s="3" t="s">
        <v>55</v>
      </c>
      <c r="B61" s="3" t="s">
        <v>220</v>
      </c>
      <c r="C61" s="13">
        <v>27.355623100304001</v>
      </c>
      <c r="D61" s="13">
        <f>TV1_Tinh_tay!$D$68</f>
        <v>27.355623100303951</v>
      </c>
      <c r="E61" s="14">
        <f t="shared" si="2"/>
        <v>-4.9737991503207013E-14</v>
      </c>
      <c r="F61" s="3" t="str">
        <f t="shared" si="3"/>
        <v>Đạt</v>
      </c>
    </row>
    <row r="62" spans="1:6" x14ac:dyDescent="0.3">
      <c r="A62" s="3" t="s">
        <v>55</v>
      </c>
      <c r="B62" s="3" t="s">
        <v>221</v>
      </c>
      <c r="C62" s="13">
        <v>21.371580547112501</v>
      </c>
      <c r="D62" s="13">
        <f>TV1_Tinh_tay!$D$69</f>
        <v>21.371580547112462</v>
      </c>
      <c r="E62" s="14">
        <f t="shared" si="2"/>
        <v>-3.907985046680551E-14</v>
      </c>
      <c r="F62" s="3" t="str">
        <f t="shared" si="3"/>
        <v>Đạt</v>
      </c>
    </row>
    <row r="63" spans="1:6" x14ac:dyDescent="0.3">
      <c r="A63" s="3" t="s">
        <v>55</v>
      </c>
      <c r="B63" s="3" t="s">
        <v>222</v>
      </c>
      <c r="C63" s="13">
        <v>12.395516717325201</v>
      </c>
      <c r="D63" s="13">
        <f>TV1_Tinh_tay!$D$70</f>
        <v>12.395516717325227</v>
      </c>
      <c r="E63" s="14">
        <f t="shared" si="2"/>
        <v>2.6645352591003757E-14</v>
      </c>
      <c r="F63" s="3" t="str">
        <f t="shared" si="3"/>
        <v>Đạt</v>
      </c>
    </row>
    <row r="64" spans="1:6" x14ac:dyDescent="0.3">
      <c r="A64" s="3" t="s">
        <v>55</v>
      </c>
      <c r="B64" s="3" t="s">
        <v>223</v>
      </c>
      <c r="C64" s="13">
        <v>7.6937689969604897</v>
      </c>
      <c r="D64" s="13">
        <f>TV1_Tinh_tay!$D$71</f>
        <v>7.6937689969604861</v>
      </c>
      <c r="E64" s="14">
        <f t="shared" si="2"/>
        <v>-3.5527136788005009E-15</v>
      </c>
      <c r="F64" s="3" t="str">
        <f t="shared" si="3"/>
        <v>Đạt</v>
      </c>
    </row>
    <row r="65" spans="1:6" x14ac:dyDescent="0.3">
      <c r="A65" s="3" t="s">
        <v>55</v>
      </c>
      <c r="B65" s="3" t="s">
        <v>224</v>
      </c>
      <c r="C65" s="13">
        <v>13.3804815729483</v>
      </c>
      <c r="D65" s="13">
        <f>TV1_Tinh_tay!$C$76</f>
        <v>13.380481572948328</v>
      </c>
      <c r="E65" s="14">
        <f t="shared" si="2"/>
        <v>2.8421709430404007E-14</v>
      </c>
      <c r="F65" s="3" t="str">
        <f t="shared" si="3"/>
        <v>Đạt</v>
      </c>
    </row>
    <row r="66" spans="1:6" x14ac:dyDescent="0.3">
      <c r="A66" s="3" t="s">
        <v>55</v>
      </c>
      <c r="B66" s="3" t="s">
        <v>225</v>
      </c>
      <c r="C66" s="13">
        <v>20</v>
      </c>
      <c r="D66" s="13">
        <f>TV1_Tinh_tay!$E$76</f>
        <v>20</v>
      </c>
      <c r="E66" s="14">
        <f t="shared" si="2"/>
        <v>0</v>
      </c>
      <c r="F66" s="3" t="str">
        <f t="shared" si="3"/>
        <v>Đạt</v>
      </c>
    </row>
    <row r="67" spans="1:6" x14ac:dyDescent="0.3">
      <c r="A67" s="3" t="s">
        <v>55</v>
      </c>
      <c r="B67" s="3" t="s">
        <v>226</v>
      </c>
      <c r="C67" s="13">
        <v>5.8071115121580599</v>
      </c>
      <c r="D67" s="13">
        <f>TV1_Tinh_tay!$C$77</f>
        <v>5.8071115121580545</v>
      </c>
      <c r="E67" s="14">
        <f t="shared" si="2"/>
        <v>-5.3290705182007514E-15</v>
      </c>
      <c r="F67" s="3" t="str">
        <f t="shared" si="3"/>
        <v>Đạt</v>
      </c>
    </row>
    <row r="68" spans="1:6" x14ac:dyDescent="0.3">
      <c r="A68" s="3" t="s">
        <v>55</v>
      </c>
      <c r="B68" s="3" t="s">
        <v>227</v>
      </c>
      <c r="C68" s="13">
        <v>20</v>
      </c>
      <c r="D68" s="13">
        <f>TV1_Tinh_tay!$E$77</f>
        <v>20</v>
      </c>
      <c r="E68" s="14">
        <f t="shared" si="2"/>
        <v>0</v>
      </c>
      <c r="F68" s="3" t="str">
        <f t="shared" si="3"/>
        <v>Đạt</v>
      </c>
    </row>
    <row r="69" spans="1:6" x14ac:dyDescent="0.3">
      <c r="A69" s="3" t="s">
        <v>55</v>
      </c>
      <c r="B69" s="3" t="s">
        <v>228</v>
      </c>
      <c r="C69" s="13">
        <v>0.62599924012158104</v>
      </c>
      <c r="D69" s="13">
        <f>TV1_Tinh_tay!$C$75</f>
        <v>0.62599924012158059</v>
      </c>
      <c r="E69" s="14">
        <f t="shared" ref="E69:E100" si="4">IFERROR(D69-C69,"")</f>
        <v>-4.4408920985006262E-16</v>
      </c>
      <c r="F69" s="3" t="str">
        <f t="shared" si="3"/>
        <v>Đạt</v>
      </c>
    </row>
    <row r="70" spans="1:6" x14ac:dyDescent="0.3">
      <c r="A70" s="3" t="s">
        <v>55</v>
      </c>
      <c r="B70" s="3" t="s">
        <v>229</v>
      </c>
      <c r="C70" s="13">
        <v>10</v>
      </c>
      <c r="D70" s="13">
        <f>TV1_Tinh_tay!$E$75</f>
        <v>10</v>
      </c>
      <c r="E70" s="14">
        <f t="shared" si="4"/>
        <v>0</v>
      </c>
      <c r="F70" s="3" t="str">
        <f t="shared" si="3"/>
        <v>Đạt</v>
      </c>
    </row>
    <row r="71" spans="1:6" x14ac:dyDescent="0.3">
      <c r="A71" s="3" t="s">
        <v>56</v>
      </c>
      <c r="B71" s="3" t="s">
        <v>63</v>
      </c>
      <c r="C71" s="13">
        <v>3881055000</v>
      </c>
      <c r="D71" s="13">
        <f>TV1_Tinh_tay!$E$7</f>
        <v>3881055000</v>
      </c>
      <c r="E71" s="14">
        <f t="shared" si="4"/>
        <v>0</v>
      </c>
      <c r="F71" s="3" t="str">
        <f>IF(AND(ISNUMBER(C71),ISNUMBER(D71)),IF(ABS(D71-C71)&lt;=1,"Đạt","Không đạt"),"Không đạt")</f>
        <v>Đạt</v>
      </c>
    </row>
    <row r="72" spans="1:6" x14ac:dyDescent="0.3">
      <c r="A72" s="3" t="s">
        <v>56</v>
      </c>
      <c r="B72" s="3" t="s">
        <v>182</v>
      </c>
      <c r="C72" s="13">
        <v>1860000000</v>
      </c>
      <c r="D72" s="13">
        <f>TV1_Tinh_tay!$E$8</f>
        <v>1860000000</v>
      </c>
      <c r="E72" s="14">
        <f t="shared" si="4"/>
        <v>0</v>
      </c>
      <c r="F72" s="3" t="str">
        <f>IF(AND(ISNUMBER(C72),ISNUMBER(D72)),IF(ABS(D72-C72)&lt;=1,"Đạt","Không đạt"),"Không đạt")</f>
        <v>Đạt</v>
      </c>
    </row>
    <row r="73" spans="1:6" x14ac:dyDescent="0.3">
      <c r="A73" s="3" t="s">
        <v>56</v>
      </c>
      <c r="B73" s="3" t="s">
        <v>69</v>
      </c>
      <c r="C73" s="13">
        <v>888463000</v>
      </c>
      <c r="D73" s="13">
        <f>TV1_Tinh_tay!$E$10</f>
        <v>888463000</v>
      </c>
      <c r="E73" s="14">
        <f t="shared" si="4"/>
        <v>0</v>
      </c>
      <c r="F73" s="3" t="str">
        <f>IF(AND(ISNUMBER(C73),ISNUMBER(D73)),IF(ABS(D73-C73)&lt;=1,"Đạt","Không đạt"),"Không đạt")</f>
        <v>Đạt</v>
      </c>
    </row>
    <row r="74" spans="1:6" x14ac:dyDescent="0.3">
      <c r="A74" s="3" t="s">
        <v>56</v>
      </c>
      <c r="B74" s="3" t="s">
        <v>71</v>
      </c>
      <c r="C74" s="13">
        <v>3029097000</v>
      </c>
      <c r="D74" s="13">
        <f>TV1_Tinh_tay!$E$11</f>
        <v>3029097000</v>
      </c>
      <c r="E74" s="14">
        <f t="shared" si="4"/>
        <v>0</v>
      </c>
      <c r="F74" s="3" t="str">
        <f>IF(AND(ISNUMBER(C74),ISNUMBER(D74)),IF(ABS(D74-C74)&lt;=1,"Đạt","Không đạt"),"Không đạt")</f>
        <v>Đạt</v>
      </c>
    </row>
    <row r="75" spans="1:6" x14ac:dyDescent="0.3">
      <c r="A75" s="3" t="s">
        <v>56</v>
      </c>
      <c r="B75" s="3" t="s">
        <v>46</v>
      </c>
      <c r="C75" s="13">
        <v>57.4</v>
      </c>
      <c r="D75" s="13">
        <f>TV1_Tinh_tay!$E$12</f>
        <v>57.376106555195861</v>
      </c>
      <c r="E75" s="14">
        <f t="shared" si="4"/>
        <v>-2.3893444804137687E-2</v>
      </c>
      <c r="F75" s="3" t="str">
        <f>IF(AND(ISNUMBER(C75),ISNUMBER(D75)),IF(ABS(D75-C75)&lt;=0.05,"Đạt","Không đạt"),"Không đạt")</f>
        <v>Đạt</v>
      </c>
    </row>
    <row r="76" spans="1:6" x14ac:dyDescent="0.3">
      <c r="A76" s="3" t="s">
        <v>56</v>
      </c>
      <c r="B76" s="3" t="s">
        <v>49</v>
      </c>
      <c r="C76" s="13">
        <v>34.4</v>
      </c>
      <c r="D76" s="13">
        <f>TV1_Tinh_tay!$E$13</f>
        <v>34.373716632443532</v>
      </c>
      <c r="E76" s="14">
        <f t="shared" si="4"/>
        <v>-2.628336755646643E-2</v>
      </c>
      <c r="F76" s="3" t="str">
        <f>IF(AND(ISNUMBER(C76),ISNUMBER(D76)),IF(ABS(D76-C76)&lt;=0.05,"Đạt","Không đạt"),"Không đạt")</f>
        <v>Đạt</v>
      </c>
    </row>
    <row r="77" spans="1:6" x14ac:dyDescent="0.3">
      <c r="A77" s="3" t="s">
        <v>56</v>
      </c>
      <c r="B77" s="3" t="s">
        <v>50</v>
      </c>
      <c r="C77" s="13">
        <v>16.399999999999999</v>
      </c>
      <c r="D77" s="13">
        <f>TV1_Tinh_tay!$E$14</f>
        <v>16.419234086242302</v>
      </c>
      <c r="E77" s="14">
        <f t="shared" si="4"/>
        <v>1.923408624230305E-2</v>
      </c>
      <c r="F77" s="3" t="str">
        <f>IF(AND(ISNUMBER(C77),ISNUMBER(D77)),IF(ABS(D77-C77)&lt;=0.05,"Đạt","Không đạt"),"Không đạt")</f>
        <v>Đạt</v>
      </c>
    </row>
    <row r="78" spans="1:6" x14ac:dyDescent="0.3">
      <c r="A78" s="3" t="s">
        <v>56</v>
      </c>
      <c r="B78" s="3" t="s">
        <v>51</v>
      </c>
      <c r="C78" s="13">
        <v>75.3</v>
      </c>
      <c r="D78" s="13">
        <f>TV1_Tinh_tay!$E$15</f>
        <v>75.330589101397095</v>
      </c>
      <c r="E78" s="14">
        <f t="shared" si="4"/>
        <v>3.0589101397097807E-2</v>
      </c>
      <c r="F78" s="3" t="str">
        <f>IF(AND(ISNUMBER(C78),ISNUMBER(D78)),IF(ABS(D78-C78)&lt;=0.05,"Đạt","Không đạt"),"Không đạt")</f>
        <v>Đạt</v>
      </c>
    </row>
    <row r="79" spans="1:6" x14ac:dyDescent="0.3">
      <c r="A79" s="3" t="s">
        <v>56</v>
      </c>
      <c r="B79" s="3" t="s">
        <v>184</v>
      </c>
      <c r="C79" s="13">
        <v>26.4</v>
      </c>
      <c r="D79" s="13">
        <f>TV1_Tinh_tay!$E$16</f>
        <v>26.397857183180331</v>
      </c>
      <c r="E79" s="14">
        <f t="shared" si="4"/>
        <v>-2.1428168196671038E-3</v>
      </c>
      <c r="F79" s="3" t="str">
        <f>IF(AND(ISNUMBER(C79),ISNUMBER(D79)),IF(ABS(D79-C79)&lt;=0.05,"Đạt","Không đạt"),"Không đạt")</f>
        <v>Đạt</v>
      </c>
    </row>
    <row r="80" spans="1:6" x14ac:dyDescent="0.3">
      <c r="A80" s="3" t="s">
        <v>56</v>
      </c>
      <c r="B80" s="3" t="s">
        <v>185</v>
      </c>
      <c r="C80" s="13">
        <v>4852592000</v>
      </c>
      <c r="D80" s="13">
        <f>TV1_Tinh_tay!$E$20</f>
        <v>4852592000</v>
      </c>
      <c r="E80" s="14">
        <f t="shared" si="4"/>
        <v>0</v>
      </c>
      <c r="F80" s="3" t="str">
        <f>IF(AND(ISNUMBER(C80),ISNUMBER(D80)),IF(ABS(D80-C80)&lt;=1,"Đạt","Không đạt"),"Không đạt")</f>
        <v>Đạt</v>
      </c>
    </row>
    <row r="81" spans="1:6" x14ac:dyDescent="0.3">
      <c r="A81" s="3" t="s">
        <v>56</v>
      </c>
      <c r="B81" s="3" t="s">
        <v>93</v>
      </c>
      <c r="C81" s="13">
        <v>8.8783848721546099E-2</v>
      </c>
      <c r="D81" s="13">
        <f>TV1_Tinh_tay!$E$25</f>
        <v>8.8783848721546071E-2</v>
      </c>
      <c r="E81" s="14">
        <f t="shared" si="4"/>
        <v>-2.7755575615628914E-17</v>
      </c>
      <c r="F81" s="3" t="str">
        <f>IF(AND(ISNUMBER(C81),ISNUMBER(D81)),IF(ABS(D81-C81)&lt;=0.0005,"Đạt","Không đạt"),"Không đạt")</f>
        <v>Đạt</v>
      </c>
    </row>
    <row r="82" spans="1:6" x14ac:dyDescent="0.3">
      <c r="A82" s="3" t="s">
        <v>56</v>
      </c>
      <c r="B82" s="3" t="s">
        <v>208</v>
      </c>
      <c r="C82" s="13">
        <v>24.418073357061601</v>
      </c>
      <c r="D82" s="13">
        <f>TV1_Tinh_tay!$D$81</f>
        <v>24.418073357061616</v>
      </c>
      <c r="E82" s="14">
        <f t="shared" si="4"/>
        <v>1.4210854715202004E-14</v>
      </c>
      <c r="F82" s="3" t="str">
        <f t="shared" ref="F82:F100" si="5">IF(AND(ISNUMBER(C82),ISNUMBER(D82)),IF(ABS(D82-C82)&lt;=0.05,"Đạt","Không đạt"),"Không đạt")</f>
        <v>Đạt</v>
      </c>
    </row>
    <row r="83" spans="1:6" x14ac:dyDescent="0.3">
      <c r="A83" s="3" t="s">
        <v>56</v>
      </c>
      <c r="B83" s="3" t="s">
        <v>209</v>
      </c>
      <c r="C83" s="13">
        <v>5.5370809407083197</v>
      </c>
      <c r="D83" s="13">
        <f>TV1_Tinh_tay!$H$81</f>
        <v>5.5370809407083152</v>
      </c>
      <c r="E83" s="14">
        <f t="shared" si="4"/>
        <v>-4.4408920985006262E-15</v>
      </c>
      <c r="F83" s="3" t="str">
        <f t="shared" si="5"/>
        <v>Đạt</v>
      </c>
    </row>
    <row r="84" spans="1:6" x14ac:dyDescent="0.3">
      <c r="A84" s="3" t="s">
        <v>56</v>
      </c>
      <c r="B84" s="3" t="s">
        <v>210</v>
      </c>
      <c r="C84" s="13">
        <v>0</v>
      </c>
      <c r="D84" s="13">
        <f>TV1_Tinh_tay!$G$81</f>
        <v>0</v>
      </c>
      <c r="E84" s="14">
        <f t="shared" si="4"/>
        <v>0</v>
      </c>
      <c r="F84" s="3" t="str">
        <f t="shared" si="5"/>
        <v>Đạt</v>
      </c>
    </row>
    <row r="85" spans="1:6" x14ac:dyDescent="0.3">
      <c r="A85" s="3" t="s">
        <v>56</v>
      </c>
      <c r="B85" s="3" t="s">
        <v>211</v>
      </c>
      <c r="C85" s="13">
        <v>19.805268296721401</v>
      </c>
      <c r="D85" s="13">
        <f>TV1_Tinh_tay!$D$83</f>
        <v>19.805268296721383</v>
      </c>
      <c r="E85" s="14">
        <f t="shared" si="4"/>
        <v>-1.7763568394002505E-14</v>
      </c>
      <c r="F85" s="3" t="str">
        <f t="shared" si="5"/>
        <v>Đạt</v>
      </c>
    </row>
    <row r="86" spans="1:6" x14ac:dyDescent="0.3">
      <c r="A86" s="3" t="s">
        <v>56</v>
      </c>
      <c r="B86" s="3" t="s">
        <v>212</v>
      </c>
      <c r="C86" s="13">
        <v>11.2220655616059</v>
      </c>
      <c r="D86" s="13">
        <f>TV1_Tinh_tay!$H$83</f>
        <v>11.222065561605897</v>
      </c>
      <c r="E86" s="14">
        <f t="shared" si="4"/>
        <v>-3.5527136788005009E-15</v>
      </c>
      <c r="F86" s="3" t="str">
        <f t="shared" si="5"/>
        <v>Đạt</v>
      </c>
    </row>
    <row r="87" spans="1:6" x14ac:dyDescent="0.3">
      <c r="A87" s="3" t="s">
        <v>56</v>
      </c>
      <c r="B87" s="3" t="s">
        <v>213</v>
      </c>
      <c r="C87" s="13">
        <v>14</v>
      </c>
      <c r="D87" s="13">
        <f>TV1_Tinh_tay!$G$83</f>
        <v>14</v>
      </c>
      <c r="E87" s="14">
        <f t="shared" si="4"/>
        <v>0</v>
      </c>
      <c r="F87" s="3" t="str">
        <f t="shared" si="5"/>
        <v>Đạt</v>
      </c>
    </row>
    <row r="88" spans="1:6" x14ac:dyDescent="0.3">
      <c r="A88" s="3" t="s">
        <v>56</v>
      </c>
      <c r="B88" s="3" t="s">
        <v>230</v>
      </c>
      <c r="C88" s="13">
        <v>13.152764901412899</v>
      </c>
      <c r="D88" s="13">
        <f>TV1_Tinh_tay!$D$82</f>
        <v>13.152764901412857</v>
      </c>
      <c r="E88" s="14">
        <f t="shared" si="4"/>
        <v>-4.2632564145606011E-14</v>
      </c>
      <c r="F88" s="3" t="str">
        <f t="shared" si="5"/>
        <v>Đạt</v>
      </c>
    </row>
    <row r="89" spans="1:6" x14ac:dyDescent="0.3">
      <c r="A89" s="3" t="s">
        <v>56</v>
      </c>
      <c r="B89" s="3" t="s">
        <v>231</v>
      </c>
      <c r="C89" s="13">
        <v>2.7339681392094999</v>
      </c>
      <c r="D89" s="13">
        <f>TV1_Tinh_tay!$H$82</f>
        <v>2.7339681392095012</v>
      </c>
      <c r="E89" s="14">
        <f t="shared" si="4"/>
        <v>1.3322676295501878E-15</v>
      </c>
      <c r="F89" s="3" t="str">
        <f t="shared" si="5"/>
        <v>Đạt</v>
      </c>
    </row>
    <row r="90" spans="1:6" x14ac:dyDescent="0.3">
      <c r="A90" s="3" t="s">
        <v>56</v>
      </c>
      <c r="B90" s="3" t="s">
        <v>232</v>
      </c>
      <c r="C90" s="13">
        <v>0</v>
      </c>
      <c r="D90" s="13">
        <f>TV1_Tinh_tay!$G$82</f>
        <v>0</v>
      </c>
      <c r="E90" s="14">
        <f t="shared" si="4"/>
        <v>0</v>
      </c>
      <c r="F90" s="3" t="str">
        <f t="shared" si="5"/>
        <v>Đạt</v>
      </c>
    </row>
    <row r="91" spans="1:6" x14ac:dyDescent="0.3">
      <c r="A91" s="3" t="s">
        <v>56</v>
      </c>
      <c r="B91" s="3" t="s">
        <v>233</v>
      </c>
      <c r="C91" s="13">
        <v>19.4045174537988</v>
      </c>
      <c r="D91" s="13">
        <f>TV1_Tinh_tay!$D$87</f>
        <v>19.404517453798768</v>
      </c>
      <c r="E91" s="14">
        <f t="shared" si="4"/>
        <v>-3.1974423109204508E-14</v>
      </c>
      <c r="F91" s="3" t="str">
        <f t="shared" si="5"/>
        <v>Đạt</v>
      </c>
    </row>
    <row r="92" spans="1:6" x14ac:dyDescent="0.3">
      <c r="A92" s="3" t="s">
        <v>56</v>
      </c>
      <c r="B92" s="3" t="s">
        <v>234</v>
      </c>
      <c r="C92" s="13">
        <v>7.0225872689938402</v>
      </c>
      <c r="D92" s="13">
        <f>TV1_Tinh_tay!$D$89</f>
        <v>7.0225872689938402</v>
      </c>
      <c r="E92" s="14">
        <f t="shared" si="4"/>
        <v>0</v>
      </c>
      <c r="F92" s="3" t="str">
        <f t="shared" si="5"/>
        <v>Đạt</v>
      </c>
    </row>
    <row r="93" spans="1:6" x14ac:dyDescent="0.3">
      <c r="A93" s="3" t="s">
        <v>56</v>
      </c>
      <c r="B93" s="3" t="s">
        <v>235</v>
      </c>
      <c r="C93" s="13">
        <v>4.8049281314168404</v>
      </c>
      <c r="D93" s="13">
        <f>TV1_Tinh_tay!$D$88</f>
        <v>4.8049281314168377</v>
      </c>
      <c r="E93" s="14">
        <f t="shared" si="4"/>
        <v>-2.6645352591003757E-15</v>
      </c>
      <c r="F93" s="3" t="str">
        <f t="shared" si="5"/>
        <v>Đạt</v>
      </c>
    </row>
    <row r="94" spans="1:6" x14ac:dyDescent="0.3">
      <c r="A94" s="3" t="s">
        <v>56</v>
      </c>
      <c r="B94" s="3" t="s">
        <v>236</v>
      </c>
      <c r="C94" s="13">
        <v>3.1416837782340901</v>
      </c>
      <c r="D94" s="13">
        <f>TV1_Tinh_tay!$D$90</f>
        <v>3.1416837782340861</v>
      </c>
      <c r="E94" s="14">
        <f t="shared" si="4"/>
        <v>-3.9968028886505635E-15</v>
      </c>
      <c r="F94" s="3" t="str">
        <f t="shared" si="5"/>
        <v>Đạt</v>
      </c>
    </row>
    <row r="95" spans="1:6" x14ac:dyDescent="0.3">
      <c r="A95" s="3" t="s">
        <v>56</v>
      </c>
      <c r="B95" s="3" t="s">
        <v>237</v>
      </c>
      <c r="C95" s="13">
        <v>10.8127515400411</v>
      </c>
      <c r="D95" s="13">
        <f>TV1_Tinh_tay!$C$94</f>
        <v>10.812751540041068</v>
      </c>
      <c r="E95" s="14">
        <f t="shared" si="4"/>
        <v>-3.1974423109204508E-14</v>
      </c>
      <c r="F95" s="3" t="str">
        <f t="shared" si="5"/>
        <v>Đạt</v>
      </c>
    </row>
    <row r="96" spans="1:6" x14ac:dyDescent="0.3">
      <c r="A96" s="3" t="s">
        <v>56</v>
      </c>
      <c r="B96" s="3" t="s">
        <v>238</v>
      </c>
      <c r="C96" s="13">
        <v>30</v>
      </c>
      <c r="D96" s="13">
        <f>TV1_Tinh_tay!$E$94</f>
        <v>30</v>
      </c>
      <c r="E96" s="14">
        <f t="shared" si="4"/>
        <v>0</v>
      </c>
      <c r="F96" s="3" t="str">
        <f t="shared" si="5"/>
        <v>Đạt</v>
      </c>
    </row>
    <row r="97" spans="1:6" x14ac:dyDescent="0.3">
      <c r="A97" s="3" t="s">
        <v>56</v>
      </c>
      <c r="B97" s="3" t="s">
        <v>239</v>
      </c>
      <c r="C97" s="13">
        <v>4.5821273100616002</v>
      </c>
      <c r="D97" s="13">
        <f>TV1_Tinh_tay!$C$95</f>
        <v>4.582127310061602</v>
      </c>
      <c r="E97" s="14">
        <f t="shared" si="4"/>
        <v>1.7763568394002505E-15</v>
      </c>
      <c r="F97" s="3" t="str">
        <f t="shared" si="5"/>
        <v>Đạt</v>
      </c>
    </row>
    <row r="98" spans="1:6" x14ac:dyDescent="0.3">
      <c r="A98" s="3" t="s">
        <v>56</v>
      </c>
      <c r="B98" s="3" t="s">
        <v>240</v>
      </c>
      <c r="C98" s="13">
        <v>30</v>
      </c>
      <c r="D98" s="13">
        <f>TV1_Tinh_tay!$E$95</f>
        <v>30</v>
      </c>
      <c r="E98" s="14">
        <f t="shared" si="4"/>
        <v>0</v>
      </c>
      <c r="F98" s="3" t="str">
        <f t="shared" si="5"/>
        <v>Đạt</v>
      </c>
    </row>
    <row r="99" spans="1:6" x14ac:dyDescent="0.3">
      <c r="A99" s="3" t="s">
        <v>56</v>
      </c>
      <c r="B99" s="3" t="s">
        <v>241</v>
      </c>
      <c r="C99" s="13">
        <v>1.02435523613963</v>
      </c>
      <c r="D99" s="13">
        <f>TV1_Tinh_tay!$C$96</f>
        <v>1.0243552361396304</v>
      </c>
      <c r="E99" s="14">
        <f t="shared" si="4"/>
        <v>4.4408920985006262E-16</v>
      </c>
      <c r="F99" s="3" t="str">
        <f t="shared" si="5"/>
        <v>Đạt</v>
      </c>
    </row>
    <row r="100" spans="1:6" x14ac:dyDescent="0.3">
      <c r="A100" s="3" t="s">
        <v>56</v>
      </c>
      <c r="B100" s="3" t="s">
        <v>242</v>
      </c>
      <c r="C100" s="13">
        <v>10</v>
      </c>
      <c r="D100" s="13">
        <f>TV1_Tinh_tay!$E$96</f>
        <v>10</v>
      </c>
      <c r="E100" s="14">
        <f t="shared" si="4"/>
        <v>0</v>
      </c>
      <c r="F100" s="3" t="str">
        <f t="shared" si="5"/>
        <v>Đạt</v>
      </c>
    </row>
  </sheetData>
  <mergeCells count="2">
    <mergeCell ref="A1:I1"/>
    <mergeCell ref="A2:I2"/>
  </mergeCells>
  <conditionalFormatting sqref="F5:F101">
    <cfRule type="cellIs" dxfId="1" priority="2" operator="equal">
      <formula>"Không đạt"</formula>
    </cfRule>
    <cfRule type="cellIs" dxfId="0" priority="3" operator="equal">
      <formula>"Đạt"</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7"/>
  <sheetViews>
    <sheetView showGridLines="0" workbookViewId="0">
      <pane ySplit="4" topLeftCell="A17" activePane="bottomLeft" state="frozen"/>
      <selection pane="bottomLeft" sqref="A1:C1"/>
    </sheetView>
  </sheetViews>
  <sheetFormatPr defaultColWidth="8.6640625" defaultRowHeight="14.4" x14ac:dyDescent="0.3"/>
  <cols>
    <col min="1" max="1" width="12" customWidth="1"/>
    <col min="2" max="2" width="35" customWidth="1"/>
    <col min="3" max="3" width="105" customWidth="1"/>
    <col min="4" max="5" width="24" customWidth="1"/>
    <col min="6" max="6" width="20" customWidth="1"/>
  </cols>
  <sheetData>
    <row r="1" spans="1:6" ht="25.95" customHeight="1" x14ac:dyDescent="0.3">
      <c r="A1" s="41" t="s">
        <v>1399</v>
      </c>
      <c r="B1" s="41"/>
      <c r="C1" s="41"/>
    </row>
    <row r="4" spans="1:6" ht="31.95" customHeight="1" x14ac:dyDescent="0.3">
      <c r="A4" s="24" t="s">
        <v>176</v>
      </c>
      <c r="B4" s="24" t="s">
        <v>1400</v>
      </c>
      <c r="C4" s="24" t="s">
        <v>1401</v>
      </c>
    </row>
    <row r="5" spans="1:6" ht="25.95" customHeight="1" x14ac:dyDescent="0.3">
      <c r="A5" s="23" t="s">
        <v>54</v>
      </c>
      <c r="B5" s="23" t="s">
        <v>1402</v>
      </c>
      <c r="C5" s="23" t="s">
        <v>1403</v>
      </c>
    </row>
    <row r="6" spans="1:6" ht="25.95" customHeight="1" x14ac:dyDescent="0.3">
      <c r="A6" s="23" t="s">
        <v>55</v>
      </c>
      <c r="B6" s="23" t="s">
        <v>1402</v>
      </c>
      <c r="C6" s="23" t="s">
        <v>1404</v>
      </c>
    </row>
    <row r="7" spans="1:6" ht="25.95" customHeight="1" x14ac:dyDescent="0.3">
      <c r="A7" s="23" t="s">
        <v>56</v>
      </c>
      <c r="B7" s="23" t="s">
        <v>1402</v>
      </c>
      <c r="C7" s="23" t="s">
        <v>1405</v>
      </c>
    </row>
    <row r="8" spans="1:6" ht="25.95" customHeight="1" x14ac:dyDescent="0.3">
      <c r="A8" s="23" t="s">
        <v>1406</v>
      </c>
      <c r="B8" s="23" t="s">
        <v>1407</v>
      </c>
      <c r="C8" s="23" t="s">
        <v>1408</v>
      </c>
    </row>
    <row r="9" spans="1:6" ht="37.049999999999997" customHeight="1" x14ac:dyDescent="0.3">
      <c r="A9" s="23" t="s">
        <v>1409</v>
      </c>
      <c r="B9" s="23" t="s">
        <v>1410</v>
      </c>
      <c r="C9" s="23" t="s">
        <v>1411</v>
      </c>
    </row>
    <row r="10" spans="1:6" ht="37.049999999999997" customHeight="1" x14ac:dyDescent="0.3">
      <c r="A10" s="23" t="s">
        <v>1412</v>
      </c>
      <c r="B10" s="23" t="s">
        <v>1413</v>
      </c>
      <c r="C10" s="23" t="s">
        <v>1414</v>
      </c>
    </row>
    <row r="11" spans="1:6" ht="37.049999999999997" customHeight="1" x14ac:dyDescent="0.3">
      <c r="A11" s="23" t="s">
        <v>1415</v>
      </c>
      <c r="B11" s="23" t="s">
        <v>1416</v>
      </c>
      <c r="C11" s="23" t="s">
        <v>1417</v>
      </c>
    </row>
    <row r="14" spans="1:6" ht="36" customHeight="1" x14ac:dyDescent="0.3">
      <c r="A14" s="30" t="s">
        <v>176</v>
      </c>
      <c r="B14" s="30" t="s">
        <v>1418</v>
      </c>
      <c r="C14" s="30" t="s">
        <v>1419</v>
      </c>
      <c r="D14" s="30" t="s">
        <v>1420</v>
      </c>
      <c r="E14" s="30" t="s">
        <v>1421</v>
      </c>
      <c r="F14" s="30" t="s">
        <v>1422</v>
      </c>
    </row>
    <row r="15" spans="1:6" ht="25.95" customHeight="1" x14ac:dyDescent="0.3">
      <c r="A15" s="28" t="s">
        <v>54</v>
      </c>
      <c r="B15" s="31">
        <f>TV1_Tinh_tay!C12</f>
        <v>49.988585582352393</v>
      </c>
      <c r="C15" s="31">
        <f>TV1_Tinh_tay!C15</f>
        <v>69.049796889772878</v>
      </c>
      <c r="D15" s="32">
        <f>TV1_Tinh_tay!C20</f>
        <v>6410678000</v>
      </c>
      <c r="E15" s="32">
        <f>TV1_Tinh_tay!C103</f>
        <v>341170000</v>
      </c>
      <c r="F15" s="33">
        <f>TV1_Tinh_tay!C106</f>
        <v>0.20002966957098298</v>
      </c>
    </row>
    <row r="16" spans="1:6" ht="25.95" customHeight="1" x14ac:dyDescent="0.3">
      <c r="A16" s="28" t="s">
        <v>55</v>
      </c>
      <c r="B16" s="31">
        <f>TV1_Tinh_tay!D12</f>
        <v>36.988903445313319</v>
      </c>
      <c r="C16" s="31">
        <f>TV1_Tinh_tay!D15</f>
        <v>85.991800481787465</v>
      </c>
      <c r="D16" s="32">
        <f>TV1_Tinh_tay!D20</f>
        <v>10539893000</v>
      </c>
      <c r="E16" s="32">
        <f>TV1_Tinh_tay!D103</f>
        <v>0</v>
      </c>
      <c r="F16" s="33">
        <f>TV1_Tinh_tay!D106</f>
        <v>9.9999786284143785E-2</v>
      </c>
    </row>
    <row r="17" spans="1:6" ht="25.95" customHeight="1" x14ac:dyDescent="0.3">
      <c r="A17" s="28" t="s">
        <v>56</v>
      </c>
      <c r="B17" s="31">
        <f>TV1_Tinh_tay!E12</f>
        <v>57.376106555195861</v>
      </c>
      <c r="C17" s="31">
        <f>TV1_Tinh_tay!E15</f>
        <v>75.330589101397095</v>
      </c>
      <c r="D17" s="32">
        <f>TV1_Tinh_tay!E20</f>
        <v>4852592000</v>
      </c>
      <c r="E17" s="32">
        <f>TV1_Tinh_tay!E103</f>
        <v>0</v>
      </c>
      <c r="F17" s="33">
        <f>TV1_Tinh_tay!E106</f>
        <v>0.20004099995203531</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5"/>
  <sheetViews>
    <sheetView showGridLines="0" workbookViewId="0">
      <pane ySplit="2" topLeftCell="A3" activePane="bottomLeft" state="frozen"/>
      <selection pane="bottomLeft"/>
    </sheetView>
  </sheetViews>
  <sheetFormatPr defaultColWidth="8.6640625" defaultRowHeight="14.4" x14ac:dyDescent="0.3"/>
  <cols>
    <col min="1" max="1" width="16" customWidth="1"/>
    <col min="2" max="2" width="36" customWidth="1"/>
    <col min="3" max="3" width="30" customWidth="1"/>
    <col min="4" max="4" width="60" customWidth="1"/>
    <col min="5" max="5" width="16" customWidth="1"/>
  </cols>
  <sheetData>
    <row r="1" spans="1:5" x14ac:dyDescent="0.3">
      <c r="A1" s="1" t="s">
        <v>243</v>
      </c>
    </row>
    <row r="2" spans="1:5" ht="27.6" x14ac:dyDescent="0.3">
      <c r="A2" s="2" t="s">
        <v>244</v>
      </c>
      <c r="B2" s="2" t="s">
        <v>245</v>
      </c>
      <c r="C2" s="2" t="s">
        <v>246</v>
      </c>
      <c r="D2" s="2" t="s">
        <v>247</v>
      </c>
      <c r="E2" s="2" t="s">
        <v>248</v>
      </c>
    </row>
    <row r="3" spans="1:5" x14ac:dyDescent="0.3">
      <c r="A3" s="15" t="s">
        <v>54</v>
      </c>
      <c r="B3" s="15" t="s">
        <v>249</v>
      </c>
      <c r="C3" s="15" t="s">
        <v>250</v>
      </c>
      <c r="D3" s="15" t="s">
        <v>251</v>
      </c>
      <c r="E3" s="16">
        <v>500000000</v>
      </c>
    </row>
    <row r="4" spans="1:5" x14ac:dyDescent="0.3">
      <c r="A4" s="15" t="s">
        <v>55</v>
      </c>
      <c r="B4" s="15" t="s">
        <v>252</v>
      </c>
      <c r="C4" s="15" t="s">
        <v>253</v>
      </c>
      <c r="D4" s="15" t="s">
        <v>254</v>
      </c>
      <c r="E4" s="16">
        <v>800000000</v>
      </c>
    </row>
    <row r="5" spans="1:5" x14ac:dyDescent="0.3">
      <c r="A5" s="15" t="s">
        <v>56</v>
      </c>
      <c r="B5" s="15" t="s">
        <v>255</v>
      </c>
      <c r="C5" s="15" t="s">
        <v>256</v>
      </c>
      <c r="D5" s="15" t="s">
        <v>257</v>
      </c>
      <c r="E5" s="16">
        <v>300000000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
  <sheetViews>
    <sheetView showGridLines="0" workbookViewId="0">
      <pane ySplit="2" topLeftCell="A3" activePane="bottomLeft" state="frozen"/>
      <selection pane="bottomLeft"/>
    </sheetView>
  </sheetViews>
  <sheetFormatPr defaultColWidth="8.6640625" defaultRowHeight="14.4" x14ac:dyDescent="0.3"/>
  <cols>
    <col min="1" max="2" width="16" customWidth="1"/>
    <col min="3" max="3" width="30" customWidth="1"/>
    <col min="4" max="6" width="16" customWidth="1"/>
  </cols>
  <sheetData>
    <row r="1" spans="1:6" x14ac:dyDescent="0.3">
      <c r="A1" s="1" t="s">
        <v>258</v>
      </c>
    </row>
    <row r="2" spans="1:6" ht="27.6" x14ac:dyDescent="0.3">
      <c r="A2" s="2" t="s">
        <v>244</v>
      </c>
      <c r="B2" s="2" t="s">
        <v>259</v>
      </c>
      <c r="C2" s="2" t="s">
        <v>260</v>
      </c>
      <c r="D2" s="2" t="s">
        <v>261</v>
      </c>
      <c r="E2" s="2" t="s">
        <v>262</v>
      </c>
      <c r="F2" s="2" t="s">
        <v>263</v>
      </c>
    </row>
    <row r="3" spans="1:6" x14ac:dyDescent="0.3">
      <c r="A3" s="15" t="s">
        <v>54</v>
      </c>
      <c r="B3" s="15" t="s">
        <v>264</v>
      </c>
      <c r="C3" s="15">
        <v>90</v>
      </c>
      <c r="D3" s="16">
        <v>8844078000</v>
      </c>
      <c r="E3" s="16">
        <v>7075000000</v>
      </c>
      <c r="F3" s="16">
        <v>1200000000</v>
      </c>
    </row>
    <row r="4" spans="1:6" x14ac:dyDescent="0.3">
      <c r="A4" s="15" t="s">
        <v>55</v>
      </c>
      <c r="B4" s="15" t="s">
        <v>264</v>
      </c>
      <c r="C4" s="15">
        <v>90</v>
      </c>
      <c r="D4" s="16">
        <v>11697775000</v>
      </c>
      <c r="E4" s="16">
        <v>10528000000</v>
      </c>
      <c r="F4" s="16">
        <v>2000000000</v>
      </c>
    </row>
    <row r="5" spans="1:6" x14ac:dyDescent="0.3">
      <c r="A5" s="15" t="s">
        <v>56</v>
      </c>
      <c r="B5" s="15" t="s">
        <v>264</v>
      </c>
      <c r="C5" s="15">
        <v>90</v>
      </c>
      <c r="D5" s="16">
        <v>6087812000</v>
      </c>
      <c r="E5" s="16">
        <v>4870000000</v>
      </c>
      <c r="F5" s="16">
        <v>700000000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263"/>
  <sheetViews>
    <sheetView showGridLines="0" workbookViewId="0">
      <pane ySplit="2" topLeftCell="A3" activePane="bottomLeft" state="frozen"/>
      <selection pane="bottomLeft"/>
    </sheetView>
  </sheetViews>
  <sheetFormatPr defaultColWidth="8.6640625" defaultRowHeight="14.4" x14ac:dyDescent="0.3"/>
  <cols>
    <col min="1" max="2" width="16" customWidth="1"/>
    <col min="3" max="3" width="30" customWidth="1"/>
    <col min="4" max="16" width="16" customWidth="1"/>
  </cols>
  <sheetData>
    <row r="1" spans="1:19" x14ac:dyDescent="0.3">
      <c r="A1" s="1" t="s">
        <v>265</v>
      </c>
    </row>
    <row r="2" spans="1:19" ht="42" x14ac:dyDescent="0.3">
      <c r="A2" s="29" t="s">
        <v>266</v>
      </c>
      <c r="B2" s="29" t="s">
        <v>244</v>
      </c>
      <c r="C2" s="29" t="s">
        <v>267</v>
      </c>
      <c r="D2" s="29" t="s">
        <v>268</v>
      </c>
      <c r="E2" s="29" t="s">
        <v>269</v>
      </c>
      <c r="F2" s="29" t="s">
        <v>270</v>
      </c>
      <c r="G2" s="29" t="s">
        <v>271</v>
      </c>
      <c r="H2" s="29" t="s">
        <v>272</v>
      </c>
      <c r="I2" s="29" t="s">
        <v>273</v>
      </c>
      <c r="J2" s="29" t="s">
        <v>274</v>
      </c>
      <c r="K2" s="29" t="s">
        <v>275</v>
      </c>
      <c r="L2" s="29" t="s">
        <v>276</v>
      </c>
      <c r="M2" s="29" t="s">
        <v>277</v>
      </c>
      <c r="N2" s="29" t="s">
        <v>278</v>
      </c>
      <c r="O2" s="29" t="s">
        <v>279</v>
      </c>
      <c r="P2" s="29" t="s">
        <v>280</v>
      </c>
      <c r="Q2" s="30" t="s">
        <v>1423</v>
      </c>
      <c r="R2" s="30" t="s">
        <v>1424</v>
      </c>
      <c r="S2" s="30" t="s">
        <v>1425</v>
      </c>
    </row>
    <row r="3" spans="1:19" x14ac:dyDescent="0.3">
      <c r="A3" s="15" t="s">
        <v>281</v>
      </c>
      <c r="B3" s="15" t="s">
        <v>54</v>
      </c>
      <c r="C3" s="15" t="s">
        <v>127</v>
      </c>
      <c r="D3" s="16">
        <v>517325000</v>
      </c>
      <c r="E3" s="17">
        <v>46116</v>
      </c>
      <c r="F3" s="17">
        <v>46161</v>
      </c>
      <c r="G3" s="17">
        <v>46191</v>
      </c>
      <c r="H3" s="18">
        <f>IF(AND(E3&lt;=Quy_uoc_chung!$C$4,OR(G3="",G3&gt;Quy_uoc_chung!$C$4)),1,0)</f>
        <v>0</v>
      </c>
      <c r="I3" s="18">
        <f>IF(AND(E3&gt;=Quy_uoc_chung!$C$4-Quy_uoc_chung!$C$3+1,E3&lt;=Quy_uoc_chung!$C$4),1,0)</f>
        <v>0</v>
      </c>
      <c r="J3" s="19" t="str">
        <f>IF(H3=1,Quy_uoc_chung!$C$4-F3,"")</f>
        <v/>
      </c>
      <c r="K3" s="18" t="str">
        <f t="shared" ref="K3:K66" si="0">IF(H3=1,IF(J3&lt;=0,"Chưa đến hạn",IF(J3&lt;=30,"Quá hạn 1–30 ngày",IF(J3&lt;=60,"Quá hạn 31–60 ngày","Quá hạn &gt; 60 ngày"))),"")</f>
        <v/>
      </c>
      <c r="L3" s="18">
        <f>IF(AND(G3&lt;&gt;"",G3&gt;Quy_uoc_chung!$C$4-TV1_Nguong!$C$4,G3&lt;=Quy_uoc_chung!$C$4),1,0)</f>
        <v>1</v>
      </c>
      <c r="M3" s="19">
        <f t="shared" ref="M3:M66" si="1">IF(L3=1,G3-F3,"")</f>
        <v>30</v>
      </c>
      <c r="N3" s="20">
        <f t="shared" ref="N3:N66" si="2">IF(L3=1,D3*M3,0)</f>
        <v>15519750000</v>
      </c>
      <c r="O3" s="19">
        <f t="shared" ref="O3:O66" si="3">F3-E3</f>
        <v>45</v>
      </c>
      <c r="P3" s="20">
        <f t="shared" ref="P3:P66" si="4">IF(L3=1,D3*O3,0)</f>
        <v>23279625000</v>
      </c>
      <c r="Q3" s="28">
        <f t="shared" ref="Q3:Q66" si="5">IF(L3=1,MAX(0,G3-F3),0)</f>
        <v>30</v>
      </c>
      <c r="R3" s="28">
        <f t="shared" ref="R3:R66" si="6">D3*Q3</f>
        <v>15519750000</v>
      </c>
      <c r="S3" s="28">
        <f t="shared" ref="S3:S66" si="7">IF(L3=1,D3*(G3-E3),0)</f>
        <v>38799375000</v>
      </c>
    </row>
    <row r="4" spans="1:19" x14ac:dyDescent="0.3">
      <c r="A4" s="15" t="s">
        <v>282</v>
      </c>
      <c r="B4" s="15" t="s">
        <v>54</v>
      </c>
      <c r="C4" s="15" t="s">
        <v>126</v>
      </c>
      <c r="D4" s="16">
        <v>192270000</v>
      </c>
      <c r="E4" s="17">
        <v>46115</v>
      </c>
      <c r="F4" s="17">
        <v>46145</v>
      </c>
      <c r="G4" s="17">
        <v>46142</v>
      </c>
      <c r="H4" s="18">
        <f>IF(AND(E4&lt;=Quy_uoc_chung!$C$4,OR(G4="",G4&gt;Quy_uoc_chung!$C$4)),1,0)</f>
        <v>0</v>
      </c>
      <c r="I4" s="18">
        <f>IF(AND(E4&gt;=Quy_uoc_chung!$C$4-Quy_uoc_chung!$C$3+1,E4&lt;=Quy_uoc_chung!$C$4),1,0)</f>
        <v>0</v>
      </c>
      <c r="J4" s="19" t="str">
        <f>IF(H4=1,Quy_uoc_chung!$C$4-F4,"")</f>
        <v/>
      </c>
      <c r="K4" s="18" t="str">
        <f t="shared" si="0"/>
        <v/>
      </c>
      <c r="L4" s="18">
        <f>IF(AND(G4&lt;&gt;"",G4&gt;Quy_uoc_chung!$C$4-TV1_Nguong!$C$4,G4&lt;=Quy_uoc_chung!$C$4),1,0)</f>
        <v>1</v>
      </c>
      <c r="M4" s="19">
        <f t="shared" si="1"/>
        <v>-3</v>
      </c>
      <c r="N4" s="20">
        <f t="shared" si="2"/>
        <v>-576810000</v>
      </c>
      <c r="O4" s="19">
        <f t="shared" si="3"/>
        <v>30</v>
      </c>
      <c r="P4" s="20">
        <f t="shared" si="4"/>
        <v>5768100000</v>
      </c>
      <c r="Q4" s="28">
        <f t="shared" si="5"/>
        <v>0</v>
      </c>
      <c r="R4" s="28">
        <f t="shared" si="6"/>
        <v>0</v>
      </c>
      <c r="S4" s="28">
        <f t="shared" si="7"/>
        <v>5191290000</v>
      </c>
    </row>
    <row r="5" spans="1:19" x14ac:dyDescent="0.3">
      <c r="A5" s="15" t="s">
        <v>283</v>
      </c>
      <c r="B5" s="15" t="s">
        <v>54</v>
      </c>
      <c r="C5" s="15" t="s">
        <v>128</v>
      </c>
      <c r="D5" s="16">
        <v>86647000</v>
      </c>
      <c r="E5" s="17">
        <v>46116</v>
      </c>
      <c r="F5" s="17">
        <v>46146</v>
      </c>
      <c r="G5" s="17">
        <v>46153</v>
      </c>
      <c r="H5" s="18">
        <f>IF(AND(E5&lt;=Quy_uoc_chung!$C$4,OR(G5="",G5&gt;Quy_uoc_chung!$C$4)),1,0)</f>
        <v>0</v>
      </c>
      <c r="I5" s="18">
        <f>IF(AND(E5&gt;=Quy_uoc_chung!$C$4-Quy_uoc_chung!$C$3+1,E5&lt;=Quy_uoc_chung!$C$4),1,0)</f>
        <v>0</v>
      </c>
      <c r="J5" s="19" t="str">
        <f>IF(H5=1,Quy_uoc_chung!$C$4-F5,"")</f>
        <v/>
      </c>
      <c r="K5" s="18" t="str">
        <f t="shared" si="0"/>
        <v/>
      </c>
      <c r="L5" s="18">
        <f>IF(AND(G5&lt;&gt;"",G5&gt;Quy_uoc_chung!$C$4-TV1_Nguong!$C$4,G5&lt;=Quy_uoc_chung!$C$4),1,0)</f>
        <v>1</v>
      </c>
      <c r="M5" s="19">
        <f t="shared" si="1"/>
        <v>7</v>
      </c>
      <c r="N5" s="20">
        <f t="shared" si="2"/>
        <v>606529000</v>
      </c>
      <c r="O5" s="19">
        <f t="shared" si="3"/>
        <v>30</v>
      </c>
      <c r="P5" s="20">
        <f t="shared" si="4"/>
        <v>2599410000</v>
      </c>
      <c r="Q5" s="28">
        <f t="shared" si="5"/>
        <v>7</v>
      </c>
      <c r="R5" s="28">
        <f t="shared" si="6"/>
        <v>606529000</v>
      </c>
      <c r="S5" s="28">
        <f t="shared" si="7"/>
        <v>3205939000</v>
      </c>
    </row>
    <row r="6" spans="1:19" x14ac:dyDescent="0.3">
      <c r="A6" s="15" t="s">
        <v>284</v>
      </c>
      <c r="B6" s="15" t="s">
        <v>54</v>
      </c>
      <c r="C6" s="15" t="s">
        <v>127</v>
      </c>
      <c r="D6" s="16">
        <v>370396000</v>
      </c>
      <c r="E6" s="17">
        <v>46123</v>
      </c>
      <c r="F6" s="17">
        <v>46168</v>
      </c>
      <c r="G6" s="17">
        <v>46185</v>
      </c>
      <c r="H6" s="18">
        <f>IF(AND(E6&lt;=Quy_uoc_chung!$C$4,OR(G6="",G6&gt;Quy_uoc_chung!$C$4)),1,0)</f>
        <v>0</v>
      </c>
      <c r="I6" s="18">
        <f>IF(AND(E6&gt;=Quy_uoc_chung!$C$4-Quy_uoc_chung!$C$3+1,E6&lt;=Quy_uoc_chung!$C$4),1,0)</f>
        <v>0</v>
      </c>
      <c r="J6" s="19" t="str">
        <f>IF(H6=1,Quy_uoc_chung!$C$4-F6,"")</f>
        <v/>
      </c>
      <c r="K6" s="18" t="str">
        <f t="shared" si="0"/>
        <v/>
      </c>
      <c r="L6" s="18">
        <f>IF(AND(G6&lt;&gt;"",G6&gt;Quy_uoc_chung!$C$4-TV1_Nguong!$C$4,G6&lt;=Quy_uoc_chung!$C$4),1,0)</f>
        <v>1</v>
      </c>
      <c r="M6" s="19">
        <f t="shared" si="1"/>
        <v>17</v>
      </c>
      <c r="N6" s="20">
        <f t="shared" si="2"/>
        <v>6296732000</v>
      </c>
      <c r="O6" s="19">
        <f t="shared" si="3"/>
        <v>45</v>
      </c>
      <c r="P6" s="20">
        <f t="shared" si="4"/>
        <v>16667820000</v>
      </c>
      <c r="Q6" s="28">
        <f t="shared" si="5"/>
        <v>17</v>
      </c>
      <c r="R6" s="28">
        <f t="shared" si="6"/>
        <v>6296732000</v>
      </c>
      <c r="S6" s="28">
        <f t="shared" si="7"/>
        <v>22964552000</v>
      </c>
    </row>
    <row r="7" spans="1:19" x14ac:dyDescent="0.3">
      <c r="A7" s="15" t="s">
        <v>285</v>
      </c>
      <c r="B7" s="15" t="s">
        <v>54</v>
      </c>
      <c r="C7" s="15" t="s">
        <v>126</v>
      </c>
      <c r="D7" s="16">
        <v>163695000</v>
      </c>
      <c r="E7" s="17">
        <v>46120</v>
      </c>
      <c r="F7" s="17">
        <v>46150</v>
      </c>
      <c r="G7" s="17">
        <v>46153</v>
      </c>
      <c r="H7" s="18">
        <f>IF(AND(E7&lt;=Quy_uoc_chung!$C$4,OR(G7="",G7&gt;Quy_uoc_chung!$C$4)),1,0)</f>
        <v>0</v>
      </c>
      <c r="I7" s="18">
        <f>IF(AND(E7&gt;=Quy_uoc_chung!$C$4-Quy_uoc_chung!$C$3+1,E7&lt;=Quy_uoc_chung!$C$4),1,0)</f>
        <v>0</v>
      </c>
      <c r="J7" s="19" t="str">
        <f>IF(H7=1,Quy_uoc_chung!$C$4-F7,"")</f>
        <v/>
      </c>
      <c r="K7" s="18" t="str">
        <f t="shared" si="0"/>
        <v/>
      </c>
      <c r="L7" s="18">
        <f>IF(AND(G7&lt;&gt;"",G7&gt;Quy_uoc_chung!$C$4-TV1_Nguong!$C$4,G7&lt;=Quy_uoc_chung!$C$4),1,0)</f>
        <v>1</v>
      </c>
      <c r="M7" s="19">
        <f t="shared" si="1"/>
        <v>3</v>
      </c>
      <c r="N7" s="20">
        <f t="shared" si="2"/>
        <v>491085000</v>
      </c>
      <c r="O7" s="19">
        <f t="shared" si="3"/>
        <v>30</v>
      </c>
      <c r="P7" s="20">
        <f t="shared" si="4"/>
        <v>4910850000</v>
      </c>
      <c r="Q7" s="28">
        <f t="shared" si="5"/>
        <v>3</v>
      </c>
      <c r="R7" s="28">
        <f t="shared" si="6"/>
        <v>491085000</v>
      </c>
      <c r="S7" s="28">
        <f t="shared" si="7"/>
        <v>5401935000</v>
      </c>
    </row>
    <row r="8" spans="1:19" x14ac:dyDescent="0.3">
      <c r="A8" s="15" t="s">
        <v>286</v>
      </c>
      <c r="B8" s="15" t="s">
        <v>54</v>
      </c>
      <c r="C8" s="15" t="s">
        <v>128</v>
      </c>
      <c r="D8" s="16">
        <v>81297000</v>
      </c>
      <c r="E8" s="17">
        <v>46124</v>
      </c>
      <c r="F8" s="17">
        <v>46154</v>
      </c>
      <c r="G8" s="17">
        <v>46165</v>
      </c>
      <c r="H8" s="18">
        <f>IF(AND(E8&lt;=Quy_uoc_chung!$C$4,OR(G8="",G8&gt;Quy_uoc_chung!$C$4)),1,0)</f>
        <v>0</v>
      </c>
      <c r="I8" s="18">
        <f>IF(AND(E8&gt;=Quy_uoc_chung!$C$4-Quy_uoc_chung!$C$3+1,E8&lt;=Quy_uoc_chung!$C$4),1,0)</f>
        <v>0</v>
      </c>
      <c r="J8" s="19" t="str">
        <f>IF(H8=1,Quy_uoc_chung!$C$4-F8,"")</f>
        <v/>
      </c>
      <c r="K8" s="18" t="str">
        <f t="shared" si="0"/>
        <v/>
      </c>
      <c r="L8" s="18">
        <f>IF(AND(G8&lt;&gt;"",G8&gt;Quy_uoc_chung!$C$4-TV1_Nguong!$C$4,G8&lt;=Quy_uoc_chung!$C$4),1,0)</f>
        <v>1</v>
      </c>
      <c r="M8" s="19">
        <f t="shared" si="1"/>
        <v>11</v>
      </c>
      <c r="N8" s="20">
        <f t="shared" si="2"/>
        <v>894267000</v>
      </c>
      <c r="O8" s="19">
        <f t="shared" si="3"/>
        <v>30</v>
      </c>
      <c r="P8" s="20">
        <f t="shared" si="4"/>
        <v>2438910000</v>
      </c>
      <c r="Q8" s="28">
        <f t="shared" si="5"/>
        <v>11</v>
      </c>
      <c r="R8" s="28">
        <f t="shared" si="6"/>
        <v>894267000</v>
      </c>
      <c r="S8" s="28">
        <f t="shared" si="7"/>
        <v>3333177000</v>
      </c>
    </row>
    <row r="9" spans="1:19" x14ac:dyDescent="0.3">
      <c r="A9" s="15" t="s">
        <v>287</v>
      </c>
      <c r="B9" s="15" t="s">
        <v>54</v>
      </c>
      <c r="C9" s="15" t="s">
        <v>127</v>
      </c>
      <c r="D9" s="16">
        <v>392947000</v>
      </c>
      <c r="E9" s="17">
        <v>46127</v>
      </c>
      <c r="F9" s="17">
        <v>46172</v>
      </c>
      <c r="G9" s="17">
        <v>46188</v>
      </c>
      <c r="H9" s="18">
        <f>IF(AND(E9&lt;=Quy_uoc_chung!$C$4,OR(G9="",G9&gt;Quy_uoc_chung!$C$4)),1,0)</f>
        <v>0</v>
      </c>
      <c r="I9" s="18">
        <f>IF(AND(E9&gt;=Quy_uoc_chung!$C$4-Quy_uoc_chung!$C$3+1,E9&lt;=Quy_uoc_chung!$C$4),1,0)</f>
        <v>0</v>
      </c>
      <c r="J9" s="19" t="str">
        <f>IF(H9=1,Quy_uoc_chung!$C$4-F9,"")</f>
        <v/>
      </c>
      <c r="K9" s="18" t="str">
        <f t="shared" si="0"/>
        <v/>
      </c>
      <c r="L9" s="18">
        <f>IF(AND(G9&lt;&gt;"",G9&gt;Quy_uoc_chung!$C$4-TV1_Nguong!$C$4,G9&lt;=Quy_uoc_chung!$C$4),1,0)</f>
        <v>1</v>
      </c>
      <c r="M9" s="19">
        <f t="shared" si="1"/>
        <v>16</v>
      </c>
      <c r="N9" s="20">
        <f t="shared" si="2"/>
        <v>6287152000</v>
      </c>
      <c r="O9" s="19">
        <f t="shared" si="3"/>
        <v>45</v>
      </c>
      <c r="P9" s="20">
        <f t="shared" si="4"/>
        <v>17682615000</v>
      </c>
      <c r="Q9" s="28">
        <f t="shared" si="5"/>
        <v>16</v>
      </c>
      <c r="R9" s="28">
        <f t="shared" si="6"/>
        <v>6287152000</v>
      </c>
      <c r="S9" s="28">
        <f t="shared" si="7"/>
        <v>23969767000</v>
      </c>
    </row>
    <row r="10" spans="1:19" x14ac:dyDescent="0.3">
      <c r="A10" s="15" t="s">
        <v>288</v>
      </c>
      <c r="B10" s="15" t="s">
        <v>54</v>
      </c>
      <c r="C10" s="15" t="s">
        <v>126</v>
      </c>
      <c r="D10" s="16">
        <v>203668000</v>
      </c>
      <c r="E10" s="17">
        <v>46129</v>
      </c>
      <c r="F10" s="17">
        <v>46159</v>
      </c>
      <c r="G10" s="17">
        <v>46162</v>
      </c>
      <c r="H10" s="18">
        <f>IF(AND(E10&lt;=Quy_uoc_chung!$C$4,OR(G10="",G10&gt;Quy_uoc_chung!$C$4)),1,0)</f>
        <v>0</v>
      </c>
      <c r="I10" s="18">
        <f>IF(AND(E10&gt;=Quy_uoc_chung!$C$4-Quy_uoc_chung!$C$3+1,E10&lt;=Quy_uoc_chung!$C$4),1,0)</f>
        <v>0</v>
      </c>
      <c r="J10" s="19" t="str">
        <f>IF(H10=1,Quy_uoc_chung!$C$4-F10,"")</f>
        <v/>
      </c>
      <c r="K10" s="18" t="str">
        <f t="shared" si="0"/>
        <v/>
      </c>
      <c r="L10" s="18">
        <f>IF(AND(G10&lt;&gt;"",G10&gt;Quy_uoc_chung!$C$4-TV1_Nguong!$C$4,G10&lt;=Quy_uoc_chung!$C$4),1,0)</f>
        <v>1</v>
      </c>
      <c r="M10" s="19">
        <f t="shared" si="1"/>
        <v>3</v>
      </c>
      <c r="N10" s="20">
        <f t="shared" si="2"/>
        <v>611004000</v>
      </c>
      <c r="O10" s="19">
        <f t="shared" si="3"/>
        <v>30</v>
      </c>
      <c r="P10" s="20">
        <f t="shared" si="4"/>
        <v>6110040000</v>
      </c>
      <c r="Q10" s="28">
        <f t="shared" si="5"/>
        <v>3</v>
      </c>
      <c r="R10" s="28">
        <f t="shared" si="6"/>
        <v>611004000</v>
      </c>
      <c r="S10" s="28">
        <f t="shared" si="7"/>
        <v>6721044000</v>
      </c>
    </row>
    <row r="11" spans="1:19" x14ac:dyDescent="0.3">
      <c r="A11" s="15" t="s">
        <v>289</v>
      </c>
      <c r="B11" s="15" t="s">
        <v>54</v>
      </c>
      <c r="C11" s="15" t="s">
        <v>128</v>
      </c>
      <c r="D11" s="16">
        <v>79033000</v>
      </c>
      <c r="E11" s="17">
        <v>46130</v>
      </c>
      <c r="F11" s="17">
        <v>46160</v>
      </c>
      <c r="G11" s="17">
        <v>46175</v>
      </c>
      <c r="H11" s="18">
        <f>IF(AND(E11&lt;=Quy_uoc_chung!$C$4,OR(G11="",G11&gt;Quy_uoc_chung!$C$4)),1,0)</f>
        <v>0</v>
      </c>
      <c r="I11" s="18">
        <f>IF(AND(E11&gt;=Quy_uoc_chung!$C$4-Quy_uoc_chung!$C$3+1,E11&lt;=Quy_uoc_chung!$C$4),1,0)</f>
        <v>0</v>
      </c>
      <c r="J11" s="19" t="str">
        <f>IF(H11=1,Quy_uoc_chung!$C$4-F11,"")</f>
        <v/>
      </c>
      <c r="K11" s="18" t="str">
        <f t="shared" si="0"/>
        <v/>
      </c>
      <c r="L11" s="18">
        <f>IF(AND(G11&lt;&gt;"",G11&gt;Quy_uoc_chung!$C$4-TV1_Nguong!$C$4,G11&lt;=Quy_uoc_chung!$C$4),1,0)</f>
        <v>1</v>
      </c>
      <c r="M11" s="19">
        <f t="shared" si="1"/>
        <v>15</v>
      </c>
      <c r="N11" s="20">
        <f t="shared" si="2"/>
        <v>1185495000</v>
      </c>
      <c r="O11" s="19">
        <f t="shared" si="3"/>
        <v>30</v>
      </c>
      <c r="P11" s="20">
        <f t="shared" si="4"/>
        <v>2370990000</v>
      </c>
      <c r="Q11" s="28">
        <f t="shared" si="5"/>
        <v>15</v>
      </c>
      <c r="R11" s="28">
        <f t="shared" si="6"/>
        <v>1185495000</v>
      </c>
      <c r="S11" s="28">
        <f t="shared" si="7"/>
        <v>3556485000</v>
      </c>
    </row>
    <row r="12" spans="1:19" x14ac:dyDescent="0.3">
      <c r="A12" s="15" t="s">
        <v>290</v>
      </c>
      <c r="B12" s="15" t="s">
        <v>54</v>
      </c>
      <c r="C12" s="15" t="s">
        <v>127</v>
      </c>
      <c r="D12" s="16">
        <v>544435000</v>
      </c>
      <c r="E12" s="17">
        <v>46135</v>
      </c>
      <c r="F12" s="17">
        <v>46180</v>
      </c>
      <c r="G12" s="17">
        <v>46201</v>
      </c>
      <c r="H12" s="18">
        <f>IF(AND(E12&lt;=Quy_uoc_chung!$C$4,OR(G12="",G12&gt;Quy_uoc_chung!$C$4)),1,0)</f>
        <v>0</v>
      </c>
      <c r="I12" s="18">
        <f>IF(AND(E12&gt;=Quy_uoc_chung!$C$4-Quy_uoc_chung!$C$3+1,E12&lt;=Quy_uoc_chung!$C$4),1,0)</f>
        <v>0</v>
      </c>
      <c r="J12" s="19" t="str">
        <f>IF(H12=1,Quy_uoc_chung!$C$4-F12,"")</f>
        <v/>
      </c>
      <c r="K12" s="18" t="str">
        <f t="shared" si="0"/>
        <v/>
      </c>
      <c r="L12" s="18">
        <f>IF(AND(G12&lt;&gt;"",G12&gt;Quy_uoc_chung!$C$4-TV1_Nguong!$C$4,G12&lt;=Quy_uoc_chung!$C$4),1,0)</f>
        <v>1</v>
      </c>
      <c r="M12" s="19">
        <f t="shared" si="1"/>
        <v>21</v>
      </c>
      <c r="N12" s="20">
        <f t="shared" si="2"/>
        <v>11433135000</v>
      </c>
      <c r="O12" s="19">
        <f t="shared" si="3"/>
        <v>45</v>
      </c>
      <c r="P12" s="20">
        <f t="shared" si="4"/>
        <v>24499575000</v>
      </c>
      <c r="Q12" s="28">
        <f t="shared" si="5"/>
        <v>21</v>
      </c>
      <c r="R12" s="28">
        <f t="shared" si="6"/>
        <v>11433135000</v>
      </c>
      <c r="S12" s="28">
        <f t="shared" si="7"/>
        <v>35932710000</v>
      </c>
    </row>
    <row r="13" spans="1:19" x14ac:dyDescent="0.3">
      <c r="A13" s="15" t="s">
        <v>291</v>
      </c>
      <c r="B13" s="15" t="s">
        <v>54</v>
      </c>
      <c r="C13" s="15" t="s">
        <v>126</v>
      </c>
      <c r="D13" s="16">
        <v>148281000</v>
      </c>
      <c r="E13" s="17">
        <v>46135</v>
      </c>
      <c r="F13" s="17">
        <v>46165</v>
      </c>
      <c r="G13" s="17">
        <v>46169</v>
      </c>
      <c r="H13" s="18">
        <f>IF(AND(E13&lt;=Quy_uoc_chung!$C$4,OR(G13="",G13&gt;Quy_uoc_chung!$C$4)),1,0)</f>
        <v>0</v>
      </c>
      <c r="I13" s="18">
        <f>IF(AND(E13&gt;=Quy_uoc_chung!$C$4-Quy_uoc_chung!$C$3+1,E13&lt;=Quy_uoc_chung!$C$4),1,0)</f>
        <v>0</v>
      </c>
      <c r="J13" s="19" t="str">
        <f>IF(H13=1,Quy_uoc_chung!$C$4-F13,"")</f>
        <v/>
      </c>
      <c r="K13" s="18" t="str">
        <f t="shared" si="0"/>
        <v/>
      </c>
      <c r="L13" s="18">
        <f>IF(AND(G13&lt;&gt;"",G13&gt;Quy_uoc_chung!$C$4-TV1_Nguong!$C$4,G13&lt;=Quy_uoc_chung!$C$4),1,0)</f>
        <v>1</v>
      </c>
      <c r="M13" s="19">
        <f t="shared" si="1"/>
        <v>4</v>
      </c>
      <c r="N13" s="20">
        <f t="shared" si="2"/>
        <v>593124000</v>
      </c>
      <c r="O13" s="19">
        <f t="shared" si="3"/>
        <v>30</v>
      </c>
      <c r="P13" s="20">
        <f t="shared" si="4"/>
        <v>4448430000</v>
      </c>
      <c r="Q13" s="28">
        <f t="shared" si="5"/>
        <v>4</v>
      </c>
      <c r="R13" s="28">
        <f t="shared" si="6"/>
        <v>593124000</v>
      </c>
      <c r="S13" s="28">
        <f t="shared" si="7"/>
        <v>5041554000</v>
      </c>
    </row>
    <row r="14" spans="1:19" x14ac:dyDescent="0.3">
      <c r="A14" s="15" t="s">
        <v>292</v>
      </c>
      <c r="B14" s="15" t="s">
        <v>54</v>
      </c>
      <c r="C14" s="15" t="s">
        <v>128</v>
      </c>
      <c r="D14" s="16">
        <v>57900000</v>
      </c>
      <c r="E14" s="17">
        <v>46136</v>
      </c>
      <c r="F14" s="17">
        <v>46166</v>
      </c>
      <c r="G14" s="17">
        <v>46177</v>
      </c>
      <c r="H14" s="18">
        <f>IF(AND(E14&lt;=Quy_uoc_chung!$C$4,OR(G14="",G14&gt;Quy_uoc_chung!$C$4)),1,0)</f>
        <v>0</v>
      </c>
      <c r="I14" s="18">
        <f>IF(AND(E14&gt;=Quy_uoc_chung!$C$4-Quy_uoc_chung!$C$3+1,E14&lt;=Quy_uoc_chung!$C$4),1,0)</f>
        <v>0</v>
      </c>
      <c r="J14" s="19" t="str">
        <f>IF(H14=1,Quy_uoc_chung!$C$4-F14,"")</f>
        <v/>
      </c>
      <c r="K14" s="18" t="str">
        <f t="shared" si="0"/>
        <v/>
      </c>
      <c r="L14" s="18">
        <f>IF(AND(G14&lt;&gt;"",G14&gt;Quy_uoc_chung!$C$4-TV1_Nguong!$C$4,G14&lt;=Quy_uoc_chung!$C$4),1,0)</f>
        <v>1</v>
      </c>
      <c r="M14" s="19">
        <f t="shared" si="1"/>
        <v>11</v>
      </c>
      <c r="N14" s="20">
        <f t="shared" si="2"/>
        <v>636900000</v>
      </c>
      <c r="O14" s="19">
        <f t="shared" si="3"/>
        <v>30</v>
      </c>
      <c r="P14" s="20">
        <f t="shared" si="4"/>
        <v>1737000000</v>
      </c>
      <c r="Q14" s="28">
        <f t="shared" si="5"/>
        <v>11</v>
      </c>
      <c r="R14" s="28">
        <f t="shared" si="6"/>
        <v>636900000</v>
      </c>
      <c r="S14" s="28">
        <f t="shared" si="7"/>
        <v>2373900000</v>
      </c>
    </row>
    <row r="15" spans="1:19" x14ac:dyDescent="0.3">
      <c r="A15" s="15" t="s">
        <v>293</v>
      </c>
      <c r="B15" s="15" t="s">
        <v>54</v>
      </c>
      <c r="C15" s="15" t="s">
        <v>127</v>
      </c>
      <c r="D15" s="16">
        <v>510683000</v>
      </c>
      <c r="E15" s="17">
        <v>46142</v>
      </c>
      <c r="F15" s="17">
        <v>46187</v>
      </c>
      <c r="G15" s="17">
        <v>46207</v>
      </c>
      <c r="H15" s="18">
        <f>IF(AND(E15&lt;=Quy_uoc_chung!$C$4,OR(G15="",G15&gt;Quy_uoc_chung!$C$4)),1,0)</f>
        <v>0</v>
      </c>
      <c r="I15" s="18">
        <f>IF(AND(E15&gt;=Quy_uoc_chung!$C$4-Quy_uoc_chung!$C$3+1,E15&lt;=Quy_uoc_chung!$C$4),1,0)</f>
        <v>0</v>
      </c>
      <c r="J15" s="19" t="str">
        <f>IF(H15=1,Quy_uoc_chung!$C$4-F15,"")</f>
        <v/>
      </c>
      <c r="K15" s="18" t="str">
        <f t="shared" si="0"/>
        <v/>
      </c>
      <c r="L15" s="18">
        <f>IF(AND(G15&lt;&gt;"",G15&gt;Quy_uoc_chung!$C$4-TV1_Nguong!$C$4,G15&lt;=Quy_uoc_chung!$C$4),1,0)</f>
        <v>1</v>
      </c>
      <c r="M15" s="19">
        <f t="shared" si="1"/>
        <v>20</v>
      </c>
      <c r="N15" s="20">
        <f t="shared" si="2"/>
        <v>10213660000</v>
      </c>
      <c r="O15" s="19">
        <f t="shared" si="3"/>
        <v>45</v>
      </c>
      <c r="P15" s="20">
        <f t="shared" si="4"/>
        <v>22980735000</v>
      </c>
      <c r="Q15" s="28">
        <f t="shared" si="5"/>
        <v>20</v>
      </c>
      <c r="R15" s="28">
        <f t="shared" si="6"/>
        <v>10213660000</v>
      </c>
      <c r="S15" s="28">
        <f t="shared" si="7"/>
        <v>33194395000</v>
      </c>
    </row>
    <row r="16" spans="1:19" x14ac:dyDescent="0.3">
      <c r="A16" s="15" t="s">
        <v>294</v>
      </c>
      <c r="B16" s="15" t="s">
        <v>54</v>
      </c>
      <c r="C16" s="15" t="s">
        <v>126</v>
      </c>
      <c r="D16" s="16">
        <v>163665000</v>
      </c>
      <c r="E16" s="17">
        <v>46145</v>
      </c>
      <c r="F16" s="17">
        <v>46175</v>
      </c>
      <c r="G16" s="17">
        <v>46180</v>
      </c>
      <c r="H16" s="18">
        <f>IF(AND(E16&lt;=Quy_uoc_chung!$C$4,OR(G16="",G16&gt;Quy_uoc_chung!$C$4)),1,0)</f>
        <v>0</v>
      </c>
      <c r="I16" s="18">
        <f>IF(AND(E16&gt;=Quy_uoc_chung!$C$4-Quy_uoc_chung!$C$3+1,E16&lt;=Quy_uoc_chung!$C$4),1,0)</f>
        <v>0</v>
      </c>
      <c r="J16" s="19" t="str">
        <f>IF(H16=1,Quy_uoc_chung!$C$4-F16,"")</f>
        <v/>
      </c>
      <c r="K16" s="18" t="str">
        <f t="shared" si="0"/>
        <v/>
      </c>
      <c r="L16" s="18">
        <f>IF(AND(G16&lt;&gt;"",G16&gt;Quy_uoc_chung!$C$4-TV1_Nguong!$C$4,G16&lt;=Quy_uoc_chung!$C$4),1,0)</f>
        <v>1</v>
      </c>
      <c r="M16" s="19">
        <f t="shared" si="1"/>
        <v>5</v>
      </c>
      <c r="N16" s="20">
        <f t="shared" si="2"/>
        <v>818325000</v>
      </c>
      <c r="O16" s="19">
        <f t="shared" si="3"/>
        <v>30</v>
      </c>
      <c r="P16" s="20">
        <f t="shared" si="4"/>
        <v>4909950000</v>
      </c>
      <c r="Q16" s="28">
        <f t="shared" si="5"/>
        <v>5</v>
      </c>
      <c r="R16" s="28">
        <f t="shared" si="6"/>
        <v>818325000</v>
      </c>
      <c r="S16" s="28">
        <f t="shared" si="7"/>
        <v>5728275000</v>
      </c>
    </row>
    <row r="17" spans="1:19" x14ac:dyDescent="0.3">
      <c r="A17" s="15" t="s">
        <v>295</v>
      </c>
      <c r="B17" s="15" t="s">
        <v>54</v>
      </c>
      <c r="C17" s="15" t="s">
        <v>128</v>
      </c>
      <c r="D17" s="16">
        <v>59131000</v>
      </c>
      <c r="E17" s="17">
        <v>46143</v>
      </c>
      <c r="F17" s="17">
        <v>46173</v>
      </c>
      <c r="G17" s="17">
        <v>46178</v>
      </c>
      <c r="H17" s="18">
        <f>IF(AND(E17&lt;=Quy_uoc_chung!$C$4,OR(G17="",G17&gt;Quy_uoc_chung!$C$4)),1,0)</f>
        <v>0</v>
      </c>
      <c r="I17" s="18">
        <f>IF(AND(E17&gt;=Quy_uoc_chung!$C$4-Quy_uoc_chung!$C$3+1,E17&lt;=Quy_uoc_chung!$C$4),1,0)</f>
        <v>0</v>
      </c>
      <c r="J17" s="19" t="str">
        <f>IF(H17=1,Quy_uoc_chung!$C$4-F17,"")</f>
        <v/>
      </c>
      <c r="K17" s="18" t="str">
        <f t="shared" si="0"/>
        <v/>
      </c>
      <c r="L17" s="18">
        <f>IF(AND(G17&lt;&gt;"",G17&gt;Quy_uoc_chung!$C$4-TV1_Nguong!$C$4,G17&lt;=Quy_uoc_chung!$C$4),1,0)</f>
        <v>1</v>
      </c>
      <c r="M17" s="19">
        <f t="shared" si="1"/>
        <v>5</v>
      </c>
      <c r="N17" s="20">
        <f t="shared" si="2"/>
        <v>295655000</v>
      </c>
      <c r="O17" s="19">
        <f t="shared" si="3"/>
        <v>30</v>
      </c>
      <c r="P17" s="20">
        <f t="shared" si="4"/>
        <v>1773930000</v>
      </c>
      <c r="Q17" s="28">
        <f t="shared" si="5"/>
        <v>5</v>
      </c>
      <c r="R17" s="28">
        <f t="shared" si="6"/>
        <v>295655000</v>
      </c>
      <c r="S17" s="28">
        <f t="shared" si="7"/>
        <v>2069585000</v>
      </c>
    </row>
    <row r="18" spans="1:19" x14ac:dyDescent="0.3">
      <c r="A18" s="15" t="s">
        <v>296</v>
      </c>
      <c r="B18" s="15" t="s">
        <v>54</v>
      </c>
      <c r="C18" s="15" t="s">
        <v>127</v>
      </c>
      <c r="D18" s="16">
        <v>392872000</v>
      </c>
      <c r="E18" s="17">
        <v>46148</v>
      </c>
      <c r="F18" s="17">
        <v>46193</v>
      </c>
      <c r="G18" s="17">
        <v>46222</v>
      </c>
      <c r="H18" s="18">
        <f>IF(AND(E18&lt;=Quy_uoc_chung!$C$4,OR(G18="",G18&gt;Quy_uoc_chung!$C$4)),1,0)</f>
        <v>0</v>
      </c>
      <c r="I18" s="18">
        <f>IF(AND(E18&gt;=Quy_uoc_chung!$C$4-Quy_uoc_chung!$C$3+1,E18&lt;=Quy_uoc_chung!$C$4),1,0)</f>
        <v>0</v>
      </c>
      <c r="J18" s="19" t="str">
        <f>IF(H18=1,Quy_uoc_chung!$C$4-F18,"")</f>
        <v/>
      </c>
      <c r="K18" s="18" t="str">
        <f t="shared" si="0"/>
        <v/>
      </c>
      <c r="L18" s="18">
        <f>IF(AND(G18&lt;&gt;"",G18&gt;Quy_uoc_chung!$C$4-TV1_Nguong!$C$4,G18&lt;=Quy_uoc_chung!$C$4),1,0)</f>
        <v>1</v>
      </c>
      <c r="M18" s="19">
        <f t="shared" si="1"/>
        <v>29</v>
      </c>
      <c r="N18" s="20">
        <f t="shared" si="2"/>
        <v>11393288000</v>
      </c>
      <c r="O18" s="19">
        <f t="shared" si="3"/>
        <v>45</v>
      </c>
      <c r="P18" s="20">
        <f t="shared" si="4"/>
        <v>17679240000</v>
      </c>
      <c r="Q18" s="28">
        <f t="shared" si="5"/>
        <v>29</v>
      </c>
      <c r="R18" s="28">
        <f t="shared" si="6"/>
        <v>11393288000</v>
      </c>
      <c r="S18" s="28">
        <f t="shared" si="7"/>
        <v>29072528000</v>
      </c>
    </row>
    <row r="19" spans="1:19" x14ac:dyDescent="0.3">
      <c r="A19" s="15" t="s">
        <v>297</v>
      </c>
      <c r="B19" s="15" t="s">
        <v>54</v>
      </c>
      <c r="C19" s="15" t="s">
        <v>126</v>
      </c>
      <c r="D19" s="16">
        <v>169501000</v>
      </c>
      <c r="E19" s="17">
        <v>46148</v>
      </c>
      <c r="F19" s="17">
        <v>46178</v>
      </c>
      <c r="G19" s="17">
        <v>46177</v>
      </c>
      <c r="H19" s="18">
        <f>IF(AND(E19&lt;=Quy_uoc_chung!$C$4,OR(G19="",G19&gt;Quy_uoc_chung!$C$4)),1,0)</f>
        <v>0</v>
      </c>
      <c r="I19" s="18">
        <f>IF(AND(E19&gt;=Quy_uoc_chung!$C$4-Quy_uoc_chung!$C$3+1,E19&lt;=Quy_uoc_chung!$C$4),1,0)</f>
        <v>0</v>
      </c>
      <c r="J19" s="19" t="str">
        <f>IF(H19=1,Quy_uoc_chung!$C$4-F19,"")</f>
        <v/>
      </c>
      <c r="K19" s="18" t="str">
        <f t="shared" si="0"/>
        <v/>
      </c>
      <c r="L19" s="18">
        <f>IF(AND(G19&lt;&gt;"",G19&gt;Quy_uoc_chung!$C$4-TV1_Nguong!$C$4,G19&lt;=Quy_uoc_chung!$C$4),1,0)</f>
        <v>1</v>
      </c>
      <c r="M19" s="19">
        <f t="shared" si="1"/>
        <v>-1</v>
      </c>
      <c r="N19" s="20">
        <f t="shared" si="2"/>
        <v>-169501000</v>
      </c>
      <c r="O19" s="19">
        <f t="shared" si="3"/>
        <v>30</v>
      </c>
      <c r="P19" s="20">
        <f t="shared" si="4"/>
        <v>5085030000</v>
      </c>
      <c r="Q19" s="28">
        <f t="shared" si="5"/>
        <v>0</v>
      </c>
      <c r="R19" s="28">
        <f t="shared" si="6"/>
        <v>0</v>
      </c>
      <c r="S19" s="28">
        <f t="shared" si="7"/>
        <v>4915529000</v>
      </c>
    </row>
    <row r="20" spans="1:19" x14ac:dyDescent="0.3">
      <c r="A20" s="15" t="s">
        <v>298</v>
      </c>
      <c r="B20" s="15" t="s">
        <v>54</v>
      </c>
      <c r="C20" s="15" t="s">
        <v>128</v>
      </c>
      <c r="D20" s="16">
        <v>63433000</v>
      </c>
      <c r="E20" s="17">
        <v>46152</v>
      </c>
      <c r="F20" s="17">
        <v>46182</v>
      </c>
      <c r="G20" s="17">
        <v>46188</v>
      </c>
      <c r="H20" s="18">
        <f>IF(AND(E20&lt;=Quy_uoc_chung!$C$4,OR(G20="",G20&gt;Quy_uoc_chung!$C$4)),1,0)</f>
        <v>0</v>
      </c>
      <c r="I20" s="18">
        <f>IF(AND(E20&gt;=Quy_uoc_chung!$C$4-Quy_uoc_chung!$C$3+1,E20&lt;=Quy_uoc_chung!$C$4),1,0)</f>
        <v>0</v>
      </c>
      <c r="J20" s="19" t="str">
        <f>IF(H20=1,Quy_uoc_chung!$C$4-F20,"")</f>
        <v/>
      </c>
      <c r="K20" s="18" t="str">
        <f t="shared" si="0"/>
        <v/>
      </c>
      <c r="L20" s="18">
        <f>IF(AND(G20&lt;&gt;"",G20&gt;Quy_uoc_chung!$C$4-TV1_Nguong!$C$4,G20&lt;=Quy_uoc_chung!$C$4),1,0)</f>
        <v>1</v>
      </c>
      <c r="M20" s="19">
        <f t="shared" si="1"/>
        <v>6</v>
      </c>
      <c r="N20" s="20">
        <f t="shared" si="2"/>
        <v>380598000</v>
      </c>
      <c r="O20" s="19">
        <f t="shared" si="3"/>
        <v>30</v>
      </c>
      <c r="P20" s="20">
        <f t="shared" si="4"/>
        <v>1902990000</v>
      </c>
      <c r="Q20" s="28">
        <f t="shared" si="5"/>
        <v>6</v>
      </c>
      <c r="R20" s="28">
        <f t="shared" si="6"/>
        <v>380598000</v>
      </c>
      <c r="S20" s="28">
        <f t="shared" si="7"/>
        <v>2283588000</v>
      </c>
    </row>
    <row r="21" spans="1:19" x14ac:dyDescent="0.3">
      <c r="A21" s="15" t="s">
        <v>299</v>
      </c>
      <c r="B21" s="15" t="s">
        <v>54</v>
      </c>
      <c r="C21" s="15" t="s">
        <v>127</v>
      </c>
      <c r="D21" s="16">
        <v>524334000</v>
      </c>
      <c r="E21" s="17">
        <v>46159</v>
      </c>
      <c r="F21" s="17">
        <v>46204</v>
      </c>
      <c r="G21" s="17">
        <v>46230</v>
      </c>
      <c r="H21" s="18">
        <f>IF(AND(E21&lt;=Quy_uoc_chung!$C$4,OR(G21="",G21&gt;Quy_uoc_chung!$C$4)),1,0)</f>
        <v>0</v>
      </c>
      <c r="I21" s="18">
        <f>IF(AND(E21&gt;=Quy_uoc_chung!$C$4-Quy_uoc_chung!$C$3+1,E21&lt;=Quy_uoc_chung!$C$4),1,0)</f>
        <v>0</v>
      </c>
      <c r="J21" s="19" t="str">
        <f>IF(H21=1,Quy_uoc_chung!$C$4-F21,"")</f>
        <v/>
      </c>
      <c r="K21" s="18" t="str">
        <f t="shared" si="0"/>
        <v/>
      </c>
      <c r="L21" s="18">
        <f>IF(AND(G21&lt;&gt;"",G21&gt;Quy_uoc_chung!$C$4-TV1_Nguong!$C$4,G21&lt;=Quy_uoc_chung!$C$4),1,0)</f>
        <v>1</v>
      </c>
      <c r="M21" s="19">
        <f t="shared" si="1"/>
        <v>26</v>
      </c>
      <c r="N21" s="20">
        <f t="shared" si="2"/>
        <v>13632684000</v>
      </c>
      <c r="O21" s="19">
        <f t="shared" si="3"/>
        <v>45</v>
      </c>
      <c r="P21" s="20">
        <f t="shared" si="4"/>
        <v>23595030000</v>
      </c>
      <c r="Q21" s="28">
        <f t="shared" si="5"/>
        <v>26</v>
      </c>
      <c r="R21" s="28">
        <f t="shared" si="6"/>
        <v>13632684000</v>
      </c>
      <c r="S21" s="28">
        <f t="shared" si="7"/>
        <v>37227714000</v>
      </c>
    </row>
    <row r="22" spans="1:19" x14ac:dyDescent="0.3">
      <c r="A22" s="15" t="s">
        <v>300</v>
      </c>
      <c r="B22" s="15" t="s">
        <v>54</v>
      </c>
      <c r="C22" s="15" t="s">
        <v>126</v>
      </c>
      <c r="D22" s="16">
        <v>190968000</v>
      </c>
      <c r="E22" s="17">
        <v>46156</v>
      </c>
      <c r="F22" s="17">
        <v>46186</v>
      </c>
      <c r="G22" s="17">
        <v>46190</v>
      </c>
      <c r="H22" s="18">
        <f>IF(AND(E22&lt;=Quy_uoc_chung!$C$4,OR(G22="",G22&gt;Quy_uoc_chung!$C$4)),1,0)</f>
        <v>0</v>
      </c>
      <c r="I22" s="18">
        <f>IF(AND(E22&gt;=Quy_uoc_chung!$C$4-Quy_uoc_chung!$C$3+1,E22&lt;=Quy_uoc_chung!$C$4),1,0)</f>
        <v>0</v>
      </c>
      <c r="J22" s="19" t="str">
        <f>IF(H22=1,Quy_uoc_chung!$C$4-F22,"")</f>
        <v/>
      </c>
      <c r="K22" s="18" t="str">
        <f t="shared" si="0"/>
        <v/>
      </c>
      <c r="L22" s="18">
        <f>IF(AND(G22&lt;&gt;"",G22&gt;Quy_uoc_chung!$C$4-TV1_Nguong!$C$4,G22&lt;=Quy_uoc_chung!$C$4),1,0)</f>
        <v>1</v>
      </c>
      <c r="M22" s="19">
        <f t="shared" si="1"/>
        <v>4</v>
      </c>
      <c r="N22" s="20">
        <f t="shared" si="2"/>
        <v>763872000</v>
      </c>
      <c r="O22" s="19">
        <f t="shared" si="3"/>
        <v>30</v>
      </c>
      <c r="P22" s="20">
        <f t="shared" si="4"/>
        <v>5729040000</v>
      </c>
      <c r="Q22" s="28">
        <f t="shared" si="5"/>
        <v>4</v>
      </c>
      <c r="R22" s="28">
        <f t="shared" si="6"/>
        <v>763872000</v>
      </c>
      <c r="S22" s="28">
        <f t="shared" si="7"/>
        <v>6492912000</v>
      </c>
    </row>
    <row r="23" spans="1:19" x14ac:dyDescent="0.3">
      <c r="A23" s="15" t="s">
        <v>301</v>
      </c>
      <c r="B23" s="15" t="s">
        <v>54</v>
      </c>
      <c r="C23" s="15" t="s">
        <v>128</v>
      </c>
      <c r="D23" s="16">
        <v>59497000</v>
      </c>
      <c r="E23" s="17">
        <v>46159</v>
      </c>
      <c r="F23" s="17">
        <v>46189</v>
      </c>
      <c r="G23" s="17">
        <v>46199</v>
      </c>
      <c r="H23" s="18">
        <f>IF(AND(E23&lt;=Quy_uoc_chung!$C$4,OR(G23="",G23&gt;Quy_uoc_chung!$C$4)),1,0)</f>
        <v>0</v>
      </c>
      <c r="I23" s="18">
        <f>IF(AND(E23&gt;=Quy_uoc_chung!$C$4-Quy_uoc_chung!$C$3+1,E23&lt;=Quy_uoc_chung!$C$4),1,0)</f>
        <v>0</v>
      </c>
      <c r="J23" s="19" t="str">
        <f>IF(H23=1,Quy_uoc_chung!$C$4-F23,"")</f>
        <v/>
      </c>
      <c r="K23" s="18" t="str">
        <f t="shared" si="0"/>
        <v/>
      </c>
      <c r="L23" s="18">
        <f>IF(AND(G23&lt;&gt;"",G23&gt;Quy_uoc_chung!$C$4-TV1_Nguong!$C$4,G23&lt;=Quy_uoc_chung!$C$4),1,0)</f>
        <v>1</v>
      </c>
      <c r="M23" s="19">
        <f t="shared" si="1"/>
        <v>10</v>
      </c>
      <c r="N23" s="20">
        <f t="shared" si="2"/>
        <v>594970000</v>
      </c>
      <c r="O23" s="19">
        <f t="shared" si="3"/>
        <v>30</v>
      </c>
      <c r="P23" s="20">
        <f t="shared" si="4"/>
        <v>1784910000</v>
      </c>
      <c r="Q23" s="28">
        <f t="shared" si="5"/>
        <v>10</v>
      </c>
      <c r="R23" s="28">
        <f t="shared" si="6"/>
        <v>594970000</v>
      </c>
      <c r="S23" s="28">
        <f t="shared" si="7"/>
        <v>2379880000</v>
      </c>
    </row>
    <row r="24" spans="1:19" x14ac:dyDescent="0.3">
      <c r="A24" s="15" t="s">
        <v>302</v>
      </c>
      <c r="B24" s="15" t="s">
        <v>54</v>
      </c>
      <c r="C24" s="15" t="s">
        <v>127</v>
      </c>
      <c r="D24" s="16">
        <v>492504000</v>
      </c>
      <c r="E24" s="17">
        <v>46162</v>
      </c>
      <c r="F24" s="17">
        <v>46207</v>
      </c>
      <c r="G24" s="17">
        <v>46219</v>
      </c>
      <c r="H24" s="18">
        <f>IF(AND(E24&lt;=Quy_uoc_chung!$C$4,OR(G24="",G24&gt;Quy_uoc_chung!$C$4)),1,0)</f>
        <v>0</v>
      </c>
      <c r="I24" s="18">
        <f>IF(AND(E24&gt;=Quy_uoc_chung!$C$4-Quy_uoc_chung!$C$3+1,E24&lt;=Quy_uoc_chung!$C$4),1,0)</f>
        <v>0</v>
      </c>
      <c r="J24" s="19" t="str">
        <f>IF(H24=1,Quy_uoc_chung!$C$4-F24,"")</f>
        <v/>
      </c>
      <c r="K24" s="18" t="str">
        <f t="shared" si="0"/>
        <v/>
      </c>
      <c r="L24" s="18">
        <f>IF(AND(G24&lt;&gt;"",G24&gt;Quy_uoc_chung!$C$4-TV1_Nguong!$C$4,G24&lt;=Quy_uoc_chung!$C$4),1,0)</f>
        <v>1</v>
      </c>
      <c r="M24" s="19">
        <f t="shared" si="1"/>
        <v>12</v>
      </c>
      <c r="N24" s="20">
        <f t="shared" si="2"/>
        <v>5910048000</v>
      </c>
      <c r="O24" s="19">
        <f t="shared" si="3"/>
        <v>45</v>
      </c>
      <c r="P24" s="20">
        <f t="shared" si="4"/>
        <v>22162680000</v>
      </c>
      <c r="Q24" s="28">
        <f t="shared" si="5"/>
        <v>12</v>
      </c>
      <c r="R24" s="28">
        <f t="shared" si="6"/>
        <v>5910048000</v>
      </c>
      <c r="S24" s="28">
        <f t="shared" si="7"/>
        <v>28072728000</v>
      </c>
    </row>
    <row r="25" spans="1:19" x14ac:dyDescent="0.3">
      <c r="A25" s="15" t="s">
        <v>303</v>
      </c>
      <c r="B25" s="15" t="s">
        <v>54</v>
      </c>
      <c r="C25" s="15" t="s">
        <v>126</v>
      </c>
      <c r="D25" s="16">
        <v>199564000</v>
      </c>
      <c r="E25" s="17">
        <v>46164</v>
      </c>
      <c r="F25" s="17">
        <v>46194</v>
      </c>
      <c r="G25" s="17">
        <v>46195</v>
      </c>
      <c r="H25" s="18">
        <f>IF(AND(E25&lt;=Quy_uoc_chung!$C$4,OR(G25="",G25&gt;Quy_uoc_chung!$C$4)),1,0)</f>
        <v>0</v>
      </c>
      <c r="I25" s="18">
        <f>IF(AND(E25&gt;=Quy_uoc_chung!$C$4-Quy_uoc_chung!$C$3+1,E25&lt;=Quy_uoc_chung!$C$4),1,0)</f>
        <v>0</v>
      </c>
      <c r="J25" s="19" t="str">
        <f>IF(H25=1,Quy_uoc_chung!$C$4-F25,"")</f>
        <v/>
      </c>
      <c r="K25" s="18" t="str">
        <f t="shared" si="0"/>
        <v/>
      </c>
      <c r="L25" s="18">
        <f>IF(AND(G25&lt;&gt;"",G25&gt;Quy_uoc_chung!$C$4-TV1_Nguong!$C$4,G25&lt;=Quy_uoc_chung!$C$4),1,0)</f>
        <v>1</v>
      </c>
      <c r="M25" s="19">
        <f t="shared" si="1"/>
        <v>1</v>
      </c>
      <c r="N25" s="20">
        <f t="shared" si="2"/>
        <v>199564000</v>
      </c>
      <c r="O25" s="19">
        <f t="shared" si="3"/>
        <v>30</v>
      </c>
      <c r="P25" s="20">
        <f t="shared" si="4"/>
        <v>5986920000</v>
      </c>
      <c r="Q25" s="28">
        <f t="shared" si="5"/>
        <v>1</v>
      </c>
      <c r="R25" s="28">
        <f t="shared" si="6"/>
        <v>199564000</v>
      </c>
      <c r="S25" s="28">
        <f t="shared" si="7"/>
        <v>6186484000</v>
      </c>
    </row>
    <row r="26" spans="1:19" x14ac:dyDescent="0.3">
      <c r="A26" s="15" t="s">
        <v>304</v>
      </c>
      <c r="B26" s="15" t="s">
        <v>54</v>
      </c>
      <c r="C26" s="15" t="s">
        <v>128</v>
      </c>
      <c r="D26" s="16">
        <v>57393000</v>
      </c>
      <c r="E26" s="17">
        <v>46164</v>
      </c>
      <c r="F26" s="17">
        <v>46194</v>
      </c>
      <c r="G26" s="17">
        <v>46210</v>
      </c>
      <c r="H26" s="18">
        <f>IF(AND(E26&lt;=Quy_uoc_chung!$C$4,OR(G26="",G26&gt;Quy_uoc_chung!$C$4)),1,0)</f>
        <v>0</v>
      </c>
      <c r="I26" s="18">
        <f>IF(AND(E26&gt;=Quy_uoc_chung!$C$4-Quy_uoc_chung!$C$3+1,E26&lt;=Quy_uoc_chung!$C$4),1,0)</f>
        <v>0</v>
      </c>
      <c r="J26" s="19" t="str">
        <f>IF(H26=1,Quy_uoc_chung!$C$4-F26,"")</f>
        <v/>
      </c>
      <c r="K26" s="18" t="str">
        <f t="shared" si="0"/>
        <v/>
      </c>
      <c r="L26" s="18">
        <f>IF(AND(G26&lt;&gt;"",G26&gt;Quy_uoc_chung!$C$4-TV1_Nguong!$C$4,G26&lt;=Quy_uoc_chung!$C$4),1,0)</f>
        <v>1</v>
      </c>
      <c r="M26" s="19">
        <f t="shared" si="1"/>
        <v>16</v>
      </c>
      <c r="N26" s="20">
        <f t="shared" si="2"/>
        <v>918288000</v>
      </c>
      <c r="O26" s="19">
        <f t="shared" si="3"/>
        <v>30</v>
      </c>
      <c r="P26" s="20">
        <f t="shared" si="4"/>
        <v>1721790000</v>
      </c>
      <c r="Q26" s="28">
        <f t="shared" si="5"/>
        <v>16</v>
      </c>
      <c r="R26" s="28">
        <f t="shared" si="6"/>
        <v>918288000</v>
      </c>
      <c r="S26" s="28">
        <f t="shared" si="7"/>
        <v>2640078000</v>
      </c>
    </row>
    <row r="27" spans="1:19" x14ac:dyDescent="0.3">
      <c r="A27" s="15" t="s">
        <v>305</v>
      </c>
      <c r="B27" s="15" t="s">
        <v>54</v>
      </c>
      <c r="C27" s="15" t="s">
        <v>127</v>
      </c>
      <c r="D27" s="16">
        <v>493312000</v>
      </c>
      <c r="E27" s="17">
        <v>46172</v>
      </c>
      <c r="F27" s="17">
        <v>46217</v>
      </c>
      <c r="G27" s="17">
        <v>46228</v>
      </c>
      <c r="H27" s="18">
        <f>IF(AND(E27&lt;=Quy_uoc_chung!$C$4,OR(G27="",G27&gt;Quy_uoc_chung!$C$4)),1,0)</f>
        <v>0</v>
      </c>
      <c r="I27" s="18">
        <f>IF(AND(E27&gt;=Quy_uoc_chung!$C$4-Quy_uoc_chung!$C$3+1,E27&lt;=Quy_uoc_chung!$C$4),1,0)</f>
        <v>0</v>
      </c>
      <c r="J27" s="19" t="str">
        <f>IF(H27=1,Quy_uoc_chung!$C$4-F27,"")</f>
        <v/>
      </c>
      <c r="K27" s="18" t="str">
        <f t="shared" si="0"/>
        <v/>
      </c>
      <c r="L27" s="18">
        <f>IF(AND(G27&lt;&gt;"",G27&gt;Quy_uoc_chung!$C$4-TV1_Nguong!$C$4,G27&lt;=Quy_uoc_chung!$C$4),1,0)</f>
        <v>1</v>
      </c>
      <c r="M27" s="19">
        <f t="shared" si="1"/>
        <v>11</v>
      </c>
      <c r="N27" s="20">
        <f t="shared" si="2"/>
        <v>5426432000</v>
      </c>
      <c r="O27" s="19">
        <f t="shared" si="3"/>
        <v>45</v>
      </c>
      <c r="P27" s="20">
        <f t="shared" si="4"/>
        <v>22199040000</v>
      </c>
      <c r="Q27" s="28">
        <f t="shared" si="5"/>
        <v>11</v>
      </c>
      <c r="R27" s="28">
        <f t="shared" si="6"/>
        <v>5426432000</v>
      </c>
      <c r="S27" s="28">
        <f t="shared" si="7"/>
        <v>27625472000</v>
      </c>
    </row>
    <row r="28" spans="1:19" x14ac:dyDescent="0.3">
      <c r="A28" s="15" t="s">
        <v>306</v>
      </c>
      <c r="B28" s="15" t="s">
        <v>54</v>
      </c>
      <c r="C28" s="15" t="s">
        <v>126</v>
      </c>
      <c r="D28" s="16">
        <v>198187000</v>
      </c>
      <c r="E28" s="17">
        <v>46171</v>
      </c>
      <c r="F28" s="17">
        <v>46201</v>
      </c>
      <c r="G28" s="17">
        <v>46204</v>
      </c>
      <c r="H28" s="18">
        <f>IF(AND(E28&lt;=Quy_uoc_chung!$C$4,OR(G28="",G28&gt;Quy_uoc_chung!$C$4)),1,0)</f>
        <v>0</v>
      </c>
      <c r="I28" s="18">
        <f>IF(AND(E28&gt;=Quy_uoc_chung!$C$4-Quy_uoc_chung!$C$3+1,E28&lt;=Quy_uoc_chung!$C$4),1,0)</f>
        <v>0</v>
      </c>
      <c r="J28" s="19" t="str">
        <f>IF(H28=1,Quy_uoc_chung!$C$4-F28,"")</f>
        <v/>
      </c>
      <c r="K28" s="18" t="str">
        <f t="shared" si="0"/>
        <v/>
      </c>
      <c r="L28" s="18">
        <f>IF(AND(G28&lt;&gt;"",G28&gt;Quy_uoc_chung!$C$4-TV1_Nguong!$C$4,G28&lt;=Quy_uoc_chung!$C$4),1,0)</f>
        <v>1</v>
      </c>
      <c r="M28" s="19">
        <f t="shared" si="1"/>
        <v>3</v>
      </c>
      <c r="N28" s="20">
        <f t="shared" si="2"/>
        <v>594561000</v>
      </c>
      <c r="O28" s="19">
        <f t="shared" si="3"/>
        <v>30</v>
      </c>
      <c r="P28" s="20">
        <f t="shared" si="4"/>
        <v>5945610000</v>
      </c>
      <c r="Q28" s="28">
        <f t="shared" si="5"/>
        <v>3</v>
      </c>
      <c r="R28" s="28">
        <f t="shared" si="6"/>
        <v>594561000</v>
      </c>
      <c r="S28" s="28">
        <f t="shared" si="7"/>
        <v>6540171000</v>
      </c>
    </row>
    <row r="29" spans="1:19" x14ac:dyDescent="0.3">
      <c r="A29" s="15" t="s">
        <v>307</v>
      </c>
      <c r="B29" s="15" t="s">
        <v>54</v>
      </c>
      <c r="C29" s="15" t="s">
        <v>128</v>
      </c>
      <c r="D29" s="16">
        <v>71875000</v>
      </c>
      <c r="E29" s="17">
        <v>46169</v>
      </c>
      <c r="F29" s="17">
        <v>46199</v>
      </c>
      <c r="G29" s="17">
        <v>46212</v>
      </c>
      <c r="H29" s="18">
        <f>IF(AND(E29&lt;=Quy_uoc_chung!$C$4,OR(G29="",G29&gt;Quy_uoc_chung!$C$4)),1,0)</f>
        <v>0</v>
      </c>
      <c r="I29" s="18">
        <f>IF(AND(E29&gt;=Quy_uoc_chung!$C$4-Quy_uoc_chung!$C$3+1,E29&lt;=Quy_uoc_chung!$C$4),1,0)</f>
        <v>0</v>
      </c>
      <c r="J29" s="19" t="str">
        <f>IF(H29=1,Quy_uoc_chung!$C$4-F29,"")</f>
        <v/>
      </c>
      <c r="K29" s="18" t="str">
        <f t="shared" si="0"/>
        <v/>
      </c>
      <c r="L29" s="18">
        <f>IF(AND(G29&lt;&gt;"",G29&gt;Quy_uoc_chung!$C$4-TV1_Nguong!$C$4,G29&lt;=Quy_uoc_chung!$C$4),1,0)</f>
        <v>1</v>
      </c>
      <c r="M29" s="19">
        <f t="shared" si="1"/>
        <v>13</v>
      </c>
      <c r="N29" s="20">
        <f t="shared" si="2"/>
        <v>934375000</v>
      </c>
      <c r="O29" s="19">
        <f t="shared" si="3"/>
        <v>30</v>
      </c>
      <c r="P29" s="20">
        <f t="shared" si="4"/>
        <v>2156250000</v>
      </c>
      <c r="Q29" s="28">
        <f t="shared" si="5"/>
        <v>13</v>
      </c>
      <c r="R29" s="28">
        <f t="shared" si="6"/>
        <v>934375000</v>
      </c>
      <c r="S29" s="28">
        <f t="shared" si="7"/>
        <v>3090625000</v>
      </c>
    </row>
    <row r="30" spans="1:19" x14ac:dyDescent="0.3">
      <c r="A30" s="15" t="s">
        <v>308</v>
      </c>
      <c r="B30" s="15" t="s">
        <v>54</v>
      </c>
      <c r="C30" s="15" t="s">
        <v>127</v>
      </c>
      <c r="D30" s="16">
        <v>348261000</v>
      </c>
      <c r="E30" s="17">
        <v>46178</v>
      </c>
      <c r="F30" s="17">
        <v>46223</v>
      </c>
      <c r="G30" s="17">
        <v>46243</v>
      </c>
      <c r="H30" s="18">
        <f>IF(AND(E30&lt;=Quy_uoc_chung!$C$4,OR(G30="",G30&gt;Quy_uoc_chung!$C$4)),1,0)</f>
        <v>0</v>
      </c>
      <c r="I30" s="18">
        <f>IF(AND(E30&gt;=Quy_uoc_chung!$C$4-Quy_uoc_chung!$C$3+1,E30&lt;=Quy_uoc_chung!$C$4),1,0)</f>
        <v>0</v>
      </c>
      <c r="J30" s="19" t="str">
        <f>IF(H30=1,Quy_uoc_chung!$C$4-F30,"")</f>
        <v/>
      </c>
      <c r="K30" s="18" t="str">
        <f t="shared" si="0"/>
        <v/>
      </c>
      <c r="L30" s="18">
        <f>IF(AND(G30&lt;&gt;"",G30&gt;Quy_uoc_chung!$C$4-TV1_Nguong!$C$4,G30&lt;=Quy_uoc_chung!$C$4),1,0)</f>
        <v>1</v>
      </c>
      <c r="M30" s="19">
        <f t="shared" si="1"/>
        <v>20</v>
      </c>
      <c r="N30" s="20">
        <f t="shared" si="2"/>
        <v>6965220000</v>
      </c>
      <c r="O30" s="19">
        <f t="shared" si="3"/>
        <v>45</v>
      </c>
      <c r="P30" s="20">
        <f t="shared" si="4"/>
        <v>15671745000</v>
      </c>
      <c r="Q30" s="28">
        <f t="shared" si="5"/>
        <v>20</v>
      </c>
      <c r="R30" s="28">
        <f t="shared" si="6"/>
        <v>6965220000</v>
      </c>
      <c r="S30" s="28">
        <f t="shared" si="7"/>
        <v>22636965000</v>
      </c>
    </row>
    <row r="31" spans="1:19" x14ac:dyDescent="0.3">
      <c r="A31" s="15" t="s">
        <v>309</v>
      </c>
      <c r="B31" s="15" t="s">
        <v>54</v>
      </c>
      <c r="C31" s="15" t="s">
        <v>126</v>
      </c>
      <c r="D31" s="16">
        <v>150026000</v>
      </c>
      <c r="E31" s="17">
        <v>46177</v>
      </c>
      <c r="F31" s="17">
        <v>46207</v>
      </c>
      <c r="G31" s="17">
        <v>46206</v>
      </c>
      <c r="H31" s="18">
        <f>IF(AND(E31&lt;=Quy_uoc_chung!$C$4,OR(G31="",G31&gt;Quy_uoc_chung!$C$4)),1,0)</f>
        <v>0</v>
      </c>
      <c r="I31" s="18">
        <f>IF(AND(E31&gt;=Quy_uoc_chung!$C$4-Quy_uoc_chung!$C$3+1,E31&lt;=Quy_uoc_chung!$C$4),1,0)</f>
        <v>0</v>
      </c>
      <c r="J31" s="19" t="str">
        <f>IF(H31=1,Quy_uoc_chung!$C$4-F31,"")</f>
        <v/>
      </c>
      <c r="K31" s="18" t="str">
        <f t="shared" si="0"/>
        <v/>
      </c>
      <c r="L31" s="18">
        <f>IF(AND(G31&lt;&gt;"",G31&gt;Quy_uoc_chung!$C$4-TV1_Nguong!$C$4,G31&lt;=Quy_uoc_chung!$C$4),1,0)</f>
        <v>1</v>
      </c>
      <c r="M31" s="19">
        <f t="shared" si="1"/>
        <v>-1</v>
      </c>
      <c r="N31" s="20">
        <f t="shared" si="2"/>
        <v>-150026000</v>
      </c>
      <c r="O31" s="19">
        <f t="shared" si="3"/>
        <v>30</v>
      </c>
      <c r="P31" s="20">
        <f t="shared" si="4"/>
        <v>4500780000</v>
      </c>
      <c r="Q31" s="28">
        <f t="shared" si="5"/>
        <v>0</v>
      </c>
      <c r="R31" s="28">
        <f t="shared" si="6"/>
        <v>0</v>
      </c>
      <c r="S31" s="28">
        <f t="shared" si="7"/>
        <v>4350754000</v>
      </c>
    </row>
    <row r="32" spans="1:19" x14ac:dyDescent="0.3">
      <c r="A32" s="15" t="s">
        <v>310</v>
      </c>
      <c r="B32" s="15" t="s">
        <v>54</v>
      </c>
      <c r="C32" s="15" t="s">
        <v>128</v>
      </c>
      <c r="D32" s="16">
        <v>60688000</v>
      </c>
      <c r="E32" s="17">
        <v>46178</v>
      </c>
      <c r="F32" s="17">
        <v>46208</v>
      </c>
      <c r="G32" s="17">
        <v>46212</v>
      </c>
      <c r="H32" s="18">
        <f>IF(AND(E32&lt;=Quy_uoc_chung!$C$4,OR(G32="",G32&gt;Quy_uoc_chung!$C$4)),1,0)</f>
        <v>0</v>
      </c>
      <c r="I32" s="18">
        <f>IF(AND(E32&gt;=Quy_uoc_chung!$C$4-Quy_uoc_chung!$C$3+1,E32&lt;=Quy_uoc_chung!$C$4),1,0)</f>
        <v>0</v>
      </c>
      <c r="J32" s="19" t="str">
        <f>IF(H32=1,Quy_uoc_chung!$C$4-F32,"")</f>
        <v/>
      </c>
      <c r="K32" s="18" t="str">
        <f t="shared" si="0"/>
        <v/>
      </c>
      <c r="L32" s="18">
        <f>IF(AND(G32&lt;&gt;"",G32&gt;Quy_uoc_chung!$C$4-TV1_Nguong!$C$4,G32&lt;=Quy_uoc_chung!$C$4),1,0)</f>
        <v>1</v>
      </c>
      <c r="M32" s="19">
        <f t="shared" si="1"/>
        <v>4</v>
      </c>
      <c r="N32" s="20">
        <f t="shared" si="2"/>
        <v>242752000</v>
      </c>
      <c r="O32" s="19">
        <f t="shared" si="3"/>
        <v>30</v>
      </c>
      <c r="P32" s="20">
        <f t="shared" si="4"/>
        <v>1820640000</v>
      </c>
      <c r="Q32" s="28">
        <f t="shared" si="5"/>
        <v>4</v>
      </c>
      <c r="R32" s="28">
        <f t="shared" si="6"/>
        <v>242752000</v>
      </c>
      <c r="S32" s="28">
        <f t="shared" si="7"/>
        <v>2063392000</v>
      </c>
    </row>
    <row r="33" spans="1:19" x14ac:dyDescent="0.3">
      <c r="A33" s="15" t="s">
        <v>311</v>
      </c>
      <c r="B33" s="15" t="s">
        <v>54</v>
      </c>
      <c r="C33" s="15" t="s">
        <v>127</v>
      </c>
      <c r="D33" s="16">
        <v>405265000</v>
      </c>
      <c r="E33" s="17">
        <v>46187</v>
      </c>
      <c r="F33" s="17">
        <v>46232</v>
      </c>
      <c r="G33" s="17">
        <v>46262</v>
      </c>
      <c r="H33" s="18">
        <f>IF(AND(E33&lt;=Quy_uoc_chung!$C$4,OR(G33="",G33&gt;Quy_uoc_chung!$C$4)),1,0)</f>
        <v>0</v>
      </c>
      <c r="I33" s="18">
        <f>IF(AND(E33&gt;=Quy_uoc_chung!$C$4-Quy_uoc_chung!$C$3+1,E33&lt;=Quy_uoc_chung!$C$4),1,0)</f>
        <v>0</v>
      </c>
      <c r="J33" s="19" t="str">
        <f>IF(H33=1,Quy_uoc_chung!$C$4-F33,"")</f>
        <v/>
      </c>
      <c r="K33" s="18" t="str">
        <f t="shared" si="0"/>
        <v/>
      </c>
      <c r="L33" s="18">
        <f>IF(AND(G33&lt;&gt;"",G33&gt;Quy_uoc_chung!$C$4-TV1_Nguong!$C$4,G33&lt;=Quy_uoc_chung!$C$4),1,0)</f>
        <v>1</v>
      </c>
      <c r="M33" s="19">
        <f t="shared" si="1"/>
        <v>30</v>
      </c>
      <c r="N33" s="20">
        <f t="shared" si="2"/>
        <v>12157950000</v>
      </c>
      <c r="O33" s="19">
        <f t="shared" si="3"/>
        <v>45</v>
      </c>
      <c r="P33" s="20">
        <f t="shared" si="4"/>
        <v>18236925000</v>
      </c>
      <c r="Q33" s="28">
        <f t="shared" si="5"/>
        <v>30</v>
      </c>
      <c r="R33" s="28">
        <f t="shared" si="6"/>
        <v>12157950000</v>
      </c>
      <c r="S33" s="28">
        <f t="shared" si="7"/>
        <v>30394875000</v>
      </c>
    </row>
    <row r="34" spans="1:19" x14ac:dyDescent="0.3">
      <c r="A34" s="15" t="s">
        <v>312</v>
      </c>
      <c r="B34" s="15" t="s">
        <v>54</v>
      </c>
      <c r="C34" s="15" t="s">
        <v>126</v>
      </c>
      <c r="D34" s="16">
        <v>179990000</v>
      </c>
      <c r="E34" s="17">
        <v>46184</v>
      </c>
      <c r="F34" s="17">
        <v>46214</v>
      </c>
      <c r="G34" s="17">
        <v>46217</v>
      </c>
      <c r="H34" s="18">
        <f>IF(AND(E34&lt;=Quy_uoc_chung!$C$4,OR(G34="",G34&gt;Quy_uoc_chung!$C$4)),1,0)</f>
        <v>0</v>
      </c>
      <c r="I34" s="18">
        <f>IF(AND(E34&gt;=Quy_uoc_chung!$C$4-Quy_uoc_chung!$C$3+1,E34&lt;=Quy_uoc_chung!$C$4),1,0)</f>
        <v>0</v>
      </c>
      <c r="J34" s="19" t="str">
        <f>IF(H34=1,Quy_uoc_chung!$C$4-F34,"")</f>
        <v/>
      </c>
      <c r="K34" s="18" t="str">
        <f t="shared" si="0"/>
        <v/>
      </c>
      <c r="L34" s="18">
        <f>IF(AND(G34&lt;&gt;"",G34&gt;Quy_uoc_chung!$C$4-TV1_Nguong!$C$4,G34&lt;=Quy_uoc_chung!$C$4),1,0)</f>
        <v>1</v>
      </c>
      <c r="M34" s="19">
        <f t="shared" si="1"/>
        <v>3</v>
      </c>
      <c r="N34" s="20">
        <f t="shared" si="2"/>
        <v>539970000</v>
      </c>
      <c r="O34" s="19">
        <f t="shared" si="3"/>
        <v>30</v>
      </c>
      <c r="P34" s="20">
        <f t="shared" si="4"/>
        <v>5399700000</v>
      </c>
      <c r="Q34" s="28">
        <f t="shared" si="5"/>
        <v>3</v>
      </c>
      <c r="R34" s="28">
        <f t="shared" si="6"/>
        <v>539970000</v>
      </c>
      <c r="S34" s="28">
        <f t="shared" si="7"/>
        <v>5939670000</v>
      </c>
    </row>
    <row r="35" spans="1:19" x14ac:dyDescent="0.3">
      <c r="A35" s="15" t="s">
        <v>313</v>
      </c>
      <c r="B35" s="15" t="s">
        <v>54</v>
      </c>
      <c r="C35" s="15" t="s">
        <v>128</v>
      </c>
      <c r="D35" s="16">
        <v>75751000</v>
      </c>
      <c r="E35" s="17">
        <v>46185</v>
      </c>
      <c r="F35" s="17">
        <v>46215</v>
      </c>
      <c r="G35" s="17">
        <v>46226</v>
      </c>
      <c r="H35" s="18">
        <f>IF(AND(E35&lt;=Quy_uoc_chung!$C$4,OR(G35="",G35&gt;Quy_uoc_chung!$C$4)),1,0)</f>
        <v>0</v>
      </c>
      <c r="I35" s="18">
        <f>IF(AND(E35&gt;=Quy_uoc_chung!$C$4-Quy_uoc_chung!$C$3+1,E35&lt;=Quy_uoc_chung!$C$4),1,0)</f>
        <v>0</v>
      </c>
      <c r="J35" s="19" t="str">
        <f>IF(H35=1,Quy_uoc_chung!$C$4-F35,"")</f>
        <v/>
      </c>
      <c r="K35" s="18" t="str">
        <f t="shared" si="0"/>
        <v/>
      </c>
      <c r="L35" s="18">
        <f>IF(AND(G35&lt;&gt;"",G35&gt;Quy_uoc_chung!$C$4-TV1_Nguong!$C$4,G35&lt;=Quy_uoc_chung!$C$4),1,0)</f>
        <v>1</v>
      </c>
      <c r="M35" s="19">
        <f t="shared" si="1"/>
        <v>11</v>
      </c>
      <c r="N35" s="20">
        <f t="shared" si="2"/>
        <v>833261000</v>
      </c>
      <c r="O35" s="19">
        <f t="shared" si="3"/>
        <v>30</v>
      </c>
      <c r="P35" s="20">
        <f t="shared" si="4"/>
        <v>2272530000</v>
      </c>
      <c r="Q35" s="28">
        <f t="shared" si="5"/>
        <v>11</v>
      </c>
      <c r="R35" s="28">
        <f t="shared" si="6"/>
        <v>833261000</v>
      </c>
      <c r="S35" s="28">
        <f t="shared" si="7"/>
        <v>3105791000</v>
      </c>
    </row>
    <row r="36" spans="1:19" x14ac:dyDescent="0.3">
      <c r="A36" s="15" t="s">
        <v>314</v>
      </c>
      <c r="B36" s="15" t="s">
        <v>54</v>
      </c>
      <c r="C36" s="15" t="s">
        <v>127</v>
      </c>
      <c r="D36" s="16">
        <v>379236000</v>
      </c>
      <c r="E36" s="17">
        <v>46192</v>
      </c>
      <c r="F36" s="17">
        <v>46237</v>
      </c>
      <c r="G36" s="17">
        <v>46258</v>
      </c>
      <c r="H36" s="18">
        <f>IF(AND(E36&lt;=Quy_uoc_chung!$C$4,OR(G36="",G36&gt;Quy_uoc_chung!$C$4)),1,0)</f>
        <v>0</v>
      </c>
      <c r="I36" s="18">
        <f>IF(AND(E36&gt;=Quy_uoc_chung!$C$4-Quy_uoc_chung!$C$3+1,E36&lt;=Quy_uoc_chung!$C$4),1,0)</f>
        <v>0</v>
      </c>
      <c r="J36" s="19" t="str">
        <f>IF(H36=1,Quy_uoc_chung!$C$4-F36,"")</f>
        <v/>
      </c>
      <c r="K36" s="18" t="str">
        <f t="shared" si="0"/>
        <v/>
      </c>
      <c r="L36" s="18">
        <f>IF(AND(G36&lt;&gt;"",G36&gt;Quy_uoc_chung!$C$4-TV1_Nguong!$C$4,G36&lt;=Quy_uoc_chung!$C$4),1,0)</f>
        <v>1</v>
      </c>
      <c r="M36" s="19">
        <f t="shared" si="1"/>
        <v>21</v>
      </c>
      <c r="N36" s="20">
        <f t="shared" si="2"/>
        <v>7963956000</v>
      </c>
      <c r="O36" s="19">
        <f t="shared" si="3"/>
        <v>45</v>
      </c>
      <c r="P36" s="20">
        <f t="shared" si="4"/>
        <v>17065620000</v>
      </c>
      <c r="Q36" s="28">
        <f t="shared" si="5"/>
        <v>21</v>
      </c>
      <c r="R36" s="28">
        <f t="shared" si="6"/>
        <v>7963956000</v>
      </c>
      <c r="S36" s="28">
        <f t="shared" si="7"/>
        <v>25029576000</v>
      </c>
    </row>
    <row r="37" spans="1:19" x14ac:dyDescent="0.3">
      <c r="A37" s="15" t="s">
        <v>315</v>
      </c>
      <c r="B37" s="15" t="s">
        <v>54</v>
      </c>
      <c r="C37" s="15" t="s">
        <v>126</v>
      </c>
      <c r="D37" s="16">
        <v>139129000</v>
      </c>
      <c r="E37" s="17">
        <v>46193</v>
      </c>
      <c r="F37" s="17">
        <v>46223</v>
      </c>
      <c r="G37" s="17">
        <v>46227</v>
      </c>
      <c r="H37" s="18">
        <f>IF(AND(E37&lt;=Quy_uoc_chung!$C$4,OR(G37="",G37&gt;Quy_uoc_chung!$C$4)),1,0)</f>
        <v>0</v>
      </c>
      <c r="I37" s="18">
        <f>IF(AND(E37&gt;=Quy_uoc_chung!$C$4-Quy_uoc_chung!$C$3+1,E37&lt;=Quy_uoc_chung!$C$4),1,0)</f>
        <v>0</v>
      </c>
      <c r="J37" s="19" t="str">
        <f>IF(H37=1,Quy_uoc_chung!$C$4-F37,"")</f>
        <v/>
      </c>
      <c r="K37" s="18" t="str">
        <f t="shared" si="0"/>
        <v/>
      </c>
      <c r="L37" s="18">
        <f>IF(AND(G37&lt;&gt;"",G37&gt;Quy_uoc_chung!$C$4-TV1_Nguong!$C$4,G37&lt;=Quy_uoc_chung!$C$4),1,0)</f>
        <v>1</v>
      </c>
      <c r="M37" s="19">
        <f t="shared" si="1"/>
        <v>4</v>
      </c>
      <c r="N37" s="20">
        <f t="shared" si="2"/>
        <v>556516000</v>
      </c>
      <c r="O37" s="19">
        <f t="shared" si="3"/>
        <v>30</v>
      </c>
      <c r="P37" s="20">
        <f t="shared" si="4"/>
        <v>4173870000</v>
      </c>
      <c r="Q37" s="28">
        <f t="shared" si="5"/>
        <v>4</v>
      </c>
      <c r="R37" s="28">
        <f t="shared" si="6"/>
        <v>556516000</v>
      </c>
      <c r="S37" s="28">
        <f t="shared" si="7"/>
        <v>4730386000</v>
      </c>
    </row>
    <row r="38" spans="1:19" x14ac:dyDescent="0.3">
      <c r="A38" s="15" t="s">
        <v>316</v>
      </c>
      <c r="B38" s="15" t="s">
        <v>54</v>
      </c>
      <c r="C38" s="15" t="s">
        <v>128</v>
      </c>
      <c r="D38" s="16">
        <v>58145000</v>
      </c>
      <c r="E38" s="17">
        <v>46193</v>
      </c>
      <c r="F38" s="17">
        <v>46223</v>
      </c>
      <c r="G38" s="17">
        <v>46232</v>
      </c>
      <c r="H38" s="18">
        <f>IF(AND(E38&lt;=Quy_uoc_chung!$C$4,OR(G38="",G38&gt;Quy_uoc_chung!$C$4)),1,0)</f>
        <v>0</v>
      </c>
      <c r="I38" s="18">
        <f>IF(AND(E38&gt;=Quy_uoc_chung!$C$4-Quy_uoc_chung!$C$3+1,E38&lt;=Quy_uoc_chung!$C$4),1,0)</f>
        <v>0</v>
      </c>
      <c r="J38" s="19" t="str">
        <f>IF(H38=1,Quy_uoc_chung!$C$4-F38,"")</f>
        <v/>
      </c>
      <c r="K38" s="18" t="str">
        <f t="shared" si="0"/>
        <v/>
      </c>
      <c r="L38" s="18">
        <f>IF(AND(G38&lt;&gt;"",G38&gt;Quy_uoc_chung!$C$4-TV1_Nguong!$C$4,G38&lt;=Quy_uoc_chung!$C$4),1,0)</f>
        <v>1</v>
      </c>
      <c r="M38" s="19">
        <f t="shared" si="1"/>
        <v>9</v>
      </c>
      <c r="N38" s="20">
        <f t="shared" si="2"/>
        <v>523305000</v>
      </c>
      <c r="O38" s="19">
        <f t="shared" si="3"/>
        <v>30</v>
      </c>
      <c r="P38" s="20">
        <f t="shared" si="4"/>
        <v>1744350000</v>
      </c>
      <c r="Q38" s="28">
        <f t="shared" si="5"/>
        <v>9</v>
      </c>
      <c r="R38" s="28">
        <f t="shared" si="6"/>
        <v>523305000</v>
      </c>
      <c r="S38" s="28">
        <f t="shared" si="7"/>
        <v>2267655000</v>
      </c>
    </row>
    <row r="39" spans="1:19" x14ac:dyDescent="0.3">
      <c r="A39" s="15" t="s">
        <v>317</v>
      </c>
      <c r="B39" s="15" t="s">
        <v>54</v>
      </c>
      <c r="C39" s="15" t="s">
        <v>127</v>
      </c>
      <c r="D39" s="16">
        <v>375901000</v>
      </c>
      <c r="E39" s="17">
        <v>46199</v>
      </c>
      <c r="F39" s="17">
        <v>46244</v>
      </c>
      <c r="G39" s="17">
        <v>46273</v>
      </c>
      <c r="H39" s="18">
        <f>IF(AND(E39&lt;=Quy_uoc_chung!$C$4,OR(G39="",G39&gt;Quy_uoc_chung!$C$4)),1,0)</f>
        <v>0</v>
      </c>
      <c r="I39" s="18">
        <f>IF(AND(E39&gt;=Quy_uoc_chung!$C$4-Quy_uoc_chung!$C$3+1,E39&lt;=Quy_uoc_chung!$C$4),1,0)</f>
        <v>0</v>
      </c>
      <c r="J39" s="19" t="str">
        <f>IF(H39=1,Quy_uoc_chung!$C$4-F39,"")</f>
        <v/>
      </c>
      <c r="K39" s="18" t="str">
        <f t="shared" si="0"/>
        <v/>
      </c>
      <c r="L39" s="18">
        <f>IF(AND(G39&lt;&gt;"",G39&gt;Quy_uoc_chung!$C$4-TV1_Nguong!$C$4,G39&lt;=Quy_uoc_chung!$C$4),1,0)</f>
        <v>1</v>
      </c>
      <c r="M39" s="19">
        <f t="shared" si="1"/>
        <v>29</v>
      </c>
      <c r="N39" s="20">
        <f t="shared" si="2"/>
        <v>10901129000</v>
      </c>
      <c r="O39" s="19">
        <f t="shared" si="3"/>
        <v>45</v>
      </c>
      <c r="P39" s="20">
        <f t="shared" si="4"/>
        <v>16915545000</v>
      </c>
      <c r="Q39" s="28">
        <f t="shared" si="5"/>
        <v>29</v>
      </c>
      <c r="R39" s="28">
        <f t="shared" si="6"/>
        <v>10901129000</v>
      </c>
      <c r="S39" s="28">
        <f t="shared" si="7"/>
        <v>27816674000</v>
      </c>
    </row>
    <row r="40" spans="1:19" x14ac:dyDescent="0.3">
      <c r="A40" s="15" t="s">
        <v>318</v>
      </c>
      <c r="B40" s="15" t="s">
        <v>54</v>
      </c>
      <c r="C40" s="15" t="s">
        <v>126</v>
      </c>
      <c r="D40" s="16">
        <v>164589000</v>
      </c>
      <c r="E40" s="17">
        <v>46200</v>
      </c>
      <c r="F40" s="17">
        <v>46230</v>
      </c>
      <c r="G40" s="17">
        <v>46232</v>
      </c>
      <c r="H40" s="18">
        <f>IF(AND(E40&lt;=Quy_uoc_chung!$C$4,OR(G40="",G40&gt;Quy_uoc_chung!$C$4)),1,0)</f>
        <v>0</v>
      </c>
      <c r="I40" s="18">
        <f>IF(AND(E40&gt;=Quy_uoc_chung!$C$4-Quy_uoc_chung!$C$3+1,E40&lt;=Quy_uoc_chung!$C$4),1,0)</f>
        <v>0</v>
      </c>
      <c r="J40" s="19" t="str">
        <f>IF(H40=1,Quy_uoc_chung!$C$4-F40,"")</f>
        <v/>
      </c>
      <c r="K40" s="18" t="str">
        <f t="shared" si="0"/>
        <v/>
      </c>
      <c r="L40" s="18">
        <f>IF(AND(G40&lt;&gt;"",G40&gt;Quy_uoc_chung!$C$4-TV1_Nguong!$C$4,G40&lt;=Quy_uoc_chung!$C$4),1,0)</f>
        <v>1</v>
      </c>
      <c r="M40" s="19">
        <f t="shared" si="1"/>
        <v>2</v>
      </c>
      <c r="N40" s="20">
        <f t="shared" si="2"/>
        <v>329178000</v>
      </c>
      <c r="O40" s="19">
        <f t="shared" si="3"/>
        <v>30</v>
      </c>
      <c r="P40" s="20">
        <f t="shared" si="4"/>
        <v>4937670000</v>
      </c>
      <c r="Q40" s="28">
        <f t="shared" si="5"/>
        <v>2</v>
      </c>
      <c r="R40" s="28">
        <f t="shared" si="6"/>
        <v>329178000</v>
      </c>
      <c r="S40" s="28">
        <f t="shared" si="7"/>
        <v>5266848000</v>
      </c>
    </row>
    <row r="41" spans="1:19" x14ac:dyDescent="0.3">
      <c r="A41" s="15" t="s">
        <v>319</v>
      </c>
      <c r="B41" s="15" t="s">
        <v>54</v>
      </c>
      <c r="C41" s="15" t="s">
        <v>128</v>
      </c>
      <c r="D41" s="16">
        <v>74560000</v>
      </c>
      <c r="E41" s="17">
        <v>46200</v>
      </c>
      <c r="F41" s="17">
        <v>46230</v>
      </c>
      <c r="G41" s="17">
        <v>46232</v>
      </c>
      <c r="H41" s="18">
        <f>IF(AND(E41&lt;=Quy_uoc_chung!$C$4,OR(G41="",G41&gt;Quy_uoc_chung!$C$4)),1,0)</f>
        <v>0</v>
      </c>
      <c r="I41" s="18">
        <f>IF(AND(E41&gt;=Quy_uoc_chung!$C$4-Quy_uoc_chung!$C$3+1,E41&lt;=Quy_uoc_chung!$C$4),1,0)</f>
        <v>0</v>
      </c>
      <c r="J41" s="19" t="str">
        <f>IF(H41=1,Quy_uoc_chung!$C$4-F41,"")</f>
        <v/>
      </c>
      <c r="K41" s="18" t="str">
        <f t="shared" si="0"/>
        <v/>
      </c>
      <c r="L41" s="18">
        <f>IF(AND(G41&lt;&gt;"",G41&gt;Quy_uoc_chung!$C$4-TV1_Nguong!$C$4,G41&lt;=Quy_uoc_chung!$C$4),1,0)</f>
        <v>1</v>
      </c>
      <c r="M41" s="19">
        <f t="shared" si="1"/>
        <v>2</v>
      </c>
      <c r="N41" s="20">
        <f t="shared" si="2"/>
        <v>149120000</v>
      </c>
      <c r="O41" s="19">
        <f t="shared" si="3"/>
        <v>30</v>
      </c>
      <c r="P41" s="20">
        <f t="shared" si="4"/>
        <v>2236800000</v>
      </c>
      <c r="Q41" s="28">
        <f t="shared" si="5"/>
        <v>2</v>
      </c>
      <c r="R41" s="28">
        <f t="shared" si="6"/>
        <v>149120000</v>
      </c>
      <c r="S41" s="28">
        <f t="shared" si="7"/>
        <v>2385920000</v>
      </c>
    </row>
    <row r="42" spans="1:19" x14ac:dyDescent="0.3">
      <c r="A42" s="15" t="s">
        <v>320</v>
      </c>
      <c r="B42" s="15" t="s">
        <v>54</v>
      </c>
      <c r="C42" s="15" t="s">
        <v>127</v>
      </c>
      <c r="D42" s="16">
        <v>368096000</v>
      </c>
      <c r="E42" s="17">
        <v>46205</v>
      </c>
      <c r="F42" s="17">
        <v>46250</v>
      </c>
      <c r="G42" s="17">
        <v>46266</v>
      </c>
      <c r="H42" s="18">
        <f>IF(AND(E42&lt;=Quy_uoc_chung!$C$4,OR(G42="",G42&gt;Quy_uoc_chung!$C$4)),1,0)</f>
        <v>0</v>
      </c>
      <c r="I42" s="18">
        <f>IF(AND(E42&gt;=Quy_uoc_chung!$C$4-Quy_uoc_chung!$C$3+1,E42&lt;=Quy_uoc_chung!$C$4),1,0)</f>
        <v>0</v>
      </c>
      <c r="J42" s="19" t="str">
        <f>IF(H42=1,Quy_uoc_chung!$C$4-F42,"")</f>
        <v/>
      </c>
      <c r="K42" s="18" t="str">
        <f t="shared" si="0"/>
        <v/>
      </c>
      <c r="L42" s="18">
        <f>IF(AND(G42&lt;&gt;"",G42&gt;Quy_uoc_chung!$C$4-TV1_Nguong!$C$4,G42&lt;=Quy_uoc_chung!$C$4),1,0)</f>
        <v>1</v>
      </c>
      <c r="M42" s="19">
        <f t="shared" si="1"/>
        <v>16</v>
      </c>
      <c r="N42" s="20">
        <f t="shared" si="2"/>
        <v>5889536000</v>
      </c>
      <c r="O42" s="19">
        <f t="shared" si="3"/>
        <v>45</v>
      </c>
      <c r="P42" s="20">
        <f t="shared" si="4"/>
        <v>16564320000</v>
      </c>
      <c r="Q42" s="28">
        <f t="shared" si="5"/>
        <v>16</v>
      </c>
      <c r="R42" s="28">
        <f t="shared" si="6"/>
        <v>5889536000</v>
      </c>
      <c r="S42" s="28">
        <f t="shared" si="7"/>
        <v>22453856000</v>
      </c>
    </row>
    <row r="43" spans="1:19" x14ac:dyDescent="0.3">
      <c r="A43" s="15" t="s">
        <v>321</v>
      </c>
      <c r="B43" s="15" t="s">
        <v>54</v>
      </c>
      <c r="C43" s="15" t="s">
        <v>126</v>
      </c>
      <c r="D43" s="16">
        <v>210751000</v>
      </c>
      <c r="E43" s="17">
        <v>46206</v>
      </c>
      <c r="F43" s="17">
        <v>46236</v>
      </c>
      <c r="G43" s="17">
        <v>46238</v>
      </c>
      <c r="H43" s="18">
        <f>IF(AND(E43&lt;=Quy_uoc_chung!$C$4,OR(G43="",G43&gt;Quy_uoc_chung!$C$4)),1,0)</f>
        <v>0</v>
      </c>
      <c r="I43" s="18">
        <f>IF(AND(E43&gt;=Quy_uoc_chung!$C$4-Quy_uoc_chung!$C$3+1,E43&lt;=Quy_uoc_chung!$C$4),1,0)</f>
        <v>1</v>
      </c>
      <c r="J43" s="19" t="str">
        <f>IF(H43=1,Quy_uoc_chung!$C$4-F43,"")</f>
        <v/>
      </c>
      <c r="K43" s="18" t="str">
        <f t="shared" si="0"/>
        <v/>
      </c>
      <c r="L43" s="18">
        <f>IF(AND(G43&lt;&gt;"",G43&gt;Quy_uoc_chung!$C$4-TV1_Nguong!$C$4,G43&lt;=Quy_uoc_chung!$C$4),1,0)</f>
        <v>1</v>
      </c>
      <c r="M43" s="19">
        <f t="shared" si="1"/>
        <v>2</v>
      </c>
      <c r="N43" s="20">
        <f t="shared" si="2"/>
        <v>421502000</v>
      </c>
      <c r="O43" s="19">
        <f t="shared" si="3"/>
        <v>30</v>
      </c>
      <c r="P43" s="20">
        <f t="shared" si="4"/>
        <v>6322530000</v>
      </c>
      <c r="Q43" s="28">
        <f t="shared" si="5"/>
        <v>2</v>
      </c>
      <c r="R43" s="28">
        <f t="shared" si="6"/>
        <v>421502000</v>
      </c>
      <c r="S43" s="28">
        <f t="shared" si="7"/>
        <v>6744032000</v>
      </c>
    </row>
    <row r="44" spans="1:19" x14ac:dyDescent="0.3">
      <c r="A44" s="15" t="s">
        <v>322</v>
      </c>
      <c r="B44" s="15" t="s">
        <v>54</v>
      </c>
      <c r="C44" s="15" t="s">
        <v>128</v>
      </c>
      <c r="D44" s="16">
        <v>86421000</v>
      </c>
      <c r="E44" s="17">
        <v>46207</v>
      </c>
      <c r="F44" s="17">
        <v>46237</v>
      </c>
      <c r="G44" s="17">
        <v>46244</v>
      </c>
      <c r="H44" s="18">
        <f>IF(AND(E44&lt;=Quy_uoc_chung!$C$4,OR(G44="",G44&gt;Quy_uoc_chung!$C$4)),1,0)</f>
        <v>0</v>
      </c>
      <c r="I44" s="18">
        <f>IF(AND(E44&gt;=Quy_uoc_chung!$C$4-Quy_uoc_chung!$C$3+1,E44&lt;=Quy_uoc_chung!$C$4),1,0)</f>
        <v>1</v>
      </c>
      <c r="J44" s="19" t="str">
        <f>IF(H44=1,Quy_uoc_chung!$C$4-F44,"")</f>
        <v/>
      </c>
      <c r="K44" s="18" t="str">
        <f t="shared" si="0"/>
        <v/>
      </c>
      <c r="L44" s="18">
        <f>IF(AND(G44&lt;&gt;"",G44&gt;Quy_uoc_chung!$C$4-TV1_Nguong!$C$4,G44&lt;=Quy_uoc_chung!$C$4),1,0)</f>
        <v>1</v>
      </c>
      <c r="M44" s="19">
        <f t="shared" si="1"/>
        <v>7</v>
      </c>
      <c r="N44" s="20">
        <f t="shared" si="2"/>
        <v>604947000</v>
      </c>
      <c r="O44" s="19">
        <f t="shared" si="3"/>
        <v>30</v>
      </c>
      <c r="P44" s="20">
        <f t="shared" si="4"/>
        <v>2592630000</v>
      </c>
      <c r="Q44" s="28">
        <f t="shared" si="5"/>
        <v>7</v>
      </c>
      <c r="R44" s="28">
        <f t="shared" si="6"/>
        <v>604947000</v>
      </c>
      <c r="S44" s="28">
        <f t="shared" si="7"/>
        <v>3197577000</v>
      </c>
    </row>
    <row r="45" spans="1:19" x14ac:dyDescent="0.3">
      <c r="A45" s="15" t="s">
        <v>323</v>
      </c>
      <c r="B45" s="15" t="s">
        <v>54</v>
      </c>
      <c r="C45" s="15" t="s">
        <v>127</v>
      </c>
      <c r="D45" s="16">
        <v>504343000</v>
      </c>
      <c r="E45" s="17">
        <v>46214</v>
      </c>
      <c r="F45" s="17">
        <v>46259</v>
      </c>
      <c r="G45" s="17">
        <v>46281</v>
      </c>
      <c r="H45" s="18">
        <f>IF(AND(E45&lt;=Quy_uoc_chung!$C$4,OR(G45="",G45&gt;Quy_uoc_chung!$C$4)),1,0)</f>
        <v>0</v>
      </c>
      <c r="I45" s="18">
        <f>IF(AND(E45&gt;=Quy_uoc_chung!$C$4-Quy_uoc_chung!$C$3+1,E45&lt;=Quy_uoc_chung!$C$4),1,0)</f>
        <v>1</v>
      </c>
      <c r="J45" s="19" t="str">
        <f>IF(H45=1,Quy_uoc_chung!$C$4-F45,"")</f>
        <v/>
      </c>
      <c r="K45" s="18" t="str">
        <f t="shared" si="0"/>
        <v/>
      </c>
      <c r="L45" s="18">
        <f>IF(AND(G45&lt;&gt;"",G45&gt;Quy_uoc_chung!$C$4-TV1_Nguong!$C$4,G45&lt;=Quy_uoc_chung!$C$4),1,0)</f>
        <v>1</v>
      </c>
      <c r="M45" s="19">
        <f t="shared" si="1"/>
        <v>22</v>
      </c>
      <c r="N45" s="20">
        <f t="shared" si="2"/>
        <v>11095546000</v>
      </c>
      <c r="O45" s="19">
        <f t="shared" si="3"/>
        <v>45</v>
      </c>
      <c r="P45" s="20">
        <f t="shared" si="4"/>
        <v>22695435000</v>
      </c>
      <c r="Q45" s="28">
        <f t="shared" si="5"/>
        <v>22</v>
      </c>
      <c r="R45" s="28">
        <f t="shared" si="6"/>
        <v>11095546000</v>
      </c>
      <c r="S45" s="28">
        <f t="shared" si="7"/>
        <v>33790981000</v>
      </c>
    </row>
    <row r="46" spans="1:19" x14ac:dyDescent="0.3">
      <c r="A46" s="15" t="s">
        <v>324</v>
      </c>
      <c r="B46" s="15" t="s">
        <v>54</v>
      </c>
      <c r="C46" s="15" t="s">
        <v>126</v>
      </c>
      <c r="D46" s="16">
        <v>139684000</v>
      </c>
      <c r="E46" s="17">
        <v>46213</v>
      </c>
      <c r="F46" s="17">
        <v>46243</v>
      </c>
      <c r="G46" s="17">
        <v>46245</v>
      </c>
      <c r="H46" s="18">
        <f>IF(AND(E46&lt;=Quy_uoc_chung!$C$4,OR(G46="",G46&gt;Quy_uoc_chung!$C$4)),1,0)</f>
        <v>0</v>
      </c>
      <c r="I46" s="18">
        <f>IF(AND(E46&gt;=Quy_uoc_chung!$C$4-Quy_uoc_chung!$C$3+1,E46&lt;=Quy_uoc_chung!$C$4),1,0)</f>
        <v>1</v>
      </c>
      <c r="J46" s="19" t="str">
        <f>IF(H46=1,Quy_uoc_chung!$C$4-F46,"")</f>
        <v/>
      </c>
      <c r="K46" s="18" t="str">
        <f t="shared" si="0"/>
        <v/>
      </c>
      <c r="L46" s="18">
        <f>IF(AND(G46&lt;&gt;"",G46&gt;Quy_uoc_chung!$C$4-TV1_Nguong!$C$4,G46&lt;=Quy_uoc_chung!$C$4),1,0)</f>
        <v>1</v>
      </c>
      <c r="M46" s="19">
        <f t="shared" si="1"/>
        <v>2</v>
      </c>
      <c r="N46" s="20">
        <f t="shared" si="2"/>
        <v>279368000</v>
      </c>
      <c r="O46" s="19">
        <f t="shared" si="3"/>
        <v>30</v>
      </c>
      <c r="P46" s="20">
        <f t="shared" si="4"/>
        <v>4190520000</v>
      </c>
      <c r="Q46" s="28">
        <f t="shared" si="5"/>
        <v>2</v>
      </c>
      <c r="R46" s="28">
        <f t="shared" si="6"/>
        <v>279368000</v>
      </c>
      <c r="S46" s="28">
        <f t="shared" si="7"/>
        <v>4469888000</v>
      </c>
    </row>
    <row r="47" spans="1:19" x14ac:dyDescent="0.3">
      <c r="A47" s="15" t="s">
        <v>325</v>
      </c>
      <c r="B47" s="15" t="s">
        <v>54</v>
      </c>
      <c r="C47" s="15" t="s">
        <v>128</v>
      </c>
      <c r="D47" s="16">
        <v>68452000</v>
      </c>
      <c r="E47" s="17">
        <v>46214</v>
      </c>
      <c r="F47" s="17">
        <v>46244</v>
      </c>
      <c r="G47" s="17">
        <v>46255</v>
      </c>
      <c r="H47" s="18">
        <f>IF(AND(E47&lt;=Quy_uoc_chung!$C$4,OR(G47="",G47&gt;Quy_uoc_chung!$C$4)),1,0)</f>
        <v>0</v>
      </c>
      <c r="I47" s="18">
        <f>IF(AND(E47&gt;=Quy_uoc_chung!$C$4-Quy_uoc_chung!$C$3+1,E47&lt;=Quy_uoc_chung!$C$4),1,0)</f>
        <v>1</v>
      </c>
      <c r="J47" s="19" t="str">
        <f>IF(H47=1,Quy_uoc_chung!$C$4-F47,"")</f>
        <v/>
      </c>
      <c r="K47" s="18" t="str">
        <f t="shared" si="0"/>
        <v/>
      </c>
      <c r="L47" s="18">
        <f>IF(AND(G47&lt;&gt;"",G47&gt;Quy_uoc_chung!$C$4-TV1_Nguong!$C$4,G47&lt;=Quy_uoc_chung!$C$4),1,0)</f>
        <v>1</v>
      </c>
      <c r="M47" s="19">
        <f t="shared" si="1"/>
        <v>11</v>
      </c>
      <c r="N47" s="20">
        <f t="shared" si="2"/>
        <v>752972000</v>
      </c>
      <c r="O47" s="19">
        <f t="shared" si="3"/>
        <v>30</v>
      </c>
      <c r="P47" s="20">
        <f t="shared" si="4"/>
        <v>2053560000</v>
      </c>
      <c r="Q47" s="28">
        <f t="shared" si="5"/>
        <v>11</v>
      </c>
      <c r="R47" s="28">
        <f t="shared" si="6"/>
        <v>752972000</v>
      </c>
      <c r="S47" s="28">
        <f t="shared" si="7"/>
        <v>2806532000</v>
      </c>
    </row>
    <row r="48" spans="1:19" x14ac:dyDescent="0.3">
      <c r="A48" s="15" t="s">
        <v>326</v>
      </c>
      <c r="B48" s="15" t="s">
        <v>54</v>
      </c>
      <c r="C48" s="15" t="s">
        <v>127</v>
      </c>
      <c r="D48" s="16">
        <v>473022000</v>
      </c>
      <c r="E48" s="17">
        <v>46219</v>
      </c>
      <c r="F48" s="17">
        <v>46264</v>
      </c>
      <c r="G48" s="17">
        <v>46283</v>
      </c>
      <c r="H48" s="18">
        <f>IF(AND(E48&lt;=Quy_uoc_chung!$C$4,OR(G48="",G48&gt;Quy_uoc_chung!$C$4)),1,0)</f>
        <v>0</v>
      </c>
      <c r="I48" s="18">
        <f>IF(AND(E48&gt;=Quy_uoc_chung!$C$4-Quy_uoc_chung!$C$3+1,E48&lt;=Quy_uoc_chung!$C$4),1,0)</f>
        <v>1</v>
      </c>
      <c r="J48" s="19" t="str">
        <f>IF(H48=1,Quy_uoc_chung!$C$4-F48,"")</f>
        <v/>
      </c>
      <c r="K48" s="18" t="str">
        <f t="shared" si="0"/>
        <v/>
      </c>
      <c r="L48" s="18">
        <f>IF(AND(G48&lt;&gt;"",G48&gt;Quy_uoc_chung!$C$4-TV1_Nguong!$C$4,G48&lt;=Quy_uoc_chung!$C$4),1,0)</f>
        <v>1</v>
      </c>
      <c r="M48" s="19">
        <f t="shared" si="1"/>
        <v>19</v>
      </c>
      <c r="N48" s="20">
        <f t="shared" si="2"/>
        <v>8987418000</v>
      </c>
      <c r="O48" s="19">
        <f t="shared" si="3"/>
        <v>45</v>
      </c>
      <c r="P48" s="20">
        <f t="shared" si="4"/>
        <v>21285990000</v>
      </c>
      <c r="Q48" s="28">
        <f t="shared" si="5"/>
        <v>19</v>
      </c>
      <c r="R48" s="28">
        <f t="shared" si="6"/>
        <v>8987418000</v>
      </c>
      <c r="S48" s="28">
        <f t="shared" si="7"/>
        <v>30273408000</v>
      </c>
    </row>
    <row r="49" spans="1:19" x14ac:dyDescent="0.3">
      <c r="A49" s="15" t="s">
        <v>327</v>
      </c>
      <c r="B49" s="15" t="s">
        <v>54</v>
      </c>
      <c r="C49" s="15" t="s">
        <v>126</v>
      </c>
      <c r="D49" s="16">
        <v>206204000</v>
      </c>
      <c r="E49" s="17">
        <v>46218</v>
      </c>
      <c r="F49" s="17">
        <v>46248</v>
      </c>
      <c r="G49" s="17">
        <v>46249</v>
      </c>
      <c r="H49" s="18">
        <f>IF(AND(E49&lt;=Quy_uoc_chung!$C$4,OR(G49="",G49&gt;Quy_uoc_chung!$C$4)),1,0)</f>
        <v>0</v>
      </c>
      <c r="I49" s="18">
        <f>IF(AND(E49&gt;=Quy_uoc_chung!$C$4-Quy_uoc_chung!$C$3+1,E49&lt;=Quy_uoc_chung!$C$4),1,0)</f>
        <v>1</v>
      </c>
      <c r="J49" s="19" t="str">
        <f>IF(H49=1,Quy_uoc_chung!$C$4-F49,"")</f>
        <v/>
      </c>
      <c r="K49" s="18" t="str">
        <f t="shared" si="0"/>
        <v/>
      </c>
      <c r="L49" s="18">
        <f>IF(AND(G49&lt;&gt;"",G49&gt;Quy_uoc_chung!$C$4-TV1_Nguong!$C$4,G49&lt;=Quy_uoc_chung!$C$4),1,0)</f>
        <v>1</v>
      </c>
      <c r="M49" s="19">
        <f t="shared" si="1"/>
        <v>1</v>
      </c>
      <c r="N49" s="20">
        <f t="shared" si="2"/>
        <v>206204000</v>
      </c>
      <c r="O49" s="19">
        <f t="shared" si="3"/>
        <v>30</v>
      </c>
      <c r="P49" s="20">
        <f t="shared" si="4"/>
        <v>6186120000</v>
      </c>
      <c r="Q49" s="28">
        <f t="shared" si="5"/>
        <v>1</v>
      </c>
      <c r="R49" s="28">
        <f t="shared" si="6"/>
        <v>206204000</v>
      </c>
      <c r="S49" s="28">
        <f t="shared" si="7"/>
        <v>6392324000</v>
      </c>
    </row>
    <row r="50" spans="1:19" x14ac:dyDescent="0.3">
      <c r="A50" s="15" t="s">
        <v>328</v>
      </c>
      <c r="B50" s="15" t="s">
        <v>54</v>
      </c>
      <c r="C50" s="15" t="s">
        <v>128</v>
      </c>
      <c r="D50" s="16">
        <v>67623000</v>
      </c>
      <c r="E50" s="17">
        <v>46221</v>
      </c>
      <c r="F50" s="17">
        <v>46251</v>
      </c>
      <c r="G50" s="17">
        <v>46260</v>
      </c>
      <c r="H50" s="18">
        <f>IF(AND(E50&lt;=Quy_uoc_chung!$C$4,OR(G50="",G50&gt;Quy_uoc_chung!$C$4)),1,0)</f>
        <v>0</v>
      </c>
      <c r="I50" s="18">
        <f>IF(AND(E50&gt;=Quy_uoc_chung!$C$4-Quy_uoc_chung!$C$3+1,E50&lt;=Quy_uoc_chung!$C$4),1,0)</f>
        <v>1</v>
      </c>
      <c r="J50" s="19" t="str">
        <f>IF(H50=1,Quy_uoc_chung!$C$4-F50,"")</f>
        <v/>
      </c>
      <c r="K50" s="18" t="str">
        <f t="shared" si="0"/>
        <v/>
      </c>
      <c r="L50" s="18">
        <f>IF(AND(G50&lt;&gt;"",G50&gt;Quy_uoc_chung!$C$4-TV1_Nguong!$C$4,G50&lt;=Quy_uoc_chung!$C$4),1,0)</f>
        <v>1</v>
      </c>
      <c r="M50" s="19">
        <f t="shared" si="1"/>
        <v>9</v>
      </c>
      <c r="N50" s="20">
        <f t="shared" si="2"/>
        <v>608607000</v>
      </c>
      <c r="O50" s="19">
        <f t="shared" si="3"/>
        <v>30</v>
      </c>
      <c r="P50" s="20">
        <f t="shared" si="4"/>
        <v>2028690000</v>
      </c>
      <c r="Q50" s="28">
        <f t="shared" si="5"/>
        <v>9</v>
      </c>
      <c r="R50" s="28">
        <f t="shared" si="6"/>
        <v>608607000</v>
      </c>
      <c r="S50" s="28">
        <f t="shared" si="7"/>
        <v>2637297000</v>
      </c>
    </row>
    <row r="51" spans="1:19" x14ac:dyDescent="0.3">
      <c r="A51" s="15" t="s">
        <v>329</v>
      </c>
      <c r="B51" s="15" t="s">
        <v>54</v>
      </c>
      <c r="C51" s="15" t="s">
        <v>127</v>
      </c>
      <c r="D51" s="16">
        <v>474132000</v>
      </c>
      <c r="E51" s="17">
        <v>46225</v>
      </c>
      <c r="F51" s="17">
        <v>46270</v>
      </c>
      <c r="G51" s="17">
        <v>46286</v>
      </c>
      <c r="H51" s="18">
        <f>IF(AND(E51&lt;=Quy_uoc_chung!$C$4,OR(G51="",G51&gt;Quy_uoc_chung!$C$4)),1,0)</f>
        <v>0</v>
      </c>
      <c r="I51" s="18">
        <f>IF(AND(E51&gt;=Quy_uoc_chung!$C$4-Quy_uoc_chung!$C$3+1,E51&lt;=Quy_uoc_chung!$C$4),1,0)</f>
        <v>1</v>
      </c>
      <c r="J51" s="19" t="str">
        <f>IF(H51=1,Quy_uoc_chung!$C$4-F51,"")</f>
        <v/>
      </c>
      <c r="K51" s="18" t="str">
        <f t="shared" si="0"/>
        <v/>
      </c>
      <c r="L51" s="18">
        <f>IF(AND(G51&lt;&gt;"",G51&gt;Quy_uoc_chung!$C$4-TV1_Nguong!$C$4,G51&lt;=Quy_uoc_chung!$C$4),1,0)</f>
        <v>1</v>
      </c>
      <c r="M51" s="19">
        <f t="shared" si="1"/>
        <v>16</v>
      </c>
      <c r="N51" s="20">
        <f t="shared" si="2"/>
        <v>7586112000</v>
      </c>
      <c r="O51" s="19">
        <f t="shared" si="3"/>
        <v>45</v>
      </c>
      <c r="P51" s="20">
        <f t="shared" si="4"/>
        <v>21335940000</v>
      </c>
      <c r="Q51" s="28">
        <f t="shared" si="5"/>
        <v>16</v>
      </c>
      <c r="R51" s="28">
        <f t="shared" si="6"/>
        <v>7586112000</v>
      </c>
      <c r="S51" s="28">
        <f t="shared" si="7"/>
        <v>28922052000</v>
      </c>
    </row>
    <row r="52" spans="1:19" x14ac:dyDescent="0.3">
      <c r="A52" s="15" t="s">
        <v>330</v>
      </c>
      <c r="B52" s="15" t="s">
        <v>54</v>
      </c>
      <c r="C52" s="15" t="s">
        <v>126</v>
      </c>
      <c r="D52" s="16">
        <v>167633000</v>
      </c>
      <c r="E52" s="17">
        <v>46228</v>
      </c>
      <c r="F52" s="17">
        <v>46258</v>
      </c>
      <c r="G52" s="17">
        <v>46262</v>
      </c>
      <c r="H52" s="18">
        <f>IF(AND(E52&lt;=Quy_uoc_chung!$C$4,OR(G52="",G52&gt;Quy_uoc_chung!$C$4)),1,0)</f>
        <v>0</v>
      </c>
      <c r="I52" s="18">
        <f>IF(AND(E52&gt;=Quy_uoc_chung!$C$4-Quy_uoc_chung!$C$3+1,E52&lt;=Quy_uoc_chung!$C$4),1,0)</f>
        <v>1</v>
      </c>
      <c r="J52" s="19" t="str">
        <f>IF(H52=1,Quy_uoc_chung!$C$4-F52,"")</f>
        <v/>
      </c>
      <c r="K52" s="18" t="str">
        <f t="shared" si="0"/>
        <v/>
      </c>
      <c r="L52" s="18">
        <f>IF(AND(G52&lt;&gt;"",G52&gt;Quy_uoc_chung!$C$4-TV1_Nguong!$C$4,G52&lt;=Quy_uoc_chung!$C$4),1,0)</f>
        <v>1</v>
      </c>
      <c r="M52" s="19">
        <f t="shared" si="1"/>
        <v>4</v>
      </c>
      <c r="N52" s="20">
        <f t="shared" si="2"/>
        <v>670532000</v>
      </c>
      <c r="O52" s="19">
        <f t="shared" si="3"/>
        <v>30</v>
      </c>
      <c r="P52" s="20">
        <f t="shared" si="4"/>
        <v>5028990000</v>
      </c>
      <c r="Q52" s="28">
        <f t="shared" si="5"/>
        <v>4</v>
      </c>
      <c r="R52" s="28">
        <f t="shared" si="6"/>
        <v>670532000</v>
      </c>
      <c r="S52" s="28">
        <f t="shared" si="7"/>
        <v>5699522000</v>
      </c>
    </row>
    <row r="53" spans="1:19" x14ac:dyDescent="0.3">
      <c r="A53" s="15" t="s">
        <v>331</v>
      </c>
      <c r="B53" s="15" t="s">
        <v>54</v>
      </c>
      <c r="C53" s="15" t="s">
        <v>128</v>
      </c>
      <c r="D53" s="16">
        <v>69790000</v>
      </c>
      <c r="E53" s="17">
        <v>46225</v>
      </c>
      <c r="F53" s="17">
        <v>46255</v>
      </c>
      <c r="G53" s="17">
        <v>46266</v>
      </c>
      <c r="H53" s="18">
        <f>IF(AND(E53&lt;=Quy_uoc_chung!$C$4,OR(G53="",G53&gt;Quy_uoc_chung!$C$4)),1,0)</f>
        <v>0</v>
      </c>
      <c r="I53" s="18">
        <f>IF(AND(E53&gt;=Quy_uoc_chung!$C$4-Quy_uoc_chung!$C$3+1,E53&lt;=Quy_uoc_chung!$C$4),1,0)</f>
        <v>1</v>
      </c>
      <c r="J53" s="19" t="str">
        <f>IF(H53=1,Quy_uoc_chung!$C$4-F53,"")</f>
        <v/>
      </c>
      <c r="K53" s="18" t="str">
        <f t="shared" si="0"/>
        <v/>
      </c>
      <c r="L53" s="18">
        <f>IF(AND(G53&lt;&gt;"",G53&gt;Quy_uoc_chung!$C$4-TV1_Nguong!$C$4,G53&lt;=Quy_uoc_chung!$C$4),1,0)</f>
        <v>1</v>
      </c>
      <c r="M53" s="19">
        <f t="shared" si="1"/>
        <v>11</v>
      </c>
      <c r="N53" s="20">
        <f t="shared" si="2"/>
        <v>767690000</v>
      </c>
      <c r="O53" s="19">
        <f t="shared" si="3"/>
        <v>30</v>
      </c>
      <c r="P53" s="20">
        <f t="shared" si="4"/>
        <v>2093700000</v>
      </c>
      <c r="Q53" s="28">
        <f t="shared" si="5"/>
        <v>11</v>
      </c>
      <c r="R53" s="28">
        <f t="shared" si="6"/>
        <v>767690000</v>
      </c>
      <c r="S53" s="28">
        <f t="shared" si="7"/>
        <v>2861390000</v>
      </c>
    </row>
    <row r="54" spans="1:19" x14ac:dyDescent="0.3">
      <c r="A54" s="15" t="s">
        <v>332</v>
      </c>
      <c r="B54" s="15" t="s">
        <v>54</v>
      </c>
      <c r="C54" s="15" t="s">
        <v>127</v>
      </c>
      <c r="D54" s="16">
        <v>364774000</v>
      </c>
      <c r="E54" s="17">
        <v>46233</v>
      </c>
      <c r="F54" s="17">
        <v>46278</v>
      </c>
      <c r="G54" s="17">
        <v>46292</v>
      </c>
      <c r="H54" s="18">
        <f>IF(AND(E54&lt;=Quy_uoc_chung!$C$4,OR(G54="",G54&gt;Quy_uoc_chung!$C$4)),1,0)</f>
        <v>0</v>
      </c>
      <c r="I54" s="18">
        <f>IF(AND(E54&gt;=Quy_uoc_chung!$C$4-Quy_uoc_chung!$C$3+1,E54&lt;=Quy_uoc_chung!$C$4),1,0)</f>
        <v>1</v>
      </c>
      <c r="J54" s="19" t="str">
        <f>IF(H54=1,Quy_uoc_chung!$C$4-F54,"")</f>
        <v/>
      </c>
      <c r="K54" s="18" t="str">
        <f t="shared" si="0"/>
        <v/>
      </c>
      <c r="L54" s="18">
        <f>IF(AND(G54&lt;&gt;"",G54&gt;Quy_uoc_chung!$C$4-TV1_Nguong!$C$4,G54&lt;=Quy_uoc_chung!$C$4),1,0)</f>
        <v>1</v>
      </c>
      <c r="M54" s="19">
        <f t="shared" si="1"/>
        <v>14</v>
      </c>
      <c r="N54" s="20">
        <f t="shared" si="2"/>
        <v>5106836000</v>
      </c>
      <c r="O54" s="19">
        <f t="shared" si="3"/>
        <v>45</v>
      </c>
      <c r="P54" s="20">
        <f t="shared" si="4"/>
        <v>16414830000</v>
      </c>
      <c r="Q54" s="28">
        <f t="shared" si="5"/>
        <v>14</v>
      </c>
      <c r="R54" s="28">
        <f t="shared" si="6"/>
        <v>5106836000</v>
      </c>
      <c r="S54" s="28">
        <f t="shared" si="7"/>
        <v>21521666000</v>
      </c>
    </row>
    <row r="55" spans="1:19" x14ac:dyDescent="0.3">
      <c r="A55" s="15" t="s">
        <v>333</v>
      </c>
      <c r="B55" s="15" t="s">
        <v>54</v>
      </c>
      <c r="C55" s="15" t="s">
        <v>126</v>
      </c>
      <c r="D55" s="16">
        <v>146177000</v>
      </c>
      <c r="E55" s="17">
        <v>46233</v>
      </c>
      <c r="F55" s="17">
        <v>46263</v>
      </c>
      <c r="G55" s="17">
        <v>46265</v>
      </c>
      <c r="H55" s="18">
        <f>IF(AND(E55&lt;=Quy_uoc_chung!$C$4,OR(G55="",G55&gt;Quy_uoc_chung!$C$4)),1,0)</f>
        <v>0</v>
      </c>
      <c r="I55" s="18">
        <f>IF(AND(E55&gt;=Quy_uoc_chung!$C$4-Quy_uoc_chung!$C$3+1,E55&lt;=Quy_uoc_chung!$C$4),1,0)</f>
        <v>1</v>
      </c>
      <c r="J55" s="19" t="str">
        <f>IF(H55=1,Quy_uoc_chung!$C$4-F55,"")</f>
        <v/>
      </c>
      <c r="K55" s="18" t="str">
        <f t="shared" si="0"/>
        <v/>
      </c>
      <c r="L55" s="18">
        <f>IF(AND(G55&lt;&gt;"",G55&gt;Quy_uoc_chung!$C$4-TV1_Nguong!$C$4,G55&lt;=Quy_uoc_chung!$C$4),1,0)</f>
        <v>1</v>
      </c>
      <c r="M55" s="19">
        <f t="shared" si="1"/>
        <v>2</v>
      </c>
      <c r="N55" s="20">
        <f t="shared" si="2"/>
        <v>292354000</v>
      </c>
      <c r="O55" s="19">
        <f t="shared" si="3"/>
        <v>30</v>
      </c>
      <c r="P55" s="20">
        <f t="shared" si="4"/>
        <v>4385310000</v>
      </c>
      <c r="Q55" s="28">
        <f t="shared" si="5"/>
        <v>2</v>
      </c>
      <c r="R55" s="28">
        <f t="shared" si="6"/>
        <v>292354000</v>
      </c>
      <c r="S55" s="28">
        <f t="shared" si="7"/>
        <v>4677664000</v>
      </c>
    </row>
    <row r="56" spans="1:19" x14ac:dyDescent="0.3">
      <c r="A56" s="15" t="s">
        <v>334</v>
      </c>
      <c r="B56" s="15" t="s">
        <v>54</v>
      </c>
      <c r="C56" s="15" t="s">
        <v>128</v>
      </c>
      <c r="D56" s="16">
        <v>64640000</v>
      </c>
      <c r="E56" s="17">
        <v>46236</v>
      </c>
      <c r="F56" s="17">
        <v>46266</v>
      </c>
      <c r="G56" s="17">
        <v>46278</v>
      </c>
      <c r="H56" s="18">
        <f>IF(AND(E56&lt;=Quy_uoc_chung!$C$4,OR(G56="",G56&gt;Quy_uoc_chung!$C$4)),1,0)</f>
        <v>0</v>
      </c>
      <c r="I56" s="18">
        <f>IF(AND(E56&gt;=Quy_uoc_chung!$C$4-Quy_uoc_chung!$C$3+1,E56&lt;=Quy_uoc_chung!$C$4),1,0)</f>
        <v>1</v>
      </c>
      <c r="J56" s="19" t="str">
        <f>IF(H56=1,Quy_uoc_chung!$C$4-F56,"")</f>
        <v/>
      </c>
      <c r="K56" s="18" t="str">
        <f t="shared" si="0"/>
        <v/>
      </c>
      <c r="L56" s="18">
        <f>IF(AND(G56&lt;&gt;"",G56&gt;Quy_uoc_chung!$C$4-TV1_Nguong!$C$4,G56&lt;=Quy_uoc_chung!$C$4),1,0)</f>
        <v>1</v>
      </c>
      <c r="M56" s="19">
        <f t="shared" si="1"/>
        <v>12</v>
      </c>
      <c r="N56" s="20">
        <f t="shared" si="2"/>
        <v>775680000</v>
      </c>
      <c r="O56" s="19">
        <f t="shared" si="3"/>
        <v>30</v>
      </c>
      <c r="P56" s="20">
        <f t="shared" si="4"/>
        <v>1939200000</v>
      </c>
      <c r="Q56" s="28">
        <f t="shared" si="5"/>
        <v>12</v>
      </c>
      <c r="R56" s="28">
        <f t="shared" si="6"/>
        <v>775680000</v>
      </c>
      <c r="S56" s="28">
        <f t="shared" si="7"/>
        <v>2714880000</v>
      </c>
    </row>
    <row r="57" spans="1:19" x14ac:dyDescent="0.3">
      <c r="A57" s="15" t="s">
        <v>335</v>
      </c>
      <c r="B57" s="15" t="s">
        <v>54</v>
      </c>
      <c r="C57" s="15" t="s">
        <v>127</v>
      </c>
      <c r="D57" s="16">
        <v>346438000</v>
      </c>
      <c r="E57" s="17">
        <v>46239</v>
      </c>
      <c r="F57" s="17">
        <v>46284</v>
      </c>
      <c r="G57" s="17"/>
      <c r="H57" s="18">
        <f>IF(AND(E57&lt;=Quy_uoc_chung!$C$4,OR(G57="",G57&gt;Quy_uoc_chung!$C$4)),1,0)</f>
        <v>1</v>
      </c>
      <c r="I57" s="18">
        <f>IF(AND(E57&gt;=Quy_uoc_chung!$C$4-Quy_uoc_chung!$C$3+1,E57&lt;=Quy_uoc_chung!$C$4),1,0)</f>
        <v>1</v>
      </c>
      <c r="J57" s="19">
        <f>IF(H57=1,Quy_uoc_chung!$C$4-F57,"")</f>
        <v>11</v>
      </c>
      <c r="K57" s="18" t="str">
        <f t="shared" si="0"/>
        <v>Quá hạn 1–30 ngày</v>
      </c>
      <c r="L57" s="18">
        <f>IF(AND(G57&lt;&gt;"",G57&gt;Quy_uoc_chung!$C$4-TV1_Nguong!$C$4,G57&lt;=Quy_uoc_chung!$C$4),1,0)</f>
        <v>0</v>
      </c>
      <c r="M57" s="19" t="str">
        <f t="shared" si="1"/>
        <v/>
      </c>
      <c r="N57" s="20">
        <f t="shared" si="2"/>
        <v>0</v>
      </c>
      <c r="O57" s="19">
        <f t="shared" si="3"/>
        <v>45</v>
      </c>
      <c r="P57" s="20">
        <f t="shared" si="4"/>
        <v>0</v>
      </c>
      <c r="Q57" s="28">
        <f t="shared" si="5"/>
        <v>0</v>
      </c>
      <c r="R57" s="28">
        <f t="shared" si="6"/>
        <v>0</v>
      </c>
      <c r="S57" s="28">
        <f t="shared" si="7"/>
        <v>0</v>
      </c>
    </row>
    <row r="58" spans="1:19" x14ac:dyDescent="0.3">
      <c r="A58" s="15" t="s">
        <v>336</v>
      </c>
      <c r="B58" s="15" t="s">
        <v>54</v>
      </c>
      <c r="C58" s="15" t="s">
        <v>126</v>
      </c>
      <c r="D58" s="16">
        <v>199739000</v>
      </c>
      <c r="E58" s="17">
        <v>46243</v>
      </c>
      <c r="F58" s="17">
        <v>46273</v>
      </c>
      <c r="G58" s="17">
        <v>46279</v>
      </c>
      <c r="H58" s="18">
        <f>IF(AND(E58&lt;=Quy_uoc_chung!$C$4,OR(G58="",G58&gt;Quy_uoc_chung!$C$4)),1,0)</f>
        <v>0</v>
      </c>
      <c r="I58" s="18">
        <f>IF(AND(E58&gt;=Quy_uoc_chung!$C$4-Quy_uoc_chung!$C$3+1,E58&lt;=Quy_uoc_chung!$C$4),1,0)</f>
        <v>1</v>
      </c>
      <c r="J58" s="19" t="str">
        <f>IF(H58=1,Quy_uoc_chung!$C$4-F58,"")</f>
        <v/>
      </c>
      <c r="K58" s="18" t="str">
        <f t="shared" si="0"/>
        <v/>
      </c>
      <c r="L58" s="18">
        <f>IF(AND(G58&lt;&gt;"",G58&gt;Quy_uoc_chung!$C$4-TV1_Nguong!$C$4,G58&lt;=Quy_uoc_chung!$C$4),1,0)</f>
        <v>1</v>
      </c>
      <c r="M58" s="19">
        <f t="shared" si="1"/>
        <v>6</v>
      </c>
      <c r="N58" s="20">
        <f t="shared" si="2"/>
        <v>1198434000</v>
      </c>
      <c r="O58" s="19">
        <f t="shared" si="3"/>
        <v>30</v>
      </c>
      <c r="P58" s="20">
        <f t="shared" si="4"/>
        <v>5992170000</v>
      </c>
      <c r="Q58" s="28">
        <f t="shared" si="5"/>
        <v>6</v>
      </c>
      <c r="R58" s="28">
        <f t="shared" si="6"/>
        <v>1198434000</v>
      </c>
      <c r="S58" s="28">
        <f t="shared" si="7"/>
        <v>7190604000</v>
      </c>
    </row>
    <row r="59" spans="1:19" x14ac:dyDescent="0.3">
      <c r="A59" s="15" t="s">
        <v>337</v>
      </c>
      <c r="B59" s="15" t="s">
        <v>54</v>
      </c>
      <c r="C59" s="15" t="s">
        <v>128</v>
      </c>
      <c r="D59" s="16">
        <v>69533000</v>
      </c>
      <c r="E59" s="17">
        <v>46242</v>
      </c>
      <c r="F59" s="17">
        <v>46272</v>
      </c>
      <c r="G59" s="17">
        <v>46283</v>
      </c>
      <c r="H59" s="18">
        <f>IF(AND(E59&lt;=Quy_uoc_chung!$C$4,OR(G59="",G59&gt;Quy_uoc_chung!$C$4)),1,0)</f>
        <v>0</v>
      </c>
      <c r="I59" s="18">
        <f>IF(AND(E59&gt;=Quy_uoc_chung!$C$4-Quy_uoc_chung!$C$3+1,E59&lt;=Quy_uoc_chung!$C$4),1,0)</f>
        <v>1</v>
      </c>
      <c r="J59" s="19" t="str">
        <f>IF(H59=1,Quy_uoc_chung!$C$4-F59,"")</f>
        <v/>
      </c>
      <c r="K59" s="18" t="str">
        <f t="shared" si="0"/>
        <v/>
      </c>
      <c r="L59" s="18">
        <f>IF(AND(G59&lt;&gt;"",G59&gt;Quy_uoc_chung!$C$4-TV1_Nguong!$C$4,G59&lt;=Quy_uoc_chung!$C$4),1,0)</f>
        <v>1</v>
      </c>
      <c r="M59" s="19">
        <f t="shared" si="1"/>
        <v>11</v>
      </c>
      <c r="N59" s="20">
        <f t="shared" si="2"/>
        <v>764863000</v>
      </c>
      <c r="O59" s="19">
        <f t="shared" si="3"/>
        <v>30</v>
      </c>
      <c r="P59" s="20">
        <f t="shared" si="4"/>
        <v>2085990000</v>
      </c>
      <c r="Q59" s="28">
        <f t="shared" si="5"/>
        <v>11</v>
      </c>
      <c r="R59" s="28">
        <f t="shared" si="6"/>
        <v>764863000</v>
      </c>
      <c r="S59" s="28">
        <f t="shared" si="7"/>
        <v>2850853000</v>
      </c>
    </row>
    <row r="60" spans="1:19" x14ac:dyDescent="0.3">
      <c r="A60" s="15" t="s">
        <v>338</v>
      </c>
      <c r="B60" s="15" t="s">
        <v>54</v>
      </c>
      <c r="C60" s="15" t="s">
        <v>127</v>
      </c>
      <c r="D60" s="16">
        <v>471318000</v>
      </c>
      <c r="E60" s="17">
        <v>46248</v>
      </c>
      <c r="F60" s="17">
        <v>46293</v>
      </c>
      <c r="G60" s="17"/>
      <c r="H60" s="18">
        <f>IF(AND(E60&lt;=Quy_uoc_chung!$C$4,OR(G60="",G60&gt;Quy_uoc_chung!$C$4)),1,0)</f>
        <v>1</v>
      </c>
      <c r="I60" s="18">
        <f>IF(AND(E60&gt;=Quy_uoc_chung!$C$4-Quy_uoc_chung!$C$3+1,E60&lt;=Quy_uoc_chung!$C$4),1,0)</f>
        <v>1</v>
      </c>
      <c r="J60" s="19">
        <f>IF(H60=1,Quy_uoc_chung!$C$4-F60,"")</f>
        <v>2</v>
      </c>
      <c r="K60" s="18" t="str">
        <f t="shared" si="0"/>
        <v>Quá hạn 1–30 ngày</v>
      </c>
      <c r="L60" s="18">
        <f>IF(AND(G60&lt;&gt;"",G60&gt;Quy_uoc_chung!$C$4-TV1_Nguong!$C$4,G60&lt;=Quy_uoc_chung!$C$4),1,0)</f>
        <v>0</v>
      </c>
      <c r="M60" s="19" t="str">
        <f t="shared" si="1"/>
        <v/>
      </c>
      <c r="N60" s="20">
        <f t="shared" si="2"/>
        <v>0</v>
      </c>
      <c r="O60" s="19">
        <f t="shared" si="3"/>
        <v>45</v>
      </c>
      <c r="P60" s="20">
        <f t="shared" si="4"/>
        <v>0</v>
      </c>
      <c r="Q60" s="28">
        <f t="shared" si="5"/>
        <v>0</v>
      </c>
      <c r="R60" s="28">
        <f t="shared" si="6"/>
        <v>0</v>
      </c>
      <c r="S60" s="28">
        <f t="shared" si="7"/>
        <v>0</v>
      </c>
    </row>
    <row r="61" spans="1:19" x14ac:dyDescent="0.3">
      <c r="A61" s="15" t="s">
        <v>339</v>
      </c>
      <c r="B61" s="15" t="s">
        <v>54</v>
      </c>
      <c r="C61" s="15" t="s">
        <v>126</v>
      </c>
      <c r="D61" s="16">
        <v>154610000</v>
      </c>
      <c r="E61" s="17">
        <v>46250</v>
      </c>
      <c r="F61" s="17">
        <v>46280</v>
      </c>
      <c r="G61" s="17">
        <v>46282</v>
      </c>
      <c r="H61" s="18">
        <f>IF(AND(E61&lt;=Quy_uoc_chung!$C$4,OR(G61="",G61&gt;Quy_uoc_chung!$C$4)),1,0)</f>
        <v>0</v>
      </c>
      <c r="I61" s="18">
        <f>IF(AND(E61&gt;=Quy_uoc_chung!$C$4-Quy_uoc_chung!$C$3+1,E61&lt;=Quy_uoc_chung!$C$4),1,0)</f>
        <v>1</v>
      </c>
      <c r="J61" s="19" t="str">
        <f>IF(H61=1,Quy_uoc_chung!$C$4-F61,"")</f>
        <v/>
      </c>
      <c r="K61" s="18" t="str">
        <f t="shared" si="0"/>
        <v/>
      </c>
      <c r="L61" s="18">
        <f>IF(AND(G61&lt;&gt;"",G61&gt;Quy_uoc_chung!$C$4-TV1_Nguong!$C$4,G61&lt;=Quy_uoc_chung!$C$4),1,0)</f>
        <v>1</v>
      </c>
      <c r="M61" s="19">
        <f t="shared" si="1"/>
        <v>2</v>
      </c>
      <c r="N61" s="20">
        <f t="shared" si="2"/>
        <v>309220000</v>
      </c>
      <c r="O61" s="19">
        <f t="shared" si="3"/>
        <v>30</v>
      </c>
      <c r="P61" s="20">
        <f t="shared" si="4"/>
        <v>4638300000</v>
      </c>
      <c r="Q61" s="28">
        <f t="shared" si="5"/>
        <v>2</v>
      </c>
      <c r="R61" s="28">
        <f t="shared" si="6"/>
        <v>309220000</v>
      </c>
      <c r="S61" s="28">
        <f t="shared" si="7"/>
        <v>4947520000</v>
      </c>
    </row>
    <row r="62" spans="1:19" x14ac:dyDescent="0.3">
      <c r="A62" s="15" t="s">
        <v>340</v>
      </c>
      <c r="B62" s="15" t="s">
        <v>54</v>
      </c>
      <c r="C62" s="15" t="s">
        <v>128</v>
      </c>
      <c r="D62" s="16">
        <v>67862000</v>
      </c>
      <c r="E62" s="17">
        <v>46247</v>
      </c>
      <c r="F62" s="17">
        <v>46277</v>
      </c>
      <c r="G62" s="17">
        <v>46285</v>
      </c>
      <c r="H62" s="18">
        <f>IF(AND(E62&lt;=Quy_uoc_chung!$C$4,OR(G62="",G62&gt;Quy_uoc_chung!$C$4)),1,0)</f>
        <v>0</v>
      </c>
      <c r="I62" s="18">
        <f>IF(AND(E62&gt;=Quy_uoc_chung!$C$4-Quy_uoc_chung!$C$3+1,E62&lt;=Quy_uoc_chung!$C$4),1,0)</f>
        <v>1</v>
      </c>
      <c r="J62" s="19" t="str">
        <f>IF(H62=1,Quy_uoc_chung!$C$4-F62,"")</f>
        <v/>
      </c>
      <c r="K62" s="18" t="str">
        <f t="shared" si="0"/>
        <v/>
      </c>
      <c r="L62" s="18">
        <f>IF(AND(G62&lt;&gt;"",G62&gt;Quy_uoc_chung!$C$4-TV1_Nguong!$C$4,G62&lt;=Quy_uoc_chung!$C$4),1,0)</f>
        <v>1</v>
      </c>
      <c r="M62" s="19">
        <f t="shared" si="1"/>
        <v>8</v>
      </c>
      <c r="N62" s="20">
        <f t="shared" si="2"/>
        <v>542896000</v>
      </c>
      <c r="O62" s="19">
        <f t="shared" si="3"/>
        <v>30</v>
      </c>
      <c r="P62" s="20">
        <f t="shared" si="4"/>
        <v>2035860000</v>
      </c>
      <c r="Q62" s="28">
        <f t="shared" si="5"/>
        <v>8</v>
      </c>
      <c r="R62" s="28">
        <f t="shared" si="6"/>
        <v>542896000</v>
      </c>
      <c r="S62" s="28">
        <f t="shared" si="7"/>
        <v>2578756000</v>
      </c>
    </row>
    <row r="63" spans="1:19" x14ac:dyDescent="0.3">
      <c r="A63" s="15" t="s">
        <v>341</v>
      </c>
      <c r="B63" s="15" t="s">
        <v>54</v>
      </c>
      <c r="C63" s="15" t="s">
        <v>127</v>
      </c>
      <c r="D63" s="16">
        <v>529231000</v>
      </c>
      <c r="E63" s="17">
        <v>46253</v>
      </c>
      <c r="F63" s="17">
        <v>46298</v>
      </c>
      <c r="G63" s="17"/>
      <c r="H63" s="18">
        <f>IF(AND(E63&lt;=Quy_uoc_chung!$C$4,OR(G63="",G63&gt;Quy_uoc_chung!$C$4)),1,0)</f>
        <v>1</v>
      </c>
      <c r="I63" s="18">
        <f>IF(AND(E63&gt;=Quy_uoc_chung!$C$4-Quy_uoc_chung!$C$3+1,E63&lt;=Quy_uoc_chung!$C$4),1,0)</f>
        <v>1</v>
      </c>
      <c r="J63" s="19">
        <f>IF(H63=1,Quy_uoc_chung!$C$4-F63,"")</f>
        <v>-3</v>
      </c>
      <c r="K63" s="18" t="str">
        <f t="shared" si="0"/>
        <v>Chưa đến hạn</v>
      </c>
      <c r="L63" s="18">
        <f>IF(AND(G63&lt;&gt;"",G63&gt;Quy_uoc_chung!$C$4-TV1_Nguong!$C$4,G63&lt;=Quy_uoc_chung!$C$4),1,0)</f>
        <v>0</v>
      </c>
      <c r="M63" s="19" t="str">
        <f t="shared" si="1"/>
        <v/>
      </c>
      <c r="N63" s="20">
        <f t="shared" si="2"/>
        <v>0</v>
      </c>
      <c r="O63" s="19">
        <f t="shared" si="3"/>
        <v>45</v>
      </c>
      <c r="P63" s="20">
        <f t="shared" si="4"/>
        <v>0</v>
      </c>
      <c r="Q63" s="28">
        <f t="shared" si="5"/>
        <v>0</v>
      </c>
      <c r="R63" s="28">
        <f t="shared" si="6"/>
        <v>0</v>
      </c>
      <c r="S63" s="28">
        <f t="shared" si="7"/>
        <v>0</v>
      </c>
    </row>
    <row r="64" spans="1:19" x14ac:dyDescent="0.3">
      <c r="A64" s="15" t="s">
        <v>342</v>
      </c>
      <c r="B64" s="15" t="s">
        <v>54</v>
      </c>
      <c r="C64" s="15" t="s">
        <v>126</v>
      </c>
      <c r="D64" s="16">
        <v>179728000</v>
      </c>
      <c r="E64" s="17">
        <v>46257</v>
      </c>
      <c r="F64" s="17">
        <v>46287</v>
      </c>
      <c r="G64" s="17">
        <v>46285</v>
      </c>
      <c r="H64" s="18">
        <f>IF(AND(E64&lt;=Quy_uoc_chung!$C$4,OR(G64="",G64&gt;Quy_uoc_chung!$C$4)),1,0)</f>
        <v>0</v>
      </c>
      <c r="I64" s="18">
        <f>IF(AND(E64&gt;=Quy_uoc_chung!$C$4-Quy_uoc_chung!$C$3+1,E64&lt;=Quy_uoc_chung!$C$4),1,0)</f>
        <v>1</v>
      </c>
      <c r="J64" s="19" t="str">
        <f>IF(H64=1,Quy_uoc_chung!$C$4-F64,"")</f>
        <v/>
      </c>
      <c r="K64" s="18" t="str">
        <f t="shared" si="0"/>
        <v/>
      </c>
      <c r="L64" s="18">
        <f>IF(AND(G64&lt;&gt;"",G64&gt;Quy_uoc_chung!$C$4-TV1_Nguong!$C$4,G64&lt;=Quy_uoc_chung!$C$4),1,0)</f>
        <v>1</v>
      </c>
      <c r="M64" s="19">
        <f t="shared" si="1"/>
        <v>-2</v>
      </c>
      <c r="N64" s="20">
        <f t="shared" si="2"/>
        <v>-359456000</v>
      </c>
      <c r="O64" s="19">
        <f t="shared" si="3"/>
        <v>30</v>
      </c>
      <c r="P64" s="20">
        <f t="shared" si="4"/>
        <v>5391840000</v>
      </c>
      <c r="Q64" s="28">
        <f t="shared" si="5"/>
        <v>0</v>
      </c>
      <c r="R64" s="28">
        <f t="shared" si="6"/>
        <v>0</v>
      </c>
      <c r="S64" s="28">
        <f t="shared" si="7"/>
        <v>5032384000</v>
      </c>
    </row>
    <row r="65" spans="1:19" x14ac:dyDescent="0.3">
      <c r="A65" s="15" t="s">
        <v>343</v>
      </c>
      <c r="B65" s="15" t="s">
        <v>54</v>
      </c>
      <c r="C65" s="15" t="s">
        <v>128</v>
      </c>
      <c r="D65" s="16">
        <v>76028000</v>
      </c>
      <c r="E65" s="17">
        <v>46253</v>
      </c>
      <c r="F65" s="17">
        <v>46283</v>
      </c>
      <c r="G65" s="17">
        <v>46293</v>
      </c>
      <c r="H65" s="18">
        <f>IF(AND(E65&lt;=Quy_uoc_chung!$C$4,OR(G65="",G65&gt;Quy_uoc_chung!$C$4)),1,0)</f>
        <v>0</v>
      </c>
      <c r="I65" s="18">
        <f>IF(AND(E65&gt;=Quy_uoc_chung!$C$4-Quy_uoc_chung!$C$3+1,E65&lt;=Quy_uoc_chung!$C$4),1,0)</f>
        <v>1</v>
      </c>
      <c r="J65" s="19" t="str">
        <f>IF(H65=1,Quy_uoc_chung!$C$4-F65,"")</f>
        <v/>
      </c>
      <c r="K65" s="18" t="str">
        <f t="shared" si="0"/>
        <v/>
      </c>
      <c r="L65" s="18">
        <f>IF(AND(G65&lt;&gt;"",G65&gt;Quy_uoc_chung!$C$4-TV1_Nguong!$C$4,G65&lt;=Quy_uoc_chung!$C$4),1,0)</f>
        <v>1</v>
      </c>
      <c r="M65" s="19">
        <f t="shared" si="1"/>
        <v>10</v>
      </c>
      <c r="N65" s="20">
        <f t="shared" si="2"/>
        <v>760280000</v>
      </c>
      <c r="O65" s="19">
        <f t="shared" si="3"/>
        <v>30</v>
      </c>
      <c r="P65" s="20">
        <f t="shared" si="4"/>
        <v>2280840000</v>
      </c>
      <c r="Q65" s="28">
        <f t="shared" si="5"/>
        <v>10</v>
      </c>
      <c r="R65" s="28">
        <f t="shared" si="6"/>
        <v>760280000</v>
      </c>
      <c r="S65" s="28">
        <f t="shared" si="7"/>
        <v>3041120000</v>
      </c>
    </row>
    <row r="66" spans="1:19" x14ac:dyDescent="0.3">
      <c r="A66" s="15" t="s">
        <v>344</v>
      </c>
      <c r="B66" s="15" t="s">
        <v>54</v>
      </c>
      <c r="C66" s="15" t="s">
        <v>127</v>
      </c>
      <c r="D66" s="16">
        <v>506641000</v>
      </c>
      <c r="E66" s="17">
        <v>46261</v>
      </c>
      <c r="F66" s="17">
        <v>46306</v>
      </c>
      <c r="G66" s="17"/>
      <c r="H66" s="18">
        <f>IF(AND(E66&lt;=Quy_uoc_chung!$C$4,OR(G66="",G66&gt;Quy_uoc_chung!$C$4)),1,0)</f>
        <v>1</v>
      </c>
      <c r="I66" s="18">
        <f>IF(AND(E66&gt;=Quy_uoc_chung!$C$4-Quy_uoc_chung!$C$3+1,E66&lt;=Quy_uoc_chung!$C$4),1,0)</f>
        <v>1</v>
      </c>
      <c r="J66" s="19">
        <f>IF(H66=1,Quy_uoc_chung!$C$4-F66,"")</f>
        <v>-11</v>
      </c>
      <c r="K66" s="18" t="str">
        <f t="shared" si="0"/>
        <v>Chưa đến hạn</v>
      </c>
      <c r="L66" s="18">
        <f>IF(AND(G66&lt;&gt;"",G66&gt;Quy_uoc_chung!$C$4-TV1_Nguong!$C$4,G66&lt;=Quy_uoc_chung!$C$4),1,0)</f>
        <v>0</v>
      </c>
      <c r="M66" s="19" t="str">
        <f t="shared" si="1"/>
        <v/>
      </c>
      <c r="N66" s="20">
        <f t="shared" si="2"/>
        <v>0</v>
      </c>
      <c r="O66" s="19">
        <f t="shared" si="3"/>
        <v>45</v>
      </c>
      <c r="P66" s="20">
        <f t="shared" si="4"/>
        <v>0</v>
      </c>
      <c r="Q66" s="28">
        <f t="shared" si="5"/>
        <v>0</v>
      </c>
      <c r="R66" s="28">
        <f t="shared" si="6"/>
        <v>0</v>
      </c>
      <c r="S66" s="28">
        <f t="shared" si="7"/>
        <v>0</v>
      </c>
    </row>
    <row r="67" spans="1:19" x14ac:dyDescent="0.3">
      <c r="A67" s="15" t="s">
        <v>345</v>
      </c>
      <c r="B67" s="15" t="s">
        <v>54</v>
      </c>
      <c r="C67" s="15" t="s">
        <v>126</v>
      </c>
      <c r="D67" s="16">
        <v>140677000</v>
      </c>
      <c r="E67" s="17">
        <v>46263</v>
      </c>
      <c r="F67" s="17">
        <v>46293</v>
      </c>
      <c r="G67" s="17">
        <v>46292</v>
      </c>
      <c r="H67" s="18">
        <f>IF(AND(E67&lt;=Quy_uoc_chung!$C$4,OR(G67="",G67&gt;Quy_uoc_chung!$C$4)),1,0)</f>
        <v>0</v>
      </c>
      <c r="I67" s="18">
        <f>IF(AND(E67&gt;=Quy_uoc_chung!$C$4-Quy_uoc_chung!$C$3+1,E67&lt;=Quy_uoc_chung!$C$4),1,0)</f>
        <v>1</v>
      </c>
      <c r="J67" s="19" t="str">
        <f>IF(H67=1,Quy_uoc_chung!$C$4-F67,"")</f>
        <v/>
      </c>
      <c r="K67" s="18" t="str">
        <f t="shared" ref="K67:K130" si="8">IF(H67=1,IF(J67&lt;=0,"Chưa đến hạn",IF(J67&lt;=30,"Quá hạn 1–30 ngày",IF(J67&lt;=60,"Quá hạn 31–60 ngày","Quá hạn &gt; 60 ngày"))),"")</f>
        <v/>
      </c>
      <c r="L67" s="18">
        <f>IF(AND(G67&lt;&gt;"",G67&gt;Quy_uoc_chung!$C$4-TV1_Nguong!$C$4,G67&lt;=Quy_uoc_chung!$C$4),1,0)</f>
        <v>1</v>
      </c>
      <c r="M67" s="19">
        <f t="shared" ref="M67:M130" si="9">IF(L67=1,G67-F67,"")</f>
        <v>-1</v>
      </c>
      <c r="N67" s="20">
        <f t="shared" ref="N67:N130" si="10">IF(L67=1,D67*M67,0)</f>
        <v>-140677000</v>
      </c>
      <c r="O67" s="19">
        <f t="shared" ref="O67:O130" si="11">F67-E67</f>
        <v>30</v>
      </c>
      <c r="P67" s="20">
        <f t="shared" ref="P67:P130" si="12">IF(L67=1,D67*O67,0)</f>
        <v>4220310000</v>
      </c>
      <c r="Q67" s="28">
        <f t="shared" ref="Q67:Q130" si="13">IF(L67=1,MAX(0,G67-F67),0)</f>
        <v>0</v>
      </c>
      <c r="R67" s="28">
        <f t="shared" ref="R67:R130" si="14">D67*Q67</f>
        <v>0</v>
      </c>
      <c r="S67" s="28">
        <f t="shared" ref="S67:S130" si="15">IF(L67=1,D67*(G67-E67),0)</f>
        <v>4079633000</v>
      </c>
    </row>
    <row r="68" spans="1:19" x14ac:dyDescent="0.3">
      <c r="A68" s="15" t="s">
        <v>346</v>
      </c>
      <c r="B68" s="15" t="s">
        <v>54</v>
      </c>
      <c r="C68" s="15" t="s">
        <v>128</v>
      </c>
      <c r="D68" s="16">
        <v>53809000</v>
      </c>
      <c r="E68" s="17">
        <v>46264</v>
      </c>
      <c r="F68" s="17">
        <v>46294</v>
      </c>
      <c r="G68" s="17"/>
      <c r="H68" s="18">
        <f>IF(AND(E68&lt;=Quy_uoc_chung!$C$4,OR(G68="",G68&gt;Quy_uoc_chung!$C$4)),1,0)</f>
        <v>1</v>
      </c>
      <c r="I68" s="18">
        <f>IF(AND(E68&gt;=Quy_uoc_chung!$C$4-Quy_uoc_chung!$C$3+1,E68&lt;=Quy_uoc_chung!$C$4),1,0)</f>
        <v>1</v>
      </c>
      <c r="J68" s="19">
        <f>IF(H68=1,Quy_uoc_chung!$C$4-F68,"")</f>
        <v>1</v>
      </c>
      <c r="K68" s="18" t="str">
        <f t="shared" si="8"/>
        <v>Quá hạn 1–30 ngày</v>
      </c>
      <c r="L68" s="18">
        <f>IF(AND(G68&lt;&gt;"",G68&gt;Quy_uoc_chung!$C$4-TV1_Nguong!$C$4,G68&lt;=Quy_uoc_chung!$C$4),1,0)</f>
        <v>0</v>
      </c>
      <c r="M68" s="19" t="str">
        <f t="shared" si="9"/>
        <v/>
      </c>
      <c r="N68" s="20">
        <f t="shared" si="10"/>
        <v>0</v>
      </c>
      <c r="O68" s="19">
        <f t="shared" si="11"/>
        <v>30</v>
      </c>
      <c r="P68" s="20">
        <f t="shared" si="12"/>
        <v>0</v>
      </c>
      <c r="Q68" s="28">
        <f t="shared" si="13"/>
        <v>0</v>
      </c>
      <c r="R68" s="28">
        <f t="shared" si="14"/>
        <v>0</v>
      </c>
      <c r="S68" s="28">
        <f t="shared" si="15"/>
        <v>0</v>
      </c>
    </row>
    <row r="69" spans="1:19" x14ac:dyDescent="0.3">
      <c r="A69" s="15" t="s">
        <v>347</v>
      </c>
      <c r="B69" s="15" t="s">
        <v>54</v>
      </c>
      <c r="C69" s="15" t="s">
        <v>127</v>
      </c>
      <c r="D69" s="16">
        <v>425635000</v>
      </c>
      <c r="E69" s="17">
        <v>46268</v>
      </c>
      <c r="F69" s="17">
        <v>46313</v>
      </c>
      <c r="G69" s="17"/>
      <c r="H69" s="18">
        <f>IF(AND(E69&lt;=Quy_uoc_chung!$C$4,OR(G69="",G69&gt;Quy_uoc_chung!$C$4)),1,0)</f>
        <v>1</v>
      </c>
      <c r="I69" s="18">
        <f>IF(AND(E69&gt;=Quy_uoc_chung!$C$4-Quy_uoc_chung!$C$3+1,E69&lt;=Quy_uoc_chung!$C$4),1,0)</f>
        <v>1</v>
      </c>
      <c r="J69" s="19">
        <f>IF(H69=1,Quy_uoc_chung!$C$4-F69,"")</f>
        <v>-18</v>
      </c>
      <c r="K69" s="18" t="str">
        <f t="shared" si="8"/>
        <v>Chưa đến hạn</v>
      </c>
      <c r="L69" s="18">
        <f>IF(AND(G69&lt;&gt;"",G69&gt;Quy_uoc_chung!$C$4-TV1_Nguong!$C$4,G69&lt;=Quy_uoc_chung!$C$4),1,0)</f>
        <v>0</v>
      </c>
      <c r="M69" s="19" t="str">
        <f t="shared" si="9"/>
        <v/>
      </c>
      <c r="N69" s="20">
        <f t="shared" si="10"/>
        <v>0</v>
      </c>
      <c r="O69" s="19">
        <f t="shared" si="11"/>
        <v>45</v>
      </c>
      <c r="P69" s="20">
        <f t="shared" si="12"/>
        <v>0</v>
      </c>
      <c r="Q69" s="28">
        <f t="shared" si="13"/>
        <v>0</v>
      </c>
      <c r="R69" s="28">
        <f t="shared" si="14"/>
        <v>0</v>
      </c>
      <c r="S69" s="28">
        <f t="shared" si="15"/>
        <v>0</v>
      </c>
    </row>
    <row r="70" spans="1:19" x14ac:dyDescent="0.3">
      <c r="A70" s="15" t="s">
        <v>348</v>
      </c>
      <c r="B70" s="15" t="s">
        <v>54</v>
      </c>
      <c r="C70" s="15" t="s">
        <v>126</v>
      </c>
      <c r="D70" s="16">
        <v>159000000</v>
      </c>
      <c r="E70" s="17">
        <v>46271</v>
      </c>
      <c r="F70" s="17">
        <v>46301</v>
      </c>
      <c r="G70" s="17"/>
      <c r="H70" s="18">
        <f>IF(AND(E70&lt;=Quy_uoc_chung!$C$4,OR(G70="",G70&gt;Quy_uoc_chung!$C$4)),1,0)</f>
        <v>1</v>
      </c>
      <c r="I70" s="18">
        <f>IF(AND(E70&gt;=Quy_uoc_chung!$C$4-Quy_uoc_chung!$C$3+1,E70&lt;=Quy_uoc_chung!$C$4),1,0)</f>
        <v>1</v>
      </c>
      <c r="J70" s="19">
        <f>IF(H70=1,Quy_uoc_chung!$C$4-F70,"")</f>
        <v>-6</v>
      </c>
      <c r="K70" s="18" t="str">
        <f t="shared" si="8"/>
        <v>Chưa đến hạn</v>
      </c>
      <c r="L70" s="18">
        <f>IF(AND(G70&lt;&gt;"",G70&gt;Quy_uoc_chung!$C$4-TV1_Nguong!$C$4,G70&lt;=Quy_uoc_chung!$C$4),1,0)</f>
        <v>0</v>
      </c>
      <c r="M70" s="19" t="str">
        <f t="shared" si="9"/>
        <v/>
      </c>
      <c r="N70" s="20">
        <f t="shared" si="10"/>
        <v>0</v>
      </c>
      <c r="O70" s="19">
        <f t="shared" si="11"/>
        <v>30</v>
      </c>
      <c r="P70" s="20">
        <f t="shared" si="12"/>
        <v>0</v>
      </c>
      <c r="Q70" s="28">
        <f t="shared" si="13"/>
        <v>0</v>
      </c>
      <c r="R70" s="28">
        <f t="shared" si="14"/>
        <v>0</v>
      </c>
      <c r="S70" s="28">
        <f t="shared" si="15"/>
        <v>0</v>
      </c>
    </row>
    <row r="71" spans="1:19" x14ac:dyDescent="0.3">
      <c r="A71" s="15" t="s">
        <v>349</v>
      </c>
      <c r="B71" s="15" t="s">
        <v>54</v>
      </c>
      <c r="C71" s="15" t="s">
        <v>128</v>
      </c>
      <c r="D71" s="16">
        <v>62682000</v>
      </c>
      <c r="E71" s="17">
        <v>46270</v>
      </c>
      <c r="F71" s="17">
        <v>46300</v>
      </c>
      <c r="G71" s="17"/>
      <c r="H71" s="18">
        <f>IF(AND(E71&lt;=Quy_uoc_chung!$C$4,OR(G71="",G71&gt;Quy_uoc_chung!$C$4)),1,0)</f>
        <v>1</v>
      </c>
      <c r="I71" s="18">
        <f>IF(AND(E71&gt;=Quy_uoc_chung!$C$4-Quy_uoc_chung!$C$3+1,E71&lt;=Quy_uoc_chung!$C$4),1,0)</f>
        <v>1</v>
      </c>
      <c r="J71" s="19">
        <f>IF(H71=1,Quy_uoc_chung!$C$4-F71,"")</f>
        <v>-5</v>
      </c>
      <c r="K71" s="18" t="str">
        <f t="shared" si="8"/>
        <v>Chưa đến hạn</v>
      </c>
      <c r="L71" s="18">
        <f>IF(AND(G71&lt;&gt;"",G71&gt;Quy_uoc_chung!$C$4-TV1_Nguong!$C$4,G71&lt;=Quy_uoc_chung!$C$4),1,0)</f>
        <v>0</v>
      </c>
      <c r="M71" s="19" t="str">
        <f t="shared" si="9"/>
        <v/>
      </c>
      <c r="N71" s="20">
        <f t="shared" si="10"/>
        <v>0</v>
      </c>
      <c r="O71" s="19">
        <f t="shared" si="11"/>
        <v>30</v>
      </c>
      <c r="P71" s="20">
        <f t="shared" si="12"/>
        <v>0</v>
      </c>
      <c r="Q71" s="28">
        <f t="shared" si="13"/>
        <v>0</v>
      </c>
      <c r="R71" s="28">
        <f t="shared" si="14"/>
        <v>0</v>
      </c>
      <c r="S71" s="28">
        <f t="shared" si="15"/>
        <v>0</v>
      </c>
    </row>
    <row r="72" spans="1:19" x14ac:dyDescent="0.3">
      <c r="A72" s="15" t="s">
        <v>350</v>
      </c>
      <c r="B72" s="15" t="s">
        <v>54</v>
      </c>
      <c r="C72" s="15" t="s">
        <v>127</v>
      </c>
      <c r="D72" s="16">
        <v>554200000</v>
      </c>
      <c r="E72" s="17">
        <v>46276</v>
      </c>
      <c r="F72" s="17">
        <v>46321</v>
      </c>
      <c r="G72" s="17"/>
      <c r="H72" s="18">
        <f>IF(AND(E72&lt;=Quy_uoc_chung!$C$4,OR(G72="",G72&gt;Quy_uoc_chung!$C$4)),1,0)</f>
        <v>1</v>
      </c>
      <c r="I72" s="18">
        <f>IF(AND(E72&gt;=Quy_uoc_chung!$C$4-Quy_uoc_chung!$C$3+1,E72&lt;=Quy_uoc_chung!$C$4),1,0)</f>
        <v>1</v>
      </c>
      <c r="J72" s="19">
        <f>IF(H72=1,Quy_uoc_chung!$C$4-F72,"")</f>
        <v>-26</v>
      </c>
      <c r="K72" s="18" t="str">
        <f t="shared" si="8"/>
        <v>Chưa đến hạn</v>
      </c>
      <c r="L72" s="18">
        <f>IF(AND(G72&lt;&gt;"",G72&gt;Quy_uoc_chung!$C$4-TV1_Nguong!$C$4,G72&lt;=Quy_uoc_chung!$C$4),1,0)</f>
        <v>0</v>
      </c>
      <c r="M72" s="19" t="str">
        <f t="shared" si="9"/>
        <v/>
      </c>
      <c r="N72" s="20">
        <f t="shared" si="10"/>
        <v>0</v>
      </c>
      <c r="O72" s="19">
        <f t="shared" si="11"/>
        <v>45</v>
      </c>
      <c r="P72" s="20">
        <f t="shared" si="12"/>
        <v>0</v>
      </c>
      <c r="Q72" s="28">
        <f t="shared" si="13"/>
        <v>0</v>
      </c>
      <c r="R72" s="28">
        <f t="shared" si="14"/>
        <v>0</v>
      </c>
      <c r="S72" s="28">
        <f t="shared" si="15"/>
        <v>0</v>
      </c>
    </row>
    <row r="73" spans="1:19" x14ac:dyDescent="0.3">
      <c r="A73" s="15" t="s">
        <v>351</v>
      </c>
      <c r="B73" s="15" t="s">
        <v>54</v>
      </c>
      <c r="C73" s="15" t="s">
        <v>126</v>
      </c>
      <c r="D73" s="16">
        <v>135180000</v>
      </c>
      <c r="E73" s="17">
        <v>46275</v>
      </c>
      <c r="F73" s="17">
        <v>46305</v>
      </c>
      <c r="G73" s="17"/>
      <c r="H73" s="18">
        <f>IF(AND(E73&lt;=Quy_uoc_chung!$C$4,OR(G73="",G73&gt;Quy_uoc_chung!$C$4)),1,0)</f>
        <v>1</v>
      </c>
      <c r="I73" s="18">
        <f>IF(AND(E73&gt;=Quy_uoc_chung!$C$4-Quy_uoc_chung!$C$3+1,E73&lt;=Quy_uoc_chung!$C$4),1,0)</f>
        <v>1</v>
      </c>
      <c r="J73" s="19">
        <f>IF(H73=1,Quy_uoc_chung!$C$4-F73,"")</f>
        <v>-10</v>
      </c>
      <c r="K73" s="18" t="str">
        <f t="shared" si="8"/>
        <v>Chưa đến hạn</v>
      </c>
      <c r="L73" s="18">
        <f>IF(AND(G73&lt;&gt;"",G73&gt;Quy_uoc_chung!$C$4-TV1_Nguong!$C$4,G73&lt;=Quy_uoc_chung!$C$4),1,0)</f>
        <v>0</v>
      </c>
      <c r="M73" s="19" t="str">
        <f t="shared" si="9"/>
        <v/>
      </c>
      <c r="N73" s="20">
        <f t="shared" si="10"/>
        <v>0</v>
      </c>
      <c r="O73" s="19">
        <f t="shared" si="11"/>
        <v>30</v>
      </c>
      <c r="P73" s="20">
        <f t="shared" si="12"/>
        <v>0</v>
      </c>
      <c r="Q73" s="28">
        <f t="shared" si="13"/>
        <v>0</v>
      </c>
      <c r="R73" s="28">
        <f t="shared" si="14"/>
        <v>0</v>
      </c>
      <c r="S73" s="28">
        <f t="shared" si="15"/>
        <v>0</v>
      </c>
    </row>
    <row r="74" spans="1:19" x14ac:dyDescent="0.3">
      <c r="A74" s="15" t="s">
        <v>352</v>
      </c>
      <c r="B74" s="15" t="s">
        <v>54</v>
      </c>
      <c r="C74" s="15" t="s">
        <v>128</v>
      </c>
      <c r="D74" s="16">
        <v>83709000</v>
      </c>
      <c r="E74" s="17">
        <v>46276</v>
      </c>
      <c r="F74" s="17">
        <v>46306</v>
      </c>
      <c r="G74" s="17"/>
      <c r="H74" s="18">
        <f>IF(AND(E74&lt;=Quy_uoc_chung!$C$4,OR(G74="",G74&gt;Quy_uoc_chung!$C$4)),1,0)</f>
        <v>1</v>
      </c>
      <c r="I74" s="18">
        <f>IF(AND(E74&gt;=Quy_uoc_chung!$C$4-Quy_uoc_chung!$C$3+1,E74&lt;=Quy_uoc_chung!$C$4),1,0)</f>
        <v>1</v>
      </c>
      <c r="J74" s="19">
        <f>IF(H74=1,Quy_uoc_chung!$C$4-F74,"")</f>
        <v>-11</v>
      </c>
      <c r="K74" s="18" t="str">
        <f t="shared" si="8"/>
        <v>Chưa đến hạn</v>
      </c>
      <c r="L74" s="18">
        <f>IF(AND(G74&lt;&gt;"",G74&gt;Quy_uoc_chung!$C$4-TV1_Nguong!$C$4,G74&lt;=Quy_uoc_chung!$C$4),1,0)</f>
        <v>0</v>
      </c>
      <c r="M74" s="19" t="str">
        <f t="shared" si="9"/>
        <v/>
      </c>
      <c r="N74" s="20">
        <f t="shared" si="10"/>
        <v>0</v>
      </c>
      <c r="O74" s="19">
        <f t="shared" si="11"/>
        <v>30</v>
      </c>
      <c r="P74" s="20">
        <f t="shared" si="12"/>
        <v>0</v>
      </c>
      <c r="Q74" s="28">
        <f t="shared" si="13"/>
        <v>0</v>
      </c>
      <c r="R74" s="28">
        <f t="shared" si="14"/>
        <v>0</v>
      </c>
      <c r="S74" s="28">
        <f t="shared" si="15"/>
        <v>0</v>
      </c>
    </row>
    <row r="75" spans="1:19" x14ac:dyDescent="0.3">
      <c r="A75" s="15" t="s">
        <v>353</v>
      </c>
      <c r="B75" s="15" t="s">
        <v>54</v>
      </c>
      <c r="C75" s="15" t="s">
        <v>127</v>
      </c>
      <c r="D75" s="16">
        <v>543905000</v>
      </c>
      <c r="E75" s="17">
        <v>46282</v>
      </c>
      <c r="F75" s="17">
        <v>46327</v>
      </c>
      <c r="G75" s="17"/>
      <c r="H75" s="18">
        <f>IF(AND(E75&lt;=Quy_uoc_chung!$C$4,OR(G75="",G75&gt;Quy_uoc_chung!$C$4)),1,0)</f>
        <v>1</v>
      </c>
      <c r="I75" s="18">
        <f>IF(AND(E75&gt;=Quy_uoc_chung!$C$4-Quy_uoc_chung!$C$3+1,E75&lt;=Quy_uoc_chung!$C$4),1,0)</f>
        <v>1</v>
      </c>
      <c r="J75" s="19">
        <f>IF(H75=1,Quy_uoc_chung!$C$4-F75,"")</f>
        <v>-32</v>
      </c>
      <c r="K75" s="18" t="str">
        <f t="shared" si="8"/>
        <v>Chưa đến hạn</v>
      </c>
      <c r="L75" s="18">
        <f>IF(AND(G75&lt;&gt;"",G75&gt;Quy_uoc_chung!$C$4-TV1_Nguong!$C$4,G75&lt;=Quy_uoc_chung!$C$4),1,0)</f>
        <v>0</v>
      </c>
      <c r="M75" s="19" t="str">
        <f t="shared" si="9"/>
        <v/>
      </c>
      <c r="N75" s="20">
        <f t="shared" si="10"/>
        <v>0</v>
      </c>
      <c r="O75" s="19">
        <f t="shared" si="11"/>
        <v>45</v>
      </c>
      <c r="P75" s="20">
        <f t="shared" si="12"/>
        <v>0</v>
      </c>
      <c r="Q75" s="28">
        <f t="shared" si="13"/>
        <v>0</v>
      </c>
      <c r="R75" s="28">
        <f t="shared" si="14"/>
        <v>0</v>
      </c>
      <c r="S75" s="28">
        <f t="shared" si="15"/>
        <v>0</v>
      </c>
    </row>
    <row r="76" spans="1:19" x14ac:dyDescent="0.3">
      <c r="A76" s="15" t="s">
        <v>354</v>
      </c>
      <c r="B76" s="15" t="s">
        <v>54</v>
      </c>
      <c r="C76" s="15" t="s">
        <v>126</v>
      </c>
      <c r="D76" s="16">
        <v>158894000</v>
      </c>
      <c r="E76" s="17">
        <v>46285</v>
      </c>
      <c r="F76" s="17">
        <v>46315</v>
      </c>
      <c r="G76" s="17"/>
      <c r="H76" s="18">
        <f>IF(AND(E76&lt;=Quy_uoc_chung!$C$4,OR(G76="",G76&gt;Quy_uoc_chung!$C$4)),1,0)</f>
        <v>1</v>
      </c>
      <c r="I76" s="18">
        <f>IF(AND(E76&gt;=Quy_uoc_chung!$C$4-Quy_uoc_chung!$C$3+1,E76&lt;=Quy_uoc_chung!$C$4),1,0)</f>
        <v>1</v>
      </c>
      <c r="J76" s="19">
        <f>IF(H76=1,Quy_uoc_chung!$C$4-F76,"")</f>
        <v>-20</v>
      </c>
      <c r="K76" s="18" t="str">
        <f t="shared" si="8"/>
        <v>Chưa đến hạn</v>
      </c>
      <c r="L76" s="18">
        <f>IF(AND(G76&lt;&gt;"",G76&gt;Quy_uoc_chung!$C$4-TV1_Nguong!$C$4,G76&lt;=Quy_uoc_chung!$C$4),1,0)</f>
        <v>0</v>
      </c>
      <c r="M76" s="19" t="str">
        <f t="shared" si="9"/>
        <v/>
      </c>
      <c r="N76" s="20">
        <f t="shared" si="10"/>
        <v>0</v>
      </c>
      <c r="O76" s="19">
        <f t="shared" si="11"/>
        <v>30</v>
      </c>
      <c r="P76" s="20">
        <f t="shared" si="12"/>
        <v>0</v>
      </c>
      <c r="Q76" s="28">
        <f t="shared" si="13"/>
        <v>0</v>
      </c>
      <c r="R76" s="28">
        <f t="shared" si="14"/>
        <v>0</v>
      </c>
      <c r="S76" s="28">
        <f t="shared" si="15"/>
        <v>0</v>
      </c>
    </row>
    <row r="77" spans="1:19" x14ac:dyDescent="0.3">
      <c r="A77" s="15" t="s">
        <v>355</v>
      </c>
      <c r="B77" s="15" t="s">
        <v>54</v>
      </c>
      <c r="C77" s="15" t="s">
        <v>128</v>
      </c>
      <c r="D77" s="16">
        <v>75658000</v>
      </c>
      <c r="E77" s="17">
        <v>46283</v>
      </c>
      <c r="F77" s="17">
        <v>46313</v>
      </c>
      <c r="G77" s="17"/>
      <c r="H77" s="18">
        <f>IF(AND(E77&lt;=Quy_uoc_chung!$C$4,OR(G77="",G77&gt;Quy_uoc_chung!$C$4)),1,0)</f>
        <v>1</v>
      </c>
      <c r="I77" s="18">
        <f>IF(AND(E77&gt;=Quy_uoc_chung!$C$4-Quy_uoc_chung!$C$3+1,E77&lt;=Quy_uoc_chung!$C$4),1,0)</f>
        <v>1</v>
      </c>
      <c r="J77" s="19">
        <f>IF(H77=1,Quy_uoc_chung!$C$4-F77,"")</f>
        <v>-18</v>
      </c>
      <c r="K77" s="18" t="str">
        <f t="shared" si="8"/>
        <v>Chưa đến hạn</v>
      </c>
      <c r="L77" s="18">
        <f>IF(AND(G77&lt;&gt;"",G77&gt;Quy_uoc_chung!$C$4-TV1_Nguong!$C$4,G77&lt;=Quy_uoc_chung!$C$4),1,0)</f>
        <v>0</v>
      </c>
      <c r="M77" s="19" t="str">
        <f t="shared" si="9"/>
        <v/>
      </c>
      <c r="N77" s="20">
        <f t="shared" si="10"/>
        <v>0</v>
      </c>
      <c r="O77" s="19">
        <f t="shared" si="11"/>
        <v>30</v>
      </c>
      <c r="P77" s="20">
        <f t="shared" si="12"/>
        <v>0</v>
      </c>
      <c r="Q77" s="28">
        <f t="shared" si="13"/>
        <v>0</v>
      </c>
      <c r="R77" s="28">
        <f t="shared" si="14"/>
        <v>0</v>
      </c>
      <c r="S77" s="28">
        <f t="shared" si="15"/>
        <v>0</v>
      </c>
    </row>
    <row r="78" spans="1:19" x14ac:dyDescent="0.3">
      <c r="A78" s="15" t="s">
        <v>356</v>
      </c>
      <c r="B78" s="15" t="s">
        <v>54</v>
      </c>
      <c r="C78" s="15" t="s">
        <v>127</v>
      </c>
      <c r="D78" s="16">
        <v>511145000</v>
      </c>
      <c r="E78" s="17">
        <v>46289</v>
      </c>
      <c r="F78" s="17">
        <v>46334</v>
      </c>
      <c r="G78" s="17"/>
      <c r="H78" s="18">
        <f>IF(AND(E78&lt;=Quy_uoc_chung!$C$4,OR(G78="",G78&gt;Quy_uoc_chung!$C$4)),1,0)</f>
        <v>1</v>
      </c>
      <c r="I78" s="18">
        <f>IF(AND(E78&gt;=Quy_uoc_chung!$C$4-Quy_uoc_chung!$C$3+1,E78&lt;=Quy_uoc_chung!$C$4),1,0)</f>
        <v>1</v>
      </c>
      <c r="J78" s="19">
        <f>IF(H78=1,Quy_uoc_chung!$C$4-F78,"")</f>
        <v>-39</v>
      </c>
      <c r="K78" s="18" t="str">
        <f t="shared" si="8"/>
        <v>Chưa đến hạn</v>
      </c>
      <c r="L78" s="18">
        <f>IF(AND(G78&lt;&gt;"",G78&gt;Quy_uoc_chung!$C$4-TV1_Nguong!$C$4,G78&lt;=Quy_uoc_chung!$C$4),1,0)</f>
        <v>0</v>
      </c>
      <c r="M78" s="19" t="str">
        <f t="shared" si="9"/>
        <v/>
      </c>
      <c r="N78" s="20">
        <f t="shared" si="10"/>
        <v>0</v>
      </c>
      <c r="O78" s="19">
        <f t="shared" si="11"/>
        <v>45</v>
      </c>
      <c r="P78" s="20">
        <f t="shared" si="12"/>
        <v>0</v>
      </c>
      <c r="Q78" s="28">
        <f t="shared" si="13"/>
        <v>0</v>
      </c>
      <c r="R78" s="28">
        <f t="shared" si="14"/>
        <v>0</v>
      </c>
      <c r="S78" s="28">
        <f t="shared" si="15"/>
        <v>0</v>
      </c>
    </row>
    <row r="79" spans="1:19" x14ac:dyDescent="0.3">
      <c r="A79" s="15" t="s">
        <v>357</v>
      </c>
      <c r="B79" s="15" t="s">
        <v>54</v>
      </c>
      <c r="C79" s="15" t="s">
        <v>126</v>
      </c>
      <c r="D79" s="16">
        <v>213221000</v>
      </c>
      <c r="E79" s="17">
        <v>46292</v>
      </c>
      <c r="F79" s="17">
        <v>46322</v>
      </c>
      <c r="G79" s="17"/>
      <c r="H79" s="18">
        <f>IF(AND(E79&lt;=Quy_uoc_chung!$C$4,OR(G79="",G79&gt;Quy_uoc_chung!$C$4)),1,0)</f>
        <v>1</v>
      </c>
      <c r="I79" s="18">
        <f>IF(AND(E79&gt;=Quy_uoc_chung!$C$4-Quy_uoc_chung!$C$3+1,E79&lt;=Quy_uoc_chung!$C$4),1,0)</f>
        <v>1</v>
      </c>
      <c r="J79" s="19">
        <f>IF(H79=1,Quy_uoc_chung!$C$4-F79,"")</f>
        <v>-27</v>
      </c>
      <c r="K79" s="18" t="str">
        <f t="shared" si="8"/>
        <v>Chưa đến hạn</v>
      </c>
      <c r="L79" s="18">
        <f>IF(AND(G79&lt;&gt;"",G79&gt;Quy_uoc_chung!$C$4-TV1_Nguong!$C$4,G79&lt;=Quy_uoc_chung!$C$4),1,0)</f>
        <v>0</v>
      </c>
      <c r="M79" s="19" t="str">
        <f t="shared" si="9"/>
        <v/>
      </c>
      <c r="N79" s="20">
        <f t="shared" si="10"/>
        <v>0</v>
      </c>
      <c r="O79" s="19">
        <f t="shared" si="11"/>
        <v>30</v>
      </c>
      <c r="P79" s="20">
        <f t="shared" si="12"/>
        <v>0</v>
      </c>
      <c r="Q79" s="28">
        <f t="shared" si="13"/>
        <v>0</v>
      </c>
      <c r="R79" s="28">
        <f t="shared" si="14"/>
        <v>0</v>
      </c>
      <c r="S79" s="28">
        <f t="shared" si="15"/>
        <v>0</v>
      </c>
    </row>
    <row r="80" spans="1:19" x14ac:dyDescent="0.3">
      <c r="A80" s="15" t="s">
        <v>358</v>
      </c>
      <c r="B80" s="15" t="s">
        <v>54</v>
      </c>
      <c r="C80" s="15" t="s">
        <v>128</v>
      </c>
      <c r="D80" s="16">
        <v>81589000</v>
      </c>
      <c r="E80" s="17">
        <v>46289</v>
      </c>
      <c r="F80" s="17">
        <v>46319</v>
      </c>
      <c r="G80" s="17"/>
      <c r="H80" s="18">
        <f>IF(AND(E80&lt;=Quy_uoc_chung!$C$4,OR(G80="",G80&gt;Quy_uoc_chung!$C$4)),1,0)</f>
        <v>1</v>
      </c>
      <c r="I80" s="18">
        <f>IF(AND(E80&gt;=Quy_uoc_chung!$C$4-Quy_uoc_chung!$C$3+1,E80&lt;=Quy_uoc_chung!$C$4),1,0)</f>
        <v>1</v>
      </c>
      <c r="J80" s="19">
        <f>IF(H80=1,Quy_uoc_chung!$C$4-F80,"")</f>
        <v>-24</v>
      </c>
      <c r="K80" s="18" t="str">
        <f t="shared" si="8"/>
        <v>Chưa đến hạn</v>
      </c>
      <c r="L80" s="18">
        <f>IF(AND(G80&lt;&gt;"",G80&gt;Quy_uoc_chung!$C$4-TV1_Nguong!$C$4,G80&lt;=Quy_uoc_chung!$C$4),1,0)</f>
        <v>0</v>
      </c>
      <c r="M80" s="19" t="str">
        <f t="shared" si="9"/>
        <v/>
      </c>
      <c r="N80" s="20">
        <f t="shared" si="10"/>
        <v>0</v>
      </c>
      <c r="O80" s="19">
        <f t="shared" si="11"/>
        <v>30</v>
      </c>
      <c r="P80" s="20">
        <f t="shared" si="12"/>
        <v>0</v>
      </c>
      <c r="Q80" s="28">
        <f t="shared" si="13"/>
        <v>0</v>
      </c>
      <c r="R80" s="28">
        <f t="shared" si="14"/>
        <v>0</v>
      </c>
      <c r="S80" s="28">
        <f t="shared" si="15"/>
        <v>0</v>
      </c>
    </row>
    <row r="81" spans="1:19" x14ac:dyDescent="0.3">
      <c r="A81" s="15" t="s">
        <v>359</v>
      </c>
      <c r="B81" s="15" t="s">
        <v>55</v>
      </c>
      <c r="C81" s="15" t="s">
        <v>155</v>
      </c>
      <c r="D81" s="16">
        <v>248042000</v>
      </c>
      <c r="E81" s="17">
        <v>46113</v>
      </c>
      <c r="F81" s="17">
        <v>46143</v>
      </c>
      <c r="G81" s="17">
        <v>46153</v>
      </c>
      <c r="H81" s="18">
        <f>IF(AND(E81&lt;=Quy_uoc_chung!$C$4,OR(G81="",G81&gt;Quy_uoc_chung!$C$4)),1,0)</f>
        <v>0</v>
      </c>
      <c r="I81" s="18">
        <f>IF(AND(E81&gt;=Quy_uoc_chung!$C$4-Quy_uoc_chung!$C$3+1,E81&lt;=Quy_uoc_chung!$C$4),1,0)</f>
        <v>0</v>
      </c>
      <c r="J81" s="19" t="str">
        <f>IF(H81=1,Quy_uoc_chung!$C$4-F81,"")</f>
        <v/>
      </c>
      <c r="K81" s="18" t="str">
        <f t="shared" si="8"/>
        <v/>
      </c>
      <c r="L81" s="18">
        <f>IF(AND(G81&lt;&gt;"",G81&gt;Quy_uoc_chung!$C$4-TV1_Nguong!$C$4,G81&lt;=Quy_uoc_chung!$C$4),1,0)</f>
        <v>1</v>
      </c>
      <c r="M81" s="19">
        <f t="shared" si="9"/>
        <v>10</v>
      </c>
      <c r="N81" s="20">
        <f t="shared" si="10"/>
        <v>2480420000</v>
      </c>
      <c r="O81" s="19">
        <f t="shared" si="11"/>
        <v>30</v>
      </c>
      <c r="P81" s="20">
        <f t="shared" si="12"/>
        <v>7441260000</v>
      </c>
      <c r="Q81" s="28">
        <f t="shared" si="13"/>
        <v>10</v>
      </c>
      <c r="R81" s="28">
        <f t="shared" si="14"/>
        <v>2480420000</v>
      </c>
      <c r="S81" s="28">
        <f t="shared" si="15"/>
        <v>9921680000</v>
      </c>
    </row>
    <row r="82" spans="1:19" x14ac:dyDescent="0.3">
      <c r="A82" s="15" t="s">
        <v>360</v>
      </c>
      <c r="B82" s="15" t="s">
        <v>55</v>
      </c>
      <c r="C82" s="15" t="s">
        <v>152</v>
      </c>
      <c r="D82" s="16">
        <v>268942000</v>
      </c>
      <c r="E82" s="17">
        <v>46116</v>
      </c>
      <c r="F82" s="17">
        <v>46161</v>
      </c>
      <c r="G82" s="17">
        <v>46165</v>
      </c>
      <c r="H82" s="18">
        <f>IF(AND(E82&lt;=Quy_uoc_chung!$C$4,OR(G82="",G82&gt;Quy_uoc_chung!$C$4)),1,0)</f>
        <v>0</v>
      </c>
      <c r="I82" s="18">
        <f>IF(AND(E82&gt;=Quy_uoc_chung!$C$4-Quy_uoc_chung!$C$3+1,E82&lt;=Quy_uoc_chung!$C$4),1,0)</f>
        <v>0</v>
      </c>
      <c r="J82" s="19" t="str">
        <f>IF(H82=1,Quy_uoc_chung!$C$4-F82,"")</f>
        <v/>
      </c>
      <c r="K82" s="18" t="str">
        <f t="shared" si="8"/>
        <v/>
      </c>
      <c r="L82" s="18">
        <f>IF(AND(G82&lt;&gt;"",G82&gt;Quy_uoc_chung!$C$4-TV1_Nguong!$C$4,G82&lt;=Quy_uoc_chung!$C$4),1,0)</f>
        <v>1</v>
      </c>
      <c r="M82" s="19">
        <f t="shared" si="9"/>
        <v>4</v>
      </c>
      <c r="N82" s="20">
        <f t="shared" si="10"/>
        <v>1075768000</v>
      </c>
      <c r="O82" s="19">
        <f t="shared" si="11"/>
        <v>45</v>
      </c>
      <c r="P82" s="20">
        <f t="shared" si="12"/>
        <v>12102390000</v>
      </c>
      <c r="Q82" s="28">
        <f t="shared" si="13"/>
        <v>4</v>
      </c>
      <c r="R82" s="28">
        <f t="shared" si="14"/>
        <v>1075768000</v>
      </c>
      <c r="S82" s="28">
        <f t="shared" si="15"/>
        <v>13178158000</v>
      </c>
    </row>
    <row r="83" spans="1:19" x14ac:dyDescent="0.3">
      <c r="A83" s="15" t="s">
        <v>361</v>
      </c>
      <c r="B83" s="15" t="s">
        <v>55</v>
      </c>
      <c r="C83" s="15" t="s">
        <v>153</v>
      </c>
      <c r="D83" s="16">
        <v>222248000</v>
      </c>
      <c r="E83" s="17">
        <v>46116</v>
      </c>
      <c r="F83" s="17">
        <v>46146</v>
      </c>
      <c r="G83" s="17">
        <v>46146</v>
      </c>
      <c r="H83" s="18">
        <f>IF(AND(E83&lt;=Quy_uoc_chung!$C$4,OR(G83="",G83&gt;Quy_uoc_chung!$C$4)),1,0)</f>
        <v>0</v>
      </c>
      <c r="I83" s="18">
        <f>IF(AND(E83&gt;=Quy_uoc_chung!$C$4-Quy_uoc_chung!$C$3+1,E83&lt;=Quy_uoc_chung!$C$4),1,0)</f>
        <v>0</v>
      </c>
      <c r="J83" s="19" t="str">
        <f>IF(H83=1,Quy_uoc_chung!$C$4-F83,"")</f>
        <v/>
      </c>
      <c r="K83" s="18" t="str">
        <f t="shared" si="8"/>
        <v/>
      </c>
      <c r="L83" s="18">
        <f>IF(AND(G83&lt;&gt;"",G83&gt;Quy_uoc_chung!$C$4-TV1_Nguong!$C$4,G83&lt;=Quy_uoc_chung!$C$4),1,0)</f>
        <v>1</v>
      </c>
      <c r="M83" s="19">
        <f t="shared" si="9"/>
        <v>0</v>
      </c>
      <c r="N83" s="20">
        <f t="shared" si="10"/>
        <v>0</v>
      </c>
      <c r="O83" s="19">
        <f t="shared" si="11"/>
        <v>30</v>
      </c>
      <c r="P83" s="20">
        <f t="shared" si="12"/>
        <v>6667440000</v>
      </c>
      <c r="Q83" s="28">
        <f t="shared" si="13"/>
        <v>0</v>
      </c>
      <c r="R83" s="28">
        <f t="shared" si="14"/>
        <v>0</v>
      </c>
      <c r="S83" s="28">
        <f t="shared" si="15"/>
        <v>6667440000</v>
      </c>
    </row>
    <row r="84" spans="1:19" x14ac:dyDescent="0.3">
      <c r="A84" s="15" t="s">
        <v>362</v>
      </c>
      <c r="B84" s="15" t="s">
        <v>55</v>
      </c>
      <c r="C84" s="15" t="s">
        <v>154</v>
      </c>
      <c r="D84" s="16">
        <v>119805000</v>
      </c>
      <c r="E84" s="17">
        <v>46117</v>
      </c>
      <c r="F84" s="17">
        <v>46147</v>
      </c>
      <c r="G84" s="17">
        <v>46155</v>
      </c>
      <c r="H84" s="18">
        <f>IF(AND(E84&lt;=Quy_uoc_chung!$C$4,OR(G84="",G84&gt;Quy_uoc_chung!$C$4)),1,0)</f>
        <v>0</v>
      </c>
      <c r="I84" s="18">
        <f>IF(AND(E84&gt;=Quy_uoc_chung!$C$4-Quy_uoc_chung!$C$3+1,E84&lt;=Quy_uoc_chung!$C$4),1,0)</f>
        <v>0</v>
      </c>
      <c r="J84" s="19" t="str">
        <f>IF(H84=1,Quy_uoc_chung!$C$4-F84,"")</f>
        <v/>
      </c>
      <c r="K84" s="18" t="str">
        <f t="shared" si="8"/>
        <v/>
      </c>
      <c r="L84" s="18">
        <f>IF(AND(G84&lt;&gt;"",G84&gt;Quy_uoc_chung!$C$4-TV1_Nguong!$C$4,G84&lt;=Quy_uoc_chung!$C$4),1,0)</f>
        <v>1</v>
      </c>
      <c r="M84" s="19">
        <f t="shared" si="9"/>
        <v>8</v>
      </c>
      <c r="N84" s="20">
        <f t="shared" si="10"/>
        <v>958440000</v>
      </c>
      <c r="O84" s="19">
        <f t="shared" si="11"/>
        <v>30</v>
      </c>
      <c r="P84" s="20">
        <f t="shared" si="12"/>
        <v>3594150000</v>
      </c>
      <c r="Q84" s="28">
        <f t="shared" si="13"/>
        <v>8</v>
      </c>
      <c r="R84" s="28">
        <f t="shared" si="14"/>
        <v>958440000</v>
      </c>
      <c r="S84" s="28">
        <f t="shared" si="15"/>
        <v>4552590000</v>
      </c>
    </row>
    <row r="85" spans="1:19" x14ac:dyDescent="0.3">
      <c r="A85" s="15" t="s">
        <v>363</v>
      </c>
      <c r="B85" s="15" t="s">
        <v>55</v>
      </c>
      <c r="C85" s="15" t="s">
        <v>155</v>
      </c>
      <c r="D85" s="16">
        <v>214280000</v>
      </c>
      <c r="E85" s="17">
        <v>46122</v>
      </c>
      <c r="F85" s="17">
        <v>46152</v>
      </c>
      <c r="G85" s="17">
        <v>46157</v>
      </c>
      <c r="H85" s="18">
        <f>IF(AND(E85&lt;=Quy_uoc_chung!$C$4,OR(G85="",G85&gt;Quy_uoc_chung!$C$4)),1,0)</f>
        <v>0</v>
      </c>
      <c r="I85" s="18">
        <f>IF(AND(E85&gt;=Quy_uoc_chung!$C$4-Quy_uoc_chung!$C$3+1,E85&lt;=Quy_uoc_chung!$C$4),1,0)</f>
        <v>0</v>
      </c>
      <c r="J85" s="19" t="str">
        <f>IF(H85=1,Quy_uoc_chung!$C$4-F85,"")</f>
        <v/>
      </c>
      <c r="K85" s="18" t="str">
        <f t="shared" si="8"/>
        <v/>
      </c>
      <c r="L85" s="18">
        <f>IF(AND(G85&lt;&gt;"",G85&gt;Quy_uoc_chung!$C$4-TV1_Nguong!$C$4,G85&lt;=Quy_uoc_chung!$C$4),1,0)</f>
        <v>1</v>
      </c>
      <c r="M85" s="19">
        <f t="shared" si="9"/>
        <v>5</v>
      </c>
      <c r="N85" s="20">
        <f t="shared" si="10"/>
        <v>1071400000</v>
      </c>
      <c r="O85" s="19">
        <f t="shared" si="11"/>
        <v>30</v>
      </c>
      <c r="P85" s="20">
        <f t="shared" si="12"/>
        <v>6428400000</v>
      </c>
      <c r="Q85" s="28">
        <f t="shared" si="13"/>
        <v>5</v>
      </c>
      <c r="R85" s="28">
        <f t="shared" si="14"/>
        <v>1071400000</v>
      </c>
      <c r="S85" s="28">
        <f t="shared" si="15"/>
        <v>7499800000</v>
      </c>
    </row>
    <row r="86" spans="1:19" x14ac:dyDescent="0.3">
      <c r="A86" s="15" t="s">
        <v>364</v>
      </c>
      <c r="B86" s="15" t="s">
        <v>55</v>
      </c>
      <c r="C86" s="15" t="s">
        <v>152</v>
      </c>
      <c r="D86" s="16">
        <v>275392000</v>
      </c>
      <c r="E86" s="17">
        <v>46120</v>
      </c>
      <c r="F86" s="17">
        <v>46165</v>
      </c>
      <c r="G86" s="17">
        <v>46166</v>
      </c>
      <c r="H86" s="18">
        <f>IF(AND(E86&lt;=Quy_uoc_chung!$C$4,OR(G86="",G86&gt;Quy_uoc_chung!$C$4)),1,0)</f>
        <v>0</v>
      </c>
      <c r="I86" s="18">
        <f>IF(AND(E86&gt;=Quy_uoc_chung!$C$4-Quy_uoc_chung!$C$3+1,E86&lt;=Quy_uoc_chung!$C$4),1,0)</f>
        <v>0</v>
      </c>
      <c r="J86" s="19" t="str">
        <f>IF(H86=1,Quy_uoc_chung!$C$4-F86,"")</f>
        <v/>
      </c>
      <c r="K86" s="18" t="str">
        <f t="shared" si="8"/>
        <v/>
      </c>
      <c r="L86" s="18">
        <f>IF(AND(G86&lt;&gt;"",G86&gt;Quy_uoc_chung!$C$4-TV1_Nguong!$C$4,G86&lt;=Quy_uoc_chung!$C$4),1,0)</f>
        <v>1</v>
      </c>
      <c r="M86" s="19">
        <f t="shared" si="9"/>
        <v>1</v>
      </c>
      <c r="N86" s="20">
        <f t="shared" si="10"/>
        <v>275392000</v>
      </c>
      <c r="O86" s="19">
        <f t="shared" si="11"/>
        <v>45</v>
      </c>
      <c r="P86" s="20">
        <f t="shared" si="12"/>
        <v>12392640000</v>
      </c>
      <c r="Q86" s="28">
        <f t="shared" si="13"/>
        <v>1</v>
      </c>
      <c r="R86" s="28">
        <f t="shared" si="14"/>
        <v>275392000</v>
      </c>
      <c r="S86" s="28">
        <f t="shared" si="15"/>
        <v>12668032000</v>
      </c>
    </row>
    <row r="87" spans="1:19" x14ac:dyDescent="0.3">
      <c r="A87" s="15" t="s">
        <v>365</v>
      </c>
      <c r="B87" s="15" t="s">
        <v>55</v>
      </c>
      <c r="C87" s="15" t="s">
        <v>153</v>
      </c>
      <c r="D87" s="16">
        <v>240146000</v>
      </c>
      <c r="E87" s="17">
        <v>46121</v>
      </c>
      <c r="F87" s="17">
        <v>46151</v>
      </c>
      <c r="G87" s="17">
        <v>46152</v>
      </c>
      <c r="H87" s="18">
        <f>IF(AND(E87&lt;=Quy_uoc_chung!$C$4,OR(G87="",G87&gt;Quy_uoc_chung!$C$4)),1,0)</f>
        <v>0</v>
      </c>
      <c r="I87" s="18">
        <f>IF(AND(E87&gt;=Quy_uoc_chung!$C$4-Quy_uoc_chung!$C$3+1,E87&lt;=Quy_uoc_chung!$C$4),1,0)</f>
        <v>0</v>
      </c>
      <c r="J87" s="19" t="str">
        <f>IF(H87=1,Quy_uoc_chung!$C$4-F87,"")</f>
        <v/>
      </c>
      <c r="K87" s="18" t="str">
        <f t="shared" si="8"/>
        <v/>
      </c>
      <c r="L87" s="18">
        <f>IF(AND(G87&lt;&gt;"",G87&gt;Quy_uoc_chung!$C$4-TV1_Nguong!$C$4,G87&lt;=Quy_uoc_chung!$C$4),1,0)</f>
        <v>1</v>
      </c>
      <c r="M87" s="19">
        <f t="shared" si="9"/>
        <v>1</v>
      </c>
      <c r="N87" s="20">
        <f t="shared" si="10"/>
        <v>240146000</v>
      </c>
      <c r="O87" s="19">
        <f t="shared" si="11"/>
        <v>30</v>
      </c>
      <c r="P87" s="20">
        <f t="shared" si="12"/>
        <v>7204380000</v>
      </c>
      <c r="Q87" s="28">
        <f t="shared" si="13"/>
        <v>1</v>
      </c>
      <c r="R87" s="28">
        <f t="shared" si="14"/>
        <v>240146000</v>
      </c>
      <c r="S87" s="28">
        <f t="shared" si="15"/>
        <v>7444526000</v>
      </c>
    </row>
    <row r="88" spans="1:19" x14ac:dyDescent="0.3">
      <c r="A88" s="15" t="s">
        <v>366</v>
      </c>
      <c r="B88" s="15" t="s">
        <v>55</v>
      </c>
      <c r="C88" s="15" t="s">
        <v>154</v>
      </c>
      <c r="D88" s="16">
        <v>149819000</v>
      </c>
      <c r="E88" s="17">
        <v>46122</v>
      </c>
      <c r="F88" s="17">
        <v>46152</v>
      </c>
      <c r="G88" s="17">
        <v>46171</v>
      </c>
      <c r="H88" s="18">
        <f>IF(AND(E88&lt;=Quy_uoc_chung!$C$4,OR(G88="",G88&gt;Quy_uoc_chung!$C$4)),1,0)</f>
        <v>0</v>
      </c>
      <c r="I88" s="18">
        <f>IF(AND(E88&gt;=Quy_uoc_chung!$C$4-Quy_uoc_chung!$C$3+1,E88&lt;=Quy_uoc_chung!$C$4),1,0)</f>
        <v>0</v>
      </c>
      <c r="J88" s="19" t="str">
        <f>IF(H88=1,Quy_uoc_chung!$C$4-F88,"")</f>
        <v/>
      </c>
      <c r="K88" s="18" t="str">
        <f t="shared" si="8"/>
        <v/>
      </c>
      <c r="L88" s="18">
        <f>IF(AND(G88&lt;&gt;"",G88&gt;Quy_uoc_chung!$C$4-TV1_Nguong!$C$4,G88&lt;=Quy_uoc_chung!$C$4),1,0)</f>
        <v>1</v>
      </c>
      <c r="M88" s="19">
        <f t="shared" si="9"/>
        <v>19</v>
      </c>
      <c r="N88" s="20">
        <f t="shared" si="10"/>
        <v>2846561000</v>
      </c>
      <c r="O88" s="19">
        <f t="shared" si="11"/>
        <v>30</v>
      </c>
      <c r="P88" s="20">
        <f t="shared" si="12"/>
        <v>4494570000</v>
      </c>
      <c r="Q88" s="28">
        <f t="shared" si="13"/>
        <v>19</v>
      </c>
      <c r="R88" s="28">
        <f t="shared" si="14"/>
        <v>2846561000</v>
      </c>
      <c r="S88" s="28">
        <f t="shared" si="15"/>
        <v>7341131000</v>
      </c>
    </row>
    <row r="89" spans="1:19" x14ac:dyDescent="0.3">
      <c r="A89" s="15" t="s">
        <v>367</v>
      </c>
      <c r="B89" s="15" t="s">
        <v>55</v>
      </c>
      <c r="C89" s="15" t="s">
        <v>155</v>
      </c>
      <c r="D89" s="16">
        <v>319097000</v>
      </c>
      <c r="E89" s="17">
        <v>46130</v>
      </c>
      <c r="F89" s="17">
        <v>46160</v>
      </c>
      <c r="G89" s="17">
        <v>46170</v>
      </c>
      <c r="H89" s="18">
        <f>IF(AND(E89&lt;=Quy_uoc_chung!$C$4,OR(G89="",G89&gt;Quy_uoc_chung!$C$4)),1,0)</f>
        <v>0</v>
      </c>
      <c r="I89" s="18">
        <f>IF(AND(E89&gt;=Quy_uoc_chung!$C$4-Quy_uoc_chung!$C$3+1,E89&lt;=Quy_uoc_chung!$C$4),1,0)</f>
        <v>0</v>
      </c>
      <c r="J89" s="19" t="str">
        <f>IF(H89=1,Quy_uoc_chung!$C$4-F89,"")</f>
        <v/>
      </c>
      <c r="K89" s="18" t="str">
        <f t="shared" si="8"/>
        <v/>
      </c>
      <c r="L89" s="18">
        <f>IF(AND(G89&lt;&gt;"",G89&gt;Quy_uoc_chung!$C$4-TV1_Nguong!$C$4,G89&lt;=Quy_uoc_chung!$C$4),1,0)</f>
        <v>1</v>
      </c>
      <c r="M89" s="19">
        <f t="shared" si="9"/>
        <v>10</v>
      </c>
      <c r="N89" s="20">
        <f t="shared" si="10"/>
        <v>3190970000</v>
      </c>
      <c r="O89" s="19">
        <f t="shared" si="11"/>
        <v>30</v>
      </c>
      <c r="P89" s="20">
        <f t="shared" si="12"/>
        <v>9572910000</v>
      </c>
      <c r="Q89" s="28">
        <f t="shared" si="13"/>
        <v>10</v>
      </c>
      <c r="R89" s="28">
        <f t="shared" si="14"/>
        <v>3190970000</v>
      </c>
      <c r="S89" s="28">
        <f t="shared" si="15"/>
        <v>12763880000</v>
      </c>
    </row>
    <row r="90" spans="1:19" x14ac:dyDescent="0.3">
      <c r="A90" s="15" t="s">
        <v>368</v>
      </c>
      <c r="B90" s="15" t="s">
        <v>55</v>
      </c>
      <c r="C90" s="15" t="s">
        <v>152</v>
      </c>
      <c r="D90" s="16">
        <v>269433000</v>
      </c>
      <c r="E90" s="17">
        <v>46129</v>
      </c>
      <c r="F90" s="17">
        <v>46174</v>
      </c>
      <c r="G90" s="17">
        <v>46186</v>
      </c>
      <c r="H90" s="18">
        <f>IF(AND(E90&lt;=Quy_uoc_chung!$C$4,OR(G90="",G90&gt;Quy_uoc_chung!$C$4)),1,0)</f>
        <v>0</v>
      </c>
      <c r="I90" s="18">
        <f>IF(AND(E90&gt;=Quy_uoc_chung!$C$4-Quy_uoc_chung!$C$3+1,E90&lt;=Quy_uoc_chung!$C$4),1,0)</f>
        <v>0</v>
      </c>
      <c r="J90" s="19" t="str">
        <f>IF(H90=1,Quy_uoc_chung!$C$4-F90,"")</f>
        <v/>
      </c>
      <c r="K90" s="18" t="str">
        <f t="shared" si="8"/>
        <v/>
      </c>
      <c r="L90" s="18">
        <f>IF(AND(G90&lt;&gt;"",G90&gt;Quy_uoc_chung!$C$4-TV1_Nguong!$C$4,G90&lt;=Quy_uoc_chung!$C$4),1,0)</f>
        <v>1</v>
      </c>
      <c r="M90" s="19">
        <f t="shared" si="9"/>
        <v>12</v>
      </c>
      <c r="N90" s="20">
        <f t="shared" si="10"/>
        <v>3233196000</v>
      </c>
      <c r="O90" s="19">
        <f t="shared" si="11"/>
        <v>45</v>
      </c>
      <c r="P90" s="20">
        <f t="shared" si="12"/>
        <v>12124485000</v>
      </c>
      <c r="Q90" s="28">
        <f t="shared" si="13"/>
        <v>12</v>
      </c>
      <c r="R90" s="28">
        <f t="shared" si="14"/>
        <v>3233196000</v>
      </c>
      <c r="S90" s="28">
        <f t="shared" si="15"/>
        <v>15357681000</v>
      </c>
    </row>
    <row r="91" spans="1:19" x14ac:dyDescent="0.3">
      <c r="A91" s="15" t="s">
        <v>369</v>
      </c>
      <c r="B91" s="15" t="s">
        <v>55</v>
      </c>
      <c r="C91" s="15" t="s">
        <v>153</v>
      </c>
      <c r="D91" s="16">
        <v>233981000</v>
      </c>
      <c r="E91" s="17">
        <v>46130</v>
      </c>
      <c r="F91" s="17">
        <v>46160</v>
      </c>
      <c r="G91" s="17">
        <v>46165</v>
      </c>
      <c r="H91" s="18">
        <f>IF(AND(E91&lt;=Quy_uoc_chung!$C$4,OR(G91="",G91&gt;Quy_uoc_chung!$C$4)),1,0)</f>
        <v>0</v>
      </c>
      <c r="I91" s="18">
        <f>IF(AND(E91&gt;=Quy_uoc_chung!$C$4-Quy_uoc_chung!$C$3+1,E91&lt;=Quy_uoc_chung!$C$4),1,0)</f>
        <v>0</v>
      </c>
      <c r="J91" s="19" t="str">
        <f>IF(H91=1,Quy_uoc_chung!$C$4-F91,"")</f>
        <v/>
      </c>
      <c r="K91" s="18" t="str">
        <f t="shared" si="8"/>
        <v/>
      </c>
      <c r="L91" s="18">
        <f>IF(AND(G91&lt;&gt;"",G91&gt;Quy_uoc_chung!$C$4-TV1_Nguong!$C$4,G91&lt;=Quy_uoc_chung!$C$4),1,0)</f>
        <v>1</v>
      </c>
      <c r="M91" s="19">
        <f t="shared" si="9"/>
        <v>5</v>
      </c>
      <c r="N91" s="20">
        <f t="shared" si="10"/>
        <v>1169905000</v>
      </c>
      <c r="O91" s="19">
        <f t="shared" si="11"/>
        <v>30</v>
      </c>
      <c r="P91" s="20">
        <f t="shared" si="12"/>
        <v>7019430000</v>
      </c>
      <c r="Q91" s="28">
        <f t="shared" si="13"/>
        <v>5</v>
      </c>
      <c r="R91" s="28">
        <f t="shared" si="14"/>
        <v>1169905000</v>
      </c>
      <c r="S91" s="28">
        <f t="shared" si="15"/>
        <v>8189335000</v>
      </c>
    </row>
    <row r="92" spans="1:19" x14ac:dyDescent="0.3">
      <c r="A92" s="15" t="s">
        <v>370</v>
      </c>
      <c r="B92" s="15" t="s">
        <v>55</v>
      </c>
      <c r="C92" s="15" t="s">
        <v>154</v>
      </c>
      <c r="D92" s="16">
        <v>166452000</v>
      </c>
      <c r="E92" s="17">
        <v>46127</v>
      </c>
      <c r="F92" s="17">
        <v>46157</v>
      </c>
      <c r="G92" s="17">
        <v>46172</v>
      </c>
      <c r="H92" s="18">
        <f>IF(AND(E92&lt;=Quy_uoc_chung!$C$4,OR(G92="",G92&gt;Quy_uoc_chung!$C$4)),1,0)</f>
        <v>0</v>
      </c>
      <c r="I92" s="18">
        <f>IF(AND(E92&gt;=Quy_uoc_chung!$C$4-Quy_uoc_chung!$C$3+1,E92&lt;=Quy_uoc_chung!$C$4),1,0)</f>
        <v>0</v>
      </c>
      <c r="J92" s="19" t="str">
        <f>IF(H92=1,Quy_uoc_chung!$C$4-F92,"")</f>
        <v/>
      </c>
      <c r="K92" s="18" t="str">
        <f t="shared" si="8"/>
        <v/>
      </c>
      <c r="L92" s="18">
        <f>IF(AND(G92&lt;&gt;"",G92&gt;Quy_uoc_chung!$C$4-TV1_Nguong!$C$4,G92&lt;=Quy_uoc_chung!$C$4),1,0)</f>
        <v>1</v>
      </c>
      <c r="M92" s="19">
        <f t="shared" si="9"/>
        <v>15</v>
      </c>
      <c r="N92" s="20">
        <f t="shared" si="10"/>
        <v>2496780000</v>
      </c>
      <c r="O92" s="19">
        <f t="shared" si="11"/>
        <v>30</v>
      </c>
      <c r="P92" s="20">
        <f t="shared" si="12"/>
        <v>4993560000</v>
      </c>
      <c r="Q92" s="28">
        <f t="shared" si="13"/>
        <v>15</v>
      </c>
      <c r="R92" s="28">
        <f t="shared" si="14"/>
        <v>2496780000</v>
      </c>
      <c r="S92" s="28">
        <f t="shared" si="15"/>
        <v>7490340000</v>
      </c>
    </row>
    <row r="93" spans="1:19" x14ac:dyDescent="0.3">
      <c r="A93" s="15" t="s">
        <v>371</v>
      </c>
      <c r="B93" s="15" t="s">
        <v>55</v>
      </c>
      <c r="C93" s="15" t="s">
        <v>155</v>
      </c>
      <c r="D93" s="16">
        <v>281828000</v>
      </c>
      <c r="E93" s="17">
        <v>46138</v>
      </c>
      <c r="F93" s="17">
        <v>46168</v>
      </c>
      <c r="G93" s="17">
        <v>46171</v>
      </c>
      <c r="H93" s="18">
        <f>IF(AND(E93&lt;=Quy_uoc_chung!$C$4,OR(G93="",G93&gt;Quy_uoc_chung!$C$4)),1,0)</f>
        <v>0</v>
      </c>
      <c r="I93" s="18">
        <f>IF(AND(E93&gt;=Quy_uoc_chung!$C$4-Quy_uoc_chung!$C$3+1,E93&lt;=Quy_uoc_chung!$C$4),1,0)</f>
        <v>0</v>
      </c>
      <c r="J93" s="19" t="str">
        <f>IF(H93=1,Quy_uoc_chung!$C$4-F93,"")</f>
        <v/>
      </c>
      <c r="K93" s="18" t="str">
        <f t="shared" si="8"/>
        <v/>
      </c>
      <c r="L93" s="18">
        <f>IF(AND(G93&lt;&gt;"",G93&gt;Quy_uoc_chung!$C$4-TV1_Nguong!$C$4,G93&lt;=Quy_uoc_chung!$C$4),1,0)</f>
        <v>1</v>
      </c>
      <c r="M93" s="19">
        <f t="shared" si="9"/>
        <v>3</v>
      </c>
      <c r="N93" s="20">
        <f t="shared" si="10"/>
        <v>845484000</v>
      </c>
      <c r="O93" s="19">
        <f t="shared" si="11"/>
        <v>30</v>
      </c>
      <c r="P93" s="20">
        <f t="shared" si="12"/>
        <v>8454840000</v>
      </c>
      <c r="Q93" s="28">
        <f t="shared" si="13"/>
        <v>3</v>
      </c>
      <c r="R93" s="28">
        <f t="shared" si="14"/>
        <v>845484000</v>
      </c>
      <c r="S93" s="28">
        <f t="shared" si="15"/>
        <v>9300324000</v>
      </c>
    </row>
    <row r="94" spans="1:19" x14ac:dyDescent="0.3">
      <c r="A94" s="15" t="s">
        <v>372</v>
      </c>
      <c r="B94" s="15" t="s">
        <v>55</v>
      </c>
      <c r="C94" s="15" t="s">
        <v>152</v>
      </c>
      <c r="D94" s="16">
        <v>253116000</v>
      </c>
      <c r="E94" s="17">
        <v>46136</v>
      </c>
      <c r="F94" s="17">
        <v>46181</v>
      </c>
      <c r="G94" s="17">
        <v>46187</v>
      </c>
      <c r="H94" s="18">
        <f>IF(AND(E94&lt;=Quy_uoc_chung!$C$4,OR(G94="",G94&gt;Quy_uoc_chung!$C$4)),1,0)</f>
        <v>0</v>
      </c>
      <c r="I94" s="18">
        <f>IF(AND(E94&gt;=Quy_uoc_chung!$C$4-Quy_uoc_chung!$C$3+1,E94&lt;=Quy_uoc_chung!$C$4),1,0)</f>
        <v>0</v>
      </c>
      <c r="J94" s="19" t="str">
        <f>IF(H94=1,Quy_uoc_chung!$C$4-F94,"")</f>
        <v/>
      </c>
      <c r="K94" s="18" t="str">
        <f t="shared" si="8"/>
        <v/>
      </c>
      <c r="L94" s="18">
        <f>IF(AND(G94&lt;&gt;"",G94&gt;Quy_uoc_chung!$C$4-TV1_Nguong!$C$4,G94&lt;=Quy_uoc_chung!$C$4),1,0)</f>
        <v>1</v>
      </c>
      <c r="M94" s="19">
        <f t="shared" si="9"/>
        <v>6</v>
      </c>
      <c r="N94" s="20">
        <f t="shared" si="10"/>
        <v>1518696000</v>
      </c>
      <c r="O94" s="19">
        <f t="shared" si="11"/>
        <v>45</v>
      </c>
      <c r="P94" s="20">
        <f t="shared" si="12"/>
        <v>11390220000</v>
      </c>
      <c r="Q94" s="28">
        <f t="shared" si="13"/>
        <v>6</v>
      </c>
      <c r="R94" s="28">
        <f t="shared" si="14"/>
        <v>1518696000</v>
      </c>
      <c r="S94" s="28">
        <f t="shared" si="15"/>
        <v>12908916000</v>
      </c>
    </row>
    <row r="95" spans="1:19" x14ac:dyDescent="0.3">
      <c r="A95" s="15" t="s">
        <v>373</v>
      </c>
      <c r="B95" s="15" t="s">
        <v>55</v>
      </c>
      <c r="C95" s="15" t="s">
        <v>153</v>
      </c>
      <c r="D95" s="16">
        <v>272257000</v>
      </c>
      <c r="E95" s="17">
        <v>46138</v>
      </c>
      <c r="F95" s="17">
        <v>46168</v>
      </c>
      <c r="G95" s="17">
        <v>46171</v>
      </c>
      <c r="H95" s="18">
        <f>IF(AND(E95&lt;=Quy_uoc_chung!$C$4,OR(G95="",G95&gt;Quy_uoc_chung!$C$4)),1,0)</f>
        <v>0</v>
      </c>
      <c r="I95" s="18">
        <f>IF(AND(E95&gt;=Quy_uoc_chung!$C$4-Quy_uoc_chung!$C$3+1,E95&lt;=Quy_uoc_chung!$C$4),1,0)</f>
        <v>0</v>
      </c>
      <c r="J95" s="19" t="str">
        <f>IF(H95=1,Quy_uoc_chung!$C$4-F95,"")</f>
        <v/>
      </c>
      <c r="K95" s="18" t="str">
        <f t="shared" si="8"/>
        <v/>
      </c>
      <c r="L95" s="18">
        <f>IF(AND(G95&lt;&gt;"",G95&gt;Quy_uoc_chung!$C$4-TV1_Nguong!$C$4,G95&lt;=Quy_uoc_chung!$C$4),1,0)</f>
        <v>1</v>
      </c>
      <c r="M95" s="19">
        <f t="shared" si="9"/>
        <v>3</v>
      </c>
      <c r="N95" s="20">
        <f t="shared" si="10"/>
        <v>816771000</v>
      </c>
      <c r="O95" s="19">
        <f t="shared" si="11"/>
        <v>30</v>
      </c>
      <c r="P95" s="20">
        <f t="shared" si="12"/>
        <v>8167710000</v>
      </c>
      <c r="Q95" s="28">
        <f t="shared" si="13"/>
        <v>3</v>
      </c>
      <c r="R95" s="28">
        <f t="shared" si="14"/>
        <v>816771000</v>
      </c>
      <c r="S95" s="28">
        <f t="shared" si="15"/>
        <v>8984481000</v>
      </c>
    </row>
    <row r="96" spans="1:19" x14ac:dyDescent="0.3">
      <c r="A96" s="15" t="s">
        <v>374</v>
      </c>
      <c r="B96" s="15" t="s">
        <v>55</v>
      </c>
      <c r="C96" s="15" t="s">
        <v>154</v>
      </c>
      <c r="D96" s="16">
        <v>124198000</v>
      </c>
      <c r="E96" s="17">
        <v>46136</v>
      </c>
      <c r="F96" s="17">
        <v>46166</v>
      </c>
      <c r="G96" s="17">
        <v>46179</v>
      </c>
      <c r="H96" s="18">
        <f>IF(AND(E96&lt;=Quy_uoc_chung!$C$4,OR(G96="",G96&gt;Quy_uoc_chung!$C$4)),1,0)</f>
        <v>0</v>
      </c>
      <c r="I96" s="18">
        <f>IF(AND(E96&gt;=Quy_uoc_chung!$C$4-Quy_uoc_chung!$C$3+1,E96&lt;=Quy_uoc_chung!$C$4),1,0)</f>
        <v>0</v>
      </c>
      <c r="J96" s="19" t="str">
        <f>IF(H96=1,Quy_uoc_chung!$C$4-F96,"")</f>
        <v/>
      </c>
      <c r="K96" s="18" t="str">
        <f t="shared" si="8"/>
        <v/>
      </c>
      <c r="L96" s="18">
        <f>IF(AND(G96&lt;&gt;"",G96&gt;Quy_uoc_chung!$C$4-TV1_Nguong!$C$4,G96&lt;=Quy_uoc_chung!$C$4),1,0)</f>
        <v>1</v>
      </c>
      <c r="M96" s="19">
        <f t="shared" si="9"/>
        <v>13</v>
      </c>
      <c r="N96" s="20">
        <f t="shared" si="10"/>
        <v>1614574000</v>
      </c>
      <c r="O96" s="19">
        <f t="shared" si="11"/>
        <v>30</v>
      </c>
      <c r="P96" s="20">
        <f t="shared" si="12"/>
        <v>3725940000</v>
      </c>
      <c r="Q96" s="28">
        <f t="shared" si="13"/>
        <v>13</v>
      </c>
      <c r="R96" s="28">
        <f t="shared" si="14"/>
        <v>1614574000</v>
      </c>
      <c r="S96" s="28">
        <f t="shared" si="15"/>
        <v>5340514000</v>
      </c>
    </row>
    <row r="97" spans="1:19" x14ac:dyDescent="0.3">
      <c r="A97" s="15" t="s">
        <v>375</v>
      </c>
      <c r="B97" s="15" t="s">
        <v>55</v>
      </c>
      <c r="C97" s="15" t="s">
        <v>155</v>
      </c>
      <c r="D97" s="16">
        <v>253038000</v>
      </c>
      <c r="E97" s="17">
        <v>46142</v>
      </c>
      <c r="F97" s="17">
        <v>46172</v>
      </c>
      <c r="G97" s="17">
        <v>46171</v>
      </c>
      <c r="H97" s="18">
        <f>IF(AND(E97&lt;=Quy_uoc_chung!$C$4,OR(G97="",G97&gt;Quy_uoc_chung!$C$4)),1,0)</f>
        <v>0</v>
      </c>
      <c r="I97" s="18">
        <f>IF(AND(E97&gt;=Quy_uoc_chung!$C$4-Quy_uoc_chung!$C$3+1,E97&lt;=Quy_uoc_chung!$C$4),1,0)</f>
        <v>0</v>
      </c>
      <c r="J97" s="19" t="str">
        <f>IF(H97=1,Quy_uoc_chung!$C$4-F97,"")</f>
        <v/>
      </c>
      <c r="K97" s="18" t="str">
        <f t="shared" si="8"/>
        <v/>
      </c>
      <c r="L97" s="18">
        <f>IF(AND(G97&lt;&gt;"",G97&gt;Quy_uoc_chung!$C$4-TV1_Nguong!$C$4,G97&lt;=Quy_uoc_chung!$C$4),1,0)</f>
        <v>1</v>
      </c>
      <c r="M97" s="19">
        <f t="shared" si="9"/>
        <v>-1</v>
      </c>
      <c r="N97" s="20">
        <f t="shared" si="10"/>
        <v>-253038000</v>
      </c>
      <c r="O97" s="19">
        <f t="shared" si="11"/>
        <v>30</v>
      </c>
      <c r="P97" s="20">
        <f t="shared" si="12"/>
        <v>7591140000</v>
      </c>
      <c r="Q97" s="28">
        <f t="shared" si="13"/>
        <v>0</v>
      </c>
      <c r="R97" s="28">
        <f t="shared" si="14"/>
        <v>0</v>
      </c>
      <c r="S97" s="28">
        <f t="shared" si="15"/>
        <v>7338102000</v>
      </c>
    </row>
    <row r="98" spans="1:19" x14ac:dyDescent="0.3">
      <c r="A98" s="15" t="s">
        <v>376</v>
      </c>
      <c r="B98" s="15" t="s">
        <v>55</v>
      </c>
      <c r="C98" s="15" t="s">
        <v>152</v>
      </c>
      <c r="D98" s="16">
        <v>211298000</v>
      </c>
      <c r="E98" s="17">
        <v>46143</v>
      </c>
      <c r="F98" s="17">
        <v>46188</v>
      </c>
      <c r="G98" s="17">
        <v>46188</v>
      </c>
      <c r="H98" s="18">
        <f>IF(AND(E98&lt;=Quy_uoc_chung!$C$4,OR(G98="",G98&gt;Quy_uoc_chung!$C$4)),1,0)</f>
        <v>0</v>
      </c>
      <c r="I98" s="18">
        <f>IF(AND(E98&gt;=Quy_uoc_chung!$C$4-Quy_uoc_chung!$C$3+1,E98&lt;=Quy_uoc_chung!$C$4),1,0)</f>
        <v>0</v>
      </c>
      <c r="J98" s="19" t="str">
        <f>IF(H98=1,Quy_uoc_chung!$C$4-F98,"")</f>
        <v/>
      </c>
      <c r="K98" s="18" t="str">
        <f t="shared" si="8"/>
        <v/>
      </c>
      <c r="L98" s="18">
        <f>IF(AND(G98&lt;&gt;"",G98&gt;Quy_uoc_chung!$C$4-TV1_Nguong!$C$4,G98&lt;=Quy_uoc_chung!$C$4),1,0)</f>
        <v>1</v>
      </c>
      <c r="M98" s="19">
        <f t="shared" si="9"/>
        <v>0</v>
      </c>
      <c r="N98" s="20">
        <f t="shared" si="10"/>
        <v>0</v>
      </c>
      <c r="O98" s="19">
        <f t="shared" si="11"/>
        <v>45</v>
      </c>
      <c r="P98" s="20">
        <f t="shared" si="12"/>
        <v>9508410000</v>
      </c>
      <c r="Q98" s="28">
        <f t="shared" si="13"/>
        <v>0</v>
      </c>
      <c r="R98" s="28">
        <f t="shared" si="14"/>
        <v>0</v>
      </c>
      <c r="S98" s="28">
        <f t="shared" si="15"/>
        <v>9508410000</v>
      </c>
    </row>
    <row r="99" spans="1:19" x14ac:dyDescent="0.3">
      <c r="A99" s="15" t="s">
        <v>377</v>
      </c>
      <c r="B99" s="15" t="s">
        <v>55</v>
      </c>
      <c r="C99" s="15" t="s">
        <v>153</v>
      </c>
      <c r="D99" s="16">
        <v>217650000</v>
      </c>
      <c r="E99" s="17">
        <v>46145</v>
      </c>
      <c r="F99" s="17">
        <v>46175</v>
      </c>
      <c r="G99" s="17">
        <v>46179</v>
      </c>
      <c r="H99" s="18">
        <f>IF(AND(E99&lt;=Quy_uoc_chung!$C$4,OR(G99="",G99&gt;Quy_uoc_chung!$C$4)),1,0)</f>
        <v>0</v>
      </c>
      <c r="I99" s="18">
        <f>IF(AND(E99&gt;=Quy_uoc_chung!$C$4-Quy_uoc_chung!$C$3+1,E99&lt;=Quy_uoc_chung!$C$4),1,0)</f>
        <v>0</v>
      </c>
      <c r="J99" s="19" t="str">
        <f>IF(H99=1,Quy_uoc_chung!$C$4-F99,"")</f>
        <v/>
      </c>
      <c r="K99" s="18" t="str">
        <f t="shared" si="8"/>
        <v/>
      </c>
      <c r="L99" s="18">
        <f>IF(AND(G99&lt;&gt;"",G99&gt;Quy_uoc_chung!$C$4-TV1_Nguong!$C$4,G99&lt;=Quy_uoc_chung!$C$4),1,0)</f>
        <v>1</v>
      </c>
      <c r="M99" s="19">
        <f t="shared" si="9"/>
        <v>4</v>
      </c>
      <c r="N99" s="20">
        <f t="shared" si="10"/>
        <v>870600000</v>
      </c>
      <c r="O99" s="19">
        <f t="shared" si="11"/>
        <v>30</v>
      </c>
      <c r="P99" s="20">
        <f t="shared" si="12"/>
        <v>6529500000</v>
      </c>
      <c r="Q99" s="28">
        <f t="shared" si="13"/>
        <v>4</v>
      </c>
      <c r="R99" s="28">
        <f t="shared" si="14"/>
        <v>870600000</v>
      </c>
      <c r="S99" s="28">
        <f t="shared" si="15"/>
        <v>7400100000</v>
      </c>
    </row>
    <row r="100" spans="1:19" x14ac:dyDescent="0.3">
      <c r="A100" s="15" t="s">
        <v>378</v>
      </c>
      <c r="B100" s="15" t="s">
        <v>55</v>
      </c>
      <c r="C100" s="15" t="s">
        <v>154</v>
      </c>
      <c r="D100" s="16">
        <v>146534000</v>
      </c>
      <c r="E100" s="17">
        <v>46144</v>
      </c>
      <c r="F100" s="17">
        <v>46174</v>
      </c>
      <c r="G100" s="17">
        <v>46171</v>
      </c>
      <c r="H100" s="18">
        <f>IF(AND(E100&lt;=Quy_uoc_chung!$C$4,OR(G100="",G100&gt;Quy_uoc_chung!$C$4)),1,0)</f>
        <v>0</v>
      </c>
      <c r="I100" s="18">
        <f>IF(AND(E100&gt;=Quy_uoc_chung!$C$4-Quy_uoc_chung!$C$3+1,E100&lt;=Quy_uoc_chung!$C$4),1,0)</f>
        <v>0</v>
      </c>
      <c r="J100" s="19" t="str">
        <f>IF(H100=1,Quy_uoc_chung!$C$4-F100,"")</f>
        <v/>
      </c>
      <c r="K100" s="18" t="str">
        <f t="shared" si="8"/>
        <v/>
      </c>
      <c r="L100" s="18">
        <f>IF(AND(G100&lt;&gt;"",G100&gt;Quy_uoc_chung!$C$4-TV1_Nguong!$C$4,G100&lt;=Quy_uoc_chung!$C$4),1,0)</f>
        <v>1</v>
      </c>
      <c r="M100" s="19">
        <f t="shared" si="9"/>
        <v>-3</v>
      </c>
      <c r="N100" s="20">
        <f t="shared" si="10"/>
        <v>-439602000</v>
      </c>
      <c r="O100" s="19">
        <f t="shared" si="11"/>
        <v>30</v>
      </c>
      <c r="P100" s="20">
        <f t="shared" si="12"/>
        <v>4396020000</v>
      </c>
      <c r="Q100" s="28">
        <f t="shared" si="13"/>
        <v>0</v>
      </c>
      <c r="R100" s="28">
        <f t="shared" si="14"/>
        <v>0</v>
      </c>
      <c r="S100" s="28">
        <f t="shared" si="15"/>
        <v>3956418000</v>
      </c>
    </row>
    <row r="101" spans="1:19" x14ac:dyDescent="0.3">
      <c r="A101" s="15" t="s">
        <v>379</v>
      </c>
      <c r="B101" s="15" t="s">
        <v>55</v>
      </c>
      <c r="C101" s="15" t="s">
        <v>155</v>
      </c>
      <c r="D101" s="16">
        <v>342951000</v>
      </c>
      <c r="E101" s="17">
        <v>46148</v>
      </c>
      <c r="F101" s="17">
        <v>46178</v>
      </c>
      <c r="G101" s="17">
        <v>46194</v>
      </c>
      <c r="H101" s="18">
        <f>IF(AND(E101&lt;=Quy_uoc_chung!$C$4,OR(G101="",G101&gt;Quy_uoc_chung!$C$4)),1,0)</f>
        <v>0</v>
      </c>
      <c r="I101" s="18">
        <f>IF(AND(E101&gt;=Quy_uoc_chung!$C$4-Quy_uoc_chung!$C$3+1,E101&lt;=Quy_uoc_chung!$C$4),1,0)</f>
        <v>0</v>
      </c>
      <c r="J101" s="19" t="str">
        <f>IF(H101=1,Quy_uoc_chung!$C$4-F101,"")</f>
        <v/>
      </c>
      <c r="K101" s="18" t="str">
        <f t="shared" si="8"/>
        <v/>
      </c>
      <c r="L101" s="18">
        <f>IF(AND(G101&lt;&gt;"",G101&gt;Quy_uoc_chung!$C$4-TV1_Nguong!$C$4,G101&lt;=Quy_uoc_chung!$C$4),1,0)</f>
        <v>1</v>
      </c>
      <c r="M101" s="19">
        <f t="shared" si="9"/>
        <v>16</v>
      </c>
      <c r="N101" s="20">
        <f t="shared" si="10"/>
        <v>5487216000</v>
      </c>
      <c r="O101" s="19">
        <f t="shared" si="11"/>
        <v>30</v>
      </c>
      <c r="P101" s="20">
        <f t="shared" si="12"/>
        <v>10288530000</v>
      </c>
      <c r="Q101" s="28">
        <f t="shared" si="13"/>
        <v>16</v>
      </c>
      <c r="R101" s="28">
        <f t="shared" si="14"/>
        <v>5487216000</v>
      </c>
      <c r="S101" s="28">
        <f t="shared" si="15"/>
        <v>15775746000</v>
      </c>
    </row>
    <row r="102" spans="1:19" x14ac:dyDescent="0.3">
      <c r="A102" s="15" t="s">
        <v>380</v>
      </c>
      <c r="B102" s="15" t="s">
        <v>55</v>
      </c>
      <c r="C102" s="15" t="s">
        <v>152</v>
      </c>
      <c r="D102" s="16">
        <v>316959000</v>
      </c>
      <c r="E102" s="17">
        <v>46150</v>
      </c>
      <c r="F102" s="17">
        <v>46195</v>
      </c>
      <c r="G102" s="17">
        <v>46200</v>
      </c>
      <c r="H102" s="18">
        <f>IF(AND(E102&lt;=Quy_uoc_chung!$C$4,OR(G102="",G102&gt;Quy_uoc_chung!$C$4)),1,0)</f>
        <v>0</v>
      </c>
      <c r="I102" s="18">
        <f>IF(AND(E102&gt;=Quy_uoc_chung!$C$4-Quy_uoc_chung!$C$3+1,E102&lt;=Quy_uoc_chung!$C$4),1,0)</f>
        <v>0</v>
      </c>
      <c r="J102" s="19" t="str">
        <f>IF(H102=1,Quy_uoc_chung!$C$4-F102,"")</f>
        <v/>
      </c>
      <c r="K102" s="18" t="str">
        <f t="shared" si="8"/>
        <v/>
      </c>
      <c r="L102" s="18">
        <f>IF(AND(G102&lt;&gt;"",G102&gt;Quy_uoc_chung!$C$4-TV1_Nguong!$C$4,G102&lt;=Quy_uoc_chung!$C$4),1,0)</f>
        <v>1</v>
      </c>
      <c r="M102" s="19">
        <f t="shared" si="9"/>
        <v>5</v>
      </c>
      <c r="N102" s="20">
        <f t="shared" si="10"/>
        <v>1584795000</v>
      </c>
      <c r="O102" s="19">
        <f t="shared" si="11"/>
        <v>45</v>
      </c>
      <c r="P102" s="20">
        <f t="shared" si="12"/>
        <v>14263155000</v>
      </c>
      <c r="Q102" s="28">
        <f t="shared" si="13"/>
        <v>5</v>
      </c>
      <c r="R102" s="28">
        <f t="shared" si="14"/>
        <v>1584795000</v>
      </c>
      <c r="S102" s="28">
        <f t="shared" si="15"/>
        <v>15847950000</v>
      </c>
    </row>
    <row r="103" spans="1:19" x14ac:dyDescent="0.3">
      <c r="A103" s="15" t="s">
        <v>381</v>
      </c>
      <c r="B103" s="15" t="s">
        <v>55</v>
      </c>
      <c r="C103" s="15" t="s">
        <v>153</v>
      </c>
      <c r="D103" s="16">
        <v>256378000</v>
      </c>
      <c r="E103" s="17">
        <v>46149</v>
      </c>
      <c r="F103" s="17">
        <v>46179</v>
      </c>
      <c r="G103" s="17">
        <v>46180</v>
      </c>
      <c r="H103" s="18">
        <f>IF(AND(E103&lt;=Quy_uoc_chung!$C$4,OR(G103="",G103&gt;Quy_uoc_chung!$C$4)),1,0)</f>
        <v>0</v>
      </c>
      <c r="I103" s="18">
        <f>IF(AND(E103&gt;=Quy_uoc_chung!$C$4-Quy_uoc_chung!$C$3+1,E103&lt;=Quy_uoc_chung!$C$4),1,0)</f>
        <v>0</v>
      </c>
      <c r="J103" s="19" t="str">
        <f>IF(H103=1,Quy_uoc_chung!$C$4-F103,"")</f>
        <v/>
      </c>
      <c r="K103" s="18" t="str">
        <f t="shared" si="8"/>
        <v/>
      </c>
      <c r="L103" s="18">
        <f>IF(AND(G103&lt;&gt;"",G103&gt;Quy_uoc_chung!$C$4-TV1_Nguong!$C$4,G103&lt;=Quy_uoc_chung!$C$4),1,0)</f>
        <v>1</v>
      </c>
      <c r="M103" s="19">
        <f t="shared" si="9"/>
        <v>1</v>
      </c>
      <c r="N103" s="20">
        <f t="shared" si="10"/>
        <v>256378000</v>
      </c>
      <c r="O103" s="19">
        <f t="shared" si="11"/>
        <v>30</v>
      </c>
      <c r="P103" s="20">
        <f t="shared" si="12"/>
        <v>7691340000</v>
      </c>
      <c r="Q103" s="28">
        <f t="shared" si="13"/>
        <v>1</v>
      </c>
      <c r="R103" s="28">
        <f t="shared" si="14"/>
        <v>256378000</v>
      </c>
      <c r="S103" s="28">
        <f t="shared" si="15"/>
        <v>7947718000</v>
      </c>
    </row>
    <row r="104" spans="1:19" x14ac:dyDescent="0.3">
      <c r="A104" s="15" t="s">
        <v>382</v>
      </c>
      <c r="B104" s="15" t="s">
        <v>55</v>
      </c>
      <c r="C104" s="15" t="s">
        <v>154</v>
      </c>
      <c r="D104" s="16">
        <v>149327000</v>
      </c>
      <c r="E104" s="17">
        <v>46149</v>
      </c>
      <c r="F104" s="17">
        <v>46179</v>
      </c>
      <c r="G104" s="17">
        <v>46199</v>
      </c>
      <c r="H104" s="18">
        <f>IF(AND(E104&lt;=Quy_uoc_chung!$C$4,OR(G104="",G104&gt;Quy_uoc_chung!$C$4)),1,0)</f>
        <v>0</v>
      </c>
      <c r="I104" s="18">
        <f>IF(AND(E104&gt;=Quy_uoc_chung!$C$4-Quy_uoc_chung!$C$3+1,E104&lt;=Quy_uoc_chung!$C$4),1,0)</f>
        <v>0</v>
      </c>
      <c r="J104" s="19" t="str">
        <f>IF(H104=1,Quy_uoc_chung!$C$4-F104,"")</f>
        <v/>
      </c>
      <c r="K104" s="18" t="str">
        <f t="shared" si="8"/>
        <v/>
      </c>
      <c r="L104" s="18">
        <f>IF(AND(G104&lt;&gt;"",G104&gt;Quy_uoc_chung!$C$4-TV1_Nguong!$C$4,G104&lt;=Quy_uoc_chung!$C$4),1,0)</f>
        <v>1</v>
      </c>
      <c r="M104" s="19">
        <f t="shared" si="9"/>
        <v>20</v>
      </c>
      <c r="N104" s="20">
        <f t="shared" si="10"/>
        <v>2986540000</v>
      </c>
      <c r="O104" s="19">
        <f t="shared" si="11"/>
        <v>30</v>
      </c>
      <c r="P104" s="20">
        <f t="shared" si="12"/>
        <v>4479810000</v>
      </c>
      <c r="Q104" s="28">
        <f t="shared" si="13"/>
        <v>20</v>
      </c>
      <c r="R104" s="28">
        <f t="shared" si="14"/>
        <v>2986540000</v>
      </c>
      <c r="S104" s="28">
        <f t="shared" si="15"/>
        <v>7466350000</v>
      </c>
    </row>
    <row r="105" spans="1:19" x14ac:dyDescent="0.3">
      <c r="A105" s="15" t="s">
        <v>383</v>
      </c>
      <c r="B105" s="15" t="s">
        <v>55</v>
      </c>
      <c r="C105" s="15" t="s">
        <v>155</v>
      </c>
      <c r="D105" s="16">
        <v>282500000</v>
      </c>
      <c r="E105" s="17">
        <v>46155</v>
      </c>
      <c r="F105" s="17">
        <v>46185</v>
      </c>
      <c r="G105" s="17">
        <v>46194</v>
      </c>
      <c r="H105" s="18">
        <f>IF(AND(E105&lt;=Quy_uoc_chung!$C$4,OR(G105="",G105&gt;Quy_uoc_chung!$C$4)),1,0)</f>
        <v>0</v>
      </c>
      <c r="I105" s="18">
        <f>IF(AND(E105&gt;=Quy_uoc_chung!$C$4-Quy_uoc_chung!$C$3+1,E105&lt;=Quy_uoc_chung!$C$4),1,0)</f>
        <v>0</v>
      </c>
      <c r="J105" s="19" t="str">
        <f>IF(H105=1,Quy_uoc_chung!$C$4-F105,"")</f>
        <v/>
      </c>
      <c r="K105" s="18" t="str">
        <f t="shared" si="8"/>
        <v/>
      </c>
      <c r="L105" s="18">
        <f>IF(AND(G105&lt;&gt;"",G105&gt;Quy_uoc_chung!$C$4-TV1_Nguong!$C$4,G105&lt;=Quy_uoc_chung!$C$4),1,0)</f>
        <v>1</v>
      </c>
      <c r="M105" s="19">
        <f t="shared" si="9"/>
        <v>9</v>
      </c>
      <c r="N105" s="20">
        <f t="shared" si="10"/>
        <v>2542500000</v>
      </c>
      <c r="O105" s="19">
        <f t="shared" si="11"/>
        <v>30</v>
      </c>
      <c r="P105" s="20">
        <f t="shared" si="12"/>
        <v>8475000000</v>
      </c>
      <c r="Q105" s="28">
        <f t="shared" si="13"/>
        <v>9</v>
      </c>
      <c r="R105" s="28">
        <f t="shared" si="14"/>
        <v>2542500000</v>
      </c>
      <c r="S105" s="28">
        <f t="shared" si="15"/>
        <v>11017500000</v>
      </c>
    </row>
    <row r="106" spans="1:19" x14ac:dyDescent="0.3">
      <c r="A106" s="15" t="s">
        <v>384</v>
      </c>
      <c r="B106" s="15" t="s">
        <v>55</v>
      </c>
      <c r="C106" s="15" t="s">
        <v>152</v>
      </c>
      <c r="D106" s="16">
        <v>232394000</v>
      </c>
      <c r="E106" s="17">
        <v>46157</v>
      </c>
      <c r="F106" s="17">
        <v>46202</v>
      </c>
      <c r="G106" s="17">
        <v>46211</v>
      </c>
      <c r="H106" s="18">
        <f>IF(AND(E106&lt;=Quy_uoc_chung!$C$4,OR(G106="",G106&gt;Quy_uoc_chung!$C$4)),1,0)</f>
        <v>0</v>
      </c>
      <c r="I106" s="18">
        <f>IF(AND(E106&gt;=Quy_uoc_chung!$C$4-Quy_uoc_chung!$C$3+1,E106&lt;=Quy_uoc_chung!$C$4),1,0)</f>
        <v>0</v>
      </c>
      <c r="J106" s="19" t="str">
        <f>IF(H106=1,Quy_uoc_chung!$C$4-F106,"")</f>
        <v/>
      </c>
      <c r="K106" s="18" t="str">
        <f t="shared" si="8"/>
        <v/>
      </c>
      <c r="L106" s="18">
        <f>IF(AND(G106&lt;&gt;"",G106&gt;Quy_uoc_chung!$C$4-TV1_Nguong!$C$4,G106&lt;=Quy_uoc_chung!$C$4),1,0)</f>
        <v>1</v>
      </c>
      <c r="M106" s="19">
        <f t="shared" si="9"/>
        <v>9</v>
      </c>
      <c r="N106" s="20">
        <f t="shared" si="10"/>
        <v>2091546000</v>
      </c>
      <c r="O106" s="19">
        <f t="shared" si="11"/>
        <v>45</v>
      </c>
      <c r="P106" s="20">
        <f t="shared" si="12"/>
        <v>10457730000</v>
      </c>
      <c r="Q106" s="28">
        <f t="shared" si="13"/>
        <v>9</v>
      </c>
      <c r="R106" s="28">
        <f t="shared" si="14"/>
        <v>2091546000</v>
      </c>
      <c r="S106" s="28">
        <f t="shared" si="15"/>
        <v>12549276000</v>
      </c>
    </row>
    <row r="107" spans="1:19" x14ac:dyDescent="0.3">
      <c r="A107" s="15" t="s">
        <v>385</v>
      </c>
      <c r="B107" s="15" t="s">
        <v>55</v>
      </c>
      <c r="C107" s="15" t="s">
        <v>153</v>
      </c>
      <c r="D107" s="16">
        <v>239006000</v>
      </c>
      <c r="E107" s="17">
        <v>46159</v>
      </c>
      <c r="F107" s="17">
        <v>46189</v>
      </c>
      <c r="G107" s="17">
        <v>46189</v>
      </c>
      <c r="H107" s="18">
        <f>IF(AND(E107&lt;=Quy_uoc_chung!$C$4,OR(G107="",G107&gt;Quy_uoc_chung!$C$4)),1,0)</f>
        <v>0</v>
      </c>
      <c r="I107" s="18">
        <f>IF(AND(E107&gt;=Quy_uoc_chung!$C$4-Quy_uoc_chung!$C$3+1,E107&lt;=Quy_uoc_chung!$C$4),1,0)</f>
        <v>0</v>
      </c>
      <c r="J107" s="19" t="str">
        <f>IF(H107=1,Quy_uoc_chung!$C$4-F107,"")</f>
        <v/>
      </c>
      <c r="K107" s="18" t="str">
        <f t="shared" si="8"/>
        <v/>
      </c>
      <c r="L107" s="18">
        <f>IF(AND(G107&lt;&gt;"",G107&gt;Quy_uoc_chung!$C$4-TV1_Nguong!$C$4,G107&lt;=Quy_uoc_chung!$C$4),1,0)</f>
        <v>1</v>
      </c>
      <c r="M107" s="19">
        <f t="shared" si="9"/>
        <v>0</v>
      </c>
      <c r="N107" s="20">
        <f t="shared" si="10"/>
        <v>0</v>
      </c>
      <c r="O107" s="19">
        <f t="shared" si="11"/>
        <v>30</v>
      </c>
      <c r="P107" s="20">
        <f t="shared" si="12"/>
        <v>7170180000</v>
      </c>
      <c r="Q107" s="28">
        <f t="shared" si="13"/>
        <v>0</v>
      </c>
      <c r="R107" s="28">
        <f t="shared" si="14"/>
        <v>0</v>
      </c>
      <c r="S107" s="28">
        <f t="shared" si="15"/>
        <v>7170180000</v>
      </c>
    </row>
    <row r="108" spans="1:19" x14ac:dyDescent="0.3">
      <c r="A108" s="15" t="s">
        <v>386</v>
      </c>
      <c r="B108" s="15" t="s">
        <v>55</v>
      </c>
      <c r="C108" s="15" t="s">
        <v>154</v>
      </c>
      <c r="D108" s="16">
        <v>173700000</v>
      </c>
      <c r="E108" s="17">
        <v>46158</v>
      </c>
      <c r="F108" s="17">
        <v>46188</v>
      </c>
      <c r="G108" s="17">
        <v>46211</v>
      </c>
      <c r="H108" s="18">
        <f>IF(AND(E108&lt;=Quy_uoc_chung!$C$4,OR(G108="",G108&gt;Quy_uoc_chung!$C$4)),1,0)</f>
        <v>0</v>
      </c>
      <c r="I108" s="18">
        <f>IF(AND(E108&gt;=Quy_uoc_chung!$C$4-Quy_uoc_chung!$C$3+1,E108&lt;=Quy_uoc_chung!$C$4),1,0)</f>
        <v>0</v>
      </c>
      <c r="J108" s="19" t="str">
        <f>IF(H108=1,Quy_uoc_chung!$C$4-F108,"")</f>
        <v/>
      </c>
      <c r="K108" s="18" t="str">
        <f t="shared" si="8"/>
        <v/>
      </c>
      <c r="L108" s="18">
        <f>IF(AND(G108&lt;&gt;"",G108&gt;Quy_uoc_chung!$C$4-TV1_Nguong!$C$4,G108&lt;=Quy_uoc_chung!$C$4),1,0)</f>
        <v>1</v>
      </c>
      <c r="M108" s="19">
        <f t="shared" si="9"/>
        <v>23</v>
      </c>
      <c r="N108" s="20">
        <f t="shared" si="10"/>
        <v>3995100000</v>
      </c>
      <c r="O108" s="19">
        <f t="shared" si="11"/>
        <v>30</v>
      </c>
      <c r="P108" s="20">
        <f t="shared" si="12"/>
        <v>5211000000</v>
      </c>
      <c r="Q108" s="28">
        <f t="shared" si="13"/>
        <v>23</v>
      </c>
      <c r="R108" s="28">
        <f t="shared" si="14"/>
        <v>3995100000</v>
      </c>
      <c r="S108" s="28">
        <f t="shared" si="15"/>
        <v>9206100000</v>
      </c>
    </row>
    <row r="109" spans="1:19" x14ac:dyDescent="0.3">
      <c r="A109" s="15" t="s">
        <v>387</v>
      </c>
      <c r="B109" s="15" t="s">
        <v>55</v>
      </c>
      <c r="C109" s="15" t="s">
        <v>155</v>
      </c>
      <c r="D109" s="16">
        <v>264014000</v>
      </c>
      <c r="E109" s="17">
        <v>46162</v>
      </c>
      <c r="F109" s="17">
        <v>46192</v>
      </c>
      <c r="G109" s="17">
        <v>46204</v>
      </c>
      <c r="H109" s="18">
        <f>IF(AND(E109&lt;=Quy_uoc_chung!$C$4,OR(G109="",G109&gt;Quy_uoc_chung!$C$4)),1,0)</f>
        <v>0</v>
      </c>
      <c r="I109" s="18">
        <f>IF(AND(E109&gt;=Quy_uoc_chung!$C$4-Quy_uoc_chung!$C$3+1,E109&lt;=Quy_uoc_chung!$C$4),1,0)</f>
        <v>0</v>
      </c>
      <c r="J109" s="19" t="str">
        <f>IF(H109=1,Quy_uoc_chung!$C$4-F109,"")</f>
        <v/>
      </c>
      <c r="K109" s="18" t="str">
        <f t="shared" si="8"/>
        <v/>
      </c>
      <c r="L109" s="18">
        <f>IF(AND(G109&lt;&gt;"",G109&gt;Quy_uoc_chung!$C$4-TV1_Nguong!$C$4,G109&lt;=Quy_uoc_chung!$C$4),1,0)</f>
        <v>1</v>
      </c>
      <c r="M109" s="19">
        <f t="shared" si="9"/>
        <v>12</v>
      </c>
      <c r="N109" s="20">
        <f t="shared" si="10"/>
        <v>3168168000</v>
      </c>
      <c r="O109" s="19">
        <f t="shared" si="11"/>
        <v>30</v>
      </c>
      <c r="P109" s="20">
        <f t="shared" si="12"/>
        <v>7920420000</v>
      </c>
      <c r="Q109" s="28">
        <f t="shared" si="13"/>
        <v>12</v>
      </c>
      <c r="R109" s="28">
        <f t="shared" si="14"/>
        <v>3168168000</v>
      </c>
      <c r="S109" s="28">
        <f t="shared" si="15"/>
        <v>11088588000</v>
      </c>
    </row>
    <row r="110" spans="1:19" x14ac:dyDescent="0.3">
      <c r="A110" s="15" t="s">
        <v>388</v>
      </c>
      <c r="B110" s="15" t="s">
        <v>55</v>
      </c>
      <c r="C110" s="15" t="s">
        <v>152</v>
      </c>
      <c r="D110" s="16">
        <v>314619000</v>
      </c>
      <c r="E110" s="17">
        <v>46162</v>
      </c>
      <c r="F110" s="17">
        <v>46207</v>
      </c>
      <c r="G110" s="17">
        <v>46216</v>
      </c>
      <c r="H110" s="18">
        <f>IF(AND(E110&lt;=Quy_uoc_chung!$C$4,OR(G110="",G110&gt;Quy_uoc_chung!$C$4)),1,0)</f>
        <v>0</v>
      </c>
      <c r="I110" s="18">
        <f>IF(AND(E110&gt;=Quy_uoc_chung!$C$4-Quy_uoc_chung!$C$3+1,E110&lt;=Quy_uoc_chung!$C$4),1,0)</f>
        <v>0</v>
      </c>
      <c r="J110" s="19" t="str">
        <f>IF(H110=1,Quy_uoc_chung!$C$4-F110,"")</f>
        <v/>
      </c>
      <c r="K110" s="18" t="str">
        <f t="shared" si="8"/>
        <v/>
      </c>
      <c r="L110" s="18">
        <f>IF(AND(G110&lt;&gt;"",G110&gt;Quy_uoc_chung!$C$4-TV1_Nguong!$C$4,G110&lt;=Quy_uoc_chung!$C$4),1,0)</f>
        <v>1</v>
      </c>
      <c r="M110" s="19">
        <f t="shared" si="9"/>
        <v>9</v>
      </c>
      <c r="N110" s="20">
        <f t="shared" si="10"/>
        <v>2831571000</v>
      </c>
      <c r="O110" s="19">
        <f t="shared" si="11"/>
        <v>45</v>
      </c>
      <c r="P110" s="20">
        <f t="shared" si="12"/>
        <v>14157855000</v>
      </c>
      <c r="Q110" s="28">
        <f t="shared" si="13"/>
        <v>9</v>
      </c>
      <c r="R110" s="28">
        <f t="shared" si="14"/>
        <v>2831571000</v>
      </c>
      <c r="S110" s="28">
        <f t="shared" si="15"/>
        <v>16989426000</v>
      </c>
    </row>
    <row r="111" spans="1:19" x14ac:dyDescent="0.3">
      <c r="A111" s="15" t="s">
        <v>389</v>
      </c>
      <c r="B111" s="15" t="s">
        <v>55</v>
      </c>
      <c r="C111" s="15" t="s">
        <v>153</v>
      </c>
      <c r="D111" s="16">
        <v>191891000</v>
      </c>
      <c r="E111" s="17">
        <v>46164</v>
      </c>
      <c r="F111" s="17">
        <v>46194</v>
      </c>
      <c r="G111" s="17">
        <v>46194</v>
      </c>
      <c r="H111" s="18">
        <f>IF(AND(E111&lt;=Quy_uoc_chung!$C$4,OR(G111="",G111&gt;Quy_uoc_chung!$C$4)),1,0)</f>
        <v>0</v>
      </c>
      <c r="I111" s="18">
        <f>IF(AND(E111&gt;=Quy_uoc_chung!$C$4-Quy_uoc_chung!$C$3+1,E111&lt;=Quy_uoc_chung!$C$4),1,0)</f>
        <v>0</v>
      </c>
      <c r="J111" s="19" t="str">
        <f>IF(H111=1,Quy_uoc_chung!$C$4-F111,"")</f>
        <v/>
      </c>
      <c r="K111" s="18" t="str">
        <f t="shared" si="8"/>
        <v/>
      </c>
      <c r="L111" s="18">
        <f>IF(AND(G111&lt;&gt;"",G111&gt;Quy_uoc_chung!$C$4-TV1_Nguong!$C$4,G111&lt;=Quy_uoc_chung!$C$4),1,0)</f>
        <v>1</v>
      </c>
      <c r="M111" s="19">
        <f t="shared" si="9"/>
        <v>0</v>
      </c>
      <c r="N111" s="20">
        <f t="shared" si="10"/>
        <v>0</v>
      </c>
      <c r="O111" s="19">
        <f t="shared" si="11"/>
        <v>30</v>
      </c>
      <c r="P111" s="20">
        <f t="shared" si="12"/>
        <v>5756730000</v>
      </c>
      <c r="Q111" s="28">
        <f t="shared" si="13"/>
        <v>0</v>
      </c>
      <c r="R111" s="28">
        <f t="shared" si="14"/>
        <v>0</v>
      </c>
      <c r="S111" s="28">
        <f t="shared" si="15"/>
        <v>5756730000</v>
      </c>
    </row>
    <row r="112" spans="1:19" x14ac:dyDescent="0.3">
      <c r="A112" s="15" t="s">
        <v>390</v>
      </c>
      <c r="B112" s="15" t="s">
        <v>55</v>
      </c>
      <c r="C112" s="15" t="s">
        <v>154</v>
      </c>
      <c r="D112" s="16">
        <v>167895000</v>
      </c>
      <c r="E112" s="17">
        <v>46166</v>
      </c>
      <c r="F112" s="17">
        <v>46196</v>
      </c>
      <c r="G112" s="17">
        <v>46202</v>
      </c>
      <c r="H112" s="18">
        <f>IF(AND(E112&lt;=Quy_uoc_chung!$C$4,OR(G112="",G112&gt;Quy_uoc_chung!$C$4)),1,0)</f>
        <v>0</v>
      </c>
      <c r="I112" s="18">
        <f>IF(AND(E112&gt;=Quy_uoc_chung!$C$4-Quy_uoc_chung!$C$3+1,E112&lt;=Quy_uoc_chung!$C$4),1,0)</f>
        <v>0</v>
      </c>
      <c r="J112" s="19" t="str">
        <f>IF(H112=1,Quy_uoc_chung!$C$4-F112,"")</f>
        <v/>
      </c>
      <c r="K112" s="18" t="str">
        <f t="shared" si="8"/>
        <v/>
      </c>
      <c r="L112" s="18">
        <f>IF(AND(G112&lt;&gt;"",G112&gt;Quy_uoc_chung!$C$4-TV1_Nguong!$C$4,G112&lt;=Quy_uoc_chung!$C$4),1,0)</f>
        <v>1</v>
      </c>
      <c r="M112" s="19">
        <f t="shared" si="9"/>
        <v>6</v>
      </c>
      <c r="N112" s="20">
        <f t="shared" si="10"/>
        <v>1007370000</v>
      </c>
      <c r="O112" s="19">
        <f t="shared" si="11"/>
        <v>30</v>
      </c>
      <c r="P112" s="20">
        <f t="shared" si="12"/>
        <v>5036850000</v>
      </c>
      <c r="Q112" s="28">
        <f t="shared" si="13"/>
        <v>6</v>
      </c>
      <c r="R112" s="28">
        <f t="shared" si="14"/>
        <v>1007370000</v>
      </c>
      <c r="S112" s="28">
        <f t="shared" si="15"/>
        <v>6044220000</v>
      </c>
    </row>
    <row r="113" spans="1:19" x14ac:dyDescent="0.3">
      <c r="A113" s="15" t="s">
        <v>391</v>
      </c>
      <c r="B113" s="15" t="s">
        <v>55</v>
      </c>
      <c r="C113" s="15" t="s">
        <v>155</v>
      </c>
      <c r="D113" s="16">
        <v>249992000</v>
      </c>
      <c r="E113" s="17">
        <v>46169</v>
      </c>
      <c r="F113" s="17">
        <v>46199</v>
      </c>
      <c r="G113" s="17">
        <v>46203</v>
      </c>
      <c r="H113" s="18">
        <f>IF(AND(E113&lt;=Quy_uoc_chung!$C$4,OR(G113="",G113&gt;Quy_uoc_chung!$C$4)),1,0)</f>
        <v>0</v>
      </c>
      <c r="I113" s="18">
        <f>IF(AND(E113&gt;=Quy_uoc_chung!$C$4-Quy_uoc_chung!$C$3+1,E113&lt;=Quy_uoc_chung!$C$4),1,0)</f>
        <v>0</v>
      </c>
      <c r="J113" s="19" t="str">
        <f>IF(H113=1,Quy_uoc_chung!$C$4-F113,"")</f>
        <v/>
      </c>
      <c r="K113" s="18" t="str">
        <f t="shared" si="8"/>
        <v/>
      </c>
      <c r="L113" s="18">
        <f>IF(AND(G113&lt;&gt;"",G113&gt;Quy_uoc_chung!$C$4-TV1_Nguong!$C$4,G113&lt;=Quy_uoc_chung!$C$4),1,0)</f>
        <v>1</v>
      </c>
      <c r="M113" s="19">
        <f t="shared" si="9"/>
        <v>4</v>
      </c>
      <c r="N113" s="20">
        <f t="shared" si="10"/>
        <v>999968000</v>
      </c>
      <c r="O113" s="19">
        <f t="shared" si="11"/>
        <v>30</v>
      </c>
      <c r="P113" s="20">
        <f t="shared" si="12"/>
        <v>7499760000</v>
      </c>
      <c r="Q113" s="28">
        <f t="shared" si="13"/>
        <v>4</v>
      </c>
      <c r="R113" s="28">
        <f t="shared" si="14"/>
        <v>999968000</v>
      </c>
      <c r="S113" s="28">
        <f t="shared" si="15"/>
        <v>8499728000</v>
      </c>
    </row>
    <row r="114" spans="1:19" x14ac:dyDescent="0.3">
      <c r="A114" s="15" t="s">
        <v>392</v>
      </c>
      <c r="B114" s="15" t="s">
        <v>55</v>
      </c>
      <c r="C114" s="15" t="s">
        <v>152</v>
      </c>
      <c r="D114" s="16">
        <v>291059000</v>
      </c>
      <c r="E114" s="17">
        <v>46172</v>
      </c>
      <c r="F114" s="17">
        <v>46217</v>
      </c>
      <c r="G114" s="17">
        <v>46219</v>
      </c>
      <c r="H114" s="18">
        <f>IF(AND(E114&lt;=Quy_uoc_chung!$C$4,OR(G114="",G114&gt;Quy_uoc_chung!$C$4)),1,0)</f>
        <v>0</v>
      </c>
      <c r="I114" s="18">
        <f>IF(AND(E114&gt;=Quy_uoc_chung!$C$4-Quy_uoc_chung!$C$3+1,E114&lt;=Quy_uoc_chung!$C$4),1,0)</f>
        <v>0</v>
      </c>
      <c r="J114" s="19" t="str">
        <f>IF(H114=1,Quy_uoc_chung!$C$4-F114,"")</f>
        <v/>
      </c>
      <c r="K114" s="18" t="str">
        <f t="shared" si="8"/>
        <v/>
      </c>
      <c r="L114" s="18">
        <f>IF(AND(G114&lt;&gt;"",G114&gt;Quy_uoc_chung!$C$4-TV1_Nguong!$C$4,G114&lt;=Quy_uoc_chung!$C$4),1,0)</f>
        <v>1</v>
      </c>
      <c r="M114" s="19">
        <f t="shared" si="9"/>
        <v>2</v>
      </c>
      <c r="N114" s="20">
        <f t="shared" si="10"/>
        <v>582118000</v>
      </c>
      <c r="O114" s="19">
        <f t="shared" si="11"/>
        <v>45</v>
      </c>
      <c r="P114" s="20">
        <f t="shared" si="12"/>
        <v>13097655000</v>
      </c>
      <c r="Q114" s="28">
        <f t="shared" si="13"/>
        <v>2</v>
      </c>
      <c r="R114" s="28">
        <f t="shared" si="14"/>
        <v>582118000</v>
      </c>
      <c r="S114" s="28">
        <f t="shared" si="15"/>
        <v>13679773000</v>
      </c>
    </row>
    <row r="115" spans="1:19" x14ac:dyDescent="0.3">
      <c r="A115" s="15" t="s">
        <v>393</v>
      </c>
      <c r="B115" s="15" t="s">
        <v>55</v>
      </c>
      <c r="C115" s="15" t="s">
        <v>153</v>
      </c>
      <c r="D115" s="16">
        <v>202701000</v>
      </c>
      <c r="E115" s="17">
        <v>46171</v>
      </c>
      <c r="F115" s="17">
        <v>46201</v>
      </c>
      <c r="G115" s="17">
        <v>46201</v>
      </c>
      <c r="H115" s="18">
        <f>IF(AND(E115&lt;=Quy_uoc_chung!$C$4,OR(G115="",G115&gt;Quy_uoc_chung!$C$4)),1,0)</f>
        <v>0</v>
      </c>
      <c r="I115" s="18">
        <f>IF(AND(E115&gt;=Quy_uoc_chung!$C$4-Quy_uoc_chung!$C$3+1,E115&lt;=Quy_uoc_chung!$C$4),1,0)</f>
        <v>0</v>
      </c>
      <c r="J115" s="19" t="str">
        <f>IF(H115=1,Quy_uoc_chung!$C$4-F115,"")</f>
        <v/>
      </c>
      <c r="K115" s="18" t="str">
        <f t="shared" si="8"/>
        <v/>
      </c>
      <c r="L115" s="18">
        <f>IF(AND(G115&lt;&gt;"",G115&gt;Quy_uoc_chung!$C$4-TV1_Nguong!$C$4,G115&lt;=Quy_uoc_chung!$C$4),1,0)</f>
        <v>1</v>
      </c>
      <c r="M115" s="19">
        <f t="shared" si="9"/>
        <v>0</v>
      </c>
      <c r="N115" s="20">
        <f t="shared" si="10"/>
        <v>0</v>
      </c>
      <c r="O115" s="19">
        <f t="shared" si="11"/>
        <v>30</v>
      </c>
      <c r="P115" s="20">
        <f t="shared" si="12"/>
        <v>6081030000</v>
      </c>
      <c r="Q115" s="28">
        <f t="shared" si="13"/>
        <v>0</v>
      </c>
      <c r="R115" s="28">
        <f t="shared" si="14"/>
        <v>0</v>
      </c>
      <c r="S115" s="28">
        <f t="shared" si="15"/>
        <v>6081030000</v>
      </c>
    </row>
    <row r="116" spans="1:19" x14ac:dyDescent="0.3">
      <c r="A116" s="15" t="s">
        <v>394</v>
      </c>
      <c r="B116" s="15" t="s">
        <v>55</v>
      </c>
      <c r="C116" s="15" t="s">
        <v>154</v>
      </c>
      <c r="D116" s="16">
        <v>149097000</v>
      </c>
      <c r="E116" s="17">
        <v>46171</v>
      </c>
      <c r="F116" s="17">
        <v>46201</v>
      </c>
      <c r="G116" s="17">
        <v>46214</v>
      </c>
      <c r="H116" s="18">
        <f>IF(AND(E116&lt;=Quy_uoc_chung!$C$4,OR(G116="",G116&gt;Quy_uoc_chung!$C$4)),1,0)</f>
        <v>0</v>
      </c>
      <c r="I116" s="18">
        <f>IF(AND(E116&gt;=Quy_uoc_chung!$C$4-Quy_uoc_chung!$C$3+1,E116&lt;=Quy_uoc_chung!$C$4),1,0)</f>
        <v>0</v>
      </c>
      <c r="J116" s="19" t="str">
        <f>IF(H116=1,Quy_uoc_chung!$C$4-F116,"")</f>
        <v/>
      </c>
      <c r="K116" s="18" t="str">
        <f t="shared" si="8"/>
        <v/>
      </c>
      <c r="L116" s="18">
        <f>IF(AND(G116&lt;&gt;"",G116&gt;Quy_uoc_chung!$C$4-TV1_Nguong!$C$4,G116&lt;=Quy_uoc_chung!$C$4),1,0)</f>
        <v>1</v>
      </c>
      <c r="M116" s="19">
        <f t="shared" si="9"/>
        <v>13</v>
      </c>
      <c r="N116" s="20">
        <f t="shared" si="10"/>
        <v>1938261000</v>
      </c>
      <c r="O116" s="19">
        <f t="shared" si="11"/>
        <v>30</v>
      </c>
      <c r="P116" s="20">
        <f t="shared" si="12"/>
        <v>4472910000</v>
      </c>
      <c r="Q116" s="28">
        <f t="shared" si="13"/>
        <v>13</v>
      </c>
      <c r="R116" s="28">
        <f t="shared" si="14"/>
        <v>1938261000</v>
      </c>
      <c r="S116" s="28">
        <f t="shared" si="15"/>
        <v>6411171000</v>
      </c>
    </row>
    <row r="117" spans="1:19" x14ac:dyDescent="0.3">
      <c r="A117" s="15" t="s">
        <v>395</v>
      </c>
      <c r="B117" s="15" t="s">
        <v>55</v>
      </c>
      <c r="C117" s="15" t="s">
        <v>155</v>
      </c>
      <c r="D117" s="16">
        <v>315675000</v>
      </c>
      <c r="E117" s="17">
        <v>46179</v>
      </c>
      <c r="F117" s="17">
        <v>46209</v>
      </c>
      <c r="G117" s="17">
        <v>46216</v>
      </c>
      <c r="H117" s="18">
        <f>IF(AND(E117&lt;=Quy_uoc_chung!$C$4,OR(G117="",G117&gt;Quy_uoc_chung!$C$4)),1,0)</f>
        <v>0</v>
      </c>
      <c r="I117" s="18">
        <f>IF(AND(E117&gt;=Quy_uoc_chung!$C$4-Quy_uoc_chung!$C$3+1,E117&lt;=Quy_uoc_chung!$C$4),1,0)</f>
        <v>0</v>
      </c>
      <c r="J117" s="19" t="str">
        <f>IF(H117=1,Quy_uoc_chung!$C$4-F117,"")</f>
        <v/>
      </c>
      <c r="K117" s="18" t="str">
        <f t="shared" si="8"/>
        <v/>
      </c>
      <c r="L117" s="18">
        <f>IF(AND(G117&lt;&gt;"",G117&gt;Quy_uoc_chung!$C$4-TV1_Nguong!$C$4,G117&lt;=Quy_uoc_chung!$C$4),1,0)</f>
        <v>1</v>
      </c>
      <c r="M117" s="19">
        <f t="shared" si="9"/>
        <v>7</v>
      </c>
      <c r="N117" s="20">
        <f t="shared" si="10"/>
        <v>2209725000</v>
      </c>
      <c r="O117" s="19">
        <f t="shared" si="11"/>
        <v>30</v>
      </c>
      <c r="P117" s="20">
        <f t="shared" si="12"/>
        <v>9470250000</v>
      </c>
      <c r="Q117" s="28">
        <f t="shared" si="13"/>
        <v>7</v>
      </c>
      <c r="R117" s="28">
        <f t="shared" si="14"/>
        <v>2209725000</v>
      </c>
      <c r="S117" s="28">
        <f t="shared" si="15"/>
        <v>11679975000</v>
      </c>
    </row>
    <row r="118" spans="1:19" x14ac:dyDescent="0.3">
      <c r="A118" s="15" t="s">
        <v>396</v>
      </c>
      <c r="B118" s="15" t="s">
        <v>55</v>
      </c>
      <c r="C118" s="15" t="s">
        <v>152</v>
      </c>
      <c r="D118" s="16">
        <v>260392000</v>
      </c>
      <c r="E118" s="17">
        <v>46179</v>
      </c>
      <c r="F118" s="17">
        <v>46224</v>
      </c>
      <c r="G118" s="17">
        <v>46230</v>
      </c>
      <c r="H118" s="18">
        <f>IF(AND(E118&lt;=Quy_uoc_chung!$C$4,OR(G118="",G118&gt;Quy_uoc_chung!$C$4)),1,0)</f>
        <v>0</v>
      </c>
      <c r="I118" s="18">
        <f>IF(AND(E118&gt;=Quy_uoc_chung!$C$4-Quy_uoc_chung!$C$3+1,E118&lt;=Quy_uoc_chung!$C$4),1,0)</f>
        <v>0</v>
      </c>
      <c r="J118" s="19" t="str">
        <f>IF(H118=1,Quy_uoc_chung!$C$4-F118,"")</f>
        <v/>
      </c>
      <c r="K118" s="18" t="str">
        <f t="shared" si="8"/>
        <v/>
      </c>
      <c r="L118" s="18">
        <f>IF(AND(G118&lt;&gt;"",G118&gt;Quy_uoc_chung!$C$4-TV1_Nguong!$C$4,G118&lt;=Quy_uoc_chung!$C$4),1,0)</f>
        <v>1</v>
      </c>
      <c r="M118" s="19">
        <f t="shared" si="9"/>
        <v>6</v>
      </c>
      <c r="N118" s="20">
        <f t="shared" si="10"/>
        <v>1562352000</v>
      </c>
      <c r="O118" s="19">
        <f t="shared" si="11"/>
        <v>45</v>
      </c>
      <c r="P118" s="20">
        <f t="shared" si="12"/>
        <v>11717640000</v>
      </c>
      <c r="Q118" s="28">
        <f t="shared" si="13"/>
        <v>6</v>
      </c>
      <c r="R118" s="28">
        <f t="shared" si="14"/>
        <v>1562352000</v>
      </c>
      <c r="S118" s="28">
        <f t="shared" si="15"/>
        <v>13279992000</v>
      </c>
    </row>
    <row r="119" spans="1:19" x14ac:dyDescent="0.3">
      <c r="A119" s="15" t="s">
        <v>397</v>
      </c>
      <c r="B119" s="15" t="s">
        <v>55</v>
      </c>
      <c r="C119" s="15" t="s">
        <v>153</v>
      </c>
      <c r="D119" s="16">
        <v>272546000</v>
      </c>
      <c r="E119" s="17">
        <v>46178</v>
      </c>
      <c r="F119" s="17">
        <v>46208</v>
      </c>
      <c r="G119" s="17">
        <v>46211</v>
      </c>
      <c r="H119" s="18">
        <f>IF(AND(E119&lt;=Quy_uoc_chung!$C$4,OR(G119="",G119&gt;Quy_uoc_chung!$C$4)),1,0)</f>
        <v>0</v>
      </c>
      <c r="I119" s="18">
        <f>IF(AND(E119&gt;=Quy_uoc_chung!$C$4-Quy_uoc_chung!$C$3+1,E119&lt;=Quy_uoc_chung!$C$4),1,0)</f>
        <v>0</v>
      </c>
      <c r="J119" s="19" t="str">
        <f>IF(H119=1,Quy_uoc_chung!$C$4-F119,"")</f>
        <v/>
      </c>
      <c r="K119" s="18" t="str">
        <f t="shared" si="8"/>
        <v/>
      </c>
      <c r="L119" s="18">
        <f>IF(AND(G119&lt;&gt;"",G119&gt;Quy_uoc_chung!$C$4-TV1_Nguong!$C$4,G119&lt;=Quy_uoc_chung!$C$4),1,0)</f>
        <v>1</v>
      </c>
      <c r="M119" s="19">
        <f t="shared" si="9"/>
        <v>3</v>
      </c>
      <c r="N119" s="20">
        <f t="shared" si="10"/>
        <v>817638000</v>
      </c>
      <c r="O119" s="19">
        <f t="shared" si="11"/>
        <v>30</v>
      </c>
      <c r="P119" s="20">
        <f t="shared" si="12"/>
        <v>8176380000</v>
      </c>
      <c r="Q119" s="28">
        <f t="shared" si="13"/>
        <v>3</v>
      </c>
      <c r="R119" s="28">
        <f t="shared" si="14"/>
        <v>817638000</v>
      </c>
      <c r="S119" s="28">
        <f t="shared" si="15"/>
        <v>8994018000</v>
      </c>
    </row>
    <row r="120" spans="1:19" x14ac:dyDescent="0.3">
      <c r="A120" s="15" t="s">
        <v>398</v>
      </c>
      <c r="B120" s="15" t="s">
        <v>55</v>
      </c>
      <c r="C120" s="15" t="s">
        <v>154</v>
      </c>
      <c r="D120" s="16">
        <v>158237000</v>
      </c>
      <c r="E120" s="17">
        <v>46179</v>
      </c>
      <c r="F120" s="17">
        <v>46209</v>
      </c>
      <c r="G120" s="17">
        <v>46223</v>
      </c>
      <c r="H120" s="18">
        <f>IF(AND(E120&lt;=Quy_uoc_chung!$C$4,OR(G120="",G120&gt;Quy_uoc_chung!$C$4)),1,0)</f>
        <v>0</v>
      </c>
      <c r="I120" s="18">
        <f>IF(AND(E120&gt;=Quy_uoc_chung!$C$4-Quy_uoc_chung!$C$3+1,E120&lt;=Quy_uoc_chung!$C$4),1,0)</f>
        <v>0</v>
      </c>
      <c r="J120" s="19" t="str">
        <f>IF(H120=1,Quy_uoc_chung!$C$4-F120,"")</f>
        <v/>
      </c>
      <c r="K120" s="18" t="str">
        <f t="shared" si="8"/>
        <v/>
      </c>
      <c r="L120" s="18">
        <f>IF(AND(G120&lt;&gt;"",G120&gt;Quy_uoc_chung!$C$4-TV1_Nguong!$C$4,G120&lt;=Quy_uoc_chung!$C$4),1,0)</f>
        <v>1</v>
      </c>
      <c r="M120" s="19">
        <f t="shared" si="9"/>
        <v>14</v>
      </c>
      <c r="N120" s="20">
        <f t="shared" si="10"/>
        <v>2215318000</v>
      </c>
      <c r="O120" s="19">
        <f t="shared" si="11"/>
        <v>30</v>
      </c>
      <c r="P120" s="20">
        <f t="shared" si="12"/>
        <v>4747110000</v>
      </c>
      <c r="Q120" s="28">
        <f t="shared" si="13"/>
        <v>14</v>
      </c>
      <c r="R120" s="28">
        <f t="shared" si="14"/>
        <v>2215318000</v>
      </c>
      <c r="S120" s="28">
        <f t="shared" si="15"/>
        <v>6962428000</v>
      </c>
    </row>
    <row r="121" spans="1:19" x14ac:dyDescent="0.3">
      <c r="A121" s="15" t="s">
        <v>399</v>
      </c>
      <c r="B121" s="15" t="s">
        <v>55</v>
      </c>
      <c r="C121" s="15" t="s">
        <v>155</v>
      </c>
      <c r="D121" s="16">
        <v>336133000</v>
      </c>
      <c r="E121" s="17">
        <v>46187</v>
      </c>
      <c r="F121" s="17">
        <v>46217</v>
      </c>
      <c r="G121" s="17">
        <v>46220</v>
      </c>
      <c r="H121" s="18">
        <f>IF(AND(E121&lt;=Quy_uoc_chung!$C$4,OR(G121="",G121&gt;Quy_uoc_chung!$C$4)),1,0)</f>
        <v>0</v>
      </c>
      <c r="I121" s="18">
        <f>IF(AND(E121&gt;=Quy_uoc_chung!$C$4-Quy_uoc_chung!$C$3+1,E121&lt;=Quy_uoc_chung!$C$4),1,0)</f>
        <v>0</v>
      </c>
      <c r="J121" s="19" t="str">
        <f>IF(H121=1,Quy_uoc_chung!$C$4-F121,"")</f>
        <v/>
      </c>
      <c r="K121" s="18" t="str">
        <f t="shared" si="8"/>
        <v/>
      </c>
      <c r="L121" s="18">
        <f>IF(AND(G121&lt;&gt;"",G121&gt;Quy_uoc_chung!$C$4-TV1_Nguong!$C$4,G121&lt;=Quy_uoc_chung!$C$4),1,0)</f>
        <v>1</v>
      </c>
      <c r="M121" s="19">
        <f t="shared" si="9"/>
        <v>3</v>
      </c>
      <c r="N121" s="20">
        <f t="shared" si="10"/>
        <v>1008399000</v>
      </c>
      <c r="O121" s="19">
        <f t="shared" si="11"/>
        <v>30</v>
      </c>
      <c r="P121" s="20">
        <f t="shared" si="12"/>
        <v>10083990000</v>
      </c>
      <c r="Q121" s="28">
        <f t="shared" si="13"/>
        <v>3</v>
      </c>
      <c r="R121" s="28">
        <f t="shared" si="14"/>
        <v>1008399000</v>
      </c>
      <c r="S121" s="28">
        <f t="shared" si="15"/>
        <v>11092389000</v>
      </c>
    </row>
    <row r="122" spans="1:19" x14ac:dyDescent="0.3">
      <c r="A122" s="15" t="s">
        <v>400</v>
      </c>
      <c r="B122" s="15" t="s">
        <v>55</v>
      </c>
      <c r="C122" s="15" t="s">
        <v>152</v>
      </c>
      <c r="D122" s="16">
        <v>327863000</v>
      </c>
      <c r="E122" s="17">
        <v>46184</v>
      </c>
      <c r="F122" s="17">
        <v>46229</v>
      </c>
      <c r="G122" s="17">
        <v>46230</v>
      </c>
      <c r="H122" s="18">
        <f>IF(AND(E122&lt;=Quy_uoc_chung!$C$4,OR(G122="",G122&gt;Quy_uoc_chung!$C$4)),1,0)</f>
        <v>0</v>
      </c>
      <c r="I122" s="18">
        <f>IF(AND(E122&gt;=Quy_uoc_chung!$C$4-Quy_uoc_chung!$C$3+1,E122&lt;=Quy_uoc_chung!$C$4),1,0)</f>
        <v>0</v>
      </c>
      <c r="J122" s="19" t="str">
        <f>IF(H122=1,Quy_uoc_chung!$C$4-F122,"")</f>
        <v/>
      </c>
      <c r="K122" s="18" t="str">
        <f t="shared" si="8"/>
        <v/>
      </c>
      <c r="L122" s="18">
        <f>IF(AND(G122&lt;&gt;"",G122&gt;Quy_uoc_chung!$C$4-TV1_Nguong!$C$4,G122&lt;=Quy_uoc_chung!$C$4),1,0)</f>
        <v>1</v>
      </c>
      <c r="M122" s="19">
        <f t="shared" si="9"/>
        <v>1</v>
      </c>
      <c r="N122" s="20">
        <f t="shared" si="10"/>
        <v>327863000</v>
      </c>
      <c r="O122" s="19">
        <f t="shared" si="11"/>
        <v>45</v>
      </c>
      <c r="P122" s="20">
        <f t="shared" si="12"/>
        <v>14753835000</v>
      </c>
      <c r="Q122" s="28">
        <f t="shared" si="13"/>
        <v>1</v>
      </c>
      <c r="R122" s="28">
        <f t="shared" si="14"/>
        <v>327863000</v>
      </c>
      <c r="S122" s="28">
        <f t="shared" si="15"/>
        <v>15081698000</v>
      </c>
    </row>
    <row r="123" spans="1:19" x14ac:dyDescent="0.3">
      <c r="A123" s="15" t="s">
        <v>401</v>
      </c>
      <c r="B123" s="15" t="s">
        <v>55</v>
      </c>
      <c r="C123" s="15" t="s">
        <v>153</v>
      </c>
      <c r="D123" s="16">
        <v>220707000</v>
      </c>
      <c r="E123" s="17">
        <v>46184</v>
      </c>
      <c r="F123" s="17">
        <v>46214</v>
      </c>
      <c r="G123" s="17">
        <v>46217</v>
      </c>
      <c r="H123" s="18">
        <f>IF(AND(E123&lt;=Quy_uoc_chung!$C$4,OR(G123="",G123&gt;Quy_uoc_chung!$C$4)),1,0)</f>
        <v>0</v>
      </c>
      <c r="I123" s="18">
        <f>IF(AND(E123&gt;=Quy_uoc_chung!$C$4-Quy_uoc_chung!$C$3+1,E123&lt;=Quy_uoc_chung!$C$4),1,0)</f>
        <v>0</v>
      </c>
      <c r="J123" s="19" t="str">
        <f>IF(H123=1,Quy_uoc_chung!$C$4-F123,"")</f>
        <v/>
      </c>
      <c r="K123" s="18" t="str">
        <f t="shared" si="8"/>
        <v/>
      </c>
      <c r="L123" s="18">
        <f>IF(AND(G123&lt;&gt;"",G123&gt;Quy_uoc_chung!$C$4-TV1_Nguong!$C$4,G123&lt;=Quy_uoc_chung!$C$4),1,0)</f>
        <v>1</v>
      </c>
      <c r="M123" s="19">
        <f t="shared" si="9"/>
        <v>3</v>
      </c>
      <c r="N123" s="20">
        <f t="shared" si="10"/>
        <v>662121000</v>
      </c>
      <c r="O123" s="19">
        <f t="shared" si="11"/>
        <v>30</v>
      </c>
      <c r="P123" s="20">
        <f t="shared" si="12"/>
        <v>6621210000</v>
      </c>
      <c r="Q123" s="28">
        <f t="shared" si="13"/>
        <v>3</v>
      </c>
      <c r="R123" s="28">
        <f t="shared" si="14"/>
        <v>662121000</v>
      </c>
      <c r="S123" s="28">
        <f t="shared" si="15"/>
        <v>7283331000</v>
      </c>
    </row>
    <row r="124" spans="1:19" x14ac:dyDescent="0.3">
      <c r="A124" s="15" t="s">
        <v>402</v>
      </c>
      <c r="B124" s="15" t="s">
        <v>55</v>
      </c>
      <c r="C124" s="15" t="s">
        <v>154</v>
      </c>
      <c r="D124" s="16">
        <v>148626000</v>
      </c>
      <c r="E124" s="17">
        <v>46184</v>
      </c>
      <c r="F124" s="17">
        <v>46214</v>
      </c>
      <c r="G124" s="17">
        <v>46234</v>
      </c>
      <c r="H124" s="18">
        <f>IF(AND(E124&lt;=Quy_uoc_chung!$C$4,OR(G124="",G124&gt;Quy_uoc_chung!$C$4)),1,0)</f>
        <v>0</v>
      </c>
      <c r="I124" s="18">
        <f>IF(AND(E124&gt;=Quy_uoc_chung!$C$4-Quy_uoc_chung!$C$3+1,E124&lt;=Quy_uoc_chung!$C$4),1,0)</f>
        <v>0</v>
      </c>
      <c r="J124" s="19" t="str">
        <f>IF(H124=1,Quy_uoc_chung!$C$4-F124,"")</f>
        <v/>
      </c>
      <c r="K124" s="18" t="str">
        <f t="shared" si="8"/>
        <v/>
      </c>
      <c r="L124" s="18">
        <f>IF(AND(G124&lt;&gt;"",G124&gt;Quy_uoc_chung!$C$4-TV1_Nguong!$C$4,G124&lt;=Quy_uoc_chung!$C$4),1,0)</f>
        <v>1</v>
      </c>
      <c r="M124" s="19">
        <f t="shared" si="9"/>
        <v>20</v>
      </c>
      <c r="N124" s="20">
        <f t="shared" si="10"/>
        <v>2972520000</v>
      </c>
      <c r="O124" s="19">
        <f t="shared" si="11"/>
        <v>30</v>
      </c>
      <c r="P124" s="20">
        <f t="shared" si="12"/>
        <v>4458780000</v>
      </c>
      <c r="Q124" s="28">
        <f t="shared" si="13"/>
        <v>20</v>
      </c>
      <c r="R124" s="28">
        <f t="shared" si="14"/>
        <v>2972520000</v>
      </c>
      <c r="S124" s="28">
        <f t="shared" si="15"/>
        <v>7431300000</v>
      </c>
    </row>
    <row r="125" spans="1:19" x14ac:dyDescent="0.3">
      <c r="A125" s="15" t="s">
        <v>403</v>
      </c>
      <c r="B125" s="15" t="s">
        <v>55</v>
      </c>
      <c r="C125" s="15" t="s">
        <v>155</v>
      </c>
      <c r="D125" s="16">
        <v>235979000</v>
      </c>
      <c r="E125" s="17">
        <v>46190</v>
      </c>
      <c r="F125" s="17">
        <v>46220</v>
      </c>
      <c r="G125" s="17">
        <v>46225</v>
      </c>
      <c r="H125" s="18">
        <f>IF(AND(E125&lt;=Quy_uoc_chung!$C$4,OR(G125="",G125&gt;Quy_uoc_chung!$C$4)),1,0)</f>
        <v>0</v>
      </c>
      <c r="I125" s="18">
        <f>IF(AND(E125&gt;=Quy_uoc_chung!$C$4-Quy_uoc_chung!$C$3+1,E125&lt;=Quy_uoc_chung!$C$4),1,0)</f>
        <v>0</v>
      </c>
      <c r="J125" s="19" t="str">
        <f>IF(H125=1,Quy_uoc_chung!$C$4-F125,"")</f>
        <v/>
      </c>
      <c r="K125" s="18" t="str">
        <f t="shared" si="8"/>
        <v/>
      </c>
      <c r="L125" s="18">
        <f>IF(AND(G125&lt;&gt;"",G125&gt;Quy_uoc_chung!$C$4-TV1_Nguong!$C$4,G125&lt;=Quy_uoc_chung!$C$4),1,0)</f>
        <v>1</v>
      </c>
      <c r="M125" s="19">
        <f t="shared" si="9"/>
        <v>5</v>
      </c>
      <c r="N125" s="20">
        <f t="shared" si="10"/>
        <v>1179895000</v>
      </c>
      <c r="O125" s="19">
        <f t="shared" si="11"/>
        <v>30</v>
      </c>
      <c r="P125" s="20">
        <f t="shared" si="12"/>
        <v>7079370000</v>
      </c>
      <c r="Q125" s="28">
        <f t="shared" si="13"/>
        <v>5</v>
      </c>
      <c r="R125" s="28">
        <f t="shared" si="14"/>
        <v>1179895000</v>
      </c>
      <c r="S125" s="28">
        <f t="shared" si="15"/>
        <v>8259265000</v>
      </c>
    </row>
    <row r="126" spans="1:19" x14ac:dyDescent="0.3">
      <c r="A126" s="15" t="s">
        <v>404</v>
      </c>
      <c r="B126" s="15" t="s">
        <v>55</v>
      </c>
      <c r="C126" s="15" t="s">
        <v>152</v>
      </c>
      <c r="D126" s="16">
        <v>338631000</v>
      </c>
      <c r="E126" s="17">
        <v>46193</v>
      </c>
      <c r="F126" s="17">
        <v>46238</v>
      </c>
      <c r="G126" s="17">
        <v>46243</v>
      </c>
      <c r="H126" s="18">
        <f>IF(AND(E126&lt;=Quy_uoc_chung!$C$4,OR(G126="",G126&gt;Quy_uoc_chung!$C$4)),1,0)</f>
        <v>0</v>
      </c>
      <c r="I126" s="18">
        <f>IF(AND(E126&gt;=Quy_uoc_chung!$C$4-Quy_uoc_chung!$C$3+1,E126&lt;=Quy_uoc_chung!$C$4),1,0)</f>
        <v>0</v>
      </c>
      <c r="J126" s="19" t="str">
        <f>IF(H126=1,Quy_uoc_chung!$C$4-F126,"")</f>
        <v/>
      </c>
      <c r="K126" s="18" t="str">
        <f t="shared" si="8"/>
        <v/>
      </c>
      <c r="L126" s="18">
        <f>IF(AND(G126&lt;&gt;"",G126&gt;Quy_uoc_chung!$C$4-TV1_Nguong!$C$4,G126&lt;=Quy_uoc_chung!$C$4),1,0)</f>
        <v>1</v>
      </c>
      <c r="M126" s="19">
        <f t="shared" si="9"/>
        <v>5</v>
      </c>
      <c r="N126" s="20">
        <f t="shared" si="10"/>
        <v>1693155000</v>
      </c>
      <c r="O126" s="19">
        <f t="shared" si="11"/>
        <v>45</v>
      </c>
      <c r="P126" s="20">
        <f t="shared" si="12"/>
        <v>15238395000</v>
      </c>
      <c r="Q126" s="28">
        <f t="shared" si="13"/>
        <v>5</v>
      </c>
      <c r="R126" s="28">
        <f t="shared" si="14"/>
        <v>1693155000</v>
      </c>
      <c r="S126" s="28">
        <f t="shared" si="15"/>
        <v>16931550000</v>
      </c>
    </row>
    <row r="127" spans="1:19" x14ac:dyDescent="0.3">
      <c r="A127" s="15" t="s">
        <v>405</v>
      </c>
      <c r="B127" s="15" t="s">
        <v>55</v>
      </c>
      <c r="C127" s="15" t="s">
        <v>153</v>
      </c>
      <c r="D127" s="16">
        <v>243948000</v>
      </c>
      <c r="E127" s="17">
        <v>46192</v>
      </c>
      <c r="F127" s="17">
        <v>46222</v>
      </c>
      <c r="G127" s="17">
        <v>46224</v>
      </c>
      <c r="H127" s="18">
        <f>IF(AND(E127&lt;=Quy_uoc_chung!$C$4,OR(G127="",G127&gt;Quy_uoc_chung!$C$4)),1,0)</f>
        <v>0</v>
      </c>
      <c r="I127" s="18">
        <f>IF(AND(E127&gt;=Quy_uoc_chung!$C$4-Quy_uoc_chung!$C$3+1,E127&lt;=Quy_uoc_chung!$C$4),1,0)</f>
        <v>0</v>
      </c>
      <c r="J127" s="19" t="str">
        <f>IF(H127=1,Quy_uoc_chung!$C$4-F127,"")</f>
        <v/>
      </c>
      <c r="K127" s="18" t="str">
        <f t="shared" si="8"/>
        <v/>
      </c>
      <c r="L127" s="18">
        <f>IF(AND(G127&lt;&gt;"",G127&gt;Quy_uoc_chung!$C$4-TV1_Nguong!$C$4,G127&lt;=Quy_uoc_chung!$C$4),1,0)</f>
        <v>1</v>
      </c>
      <c r="M127" s="19">
        <f t="shared" si="9"/>
        <v>2</v>
      </c>
      <c r="N127" s="20">
        <f t="shared" si="10"/>
        <v>487896000</v>
      </c>
      <c r="O127" s="19">
        <f t="shared" si="11"/>
        <v>30</v>
      </c>
      <c r="P127" s="20">
        <f t="shared" si="12"/>
        <v>7318440000</v>
      </c>
      <c r="Q127" s="28">
        <f t="shared" si="13"/>
        <v>2</v>
      </c>
      <c r="R127" s="28">
        <f t="shared" si="14"/>
        <v>487896000</v>
      </c>
      <c r="S127" s="28">
        <f t="shared" si="15"/>
        <v>7806336000</v>
      </c>
    </row>
    <row r="128" spans="1:19" x14ac:dyDescent="0.3">
      <c r="A128" s="15" t="s">
        <v>406</v>
      </c>
      <c r="B128" s="15" t="s">
        <v>55</v>
      </c>
      <c r="C128" s="15" t="s">
        <v>154</v>
      </c>
      <c r="D128" s="16">
        <v>124017000</v>
      </c>
      <c r="E128" s="17">
        <v>46190</v>
      </c>
      <c r="F128" s="17">
        <v>46220</v>
      </c>
      <c r="G128" s="17">
        <v>46236</v>
      </c>
      <c r="H128" s="18">
        <f>IF(AND(E128&lt;=Quy_uoc_chung!$C$4,OR(G128="",G128&gt;Quy_uoc_chung!$C$4)),1,0)</f>
        <v>0</v>
      </c>
      <c r="I128" s="18">
        <f>IF(AND(E128&gt;=Quy_uoc_chung!$C$4-Quy_uoc_chung!$C$3+1,E128&lt;=Quy_uoc_chung!$C$4),1,0)</f>
        <v>0</v>
      </c>
      <c r="J128" s="19" t="str">
        <f>IF(H128=1,Quy_uoc_chung!$C$4-F128,"")</f>
        <v/>
      </c>
      <c r="K128" s="18" t="str">
        <f t="shared" si="8"/>
        <v/>
      </c>
      <c r="L128" s="18">
        <f>IF(AND(G128&lt;&gt;"",G128&gt;Quy_uoc_chung!$C$4-TV1_Nguong!$C$4,G128&lt;=Quy_uoc_chung!$C$4),1,0)</f>
        <v>1</v>
      </c>
      <c r="M128" s="19">
        <f t="shared" si="9"/>
        <v>16</v>
      </c>
      <c r="N128" s="20">
        <f t="shared" si="10"/>
        <v>1984272000</v>
      </c>
      <c r="O128" s="19">
        <f t="shared" si="11"/>
        <v>30</v>
      </c>
      <c r="P128" s="20">
        <f t="shared" si="12"/>
        <v>3720510000</v>
      </c>
      <c r="Q128" s="28">
        <f t="shared" si="13"/>
        <v>16</v>
      </c>
      <c r="R128" s="28">
        <f t="shared" si="14"/>
        <v>1984272000</v>
      </c>
      <c r="S128" s="28">
        <f t="shared" si="15"/>
        <v>5704782000</v>
      </c>
    </row>
    <row r="129" spans="1:19" x14ac:dyDescent="0.3">
      <c r="A129" s="15" t="s">
        <v>407</v>
      </c>
      <c r="B129" s="15" t="s">
        <v>55</v>
      </c>
      <c r="C129" s="15" t="s">
        <v>155</v>
      </c>
      <c r="D129" s="16">
        <v>346212000</v>
      </c>
      <c r="E129" s="17">
        <v>46200</v>
      </c>
      <c r="F129" s="17">
        <v>46230</v>
      </c>
      <c r="G129" s="17">
        <v>46241</v>
      </c>
      <c r="H129" s="18">
        <f>IF(AND(E129&lt;=Quy_uoc_chung!$C$4,OR(G129="",G129&gt;Quy_uoc_chung!$C$4)),1,0)</f>
        <v>0</v>
      </c>
      <c r="I129" s="18">
        <f>IF(AND(E129&gt;=Quy_uoc_chung!$C$4-Quy_uoc_chung!$C$3+1,E129&lt;=Quy_uoc_chung!$C$4),1,0)</f>
        <v>0</v>
      </c>
      <c r="J129" s="19" t="str">
        <f>IF(H129=1,Quy_uoc_chung!$C$4-F129,"")</f>
        <v/>
      </c>
      <c r="K129" s="18" t="str">
        <f t="shared" si="8"/>
        <v/>
      </c>
      <c r="L129" s="18">
        <f>IF(AND(G129&lt;&gt;"",G129&gt;Quy_uoc_chung!$C$4-TV1_Nguong!$C$4,G129&lt;=Quy_uoc_chung!$C$4),1,0)</f>
        <v>1</v>
      </c>
      <c r="M129" s="19">
        <f t="shared" si="9"/>
        <v>11</v>
      </c>
      <c r="N129" s="20">
        <f t="shared" si="10"/>
        <v>3808332000</v>
      </c>
      <c r="O129" s="19">
        <f t="shared" si="11"/>
        <v>30</v>
      </c>
      <c r="P129" s="20">
        <f t="shared" si="12"/>
        <v>10386360000</v>
      </c>
      <c r="Q129" s="28">
        <f t="shared" si="13"/>
        <v>11</v>
      </c>
      <c r="R129" s="28">
        <f t="shared" si="14"/>
        <v>3808332000</v>
      </c>
      <c r="S129" s="28">
        <f t="shared" si="15"/>
        <v>14194692000</v>
      </c>
    </row>
    <row r="130" spans="1:19" x14ac:dyDescent="0.3">
      <c r="A130" s="15" t="s">
        <v>408</v>
      </c>
      <c r="B130" s="15" t="s">
        <v>55</v>
      </c>
      <c r="C130" s="15" t="s">
        <v>152</v>
      </c>
      <c r="D130" s="16">
        <v>275862000</v>
      </c>
      <c r="E130" s="17">
        <v>46201</v>
      </c>
      <c r="F130" s="17">
        <v>46246</v>
      </c>
      <c r="G130" s="17">
        <v>46251</v>
      </c>
      <c r="H130" s="18">
        <f>IF(AND(E130&lt;=Quy_uoc_chung!$C$4,OR(G130="",G130&gt;Quy_uoc_chung!$C$4)),1,0)</f>
        <v>0</v>
      </c>
      <c r="I130" s="18">
        <f>IF(AND(E130&gt;=Quy_uoc_chung!$C$4-Quy_uoc_chung!$C$3+1,E130&lt;=Quy_uoc_chung!$C$4),1,0)</f>
        <v>0</v>
      </c>
      <c r="J130" s="19" t="str">
        <f>IF(H130=1,Quy_uoc_chung!$C$4-F130,"")</f>
        <v/>
      </c>
      <c r="K130" s="18" t="str">
        <f t="shared" si="8"/>
        <v/>
      </c>
      <c r="L130" s="18">
        <f>IF(AND(G130&lt;&gt;"",G130&gt;Quy_uoc_chung!$C$4-TV1_Nguong!$C$4,G130&lt;=Quy_uoc_chung!$C$4),1,0)</f>
        <v>1</v>
      </c>
      <c r="M130" s="19">
        <f t="shared" si="9"/>
        <v>5</v>
      </c>
      <c r="N130" s="20">
        <f t="shared" si="10"/>
        <v>1379310000</v>
      </c>
      <c r="O130" s="19">
        <f t="shared" si="11"/>
        <v>45</v>
      </c>
      <c r="P130" s="20">
        <f t="shared" si="12"/>
        <v>12413790000</v>
      </c>
      <c r="Q130" s="28">
        <f t="shared" si="13"/>
        <v>5</v>
      </c>
      <c r="R130" s="28">
        <f t="shared" si="14"/>
        <v>1379310000</v>
      </c>
      <c r="S130" s="28">
        <f t="shared" si="15"/>
        <v>13793100000</v>
      </c>
    </row>
    <row r="131" spans="1:19" x14ac:dyDescent="0.3">
      <c r="A131" s="15" t="s">
        <v>409</v>
      </c>
      <c r="B131" s="15" t="s">
        <v>55</v>
      </c>
      <c r="C131" s="15" t="s">
        <v>153</v>
      </c>
      <c r="D131" s="16">
        <v>258156000</v>
      </c>
      <c r="E131" s="17">
        <v>46200</v>
      </c>
      <c r="F131" s="17">
        <v>46230</v>
      </c>
      <c r="G131" s="17">
        <v>46230</v>
      </c>
      <c r="H131" s="18">
        <f>IF(AND(E131&lt;=Quy_uoc_chung!$C$4,OR(G131="",G131&gt;Quy_uoc_chung!$C$4)),1,0)</f>
        <v>0</v>
      </c>
      <c r="I131" s="18">
        <f>IF(AND(E131&gt;=Quy_uoc_chung!$C$4-Quy_uoc_chung!$C$3+1,E131&lt;=Quy_uoc_chung!$C$4),1,0)</f>
        <v>0</v>
      </c>
      <c r="J131" s="19" t="str">
        <f>IF(H131=1,Quy_uoc_chung!$C$4-F131,"")</f>
        <v/>
      </c>
      <c r="K131" s="18" t="str">
        <f t="shared" ref="K131:K194" si="16">IF(H131=1,IF(J131&lt;=0,"Chưa đến hạn",IF(J131&lt;=30,"Quá hạn 1–30 ngày",IF(J131&lt;=60,"Quá hạn 31–60 ngày","Quá hạn &gt; 60 ngày"))),"")</f>
        <v/>
      </c>
      <c r="L131" s="18">
        <f>IF(AND(G131&lt;&gt;"",G131&gt;Quy_uoc_chung!$C$4-TV1_Nguong!$C$4,G131&lt;=Quy_uoc_chung!$C$4),1,0)</f>
        <v>1</v>
      </c>
      <c r="M131" s="19">
        <f t="shared" ref="M131:M194" si="17">IF(L131=1,G131-F131,"")</f>
        <v>0</v>
      </c>
      <c r="N131" s="20">
        <f t="shared" ref="N131:N194" si="18">IF(L131=1,D131*M131,0)</f>
        <v>0</v>
      </c>
      <c r="O131" s="19">
        <f t="shared" ref="O131:O194" si="19">F131-E131</f>
        <v>30</v>
      </c>
      <c r="P131" s="20">
        <f t="shared" ref="P131:P194" si="20">IF(L131=1,D131*O131,0)</f>
        <v>7744680000</v>
      </c>
      <c r="Q131" s="28">
        <f t="shared" ref="Q131:Q194" si="21">IF(L131=1,MAX(0,G131-F131),0)</f>
        <v>0</v>
      </c>
      <c r="R131" s="28">
        <f t="shared" ref="R131:R194" si="22">D131*Q131</f>
        <v>0</v>
      </c>
      <c r="S131" s="28">
        <f t="shared" ref="S131:S194" si="23">IF(L131=1,D131*(G131-E131),0)</f>
        <v>7744680000</v>
      </c>
    </row>
    <row r="132" spans="1:19" x14ac:dyDescent="0.3">
      <c r="A132" s="15" t="s">
        <v>410</v>
      </c>
      <c r="B132" s="15" t="s">
        <v>55</v>
      </c>
      <c r="C132" s="15" t="s">
        <v>154</v>
      </c>
      <c r="D132" s="16">
        <v>159170000</v>
      </c>
      <c r="E132" s="17">
        <v>46199</v>
      </c>
      <c r="F132" s="17">
        <v>46229</v>
      </c>
      <c r="G132" s="17">
        <v>46248</v>
      </c>
      <c r="H132" s="18">
        <f>IF(AND(E132&lt;=Quy_uoc_chung!$C$4,OR(G132="",G132&gt;Quy_uoc_chung!$C$4)),1,0)</f>
        <v>0</v>
      </c>
      <c r="I132" s="18">
        <f>IF(AND(E132&gt;=Quy_uoc_chung!$C$4-Quy_uoc_chung!$C$3+1,E132&lt;=Quy_uoc_chung!$C$4),1,0)</f>
        <v>0</v>
      </c>
      <c r="J132" s="19" t="str">
        <f>IF(H132=1,Quy_uoc_chung!$C$4-F132,"")</f>
        <v/>
      </c>
      <c r="K132" s="18" t="str">
        <f t="shared" si="16"/>
        <v/>
      </c>
      <c r="L132" s="18">
        <f>IF(AND(G132&lt;&gt;"",G132&gt;Quy_uoc_chung!$C$4-TV1_Nguong!$C$4,G132&lt;=Quy_uoc_chung!$C$4),1,0)</f>
        <v>1</v>
      </c>
      <c r="M132" s="19">
        <f t="shared" si="17"/>
        <v>19</v>
      </c>
      <c r="N132" s="20">
        <f t="shared" si="18"/>
        <v>3024230000</v>
      </c>
      <c r="O132" s="19">
        <f t="shared" si="19"/>
        <v>30</v>
      </c>
      <c r="P132" s="20">
        <f t="shared" si="20"/>
        <v>4775100000</v>
      </c>
      <c r="Q132" s="28">
        <f t="shared" si="21"/>
        <v>19</v>
      </c>
      <c r="R132" s="28">
        <f t="shared" si="22"/>
        <v>3024230000</v>
      </c>
      <c r="S132" s="28">
        <f t="shared" si="23"/>
        <v>7799330000</v>
      </c>
    </row>
    <row r="133" spans="1:19" x14ac:dyDescent="0.3">
      <c r="A133" s="15" t="s">
        <v>411</v>
      </c>
      <c r="B133" s="15" t="s">
        <v>55</v>
      </c>
      <c r="C133" s="15" t="s">
        <v>155</v>
      </c>
      <c r="D133" s="16">
        <v>311422000</v>
      </c>
      <c r="E133" s="17">
        <v>46208</v>
      </c>
      <c r="F133" s="17">
        <v>46238</v>
      </c>
      <c r="G133" s="17">
        <v>46239</v>
      </c>
      <c r="H133" s="18">
        <f>IF(AND(E133&lt;=Quy_uoc_chung!$C$4,OR(G133="",G133&gt;Quy_uoc_chung!$C$4)),1,0)</f>
        <v>0</v>
      </c>
      <c r="I133" s="18">
        <f>IF(AND(E133&gt;=Quy_uoc_chung!$C$4-Quy_uoc_chung!$C$3+1,E133&lt;=Quy_uoc_chung!$C$4),1,0)</f>
        <v>1</v>
      </c>
      <c r="J133" s="19" t="str">
        <f>IF(H133=1,Quy_uoc_chung!$C$4-F133,"")</f>
        <v/>
      </c>
      <c r="K133" s="18" t="str">
        <f t="shared" si="16"/>
        <v/>
      </c>
      <c r="L133" s="18">
        <f>IF(AND(G133&lt;&gt;"",G133&gt;Quy_uoc_chung!$C$4-TV1_Nguong!$C$4,G133&lt;=Quy_uoc_chung!$C$4),1,0)</f>
        <v>1</v>
      </c>
      <c r="M133" s="19">
        <f t="shared" si="17"/>
        <v>1</v>
      </c>
      <c r="N133" s="20">
        <f t="shared" si="18"/>
        <v>311422000</v>
      </c>
      <c r="O133" s="19">
        <f t="shared" si="19"/>
        <v>30</v>
      </c>
      <c r="P133" s="20">
        <f t="shared" si="20"/>
        <v>9342660000</v>
      </c>
      <c r="Q133" s="28">
        <f t="shared" si="21"/>
        <v>1</v>
      </c>
      <c r="R133" s="28">
        <f t="shared" si="22"/>
        <v>311422000</v>
      </c>
      <c r="S133" s="28">
        <f t="shared" si="23"/>
        <v>9654082000</v>
      </c>
    </row>
    <row r="134" spans="1:19" x14ac:dyDescent="0.3">
      <c r="A134" s="15" t="s">
        <v>412</v>
      </c>
      <c r="B134" s="15" t="s">
        <v>55</v>
      </c>
      <c r="C134" s="15" t="s">
        <v>152</v>
      </c>
      <c r="D134" s="16">
        <v>286408000</v>
      </c>
      <c r="E134" s="17">
        <v>46208</v>
      </c>
      <c r="F134" s="17">
        <v>46253</v>
      </c>
      <c r="G134" s="17">
        <v>46262</v>
      </c>
      <c r="H134" s="18">
        <f>IF(AND(E134&lt;=Quy_uoc_chung!$C$4,OR(G134="",G134&gt;Quy_uoc_chung!$C$4)),1,0)</f>
        <v>0</v>
      </c>
      <c r="I134" s="18">
        <f>IF(AND(E134&gt;=Quy_uoc_chung!$C$4-Quy_uoc_chung!$C$3+1,E134&lt;=Quy_uoc_chung!$C$4),1,0)</f>
        <v>1</v>
      </c>
      <c r="J134" s="19" t="str">
        <f>IF(H134=1,Quy_uoc_chung!$C$4-F134,"")</f>
        <v/>
      </c>
      <c r="K134" s="18" t="str">
        <f t="shared" si="16"/>
        <v/>
      </c>
      <c r="L134" s="18">
        <f>IF(AND(G134&lt;&gt;"",G134&gt;Quy_uoc_chung!$C$4-TV1_Nguong!$C$4,G134&lt;=Quy_uoc_chung!$C$4),1,0)</f>
        <v>1</v>
      </c>
      <c r="M134" s="19">
        <f t="shared" si="17"/>
        <v>9</v>
      </c>
      <c r="N134" s="20">
        <f t="shared" si="18"/>
        <v>2577672000</v>
      </c>
      <c r="O134" s="19">
        <f t="shared" si="19"/>
        <v>45</v>
      </c>
      <c r="P134" s="20">
        <f t="shared" si="20"/>
        <v>12888360000</v>
      </c>
      <c r="Q134" s="28">
        <f t="shared" si="21"/>
        <v>9</v>
      </c>
      <c r="R134" s="28">
        <f t="shared" si="22"/>
        <v>2577672000</v>
      </c>
      <c r="S134" s="28">
        <f t="shared" si="23"/>
        <v>15466032000</v>
      </c>
    </row>
    <row r="135" spans="1:19" x14ac:dyDescent="0.3">
      <c r="A135" s="15" t="s">
        <v>413</v>
      </c>
      <c r="B135" s="15" t="s">
        <v>55</v>
      </c>
      <c r="C135" s="15" t="s">
        <v>153</v>
      </c>
      <c r="D135" s="16">
        <v>288832000</v>
      </c>
      <c r="E135" s="17">
        <v>46207</v>
      </c>
      <c r="F135" s="17">
        <v>46237</v>
      </c>
      <c r="G135" s="17">
        <v>46239</v>
      </c>
      <c r="H135" s="18">
        <f>IF(AND(E135&lt;=Quy_uoc_chung!$C$4,OR(G135="",G135&gt;Quy_uoc_chung!$C$4)),1,0)</f>
        <v>0</v>
      </c>
      <c r="I135" s="18">
        <f>IF(AND(E135&gt;=Quy_uoc_chung!$C$4-Quy_uoc_chung!$C$3+1,E135&lt;=Quy_uoc_chung!$C$4),1,0)</f>
        <v>1</v>
      </c>
      <c r="J135" s="19" t="str">
        <f>IF(H135=1,Quy_uoc_chung!$C$4-F135,"")</f>
        <v/>
      </c>
      <c r="K135" s="18" t="str">
        <f t="shared" si="16"/>
        <v/>
      </c>
      <c r="L135" s="18">
        <f>IF(AND(G135&lt;&gt;"",G135&gt;Quy_uoc_chung!$C$4-TV1_Nguong!$C$4,G135&lt;=Quy_uoc_chung!$C$4),1,0)</f>
        <v>1</v>
      </c>
      <c r="M135" s="19">
        <f t="shared" si="17"/>
        <v>2</v>
      </c>
      <c r="N135" s="20">
        <f t="shared" si="18"/>
        <v>577664000</v>
      </c>
      <c r="O135" s="19">
        <f t="shared" si="19"/>
        <v>30</v>
      </c>
      <c r="P135" s="20">
        <f t="shared" si="20"/>
        <v>8664960000</v>
      </c>
      <c r="Q135" s="28">
        <f t="shared" si="21"/>
        <v>2</v>
      </c>
      <c r="R135" s="28">
        <f t="shared" si="22"/>
        <v>577664000</v>
      </c>
      <c r="S135" s="28">
        <f t="shared" si="23"/>
        <v>9242624000</v>
      </c>
    </row>
    <row r="136" spans="1:19" x14ac:dyDescent="0.3">
      <c r="A136" s="15" t="s">
        <v>414</v>
      </c>
      <c r="B136" s="15" t="s">
        <v>55</v>
      </c>
      <c r="C136" s="15" t="s">
        <v>154</v>
      </c>
      <c r="D136" s="16">
        <v>155804000</v>
      </c>
      <c r="E136" s="17">
        <v>46208</v>
      </c>
      <c r="F136" s="17">
        <v>46238</v>
      </c>
      <c r="G136" s="17">
        <v>46250</v>
      </c>
      <c r="H136" s="18">
        <f>IF(AND(E136&lt;=Quy_uoc_chung!$C$4,OR(G136="",G136&gt;Quy_uoc_chung!$C$4)),1,0)</f>
        <v>0</v>
      </c>
      <c r="I136" s="18">
        <f>IF(AND(E136&gt;=Quy_uoc_chung!$C$4-Quy_uoc_chung!$C$3+1,E136&lt;=Quy_uoc_chung!$C$4),1,0)</f>
        <v>1</v>
      </c>
      <c r="J136" s="19" t="str">
        <f>IF(H136=1,Quy_uoc_chung!$C$4-F136,"")</f>
        <v/>
      </c>
      <c r="K136" s="18" t="str">
        <f t="shared" si="16"/>
        <v/>
      </c>
      <c r="L136" s="18">
        <f>IF(AND(G136&lt;&gt;"",G136&gt;Quy_uoc_chung!$C$4-TV1_Nguong!$C$4,G136&lt;=Quy_uoc_chung!$C$4),1,0)</f>
        <v>1</v>
      </c>
      <c r="M136" s="19">
        <f t="shared" si="17"/>
        <v>12</v>
      </c>
      <c r="N136" s="20">
        <f t="shared" si="18"/>
        <v>1869648000</v>
      </c>
      <c r="O136" s="19">
        <f t="shared" si="19"/>
        <v>30</v>
      </c>
      <c r="P136" s="20">
        <f t="shared" si="20"/>
        <v>4674120000</v>
      </c>
      <c r="Q136" s="28">
        <f t="shared" si="21"/>
        <v>12</v>
      </c>
      <c r="R136" s="28">
        <f t="shared" si="22"/>
        <v>1869648000</v>
      </c>
      <c r="S136" s="28">
        <f t="shared" si="23"/>
        <v>6543768000</v>
      </c>
    </row>
    <row r="137" spans="1:19" x14ac:dyDescent="0.3">
      <c r="A137" s="15" t="s">
        <v>415</v>
      </c>
      <c r="B137" s="15" t="s">
        <v>55</v>
      </c>
      <c r="C137" s="15" t="s">
        <v>155</v>
      </c>
      <c r="D137" s="16">
        <v>226530000</v>
      </c>
      <c r="E137" s="17">
        <v>46214</v>
      </c>
      <c r="F137" s="17">
        <v>46244</v>
      </c>
      <c r="G137" s="17">
        <v>46245</v>
      </c>
      <c r="H137" s="18">
        <f>IF(AND(E137&lt;=Quy_uoc_chung!$C$4,OR(G137="",G137&gt;Quy_uoc_chung!$C$4)),1,0)</f>
        <v>0</v>
      </c>
      <c r="I137" s="18">
        <f>IF(AND(E137&gt;=Quy_uoc_chung!$C$4-Quy_uoc_chung!$C$3+1,E137&lt;=Quy_uoc_chung!$C$4),1,0)</f>
        <v>1</v>
      </c>
      <c r="J137" s="19" t="str">
        <f>IF(H137=1,Quy_uoc_chung!$C$4-F137,"")</f>
        <v/>
      </c>
      <c r="K137" s="18" t="str">
        <f t="shared" si="16"/>
        <v/>
      </c>
      <c r="L137" s="18">
        <f>IF(AND(G137&lt;&gt;"",G137&gt;Quy_uoc_chung!$C$4-TV1_Nguong!$C$4,G137&lt;=Quy_uoc_chung!$C$4),1,0)</f>
        <v>1</v>
      </c>
      <c r="M137" s="19">
        <f t="shared" si="17"/>
        <v>1</v>
      </c>
      <c r="N137" s="20">
        <f t="shared" si="18"/>
        <v>226530000</v>
      </c>
      <c r="O137" s="19">
        <f t="shared" si="19"/>
        <v>30</v>
      </c>
      <c r="P137" s="20">
        <f t="shared" si="20"/>
        <v>6795900000</v>
      </c>
      <c r="Q137" s="28">
        <f t="shared" si="21"/>
        <v>1</v>
      </c>
      <c r="R137" s="28">
        <f t="shared" si="22"/>
        <v>226530000</v>
      </c>
      <c r="S137" s="28">
        <f t="shared" si="23"/>
        <v>7022430000</v>
      </c>
    </row>
    <row r="138" spans="1:19" x14ac:dyDescent="0.3">
      <c r="A138" s="15" t="s">
        <v>416</v>
      </c>
      <c r="B138" s="15" t="s">
        <v>55</v>
      </c>
      <c r="C138" s="15" t="s">
        <v>152</v>
      </c>
      <c r="D138" s="16">
        <v>317689000</v>
      </c>
      <c r="E138" s="17">
        <v>46215</v>
      </c>
      <c r="F138" s="17">
        <v>46260</v>
      </c>
      <c r="G138" s="17">
        <v>46266</v>
      </c>
      <c r="H138" s="18">
        <f>IF(AND(E138&lt;=Quy_uoc_chung!$C$4,OR(G138="",G138&gt;Quy_uoc_chung!$C$4)),1,0)</f>
        <v>0</v>
      </c>
      <c r="I138" s="18">
        <f>IF(AND(E138&gt;=Quy_uoc_chung!$C$4-Quy_uoc_chung!$C$3+1,E138&lt;=Quy_uoc_chung!$C$4),1,0)</f>
        <v>1</v>
      </c>
      <c r="J138" s="19" t="str">
        <f>IF(H138=1,Quy_uoc_chung!$C$4-F138,"")</f>
        <v/>
      </c>
      <c r="K138" s="18" t="str">
        <f t="shared" si="16"/>
        <v/>
      </c>
      <c r="L138" s="18">
        <f>IF(AND(G138&lt;&gt;"",G138&gt;Quy_uoc_chung!$C$4-TV1_Nguong!$C$4,G138&lt;=Quy_uoc_chung!$C$4),1,0)</f>
        <v>1</v>
      </c>
      <c r="M138" s="19">
        <f t="shared" si="17"/>
        <v>6</v>
      </c>
      <c r="N138" s="20">
        <f t="shared" si="18"/>
        <v>1906134000</v>
      </c>
      <c r="O138" s="19">
        <f t="shared" si="19"/>
        <v>45</v>
      </c>
      <c r="P138" s="20">
        <f t="shared" si="20"/>
        <v>14296005000</v>
      </c>
      <c r="Q138" s="28">
        <f t="shared" si="21"/>
        <v>6</v>
      </c>
      <c r="R138" s="28">
        <f t="shared" si="22"/>
        <v>1906134000</v>
      </c>
      <c r="S138" s="28">
        <f t="shared" si="23"/>
        <v>16202139000</v>
      </c>
    </row>
    <row r="139" spans="1:19" x14ac:dyDescent="0.3">
      <c r="A139" s="15" t="s">
        <v>417</v>
      </c>
      <c r="B139" s="15" t="s">
        <v>55</v>
      </c>
      <c r="C139" s="15" t="s">
        <v>153</v>
      </c>
      <c r="D139" s="16">
        <v>228428000</v>
      </c>
      <c r="E139" s="17">
        <v>46213</v>
      </c>
      <c r="F139" s="17">
        <v>46243</v>
      </c>
      <c r="G139" s="17">
        <v>46241</v>
      </c>
      <c r="H139" s="18">
        <f>IF(AND(E139&lt;=Quy_uoc_chung!$C$4,OR(G139="",G139&gt;Quy_uoc_chung!$C$4)),1,0)</f>
        <v>0</v>
      </c>
      <c r="I139" s="18">
        <f>IF(AND(E139&gt;=Quy_uoc_chung!$C$4-Quy_uoc_chung!$C$3+1,E139&lt;=Quy_uoc_chung!$C$4),1,0)</f>
        <v>1</v>
      </c>
      <c r="J139" s="19" t="str">
        <f>IF(H139=1,Quy_uoc_chung!$C$4-F139,"")</f>
        <v/>
      </c>
      <c r="K139" s="18" t="str">
        <f t="shared" si="16"/>
        <v/>
      </c>
      <c r="L139" s="18">
        <f>IF(AND(G139&lt;&gt;"",G139&gt;Quy_uoc_chung!$C$4-TV1_Nguong!$C$4,G139&lt;=Quy_uoc_chung!$C$4),1,0)</f>
        <v>1</v>
      </c>
      <c r="M139" s="19">
        <f t="shared" si="17"/>
        <v>-2</v>
      </c>
      <c r="N139" s="20">
        <f t="shared" si="18"/>
        <v>-456856000</v>
      </c>
      <c r="O139" s="19">
        <f t="shared" si="19"/>
        <v>30</v>
      </c>
      <c r="P139" s="20">
        <f t="shared" si="20"/>
        <v>6852840000</v>
      </c>
      <c r="Q139" s="28">
        <f t="shared" si="21"/>
        <v>0</v>
      </c>
      <c r="R139" s="28">
        <f t="shared" si="22"/>
        <v>0</v>
      </c>
      <c r="S139" s="28">
        <f t="shared" si="23"/>
        <v>6395984000</v>
      </c>
    </row>
    <row r="140" spans="1:19" x14ac:dyDescent="0.3">
      <c r="A140" s="15" t="s">
        <v>418</v>
      </c>
      <c r="B140" s="15" t="s">
        <v>55</v>
      </c>
      <c r="C140" s="15" t="s">
        <v>154</v>
      </c>
      <c r="D140" s="16">
        <v>133332000</v>
      </c>
      <c r="E140" s="17">
        <v>46211</v>
      </c>
      <c r="F140" s="17">
        <v>46241</v>
      </c>
      <c r="G140" s="17">
        <v>46264</v>
      </c>
      <c r="H140" s="18">
        <f>IF(AND(E140&lt;=Quy_uoc_chung!$C$4,OR(G140="",G140&gt;Quy_uoc_chung!$C$4)),1,0)</f>
        <v>0</v>
      </c>
      <c r="I140" s="18">
        <f>IF(AND(E140&gt;=Quy_uoc_chung!$C$4-Quy_uoc_chung!$C$3+1,E140&lt;=Quy_uoc_chung!$C$4),1,0)</f>
        <v>1</v>
      </c>
      <c r="J140" s="19" t="str">
        <f>IF(H140=1,Quy_uoc_chung!$C$4-F140,"")</f>
        <v/>
      </c>
      <c r="K140" s="18" t="str">
        <f t="shared" si="16"/>
        <v/>
      </c>
      <c r="L140" s="18">
        <f>IF(AND(G140&lt;&gt;"",G140&gt;Quy_uoc_chung!$C$4-TV1_Nguong!$C$4,G140&lt;=Quy_uoc_chung!$C$4),1,0)</f>
        <v>1</v>
      </c>
      <c r="M140" s="19">
        <f t="shared" si="17"/>
        <v>23</v>
      </c>
      <c r="N140" s="20">
        <f t="shared" si="18"/>
        <v>3066636000</v>
      </c>
      <c r="O140" s="19">
        <f t="shared" si="19"/>
        <v>30</v>
      </c>
      <c r="P140" s="20">
        <f t="shared" si="20"/>
        <v>3999960000</v>
      </c>
      <c r="Q140" s="28">
        <f t="shared" si="21"/>
        <v>23</v>
      </c>
      <c r="R140" s="28">
        <f t="shared" si="22"/>
        <v>3066636000</v>
      </c>
      <c r="S140" s="28">
        <f t="shared" si="23"/>
        <v>7066596000</v>
      </c>
    </row>
    <row r="141" spans="1:19" x14ac:dyDescent="0.3">
      <c r="A141" s="15" t="s">
        <v>419</v>
      </c>
      <c r="B141" s="15" t="s">
        <v>55</v>
      </c>
      <c r="C141" s="15" t="s">
        <v>155</v>
      </c>
      <c r="D141" s="16">
        <v>286737000</v>
      </c>
      <c r="E141" s="17">
        <v>46221</v>
      </c>
      <c r="F141" s="17">
        <v>46251</v>
      </c>
      <c r="G141" s="17">
        <v>46254</v>
      </c>
      <c r="H141" s="18">
        <f>IF(AND(E141&lt;=Quy_uoc_chung!$C$4,OR(G141="",G141&gt;Quy_uoc_chung!$C$4)),1,0)</f>
        <v>0</v>
      </c>
      <c r="I141" s="18">
        <f>IF(AND(E141&gt;=Quy_uoc_chung!$C$4-Quy_uoc_chung!$C$3+1,E141&lt;=Quy_uoc_chung!$C$4),1,0)</f>
        <v>1</v>
      </c>
      <c r="J141" s="19" t="str">
        <f>IF(H141=1,Quy_uoc_chung!$C$4-F141,"")</f>
        <v/>
      </c>
      <c r="K141" s="18" t="str">
        <f t="shared" si="16"/>
        <v/>
      </c>
      <c r="L141" s="18">
        <f>IF(AND(G141&lt;&gt;"",G141&gt;Quy_uoc_chung!$C$4-TV1_Nguong!$C$4,G141&lt;=Quy_uoc_chung!$C$4),1,0)</f>
        <v>1</v>
      </c>
      <c r="M141" s="19">
        <f t="shared" si="17"/>
        <v>3</v>
      </c>
      <c r="N141" s="20">
        <f t="shared" si="18"/>
        <v>860211000</v>
      </c>
      <c r="O141" s="19">
        <f t="shared" si="19"/>
        <v>30</v>
      </c>
      <c r="P141" s="20">
        <f t="shared" si="20"/>
        <v>8602110000</v>
      </c>
      <c r="Q141" s="28">
        <f t="shared" si="21"/>
        <v>3</v>
      </c>
      <c r="R141" s="28">
        <f t="shared" si="22"/>
        <v>860211000</v>
      </c>
      <c r="S141" s="28">
        <f t="shared" si="23"/>
        <v>9462321000</v>
      </c>
    </row>
    <row r="142" spans="1:19" x14ac:dyDescent="0.3">
      <c r="A142" s="15" t="s">
        <v>420</v>
      </c>
      <c r="B142" s="15" t="s">
        <v>55</v>
      </c>
      <c r="C142" s="15" t="s">
        <v>152</v>
      </c>
      <c r="D142" s="16">
        <v>338246000</v>
      </c>
      <c r="E142" s="17">
        <v>46220</v>
      </c>
      <c r="F142" s="17">
        <v>46265</v>
      </c>
      <c r="G142" s="17">
        <v>46270</v>
      </c>
      <c r="H142" s="18">
        <f>IF(AND(E142&lt;=Quy_uoc_chung!$C$4,OR(G142="",G142&gt;Quy_uoc_chung!$C$4)),1,0)</f>
        <v>0</v>
      </c>
      <c r="I142" s="18">
        <f>IF(AND(E142&gt;=Quy_uoc_chung!$C$4-Quy_uoc_chung!$C$3+1,E142&lt;=Quy_uoc_chung!$C$4),1,0)</f>
        <v>1</v>
      </c>
      <c r="J142" s="19" t="str">
        <f>IF(H142=1,Quy_uoc_chung!$C$4-F142,"")</f>
        <v/>
      </c>
      <c r="K142" s="18" t="str">
        <f t="shared" si="16"/>
        <v/>
      </c>
      <c r="L142" s="18">
        <f>IF(AND(G142&lt;&gt;"",G142&gt;Quy_uoc_chung!$C$4-TV1_Nguong!$C$4,G142&lt;=Quy_uoc_chung!$C$4),1,0)</f>
        <v>1</v>
      </c>
      <c r="M142" s="19">
        <f t="shared" si="17"/>
        <v>5</v>
      </c>
      <c r="N142" s="20">
        <f t="shared" si="18"/>
        <v>1691230000</v>
      </c>
      <c r="O142" s="19">
        <f t="shared" si="19"/>
        <v>45</v>
      </c>
      <c r="P142" s="20">
        <f t="shared" si="20"/>
        <v>15221070000</v>
      </c>
      <c r="Q142" s="28">
        <f t="shared" si="21"/>
        <v>5</v>
      </c>
      <c r="R142" s="28">
        <f t="shared" si="22"/>
        <v>1691230000</v>
      </c>
      <c r="S142" s="28">
        <f t="shared" si="23"/>
        <v>16912300000</v>
      </c>
    </row>
    <row r="143" spans="1:19" x14ac:dyDescent="0.3">
      <c r="A143" s="15" t="s">
        <v>421</v>
      </c>
      <c r="B143" s="15" t="s">
        <v>55</v>
      </c>
      <c r="C143" s="15" t="s">
        <v>153</v>
      </c>
      <c r="D143" s="16">
        <v>217702000</v>
      </c>
      <c r="E143" s="17">
        <v>46222</v>
      </c>
      <c r="F143" s="17">
        <v>46252</v>
      </c>
      <c r="G143" s="17">
        <v>46255</v>
      </c>
      <c r="H143" s="18">
        <f>IF(AND(E143&lt;=Quy_uoc_chung!$C$4,OR(G143="",G143&gt;Quy_uoc_chung!$C$4)),1,0)</f>
        <v>0</v>
      </c>
      <c r="I143" s="18">
        <f>IF(AND(E143&gt;=Quy_uoc_chung!$C$4-Quy_uoc_chung!$C$3+1,E143&lt;=Quy_uoc_chung!$C$4),1,0)</f>
        <v>1</v>
      </c>
      <c r="J143" s="19" t="str">
        <f>IF(H143=1,Quy_uoc_chung!$C$4-F143,"")</f>
        <v/>
      </c>
      <c r="K143" s="18" t="str">
        <f t="shared" si="16"/>
        <v/>
      </c>
      <c r="L143" s="18">
        <f>IF(AND(G143&lt;&gt;"",G143&gt;Quy_uoc_chung!$C$4-TV1_Nguong!$C$4,G143&lt;=Quy_uoc_chung!$C$4),1,0)</f>
        <v>1</v>
      </c>
      <c r="M143" s="19">
        <f t="shared" si="17"/>
        <v>3</v>
      </c>
      <c r="N143" s="20">
        <f t="shared" si="18"/>
        <v>653106000</v>
      </c>
      <c r="O143" s="19">
        <f t="shared" si="19"/>
        <v>30</v>
      </c>
      <c r="P143" s="20">
        <f t="shared" si="20"/>
        <v>6531060000</v>
      </c>
      <c r="Q143" s="28">
        <f t="shared" si="21"/>
        <v>3</v>
      </c>
      <c r="R143" s="28">
        <f t="shared" si="22"/>
        <v>653106000</v>
      </c>
      <c r="S143" s="28">
        <f t="shared" si="23"/>
        <v>7184166000</v>
      </c>
    </row>
    <row r="144" spans="1:19" x14ac:dyDescent="0.3">
      <c r="A144" s="15" t="s">
        <v>422</v>
      </c>
      <c r="B144" s="15" t="s">
        <v>55</v>
      </c>
      <c r="C144" s="15" t="s">
        <v>154</v>
      </c>
      <c r="D144" s="16">
        <v>112247000</v>
      </c>
      <c r="E144" s="17">
        <v>46222</v>
      </c>
      <c r="F144" s="17">
        <v>46252</v>
      </c>
      <c r="G144" s="17">
        <v>46258</v>
      </c>
      <c r="H144" s="18">
        <f>IF(AND(E144&lt;=Quy_uoc_chung!$C$4,OR(G144="",G144&gt;Quy_uoc_chung!$C$4)),1,0)</f>
        <v>0</v>
      </c>
      <c r="I144" s="18">
        <f>IF(AND(E144&gt;=Quy_uoc_chung!$C$4-Quy_uoc_chung!$C$3+1,E144&lt;=Quy_uoc_chung!$C$4),1,0)</f>
        <v>1</v>
      </c>
      <c r="J144" s="19" t="str">
        <f>IF(H144=1,Quy_uoc_chung!$C$4-F144,"")</f>
        <v/>
      </c>
      <c r="K144" s="18" t="str">
        <f t="shared" si="16"/>
        <v/>
      </c>
      <c r="L144" s="18">
        <f>IF(AND(G144&lt;&gt;"",G144&gt;Quy_uoc_chung!$C$4-TV1_Nguong!$C$4,G144&lt;=Quy_uoc_chung!$C$4),1,0)</f>
        <v>1</v>
      </c>
      <c r="M144" s="19">
        <f t="shared" si="17"/>
        <v>6</v>
      </c>
      <c r="N144" s="20">
        <f t="shared" si="18"/>
        <v>673482000</v>
      </c>
      <c r="O144" s="19">
        <f t="shared" si="19"/>
        <v>30</v>
      </c>
      <c r="P144" s="20">
        <f t="shared" si="20"/>
        <v>3367410000</v>
      </c>
      <c r="Q144" s="28">
        <f t="shared" si="21"/>
        <v>6</v>
      </c>
      <c r="R144" s="28">
        <f t="shared" si="22"/>
        <v>673482000</v>
      </c>
      <c r="S144" s="28">
        <f t="shared" si="23"/>
        <v>4040892000</v>
      </c>
    </row>
    <row r="145" spans="1:19" x14ac:dyDescent="0.3">
      <c r="A145" s="15" t="s">
        <v>423</v>
      </c>
      <c r="B145" s="15" t="s">
        <v>55</v>
      </c>
      <c r="C145" s="15" t="s">
        <v>155</v>
      </c>
      <c r="D145" s="16">
        <v>317184000</v>
      </c>
      <c r="E145" s="17">
        <v>46228</v>
      </c>
      <c r="F145" s="17">
        <v>46258</v>
      </c>
      <c r="G145" s="17">
        <v>46261</v>
      </c>
      <c r="H145" s="18">
        <f>IF(AND(E145&lt;=Quy_uoc_chung!$C$4,OR(G145="",G145&gt;Quy_uoc_chung!$C$4)),1,0)</f>
        <v>0</v>
      </c>
      <c r="I145" s="18">
        <f>IF(AND(E145&gt;=Quy_uoc_chung!$C$4-Quy_uoc_chung!$C$3+1,E145&lt;=Quy_uoc_chung!$C$4),1,0)</f>
        <v>1</v>
      </c>
      <c r="J145" s="19" t="str">
        <f>IF(H145=1,Quy_uoc_chung!$C$4-F145,"")</f>
        <v/>
      </c>
      <c r="K145" s="18" t="str">
        <f t="shared" si="16"/>
        <v/>
      </c>
      <c r="L145" s="18">
        <f>IF(AND(G145&lt;&gt;"",G145&gt;Quy_uoc_chung!$C$4-TV1_Nguong!$C$4,G145&lt;=Quy_uoc_chung!$C$4),1,0)</f>
        <v>1</v>
      </c>
      <c r="M145" s="19">
        <f t="shared" si="17"/>
        <v>3</v>
      </c>
      <c r="N145" s="20">
        <f t="shared" si="18"/>
        <v>951552000</v>
      </c>
      <c r="O145" s="19">
        <f t="shared" si="19"/>
        <v>30</v>
      </c>
      <c r="P145" s="20">
        <f t="shared" si="20"/>
        <v>9515520000</v>
      </c>
      <c r="Q145" s="28">
        <f t="shared" si="21"/>
        <v>3</v>
      </c>
      <c r="R145" s="28">
        <f t="shared" si="22"/>
        <v>951552000</v>
      </c>
      <c r="S145" s="28">
        <f t="shared" si="23"/>
        <v>10467072000</v>
      </c>
    </row>
    <row r="146" spans="1:19" x14ac:dyDescent="0.3">
      <c r="A146" s="15" t="s">
        <v>424</v>
      </c>
      <c r="B146" s="15" t="s">
        <v>55</v>
      </c>
      <c r="C146" s="15" t="s">
        <v>152</v>
      </c>
      <c r="D146" s="16">
        <v>312401000</v>
      </c>
      <c r="E146" s="17">
        <v>46226</v>
      </c>
      <c r="F146" s="17">
        <v>46271</v>
      </c>
      <c r="G146" s="17">
        <v>46276</v>
      </c>
      <c r="H146" s="18">
        <f>IF(AND(E146&lt;=Quy_uoc_chung!$C$4,OR(G146="",G146&gt;Quy_uoc_chung!$C$4)),1,0)</f>
        <v>0</v>
      </c>
      <c r="I146" s="18">
        <f>IF(AND(E146&gt;=Quy_uoc_chung!$C$4-Quy_uoc_chung!$C$3+1,E146&lt;=Quy_uoc_chung!$C$4),1,0)</f>
        <v>1</v>
      </c>
      <c r="J146" s="19" t="str">
        <f>IF(H146=1,Quy_uoc_chung!$C$4-F146,"")</f>
        <v/>
      </c>
      <c r="K146" s="18" t="str">
        <f t="shared" si="16"/>
        <v/>
      </c>
      <c r="L146" s="18">
        <f>IF(AND(G146&lt;&gt;"",G146&gt;Quy_uoc_chung!$C$4-TV1_Nguong!$C$4,G146&lt;=Quy_uoc_chung!$C$4),1,0)</f>
        <v>1</v>
      </c>
      <c r="M146" s="19">
        <f t="shared" si="17"/>
        <v>5</v>
      </c>
      <c r="N146" s="20">
        <f t="shared" si="18"/>
        <v>1562005000</v>
      </c>
      <c r="O146" s="19">
        <f t="shared" si="19"/>
        <v>45</v>
      </c>
      <c r="P146" s="20">
        <f t="shared" si="20"/>
        <v>14058045000</v>
      </c>
      <c r="Q146" s="28">
        <f t="shared" si="21"/>
        <v>5</v>
      </c>
      <c r="R146" s="28">
        <f t="shared" si="22"/>
        <v>1562005000</v>
      </c>
      <c r="S146" s="28">
        <f t="shared" si="23"/>
        <v>15620050000</v>
      </c>
    </row>
    <row r="147" spans="1:19" x14ac:dyDescent="0.3">
      <c r="A147" s="15" t="s">
        <v>425</v>
      </c>
      <c r="B147" s="15" t="s">
        <v>55</v>
      </c>
      <c r="C147" s="15" t="s">
        <v>153</v>
      </c>
      <c r="D147" s="16">
        <v>201640000</v>
      </c>
      <c r="E147" s="17">
        <v>46229</v>
      </c>
      <c r="F147" s="17">
        <v>46259</v>
      </c>
      <c r="G147" s="17">
        <v>46264</v>
      </c>
      <c r="H147" s="18">
        <f>IF(AND(E147&lt;=Quy_uoc_chung!$C$4,OR(G147="",G147&gt;Quy_uoc_chung!$C$4)),1,0)</f>
        <v>0</v>
      </c>
      <c r="I147" s="18">
        <f>IF(AND(E147&gt;=Quy_uoc_chung!$C$4-Quy_uoc_chung!$C$3+1,E147&lt;=Quy_uoc_chung!$C$4),1,0)</f>
        <v>1</v>
      </c>
      <c r="J147" s="19" t="str">
        <f>IF(H147=1,Quy_uoc_chung!$C$4-F147,"")</f>
        <v/>
      </c>
      <c r="K147" s="18" t="str">
        <f t="shared" si="16"/>
        <v/>
      </c>
      <c r="L147" s="18">
        <f>IF(AND(G147&lt;&gt;"",G147&gt;Quy_uoc_chung!$C$4-TV1_Nguong!$C$4,G147&lt;=Quy_uoc_chung!$C$4),1,0)</f>
        <v>1</v>
      </c>
      <c r="M147" s="19">
        <f t="shared" si="17"/>
        <v>5</v>
      </c>
      <c r="N147" s="20">
        <f t="shared" si="18"/>
        <v>1008200000</v>
      </c>
      <c r="O147" s="19">
        <f t="shared" si="19"/>
        <v>30</v>
      </c>
      <c r="P147" s="20">
        <f t="shared" si="20"/>
        <v>6049200000</v>
      </c>
      <c r="Q147" s="28">
        <f t="shared" si="21"/>
        <v>5</v>
      </c>
      <c r="R147" s="28">
        <f t="shared" si="22"/>
        <v>1008200000</v>
      </c>
      <c r="S147" s="28">
        <f t="shared" si="23"/>
        <v>7057400000</v>
      </c>
    </row>
    <row r="148" spans="1:19" x14ac:dyDescent="0.3">
      <c r="A148" s="15" t="s">
        <v>426</v>
      </c>
      <c r="B148" s="15" t="s">
        <v>55</v>
      </c>
      <c r="C148" s="15" t="s">
        <v>154</v>
      </c>
      <c r="D148" s="16">
        <v>164479000</v>
      </c>
      <c r="E148" s="17">
        <v>46227</v>
      </c>
      <c r="F148" s="17">
        <v>46257</v>
      </c>
      <c r="G148" s="17">
        <v>46274</v>
      </c>
      <c r="H148" s="18">
        <f>IF(AND(E148&lt;=Quy_uoc_chung!$C$4,OR(G148="",G148&gt;Quy_uoc_chung!$C$4)),1,0)</f>
        <v>0</v>
      </c>
      <c r="I148" s="18">
        <f>IF(AND(E148&gt;=Quy_uoc_chung!$C$4-Quy_uoc_chung!$C$3+1,E148&lt;=Quy_uoc_chung!$C$4),1,0)</f>
        <v>1</v>
      </c>
      <c r="J148" s="19" t="str">
        <f>IF(H148=1,Quy_uoc_chung!$C$4-F148,"")</f>
        <v/>
      </c>
      <c r="K148" s="18" t="str">
        <f t="shared" si="16"/>
        <v/>
      </c>
      <c r="L148" s="18">
        <f>IF(AND(G148&lt;&gt;"",G148&gt;Quy_uoc_chung!$C$4-TV1_Nguong!$C$4,G148&lt;=Quy_uoc_chung!$C$4),1,0)</f>
        <v>1</v>
      </c>
      <c r="M148" s="19">
        <f t="shared" si="17"/>
        <v>17</v>
      </c>
      <c r="N148" s="20">
        <f t="shared" si="18"/>
        <v>2796143000</v>
      </c>
      <c r="O148" s="19">
        <f t="shared" si="19"/>
        <v>30</v>
      </c>
      <c r="P148" s="20">
        <f t="shared" si="20"/>
        <v>4934370000</v>
      </c>
      <c r="Q148" s="28">
        <f t="shared" si="21"/>
        <v>17</v>
      </c>
      <c r="R148" s="28">
        <f t="shared" si="22"/>
        <v>2796143000</v>
      </c>
      <c r="S148" s="28">
        <f t="shared" si="23"/>
        <v>7730513000</v>
      </c>
    </row>
    <row r="149" spans="1:19" x14ac:dyDescent="0.3">
      <c r="A149" s="15" t="s">
        <v>427</v>
      </c>
      <c r="B149" s="15" t="s">
        <v>55</v>
      </c>
      <c r="C149" s="15" t="s">
        <v>155</v>
      </c>
      <c r="D149" s="16">
        <v>303732000</v>
      </c>
      <c r="E149" s="17">
        <v>46232</v>
      </c>
      <c r="F149" s="17">
        <v>46262</v>
      </c>
      <c r="G149" s="17">
        <v>46270</v>
      </c>
      <c r="H149" s="18">
        <f>IF(AND(E149&lt;=Quy_uoc_chung!$C$4,OR(G149="",G149&gt;Quy_uoc_chung!$C$4)),1,0)</f>
        <v>0</v>
      </c>
      <c r="I149" s="18">
        <f>IF(AND(E149&gt;=Quy_uoc_chung!$C$4-Quy_uoc_chung!$C$3+1,E149&lt;=Quy_uoc_chung!$C$4),1,0)</f>
        <v>1</v>
      </c>
      <c r="J149" s="19" t="str">
        <f>IF(H149=1,Quy_uoc_chung!$C$4-F149,"")</f>
        <v/>
      </c>
      <c r="K149" s="18" t="str">
        <f t="shared" si="16"/>
        <v/>
      </c>
      <c r="L149" s="18">
        <f>IF(AND(G149&lt;&gt;"",G149&gt;Quy_uoc_chung!$C$4-TV1_Nguong!$C$4,G149&lt;=Quy_uoc_chung!$C$4),1,0)</f>
        <v>1</v>
      </c>
      <c r="M149" s="19">
        <f t="shared" si="17"/>
        <v>8</v>
      </c>
      <c r="N149" s="20">
        <f t="shared" si="18"/>
        <v>2429856000</v>
      </c>
      <c r="O149" s="19">
        <f t="shared" si="19"/>
        <v>30</v>
      </c>
      <c r="P149" s="20">
        <f t="shared" si="20"/>
        <v>9111960000</v>
      </c>
      <c r="Q149" s="28">
        <f t="shared" si="21"/>
        <v>8</v>
      </c>
      <c r="R149" s="28">
        <f t="shared" si="22"/>
        <v>2429856000</v>
      </c>
      <c r="S149" s="28">
        <f t="shared" si="23"/>
        <v>11541816000</v>
      </c>
    </row>
    <row r="150" spans="1:19" x14ac:dyDescent="0.3">
      <c r="A150" s="15" t="s">
        <v>428</v>
      </c>
      <c r="B150" s="15" t="s">
        <v>55</v>
      </c>
      <c r="C150" s="15" t="s">
        <v>152</v>
      </c>
      <c r="D150" s="16">
        <v>265239000</v>
      </c>
      <c r="E150" s="17">
        <v>46235</v>
      </c>
      <c r="F150" s="17">
        <v>46280</v>
      </c>
      <c r="G150" s="17">
        <v>46288</v>
      </c>
      <c r="H150" s="18">
        <f>IF(AND(E150&lt;=Quy_uoc_chung!$C$4,OR(G150="",G150&gt;Quy_uoc_chung!$C$4)),1,0)</f>
        <v>0</v>
      </c>
      <c r="I150" s="18">
        <f>IF(AND(E150&gt;=Quy_uoc_chung!$C$4-Quy_uoc_chung!$C$3+1,E150&lt;=Quy_uoc_chung!$C$4),1,0)</f>
        <v>1</v>
      </c>
      <c r="J150" s="19" t="str">
        <f>IF(H150=1,Quy_uoc_chung!$C$4-F150,"")</f>
        <v/>
      </c>
      <c r="K150" s="18" t="str">
        <f t="shared" si="16"/>
        <v/>
      </c>
      <c r="L150" s="18">
        <f>IF(AND(G150&lt;&gt;"",G150&gt;Quy_uoc_chung!$C$4-TV1_Nguong!$C$4,G150&lt;=Quy_uoc_chung!$C$4),1,0)</f>
        <v>1</v>
      </c>
      <c r="M150" s="19">
        <f t="shared" si="17"/>
        <v>8</v>
      </c>
      <c r="N150" s="20">
        <f t="shared" si="18"/>
        <v>2121912000</v>
      </c>
      <c r="O150" s="19">
        <f t="shared" si="19"/>
        <v>45</v>
      </c>
      <c r="P150" s="20">
        <f t="shared" si="20"/>
        <v>11935755000</v>
      </c>
      <c r="Q150" s="28">
        <f t="shared" si="21"/>
        <v>8</v>
      </c>
      <c r="R150" s="28">
        <f t="shared" si="22"/>
        <v>2121912000</v>
      </c>
      <c r="S150" s="28">
        <f t="shared" si="23"/>
        <v>14057667000</v>
      </c>
    </row>
    <row r="151" spans="1:19" x14ac:dyDescent="0.3">
      <c r="A151" s="15" t="s">
        <v>429</v>
      </c>
      <c r="B151" s="15" t="s">
        <v>55</v>
      </c>
      <c r="C151" s="15" t="s">
        <v>153</v>
      </c>
      <c r="D151" s="16">
        <v>202003000</v>
      </c>
      <c r="E151" s="17">
        <v>46236</v>
      </c>
      <c r="F151" s="17">
        <v>46266</v>
      </c>
      <c r="G151" s="17">
        <v>46263</v>
      </c>
      <c r="H151" s="18">
        <f>IF(AND(E151&lt;=Quy_uoc_chung!$C$4,OR(G151="",G151&gt;Quy_uoc_chung!$C$4)),1,0)</f>
        <v>0</v>
      </c>
      <c r="I151" s="18">
        <f>IF(AND(E151&gt;=Quy_uoc_chung!$C$4-Quy_uoc_chung!$C$3+1,E151&lt;=Quy_uoc_chung!$C$4),1,0)</f>
        <v>1</v>
      </c>
      <c r="J151" s="19" t="str">
        <f>IF(H151=1,Quy_uoc_chung!$C$4-F151,"")</f>
        <v/>
      </c>
      <c r="K151" s="18" t="str">
        <f t="shared" si="16"/>
        <v/>
      </c>
      <c r="L151" s="18">
        <f>IF(AND(G151&lt;&gt;"",G151&gt;Quy_uoc_chung!$C$4-TV1_Nguong!$C$4,G151&lt;=Quy_uoc_chung!$C$4),1,0)</f>
        <v>1</v>
      </c>
      <c r="M151" s="19">
        <f t="shared" si="17"/>
        <v>-3</v>
      </c>
      <c r="N151" s="20">
        <f t="shared" si="18"/>
        <v>-606009000</v>
      </c>
      <c r="O151" s="19">
        <f t="shared" si="19"/>
        <v>30</v>
      </c>
      <c r="P151" s="20">
        <f t="shared" si="20"/>
        <v>6060090000</v>
      </c>
      <c r="Q151" s="28">
        <f t="shared" si="21"/>
        <v>0</v>
      </c>
      <c r="R151" s="28">
        <f t="shared" si="22"/>
        <v>0</v>
      </c>
      <c r="S151" s="28">
        <f t="shared" si="23"/>
        <v>5454081000</v>
      </c>
    </row>
    <row r="152" spans="1:19" x14ac:dyDescent="0.3">
      <c r="A152" s="15" t="s">
        <v>430</v>
      </c>
      <c r="B152" s="15" t="s">
        <v>55</v>
      </c>
      <c r="C152" s="15" t="s">
        <v>154</v>
      </c>
      <c r="D152" s="16">
        <v>128900000</v>
      </c>
      <c r="E152" s="17">
        <v>46235</v>
      </c>
      <c r="F152" s="17">
        <v>46265</v>
      </c>
      <c r="G152" s="17">
        <v>46278</v>
      </c>
      <c r="H152" s="18">
        <f>IF(AND(E152&lt;=Quy_uoc_chung!$C$4,OR(G152="",G152&gt;Quy_uoc_chung!$C$4)),1,0)</f>
        <v>0</v>
      </c>
      <c r="I152" s="18">
        <f>IF(AND(E152&gt;=Quy_uoc_chung!$C$4-Quy_uoc_chung!$C$3+1,E152&lt;=Quy_uoc_chung!$C$4),1,0)</f>
        <v>1</v>
      </c>
      <c r="J152" s="19" t="str">
        <f>IF(H152=1,Quy_uoc_chung!$C$4-F152,"")</f>
        <v/>
      </c>
      <c r="K152" s="18" t="str">
        <f t="shared" si="16"/>
        <v/>
      </c>
      <c r="L152" s="18">
        <f>IF(AND(G152&lt;&gt;"",G152&gt;Quy_uoc_chung!$C$4-TV1_Nguong!$C$4,G152&lt;=Quy_uoc_chung!$C$4),1,0)</f>
        <v>1</v>
      </c>
      <c r="M152" s="19">
        <f t="shared" si="17"/>
        <v>13</v>
      </c>
      <c r="N152" s="20">
        <f t="shared" si="18"/>
        <v>1675700000</v>
      </c>
      <c r="O152" s="19">
        <f t="shared" si="19"/>
        <v>30</v>
      </c>
      <c r="P152" s="20">
        <f t="shared" si="20"/>
        <v>3867000000</v>
      </c>
      <c r="Q152" s="28">
        <f t="shared" si="21"/>
        <v>13</v>
      </c>
      <c r="R152" s="28">
        <f t="shared" si="22"/>
        <v>1675700000</v>
      </c>
      <c r="S152" s="28">
        <f t="shared" si="23"/>
        <v>5542700000</v>
      </c>
    </row>
    <row r="153" spans="1:19" x14ac:dyDescent="0.3">
      <c r="A153" s="15" t="s">
        <v>431</v>
      </c>
      <c r="B153" s="15" t="s">
        <v>55</v>
      </c>
      <c r="C153" s="15" t="s">
        <v>155</v>
      </c>
      <c r="D153" s="16">
        <v>291600000</v>
      </c>
      <c r="E153" s="17">
        <v>46243</v>
      </c>
      <c r="F153" s="17">
        <v>46273</v>
      </c>
      <c r="G153" s="17">
        <v>46278</v>
      </c>
      <c r="H153" s="18">
        <f>IF(AND(E153&lt;=Quy_uoc_chung!$C$4,OR(G153="",G153&gt;Quy_uoc_chung!$C$4)),1,0)</f>
        <v>0</v>
      </c>
      <c r="I153" s="18">
        <f>IF(AND(E153&gt;=Quy_uoc_chung!$C$4-Quy_uoc_chung!$C$3+1,E153&lt;=Quy_uoc_chung!$C$4),1,0)</f>
        <v>1</v>
      </c>
      <c r="J153" s="19" t="str">
        <f>IF(H153=1,Quy_uoc_chung!$C$4-F153,"")</f>
        <v/>
      </c>
      <c r="K153" s="18" t="str">
        <f t="shared" si="16"/>
        <v/>
      </c>
      <c r="L153" s="18">
        <f>IF(AND(G153&lt;&gt;"",G153&gt;Quy_uoc_chung!$C$4-TV1_Nguong!$C$4,G153&lt;=Quy_uoc_chung!$C$4),1,0)</f>
        <v>1</v>
      </c>
      <c r="M153" s="19">
        <f t="shared" si="17"/>
        <v>5</v>
      </c>
      <c r="N153" s="20">
        <f t="shared" si="18"/>
        <v>1458000000</v>
      </c>
      <c r="O153" s="19">
        <f t="shared" si="19"/>
        <v>30</v>
      </c>
      <c r="P153" s="20">
        <f t="shared" si="20"/>
        <v>8748000000</v>
      </c>
      <c r="Q153" s="28">
        <f t="shared" si="21"/>
        <v>5</v>
      </c>
      <c r="R153" s="28">
        <f t="shared" si="22"/>
        <v>1458000000</v>
      </c>
      <c r="S153" s="28">
        <f t="shared" si="23"/>
        <v>10206000000</v>
      </c>
    </row>
    <row r="154" spans="1:19" x14ac:dyDescent="0.3">
      <c r="A154" s="15" t="s">
        <v>432</v>
      </c>
      <c r="B154" s="15" t="s">
        <v>55</v>
      </c>
      <c r="C154" s="15" t="s">
        <v>152</v>
      </c>
      <c r="D154" s="16">
        <v>247588000</v>
      </c>
      <c r="E154" s="17">
        <v>46241</v>
      </c>
      <c r="F154" s="17">
        <v>46286</v>
      </c>
      <c r="G154" s="17">
        <v>46287</v>
      </c>
      <c r="H154" s="18">
        <f>IF(AND(E154&lt;=Quy_uoc_chung!$C$4,OR(G154="",G154&gt;Quy_uoc_chung!$C$4)),1,0)</f>
        <v>0</v>
      </c>
      <c r="I154" s="18">
        <f>IF(AND(E154&gt;=Quy_uoc_chung!$C$4-Quy_uoc_chung!$C$3+1,E154&lt;=Quy_uoc_chung!$C$4),1,0)</f>
        <v>1</v>
      </c>
      <c r="J154" s="19" t="str">
        <f>IF(H154=1,Quy_uoc_chung!$C$4-F154,"")</f>
        <v/>
      </c>
      <c r="K154" s="18" t="str">
        <f t="shared" si="16"/>
        <v/>
      </c>
      <c r="L154" s="18">
        <f>IF(AND(G154&lt;&gt;"",G154&gt;Quy_uoc_chung!$C$4-TV1_Nguong!$C$4,G154&lt;=Quy_uoc_chung!$C$4),1,0)</f>
        <v>1</v>
      </c>
      <c r="M154" s="19">
        <f t="shared" si="17"/>
        <v>1</v>
      </c>
      <c r="N154" s="20">
        <f t="shared" si="18"/>
        <v>247588000</v>
      </c>
      <c r="O154" s="19">
        <f t="shared" si="19"/>
        <v>45</v>
      </c>
      <c r="P154" s="20">
        <f t="shared" si="20"/>
        <v>11141460000</v>
      </c>
      <c r="Q154" s="28">
        <f t="shared" si="21"/>
        <v>1</v>
      </c>
      <c r="R154" s="28">
        <f t="shared" si="22"/>
        <v>247588000</v>
      </c>
      <c r="S154" s="28">
        <f t="shared" si="23"/>
        <v>11389048000</v>
      </c>
    </row>
    <row r="155" spans="1:19" x14ac:dyDescent="0.3">
      <c r="A155" s="15" t="s">
        <v>433</v>
      </c>
      <c r="B155" s="15" t="s">
        <v>55</v>
      </c>
      <c r="C155" s="15" t="s">
        <v>153</v>
      </c>
      <c r="D155" s="16">
        <v>184234000</v>
      </c>
      <c r="E155" s="17">
        <v>46243</v>
      </c>
      <c r="F155" s="17">
        <v>46273</v>
      </c>
      <c r="G155" s="17">
        <v>46276</v>
      </c>
      <c r="H155" s="18">
        <f>IF(AND(E155&lt;=Quy_uoc_chung!$C$4,OR(G155="",G155&gt;Quy_uoc_chung!$C$4)),1,0)</f>
        <v>0</v>
      </c>
      <c r="I155" s="18">
        <f>IF(AND(E155&gt;=Quy_uoc_chung!$C$4-Quy_uoc_chung!$C$3+1,E155&lt;=Quy_uoc_chung!$C$4),1,0)</f>
        <v>1</v>
      </c>
      <c r="J155" s="19" t="str">
        <f>IF(H155=1,Quy_uoc_chung!$C$4-F155,"")</f>
        <v/>
      </c>
      <c r="K155" s="18" t="str">
        <f t="shared" si="16"/>
        <v/>
      </c>
      <c r="L155" s="18">
        <f>IF(AND(G155&lt;&gt;"",G155&gt;Quy_uoc_chung!$C$4-TV1_Nguong!$C$4,G155&lt;=Quy_uoc_chung!$C$4),1,0)</f>
        <v>1</v>
      </c>
      <c r="M155" s="19">
        <f t="shared" si="17"/>
        <v>3</v>
      </c>
      <c r="N155" s="20">
        <f t="shared" si="18"/>
        <v>552702000</v>
      </c>
      <c r="O155" s="19">
        <f t="shared" si="19"/>
        <v>30</v>
      </c>
      <c r="P155" s="20">
        <f t="shared" si="20"/>
        <v>5527020000</v>
      </c>
      <c r="Q155" s="28">
        <f t="shared" si="21"/>
        <v>3</v>
      </c>
      <c r="R155" s="28">
        <f t="shared" si="22"/>
        <v>552702000</v>
      </c>
      <c r="S155" s="28">
        <f t="shared" si="23"/>
        <v>6079722000</v>
      </c>
    </row>
    <row r="156" spans="1:19" x14ac:dyDescent="0.3">
      <c r="A156" s="15" t="s">
        <v>434</v>
      </c>
      <c r="B156" s="15" t="s">
        <v>55</v>
      </c>
      <c r="C156" s="15" t="s">
        <v>154</v>
      </c>
      <c r="D156" s="16">
        <v>154680000</v>
      </c>
      <c r="E156" s="17">
        <v>46241</v>
      </c>
      <c r="F156" s="17">
        <v>46271</v>
      </c>
      <c r="G156" s="17"/>
      <c r="H156" s="18">
        <f>IF(AND(E156&lt;=Quy_uoc_chung!$C$4,OR(G156="",G156&gt;Quy_uoc_chung!$C$4)),1,0)</f>
        <v>1</v>
      </c>
      <c r="I156" s="18">
        <f>IF(AND(E156&gt;=Quy_uoc_chung!$C$4-Quy_uoc_chung!$C$3+1,E156&lt;=Quy_uoc_chung!$C$4),1,0)</f>
        <v>1</v>
      </c>
      <c r="J156" s="19">
        <f>IF(H156=1,Quy_uoc_chung!$C$4-F156,"")</f>
        <v>24</v>
      </c>
      <c r="K156" s="18" t="str">
        <f t="shared" si="16"/>
        <v>Quá hạn 1–30 ngày</v>
      </c>
      <c r="L156" s="18">
        <f>IF(AND(G156&lt;&gt;"",G156&gt;Quy_uoc_chung!$C$4-TV1_Nguong!$C$4,G156&lt;=Quy_uoc_chung!$C$4),1,0)</f>
        <v>0</v>
      </c>
      <c r="M156" s="19" t="str">
        <f t="shared" si="17"/>
        <v/>
      </c>
      <c r="N156" s="20">
        <f t="shared" si="18"/>
        <v>0</v>
      </c>
      <c r="O156" s="19">
        <f t="shared" si="19"/>
        <v>30</v>
      </c>
      <c r="P156" s="20">
        <f t="shared" si="20"/>
        <v>0</v>
      </c>
      <c r="Q156" s="28">
        <f t="shared" si="21"/>
        <v>0</v>
      </c>
      <c r="R156" s="28">
        <f t="shared" si="22"/>
        <v>0</v>
      </c>
      <c r="S156" s="28">
        <f t="shared" si="23"/>
        <v>0</v>
      </c>
    </row>
    <row r="157" spans="1:19" x14ac:dyDescent="0.3">
      <c r="A157" s="15" t="s">
        <v>435</v>
      </c>
      <c r="B157" s="15" t="s">
        <v>55</v>
      </c>
      <c r="C157" s="15" t="s">
        <v>155</v>
      </c>
      <c r="D157" s="16">
        <v>250593000</v>
      </c>
      <c r="E157" s="17">
        <v>46250</v>
      </c>
      <c r="F157" s="17">
        <v>46280</v>
      </c>
      <c r="G157" s="17">
        <v>46285</v>
      </c>
      <c r="H157" s="18">
        <f>IF(AND(E157&lt;=Quy_uoc_chung!$C$4,OR(G157="",G157&gt;Quy_uoc_chung!$C$4)),1,0)</f>
        <v>0</v>
      </c>
      <c r="I157" s="18">
        <f>IF(AND(E157&gt;=Quy_uoc_chung!$C$4-Quy_uoc_chung!$C$3+1,E157&lt;=Quy_uoc_chung!$C$4),1,0)</f>
        <v>1</v>
      </c>
      <c r="J157" s="19" t="str">
        <f>IF(H157=1,Quy_uoc_chung!$C$4-F157,"")</f>
        <v/>
      </c>
      <c r="K157" s="18" t="str">
        <f t="shared" si="16"/>
        <v/>
      </c>
      <c r="L157" s="18">
        <f>IF(AND(G157&lt;&gt;"",G157&gt;Quy_uoc_chung!$C$4-TV1_Nguong!$C$4,G157&lt;=Quy_uoc_chung!$C$4),1,0)</f>
        <v>1</v>
      </c>
      <c r="M157" s="19">
        <f t="shared" si="17"/>
        <v>5</v>
      </c>
      <c r="N157" s="20">
        <f t="shared" si="18"/>
        <v>1252965000</v>
      </c>
      <c r="O157" s="19">
        <f t="shared" si="19"/>
        <v>30</v>
      </c>
      <c r="P157" s="20">
        <f t="shared" si="20"/>
        <v>7517790000</v>
      </c>
      <c r="Q157" s="28">
        <f t="shared" si="21"/>
        <v>5</v>
      </c>
      <c r="R157" s="28">
        <f t="shared" si="22"/>
        <v>1252965000</v>
      </c>
      <c r="S157" s="28">
        <f t="shared" si="23"/>
        <v>8770755000</v>
      </c>
    </row>
    <row r="158" spans="1:19" x14ac:dyDescent="0.3">
      <c r="A158" s="15" t="s">
        <v>436</v>
      </c>
      <c r="B158" s="15" t="s">
        <v>55</v>
      </c>
      <c r="C158" s="15" t="s">
        <v>152</v>
      </c>
      <c r="D158" s="16">
        <v>228337000</v>
      </c>
      <c r="E158" s="17">
        <v>46246</v>
      </c>
      <c r="F158" s="17">
        <v>46291</v>
      </c>
      <c r="G158" s="17">
        <v>46290</v>
      </c>
      <c r="H158" s="18">
        <f>IF(AND(E158&lt;=Quy_uoc_chung!$C$4,OR(G158="",G158&gt;Quy_uoc_chung!$C$4)),1,0)</f>
        <v>0</v>
      </c>
      <c r="I158" s="18">
        <f>IF(AND(E158&gt;=Quy_uoc_chung!$C$4-Quy_uoc_chung!$C$3+1,E158&lt;=Quy_uoc_chung!$C$4),1,0)</f>
        <v>1</v>
      </c>
      <c r="J158" s="19" t="str">
        <f>IF(H158=1,Quy_uoc_chung!$C$4-F158,"")</f>
        <v/>
      </c>
      <c r="K158" s="18" t="str">
        <f t="shared" si="16"/>
        <v/>
      </c>
      <c r="L158" s="18">
        <f>IF(AND(G158&lt;&gt;"",G158&gt;Quy_uoc_chung!$C$4-TV1_Nguong!$C$4,G158&lt;=Quy_uoc_chung!$C$4),1,0)</f>
        <v>1</v>
      </c>
      <c r="M158" s="19">
        <f t="shared" si="17"/>
        <v>-1</v>
      </c>
      <c r="N158" s="20">
        <f t="shared" si="18"/>
        <v>-228337000</v>
      </c>
      <c r="O158" s="19">
        <f t="shared" si="19"/>
        <v>45</v>
      </c>
      <c r="P158" s="20">
        <f t="shared" si="20"/>
        <v>10275165000</v>
      </c>
      <c r="Q158" s="28">
        <f t="shared" si="21"/>
        <v>0</v>
      </c>
      <c r="R158" s="28">
        <f t="shared" si="22"/>
        <v>0</v>
      </c>
      <c r="S158" s="28">
        <f t="shared" si="23"/>
        <v>10046828000</v>
      </c>
    </row>
    <row r="159" spans="1:19" x14ac:dyDescent="0.3">
      <c r="A159" s="15" t="s">
        <v>437</v>
      </c>
      <c r="B159" s="15" t="s">
        <v>55</v>
      </c>
      <c r="C159" s="15" t="s">
        <v>153</v>
      </c>
      <c r="D159" s="16">
        <v>219988000</v>
      </c>
      <c r="E159" s="17">
        <v>46248</v>
      </c>
      <c r="F159" s="17">
        <v>46278</v>
      </c>
      <c r="G159" s="17">
        <v>46279</v>
      </c>
      <c r="H159" s="18">
        <f>IF(AND(E159&lt;=Quy_uoc_chung!$C$4,OR(G159="",G159&gt;Quy_uoc_chung!$C$4)),1,0)</f>
        <v>0</v>
      </c>
      <c r="I159" s="18">
        <f>IF(AND(E159&gt;=Quy_uoc_chung!$C$4-Quy_uoc_chung!$C$3+1,E159&lt;=Quy_uoc_chung!$C$4),1,0)</f>
        <v>1</v>
      </c>
      <c r="J159" s="19" t="str">
        <f>IF(H159=1,Quy_uoc_chung!$C$4-F159,"")</f>
        <v/>
      </c>
      <c r="K159" s="18" t="str">
        <f t="shared" si="16"/>
        <v/>
      </c>
      <c r="L159" s="18">
        <f>IF(AND(G159&lt;&gt;"",G159&gt;Quy_uoc_chung!$C$4-TV1_Nguong!$C$4,G159&lt;=Quy_uoc_chung!$C$4),1,0)</f>
        <v>1</v>
      </c>
      <c r="M159" s="19">
        <f t="shared" si="17"/>
        <v>1</v>
      </c>
      <c r="N159" s="20">
        <f t="shared" si="18"/>
        <v>219988000</v>
      </c>
      <c r="O159" s="19">
        <f t="shared" si="19"/>
        <v>30</v>
      </c>
      <c r="P159" s="20">
        <f t="shared" si="20"/>
        <v>6599640000</v>
      </c>
      <c r="Q159" s="28">
        <f t="shared" si="21"/>
        <v>1</v>
      </c>
      <c r="R159" s="28">
        <f t="shared" si="22"/>
        <v>219988000</v>
      </c>
      <c r="S159" s="28">
        <f t="shared" si="23"/>
        <v>6819628000</v>
      </c>
    </row>
    <row r="160" spans="1:19" x14ac:dyDescent="0.3">
      <c r="A160" s="15" t="s">
        <v>438</v>
      </c>
      <c r="B160" s="15" t="s">
        <v>55</v>
      </c>
      <c r="C160" s="15" t="s">
        <v>154</v>
      </c>
      <c r="D160" s="16">
        <v>139285000</v>
      </c>
      <c r="E160" s="17">
        <v>46247</v>
      </c>
      <c r="F160" s="17">
        <v>46277</v>
      </c>
      <c r="G160" s="17"/>
      <c r="H160" s="18">
        <f>IF(AND(E160&lt;=Quy_uoc_chung!$C$4,OR(G160="",G160&gt;Quy_uoc_chung!$C$4)),1,0)</f>
        <v>1</v>
      </c>
      <c r="I160" s="18">
        <f>IF(AND(E160&gt;=Quy_uoc_chung!$C$4-Quy_uoc_chung!$C$3+1,E160&lt;=Quy_uoc_chung!$C$4),1,0)</f>
        <v>1</v>
      </c>
      <c r="J160" s="19">
        <f>IF(H160=1,Quy_uoc_chung!$C$4-F160,"")</f>
        <v>18</v>
      </c>
      <c r="K160" s="18" t="str">
        <f t="shared" si="16"/>
        <v>Quá hạn 1–30 ngày</v>
      </c>
      <c r="L160" s="18">
        <f>IF(AND(G160&lt;&gt;"",G160&gt;Quy_uoc_chung!$C$4-TV1_Nguong!$C$4,G160&lt;=Quy_uoc_chung!$C$4),1,0)</f>
        <v>0</v>
      </c>
      <c r="M160" s="19" t="str">
        <f t="shared" si="17"/>
        <v/>
      </c>
      <c r="N160" s="20">
        <f t="shared" si="18"/>
        <v>0</v>
      </c>
      <c r="O160" s="19">
        <f t="shared" si="19"/>
        <v>30</v>
      </c>
      <c r="P160" s="20">
        <f t="shared" si="20"/>
        <v>0</v>
      </c>
      <c r="Q160" s="28">
        <f t="shared" si="21"/>
        <v>0</v>
      </c>
      <c r="R160" s="28">
        <f t="shared" si="22"/>
        <v>0</v>
      </c>
      <c r="S160" s="28">
        <f t="shared" si="23"/>
        <v>0</v>
      </c>
    </row>
    <row r="161" spans="1:19" x14ac:dyDescent="0.3">
      <c r="A161" s="15" t="s">
        <v>439</v>
      </c>
      <c r="B161" s="15" t="s">
        <v>55</v>
      </c>
      <c r="C161" s="15" t="s">
        <v>155</v>
      </c>
      <c r="D161" s="16">
        <v>218620000</v>
      </c>
      <c r="E161" s="17">
        <v>46253</v>
      </c>
      <c r="F161" s="17">
        <v>46283</v>
      </c>
      <c r="G161" s="17">
        <v>46291</v>
      </c>
      <c r="H161" s="18">
        <f>IF(AND(E161&lt;=Quy_uoc_chung!$C$4,OR(G161="",G161&gt;Quy_uoc_chung!$C$4)),1,0)</f>
        <v>0</v>
      </c>
      <c r="I161" s="18">
        <f>IF(AND(E161&gt;=Quy_uoc_chung!$C$4-Quy_uoc_chung!$C$3+1,E161&lt;=Quy_uoc_chung!$C$4),1,0)</f>
        <v>1</v>
      </c>
      <c r="J161" s="19" t="str">
        <f>IF(H161=1,Quy_uoc_chung!$C$4-F161,"")</f>
        <v/>
      </c>
      <c r="K161" s="18" t="str">
        <f t="shared" si="16"/>
        <v/>
      </c>
      <c r="L161" s="18">
        <f>IF(AND(G161&lt;&gt;"",G161&gt;Quy_uoc_chung!$C$4-TV1_Nguong!$C$4,G161&lt;=Quy_uoc_chung!$C$4),1,0)</f>
        <v>1</v>
      </c>
      <c r="M161" s="19">
        <f t="shared" si="17"/>
        <v>8</v>
      </c>
      <c r="N161" s="20">
        <f t="shared" si="18"/>
        <v>1748960000</v>
      </c>
      <c r="O161" s="19">
        <f t="shared" si="19"/>
        <v>30</v>
      </c>
      <c r="P161" s="20">
        <f t="shared" si="20"/>
        <v>6558600000</v>
      </c>
      <c r="Q161" s="28">
        <f t="shared" si="21"/>
        <v>8</v>
      </c>
      <c r="R161" s="28">
        <f t="shared" si="22"/>
        <v>1748960000</v>
      </c>
      <c r="S161" s="28">
        <f t="shared" si="23"/>
        <v>8307560000</v>
      </c>
    </row>
    <row r="162" spans="1:19" x14ac:dyDescent="0.3">
      <c r="A162" s="15" t="s">
        <v>440</v>
      </c>
      <c r="B162" s="15" t="s">
        <v>55</v>
      </c>
      <c r="C162" s="15" t="s">
        <v>152</v>
      </c>
      <c r="D162" s="16">
        <v>211715000</v>
      </c>
      <c r="E162" s="17">
        <v>46254</v>
      </c>
      <c r="F162" s="17">
        <v>46299</v>
      </c>
      <c r="G162" s="17"/>
      <c r="H162" s="18">
        <f>IF(AND(E162&lt;=Quy_uoc_chung!$C$4,OR(G162="",G162&gt;Quy_uoc_chung!$C$4)),1,0)</f>
        <v>1</v>
      </c>
      <c r="I162" s="18">
        <f>IF(AND(E162&gt;=Quy_uoc_chung!$C$4-Quy_uoc_chung!$C$3+1,E162&lt;=Quy_uoc_chung!$C$4),1,0)</f>
        <v>1</v>
      </c>
      <c r="J162" s="19">
        <f>IF(H162=1,Quy_uoc_chung!$C$4-F162,"")</f>
        <v>-4</v>
      </c>
      <c r="K162" s="18" t="str">
        <f t="shared" si="16"/>
        <v>Chưa đến hạn</v>
      </c>
      <c r="L162" s="18">
        <f>IF(AND(G162&lt;&gt;"",G162&gt;Quy_uoc_chung!$C$4-TV1_Nguong!$C$4,G162&lt;=Quy_uoc_chung!$C$4),1,0)</f>
        <v>0</v>
      </c>
      <c r="M162" s="19" t="str">
        <f t="shared" si="17"/>
        <v/>
      </c>
      <c r="N162" s="20">
        <f t="shared" si="18"/>
        <v>0</v>
      </c>
      <c r="O162" s="19">
        <f t="shared" si="19"/>
        <v>45</v>
      </c>
      <c r="P162" s="20">
        <f t="shared" si="20"/>
        <v>0</v>
      </c>
      <c r="Q162" s="28">
        <f t="shared" si="21"/>
        <v>0</v>
      </c>
      <c r="R162" s="28">
        <f t="shared" si="22"/>
        <v>0</v>
      </c>
      <c r="S162" s="28">
        <f t="shared" si="23"/>
        <v>0</v>
      </c>
    </row>
    <row r="163" spans="1:19" x14ac:dyDescent="0.3">
      <c r="A163" s="15" t="s">
        <v>441</v>
      </c>
      <c r="B163" s="15" t="s">
        <v>55</v>
      </c>
      <c r="C163" s="15" t="s">
        <v>153</v>
      </c>
      <c r="D163" s="16">
        <v>214283000</v>
      </c>
      <c r="E163" s="17">
        <v>46255</v>
      </c>
      <c r="F163" s="17">
        <v>46285</v>
      </c>
      <c r="G163" s="17">
        <v>46286</v>
      </c>
      <c r="H163" s="18">
        <f>IF(AND(E163&lt;=Quy_uoc_chung!$C$4,OR(G163="",G163&gt;Quy_uoc_chung!$C$4)),1,0)</f>
        <v>0</v>
      </c>
      <c r="I163" s="18">
        <f>IF(AND(E163&gt;=Quy_uoc_chung!$C$4-Quy_uoc_chung!$C$3+1,E163&lt;=Quy_uoc_chung!$C$4),1,0)</f>
        <v>1</v>
      </c>
      <c r="J163" s="19" t="str">
        <f>IF(H163=1,Quy_uoc_chung!$C$4-F163,"")</f>
        <v/>
      </c>
      <c r="K163" s="18" t="str">
        <f t="shared" si="16"/>
        <v/>
      </c>
      <c r="L163" s="18">
        <f>IF(AND(G163&lt;&gt;"",G163&gt;Quy_uoc_chung!$C$4-TV1_Nguong!$C$4,G163&lt;=Quy_uoc_chung!$C$4),1,0)</f>
        <v>1</v>
      </c>
      <c r="M163" s="19">
        <f t="shared" si="17"/>
        <v>1</v>
      </c>
      <c r="N163" s="20">
        <f t="shared" si="18"/>
        <v>214283000</v>
      </c>
      <c r="O163" s="19">
        <f t="shared" si="19"/>
        <v>30</v>
      </c>
      <c r="P163" s="20">
        <f t="shared" si="20"/>
        <v>6428490000</v>
      </c>
      <c r="Q163" s="28">
        <f t="shared" si="21"/>
        <v>1</v>
      </c>
      <c r="R163" s="28">
        <f t="shared" si="22"/>
        <v>214283000</v>
      </c>
      <c r="S163" s="28">
        <f t="shared" si="23"/>
        <v>6642773000</v>
      </c>
    </row>
    <row r="164" spans="1:19" x14ac:dyDescent="0.3">
      <c r="A164" s="15" t="s">
        <v>442</v>
      </c>
      <c r="B164" s="15" t="s">
        <v>55</v>
      </c>
      <c r="C164" s="15" t="s">
        <v>154</v>
      </c>
      <c r="D164" s="16">
        <v>171530000</v>
      </c>
      <c r="E164" s="17">
        <v>46257</v>
      </c>
      <c r="F164" s="17">
        <v>46287</v>
      </c>
      <c r="G164" s="17"/>
      <c r="H164" s="18">
        <f>IF(AND(E164&lt;=Quy_uoc_chung!$C$4,OR(G164="",G164&gt;Quy_uoc_chung!$C$4)),1,0)</f>
        <v>1</v>
      </c>
      <c r="I164" s="18">
        <f>IF(AND(E164&gt;=Quy_uoc_chung!$C$4-Quy_uoc_chung!$C$3+1,E164&lt;=Quy_uoc_chung!$C$4),1,0)</f>
        <v>1</v>
      </c>
      <c r="J164" s="19">
        <f>IF(H164=1,Quy_uoc_chung!$C$4-F164,"")</f>
        <v>8</v>
      </c>
      <c r="K164" s="18" t="str">
        <f t="shared" si="16"/>
        <v>Quá hạn 1–30 ngày</v>
      </c>
      <c r="L164" s="18">
        <f>IF(AND(G164&lt;&gt;"",G164&gt;Quy_uoc_chung!$C$4-TV1_Nguong!$C$4,G164&lt;=Quy_uoc_chung!$C$4),1,0)</f>
        <v>0</v>
      </c>
      <c r="M164" s="19" t="str">
        <f t="shared" si="17"/>
        <v/>
      </c>
      <c r="N164" s="20">
        <f t="shared" si="18"/>
        <v>0</v>
      </c>
      <c r="O164" s="19">
        <f t="shared" si="19"/>
        <v>30</v>
      </c>
      <c r="P164" s="20">
        <f t="shared" si="20"/>
        <v>0</v>
      </c>
      <c r="Q164" s="28">
        <f t="shared" si="21"/>
        <v>0</v>
      </c>
      <c r="R164" s="28">
        <f t="shared" si="22"/>
        <v>0</v>
      </c>
      <c r="S164" s="28">
        <f t="shared" si="23"/>
        <v>0</v>
      </c>
    </row>
    <row r="165" spans="1:19" x14ac:dyDescent="0.3">
      <c r="A165" s="15" t="s">
        <v>443</v>
      </c>
      <c r="B165" s="15" t="s">
        <v>55</v>
      </c>
      <c r="C165" s="15" t="s">
        <v>155</v>
      </c>
      <c r="D165" s="16">
        <v>248943000</v>
      </c>
      <c r="E165" s="17">
        <v>46263</v>
      </c>
      <c r="F165" s="17">
        <v>46293</v>
      </c>
      <c r="G165" s="17"/>
      <c r="H165" s="18">
        <f>IF(AND(E165&lt;=Quy_uoc_chung!$C$4,OR(G165="",G165&gt;Quy_uoc_chung!$C$4)),1,0)</f>
        <v>1</v>
      </c>
      <c r="I165" s="18">
        <f>IF(AND(E165&gt;=Quy_uoc_chung!$C$4-Quy_uoc_chung!$C$3+1,E165&lt;=Quy_uoc_chung!$C$4),1,0)</f>
        <v>1</v>
      </c>
      <c r="J165" s="19">
        <f>IF(H165=1,Quy_uoc_chung!$C$4-F165,"")</f>
        <v>2</v>
      </c>
      <c r="K165" s="18" t="str">
        <f t="shared" si="16"/>
        <v>Quá hạn 1–30 ngày</v>
      </c>
      <c r="L165" s="18">
        <f>IF(AND(G165&lt;&gt;"",G165&gt;Quy_uoc_chung!$C$4-TV1_Nguong!$C$4,G165&lt;=Quy_uoc_chung!$C$4),1,0)</f>
        <v>0</v>
      </c>
      <c r="M165" s="19" t="str">
        <f t="shared" si="17"/>
        <v/>
      </c>
      <c r="N165" s="20">
        <f t="shared" si="18"/>
        <v>0</v>
      </c>
      <c r="O165" s="19">
        <f t="shared" si="19"/>
        <v>30</v>
      </c>
      <c r="P165" s="20">
        <f t="shared" si="20"/>
        <v>0</v>
      </c>
      <c r="Q165" s="28">
        <f t="shared" si="21"/>
        <v>0</v>
      </c>
      <c r="R165" s="28">
        <f t="shared" si="22"/>
        <v>0</v>
      </c>
      <c r="S165" s="28">
        <f t="shared" si="23"/>
        <v>0</v>
      </c>
    </row>
    <row r="166" spans="1:19" x14ac:dyDescent="0.3">
      <c r="A166" s="15" t="s">
        <v>444</v>
      </c>
      <c r="B166" s="15" t="s">
        <v>55</v>
      </c>
      <c r="C166" s="15" t="s">
        <v>152</v>
      </c>
      <c r="D166" s="16">
        <v>242046000</v>
      </c>
      <c r="E166" s="17">
        <v>46262</v>
      </c>
      <c r="F166" s="17">
        <v>46307</v>
      </c>
      <c r="G166" s="17"/>
      <c r="H166" s="18">
        <f>IF(AND(E166&lt;=Quy_uoc_chung!$C$4,OR(G166="",G166&gt;Quy_uoc_chung!$C$4)),1,0)</f>
        <v>1</v>
      </c>
      <c r="I166" s="18">
        <f>IF(AND(E166&gt;=Quy_uoc_chung!$C$4-Quy_uoc_chung!$C$3+1,E166&lt;=Quy_uoc_chung!$C$4),1,0)</f>
        <v>1</v>
      </c>
      <c r="J166" s="19">
        <f>IF(H166=1,Quy_uoc_chung!$C$4-F166,"")</f>
        <v>-12</v>
      </c>
      <c r="K166" s="18" t="str">
        <f t="shared" si="16"/>
        <v>Chưa đến hạn</v>
      </c>
      <c r="L166" s="18">
        <f>IF(AND(G166&lt;&gt;"",G166&gt;Quy_uoc_chung!$C$4-TV1_Nguong!$C$4,G166&lt;=Quy_uoc_chung!$C$4),1,0)</f>
        <v>0</v>
      </c>
      <c r="M166" s="19" t="str">
        <f t="shared" si="17"/>
        <v/>
      </c>
      <c r="N166" s="20">
        <f t="shared" si="18"/>
        <v>0</v>
      </c>
      <c r="O166" s="19">
        <f t="shared" si="19"/>
        <v>45</v>
      </c>
      <c r="P166" s="20">
        <f t="shared" si="20"/>
        <v>0</v>
      </c>
      <c r="Q166" s="28">
        <f t="shared" si="21"/>
        <v>0</v>
      </c>
      <c r="R166" s="28">
        <f t="shared" si="22"/>
        <v>0</v>
      </c>
      <c r="S166" s="28">
        <f t="shared" si="23"/>
        <v>0</v>
      </c>
    </row>
    <row r="167" spans="1:19" x14ac:dyDescent="0.3">
      <c r="A167" s="15" t="s">
        <v>445</v>
      </c>
      <c r="B167" s="15" t="s">
        <v>55</v>
      </c>
      <c r="C167" s="15" t="s">
        <v>153</v>
      </c>
      <c r="D167" s="16">
        <v>235934000</v>
      </c>
      <c r="E167" s="17">
        <v>46261</v>
      </c>
      <c r="F167" s="17">
        <v>46291</v>
      </c>
      <c r="G167" s="17">
        <v>46288</v>
      </c>
      <c r="H167" s="18">
        <f>IF(AND(E167&lt;=Quy_uoc_chung!$C$4,OR(G167="",G167&gt;Quy_uoc_chung!$C$4)),1,0)</f>
        <v>0</v>
      </c>
      <c r="I167" s="18">
        <f>IF(AND(E167&gt;=Quy_uoc_chung!$C$4-Quy_uoc_chung!$C$3+1,E167&lt;=Quy_uoc_chung!$C$4),1,0)</f>
        <v>1</v>
      </c>
      <c r="J167" s="19" t="str">
        <f>IF(H167=1,Quy_uoc_chung!$C$4-F167,"")</f>
        <v/>
      </c>
      <c r="K167" s="18" t="str">
        <f t="shared" si="16"/>
        <v/>
      </c>
      <c r="L167" s="18">
        <f>IF(AND(G167&lt;&gt;"",G167&gt;Quy_uoc_chung!$C$4-TV1_Nguong!$C$4,G167&lt;=Quy_uoc_chung!$C$4),1,0)</f>
        <v>1</v>
      </c>
      <c r="M167" s="19">
        <f t="shared" si="17"/>
        <v>-3</v>
      </c>
      <c r="N167" s="20">
        <f t="shared" si="18"/>
        <v>-707802000</v>
      </c>
      <c r="O167" s="19">
        <f t="shared" si="19"/>
        <v>30</v>
      </c>
      <c r="P167" s="20">
        <f t="shared" si="20"/>
        <v>7078020000</v>
      </c>
      <c r="Q167" s="28">
        <f t="shared" si="21"/>
        <v>0</v>
      </c>
      <c r="R167" s="28">
        <f t="shared" si="22"/>
        <v>0</v>
      </c>
      <c r="S167" s="28">
        <f t="shared" si="23"/>
        <v>6370218000</v>
      </c>
    </row>
    <row r="168" spans="1:19" x14ac:dyDescent="0.3">
      <c r="A168" s="15" t="s">
        <v>446</v>
      </c>
      <c r="B168" s="15" t="s">
        <v>55</v>
      </c>
      <c r="C168" s="15" t="s">
        <v>154</v>
      </c>
      <c r="D168" s="16">
        <v>145829000</v>
      </c>
      <c r="E168" s="17">
        <v>46263</v>
      </c>
      <c r="F168" s="17">
        <v>46293</v>
      </c>
      <c r="G168" s="17"/>
      <c r="H168" s="18">
        <f>IF(AND(E168&lt;=Quy_uoc_chung!$C$4,OR(G168="",G168&gt;Quy_uoc_chung!$C$4)),1,0)</f>
        <v>1</v>
      </c>
      <c r="I168" s="18">
        <f>IF(AND(E168&gt;=Quy_uoc_chung!$C$4-Quy_uoc_chung!$C$3+1,E168&lt;=Quy_uoc_chung!$C$4),1,0)</f>
        <v>1</v>
      </c>
      <c r="J168" s="19">
        <f>IF(H168=1,Quy_uoc_chung!$C$4-F168,"")</f>
        <v>2</v>
      </c>
      <c r="K168" s="18" t="str">
        <f t="shared" si="16"/>
        <v>Quá hạn 1–30 ngày</v>
      </c>
      <c r="L168" s="18">
        <f>IF(AND(G168&lt;&gt;"",G168&gt;Quy_uoc_chung!$C$4-TV1_Nguong!$C$4,G168&lt;=Quy_uoc_chung!$C$4),1,0)</f>
        <v>0</v>
      </c>
      <c r="M168" s="19" t="str">
        <f t="shared" si="17"/>
        <v/>
      </c>
      <c r="N168" s="20">
        <f t="shared" si="18"/>
        <v>0</v>
      </c>
      <c r="O168" s="19">
        <f t="shared" si="19"/>
        <v>30</v>
      </c>
      <c r="P168" s="20">
        <f t="shared" si="20"/>
        <v>0</v>
      </c>
      <c r="Q168" s="28">
        <f t="shared" si="21"/>
        <v>0</v>
      </c>
      <c r="R168" s="28">
        <f t="shared" si="22"/>
        <v>0</v>
      </c>
      <c r="S168" s="28">
        <f t="shared" si="23"/>
        <v>0</v>
      </c>
    </row>
    <row r="169" spans="1:19" x14ac:dyDescent="0.3">
      <c r="A169" s="15" t="s">
        <v>447</v>
      </c>
      <c r="B169" s="15" t="s">
        <v>55</v>
      </c>
      <c r="C169" s="15" t="s">
        <v>155</v>
      </c>
      <c r="D169" s="16">
        <v>242921000</v>
      </c>
      <c r="E169" s="17">
        <v>46270</v>
      </c>
      <c r="F169" s="17">
        <v>46300</v>
      </c>
      <c r="G169" s="17"/>
      <c r="H169" s="18">
        <f>IF(AND(E169&lt;=Quy_uoc_chung!$C$4,OR(G169="",G169&gt;Quy_uoc_chung!$C$4)),1,0)</f>
        <v>1</v>
      </c>
      <c r="I169" s="18">
        <f>IF(AND(E169&gt;=Quy_uoc_chung!$C$4-Quy_uoc_chung!$C$3+1,E169&lt;=Quy_uoc_chung!$C$4),1,0)</f>
        <v>1</v>
      </c>
      <c r="J169" s="19">
        <f>IF(H169=1,Quy_uoc_chung!$C$4-F169,"")</f>
        <v>-5</v>
      </c>
      <c r="K169" s="18" t="str">
        <f t="shared" si="16"/>
        <v>Chưa đến hạn</v>
      </c>
      <c r="L169" s="18">
        <f>IF(AND(G169&lt;&gt;"",G169&gt;Quy_uoc_chung!$C$4-TV1_Nguong!$C$4,G169&lt;=Quy_uoc_chung!$C$4),1,0)</f>
        <v>0</v>
      </c>
      <c r="M169" s="19" t="str">
        <f t="shared" si="17"/>
        <v/>
      </c>
      <c r="N169" s="20">
        <f t="shared" si="18"/>
        <v>0</v>
      </c>
      <c r="O169" s="19">
        <f t="shared" si="19"/>
        <v>30</v>
      </c>
      <c r="P169" s="20">
        <f t="shared" si="20"/>
        <v>0</v>
      </c>
      <c r="Q169" s="28">
        <f t="shared" si="21"/>
        <v>0</v>
      </c>
      <c r="R169" s="28">
        <f t="shared" si="22"/>
        <v>0</v>
      </c>
      <c r="S169" s="28">
        <f t="shared" si="23"/>
        <v>0</v>
      </c>
    </row>
    <row r="170" spans="1:19" x14ac:dyDescent="0.3">
      <c r="A170" s="15" t="s">
        <v>448</v>
      </c>
      <c r="B170" s="15" t="s">
        <v>55</v>
      </c>
      <c r="C170" s="15" t="s">
        <v>152</v>
      </c>
      <c r="D170" s="16">
        <v>230934000</v>
      </c>
      <c r="E170" s="17">
        <v>46268</v>
      </c>
      <c r="F170" s="17">
        <v>46313</v>
      </c>
      <c r="G170" s="17"/>
      <c r="H170" s="18">
        <f>IF(AND(E170&lt;=Quy_uoc_chung!$C$4,OR(G170="",G170&gt;Quy_uoc_chung!$C$4)),1,0)</f>
        <v>1</v>
      </c>
      <c r="I170" s="18">
        <f>IF(AND(E170&gt;=Quy_uoc_chung!$C$4-Quy_uoc_chung!$C$3+1,E170&lt;=Quy_uoc_chung!$C$4),1,0)</f>
        <v>1</v>
      </c>
      <c r="J170" s="19">
        <f>IF(H170=1,Quy_uoc_chung!$C$4-F170,"")</f>
        <v>-18</v>
      </c>
      <c r="K170" s="18" t="str">
        <f t="shared" si="16"/>
        <v>Chưa đến hạn</v>
      </c>
      <c r="L170" s="18">
        <f>IF(AND(G170&lt;&gt;"",G170&gt;Quy_uoc_chung!$C$4-TV1_Nguong!$C$4,G170&lt;=Quy_uoc_chung!$C$4),1,0)</f>
        <v>0</v>
      </c>
      <c r="M170" s="19" t="str">
        <f t="shared" si="17"/>
        <v/>
      </c>
      <c r="N170" s="20">
        <f t="shared" si="18"/>
        <v>0</v>
      </c>
      <c r="O170" s="19">
        <f t="shared" si="19"/>
        <v>45</v>
      </c>
      <c r="P170" s="20">
        <f t="shared" si="20"/>
        <v>0</v>
      </c>
      <c r="Q170" s="28">
        <f t="shared" si="21"/>
        <v>0</v>
      </c>
      <c r="R170" s="28">
        <f t="shared" si="22"/>
        <v>0</v>
      </c>
      <c r="S170" s="28">
        <f t="shared" si="23"/>
        <v>0</v>
      </c>
    </row>
    <row r="171" spans="1:19" x14ac:dyDescent="0.3">
      <c r="A171" s="15" t="s">
        <v>449</v>
      </c>
      <c r="B171" s="15" t="s">
        <v>55</v>
      </c>
      <c r="C171" s="15" t="s">
        <v>153</v>
      </c>
      <c r="D171" s="16">
        <v>239648000</v>
      </c>
      <c r="E171" s="17">
        <v>46271</v>
      </c>
      <c r="F171" s="17">
        <v>46301</v>
      </c>
      <c r="G171" s="17"/>
      <c r="H171" s="18">
        <f>IF(AND(E171&lt;=Quy_uoc_chung!$C$4,OR(G171="",G171&gt;Quy_uoc_chung!$C$4)),1,0)</f>
        <v>1</v>
      </c>
      <c r="I171" s="18">
        <f>IF(AND(E171&gt;=Quy_uoc_chung!$C$4-Quy_uoc_chung!$C$3+1,E171&lt;=Quy_uoc_chung!$C$4),1,0)</f>
        <v>1</v>
      </c>
      <c r="J171" s="19">
        <f>IF(H171=1,Quy_uoc_chung!$C$4-F171,"")</f>
        <v>-6</v>
      </c>
      <c r="K171" s="18" t="str">
        <f t="shared" si="16"/>
        <v>Chưa đến hạn</v>
      </c>
      <c r="L171" s="18">
        <f>IF(AND(G171&lt;&gt;"",G171&gt;Quy_uoc_chung!$C$4-TV1_Nguong!$C$4,G171&lt;=Quy_uoc_chung!$C$4),1,0)</f>
        <v>0</v>
      </c>
      <c r="M171" s="19" t="str">
        <f t="shared" si="17"/>
        <v/>
      </c>
      <c r="N171" s="20">
        <f t="shared" si="18"/>
        <v>0</v>
      </c>
      <c r="O171" s="19">
        <f t="shared" si="19"/>
        <v>30</v>
      </c>
      <c r="P171" s="20">
        <f t="shared" si="20"/>
        <v>0</v>
      </c>
      <c r="Q171" s="28">
        <f t="shared" si="21"/>
        <v>0</v>
      </c>
      <c r="R171" s="28">
        <f t="shared" si="22"/>
        <v>0</v>
      </c>
      <c r="S171" s="28">
        <f t="shared" si="23"/>
        <v>0</v>
      </c>
    </row>
    <row r="172" spans="1:19" x14ac:dyDescent="0.3">
      <c r="A172" s="15" t="s">
        <v>450</v>
      </c>
      <c r="B172" s="15" t="s">
        <v>55</v>
      </c>
      <c r="C172" s="15" t="s">
        <v>154</v>
      </c>
      <c r="D172" s="16">
        <v>159297000</v>
      </c>
      <c r="E172" s="17">
        <v>46270</v>
      </c>
      <c r="F172" s="17">
        <v>46300</v>
      </c>
      <c r="G172" s="17"/>
      <c r="H172" s="18">
        <f>IF(AND(E172&lt;=Quy_uoc_chung!$C$4,OR(G172="",G172&gt;Quy_uoc_chung!$C$4)),1,0)</f>
        <v>1</v>
      </c>
      <c r="I172" s="18">
        <f>IF(AND(E172&gt;=Quy_uoc_chung!$C$4-Quy_uoc_chung!$C$3+1,E172&lt;=Quy_uoc_chung!$C$4),1,0)</f>
        <v>1</v>
      </c>
      <c r="J172" s="19">
        <f>IF(H172=1,Quy_uoc_chung!$C$4-F172,"")</f>
        <v>-5</v>
      </c>
      <c r="K172" s="18" t="str">
        <f t="shared" si="16"/>
        <v>Chưa đến hạn</v>
      </c>
      <c r="L172" s="18">
        <f>IF(AND(G172&lt;&gt;"",G172&gt;Quy_uoc_chung!$C$4-TV1_Nguong!$C$4,G172&lt;=Quy_uoc_chung!$C$4),1,0)</f>
        <v>0</v>
      </c>
      <c r="M172" s="19" t="str">
        <f t="shared" si="17"/>
        <v/>
      </c>
      <c r="N172" s="20">
        <f t="shared" si="18"/>
        <v>0</v>
      </c>
      <c r="O172" s="19">
        <f t="shared" si="19"/>
        <v>30</v>
      </c>
      <c r="P172" s="20">
        <f t="shared" si="20"/>
        <v>0</v>
      </c>
      <c r="Q172" s="28">
        <f t="shared" si="21"/>
        <v>0</v>
      </c>
      <c r="R172" s="28">
        <f t="shared" si="22"/>
        <v>0</v>
      </c>
      <c r="S172" s="28">
        <f t="shared" si="23"/>
        <v>0</v>
      </c>
    </row>
    <row r="173" spans="1:19" x14ac:dyDescent="0.3">
      <c r="A173" s="15" t="s">
        <v>451</v>
      </c>
      <c r="B173" s="15" t="s">
        <v>55</v>
      </c>
      <c r="C173" s="15" t="s">
        <v>155</v>
      </c>
      <c r="D173" s="16">
        <v>348011000</v>
      </c>
      <c r="E173" s="17">
        <v>46276</v>
      </c>
      <c r="F173" s="17">
        <v>46306</v>
      </c>
      <c r="G173" s="17"/>
      <c r="H173" s="18">
        <f>IF(AND(E173&lt;=Quy_uoc_chung!$C$4,OR(G173="",G173&gt;Quy_uoc_chung!$C$4)),1,0)</f>
        <v>1</v>
      </c>
      <c r="I173" s="18">
        <f>IF(AND(E173&gt;=Quy_uoc_chung!$C$4-Quy_uoc_chung!$C$3+1,E173&lt;=Quy_uoc_chung!$C$4),1,0)</f>
        <v>1</v>
      </c>
      <c r="J173" s="19">
        <f>IF(H173=1,Quy_uoc_chung!$C$4-F173,"")</f>
        <v>-11</v>
      </c>
      <c r="K173" s="18" t="str">
        <f t="shared" si="16"/>
        <v>Chưa đến hạn</v>
      </c>
      <c r="L173" s="18">
        <f>IF(AND(G173&lt;&gt;"",G173&gt;Quy_uoc_chung!$C$4-TV1_Nguong!$C$4,G173&lt;=Quy_uoc_chung!$C$4),1,0)</f>
        <v>0</v>
      </c>
      <c r="M173" s="19" t="str">
        <f t="shared" si="17"/>
        <v/>
      </c>
      <c r="N173" s="20">
        <f t="shared" si="18"/>
        <v>0</v>
      </c>
      <c r="O173" s="19">
        <f t="shared" si="19"/>
        <v>30</v>
      </c>
      <c r="P173" s="20">
        <f t="shared" si="20"/>
        <v>0</v>
      </c>
      <c r="Q173" s="28">
        <f t="shared" si="21"/>
        <v>0</v>
      </c>
      <c r="R173" s="28">
        <f t="shared" si="22"/>
        <v>0</v>
      </c>
      <c r="S173" s="28">
        <f t="shared" si="23"/>
        <v>0</v>
      </c>
    </row>
    <row r="174" spans="1:19" x14ac:dyDescent="0.3">
      <c r="A174" s="15" t="s">
        <v>452</v>
      </c>
      <c r="B174" s="15" t="s">
        <v>55</v>
      </c>
      <c r="C174" s="15" t="s">
        <v>152</v>
      </c>
      <c r="D174" s="16">
        <v>322892000</v>
      </c>
      <c r="E174" s="17">
        <v>46277</v>
      </c>
      <c r="F174" s="17">
        <v>46322</v>
      </c>
      <c r="G174" s="17"/>
      <c r="H174" s="18">
        <f>IF(AND(E174&lt;=Quy_uoc_chung!$C$4,OR(G174="",G174&gt;Quy_uoc_chung!$C$4)),1,0)</f>
        <v>1</v>
      </c>
      <c r="I174" s="18">
        <f>IF(AND(E174&gt;=Quy_uoc_chung!$C$4-Quy_uoc_chung!$C$3+1,E174&lt;=Quy_uoc_chung!$C$4),1,0)</f>
        <v>1</v>
      </c>
      <c r="J174" s="19">
        <f>IF(H174=1,Quy_uoc_chung!$C$4-F174,"")</f>
        <v>-27</v>
      </c>
      <c r="K174" s="18" t="str">
        <f t="shared" si="16"/>
        <v>Chưa đến hạn</v>
      </c>
      <c r="L174" s="18">
        <f>IF(AND(G174&lt;&gt;"",G174&gt;Quy_uoc_chung!$C$4-TV1_Nguong!$C$4,G174&lt;=Quy_uoc_chung!$C$4),1,0)</f>
        <v>0</v>
      </c>
      <c r="M174" s="19" t="str">
        <f t="shared" si="17"/>
        <v/>
      </c>
      <c r="N174" s="20">
        <f t="shared" si="18"/>
        <v>0</v>
      </c>
      <c r="O174" s="19">
        <f t="shared" si="19"/>
        <v>45</v>
      </c>
      <c r="P174" s="20">
        <f t="shared" si="20"/>
        <v>0</v>
      </c>
      <c r="Q174" s="28">
        <f t="shared" si="21"/>
        <v>0</v>
      </c>
      <c r="R174" s="28">
        <f t="shared" si="22"/>
        <v>0</v>
      </c>
      <c r="S174" s="28">
        <f t="shared" si="23"/>
        <v>0</v>
      </c>
    </row>
    <row r="175" spans="1:19" x14ac:dyDescent="0.3">
      <c r="A175" s="15" t="s">
        <v>453</v>
      </c>
      <c r="B175" s="15" t="s">
        <v>55</v>
      </c>
      <c r="C175" s="15" t="s">
        <v>153</v>
      </c>
      <c r="D175" s="16">
        <v>195902000</v>
      </c>
      <c r="E175" s="17">
        <v>46278</v>
      </c>
      <c r="F175" s="17">
        <v>46308</v>
      </c>
      <c r="G175" s="17"/>
      <c r="H175" s="18">
        <f>IF(AND(E175&lt;=Quy_uoc_chung!$C$4,OR(G175="",G175&gt;Quy_uoc_chung!$C$4)),1,0)</f>
        <v>1</v>
      </c>
      <c r="I175" s="18">
        <f>IF(AND(E175&gt;=Quy_uoc_chung!$C$4-Quy_uoc_chung!$C$3+1,E175&lt;=Quy_uoc_chung!$C$4),1,0)</f>
        <v>1</v>
      </c>
      <c r="J175" s="19">
        <f>IF(H175=1,Quy_uoc_chung!$C$4-F175,"")</f>
        <v>-13</v>
      </c>
      <c r="K175" s="18" t="str">
        <f t="shared" si="16"/>
        <v>Chưa đến hạn</v>
      </c>
      <c r="L175" s="18">
        <f>IF(AND(G175&lt;&gt;"",G175&gt;Quy_uoc_chung!$C$4-TV1_Nguong!$C$4,G175&lt;=Quy_uoc_chung!$C$4),1,0)</f>
        <v>0</v>
      </c>
      <c r="M175" s="19" t="str">
        <f t="shared" si="17"/>
        <v/>
      </c>
      <c r="N175" s="20">
        <f t="shared" si="18"/>
        <v>0</v>
      </c>
      <c r="O175" s="19">
        <f t="shared" si="19"/>
        <v>30</v>
      </c>
      <c r="P175" s="20">
        <f t="shared" si="20"/>
        <v>0</v>
      </c>
      <c r="Q175" s="28">
        <f t="shared" si="21"/>
        <v>0</v>
      </c>
      <c r="R175" s="28">
        <f t="shared" si="22"/>
        <v>0</v>
      </c>
      <c r="S175" s="28">
        <f t="shared" si="23"/>
        <v>0</v>
      </c>
    </row>
    <row r="176" spans="1:19" x14ac:dyDescent="0.3">
      <c r="A176" s="15" t="s">
        <v>454</v>
      </c>
      <c r="B176" s="15" t="s">
        <v>55</v>
      </c>
      <c r="C176" s="15" t="s">
        <v>154</v>
      </c>
      <c r="D176" s="16">
        <v>111732000</v>
      </c>
      <c r="E176" s="17">
        <v>46276</v>
      </c>
      <c r="F176" s="17">
        <v>46306</v>
      </c>
      <c r="G176" s="17"/>
      <c r="H176" s="18">
        <f>IF(AND(E176&lt;=Quy_uoc_chung!$C$4,OR(G176="",G176&gt;Quy_uoc_chung!$C$4)),1,0)</f>
        <v>1</v>
      </c>
      <c r="I176" s="18">
        <f>IF(AND(E176&gt;=Quy_uoc_chung!$C$4-Quy_uoc_chung!$C$3+1,E176&lt;=Quy_uoc_chung!$C$4),1,0)</f>
        <v>1</v>
      </c>
      <c r="J176" s="19">
        <f>IF(H176=1,Quy_uoc_chung!$C$4-F176,"")</f>
        <v>-11</v>
      </c>
      <c r="K176" s="18" t="str">
        <f t="shared" si="16"/>
        <v>Chưa đến hạn</v>
      </c>
      <c r="L176" s="18">
        <f>IF(AND(G176&lt;&gt;"",G176&gt;Quy_uoc_chung!$C$4-TV1_Nguong!$C$4,G176&lt;=Quy_uoc_chung!$C$4),1,0)</f>
        <v>0</v>
      </c>
      <c r="M176" s="19" t="str">
        <f t="shared" si="17"/>
        <v/>
      </c>
      <c r="N176" s="20">
        <f t="shared" si="18"/>
        <v>0</v>
      </c>
      <c r="O176" s="19">
        <f t="shared" si="19"/>
        <v>30</v>
      </c>
      <c r="P176" s="20">
        <f t="shared" si="20"/>
        <v>0</v>
      </c>
      <c r="Q176" s="28">
        <f t="shared" si="21"/>
        <v>0</v>
      </c>
      <c r="R176" s="28">
        <f t="shared" si="22"/>
        <v>0</v>
      </c>
      <c r="S176" s="28">
        <f t="shared" si="23"/>
        <v>0</v>
      </c>
    </row>
    <row r="177" spans="1:19" x14ac:dyDescent="0.3">
      <c r="A177" s="15" t="s">
        <v>455</v>
      </c>
      <c r="B177" s="15" t="s">
        <v>55</v>
      </c>
      <c r="C177" s="15" t="s">
        <v>155</v>
      </c>
      <c r="D177" s="16">
        <v>280776000</v>
      </c>
      <c r="E177" s="17">
        <v>46284</v>
      </c>
      <c r="F177" s="17">
        <v>46314</v>
      </c>
      <c r="G177" s="17"/>
      <c r="H177" s="18">
        <f>IF(AND(E177&lt;=Quy_uoc_chung!$C$4,OR(G177="",G177&gt;Quy_uoc_chung!$C$4)),1,0)</f>
        <v>1</v>
      </c>
      <c r="I177" s="18">
        <f>IF(AND(E177&gt;=Quy_uoc_chung!$C$4-Quy_uoc_chung!$C$3+1,E177&lt;=Quy_uoc_chung!$C$4),1,0)</f>
        <v>1</v>
      </c>
      <c r="J177" s="19">
        <f>IF(H177=1,Quy_uoc_chung!$C$4-F177,"")</f>
        <v>-19</v>
      </c>
      <c r="K177" s="18" t="str">
        <f t="shared" si="16"/>
        <v>Chưa đến hạn</v>
      </c>
      <c r="L177" s="18">
        <f>IF(AND(G177&lt;&gt;"",G177&gt;Quy_uoc_chung!$C$4-TV1_Nguong!$C$4,G177&lt;=Quy_uoc_chung!$C$4),1,0)</f>
        <v>0</v>
      </c>
      <c r="M177" s="19" t="str">
        <f t="shared" si="17"/>
        <v/>
      </c>
      <c r="N177" s="20">
        <f t="shared" si="18"/>
        <v>0</v>
      </c>
      <c r="O177" s="19">
        <f t="shared" si="19"/>
        <v>30</v>
      </c>
      <c r="P177" s="20">
        <f t="shared" si="20"/>
        <v>0</v>
      </c>
      <c r="Q177" s="28">
        <f t="shared" si="21"/>
        <v>0</v>
      </c>
      <c r="R177" s="28">
        <f t="shared" si="22"/>
        <v>0</v>
      </c>
      <c r="S177" s="28">
        <f t="shared" si="23"/>
        <v>0</v>
      </c>
    </row>
    <row r="178" spans="1:19" x14ac:dyDescent="0.3">
      <c r="A178" s="15" t="s">
        <v>456</v>
      </c>
      <c r="B178" s="15" t="s">
        <v>55</v>
      </c>
      <c r="C178" s="15" t="s">
        <v>152</v>
      </c>
      <c r="D178" s="16">
        <v>214250000</v>
      </c>
      <c r="E178" s="17">
        <v>46285</v>
      </c>
      <c r="F178" s="17">
        <v>46330</v>
      </c>
      <c r="G178" s="17"/>
      <c r="H178" s="18">
        <f>IF(AND(E178&lt;=Quy_uoc_chung!$C$4,OR(G178="",G178&gt;Quy_uoc_chung!$C$4)),1,0)</f>
        <v>1</v>
      </c>
      <c r="I178" s="18">
        <f>IF(AND(E178&gt;=Quy_uoc_chung!$C$4-Quy_uoc_chung!$C$3+1,E178&lt;=Quy_uoc_chung!$C$4),1,0)</f>
        <v>1</v>
      </c>
      <c r="J178" s="19">
        <f>IF(H178=1,Quy_uoc_chung!$C$4-F178,"")</f>
        <v>-35</v>
      </c>
      <c r="K178" s="18" t="str">
        <f t="shared" si="16"/>
        <v>Chưa đến hạn</v>
      </c>
      <c r="L178" s="18">
        <f>IF(AND(G178&lt;&gt;"",G178&gt;Quy_uoc_chung!$C$4-TV1_Nguong!$C$4,G178&lt;=Quy_uoc_chung!$C$4),1,0)</f>
        <v>0</v>
      </c>
      <c r="M178" s="19" t="str">
        <f t="shared" si="17"/>
        <v/>
      </c>
      <c r="N178" s="20">
        <f t="shared" si="18"/>
        <v>0</v>
      </c>
      <c r="O178" s="19">
        <f t="shared" si="19"/>
        <v>45</v>
      </c>
      <c r="P178" s="20">
        <f t="shared" si="20"/>
        <v>0</v>
      </c>
      <c r="Q178" s="28">
        <f t="shared" si="21"/>
        <v>0</v>
      </c>
      <c r="R178" s="28">
        <f t="shared" si="22"/>
        <v>0</v>
      </c>
      <c r="S178" s="28">
        <f t="shared" si="23"/>
        <v>0</v>
      </c>
    </row>
    <row r="179" spans="1:19" x14ac:dyDescent="0.3">
      <c r="A179" s="15" t="s">
        <v>457</v>
      </c>
      <c r="B179" s="15" t="s">
        <v>55</v>
      </c>
      <c r="C179" s="15" t="s">
        <v>153</v>
      </c>
      <c r="D179" s="16">
        <v>179150000</v>
      </c>
      <c r="E179" s="17">
        <v>46285</v>
      </c>
      <c r="F179" s="17">
        <v>46315</v>
      </c>
      <c r="G179" s="17"/>
      <c r="H179" s="18">
        <f>IF(AND(E179&lt;=Quy_uoc_chung!$C$4,OR(G179="",G179&gt;Quy_uoc_chung!$C$4)),1,0)</f>
        <v>1</v>
      </c>
      <c r="I179" s="18">
        <f>IF(AND(E179&gt;=Quy_uoc_chung!$C$4-Quy_uoc_chung!$C$3+1,E179&lt;=Quy_uoc_chung!$C$4),1,0)</f>
        <v>1</v>
      </c>
      <c r="J179" s="19">
        <f>IF(H179=1,Quy_uoc_chung!$C$4-F179,"")</f>
        <v>-20</v>
      </c>
      <c r="K179" s="18" t="str">
        <f t="shared" si="16"/>
        <v>Chưa đến hạn</v>
      </c>
      <c r="L179" s="18">
        <f>IF(AND(G179&lt;&gt;"",G179&gt;Quy_uoc_chung!$C$4-TV1_Nguong!$C$4,G179&lt;=Quy_uoc_chung!$C$4),1,0)</f>
        <v>0</v>
      </c>
      <c r="M179" s="19" t="str">
        <f t="shared" si="17"/>
        <v/>
      </c>
      <c r="N179" s="20">
        <f t="shared" si="18"/>
        <v>0</v>
      </c>
      <c r="O179" s="19">
        <f t="shared" si="19"/>
        <v>30</v>
      </c>
      <c r="P179" s="20">
        <f t="shared" si="20"/>
        <v>0</v>
      </c>
      <c r="Q179" s="28">
        <f t="shared" si="21"/>
        <v>0</v>
      </c>
      <c r="R179" s="28">
        <f t="shared" si="22"/>
        <v>0</v>
      </c>
      <c r="S179" s="28">
        <f t="shared" si="23"/>
        <v>0</v>
      </c>
    </row>
    <row r="180" spans="1:19" x14ac:dyDescent="0.3">
      <c r="A180" s="15" t="s">
        <v>458</v>
      </c>
      <c r="B180" s="15" t="s">
        <v>55</v>
      </c>
      <c r="C180" s="15" t="s">
        <v>154</v>
      </c>
      <c r="D180" s="16">
        <v>109196000</v>
      </c>
      <c r="E180" s="17">
        <v>46285</v>
      </c>
      <c r="F180" s="17">
        <v>46315</v>
      </c>
      <c r="G180" s="17"/>
      <c r="H180" s="18">
        <f>IF(AND(E180&lt;=Quy_uoc_chung!$C$4,OR(G180="",G180&gt;Quy_uoc_chung!$C$4)),1,0)</f>
        <v>1</v>
      </c>
      <c r="I180" s="18">
        <f>IF(AND(E180&gt;=Quy_uoc_chung!$C$4-Quy_uoc_chung!$C$3+1,E180&lt;=Quy_uoc_chung!$C$4),1,0)</f>
        <v>1</v>
      </c>
      <c r="J180" s="19">
        <f>IF(H180=1,Quy_uoc_chung!$C$4-F180,"")</f>
        <v>-20</v>
      </c>
      <c r="K180" s="18" t="str">
        <f t="shared" si="16"/>
        <v>Chưa đến hạn</v>
      </c>
      <c r="L180" s="18">
        <f>IF(AND(G180&lt;&gt;"",G180&gt;Quy_uoc_chung!$C$4-TV1_Nguong!$C$4,G180&lt;=Quy_uoc_chung!$C$4),1,0)</f>
        <v>0</v>
      </c>
      <c r="M180" s="19" t="str">
        <f t="shared" si="17"/>
        <v/>
      </c>
      <c r="N180" s="20">
        <f t="shared" si="18"/>
        <v>0</v>
      </c>
      <c r="O180" s="19">
        <f t="shared" si="19"/>
        <v>30</v>
      </c>
      <c r="P180" s="20">
        <f t="shared" si="20"/>
        <v>0</v>
      </c>
      <c r="Q180" s="28">
        <f t="shared" si="21"/>
        <v>0</v>
      </c>
      <c r="R180" s="28">
        <f t="shared" si="22"/>
        <v>0</v>
      </c>
      <c r="S180" s="28">
        <f t="shared" si="23"/>
        <v>0</v>
      </c>
    </row>
    <row r="181" spans="1:19" x14ac:dyDescent="0.3">
      <c r="A181" s="15" t="s">
        <v>459</v>
      </c>
      <c r="B181" s="15" t="s">
        <v>55</v>
      </c>
      <c r="C181" s="15" t="s">
        <v>155</v>
      </c>
      <c r="D181" s="16">
        <v>252854000</v>
      </c>
      <c r="E181" s="17">
        <v>46290</v>
      </c>
      <c r="F181" s="17">
        <v>46320</v>
      </c>
      <c r="G181" s="17"/>
      <c r="H181" s="18">
        <f>IF(AND(E181&lt;=Quy_uoc_chung!$C$4,OR(G181="",G181&gt;Quy_uoc_chung!$C$4)),1,0)</f>
        <v>1</v>
      </c>
      <c r="I181" s="18">
        <f>IF(AND(E181&gt;=Quy_uoc_chung!$C$4-Quy_uoc_chung!$C$3+1,E181&lt;=Quy_uoc_chung!$C$4),1,0)</f>
        <v>1</v>
      </c>
      <c r="J181" s="19">
        <f>IF(H181=1,Quy_uoc_chung!$C$4-F181,"")</f>
        <v>-25</v>
      </c>
      <c r="K181" s="18" t="str">
        <f t="shared" si="16"/>
        <v>Chưa đến hạn</v>
      </c>
      <c r="L181" s="18">
        <f>IF(AND(G181&lt;&gt;"",G181&gt;Quy_uoc_chung!$C$4-TV1_Nguong!$C$4,G181&lt;=Quy_uoc_chung!$C$4),1,0)</f>
        <v>0</v>
      </c>
      <c r="M181" s="19" t="str">
        <f t="shared" si="17"/>
        <v/>
      </c>
      <c r="N181" s="20">
        <f t="shared" si="18"/>
        <v>0</v>
      </c>
      <c r="O181" s="19">
        <f t="shared" si="19"/>
        <v>30</v>
      </c>
      <c r="P181" s="20">
        <f t="shared" si="20"/>
        <v>0</v>
      </c>
      <c r="Q181" s="28">
        <f t="shared" si="21"/>
        <v>0</v>
      </c>
      <c r="R181" s="28">
        <f t="shared" si="22"/>
        <v>0</v>
      </c>
      <c r="S181" s="28">
        <f t="shared" si="23"/>
        <v>0</v>
      </c>
    </row>
    <row r="182" spans="1:19" x14ac:dyDescent="0.3">
      <c r="A182" s="15" t="s">
        <v>460</v>
      </c>
      <c r="B182" s="15" t="s">
        <v>55</v>
      </c>
      <c r="C182" s="15" t="s">
        <v>152</v>
      </c>
      <c r="D182" s="16">
        <v>224818000</v>
      </c>
      <c r="E182" s="17">
        <v>46291</v>
      </c>
      <c r="F182" s="17">
        <v>46336</v>
      </c>
      <c r="G182" s="17"/>
      <c r="H182" s="18">
        <f>IF(AND(E182&lt;=Quy_uoc_chung!$C$4,OR(G182="",G182&gt;Quy_uoc_chung!$C$4)),1,0)</f>
        <v>1</v>
      </c>
      <c r="I182" s="18">
        <f>IF(AND(E182&gt;=Quy_uoc_chung!$C$4-Quy_uoc_chung!$C$3+1,E182&lt;=Quy_uoc_chung!$C$4),1,0)</f>
        <v>1</v>
      </c>
      <c r="J182" s="19">
        <f>IF(H182=1,Quy_uoc_chung!$C$4-F182,"")</f>
        <v>-41</v>
      </c>
      <c r="K182" s="18" t="str">
        <f t="shared" si="16"/>
        <v>Chưa đến hạn</v>
      </c>
      <c r="L182" s="18">
        <f>IF(AND(G182&lt;&gt;"",G182&gt;Quy_uoc_chung!$C$4-TV1_Nguong!$C$4,G182&lt;=Quy_uoc_chung!$C$4),1,0)</f>
        <v>0</v>
      </c>
      <c r="M182" s="19" t="str">
        <f t="shared" si="17"/>
        <v/>
      </c>
      <c r="N182" s="20">
        <f t="shared" si="18"/>
        <v>0</v>
      </c>
      <c r="O182" s="19">
        <f t="shared" si="19"/>
        <v>45</v>
      </c>
      <c r="P182" s="20">
        <f t="shared" si="20"/>
        <v>0</v>
      </c>
      <c r="Q182" s="28">
        <f t="shared" si="21"/>
        <v>0</v>
      </c>
      <c r="R182" s="28">
        <f t="shared" si="22"/>
        <v>0</v>
      </c>
      <c r="S182" s="28">
        <f t="shared" si="23"/>
        <v>0</v>
      </c>
    </row>
    <row r="183" spans="1:19" x14ac:dyDescent="0.3">
      <c r="A183" s="15" t="s">
        <v>461</v>
      </c>
      <c r="B183" s="15" t="s">
        <v>55</v>
      </c>
      <c r="C183" s="15" t="s">
        <v>153</v>
      </c>
      <c r="D183" s="16">
        <v>255540000</v>
      </c>
      <c r="E183" s="17">
        <v>46289</v>
      </c>
      <c r="F183" s="17">
        <v>46319</v>
      </c>
      <c r="G183" s="17"/>
      <c r="H183" s="18">
        <f>IF(AND(E183&lt;=Quy_uoc_chung!$C$4,OR(G183="",G183&gt;Quy_uoc_chung!$C$4)),1,0)</f>
        <v>1</v>
      </c>
      <c r="I183" s="18">
        <f>IF(AND(E183&gt;=Quy_uoc_chung!$C$4-Quy_uoc_chung!$C$3+1,E183&lt;=Quy_uoc_chung!$C$4),1,0)</f>
        <v>1</v>
      </c>
      <c r="J183" s="19">
        <f>IF(H183=1,Quy_uoc_chung!$C$4-F183,"")</f>
        <v>-24</v>
      </c>
      <c r="K183" s="18" t="str">
        <f t="shared" si="16"/>
        <v>Chưa đến hạn</v>
      </c>
      <c r="L183" s="18">
        <f>IF(AND(G183&lt;&gt;"",G183&gt;Quy_uoc_chung!$C$4-TV1_Nguong!$C$4,G183&lt;=Quy_uoc_chung!$C$4),1,0)</f>
        <v>0</v>
      </c>
      <c r="M183" s="19" t="str">
        <f t="shared" si="17"/>
        <v/>
      </c>
      <c r="N183" s="20">
        <f t="shared" si="18"/>
        <v>0</v>
      </c>
      <c r="O183" s="19">
        <f t="shared" si="19"/>
        <v>30</v>
      </c>
      <c r="P183" s="20">
        <f t="shared" si="20"/>
        <v>0</v>
      </c>
      <c r="Q183" s="28">
        <f t="shared" si="21"/>
        <v>0</v>
      </c>
      <c r="R183" s="28">
        <f t="shared" si="22"/>
        <v>0</v>
      </c>
      <c r="S183" s="28">
        <f t="shared" si="23"/>
        <v>0</v>
      </c>
    </row>
    <row r="184" spans="1:19" x14ac:dyDescent="0.3">
      <c r="A184" s="15" t="s">
        <v>462</v>
      </c>
      <c r="B184" s="15" t="s">
        <v>55</v>
      </c>
      <c r="C184" s="15" t="s">
        <v>154</v>
      </c>
      <c r="D184" s="16">
        <v>125694000</v>
      </c>
      <c r="E184" s="17">
        <v>46290</v>
      </c>
      <c r="F184" s="17">
        <v>46320</v>
      </c>
      <c r="G184" s="17"/>
      <c r="H184" s="18">
        <f>IF(AND(E184&lt;=Quy_uoc_chung!$C$4,OR(G184="",G184&gt;Quy_uoc_chung!$C$4)),1,0)</f>
        <v>1</v>
      </c>
      <c r="I184" s="18">
        <f>IF(AND(E184&gt;=Quy_uoc_chung!$C$4-Quy_uoc_chung!$C$3+1,E184&lt;=Quy_uoc_chung!$C$4),1,0)</f>
        <v>1</v>
      </c>
      <c r="J184" s="19">
        <f>IF(H184=1,Quy_uoc_chung!$C$4-F184,"")</f>
        <v>-25</v>
      </c>
      <c r="K184" s="18" t="str">
        <f t="shared" si="16"/>
        <v>Chưa đến hạn</v>
      </c>
      <c r="L184" s="18">
        <f>IF(AND(G184&lt;&gt;"",G184&gt;Quy_uoc_chung!$C$4-TV1_Nguong!$C$4,G184&lt;=Quy_uoc_chung!$C$4),1,0)</f>
        <v>0</v>
      </c>
      <c r="M184" s="19" t="str">
        <f t="shared" si="17"/>
        <v/>
      </c>
      <c r="N184" s="20">
        <f t="shared" si="18"/>
        <v>0</v>
      </c>
      <c r="O184" s="19">
        <f t="shared" si="19"/>
        <v>30</v>
      </c>
      <c r="P184" s="20">
        <f t="shared" si="20"/>
        <v>0</v>
      </c>
      <c r="Q184" s="28">
        <f t="shared" si="21"/>
        <v>0</v>
      </c>
      <c r="R184" s="28">
        <f t="shared" si="22"/>
        <v>0</v>
      </c>
      <c r="S184" s="28">
        <f t="shared" si="23"/>
        <v>0</v>
      </c>
    </row>
    <row r="185" spans="1:19" x14ac:dyDescent="0.3">
      <c r="A185" s="15" t="s">
        <v>463</v>
      </c>
      <c r="B185" s="15" t="s">
        <v>56</v>
      </c>
      <c r="C185" s="15" t="s">
        <v>155</v>
      </c>
      <c r="D185" s="16">
        <v>195309000</v>
      </c>
      <c r="E185" s="17">
        <v>46116</v>
      </c>
      <c r="F185" s="17">
        <v>46161</v>
      </c>
      <c r="G185" s="17">
        <v>46176</v>
      </c>
      <c r="H185" s="18">
        <f>IF(AND(E185&lt;=Quy_uoc_chung!$C$4,OR(G185="",G185&gt;Quy_uoc_chung!$C$4)),1,0)</f>
        <v>0</v>
      </c>
      <c r="I185" s="18">
        <f>IF(AND(E185&gt;=Quy_uoc_chung!$C$4-Quy_uoc_chung!$C$3+1,E185&lt;=Quy_uoc_chung!$C$4),1,0)</f>
        <v>0</v>
      </c>
      <c r="J185" s="19" t="str">
        <f>IF(H185=1,Quy_uoc_chung!$C$4-F185,"")</f>
        <v/>
      </c>
      <c r="K185" s="18" t="str">
        <f t="shared" si="16"/>
        <v/>
      </c>
      <c r="L185" s="18">
        <f>IF(AND(G185&lt;&gt;"",G185&gt;Quy_uoc_chung!$C$4-TV1_Nguong!$C$4,G185&lt;=Quy_uoc_chung!$C$4),1,0)</f>
        <v>1</v>
      </c>
      <c r="M185" s="19">
        <f t="shared" si="17"/>
        <v>15</v>
      </c>
      <c r="N185" s="20">
        <f t="shared" si="18"/>
        <v>2929635000</v>
      </c>
      <c r="O185" s="19">
        <f t="shared" si="19"/>
        <v>45</v>
      </c>
      <c r="P185" s="20">
        <f t="shared" si="20"/>
        <v>8788905000</v>
      </c>
      <c r="Q185" s="28">
        <f t="shared" si="21"/>
        <v>15</v>
      </c>
      <c r="R185" s="28">
        <f t="shared" si="22"/>
        <v>2929635000</v>
      </c>
      <c r="S185" s="28">
        <f t="shared" si="23"/>
        <v>11718540000</v>
      </c>
    </row>
    <row r="186" spans="1:19" x14ac:dyDescent="0.3">
      <c r="A186" s="15" t="s">
        <v>464</v>
      </c>
      <c r="B186" s="15" t="s">
        <v>56</v>
      </c>
      <c r="C186" s="15" t="s">
        <v>152</v>
      </c>
      <c r="D186" s="16">
        <v>164350000</v>
      </c>
      <c r="E186" s="17">
        <v>46114</v>
      </c>
      <c r="F186" s="17">
        <v>46174</v>
      </c>
      <c r="G186" s="17">
        <v>46171</v>
      </c>
      <c r="H186" s="18">
        <f>IF(AND(E186&lt;=Quy_uoc_chung!$C$4,OR(G186="",G186&gt;Quy_uoc_chung!$C$4)),1,0)</f>
        <v>0</v>
      </c>
      <c r="I186" s="18">
        <f>IF(AND(E186&gt;=Quy_uoc_chung!$C$4-Quy_uoc_chung!$C$3+1,E186&lt;=Quy_uoc_chung!$C$4),1,0)</f>
        <v>0</v>
      </c>
      <c r="J186" s="19" t="str">
        <f>IF(H186=1,Quy_uoc_chung!$C$4-F186,"")</f>
        <v/>
      </c>
      <c r="K186" s="18" t="str">
        <f t="shared" si="16"/>
        <v/>
      </c>
      <c r="L186" s="18">
        <f>IF(AND(G186&lt;&gt;"",G186&gt;Quy_uoc_chung!$C$4-TV1_Nguong!$C$4,G186&lt;=Quy_uoc_chung!$C$4),1,0)</f>
        <v>1</v>
      </c>
      <c r="M186" s="19">
        <f t="shared" si="17"/>
        <v>-3</v>
      </c>
      <c r="N186" s="20">
        <f t="shared" si="18"/>
        <v>-493050000</v>
      </c>
      <c r="O186" s="19">
        <f t="shared" si="19"/>
        <v>60</v>
      </c>
      <c r="P186" s="20">
        <f t="shared" si="20"/>
        <v>9861000000</v>
      </c>
      <c r="Q186" s="28">
        <f t="shared" si="21"/>
        <v>0</v>
      </c>
      <c r="R186" s="28">
        <f t="shared" si="22"/>
        <v>0</v>
      </c>
      <c r="S186" s="28">
        <f t="shared" si="23"/>
        <v>9367950000</v>
      </c>
    </row>
    <row r="187" spans="1:19" x14ac:dyDescent="0.3">
      <c r="A187" s="15" t="s">
        <v>465</v>
      </c>
      <c r="B187" s="15" t="s">
        <v>56</v>
      </c>
      <c r="C187" s="15" t="s">
        <v>166</v>
      </c>
      <c r="D187" s="16">
        <v>97599000</v>
      </c>
      <c r="E187" s="17">
        <v>46113</v>
      </c>
      <c r="F187" s="17">
        <v>46158</v>
      </c>
      <c r="G187" s="17">
        <v>46161</v>
      </c>
      <c r="H187" s="18">
        <f>IF(AND(E187&lt;=Quy_uoc_chung!$C$4,OR(G187="",G187&gt;Quy_uoc_chung!$C$4)),1,0)</f>
        <v>0</v>
      </c>
      <c r="I187" s="18">
        <f>IF(AND(E187&gt;=Quy_uoc_chung!$C$4-Quy_uoc_chung!$C$3+1,E187&lt;=Quy_uoc_chung!$C$4),1,0)</f>
        <v>0</v>
      </c>
      <c r="J187" s="19" t="str">
        <f>IF(H187=1,Quy_uoc_chung!$C$4-F187,"")</f>
        <v/>
      </c>
      <c r="K187" s="18" t="str">
        <f t="shared" si="16"/>
        <v/>
      </c>
      <c r="L187" s="18">
        <f>IF(AND(G187&lt;&gt;"",G187&gt;Quy_uoc_chung!$C$4-TV1_Nguong!$C$4,G187&lt;=Quy_uoc_chung!$C$4),1,0)</f>
        <v>1</v>
      </c>
      <c r="M187" s="19">
        <f t="shared" si="17"/>
        <v>3</v>
      </c>
      <c r="N187" s="20">
        <f t="shared" si="18"/>
        <v>292797000</v>
      </c>
      <c r="O187" s="19">
        <f t="shared" si="19"/>
        <v>45</v>
      </c>
      <c r="P187" s="20">
        <f t="shared" si="20"/>
        <v>4391955000</v>
      </c>
      <c r="Q187" s="28">
        <f t="shared" si="21"/>
        <v>3</v>
      </c>
      <c r="R187" s="28">
        <f t="shared" si="22"/>
        <v>292797000</v>
      </c>
      <c r="S187" s="28">
        <f t="shared" si="23"/>
        <v>4684752000</v>
      </c>
    </row>
    <row r="188" spans="1:19" x14ac:dyDescent="0.3">
      <c r="A188" s="15" t="s">
        <v>466</v>
      </c>
      <c r="B188" s="15" t="s">
        <v>56</v>
      </c>
      <c r="C188" s="15" t="s">
        <v>155</v>
      </c>
      <c r="D188" s="16">
        <v>187313000</v>
      </c>
      <c r="E188" s="17">
        <v>46124</v>
      </c>
      <c r="F188" s="17">
        <v>46169</v>
      </c>
      <c r="G188" s="17">
        <v>46180</v>
      </c>
      <c r="H188" s="18">
        <f>IF(AND(E188&lt;=Quy_uoc_chung!$C$4,OR(G188="",G188&gt;Quy_uoc_chung!$C$4)),1,0)</f>
        <v>0</v>
      </c>
      <c r="I188" s="18">
        <f>IF(AND(E188&gt;=Quy_uoc_chung!$C$4-Quy_uoc_chung!$C$3+1,E188&lt;=Quy_uoc_chung!$C$4),1,0)</f>
        <v>0</v>
      </c>
      <c r="J188" s="19" t="str">
        <f>IF(H188=1,Quy_uoc_chung!$C$4-F188,"")</f>
        <v/>
      </c>
      <c r="K188" s="18" t="str">
        <f t="shared" si="16"/>
        <v/>
      </c>
      <c r="L188" s="18">
        <f>IF(AND(G188&lt;&gt;"",G188&gt;Quy_uoc_chung!$C$4-TV1_Nguong!$C$4,G188&lt;=Quy_uoc_chung!$C$4),1,0)</f>
        <v>1</v>
      </c>
      <c r="M188" s="19">
        <f t="shared" si="17"/>
        <v>11</v>
      </c>
      <c r="N188" s="20">
        <f t="shared" si="18"/>
        <v>2060443000</v>
      </c>
      <c r="O188" s="19">
        <f t="shared" si="19"/>
        <v>45</v>
      </c>
      <c r="P188" s="20">
        <f t="shared" si="20"/>
        <v>8429085000</v>
      </c>
      <c r="Q188" s="28">
        <f t="shared" si="21"/>
        <v>11</v>
      </c>
      <c r="R188" s="28">
        <f t="shared" si="22"/>
        <v>2060443000</v>
      </c>
      <c r="S188" s="28">
        <f t="shared" si="23"/>
        <v>10489528000</v>
      </c>
    </row>
    <row r="189" spans="1:19" x14ac:dyDescent="0.3">
      <c r="A189" s="15" t="s">
        <v>467</v>
      </c>
      <c r="B189" s="15" t="s">
        <v>56</v>
      </c>
      <c r="C189" s="15" t="s">
        <v>152</v>
      </c>
      <c r="D189" s="16">
        <v>187117000</v>
      </c>
      <c r="E189" s="17">
        <v>46122</v>
      </c>
      <c r="F189" s="17">
        <v>46182</v>
      </c>
      <c r="G189" s="17">
        <v>46189</v>
      </c>
      <c r="H189" s="18">
        <f>IF(AND(E189&lt;=Quy_uoc_chung!$C$4,OR(G189="",G189&gt;Quy_uoc_chung!$C$4)),1,0)</f>
        <v>0</v>
      </c>
      <c r="I189" s="18">
        <f>IF(AND(E189&gt;=Quy_uoc_chung!$C$4-Quy_uoc_chung!$C$3+1,E189&lt;=Quy_uoc_chung!$C$4),1,0)</f>
        <v>0</v>
      </c>
      <c r="J189" s="19" t="str">
        <f>IF(H189=1,Quy_uoc_chung!$C$4-F189,"")</f>
        <v/>
      </c>
      <c r="K189" s="18" t="str">
        <f t="shared" si="16"/>
        <v/>
      </c>
      <c r="L189" s="18">
        <f>IF(AND(G189&lt;&gt;"",G189&gt;Quy_uoc_chung!$C$4-TV1_Nguong!$C$4,G189&lt;=Quy_uoc_chung!$C$4),1,0)</f>
        <v>1</v>
      </c>
      <c r="M189" s="19">
        <f t="shared" si="17"/>
        <v>7</v>
      </c>
      <c r="N189" s="20">
        <f t="shared" si="18"/>
        <v>1309819000</v>
      </c>
      <c r="O189" s="19">
        <f t="shared" si="19"/>
        <v>60</v>
      </c>
      <c r="P189" s="20">
        <f t="shared" si="20"/>
        <v>11227020000</v>
      </c>
      <c r="Q189" s="28">
        <f t="shared" si="21"/>
        <v>7</v>
      </c>
      <c r="R189" s="28">
        <f t="shared" si="22"/>
        <v>1309819000</v>
      </c>
      <c r="S189" s="28">
        <f t="shared" si="23"/>
        <v>12536839000</v>
      </c>
    </row>
    <row r="190" spans="1:19" x14ac:dyDescent="0.3">
      <c r="A190" s="15" t="s">
        <v>468</v>
      </c>
      <c r="B190" s="15" t="s">
        <v>56</v>
      </c>
      <c r="C190" s="15" t="s">
        <v>166</v>
      </c>
      <c r="D190" s="16">
        <v>113656000</v>
      </c>
      <c r="E190" s="17">
        <v>46122</v>
      </c>
      <c r="F190" s="17">
        <v>46167</v>
      </c>
      <c r="G190" s="17">
        <v>46170</v>
      </c>
      <c r="H190" s="18">
        <f>IF(AND(E190&lt;=Quy_uoc_chung!$C$4,OR(G190="",G190&gt;Quy_uoc_chung!$C$4)),1,0)</f>
        <v>0</v>
      </c>
      <c r="I190" s="18">
        <f>IF(AND(E190&gt;=Quy_uoc_chung!$C$4-Quy_uoc_chung!$C$3+1,E190&lt;=Quy_uoc_chung!$C$4),1,0)</f>
        <v>0</v>
      </c>
      <c r="J190" s="19" t="str">
        <f>IF(H190=1,Quy_uoc_chung!$C$4-F190,"")</f>
        <v/>
      </c>
      <c r="K190" s="18" t="str">
        <f t="shared" si="16"/>
        <v/>
      </c>
      <c r="L190" s="18">
        <f>IF(AND(G190&lt;&gt;"",G190&gt;Quy_uoc_chung!$C$4-TV1_Nguong!$C$4,G190&lt;=Quy_uoc_chung!$C$4),1,0)</f>
        <v>1</v>
      </c>
      <c r="M190" s="19">
        <f t="shared" si="17"/>
        <v>3</v>
      </c>
      <c r="N190" s="20">
        <f t="shared" si="18"/>
        <v>340968000</v>
      </c>
      <c r="O190" s="19">
        <f t="shared" si="19"/>
        <v>45</v>
      </c>
      <c r="P190" s="20">
        <f t="shared" si="20"/>
        <v>5114520000</v>
      </c>
      <c r="Q190" s="28">
        <f t="shared" si="21"/>
        <v>3</v>
      </c>
      <c r="R190" s="28">
        <f t="shared" si="22"/>
        <v>340968000</v>
      </c>
      <c r="S190" s="28">
        <f t="shared" si="23"/>
        <v>5455488000</v>
      </c>
    </row>
    <row r="191" spans="1:19" x14ac:dyDescent="0.3">
      <c r="A191" s="15" t="s">
        <v>469</v>
      </c>
      <c r="B191" s="15" t="s">
        <v>56</v>
      </c>
      <c r="C191" s="15" t="s">
        <v>155</v>
      </c>
      <c r="D191" s="16">
        <v>133711000</v>
      </c>
      <c r="E191" s="17">
        <v>46127</v>
      </c>
      <c r="F191" s="17">
        <v>46172</v>
      </c>
      <c r="G191" s="17">
        <v>46190</v>
      </c>
      <c r="H191" s="18">
        <f>IF(AND(E191&lt;=Quy_uoc_chung!$C$4,OR(G191="",G191&gt;Quy_uoc_chung!$C$4)),1,0)</f>
        <v>0</v>
      </c>
      <c r="I191" s="18">
        <f>IF(AND(E191&gt;=Quy_uoc_chung!$C$4-Quy_uoc_chung!$C$3+1,E191&lt;=Quy_uoc_chung!$C$4),1,0)</f>
        <v>0</v>
      </c>
      <c r="J191" s="19" t="str">
        <f>IF(H191=1,Quy_uoc_chung!$C$4-F191,"")</f>
        <v/>
      </c>
      <c r="K191" s="18" t="str">
        <f t="shared" si="16"/>
        <v/>
      </c>
      <c r="L191" s="18">
        <f>IF(AND(G191&lt;&gt;"",G191&gt;Quy_uoc_chung!$C$4-TV1_Nguong!$C$4,G191&lt;=Quy_uoc_chung!$C$4),1,0)</f>
        <v>1</v>
      </c>
      <c r="M191" s="19">
        <f t="shared" si="17"/>
        <v>18</v>
      </c>
      <c r="N191" s="20">
        <f t="shared" si="18"/>
        <v>2406798000</v>
      </c>
      <c r="O191" s="19">
        <f t="shared" si="19"/>
        <v>45</v>
      </c>
      <c r="P191" s="20">
        <f t="shared" si="20"/>
        <v>6016995000</v>
      </c>
      <c r="Q191" s="28">
        <f t="shared" si="21"/>
        <v>18</v>
      </c>
      <c r="R191" s="28">
        <f t="shared" si="22"/>
        <v>2406798000</v>
      </c>
      <c r="S191" s="28">
        <f t="shared" si="23"/>
        <v>8423793000</v>
      </c>
    </row>
    <row r="192" spans="1:19" x14ac:dyDescent="0.3">
      <c r="A192" s="15" t="s">
        <v>470</v>
      </c>
      <c r="B192" s="15" t="s">
        <v>56</v>
      </c>
      <c r="C192" s="15" t="s">
        <v>152</v>
      </c>
      <c r="D192" s="16">
        <v>230601000</v>
      </c>
      <c r="E192" s="17">
        <v>46131</v>
      </c>
      <c r="F192" s="17">
        <v>46191</v>
      </c>
      <c r="G192" s="17">
        <v>46197</v>
      </c>
      <c r="H192" s="18">
        <f>IF(AND(E192&lt;=Quy_uoc_chung!$C$4,OR(G192="",G192&gt;Quy_uoc_chung!$C$4)),1,0)</f>
        <v>0</v>
      </c>
      <c r="I192" s="18">
        <f>IF(AND(E192&gt;=Quy_uoc_chung!$C$4-Quy_uoc_chung!$C$3+1,E192&lt;=Quy_uoc_chung!$C$4),1,0)</f>
        <v>0</v>
      </c>
      <c r="J192" s="19" t="str">
        <f>IF(H192=1,Quy_uoc_chung!$C$4-F192,"")</f>
        <v/>
      </c>
      <c r="K192" s="18" t="str">
        <f t="shared" si="16"/>
        <v/>
      </c>
      <c r="L192" s="18">
        <f>IF(AND(G192&lt;&gt;"",G192&gt;Quy_uoc_chung!$C$4-TV1_Nguong!$C$4,G192&lt;=Quy_uoc_chung!$C$4),1,0)</f>
        <v>1</v>
      </c>
      <c r="M192" s="19">
        <f t="shared" si="17"/>
        <v>6</v>
      </c>
      <c r="N192" s="20">
        <f t="shared" si="18"/>
        <v>1383606000</v>
      </c>
      <c r="O192" s="19">
        <f t="shared" si="19"/>
        <v>60</v>
      </c>
      <c r="P192" s="20">
        <f t="shared" si="20"/>
        <v>13836060000</v>
      </c>
      <c r="Q192" s="28">
        <f t="shared" si="21"/>
        <v>6</v>
      </c>
      <c r="R192" s="28">
        <f t="shared" si="22"/>
        <v>1383606000</v>
      </c>
      <c r="S192" s="28">
        <f t="shared" si="23"/>
        <v>15219666000</v>
      </c>
    </row>
    <row r="193" spans="1:19" x14ac:dyDescent="0.3">
      <c r="A193" s="15" t="s">
        <v>471</v>
      </c>
      <c r="B193" s="15" t="s">
        <v>56</v>
      </c>
      <c r="C193" s="15" t="s">
        <v>166</v>
      </c>
      <c r="D193" s="16">
        <v>120697000</v>
      </c>
      <c r="E193" s="17">
        <v>46131</v>
      </c>
      <c r="F193" s="17">
        <v>46176</v>
      </c>
      <c r="G193" s="17">
        <v>46179</v>
      </c>
      <c r="H193" s="18">
        <f>IF(AND(E193&lt;=Quy_uoc_chung!$C$4,OR(G193="",G193&gt;Quy_uoc_chung!$C$4)),1,0)</f>
        <v>0</v>
      </c>
      <c r="I193" s="18">
        <f>IF(AND(E193&gt;=Quy_uoc_chung!$C$4-Quy_uoc_chung!$C$3+1,E193&lt;=Quy_uoc_chung!$C$4),1,0)</f>
        <v>0</v>
      </c>
      <c r="J193" s="19" t="str">
        <f>IF(H193=1,Quy_uoc_chung!$C$4-F193,"")</f>
        <v/>
      </c>
      <c r="K193" s="18" t="str">
        <f t="shared" si="16"/>
        <v/>
      </c>
      <c r="L193" s="18">
        <f>IF(AND(G193&lt;&gt;"",G193&gt;Quy_uoc_chung!$C$4-TV1_Nguong!$C$4,G193&lt;=Quy_uoc_chung!$C$4),1,0)</f>
        <v>1</v>
      </c>
      <c r="M193" s="19">
        <f t="shared" si="17"/>
        <v>3</v>
      </c>
      <c r="N193" s="20">
        <f t="shared" si="18"/>
        <v>362091000</v>
      </c>
      <c r="O193" s="19">
        <f t="shared" si="19"/>
        <v>45</v>
      </c>
      <c r="P193" s="20">
        <f t="shared" si="20"/>
        <v>5431365000</v>
      </c>
      <c r="Q193" s="28">
        <f t="shared" si="21"/>
        <v>3</v>
      </c>
      <c r="R193" s="28">
        <f t="shared" si="22"/>
        <v>362091000</v>
      </c>
      <c r="S193" s="28">
        <f t="shared" si="23"/>
        <v>5793456000</v>
      </c>
    </row>
    <row r="194" spans="1:19" x14ac:dyDescent="0.3">
      <c r="A194" s="15" t="s">
        <v>472</v>
      </c>
      <c r="B194" s="15" t="s">
        <v>56</v>
      </c>
      <c r="C194" s="15" t="s">
        <v>155</v>
      </c>
      <c r="D194" s="16">
        <v>125847000</v>
      </c>
      <c r="E194" s="17">
        <v>46135</v>
      </c>
      <c r="F194" s="17">
        <v>46180</v>
      </c>
      <c r="G194" s="17">
        <v>46196</v>
      </c>
      <c r="H194" s="18">
        <f>IF(AND(E194&lt;=Quy_uoc_chung!$C$4,OR(G194="",G194&gt;Quy_uoc_chung!$C$4)),1,0)</f>
        <v>0</v>
      </c>
      <c r="I194" s="18">
        <f>IF(AND(E194&gt;=Quy_uoc_chung!$C$4-Quy_uoc_chung!$C$3+1,E194&lt;=Quy_uoc_chung!$C$4),1,0)</f>
        <v>0</v>
      </c>
      <c r="J194" s="19" t="str">
        <f>IF(H194=1,Quy_uoc_chung!$C$4-F194,"")</f>
        <v/>
      </c>
      <c r="K194" s="18" t="str">
        <f t="shared" si="16"/>
        <v/>
      </c>
      <c r="L194" s="18">
        <f>IF(AND(G194&lt;&gt;"",G194&gt;Quy_uoc_chung!$C$4-TV1_Nguong!$C$4,G194&lt;=Quy_uoc_chung!$C$4),1,0)</f>
        <v>1</v>
      </c>
      <c r="M194" s="19">
        <f t="shared" si="17"/>
        <v>16</v>
      </c>
      <c r="N194" s="20">
        <f t="shared" si="18"/>
        <v>2013552000</v>
      </c>
      <c r="O194" s="19">
        <f t="shared" si="19"/>
        <v>45</v>
      </c>
      <c r="P194" s="20">
        <f t="shared" si="20"/>
        <v>5663115000</v>
      </c>
      <c r="Q194" s="28">
        <f t="shared" si="21"/>
        <v>16</v>
      </c>
      <c r="R194" s="28">
        <f t="shared" si="22"/>
        <v>2013552000</v>
      </c>
      <c r="S194" s="28">
        <f t="shared" si="23"/>
        <v>7676667000</v>
      </c>
    </row>
    <row r="195" spans="1:19" x14ac:dyDescent="0.3">
      <c r="A195" s="15" t="s">
        <v>473</v>
      </c>
      <c r="B195" s="15" t="s">
        <v>56</v>
      </c>
      <c r="C195" s="15" t="s">
        <v>152</v>
      </c>
      <c r="D195" s="16">
        <v>227184000</v>
      </c>
      <c r="E195" s="17">
        <v>46134</v>
      </c>
      <c r="F195" s="17">
        <v>46194</v>
      </c>
      <c r="G195" s="17">
        <v>46201</v>
      </c>
      <c r="H195" s="18">
        <f>IF(AND(E195&lt;=Quy_uoc_chung!$C$4,OR(G195="",G195&gt;Quy_uoc_chung!$C$4)),1,0)</f>
        <v>0</v>
      </c>
      <c r="I195" s="18">
        <f>IF(AND(E195&gt;=Quy_uoc_chung!$C$4-Quy_uoc_chung!$C$3+1,E195&lt;=Quy_uoc_chung!$C$4),1,0)</f>
        <v>0</v>
      </c>
      <c r="J195" s="19" t="str">
        <f>IF(H195=1,Quy_uoc_chung!$C$4-F195,"")</f>
        <v/>
      </c>
      <c r="K195" s="18" t="str">
        <f t="shared" ref="K195:K258" si="24">IF(H195=1,IF(J195&lt;=0,"Chưa đến hạn",IF(J195&lt;=30,"Quá hạn 1–30 ngày",IF(J195&lt;=60,"Quá hạn 31–60 ngày","Quá hạn &gt; 60 ngày"))),"")</f>
        <v/>
      </c>
      <c r="L195" s="18">
        <f>IF(AND(G195&lt;&gt;"",G195&gt;Quy_uoc_chung!$C$4-TV1_Nguong!$C$4,G195&lt;=Quy_uoc_chung!$C$4),1,0)</f>
        <v>1</v>
      </c>
      <c r="M195" s="19">
        <f t="shared" ref="M195:M258" si="25">IF(L195=1,G195-F195,"")</f>
        <v>7</v>
      </c>
      <c r="N195" s="20">
        <f t="shared" ref="N195:N258" si="26">IF(L195=1,D195*M195,0)</f>
        <v>1590288000</v>
      </c>
      <c r="O195" s="19">
        <f t="shared" ref="O195:O263" si="27">F195-E195</f>
        <v>60</v>
      </c>
      <c r="P195" s="20">
        <f t="shared" ref="P195:P258" si="28">IF(L195=1,D195*O195,0)</f>
        <v>13631040000</v>
      </c>
      <c r="Q195" s="28">
        <f t="shared" ref="Q195:Q263" si="29">IF(L195=1,MAX(0,G195-F195),0)</f>
        <v>7</v>
      </c>
      <c r="R195" s="28">
        <f t="shared" ref="R195:R258" si="30">D195*Q195</f>
        <v>1590288000</v>
      </c>
      <c r="S195" s="28">
        <f t="shared" ref="S195:S263" si="31">IF(L195=1,D195*(G195-E195),0)</f>
        <v>15221328000</v>
      </c>
    </row>
    <row r="196" spans="1:19" x14ac:dyDescent="0.3">
      <c r="A196" s="15" t="s">
        <v>474</v>
      </c>
      <c r="B196" s="15" t="s">
        <v>56</v>
      </c>
      <c r="C196" s="15" t="s">
        <v>166</v>
      </c>
      <c r="D196" s="16">
        <v>115445000</v>
      </c>
      <c r="E196" s="17">
        <v>46135</v>
      </c>
      <c r="F196" s="17">
        <v>46180</v>
      </c>
      <c r="G196" s="17">
        <v>46184</v>
      </c>
      <c r="H196" s="18">
        <f>IF(AND(E196&lt;=Quy_uoc_chung!$C$4,OR(G196="",G196&gt;Quy_uoc_chung!$C$4)),1,0)</f>
        <v>0</v>
      </c>
      <c r="I196" s="18">
        <f>IF(AND(E196&gt;=Quy_uoc_chung!$C$4-Quy_uoc_chung!$C$3+1,E196&lt;=Quy_uoc_chung!$C$4),1,0)</f>
        <v>0</v>
      </c>
      <c r="J196" s="19" t="str">
        <f>IF(H196=1,Quy_uoc_chung!$C$4-F196,"")</f>
        <v/>
      </c>
      <c r="K196" s="18" t="str">
        <f t="shared" si="24"/>
        <v/>
      </c>
      <c r="L196" s="18">
        <f>IF(AND(G196&lt;&gt;"",G196&gt;Quy_uoc_chung!$C$4-TV1_Nguong!$C$4,G196&lt;=Quy_uoc_chung!$C$4),1,0)</f>
        <v>1</v>
      </c>
      <c r="M196" s="19">
        <f t="shared" si="25"/>
        <v>4</v>
      </c>
      <c r="N196" s="20">
        <f t="shared" si="26"/>
        <v>461780000</v>
      </c>
      <c r="O196" s="19">
        <f t="shared" si="27"/>
        <v>45</v>
      </c>
      <c r="P196" s="20">
        <f t="shared" si="28"/>
        <v>5195025000</v>
      </c>
      <c r="Q196" s="28">
        <f t="shared" si="29"/>
        <v>4</v>
      </c>
      <c r="R196" s="28">
        <f t="shared" si="30"/>
        <v>461780000</v>
      </c>
      <c r="S196" s="28">
        <f t="shared" si="31"/>
        <v>5656805000</v>
      </c>
    </row>
    <row r="197" spans="1:19" x14ac:dyDescent="0.3">
      <c r="A197" s="15" t="s">
        <v>475</v>
      </c>
      <c r="B197" s="15" t="s">
        <v>56</v>
      </c>
      <c r="C197" s="15" t="s">
        <v>155</v>
      </c>
      <c r="D197" s="16">
        <v>167123000</v>
      </c>
      <c r="E197" s="17">
        <v>46144</v>
      </c>
      <c r="F197" s="17">
        <v>46189</v>
      </c>
      <c r="G197" s="17">
        <v>46186</v>
      </c>
      <c r="H197" s="18">
        <f>IF(AND(E197&lt;=Quy_uoc_chung!$C$4,OR(G197="",G197&gt;Quy_uoc_chung!$C$4)),1,0)</f>
        <v>0</v>
      </c>
      <c r="I197" s="18">
        <f>IF(AND(E197&gt;=Quy_uoc_chung!$C$4-Quy_uoc_chung!$C$3+1,E197&lt;=Quy_uoc_chung!$C$4),1,0)</f>
        <v>0</v>
      </c>
      <c r="J197" s="19" t="str">
        <f>IF(H197=1,Quy_uoc_chung!$C$4-F197,"")</f>
        <v/>
      </c>
      <c r="K197" s="18" t="str">
        <f t="shared" si="24"/>
        <v/>
      </c>
      <c r="L197" s="18">
        <f>IF(AND(G197&lt;&gt;"",G197&gt;Quy_uoc_chung!$C$4-TV1_Nguong!$C$4,G197&lt;=Quy_uoc_chung!$C$4),1,0)</f>
        <v>1</v>
      </c>
      <c r="M197" s="19">
        <f t="shared" si="25"/>
        <v>-3</v>
      </c>
      <c r="N197" s="20">
        <f t="shared" si="26"/>
        <v>-501369000</v>
      </c>
      <c r="O197" s="19">
        <f t="shared" si="27"/>
        <v>45</v>
      </c>
      <c r="P197" s="20">
        <f t="shared" si="28"/>
        <v>7520535000</v>
      </c>
      <c r="Q197" s="28">
        <f t="shared" si="29"/>
        <v>0</v>
      </c>
      <c r="R197" s="28">
        <f t="shared" si="30"/>
        <v>0</v>
      </c>
      <c r="S197" s="28">
        <f t="shared" si="31"/>
        <v>7019166000</v>
      </c>
    </row>
    <row r="198" spans="1:19" x14ac:dyDescent="0.3">
      <c r="A198" s="15" t="s">
        <v>476</v>
      </c>
      <c r="B198" s="15" t="s">
        <v>56</v>
      </c>
      <c r="C198" s="15" t="s">
        <v>152</v>
      </c>
      <c r="D198" s="16">
        <v>217921000</v>
      </c>
      <c r="E198" s="17">
        <v>46141</v>
      </c>
      <c r="F198" s="17">
        <v>46201</v>
      </c>
      <c r="G198" s="17">
        <v>46198</v>
      </c>
      <c r="H198" s="18">
        <f>IF(AND(E198&lt;=Quy_uoc_chung!$C$4,OR(G198="",G198&gt;Quy_uoc_chung!$C$4)),1,0)</f>
        <v>0</v>
      </c>
      <c r="I198" s="18">
        <f>IF(AND(E198&gt;=Quy_uoc_chung!$C$4-Quy_uoc_chung!$C$3+1,E198&lt;=Quy_uoc_chung!$C$4),1,0)</f>
        <v>0</v>
      </c>
      <c r="J198" s="19" t="str">
        <f>IF(H198=1,Quy_uoc_chung!$C$4-F198,"")</f>
        <v/>
      </c>
      <c r="K198" s="18" t="str">
        <f t="shared" si="24"/>
        <v/>
      </c>
      <c r="L198" s="18">
        <f>IF(AND(G198&lt;&gt;"",G198&gt;Quy_uoc_chung!$C$4-TV1_Nguong!$C$4,G198&lt;=Quy_uoc_chung!$C$4),1,0)</f>
        <v>1</v>
      </c>
      <c r="M198" s="19">
        <f t="shared" si="25"/>
        <v>-3</v>
      </c>
      <c r="N198" s="20">
        <f t="shared" si="26"/>
        <v>-653763000</v>
      </c>
      <c r="O198" s="19">
        <f t="shared" si="27"/>
        <v>60</v>
      </c>
      <c r="P198" s="20">
        <f t="shared" si="28"/>
        <v>13075260000</v>
      </c>
      <c r="Q198" s="28">
        <f t="shared" si="29"/>
        <v>0</v>
      </c>
      <c r="R198" s="28">
        <f t="shared" si="30"/>
        <v>0</v>
      </c>
      <c r="S198" s="28">
        <f t="shared" si="31"/>
        <v>12421497000</v>
      </c>
    </row>
    <row r="199" spans="1:19" x14ac:dyDescent="0.3">
      <c r="A199" s="15" t="s">
        <v>477</v>
      </c>
      <c r="B199" s="15" t="s">
        <v>56</v>
      </c>
      <c r="C199" s="15" t="s">
        <v>166</v>
      </c>
      <c r="D199" s="16">
        <v>115665000</v>
      </c>
      <c r="E199" s="17">
        <v>46145</v>
      </c>
      <c r="F199" s="17">
        <v>46190</v>
      </c>
      <c r="G199" s="17">
        <v>46194</v>
      </c>
      <c r="H199" s="18">
        <f>IF(AND(E199&lt;=Quy_uoc_chung!$C$4,OR(G199="",G199&gt;Quy_uoc_chung!$C$4)),1,0)</f>
        <v>0</v>
      </c>
      <c r="I199" s="18">
        <f>IF(AND(E199&gt;=Quy_uoc_chung!$C$4-Quy_uoc_chung!$C$3+1,E199&lt;=Quy_uoc_chung!$C$4),1,0)</f>
        <v>0</v>
      </c>
      <c r="J199" s="19" t="str">
        <f>IF(H199=1,Quy_uoc_chung!$C$4-F199,"")</f>
        <v/>
      </c>
      <c r="K199" s="18" t="str">
        <f t="shared" si="24"/>
        <v/>
      </c>
      <c r="L199" s="18">
        <f>IF(AND(G199&lt;&gt;"",G199&gt;Quy_uoc_chung!$C$4-TV1_Nguong!$C$4,G199&lt;=Quy_uoc_chung!$C$4),1,0)</f>
        <v>1</v>
      </c>
      <c r="M199" s="19">
        <f t="shared" si="25"/>
        <v>4</v>
      </c>
      <c r="N199" s="20">
        <f t="shared" si="26"/>
        <v>462660000</v>
      </c>
      <c r="O199" s="19">
        <f t="shared" si="27"/>
        <v>45</v>
      </c>
      <c r="P199" s="20">
        <f t="shared" si="28"/>
        <v>5204925000</v>
      </c>
      <c r="Q199" s="28">
        <f t="shared" si="29"/>
        <v>4</v>
      </c>
      <c r="R199" s="28">
        <f t="shared" si="30"/>
        <v>462660000</v>
      </c>
      <c r="S199" s="28">
        <f t="shared" si="31"/>
        <v>5667585000</v>
      </c>
    </row>
    <row r="200" spans="1:19" x14ac:dyDescent="0.3">
      <c r="A200" s="15" t="s">
        <v>478</v>
      </c>
      <c r="B200" s="15" t="s">
        <v>56</v>
      </c>
      <c r="C200" s="15" t="s">
        <v>155</v>
      </c>
      <c r="D200" s="16">
        <v>151454000</v>
      </c>
      <c r="E200" s="17">
        <v>46148</v>
      </c>
      <c r="F200" s="17">
        <v>46193</v>
      </c>
      <c r="G200" s="17">
        <v>46201</v>
      </c>
      <c r="H200" s="18">
        <f>IF(AND(E200&lt;=Quy_uoc_chung!$C$4,OR(G200="",G200&gt;Quy_uoc_chung!$C$4)),1,0)</f>
        <v>0</v>
      </c>
      <c r="I200" s="18">
        <f>IF(AND(E200&gt;=Quy_uoc_chung!$C$4-Quy_uoc_chung!$C$3+1,E200&lt;=Quy_uoc_chung!$C$4),1,0)</f>
        <v>0</v>
      </c>
      <c r="J200" s="19" t="str">
        <f>IF(H200=1,Quy_uoc_chung!$C$4-F200,"")</f>
        <v/>
      </c>
      <c r="K200" s="18" t="str">
        <f t="shared" si="24"/>
        <v/>
      </c>
      <c r="L200" s="18">
        <f>IF(AND(G200&lt;&gt;"",G200&gt;Quy_uoc_chung!$C$4-TV1_Nguong!$C$4,G200&lt;=Quy_uoc_chung!$C$4),1,0)</f>
        <v>1</v>
      </c>
      <c r="M200" s="19">
        <f t="shared" si="25"/>
        <v>8</v>
      </c>
      <c r="N200" s="20">
        <f t="shared" si="26"/>
        <v>1211632000</v>
      </c>
      <c r="O200" s="19">
        <f t="shared" si="27"/>
        <v>45</v>
      </c>
      <c r="P200" s="20">
        <f t="shared" si="28"/>
        <v>6815430000</v>
      </c>
      <c r="Q200" s="28">
        <f t="shared" si="29"/>
        <v>8</v>
      </c>
      <c r="R200" s="28">
        <f t="shared" si="30"/>
        <v>1211632000</v>
      </c>
      <c r="S200" s="28">
        <f t="shared" si="31"/>
        <v>8027062000</v>
      </c>
    </row>
    <row r="201" spans="1:19" x14ac:dyDescent="0.3">
      <c r="A201" s="15" t="s">
        <v>479</v>
      </c>
      <c r="B201" s="15" t="s">
        <v>56</v>
      </c>
      <c r="C201" s="15" t="s">
        <v>152</v>
      </c>
      <c r="D201" s="16">
        <v>173186000</v>
      </c>
      <c r="E201" s="17">
        <v>46148</v>
      </c>
      <c r="F201" s="17">
        <v>46208</v>
      </c>
      <c r="G201" s="17">
        <v>46222</v>
      </c>
      <c r="H201" s="18">
        <f>IF(AND(E201&lt;=Quy_uoc_chung!$C$4,OR(G201="",G201&gt;Quy_uoc_chung!$C$4)),1,0)</f>
        <v>0</v>
      </c>
      <c r="I201" s="18">
        <f>IF(AND(E201&gt;=Quy_uoc_chung!$C$4-Quy_uoc_chung!$C$3+1,E201&lt;=Quy_uoc_chung!$C$4),1,0)</f>
        <v>0</v>
      </c>
      <c r="J201" s="19" t="str">
        <f>IF(H201=1,Quy_uoc_chung!$C$4-F201,"")</f>
        <v/>
      </c>
      <c r="K201" s="18" t="str">
        <f t="shared" si="24"/>
        <v/>
      </c>
      <c r="L201" s="18">
        <f>IF(AND(G201&lt;&gt;"",G201&gt;Quy_uoc_chung!$C$4-TV1_Nguong!$C$4,G201&lt;=Quy_uoc_chung!$C$4),1,0)</f>
        <v>1</v>
      </c>
      <c r="M201" s="19">
        <f t="shared" si="25"/>
        <v>14</v>
      </c>
      <c r="N201" s="20">
        <f t="shared" si="26"/>
        <v>2424604000</v>
      </c>
      <c r="O201" s="19">
        <f t="shared" si="27"/>
        <v>60</v>
      </c>
      <c r="P201" s="20">
        <f t="shared" si="28"/>
        <v>10391160000</v>
      </c>
      <c r="Q201" s="28">
        <f t="shared" si="29"/>
        <v>14</v>
      </c>
      <c r="R201" s="28">
        <f t="shared" si="30"/>
        <v>2424604000</v>
      </c>
      <c r="S201" s="28">
        <f t="shared" si="31"/>
        <v>12815764000</v>
      </c>
    </row>
    <row r="202" spans="1:19" x14ac:dyDescent="0.3">
      <c r="A202" s="15" t="s">
        <v>480</v>
      </c>
      <c r="B202" s="15" t="s">
        <v>56</v>
      </c>
      <c r="C202" s="15" t="s">
        <v>166</v>
      </c>
      <c r="D202" s="16">
        <v>132237000</v>
      </c>
      <c r="E202" s="17">
        <v>46151</v>
      </c>
      <c r="F202" s="17">
        <v>46196</v>
      </c>
      <c r="G202" s="17">
        <v>46200</v>
      </c>
      <c r="H202" s="18">
        <f>IF(AND(E202&lt;=Quy_uoc_chung!$C$4,OR(G202="",G202&gt;Quy_uoc_chung!$C$4)),1,0)</f>
        <v>0</v>
      </c>
      <c r="I202" s="18">
        <f>IF(AND(E202&gt;=Quy_uoc_chung!$C$4-Quy_uoc_chung!$C$3+1,E202&lt;=Quy_uoc_chung!$C$4),1,0)</f>
        <v>0</v>
      </c>
      <c r="J202" s="19" t="str">
        <f>IF(H202=1,Quy_uoc_chung!$C$4-F202,"")</f>
        <v/>
      </c>
      <c r="K202" s="18" t="str">
        <f t="shared" si="24"/>
        <v/>
      </c>
      <c r="L202" s="18">
        <f>IF(AND(G202&lt;&gt;"",G202&gt;Quy_uoc_chung!$C$4-TV1_Nguong!$C$4,G202&lt;=Quy_uoc_chung!$C$4),1,0)</f>
        <v>1</v>
      </c>
      <c r="M202" s="19">
        <f t="shared" si="25"/>
        <v>4</v>
      </c>
      <c r="N202" s="20">
        <f t="shared" si="26"/>
        <v>528948000</v>
      </c>
      <c r="O202" s="19">
        <f t="shared" si="27"/>
        <v>45</v>
      </c>
      <c r="P202" s="20">
        <f t="shared" si="28"/>
        <v>5950665000</v>
      </c>
      <c r="Q202" s="28">
        <f t="shared" si="29"/>
        <v>4</v>
      </c>
      <c r="R202" s="28">
        <f t="shared" si="30"/>
        <v>528948000</v>
      </c>
      <c r="S202" s="28">
        <f t="shared" si="31"/>
        <v>6479613000</v>
      </c>
    </row>
    <row r="203" spans="1:19" x14ac:dyDescent="0.3">
      <c r="A203" s="15" t="s">
        <v>481</v>
      </c>
      <c r="B203" s="15" t="s">
        <v>56</v>
      </c>
      <c r="C203" s="15" t="s">
        <v>155</v>
      </c>
      <c r="D203" s="16">
        <v>140808000</v>
      </c>
      <c r="E203" s="17">
        <v>46156</v>
      </c>
      <c r="F203" s="17">
        <v>46201</v>
      </c>
      <c r="G203" s="17">
        <v>46208</v>
      </c>
      <c r="H203" s="18">
        <f>IF(AND(E203&lt;=Quy_uoc_chung!$C$4,OR(G203="",G203&gt;Quy_uoc_chung!$C$4)),1,0)</f>
        <v>0</v>
      </c>
      <c r="I203" s="18">
        <f>IF(AND(E203&gt;=Quy_uoc_chung!$C$4-Quy_uoc_chung!$C$3+1,E203&lt;=Quy_uoc_chung!$C$4),1,0)</f>
        <v>0</v>
      </c>
      <c r="J203" s="19" t="str">
        <f>IF(H203=1,Quy_uoc_chung!$C$4-F203,"")</f>
        <v/>
      </c>
      <c r="K203" s="18" t="str">
        <f t="shared" si="24"/>
        <v/>
      </c>
      <c r="L203" s="18">
        <f>IF(AND(G203&lt;&gt;"",G203&gt;Quy_uoc_chung!$C$4-TV1_Nguong!$C$4,G203&lt;=Quy_uoc_chung!$C$4),1,0)</f>
        <v>1</v>
      </c>
      <c r="M203" s="19">
        <f t="shared" si="25"/>
        <v>7</v>
      </c>
      <c r="N203" s="20">
        <f t="shared" si="26"/>
        <v>985656000</v>
      </c>
      <c r="O203" s="19">
        <f t="shared" si="27"/>
        <v>45</v>
      </c>
      <c r="P203" s="20">
        <f t="shared" si="28"/>
        <v>6336360000</v>
      </c>
      <c r="Q203" s="28">
        <f t="shared" si="29"/>
        <v>7</v>
      </c>
      <c r="R203" s="28">
        <f t="shared" si="30"/>
        <v>985656000</v>
      </c>
      <c r="S203" s="28">
        <f t="shared" si="31"/>
        <v>7322016000</v>
      </c>
    </row>
    <row r="204" spans="1:19" x14ac:dyDescent="0.3">
      <c r="A204" s="15" t="s">
        <v>482</v>
      </c>
      <c r="B204" s="15" t="s">
        <v>56</v>
      </c>
      <c r="C204" s="15" t="s">
        <v>152</v>
      </c>
      <c r="D204" s="16">
        <v>201067000</v>
      </c>
      <c r="E204" s="17">
        <v>46159</v>
      </c>
      <c r="F204" s="17">
        <v>46219</v>
      </c>
      <c r="G204" s="17">
        <v>46224</v>
      </c>
      <c r="H204" s="18">
        <f>IF(AND(E204&lt;=Quy_uoc_chung!$C$4,OR(G204="",G204&gt;Quy_uoc_chung!$C$4)),1,0)</f>
        <v>0</v>
      </c>
      <c r="I204" s="18">
        <f>IF(AND(E204&gt;=Quy_uoc_chung!$C$4-Quy_uoc_chung!$C$3+1,E204&lt;=Quy_uoc_chung!$C$4),1,0)</f>
        <v>0</v>
      </c>
      <c r="J204" s="19" t="str">
        <f>IF(H204=1,Quy_uoc_chung!$C$4-F204,"")</f>
        <v/>
      </c>
      <c r="K204" s="18" t="str">
        <f t="shared" si="24"/>
        <v/>
      </c>
      <c r="L204" s="18">
        <f>IF(AND(G204&lt;&gt;"",G204&gt;Quy_uoc_chung!$C$4-TV1_Nguong!$C$4,G204&lt;=Quy_uoc_chung!$C$4),1,0)</f>
        <v>1</v>
      </c>
      <c r="M204" s="19">
        <f t="shared" si="25"/>
        <v>5</v>
      </c>
      <c r="N204" s="20">
        <f t="shared" si="26"/>
        <v>1005335000</v>
      </c>
      <c r="O204" s="19">
        <f t="shared" si="27"/>
        <v>60</v>
      </c>
      <c r="P204" s="20">
        <f t="shared" si="28"/>
        <v>12064020000</v>
      </c>
      <c r="Q204" s="28">
        <f t="shared" si="29"/>
        <v>5</v>
      </c>
      <c r="R204" s="28">
        <f t="shared" si="30"/>
        <v>1005335000</v>
      </c>
      <c r="S204" s="28">
        <f t="shared" si="31"/>
        <v>13069355000</v>
      </c>
    </row>
    <row r="205" spans="1:19" x14ac:dyDescent="0.3">
      <c r="A205" s="15" t="s">
        <v>483</v>
      </c>
      <c r="B205" s="15" t="s">
        <v>56</v>
      </c>
      <c r="C205" s="15" t="s">
        <v>166</v>
      </c>
      <c r="D205" s="16">
        <v>146485000</v>
      </c>
      <c r="E205" s="17">
        <v>46156</v>
      </c>
      <c r="F205" s="17">
        <v>46201</v>
      </c>
      <c r="G205" s="17">
        <v>46202</v>
      </c>
      <c r="H205" s="18">
        <f>IF(AND(E205&lt;=Quy_uoc_chung!$C$4,OR(G205="",G205&gt;Quy_uoc_chung!$C$4)),1,0)</f>
        <v>0</v>
      </c>
      <c r="I205" s="18">
        <f>IF(AND(E205&gt;=Quy_uoc_chung!$C$4-Quy_uoc_chung!$C$3+1,E205&lt;=Quy_uoc_chung!$C$4),1,0)</f>
        <v>0</v>
      </c>
      <c r="J205" s="19" t="str">
        <f>IF(H205=1,Quy_uoc_chung!$C$4-F205,"")</f>
        <v/>
      </c>
      <c r="K205" s="18" t="str">
        <f t="shared" si="24"/>
        <v/>
      </c>
      <c r="L205" s="18">
        <f>IF(AND(G205&lt;&gt;"",G205&gt;Quy_uoc_chung!$C$4-TV1_Nguong!$C$4,G205&lt;=Quy_uoc_chung!$C$4),1,0)</f>
        <v>1</v>
      </c>
      <c r="M205" s="19">
        <f t="shared" si="25"/>
        <v>1</v>
      </c>
      <c r="N205" s="20">
        <f t="shared" si="26"/>
        <v>146485000</v>
      </c>
      <c r="O205" s="19">
        <f t="shared" si="27"/>
        <v>45</v>
      </c>
      <c r="P205" s="20">
        <f t="shared" si="28"/>
        <v>6591825000</v>
      </c>
      <c r="Q205" s="28">
        <f t="shared" si="29"/>
        <v>1</v>
      </c>
      <c r="R205" s="28">
        <f t="shared" si="30"/>
        <v>146485000</v>
      </c>
      <c r="S205" s="28">
        <f t="shared" si="31"/>
        <v>6738310000</v>
      </c>
    </row>
    <row r="206" spans="1:19" x14ac:dyDescent="0.3">
      <c r="A206" s="15" t="s">
        <v>484</v>
      </c>
      <c r="B206" s="15" t="s">
        <v>56</v>
      </c>
      <c r="C206" s="15" t="s">
        <v>155</v>
      </c>
      <c r="D206" s="16">
        <v>161067000</v>
      </c>
      <c r="E206" s="17">
        <v>46163</v>
      </c>
      <c r="F206" s="17">
        <v>46208</v>
      </c>
      <c r="G206" s="17">
        <v>46220</v>
      </c>
      <c r="H206" s="18">
        <f>IF(AND(E206&lt;=Quy_uoc_chung!$C$4,OR(G206="",G206&gt;Quy_uoc_chung!$C$4)),1,0)</f>
        <v>0</v>
      </c>
      <c r="I206" s="18">
        <f>IF(AND(E206&gt;=Quy_uoc_chung!$C$4-Quy_uoc_chung!$C$3+1,E206&lt;=Quy_uoc_chung!$C$4),1,0)</f>
        <v>0</v>
      </c>
      <c r="J206" s="19" t="str">
        <f>IF(H206=1,Quy_uoc_chung!$C$4-F206,"")</f>
        <v/>
      </c>
      <c r="K206" s="18" t="str">
        <f t="shared" si="24"/>
        <v/>
      </c>
      <c r="L206" s="18">
        <f>IF(AND(G206&lt;&gt;"",G206&gt;Quy_uoc_chung!$C$4-TV1_Nguong!$C$4,G206&lt;=Quy_uoc_chung!$C$4),1,0)</f>
        <v>1</v>
      </c>
      <c r="M206" s="19">
        <f t="shared" si="25"/>
        <v>12</v>
      </c>
      <c r="N206" s="20">
        <f t="shared" si="26"/>
        <v>1932804000</v>
      </c>
      <c r="O206" s="19">
        <f t="shared" si="27"/>
        <v>45</v>
      </c>
      <c r="P206" s="20">
        <f t="shared" si="28"/>
        <v>7248015000</v>
      </c>
      <c r="Q206" s="28">
        <f t="shared" si="29"/>
        <v>12</v>
      </c>
      <c r="R206" s="28">
        <f t="shared" si="30"/>
        <v>1932804000</v>
      </c>
      <c r="S206" s="28">
        <f t="shared" si="31"/>
        <v>9180819000</v>
      </c>
    </row>
    <row r="207" spans="1:19" x14ac:dyDescent="0.3">
      <c r="A207" s="15" t="s">
        <v>485</v>
      </c>
      <c r="B207" s="15" t="s">
        <v>56</v>
      </c>
      <c r="C207" s="15" t="s">
        <v>152</v>
      </c>
      <c r="D207" s="16">
        <v>155319000</v>
      </c>
      <c r="E207" s="17">
        <v>46165</v>
      </c>
      <c r="F207" s="17">
        <v>46225</v>
      </c>
      <c r="G207" s="17">
        <v>46231</v>
      </c>
      <c r="H207" s="18">
        <f>IF(AND(E207&lt;=Quy_uoc_chung!$C$4,OR(G207="",G207&gt;Quy_uoc_chung!$C$4)),1,0)</f>
        <v>0</v>
      </c>
      <c r="I207" s="18">
        <f>IF(AND(E207&gt;=Quy_uoc_chung!$C$4-Quy_uoc_chung!$C$3+1,E207&lt;=Quy_uoc_chung!$C$4),1,0)</f>
        <v>0</v>
      </c>
      <c r="J207" s="19" t="str">
        <f>IF(H207=1,Quy_uoc_chung!$C$4-F207,"")</f>
        <v/>
      </c>
      <c r="K207" s="18" t="str">
        <f t="shared" si="24"/>
        <v/>
      </c>
      <c r="L207" s="18">
        <f>IF(AND(G207&lt;&gt;"",G207&gt;Quy_uoc_chung!$C$4-TV1_Nguong!$C$4,G207&lt;=Quy_uoc_chung!$C$4),1,0)</f>
        <v>1</v>
      </c>
      <c r="M207" s="19">
        <f t="shared" si="25"/>
        <v>6</v>
      </c>
      <c r="N207" s="20">
        <f t="shared" si="26"/>
        <v>931914000</v>
      </c>
      <c r="O207" s="19">
        <f t="shared" si="27"/>
        <v>60</v>
      </c>
      <c r="P207" s="20">
        <f t="shared" si="28"/>
        <v>9319140000</v>
      </c>
      <c r="Q207" s="28">
        <f t="shared" si="29"/>
        <v>6</v>
      </c>
      <c r="R207" s="28">
        <f t="shared" si="30"/>
        <v>931914000</v>
      </c>
      <c r="S207" s="28">
        <f t="shared" si="31"/>
        <v>10251054000</v>
      </c>
    </row>
    <row r="208" spans="1:19" x14ac:dyDescent="0.3">
      <c r="A208" s="15" t="s">
        <v>486</v>
      </c>
      <c r="B208" s="15" t="s">
        <v>56</v>
      </c>
      <c r="C208" s="15" t="s">
        <v>166</v>
      </c>
      <c r="D208" s="16">
        <v>142284000</v>
      </c>
      <c r="E208" s="17">
        <v>46165</v>
      </c>
      <c r="F208" s="17">
        <v>46210</v>
      </c>
      <c r="G208" s="17">
        <v>46210</v>
      </c>
      <c r="H208" s="18">
        <f>IF(AND(E208&lt;=Quy_uoc_chung!$C$4,OR(G208="",G208&gt;Quy_uoc_chung!$C$4)),1,0)</f>
        <v>0</v>
      </c>
      <c r="I208" s="18">
        <f>IF(AND(E208&gt;=Quy_uoc_chung!$C$4-Quy_uoc_chung!$C$3+1,E208&lt;=Quy_uoc_chung!$C$4),1,0)</f>
        <v>0</v>
      </c>
      <c r="J208" s="19" t="str">
        <f>IF(H208=1,Quy_uoc_chung!$C$4-F208,"")</f>
        <v/>
      </c>
      <c r="K208" s="18" t="str">
        <f t="shared" si="24"/>
        <v/>
      </c>
      <c r="L208" s="18">
        <f>IF(AND(G208&lt;&gt;"",G208&gt;Quy_uoc_chung!$C$4-TV1_Nguong!$C$4,G208&lt;=Quy_uoc_chung!$C$4),1,0)</f>
        <v>1</v>
      </c>
      <c r="M208" s="19">
        <f t="shared" si="25"/>
        <v>0</v>
      </c>
      <c r="N208" s="20">
        <f t="shared" si="26"/>
        <v>0</v>
      </c>
      <c r="O208" s="19">
        <f t="shared" si="27"/>
        <v>45</v>
      </c>
      <c r="P208" s="20">
        <f t="shared" si="28"/>
        <v>6402780000</v>
      </c>
      <c r="Q208" s="28">
        <f t="shared" si="29"/>
        <v>0</v>
      </c>
      <c r="R208" s="28">
        <f t="shared" si="30"/>
        <v>0</v>
      </c>
      <c r="S208" s="28">
        <f t="shared" si="31"/>
        <v>6402780000</v>
      </c>
    </row>
    <row r="209" spans="1:19" x14ac:dyDescent="0.3">
      <c r="A209" s="15" t="s">
        <v>487</v>
      </c>
      <c r="B209" s="15" t="s">
        <v>56</v>
      </c>
      <c r="C209" s="15" t="s">
        <v>155</v>
      </c>
      <c r="D209" s="16">
        <v>183103000</v>
      </c>
      <c r="E209" s="17">
        <v>46172</v>
      </c>
      <c r="F209" s="17">
        <v>46217</v>
      </c>
      <c r="G209" s="17">
        <v>46227</v>
      </c>
      <c r="H209" s="18">
        <f>IF(AND(E209&lt;=Quy_uoc_chung!$C$4,OR(G209="",G209&gt;Quy_uoc_chung!$C$4)),1,0)</f>
        <v>0</v>
      </c>
      <c r="I209" s="18">
        <f>IF(AND(E209&gt;=Quy_uoc_chung!$C$4-Quy_uoc_chung!$C$3+1,E209&lt;=Quy_uoc_chung!$C$4),1,0)</f>
        <v>0</v>
      </c>
      <c r="J209" s="19" t="str">
        <f>IF(H209=1,Quy_uoc_chung!$C$4-F209,"")</f>
        <v/>
      </c>
      <c r="K209" s="18" t="str">
        <f t="shared" si="24"/>
        <v/>
      </c>
      <c r="L209" s="18">
        <f>IF(AND(G209&lt;&gt;"",G209&gt;Quy_uoc_chung!$C$4-TV1_Nguong!$C$4,G209&lt;=Quy_uoc_chung!$C$4),1,0)</f>
        <v>1</v>
      </c>
      <c r="M209" s="19">
        <f t="shared" si="25"/>
        <v>10</v>
      </c>
      <c r="N209" s="20">
        <f t="shared" si="26"/>
        <v>1831030000</v>
      </c>
      <c r="O209" s="19">
        <f t="shared" si="27"/>
        <v>45</v>
      </c>
      <c r="P209" s="20">
        <f t="shared" si="28"/>
        <v>8239635000</v>
      </c>
      <c r="Q209" s="28">
        <f t="shared" si="29"/>
        <v>10</v>
      </c>
      <c r="R209" s="28">
        <f t="shared" si="30"/>
        <v>1831030000</v>
      </c>
      <c r="S209" s="28">
        <f t="shared" si="31"/>
        <v>10070665000</v>
      </c>
    </row>
    <row r="210" spans="1:19" x14ac:dyDescent="0.3">
      <c r="A210" s="15" t="s">
        <v>488</v>
      </c>
      <c r="B210" s="15" t="s">
        <v>56</v>
      </c>
      <c r="C210" s="15" t="s">
        <v>152</v>
      </c>
      <c r="D210" s="16">
        <v>197371000</v>
      </c>
      <c r="E210" s="17">
        <v>46171</v>
      </c>
      <c r="F210" s="17">
        <v>46231</v>
      </c>
      <c r="G210" s="17">
        <v>46238</v>
      </c>
      <c r="H210" s="18">
        <f>IF(AND(E210&lt;=Quy_uoc_chung!$C$4,OR(G210="",G210&gt;Quy_uoc_chung!$C$4)),1,0)</f>
        <v>0</v>
      </c>
      <c r="I210" s="18">
        <f>IF(AND(E210&gt;=Quy_uoc_chung!$C$4-Quy_uoc_chung!$C$3+1,E210&lt;=Quy_uoc_chung!$C$4),1,0)</f>
        <v>0</v>
      </c>
      <c r="J210" s="19" t="str">
        <f>IF(H210=1,Quy_uoc_chung!$C$4-F210,"")</f>
        <v/>
      </c>
      <c r="K210" s="18" t="str">
        <f t="shared" si="24"/>
        <v/>
      </c>
      <c r="L210" s="18">
        <f>IF(AND(G210&lt;&gt;"",G210&gt;Quy_uoc_chung!$C$4-TV1_Nguong!$C$4,G210&lt;=Quy_uoc_chung!$C$4),1,0)</f>
        <v>1</v>
      </c>
      <c r="M210" s="19">
        <f t="shared" si="25"/>
        <v>7</v>
      </c>
      <c r="N210" s="20">
        <f t="shared" si="26"/>
        <v>1381597000</v>
      </c>
      <c r="O210" s="19">
        <f t="shared" si="27"/>
        <v>60</v>
      </c>
      <c r="P210" s="20">
        <f t="shared" si="28"/>
        <v>11842260000</v>
      </c>
      <c r="Q210" s="28">
        <f t="shared" si="29"/>
        <v>7</v>
      </c>
      <c r="R210" s="28">
        <f t="shared" si="30"/>
        <v>1381597000</v>
      </c>
      <c r="S210" s="28">
        <f t="shared" si="31"/>
        <v>13223857000</v>
      </c>
    </row>
    <row r="211" spans="1:19" x14ac:dyDescent="0.3">
      <c r="A211" s="15" t="s">
        <v>489</v>
      </c>
      <c r="B211" s="15" t="s">
        <v>56</v>
      </c>
      <c r="C211" s="15" t="s">
        <v>166</v>
      </c>
      <c r="D211" s="16">
        <v>143941000</v>
      </c>
      <c r="E211" s="17">
        <v>46171</v>
      </c>
      <c r="F211" s="17">
        <v>46216</v>
      </c>
      <c r="G211" s="17">
        <v>46220</v>
      </c>
      <c r="H211" s="18">
        <f>IF(AND(E211&lt;=Quy_uoc_chung!$C$4,OR(G211="",G211&gt;Quy_uoc_chung!$C$4)),1,0)</f>
        <v>0</v>
      </c>
      <c r="I211" s="18">
        <f>IF(AND(E211&gt;=Quy_uoc_chung!$C$4-Quy_uoc_chung!$C$3+1,E211&lt;=Quy_uoc_chung!$C$4),1,0)</f>
        <v>0</v>
      </c>
      <c r="J211" s="19" t="str">
        <f>IF(H211=1,Quy_uoc_chung!$C$4-F211,"")</f>
        <v/>
      </c>
      <c r="K211" s="18" t="str">
        <f t="shared" si="24"/>
        <v/>
      </c>
      <c r="L211" s="18">
        <f>IF(AND(G211&lt;&gt;"",G211&gt;Quy_uoc_chung!$C$4-TV1_Nguong!$C$4,G211&lt;=Quy_uoc_chung!$C$4),1,0)</f>
        <v>1</v>
      </c>
      <c r="M211" s="19">
        <f t="shared" si="25"/>
        <v>4</v>
      </c>
      <c r="N211" s="20">
        <f t="shared" si="26"/>
        <v>575764000</v>
      </c>
      <c r="O211" s="19">
        <f t="shared" si="27"/>
        <v>45</v>
      </c>
      <c r="P211" s="20">
        <f t="shared" si="28"/>
        <v>6477345000</v>
      </c>
      <c r="Q211" s="28">
        <f t="shared" si="29"/>
        <v>4</v>
      </c>
      <c r="R211" s="28">
        <f t="shared" si="30"/>
        <v>575764000</v>
      </c>
      <c r="S211" s="28">
        <f t="shared" si="31"/>
        <v>7053109000</v>
      </c>
    </row>
    <row r="212" spans="1:19" x14ac:dyDescent="0.3">
      <c r="A212" s="15" t="s">
        <v>490</v>
      </c>
      <c r="B212" s="15" t="s">
        <v>56</v>
      </c>
      <c r="C212" s="15" t="s">
        <v>155</v>
      </c>
      <c r="D212" s="16">
        <v>179148000</v>
      </c>
      <c r="E212" s="17">
        <v>46177</v>
      </c>
      <c r="F212" s="17">
        <v>46222</v>
      </c>
      <c r="G212" s="17">
        <v>46236</v>
      </c>
      <c r="H212" s="18">
        <f>IF(AND(E212&lt;=Quy_uoc_chung!$C$4,OR(G212="",G212&gt;Quy_uoc_chung!$C$4)),1,0)</f>
        <v>0</v>
      </c>
      <c r="I212" s="18">
        <f>IF(AND(E212&gt;=Quy_uoc_chung!$C$4-Quy_uoc_chung!$C$3+1,E212&lt;=Quy_uoc_chung!$C$4),1,0)</f>
        <v>0</v>
      </c>
      <c r="J212" s="19" t="str">
        <f>IF(H212=1,Quy_uoc_chung!$C$4-F212,"")</f>
        <v/>
      </c>
      <c r="K212" s="18" t="str">
        <f t="shared" si="24"/>
        <v/>
      </c>
      <c r="L212" s="18">
        <f>IF(AND(G212&lt;&gt;"",G212&gt;Quy_uoc_chung!$C$4-TV1_Nguong!$C$4,G212&lt;=Quy_uoc_chung!$C$4),1,0)</f>
        <v>1</v>
      </c>
      <c r="M212" s="19">
        <f t="shared" si="25"/>
        <v>14</v>
      </c>
      <c r="N212" s="20">
        <f t="shared" si="26"/>
        <v>2508072000</v>
      </c>
      <c r="O212" s="19">
        <f t="shared" si="27"/>
        <v>45</v>
      </c>
      <c r="P212" s="20">
        <f t="shared" si="28"/>
        <v>8061660000</v>
      </c>
      <c r="Q212" s="28">
        <f t="shared" si="29"/>
        <v>14</v>
      </c>
      <c r="R212" s="28">
        <f t="shared" si="30"/>
        <v>2508072000</v>
      </c>
      <c r="S212" s="28">
        <f t="shared" si="31"/>
        <v>10569732000</v>
      </c>
    </row>
    <row r="213" spans="1:19" x14ac:dyDescent="0.3">
      <c r="A213" s="15" t="s">
        <v>491</v>
      </c>
      <c r="B213" s="15" t="s">
        <v>56</v>
      </c>
      <c r="C213" s="15" t="s">
        <v>152</v>
      </c>
      <c r="D213" s="16">
        <v>144784000</v>
      </c>
      <c r="E213" s="17">
        <v>46180</v>
      </c>
      <c r="F213" s="17">
        <v>46240</v>
      </c>
      <c r="G213" s="17">
        <v>46246</v>
      </c>
      <c r="H213" s="18">
        <f>IF(AND(E213&lt;=Quy_uoc_chung!$C$4,OR(G213="",G213&gt;Quy_uoc_chung!$C$4)),1,0)</f>
        <v>0</v>
      </c>
      <c r="I213" s="18">
        <f>IF(AND(E213&gt;=Quy_uoc_chung!$C$4-Quy_uoc_chung!$C$3+1,E213&lt;=Quy_uoc_chung!$C$4),1,0)</f>
        <v>0</v>
      </c>
      <c r="J213" s="19" t="str">
        <f>IF(H213=1,Quy_uoc_chung!$C$4-F213,"")</f>
        <v/>
      </c>
      <c r="K213" s="18" t="str">
        <f t="shared" si="24"/>
        <v/>
      </c>
      <c r="L213" s="18">
        <f>IF(AND(G213&lt;&gt;"",G213&gt;Quy_uoc_chung!$C$4-TV1_Nguong!$C$4,G213&lt;=Quy_uoc_chung!$C$4),1,0)</f>
        <v>1</v>
      </c>
      <c r="M213" s="19">
        <f t="shared" si="25"/>
        <v>6</v>
      </c>
      <c r="N213" s="20">
        <f t="shared" si="26"/>
        <v>868704000</v>
      </c>
      <c r="O213" s="19">
        <f t="shared" si="27"/>
        <v>60</v>
      </c>
      <c r="P213" s="20">
        <f t="shared" si="28"/>
        <v>8687040000</v>
      </c>
      <c r="Q213" s="28">
        <f t="shared" si="29"/>
        <v>6</v>
      </c>
      <c r="R213" s="28">
        <f t="shared" si="30"/>
        <v>868704000</v>
      </c>
      <c r="S213" s="28">
        <f t="shared" si="31"/>
        <v>9555744000</v>
      </c>
    </row>
    <row r="214" spans="1:19" x14ac:dyDescent="0.3">
      <c r="A214" s="15" t="s">
        <v>492</v>
      </c>
      <c r="B214" s="15" t="s">
        <v>56</v>
      </c>
      <c r="C214" s="15" t="s">
        <v>166</v>
      </c>
      <c r="D214" s="16">
        <v>132165000</v>
      </c>
      <c r="E214" s="17">
        <v>46178</v>
      </c>
      <c r="F214" s="17">
        <v>46223</v>
      </c>
      <c r="G214" s="17">
        <v>46228</v>
      </c>
      <c r="H214" s="18">
        <f>IF(AND(E214&lt;=Quy_uoc_chung!$C$4,OR(G214="",G214&gt;Quy_uoc_chung!$C$4)),1,0)</f>
        <v>0</v>
      </c>
      <c r="I214" s="18">
        <f>IF(AND(E214&gt;=Quy_uoc_chung!$C$4-Quy_uoc_chung!$C$3+1,E214&lt;=Quy_uoc_chung!$C$4),1,0)</f>
        <v>0</v>
      </c>
      <c r="J214" s="19" t="str">
        <f>IF(H214=1,Quy_uoc_chung!$C$4-F214,"")</f>
        <v/>
      </c>
      <c r="K214" s="18" t="str">
        <f t="shared" si="24"/>
        <v/>
      </c>
      <c r="L214" s="18">
        <f>IF(AND(G214&lt;&gt;"",G214&gt;Quy_uoc_chung!$C$4-TV1_Nguong!$C$4,G214&lt;=Quy_uoc_chung!$C$4),1,0)</f>
        <v>1</v>
      </c>
      <c r="M214" s="19">
        <f t="shared" si="25"/>
        <v>5</v>
      </c>
      <c r="N214" s="20">
        <f t="shared" si="26"/>
        <v>660825000</v>
      </c>
      <c r="O214" s="19">
        <f t="shared" si="27"/>
        <v>45</v>
      </c>
      <c r="P214" s="20">
        <f t="shared" si="28"/>
        <v>5947425000</v>
      </c>
      <c r="Q214" s="28">
        <f t="shared" si="29"/>
        <v>5</v>
      </c>
      <c r="R214" s="28">
        <f t="shared" si="30"/>
        <v>660825000</v>
      </c>
      <c r="S214" s="28">
        <f t="shared" si="31"/>
        <v>6608250000</v>
      </c>
    </row>
    <row r="215" spans="1:19" x14ac:dyDescent="0.3">
      <c r="A215" s="15" t="s">
        <v>493</v>
      </c>
      <c r="B215" s="15" t="s">
        <v>56</v>
      </c>
      <c r="C215" s="15" t="s">
        <v>155</v>
      </c>
      <c r="D215" s="16">
        <v>167084000</v>
      </c>
      <c r="E215" s="17">
        <v>46186</v>
      </c>
      <c r="F215" s="17">
        <v>46231</v>
      </c>
      <c r="G215" s="17">
        <v>46247</v>
      </c>
      <c r="H215" s="18">
        <f>IF(AND(E215&lt;=Quy_uoc_chung!$C$4,OR(G215="",G215&gt;Quy_uoc_chung!$C$4)),1,0)</f>
        <v>0</v>
      </c>
      <c r="I215" s="18">
        <f>IF(AND(E215&gt;=Quy_uoc_chung!$C$4-Quy_uoc_chung!$C$3+1,E215&lt;=Quy_uoc_chung!$C$4),1,0)</f>
        <v>0</v>
      </c>
      <c r="J215" s="19" t="str">
        <f>IF(H215=1,Quy_uoc_chung!$C$4-F215,"")</f>
        <v/>
      </c>
      <c r="K215" s="18" t="str">
        <f t="shared" si="24"/>
        <v/>
      </c>
      <c r="L215" s="18">
        <f>IF(AND(G215&lt;&gt;"",G215&gt;Quy_uoc_chung!$C$4-TV1_Nguong!$C$4,G215&lt;=Quy_uoc_chung!$C$4),1,0)</f>
        <v>1</v>
      </c>
      <c r="M215" s="19">
        <f t="shared" si="25"/>
        <v>16</v>
      </c>
      <c r="N215" s="20">
        <f t="shared" si="26"/>
        <v>2673344000</v>
      </c>
      <c r="O215" s="19">
        <f t="shared" si="27"/>
        <v>45</v>
      </c>
      <c r="P215" s="20">
        <f t="shared" si="28"/>
        <v>7518780000</v>
      </c>
      <c r="Q215" s="28">
        <f t="shared" si="29"/>
        <v>16</v>
      </c>
      <c r="R215" s="28">
        <f t="shared" si="30"/>
        <v>2673344000</v>
      </c>
      <c r="S215" s="28">
        <f t="shared" si="31"/>
        <v>10192124000</v>
      </c>
    </row>
    <row r="216" spans="1:19" x14ac:dyDescent="0.3">
      <c r="A216" s="15" t="s">
        <v>494</v>
      </c>
      <c r="B216" s="15" t="s">
        <v>56</v>
      </c>
      <c r="C216" s="15" t="s">
        <v>152</v>
      </c>
      <c r="D216" s="16">
        <v>230068000</v>
      </c>
      <c r="E216" s="17">
        <v>46186</v>
      </c>
      <c r="F216" s="17">
        <v>46246</v>
      </c>
      <c r="G216" s="17">
        <v>46258</v>
      </c>
      <c r="H216" s="18">
        <f>IF(AND(E216&lt;=Quy_uoc_chung!$C$4,OR(G216="",G216&gt;Quy_uoc_chung!$C$4)),1,0)</f>
        <v>0</v>
      </c>
      <c r="I216" s="18">
        <f>IF(AND(E216&gt;=Quy_uoc_chung!$C$4-Quy_uoc_chung!$C$3+1,E216&lt;=Quy_uoc_chung!$C$4),1,0)</f>
        <v>0</v>
      </c>
      <c r="J216" s="19" t="str">
        <f>IF(H216=1,Quy_uoc_chung!$C$4-F216,"")</f>
        <v/>
      </c>
      <c r="K216" s="18" t="str">
        <f t="shared" si="24"/>
        <v/>
      </c>
      <c r="L216" s="18">
        <f>IF(AND(G216&lt;&gt;"",G216&gt;Quy_uoc_chung!$C$4-TV1_Nguong!$C$4,G216&lt;=Quy_uoc_chung!$C$4),1,0)</f>
        <v>1</v>
      </c>
      <c r="M216" s="19">
        <f t="shared" si="25"/>
        <v>12</v>
      </c>
      <c r="N216" s="20">
        <f t="shared" si="26"/>
        <v>2760816000</v>
      </c>
      <c r="O216" s="19">
        <f t="shared" si="27"/>
        <v>60</v>
      </c>
      <c r="P216" s="20">
        <f t="shared" si="28"/>
        <v>13804080000</v>
      </c>
      <c r="Q216" s="28">
        <f t="shared" si="29"/>
        <v>12</v>
      </c>
      <c r="R216" s="28">
        <f t="shared" si="30"/>
        <v>2760816000</v>
      </c>
      <c r="S216" s="28">
        <f t="shared" si="31"/>
        <v>16564896000</v>
      </c>
    </row>
    <row r="217" spans="1:19" x14ac:dyDescent="0.3">
      <c r="A217" s="15" t="s">
        <v>495</v>
      </c>
      <c r="B217" s="15" t="s">
        <v>56</v>
      </c>
      <c r="C217" s="15" t="s">
        <v>166</v>
      </c>
      <c r="D217" s="16">
        <v>131513000</v>
      </c>
      <c r="E217" s="17">
        <v>46184</v>
      </c>
      <c r="F217" s="17">
        <v>46229</v>
      </c>
      <c r="G217" s="17">
        <v>46233</v>
      </c>
      <c r="H217" s="18">
        <f>IF(AND(E217&lt;=Quy_uoc_chung!$C$4,OR(G217="",G217&gt;Quy_uoc_chung!$C$4)),1,0)</f>
        <v>0</v>
      </c>
      <c r="I217" s="18">
        <f>IF(AND(E217&gt;=Quy_uoc_chung!$C$4-Quy_uoc_chung!$C$3+1,E217&lt;=Quy_uoc_chung!$C$4),1,0)</f>
        <v>0</v>
      </c>
      <c r="J217" s="19" t="str">
        <f>IF(H217=1,Quy_uoc_chung!$C$4-F217,"")</f>
        <v/>
      </c>
      <c r="K217" s="18" t="str">
        <f t="shared" si="24"/>
        <v/>
      </c>
      <c r="L217" s="18">
        <f>IF(AND(G217&lt;&gt;"",G217&gt;Quy_uoc_chung!$C$4-TV1_Nguong!$C$4,G217&lt;=Quy_uoc_chung!$C$4),1,0)</f>
        <v>1</v>
      </c>
      <c r="M217" s="19">
        <f t="shared" si="25"/>
        <v>4</v>
      </c>
      <c r="N217" s="20">
        <f t="shared" si="26"/>
        <v>526052000</v>
      </c>
      <c r="O217" s="19">
        <f t="shared" si="27"/>
        <v>45</v>
      </c>
      <c r="P217" s="20">
        <f t="shared" si="28"/>
        <v>5918085000</v>
      </c>
      <c r="Q217" s="28">
        <f t="shared" si="29"/>
        <v>4</v>
      </c>
      <c r="R217" s="28">
        <f t="shared" si="30"/>
        <v>526052000</v>
      </c>
      <c r="S217" s="28">
        <f t="shared" si="31"/>
        <v>6444137000</v>
      </c>
    </row>
    <row r="218" spans="1:19" x14ac:dyDescent="0.3">
      <c r="A218" s="15" t="s">
        <v>496</v>
      </c>
      <c r="B218" s="15" t="s">
        <v>56</v>
      </c>
      <c r="C218" s="15" t="s">
        <v>155</v>
      </c>
      <c r="D218" s="16">
        <v>182577000</v>
      </c>
      <c r="E218" s="17">
        <v>46192</v>
      </c>
      <c r="F218" s="17">
        <v>46237</v>
      </c>
      <c r="G218" s="17">
        <v>46250</v>
      </c>
      <c r="H218" s="18">
        <f>IF(AND(E218&lt;=Quy_uoc_chung!$C$4,OR(G218="",G218&gt;Quy_uoc_chung!$C$4)),1,0)</f>
        <v>0</v>
      </c>
      <c r="I218" s="18">
        <f>IF(AND(E218&gt;=Quy_uoc_chung!$C$4-Quy_uoc_chung!$C$3+1,E218&lt;=Quy_uoc_chung!$C$4),1,0)</f>
        <v>0</v>
      </c>
      <c r="J218" s="19" t="str">
        <f>IF(H218=1,Quy_uoc_chung!$C$4-F218,"")</f>
        <v/>
      </c>
      <c r="K218" s="18" t="str">
        <f t="shared" si="24"/>
        <v/>
      </c>
      <c r="L218" s="18">
        <f>IF(AND(G218&lt;&gt;"",G218&gt;Quy_uoc_chung!$C$4-TV1_Nguong!$C$4,G218&lt;=Quy_uoc_chung!$C$4),1,0)</f>
        <v>1</v>
      </c>
      <c r="M218" s="19">
        <f t="shared" si="25"/>
        <v>13</v>
      </c>
      <c r="N218" s="20">
        <f t="shared" si="26"/>
        <v>2373501000</v>
      </c>
      <c r="O218" s="19">
        <f t="shared" si="27"/>
        <v>45</v>
      </c>
      <c r="P218" s="20">
        <f t="shared" si="28"/>
        <v>8215965000</v>
      </c>
      <c r="Q218" s="28">
        <f t="shared" si="29"/>
        <v>13</v>
      </c>
      <c r="R218" s="28">
        <f t="shared" si="30"/>
        <v>2373501000</v>
      </c>
      <c r="S218" s="28">
        <f t="shared" si="31"/>
        <v>10589466000</v>
      </c>
    </row>
    <row r="219" spans="1:19" x14ac:dyDescent="0.3">
      <c r="A219" s="15" t="s">
        <v>497</v>
      </c>
      <c r="B219" s="15" t="s">
        <v>56</v>
      </c>
      <c r="C219" s="15" t="s">
        <v>152</v>
      </c>
      <c r="D219" s="16">
        <v>226266000</v>
      </c>
      <c r="E219" s="17">
        <v>46191</v>
      </c>
      <c r="F219" s="17">
        <v>46251</v>
      </c>
      <c r="G219" s="17">
        <v>46256</v>
      </c>
      <c r="H219" s="18">
        <f>IF(AND(E219&lt;=Quy_uoc_chung!$C$4,OR(G219="",G219&gt;Quy_uoc_chung!$C$4)),1,0)</f>
        <v>0</v>
      </c>
      <c r="I219" s="18">
        <f>IF(AND(E219&gt;=Quy_uoc_chung!$C$4-Quy_uoc_chung!$C$3+1,E219&lt;=Quy_uoc_chung!$C$4),1,0)</f>
        <v>0</v>
      </c>
      <c r="J219" s="19" t="str">
        <f>IF(H219=1,Quy_uoc_chung!$C$4-F219,"")</f>
        <v/>
      </c>
      <c r="K219" s="18" t="str">
        <f t="shared" si="24"/>
        <v/>
      </c>
      <c r="L219" s="18">
        <f>IF(AND(G219&lt;&gt;"",G219&gt;Quy_uoc_chung!$C$4-TV1_Nguong!$C$4,G219&lt;=Quy_uoc_chung!$C$4),1,0)</f>
        <v>1</v>
      </c>
      <c r="M219" s="19">
        <f t="shared" si="25"/>
        <v>5</v>
      </c>
      <c r="N219" s="20">
        <f t="shared" si="26"/>
        <v>1131330000</v>
      </c>
      <c r="O219" s="19">
        <f t="shared" si="27"/>
        <v>60</v>
      </c>
      <c r="P219" s="20">
        <f t="shared" si="28"/>
        <v>13575960000</v>
      </c>
      <c r="Q219" s="28">
        <f t="shared" si="29"/>
        <v>5</v>
      </c>
      <c r="R219" s="28">
        <f t="shared" si="30"/>
        <v>1131330000</v>
      </c>
      <c r="S219" s="28">
        <f t="shared" si="31"/>
        <v>14707290000</v>
      </c>
    </row>
    <row r="220" spans="1:19" x14ac:dyDescent="0.3">
      <c r="A220" s="15" t="s">
        <v>498</v>
      </c>
      <c r="B220" s="15" t="s">
        <v>56</v>
      </c>
      <c r="C220" s="15" t="s">
        <v>166</v>
      </c>
      <c r="D220" s="16">
        <v>108239000</v>
      </c>
      <c r="E220" s="17">
        <v>46192</v>
      </c>
      <c r="F220" s="17">
        <v>46237</v>
      </c>
      <c r="G220" s="17">
        <v>46239</v>
      </c>
      <c r="H220" s="18">
        <f>IF(AND(E220&lt;=Quy_uoc_chung!$C$4,OR(G220="",G220&gt;Quy_uoc_chung!$C$4)),1,0)</f>
        <v>0</v>
      </c>
      <c r="I220" s="18">
        <f>IF(AND(E220&gt;=Quy_uoc_chung!$C$4-Quy_uoc_chung!$C$3+1,E220&lt;=Quy_uoc_chung!$C$4),1,0)</f>
        <v>0</v>
      </c>
      <c r="J220" s="19" t="str">
        <f>IF(H220=1,Quy_uoc_chung!$C$4-F220,"")</f>
        <v/>
      </c>
      <c r="K220" s="18" t="str">
        <f t="shared" si="24"/>
        <v/>
      </c>
      <c r="L220" s="18">
        <f>IF(AND(G220&lt;&gt;"",G220&gt;Quy_uoc_chung!$C$4-TV1_Nguong!$C$4,G220&lt;=Quy_uoc_chung!$C$4),1,0)</f>
        <v>1</v>
      </c>
      <c r="M220" s="19">
        <f t="shared" si="25"/>
        <v>2</v>
      </c>
      <c r="N220" s="20">
        <f t="shared" si="26"/>
        <v>216478000</v>
      </c>
      <c r="O220" s="19">
        <f t="shared" si="27"/>
        <v>45</v>
      </c>
      <c r="P220" s="20">
        <f t="shared" si="28"/>
        <v>4870755000</v>
      </c>
      <c r="Q220" s="28">
        <f t="shared" si="29"/>
        <v>2</v>
      </c>
      <c r="R220" s="28">
        <f t="shared" si="30"/>
        <v>216478000</v>
      </c>
      <c r="S220" s="28">
        <f t="shared" si="31"/>
        <v>5087233000</v>
      </c>
    </row>
    <row r="221" spans="1:19" x14ac:dyDescent="0.3">
      <c r="A221" s="15" t="s">
        <v>499</v>
      </c>
      <c r="B221" s="15" t="s">
        <v>56</v>
      </c>
      <c r="C221" s="15" t="s">
        <v>155</v>
      </c>
      <c r="D221" s="16">
        <v>159569000</v>
      </c>
      <c r="E221" s="17">
        <v>46198</v>
      </c>
      <c r="F221" s="17">
        <v>46243</v>
      </c>
      <c r="G221" s="17">
        <v>46257</v>
      </c>
      <c r="H221" s="18">
        <f>IF(AND(E221&lt;=Quy_uoc_chung!$C$4,OR(G221="",G221&gt;Quy_uoc_chung!$C$4)),1,0)</f>
        <v>0</v>
      </c>
      <c r="I221" s="18">
        <f>IF(AND(E221&gt;=Quy_uoc_chung!$C$4-Quy_uoc_chung!$C$3+1,E221&lt;=Quy_uoc_chung!$C$4),1,0)</f>
        <v>0</v>
      </c>
      <c r="J221" s="19" t="str">
        <f>IF(H221=1,Quy_uoc_chung!$C$4-F221,"")</f>
        <v/>
      </c>
      <c r="K221" s="18" t="str">
        <f t="shared" si="24"/>
        <v/>
      </c>
      <c r="L221" s="18">
        <f>IF(AND(G221&lt;&gt;"",G221&gt;Quy_uoc_chung!$C$4-TV1_Nguong!$C$4,G221&lt;=Quy_uoc_chung!$C$4),1,0)</f>
        <v>1</v>
      </c>
      <c r="M221" s="19">
        <f t="shared" si="25"/>
        <v>14</v>
      </c>
      <c r="N221" s="20">
        <f t="shared" si="26"/>
        <v>2233966000</v>
      </c>
      <c r="O221" s="19">
        <f t="shared" si="27"/>
        <v>45</v>
      </c>
      <c r="P221" s="20">
        <f t="shared" si="28"/>
        <v>7180605000</v>
      </c>
      <c r="Q221" s="28">
        <f t="shared" si="29"/>
        <v>14</v>
      </c>
      <c r="R221" s="28">
        <f t="shared" si="30"/>
        <v>2233966000</v>
      </c>
      <c r="S221" s="28">
        <f t="shared" si="31"/>
        <v>9414571000</v>
      </c>
    </row>
    <row r="222" spans="1:19" x14ac:dyDescent="0.3">
      <c r="A222" s="15" t="s">
        <v>500</v>
      </c>
      <c r="B222" s="15" t="s">
        <v>56</v>
      </c>
      <c r="C222" s="15" t="s">
        <v>152</v>
      </c>
      <c r="D222" s="16">
        <v>203744000</v>
      </c>
      <c r="E222" s="17">
        <v>46197</v>
      </c>
      <c r="F222" s="17">
        <v>46257</v>
      </c>
      <c r="G222" s="17">
        <v>46261</v>
      </c>
      <c r="H222" s="18">
        <f>IF(AND(E222&lt;=Quy_uoc_chung!$C$4,OR(G222="",G222&gt;Quy_uoc_chung!$C$4)),1,0)</f>
        <v>0</v>
      </c>
      <c r="I222" s="18">
        <f>IF(AND(E222&gt;=Quy_uoc_chung!$C$4-Quy_uoc_chung!$C$3+1,E222&lt;=Quy_uoc_chung!$C$4),1,0)</f>
        <v>0</v>
      </c>
      <c r="J222" s="19" t="str">
        <f>IF(H222=1,Quy_uoc_chung!$C$4-F222,"")</f>
        <v/>
      </c>
      <c r="K222" s="18" t="str">
        <f t="shared" si="24"/>
        <v/>
      </c>
      <c r="L222" s="18">
        <f>IF(AND(G222&lt;&gt;"",G222&gt;Quy_uoc_chung!$C$4-TV1_Nguong!$C$4,G222&lt;=Quy_uoc_chung!$C$4),1,0)</f>
        <v>1</v>
      </c>
      <c r="M222" s="19">
        <f t="shared" si="25"/>
        <v>4</v>
      </c>
      <c r="N222" s="20">
        <f t="shared" si="26"/>
        <v>814976000</v>
      </c>
      <c r="O222" s="19">
        <f t="shared" si="27"/>
        <v>60</v>
      </c>
      <c r="P222" s="20">
        <f t="shared" si="28"/>
        <v>12224640000</v>
      </c>
      <c r="Q222" s="28">
        <f t="shared" si="29"/>
        <v>4</v>
      </c>
      <c r="R222" s="28">
        <f t="shared" si="30"/>
        <v>814976000</v>
      </c>
      <c r="S222" s="28">
        <f t="shared" si="31"/>
        <v>13039616000</v>
      </c>
    </row>
    <row r="223" spans="1:19" x14ac:dyDescent="0.3">
      <c r="A223" s="15" t="s">
        <v>501</v>
      </c>
      <c r="B223" s="15" t="s">
        <v>56</v>
      </c>
      <c r="C223" s="15" t="s">
        <v>166</v>
      </c>
      <c r="D223" s="16">
        <v>127071000</v>
      </c>
      <c r="E223" s="17">
        <v>46198</v>
      </c>
      <c r="F223" s="17">
        <v>46243</v>
      </c>
      <c r="G223" s="17">
        <v>46242</v>
      </c>
      <c r="H223" s="18">
        <f>IF(AND(E223&lt;=Quy_uoc_chung!$C$4,OR(G223="",G223&gt;Quy_uoc_chung!$C$4)),1,0)</f>
        <v>0</v>
      </c>
      <c r="I223" s="18">
        <f>IF(AND(E223&gt;=Quy_uoc_chung!$C$4-Quy_uoc_chung!$C$3+1,E223&lt;=Quy_uoc_chung!$C$4),1,0)</f>
        <v>0</v>
      </c>
      <c r="J223" s="19" t="str">
        <f>IF(H223=1,Quy_uoc_chung!$C$4-F223,"")</f>
        <v/>
      </c>
      <c r="K223" s="18" t="str">
        <f t="shared" si="24"/>
        <v/>
      </c>
      <c r="L223" s="18">
        <f>IF(AND(G223&lt;&gt;"",G223&gt;Quy_uoc_chung!$C$4-TV1_Nguong!$C$4,G223&lt;=Quy_uoc_chung!$C$4),1,0)</f>
        <v>1</v>
      </c>
      <c r="M223" s="19">
        <f t="shared" si="25"/>
        <v>-1</v>
      </c>
      <c r="N223" s="20">
        <f t="shared" si="26"/>
        <v>-127071000</v>
      </c>
      <c r="O223" s="19">
        <f t="shared" si="27"/>
        <v>45</v>
      </c>
      <c r="P223" s="20">
        <f t="shared" si="28"/>
        <v>5718195000</v>
      </c>
      <c r="Q223" s="28">
        <f t="shared" si="29"/>
        <v>0</v>
      </c>
      <c r="R223" s="28">
        <f t="shared" si="30"/>
        <v>0</v>
      </c>
      <c r="S223" s="28">
        <f t="shared" si="31"/>
        <v>5591124000</v>
      </c>
    </row>
    <row r="224" spans="1:19" x14ac:dyDescent="0.3">
      <c r="A224" s="15" t="s">
        <v>502</v>
      </c>
      <c r="B224" s="15" t="s">
        <v>56</v>
      </c>
      <c r="C224" s="15" t="s">
        <v>155</v>
      </c>
      <c r="D224" s="16">
        <v>139645000</v>
      </c>
      <c r="E224" s="17">
        <v>46204</v>
      </c>
      <c r="F224" s="17">
        <v>46249</v>
      </c>
      <c r="G224" s="17">
        <v>46258</v>
      </c>
      <c r="H224" s="18">
        <f>IF(AND(E224&lt;=Quy_uoc_chung!$C$4,OR(G224="",G224&gt;Quy_uoc_chung!$C$4)),1,0)</f>
        <v>0</v>
      </c>
      <c r="I224" s="18">
        <f>IF(AND(E224&gt;=Quy_uoc_chung!$C$4-Quy_uoc_chung!$C$3+1,E224&lt;=Quy_uoc_chung!$C$4),1,0)</f>
        <v>0</v>
      </c>
      <c r="J224" s="19" t="str">
        <f>IF(H224=1,Quy_uoc_chung!$C$4-F224,"")</f>
        <v/>
      </c>
      <c r="K224" s="18" t="str">
        <f t="shared" si="24"/>
        <v/>
      </c>
      <c r="L224" s="18">
        <f>IF(AND(G224&lt;&gt;"",G224&gt;Quy_uoc_chung!$C$4-TV1_Nguong!$C$4,G224&lt;=Quy_uoc_chung!$C$4),1,0)</f>
        <v>1</v>
      </c>
      <c r="M224" s="19">
        <f t="shared" si="25"/>
        <v>9</v>
      </c>
      <c r="N224" s="20">
        <f t="shared" si="26"/>
        <v>1256805000</v>
      </c>
      <c r="O224" s="19">
        <f t="shared" si="27"/>
        <v>45</v>
      </c>
      <c r="P224" s="20">
        <f t="shared" si="28"/>
        <v>6284025000</v>
      </c>
      <c r="Q224" s="28">
        <f t="shared" si="29"/>
        <v>9</v>
      </c>
      <c r="R224" s="28">
        <f t="shared" si="30"/>
        <v>1256805000</v>
      </c>
      <c r="S224" s="28">
        <f t="shared" si="31"/>
        <v>7540830000</v>
      </c>
    </row>
    <row r="225" spans="1:19" x14ac:dyDescent="0.3">
      <c r="A225" s="15" t="s">
        <v>503</v>
      </c>
      <c r="B225" s="15" t="s">
        <v>56</v>
      </c>
      <c r="C225" s="15" t="s">
        <v>152</v>
      </c>
      <c r="D225" s="16">
        <v>221899000</v>
      </c>
      <c r="E225" s="17">
        <v>46207</v>
      </c>
      <c r="F225" s="17">
        <v>46267</v>
      </c>
      <c r="G225" s="17">
        <v>46268</v>
      </c>
      <c r="H225" s="18">
        <f>IF(AND(E225&lt;=Quy_uoc_chung!$C$4,OR(G225="",G225&gt;Quy_uoc_chung!$C$4)),1,0)</f>
        <v>0</v>
      </c>
      <c r="I225" s="18">
        <f>IF(AND(E225&gt;=Quy_uoc_chung!$C$4-Quy_uoc_chung!$C$3+1,E225&lt;=Quy_uoc_chung!$C$4),1,0)</f>
        <v>1</v>
      </c>
      <c r="J225" s="19" t="str">
        <f>IF(H225=1,Quy_uoc_chung!$C$4-F225,"")</f>
        <v/>
      </c>
      <c r="K225" s="18" t="str">
        <f t="shared" si="24"/>
        <v/>
      </c>
      <c r="L225" s="18">
        <f>IF(AND(G225&lt;&gt;"",G225&gt;Quy_uoc_chung!$C$4-TV1_Nguong!$C$4,G225&lt;=Quy_uoc_chung!$C$4),1,0)</f>
        <v>1</v>
      </c>
      <c r="M225" s="19">
        <f t="shared" si="25"/>
        <v>1</v>
      </c>
      <c r="N225" s="20">
        <f t="shared" si="26"/>
        <v>221899000</v>
      </c>
      <c r="O225" s="19">
        <f t="shared" si="27"/>
        <v>60</v>
      </c>
      <c r="P225" s="20">
        <f t="shared" si="28"/>
        <v>13313940000</v>
      </c>
      <c r="Q225" s="28">
        <f t="shared" si="29"/>
        <v>1</v>
      </c>
      <c r="R225" s="28">
        <f t="shared" si="30"/>
        <v>221899000</v>
      </c>
      <c r="S225" s="28">
        <f t="shared" si="31"/>
        <v>13535839000</v>
      </c>
    </row>
    <row r="226" spans="1:19" x14ac:dyDescent="0.3">
      <c r="A226" s="15" t="s">
        <v>504</v>
      </c>
      <c r="B226" s="15" t="s">
        <v>56</v>
      </c>
      <c r="C226" s="15" t="s">
        <v>166</v>
      </c>
      <c r="D226" s="16">
        <v>95725000</v>
      </c>
      <c r="E226" s="17">
        <v>46205</v>
      </c>
      <c r="F226" s="17">
        <v>46250</v>
      </c>
      <c r="G226" s="17">
        <v>46252</v>
      </c>
      <c r="H226" s="18">
        <f>IF(AND(E226&lt;=Quy_uoc_chung!$C$4,OR(G226="",G226&gt;Quy_uoc_chung!$C$4)),1,0)</f>
        <v>0</v>
      </c>
      <c r="I226" s="18">
        <f>IF(AND(E226&gt;=Quy_uoc_chung!$C$4-Quy_uoc_chung!$C$3+1,E226&lt;=Quy_uoc_chung!$C$4),1,0)</f>
        <v>0</v>
      </c>
      <c r="J226" s="19" t="str">
        <f>IF(H226=1,Quy_uoc_chung!$C$4-F226,"")</f>
        <v/>
      </c>
      <c r="K226" s="18" t="str">
        <f t="shared" si="24"/>
        <v/>
      </c>
      <c r="L226" s="18">
        <f>IF(AND(G226&lt;&gt;"",G226&gt;Quy_uoc_chung!$C$4-TV1_Nguong!$C$4,G226&lt;=Quy_uoc_chung!$C$4),1,0)</f>
        <v>1</v>
      </c>
      <c r="M226" s="19">
        <f t="shared" si="25"/>
        <v>2</v>
      </c>
      <c r="N226" s="20">
        <f t="shared" si="26"/>
        <v>191450000</v>
      </c>
      <c r="O226" s="19">
        <f t="shared" si="27"/>
        <v>45</v>
      </c>
      <c r="P226" s="20">
        <f t="shared" si="28"/>
        <v>4307625000</v>
      </c>
      <c r="Q226" s="28">
        <f t="shared" si="29"/>
        <v>2</v>
      </c>
      <c r="R226" s="28">
        <f t="shared" si="30"/>
        <v>191450000</v>
      </c>
      <c r="S226" s="28">
        <f t="shared" si="31"/>
        <v>4499075000</v>
      </c>
    </row>
    <row r="227" spans="1:19" x14ac:dyDescent="0.3">
      <c r="A227" s="15" t="s">
        <v>505</v>
      </c>
      <c r="B227" s="15" t="s">
        <v>56</v>
      </c>
      <c r="C227" s="15" t="s">
        <v>155</v>
      </c>
      <c r="D227" s="16">
        <v>134779000</v>
      </c>
      <c r="E227" s="17">
        <v>46212</v>
      </c>
      <c r="F227" s="17">
        <v>46257</v>
      </c>
      <c r="G227" s="17">
        <v>46271</v>
      </c>
      <c r="H227" s="18">
        <f>IF(AND(E227&lt;=Quy_uoc_chung!$C$4,OR(G227="",G227&gt;Quy_uoc_chung!$C$4)),1,0)</f>
        <v>0</v>
      </c>
      <c r="I227" s="18">
        <f>IF(AND(E227&gt;=Quy_uoc_chung!$C$4-Quy_uoc_chung!$C$3+1,E227&lt;=Quy_uoc_chung!$C$4),1,0)</f>
        <v>1</v>
      </c>
      <c r="J227" s="19" t="str">
        <f>IF(H227=1,Quy_uoc_chung!$C$4-F227,"")</f>
        <v/>
      </c>
      <c r="K227" s="18" t="str">
        <f t="shared" si="24"/>
        <v/>
      </c>
      <c r="L227" s="18">
        <f>IF(AND(G227&lt;&gt;"",G227&gt;Quy_uoc_chung!$C$4-TV1_Nguong!$C$4,G227&lt;=Quy_uoc_chung!$C$4),1,0)</f>
        <v>1</v>
      </c>
      <c r="M227" s="19">
        <f t="shared" si="25"/>
        <v>14</v>
      </c>
      <c r="N227" s="20">
        <f t="shared" si="26"/>
        <v>1886906000</v>
      </c>
      <c r="O227" s="19">
        <f t="shared" si="27"/>
        <v>45</v>
      </c>
      <c r="P227" s="20">
        <f t="shared" si="28"/>
        <v>6065055000</v>
      </c>
      <c r="Q227" s="28">
        <f t="shared" si="29"/>
        <v>14</v>
      </c>
      <c r="R227" s="28">
        <f t="shared" si="30"/>
        <v>1886906000</v>
      </c>
      <c r="S227" s="28">
        <f t="shared" si="31"/>
        <v>7951961000</v>
      </c>
    </row>
    <row r="228" spans="1:19" x14ac:dyDescent="0.3">
      <c r="A228" s="15" t="s">
        <v>506</v>
      </c>
      <c r="B228" s="15" t="s">
        <v>56</v>
      </c>
      <c r="C228" s="15" t="s">
        <v>152</v>
      </c>
      <c r="D228" s="16">
        <v>226571000</v>
      </c>
      <c r="E228" s="17">
        <v>46212</v>
      </c>
      <c r="F228" s="17">
        <v>46272</v>
      </c>
      <c r="G228" s="17">
        <v>46279</v>
      </c>
      <c r="H228" s="18">
        <f>IF(AND(E228&lt;=Quy_uoc_chung!$C$4,OR(G228="",G228&gt;Quy_uoc_chung!$C$4)),1,0)</f>
        <v>0</v>
      </c>
      <c r="I228" s="18">
        <f>IF(AND(E228&gt;=Quy_uoc_chung!$C$4-Quy_uoc_chung!$C$3+1,E228&lt;=Quy_uoc_chung!$C$4),1,0)</f>
        <v>1</v>
      </c>
      <c r="J228" s="19" t="str">
        <f>IF(H228=1,Quy_uoc_chung!$C$4-F228,"")</f>
        <v/>
      </c>
      <c r="K228" s="18" t="str">
        <f t="shared" si="24"/>
        <v/>
      </c>
      <c r="L228" s="18">
        <f>IF(AND(G228&lt;&gt;"",G228&gt;Quy_uoc_chung!$C$4-TV1_Nguong!$C$4,G228&lt;=Quy_uoc_chung!$C$4),1,0)</f>
        <v>1</v>
      </c>
      <c r="M228" s="19">
        <f t="shared" si="25"/>
        <v>7</v>
      </c>
      <c r="N228" s="20">
        <f t="shared" si="26"/>
        <v>1585997000</v>
      </c>
      <c r="O228" s="19">
        <f t="shared" si="27"/>
        <v>60</v>
      </c>
      <c r="P228" s="20">
        <f t="shared" si="28"/>
        <v>13594260000</v>
      </c>
      <c r="Q228" s="28">
        <f t="shared" si="29"/>
        <v>7</v>
      </c>
      <c r="R228" s="28">
        <f t="shared" si="30"/>
        <v>1585997000</v>
      </c>
      <c r="S228" s="28">
        <f t="shared" si="31"/>
        <v>15180257000</v>
      </c>
    </row>
    <row r="229" spans="1:19" x14ac:dyDescent="0.3">
      <c r="A229" s="15" t="s">
        <v>507</v>
      </c>
      <c r="B229" s="15" t="s">
        <v>56</v>
      </c>
      <c r="C229" s="15" t="s">
        <v>166</v>
      </c>
      <c r="D229" s="16">
        <v>119972000</v>
      </c>
      <c r="E229" s="17">
        <v>46213</v>
      </c>
      <c r="F229" s="17">
        <v>46258</v>
      </c>
      <c r="G229" s="17">
        <v>46260</v>
      </c>
      <c r="H229" s="18">
        <f>IF(AND(E229&lt;=Quy_uoc_chung!$C$4,OR(G229="",G229&gt;Quy_uoc_chung!$C$4)),1,0)</f>
        <v>0</v>
      </c>
      <c r="I229" s="18">
        <f>IF(AND(E229&gt;=Quy_uoc_chung!$C$4-Quy_uoc_chung!$C$3+1,E229&lt;=Quy_uoc_chung!$C$4),1,0)</f>
        <v>1</v>
      </c>
      <c r="J229" s="19" t="str">
        <f>IF(H229=1,Quy_uoc_chung!$C$4-F229,"")</f>
        <v/>
      </c>
      <c r="K229" s="18" t="str">
        <f t="shared" si="24"/>
        <v/>
      </c>
      <c r="L229" s="18">
        <f>IF(AND(G229&lt;&gt;"",G229&gt;Quy_uoc_chung!$C$4-TV1_Nguong!$C$4,G229&lt;=Quy_uoc_chung!$C$4),1,0)</f>
        <v>1</v>
      </c>
      <c r="M229" s="19">
        <f t="shared" si="25"/>
        <v>2</v>
      </c>
      <c r="N229" s="20">
        <f t="shared" si="26"/>
        <v>239944000</v>
      </c>
      <c r="O229" s="19">
        <f t="shared" si="27"/>
        <v>45</v>
      </c>
      <c r="P229" s="20">
        <f t="shared" si="28"/>
        <v>5398740000</v>
      </c>
      <c r="Q229" s="28">
        <f t="shared" si="29"/>
        <v>2</v>
      </c>
      <c r="R229" s="28">
        <f t="shared" si="30"/>
        <v>239944000</v>
      </c>
      <c r="S229" s="28">
        <f t="shared" si="31"/>
        <v>5638684000</v>
      </c>
    </row>
    <row r="230" spans="1:19" x14ac:dyDescent="0.3">
      <c r="A230" s="15" t="s">
        <v>508</v>
      </c>
      <c r="B230" s="15" t="s">
        <v>56</v>
      </c>
      <c r="C230" s="15" t="s">
        <v>155</v>
      </c>
      <c r="D230" s="16">
        <v>173552000</v>
      </c>
      <c r="E230" s="17">
        <v>46221</v>
      </c>
      <c r="F230" s="17">
        <v>46266</v>
      </c>
      <c r="G230" s="17">
        <v>46278</v>
      </c>
      <c r="H230" s="18">
        <f>IF(AND(E230&lt;=Quy_uoc_chung!$C$4,OR(G230="",G230&gt;Quy_uoc_chung!$C$4)),1,0)</f>
        <v>0</v>
      </c>
      <c r="I230" s="18">
        <f>IF(AND(E230&gt;=Quy_uoc_chung!$C$4-Quy_uoc_chung!$C$3+1,E230&lt;=Quy_uoc_chung!$C$4),1,0)</f>
        <v>1</v>
      </c>
      <c r="J230" s="19" t="str">
        <f>IF(H230=1,Quy_uoc_chung!$C$4-F230,"")</f>
        <v/>
      </c>
      <c r="K230" s="18" t="str">
        <f t="shared" si="24"/>
        <v/>
      </c>
      <c r="L230" s="18">
        <f>IF(AND(G230&lt;&gt;"",G230&gt;Quy_uoc_chung!$C$4-TV1_Nguong!$C$4,G230&lt;=Quy_uoc_chung!$C$4),1,0)</f>
        <v>1</v>
      </c>
      <c r="M230" s="19">
        <f t="shared" si="25"/>
        <v>12</v>
      </c>
      <c r="N230" s="20">
        <f t="shared" si="26"/>
        <v>2082624000</v>
      </c>
      <c r="O230" s="19">
        <f t="shared" si="27"/>
        <v>45</v>
      </c>
      <c r="P230" s="20">
        <f t="shared" si="28"/>
        <v>7809840000</v>
      </c>
      <c r="Q230" s="28">
        <f t="shared" si="29"/>
        <v>12</v>
      </c>
      <c r="R230" s="28">
        <f t="shared" si="30"/>
        <v>2082624000</v>
      </c>
      <c r="S230" s="28">
        <f t="shared" si="31"/>
        <v>9892464000</v>
      </c>
    </row>
    <row r="231" spans="1:19" x14ac:dyDescent="0.3">
      <c r="A231" s="15" t="s">
        <v>509</v>
      </c>
      <c r="B231" s="15" t="s">
        <v>56</v>
      </c>
      <c r="C231" s="15" t="s">
        <v>152</v>
      </c>
      <c r="D231" s="16">
        <v>199795000</v>
      </c>
      <c r="E231" s="17">
        <v>46218</v>
      </c>
      <c r="F231" s="17">
        <v>46278</v>
      </c>
      <c r="G231" s="17">
        <v>46288</v>
      </c>
      <c r="H231" s="18">
        <f>IF(AND(E231&lt;=Quy_uoc_chung!$C$4,OR(G231="",G231&gt;Quy_uoc_chung!$C$4)),1,0)</f>
        <v>0</v>
      </c>
      <c r="I231" s="18">
        <f>IF(AND(E231&gt;=Quy_uoc_chung!$C$4-Quy_uoc_chung!$C$3+1,E231&lt;=Quy_uoc_chung!$C$4),1,0)</f>
        <v>1</v>
      </c>
      <c r="J231" s="19" t="str">
        <f>IF(H231=1,Quy_uoc_chung!$C$4-F231,"")</f>
        <v/>
      </c>
      <c r="K231" s="18" t="str">
        <f t="shared" si="24"/>
        <v/>
      </c>
      <c r="L231" s="18">
        <f>IF(AND(G231&lt;&gt;"",G231&gt;Quy_uoc_chung!$C$4-TV1_Nguong!$C$4,G231&lt;=Quy_uoc_chung!$C$4),1,0)</f>
        <v>1</v>
      </c>
      <c r="M231" s="19">
        <f t="shared" si="25"/>
        <v>10</v>
      </c>
      <c r="N231" s="20">
        <f t="shared" si="26"/>
        <v>1997950000</v>
      </c>
      <c r="O231" s="19">
        <f t="shared" si="27"/>
        <v>60</v>
      </c>
      <c r="P231" s="20">
        <f t="shared" si="28"/>
        <v>11987700000</v>
      </c>
      <c r="Q231" s="28">
        <f t="shared" si="29"/>
        <v>10</v>
      </c>
      <c r="R231" s="28">
        <f t="shared" si="30"/>
        <v>1997950000</v>
      </c>
      <c r="S231" s="28">
        <f t="shared" si="31"/>
        <v>13985650000</v>
      </c>
    </row>
    <row r="232" spans="1:19" x14ac:dyDescent="0.3">
      <c r="A232" s="15" t="s">
        <v>510</v>
      </c>
      <c r="B232" s="15" t="s">
        <v>56</v>
      </c>
      <c r="C232" s="15" t="s">
        <v>166</v>
      </c>
      <c r="D232" s="16">
        <v>111606000</v>
      </c>
      <c r="E232" s="17">
        <v>46219</v>
      </c>
      <c r="F232" s="17">
        <v>46264</v>
      </c>
      <c r="G232" s="17">
        <v>46265</v>
      </c>
      <c r="H232" s="18">
        <f>IF(AND(E232&lt;=Quy_uoc_chung!$C$4,OR(G232="",G232&gt;Quy_uoc_chung!$C$4)),1,0)</f>
        <v>0</v>
      </c>
      <c r="I232" s="18">
        <f>IF(AND(E232&gt;=Quy_uoc_chung!$C$4-Quy_uoc_chung!$C$3+1,E232&lt;=Quy_uoc_chung!$C$4),1,0)</f>
        <v>1</v>
      </c>
      <c r="J232" s="19" t="str">
        <f>IF(H232=1,Quy_uoc_chung!$C$4-F232,"")</f>
        <v/>
      </c>
      <c r="K232" s="18" t="str">
        <f t="shared" si="24"/>
        <v/>
      </c>
      <c r="L232" s="18">
        <f>IF(AND(G232&lt;&gt;"",G232&gt;Quy_uoc_chung!$C$4-TV1_Nguong!$C$4,G232&lt;=Quy_uoc_chung!$C$4),1,0)</f>
        <v>1</v>
      </c>
      <c r="M232" s="19">
        <f t="shared" si="25"/>
        <v>1</v>
      </c>
      <c r="N232" s="20">
        <f t="shared" si="26"/>
        <v>111606000</v>
      </c>
      <c r="O232" s="19">
        <f t="shared" si="27"/>
        <v>45</v>
      </c>
      <c r="P232" s="20">
        <f t="shared" si="28"/>
        <v>5022270000</v>
      </c>
      <c r="Q232" s="28">
        <f t="shared" si="29"/>
        <v>1</v>
      </c>
      <c r="R232" s="28">
        <f t="shared" si="30"/>
        <v>111606000</v>
      </c>
      <c r="S232" s="28">
        <f t="shared" si="31"/>
        <v>5133876000</v>
      </c>
    </row>
    <row r="233" spans="1:19" x14ac:dyDescent="0.3">
      <c r="A233" s="15" t="s">
        <v>511</v>
      </c>
      <c r="B233" s="15" t="s">
        <v>56</v>
      </c>
      <c r="C233" s="15" t="s">
        <v>155</v>
      </c>
      <c r="D233" s="16">
        <v>125285000</v>
      </c>
      <c r="E233" s="17">
        <v>46227</v>
      </c>
      <c r="F233" s="17">
        <v>46272</v>
      </c>
      <c r="G233" s="17">
        <v>46284</v>
      </c>
      <c r="H233" s="18">
        <f>IF(AND(E233&lt;=Quy_uoc_chung!$C$4,OR(G233="",G233&gt;Quy_uoc_chung!$C$4)),1,0)</f>
        <v>0</v>
      </c>
      <c r="I233" s="18">
        <f>IF(AND(E233&gt;=Quy_uoc_chung!$C$4-Quy_uoc_chung!$C$3+1,E233&lt;=Quy_uoc_chung!$C$4),1,0)</f>
        <v>1</v>
      </c>
      <c r="J233" s="19" t="str">
        <f>IF(H233=1,Quy_uoc_chung!$C$4-F233,"")</f>
        <v/>
      </c>
      <c r="K233" s="18" t="str">
        <f t="shared" si="24"/>
        <v/>
      </c>
      <c r="L233" s="18">
        <f>IF(AND(G233&lt;&gt;"",G233&gt;Quy_uoc_chung!$C$4-TV1_Nguong!$C$4,G233&lt;=Quy_uoc_chung!$C$4),1,0)</f>
        <v>1</v>
      </c>
      <c r="M233" s="19">
        <f t="shared" si="25"/>
        <v>12</v>
      </c>
      <c r="N233" s="20">
        <f t="shared" si="26"/>
        <v>1503420000</v>
      </c>
      <c r="O233" s="19">
        <f t="shared" si="27"/>
        <v>45</v>
      </c>
      <c r="P233" s="20">
        <f t="shared" si="28"/>
        <v>5637825000</v>
      </c>
      <c r="Q233" s="28">
        <f t="shared" si="29"/>
        <v>12</v>
      </c>
      <c r="R233" s="28">
        <f t="shared" si="30"/>
        <v>1503420000</v>
      </c>
      <c r="S233" s="28">
        <f t="shared" si="31"/>
        <v>7141245000</v>
      </c>
    </row>
    <row r="234" spans="1:19" x14ac:dyDescent="0.3">
      <c r="A234" s="15" t="s">
        <v>512</v>
      </c>
      <c r="B234" s="15" t="s">
        <v>56</v>
      </c>
      <c r="C234" s="15" t="s">
        <v>152</v>
      </c>
      <c r="D234" s="16">
        <v>198361000</v>
      </c>
      <c r="E234" s="17">
        <v>46227</v>
      </c>
      <c r="F234" s="17">
        <v>46287</v>
      </c>
      <c r="G234" s="17">
        <v>46290</v>
      </c>
      <c r="H234" s="18">
        <f>IF(AND(E234&lt;=Quy_uoc_chung!$C$4,OR(G234="",G234&gt;Quy_uoc_chung!$C$4)),1,0)</f>
        <v>0</v>
      </c>
      <c r="I234" s="18">
        <f>IF(AND(E234&gt;=Quy_uoc_chung!$C$4-Quy_uoc_chung!$C$3+1,E234&lt;=Quy_uoc_chung!$C$4),1,0)</f>
        <v>1</v>
      </c>
      <c r="J234" s="19" t="str">
        <f>IF(H234=1,Quy_uoc_chung!$C$4-F234,"")</f>
        <v/>
      </c>
      <c r="K234" s="18" t="str">
        <f t="shared" si="24"/>
        <v/>
      </c>
      <c r="L234" s="18">
        <f>IF(AND(G234&lt;&gt;"",G234&gt;Quy_uoc_chung!$C$4-TV1_Nguong!$C$4,G234&lt;=Quy_uoc_chung!$C$4),1,0)</f>
        <v>1</v>
      </c>
      <c r="M234" s="19">
        <f t="shared" si="25"/>
        <v>3</v>
      </c>
      <c r="N234" s="20">
        <f t="shared" si="26"/>
        <v>595083000</v>
      </c>
      <c r="O234" s="19">
        <f t="shared" si="27"/>
        <v>60</v>
      </c>
      <c r="P234" s="20">
        <f t="shared" si="28"/>
        <v>11901660000</v>
      </c>
      <c r="Q234" s="28">
        <f t="shared" si="29"/>
        <v>3</v>
      </c>
      <c r="R234" s="28">
        <f t="shared" si="30"/>
        <v>595083000</v>
      </c>
      <c r="S234" s="28">
        <f t="shared" si="31"/>
        <v>12496743000</v>
      </c>
    </row>
    <row r="235" spans="1:19" x14ac:dyDescent="0.3">
      <c r="A235" s="15" t="s">
        <v>513</v>
      </c>
      <c r="B235" s="15" t="s">
        <v>56</v>
      </c>
      <c r="C235" s="15" t="s">
        <v>166</v>
      </c>
      <c r="D235" s="16">
        <v>143111000</v>
      </c>
      <c r="E235" s="17">
        <v>46229</v>
      </c>
      <c r="F235" s="17">
        <v>46274</v>
      </c>
      <c r="G235" s="17">
        <v>46274</v>
      </c>
      <c r="H235" s="18">
        <f>IF(AND(E235&lt;=Quy_uoc_chung!$C$4,OR(G235="",G235&gt;Quy_uoc_chung!$C$4)),1,0)</f>
        <v>0</v>
      </c>
      <c r="I235" s="18">
        <f>IF(AND(E235&gt;=Quy_uoc_chung!$C$4-Quy_uoc_chung!$C$3+1,E235&lt;=Quy_uoc_chung!$C$4),1,0)</f>
        <v>1</v>
      </c>
      <c r="J235" s="19" t="str">
        <f>IF(H235=1,Quy_uoc_chung!$C$4-F235,"")</f>
        <v/>
      </c>
      <c r="K235" s="18" t="str">
        <f t="shared" si="24"/>
        <v/>
      </c>
      <c r="L235" s="18">
        <f>IF(AND(G235&lt;&gt;"",G235&gt;Quy_uoc_chung!$C$4-TV1_Nguong!$C$4,G235&lt;=Quy_uoc_chung!$C$4),1,0)</f>
        <v>1</v>
      </c>
      <c r="M235" s="19">
        <f t="shared" si="25"/>
        <v>0</v>
      </c>
      <c r="N235" s="20">
        <f t="shared" si="26"/>
        <v>0</v>
      </c>
      <c r="O235" s="19">
        <f t="shared" si="27"/>
        <v>45</v>
      </c>
      <c r="P235" s="20">
        <f t="shared" si="28"/>
        <v>6439995000</v>
      </c>
      <c r="Q235" s="28">
        <f t="shared" si="29"/>
        <v>0</v>
      </c>
      <c r="R235" s="28">
        <f t="shared" si="30"/>
        <v>0</v>
      </c>
      <c r="S235" s="28">
        <f t="shared" si="31"/>
        <v>6439995000</v>
      </c>
    </row>
    <row r="236" spans="1:19" x14ac:dyDescent="0.3">
      <c r="A236" s="15" t="s">
        <v>514</v>
      </c>
      <c r="B236" s="15" t="s">
        <v>56</v>
      </c>
      <c r="C236" s="15" t="s">
        <v>155</v>
      </c>
      <c r="D236" s="16">
        <v>168164000</v>
      </c>
      <c r="E236" s="17">
        <v>46236</v>
      </c>
      <c r="F236" s="17">
        <v>46281</v>
      </c>
      <c r="G236" s="17"/>
      <c r="H236" s="18">
        <f>IF(AND(E236&lt;=Quy_uoc_chung!$C$4,OR(G236="",G236&gt;Quy_uoc_chung!$C$4)),1,0)</f>
        <v>1</v>
      </c>
      <c r="I236" s="18">
        <f>IF(AND(E236&gt;=Quy_uoc_chung!$C$4-Quy_uoc_chung!$C$3+1,E236&lt;=Quy_uoc_chung!$C$4),1,0)</f>
        <v>1</v>
      </c>
      <c r="J236" s="19">
        <f>IF(H236=1,Quy_uoc_chung!$C$4-F236,"")</f>
        <v>14</v>
      </c>
      <c r="K236" s="18" t="str">
        <f t="shared" si="24"/>
        <v>Quá hạn 1–30 ngày</v>
      </c>
      <c r="L236" s="18">
        <f>IF(AND(G236&lt;&gt;"",G236&gt;Quy_uoc_chung!$C$4-TV1_Nguong!$C$4,G236&lt;=Quy_uoc_chung!$C$4),1,0)</f>
        <v>0</v>
      </c>
      <c r="M236" s="19" t="str">
        <f t="shared" si="25"/>
        <v/>
      </c>
      <c r="N236" s="20">
        <f t="shared" si="26"/>
        <v>0</v>
      </c>
      <c r="O236" s="19">
        <f t="shared" si="27"/>
        <v>45</v>
      </c>
      <c r="P236" s="20">
        <f t="shared" si="28"/>
        <v>0</v>
      </c>
      <c r="Q236" s="28">
        <f t="shared" si="29"/>
        <v>0</v>
      </c>
      <c r="R236" s="28">
        <f t="shared" si="30"/>
        <v>0</v>
      </c>
      <c r="S236" s="28">
        <f t="shared" si="31"/>
        <v>0</v>
      </c>
    </row>
    <row r="237" spans="1:19" x14ac:dyDescent="0.3">
      <c r="A237" s="15" t="s">
        <v>515</v>
      </c>
      <c r="B237" s="15" t="s">
        <v>56</v>
      </c>
      <c r="C237" s="15" t="s">
        <v>152</v>
      </c>
      <c r="D237" s="16">
        <v>200427000</v>
      </c>
      <c r="E237" s="17">
        <v>46236</v>
      </c>
      <c r="F237" s="17">
        <v>46296</v>
      </c>
      <c r="G237" s="17"/>
      <c r="H237" s="18">
        <f>IF(AND(E237&lt;=Quy_uoc_chung!$C$4,OR(G237="",G237&gt;Quy_uoc_chung!$C$4)),1,0)</f>
        <v>1</v>
      </c>
      <c r="I237" s="18">
        <f>IF(AND(E237&gt;=Quy_uoc_chung!$C$4-Quy_uoc_chung!$C$3+1,E237&lt;=Quy_uoc_chung!$C$4),1,0)</f>
        <v>1</v>
      </c>
      <c r="J237" s="19">
        <f>IF(H237=1,Quy_uoc_chung!$C$4-F237,"")</f>
        <v>-1</v>
      </c>
      <c r="K237" s="18" t="str">
        <f t="shared" si="24"/>
        <v>Chưa đến hạn</v>
      </c>
      <c r="L237" s="18">
        <f>IF(AND(G237&lt;&gt;"",G237&gt;Quy_uoc_chung!$C$4-TV1_Nguong!$C$4,G237&lt;=Quy_uoc_chung!$C$4),1,0)</f>
        <v>0</v>
      </c>
      <c r="M237" s="19" t="str">
        <f t="shared" si="25"/>
        <v/>
      </c>
      <c r="N237" s="20">
        <f t="shared" si="26"/>
        <v>0</v>
      </c>
      <c r="O237" s="19">
        <f t="shared" si="27"/>
        <v>60</v>
      </c>
      <c r="P237" s="20">
        <f t="shared" si="28"/>
        <v>0</v>
      </c>
      <c r="Q237" s="28">
        <f t="shared" si="29"/>
        <v>0</v>
      </c>
      <c r="R237" s="28">
        <f t="shared" si="30"/>
        <v>0</v>
      </c>
      <c r="S237" s="28">
        <f t="shared" si="31"/>
        <v>0</v>
      </c>
    </row>
    <row r="238" spans="1:19" x14ac:dyDescent="0.3">
      <c r="A238" s="15" t="s">
        <v>516</v>
      </c>
      <c r="B238" s="15" t="s">
        <v>56</v>
      </c>
      <c r="C238" s="15" t="s">
        <v>166</v>
      </c>
      <c r="D238" s="16">
        <v>141744000</v>
      </c>
      <c r="E238" s="17">
        <v>46233</v>
      </c>
      <c r="F238" s="17">
        <v>46278</v>
      </c>
      <c r="G238" s="17">
        <v>46283</v>
      </c>
      <c r="H238" s="18">
        <f>IF(AND(E238&lt;=Quy_uoc_chung!$C$4,OR(G238="",G238&gt;Quy_uoc_chung!$C$4)),1,0)</f>
        <v>0</v>
      </c>
      <c r="I238" s="18">
        <f>IF(AND(E238&gt;=Quy_uoc_chung!$C$4-Quy_uoc_chung!$C$3+1,E238&lt;=Quy_uoc_chung!$C$4),1,0)</f>
        <v>1</v>
      </c>
      <c r="J238" s="19" t="str">
        <f>IF(H238=1,Quy_uoc_chung!$C$4-F238,"")</f>
        <v/>
      </c>
      <c r="K238" s="18" t="str">
        <f t="shared" si="24"/>
        <v/>
      </c>
      <c r="L238" s="18">
        <f>IF(AND(G238&lt;&gt;"",G238&gt;Quy_uoc_chung!$C$4-TV1_Nguong!$C$4,G238&lt;=Quy_uoc_chung!$C$4),1,0)</f>
        <v>1</v>
      </c>
      <c r="M238" s="19">
        <f t="shared" si="25"/>
        <v>5</v>
      </c>
      <c r="N238" s="20">
        <f t="shared" si="26"/>
        <v>708720000</v>
      </c>
      <c r="O238" s="19">
        <f t="shared" si="27"/>
        <v>45</v>
      </c>
      <c r="P238" s="20">
        <f t="shared" si="28"/>
        <v>6378480000</v>
      </c>
      <c r="Q238" s="28">
        <f t="shared" si="29"/>
        <v>5</v>
      </c>
      <c r="R238" s="28">
        <f t="shared" si="30"/>
        <v>708720000</v>
      </c>
      <c r="S238" s="28">
        <f t="shared" si="31"/>
        <v>7087200000</v>
      </c>
    </row>
    <row r="239" spans="1:19" x14ac:dyDescent="0.3">
      <c r="A239" s="15" t="s">
        <v>517</v>
      </c>
      <c r="B239" s="15" t="s">
        <v>56</v>
      </c>
      <c r="C239" s="15" t="s">
        <v>155</v>
      </c>
      <c r="D239" s="16">
        <v>192738000</v>
      </c>
      <c r="E239" s="17">
        <v>46243</v>
      </c>
      <c r="F239" s="17">
        <v>46288</v>
      </c>
      <c r="G239" s="17">
        <v>46294</v>
      </c>
      <c r="H239" s="18">
        <f>IF(AND(E239&lt;=Quy_uoc_chung!$C$4,OR(G239="",G239&gt;Quy_uoc_chung!$C$4)),1,0)</f>
        <v>0</v>
      </c>
      <c r="I239" s="18">
        <f>IF(AND(E239&gt;=Quy_uoc_chung!$C$4-Quy_uoc_chung!$C$3+1,E239&lt;=Quy_uoc_chung!$C$4),1,0)</f>
        <v>1</v>
      </c>
      <c r="J239" s="19" t="str">
        <f>IF(H239=1,Quy_uoc_chung!$C$4-F239,"")</f>
        <v/>
      </c>
      <c r="K239" s="18" t="str">
        <f t="shared" si="24"/>
        <v/>
      </c>
      <c r="L239" s="18">
        <f>IF(AND(G239&lt;&gt;"",G239&gt;Quy_uoc_chung!$C$4-TV1_Nguong!$C$4,G239&lt;=Quy_uoc_chung!$C$4),1,0)</f>
        <v>1</v>
      </c>
      <c r="M239" s="19">
        <f t="shared" si="25"/>
        <v>6</v>
      </c>
      <c r="N239" s="20">
        <f t="shared" si="26"/>
        <v>1156428000</v>
      </c>
      <c r="O239" s="19">
        <f t="shared" si="27"/>
        <v>45</v>
      </c>
      <c r="P239" s="20">
        <f t="shared" si="28"/>
        <v>8673210000</v>
      </c>
      <c r="Q239" s="28">
        <f t="shared" si="29"/>
        <v>6</v>
      </c>
      <c r="R239" s="28">
        <f t="shared" si="30"/>
        <v>1156428000</v>
      </c>
      <c r="S239" s="28">
        <f t="shared" si="31"/>
        <v>9829638000</v>
      </c>
    </row>
    <row r="240" spans="1:19" x14ac:dyDescent="0.3">
      <c r="A240" s="15" t="s">
        <v>518</v>
      </c>
      <c r="B240" s="15" t="s">
        <v>56</v>
      </c>
      <c r="C240" s="15" t="s">
        <v>152</v>
      </c>
      <c r="D240" s="16">
        <v>212879000</v>
      </c>
      <c r="E240" s="17">
        <v>46243</v>
      </c>
      <c r="F240" s="17">
        <v>46303</v>
      </c>
      <c r="G240" s="17"/>
      <c r="H240" s="18">
        <f>IF(AND(E240&lt;=Quy_uoc_chung!$C$4,OR(G240="",G240&gt;Quy_uoc_chung!$C$4)),1,0)</f>
        <v>1</v>
      </c>
      <c r="I240" s="18">
        <f>IF(AND(E240&gt;=Quy_uoc_chung!$C$4-Quy_uoc_chung!$C$3+1,E240&lt;=Quy_uoc_chung!$C$4),1,0)</f>
        <v>1</v>
      </c>
      <c r="J240" s="19">
        <f>IF(H240=1,Quy_uoc_chung!$C$4-F240,"")</f>
        <v>-8</v>
      </c>
      <c r="K240" s="18" t="str">
        <f t="shared" si="24"/>
        <v>Chưa đến hạn</v>
      </c>
      <c r="L240" s="18">
        <f>IF(AND(G240&lt;&gt;"",G240&gt;Quy_uoc_chung!$C$4-TV1_Nguong!$C$4,G240&lt;=Quy_uoc_chung!$C$4),1,0)</f>
        <v>0</v>
      </c>
      <c r="M240" s="19" t="str">
        <f t="shared" si="25"/>
        <v/>
      </c>
      <c r="N240" s="20">
        <f t="shared" si="26"/>
        <v>0</v>
      </c>
      <c r="O240" s="19">
        <f t="shared" si="27"/>
        <v>60</v>
      </c>
      <c r="P240" s="20">
        <f t="shared" si="28"/>
        <v>0</v>
      </c>
      <c r="Q240" s="28">
        <f t="shared" si="29"/>
        <v>0</v>
      </c>
      <c r="R240" s="28">
        <f t="shared" si="30"/>
        <v>0</v>
      </c>
      <c r="S240" s="28">
        <f t="shared" si="31"/>
        <v>0</v>
      </c>
    </row>
    <row r="241" spans="1:19" x14ac:dyDescent="0.3">
      <c r="A241" s="15" t="s">
        <v>519</v>
      </c>
      <c r="B241" s="15" t="s">
        <v>56</v>
      </c>
      <c r="C241" s="15" t="s">
        <v>166</v>
      </c>
      <c r="D241" s="16">
        <v>116361000</v>
      </c>
      <c r="E241" s="17">
        <v>46242</v>
      </c>
      <c r="F241" s="17">
        <v>46287</v>
      </c>
      <c r="G241" s="17">
        <v>46294</v>
      </c>
      <c r="H241" s="18">
        <f>IF(AND(E241&lt;=Quy_uoc_chung!$C$4,OR(G241="",G241&gt;Quy_uoc_chung!$C$4)),1,0)</f>
        <v>0</v>
      </c>
      <c r="I241" s="18">
        <f>IF(AND(E241&gt;=Quy_uoc_chung!$C$4-Quy_uoc_chung!$C$3+1,E241&lt;=Quy_uoc_chung!$C$4),1,0)</f>
        <v>1</v>
      </c>
      <c r="J241" s="19" t="str">
        <f>IF(H241=1,Quy_uoc_chung!$C$4-F241,"")</f>
        <v/>
      </c>
      <c r="K241" s="18" t="str">
        <f t="shared" si="24"/>
        <v/>
      </c>
      <c r="L241" s="18">
        <f>IF(AND(G241&lt;&gt;"",G241&gt;Quy_uoc_chung!$C$4-TV1_Nguong!$C$4,G241&lt;=Quy_uoc_chung!$C$4),1,0)</f>
        <v>1</v>
      </c>
      <c r="M241" s="19">
        <f t="shared" si="25"/>
        <v>7</v>
      </c>
      <c r="N241" s="20">
        <f t="shared" si="26"/>
        <v>814527000</v>
      </c>
      <c r="O241" s="19">
        <f t="shared" si="27"/>
        <v>45</v>
      </c>
      <c r="P241" s="20">
        <f t="shared" si="28"/>
        <v>5236245000</v>
      </c>
      <c r="Q241" s="28">
        <f t="shared" si="29"/>
        <v>7</v>
      </c>
      <c r="R241" s="28">
        <f t="shared" si="30"/>
        <v>814527000</v>
      </c>
      <c r="S241" s="28">
        <f t="shared" si="31"/>
        <v>6050772000</v>
      </c>
    </row>
    <row r="242" spans="1:19" x14ac:dyDescent="0.3">
      <c r="A242" s="15" t="s">
        <v>520</v>
      </c>
      <c r="B242" s="15" t="s">
        <v>56</v>
      </c>
      <c r="C242" s="15" t="s">
        <v>155</v>
      </c>
      <c r="D242" s="16">
        <v>176411000</v>
      </c>
      <c r="E242" s="17">
        <v>46248</v>
      </c>
      <c r="F242" s="17">
        <v>46293</v>
      </c>
      <c r="G242" s="17"/>
      <c r="H242" s="18">
        <f>IF(AND(E242&lt;=Quy_uoc_chung!$C$4,OR(G242="",G242&gt;Quy_uoc_chung!$C$4)),1,0)</f>
        <v>1</v>
      </c>
      <c r="I242" s="18">
        <f>IF(AND(E242&gt;=Quy_uoc_chung!$C$4-Quy_uoc_chung!$C$3+1,E242&lt;=Quy_uoc_chung!$C$4),1,0)</f>
        <v>1</v>
      </c>
      <c r="J242" s="19">
        <f>IF(H242=1,Quy_uoc_chung!$C$4-F242,"")</f>
        <v>2</v>
      </c>
      <c r="K242" s="18" t="str">
        <f t="shared" si="24"/>
        <v>Quá hạn 1–30 ngày</v>
      </c>
      <c r="L242" s="18">
        <f>IF(AND(G242&lt;&gt;"",G242&gt;Quy_uoc_chung!$C$4-TV1_Nguong!$C$4,G242&lt;=Quy_uoc_chung!$C$4),1,0)</f>
        <v>0</v>
      </c>
      <c r="M242" s="19" t="str">
        <f t="shared" si="25"/>
        <v/>
      </c>
      <c r="N242" s="20">
        <f t="shared" si="26"/>
        <v>0</v>
      </c>
      <c r="O242" s="19">
        <f t="shared" si="27"/>
        <v>45</v>
      </c>
      <c r="P242" s="20">
        <f t="shared" si="28"/>
        <v>0</v>
      </c>
      <c r="Q242" s="28">
        <f t="shared" si="29"/>
        <v>0</v>
      </c>
      <c r="R242" s="28">
        <f t="shared" si="30"/>
        <v>0</v>
      </c>
      <c r="S242" s="28">
        <f t="shared" si="31"/>
        <v>0</v>
      </c>
    </row>
    <row r="243" spans="1:19" x14ac:dyDescent="0.3">
      <c r="A243" s="15" t="s">
        <v>521</v>
      </c>
      <c r="B243" s="15" t="s">
        <v>56</v>
      </c>
      <c r="C243" s="15" t="s">
        <v>152</v>
      </c>
      <c r="D243" s="16">
        <v>165234000</v>
      </c>
      <c r="E243" s="17">
        <v>46248</v>
      </c>
      <c r="F243" s="17">
        <v>46308</v>
      </c>
      <c r="G243" s="17"/>
      <c r="H243" s="18">
        <f>IF(AND(E243&lt;=Quy_uoc_chung!$C$4,OR(G243="",G243&gt;Quy_uoc_chung!$C$4)),1,0)</f>
        <v>1</v>
      </c>
      <c r="I243" s="18">
        <f>IF(AND(E243&gt;=Quy_uoc_chung!$C$4-Quy_uoc_chung!$C$3+1,E243&lt;=Quy_uoc_chung!$C$4),1,0)</f>
        <v>1</v>
      </c>
      <c r="J243" s="19">
        <f>IF(H243=1,Quy_uoc_chung!$C$4-F243,"")</f>
        <v>-13</v>
      </c>
      <c r="K243" s="18" t="str">
        <f t="shared" si="24"/>
        <v>Chưa đến hạn</v>
      </c>
      <c r="L243" s="18">
        <f>IF(AND(G243&lt;&gt;"",G243&gt;Quy_uoc_chung!$C$4-TV1_Nguong!$C$4,G243&lt;=Quy_uoc_chung!$C$4),1,0)</f>
        <v>0</v>
      </c>
      <c r="M243" s="19" t="str">
        <f t="shared" si="25"/>
        <v/>
      </c>
      <c r="N243" s="20">
        <f t="shared" si="26"/>
        <v>0</v>
      </c>
      <c r="O243" s="19">
        <f t="shared" si="27"/>
        <v>60</v>
      </c>
      <c r="P243" s="20">
        <f t="shared" si="28"/>
        <v>0</v>
      </c>
      <c r="Q243" s="28">
        <f t="shared" si="29"/>
        <v>0</v>
      </c>
      <c r="R243" s="28">
        <f t="shared" si="30"/>
        <v>0</v>
      </c>
      <c r="S243" s="28">
        <f t="shared" si="31"/>
        <v>0</v>
      </c>
    </row>
    <row r="244" spans="1:19" x14ac:dyDescent="0.3">
      <c r="A244" s="15" t="s">
        <v>522</v>
      </c>
      <c r="B244" s="15" t="s">
        <v>56</v>
      </c>
      <c r="C244" s="15" t="s">
        <v>166</v>
      </c>
      <c r="D244" s="16">
        <v>100983000</v>
      </c>
      <c r="E244" s="17">
        <v>46248</v>
      </c>
      <c r="F244" s="17">
        <v>46293</v>
      </c>
      <c r="G244" s="17">
        <v>46295</v>
      </c>
      <c r="H244" s="18">
        <f>IF(AND(E244&lt;=Quy_uoc_chung!$C$4,OR(G244="",G244&gt;Quy_uoc_chung!$C$4)),1,0)</f>
        <v>0</v>
      </c>
      <c r="I244" s="18">
        <f>IF(AND(E244&gt;=Quy_uoc_chung!$C$4-Quy_uoc_chung!$C$3+1,E244&lt;=Quy_uoc_chung!$C$4),1,0)</f>
        <v>1</v>
      </c>
      <c r="J244" s="19" t="str">
        <f>IF(H244=1,Quy_uoc_chung!$C$4-F244,"")</f>
        <v/>
      </c>
      <c r="K244" s="18" t="str">
        <f t="shared" si="24"/>
        <v/>
      </c>
      <c r="L244" s="18">
        <f>IF(AND(G244&lt;&gt;"",G244&gt;Quy_uoc_chung!$C$4-TV1_Nguong!$C$4,G244&lt;=Quy_uoc_chung!$C$4),1,0)</f>
        <v>1</v>
      </c>
      <c r="M244" s="19">
        <f t="shared" si="25"/>
        <v>2</v>
      </c>
      <c r="N244" s="20">
        <f t="shared" si="26"/>
        <v>201966000</v>
      </c>
      <c r="O244" s="19">
        <f t="shared" si="27"/>
        <v>45</v>
      </c>
      <c r="P244" s="20">
        <f t="shared" si="28"/>
        <v>4544235000</v>
      </c>
      <c r="Q244" s="28">
        <f t="shared" si="29"/>
        <v>2</v>
      </c>
      <c r="R244" s="28">
        <f t="shared" si="30"/>
        <v>201966000</v>
      </c>
      <c r="S244" s="28">
        <f t="shared" si="31"/>
        <v>4746201000</v>
      </c>
    </row>
    <row r="245" spans="1:19" x14ac:dyDescent="0.3">
      <c r="A245" s="15" t="s">
        <v>523</v>
      </c>
      <c r="B245" s="15" t="s">
        <v>56</v>
      </c>
      <c r="C245" s="15" t="s">
        <v>155</v>
      </c>
      <c r="D245" s="16">
        <v>194157000</v>
      </c>
      <c r="E245" s="17">
        <v>46255</v>
      </c>
      <c r="F245" s="17">
        <v>46300</v>
      </c>
      <c r="G245" s="17"/>
      <c r="H245" s="18">
        <f>IF(AND(E245&lt;=Quy_uoc_chung!$C$4,OR(G245="",G245&gt;Quy_uoc_chung!$C$4)),1,0)</f>
        <v>1</v>
      </c>
      <c r="I245" s="18">
        <f>IF(AND(E245&gt;=Quy_uoc_chung!$C$4-Quy_uoc_chung!$C$3+1,E245&lt;=Quy_uoc_chung!$C$4),1,0)</f>
        <v>1</v>
      </c>
      <c r="J245" s="19">
        <f>IF(H245=1,Quy_uoc_chung!$C$4-F245,"")</f>
        <v>-5</v>
      </c>
      <c r="K245" s="18" t="str">
        <f t="shared" si="24"/>
        <v>Chưa đến hạn</v>
      </c>
      <c r="L245" s="18">
        <f>IF(AND(G245&lt;&gt;"",G245&gt;Quy_uoc_chung!$C$4-TV1_Nguong!$C$4,G245&lt;=Quy_uoc_chung!$C$4),1,0)</f>
        <v>0</v>
      </c>
      <c r="M245" s="19" t="str">
        <f t="shared" si="25"/>
        <v/>
      </c>
      <c r="N245" s="20">
        <f t="shared" si="26"/>
        <v>0</v>
      </c>
      <c r="O245" s="19">
        <f t="shared" si="27"/>
        <v>45</v>
      </c>
      <c r="P245" s="20">
        <f t="shared" si="28"/>
        <v>0</v>
      </c>
      <c r="Q245" s="28">
        <f t="shared" si="29"/>
        <v>0</v>
      </c>
      <c r="R245" s="28">
        <f t="shared" si="30"/>
        <v>0</v>
      </c>
      <c r="S245" s="28">
        <f t="shared" si="31"/>
        <v>0</v>
      </c>
    </row>
    <row r="246" spans="1:19" x14ac:dyDescent="0.3">
      <c r="A246" s="15" t="s">
        <v>524</v>
      </c>
      <c r="B246" s="15" t="s">
        <v>56</v>
      </c>
      <c r="C246" s="15" t="s">
        <v>152</v>
      </c>
      <c r="D246" s="16">
        <v>172596000</v>
      </c>
      <c r="E246" s="17">
        <v>46253</v>
      </c>
      <c r="F246" s="17">
        <v>46313</v>
      </c>
      <c r="G246" s="17"/>
      <c r="H246" s="18">
        <f>IF(AND(E246&lt;=Quy_uoc_chung!$C$4,OR(G246="",G246&gt;Quy_uoc_chung!$C$4)),1,0)</f>
        <v>1</v>
      </c>
      <c r="I246" s="18">
        <f>IF(AND(E246&gt;=Quy_uoc_chung!$C$4-Quy_uoc_chung!$C$3+1,E246&lt;=Quy_uoc_chung!$C$4),1,0)</f>
        <v>1</v>
      </c>
      <c r="J246" s="19">
        <f>IF(H246=1,Quy_uoc_chung!$C$4-F246,"")</f>
        <v>-18</v>
      </c>
      <c r="K246" s="18" t="str">
        <f t="shared" si="24"/>
        <v>Chưa đến hạn</v>
      </c>
      <c r="L246" s="18">
        <f>IF(AND(G246&lt;&gt;"",G246&gt;Quy_uoc_chung!$C$4-TV1_Nguong!$C$4,G246&lt;=Quy_uoc_chung!$C$4),1,0)</f>
        <v>0</v>
      </c>
      <c r="M246" s="19" t="str">
        <f t="shared" si="25"/>
        <v/>
      </c>
      <c r="N246" s="20">
        <f t="shared" si="26"/>
        <v>0</v>
      </c>
      <c r="O246" s="19">
        <f t="shared" si="27"/>
        <v>60</v>
      </c>
      <c r="P246" s="20">
        <f t="shared" si="28"/>
        <v>0</v>
      </c>
      <c r="Q246" s="28">
        <f t="shared" si="29"/>
        <v>0</v>
      </c>
      <c r="R246" s="28">
        <f t="shared" si="30"/>
        <v>0</v>
      </c>
      <c r="S246" s="28">
        <f t="shared" si="31"/>
        <v>0</v>
      </c>
    </row>
    <row r="247" spans="1:19" x14ac:dyDescent="0.3">
      <c r="A247" s="15" t="s">
        <v>525</v>
      </c>
      <c r="B247" s="15" t="s">
        <v>56</v>
      </c>
      <c r="C247" s="15" t="s">
        <v>166</v>
      </c>
      <c r="D247" s="16">
        <v>137426000</v>
      </c>
      <c r="E247" s="17">
        <v>46254</v>
      </c>
      <c r="F247" s="17">
        <v>46299</v>
      </c>
      <c r="G247" s="17"/>
      <c r="H247" s="18">
        <f>IF(AND(E247&lt;=Quy_uoc_chung!$C$4,OR(G247="",G247&gt;Quy_uoc_chung!$C$4)),1,0)</f>
        <v>1</v>
      </c>
      <c r="I247" s="18">
        <f>IF(AND(E247&gt;=Quy_uoc_chung!$C$4-Quy_uoc_chung!$C$3+1,E247&lt;=Quy_uoc_chung!$C$4),1,0)</f>
        <v>1</v>
      </c>
      <c r="J247" s="19">
        <f>IF(H247=1,Quy_uoc_chung!$C$4-F247,"")</f>
        <v>-4</v>
      </c>
      <c r="K247" s="18" t="str">
        <f t="shared" si="24"/>
        <v>Chưa đến hạn</v>
      </c>
      <c r="L247" s="18">
        <f>IF(AND(G247&lt;&gt;"",G247&gt;Quy_uoc_chung!$C$4-TV1_Nguong!$C$4,G247&lt;=Quy_uoc_chung!$C$4),1,0)</f>
        <v>0</v>
      </c>
      <c r="M247" s="19" t="str">
        <f t="shared" si="25"/>
        <v/>
      </c>
      <c r="N247" s="20">
        <f t="shared" si="26"/>
        <v>0</v>
      </c>
      <c r="O247" s="19">
        <f t="shared" si="27"/>
        <v>45</v>
      </c>
      <c r="P247" s="20">
        <f t="shared" si="28"/>
        <v>0</v>
      </c>
      <c r="Q247" s="28">
        <f t="shared" si="29"/>
        <v>0</v>
      </c>
      <c r="R247" s="28">
        <f t="shared" si="30"/>
        <v>0</v>
      </c>
      <c r="S247" s="28">
        <f t="shared" si="31"/>
        <v>0</v>
      </c>
    </row>
    <row r="248" spans="1:19" x14ac:dyDescent="0.3">
      <c r="A248" s="15" t="s">
        <v>526</v>
      </c>
      <c r="B248" s="15" t="s">
        <v>56</v>
      </c>
      <c r="C248" s="15" t="s">
        <v>155</v>
      </c>
      <c r="D248" s="16">
        <v>132892000</v>
      </c>
      <c r="E248" s="17">
        <v>46260</v>
      </c>
      <c r="F248" s="17">
        <v>46305</v>
      </c>
      <c r="G248" s="17"/>
      <c r="H248" s="18">
        <f>IF(AND(E248&lt;=Quy_uoc_chung!$C$4,OR(G248="",G248&gt;Quy_uoc_chung!$C$4)),1,0)</f>
        <v>1</v>
      </c>
      <c r="I248" s="18">
        <f>IF(AND(E248&gt;=Quy_uoc_chung!$C$4-Quy_uoc_chung!$C$3+1,E248&lt;=Quy_uoc_chung!$C$4),1,0)</f>
        <v>1</v>
      </c>
      <c r="J248" s="19">
        <f>IF(H248=1,Quy_uoc_chung!$C$4-F248,"")</f>
        <v>-10</v>
      </c>
      <c r="K248" s="18" t="str">
        <f t="shared" si="24"/>
        <v>Chưa đến hạn</v>
      </c>
      <c r="L248" s="18">
        <f>IF(AND(G248&lt;&gt;"",G248&gt;Quy_uoc_chung!$C$4-TV1_Nguong!$C$4,G248&lt;=Quy_uoc_chung!$C$4),1,0)</f>
        <v>0</v>
      </c>
      <c r="M248" s="19" t="str">
        <f t="shared" si="25"/>
        <v/>
      </c>
      <c r="N248" s="20">
        <f t="shared" si="26"/>
        <v>0</v>
      </c>
      <c r="O248" s="19">
        <f t="shared" si="27"/>
        <v>45</v>
      </c>
      <c r="P248" s="20">
        <f t="shared" si="28"/>
        <v>0</v>
      </c>
      <c r="Q248" s="28">
        <f t="shared" si="29"/>
        <v>0</v>
      </c>
      <c r="R248" s="28">
        <f t="shared" si="30"/>
        <v>0</v>
      </c>
      <c r="S248" s="28">
        <f t="shared" si="31"/>
        <v>0</v>
      </c>
    </row>
    <row r="249" spans="1:19" x14ac:dyDescent="0.3">
      <c r="A249" s="15" t="s">
        <v>527</v>
      </c>
      <c r="B249" s="15" t="s">
        <v>56</v>
      </c>
      <c r="C249" s="15" t="s">
        <v>152</v>
      </c>
      <c r="D249" s="16">
        <v>234869000</v>
      </c>
      <c r="E249" s="17">
        <v>46261</v>
      </c>
      <c r="F249" s="17">
        <v>46321</v>
      </c>
      <c r="G249" s="17"/>
      <c r="H249" s="18">
        <f>IF(AND(E249&lt;=Quy_uoc_chung!$C$4,OR(G249="",G249&gt;Quy_uoc_chung!$C$4)),1,0)</f>
        <v>1</v>
      </c>
      <c r="I249" s="18">
        <f>IF(AND(E249&gt;=Quy_uoc_chung!$C$4-Quy_uoc_chung!$C$3+1,E249&lt;=Quy_uoc_chung!$C$4),1,0)</f>
        <v>1</v>
      </c>
      <c r="J249" s="19">
        <f>IF(H249=1,Quy_uoc_chung!$C$4-F249,"")</f>
        <v>-26</v>
      </c>
      <c r="K249" s="18" t="str">
        <f t="shared" si="24"/>
        <v>Chưa đến hạn</v>
      </c>
      <c r="L249" s="18">
        <f>IF(AND(G249&lt;&gt;"",G249&gt;Quy_uoc_chung!$C$4-TV1_Nguong!$C$4,G249&lt;=Quy_uoc_chung!$C$4),1,0)</f>
        <v>0</v>
      </c>
      <c r="M249" s="19" t="str">
        <f t="shared" si="25"/>
        <v/>
      </c>
      <c r="N249" s="20">
        <f t="shared" si="26"/>
        <v>0</v>
      </c>
      <c r="O249" s="19">
        <f t="shared" si="27"/>
        <v>60</v>
      </c>
      <c r="P249" s="20">
        <f t="shared" si="28"/>
        <v>0</v>
      </c>
      <c r="Q249" s="28">
        <f t="shared" si="29"/>
        <v>0</v>
      </c>
      <c r="R249" s="28">
        <f t="shared" si="30"/>
        <v>0</v>
      </c>
      <c r="S249" s="28">
        <f t="shared" si="31"/>
        <v>0</v>
      </c>
    </row>
    <row r="250" spans="1:19" x14ac:dyDescent="0.3">
      <c r="A250" s="15" t="s">
        <v>528</v>
      </c>
      <c r="B250" s="15" t="s">
        <v>56</v>
      </c>
      <c r="C250" s="15" t="s">
        <v>166</v>
      </c>
      <c r="D250" s="16">
        <v>112965000</v>
      </c>
      <c r="E250" s="17">
        <v>46260</v>
      </c>
      <c r="F250" s="17">
        <v>46305</v>
      </c>
      <c r="G250" s="17"/>
      <c r="H250" s="18">
        <f>IF(AND(E250&lt;=Quy_uoc_chung!$C$4,OR(G250="",G250&gt;Quy_uoc_chung!$C$4)),1,0)</f>
        <v>1</v>
      </c>
      <c r="I250" s="18">
        <f>IF(AND(E250&gt;=Quy_uoc_chung!$C$4-Quy_uoc_chung!$C$3+1,E250&lt;=Quy_uoc_chung!$C$4),1,0)</f>
        <v>1</v>
      </c>
      <c r="J250" s="19">
        <f>IF(H250=1,Quy_uoc_chung!$C$4-F250,"")</f>
        <v>-10</v>
      </c>
      <c r="K250" s="18" t="str">
        <f t="shared" si="24"/>
        <v>Chưa đến hạn</v>
      </c>
      <c r="L250" s="18">
        <f>IF(AND(G250&lt;&gt;"",G250&gt;Quy_uoc_chung!$C$4-TV1_Nguong!$C$4,G250&lt;=Quy_uoc_chung!$C$4),1,0)</f>
        <v>0</v>
      </c>
      <c r="M250" s="19" t="str">
        <f t="shared" si="25"/>
        <v/>
      </c>
      <c r="N250" s="20">
        <f t="shared" si="26"/>
        <v>0</v>
      </c>
      <c r="O250" s="19">
        <f t="shared" si="27"/>
        <v>45</v>
      </c>
      <c r="P250" s="20">
        <f t="shared" si="28"/>
        <v>0</v>
      </c>
      <c r="Q250" s="28">
        <f t="shared" si="29"/>
        <v>0</v>
      </c>
      <c r="R250" s="28">
        <f t="shared" si="30"/>
        <v>0</v>
      </c>
      <c r="S250" s="28">
        <f t="shared" si="31"/>
        <v>0</v>
      </c>
    </row>
    <row r="251" spans="1:19" x14ac:dyDescent="0.3">
      <c r="A251" s="15" t="s">
        <v>529</v>
      </c>
      <c r="B251" s="15" t="s">
        <v>56</v>
      </c>
      <c r="C251" s="15" t="s">
        <v>155</v>
      </c>
      <c r="D251" s="16">
        <v>200106000</v>
      </c>
      <c r="E251" s="17">
        <v>46268</v>
      </c>
      <c r="F251" s="17">
        <v>46313</v>
      </c>
      <c r="G251" s="17"/>
      <c r="H251" s="18">
        <f>IF(AND(E251&lt;=Quy_uoc_chung!$C$4,OR(G251="",G251&gt;Quy_uoc_chung!$C$4)),1,0)</f>
        <v>1</v>
      </c>
      <c r="I251" s="18">
        <f>IF(AND(E251&gt;=Quy_uoc_chung!$C$4-Quy_uoc_chung!$C$3+1,E251&lt;=Quy_uoc_chung!$C$4),1,0)</f>
        <v>1</v>
      </c>
      <c r="J251" s="19">
        <f>IF(H251=1,Quy_uoc_chung!$C$4-F251,"")</f>
        <v>-18</v>
      </c>
      <c r="K251" s="18" t="str">
        <f t="shared" si="24"/>
        <v>Chưa đến hạn</v>
      </c>
      <c r="L251" s="18">
        <f>IF(AND(G251&lt;&gt;"",G251&gt;Quy_uoc_chung!$C$4-TV1_Nguong!$C$4,G251&lt;=Quy_uoc_chung!$C$4),1,0)</f>
        <v>0</v>
      </c>
      <c r="M251" s="19" t="str">
        <f t="shared" si="25"/>
        <v/>
      </c>
      <c r="N251" s="20">
        <f t="shared" si="26"/>
        <v>0</v>
      </c>
      <c r="O251" s="19">
        <f t="shared" si="27"/>
        <v>45</v>
      </c>
      <c r="P251" s="20">
        <f t="shared" si="28"/>
        <v>0</v>
      </c>
      <c r="Q251" s="28">
        <f t="shared" si="29"/>
        <v>0</v>
      </c>
      <c r="R251" s="28">
        <f t="shared" si="30"/>
        <v>0</v>
      </c>
      <c r="S251" s="28">
        <f t="shared" si="31"/>
        <v>0</v>
      </c>
    </row>
    <row r="252" spans="1:19" x14ac:dyDescent="0.3">
      <c r="A252" s="15" t="s">
        <v>530</v>
      </c>
      <c r="B252" s="15" t="s">
        <v>56</v>
      </c>
      <c r="C252" s="15" t="s">
        <v>152</v>
      </c>
      <c r="D252" s="16">
        <v>153972000</v>
      </c>
      <c r="E252" s="17">
        <v>46271</v>
      </c>
      <c r="F252" s="17">
        <v>46331</v>
      </c>
      <c r="G252" s="17"/>
      <c r="H252" s="18">
        <f>IF(AND(E252&lt;=Quy_uoc_chung!$C$4,OR(G252="",G252&gt;Quy_uoc_chung!$C$4)),1,0)</f>
        <v>1</v>
      </c>
      <c r="I252" s="18">
        <f>IF(AND(E252&gt;=Quy_uoc_chung!$C$4-Quy_uoc_chung!$C$3+1,E252&lt;=Quy_uoc_chung!$C$4),1,0)</f>
        <v>1</v>
      </c>
      <c r="J252" s="19">
        <f>IF(H252=1,Quy_uoc_chung!$C$4-F252,"")</f>
        <v>-36</v>
      </c>
      <c r="K252" s="18" t="str">
        <f t="shared" si="24"/>
        <v>Chưa đến hạn</v>
      </c>
      <c r="L252" s="18">
        <f>IF(AND(G252&lt;&gt;"",G252&gt;Quy_uoc_chung!$C$4-TV1_Nguong!$C$4,G252&lt;=Quy_uoc_chung!$C$4),1,0)</f>
        <v>0</v>
      </c>
      <c r="M252" s="19" t="str">
        <f t="shared" si="25"/>
        <v/>
      </c>
      <c r="N252" s="20">
        <f t="shared" si="26"/>
        <v>0</v>
      </c>
      <c r="O252" s="19">
        <f t="shared" si="27"/>
        <v>60</v>
      </c>
      <c r="P252" s="20">
        <f t="shared" si="28"/>
        <v>0</v>
      </c>
      <c r="Q252" s="28">
        <f t="shared" si="29"/>
        <v>0</v>
      </c>
      <c r="R252" s="28">
        <f t="shared" si="30"/>
        <v>0</v>
      </c>
      <c r="S252" s="28">
        <f t="shared" si="31"/>
        <v>0</v>
      </c>
    </row>
    <row r="253" spans="1:19" x14ac:dyDescent="0.3">
      <c r="A253" s="15" t="s">
        <v>531</v>
      </c>
      <c r="B253" s="15" t="s">
        <v>56</v>
      </c>
      <c r="C253" s="15" t="s">
        <v>166</v>
      </c>
      <c r="D253" s="16">
        <v>104025000</v>
      </c>
      <c r="E253" s="17">
        <v>46269</v>
      </c>
      <c r="F253" s="17">
        <v>46314</v>
      </c>
      <c r="G253" s="17"/>
      <c r="H253" s="18">
        <f>IF(AND(E253&lt;=Quy_uoc_chung!$C$4,OR(G253="",G253&gt;Quy_uoc_chung!$C$4)),1,0)</f>
        <v>1</v>
      </c>
      <c r="I253" s="18">
        <f>IF(AND(E253&gt;=Quy_uoc_chung!$C$4-Quy_uoc_chung!$C$3+1,E253&lt;=Quy_uoc_chung!$C$4),1,0)</f>
        <v>1</v>
      </c>
      <c r="J253" s="19">
        <f>IF(H253=1,Quy_uoc_chung!$C$4-F253,"")</f>
        <v>-19</v>
      </c>
      <c r="K253" s="18" t="str">
        <f t="shared" si="24"/>
        <v>Chưa đến hạn</v>
      </c>
      <c r="L253" s="18">
        <f>IF(AND(G253&lt;&gt;"",G253&gt;Quy_uoc_chung!$C$4-TV1_Nguong!$C$4,G253&lt;=Quy_uoc_chung!$C$4),1,0)</f>
        <v>0</v>
      </c>
      <c r="M253" s="19" t="str">
        <f t="shared" si="25"/>
        <v/>
      </c>
      <c r="N253" s="20">
        <f t="shared" si="26"/>
        <v>0</v>
      </c>
      <c r="O253" s="19">
        <f t="shared" si="27"/>
        <v>45</v>
      </c>
      <c r="P253" s="20">
        <f t="shared" si="28"/>
        <v>0</v>
      </c>
      <c r="Q253" s="28">
        <f t="shared" si="29"/>
        <v>0</v>
      </c>
      <c r="R253" s="28">
        <f t="shared" si="30"/>
        <v>0</v>
      </c>
      <c r="S253" s="28">
        <f t="shared" si="31"/>
        <v>0</v>
      </c>
    </row>
    <row r="254" spans="1:19" x14ac:dyDescent="0.3">
      <c r="A254" s="15" t="s">
        <v>532</v>
      </c>
      <c r="B254" s="15" t="s">
        <v>56</v>
      </c>
      <c r="C254" s="15" t="s">
        <v>155</v>
      </c>
      <c r="D254" s="16">
        <v>132574000</v>
      </c>
      <c r="E254" s="17">
        <v>46278</v>
      </c>
      <c r="F254" s="17">
        <v>46323</v>
      </c>
      <c r="G254" s="17"/>
      <c r="H254" s="18">
        <f>IF(AND(E254&lt;=Quy_uoc_chung!$C$4,OR(G254="",G254&gt;Quy_uoc_chung!$C$4)),1,0)</f>
        <v>1</v>
      </c>
      <c r="I254" s="18">
        <f>IF(AND(E254&gt;=Quy_uoc_chung!$C$4-Quy_uoc_chung!$C$3+1,E254&lt;=Quy_uoc_chung!$C$4),1,0)</f>
        <v>1</v>
      </c>
      <c r="J254" s="19">
        <f>IF(H254=1,Quy_uoc_chung!$C$4-F254,"")</f>
        <v>-28</v>
      </c>
      <c r="K254" s="18" t="str">
        <f t="shared" si="24"/>
        <v>Chưa đến hạn</v>
      </c>
      <c r="L254" s="18">
        <f>IF(AND(G254&lt;&gt;"",G254&gt;Quy_uoc_chung!$C$4-TV1_Nguong!$C$4,G254&lt;=Quy_uoc_chung!$C$4),1,0)</f>
        <v>0</v>
      </c>
      <c r="M254" s="19" t="str">
        <f t="shared" si="25"/>
        <v/>
      </c>
      <c r="N254" s="20">
        <f t="shared" si="26"/>
        <v>0</v>
      </c>
      <c r="O254" s="19">
        <f t="shared" si="27"/>
        <v>45</v>
      </c>
      <c r="P254" s="20">
        <f t="shared" si="28"/>
        <v>0</v>
      </c>
      <c r="Q254" s="28">
        <f t="shared" si="29"/>
        <v>0</v>
      </c>
      <c r="R254" s="28">
        <f t="shared" si="30"/>
        <v>0</v>
      </c>
      <c r="S254" s="28">
        <f t="shared" si="31"/>
        <v>0</v>
      </c>
    </row>
    <row r="255" spans="1:19" x14ac:dyDescent="0.3">
      <c r="A255" s="15" t="s">
        <v>533</v>
      </c>
      <c r="B255" s="15" t="s">
        <v>56</v>
      </c>
      <c r="C255" s="15" t="s">
        <v>152</v>
      </c>
      <c r="D255" s="16">
        <v>157577000</v>
      </c>
      <c r="E255" s="17">
        <v>46274</v>
      </c>
      <c r="F255" s="17">
        <v>46334</v>
      </c>
      <c r="G255" s="17"/>
      <c r="H255" s="18">
        <f>IF(AND(E255&lt;=Quy_uoc_chung!$C$4,OR(G255="",G255&gt;Quy_uoc_chung!$C$4)),1,0)</f>
        <v>1</v>
      </c>
      <c r="I255" s="18">
        <f>IF(AND(E255&gt;=Quy_uoc_chung!$C$4-Quy_uoc_chung!$C$3+1,E255&lt;=Quy_uoc_chung!$C$4),1,0)</f>
        <v>1</v>
      </c>
      <c r="J255" s="19">
        <f>IF(H255=1,Quy_uoc_chung!$C$4-F255,"")</f>
        <v>-39</v>
      </c>
      <c r="K255" s="18" t="str">
        <f t="shared" si="24"/>
        <v>Chưa đến hạn</v>
      </c>
      <c r="L255" s="18">
        <f>IF(AND(G255&lt;&gt;"",G255&gt;Quy_uoc_chung!$C$4-TV1_Nguong!$C$4,G255&lt;=Quy_uoc_chung!$C$4),1,0)</f>
        <v>0</v>
      </c>
      <c r="M255" s="19" t="str">
        <f t="shared" si="25"/>
        <v/>
      </c>
      <c r="N255" s="20">
        <f t="shared" si="26"/>
        <v>0</v>
      </c>
      <c r="O255" s="19">
        <f t="shared" si="27"/>
        <v>60</v>
      </c>
      <c r="P255" s="20">
        <f t="shared" si="28"/>
        <v>0</v>
      </c>
      <c r="Q255" s="28">
        <f t="shared" si="29"/>
        <v>0</v>
      </c>
      <c r="R255" s="28">
        <f t="shared" si="30"/>
        <v>0</v>
      </c>
      <c r="S255" s="28">
        <f t="shared" si="31"/>
        <v>0</v>
      </c>
    </row>
    <row r="256" spans="1:19" x14ac:dyDescent="0.3">
      <c r="A256" s="15" t="s">
        <v>534</v>
      </c>
      <c r="B256" s="15" t="s">
        <v>56</v>
      </c>
      <c r="C256" s="15" t="s">
        <v>166</v>
      </c>
      <c r="D256" s="16">
        <v>117545000</v>
      </c>
      <c r="E256" s="17">
        <v>46276</v>
      </c>
      <c r="F256" s="17">
        <v>46321</v>
      </c>
      <c r="G256" s="17"/>
      <c r="H256" s="18">
        <f>IF(AND(E256&lt;=Quy_uoc_chung!$C$4,OR(G256="",G256&gt;Quy_uoc_chung!$C$4)),1,0)</f>
        <v>1</v>
      </c>
      <c r="I256" s="18">
        <f>IF(AND(E256&gt;=Quy_uoc_chung!$C$4-Quy_uoc_chung!$C$3+1,E256&lt;=Quy_uoc_chung!$C$4),1,0)</f>
        <v>1</v>
      </c>
      <c r="J256" s="19">
        <f>IF(H256=1,Quy_uoc_chung!$C$4-F256,"")</f>
        <v>-26</v>
      </c>
      <c r="K256" s="18" t="str">
        <f t="shared" si="24"/>
        <v>Chưa đến hạn</v>
      </c>
      <c r="L256" s="18">
        <f>IF(AND(G256&lt;&gt;"",G256&gt;Quy_uoc_chung!$C$4-TV1_Nguong!$C$4,G256&lt;=Quy_uoc_chung!$C$4),1,0)</f>
        <v>0</v>
      </c>
      <c r="M256" s="19" t="str">
        <f t="shared" si="25"/>
        <v/>
      </c>
      <c r="N256" s="20">
        <f t="shared" si="26"/>
        <v>0</v>
      </c>
      <c r="O256" s="19">
        <f t="shared" si="27"/>
        <v>45</v>
      </c>
      <c r="P256" s="20">
        <f t="shared" si="28"/>
        <v>0</v>
      </c>
      <c r="Q256" s="28">
        <f t="shared" si="29"/>
        <v>0</v>
      </c>
      <c r="R256" s="28">
        <f t="shared" si="30"/>
        <v>0</v>
      </c>
      <c r="S256" s="28">
        <f t="shared" si="31"/>
        <v>0</v>
      </c>
    </row>
    <row r="257" spans="1:19" x14ac:dyDescent="0.3">
      <c r="A257" s="15" t="s">
        <v>535</v>
      </c>
      <c r="B257" s="15" t="s">
        <v>56</v>
      </c>
      <c r="C257" s="15" t="s">
        <v>155</v>
      </c>
      <c r="D257" s="16">
        <v>177058000</v>
      </c>
      <c r="E257" s="17">
        <v>46281</v>
      </c>
      <c r="F257" s="17">
        <v>46326</v>
      </c>
      <c r="G257" s="17"/>
      <c r="H257" s="18">
        <f>IF(AND(E257&lt;=Quy_uoc_chung!$C$4,OR(G257="",G257&gt;Quy_uoc_chung!$C$4)),1,0)</f>
        <v>1</v>
      </c>
      <c r="I257" s="18">
        <f>IF(AND(E257&gt;=Quy_uoc_chung!$C$4-Quy_uoc_chung!$C$3+1,E257&lt;=Quy_uoc_chung!$C$4),1,0)</f>
        <v>1</v>
      </c>
      <c r="J257" s="19">
        <f>IF(H257=1,Quy_uoc_chung!$C$4-F257,"")</f>
        <v>-31</v>
      </c>
      <c r="K257" s="18" t="str">
        <f t="shared" si="24"/>
        <v>Chưa đến hạn</v>
      </c>
      <c r="L257" s="18">
        <f>IF(AND(G257&lt;&gt;"",G257&gt;Quy_uoc_chung!$C$4-TV1_Nguong!$C$4,G257&lt;=Quy_uoc_chung!$C$4),1,0)</f>
        <v>0</v>
      </c>
      <c r="M257" s="19" t="str">
        <f t="shared" si="25"/>
        <v/>
      </c>
      <c r="N257" s="20">
        <f t="shared" si="26"/>
        <v>0</v>
      </c>
      <c r="O257" s="19">
        <f t="shared" si="27"/>
        <v>45</v>
      </c>
      <c r="P257" s="20">
        <f t="shared" si="28"/>
        <v>0</v>
      </c>
      <c r="Q257" s="28">
        <f t="shared" si="29"/>
        <v>0</v>
      </c>
      <c r="R257" s="28">
        <f t="shared" si="30"/>
        <v>0</v>
      </c>
      <c r="S257" s="28">
        <f t="shared" si="31"/>
        <v>0</v>
      </c>
    </row>
    <row r="258" spans="1:19" x14ac:dyDescent="0.3">
      <c r="A258" s="15" t="s">
        <v>536</v>
      </c>
      <c r="B258" s="15" t="s">
        <v>56</v>
      </c>
      <c r="C258" s="15" t="s">
        <v>152</v>
      </c>
      <c r="D258" s="16">
        <v>149949000</v>
      </c>
      <c r="E258" s="17">
        <v>46285</v>
      </c>
      <c r="F258" s="17">
        <v>46345</v>
      </c>
      <c r="G258" s="17"/>
      <c r="H258" s="18">
        <f>IF(AND(E258&lt;=Quy_uoc_chung!$C$4,OR(G258="",G258&gt;Quy_uoc_chung!$C$4)),1,0)</f>
        <v>1</v>
      </c>
      <c r="I258" s="18">
        <f>IF(AND(E258&gt;=Quy_uoc_chung!$C$4-Quy_uoc_chung!$C$3+1,E258&lt;=Quy_uoc_chung!$C$4),1,0)</f>
        <v>1</v>
      </c>
      <c r="J258" s="19">
        <f>IF(H258=1,Quy_uoc_chung!$C$4-F258,"")</f>
        <v>-50</v>
      </c>
      <c r="K258" s="18" t="str">
        <f t="shared" si="24"/>
        <v>Chưa đến hạn</v>
      </c>
      <c r="L258" s="18">
        <f>IF(AND(G258&lt;&gt;"",G258&gt;Quy_uoc_chung!$C$4-TV1_Nguong!$C$4,G258&lt;=Quy_uoc_chung!$C$4),1,0)</f>
        <v>0</v>
      </c>
      <c r="M258" s="19" t="str">
        <f t="shared" si="25"/>
        <v/>
      </c>
      <c r="N258" s="20">
        <f t="shared" si="26"/>
        <v>0</v>
      </c>
      <c r="O258" s="19">
        <f t="shared" si="27"/>
        <v>60</v>
      </c>
      <c r="P258" s="20">
        <f t="shared" si="28"/>
        <v>0</v>
      </c>
      <c r="Q258" s="28">
        <f t="shared" si="29"/>
        <v>0</v>
      </c>
      <c r="R258" s="28">
        <f t="shared" si="30"/>
        <v>0</v>
      </c>
      <c r="S258" s="28">
        <f t="shared" si="31"/>
        <v>0</v>
      </c>
    </row>
    <row r="259" spans="1:19" x14ac:dyDescent="0.3">
      <c r="A259" s="15" t="s">
        <v>537</v>
      </c>
      <c r="B259" s="15" t="s">
        <v>56</v>
      </c>
      <c r="C259" s="15" t="s">
        <v>166</v>
      </c>
      <c r="D259" s="16">
        <v>145504000</v>
      </c>
      <c r="E259" s="17">
        <v>46282</v>
      </c>
      <c r="F259" s="17">
        <v>46327</v>
      </c>
      <c r="G259" s="17"/>
      <c r="H259" s="18">
        <f>IF(AND(E259&lt;=Quy_uoc_chung!$C$4,OR(G259="",G259&gt;Quy_uoc_chung!$C$4)),1,0)</f>
        <v>1</v>
      </c>
      <c r="I259" s="18">
        <f>IF(AND(E259&gt;=Quy_uoc_chung!$C$4-Quy_uoc_chung!$C$3+1,E259&lt;=Quy_uoc_chung!$C$4),1,0)</f>
        <v>1</v>
      </c>
      <c r="J259" s="19">
        <f>IF(H259=1,Quy_uoc_chung!$C$4-F259,"")</f>
        <v>-32</v>
      </c>
      <c r="K259" s="18" t="str">
        <f t="shared" ref="K259:K263" si="32">IF(H259=1,IF(J259&lt;=0,"Chưa đến hạn",IF(J259&lt;=30,"Quá hạn 1–30 ngày",IF(J259&lt;=60,"Quá hạn 31–60 ngày","Quá hạn &gt; 60 ngày"))),"")</f>
        <v>Chưa đến hạn</v>
      </c>
      <c r="L259" s="18">
        <f>IF(AND(G259&lt;&gt;"",G259&gt;Quy_uoc_chung!$C$4-TV1_Nguong!$C$4,G259&lt;=Quy_uoc_chung!$C$4),1,0)</f>
        <v>0</v>
      </c>
      <c r="M259" s="19" t="str">
        <f t="shared" ref="M259:M263" si="33">IF(L259=1,G259-F259,"")</f>
        <v/>
      </c>
      <c r="N259" s="20">
        <f t="shared" ref="N259:N263" si="34">IF(L259=1,D259*M259,0)</f>
        <v>0</v>
      </c>
      <c r="O259" s="19">
        <f t="shared" si="27"/>
        <v>45</v>
      </c>
      <c r="P259" s="20">
        <f t="shared" ref="P259:P263" si="35">IF(L259=1,D259*O259,0)</f>
        <v>0</v>
      </c>
      <c r="Q259" s="28">
        <f t="shared" si="29"/>
        <v>0</v>
      </c>
      <c r="R259" s="28">
        <f t="shared" ref="R259:R322" si="36">D259*Q259</f>
        <v>0</v>
      </c>
      <c r="S259" s="28">
        <f t="shared" si="31"/>
        <v>0</v>
      </c>
    </row>
    <row r="260" spans="1:19" x14ac:dyDescent="0.3">
      <c r="A260" s="15" t="s">
        <v>538</v>
      </c>
      <c r="B260" s="15" t="s">
        <v>56</v>
      </c>
      <c r="C260" s="15" t="s">
        <v>155</v>
      </c>
      <c r="D260" s="16">
        <v>158313000</v>
      </c>
      <c r="E260" s="17">
        <v>46289</v>
      </c>
      <c r="F260" s="17">
        <v>46334</v>
      </c>
      <c r="G260" s="17"/>
      <c r="H260" s="18">
        <f>IF(AND(E260&lt;=Quy_uoc_chung!$C$4,OR(G260="",G260&gt;Quy_uoc_chung!$C$4)),1,0)</f>
        <v>1</v>
      </c>
      <c r="I260" s="18">
        <f>IF(AND(E260&gt;=Quy_uoc_chung!$C$4-Quy_uoc_chung!$C$3+1,E260&lt;=Quy_uoc_chung!$C$4),1,0)</f>
        <v>1</v>
      </c>
      <c r="J260" s="19">
        <f>IF(H260=1,Quy_uoc_chung!$C$4-F260,"")</f>
        <v>-39</v>
      </c>
      <c r="K260" s="18" t="str">
        <f t="shared" si="32"/>
        <v>Chưa đến hạn</v>
      </c>
      <c r="L260" s="18">
        <f>IF(AND(G260&lt;&gt;"",G260&gt;Quy_uoc_chung!$C$4-TV1_Nguong!$C$4,G260&lt;=Quy_uoc_chung!$C$4),1,0)</f>
        <v>0</v>
      </c>
      <c r="M260" s="19" t="str">
        <f t="shared" si="33"/>
        <v/>
      </c>
      <c r="N260" s="20">
        <f t="shared" si="34"/>
        <v>0</v>
      </c>
      <c r="O260" s="19">
        <f t="shared" si="27"/>
        <v>45</v>
      </c>
      <c r="P260" s="20">
        <f t="shared" si="35"/>
        <v>0</v>
      </c>
      <c r="Q260" s="28">
        <f t="shared" si="29"/>
        <v>0</v>
      </c>
      <c r="R260" s="28">
        <f t="shared" si="36"/>
        <v>0</v>
      </c>
      <c r="S260" s="28">
        <f t="shared" si="31"/>
        <v>0</v>
      </c>
    </row>
    <row r="261" spans="1:19" x14ac:dyDescent="0.3">
      <c r="A261" s="15" t="s">
        <v>539</v>
      </c>
      <c r="B261" s="15" t="s">
        <v>56</v>
      </c>
      <c r="C261" s="15" t="s">
        <v>152</v>
      </c>
      <c r="D261" s="16">
        <v>204193000</v>
      </c>
      <c r="E261" s="17">
        <v>46291</v>
      </c>
      <c r="F261" s="17">
        <v>46351</v>
      </c>
      <c r="G261" s="17"/>
      <c r="H261" s="18">
        <f>IF(AND(E261&lt;=Quy_uoc_chung!$C$4,OR(G261="",G261&gt;Quy_uoc_chung!$C$4)),1,0)</f>
        <v>1</v>
      </c>
      <c r="I261" s="18">
        <f>IF(AND(E261&gt;=Quy_uoc_chung!$C$4-Quy_uoc_chung!$C$3+1,E261&lt;=Quy_uoc_chung!$C$4),1,0)</f>
        <v>1</v>
      </c>
      <c r="J261" s="19">
        <f>IF(H261=1,Quy_uoc_chung!$C$4-F261,"")</f>
        <v>-56</v>
      </c>
      <c r="K261" s="18" t="str">
        <f t="shared" si="32"/>
        <v>Chưa đến hạn</v>
      </c>
      <c r="L261" s="18">
        <f>IF(AND(G261&lt;&gt;"",G261&gt;Quy_uoc_chung!$C$4-TV1_Nguong!$C$4,G261&lt;=Quy_uoc_chung!$C$4),1,0)</f>
        <v>0</v>
      </c>
      <c r="M261" s="19" t="str">
        <f t="shared" si="33"/>
        <v/>
      </c>
      <c r="N261" s="20">
        <f t="shared" si="34"/>
        <v>0</v>
      </c>
      <c r="O261" s="19">
        <f t="shared" si="27"/>
        <v>60</v>
      </c>
      <c r="P261" s="20">
        <f t="shared" si="35"/>
        <v>0</v>
      </c>
      <c r="Q261" s="28">
        <f t="shared" si="29"/>
        <v>0</v>
      </c>
      <c r="R261" s="28">
        <f t="shared" si="36"/>
        <v>0</v>
      </c>
      <c r="S261" s="28">
        <f t="shared" si="31"/>
        <v>0</v>
      </c>
    </row>
    <row r="262" spans="1:19" x14ac:dyDescent="0.3">
      <c r="A262" s="15" t="s">
        <v>540</v>
      </c>
      <c r="B262" s="15" t="s">
        <v>56</v>
      </c>
      <c r="C262" s="15" t="s">
        <v>166</v>
      </c>
      <c r="D262" s="16">
        <v>137012000</v>
      </c>
      <c r="E262" s="17">
        <v>46289</v>
      </c>
      <c r="F262" s="17">
        <v>46334</v>
      </c>
      <c r="G262" s="17"/>
      <c r="H262" s="18">
        <f>IF(AND(E262&lt;=Quy_uoc_chung!$C$4,OR(G262="",G262&gt;Quy_uoc_chung!$C$4)),1,0)</f>
        <v>1</v>
      </c>
      <c r="I262" s="18">
        <f>IF(AND(E262&gt;=Quy_uoc_chung!$C$4-Quy_uoc_chung!$C$3+1,E262&lt;=Quy_uoc_chung!$C$4),1,0)</f>
        <v>1</v>
      </c>
      <c r="J262" s="19">
        <f>IF(H262=1,Quy_uoc_chung!$C$4-F262,"")</f>
        <v>-39</v>
      </c>
      <c r="K262" s="18" t="str">
        <f t="shared" si="32"/>
        <v>Chưa đến hạn</v>
      </c>
      <c r="L262" s="18">
        <f>IF(AND(G262&lt;&gt;"",G262&gt;Quy_uoc_chung!$C$4-TV1_Nguong!$C$4,G262&lt;=Quy_uoc_chung!$C$4),1,0)</f>
        <v>0</v>
      </c>
      <c r="M262" s="19" t="str">
        <f t="shared" si="33"/>
        <v/>
      </c>
      <c r="N262" s="20">
        <f t="shared" si="34"/>
        <v>0</v>
      </c>
      <c r="O262" s="19">
        <f t="shared" si="27"/>
        <v>45</v>
      </c>
      <c r="P262" s="20">
        <f t="shared" si="35"/>
        <v>0</v>
      </c>
      <c r="Q262" s="28">
        <f t="shared" si="29"/>
        <v>0</v>
      </c>
      <c r="R262" s="28">
        <f t="shared" si="36"/>
        <v>0</v>
      </c>
      <c r="S262" s="28">
        <f t="shared" si="31"/>
        <v>0</v>
      </c>
    </row>
    <row r="263" spans="1:19" x14ac:dyDescent="0.3">
      <c r="A263" s="15" t="s">
        <v>541</v>
      </c>
      <c r="B263" s="15" t="s">
        <v>56</v>
      </c>
      <c r="C263" s="15" t="s">
        <v>166</v>
      </c>
      <c r="D263" s="16">
        <v>135207000</v>
      </c>
      <c r="E263" s="17">
        <v>46295</v>
      </c>
      <c r="F263" s="17">
        <v>46340</v>
      </c>
      <c r="G263" s="17"/>
      <c r="H263" s="18">
        <f>IF(AND(E263&lt;=Quy_uoc_chung!$C$4,OR(G263="",G263&gt;Quy_uoc_chung!$C$4)),1,0)</f>
        <v>1</v>
      </c>
      <c r="I263" s="18">
        <f>IF(AND(E263&gt;=Quy_uoc_chung!$C$4-Quy_uoc_chung!$C$3+1,E263&lt;=Quy_uoc_chung!$C$4),1,0)</f>
        <v>1</v>
      </c>
      <c r="J263" s="19">
        <f>IF(H263=1,Quy_uoc_chung!$C$4-F263,"")</f>
        <v>-45</v>
      </c>
      <c r="K263" s="18" t="str">
        <f t="shared" si="32"/>
        <v>Chưa đến hạn</v>
      </c>
      <c r="L263" s="18">
        <f>IF(AND(G263&lt;&gt;"",G263&gt;Quy_uoc_chung!$C$4-TV1_Nguong!$C$4,G263&lt;=Quy_uoc_chung!$C$4),1,0)</f>
        <v>0</v>
      </c>
      <c r="M263" s="19" t="str">
        <f t="shared" si="33"/>
        <v/>
      </c>
      <c r="N263" s="20">
        <f t="shared" si="34"/>
        <v>0</v>
      </c>
      <c r="O263" s="19">
        <f t="shared" si="27"/>
        <v>45</v>
      </c>
      <c r="P263" s="20">
        <f t="shared" si="35"/>
        <v>0</v>
      </c>
      <c r="Q263" s="28">
        <f t="shared" si="29"/>
        <v>0</v>
      </c>
      <c r="R263" s="28">
        <f t="shared" si="36"/>
        <v>0</v>
      </c>
      <c r="S263" s="28">
        <f t="shared" si="31"/>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67"/>
  <sheetViews>
    <sheetView showGridLines="0" workbookViewId="0">
      <pane ySplit="2" topLeftCell="A70" activePane="bottomLeft" state="frozen"/>
      <selection pane="bottomLeft"/>
    </sheetView>
  </sheetViews>
  <sheetFormatPr defaultColWidth="8.6640625" defaultRowHeight="14.4" x14ac:dyDescent="0.3"/>
  <cols>
    <col min="1" max="2" width="16" customWidth="1"/>
    <col min="3" max="3" width="30" customWidth="1"/>
    <col min="4" max="17" width="16" customWidth="1"/>
  </cols>
  <sheetData>
    <row r="1" spans="1:20" x14ac:dyDescent="0.3">
      <c r="A1" s="1" t="s">
        <v>542</v>
      </c>
    </row>
    <row r="2" spans="1:20" ht="28.2" x14ac:dyDescent="0.3">
      <c r="A2" s="29" t="s">
        <v>266</v>
      </c>
      <c r="B2" s="29" t="s">
        <v>244</v>
      </c>
      <c r="C2" s="29" t="s">
        <v>543</v>
      </c>
      <c r="D2" s="29" t="s">
        <v>268</v>
      </c>
      <c r="E2" s="29" t="s">
        <v>269</v>
      </c>
      <c r="F2" s="29" t="s">
        <v>270</v>
      </c>
      <c r="G2" s="29" t="s">
        <v>271</v>
      </c>
      <c r="H2" s="29" t="s">
        <v>544</v>
      </c>
      <c r="I2" s="29" t="s">
        <v>545</v>
      </c>
      <c r="J2" s="29" t="s">
        <v>272</v>
      </c>
      <c r="K2" s="29" t="s">
        <v>273</v>
      </c>
      <c r="L2" s="29" t="s">
        <v>279</v>
      </c>
      <c r="M2" s="29" t="s">
        <v>546</v>
      </c>
      <c r="N2" s="29" t="s">
        <v>547</v>
      </c>
      <c r="O2" s="29" t="s">
        <v>548</v>
      </c>
      <c r="P2" s="29" t="s">
        <v>549</v>
      </c>
      <c r="Q2" s="29" t="s">
        <v>550</v>
      </c>
      <c r="R2" s="30" t="s">
        <v>1426</v>
      </c>
      <c r="S2" s="30" t="s">
        <v>1427</v>
      </c>
      <c r="T2" s="30" t="s">
        <v>1428</v>
      </c>
    </row>
    <row r="3" spans="1:20" x14ac:dyDescent="0.3">
      <c r="A3" s="15" t="s">
        <v>551</v>
      </c>
      <c r="B3" s="15" t="s">
        <v>54</v>
      </c>
      <c r="C3" s="15" t="s">
        <v>149</v>
      </c>
      <c r="D3" s="16">
        <v>206674000</v>
      </c>
      <c r="E3" s="17">
        <v>46114</v>
      </c>
      <c r="F3" s="17">
        <v>46144</v>
      </c>
      <c r="G3" s="17">
        <v>46148</v>
      </c>
      <c r="H3" s="15">
        <v>0.02</v>
      </c>
      <c r="I3" s="15">
        <v>10</v>
      </c>
      <c r="J3" s="18">
        <f>IF(AND(E3&lt;=Quy_uoc_chung!$C$4,OR(G3="",G3&gt;Quy_uoc_chung!$C$4)),1,0)</f>
        <v>0</v>
      </c>
      <c r="K3" s="18">
        <f>IF(AND(E3&gt;=Quy_uoc_chung!$C$4-Quy_uoc_chung!$C$3+1,E3&lt;=Quy_uoc_chung!$C$4),1,0)</f>
        <v>0</v>
      </c>
      <c r="L3" s="19">
        <f t="shared" ref="L3:L66" si="0">F3-E3</f>
        <v>30</v>
      </c>
      <c r="M3" s="20">
        <f t="shared" ref="M3:M66" si="1">IF(K3=1,D3*L3,0)</f>
        <v>0</v>
      </c>
      <c r="N3" s="21">
        <f t="shared" ref="N3:N66" si="2">IF(H3&gt;0,E3+I3,"")</f>
        <v>46124</v>
      </c>
      <c r="O3" s="18">
        <f>IF(AND(H3&gt;0,J3=1,N3&gt;=Quy_uoc_chung!$C$4),1,0)</f>
        <v>0</v>
      </c>
      <c r="P3" s="22" t="str">
        <f t="shared" ref="P3:P66" si="3">IF(O3=1,H3/(1-H3)*365/(L3-I3),"")</f>
        <v/>
      </c>
      <c r="Q3" s="20">
        <f t="shared" ref="Q3:Q66" si="4">IF(O3=1,D3*H3,0)</f>
        <v>0</v>
      </c>
      <c r="R3" s="28">
        <f>IF(J3=1,MAX(0,Quy_uoc_chung!$C$4-F3),0)</f>
        <v>0</v>
      </c>
      <c r="S3" s="28">
        <f t="shared" ref="S3:S66" si="5">IF(AND(J3=1,R3&gt;0),1,0)</f>
        <v>0</v>
      </c>
      <c r="T3" s="28">
        <f>IF(AND(J3=1,F3=Quy_uoc_chung!$C$4),1,0)</f>
        <v>0</v>
      </c>
    </row>
    <row r="4" spans="1:20" x14ac:dyDescent="0.3">
      <c r="A4" s="15" t="s">
        <v>552</v>
      </c>
      <c r="B4" s="15" t="s">
        <v>54</v>
      </c>
      <c r="C4" s="15" t="s">
        <v>147</v>
      </c>
      <c r="D4" s="16">
        <v>82531000</v>
      </c>
      <c r="E4" s="17">
        <v>46115</v>
      </c>
      <c r="F4" s="17">
        <v>46160</v>
      </c>
      <c r="G4" s="17">
        <v>46174</v>
      </c>
      <c r="H4" s="15">
        <v>0</v>
      </c>
      <c r="I4" s="15">
        <v>0</v>
      </c>
      <c r="J4" s="18">
        <f>IF(AND(E4&lt;=Quy_uoc_chung!$C$4,OR(G4="",G4&gt;Quy_uoc_chung!$C$4)),1,0)</f>
        <v>0</v>
      </c>
      <c r="K4" s="18">
        <f>IF(AND(E4&gt;=Quy_uoc_chung!$C$4-Quy_uoc_chung!$C$3+1,E4&lt;=Quy_uoc_chung!$C$4),1,0)</f>
        <v>0</v>
      </c>
      <c r="L4" s="19">
        <f t="shared" si="0"/>
        <v>45</v>
      </c>
      <c r="M4" s="20">
        <f t="shared" si="1"/>
        <v>0</v>
      </c>
      <c r="N4" s="21" t="str">
        <f t="shared" si="2"/>
        <v/>
      </c>
      <c r="O4" s="18">
        <f>IF(AND(H4&gt;0,J4=1,N4&gt;=Quy_uoc_chung!$C$4),1,0)</f>
        <v>0</v>
      </c>
      <c r="P4" s="22" t="str">
        <f t="shared" si="3"/>
        <v/>
      </c>
      <c r="Q4" s="20">
        <f t="shared" si="4"/>
        <v>0</v>
      </c>
      <c r="R4" s="28">
        <f>IF(J4=1,MAX(0,Quy_uoc_chung!$C$4-F4),0)</f>
        <v>0</v>
      </c>
      <c r="S4" s="28">
        <f t="shared" si="5"/>
        <v>0</v>
      </c>
      <c r="T4" s="28">
        <f>IF(AND(J4=1,F4=Quy_uoc_chung!$C$4),1,0)</f>
        <v>0</v>
      </c>
    </row>
    <row r="5" spans="1:20" x14ac:dyDescent="0.3">
      <c r="A5" s="15" t="s">
        <v>553</v>
      </c>
      <c r="B5" s="15" t="s">
        <v>54</v>
      </c>
      <c r="C5" s="15" t="s">
        <v>148</v>
      </c>
      <c r="D5" s="16">
        <v>34247000</v>
      </c>
      <c r="E5" s="17">
        <v>46113</v>
      </c>
      <c r="F5" s="17">
        <v>46128</v>
      </c>
      <c r="G5" s="17">
        <v>46128</v>
      </c>
      <c r="H5" s="15">
        <v>0</v>
      </c>
      <c r="I5" s="15">
        <v>0</v>
      </c>
      <c r="J5" s="18">
        <f>IF(AND(E5&lt;=Quy_uoc_chung!$C$4,OR(G5="",G5&gt;Quy_uoc_chung!$C$4)),1,0)</f>
        <v>0</v>
      </c>
      <c r="K5" s="18">
        <f>IF(AND(E5&gt;=Quy_uoc_chung!$C$4-Quy_uoc_chung!$C$3+1,E5&lt;=Quy_uoc_chung!$C$4),1,0)</f>
        <v>0</v>
      </c>
      <c r="L5" s="19">
        <f t="shared" si="0"/>
        <v>15</v>
      </c>
      <c r="M5" s="20">
        <f t="shared" si="1"/>
        <v>0</v>
      </c>
      <c r="N5" s="21" t="str">
        <f t="shared" si="2"/>
        <v/>
      </c>
      <c r="O5" s="18">
        <f>IF(AND(H5&gt;0,J5=1,N5&gt;=Quy_uoc_chung!$C$4),1,0)</f>
        <v>0</v>
      </c>
      <c r="P5" s="22" t="str">
        <f t="shared" si="3"/>
        <v/>
      </c>
      <c r="Q5" s="20">
        <f t="shared" si="4"/>
        <v>0</v>
      </c>
      <c r="R5" s="28">
        <f>IF(J5=1,MAX(0,Quy_uoc_chung!$C$4-F5),0)</f>
        <v>0</v>
      </c>
      <c r="S5" s="28">
        <f t="shared" si="5"/>
        <v>0</v>
      </c>
      <c r="T5" s="28">
        <f>IF(AND(J5=1,F5=Quy_uoc_chung!$C$4),1,0)</f>
        <v>0</v>
      </c>
    </row>
    <row r="6" spans="1:20" x14ac:dyDescent="0.3">
      <c r="A6" s="15" t="s">
        <v>554</v>
      </c>
      <c r="B6" s="15" t="s">
        <v>54</v>
      </c>
      <c r="C6" s="15" t="s">
        <v>150</v>
      </c>
      <c r="D6" s="16">
        <v>28745000</v>
      </c>
      <c r="E6" s="17">
        <v>46117</v>
      </c>
      <c r="F6" s="17">
        <v>46132</v>
      </c>
      <c r="G6" s="17">
        <v>46132</v>
      </c>
      <c r="H6" s="15">
        <v>0</v>
      </c>
      <c r="I6" s="15">
        <v>0</v>
      </c>
      <c r="J6" s="18">
        <f>IF(AND(E6&lt;=Quy_uoc_chung!$C$4,OR(G6="",G6&gt;Quy_uoc_chung!$C$4)),1,0)</f>
        <v>0</v>
      </c>
      <c r="K6" s="18">
        <f>IF(AND(E6&gt;=Quy_uoc_chung!$C$4-Quy_uoc_chung!$C$3+1,E6&lt;=Quy_uoc_chung!$C$4),1,0)</f>
        <v>0</v>
      </c>
      <c r="L6" s="19">
        <f t="shared" si="0"/>
        <v>15</v>
      </c>
      <c r="M6" s="20">
        <f t="shared" si="1"/>
        <v>0</v>
      </c>
      <c r="N6" s="21" t="str">
        <f t="shared" si="2"/>
        <v/>
      </c>
      <c r="O6" s="18">
        <f>IF(AND(H6&gt;0,J6=1,N6&gt;=Quy_uoc_chung!$C$4),1,0)</f>
        <v>0</v>
      </c>
      <c r="P6" s="22" t="str">
        <f t="shared" si="3"/>
        <v/>
      </c>
      <c r="Q6" s="20">
        <f t="shared" si="4"/>
        <v>0</v>
      </c>
      <c r="R6" s="28">
        <f>IF(J6=1,MAX(0,Quy_uoc_chung!$C$4-F6),0)</f>
        <v>0</v>
      </c>
      <c r="S6" s="28">
        <f t="shared" si="5"/>
        <v>0</v>
      </c>
      <c r="T6" s="28">
        <f>IF(AND(J6=1,F6=Quy_uoc_chung!$C$4),1,0)</f>
        <v>0</v>
      </c>
    </row>
    <row r="7" spans="1:20" x14ac:dyDescent="0.3">
      <c r="A7" s="15" t="s">
        <v>555</v>
      </c>
      <c r="B7" s="15" t="s">
        <v>54</v>
      </c>
      <c r="C7" s="15" t="s">
        <v>149</v>
      </c>
      <c r="D7" s="16">
        <v>199129000</v>
      </c>
      <c r="E7" s="17">
        <v>46120</v>
      </c>
      <c r="F7" s="17">
        <v>46150</v>
      </c>
      <c r="G7" s="17">
        <v>46151</v>
      </c>
      <c r="H7" s="15">
        <v>0.02</v>
      </c>
      <c r="I7" s="15">
        <v>10</v>
      </c>
      <c r="J7" s="18">
        <f>IF(AND(E7&lt;=Quy_uoc_chung!$C$4,OR(G7="",G7&gt;Quy_uoc_chung!$C$4)),1,0)</f>
        <v>0</v>
      </c>
      <c r="K7" s="18">
        <f>IF(AND(E7&gt;=Quy_uoc_chung!$C$4-Quy_uoc_chung!$C$3+1,E7&lt;=Quy_uoc_chung!$C$4),1,0)</f>
        <v>0</v>
      </c>
      <c r="L7" s="19">
        <f t="shared" si="0"/>
        <v>30</v>
      </c>
      <c r="M7" s="20">
        <f t="shared" si="1"/>
        <v>0</v>
      </c>
      <c r="N7" s="21">
        <f t="shared" si="2"/>
        <v>46130</v>
      </c>
      <c r="O7" s="18">
        <f>IF(AND(H7&gt;0,J7=1,N7&gt;=Quy_uoc_chung!$C$4),1,0)</f>
        <v>0</v>
      </c>
      <c r="P7" s="22" t="str">
        <f t="shared" si="3"/>
        <v/>
      </c>
      <c r="Q7" s="20">
        <f t="shared" si="4"/>
        <v>0</v>
      </c>
      <c r="R7" s="28">
        <f>IF(J7=1,MAX(0,Quy_uoc_chung!$C$4-F7),0)</f>
        <v>0</v>
      </c>
      <c r="S7" s="28">
        <f t="shared" si="5"/>
        <v>0</v>
      </c>
      <c r="T7" s="28">
        <f>IF(AND(J7=1,F7=Quy_uoc_chung!$C$4),1,0)</f>
        <v>0</v>
      </c>
    </row>
    <row r="8" spans="1:20" x14ac:dyDescent="0.3">
      <c r="A8" s="15" t="s">
        <v>556</v>
      </c>
      <c r="B8" s="15" t="s">
        <v>54</v>
      </c>
      <c r="C8" s="15" t="s">
        <v>147</v>
      </c>
      <c r="D8" s="16">
        <v>70116000</v>
      </c>
      <c r="E8" s="17">
        <v>46124</v>
      </c>
      <c r="F8" s="17">
        <v>46169</v>
      </c>
      <c r="G8" s="17">
        <v>46186</v>
      </c>
      <c r="H8" s="15">
        <v>0</v>
      </c>
      <c r="I8" s="15">
        <v>0</v>
      </c>
      <c r="J8" s="18">
        <f>IF(AND(E8&lt;=Quy_uoc_chung!$C$4,OR(G8="",G8&gt;Quy_uoc_chung!$C$4)),1,0)</f>
        <v>0</v>
      </c>
      <c r="K8" s="18">
        <f>IF(AND(E8&gt;=Quy_uoc_chung!$C$4-Quy_uoc_chung!$C$3+1,E8&lt;=Quy_uoc_chung!$C$4),1,0)</f>
        <v>0</v>
      </c>
      <c r="L8" s="19">
        <f t="shared" si="0"/>
        <v>45</v>
      </c>
      <c r="M8" s="20">
        <f t="shared" si="1"/>
        <v>0</v>
      </c>
      <c r="N8" s="21" t="str">
        <f t="shared" si="2"/>
        <v/>
      </c>
      <c r="O8" s="18">
        <f>IF(AND(H8&gt;0,J8=1,N8&gt;=Quy_uoc_chung!$C$4),1,0)</f>
        <v>0</v>
      </c>
      <c r="P8" s="22" t="str">
        <f t="shared" si="3"/>
        <v/>
      </c>
      <c r="Q8" s="20">
        <f t="shared" si="4"/>
        <v>0</v>
      </c>
      <c r="R8" s="28">
        <f>IF(J8=1,MAX(0,Quy_uoc_chung!$C$4-F8),0)</f>
        <v>0</v>
      </c>
      <c r="S8" s="28">
        <f t="shared" si="5"/>
        <v>0</v>
      </c>
      <c r="T8" s="28">
        <f>IF(AND(J8=1,F8=Quy_uoc_chung!$C$4),1,0)</f>
        <v>0</v>
      </c>
    </row>
    <row r="9" spans="1:20" x14ac:dyDescent="0.3">
      <c r="A9" s="15" t="s">
        <v>557</v>
      </c>
      <c r="B9" s="15" t="s">
        <v>54</v>
      </c>
      <c r="C9" s="15" t="s">
        <v>148</v>
      </c>
      <c r="D9" s="16">
        <v>44332000</v>
      </c>
      <c r="E9" s="17">
        <v>46124</v>
      </c>
      <c r="F9" s="17">
        <v>46139</v>
      </c>
      <c r="G9" s="17">
        <v>46139</v>
      </c>
      <c r="H9" s="15">
        <v>0</v>
      </c>
      <c r="I9" s="15">
        <v>0</v>
      </c>
      <c r="J9" s="18">
        <f>IF(AND(E9&lt;=Quy_uoc_chung!$C$4,OR(G9="",G9&gt;Quy_uoc_chung!$C$4)),1,0)</f>
        <v>0</v>
      </c>
      <c r="K9" s="18">
        <f>IF(AND(E9&gt;=Quy_uoc_chung!$C$4-Quy_uoc_chung!$C$3+1,E9&lt;=Quy_uoc_chung!$C$4),1,0)</f>
        <v>0</v>
      </c>
      <c r="L9" s="19">
        <f t="shared" si="0"/>
        <v>15</v>
      </c>
      <c r="M9" s="20">
        <f t="shared" si="1"/>
        <v>0</v>
      </c>
      <c r="N9" s="21" t="str">
        <f t="shared" si="2"/>
        <v/>
      </c>
      <c r="O9" s="18">
        <f>IF(AND(H9&gt;0,J9=1,N9&gt;=Quy_uoc_chung!$C$4),1,0)</f>
        <v>0</v>
      </c>
      <c r="P9" s="22" t="str">
        <f t="shared" si="3"/>
        <v/>
      </c>
      <c r="Q9" s="20">
        <f t="shared" si="4"/>
        <v>0</v>
      </c>
      <c r="R9" s="28">
        <f>IF(J9=1,MAX(0,Quy_uoc_chung!$C$4-F9),0)</f>
        <v>0</v>
      </c>
      <c r="S9" s="28">
        <f t="shared" si="5"/>
        <v>0</v>
      </c>
      <c r="T9" s="28">
        <f>IF(AND(J9=1,F9=Quy_uoc_chung!$C$4),1,0)</f>
        <v>0</v>
      </c>
    </row>
    <row r="10" spans="1:20" x14ac:dyDescent="0.3">
      <c r="A10" s="15" t="s">
        <v>558</v>
      </c>
      <c r="B10" s="15" t="s">
        <v>54</v>
      </c>
      <c r="C10" s="15" t="s">
        <v>150</v>
      </c>
      <c r="D10" s="16">
        <v>21434000</v>
      </c>
      <c r="E10" s="17">
        <v>46122</v>
      </c>
      <c r="F10" s="17">
        <v>46137</v>
      </c>
      <c r="G10" s="17">
        <v>46137</v>
      </c>
      <c r="H10" s="15">
        <v>0</v>
      </c>
      <c r="I10" s="15">
        <v>0</v>
      </c>
      <c r="J10" s="18">
        <f>IF(AND(E10&lt;=Quy_uoc_chung!$C$4,OR(G10="",G10&gt;Quy_uoc_chung!$C$4)),1,0)</f>
        <v>0</v>
      </c>
      <c r="K10" s="18">
        <f>IF(AND(E10&gt;=Quy_uoc_chung!$C$4-Quy_uoc_chung!$C$3+1,E10&lt;=Quy_uoc_chung!$C$4),1,0)</f>
        <v>0</v>
      </c>
      <c r="L10" s="19">
        <f t="shared" si="0"/>
        <v>15</v>
      </c>
      <c r="M10" s="20">
        <f t="shared" si="1"/>
        <v>0</v>
      </c>
      <c r="N10" s="21" t="str">
        <f t="shared" si="2"/>
        <v/>
      </c>
      <c r="O10" s="18">
        <f>IF(AND(H10&gt;0,J10=1,N10&gt;=Quy_uoc_chung!$C$4),1,0)</f>
        <v>0</v>
      </c>
      <c r="P10" s="22" t="str">
        <f t="shared" si="3"/>
        <v/>
      </c>
      <c r="Q10" s="20">
        <f t="shared" si="4"/>
        <v>0</v>
      </c>
      <c r="R10" s="28">
        <f>IF(J10=1,MAX(0,Quy_uoc_chung!$C$4-F10),0)</f>
        <v>0</v>
      </c>
      <c r="S10" s="28">
        <f t="shared" si="5"/>
        <v>0</v>
      </c>
      <c r="T10" s="28">
        <f>IF(AND(J10=1,F10=Quy_uoc_chung!$C$4),1,0)</f>
        <v>0</v>
      </c>
    </row>
    <row r="11" spans="1:20" x14ac:dyDescent="0.3">
      <c r="A11" s="15" t="s">
        <v>559</v>
      </c>
      <c r="B11" s="15" t="s">
        <v>54</v>
      </c>
      <c r="C11" s="15" t="s">
        <v>149</v>
      </c>
      <c r="D11" s="16">
        <v>163436000</v>
      </c>
      <c r="E11" s="17">
        <v>46131</v>
      </c>
      <c r="F11" s="17">
        <v>46161</v>
      </c>
      <c r="G11" s="17">
        <v>46171</v>
      </c>
      <c r="H11" s="15">
        <v>0.02</v>
      </c>
      <c r="I11" s="15">
        <v>10</v>
      </c>
      <c r="J11" s="18">
        <f>IF(AND(E11&lt;=Quy_uoc_chung!$C$4,OR(G11="",G11&gt;Quy_uoc_chung!$C$4)),1,0)</f>
        <v>0</v>
      </c>
      <c r="K11" s="18">
        <f>IF(AND(E11&gt;=Quy_uoc_chung!$C$4-Quy_uoc_chung!$C$3+1,E11&lt;=Quy_uoc_chung!$C$4),1,0)</f>
        <v>0</v>
      </c>
      <c r="L11" s="19">
        <f t="shared" si="0"/>
        <v>30</v>
      </c>
      <c r="M11" s="20">
        <f t="shared" si="1"/>
        <v>0</v>
      </c>
      <c r="N11" s="21">
        <f t="shared" si="2"/>
        <v>46141</v>
      </c>
      <c r="O11" s="18">
        <f>IF(AND(H11&gt;0,J11=1,N11&gt;=Quy_uoc_chung!$C$4),1,0)</f>
        <v>0</v>
      </c>
      <c r="P11" s="22" t="str">
        <f t="shared" si="3"/>
        <v/>
      </c>
      <c r="Q11" s="20">
        <f t="shared" si="4"/>
        <v>0</v>
      </c>
      <c r="R11" s="28">
        <f>IF(J11=1,MAX(0,Quy_uoc_chung!$C$4-F11),0)</f>
        <v>0</v>
      </c>
      <c r="S11" s="28">
        <f t="shared" si="5"/>
        <v>0</v>
      </c>
      <c r="T11" s="28">
        <f>IF(AND(J11=1,F11=Quy_uoc_chung!$C$4),1,0)</f>
        <v>0</v>
      </c>
    </row>
    <row r="12" spans="1:20" x14ac:dyDescent="0.3">
      <c r="A12" s="15" t="s">
        <v>560</v>
      </c>
      <c r="B12" s="15" t="s">
        <v>54</v>
      </c>
      <c r="C12" s="15" t="s">
        <v>147</v>
      </c>
      <c r="D12" s="16">
        <v>89218000</v>
      </c>
      <c r="E12" s="17">
        <v>46128</v>
      </c>
      <c r="F12" s="17">
        <v>46173</v>
      </c>
      <c r="G12" s="17">
        <v>46184</v>
      </c>
      <c r="H12" s="15">
        <v>0</v>
      </c>
      <c r="I12" s="15">
        <v>0</v>
      </c>
      <c r="J12" s="18">
        <f>IF(AND(E12&lt;=Quy_uoc_chung!$C$4,OR(G12="",G12&gt;Quy_uoc_chung!$C$4)),1,0)</f>
        <v>0</v>
      </c>
      <c r="K12" s="18">
        <f>IF(AND(E12&gt;=Quy_uoc_chung!$C$4-Quy_uoc_chung!$C$3+1,E12&lt;=Quy_uoc_chung!$C$4),1,0)</f>
        <v>0</v>
      </c>
      <c r="L12" s="19">
        <f t="shared" si="0"/>
        <v>45</v>
      </c>
      <c r="M12" s="20">
        <f t="shared" si="1"/>
        <v>0</v>
      </c>
      <c r="N12" s="21" t="str">
        <f t="shared" si="2"/>
        <v/>
      </c>
      <c r="O12" s="18">
        <f>IF(AND(H12&gt;0,J12=1,N12&gt;=Quy_uoc_chung!$C$4),1,0)</f>
        <v>0</v>
      </c>
      <c r="P12" s="22" t="str">
        <f t="shared" si="3"/>
        <v/>
      </c>
      <c r="Q12" s="20">
        <f t="shared" si="4"/>
        <v>0</v>
      </c>
      <c r="R12" s="28">
        <f>IF(J12=1,MAX(0,Quy_uoc_chung!$C$4-F12),0)</f>
        <v>0</v>
      </c>
      <c r="S12" s="28">
        <f t="shared" si="5"/>
        <v>0</v>
      </c>
      <c r="T12" s="28">
        <f>IF(AND(J12=1,F12=Quy_uoc_chung!$C$4),1,0)</f>
        <v>0</v>
      </c>
    </row>
    <row r="13" spans="1:20" x14ac:dyDescent="0.3">
      <c r="A13" s="15" t="s">
        <v>561</v>
      </c>
      <c r="B13" s="15" t="s">
        <v>54</v>
      </c>
      <c r="C13" s="15" t="s">
        <v>148</v>
      </c>
      <c r="D13" s="16">
        <v>48011000</v>
      </c>
      <c r="E13" s="17">
        <v>46131</v>
      </c>
      <c r="F13" s="17">
        <v>46146</v>
      </c>
      <c r="G13" s="17">
        <v>46146</v>
      </c>
      <c r="H13" s="15">
        <v>0</v>
      </c>
      <c r="I13" s="15">
        <v>0</v>
      </c>
      <c r="J13" s="18">
        <f>IF(AND(E13&lt;=Quy_uoc_chung!$C$4,OR(G13="",G13&gt;Quy_uoc_chung!$C$4)),1,0)</f>
        <v>0</v>
      </c>
      <c r="K13" s="18">
        <f>IF(AND(E13&gt;=Quy_uoc_chung!$C$4-Quy_uoc_chung!$C$3+1,E13&lt;=Quy_uoc_chung!$C$4),1,0)</f>
        <v>0</v>
      </c>
      <c r="L13" s="19">
        <f t="shared" si="0"/>
        <v>15</v>
      </c>
      <c r="M13" s="20">
        <f t="shared" si="1"/>
        <v>0</v>
      </c>
      <c r="N13" s="21" t="str">
        <f t="shared" si="2"/>
        <v/>
      </c>
      <c r="O13" s="18">
        <f>IF(AND(H13&gt;0,J13=1,N13&gt;=Quy_uoc_chung!$C$4),1,0)</f>
        <v>0</v>
      </c>
      <c r="P13" s="22" t="str">
        <f t="shared" si="3"/>
        <v/>
      </c>
      <c r="Q13" s="20">
        <f t="shared" si="4"/>
        <v>0</v>
      </c>
      <c r="R13" s="28">
        <f>IF(J13=1,MAX(0,Quy_uoc_chung!$C$4-F13),0)</f>
        <v>0</v>
      </c>
      <c r="S13" s="28">
        <f t="shared" si="5"/>
        <v>0</v>
      </c>
      <c r="T13" s="28">
        <f>IF(AND(J13=1,F13=Quy_uoc_chung!$C$4),1,0)</f>
        <v>0</v>
      </c>
    </row>
    <row r="14" spans="1:20" x14ac:dyDescent="0.3">
      <c r="A14" s="15" t="s">
        <v>562</v>
      </c>
      <c r="B14" s="15" t="s">
        <v>54</v>
      </c>
      <c r="C14" s="15" t="s">
        <v>150</v>
      </c>
      <c r="D14" s="16">
        <v>27129000</v>
      </c>
      <c r="E14" s="17">
        <v>46127</v>
      </c>
      <c r="F14" s="17">
        <v>46142</v>
      </c>
      <c r="G14" s="17">
        <v>46141</v>
      </c>
      <c r="H14" s="15">
        <v>0</v>
      </c>
      <c r="I14" s="15">
        <v>0</v>
      </c>
      <c r="J14" s="18">
        <f>IF(AND(E14&lt;=Quy_uoc_chung!$C$4,OR(G14="",G14&gt;Quy_uoc_chung!$C$4)),1,0)</f>
        <v>0</v>
      </c>
      <c r="K14" s="18">
        <f>IF(AND(E14&gt;=Quy_uoc_chung!$C$4-Quy_uoc_chung!$C$3+1,E14&lt;=Quy_uoc_chung!$C$4),1,0)</f>
        <v>0</v>
      </c>
      <c r="L14" s="19">
        <f t="shared" si="0"/>
        <v>15</v>
      </c>
      <c r="M14" s="20">
        <f t="shared" si="1"/>
        <v>0</v>
      </c>
      <c r="N14" s="21" t="str">
        <f t="shared" si="2"/>
        <v/>
      </c>
      <c r="O14" s="18">
        <f>IF(AND(H14&gt;0,J14=1,N14&gt;=Quy_uoc_chung!$C$4),1,0)</f>
        <v>0</v>
      </c>
      <c r="P14" s="22" t="str">
        <f t="shared" si="3"/>
        <v/>
      </c>
      <c r="Q14" s="20">
        <f t="shared" si="4"/>
        <v>0</v>
      </c>
      <c r="R14" s="28">
        <f>IF(J14=1,MAX(0,Quy_uoc_chung!$C$4-F14),0)</f>
        <v>0</v>
      </c>
      <c r="S14" s="28">
        <f t="shared" si="5"/>
        <v>0</v>
      </c>
      <c r="T14" s="28">
        <f>IF(AND(J14=1,F14=Quy_uoc_chung!$C$4),1,0)</f>
        <v>0</v>
      </c>
    </row>
    <row r="15" spans="1:20" x14ac:dyDescent="0.3">
      <c r="A15" s="15" t="s">
        <v>563</v>
      </c>
      <c r="B15" s="15" t="s">
        <v>54</v>
      </c>
      <c r="C15" s="15" t="s">
        <v>149</v>
      </c>
      <c r="D15" s="16">
        <v>148861000</v>
      </c>
      <c r="E15" s="17">
        <v>46137</v>
      </c>
      <c r="F15" s="17">
        <v>46167</v>
      </c>
      <c r="G15" s="17">
        <v>46174</v>
      </c>
      <c r="H15" s="15">
        <v>0.02</v>
      </c>
      <c r="I15" s="15">
        <v>10</v>
      </c>
      <c r="J15" s="18">
        <f>IF(AND(E15&lt;=Quy_uoc_chung!$C$4,OR(G15="",G15&gt;Quy_uoc_chung!$C$4)),1,0)</f>
        <v>0</v>
      </c>
      <c r="K15" s="18">
        <f>IF(AND(E15&gt;=Quy_uoc_chung!$C$4-Quy_uoc_chung!$C$3+1,E15&lt;=Quy_uoc_chung!$C$4),1,0)</f>
        <v>0</v>
      </c>
      <c r="L15" s="19">
        <f t="shared" si="0"/>
        <v>30</v>
      </c>
      <c r="M15" s="20">
        <f t="shared" si="1"/>
        <v>0</v>
      </c>
      <c r="N15" s="21">
        <f t="shared" si="2"/>
        <v>46147</v>
      </c>
      <c r="O15" s="18">
        <f>IF(AND(H15&gt;0,J15=1,N15&gt;=Quy_uoc_chung!$C$4),1,0)</f>
        <v>0</v>
      </c>
      <c r="P15" s="22" t="str">
        <f t="shared" si="3"/>
        <v/>
      </c>
      <c r="Q15" s="20">
        <f t="shared" si="4"/>
        <v>0</v>
      </c>
      <c r="R15" s="28">
        <f>IF(J15=1,MAX(0,Quy_uoc_chung!$C$4-F15),0)</f>
        <v>0</v>
      </c>
      <c r="S15" s="28">
        <f t="shared" si="5"/>
        <v>0</v>
      </c>
      <c r="T15" s="28">
        <f>IF(AND(J15=1,F15=Quy_uoc_chung!$C$4),1,0)</f>
        <v>0</v>
      </c>
    </row>
    <row r="16" spans="1:20" x14ac:dyDescent="0.3">
      <c r="A16" s="15" t="s">
        <v>564</v>
      </c>
      <c r="B16" s="15" t="s">
        <v>54</v>
      </c>
      <c r="C16" s="15" t="s">
        <v>147</v>
      </c>
      <c r="D16" s="16">
        <v>101732000</v>
      </c>
      <c r="E16" s="17">
        <v>46134</v>
      </c>
      <c r="F16" s="17">
        <v>46179</v>
      </c>
      <c r="G16" s="17">
        <v>46187</v>
      </c>
      <c r="H16" s="15">
        <v>0</v>
      </c>
      <c r="I16" s="15">
        <v>0</v>
      </c>
      <c r="J16" s="18">
        <f>IF(AND(E16&lt;=Quy_uoc_chung!$C$4,OR(G16="",G16&gt;Quy_uoc_chung!$C$4)),1,0)</f>
        <v>0</v>
      </c>
      <c r="K16" s="18">
        <f>IF(AND(E16&gt;=Quy_uoc_chung!$C$4-Quy_uoc_chung!$C$3+1,E16&lt;=Quy_uoc_chung!$C$4),1,0)</f>
        <v>0</v>
      </c>
      <c r="L16" s="19">
        <f t="shared" si="0"/>
        <v>45</v>
      </c>
      <c r="M16" s="20">
        <f t="shared" si="1"/>
        <v>0</v>
      </c>
      <c r="N16" s="21" t="str">
        <f t="shared" si="2"/>
        <v/>
      </c>
      <c r="O16" s="18">
        <f>IF(AND(H16&gt;0,J16=1,N16&gt;=Quy_uoc_chung!$C$4),1,0)</f>
        <v>0</v>
      </c>
      <c r="P16" s="22" t="str">
        <f t="shared" si="3"/>
        <v/>
      </c>
      <c r="Q16" s="20">
        <f t="shared" si="4"/>
        <v>0</v>
      </c>
      <c r="R16" s="28">
        <f>IF(J16=1,MAX(0,Quy_uoc_chung!$C$4-F16),0)</f>
        <v>0</v>
      </c>
      <c r="S16" s="28">
        <f t="shared" si="5"/>
        <v>0</v>
      </c>
      <c r="T16" s="28">
        <f>IF(AND(J16=1,F16=Quy_uoc_chung!$C$4),1,0)</f>
        <v>0</v>
      </c>
    </row>
    <row r="17" spans="1:20" x14ac:dyDescent="0.3">
      <c r="A17" s="15" t="s">
        <v>565</v>
      </c>
      <c r="B17" s="15" t="s">
        <v>54</v>
      </c>
      <c r="C17" s="15" t="s">
        <v>148</v>
      </c>
      <c r="D17" s="16">
        <v>45626000</v>
      </c>
      <c r="E17" s="17">
        <v>46136</v>
      </c>
      <c r="F17" s="17">
        <v>46151</v>
      </c>
      <c r="G17" s="17">
        <v>46150</v>
      </c>
      <c r="H17" s="15">
        <v>0</v>
      </c>
      <c r="I17" s="15">
        <v>0</v>
      </c>
      <c r="J17" s="18">
        <f>IF(AND(E17&lt;=Quy_uoc_chung!$C$4,OR(G17="",G17&gt;Quy_uoc_chung!$C$4)),1,0)</f>
        <v>0</v>
      </c>
      <c r="K17" s="18">
        <f>IF(AND(E17&gt;=Quy_uoc_chung!$C$4-Quy_uoc_chung!$C$3+1,E17&lt;=Quy_uoc_chung!$C$4),1,0)</f>
        <v>0</v>
      </c>
      <c r="L17" s="19">
        <f t="shared" si="0"/>
        <v>15</v>
      </c>
      <c r="M17" s="20">
        <f t="shared" si="1"/>
        <v>0</v>
      </c>
      <c r="N17" s="21" t="str">
        <f t="shared" si="2"/>
        <v/>
      </c>
      <c r="O17" s="18">
        <f>IF(AND(H17&gt;0,J17=1,N17&gt;=Quy_uoc_chung!$C$4),1,0)</f>
        <v>0</v>
      </c>
      <c r="P17" s="22" t="str">
        <f t="shared" si="3"/>
        <v/>
      </c>
      <c r="Q17" s="20">
        <f t="shared" si="4"/>
        <v>0</v>
      </c>
      <c r="R17" s="28">
        <f>IF(J17=1,MAX(0,Quy_uoc_chung!$C$4-F17),0)</f>
        <v>0</v>
      </c>
      <c r="S17" s="28">
        <f t="shared" si="5"/>
        <v>0</v>
      </c>
      <c r="T17" s="28">
        <f>IF(AND(J17=1,F17=Quy_uoc_chung!$C$4),1,0)</f>
        <v>0</v>
      </c>
    </row>
    <row r="18" spans="1:20" x14ac:dyDescent="0.3">
      <c r="A18" s="15" t="s">
        <v>566</v>
      </c>
      <c r="B18" s="15" t="s">
        <v>54</v>
      </c>
      <c r="C18" s="15" t="s">
        <v>150</v>
      </c>
      <c r="D18" s="16">
        <v>30159000</v>
      </c>
      <c r="E18" s="17">
        <v>46138</v>
      </c>
      <c r="F18" s="17">
        <v>46153</v>
      </c>
      <c r="G18" s="17">
        <v>46154</v>
      </c>
      <c r="H18" s="15">
        <v>0</v>
      </c>
      <c r="I18" s="15">
        <v>0</v>
      </c>
      <c r="J18" s="18">
        <f>IF(AND(E18&lt;=Quy_uoc_chung!$C$4,OR(G18="",G18&gt;Quy_uoc_chung!$C$4)),1,0)</f>
        <v>0</v>
      </c>
      <c r="K18" s="18">
        <f>IF(AND(E18&gt;=Quy_uoc_chung!$C$4-Quy_uoc_chung!$C$3+1,E18&lt;=Quy_uoc_chung!$C$4),1,0)</f>
        <v>0</v>
      </c>
      <c r="L18" s="19">
        <f t="shared" si="0"/>
        <v>15</v>
      </c>
      <c r="M18" s="20">
        <f t="shared" si="1"/>
        <v>0</v>
      </c>
      <c r="N18" s="21" t="str">
        <f t="shared" si="2"/>
        <v/>
      </c>
      <c r="O18" s="18">
        <f>IF(AND(H18&gt;0,J18=1,N18&gt;=Quy_uoc_chung!$C$4),1,0)</f>
        <v>0</v>
      </c>
      <c r="P18" s="22" t="str">
        <f t="shared" si="3"/>
        <v/>
      </c>
      <c r="Q18" s="20">
        <f t="shared" si="4"/>
        <v>0</v>
      </c>
      <c r="R18" s="28">
        <f>IF(J18=1,MAX(0,Quy_uoc_chung!$C$4-F18),0)</f>
        <v>0</v>
      </c>
      <c r="S18" s="28">
        <f t="shared" si="5"/>
        <v>0</v>
      </c>
      <c r="T18" s="28">
        <f>IF(AND(J18=1,F18=Quy_uoc_chung!$C$4),1,0)</f>
        <v>0</v>
      </c>
    </row>
    <row r="19" spans="1:20" x14ac:dyDescent="0.3">
      <c r="A19" s="15" t="s">
        <v>567</v>
      </c>
      <c r="B19" s="15" t="s">
        <v>54</v>
      </c>
      <c r="C19" s="15" t="s">
        <v>149</v>
      </c>
      <c r="D19" s="16">
        <v>211396000</v>
      </c>
      <c r="E19" s="17">
        <v>46141</v>
      </c>
      <c r="F19" s="17">
        <v>46171</v>
      </c>
      <c r="G19" s="17">
        <v>46174</v>
      </c>
      <c r="H19" s="15">
        <v>0.02</v>
      </c>
      <c r="I19" s="15">
        <v>10</v>
      </c>
      <c r="J19" s="18">
        <f>IF(AND(E19&lt;=Quy_uoc_chung!$C$4,OR(G19="",G19&gt;Quy_uoc_chung!$C$4)),1,0)</f>
        <v>0</v>
      </c>
      <c r="K19" s="18">
        <f>IF(AND(E19&gt;=Quy_uoc_chung!$C$4-Quy_uoc_chung!$C$3+1,E19&lt;=Quy_uoc_chung!$C$4),1,0)</f>
        <v>0</v>
      </c>
      <c r="L19" s="19">
        <f t="shared" si="0"/>
        <v>30</v>
      </c>
      <c r="M19" s="20">
        <f t="shared" si="1"/>
        <v>0</v>
      </c>
      <c r="N19" s="21">
        <f t="shared" si="2"/>
        <v>46151</v>
      </c>
      <c r="O19" s="18">
        <f>IF(AND(H19&gt;0,J19=1,N19&gt;=Quy_uoc_chung!$C$4),1,0)</f>
        <v>0</v>
      </c>
      <c r="P19" s="22" t="str">
        <f t="shared" si="3"/>
        <v/>
      </c>
      <c r="Q19" s="20">
        <f t="shared" si="4"/>
        <v>0</v>
      </c>
      <c r="R19" s="28">
        <f>IF(J19=1,MAX(0,Quy_uoc_chung!$C$4-F19),0)</f>
        <v>0</v>
      </c>
      <c r="S19" s="28">
        <f t="shared" si="5"/>
        <v>0</v>
      </c>
      <c r="T19" s="28">
        <f>IF(AND(J19=1,F19=Quy_uoc_chung!$C$4),1,0)</f>
        <v>0</v>
      </c>
    </row>
    <row r="20" spans="1:20" x14ac:dyDescent="0.3">
      <c r="A20" s="15" t="s">
        <v>568</v>
      </c>
      <c r="B20" s="15" t="s">
        <v>54</v>
      </c>
      <c r="C20" s="15" t="s">
        <v>147</v>
      </c>
      <c r="D20" s="16">
        <v>71471000</v>
      </c>
      <c r="E20" s="17">
        <v>46142</v>
      </c>
      <c r="F20" s="17">
        <v>46187</v>
      </c>
      <c r="G20" s="17">
        <v>46194</v>
      </c>
      <c r="H20" s="15">
        <v>0</v>
      </c>
      <c r="I20" s="15">
        <v>0</v>
      </c>
      <c r="J20" s="18">
        <f>IF(AND(E20&lt;=Quy_uoc_chung!$C$4,OR(G20="",G20&gt;Quy_uoc_chung!$C$4)),1,0)</f>
        <v>0</v>
      </c>
      <c r="K20" s="18">
        <f>IF(AND(E20&gt;=Quy_uoc_chung!$C$4-Quy_uoc_chung!$C$3+1,E20&lt;=Quy_uoc_chung!$C$4),1,0)</f>
        <v>0</v>
      </c>
      <c r="L20" s="19">
        <f t="shared" si="0"/>
        <v>45</v>
      </c>
      <c r="M20" s="20">
        <f t="shared" si="1"/>
        <v>0</v>
      </c>
      <c r="N20" s="21" t="str">
        <f t="shared" si="2"/>
        <v/>
      </c>
      <c r="O20" s="18">
        <f>IF(AND(H20&gt;0,J20=1,N20&gt;=Quy_uoc_chung!$C$4),1,0)</f>
        <v>0</v>
      </c>
      <c r="P20" s="22" t="str">
        <f t="shared" si="3"/>
        <v/>
      </c>
      <c r="Q20" s="20">
        <f t="shared" si="4"/>
        <v>0</v>
      </c>
      <c r="R20" s="28">
        <f>IF(J20=1,MAX(0,Quy_uoc_chung!$C$4-F20),0)</f>
        <v>0</v>
      </c>
      <c r="S20" s="28">
        <f t="shared" si="5"/>
        <v>0</v>
      </c>
      <c r="T20" s="28">
        <f>IF(AND(J20=1,F20=Quy_uoc_chung!$C$4),1,0)</f>
        <v>0</v>
      </c>
    </row>
    <row r="21" spans="1:20" x14ac:dyDescent="0.3">
      <c r="A21" s="15" t="s">
        <v>569</v>
      </c>
      <c r="B21" s="15" t="s">
        <v>54</v>
      </c>
      <c r="C21" s="15" t="s">
        <v>148</v>
      </c>
      <c r="D21" s="16">
        <v>46881000</v>
      </c>
      <c r="E21" s="17">
        <v>46143</v>
      </c>
      <c r="F21" s="17">
        <v>46158</v>
      </c>
      <c r="G21" s="17">
        <v>46160</v>
      </c>
      <c r="H21" s="15">
        <v>0</v>
      </c>
      <c r="I21" s="15">
        <v>0</v>
      </c>
      <c r="J21" s="18">
        <f>IF(AND(E21&lt;=Quy_uoc_chung!$C$4,OR(G21="",G21&gt;Quy_uoc_chung!$C$4)),1,0)</f>
        <v>0</v>
      </c>
      <c r="K21" s="18">
        <f>IF(AND(E21&gt;=Quy_uoc_chung!$C$4-Quy_uoc_chung!$C$3+1,E21&lt;=Quy_uoc_chung!$C$4),1,0)</f>
        <v>0</v>
      </c>
      <c r="L21" s="19">
        <f t="shared" si="0"/>
        <v>15</v>
      </c>
      <c r="M21" s="20">
        <f t="shared" si="1"/>
        <v>0</v>
      </c>
      <c r="N21" s="21" t="str">
        <f t="shared" si="2"/>
        <v/>
      </c>
      <c r="O21" s="18">
        <f>IF(AND(H21&gt;0,J21=1,N21&gt;=Quy_uoc_chung!$C$4),1,0)</f>
        <v>0</v>
      </c>
      <c r="P21" s="22" t="str">
        <f t="shared" si="3"/>
        <v/>
      </c>
      <c r="Q21" s="20">
        <f t="shared" si="4"/>
        <v>0</v>
      </c>
      <c r="R21" s="28">
        <f>IF(J21=1,MAX(0,Quy_uoc_chung!$C$4-F21),0)</f>
        <v>0</v>
      </c>
      <c r="S21" s="28">
        <f t="shared" si="5"/>
        <v>0</v>
      </c>
      <c r="T21" s="28">
        <f>IF(AND(J21=1,F21=Quy_uoc_chung!$C$4),1,0)</f>
        <v>0</v>
      </c>
    </row>
    <row r="22" spans="1:20" x14ac:dyDescent="0.3">
      <c r="A22" s="15" t="s">
        <v>570</v>
      </c>
      <c r="B22" s="15" t="s">
        <v>54</v>
      </c>
      <c r="C22" s="15" t="s">
        <v>150</v>
      </c>
      <c r="D22" s="16">
        <v>25246000</v>
      </c>
      <c r="E22" s="17">
        <v>46141</v>
      </c>
      <c r="F22" s="17">
        <v>46156</v>
      </c>
      <c r="G22" s="17">
        <v>46157</v>
      </c>
      <c r="H22" s="15">
        <v>0</v>
      </c>
      <c r="I22" s="15">
        <v>0</v>
      </c>
      <c r="J22" s="18">
        <f>IF(AND(E22&lt;=Quy_uoc_chung!$C$4,OR(G22="",G22&gt;Quy_uoc_chung!$C$4)),1,0)</f>
        <v>0</v>
      </c>
      <c r="K22" s="18">
        <f>IF(AND(E22&gt;=Quy_uoc_chung!$C$4-Quy_uoc_chung!$C$3+1,E22&lt;=Quy_uoc_chung!$C$4),1,0)</f>
        <v>0</v>
      </c>
      <c r="L22" s="19">
        <f t="shared" si="0"/>
        <v>15</v>
      </c>
      <c r="M22" s="20">
        <f t="shared" si="1"/>
        <v>0</v>
      </c>
      <c r="N22" s="21" t="str">
        <f t="shared" si="2"/>
        <v/>
      </c>
      <c r="O22" s="18">
        <f>IF(AND(H22&gt;0,J22=1,N22&gt;=Quy_uoc_chung!$C$4),1,0)</f>
        <v>0</v>
      </c>
      <c r="P22" s="22" t="str">
        <f t="shared" si="3"/>
        <v/>
      </c>
      <c r="Q22" s="20">
        <f t="shared" si="4"/>
        <v>0</v>
      </c>
      <c r="R22" s="28">
        <f>IF(J22=1,MAX(0,Quy_uoc_chung!$C$4-F22),0)</f>
        <v>0</v>
      </c>
      <c r="S22" s="28">
        <f t="shared" si="5"/>
        <v>0</v>
      </c>
      <c r="T22" s="28">
        <f>IF(AND(J22=1,F22=Quy_uoc_chung!$C$4),1,0)</f>
        <v>0</v>
      </c>
    </row>
    <row r="23" spans="1:20" x14ac:dyDescent="0.3">
      <c r="A23" s="15" t="s">
        <v>571</v>
      </c>
      <c r="B23" s="15" t="s">
        <v>54</v>
      </c>
      <c r="C23" s="15" t="s">
        <v>149</v>
      </c>
      <c r="D23" s="16">
        <v>195288000</v>
      </c>
      <c r="E23" s="17">
        <v>46149</v>
      </c>
      <c r="F23" s="17">
        <v>46179</v>
      </c>
      <c r="G23" s="17">
        <v>46178</v>
      </c>
      <c r="H23" s="15">
        <v>0.02</v>
      </c>
      <c r="I23" s="15">
        <v>10</v>
      </c>
      <c r="J23" s="18">
        <f>IF(AND(E23&lt;=Quy_uoc_chung!$C$4,OR(G23="",G23&gt;Quy_uoc_chung!$C$4)),1,0)</f>
        <v>0</v>
      </c>
      <c r="K23" s="18">
        <f>IF(AND(E23&gt;=Quy_uoc_chung!$C$4-Quy_uoc_chung!$C$3+1,E23&lt;=Quy_uoc_chung!$C$4),1,0)</f>
        <v>0</v>
      </c>
      <c r="L23" s="19">
        <f t="shared" si="0"/>
        <v>30</v>
      </c>
      <c r="M23" s="20">
        <f t="shared" si="1"/>
        <v>0</v>
      </c>
      <c r="N23" s="21">
        <f t="shared" si="2"/>
        <v>46159</v>
      </c>
      <c r="O23" s="18">
        <f>IF(AND(H23&gt;0,J23=1,N23&gt;=Quy_uoc_chung!$C$4),1,0)</f>
        <v>0</v>
      </c>
      <c r="P23" s="22" t="str">
        <f t="shared" si="3"/>
        <v/>
      </c>
      <c r="Q23" s="20">
        <f t="shared" si="4"/>
        <v>0</v>
      </c>
      <c r="R23" s="28">
        <f>IF(J23=1,MAX(0,Quy_uoc_chung!$C$4-F23),0)</f>
        <v>0</v>
      </c>
      <c r="S23" s="28">
        <f t="shared" si="5"/>
        <v>0</v>
      </c>
      <c r="T23" s="28">
        <f>IF(AND(J23=1,F23=Quy_uoc_chung!$C$4),1,0)</f>
        <v>0</v>
      </c>
    </row>
    <row r="24" spans="1:20" x14ac:dyDescent="0.3">
      <c r="A24" s="15" t="s">
        <v>572</v>
      </c>
      <c r="B24" s="15" t="s">
        <v>54</v>
      </c>
      <c r="C24" s="15" t="s">
        <v>147</v>
      </c>
      <c r="D24" s="16">
        <v>80598000</v>
      </c>
      <c r="E24" s="17">
        <v>46150</v>
      </c>
      <c r="F24" s="17">
        <v>46195</v>
      </c>
      <c r="G24" s="17">
        <v>46201</v>
      </c>
      <c r="H24" s="15">
        <v>0</v>
      </c>
      <c r="I24" s="15">
        <v>0</v>
      </c>
      <c r="J24" s="18">
        <f>IF(AND(E24&lt;=Quy_uoc_chung!$C$4,OR(G24="",G24&gt;Quy_uoc_chung!$C$4)),1,0)</f>
        <v>0</v>
      </c>
      <c r="K24" s="18">
        <f>IF(AND(E24&gt;=Quy_uoc_chung!$C$4-Quy_uoc_chung!$C$3+1,E24&lt;=Quy_uoc_chung!$C$4),1,0)</f>
        <v>0</v>
      </c>
      <c r="L24" s="19">
        <f t="shared" si="0"/>
        <v>45</v>
      </c>
      <c r="M24" s="20">
        <f t="shared" si="1"/>
        <v>0</v>
      </c>
      <c r="N24" s="21" t="str">
        <f t="shared" si="2"/>
        <v/>
      </c>
      <c r="O24" s="18">
        <f>IF(AND(H24&gt;0,J24=1,N24&gt;=Quy_uoc_chung!$C$4),1,0)</f>
        <v>0</v>
      </c>
      <c r="P24" s="22" t="str">
        <f t="shared" si="3"/>
        <v/>
      </c>
      <c r="Q24" s="20">
        <f t="shared" si="4"/>
        <v>0</v>
      </c>
      <c r="R24" s="28">
        <f>IF(J24=1,MAX(0,Quy_uoc_chung!$C$4-F24),0)</f>
        <v>0</v>
      </c>
      <c r="S24" s="28">
        <f t="shared" si="5"/>
        <v>0</v>
      </c>
      <c r="T24" s="28">
        <f>IF(AND(J24=1,F24=Quy_uoc_chung!$C$4),1,0)</f>
        <v>0</v>
      </c>
    </row>
    <row r="25" spans="1:20" x14ac:dyDescent="0.3">
      <c r="A25" s="15" t="s">
        <v>573</v>
      </c>
      <c r="B25" s="15" t="s">
        <v>54</v>
      </c>
      <c r="C25" s="15" t="s">
        <v>148</v>
      </c>
      <c r="D25" s="16">
        <v>44471000</v>
      </c>
      <c r="E25" s="17">
        <v>46149</v>
      </c>
      <c r="F25" s="17">
        <v>46164</v>
      </c>
      <c r="G25" s="17">
        <v>46166</v>
      </c>
      <c r="H25" s="15">
        <v>0</v>
      </c>
      <c r="I25" s="15">
        <v>0</v>
      </c>
      <c r="J25" s="18">
        <f>IF(AND(E25&lt;=Quy_uoc_chung!$C$4,OR(G25="",G25&gt;Quy_uoc_chung!$C$4)),1,0)</f>
        <v>0</v>
      </c>
      <c r="K25" s="18">
        <f>IF(AND(E25&gt;=Quy_uoc_chung!$C$4-Quy_uoc_chung!$C$3+1,E25&lt;=Quy_uoc_chung!$C$4),1,0)</f>
        <v>0</v>
      </c>
      <c r="L25" s="19">
        <f t="shared" si="0"/>
        <v>15</v>
      </c>
      <c r="M25" s="20">
        <f t="shared" si="1"/>
        <v>0</v>
      </c>
      <c r="N25" s="21" t="str">
        <f t="shared" si="2"/>
        <v/>
      </c>
      <c r="O25" s="18">
        <f>IF(AND(H25&gt;0,J25=1,N25&gt;=Quy_uoc_chung!$C$4),1,0)</f>
        <v>0</v>
      </c>
      <c r="P25" s="22" t="str">
        <f t="shared" si="3"/>
        <v/>
      </c>
      <c r="Q25" s="20">
        <f t="shared" si="4"/>
        <v>0</v>
      </c>
      <c r="R25" s="28">
        <f>IF(J25=1,MAX(0,Quy_uoc_chung!$C$4-F25),0)</f>
        <v>0</v>
      </c>
      <c r="S25" s="28">
        <f t="shared" si="5"/>
        <v>0</v>
      </c>
      <c r="T25" s="28">
        <f>IF(AND(J25=1,F25=Quy_uoc_chung!$C$4),1,0)</f>
        <v>0</v>
      </c>
    </row>
    <row r="26" spans="1:20" x14ac:dyDescent="0.3">
      <c r="A26" s="15" t="s">
        <v>574</v>
      </c>
      <c r="B26" s="15" t="s">
        <v>54</v>
      </c>
      <c r="C26" s="15" t="s">
        <v>150</v>
      </c>
      <c r="D26" s="16">
        <v>21190000</v>
      </c>
      <c r="E26" s="17">
        <v>46152</v>
      </c>
      <c r="F26" s="17">
        <v>46167</v>
      </c>
      <c r="G26" s="17">
        <v>46167</v>
      </c>
      <c r="H26" s="15">
        <v>0</v>
      </c>
      <c r="I26" s="15">
        <v>0</v>
      </c>
      <c r="J26" s="18">
        <f>IF(AND(E26&lt;=Quy_uoc_chung!$C$4,OR(G26="",G26&gt;Quy_uoc_chung!$C$4)),1,0)</f>
        <v>0</v>
      </c>
      <c r="K26" s="18">
        <f>IF(AND(E26&gt;=Quy_uoc_chung!$C$4-Quy_uoc_chung!$C$3+1,E26&lt;=Quy_uoc_chung!$C$4),1,0)</f>
        <v>0</v>
      </c>
      <c r="L26" s="19">
        <f t="shared" si="0"/>
        <v>15</v>
      </c>
      <c r="M26" s="20">
        <f t="shared" si="1"/>
        <v>0</v>
      </c>
      <c r="N26" s="21" t="str">
        <f t="shared" si="2"/>
        <v/>
      </c>
      <c r="O26" s="18">
        <f>IF(AND(H26&gt;0,J26=1,N26&gt;=Quy_uoc_chung!$C$4),1,0)</f>
        <v>0</v>
      </c>
      <c r="P26" s="22" t="str">
        <f t="shared" si="3"/>
        <v/>
      </c>
      <c r="Q26" s="20">
        <f t="shared" si="4"/>
        <v>0</v>
      </c>
      <c r="R26" s="28">
        <f>IF(J26=1,MAX(0,Quy_uoc_chung!$C$4-F26),0)</f>
        <v>0</v>
      </c>
      <c r="S26" s="28">
        <f t="shared" si="5"/>
        <v>0</v>
      </c>
      <c r="T26" s="28">
        <f>IF(AND(J26=1,F26=Quy_uoc_chung!$C$4),1,0)</f>
        <v>0</v>
      </c>
    </row>
    <row r="27" spans="1:20" x14ac:dyDescent="0.3">
      <c r="A27" s="15" t="s">
        <v>575</v>
      </c>
      <c r="B27" s="15" t="s">
        <v>54</v>
      </c>
      <c r="C27" s="15" t="s">
        <v>149</v>
      </c>
      <c r="D27" s="16">
        <v>149390000</v>
      </c>
      <c r="E27" s="17">
        <v>46155</v>
      </c>
      <c r="F27" s="17">
        <v>46185</v>
      </c>
      <c r="G27" s="17">
        <v>46198</v>
      </c>
      <c r="H27" s="15">
        <v>0.02</v>
      </c>
      <c r="I27" s="15">
        <v>10</v>
      </c>
      <c r="J27" s="18">
        <f>IF(AND(E27&lt;=Quy_uoc_chung!$C$4,OR(G27="",G27&gt;Quy_uoc_chung!$C$4)),1,0)</f>
        <v>0</v>
      </c>
      <c r="K27" s="18">
        <f>IF(AND(E27&gt;=Quy_uoc_chung!$C$4-Quy_uoc_chung!$C$3+1,E27&lt;=Quy_uoc_chung!$C$4),1,0)</f>
        <v>0</v>
      </c>
      <c r="L27" s="19">
        <f t="shared" si="0"/>
        <v>30</v>
      </c>
      <c r="M27" s="20">
        <f t="shared" si="1"/>
        <v>0</v>
      </c>
      <c r="N27" s="21">
        <f t="shared" si="2"/>
        <v>46165</v>
      </c>
      <c r="O27" s="18">
        <f>IF(AND(H27&gt;0,J27=1,N27&gt;=Quy_uoc_chung!$C$4),1,0)</f>
        <v>0</v>
      </c>
      <c r="P27" s="22" t="str">
        <f t="shared" si="3"/>
        <v/>
      </c>
      <c r="Q27" s="20">
        <f t="shared" si="4"/>
        <v>0</v>
      </c>
      <c r="R27" s="28">
        <f>IF(J27=1,MAX(0,Quy_uoc_chung!$C$4-F27),0)</f>
        <v>0</v>
      </c>
      <c r="S27" s="28">
        <f t="shared" si="5"/>
        <v>0</v>
      </c>
      <c r="T27" s="28">
        <f>IF(AND(J27=1,F27=Quy_uoc_chung!$C$4),1,0)</f>
        <v>0</v>
      </c>
    </row>
    <row r="28" spans="1:20" x14ac:dyDescent="0.3">
      <c r="A28" s="15" t="s">
        <v>576</v>
      </c>
      <c r="B28" s="15" t="s">
        <v>54</v>
      </c>
      <c r="C28" s="15" t="s">
        <v>147</v>
      </c>
      <c r="D28" s="16">
        <v>74676000</v>
      </c>
      <c r="E28" s="17">
        <v>46159</v>
      </c>
      <c r="F28" s="17">
        <v>46204</v>
      </c>
      <c r="G28" s="17">
        <v>46220</v>
      </c>
      <c r="H28" s="15">
        <v>0</v>
      </c>
      <c r="I28" s="15">
        <v>0</v>
      </c>
      <c r="J28" s="18">
        <f>IF(AND(E28&lt;=Quy_uoc_chung!$C$4,OR(G28="",G28&gt;Quy_uoc_chung!$C$4)),1,0)</f>
        <v>0</v>
      </c>
      <c r="K28" s="18">
        <f>IF(AND(E28&gt;=Quy_uoc_chung!$C$4-Quy_uoc_chung!$C$3+1,E28&lt;=Quy_uoc_chung!$C$4),1,0)</f>
        <v>0</v>
      </c>
      <c r="L28" s="19">
        <f t="shared" si="0"/>
        <v>45</v>
      </c>
      <c r="M28" s="20">
        <f t="shared" si="1"/>
        <v>0</v>
      </c>
      <c r="N28" s="21" t="str">
        <f t="shared" si="2"/>
        <v/>
      </c>
      <c r="O28" s="18">
        <f>IF(AND(H28&gt;0,J28=1,N28&gt;=Quy_uoc_chung!$C$4),1,0)</f>
        <v>0</v>
      </c>
      <c r="P28" s="22" t="str">
        <f t="shared" si="3"/>
        <v/>
      </c>
      <c r="Q28" s="20">
        <f t="shared" si="4"/>
        <v>0</v>
      </c>
      <c r="R28" s="28">
        <f>IF(J28=1,MAX(0,Quy_uoc_chung!$C$4-F28),0)</f>
        <v>0</v>
      </c>
      <c r="S28" s="28">
        <f t="shared" si="5"/>
        <v>0</v>
      </c>
      <c r="T28" s="28">
        <f>IF(AND(J28=1,F28=Quy_uoc_chung!$C$4),1,0)</f>
        <v>0</v>
      </c>
    </row>
    <row r="29" spans="1:20" x14ac:dyDescent="0.3">
      <c r="A29" s="15" t="s">
        <v>577</v>
      </c>
      <c r="B29" s="15" t="s">
        <v>54</v>
      </c>
      <c r="C29" s="15" t="s">
        <v>148</v>
      </c>
      <c r="D29" s="16">
        <v>32978000</v>
      </c>
      <c r="E29" s="17">
        <v>46155</v>
      </c>
      <c r="F29" s="17">
        <v>46170</v>
      </c>
      <c r="G29" s="17">
        <v>46170</v>
      </c>
      <c r="H29" s="15">
        <v>0</v>
      </c>
      <c r="I29" s="15">
        <v>0</v>
      </c>
      <c r="J29" s="18">
        <f>IF(AND(E29&lt;=Quy_uoc_chung!$C$4,OR(G29="",G29&gt;Quy_uoc_chung!$C$4)),1,0)</f>
        <v>0</v>
      </c>
      <c r="K29" s="18">
        <f>IF(AND(E29&gt;=Quy_uoc_chung!$C$4-Quy_uoc_chung!$C$3+1,E29&lt;=Quy_uoc_chung!$C$4),1,0)</f>
        <v>0</v>
      </c>
      <c r="L29" s="19">
        <f t="shared" si="0"/>
        <v>15</v>
      </c>
      <c r="M29" s="20">
        <f t="shared" si="1"/>
        <v>0</v>
      </c>
      <c r="N29" s="21" t="str">
        <f t="shared" si="2"/>
        <v/>
      </c>
      <c r="O29" s="18">
        <f>IF(AND(H29&gt;0,J29=1,N29&gt;=Quy_uoc_chung!$C$4),1,0)</f>
        <v>0</v>
      </c>
      <c r="P29" s="22" t="str">
        <f t="shared" si="3"/>
        <v/>
      </c>
      <c r="Q29" s="20">
        <f t="shared" si="4"/>
        <v>0</v>
      </c>
      <c r="R29" s="28">
        <f>IF(J29=1,MAX(0,Quy_uoc_chung!$C$4-F29),0)</f>
        <v>0</v>
      </c>
      <c r="S29" s="28">
        <f t="shared" si="5"/>
        <v>0</v>
      </c>
      <c r="T29" s="28">
        <f>IF(AND(J29=1,F29=Quy_uoc_chung!$C$4),1,0)</f>
        <v>0</v>
      </c>
    </row>
    <row r="30" spans="1:20" x14ac:dyDescent="0.3">
      <c r="A30" s="15" t="s">
        <v>578</v>
      </c>
      <c r="B30" s="15" t="s">
        <v>54</v>
      </c>
      <c r="C30" s="15" t="s">
        <v>150</v>
      </c>
      <c r="D30" s="16">
        <v>21828000</v>
      </c>
      <c r="E30" s="17">
        <v>46157</v>
      </c>
      <c r="F30" s="17">
        <v>46172</v>
      </c>
      <c r="G30" s="17">
        <v>46172</v>
      </c>
      <c r="H30" s="15">
        <v>0</v>
      </c>
      <c r="I30" s="15">
        <v>0</v>
      </c>
      <c r="J30" s="18">
        <f>IF(AND(E30&lt;=Quy_uoc_chung!$C$4,OR(G30="",G30&gt;Quy_uoc_chung!$C$4)),1,0)</f>
        <v>0</v>
      </c>
      <c r="K30" s="18">
        <f>IF(AND(E30&gt;=Quy_uoc_chung!$C$4-Quy_uoc_chung!$C$3+1,E30&lt;=Quy_uoc_chung!$C$4),1,0)</f>
        <v>0</v>
      </c>
      <c r="L30" s="19">
        <f t="shared" si="0"/>
        <v>15</v>
      </c>
      <c r="M30" s="20">
        <f t="shared" si="1"/>
        <v>0</v>
      </c>
      <c r="N30" s="21" t="str">
        <f t="shared" si="2"/>
        <v/>
      </c>
      <c r="O30" s="18">
        <f>IF(AND(H30&gt;0,J30=1,N30&gt;=Quy_uoc_chung!$C$4),1,0)</f>
        <v>0</v>
      </c>
      <c r="P30" s="22" t="str">
        <f t="shared" si="3"/>
        <v/>
      </c>
      <c r="Q30" s="20">
        <f t="shared" si="4"/>
        <v>0</v>
      </c>
      <c r="R30" s="28">
        <f>IF(J30=1,MAX(0,Quy_uoc_chung!$C$4-F30),0)</f>
        <v>0</v>
      </c>
      <c r="S30" s="28">
        <f t="shared" si="5"/>
        <v>0</v>
      </c>
      <c r="T30" s="28">
        <f>IF(AND(J30=1,F30=Quy_uoc_chung!$C$4),1,0)</f>
        <v>0</v>
      </c>
    </row>
    <row r="31" spans="1:20" x14ac:dyDescent="0.3">
      <c r="A31" s="15" t="s">
        <v>579</v>
      </c>
      <c r="B31" s="15" t="s">
        <v>54</v>
      </c>
      <c r="C31" s="15" t="s">
        <v>149</v>
      </c>
      <c r="D31" s="16">
        <v>141152000</v>
      </c>
      <c r="E31" s="17">
        <v>46162</v>
      </c>
      <c r="F31" s="17">
        <v>46192</v>
      </c>
      <c r="G31" s="17">
        <v>46199</v>
      </c>
      <c r="H31" s="15">
        <v>0.02</v>
      </c>
      <c r="I31" s="15">
        <v>10</v>
      </c>
      <c r="J31" s="18">
        <f>IF(AND(E31&lt;=Quy_uoc_chung!$C$4,OR(G31="",G31&gt;Quy_uoc_chung!$C$4)),1,0)</f>
        <v>0</v>
      </c>
      <c r="K31" s="18">
        <f>IF(AND(E31&gt;=Quy_uoc_chung!$C$4-Quy_uoc_chung!$C$3+1,E31&lt;=Quy_uoc_chung!$C$4),1,0)</f>
        <v>0</v>
      </c>
      <c r="L31" s="19">
        <f t="shared" si="0"/>
        <v>30</v>
      </c>
      <c r="M31" s="20">
        <f t="shared" si="1"/>
        <v>0</v>
      </c>
      <c r="N31" s="21">
        <f t="shared" si="2"/>
        <v>46172</v>
      </c>
      <c r="O31" s="18">
        <f>IF(AND(H31&gt;0,J31=1,N31&gt;=Quy_uoc_chung!$C$4),1,0)</f>
        <v>0</v>
      </c>
      <c r="P31" s="22" t="str">
        <f t="shared" si="3"/>
        <v/>
      </c>
      <c r="Q31" s="20">
        <f t="shared" si="4"/>
        <v>0</v>
      </c>
      <c r="R31" s="28">
        <f>IF(J31=1,MAX(0,Quy_uoc_chung!$C$4-F31),0)</f>
        <v>0</v>
      </c>
      <c r="S31" s="28">
        <f t="shared" si="5"/>
        <v>0</v>
      </c>
      <c r="T31" s="28">
        <f>IF(AND(J31=1,F31=Quy_uoc_chung!$C$4),1,0)</f>
        <v>0</v>
      </c>
    </row>
    <row r="32" spans="1:20" x14ac:dyDescent="0.3">
      <c r="A32" s="15" t="s">
        <v>580</v>
      </c>
      <c r="B32" s="15" t="s">
        <v>54</v>
      </c>
      <c r="C32" s="15" t="s">
        <v>147</v>
      </c>
      <c r="D32" s="16">
        <v>64077000</v>
      </c>
      <c r="E32" s="17">
        <v>46164</v>
      </c>
      <c r="F32" s="17">
        <v>46209</v>
      </c>
      <c r="G32" s="17">
        <v>46226</v>
      </c>
      <c r="H32" s="15">
        <v>0</v>
      </c>
      <c r="I32" s="15">
        <v>0</v>
      </c>
      <c r="J32" s="18">
        <f>IF(AND(E32&lt;=Quy_uoc_chung!$C$4,OR(G32="",G32&gt;Quy_uoc_chung!$C$4)),1,0)</f>
        <v>0</v>
      </c>
      <c r="K32" s="18">
        <f>IF(AND(E32&gt;=Quy_uoc_chung!$C$4-Quy_uoc_chung!$C$3+1,E32&lt;=Quy_uoc_chung!$C$4),1,0)</f>
        <v>0</v>
      </c>
      <c r="L32" s="19">
        <f t="shared" si="0"/>
        <v>45</v>
      </c>
      <c r="M32" s="20">
        <f t="shared" si="1"/>
        <v>0</v>
      </c>
      <c r="N32" s="21" t="str">
        <f t="shared" si="2"/>
        <v/>
      </c>
      <c r="O32" s="18">
        <f>IF(AND(H32&gt;0,J32=1,N32&gt;=Quy_uoc_chung!$C$4),1,0)</f>
        <v>0</v>
      </c>
      <c r="P32" s="22" t="str">
        <f t="shared" si="3"/>
        <v/>
      </c>
      <c r="Q32" s="20">
        <f t="shared" si="4"/>
        <v>0</v>
      </c>
      <c r="R32" s="28">
        <f>IF(J32=1,MAX(0,Quy_uoc_chung!$C$4-F32),0)</f>
        <v>0</v>
      </c>
      <c r="S32" s="28">
        <f t="shared" si="5"/>
        <v>0</v>
      </c>
      <c r="T32" s="28">
        <f>IF(AND(J32=1,F32=Quy_uoc_chung!$C$4),1,0)</f>
        <v>0</v>
      </c>
    </row>
    <row r="33" spans="1:20" x14ac:dyDescent="0.3">
      <c r="A33" s="15" t="s">
        <v>581</v>
      </c>
      <c r="B33" s="15" t="s">
        <v>54</v>
      </c>
      <c r="C33" s="15" t="s">
        <v>148</v>
      </c>
      <c r="D33" s="16">
        <v>37494000</v>
      </c>
      <c r="E33" s="17">
        <v>46164</v>
      </c>
      <c r="F33" s="17">
        <v>46179</v>
      </c>
      <c r="G33" s="17">
        <v>46179</v>
      </c>
      <c r="H33" s="15">
        <v>0</v>
      </c>
      <c r="I33" s="15">
        <v>0</v>
      </c>
      <c r="J33" s="18">
        <f>IF(AND(E33&lt;=Quy_uoc_chung!$C$4,OR(G33="",G33&gt;Quy_uoc_chung!$C$4)),1,0)</f>
        <v>0</v>
      </c>
      <c r="K33" s="18">
        <f>IF(AND(E33&gt;=Quy_uoc_chung!$C$4-Quy_uoc_chung!$C$3+1,E33&lt;=Quy_uoc_chung!$C$4),1,0)</f>
        <v>0</v>
      </c>
      <c r="L33" s="19">
        <f t="shared" si="0"/>
        <v>15</v>
      </c>
      <c r="M33" s="20">
        <f t="shared" si="1"/>
        <v>0</v>
      </c>
      <c r="N33" s="21" t="str">
        <f t="shared" si="2"/>
        <v/>
      </c>
      <c r="O33" s="18">
        <f>IF(AND(H33&gt;0,J33=1,N33&gt;=Quy_uoc_chung!$C$4),1,0)</f>
        <v>0</v>
      </c>
      <c r="P33" s="22" t="str">
        <f t="shared" si="3"/>
        <v/>
      </c>
      <c r="Q33" s="20">
        <f t="shared" si="4"/>
        <v>0</v>
      </c>
      <c r="R33" s="28">
        <f>IF(J33=1,MAX(0,Quy_uoc_chung!$C$4-F33),0)</f>
        <v>0</v>
      </c>
      <c r="S33" s="28">
        <f t="shared" si="5"/>
        <v>0</v>
      </c>
      <c r="T33" s="28">
        <f>IF(AND(J33=1,F33=Quy_uoc_chung!$C$4),1,0)</f>
        <v>0</v>
      </c>
    </row>
    <row r="34" spans="1:20" x14ac:dyDescent="0.3">
      <c r="A34" s="15" t="s">
        <v>582</v>
      </c>
      <c r="B34" s="15" t="s">
        <v>54</v>
      </c>
      <c r="C34" s="15" t="s">
        <v>150</v>
      </c>
      <c r="D34" s="16">
        <v>26460000</v>
      </c>
      <c r="E34" s="17">
        <v>46165</v>
      </c>
      <c r="F34" s="17">
        <v>46180</v>
      </c>
      <c r="G34" s="17">
        <v>46179</v>
      </c>
      <c r="H34" s="15">
        <v>0</v>
      </c>
      <c r="I34" s="15">
        <v>0</v>
      </c>
      <c r="J34" s="18">
        <f>IF(AND(E34&lt;=Quy_uoc_chung!$C$4,OR(G34="",G34&gt;Quy_uoc_chung!$C$4)),1,0)</f>
        <v>0</v>
      </c>
      <c r="K34" s="18">
        <f>IF(AND(E34&gt;=Quy_uoc_chung!$C$4-Quy_uoc_chung!$C$3+1,E34&lt;=Quy_uoc_chung!$C$4),1,0)</f>
        <v>0</v>
      </c>
      <c r="L34" s="19">
        <f t="shared" si="0"/>
        <v>15</v>
      </c>
      <c r="M34" s="20">
        <f t="shared" si="1"/>
        <v>0</v>
      </c>
      <c r="N34" s="21" t="str">
        <f t="shared" si="2"/>
        <v/>
      </c>
      <c r="O34" s="18">
        <f>IF(AND(H34&gt;0,J34=1,N34&gt;=Quy_uoc_chung!$C$4),1,0)</f>
        <v>0</v>
      </c>
      <c r="P34" s="22" t="str">
        <f t="shared" si="3"/>
        <v/>
      </c>
      <c r="Q34" s="20">
        <f t="shared" si="4"/>
        <v>0</v>
      </c>
      <c r="R34" s="28">
        <f>IF(J34=1,MAX(0,Quy_uoc_chung!$C$4-F34),0)</f>
        <v>0</v>
      </c>
      <c r="S34" s="28">
        <f t="shared" si="5"/>
        <v>0</v>
      </c>
      <c r="T34" s="28">
        <f>IF(AND(J34=1,F34=Quy_uoc_chung!$C$4),1,0)</f>
        <v>0</v>
      </c>
    </row>
    <row r="35" spans="1:20" x14ac:dyDescent="0.3">
      <c r="A35" s="15" t="s">
        <v>583</v>
      </c>
      <c r="B35" s="15" t="s">
        <v>54</v>
      </c>
      <c r="C35" s="15" t="s">
        <v>149</v>
      </c>
      <c r="D35" s="16">
        <v>140070000</v>
      </c>
      <c r="E35" s="17">
        <v>46173</v>
      </c>
      <c r="F35" s="17">
        <v>46203</v>
      </c>
      <c r="G35" s="17">
        <v>46209</v>
      </c>
      <c r="H35" s="15">
        <v>0.02</v>
      </c>
      <c r="I35" s="15">
        <v>10</v>
      </c>
      <c r="J35" s="18">
        <f>IF(AND(E35&lt;=Quy_uoc_chung!$C$4,OR(G35="",G35&gt;Quy_uoc_chung!$C$4)),1,0)</f>
        <v>0</v>
      </c>
      <c r="K35" s="18">
        <f>IF(AND(E35&gt;=Quy_uoc_chung!$C$4-Quy_uoc_chung!$C$3+1,E35&lt;=Quy_uoc_chung!$C$4),1,0)</f>
        <v>0</v>
      </c>
      <c r="L35" s="19">
        <f t="shared" si="0"/>
        <v>30</v>
      </c>
      <c r="M35" s="20">
        <f t="shared" si="1"/>
        <v>0</v>
      </c>
      <c r="N35" s="21">
        <f t="shared" si="2"/>
        <v>46183</v>
      </c>
      <c r="O35" s="18">
        <f>IF(AND(H35&gt;0,J35=1,N35&gt;=Quy_uoc_chung!$C$4),1,0)</f>
        <v>0</v>
      </c>
      <c r="P35" s="22" t="str">
        <f t="shared" si="3"/>
        <v/>
      </c>
      <c r="Q35" s="20">
        <f t="shared" si="4"/>
        <v>0</v>
      </c>
      <c r="R35" s="28">
        <f>IF(J35=1,MAX(0,Quy_uoc_chung!$C$4-F35),0)</f>
        <v>0</v>
      </c>
      <c r="S35" s="28">
        <f t="shared" si="5"/>
        <v>0</v>
      </c>
      <c r="T35" s="28">
        <f>IF(AND(J35=1,F35=Quy_uoc_chung!$C$4),1,0)</f>
        <v>0</v>
      </c>
    </row>
    <row r="36" spans="1:20" x14ac:dyDescent="0.3">
      <c r="A36" s="15" t="s">
        <v>584</v>
      </c>
      <c r="B36" s="15" t="s">
        <v>54</v>
      </c>
      <c r="C36" s="15" t="s">
        <v>147</v>
      </c>
      <c r="D36" s="16">
        <v>72162000</v>
      </c>
      <c r="E36" s="17">
        <v>46172</v>
      </c>
      <c r="F36" s="17">
        <v>46217</v>
      </c>
      <c r="G36" s="17">
        <v>46231</v>
      </c>
      <c r="H36" s="15">
        <v>0</v>
      </c>
      <c r="I36" s="15">
        <v>0</v>
      </c>
      <c r="J36" s="18">
        <f>IF(AND(E36&lt;=Quy_uoc_chung!$C$4,OR(G36="",G36&gt;Quy_uoc_chung!$C$4)),1,0)</f>
        <v>0</v>
      </c>
      <c r="K36" s="18">
        <f>IF(AND(E36&gt;=Quy_uoc_chung!$C$4-Quy_uoc_chung!$C$3+1,E36&lt;=Quy_uoc_chung!$C$4),1,0)</f>
        <v>0</v>
      </c>
      <c r="L36" s="19">
        <f t="shared" si="0"/>
        <v>45</v>
      </c>
      <c r="M36" s="20">
        <f t="shared" si="1"/>
        <v>0</v>
      </c>
      <c r="N36" s="21" t="str">
        <f t="shared" si="2"/>
        <v/>
      </c>
      <c r="O36" s="18">
        <f>IF(AND(H36&gt;0,J36=1,N36&gt;=Quy_uoc_chung!$C$4),1,0)</f>
        <v>0</v>
      </c>
      <c r="P36" s="22" t="str">
        <f t="shared" si="3"/>
        <v/>
      </c>
      <c r="Q36" s="20">
        <f t="shared" si="4"/>
        <v>0</v>
      </c>
      <c r="R36" s="28">
        <f>IF(J36=1,MAX(0,Quy_uoc_chung!$C$4-F36),0)</f>
        <v>0</v>
      </c>
      <c r="S36" s="28">
        <f t="shared" si="5"/>
        <v>0</v>
      </c>
      <c r="T36" s="28">
        <f>IF(AND(J36=1,F36=Quy_uoc_chung!$C$4),1,0)</f>
        <v>0</v>
      </c>
    </row>
    <row r="37" spans="1:20" x14ac:dyDescent="0.3">
      <c r="A37" s="15" t="s">
        <v>585</v>
      </c>
      <c r="B37" s="15" t="s">
        <v>54</v>
      </c>
      <c r="C37" s="15" t="s">
        <v>148</v>
      </c>
      <c r="D37" s="16">
        <v>30675000</v>
      </c>
      <c r="E37" s="17">
        <v>46171</v>
      </c>
      <c r="F37" s="17">
        <v>46186</v>
      </c>
      <c r="G37" s="17">
        <v>46185</v>
      </c>
      <c r="H37" s="15">
        <v>0</v>
      </c>
      <c r="I37" s="15">
        <v>0</v>
      </c>
      <c r="J37" s="18">
        <f>IF(AND(E37&lt;=Quy_uoc_chung!$C$4,OR(G37="",G37&gt;Quy_uoc_chung!$C$4)),1,0)</f>
        <v>0</v>
      </c>
      <c r="K37" s="18">
        <f>IF(AND(E37&gt;=Quy_uoc_chung!$C$4-Quy_uoc_chung!$C$3+1,E37&lt;=Quy_uoc_chung!$C$4),1,0)</f>
        <v>0</v>
      </c>
      <c r="L37" s="19">
        <f t="shared" si="0"/>
        <v>15</v>
      </c>
      <c r="M37" s="20">
        <f t="shared" si="1"/>
        <v>0</v>
      </c>
      <c r="N37" s="21" t="str">
        <f t="shared" si="2"/>
        <v/>
      </c>
      <c r="O37" s="18">
        <f>IF(AND(H37&gt;0,J37=1,N37&gt;=Quy_uoc_chung!$C$4),1,0)</f>
        <v>0</v>
      </c>
      <c r="P37" s="22" t="str">
        <f t="shared" si="3"/>
        <v/>
      </c>
      <c r="Q37" s="20">
        <f t="shared" si="4"/>
        <v>0</v>
      </c>
      <c r="R37" s="28">
        <f>IF(J37=1,MAX(0,Quy_uoc_chung!$C$4-F37),0)</f>
        <v>0</v>
      </c>
      <c r="S37" s="28">
        <f t="shared" si="5"/>
        <v>0</v>
      </c>
      <c r="T37" s="28">
        <f>IF(AND(J37=1,F37=Quy_uoc_chung!$C$4),1,0)</f>
        <v>0</v>
      </c>
    </row>
    <row r="38" spans="1:20" x14ac:dyDescent="0.3">
      <c r="A38" s="15" t="s">
        <v>586</v>
      </c>
      <c r="B38" s="15" t="s">
        <v>54</v>
      </c>
      <c r="C38" s="15" t="s">
        <v>150</v>
      </c>
      <c r="D38" s="16">
        <v>30802000</v>
      </c>
      <c r="E38" s="17">
        <v>46169</v>
      </c>
      <c r="F38" s="17">
        <v>46184</v>
      </c>
      <c r="G38" s="17">
        <v>46184</v>
      </c>
      <c r="H38" s="15">
        <v>0</v>
      </c>
      <c r="I38" s="15">
        <v>0</v>
      </c>
      <c r="J38" s="18">
        <f>IF(AND(E38&lt;=Quy_uoc_chung!$C$4,OR(G38="",G38&gt;Quy_uoc_chung!$C$4)),1,0)</f>
        <v>0</v>
      </c>
      <c r="K38" s="18">
        <f>IF(AND(E38&gt;=Quy_uoc_chung!$C$4-Quy_uoc_chung!$C$3+1,E38&lt;=Quy_uoc_chung!$C$4),1,0)</f>
        <v>0</v>
      </c>
      <c r="L38" s="19">
        <f t="shared" si="0"/>
        <v>15</v>
      </c>
      <c r="M38" s="20">
        <f t="shared" si="1"/>
        <v>0</v>
      </c>
      <c r="N38" s="21" t="str">
        <f t="shared" si="2"/>
        <v/>
      </c>
      <c r="O38" s="18">
        <f>IF(AND(H38&gt;0,J38=1,N38&gt;=Quy_uoc_chung!$C$4),1,0)</f>
        <v>0</v>
      </c>
      <c r="P38" s="22" t="str">
        <f t="shared" si="3"/>
        <v/>
      </c>
      <c r="Q38" s="20">
        <f t="shared" si="4"/>
        <v>0</v>
      </c>
      <c r="R38" s="28">
        <f>IF(J38=1,MAX(0,Quy_uoc_chung!$C$4-F38),0)</f>
        <v>0</v>
      </c>
      <c r="S38" s="28">
        <f t="shared" si="5"/>
        <v>0</v>
      </c>
      <c r="T38" s="28">
        <f>IF(AND(J38=1,F38=Quy_uoc_chung!$C$4),1,0)</f>
        <v>0</v>
      </c>
    </row>
    <row r="39" spans="1:20" x14ac:dyDescent="0.3">
      <c r="A39" s="15" t="s">
        <v>587</v>
      </c>
      <c r="B39" s="15" t="s">
        <v>54</v>
      </c>
      <c r="C39" s="15" t="s">
        <v>149</v>
      </c>
      <c r="D39" s="16">
        <v>145120000</v>
      </c>
      <c r="E39" s="17">
        <v>46176</v>
      </c>
      <c r="F39" s="17">
        <v>46206</v>
      </c>
      <c r="G39" s="17">
        <v>46216</v>
      </c>
      <c r="H39" s="15">
        <v>0.02</v>
      </c>
      <c r="I39" s="15">
        <v>10</v>
      </c>
      <c r="J39" s="18">
        <f>IF(AND(E39&lt;=Quy_uoc_chung!$C$4,OR(G39="",G39&gt;Quy_uoc_chung!$C$4)),1,0)</f>
        <v>0</v>
      </c>
      <c r="K39" s="18">
        <f>IF(AND(E39&gt;=Quy_uoc_chung!$C$4-Quy_uoc_chung!$C$3+1,E39&lt;=Quy_uoc_chung!$C$4),1,0)</f>
        <v>0</v>
      </c>
      <c r="L39" s="19">
        <f t="shared" si="0"/>
        <v>30</v>
      </c>
      <c r="M39" s="20">
        <f t="shared" si="1"/>
        <v>0</v>
      </c>
      <c r="N39" s="21">
        <f t="shared" si="2"/>
        <v>46186</v>
      </c>
      <c r="O39" s="18">
        <f>IF(AND(H39&gt;0,J39=1,N39&gt;=Quy_uoc_chung!$C$4),1,0)</f>
        <v>0</v>
      </c>
      <c r="P39" s="22" t="str">
        <f t="shared" si="3"/>
        <v/>
      </c>
      <c r="Q39" s="20">
        <f t="shared" si="4"/>
        <v>0</v>
      </c>
      <c r="R39" s="28">
        <f>IF(J39=1,MAX(0,Quy_uoc_chung!$C$4-F39),0)</f>
        <v>0</v>
      </c>
      <c r="S39" s="28">
        <f t="shared" si="5"/>
        <v>0</v>
      </c>
      <c r="T39" s="28">
        <f>IF(AND(J39=1,F39=Quy_uoc_chung!$C$4),1,0)</f>
        <v>0</v>
      </c>
    </row>
    <row r="40" spans="1:20" x14ac:dyDescent="0.3">
      <c r="A40" s="15" t="s">
        <v>588</v>
      </c>
      <c r="B40" s="15" t="s">
        <v>54</v>
      </c>
      <c r="C40" s="15" t="s">
        <v>147</v>
      </c>
      <c r="D40" s="16">
        <v>99109000</v>
      </c>
      <c r="E40" s="17">
        <v>46177</v>
      </c>
      <c r="F40" s="17">
        <v>46222</v>
      </c>
      <c r="G40" s="17">
        <v>46232</v>
      </c>
      <c r="H40" s="15">
        <v>0</v>
      </c>
      <c r="I40" s="15">
        <v>0</v>
      </c>
      <c r="J40" s="18">
        <f>IF(AND(E40&lt;=Quy_uoc_chung!$C$4,OR(G40="",G40&gt;Quy_uoc_chung!$C$4)),1,0)</f>
        <v>0</v>
      </c>
      <c r="K40" s="18">
        <f>IF(AND(E40&gt;=Quy_uoc_chung!$C$4-Quy_uoc_chung!$C$3+1,E40&lt;=Quy_uoc_chung!$C$4),1,0)</f>
        <v>0</v>
      </c>
      <c r="L40" s="19">
        <f t="shared" si="0"/>
        <v>45</v>
      </c>
      <c r="M40" s="20">
        <f t="shared" si="1"/>
        <v>0</v>
      </c>
      <c r="N40" s="21" t="str">
        <f t="shared" si="2"/>
        <v/>
      </c>
      <c r="O40" s="18">
        <f>IF(AND(H40&gt;0,J40=1,N40&gt;=Quy_uoc_chung!$C$4),1,0)</f>
        <v>0</v>
      </c>
      <c r="P40" s="22" t="str">
        <f t="shared" si="3"/>
        <v/>
      </c>
      <c r="Q40" s="20">
        <f t="shared" si="4"/>
        <v>0</v>
      </c>
      <c r="R40" s="28">
        <f>IF(J40=1,MAX(0,Quy_uoc_chung!$C$4-F40),0)</f>
        <v>0</v>
      </c>
      <c r="S40" s="28">
        <f t="shared" si="5"/>
        <v>0</v>
      </c>
      <c r="T40" s="28">
        <f>IF(AND(J40=1,F40=Quy_uoc_chung!$C$4),1,0)</f>
        <v>0</v>
      </c>
    </row>
    <row r="41" spans="1:20" x14ac:dyDescent="0.3">
      <c r="A41" s="15" t="s">
        <v>589</v>
      </c>
      <c r="B41" s="15" t="s">
        <v>54</v>
      </c>
      <c r="C41" s="15" t="s">
        <v>148</v>
      </c>
      <c r="D41" s="16">
        <v>45134000</v>
      </c>
      <c r="E41" s="17">
        <v>46180</v>
      </c>
      <c r="F41" s="17">
        <v>46195</v>
      </c>
      <c r="G41" s="17">
        <v>46195</v>
      </c>
      <c r="H41" s="15">
        <v>0</v>
      </c>
      <c r="I41" s="15">
        <v>0</v>
      </c>
      <c r="J41" s="18">
        <f>IF(AND(E41&lt;=Quy_uoc_chung!$C$4,OR(G41="",G41&gt;Quy_uoc_chung!$C$4)),1,0)</f>
        <v>0</v>
      </c>
      <c r="K41" s="18">
        <f>IF(AND(E41&gt;=Quy_uoc_chung!$C$4-Quy_uoc_chung!$C$3+1,E41&lt;=Quy_uoc_chung!$C$4),1,0)</f>
        <v>0</v>
      </c>
      <c r="L41" s="19">
        <f t="shared" si="0"/>
        <v>15</v>
      </c>
      <c r="M41" s="20">
        <f t="shared" si="1"/>
        <v>0</v>
      </c>
      <c r="N41" s="21" t="str">
        <f t="shared" si="2"/>
        <v/>
      </c>
      <c r="O41" s="18">
        <f>IF(AND(H41&gt;0,J41=1,N41&gt;=Quy_uoc_chung!$C$4),1,0)</f>
        <v>0</v>
      </c>
      <c r="P41" s="22" t="str">
        <f t="shared" si="3"/>
        <v/>
      </c>
      <c r="Q41" s="20">
        <f t="shared" si="4"/>
        <v>0</v>
      </c>
      <c r="R41" s="28">
        <f>IF(J41=1,MAX(0,Quy_uoc_chung!$C$4-F41),0)</f>
        <v>0</v>
      </c>
      <c r="S41" s="28">
        <f t="shared" si="5"/>
        <v>0</v>
      </c>
      <c r="T41" s="28">
        <f>IF(AND(J41=1,F41=Quy_uoc_chung!$C$4),1,0)</f>
        <v>0</v>
      </c>
    </row>
    <row r="42" spans="1:20" x14ac:dyDescent="0.3">
      <c r="A42" s="15" t="s">
        <v>590</v>
      </c>
      <c r="B42" s="15" t="s">
        <v>54</v>
      </c>
      <c r="C42" s="15" t="s">
        <v>150</v>
      </c>
      <c r="D42" s="16">
        <v>30083000</v>
      </c>
      <c r="E42" s="17">
        <v>46179</v>
      </c>
      <c r="F42" s="17">
        <v>46194</v>
      </c>
      <c r="G42" s="17">
        <v>46194</v>
      </c>
      <c r="H42" s="15">
        <v>0</v>
      </c>
      <c r="I42" s="15">
        <v>0</v>
      </c>
      <c r="J42" s="18">
        <f>IF(AND(E42&lt;=Quy_uoc_chung!$C$4,OR(G42="",G42&gt;Quy_uoc_chung!$C$4)),1,0)</f>
        <v>0</v>
      </c>
      <c r="K42" s="18">
        <f>IF(AND(E42&gt;=Quy_uoc_chung!$C$4-Quy_uoc_chung!$C$3+1,E42&lt;=Quy_uoc_chung!$C$4),1,0)</f>
        <v>0</v>
      </c>
      <c r="L42" s="19">
        <f t="shared" si="0"/>
        <v>15</v>
      </c>
      <c r="M42" s="20">
        <f t="shared" si="1"/>
        <v>0</v>
      </c>
      <c r="N42" s="21" t="str">
        <f t="shared" si="2"/>
        <v/>
      </c>
      <c r="O42" s="18">
        <f>IF(AND(H42&gt;0,J42=1,N42&gt;=Quy_uoc_chung!$C$4),1,0)</f>
        <v>0</v>
      </c>
      <c r="P42" s="22" t="str">
        <f t="shared" si="3"/>
        <v/>
      </c>
      <c r="Q42" s="20">
        <f t="shared" si="4"/>
        <v>0</v>
      </c>
      <c r="R42" s="28">
        <f>IF(J42=1,MAX(0,Quy_uoc_chung!$C$4-F42),0)</f>
        <v>0</v>
      </c>
      <c r="S42" s="28">
        <f t="shared" si="5"/>
        <v>0</v>
      </c>
      <c r="T42" s="28">
        <f>IF(AND(J42=1,F42=Quy_uoc_chung!$C$4),1,0)</f>
        <v>0</v>
      </c>
    </row>
    <row r="43" spans="1:20" x14ac:dyDescent="0.3">
      <c r="A43" s="15" t="s">
        <v>591</v>
      </c>
      <c r="B43" s="15" t="s">
        <v>54</v>
      </c>
      <c r="C43" s="15" t="s">
        <v>149</v>
      </c>
      <c r="D43" s="16">
        <v>182791000</v>
      </c>
      <c r="E43" s="17">
        <v>46183</v>
      </c>
      <c r="F43" s="17">
        <v>46213</v>
      </c>
      <c r="G43" s="17">
        <v>46225</v>
      </c>
      <c r="H43" s="15">
        <v>0.02</v>
      </c>
      <c r="I43" s="15">
        <v>10</v>
      </c>
      <c r="J43" s="18">
        <f>IF(AND(E43&lt;=Quy_uoc_chung!$C$4,OR(G43="",G43&gt;Quy_uoc_chung!$C$4)),1,0)</f>
        <v>0</v>
      </c>
      <c r="K43" s="18">
        <f>IF(AND(E43&gt;=Quy_uoc_chung!$C$4-Quy_uoc_chung!$C$3+1,E43&lt;=Quy_uoc_chung!$C$4),1,0)</f>
        <v>0</v>
      </c>
      <c r="L43" s="19">
        <f t="shared" si="0"/>
        <v>30</v>
      </c>
      <c r="M43" s="20">
        <f t="shared" si="1"/>
        <v>0</v>
      </c>
      <c r="N43" s="21">
        <f t="shared" si="2"/>
        <v>46193</v>
      </c>
      <c r="O43" s="18">
        <f>IF(AND(H43&gt;0,J43=1,N43&gt;=Quy_uoc_chung!$C$4),1,0)</f>
        <v>0</v>
      </c>
      <c r="P43" s="22" t="str">
        <f t="shared" si="3"/>
        <v/>
      </c>
      <c r="Q43" s="20">
        <f t="shared" si="4"/>
        <v>0</v>
      </c>
      <c r="R43" s="28">
        <f>IF(J43=1,MAX(0,Quy_uoc_chung!$C$4-F43),0)</f>
        <v>0</v>
      </c>
      <c r="S43" s="28">
        <f t="shared" si="5"/>
        <v>0</v>
      </c>
      <c r="T43" s="28">
        <f>IF(AND(J43=1,F43=Quy_uoc_chung!$C$4),1,0)</f>
        <v>0</v>
      </c>
    </row>
    <row r="44" spans="1:20" x14ac:dyDescent="0.3">
      <c r="A44" s="15" t="s">
        <v>592</v>
      </c>
      <c r="B44" s="15" t="s">
        <v>54</v>
      </c>
      <c r="C44" s="15" t="s">
        <v>147</v>
      </c>
      <c r="D44" s="16">
        <v>80965000</v>
      </c>
      <c r="E44" s="17">
        <v>46186</v>
      </c>
      <c r="F44" s="17">
        <v>46231</v>
      </c>
      <c r="G44" s="17">
        <v>46244</v>
      </c>
      <c r="H44" s="15">
        <v>0</v>
      </c>
      <c r="I44" s="15">
        <v>0</v>
      </c>
      <c r="J44" s="18">
        <f>IF(AND(E44&lt;=Quy_uoc_chung!$C$4,OR(G44="",G44&gt;Quy_uoc_chung!$C$4)),1,0)</f>
        <v>0</v>
      </c>
      <c r="K44" s="18">
        <f>IF(AND(E44&gt;=Quy_uoc_chung!$C$4-Quy_uoc_chung!$C$3+1,E44&lt;=Quy_uoc_chung!$C$4),1,0)</f>
        <v>0</v>
      </c>
      <c r="L44" s="19">
        <f t="shared" si="0"/>
        <v>45</v>
      </c>
      <c r="M44" s="20">
        <f t="shared" si="1"/>
        <v>0</v>
      </c>
      <c r="N44" s="21" t="str">
        <f t="shared" si="2"/>
        <v/>
      </c>
      <c r="O44" s="18">
        <f>IF(AND(H44&gt;0,J44=1,N44&gt;=Quy_uoc_chung!$C$4),1,0)</f>
        <v>0</v>
      </c>
      <c r="P44" s="22" t="str">
        <f t="shared" si="3"/>
        <v/>
      </c>
      <c r="Q44" s="20">
        <f t="shared" si="4"/>
        <v>0</v>
      </c>
      <c r="R44" s="28">
        <f>IF(J44=1,MAX(0,Quy_uoc_chung!$C$4-F44),0)</f>
        <v>0</v>
      </c>
      <c r="S44" s="28">
        <f t="shared" si="5"/>
        <v>0</v>
      </c>
      <c r="T44" s="28">
        <f>IF(AND(J44=1,F44=Quy_uoc_chung!$C$4),1,0)</f>
        <v>0</v>
      </c>
    </row>
    <row r="45" spans="1:20" x14ac:dyDescent="0.3">
      <c r="A45" s="15" t="s">
        <v>593</v>
      </c>
      <c r="B45" s="15" t="s">
        <v>54</v>
      </c>
      <c r="C45" s="15" t="s">
        <v>148</v>
      </c>
      <c r="D45" s="16">
        <v>34976000</v>
      </c>
      <c r="E45" s="17">
        <v>46184</v>
      </c>
      <c r="F45" s="17">
        <v>46199</v>
      </c>
      <c r="G45" s="17">
        <v>46199</v>
      </c>
      <c r="H45" s="15">
        <v>0</v>
      </c>
      <c r="I45" s="15">
        <v>0</v>
      </c>
      <c r="J45" s="18">
        <f>IF(AND(E45&lt;=Quy_uoc_chung!$C$4,OR(G45="",G45&gt;Quy_uoc_chung!$C$4)),1,0)</f>
        <v>0</v>
      </c>
      <c r="K45" s="18">
        <f>IF(AND(E45&gt;=Quy_uoc_chung!$C$4-Quy_uoc_chung!$C$3+1,E45&lt;=Quy_uoc_chung!$C$4),1,0)</f>
        <v>0</v>
      </c>
      <c r="L45" s="19">
        <f t="shared" si="0"/>
        <v>15</v>
      </c>
      <c r="M45" s="20">
        <f t="shared" si="1"/>
        <v>0</v>
      </c>
      <c r="N45" s="21" t="str">
        <f t="shared" si="2"/>
        <v/>
      </c>
      <c r="O45" s="18">
        <f>IF(AND(H45&gt;0,J45=1,N45&gt;=Quy_uoc_chung!$C$4),1,0)</f>
        <v>0</v>
      </c>
      <c r="P45" s="22" t="str">
        <f t="shared" si="3"/>
        <v/>
      </c>
      <c r="Q45" s="20">
        <f t="shared" si="4"/>
        <v>0</v>
      </c>
      <c r="R45" s="28">
        <f>IF(J45=1,MAX(0,Quy_uoc_chung!$C$4-F45),0)</f>
        <v>0</v>
      </c>
      <c r="S45" s="28">
        <f t="shared" si="5"/>
        <v>0</v>
      </c>
      <c r="T45" s="28">
        <f>IF(AND(J45=1,F45=Quy_uoc_chung!$C$4),1,0)</f>
        <v>0</v>
      </c>
    </row>
    <row r="46" spans="1:20" x14ac:dyDescent="0.3">
      <c r="A46" s="15" t="s">
        <v>594</v>
      </c>
      <c r="B46" s="15" t="s">
        <v>54</v>
      </c>
      <c r="C46" s="15" t="s">
        <v>150</v>
      </c>
      <c r="D46" s="16">
        <v>26108000</v>
      </c>
      <c r="E46" s="17">
        <v>46183</v>
      </c>
      <c r="F46" s="17">
        <v>46198</v>
      </c>
      <c r="G46" s="17">
        <v>46200</v>
      </c>
      <c r="H46" s="15">
        <v>0</v>
      </c>
      <c r="I46" s="15">
        <v>0</v>
      </c>
      <c r="J46" s="18">
        <f>IF(AND(E46&lt;=Quy_uoc_chung!$C$4,OR(G46="",G46&gt;Quy_uoc_chung!$C$4)),1,0)</f>
        <v>0</v>
      </c>
      <c r="K46" s="18">
        <f>IF(AND(E46&gt;=Quy_uoc_chung!$C$4-Quy_uoc_chung!$C$3+1,E46&lt;=Quy_uoc_chung!$C$4),1,0)</f>
        <v>0</v>
      </c>
      <c r="L46" s="19">
        <f t="shared" si="0"/>
        <v>15</v>
      </c>
      <c r="M46" s="20">
        <f t="shared" si="1"/>
        <v>0</v>
      </c>
      <c r="N46" s="21" t="str">
        <f t="shared" si="2"/>
        <v/>
      </c>
      <c r="O46" s="18">
        <f>IF(AND(H46&gt;0,J46=1,N46&gt;=Quy_uoc_chung!$C$4),1,0)</f>
        <v>0</v>
      </c>
      <c r="P46" s="22" t="str">
        <f t="shared" si="3"/>
        <v/>
      </c>
      <c r="Q46" s="20">
        <f t="shared" si="4"/>
        <v>0</v>
      </c>
      <c r="R46" s="28">
        <f>IF(J46=1,MAX(0,Quy_uoc_chung!$C$4-F46),0)</f>
        <v>0</v>
      </c>
      <c r="S46" s="28">
        <f t="shared" si="5"/>
        <v>0</v>
      </c>
      <c r="T46" s="28">
        <f>IF(AND(J46=1,F46=Quy_uoc_chung!$C$4),1,0)</f>
        <v>0</v>
      </c>
    </row>
    <row r="47" spans="1:20" x14ac:dyDescent="0.3">
      <c r="A47" s="15" t="s">
        <v>595</v>
      </c>
      <c r="B47" s="15" t="s">
        <v>54</v>
      </c>
      <c r="C47" s="15" t="s">
        <v>149</v>
      </c>
      <c r="D47" s="16">
        <v>169477000</v>
      </c>
      <c r="E47" s="17">
        <v>46192</v>
      </c>
      <c r="F47" s="17">
        <v>46222</v>
      </c>
      <c r="G47" s="17">
        <v>46231</v>
      </c>
      <c r="H47" s="15">
        <v>0.02</v>
      </c>
      <c r="I47" s="15">
        <v>10</v>
      </c>
      <c r="J47" s="18">
        <f>IF(AND(E47&lt;=Quy_uoc_chung!$C$4,OR(G47="",G47&gt;Quy_uoc_chung!$C$4)),1,0)</f>
        <v>0</v>
      </c>
      <c r="K47" s="18">
        <f>IF(AND(E47&gt;=Quy_uoc_chung!$C$4-Quy_uoc_chung!$C$3+1,E47&lt;=Quy_uoc_chung!$C$4),1,0)</f>
        <v>0</v>
      </c>
      <c r="L47" s="19">
        <f t="shared" si="0"/>
        <v>30</v>
      </c>
      <c r="M47" s="20">
        <f t="shared" si="1"/>
        <v>0</v>
      </c>
      <c r="N47" s="21">
        <f t="shared" si="2"/>
        <v>46202</v>
      </c>
      <c r="O47" s="18">
        <f>IF(AND(H47&gt;0,J47=1,N47&gt;=Quy_uoc_chung!$C$4),1,0)</f>
        <v>0</v>
      </c>
      <c r="P47" s="22" t="str">
        <f t="shared" si="3"/>
        <v/>
      </c>
      <c r="Q47" s="20">
        <f t="shared" si="4"/>
        <v>0</v>
      </c>
      <c r="R47" s="28">
        <f>IF(J47=1,MAX(0,Quy_uoc_chung!$C$4-F47),0)</f>
        <v>0</v>
      </c>
      <c r="S47" s="28">
        <f t="shared" si="5"/>
        <v>0</v>
      </c>
      <c r="T47" s="28">
        <f>IF(AND(J47=1,F47=Quy_uoc_chung!$C$4),1,0)</f>
        <v>0</v>
      </c>
    </row>
    <row r="48" spans="1:20" x14ac:dyDescent="0.3">
      <c r="A48" s="15" t="s">
        <v>596</v>
      </c>
      <c r="B48" s="15" t="s">
        <v>54</v>
      </c>
      <c r="C48" s="15" t="s">
        <v>147</v>
      </c>
      <c r="D48" s="16">
        <v>75384000</v>
      </c>
      <c r="E48" s="17">
        <v>46192</v>
      </c>
      <c r="F48" s="17">
        <v>46237</v>
      </c>
      <c r="G48" s="17">
        <v>46244</v>
      </c>
      <c r="H48" s="15">
        <v>0</v>
      </c>
      <c r="I48" s="15">
        <v>0</v>
      </c>
      <c r="J48" s="18">
        <f>IF(AND(E48&lt;=Quy_uoc_chung!$C$4,OR(G48="",G48&gt;Quy_uoc_chung!$C$4)),1,0)</f>
        <v>0</v>
      </c>
      <c r="K48" s="18">
        <f>IF(AND(E48&gt;=Quy_uoc_chung!$C$4-Quy_uoc_chung!$C$3+1,E48&lt;=Quy_uoc_chung!$C$4),1,0)</f>
        <v>0</v>
      </c>
      <c r="L48" s="19">
        <f t="shared" si="0"/>
        <v>45</v>
      </c>
      <c r="M48" s="20">
        <f t="shared" si="1"/>
        <v>0</v>
      </c>
      <c r="N48" s="21" t="str">
        <f t="shared" si="2"/>
        <v/>
      </c>
      <c r="O48" s="18">
        <f>IF(AND(H48&gt;0,J48=1,N48&gt;=Quy_uoc_chung!$C$4),1,0)</f>
        <v>0</v>
      </c>
      <c r="P48" s="22" t="str">
        <f t="shared" si="3"/>
        <v/>
      </c>
      <c r="Q48" s="20">
        <f t="shared" si="4"/>
        <v>0</v>
      </c>
      <c r="R48" s="28">
        <f>IF(J48=1,MAX(0,Quy_uoc_chung!$C$4-F48),0)</f>
        <v>0</v>
      </c>
      <c r="S48" s="28">
        <f t="shared" si="5"/>
        <v>0</v>
      </c>
      <c r="T48" s="28">
        <f>IF(AND(J48=1,F48=Quy_uoc_chung!$C$4),1,0)</f>
        <v>0</v>
      </c>
    </row>
    <row r="49" spans="1:20" x14ac:dyDescent="0.3">
      <c r="A49" s="15" t="s">
        <v>597</v>
      </c>
      <c r="B49" s="15" t="s">
        <v>54</v>
      </c>
      <c r="C49" s="15" t="s">
        <v>148</v>
      </c>
      <c r="D49" s="16">
        <v>35578000</v>
      </c>
      <c r="E49" s="17">
        <v>46191</v>
      </c>
      <c r="F49" s="17">
        <v>46206</v>
      </c>
      <c r="G49" s="17">
        <v>46207</v>
      </c>
      <c r="H49" s="15">
        <v>0</v>
      </c>
      <c r="I49" s="15">
        <v>0</v>
      </c>
      <c r="J49" s="18">
        <f>IF(AND(E49&lt;=Quy_uoc_chung!$C$4,OR(G49="",G49&gt;Quy_uoc_chung!$C$4)),1,0)</f>
        <v>0</v>
      </c>
      <c r="K49" s="18">
        <f>IF(AND(E49&gt;=Quy_uoc_chung!$C$4-Quy_uoc_chung!$C$3+1,E49&lt;=Quy_uoc_chung!$C$4),1,0)</f>
        <v>0</v>
      </c>
      <c r="L49" s="19">
        <f t="shared" si="0"/>
        <v>15</v>
      </c>
      <c r="M49" s="20">
        <f t="shared" si="1"/>
        <v>0</v>
      </c>
      <c r="N49" s="21" t="str">
        <f t="shared" si="2"/>
        <v/>
      </c>
      <c r="O49" s="18">
        <f>IF(AND(H49&gt;0,J49=1,N49&gt;=Quy_uoc_chung!$C$4),1,0)</f>
        <v>0</v>
      </c>
      <c r="P49" s="22" t="str">
        <f t="shared" si="3"/>
        <v/>
      </c>
      <c r="Q49" s="20">
        <f t="shared" si="4"/>
        <v>0</v>
      </c>
      <c r="R49" s="28">
        <f>IF(J49=1,MAX(0,Quy_uoc_chung!$C$4-F49),0)</f>
        <v>0</v>
      </c>
      <c r="S49" s="28">
        <f t="shared" si="5"/>
        <v>0</v>
      </c>
      <c r="T49" s="28">
        <f>IF(AND(J49=1,F49=Quy_uoc_chung!$C$4),1,0)</f>
        <v>0</v>
      </c>
    </row>
    <row r="50" spans="1:20" x14ac:dyDescent="0.3">
      <c r="A50" s="15" t="s">
        <v>598</v>
      </c>
      <c r="B50" s="15" t="s">
        <v>54</v>
      </c>
      <c r="C50" s="15" t="s">
        <v>150</v>
      </c>
      <c r="D50" s="16">
        <v>31896000</v>
      </c>
      <c r="E50" s="17">
        <v>46194</v>
      </c>
      <c r="F50" s="17">
        <v>46209</v>
      </c>
      <c r="G50" s="17">
        <v>46210</v>
      </c>
      <c r="H50" s="15">
        <v>0</v>
      </c>
      <c r="I50" s="15">
        <v>0</v>
      </c>
      <c r="J50" s="18">
        <f>IF(AND(E50&lt;=Quy_uoc_chung!$C$4,OR(G50="",G50&gt;Quy_uoc_chung!$C$4)),1,0)</f>
        <v>0</v>
      </c>
      <c r="K50" s="18">
        <f>IF(AND(E50&gt;=Quy_uoc_chung!$C$4-Quy_uoc_chung!$C$3+1,E50&lt;=Quy_uoc_chung!$C$4),1,0)</f>
        <v>0</v>
      </c>
      <c r="L50" s="19">
        <f t="shared" si="0"/>
        <v>15</v>
      </c>
      <c r="M50" s="20">
        <f t="shared" si="1"/>
        <v>0</v>
      </c>
      <c r="N50" s="21" t="str">
        <f t="shared" si="2"/>
        <v/>
      </c>
      <c r="O50" s="18">
        <f>IF(AND(H50&gt;0,J50=1,N50&gt;=Quy_uoc_chung!$C$4),1,0)</f>
        <v>0</v>
      </c>
      <c r="P50" s="22" t="str">
        <f t="shared" si="3"/>
        <v/>
      </c>
      <c r="Q50" s="20">
        <f t="shared" si="4"/>
        <v>0</v>
      </c>
      <c r="R50" s="28">
        <f>IF(J50=1,MAX(0,Quy_uoc_chung!$C$4-F50),0)</f>
        <v>0</v>
      </c>
      <c r="S50" s="28">
        <f t="shared" si="5"/>
        <v>0</v>
      </c>
      <c r="T50" s="28">
        <f>IF(AND(J50=1,F50=Quy_uoc_chung!$C$4),1,0)</f>
        <v>0</v>
      </c>
    </row>
    <row r="51" spans="1:20" x14ac:dyDescent="0.3">
      <c r="A51" s="15" t="s">
        <v>599</v>
      </c>
      <c r="B51" s="15" t="s">
        <v>54</v>
      </c>
      <c r="C51" s="15" t="s">
        <v>149</v>
      </c>
      <c r="D51" s="16">
        <v>184716000</v>
      </c>
      <c r="E51" s="17">
        <v>46199</v>
      </c>
      <c r="F51" s="17">
        <v>46229</v>
      </c>
      <c r="G51" s="17">
        <v>46242</v>
      </c>
      <c r="H51" s="15">
        <v>0.02</v>
      </c>
      <c r="I51" s="15">
        <v>10</v>
      </c>
      <c r="J51" s="18">
        <f>IF(AND(E51&lt;=Quy_uoc_chung!$C$4,OR(G51="",G51&gt;Quy_uoc_chung!$C$4)),1,0)</f>
        <v>0</v>
      </c>
      <c r="K51" s="18">
        <f>IF(AND(E51&gt;=Quy_uoc_chung!$C$4-Quy_uoc_chung!$C$3+1,E51&lt;=Quy_uoc_chung!$C$4),1,0)</f>
        <v>0</v>
      </c>
      <c r="L51" s="19">
        <f t="shared" si="0"/>
        <v>30</v>
      </c>
      <c r="M51" s="20">
        <f t="shared" si="1"/>
        <v>0</v>
      </c>
      <c r="N51" s="21">
        <f t="shared" si="2"/>
        <v>46209</v>
      </c>
      <c r="O51" s="18">
        <f>IF(AND(H51&gt;0,J51=1,N51&gt;=Quy_uoc_chung!$C$4),1,0)</f>
        <v>0</v>
      </c>
      <c r="P51" s="22" t="str">
        <f t="shared" si="3"/>
        <v/>
      </c>
      <c r="Q51" s="20">
        <f t="shared" si="4"/>
        <v>0</v>
      </c>
      <c r="R51" s="28">
        <f>IF(J51=1,MAX(0,Quy_uoc_chung!$C$4-F51),0)</f>
        <v>0</v>
      </c>
      <c r="S51" s="28">
        <f t="shared" si="5"/>
        <v>0</v>
      </c>
      <c r="T51" s="28">
        <f>IF(AND(J51=1,F51=Quy_uoc_chung!$C$4),1,0)</f>
        <v>0</v>
      </c>
    </row>
    <row r="52" spans="1:20" x14ac:dyDescent="0.3">
      <c r="A52" s="15" t="s">
        <v>600</v>
      </c>
      <c r="B52" s="15" t="s">
        <v>54</v>
      </c>
      <c r="C52" s="15" t="s">
        <v>147</v>
      </c>
      <c r="D52" s="16">
        <v>88794000</v>
      </c>
      <c r="E52" s="17">
        <v>46198</v>
      </c>
      <c r="F52" s="17">
        <v>46243</v>
      </c>
      <c r="G52" s="17">
        <v>46254</v>
      </c>
      <c r="H52" s="15">
        <v>0</v>
      </c>
      <c r="I52" s="15">
        <v>0</v>
      </c>
      <c r="J52" s="18">
        <f>IF(AND(E52&lt;=Quy_uoc_chung!$C$4,OR(G52="",G52&gt;Quy_uoc_chung!$C$4)),1,0)</f>
        <v>0</v>
      </c>
      <c r="K52" s="18">
        <f>IF(AND(E52&gt;=Quy_uoc_chung!$C$4-Quy_uoc_chung!$C$3+1,E52&lt;=Quy_uoc_chung!$C$4),1,0)</f>
        <v>0</v>
      </c>
      <c r="L52" s="19">
        <f t="shared" si="0"/>
        <v>45</v>
      </c>
      <c r="M52" s="20">
        <f t="shared" si="1"/>
        <v>0</v>
      </c>
      <c r="N52" s="21" t="str">
        <f t="shared" si="2"/>
        <v/>
      </c>
      <c r="O52" s="18">
        <f>IF(AND(H52&gt;0,J52=1,N52&gt;=Quy_uoc_chung!$C$4),1,0)</f>
        <v>0</v>
      </c>
      <c r="P52" s="22" t="str">
        <f t="shared" si="3"/>
        <v/>
      </c>
      <c r="Q52" s="20">
        <f t="shared" si="4"/>
        <v>0</v>
      </c>
      <c r="R52" s="28">
        <f>IF(J52=1,MAX(0,Quy_uoc_chung!$C$4-F52),0)</f>
        <v>0</v>
      </c>
      <c r="S52" s="28">
        <f t="shared" si="5"/>
        <v>0</v>
      </c>
      <c r="T52" s="28">
        <f>IF(AND(J52=1,F52=Quy_uoc_chung!$C$4),1,0)</f>
        <v>0</v>
      </c>
    </row>
    <row r="53" spans="1:20" x14ac:dyDescent="0.3">
      <c r="A53" s="15" t="s">
        <v>601</v>
      </c>
      <c r="B53" s="15" t="s">
        <v>54</v>
      </c>
      <c r="C53" s="15" t="s">
        <v>148</v>
      </c>
      <c r="D53" s="16">
        <v>42232000</v>
      </c>
      <c r="E53" s="17">
        <v>46201</v>
      </c>
      <c r="F53" s="17">
        <v>46216</v>
      </c>
      <c r="G53" s="17">
        <v>46215</v>
      </c>
      <c r="H53" s="15">
        <v>0</v>
      </c>
      <c r="I53" s="15">
        <v>0</v>
      </c>
      <c r="J53" s="18">
        <f>IF(AND(E53&lt;=Quy_uoc_chung!$C$4,OR(G53="",G53&gt;Quy_uoc_chung!$C$4)),1,0)</f>
        <v>0</v>
      </c>
      <c r="K53" s="18">
        <f>IF(AND(E53&gt;=Quy_uoc_chung!$C$4-Quy_uoc_chung!$C$3+1,E53&lt;=Quy_uoc_chung!$C$4),1,0)</f>
        <v>0</v>
      </c>
      <c r="L53" s="19">
        <f t="shared" si="0"/>
        <v>15</v>
      </c>
      <c r="M53" s="20">
        <f t="shared" si="1"/>
        <v>0</v>
      </c>
      <c r="N53" s="21" t="str">
        <f t="shared" si="2"/>
        <v/>
      </c>
      <c r="O53" s="18">
        <f>IF(AND(H53&gt;0,J53=1,N53&gt;=Quy_uoc_chung!$C$4),1,0)</f>
        <v>0</v>
      </c>
      <c r="P53" s="22" t="str">
        <f t="shared" si="3"/>
        <v/>
      </c>
      <c r="Q53" s="20">
        <f t="shared" si="4"/>
        <v>0</v>
      </c>
      <c r="R53" s="28">
        <f>IF(J53=1,MAX(0,Quy_uoc_chung!$C$4-F53),0)</f>
        <v>0</v>
      </c>
      <c r="S53" s="28">
        <f t="shared" si="5"/>
        <v>0</v>
      </c>
      <c r="T53" s="28">
        <f>IF(AND(J53=1,F53=Quy_uoc_chung!$C$4),1,0)</f>
        <v>0</v>
      </c>
    </row>
    <row r="54" spans="1:20" x14ac:dyDescent="0.3">
      <c r="A54" s="15" t="s">
        <v>602</v>
      </c>
      <c r="B54" s="15" t="s">
        <v>54</v>
      </c>
      <c r="C54" s="15" t="s">
        <v>150</v>
      </c>
      <c r="D54" s="16">
        <v>29501000</v>
      </c>
      <c r="E54" s="17">
        <v>46197</v>
      </c>
      <c r="F54" s="17">
        <v>46212</v>
      </c>
      <c r="G54" s="17">
        <v>46213</v>
      </c>
      <c r="H54" s="15">
        <v>0</v>
      </c>
      <c r="I54" s="15">
        <v>0</v>
      </c>
      <c r="J54" s="18">
        <f>IF(AND(E54&lt;=Quy_uoc_chung!$C$4,OR(G54="",G54&gt;Quy_uoc_chung!$C$4)),1,0)</f>
        <v>0</v>
      </c>
      <c r="K54" s="18">
        <f>IF(AND(E54&gt;=Quy_uoc_chung!$C$4-Quy_uoc_chung!$C$3+1,E54&lt;=Quy_uoc_chung!$C$4),1,0)</f>
        <v>0</v>
      </c>
      <c r="L54" s="19">
        <f t="shared" si="0"/>
        <v>15</v>
      </c>
      <c r="M54" s="20">
        <f t="shared" si="1"/>
        <v>0</v>
      </c>
      <c r="N54" s="21" t="str">
        <f t="shared" si="2"/>
        <v/>
      </c>
      <c r="O54" s="18">
        <f>IF(AND(H54&gt;0,J54=1,N54&gt;=Quy_uoc_chung!$C$4),1,0)</f>
        <v>0</v>
      </c>
      <c r="P54" s="22" t="str">
        <f t="shared" si="3"/>
        <v/>
      </c>
      <c r="Q54" s="20">
        <f t="shared" si="4"/>
        <v>0</v>
      </c>
      <c r="R54" s="28">
        <f>IF(J54=1,MAX(0,Quy_uoc_chung!$C$4-F54),0)</f>
        <v>0</v>
      </c>
      <c r="S54" s="28">
        <f t="shared" si="5"/>
        <v>0</v>
      </c>
      <c r="T54" s="28">
        <f>IF(AND(J54=1,F54=Quy_uoc_chung!$C$4),1,0)</f>
        <v>0</v>
      </c>
    </row>
    <row r="55" spans="1:20" x14ac:dyDescent="0.3">
      <c r="A55" s="15" t="s">
        <v>603</v>
      </c>
      <c r="B55" s="15" t="s">
        <v>54</v>
      </c>
      <c r="C55" s="15" t="s">
        <v>149</v>
      </c>
      <c r="D55" s="16">
        <v>214235000</v>
      </c>
      <c r="E55" s="17">
        <v>46205</v>
      </c>
      <c r="F55" s="17">
        <v>46235</v>
      </c>
      <c r="G55" s="17">
        <v>46241</v>
      </c>
      <c r="H55" s="15">
        <v>0.02</v>
      </c>
      <c r="I55" s="15">
        <v>10</v>
      </c>
      <c r="J55" s="18">
        <f>IF(AND(E55&lt;=Quy_uoc_chung!$C$4,OR(G55="",G55&gt;Quy_uoc_chung!$C$4)),1,0)</f>
        <v>0</v>
      </c>
      <c r="K55" s="18">
        <f>IF(AND(E55&gt;=Quy_uoc_chung!$C$4-Quy_uoc_chung!$C$3+1,E55&lt;=Quy_uoc_chung!$C$4),1,0)</f>
        <v>0</v>
      </c>
      <c r="L55" s="19">
        <f t="shared" si="0"/>
        <v>30</v>
      </c>
      <c r="M55" s="20">
        <f t="shared" si="1"/>
        <v>0</v>
      </c>
      <c r="N55" s="21">
        <f t="shared" si="2"/>
        <v>46215</v>
      </c>
      <c r="O55" s="18">
        <f>IF(AND(H55&gt;0,J55=1,N55&gt;=Quy_uoc_chung!$C$4),1,0)</f>
        <v>0</v>
      </c>
      <c r="P55" s="22" t="str">
        <f t="shared" si="3"/>
        <v/>
      </c>
      <c r="Q55" s="20">
        <f t="shared" si="4"/>
        <v>0</v>
      </c>
      <c r="R55" s="28">
        <f>IF(J55=1,MAX(0,Quy_uoc_chung!$C$4-F55),0)</f>
        <v>0</v>
      </c>
      <c r="S55" s="28">
        <f t="shared" si="5"/>
        <v>0</v>
      </c>
      <c r="T55" s="28">
        <f>IF(AND(J55=1,F55=Quy_uoc_chung!$C$4),1,0)</f>
        <v>0</v>
      </c>
    </row>
    <row r="56" spans="1:20" x14ac:dyDescent="0.3">
      <c r="A56" s="15" t="s">
        <v>604</v>
      </c>
      <c r="B56" s="15" t="s">
        <v>54</v>
      </c>
      <c r="C56" s="15" t="s">
        <v>147</v>
      </c>
      <c r="D56" s="16">
        <v>87218000</v>
      </c>
      <c r="E56" s="17">
        <v>46207</v>
      </c>
      <c r="F56" s="17">
        <v>46252</v>
      </c>
      <c r="G56" s="17">
        <v>46273</v>
      </c>
      <c r="H56" s="15">
        <v>0</v>
      </c>
      <c r="I56" s="15">
        <v>0</v>
      </c>
      <c r="J56" s="18">
        <f>IF(AND(E56&lt;=Quy_uoc_chung!$C$4,OR(G56="",G56&gt;Quy_uoc_chung!$C$4)),1,0)</f>
        <v>0</v>
      </c>
      <c r="K56" s="18">
        <f>IF(AND(E56&gt;=Quy_uoc_chung!$C$4-Quy_uoc_chung!$C$3+1,E56&lt;=Quy_uoc_chung!$C$4),1,0)</f>
        <v>1</v>
      </c>
      <c r="L56" s="19">
        <f t="shared" si="0"/>
        <v>45</v>
      </c>
      <c r="M56" s="20">
        <f t="shared" si="1"/>
        <v>3924810000</v>
      </c>
      <c r="N56" s="21" t="str">
        <f t="shared" si="2"/>
        <v/>
      </c>
      <c r="O56" s="18">
        <f>IF(AND(H56&gt;0,J56=1,N56&gt;=Quy_uoc_chung!$C$4),1,0)</f>
        <v>0</v>
      </c>
      <c r="P56" s="22" t="str">
        <f t="shared" si="3"/>
        <v/>
      </c>
      <c r="Q56" s="20">
        <f t="shared" si="4"/>
        <v>0</v>
      </c>
      <c r="R56" s="28">
        <f>IF(J56=1,MAX(0,Quy_uoc_chung!$C$4-F56),0)</f>
        <v>0</v>
      </c>
      <c r="S56" s="28">
        <f t="shared" si="5"/>
        <v>0</v>
      </c>
      <c r="T56" s="28">
        <f>IF(AND(J56=1,F56=Quy_uoc_chung!$C$4),1,0)</f>
        <v>0</v>
      </c>
    </row>
    <row r="57" spans="1:20" x14ac:dyDescent="0.3">
      <c r="A57" s="15" t="s">
        <v>605</v>
      </c>
      <c r="B57" s="15" t="s">
        <v>54</v>
      </c>
      <c r="C57" s="15" t="s">
        <v>148</v>
      </c>
      <c r="D57" s="16">
        <v>31373000</v>
      </c>
      <c r="E57" s="17">
        <v>46204</v>
      </c>
      <c r="F57" s="17">
        <v>46219</v>
      </c>
      <c r="G57" s="17">
        <v>46217</v>
      </c>
      <c r="H57" s="15">
        <v>0</v>
      </c>
      <c r="I57" s="15">
        <v>0</v>
      </c>
      <c r="J57" s="18">
        <f>IF(AND(E57&lt;=Quy_uoc_chung!$C$4,OR(G57="",G57&gt;Quy_uoc_chung!$C$4)),1,0)</f>
        <v>0</v>
      </c>
      <c r="K57" s="18">
        <f>IF(AND(E57&gt;=Quy_uoc_chung!$C$4-Quy_uoc_chung!$C$3+1,E57&lt;=Quy_uoc_chung!$C$4),1,0)</f>
        <v>0</v>
      </c>
      <c r="L57" s="19">
        <f t="shared" si="0"/>
        <v>15</v>
      </c>
      <c r="M57" s="20">
        <f t="shared" si="1"/>
        <v>0</v>
      </c>
      <c r="N57" s="21" t="str">
        <f t="shared" si="2"/>
        <v/>
      </c>
      <c r="O57" s="18">
        <f>IF(AND(H57&gt;0,J57=1,N57&gt;=Quy_uoc_chung!$C$4),1,0)</f>
        <v>0</v>
      </c>
      <c r="P57" s="22" t="str">
        <f t="shared" si="3"/>
        <v/>
      </c>
      <c r="Q57" s="20">
        <f t="shared" si="4"/>
        <v>0</v>
      </c>
      <c r="R57" s="28">
        <f>IF(J57=1,MAX(0,Quy_uoc_chung!$C$4-F57),0)</f>
        <v>0</v>
      </c>
      <c r="S57" s="28">
        <f t="shared" si="5"/>
        <v>0</v>
      </c>
      <c r="T57" s="28">
        <f>IF(AND(J57=1,F57=Quy_uoc_chung!$C$4),1,0)</f>
        <v>0</v>
      </c>
    </row>
    <row r="58" spans="1:20" x14ac:dyDescent="0.3">
      <c r="A58" s="15" t="s">
        <v>606</v>
      </c>
      <c r="B58" s="15" t="s">
        <v>54</v>
      </c>
      <c r="C58" s="15" t="s">
        <v>150</v>
      </c>
      <c r="D58" s="16">
        <v>21614000</v>
      </c>
      <c r="E58" s="17">
        <v>46208</v>
      </c>
      <c r="F58" s="17">
        <v>46223</v>
      </c>
      <c r="G58" s="17">
        <v>46222</v>
      </c>
      <c r="H58" s="15">
        <v>0</v>
      </c>
      <c r="I58" s="15">
        <v>0</v>
      </c>
      <c r="J58" s="18">
        <f>IF(AND(E58&lt;=Quy_uoc_chung!$C$4,OR(G58="",G58&gt;Quy_uoc_chung!$C$4)),1,0)</f>
        <v>0</v>
      </c>
      <c r="K58" s="18">
        <f>IF(AND(E58&gt;=Quy_uoc_chung!$C$4-Quy_uoc_chung!$C$3+1,E58&lt;=Quy_uoc_chung!$C$4),1,0)</f>
        <v>1</v>
      </c>
      <c r="L58" s="19">
        <f t="shared" si="0"/>
        <v>15</v>
      </c>
      <c r="M58" s="20">
        <f t="shared" si="1"/>
        <v>324210000</v>
      </c>
      <c r="N58" s="21" t="str">
        <f t="shared" si="2"/>
        <v/>
      </c>
      <c r="O58" s="18">
        <f>IF(AND(H58&gt;0,J58=1,N58&gt;=Quy_uoc_chung!$C$4),1,0)</f>
        <v>0</v>
      </c>
      <c r="P58" s="22" t="str">
        <f t="shared" si="3"/>
        <v/>
      </c>
      <c r="Q58" s="20">
        <f t="shared" si="4"/>
        <v>0</v>
      </c>
      <c r="R58" s="28">
        <f>IF(J58=1,MAX(0,Quy_uoc_chung!$C$4-F58),0)</f>
        <v>0</v>
      </c>
      <c r="S58" s="28">
        <f t="shared" si="5"/>
        <v>0</v>
      </c>
      <c r="T58" s="28">
        <f>IF(AND(J58=1,F58=Quy_uoc_chung!$C$4),1,0)</f>
        <v>0</v>
      </c>
    </row>
    <row r="59" spans="1:20" x14ac:dyDescent="0.3">
      <c r="A59" s="15" t="s">
        <v>607</v>
      </c>
      <c r="B59" s="15" t="s">
        <v>54</v>
      </c>
      <c r="C59" s="15" t="s">
        <v>149</v>
      </c>
      <c r="D59" s="16">
        <v>190002000</v>
      </c>
      <c r="E59" s="17">
        <v>46215</v>
      </c>
      <c r="F59" s="17">
        <v>46245</v>
      </c>
      <c r="G59" s="17">
        <v>46254</v>
      </c>
      <c r="H59" s="15">
        <v>0.02</v>
      </c>
      <c r="I59" s="15">
        <v>10</v>
      </c>
      <c r="J59" s="18">
        <f>IF(AND(E59&lt;=Quy_uoc_chung!$C$4,OR(G59="",G59&gt;Quy_uoc_chung!$C$4)),1,0)</f>
        <v>0</v>
      </c>
      <c r="K59" s="18">
        <f>IF(AND(E59&gt;=Quy_uoc_chung!$C$4-Quy_uoc_chung!$C$3+1,E59&lt;=Quy_uoc_chung!$C$4),1,0)</f>
        <v>1</v>
      </c>
      <c r="L59" s="19">
        <f t="shared" si="0"/>
        <v>30</v>
      </c>
      <c r="M59" s="20">
        <f t="shared" si="1"/>
        <v>5700060000</v>
      </c>
      <c r="N59" s="21">
        <f t="shared" si="2"/>
        <v>46225</v>
      </c>
      <c r="O59" s="18">
        <f>IF(AND(H59&gt;0,J59=1,N59&gt;=Quy_uoc_chung!$C$4),1,0)</f>
        <v>0</v>
      </c>
      <c r="P59" s="22" t="str">
        <f t="shared" si="3"/>
        <v/>
      </c>
      <c r="Q59" s="20">
        <f t="shared" si="4"/>
        <v>0</v>
      </c>
      <c r="R59" s="28">
        <f>IF(J59=1,MAX(0,Quy_uoc_chung!$C$4-F59),0)</f>
        <v>0</v>
      </c>
      <c r="S59" s="28">
        <f t="shared" si="5"/>
        <v>0</v>
      </c>
      <c r="T59" s="28">
        <f>IF(AND(J59=1,F59=Quy_uoc_chung!$C$4),1,0)</f>
        <v>0</v>
      </c>
    </row>
    <row r="60" spans="1:20" x14ac:dyDescent="0.3">
      <c r="A60" s="15" t="s">
        <v>608</v>
      </c>
      <c r="B60" s="15" t="s">
        <v>54</v>
      </c>
      <c r="C60" s="15" t="s">
        <v>147</v>
      </c>
      <c r="D60" s="16">
        <v>94673000</v>
      </c>
      <c r="E60" s="17">
        <v>46215</v>
      </c>
      <c r="F60" s="17">
        <v>46260</v>
      </c>
      <c r="G60" s="17">
        <v>46272</v>
      </c>
      <c r="H60" s="15">
        <v>0</v>
      </c>
      <c r="I60" s="15">
        <v>0</v>
      </c>
      <c r="J60" s="18">
        <f>IF(AND(E60&lt;=Quy_uoc_chung!$C$4,OR(G60="",G60&gt;Quy_uoc_chung!$C$4)),1,0)</f>
        <v>0</v>
      </c>
      <c r="K60" s="18">
        <f>IF(AND(E60&gt;=Quy_uoc_chung!$C$4-Quy_uoc_chung!$C$3+1,E60&lt;=Quy_uoc_chung!$C$4),1,0)</f>
        <v>1</v>
      </c>
      <c r="L60" s="19">
        <f t="shared" si="0"/>
        <v>45</v>
      </c>
      <c r="M60" s="20">
        <f t="shared" si="1"/>
        <v>4260285000</v>
      </c>
      <c r="N60" s="21" t="str">
        <f t="shared" si="2"/>
        <v/>
      </c>
      <c r="O60" s="18">
        <f>IF(AND(H60&gt;0,J60=1,N60&gt;=Quy_uoc_chung!$C$4),1,0)</f>
        <v>0</v>
      </c>
      <c r="P60" s="22" t="str">
        <f t="shared" si="3"/>
        <v/>
      </c>
      <c r="Q60" s="20">
        <f t="shared" si="4"/>
        <v>0</v>
      </c>
      <c r="R60" s="28">
        <f>IF(J60=1,MAX(0,Quy_uoc_chung!$C$4-F60),0)</f>
        <v>0</v>
      </c>
      <c r="S60" s="28">
        <f t="shared" si="5"/>
        <v>0</v>
      </c>
      <c r="T60" s="28">
        <f>IF(AND(J60=1,F60=Quy_uoc_chung!$C$4),1,0)</f>
        <v>0</v>
      </c>
    </row>
    <row r="61" spans="1:20" x14ac:dyDescent="0.3">
      <c r="A61" s="15" t="s">
        <v>609</v>
      </c>
      <c r="B61" s="15" t="s">
        <v>54</v>
      </c>
      <c r="C61" s="15" t="s">
        <v>148</v>
      </c>
      <c r="D61" s="16">
        <v>41384000</v>
      </c>
      <c r="E61" s="17">
        <v>46215</v>
      </c>
      <c r="F61" s="17">
        <v>46230</v>
      </c>
      <c r="G61" s="17">
        <v>46229</v>
      </c>
      <c r="H61" s="15">
        <v>0</v>
      </c>
      <c r="I61" s="15">
        <v>0</v>
      </c>
      <c r="J61" s="18">
        <f>IF(AND(E61&lt;=Quy_uoc_chung!$C$4,OR(G61="",G61&gt;Quy_uoc_chung!$C$4)),1,0)</f>
        <v>0</v>
      </c>
      <c r="K61" s="18">
        <f>IF(AND(E61&gt;=Quy_uoc_chung!$C$4-Quy_uoc_chung!$C$3+1,E61&lt;=Quy_uoc_chung!$C$4),1,0)</f>
        <v>1</v>
      </c>
      <c r="L61" s="19">
        <f t="shared" si="0"/>
        <v>15</v>
      </c>
      <c r="M61" s="20">
        <f t="shared" si="1"/>
        <v>620760000</v>
      </c>
      <c r="N61" s="21" t="str">
        <f t="shared" si="2"/>
        <v/>
      </c>
      <c r="O61" s="18">
        <f>IF(AND(H61&gt;0,J61=1,N61&gt;=Quy_uoc_chung!$C$4),1,0)</f>
        <v>0</v>
      </c>
      <c r="P61" s="22" t="str">
        <f t="shared" si="3"/>
        <v/>
      </c>
      <c r="Q61" s="20">
        <f t="shared" si="4"/>
        <v>0</v>
      </c>
      <c r="R61" s="28">
        <f>IF(J61=1,MAX(0,Quy_uoc_chung!$C$4-F61),0)</f>
        <v>0</v>
      </c>
      <c r="S61" s="28">
        <f t="shared" si="5"/>
        <v>0</v>
      </c>
      <c r="T61" s="28">
        <f>IF(AND(J61=1,F61=Quy_uoc_chung!$C$4),1,0)</f>
        <v>0</v>
      </c>
    </row>
    <row r="62" spans="1:20" x14ac:dyDescent="0.3">
      <c r="A62" s="15" t="s">
        <v>610</v>
      </c>
      <c r="B62" s="15" t="s">
        <v>54</v>
      </c>
      <c r="C62" s="15" t="s">
        <v>150</v>
      </c>
      <c r="D62" s="16">
        <v>27933000</v>
      </c>
      <c r="E62" s="17">
        <v>46211</v>
      </c>
      <c r="F62" s="17">
        <v>46226</v>
      </c>
      <c r="G62" s="17">
        <v>46227</v>
      </c>
      <c r="H62" s="15">
        <v>0</v>
      </c>
      <c r="I62" s="15">
        <v>0</v>
      </c>
      <c r="J62" s="18">
        <f>IF(AND(E62&lt;=Quy_uoc_chung!$C$4,OR(G62="",G62&gt;Quy_uoc_chung!$C$4)),1,0)</f>
        <v>0</v>
      </c>
      <c r="K62" s="18">
        <f>IF(AND(E62&gt;=Quy_uoc_chung!$C$4-Quy_uoc_chung!$C$3+1,E62&lt;=Quy_uoc_chung!$C$4),1,0)</f>
        <v>1</v>
      </c>
      <c r="L62" s="19">
        <f t="shared" si="0"/>
        <v>15</v>
      </c>
      <c r="M62" s="20">
        <f t="shared" si="1"/>
        <v>418995000</v>
      </c>
      <c r="N62" s="21" t="str">
        <f t="shared" si="2"/>
        <v/>
      </c>
      <c r="O62" s="18">
        <f>IF(AND(H62&gt;0,J62=1,N62&gt;=Quy_uoc_chung!$C$4),1,0)</f>
        <v>0</v>
      </c>
      <c r="P62" s="22" t="str">
        <f t="shared" si="3"/>
        <v/>
      </c>
      <c r="Q62" s="20">
        <f t="shared" si="4"/>
        <v>0</v>
      </c>
      <c r="R62" s="28">
        <f>IF(J62=1,MAX(0,Quy_uoc_chung!$C$4-F62),0)</f>
        <v>0</v>
      </c>
      <c r="S62" s="28">
        <f t="shared" si="5"/>
        <v>0</v>
      </c>
      <c r="T62" s="28">
        <f>IF(AND(J62=1,F62=Quy_uoc_chung!$C$4),1,0)</f>
        <v>0</v>
      </c>
    </row>
    <row r="63" spans="1:20" x14ac:dyDescent="0.3">
      <c r="A63" s="15" t="s">
        <v>611</v>
      </c>
      <c r="B63" s="15" t="s">
        <v>54</v>
      </c>
      <c r="C63" s="15" t="s">
        <v>149</v>
      </c>
      <c r="D63" s="16">
        <v>188073000</v>
      </c>
      <c r="E63" s="17">
        <v>46218</v>
      </c>
      <c r="F63" s="17">
        <v>46248</v>
      </c>
      <c r="G63" s="17">
        <v>46245</v>
      </c>
      <c r="H63" s="15">
        <v>0.02</v>
      </c>
      <c r="I63" s="15">
        <v>10</v>
      </c>
      <c r="J63" s="18">
        <f>IF(AND(E63&lt;=Quy_uoc_chung!$C$4,OR(G63="",G63&gt;Quy_uoc_chung!$C$4)),1,0)</f>
        <v>0</v>
      </c>
      <c r="K63" s="18">
        <f>IF(AND(E63&gt;=Quy_uoc_chung!$C$4-Quy_uoc_chung!$C$3+1,E63&lt;=Quy_uoc_chung!$C$4),1,0)</f>
        <v>1</v>
      </c>
      <c r="L63" s="19">
        <f t="shared" si="0"/>
        <v>30</v>
      </c>
      <c r="M63" s="20">
        <f t="shared" si="1"/>
        <v>5642190000</v>
      </c>
      <c r="N63" s="21">
        <f t="shared" si="2"/>
        <v>46228</v>
      </c>
      <c r="O63" s="18">
        <f>IF(AND(H63&gt;0,J63=1,N63&gt;=Quy_uoc_chung!$C$4),1,0)</f>
        <v>0</v>
      </c>
      <c r="P63" s="22" t="str">
        <f t="shared" si="3"/>
        <v/>
      </c>
      <c r="Q63" s="20">
        <f t="shared" si="4"/>
        <v>0</v>
      </c>
      <c r="R63" s="28">
        <f>IF(J63=1,MAX(0,Quy_uoc_chung!$C$4-F63),0)</f>
        <v>0</v>
      </c>
      <c r="S63" s="28">
        <f t="shared" si="5"/>
        <v>0</v>
      </c>
      <c r="T63" s="28">
        <f>IF(AND(J63=1,F63=Quy_uoc_chung!$C$4),1,0)</f>
        <v>0</v>
      </c>
    </row>
    <row r="64" spans="1:20" x14ac:dyDescent="0.3">
      <c r="A64" s="15" t="s">
        <v>612</v>
      </c>
      <c r="B64" s="15" t="s">
        <v>54</v>
      </c>
      <c r="C64" s="15" t="s">
        <v>147</v>
      </c>
      <c r="D64" s="16">
        <v>83434000</v>
      </c>
      <c r="E64" s="17">
        <v>46221</v>
      </c>
      <c r="F64" s="17">
        <v>46266</v>
      </c>
      <c r="G64" s="17">
        <v>46280</v>
      </c>
      <c r="H64" s="15">
        <v>0</v>
      </c>
      <c r="I64" s="15">
        <v>0</v>
      </c>
      <c r="J64" s="18">
        <f>IF(AND(E64&lt;=Quy_uoc_chung!$C$4,OR(G64="",G64&gt;Quy_uoc_chung!$C$4)),1,0)</f>
        <v>0</v>
      </c>
      <c r="K64" s="18">
        <f>IF(AND(E64&gt;=Quy_uoc_chung!$C$4-Quy_uoc_chung!$C$3+1,E64&lt;=Quy_uoc_chung!$C$4),1,0)</f>
        <v>1</v>
      </c>
      <c r="L64" s="19">
        <f t="shared" si="0"/>
        <v>45</v>
      </c>
      <c r="M64" s="20">
        <f t="shared" si="1"/>
        <v>3754530000</v>
      </c>
      <c r="N64" s="21" t="str">
        <f t="shared" si="2"/>
        <v/>
      </c>
      <c r="O64" s="18">
        <f>IF(AND(H64&gt;0,J64=1,N64&gt;=Quy_uoc_chung!$C$4),1,0)</f>
        <v>0</v>
      </c>
      <c r="P64" s="22" t="str">
        <f t="shared" si="3"/>
        <v/>
      </c>
      <c r="Q64" s="20">
        <f t="shared" si="4"/>
        <v>0</v>
      </c>
      <c r="R64" s="28">
        <f>IF(J64=1,MAX(0,Quy_uoc_chung!$C$4-F64),0)</f>
        <v>0</v>
      </c>
      <c r="S64" s="28">
        <f t="shared" si="5"/>
        <v>0</v>
      </c>
      <c r="T64" s="28">
        <f>IF(AND(J64=1,F64=Quy_uoc_chung!$C$4),1,0)</f>
        <v>0</v>
      </c>
    </row>
    <row r="65" spans="1:20" x14ac:dyDescent="0.3">
      <c r="A65" s="15" t="s">
        <v>613</v>
      </c>
      <c r="B65" s="15" t="s">
        <v>54</v>
      </c>
      <c r="C65" s="15" t="s">
        <v>148</v>
      </c>
      <c r="D65" s="16">
        <v>39445000</v>
      </c>
      <c r="E65" s="17">
        <v>46221</v>
      </c>
      <c r="F65" s="17">
        <v>46236</v>
      </c>
      <c r="G65" s="17">
        <v>46234</v>
      </c>
      <c r="H65" s="15">
        <v>0</v>
      </c>
      <c r="I65" s="15">
        <v>0</v>
      </c>
      <c r="J65" s="18">
        <f>IF(AND(E65&lt;=Quy_uoc_chung!$C$4,OR(G65="",G65&gt;Quy_uoc_chung!$C$4)),1,0)</f>
        <v>0</v>
      </c>
      <c r="K65" s="18">
        <f>IF(AND(E65&gt;=Quy_uoc_chung!$C$4-Quy_uoc_chung!$C$3+1,E65&lt;=Quy_uoc_chung!$C$4),1,0)</f>
        <v>1</v>
      </c>
      <c r="L65" s="19">
        <f t="shared" si="0"/>
        <v>15</v>
      </c>
      <c r="M65" s="20">
        <f t="shared" si="1"/>
        <v>591675000</v>
      </c>
      <c r="N65" s="21" t="str">
        <f t="shared" si="2"/>
        <v/>
      </c>
      <c r="O65" s="18">
        <f>IF(AND(H65&gt;0,J65=1,N65&gt;=Quy_uoc_chung!$C$4),1,0)</f>
        <v>0</v>
      </c>
      <c r="P65" s="22" t="str">
        <f t="shared" si="3"/>
        <v/>
      </c>
      <c r="Q65" s="20">
        <f t="shared" si="4"/>
        <v>0</v>
      </c>
      <c r="R65" s="28">
        <f>IF(J65=1,MAX(0,Quy_uoc_chung!$C$4-F65),0)</f>
        <v>0</v>
      </c>
      <c r="S65" s="28">
        <f t="shared" si="5"/>
        <v>0</v>
      </c>
      <c r="T65" s="28">
        <f>IF(AND(J65=1,F65=Quy_uoc_chung!$C$4),1,0)</f>
        <v>0</v>
      </c>
    </row>
    <row r="66" spans="1:20" x14ac:dyDescent="0.3">
      <c r="A66" s="15" t="s">
        <v>614</v>
      </c>
      <c r="B66" s="15" t="s">
        <v>54</v>
      </c>
      <c r="C66" s="15" t="s">
        <v>150</v>
      </c>
      <c r="D66" s="16">
        <v>32092000</v>
      </c>
      <c r="E66" s="17">
        <v>46222</v>
      </c>
      <c r="F66" s="17">
        <v>46237</v>
      </c>
      <c r="G66" s="17">
        <v>46235</v>
      </c>
      <c r="H66" s="15">
        <v>0</v>
      </c>
      <c r="I66" s="15">
        <v>0</v>
      </c>
      <c r="J66" s="18">
        <f>IF(AND(E66&lt;=Quy_uoc_chung!$C$4,OR(G66="",G66&gt;Quy_uoc_chung!$C$4)),1,0)</f>
        <v>0</v>
      </c>
      <c r="K66" s="18">
        <f>IF(AND(E66&gt;=Quy_uoc_chung!$C$4-Quy_uoc_chung!$C$3+1,E66&lt;=Quy_uoc_chung!$C$4),1,0)</f>
        <v>1</v>
      </c>
      <c r="L66" s="19">
        <f t="shared" si="0"/>
        <v>15</v>
      </c>
      <c r="M66" s="20">
        <f t="shared" si="1"/>
        <v>481380000</v>
      </c>
      <c r="N66" s="21" t="str">
        <f t="shared" si="2"/>
        <v/>
      </c>
      <c r="O66" s="18">
        <f>IF(AND(H66&gt;0,J66=1,N66&gt;=Quy_uoc_chung!$C$4),1,0)</f>
        <v>0</v>
      </c>
      <c r="P66" s="22" t="str">
        <f t="shared" si="3"/>
        <v/>
      </c>
      <c r="Q66" s="20">
        <f t="shared" si="4"/>
        <v>0</v>
      </c>
      <c r="R66" s="28">
        <f>IF(J66=1,MAX(0,Quy_uoc_chung!$C$4-F66),0)</f>
        <v>0</v>
      </c>
      <c r="S66" s="28">
        <f t="shared" si="5"/>
        <v>0</v>
      </c>
      <c r="T66" s="28">
        <f>IF(AND(J66=1,F66=Quy_uoc_chung!$C$4),1,0)</f>
        <v>0</v>
      </c>
    </row>
    <row r="67" spans="1:20" x14ac:dyDescent="0.3">
      <c r="A67" s="15" t="s">
        <v>615</v>
      </c>
      <c r="B67" s="15" t="s">
        <v>54</v>
      </c>
      <c r="C67" s="15" t="s">
        <v>149</v>
      </c>
      <c r="D67" s="16">
        <v>144085000</v>
      </c>
      <c r="E67" s="17">
        <v>46225</v>
      </c>
      <c r="F67" s="17">
        <v>46255</v>
      </c>
      <c r="G67" s="17">
        <v>46262</v>
      </c>
      <c r="H67" s="15">
        <v>0.02</v>
      </c>
      <c r="I67" s="15">
        <v>10</v>
      </c>
      <c r="J67" s="18">
        <f>IF(AND(E67&lt;=Quy_uoc_chung!$C$4,OR(G67="",G67&gt;Quy_uoc_chung!$C$4)),1,0)</f>
        <v>0</v>
      </c>
      <c r="K67" s="18">
        <f>IF(AND(E67&gt;=Quy_uoc_chung!$C$4-Quy_uoc_chung!$C$3+1,E67&lt;=Quy_uoc_chung!$C$4),1,0)</f>
        <v>1</v>
      </c>
      <c r="L67" s="19">
        <f t="shared" ref="L67:L130" si="6">F67-E67</f>
        <v>30</v>
      </c>
      <c r="M67" s="20">
        <f t="shared" ref="M67:M130" si="7">IF(K67=1,D67*L67,0)</f>
        <v>4322550000</v>
      </c>
      <c r="N67" s="21">
        <f t="shared" ref="N67:N130" si="8">IF(H67&gt;0,E67+I67,"")</f>
        <v>46235</v>
      </c>
      <c r="O67" s="18">
        <f>IF(AND(H67&gt;0,J67=1,N67&gt;=Quy_uoc_chung!$C$4),1,0)</f>
        <v>0</v>
      </c>
      <c r="P67" s="22" t="str">
        <f t="shared" ref="P67:P130" si="9">IF(O67=1,H67/(1-H67)*365/(L67-I67),"")</f>
        <v/>
      </c>
      <c r="Q67" s="20">
        <f t="shared" ref="Q67:Q130" si="10">IF(O67=1,D67*H67,0)</f>
        <v>0</v>
      </c>
      <c r="R67" s="28">
        <f>IF(J67=1,MAX(0,Quy_uoc_chung!$C$4-F67),0)</f>
        <v>0</v>
      </c>
      <c r="S67" s="28">
        <f t="shared" ref="S67:S130" si="11">IF(AND(J67=1,R67&gt;0),1,0)</f>
        <v>0</v>
      </c>
      <c r="T67" s="28">
        <f>IF(AND(J67=1,F67=Quy_uoc_chung!$C$4),1,0)</f>
        <v>0</v>
      </c>
    </row>
    <row r="68" spans="1:20" x14ac:dyDescent="0.3">
      <c r="A68" s="15" t="s">
        <v>616</v>
      </c>
      <c r="B68" s="15" t="s">
        <v>54</v>
      </c>
      <c r="C68" s="15" t="s">
        <v>147</v>
      </c>
      <c r="D68" s="16">
        <v>79143000</v>
      </c>
      <c r="E68" s="17">
        <v>46229</v>
      </c>
      <c r="F68" s="17">
        <v>46274</v>
      </c>
      <c r="G68" s="17">
        <v>46290</v>
      </c>
      <c r="H68" s="15">
        <v>0</v>
      </c>
      <c r="I68" s="15">
        <v>0</v>
      </c>
      <c r="J68" s="18">
        <f>IF(AND(E68&lt;=Quy_uoc_chung!$C$4,OR(G68="",G68&gt;Quy_uoc_chung!$C$4)),1,0)</f>
        <v>0</v>
      </c>
      <c r="K68" s="18">
        <f>IF(AND(E68&gt;=Quy_uoc_chung!$C$4-Quy_uoc_chung!$C$3+1,E68&lt;=Quy_uoc_chung!$C$4),1,0)</f>
        <v>1</v>
      </c>
      <c r="L68" s="19">
        <f t="shared" si="6"/>
        <v>45</v>
      </c>
      <c r="M68" s="20">
        <f t="shared" si="7"/>
        <v>3561435000</v>
      </c>
      <c r="N68" s="21" t="str">
        <f t="shared" si="8"/>
        <v/>
      </c>
      <c r="O68" s="18">
        <f>IF(AND(H68&gt;0,J68=1,N68&gt;=Quy_uoc_chung!$C$4),1,0)</f>
        <v>0</v>
      </c>
      <c r="P68" s="22" t="str">
        <f t="shared" si="9"/>
        <v/>
      </c>
      <c r="Q68" s="20">
        <f t="shared" si="10"/>
        <v>0</v>
      </c>
      <c r="R68" s="28">
        <f>IF(J68=1,MAX(0,Quy_uoc_chung!$C$4-F68),0)</f>
        <v>0</v>
      </c>
      <c r="S68" s="28">
        <f t="shared" si="11"/>
        <v>0</v>
      </c>
      <c r="T68" s="28">
        <f>IF(AND(J68=1,F68=Quy_uoc_chung!$C$4),1,0)</f>
        <v>0</v>
      </c>
    </row>
    <row r="69" spans="1:20" x14ac:dyDescent="0.3">
      <c r="A69" s="15" t="s">
        <v>617</v>
      </c>
      <c r="B69" s="15" t="s">
        <v>54</v>
      </c>
      <c r="C69" s="15" t="s">
        <v>148</v>
      </c>
      <c r="D69" s="16">
        <v>36306000</v>
      </c>
      <c r="E69" s="17">
        <v>46228</v>
      </c>
      <c r="F69" s="17">
        <v>46243</v>
      </c>
      <c r="G69" s="17">
        <v>46243</v>
      </c>
      <c r="H69" s="15">
        <v>0</v>
      </c>
      <c r="I69" s="15">
        <v>0</v>
      </c>
      <c r="J69" s="18">
        <f>IF(AND(E69&lt;=Quy_uoc_chung!$C$4,OR(G69="",G69&gt;Quy_uoc_chung!$C$4)),1,0)</f>
        <v>0</v>
      </c>
      <c r="K69" s="18">
        <f>IF(AND(E69&gt;=Quy_uoc_chung!$C$4-Quy_uoc_chung!$C$3+1,E69&lt;=Quy_uoc_chung!$C$4),1,0)</f>
        <v>1</v>
      </c>
      <c r="L69" s="19">
        <f t="shared" si="6"/>
        <v>15</v>
      </c>
      <c r="M69" s="20">
        <f t="shared" si="7"/>
        <v>544590000</v>
      </c>
      <c r="N69" s="21" t="str">
        <f t="shared" si="8"/>
        <v/>
      </c>
      <c r="O69" s="18">
        <f>IF(AND(H69&gt;0,J69=1,N69&gt;=Quy_uoc_chung!$C$4),1,0)</f>
        <v>0</v>
      </c>
      <c r="P69" s="22" t="str">
        <f t="shared" si="9"/>
        <v/>
      </c>
      <c r="Q69" s="20">
        <f t="shared" si="10"/>
        <v>0</v>
      </c>
      <c r="R69" s="28">
        <f>IF(J69=1,MAX(0,Quy_uoc_chung!$C$4-F69),0)</f>
        <v>0</v>
      </c>
      <c r="S69" s="28">
        <f t="shared" si="11"/>
        <v>0</v>
      </c>
      <c r="T69" s="28">
        <f>IF(AND(J69=1,F69=Quy_uoc_chung!$C$4),1,0)</f>
        <v>0</v>
      </c>
    </row>
    <row r="70" spans="1:20" x14ac:dyDescent="0.3">
      <c r="A70" s="15" t="s">
        <v>618</v>
      </c>
      <c r="B70" s="15" t="s">
        <v>54</v>
      </c>
      <c r="C70" s="15" t="s">
        <v>150</v>
      </c>
      <c r="D70" s="16">
        <v>29865000</v>
      </c>
      <c r="E70" s="17">
        <v>46228</v>
      </c>
      <c r="F70" s="17">
        <v>46243</v>
      </c>
      <c r="G70" s="17">
        <v>46242</v>
      </c>
      <c r="H70" s="15">
        <v>0</v>
      </c>
      <c r="I70" s="15">
        <v>0</v>
      </c>
      <c r="J70" s="18">
        <f>IF(AND(E70&lt;=Quy_uoc_chung!$C$4,OR(G70="",G70&gt;Quy_uoc_chung!$C$4)),1,0)</f>
        <v>0</v>
      </c>
      <c r="K70" s="18">
        <f>IF(AND(E70&gt;=Quy_uoc_chung!$C$4-Quy_uoc_chung!$C$3+1,E70&lt;=Quy_uoc_chung!$C$4),1,0)</f>
        <v>1</v>
      </c>
      <c r="L70" s="19">
        <f t="shared" si="6"/>
        <v>15</v>
      </c>
      <c r="M70" s="20">
        <f t="shared" si="7"/>
        <v>447975000</v>
      </c>
      <c r="N70" s="21" t="str">
        <f t="shared" si="8"/>
        <v/>
      </c>
      <c r="O70" s="18">
        <f>IF(AND(H70&gt;0,J70=1,N70&gt;=Quy_uoc_chung!$C$4),1,0)</f>
        <v>0</v>
      </c>
      <c r="P70" s="22" t="str">
        <f t="shared" si="9"/>
        <v/>
      </c>
      <c r="Q70" s="20">
        <f t="shared" si="10"/>
        <v>0</v>
      </c>
      <c r="R70" s="28">
        <f>IF(J70=1,MAX(0,Quy_uoc_chung!$C$4-F70),0)</f>
        <v>0</v>
      </c>
      <c r="S70" s="28">
        <f t="shared" si="11"/>
        <v>0</v>
      </c>
      <c r="T70" s="28">
        <f>IF(AND(J70=1,F70=Quy_uoc_chung!$C$4),1,0)</f>
        <v>0</v>
      </c>
    </row>
    <row r="71" spans="1:20" x14ac:dyDescent="0.3">
      <c r="A71" s="15" t="s">
        <v>619</v>
      </c>
      <c r="B71" s="15" t="s">
        <v>54</v>
      </c>
      <c r="C71" s="15" t="s">
        <v>149</v>
      </c>
      <c r="D71" s="16">
        <v>164660000</v>
      </c>
      <c r="E71" s="17">
        <v>46233</v>
      </c>
      <c r="F71" s="17">
        <v>46263</v>
      </c>
      <c r="G71" s="17">
        <v>46268</v>
      </c>
      <c r="H71" s="15">
        <v>0.02</v>
      </c>
      <c r="I71" s="15">
        <v>10</v>
      </c>
      <c r="J71" s="18">
        <f>IF(AND(E71&lt;=Quy_uoc_chung!$C$4,OR(G71="",G71&gt;Quy_uoc_chung!$C$4)),1,0)</f>
        <v>0</v>
      </c>
      <c r="K71" s="18">
        <f>IF(AND(E71&gt;=Quy_uoc_chung!$C$4-Quy_uoc_chung!$C$3+1,E71&lt;=Quy_uoc_chung!$C$4),1,0)</f>
        <v>1</v>
      </c>
      <c r="L71" s="19">
        <f t="shared" si="6"/>
        <v>30</v>
      </c>
      <c r="M71" s="20">
        <f t="shared" si="7"/>
        <v>4939800000</v>
      </c>
      <c r="N71" s="21">
        <f t="shared" si="8"/>
        <v>46243</v>
      </c>
      <c r="O71" s="18">
        <f>IF(AND(H71&gt;0,J71=1,N71&gt;=Quy_uoc_chung!$C$4),1,0)</f>
        <v>0</v>
      </c>
      <c r="P71" s="22" t="str">
        <f t="shared" si="9"/>
        <v/>
      </c>
      <c r="Q71" s="20">
        <f t="shared" si="10"/>
        <v>0</v>
      </c>
      <c r="R71" s="28">
        <f>IF(J71=1,MAX(0,Quy_uoc_chung!$C$4-F71),0)</f>
        <v>0</v>
      </c>
      <c r="S71" s="28">
        <f t="shared" si="11"/>
        <v>0</v>
      </c>
      <c r="T71" s="28">
        <f>IF(AND(J71=1,F71=Quy_uoc_chung!$C$4),1,0)</f>
        <v>0</v>
      </c>
    </row>
    <row r="72" spans="1:20" x14ac:dyDescent="0.3">
      <c r="A72" s="15" t="s">
        <v>620</v>
      </c>
      <c r="B72" s="15" t="s">
        <v>54</v>
      </c>
      <c r="C72" s="15" t="s">
        <v>147</v>
      </c>
      <c r="D72" s="16">
        <v>67971000</v>
      </c>
      <c r="E72" s="17">
        <v>46232</v>
      </c>
      <c r="F72" s="17">
        <v>46277</v>
      </c>
      <c r="G72" s="17">
        <v>46284</v>
      </c>
      <c r="H72" s="15">
        <v>0</v>
      </c>
      <c r="I72" s="15">
        <v>0</v>
      </c>
      <c r="J72" s="18">
        <f>IF(AND(E72&lt;=Quy_uoc_chung!$C$4,OR(G72="",G72&gt;Quy_uoc_chung!$C$4)),1,0)</f>
        <v>0</v>
      </c>
      <c r="K72" s="18">
        <f>IF(AND(E72&gt;=Quy_uoc_chung!$C$4-Quy_uoc_chung!$C$3+1,E72&lt;=Quy_uoc_chung!$C$4),1,0)</f>
        <v>1</v>
      </c>
      <c r="L72" s="19">
        <f t="shared" si="6"/>
        <v>45</v>
      </c>
      <c r="M72" s="20">
        <f t="shared" si="7"/>
        <v>3058695000</v>
      </c>
      <c r="N72" s="21" t="str">
        <f t="shared" si="8"/>
        <v/>
      </c>
      <c r="O72" s="18">
        <f>IF(AND(H72&gt;0,J72=1,N72&gt;=Quy_uoc_chung!$C$4),1,0)</f>
        <v>0</v>
      </c>
      <c r="P72" s="22" t="str">
        <f t="shared" si="9"/>
        <v/>
      </c>
      <c r="Q72" s="20">
        <f t="shared" si="10"/>
        <v>0</v>
      </c>
      <c r="R72" s="28">
        <f>IF(J72=1,MAX(0,Quy_uoc_chung!$C$4-F72),0)</f>
        <v>0</v>
      </c>
      <c r="S72" s="28">
        <f t="shared" si="11"/>
        <v>0</v>
      </c>
      <c r="T72" s="28">
        <f>IF(AND(J72=1,F72=Quy_uoc_chung!$C$4),1,0)</f>
        <v>0</v>
      </c>
    </row>
    <row r="73" spans="1:20" x14ac:dyDescent="0.3">
      <c r="A73" s="15" t="s">
        <v>621</v>
      </c>
      <c r="B73" s="15" t="s">
        <v>54</v>
      </c>
      <c r="C73" s="15" t="s">
        <v>148</v>
      </c>
      <c r="D73" s="16">
        <v>37290000</v>
      </c>
      <c r="E73" s="17">
        <v>46236</v>
      </c>
      <c r="F73" s="17">
        <v>46251</v>
      </c>
      <c r="G73" s="17">
        <v>46252</v>
      </c>
      <c r="H73" s="15">
        <v>0</v>
      </c>
      <c r="I73" s="15">
        <v>0</v>
      </c>
      <c r="J73" s="18">
        <f>IF(AND(E73&lt;=Quy_uoc_chung!$C$4,OR(G73="",G73&gt;Quy_uoc_chung!$C$4)),1,0)</f>
        <v>0</v>
      </c>
      <c r="K73" s="18">
        <f>IF(AND(E73&gt;=Quy_uoc_chung!$C$4-Quy_uoc_chung!$C$3+1,E73&lt;=Quy_uoc_chung!$C$4),1,0)</f>
        <v>1</v>
      </c>
      <c r="L73" s="19">
        <f t="shared" si="6"/>
        <v>15</v>
      </c>
      <c r="M73" s="20">
        <f t="shared" si="7"/>
        <v>559350000</v>
      </c>
      <c r="N73" s="21" t="str">
        <f t="shared" si="8"/>
        <v/>
      </c>
      <c r="O73" s="18">
        <f>IF(AND(H73&gt;0,J73=1,N73&gt;=Quy_uoc_chung!$C$4),1,0)</f>
        <v>0</v>
      </c>
      <c r="P73" s="22" t="str">
        <f t="shared" si="9"/>
        <v/>
      </c>
      <c r="Q73" s="20">
        <f t="shared" si="10"/>
        <v>0</v>
      </c>
      <c r="R73" s="28">
        <f>IF(J73=1,MAX(0,Quy_uoc_chung!$C$4-F73),0)</f>
        <v>0</v>
      </c>
      <c r="S73" s="28">
        <f t="shared" si="11"/>
        <v>0</v>
      </c>
      <c r="T73" s="28">
        <f>IF(AND(J73=1,F73=Quy_uoc_chung!$C$4),1,0)</f>
        <v>0</v>
      </c>
    </row>
    <row r="74" spans="1:20" x14ac:dyDescent="0.3">
      <c r="A74" s="15" t="s">
        <v>622</v>
      </c>
      <c r="B74" s="15" t="s">
        <v>54</v>
      </c>
      <c r="C74" s="15" t="s">
        <v>150</v>
      </c>
      <c r="D74" s="16">
        <v>27100000</v>
      </c>
      <c r="E74" s="17">
        <v>46236</v>
      </c>
      <c r="F74" s="17">
        <v>46251</v>
      </c>
      <c r="G74" s="17">
        <v>46251</v>
      </c>
      <c r="H74" s="15">
        <v>0</v>
      </c>
      <c r="I74" s="15">
        <v>0</v>
      </c>
      <c r="J74" s="18">
        <f>IF(AND(E74&lt;=Quy_uoc_chung!$C$4,OR(G74="",G74&gt;Quy_uoc_chung!$C$4)),1,0)</f>
        <v>0</v>
      </c>
      <c r="K74" s="18">
        <f>IF(AND(E74&gt;=Quy_uoc_chung!$C$4-Quy_uoc_chung!$C$3+1,E74&lt;=Quy_uoc_chung!$C$4),1,0)</f>
        <v>1</v>
      </c>
      <c r="L74" s="19">
        <f t="shared" si="6"/>
        <v>15</v>
      </c>
      <c r="M74" s="20">
        <f t="shared" si="7"/>
        <v>406500000</v>
      </c>
      <c r="N74" s="21" t="str">
        <f t="shared" si="8"/>
        <v/>
      </c>
      <c r="O74" s="18">
        <f>IF(AND(H74&gt;0,J74=1,N74&gt;=Quy_uoc_chung!$C$4),1,0)</f>
        <v>0</v>
      </c>
      <c r="P74" s="22" t="str">
        <f t="shared" si="9"/>
        <v/>
      </c>
      <c r="Q74" s="20">
        <f t="shared" si="10"/>
        <v>0</v>
      </c>
      <c r="R74" s="28">
        <f>IF(J74=1,MAX(0,Quy_uoc_chung!$C$4-F74),0)</f>
        <v>0</v>
      </c>
      <c r="S74" s="28">
        <f t="shared" si="11"/>
        <v>0</v>
      </c>
      <c r="T74" s="28">
        <f>IF(AND(J74=1,F74=Quy_uoc_chung!$C$4),1,0)</f>
        <v>0</v>
      </c>
    </row>
    <row r="75" spans="1:20" x14ac:dyDescent="0.3">
      <c r="A75" s="15" t="s">
        <v>623</v>
      </c>
      <c r="B75" s="15" t="s">
        <v>54</v>
      </c>
      <c r="C75" s="15" t="s">
        <v>149</v>
      </c>
      <c r="D75" s="16">
        <v>179628000</v>
      </c>
      <c r="E75" s="17">
        <v>46243</v>
      </c>
      <c r="F75" s="17">
        <v>46273</v>
      </c>
      <c r="G75" s="17">
        <v>46279</v>
      </c>
      <c r="H75" s="15">
        <v>0.02</v>
      </c>
      <c r="I75" s="15">
        <v>10</v>
      </c>
      <c r="J75" s="18">
        <f>IF(AND(E75&lt;=Quy_uoc_chung!$C$4,OR(G75="",G75&gt;Quy_uoc_chung!$C$4)),1,0)</f>
        <v>0</v>
      </c>
      <c r="K75" s="18">
        <f>IF(AND(E75&gt;=Quy_uoc_chung!$C$4-Quy_uoc_chung!$C$3+1,E75&lt;=Quy_uoc_chung!$C$4),1,0)</f>
        <v>1</v>
      </c>
      <c r="L75" s="19">
        <f t="shared" si="6"/>
        <v>30</v>
      </c>
      <c r="M75" s="20">
        <f t="shared" si="7"/>
        <v>5388840000</v>
      </c>
      <c r="N75" s="21">
        <f t="shared" si="8"/>
        <v>46253</v>
      </c>
      <c r="O75" s="18">
        <f>IF(AND(H75&gt;0,J75=1,N75&gt;=Quy_uoc_chung!$C$4),1,0)</f>
        <v>0</v>
      </c>
      <c r="P75" s="22" t="str">
        <f t="shared" si="9"/>
        <v/>
      </c>
      <c r="Q75" s="20">
        <f t="shared" si="10"/>
        <v>0</v>
      </c>
      <c r="R75" s="28">
        <f>IF(J75=1,MAX(0,Quy_uoc_chung!$C$4-F75),0)</f>
        <v>0</v>
      </c>
      <c r="S75" s="28">
        <f t="shared" si="11"/>
        <v>0</v>
      </c>
      <c r="T75" s="28">
        <f>IF(AND(J75=1,F75=Quy_uoc_chung!$C$4),1,0)</f>
        <v>0</v>
      </c>
    </row>
    <row r="76" spans="1:20" x14ac:dyDescent="0.3">
      <c r="A76" s="15" t="s">
        <v>624</v>
      </c>
      <c r="B76" s="15" t="s">
        <v>54</v>
      </c>
      <c r="C76" s="15" t="s">
        <v>147</v>
      </c>
      <c r="D76" s="16">
        <v>102574000</v>
      </c>
      <c r="E76" s="17">
        <v>46239</v>
      </c>
      <c r="F76" s="17">
        <v>46284</v>
      </c>
      <c r="G76" s="17"/>
      <c r="H76" s="15">
        <v>0</v>
      </c>
      <c r="I76" s="15">
        <v>0</v>
      </c>
      <c r="J76" s="18">
        <f>IF(AND(E76&lt;=Quy_uoc_chung!$C$4,OR(G76="",G76&gt;Quy_uoc_chung!$C$4)),1,0)</f>
        <v>1</v>
      </c>
      <c r="K76" s="18">
        <f>IF(AND(E76&gt;=Quy_uoc_chung!$C$4-Quy_uoc_chung!$C$3+1,E76&lt;=Quy_uoc_chung!$C$4),1,0)</f>
        <v>1</v>
      </c>
      <c r="L76" s="19">
        <f t="shared" si="6"/>
        <v>45</v>
      </c>
      <c r="M76" s="20">
        <f t="shared" si="7"/>
        <v>4615830000</v>
      </c>
      <c r="N76" s="21" t="str">
        <f t="shared" si="8"/>
        <v/>
      </c>
      <c r="O76" s="18">
        <f>IF(AND(H76&gt;0,J76=1,N76&gt;=Quy_uoc_chung!$C$4),1,0)</f>
        <v>0</v>
      </c>
      <c r="P76" s="22" t="str">
        <f t="shared" si="9"/>
        <v/>
      </c>
      <c r="Q76" s="20">
        <f t="shared" si="10"/>
        <v>0</v>
      </c>
      <c r="R76" s="28">
        <f>IF(J76=1,MAX(0,Quy_uoc_chung!$C$4-F76),0)</f>
        <v>11</v>
      </c>
      <c r="S76" s="28">
        <f t="shared" si="11"/>
        <v>1</v>
      </c>
      <c r="T76" s="28">
        <f>IF(AND(J76=1,F76=Quy_uoc_chung!$C$4),1,0)</f>
        <v>0</v>
      </c>
    </row>
    <row r="77" spans="1:20" x14ac:dyDescent="0.3">
      <c r="A77" s="15" t="s">
        <v>625</v>
      </c>
      <c r="B77" s="15" t="s">
        <v>54</v>
      </c>
      <c r="C77" s="15" t="s">
        <v>148</v>
      </c>
      <c r="D77" s="16">
        <v>32046000</v>
      </c>
      <c r="E77" s="17">
        <v>46242</v>
      </c>
      <c r="F77" s="17">
        <v>46257</v>
      </c>
      <c r="G77" s="17">
        <v>46259</v>
      </c>
      <c r="H77" s="15">
        <v>0</v>
      </c>
      <c r="I77" s="15">
        <v>0</v>
      </c>
      <c r="J77" s="18">
        <f>IF(AND(E77&lt;=Quy_uoc_chung!$C$4,OR(G77="",G77&gt;Quy_uoc_chung!$C$4)),1,0)</f>
        <v>0</v>
      </c>
      <c r="K77" s="18">
        <f>IF(AND(E77&gt;=Quy_uoc_chung!$C$4-Quy_uoc_chung!$C$3+1,E77&lt;=Quy_uoc_chung!$C$4),1,0)</f>
        <v>1</v>
      </c>
      <c r="L77" s="19">
        <f t="shared" si="6"/>
        <v>15</v>
      </c>
      <c r="M77" s="20">
        <f t="shared" si="7"/>
        <v>480690000</v>
      </c>
      <c r="N77" s="21" t="str">
        <f t="shared" si="8"/>
        <v/>
      </c>
      <c r="O77" s="18">
        <f>IF(AND(H77&gt;0,J77=1,N77&gt;=Quy_uoc_chung!$C$4),1,0)</f>
        <v>0</v>
      </c>
      <c r="P77" s="22" t="str">
        <f t="shared" si="9"/>
        <v/>
      </c>
      <c r="Q77" s="20">
        <f t="shared" si="10"/>
        <v>0</v>
      </c>
      <c r="R77" s="28">
        <f>IF(J77=1,MAX(0,Quy_uoc_chung!$C$4-F77),0)</f>
        <v>0</v>
      </c>
      <c r="S77" s="28">
        <f t="shared" si="11"/>
        <v>0</v>
      </c>
      <c r="T77" s="28">
        <f>IF(AND(J77=1,F77=Quy_uoc_chung!$C$4),1,0)</f>
        <v>0</v>
      </c>
    </row>
    <row r="78" spans="1:20" x14ac:dyDescent="0.3">
      <c r="A78" s="15" t="s">
        <v>626</v>
      </c>
      <c r="B78" s="15" t="s">
        <v>54</v>
      </c>
      <c r="C78" s="15" t="s">
        <v>150</v>
      </c>
      <c r="D78" s="16">
        <v>28209000</v>
      </c>
      <c r="E78" s="17">
        <v>46239</v>
      </c>
      <c r="F78" s="17">
        <v>46254</v>
      </c>
      <c r="G78" s="17">
        <v>46256</v>
      </c>
      <c r="H78" s="15">
        <v>0</v>
      </c>
      <c r="I78" s="15">
        <v>0</v>
      </c>
      <c r="J78" s="18">
        <f>IF(AND(E78&lt;=Quy_uoc_chung!$C$4,OR(G78="",G78&gt;Quy_uoc_chung!$C$4)),1,0)</f>
        <v>0</v>
      </c>
      <c r="K78" s="18">
        <f>IF(AND(E78&gt;=Quy_uoc_chung!$C$4-Quy_uoc_chung!$C$3+1,E78&lt;=Quy_uoc_chung!$C$4),1,0)</f>
        <v>1</v>
      </c>
      <c r="L78" s="19">
        <f t="shared" si="6"/>
        <v>15</v>
      </c>
      <c r="M78" s="20">
        <f t="shared" si="7"/>
        <v>423135000</v>
      </c>
      <c r="N78" s="21" t="str">
        <f t="shared" si="8"/>
        <v/>
      </c>
      <c r="O78" s="18">
        <f>IF(AND(H78&gt;0,J78=1,N78&gt;=Quy_uoc_chung!$C$4),1,0)</f>
        <v>0</v>
      </c>
      <c r="P78" s="22" t="str">
        <f t="shared" si="9"/>
        <v/>
      </c>
      <c r="Q78" s="20">
        <f t="shared" si="10"/>
        <v>0</v>
      </c>
      <c r="R78" s="28">
        <f>IF(J78=1,MAX(0,Quy_uoc_chung!$C$4-F78),0)</f>
        <v>0</v>
      </c>
      <c r="S78" s="28">
        <f t="shared" si="11"/>
        <v>0</v>
      </c>
      <c r="T78" s="28">
        <f>IF(AND(J78=1,F78=Quy_uoc_chung!$C$4),1,0)</f>
        <v>0</v>
      </c>
    </row>
    <row r="79" spans="1:20" x14ac:dyDescent="0.3">
      <c r="A79" s="15" t="s">
        <v>627</v>
      </c>
      <c r="B79" s="15" t="s">
        <v>54</v>
      </c>
      <c r="C79" s="15" t="s">
        <v>149</v>
      </c>
      <c r="D79" s="16">
        <v>198388000</v>
      </c>
      <c r="E79" s="17">
        <v>46246</v>
      </c>
      <c r="F79" s="17">
        <v>46276</v>
      </c>
      <c r="G79" s="17">
        <v>46282</v>
      </c>
      <c r="H79" s="15">
        <v>0.02</v>
      </c>
      <c r="I79" s="15">
        <v>10</v>
      </c>
      <c r="J79" s="18">
        <f>IF(AND(E79&lt;=Quy_uoc_chung!$C$4,OR(G79="",G79&gt;Quy_uoc_chung!$C$4)),1,0)</f>
        <v>0</v>
      </c>
      <c r="K79" s="18">
        <f>IF(AND(E79&gt;=Quy_uoc_chung!$C$4-Quy_uoc_chung!$C$3+1,E79&lt;=Quy_uoc_chung!$C$4),1,0)</f>
        <v>1</v>
      </c>
      <c r="L79" s="19">
        <f t="shared" si="6"/>
        <v>30</v>
      </c>
      <c r="M79" s="20">
        <f t="shared" si="7"/>
        <v>5951640000</v>
      </c>
      <c r="N79" s="21">
        <f t="shared" si="8"/>
        <v>46256</v>
      </c>
      <c r="O79" s="18">
        <f>IF(AND(H79&gt;0,J79=1,N79&gt;=Quy_uoc_chung!$C$4),1,0)</f>
        <v>0</v>
      </c>
      <c r="P79" s="22" t="str">
        <f t="shared" si="9"/>
        <v/>
      </c>
      <c r="Q79" s="20">
        <f t="shared" si="10"/>
        <v>0</v>
      </c>
      <c r="R79" s="28">
        <f>IF(J79=1,MAX(0,Quy_uoc_chung!$C$4-F79),0)</f>
        <v>0</v>
      </c>
      <c r="S79" s="28">
        <f t="shared" si="11"/>
        <v>0</v>
      </c>
      <c r="T79" s="28">
        <f>IF(AND(J79=1,F79=Quy_uoc_chung!$C$4),1,0)</f>
        <v>0</v>
      </c>
    </row>
    <row r="80" spans="1:20" x14ac:dyDescent="0.3">
      <c r="A80" s="15" t="s">
        <v>628</v>
      </c>
      <c r="B80" s="15" t="s">
        <v>54</v>
      </c>
      <c r="C80" s="15" t="s">
        <v>147</v>
      </c>
      <c r="D80" s="16">
        <v>80616000</v>
      </c>
      <c r="E80" s="17">
        <v>46249</v>
      </c>
      <c r="F80" s="17">
        <v>46294</v>
      </c>
      <c r="G80" s="17"/>
      <c r="H80" s="15">
        <v>0</v>
      </c>
      <c r="I80" s="15">
        <v>0</v>
      </c>
      <c r="J80" s="18">
        <f>IF(AND(E80&lt;=Quy_uoc_chung!$C$4,OR(G80="",G80&gt;Quy_uoc_chung!$C$4)),1,0)</f>
        <v>1</v>
      </c>
      <c r="K80" s="18">
        <f>IF(AND(E80&gt;=Quy_uoc_chung!$C$4-Quy_uoc_chung!$C$3+1,E80&lt;=Quy_uoc_chung!$C$4),1,0)</f>
        <v>1</v>
      </c>
      <c r="L80" s="19">
        <f t="shared" si="6"/>
        <v>45</v>
      </c>
      <c r="M80" s="20">
        <f t="shared" si="7"/>
        <v>3627720000</v>
      </c>
      <c r="N80" s="21" t="str">
        <f t="shared" si="8"/>
        <v/>
      </c>
      <c r="O80" s="18">
        <f>IF(AND(H80&gt;0,J80=1,N80&gt;=Quy_uoc_chung!$C$4),1,0)</f>
        <v>0</v>
      </c>
      <c r="P80" s="22" t="str">
        <f t="shared" si="9"/>
        <v/>
      </c>
      <c r="Q80" s="20">
        <f t="shared" si="10"/>
        <v>0</v>
      </c>
      <c r="R80" s="28">
        <f>IF(J80=1,MAX(0,Quy_uoc_chung!$C$4-F80),0)</f>
        <v>1</v>
      </c>
      <c r="S80" s="28">
        <f t="shared" si="11"/>
        <v>1</v>
      </c>
      <c r="T80" s="28">
        <f>IF(AND(J80=1,F80=Quy_uoc_chung!$C$4),1,0)</f>
        <v>0</v>
      </c>
    </row>
    <row r="81" spans="1:20" x14ac:dyDescent="0.3">
      <c r="A81" s="15" t="s">
        <v>629</v>
      </c>
      <c r="B81" s="15" t="s">
        <v>54</v>
      </c>
      <c r="C81" s="15" t="s">
        <v>148</v>
      </c>
      <c r="D81" s="16">
        <v>38779000</v>
      </c>
      <c r="E81" s="17">
        <v>46250</v>
      </c>
      <c r="F81" s="17">
        <v>46265</v>
      </c>
      <c r="G81" s="17">
        <v>46264</v>
      </c>
      <c r="H81" s="15">
        <v>0</v>
      </c>
      <c r="I81" s="15">
        <v>0</v>
      </c>
      <c r="J81" s="18">
        <f>IF(AND(E81&lt;=Quy_uoc_chung!$C$4,OR(G81="",G81&gt;Quy_uoc_chung!$C$4)),1,0)</f>
        <v>0</v>
      </c>
      <c r="K81" s="18">
        <f>IF(AND(E81&gt;=Quy_uoc_chung!$C$4-Quy_uoc_chung!$C$3+1,E81&lt;=Quy_uoc_chung!$C$4),1,0)</f>
        <v>1</v>
      </c>
      <c r="L81" s="19">
        <f t="shared" si="6"/>
        <v>15</v>
      </c>
      <c r="M81" s="20">
        <f t="shared" si="7"/>
        <v>581685000</v>
      </c>
      <c r="N81" s="21" t="str">
        <f t="shared" si="8"/>
        <v/>
      </c>
      <c r="O81" s="18">
        <f>IF(AND(H81&gt;0,J81=1,N81&gt;=Quy_uoc_chung!$C$4),1,0)</f>
        <v>0</v>
      </c>
      <c r="P81" s="22" t="str">
        <f t="shared" si="9"/>
        <v/>
      </c>
      <c r="Q81" s="20">
        <f t="shared" si="10"/>
        <v>0</v>
      </c>
      <c r="R81" s="28">
        <f>IF(J81=1,MAX(0,Quy_uoc_chung!$C$4-F81),0)</f>
        <v>0</v>
      </c>
      <c r="S81" s="28">
        <f t="shared" si="11"/>
        <v>0</v>
      </c>
      <c r="T81" s="28">
        <f>IF(AND(J81=1,F81=Quy_uoc_chung!$C$4),1,0)</f>
        <v>0</v>
      </c>
    </row>
    <row r="82" spans="1:20" x14ac:dyDescent="0.3">
      <c r="A82" s="15" t="s">
        <v>630</v>
      </c>
      <c r="B82" s="15" t="s">
        <v>54</v>
      </c>
      <c r="C82" s="15" t="s">
        <v>150</v>
      </c>
      <c r="D82" s="16">
        <v>23785000</v>
      </c>
      <c r="E82" s="17">
        <v>46248</v>
      </c>
      <c r="F82" s="17">
        <v>46263</v>
      </c>
      <c r="G82" s="17">
        <v>46263</v>
      </c>
      <c r="H82" s="15">
        <v>0</v>
      </c>
      <c r="I82" s="15">
        <v>0</v>
      </c>
      <c r="J82" s="18">
        <f>IF(AND(E82&lt;=Quy_uoc_chung!$C$4,OR(G82="",G82&gt;Quy_uoc_chung!$C$4)),1,0)</f>
        <v>0</v>
      </c>
      <c r="K82" s="18">
        <f>IF(AND(E82&gt;=Quy_uoc_chung!$C$4-Quy_uoc_chung!$C$3+1,E82&lt;=Quy_uoc_chung!$C$4),1,0)</f>
        <v>1</v>
      </c>
      <c r="L82" s="19">
        <f t="shared" si="6"/>
        <v>15</v>
      </c>
      <c r="M82" s="20">
        <f t="shared" si="7"/>
        <v>356775000</v>
      </c>
      <c r="N82" s="21" t="str">
        <f t="shared" si="8"/>
        <v/>
      </c>
      <c r="O82" s="18">
        <f>IF(AND(H82&gt;0,J82=1,N82&gt;=Quy_uoc_chung!$C$4),1,0)</f>
        <v>0</v>
      </c>
      <c r="P82" s="22" t="str">
        <f t="shared" si="9"/>
        <v/>
      </c>
      <c r="Q82" s="20">
        <f t="shared" si="10"/>
        <v>0</v>
      </c>
      <c r="R82" s="28">
        <f>IF(J82=1,MAX(0,Quy_uoc_chung!$C$4-F82),0)</f>
        <v>0</v>
      </c>
      <c r="S82" s="28">
        <f t="shared" si="11"/>
        <v>0</v>
      </c>
      <c r="T82" s="28">
        <f>IF(AND(J82=1,F82=Quy_uoc_chung!$C$4),1,0)</f>
        <v>0</v>
      </c>
    </row>
    <row r="83" spans="1:20" x14ac:dyDescent="0.3">
      <c r="A83" s="15" t="s">
        <v>631</v>
      </c>
      <c r="B83" s="15" t="s">
        <v>54</v>
      </c>
      <c r="C83" s="15" t="s">
        <v>149</v>
      </c>
      <c r="D83" s="16">
        <v>146161000</v>
      </c>
      <c r="E83" s="17">
        <v>46257</v>
      </c>
      <c r="F83" s="17">
        <v>46287</v>
      </c>
      <c r="G83" s="17">
        <v>46284</v>
      </c>
      <c r="H83" s="15">
        <v>0.02</v>
      </c>
      <c r="I83" s="15">
        <v>10</v>
      </c>
      <c r="J83" s="18">
        <f>IF(AND(E83&lt;=Quy_uoc_chung!$C$4,OR(G83="",G83&gt;Quy_uoc_chung!$C$4)),1,0)</f>
        <v>0</v>
      </c>
      <c r="K83" s="18">
        <f>IF(AND(E83&gt;=Quy_uoc_chung!$C$4-Quy_uoc_chung!$C$3+1,E83&lt;=Quy_uoc_chung!$C$4),1,0)</f>
        <v>1</v>
      </c>
      <c r="L83" s="19">
        <f t="shared" si="6"/>
        <v>30</v>
      </c>
      <c r="M83" s="20">
        <f t="shared" si="7"/>
        <v>4384830000</v>
      </c>
      <c r="N83" s="21">
        <f t="shared" si="8"/>
        <v>46267</v>
      </c>
      <c r="O83" s="18">
        <f>IF(AND(H83&gt;0,J83=1,N83&gt;=Quy_uoc_chung!$C$4),1,0)</f>
        <v>0</v>
      </c>
      <c r="P83" s="22" t="str">
        <f t="shared" si="9"/>
        <v/>
      </c>
      <c r="Q83" s="20">
        <f t="shared" si="10"/>
        <v>0</v>
      </c>
      <c r="R83" s="28">
        <f>IF(J83=1,MAX(0,Quy_uoc_chung!$C$4-F83),0)</f>
        <v>0</v>
      </c>
      <c r="S83" s="28">
        <f t="shared" si="11"/>
        <v>0</v>
      </c>
      <c r="T83" s="28">
        <f>IF(AND(J83=1,F83=Quy_uoc_chung!$C$4),1,0)</f>
        <v>0</v>
      </c>
    </row>
    <row r="84" spans="1:20" x14ac:dyDescent="0.3">
      <c r="A84" s="15" t="s">
        <v>632</v>
      </c>
      <c r="B84" s="15" t="s">
        <v>54</v>
      </c>
      <c r="C84" s="15" t="s">
        <v>147</v>
      </c>
      <c r="D84" s="16">
        <v>98142000</v>
      </c>
      <c r="E84" s="17">
        <v>46256</v>
      </c>
      <c r="F84" s="17">
        <v>46301</v>
      </c>
      <c r="G84" s="17"/>
      <c r="H84" s="15">
        <v>0</v>
      </c>
      <c r="I84" s="15">
        <v>0</v>
      </c>
      <c r="J84" s="18">
        <f>IF(AND(E84&lt;=Quy_uoc_chung!$C$4,OR(G84="",G84&gt;Quy_uoc_chung!$C$4)),1,0)</f>
        <v>1</v>
      </c>
      <c r="K84" s="18">
        <f>IF(AND(E84&gt;=Quy_uoc_chung!$C$4-Quy_uoc_chung!$C$3+1,E84&lt;=Quy_uoc_chung!$C$4),1,0)</f>
        <v>1</v>
      </c>
      <c r="L84" s="19">
        <f t="shared" si="6"/>
        <v>45</v>
      </c>
      <c r="M84" s="20">
        <f t="shared" si="7"/>
        <v>4416390000</v>
      </c>
      <c r="N84" s="21" t="str">
        <f t="shared" si="8"/>
        <v/>
      </c>
      <c r="O84" s="18">
        <f>IF(AND(H84&gt;0,J84=1,N84&gt;=Quy_uoc_chung!$C$4),1,0)</f>
        <v>0</v>
      </c>
      <c r="P84" s="22" t="str">
        <f t="shared" si="9"/>
        <v/>
      </c>
      <c r="Q84" s="20">
        <f t="shared" si="10"/>
        <v>0</v>
      </c>
      <c r="R84" s="28">
        <f>IF(J84=1,MAX(0,Quy_uoc_chung!$C$4-F84),0)</f>
        <v>0</v>
      </c>
      <c r="S84" s="28">
        <f t="shared" si="11"/>
        <v>0</v>
      </c>
      <c r="T84" s="28">
        <f>IF(AND(J84=1,F84=Quy_uoc_chung!$C$4),1,0)</f>
        <v>0</v>
      </c>
    </row>
    <row r="85" spans="1:20" x14ac:dyDescent="0.3">
      <c r="A85" s="15" t="s">
        <v>633</v>
      </c>
      <c r="B85" s="15" t="s">
        <v>54</v>
      </c>
      <c r="C85" s="15" t="s">
        <v>148</v>
      </c>
      <c r="D85" s="16">
        <v>31807000</v>
      </c>
      <c r="E85" s="17">
        <v>46254</v>
      </c>
      <c r="F85" s="17">
        <v>46269</v>
      </c>
      <c r="G85" s="17">
        <v>46269</v>
      </c>
      <c r="H85" s="15">
        <v>0</v>
      </c>
      <c r="I85" s="15">
        <v>0</v>
      </c>
      <c r="J85" s="18">
        <f>IF(AND(E85&lt;=Quy_uoc_chung!$C$4,OR(G85="",G85&gt;Quy_uoc_chung!$C$4)),1,0)</f>
        <v>0</v>
      </c>
      <c r="K85" s="18">
        <f>IF(AND(E85&gt;=Quy_uoc_chung!$C$4-Quy_uoc_chung!$C$3+1,E85&lt;=Quy_uoc_chung!$C$4),1,0)</f>
        <v>1</v>
      </c>
      <c r="L85" s="19">
        <f t="shared" si="6"/>
        <v>15</v>
      </c>
      <c r="M85" s="20">
        <f t="shared" si="7"/>
        <v>477105000</v>
      </c>
      <c r="N85" s="21" t="str">
        <f t="shared" si="8"/>
        <v/>
      </c>
      <c r="O85" s="18">
        <f>IF(AND(H85&gt;0,J85=1,N85&gt;=Quy_uoc_chung!$C$4),1,0)</f>
        <v>0</v>
      </c>
      <c r="P85" s="22" t="str">
        <f t="shared" si="9"/>
        <v/>
      </c>
      <c r="Q85" s="20">
        <f t="shared" si="10"/>
        <v>0</v>
      </c>
      <c r="R85" s="28">
        <f>IF(J85=1,MAX(0,Quy_uoc_chung!$C$4-F85),0)</f>
        <v>0</v>
      </c>
      <c r="S85" s="28">
        <f t="shared" si="11"/>
        <v>0</v>
      </c>
      <c r="T85" s="28">
        <f>IF(AND(J85=1,F85=Quy_uoc_chung!$C$4),1,0)</f>
        <v>0</v>
      </c>
    </row>
    <row r="86" spans="1:20" x14ac:dyDescent="0.3">
      <c r="A86" s="15" t="s">
        <v>634</v>
      </c>
      <c r="B86" s="15" t="s">
        <v>54</v>
      </c>
      <c r="C86" s="15" t="s">
        <v>150</v>
      </c>
      <c r="D86" s="16">
        <v>20994000</v>
      </c>
      <c r="E86" s="17">
        <v>46256</v>
      </c>
      <c r="F86" s="17">
        <v>46271</v>
      </c>
      <c r="G86" s="17">
        <v>46272</v>
      </c>
      <c r="H86" s="15">
        <v>0</v>
      </c>
      <c r="I86" s="15">
        <v>0</v>
      </c>
      <c r="J86" s="18">
        <f>IF(AND(E86&lt;=Quy_uoc_chung!$C$4,OR(G86="",G86&gt;Quy_uoc_chung!$C$4)),1,0)</f>
        <v>0</v>
      </c>
      <c r="K86" s="18">
        <f>IF(AND(E86&gt;=Quy_uoc_chung!$C$4-Quy_uoc_chung!$C$3+1,E86&lt;=Quy_uoc_chung!$C$4),1,0)</f>
        <v>1</v>
      </c>
      <c r="L86" s="19">
        <f t="shared" si="6"/>
        <v>15</v>
      </c>
      <c r="M86" s="20">
        <f t="shared" si="7"/>
        <v>314910000</v>
      </c>
      <c r="N86" s="21" t="str">
        <f t="shared" si="8"/>
        <v/>
      </c>
      <c r="O86" s="18">
        <f>IF(AND(H86&gt;0,J86=1,N86&gt;=Quy_uoc_chung!$C$4),1,0)</f>
        <v>0</v>
      </c>
      <c r="P86" s="22" t="str">
        <f t="shared" si="9"/>
        <v/>
      </c>
      <c r="Q86" s="20">
        <f t="shared" si="10"/>
        <v>0</v>
      </c>
      <c r="R86" s="28">
        <f>IF(J86=1,MAX(0,Quy_uoc_chung!$C$4-F86),0)</f>
        <v>0</v>
      </c>
      <c r="S86" s="28">
        <f t="shared" si="11"/>
        <v>0</v>
      </c>
      <c r="T86" s="28">
        <f>IF(AND(J86=1,F86=Quy_uoc_chung!$C$4),1,0)</f>
        <v>0</v>
      </c>
    </row>
    <row r="87" spans="1:20" x14ac:dyDescent="0.3">
      <c r="A87" s="15" t="s">
        <v>635</v>
      </c>
      <c r="B87" s="15" t="s">
        <v>54</v>
      </c>
      <c r="C87" s="15" t="s">
        <v>149</v>
      </c>
      <c r="D87" s="16">
        <v>157980000</v>
      </c>
      <c r="E87" s="17">
        <v>46264</v>
      </c>
      <c r="F87" s="17">
        <v>46294</v>
      </c>
      <c r="G87" s="17"/>
      <c r="H87" s="15">
        <v>0.02</v>
      </c>
      <c r="I87" s="15">
        <v>10</v>
      </c>
      <c r="J87" s="18">
        <f>IF(AND(E87&lt;=Quy_uoc_chung!$C$4,OR(G87="",G87&gt;Quy_uoc_chung!$C$4)),1,0)</f>
        <v>1</v>
      </c>
      <c r="K87" s="18">
        <f>IF(AND(E87&gt;=Quy_uoc_chung!$C$4-Quy_uoc_chung!$C$3+1,E87&lt;=Quy_uoc_chung!$C$4),1,0)</f>
        <v>1</v>
      </c>
      <c r="L87" s="19">
        <f t="shared" si="6"/>
        <v>30</v>
      </c>
      <c r="M87" s="20">
        <f t="shared" si="7"/>
        <v>4739400000</v>
      </c>
      <c r="N87" s="21">
        <f t="shared" si="8"/>
        <v>46274</v>
      </c>
      <c r="O87" s="18">
        <f>IF(AND(H87&gt;0,J87=1,N87&gt;=Quy_uoc_chung!$C$4),1,0)</f>
        <v>0</v>
      </c>
      <c r="P87" s="22" t="str">
        <f t="shared" si="9"/>
        <v/>
      </c>
      <c r="Q87" s="20">
        <f t="shared" si="10"/>
        <v>0</v>
      </c>
      <c r="R87" s="28">
        <f>IF(J87=1,MAX(0,Quy_uoc_chung!$C$4-F87),0)</f>
        <v>1</v>
      </c>
      <c r="S87" s="28">
        <f t="shared" si="11"/>
        <v>1</v>
      </c>
      <c r="T87" s="28">
        <f>IF(AND(J87=1,F87=Quy_uoc_chung!$C$4),1,0)</f>
        <v>0</v>
      </c>
    </row>
    <row r="88" spans="1:20" x14ac:dyDescent="0.3">
      <c r="A88" s="15" t="s">
        <v>636</v>
      </c>
      <c r="B88" s="15" t="s">
        <v>54</v>
      </c>
      <c r="C88" s="15" t="s">
        <v>147</v>
      </c>
      <c r="D88" s="16">
        <v>93917000</v>
      </c>
      <c r="E88" s="17">
        <v>46264</v>
      </c>
      <c r="F88" s="17">
        <v>46309</v>
      </c>
      <c r="G88" s="17"/>
      <c r="H88" s="15">
        <v>0</v>
      </c>
      <c r="I88" s="15">
        <v>0</v>
      </c>
      <c r="J88" s="18">
        <f>IF(AND(E88&lt;=Quy_uoc_chung!$C$4,OR(G88="",G88&gt;Quy_uoc_chung!$C$4)),1,0)</f>
        <v>1</v>
      </c>
      <c r="K88" s="18">
        <f>IF(AND(E88&gt;=Quy_uoc_chung!$C$4-Quy_uoc_chung!$C$3+1,E88&lt;=Quy_uoc_chung!$C$4),1,0)</f>
        <v>1</v>
      </c>
      <c r="L88" s="19">
        <f t="shared" si="6"/>
        <v>45</v>
      </c>
      <c r="M88" s="20">
        <f t="shared" si="7"/>
        <v>4226265000</v>
      </c>
      <c r="N88" s="21" t="str">
        <f t="shared" si="8"/>
        <v/>
      </c>
      <c r="O88" s="18">
        <f>IF(AND(H88&gt;0,J88=1,N88&gt;=Quy_uoc_chung!$C$4),1,0)</f>
        <v>0</v>
      </c>
      <c r="P88" s="22" t="str">
        <f t="shared" si="9"/>
        <v/>
      </c>
      <c r="Q88" s="20">
        <f t="shared" si="10"/>
        <v>0</v>
      </c>
      <c r="R88" s="28">
        <f>IF(J88=1,MAX(0,Quy_uoc_chung!$C$4-F88),0)</f>
        <v>0</v>
      </c>
      <c r="S88" s="28">
        <f t="shared" si="11"/>
        <v>0</v>
      </c>
      <c r="T88" s="28">
        <f>IF(AND(J88=1,F88=Quy_uoc_chung!$C$4),1,0)</f>
        <v>0</v>
      </c>
    </row>
    <row r="89" spans="1:20" x14ac:dyDescent="0.3">
      <c r="A89" s="15" t="s">
        <v>637</v>
      </c>
      <c r="B89" s="15" t="s">
        <v>54</v>
      </c>
      <c r="C89" s="15" t="s">
        <v>148</v>
      </c>
      <c r="D89" s="16">
        <v>42694000</v>
      </c>
      <c r="E89" s="17">
        <v>46260</v>
      </c>
      <c r="F89" s="17">
        <v>46275</v>
      </c>
      <c r="G89" s="17">
        <v>46275</v>
      </c>
      <c r="H89" s="15">
        <v>0</v>
      </c>
      <c r="I89" s="15">
        <v>0</v>
      </c>
      <c r="J89" s="18">
        <f>IF(AND(E89&lt;=Quy_uoc_chung!$C$4,OR(G89="",G89&gt;Quy_uoc_chung!$C$4)),1,0)</f>
        <v>0</v>
      </c>
      <c r="K89" s="18">
        <f>IF(AND(E89&gt;=Quy_uoc_chung!$C$4-Quy_uoc_chung!$C$3+1,E89&lt;=Quy_uoc_chung!$C$4),1,0)</f>
        <v>1</v>
      </c>
      <c r="L89" s="19">
        <f t="shared" si="6"/>
        <v>15</v>
      </c>
      <c r="M89" s="20">
        <f t="shared" si="7"/>
        <v>640410000</v>
      </c>
      <c r="N89" s="21" t="str">
        <f t="shared" si="8"/>
        <v/>
      </c>
      <c r="O89" s="18">
        <f>IF(AND(H89&gt;0,J89=1,N89&gt;=Quy_uoc_chung!$C$4),1,0)</f>
        <v>0</v>
      </c>
      <c r="P89" s="22" t="str">
        <f t="shared" si="9"/>
        <v/>
      </c>
      <c r="Q89" s="20">
        <f t="shared" si="10"/>
        <v>0</v>
      </c>
      <c r="R89" s="28">
        <f>IF(J89=1,MAX(0,Quy_uoc_chung!$C$4-F89),0)</f>
        <v>0</v>
      </c>
      <c r="S89" s="28">
        <f t="shared" si="11"/>
        <v>0</v>
      </c>
      <c r="T89" s="28">
        <f>IF(AND(J89=1,F89=Quy_uoc_chung!$C$4),1,0)</f>
        <v>0</v>
      </c>
    </row>
    <row r="90" spans="1:20" x14ac:dyDescent="0.3">
      <c r="A90" s="15" t="s">
        <v>638</v>
      </c>
      <c r="B90" s="15" t="s">
        <v>54</v>
      </c>
      <c r="C90" s="15" t="s">
        <v>150</v>
      </c>
      <c r="D90" s="16">
        <v>19872000</v>
      </c>
      <c r="E90" s="17">
        <v>46260</v>
      </c>
      <c r="F90" s="17">
        <v>46275</v>
      </c>
      <c r="G90" s="17">
        <v>46273</v>
      </c>
      <c r="H90" s="15">
        <v>0</v>
      </c>
      <c r="I90" s="15">
        <v>0</v>
      </c>
      <c r="J90" s="18">
        <f>IF(AND(E90&lt;=Quy_uoc_chung!$C$4,OR(G90="",G90&gt;Quy_uoc_chung!$C$4)),1,0)</f>
        <v>0</v>
      </c>
      <c r="K90" s="18">
        <f>IF(AND(E90&gt;=Quy_uoc_chung!$C$4-Quy_uoc_chung!$C$3+1,E90&lt;=Quy_uoc_chung!$C$4),1,0)</f>
        <v>1</v>
      </c>
      <c r="L90" s="19">
        <f t="shared" si="6"/>
        <v>15</v>
      </c>
      <c r="M90" s="20">
        <f t="shared" si="7"/>
        <v>298080000</v>
      </c>
      <c r="N90" s="21" t="str">
        <f t="shared" si="8"/>
        <v/>
      </c>
      <c r="O90" s="18">
        <f>IF(AND(H90&gt;0,J90=1,N90&gt;=Quy_uoc_chung!$C$4),1,0)</f>
        <v>0</v>
      </c>
      <c r="P90" s="22" t="str">
        <f t="shared" si="9"/>
        <v/>
      </c>
      <c r="Q90" s="20">
        <f t="shared" si="10"/>
        <v>0</v>
      </c>
      <c r="R90" s="28">
        <f>IF(J90=1,MAX(0,Quy_uoc_chung!$C$4-F90),0)</f>
        <v>0</v>
      </c>
      <c r="S90" s="28">
        <f t="shared" si="11"/>
        <v>0</v>
      </c>
      <c r="T90" s="28">
        <f>IF(AND(J90=1,F90=Quy_uoc_chung!$C$4),1,0)</f>
        <v>0</v>
      </c>
    </row>
    <row r="91" spans="1:20" x14ac:dyDescent="0.3">
      <c r="A91" s="15" t="s">
        <v>639</v>
      </c>
      <c r="B91" s="15" t="s">
        <v>54</v>
      </c>
      <c r="C91" s="15" t="s">
        <v>149</v>
      </c>
      <c r="D91" s="16">
        <v>208859000</v>
      </c>
      <c r="E91" s="17">
        <v>46267</v>
      </c>
      <c r="F91" s="17">
        <v>46297</v>
      </c>
      <c r="G91" s="17"/>
      <c r="H91" s="15">
        <v>0.02</v>
      </c>
      <c r="I91" s="15">
        <v>10</v>
      </c>
      <c r="J91" s="18">
        <f>IF(AND(E91&lt;=Quy_uoc_chung!$C$4,OR(G91="",G91&gt;Quy_uoc_chung!$C$4)),1,0)</f>
        <v>1</v>
      </c>
      <c r="K91" s="18">
        <f>IF(AND(E91&gt;=Quy_uoc_chung!$C$4-Quy_uoc_chung!$C$3+1,E91&lt;=Quy_uoc_chung!$C$4),1,0)</f>
        <v>1</v>
      </c>
      <c r="L91" s="19">
        <f t="shared" si="6"/>
        <v>30</v>
      </c>
      <c r="M91" s="20">
        <f t="shared" si="7"/>
        <v>6265770000</v>
      </c>
      <c r="N91" s="21">
        <f t="shared" si="8"/>
        <v>46277</v>
      </c>
      <c r="O91" s="18">
        <f>IF(AND(H91&gt;0,J91=1,N91&gt;=Quy_uoc_chung!$C$4),1,0)</f>
        <v>0</v>
      </c>
      <c r="P91" s="22" t="str">
        <f t="shared" si="9"/>
        <v/>
      </c>
      <c r="Q91" s="20">
        <f t="shared" si="10"/>
        <v>0</v>
      </c>
      <c r="R91" s="28">
        <f>IF(J91=1,MAX(0,Quy_uoc_chung!$C$4-F91),0)</f>
        <v>0</v>
      </c>
      <c r="S91" s="28">
        <f t="shared" si="11"/>
        <v>0</v>
      </c>
      <c r="T91" s="28">
        <f>IF(AND(J91=1,F91=Quy_uoc_chung!$C$4),1,0)</f>
        <v>0</v>
      </c>
    </row>
    <row r="92" spans="1:20" x14ac:dyDescent="0.3">
      <c r="A92" s="15" t="s">
        <v>640</v>
      </c>
      <c r="B92" s="15" t="s">
        <v>54</v>
      </c>
      <c r="C92" s="15" t="s">
        <v>147</v>
      </c>
      <c r="D92" s="16">
        <v>96913000</v>
      </c>
      <c r="E92" s="17">
        <v>46268</v>
      </c>
      <c r="F92" s="17">
        <v>46313</v>
      </c>
      <c r="G92" s="17"/>
      <c r="H92" s="15">
        <v>0</v>
      </c>
      <c r="I92" s="15">
        <v>0</v>
      </c>
      <c r="J92" s="18">
        <f>IF(AND(E92&lt;=Quy_uoc_chung!$C$4,OR(G92="",G92&gt;Quy_uoc_chung!$C$4)),1,0)</f>
        <v>1</v>
      </c>
      <c r="K92" s="18">
        <f>IF(AND(E92&gt;=Quy_uoc_chung!$C$4-Quy_uoc_chung!$C$3+1,E92&lt;=Quy_uoc_chung!$C$4),1,0)</f>
        <v>1</v>
      </c>
      <c r="L92" s="19">
        <f t="shared" si="6"/>
        <v>45</v>
      </c>
      <c r="M92" s="20">
        <f t="shared" si="7"/>
        <v>4361085000</v>
      </c>
      <c r="N92" s="21" t="str">
        <f t="shared" si="8"/>
        <v/>
      </c>
      <c r="O92" s="18">
        <f>IF(AND(H92&gt;0,J92=1,N92&gt;=Quy_uoc_chung!$C$4),1,0)</f>
        <v>0</v>
      </c>
      <c r="P92" s="22" t="str">
        <f t="shared" si="9"/>
        <v/>
      </c>
      <c r="Q92" s="20">
        <f t="shared" si="10"/>
        <v>0</v>
      </c>
      <c r="R92" s="28">
        <f>IF(J92=1,MAX(0,Quy_uoc_chung!$C$4-F92),0)</f>
        <v>0</v>
      </c>
      <c r="S92" s="28">
        <f t="shared" si="11"/>
        <v>0</v>
      </c>
      <c r="T92" s="28">
        <f>IF(AND(J92=1,F92=Quy_uoc_chung!$C$4),1,0)</f>
        <v>0</v>
      </c>
    </row>
    <row r="93" spans="1:20" x14ac:dyDescent="0.3">
      <c r="A93" s="15" t="s">
        <v>641</v>
      </c>
      <c r="B93" s="15" t="s">
        <v>54</v>
      </c>
      <c r="C93" s="15" t="s">
        <v>148</v>
      </c>
      <c r="D93" s="16">
        <v>48070000</v>
      </c>
      <c r="E93" s="17">
        <v>46267</v>
      </c>
      <c r="F93" s="17">
        <v>46282</v>
      </c>
      <c r="G93" s="17">
        <v>46282</v>
      </c>
      <c r="H93" s="15">
        <v>0</v>
      </c>
      <c r="I93" s="15">
        <v>0</v>
      </c>
      <c r="J93" s="18">
        <f>IF(AND(E93&lt;=Quy_uoc_chung!$C$4,OR(G93="",G93&gt;Quy_uoc_chung!$C$4)),1,0)</f>
        <v>0</v>
      </c>
      <c r="K93" s="18">
        <f>IF(AND(E93&gt;=Quy_uoc_chung!$C$4-Quy_uoc_chung!$C$3+1,E93&lt;=Quy_uoc_chung!$C$4),1,0)</f>
        <v>1</v>
      </c>
      <c r="L93" s="19">
        <f t="shared" si="6"/>
        <v>15</v>
      </c>
      <c r="M93" s="20">
        <f t="shared" si="7"/>
        <v>721050000</v>
      </c>
      <c r="N93" s="21" t="str">
        <f t="shared" si="8"/>
        <v/>
      </c>
      <c r="O93" s="18">
        <f>IF(AND(H93&gt;0,J93=1,N93&gt;=Quy_uoc_chung!$C$4),1,0)</f>
        <v>0</v>
      </c>
      <c r="P93" s="22" t="str">
        <f t="shared" si="9"/>
        <v/>
      </c>
      <c r="Q93" s="20">
        <f t="shared" si="10"/>
        <v>0</v>
      </c>
      <c r="R93" s="28">
        <f>IF(J93=1,MAX(0,Quy_uoc_chung!$C$4-F93),0)</f>
        <v>0</v>
      </c>
      <c r="S93" s="28">
        <f t="shared" si="11"/>
        <v>0</v>
      </c>
      <c r="T93" s="28">
        <f>IF(AND(J93=1,F93=Quy_uoc_chung!$C$4),1,0)</f>
        <v>0</v>
      </c>
    </row>
    <row r="94" spans="1:20" x14ac:dyDescent="0.3">
      <c r="A94" s="15" t="s">
        <v>642</v>
      </c>
      <c r="B94" s="15" t="s">
        <v>54</v>
      </c>
      <c r="C94" s="15" t="s">
        <v>150</v>
      </c>
      <c r="D94" s="16">
        <v>29015000</v>
      </c>
      <c r="E94" s="17">
        <v>46271</v>
      </c>
      <c r="F94" s="17">
        <v>46286</v>
      </c>
      <c r="G94" s="17">
        <v>46286</v>
      </c>
      <c r="H94" s="15">
        <v>0</v>
      </c>
      <c r="I94" s="15">
        <v>0</v>
      </c>
      <c r="J94" s="18">
        <f>IF(AND(E94&lt;=Quy_uoc_chung!$C$4,OR(G94="",G94&gt;Quy_uoc_chung!$C$4)),1,0)</f>
        <v>0</v>
      </c>
      <c r="K94" s="18">
        <f>IF(AND(E94&gt;=Quy_uoc_chung!$C$4-Quy_uoc_chung!$C$3+1,E94&lt;=Quy_uoc_chung!$C$4),1,0)</f>
        <v>1</v>
      </c>
      <c r="L94" s="19">
        <f t="shared" si="6"/>
        <v>15</v>
      </c>
      <c r="M94" s="20">
        <f t="shared" si="7"/>
        <v>435225000</v>
      </c>
      <c r="N94" s="21" t="str">
        <f t="shared" si="8"/>
        <v/>
      </c>
      <c r="O94" s="18">
        <f>IF(AND(H94&gt;0,J94=1,N94&gt;=Quy_uoc_chung!$C$4),1,0)</f>
        <v>0</v>
      </c>
      <c r="P94" s="22" t="str">
        <f t="shared" si="9"/>
        <v/>
      </c>
      <c r="Q94" s="20">
        <f t="shared" si="10"/>
        <v>0</v>
      </c>
      <c r="R94" s="28">
        <f>IF(J94=1,MAX(0,Quy_uoc_chung!$C$4-F94),0)</f>
        <v>0</v>
      </c>
      <c r="S94" s="28">
        <f t="shared" si="11"/>
        <v>0</v>
      </c>
      <c r="T94" s="28">
        <f>IF(AND(J94=1,F94=Quy_uoc_chung!$C$4),1,0)</f>
        <v>0</v>
      </c>
    </row>
    <row r="95" spans="1:20" x14ac:dyDescent="0.3">
      <c r="A95" s="15" t="s">
        <v>643</v>
      </c>
      <c r="B95" s="15" t="s">
        <v>54</v>
      </c>
      <c r="C95" s="15" t="s">
        <v>149</v>
      </c>
      <c r="D95" s="16">
        <v>147462000</v>
      </c>
      <c r="E95" s="17">
        <v>46278</v>
      </c>
      <c r="F95" s="17">
        <v>46308</v>
      </c>
      <c r="G95" s="17"/>
      <c r="H95" s="15">
        <v>0.02</v>
      </c>
      <c r="I95" s="15">
        <v>10</v>
      </c>
      <c r="J95" s="18">
        <f>IF(AND(E95&lt;=Quy_uoc_chung!$C$4,OR(G95="",G95&gt;Quy_uoc_chung!$C$4)),1,0)</f>
        <v>1</v>
      </c>
      <c r="K95" s="18">
        <f>IF(AND(E95&gt;=Quy_uoc_chung!$C$4-Quy_uoc_chung!$C$3+1,E95&lt;=Quy_uoc_chung!$C$4),1,0)</f>
        <v>1</v>
      </c>
      <c r="L95" s="19">
        <f t="shared" si="6"/>
        <v>30</v>
      </c>
      <c r="M95" s="20">
        <f t="shared" si="7"/>
        <v>4423860000</v>
      </c>
      <c r="N95" s="21">
        <f t="shared" si="8"/>
        <v>46288</v>
      </c>
      <c r="O95" s="18">
        <f>IF(AND(H95&gt;0,J95=1,N95&gt;=Quy_uoc_chung!$C$4),1,0)</f>
        <v>0</v>
      </c>
      <c r="P95" s="22" t="str">
        <f t="shared" si="9"/>
        <v/>
      </c>
      <c r="Q95" s="20">
        <f t="shared" si="10"/>
        <v>0</v>
      </c>
      <c r="R95" s="28">
        <f>IF(J95=1,MAX(0,Quy_uoc_chung!$C$4-F95),0)</f>
        <v>0</v>
      </c>
      <c r="S95" s="28">
        <f t="shared" si="11"/>
        <v>0</v>
      </c>
      <c r="T95" s="28">
        <f>IF(AND(J95=1,F95=Quy_uoc_chung!$C$4),1,0)</f>
        <v>0</v>
      </c>
    </row>
    <row r="96" spans="1:20" x14ac:dyDescent="0.3">
      <c r="A96" s="15" t="s">
        <v>644</v>
      </c>
      <c r="B96" s="15" t="s">
        <v>54</v>
      </c>
      <c r="C96" s="15" t="s">
        <v>147</v>
      </c>
      <c r="D96" s="16">
        <v>92614000</v>
      </c>
      <c r="E96" s="17">
        <v>46276</v>
      </c>
      <c r="F96" s="17">
        <v>46321</v>
      </c>
      <c r="G96" s="17"/>
      <c r="H96" s="15">
        <v>0</v>
      </c>
      <c r="I96" s="15">
        <v>0</v>
      </c>
      <c r="J96" s="18">
        <f>IF(AND(E96&lt;=Quy_uoc_chung!$C$4,OR(G96="",G96&gt;Quy_uoc_chung!$C$4)),1,0)</f>
        <v>1</v>
      </c>
      <c r="K96" s="18">
        <f>IF(AND(E96&gt;=Quy_uoc_chung!$C$4-Quy_uoc_chung!$C$3+1,E96&lt;=Quy_uoc_chung!$C$4),1,0)</f>
        <v>1</v>
      </c>
      <c r="L96" s="19">
        <f t="shared" si="6"/>
        <v>45</v>
      </c>
      <c r="M96" s="20">
        <f t="shared" si="7"/>
        <v>4167630000</v>
      </c>
      <c r="N96" s="21" t="str">
        <f t="shared" si="8"/>
        <v/>
      </c>
      <c r="O96" s="18">
        <f>IF(AND(H96&gt;0,J96=1,N96&gt;=Quy_uoc_chung!$C$4),1,0)</f>
        <v>0</v>
      </c>
      <c r="P96" s="22" t="str">
        <f t="shared" si="9"/>
        <v/>
      </c>
      <c r="Q96" s="20">
        <f t="shared" si="10"/>
        <v>0</v>
      </c>
      <c r="R96" s="28">
        <f>IF(J96=1,MAX(0,Quy_uoc_chung!$C$4-F96),0)</f>
        <v>0</v>
      </c>
      <c r="S96" s="28">
        <f t="shared" si="11"/>
        <v>0</v>
      </c>
      <c r="T96" s="28">
        <f>IF(AND(J96=1,F96=Quy_uoc_chung!$C$4),1,0)</f>
        <v>0</v>
      </c>
    </row>
    <row r="97" spans="1:20" x14ac:dyDescent="0.3">
      <c r="A97" s="15" t="s">
        <v>645</v>
      </c>
      <c r="B97" s="15" t="s">
        <v>54</v>
      </c>
      <c r="C97" s="15" t="s">
        <v>148</v>
      </c>
      <c r="D97" s="16">
        <v>32773000</v>
      </c>
      <c r="E97" s="17">
        <v>46277</v>
      </c>
      <c r="F97" s="17">
        <v>46292</v>
      </c>
      <c r="G97" s="17">
        <v>46291</v>
      </c>
      <c r="H97" s="15">
        <v>0</v>
      </c>
      <c r="I97" s="15">
        <v>0</v>
      </c>
      <c r="J97" s="18">
        <f>IF(AND(E97&lt;=Quy_uoc_chung!$C$4,OR(G97="",G97&gt;Quy_uoc_chung!$C$4)),1,0)</f>
        <v>0</v>
      </c>
      <c r="K97" s="18">
        <f>IF(AND(E97&gt;=Quy_uoc_chung!$C$4-Quy_uoc_chung!$C$3+1,E97&lt;=Quy_uoc_chung!$C$4),1,0)</f>
        <v>1</v>
      </c>
      <c r="L97" s="19">
        <f t="shared" si="6"/>
        <v>15</v>
      </c>
      <c r="M97" s="20">
        <f t="shared" si="7"/>
        <v>491595000</v>
      </c>
      <c r="N97" s="21" t="str">
        <f t="shared" si="8"/>
        <v/>
      </c>
      <c r="O97" s="18">
        <f>IF(AND(H97&gt;0,J97=1,N97&gt;=Quy_uoc_chung!$C$4),1,0)</f>
        <v>0</v>
      </c>
      <c r="P97" s="22" t="str">
        <f t="shared" si="9"/>
        <v/>
      </c>
      <c r="Q97" s="20">
        <f t="shared" si="10"/>
        <v>0</v>
      </c>
      <c r="R97" s="28">
        <f>IF(J97=1,MAX(0,Quy_uoc_chung!$C$4-F97),0)</f>
        <v>0</v>
      </c>
      <c r="S97" s="28">
        <f t="shared" si="11"/>
        <v>0</v>
      </c>
      <c r="T97" s="28">
        <f>IF(AND(J97=1,F97=Quy_uoc_chung!$C$4),1,0)</f>
        <v>0</v>
      </c>
    </row>
    <row r="98" spans="1:20" x14ac:dyDescent="0.3">
      <c r="A98" s="15" t="s">
        <v>646</v>
      </c>
      <c r="B98" s="15" t="s">
        <v>54</v>
      </c>
      <c r="C98" s="15" t="s">
        <v>150</v>
      </c>
      <c r="D98" s="16">
        <v>22348000</v>
      </c>
      <c r="E98" s="17">
        <v>46274</v>
      </c>
      <c r="F98" s="17">
        <v>46289</v>
      </c>
      <c r="G98" s="17">
        <v>46290</v>
      </c>
      <c r="H98" s="15">
        <v>0</v>
      </c>
      <c r="I98" s="15">
        <v>0</v>
      </c>
      <c r="J98" s="18">
        <f>IF(AND(E98&lt;=Quy_uoc_chung!$C$4,OR(G98="",G98&gt;Quy_uoc_chung!$C$4)),1,0)</f>
        <v>0</v>
      </c>
      <c r="K98" s="18">
        <f>IF(AND(E98&gt;=Quy_uoc_chung!$C$4-Quy_uoc_chung!$C$3+1,E98&lt;=Quy_uoc_chung!$C$4),1,0)</f>
        <v>1</v>
      </c>
      <c r="L98" s="19">
        <f t="shared" si="6"/>
        <v>15</v>
      </c>
      <c r="M98" s="20">
        <f t="shared" si="7"/>
        <v>335220000</v>
      </c>
      <c r="N98" s="21" t="str">
        <f t="shared" si="8"/>
        <v/>
      </c>
      <c r="O98" s="18">
        <f>IF(AND(H98&gt;0,J98=1,N98&gt;=Quy_uoc_chung!$C$4),1,0)</f>
        <v>0</v>
      </c>
      <c r="P98" s="22" t="str">
        <f t="shared" si="9"/>
        <v/>
      </c>
      <c r="Q98" s="20">
        <f t="shared" si="10"/>
        <v>0</v>
      </c>
      <c r="R98" s="28">
        <f>IF(J98=1,MAX(0,Quy_uoc_chung!$C$4-F98),0)</f>
        <v>0</v>
      </c>
      <c r="S98" s="28">
        <f t="shared" si="11"/>
        <v>0</v>
      </c>
      <c r="T98" s="28">
        <f>IF(AND(J98=1,F98=Quy_uoc_chung!$C$4),1,0)</f>
        <v>0</v>
      </c>
    </row>
    <row r="99" spans="1:20" x14ac:dyDescent="0.3">
      <c r="A99" s="15" t="s">
        <v>647</v>
      </c>
      <c r="B99" s="15" t="s">
        <v>54</v>
      </c>
      <c r="C99" s="15" t="s">
        <v>149</v>
      </c>
      <c r="D99" s="16">
        <v>225079000</v>
      </c>
      <c r="E99" s="17">
        <v>46282</v>
      </c>
      <c r="F99" s="17">
        <v>46312</v>
      </c>
      <c r="G99" s="17"/>
      <c r="H99" s="15">
        <v>0.02</v>
      </c>
      <c r="I99" s="15">
        <v>10</v>
      </c>
      <c r="J99" s="18">
        <f>IF(AND(E99&lt;=Quy_uoc_chung!$C$4,OR(G99="",G99&gt;Quy_uoc_chung!$C$4)),1,0)</f>
        <v>1</v>
      </c>
      <c r="K99" s="18">
        <f>IF(AND(E99&gt;=Quy_uoc_chung!$C$4-Quy_uoc_chung!$C$3+1,E99&lt;=Quy_uoc_chung!$C$4),1,0)</f>
        <v>1</v>
      </c>
      <c r="L99" s="19">
        <f t="shared" si="6"/>
        <v>30</v>
      </c>
      <c r="M99" s="20">
        <f t="shared" si="7"/>
        <v>6752370000</v>
      </c>
      <c r="N99" s="21">
        <f t="shared" si="8"/>
        <v>46292</v>
      </c>
      <c r="O99" s="18">
        <f>IF(AND(H99&gt;0,J99=1,N99&gt;=Quy_uoc_chung!$C$4),1,0)</f>
        <v>0</v>
      </c>
      <c r="P99" s="22" t="str">
        <f t="shared" si="9"/>
        <v/>
      </c>
      <c r="Q99" s="20">
        <f t="shared" si="10"/>
        <v>0</v>
      </c>
      <c r="R99" s="28">
        <f>IF(J99=1,MAX(0,Quy_uoc_chung!$C$4-F99),0)</f>
        <v>0</v>
      </c>
      <c r="S99" s="28">
        <f t="shared" si="11"/>
        <v>0</v>
      </c>
      <c r="T99" s="28">
        <f>IF(AND(J99=1,F99=Quy_uoc_chung!$C$4),1,0)</f>
        <v>0</v>
      </c>
    </row>
    <row r="100" spans="1:20" x14ac:dyDescent="0.3">
      <c r="A100" s="15" t="s">
        <v>648</v>
      </c>
      <c r="B100" s="15" t="s">
        <v>54</v>
      </c>
      <c r="C100" s="15" t="s">
        <v>147</v>
      </c>
      <c r="D100" s="16">
        <v>64123000</v>
      </c>
      <c r="E100" s="17">
        <v>46281</v>
      </c>
      <c r="F100" s="17">
        <v>46326</v>
      </c>
      <c r="G100" s="17"/>
      <c r="H100" s="15">
        <v>0</v>
      </c>
      <c r="I100" s="15">
        <v>0</v>
      </c>
      <c r="J100" s="18">
        <f>IF(AND(E100&lt;=Quy_uoc_chung!$C$4,OR(G100="",G100&gt;Quy_uoc_chung!$C$4)),1,0)</f>
        <v>1</v>
      </c>
      <c r="K100" s="18">
        <f>IF(AND(E100&gt;=Quy_uoc_chung!$C$4-Quy_uoc_chung!$C$3+1,E100&lt;=Quy_uoc_chung!$C$4),1,0)</f>
        <v>1</v>
      </c>
      <c r="L100" s="19">
        <f t="shared" si="6"/>
        <v>45</v>
      </c>
      <c r="M100" s="20">
        <f t="shared" si="7"/>
        <v>2885535000</v>
      </c>
      <c r="N100" s="21" t="str">
        <f t="shared" si="8"/>
        <v/>
      </c>
      <c r="O100" s="18">
        <f>IF(AND(H100&gt;0,J100=1,N100&gt;=Quy_uoc_chung!$C$4),1,0)</f>
        <v>0</v>
      </c>
      <c r="P100" s="22" t="str">
        <f t="shared" si="9"/>
        <v/>
      </c>
      <c r="Q100" s="20">
        <f t="shared" si="10"/>
        <v>0</v>
      </c>
      <c r="R100" s="28">
        <f>IF(J100=1,MAX(0,Quy_uoc_chung!$C$4-F100),0)</f>
        <v>0</v>
      </c>
      <c r="S100" s="28">
        <f t="shared" si="11"/>
        <v>0</v>
      </c>
      <c r="T100" s="28">
        <f>IF(AND(J100=1,F100=Quy_uoc_chung!$C$4),1,0)</f>
        <v>0</v>
      </c>
    </row>
    <row r="101" spans="1:20" x14ac:dyDescent="0.3">
      <c r="A101" s="15" t="s">
        <v>649</v>
      </c>
      <c r="B101" s="15" t="s">
        <v>54</v>
      </c>
      <c r="C101" s="15" t="s">
        <v>148</v>
      </c>
      <c r="D101" s="16">
        <v>47206000</v>
      </c>
      <c r="E101" s="17">
        <v>46284</v>
      </c>
      <c r="F101" s="17">
        <v>46299</v>
      </c>
      <c r="G101" s="17"/>
      <c r="H101" s="15">
        <v>0</v>
      </c>
      <c r="I101" s="15">
        <v>0</v>
      </c>
      <c r="J101" s="18">
        <f>IF(AND(E101&lt;=Quy_uoc_chung!$C$4,OR(G101="",G101&gt;Quy_uoc_chung!$C$4)),1,0)</f>
        <v>1</v>
      </c>
      <c r="K101" s="18">
        <f>IF(AND(E101&gt;=Quy_uoc_chung!$C$4-Quy_uoc_chung!$C$3+1,E101&lt;=Quy_uoc_chung!$C$4),1,0)</f>
        <v>1</v>
      </c>
      <c r="L101" s="19">
        <f t="shared" si="6"/>
        <v>15</v>
      </c>
      <c r="M101" s="20">
        <f t="shared" si="7"/>
        <v>708090000</v>
      </c>
      <c r="N101" s="21" t="str">
        <f t="shared" si="8"/>
        <v/>
      </c>
      <c r="O101" s="18">
        <f>IF(AND(H101&gt;0,J101=1,N101&gt;=Quy_uoc_chung!$C$4),1,0)</f>
        <v>0</v>
      </c>
      <c r="P101" s="22" t="str">
        <f t="shared" si="9"/>
        <v/>
      </c>
      <c r="Q101" s="20">
        <f t="shared" si="10"/>
        <v>0</v>
      </c>
      <c r="R101" s="28">
        <f>IF(J101=1,MAX(0,Quy_uoc_chung!$C$4-F101),0)</f>
        <v>0</v>
      </c>
      <c r="S101" s="28">
        <f t="shared" si="11"/>
        <v>0</v>
      </c>
      <c r="T101" s="28">
        <f>IF(AND(J101=1,F101=Quy_uoc_chung!$C$4),1,0)</f>
        <v>0</v>
      </c>
    </row>
    <row r="102" spans="1:20" x14ac:dyDescent="0.3">
      <c r="A102" s="15" t="s">
        <v>650</v>
      </c>
      <c r="B102" s="15" t="s">
        <v>54</v>
      </c>
      <c r="C102" s="15" t="s">
        <v>150</v>
      </c>
      <c r="D102" s="16">
        <v>22085000</v>
      </c>
      <c r="E102" s="17">
        <v>46282</v>
      </c>
      <c r="F102" s="17">
        <v>46297</v>
      </c>
      <c r="G102" s="17"/>
      <c r="H102" s="15">
        <v>0</v>
      </c>
      <c r="I102" s="15">
        <v>0</v>
      </c>
      <c r="J102" s="18">
        <f>IF(AND(E102&lt;=Quy_uoc_chung!$C$4,OR(G102="",G102&gt;Quy_uoc_chung!$C$4)),1,0)</f>
        <v>1</v>
      </c>
      <c r="K102" s="18">
        <f>IF(AND(E102&gt;=Quy_uoc_chung!$C$4-Quy_uoc_chung!$C$3+1,E102&lt;=Quy_uoc_chung!$C$4),1,0)</f>
        <v>1</v>
      </c>
      <c r="L102" s="19">
        <f t="shared" si="6"/>
        <v>15</v>
      </c>
      <c r="M102" s="20">
        <f t="shared" si="7"/>
        <v>331275000</v>
      </c>
      <c r="N102" s="21" t="str">
        <f t="shared" si="8"/>
        <v/>
      </c>
      <c r="O102" s="18">
        <f>IF(AND(H102&gt;0,J102=1,N102&gt;=Quy_uoc_chung!$C$4),1,0)</f>
        <v>0</v>
      </c>
      <c r="P102" s="22" t="str">
        <f t="shared" si="9"/>
        <v/>
      </c>
      <c r="Q102" s="20">
        <f t="shared" si="10"/>
        <v>0</v>
      </c>
      <c r="R102" s="28">
        <f>IF(J102=1,MAX(0,Quy_uoc_chung!$C$4-F102),0)</f>
        <v>0</v>
      </c>
      <c r="S102" s="28">
        <f t="shared" si="11"/>
        <v>0</v>
      </c>
      <c r="T102" s="28">
        <f>IF(AND(J102=1,F102=Quy_uoc_chung!$C$4),1,0)</f>
        <v>0</v>
      </c>
    </row>
    <row r="103" spans="1:20" x14ac:dyDescent="0.3">
      <c r="A103" s="15" t="s">
        <v>651</v>
      </c>
      <c r="B103" s="15" t="s">
        <v>54</v>
      </c>
      <c r="C103" s="15" t="s">
        <v>149</v>
      </c>
      <c r="D103" s="16">
        <v>225062000</v>
      </c>
      <c r="E103" s="17">
        <v>46288</v>
      </c>
      <c r="F103" s="17">
        <v>46318</v>
      </c>
      <c r="G103" s="17"/>
      <c r="H103" s="15">
        <v>0.02</v>
      </c>
      <c r="I103" s="15">
        <v>10</v>
      </c>
      <c r="J103" s="18">
        <f>IF(AND(E103&lt;=Quy_uoc_chung!$C$4,OR(G103="",G103&gt;Quy_uoc_chung!$C$4)),1,0)</f>
        <v>1</v>
      </c>
      <c r="K103" s="18">
        <f>IF(AND(E103&gt;=Quy_uoc_chung!$C$4-Quy_uoc_chung!$C$3+1,E103&lt;=Quy_uoc_chung!$C$4),1,0)</f>
        <v>1</v>
      </c>
      <c r="L103" s="19">
        <f t="shared" si="6"/>
        <v>30</v>
      </c>
      <c r="M103" s="20">
        <f t="shared" si="7"/>
        <v>6751860000</v>
      </c>
      <c r="N103" s="21">
        <f t="shared" si="8"/>
        <v>46298</v>
      </c>
      <c r="O103" s="18">
        <f>IF(AND(H103&gt;0,J103=1,N103&gt;=Quy_uoc_chung!$C$4),1,0)</f>
        <v>1</v>
      </c>
      <c r="P103" s="22">
        <f t="shared" si="9"/>
        <v>0.37244897959183676</v>
      </c>
      <c r="Q103" s="20">
        <f t="shared" si="10"/>
        <v>4501240</v>
      </c>
      <c r="R103" s="28">
        <f>IF(J103=1,MAX(0,Quy_uoc_chung!$C$4-F103),0)</f>
        <v>0</v>
      </c>
      <c r="S103" s="28">
        <f t="shared" si="11"/>
        <v>0</v>
      </c>
      <c r="T103" s="28">
        <f>IF(AND(J103=1,F103=Quy_uoc_chung!$C$4),1,0)</f>
        <v>0</v>
      </c>
    </row>
    <row r="104" spans="1:20" x14ac:dyDescent="0.3">
      <c r="A104" s="15" t="s">
        <v>652</v>
      </c>
      <c r="B104" s="15" t="s">
        <v>54</v>
      </c>
      <c r="C104" s="15" t="s">
        <v>147</v>
      </c>
      <c r="D104" s="16">
        <v>94218000</v>
      </c>
      <c r="E104" s="17">
        <v>46289</v>
      </c>
      <c r="F104" s="17">
        <v>46334</v>
      </c>
      <c r="G104" s="17"/>
      <c r="H104" s="15">
        <v>0</v>
      </c>
      <c r="I104" s="15">
        <v>0</v>
      </c>
      <c r="J104" s="18">
        <f>IF(AND(E104&lt;=Quy_uoc_chung!$C$4,OR(G104="",G104&gt;Quy_uoc_chung!$C$4)),1,0)</f>
        <v>1</v>
      </c>
      <c r="K104" s="18">
        <f>IF(AND(E104&gt;=Quy_uoc_chung!$C$4-Quy_uoc_chung!$C$3+1,E104&lt;=Quy_uoc_chung!$C$4),1,0)</f>
        <v>1</v>
      </c>
      <c r="L104" s="19">
        <f t="shared" si="6"/>
        <v>45</v>
      </c>
      <c r="M104" s="20">
        <f t="shared" si="7"/>
        <v>4239810000</v>
      </c>
      <c r="N104" s="21" t="str">
        <f t="shared" si="8"/>
        <v/>
      </c>
      <c r="O104" s="18">
        <f>IF(AND(H104&gt;0,J104=1,N104&gt;=Quy_uoc_chung!$C$4),1,0)</f>
        <v>0</v>
      </c>
      <c r="P104" s="22" t="str">
        <f t="shared" si="9"/>
        <v/>
      </c>
      <c r="Q104" s="20">
        <f t="shared" si="10"/>
        <v>0</v>
      </c>
      <c r="R104" s="28">
        <f>IF(J104=1,MAX(0,Quy_uoc_chung!$C$4-F104),0)</f>
        <v>0</v>
      </c>
      <c r="S104" s="28">
        <f t="shared" si="11"/>
        <v>0</v>
      </c>
      <c r="T104" s="28">
        <f>IF(AND(J104=1,F104=Quy_uoc_chung!$C$4),1,0)</f>
        <v>0</v>
      </c>
    </row>
    <row r="105" spans="1:20" x14ac:dyDescent="0.3">
      <c r="A105" s="15" t="s">
        <v>653</v>
      </c>
      <c r="B105" s="15" t="s">
        <v>54</v>
      </c>
      <c r="C105" s="15" t="s">
        <v>148</v>
      </c>
      <c r="D105" s="16">
        <v>32574000</v>
      </c>
      <c r="E105" s="17">
        <v>46291</v>
      </c>
      <c r="F105" s="17">
        <v>46306</v>
      </c>
      <c r="G105" s="17"/>
      <c r="H105" s="15">
        <v>0</v>
      </c>
      <c r="I105" s="15">
        <v>0</v>
      </c>
      <c r="J105" s="18">
        <f>IF(AND(E105&lt;=Quy_uoc_chung!$C$4,OR(G105="",G105&gt;Quy_uoc_chung!$C$4)),1,0)</f>
        <v>1</v>
      </c>
      <c r="K105" s="18">
        <f>IF(AND(E105&gt;=Quy_uoc_chung!$C$4-Quy_uoc_chung!$C$3+1,E105&lt;=Quy_uoc_chung!$C$4),1,0)</f>
        <v>1</v>
      </c>
      <c r="L105" s="19">
        <f t="shared" si="6"/>
        <v>15</v>
      </c>
      <c r="M105" s="20">
        <f t="shared" si="7"/>
        <v>488610000</v>
      </c>
      <c r="N105" s="21" t="str">
        <f t="shared" si="8"/>
        <v/>
      </c>
      <c r="O105" s="18">
        <f>IF(AND(H105&gt;0,J105=1,N105&gt;=Quy_uoc_chung!$C$4),1,0)</f>
        <v>0</v>
      </c>
      <c r="P105" s="22" t="str">
        <f t="shared" si="9"/>
        <v/>
      </c>
      <c r="Q105" s="20">
        <f t="shared" si="10"/>
        <v>0</v>
      </c>
      <c r="R105" s="28">
        <f>IF(J105=1,MAX(0,Quy_uoc_chung!$C$4-F105),0)</f>
        <v>0</v>
      </c>
      <c r="S105" s="28">
        <f t="shared" si="11"/>
        <v>0</v>
      </c>
      <c r="T105" s="28">
        <f>IF(AND(J105=1,F105=Quy_uoc_chung!$C$4),1,0)</f>
        <v>0</v>
      </c>
    </row>
    <row r="106" spans="1:20" x14ac:dyDescent="0.3">
      <c r="A106" s="15" t="s">
        <v>654</v>
      </c>
      <c r="B106" s="15" t="s">
        <v>54</v>
      </c>
      <c r="C106" s="15" t="s">
        <v>150</v>
      </c>
      <c r="D106" s="16">
        <v>23778000</v>
      </c>
      <c r="E106" s="17">
        <v>46290</v>
      </c>
      <c r="F106" s="17">
        <v>46305</v>
      </c>
      <c r="G106" s="17"/>
      <c r="H106" s="15">
        <v>0</v>
      </c>
      <c r="I106" s="15">
        <v>0</v>
      </c>
      <c r="J106" s="18">
        <f>IF(AND(E106&lt;=Quy_uoc_chung!$C$4,OR(G106="",G106&gt;Quy_uoc_chung!$C$4)),1,0)</f>
        <v>1</v>
      </c>
      <c r="K106" s="18">
        <f>IF(AND(E106&gt;=Quy_uoc_chung!$C$4-Quy_uoc_chung!$C$3+1,E106&lt;=Quy_uoc_chung!$C$4),1,0)</f>
        <v>1</v>
      </c>
      <c r="L106" s="19">
        <f t="shared" si="6"/>
        <v>15</v>
      </c>
      <c r="M106" s="20">
        <f t="shared" si="7"/>
        <v>356670000</v>
      </c>
      <c r="N106" s="21" t="str">
        <f t="shared" si="8"/>
        <v/>
      </c>
      <c r="O106" s="18">
        <f>IF(AND(H106&gt;0,J106=1,N106&gt;=Quy_uoc_chung!$C$4),1,0)</f>
        <v>0</v>
      </c>
      <c r="P106" s="22" t="str">
        <f t="shared" si="9"/>
        <v/>
      </c>
      <c r="Q106" s="20">
        <f t="shared" si="10"/>
        <v>0</v>
      </c>
      <c r="R106" s="28">
        <f>IF(J106=1,MAX(0,Quy_uoc_chung!$C$4-F106),0)</f>
        <v>0</v>
      </c>
      <c r="S106" s="28">
        <f t="shared" si="11"/>
        <v>0</v>
      </c>
      <c r="T106" s="28">
        <f>IF(AND(J106=1,F106=Quy_uoc_chung!$C$4),1,0)</f>
        <v>0</v>
      </c>
    </row>
    <row r="107" spans="1:20" x14ac:dyDescent="0.3">
      <c r="A107" s="15" t="s">
        <v>655</v>
      </c>
      <c r="B107" s="15" t="s">
        <v>54</v>
      </c>
      <c r="C107" s="15" t="s">
        <v>147</v>
      </c>
      <c r="D107" s="16">
        <v>100675000</v>
      </c>
      <c r="E107" s="17">
        <v>46295</v>
      </c>
      <c r="F107" s="17">
        <v>46340</v>
      </c>
      <c r="G107" s="17"/>
      <c r="H107" s="15">
        <v>0</v>
      </c>
      <c r="I107" s="15">
        <v>0</v>
      </c>
      <c r="J107" s="18">
        <f>IF(AND(E107&lt;=Quy_uoc_chung!$C$4,OR(G107="",G107&gt;Quy_uoc_chung!$C$4)),1,0)</f>
        <v>1</v>
      </c>
      <c r="K107" s="18">
        <f>IF(AND(E107&gt;=Quy_uoc_chung!$C$4-Quy_uoc_chung!$C$3+1,E107&lt;=Quy_uoc_chung!$C$4),1,0)</f>
        <v>1</v>
      </c>
      <c r="L107" s="19">
        <f t="shared" si="6"/>
        <v>45</v>
      </c>
      <c r="M107" s="20">
        <f t="shared" si="7"/>
        <v>4530375000</v>
      </c>
      <c r="N107" s="21" t="str">
        <f t="shared" si="8"/>
        <v/>
      </c>
      <c r="O107" s="18">
        <f>IF(AND(H107&gt;0,J107=1,N107&gt;=Quy_uoc_chung!$C$4),1,0)</f>
        <v>0</v>
      </c>
      <c r="P107" s="22" t="str">
        <f t="shared" si="9"/>
        <v/>
      </c>
      <c r="Q107" s="20">
        <f t="shared" si="10"/>
        <v>0</v>
      </c>
      <c r="R107" s="28">
        <f>IF(J107=1,MAX(0,Quy_uoc_chung!$C$4-F107),0)</f>
        <v>0</v>
      </c>
      <c r="S107" s="28">
        <f t="shared" si="11"/>
        <v>0</v>
      </c>
      <c r="T107" s="28">
        <f>IF(AND(J107=1,F107=Quy_uoc_chung!$C$4),1,0)</f>
        <v>0</v>
      </c>
    </row>
    <row r="108" spans="1:20" x14ac:dyDescent="0.3">
      <c r="A108" s="15" t="s">
        <v>656</v>
      </c>
      <c r="B108" s="15" t="s">
        <v>54</v>
      </c>
      <c r="C108" s="15" t="s">
        <v>148</v>
      </c>
      <c r="D108" s="16">
        <v>37700000</v>
      </c>
      <c r="E108" s="17">
        <v>46295</v>
      </c>
      <c r="F108" s="17">
        <v>46310</v>
      </c>
      <c r="G108" s="17"/>
      <c r="H108" s="15">
        <v>0</v>
      </c>
      <c r="I108" s="15">
        <v>0</v>
      </c>
      <c r="J108" s="18">
        <f>IF(AND(E108&lt;=Quy_uoc_chung!$C$4,OR(G108="",G108&gt;Quy_uoc_chung!$C$4)),1,0)</f>
        <v>1</v>
      </c>
      <c r="K108" s="18">
        <f>IF(AND(E108&gt;=Quy_uoc_chung!$C$4-Quy_uoc_chung!$C$3+1,E108&lt;=Quy_uoc_chung!$C$4),1,0)</f>
        <v>1</v>
      </c>
      <c r="L108" s="19">
        <f t="shared" si="6"/>
        <v>15</v>
      </c>
      <c r="M108" s="20">
        <f t="shared" si="7"/>
        <v>565500000</v>
      </c>
      <c r="N108" s="21" t="str">
        <f t="shared" si="8"/>
        <v/>
      </c>
      <c r="O108" s="18">
        <f>IF(AND(H108&gt;0,J108=1,N108&gt;=Quy_uoc_chung!$C$4),1,0)</f>
        <v>0</v>
      </c>
      <c r="P108" s="22" t="str">
        <f t="shared" si="9"/>
        <v/>
      </c>
      <c r="Q108" s="20">
        <f t="shared" si="10"/>
        <v>0</v>
      </c>
      <c r="R108" s="28">
        <f>IF(J108=1,MAX(0,Quy_uoc_chung!$C$4-F108),0)</f>
        <v>0</v>
      </c>
      <c r="S108" s="28">
        <f t="shared" si="11"/>
        <v>0</v>
      </c>
      <c r="T108" s="28">
        <f>IF(AND(J108=1,F108=Quy_uoc_chung!$C$4),1,0)</f>
        <v>0</v>
      </c>
    </row>
    <row r="109" spans="1:20" x14ac:dyDescent="0.3">
      <c r="A109" s="15" t="s">
        <v>657</v>
      </c>
      <c r="B109" s="15" t="s">
        <v>55</v>
      </c>
      <c r="C109" s="15" t="s">
        <v>163</v>
      </c>
      <c r="D109" s="16">
        <v>532514000</v>
      </c>
      <c r="E109" s="17">
        <v>46115</v>
      </c>
      <c r="F109" s="17">
        <v>46135</v>
      </c>
      <c r="G109" s="17">
        <v>46136</v>
      </c>
      <c r="H109" s="15">
        <v>0</v>
      </c>
      <c r="I109" s="15">
        <v>0</v>
      </c>
      <c r="J109" s="18">
        <f>IF(AND(E109&lt;=Quy_uoc_chung!$C$4,OR(G109="",G109&gt;Quy_uoc_chung!$C$4)),1,0)</f>
        <v>0</v>
      </c>
      <c r="K109" s="18">
        <f>IF(AND(E109&gt;=Quy_uoc_chung!$C$4-Quy_uoc_chung!$C$3+1,E109&lt;=Quy_uoc_chung!$C$4),1,0)</f>
        <v>0</v>
      </c>
      <c r="L109" s="19">
        <f t="shared" si="6"/>
        <v>20</v>
      </c>
      <c r="M109" s="20">
        <f t="shared" si="7"/>
        <v>0</v>
      </c>
      <c r="N109" s="21" t="str">
        <f t="shared" si="8"/>
        <v/>
      </c>
      <c r="O109" s="18">
        <f>IF(AND(H109&gt;0,J109=1,N109&gt;=Quy_uoc_chung!$C$4),1,0)</f>
        <v>0</v>
      </c>
      <c r="P109" s="22" t="str">
        <f t="shared" si="9"/>
        <v/>
      </c>
      <c r="Q109" s="20">
        <f t="shared" si="10"/>
        <v>0</v>
      </c>
      <c r="R109" s="28">
        <f>IF(J109=1,MAX(0,Quy_uoc_chung!$C$4-F109),0)</f>
        <v>0</v>
      </c>
      <c r="S109" s="28">
        <f t="shared" si="11"/>
        <v>0</v>
      </c>
      <c r="T109" s="28">
        <f>IF(AND(J109=1,F109=Quy_uoc_chung!$C$4),1,0)</f>
        <v>0</v>
      </c>
    </row>
    <row r="110" spans="1:20" x14ac:dyDescent="0.3">
      <c r="A110" s="15" t="s">
        <v>658</v>
      </c>
      <c r="B110" s="15" t="s">
        <v>55</v>
      </c>
      <c r="C110" s="15" t="s">
        <v>164</v>
      </c>
      <c r="D110" s="16">
        <v>189288000</v>
      </c>
      <c r="E110" s="17">
        <v>46115</v>
      </c>
      <c r="F110" s="17">
        <v>46135</v>
      </c>
      <c r="G110" s="17">
        <v>46135</v>
      </c>
      <c r="H110" s="15">
        <v>0</v>
      </c>
      <c r="I110" s="15">
        <v>0</v>
      </c>
      <c r="J110" s="18">
        <f>IF(AND(E110&lt;=Quy_uoc_chung!$C$4,OR(G110="",G110&gt;Quy_uoc_chung!$C$4)),1,0)</f>
        <v>0</v>
      </c>
      <c r="K110" s="18">
        <f>IF(AND(E110&gt;=Quy_uoc_chung!$C$4-Quy_uoc_chung!$C$3+1,E110&lt;=Quy_uoc_chung!$C$4),1,0)</f>
        <v>0</v>
      </c>
      <c r="L110" s="19">
        <f t="shared" si="6"/>
        <v>20</v>
      </c>
      <c r="M110" s="20">
        <f t="shared" si="7"/>
        <v>0</v>
      </c>
      <c r="N110" s="21" t="str">
        <f t="shared" si="8"/>
        <v/>
      </c>
      <c r="O110" s="18">
        <f>IF(AND(H110&gt;0,J110=1,N110&gt;=Quy_uoc_chung!$C$4),1,0)</f>
        <v>0</v>
      </c>
      <c r="P110" s="22" t="str">
        <f t="shared" si="9"/>
        <v/>
      </c>
      <c r="Q110" s="20">
        <f t="shared" si="10"/>
        <v>0</v>
      </c>
      <c r="R110" s="28">
        <f>IF(J110=1,MAX(0,Quy_uoc_chung!$C$4-F110),0)</f>
        <v>0</v>
      </c>
      <c r="S110" s="28">
        <f t="shared" si="11"/>
        <v>0</v>
      </c>
      <c r="T110" s="28">
        <f>IF(AND(J110=1,F110=Quy_uoc_chung!$C$4),1,0)</f>
        <v>0</v>
      </c>
    </row>
    <row r="111" spans="1:20" x14ac:dyDescent="0.3">
      <c r="A111" s="15" t="s">
        <v>659</v>
      </c>
      <c r="B111" s="15" t="s">
        <v>55</v>
      </c>
      <c r="C111" s="15" t="s">
        <v>162</v>
      </c>
      <c r="D111" s="16">
        <v>75633000</v>
      </c>
      <c r="E111" s="17">
        <v>46117</v>
      </c>
      <c r="F111" s="17">
        <v>46127</v>
      </c>
      <c r="G111" s="17">
        <v>46125</v>
      </c>
      <c r="H111" s="15">
        <v>0</v>
      </c>
      <c r="I111" s="15">
        <v>0</v>
      </c>
      <c r="J111" s="18">
        <f>IF(AND(E111&lt;=Quy_uoc_chung!$C$4,OR(G111="",G111&gt;Quy_uoc_chung!$C$4)),1,0)</f>
        <v>0</v>
      </c>
      <c r="K111" s="18">
        <f>IF(AND(E111&gt;=Quy_uoc_chung!$C$4-Quy_uoc_chung!$C$3+1,E111&lt;=Quy_uoc_chung!$C$4),1,0)</f>
        <v>0</v>
      </c>
      <c r="L111" s="19">
        <f t="shared" si="6"/>
        <v>10</v>
      </c>
      <c r="M111" s="20">
        <f t="shared" si="7"/>
        <v>0</v>
      </c>
      <c r="N111" s="21" t="str">
        <f t="shared" si="8"/>
        <v/>
      </c>
      <c r="O111" s="18">
        <f>IF(AND(H111&gt;0,J111=1,N111&gt;=Quy_uoc_chung!$C$4),1,0)</f>
        <v>0</v>
      </c>
      <c r="P111" s="22" t="str">
        <f t="shared" si="9"/>
        <v/>
      </c>
      <c r="Q111" s="20">
        <f t="shared" si="10"/>
        <v>0</v>
      </c>
      <c r="R111" s="28">
        <f>IF(J111=1,MAX(0,Quy_uoc_chung!$C$4-F111),0)</f>
        <v>0</v>
      </c>
      <c r="S111" s="28">
        <f t="shared" si="11"/>
        <v>0</v>
      </c>
      <c r="T111" s="28">
        <f>IF(AND(J111=1,F111=Quy_uoc_chung!$C$4),1,0)</f>
        <v>0</v>
      </c>
    </row>
    <row r="112" spans="1:20" x14ac:dyDescent="0.3">
      <c r="A112" s="15" t="s">
        <v>660</v>
      </c>
      <c r="B112" s="15" t="s">
        <v>55</v>
      </c>
      <c r="C112" s="15" t="s">
        <v>163</v>
      </c>
      <c r="D112" s="16">
        <v>575150000</v>
      </c>
      <c r="E112" s="17">
        <v>46124</v>
      </c>
      <c r="F112" s="17">
        <v>46144</v>
      </c>
      <c r="G112" s="17">
        <v>46145</v>
      </c>
      <c r="H112" s="15">
        <v>0</v>
      </c>
      <c r="I112" s="15">
        <v>0</v>
      </c>
      <c r="J112" s="18">
        <f>IF(AND(E112&lt;=Quy_uoc_chung!$C$4,OR(G112="",G112&gt;Quy_uoc_chung!$C$4)),1,0)</f>
        <v>0</v>
      </c>
      <c r="K112" s="18">
        <f>IF(AND(E112&gt;=Quy_uoc_chung!$C$4-Quy_uoc_chung!$C$3+1,E112&lt;=Quy_uoc_chung!$C$4),1,0)</f>
        <v>0</v>
      </c>
      <c r="L112" s="19">
        <f t="shared" si="6"/>
        <v>20</v>
      </c>
      <c r="M112" s="20">
        <f t="shared" si="7"/>
        <v>0</v>
      </c>
      <c r="N112" s="21" t="str">
        <f t="shared" si="8"/>
        <v/>
      </c>
      <c r="O112" s="18">
        <f>IF(AND(H112&gt;0,J112=1,N112&gt;=Quy_uoc_chung!$C$4),1,0)</f>
        <v>0</v>
      </c>
      <c r="P112" s="22" t="str">
        <f t="shared" si="9"/>
        <v/>
      </c>
      <c r="Q112" s="20">
        <f t="shared" si="10"/>
        <v>0</v>
      </c>
      <c r="R112" s="28">
        <f>IF(J112=1,MAX(0,Quy_uoc_chung!$C$4-F112),0)</f>
        <v>0</v>
      </c>
      <c r="S112" s="28">
        <f t="shared" si="11"/>
        <v>0</v>
      </c>
      <c r="T112" s="28">
        <f>IF(AND(J112=1,F112=Quy_uoc_chung!$C$4),1,0)</f>
        <v>0</v>
      </c>
    </row>
    <row r="113" spans="1:20" x14ac:dyDescent="0.3">
      <c r="A113" s="15" t="s">
        <v>661</v>
      </c>
      <c r="B113" s="15" t="s">
        <v>55</v>
      </c>
      <c r="C113" s="15" t="s">
        <v>164</v>
      </c>
      <c r="D113" s="16">
        <v>151951000</v>
      </c>
      <c r="E113" s="17">
        <v>46123</v>
      </c>
      <c r="F113" s="17">
        <v>46143</v>
      </c>
      <c r="G113" s="17">
        <v>46144</v>
      </c>
      <c r="H113" s="15">
        <v>0</v>
      </c>
      <c r="I113" s="15">
        <v>0</v>
      </c>
      <c r="J113" s="18">
        <f>IF(AND(E113&lt;=Quy_uoc_chung!$C$4,OR(G113="",G113&gt;Quy_uoc_chung!$C$4)),1,0)</f>
        <v>0</v>
      </c>
      <c r="K113" s="18">
        <f>IF(AND(E113&gt;=Quy_uoc_chung!$C$4-Quy_uoc_chung!$C$3+1,E113&lt;=Quy_uoc_chung!$C$4),1,0)</f>
        <v>0</v>
      </c>
      <c r="L113" s="19">
        <f t="shared" si="6"/>
        <v>20</v>
      </c>
      <c r="M113" s="20">
        <f t="shared" si="7"/>
        <v>0</v>
      </c>
      <c r="N113" s="21" t="str">
        <f t="shared" si="8"/>
        <v/>
      </c>
      <c r="O113" s="18">
        <f>IF(AND(H113&gt;0,J113=1,N113&gt;=Quy_uoc_chung!$C$4),1,0)</f>
        <v>0</v>
      </c>
      <c r="P113" s="22" t="str">
        <f t="shared" si="9"/>
        <v/>
      </c>
      <c r="Q113" s="20">
        <f t="shared" si="10"/>
        <v>0</v>
      </c>
      <c r="R113" s="28">
        <f>IF(J113=1,MAX(0,Quy_uoc_chung!$C$4-F113),0)</f>
        <v>0</v>
      </c>
      <c r="S113" s="28">
        <f t="shared" si="11"/>
        <v>0</v>
      </c>
      <c r="T113" s="28">
        <f>IF(AND(J113=1,F113=Quy_uoc_chung!$C$4),1,0)</f>
        <v>0</v>
      </c>
    </row>
    <row r="114" spans="1:20" x14ac:dyDescent="0.3">
      <c r="A114" s="15" t="s">
        <v>662</v>
      </c>
      <c r="B114" s="15" t="s">
        <v>55</v>
      </c>
      <c r="C114" s="15" t="s">
        <v>162</v>
      </c>
      <c r="D114" s="16">
        <v>64266000</v>
      </c>
      <c r="E114" s="17">
        <v>46122</v>
      </c>
      <c r="F114" s="17">
        <v>46132</v>
      </c>
      <c r="G114" s="17">
        <v>46132</v>
      </c>
      <c r="H114" s="15">
        <v>0</v>
      </c>
      <c r="I114" s="15">
        <v>0</v>
      </c>
      <c r="J114" s="18">
        <f>IF(AND(E114&lt;=Quy_uoc_chung!$C$4,OR(G114="",G114&gt;Quy_uoc_chung!$C$4)),1,0)</f>
        <v>0</v>
      </c>
      <c r="K114" s="18">
        <f>IF(AND(E114&gt;=Quy_uoc_chung!$C$4-Quy_uoc_chung!$C$3+1,E114&lt;=Quy_uoc_chung!$C$4),1,0)</f>
        <v>0</v>
      </c>
      <c r="L114" s="19">
        <f t="shared" si="6"/>
        <v>10</v>
      </c>
      <c r="M114" s="20">
        <f t="shared" si="7"/>
        <v>0</v>
      </c>
      <c r="N114" s="21" t="str">
        <f t="shared" si="8"/>
        <v/>
      </c>
      <c r="O114" s="18">
        <f>IF(AND(H114&gt;0,J114=1,N114&gt;=Quy_uoc_chung!$C$4),1,0)</f>
        <v>0</v>
      </c>
      <c r="P114" s="22" t="str">
        <f t="shared" si="9"/>
        <v/>
      </c>
      <c r="Q114" s="20">
        <f t="shared" si="10"/>
        <v>0</v>
      </c>
      <c r="R114" s="28">
        <f>IF(J114=1,MAX(0,Quy_uoc_chung!$C$4-F114),0)</f>
        <v>0</v>
      </c>
      <c r="S114" s="28">
        <f t="shared" si="11"/>
        <v>0</v>
      </c>
      <c r="T114" s="28">
        <f>IF(AND(J114=1,F114=Quy_uoc_chung!$C$4),1,0)</f>
        <v>0</v>
      </c>
    </row>
    <row r="115" spans="1:20" x14ac:dyDescent="0.3">
      <c r="A115" s="15" t="s">
        <v>663</v>
      </c>
      <c r="B115" s="15" t="s">
        <v>55</v>
      </c>
      <c r="C115" s="15" t="s">
        <v>163</v>
      </c>
      <c r="D115" s="16">
        <v>479457000</v>
      </c>
      <c r="E115" s="17">
        <v>46129</v>
      </c>
      <c r="F115" s="17">
        <v>46149</v>
      </c>
      <c r="G115" s="17">
        <v>46150</v>
      </c>
      <c r="H115" s="15">
        <v>0</v>
      </c>
      <c r="I115" s="15">
        <v>0</v>
      </c>
      <c r="J115" s="18">
        <f>IF(AND(E115&lt;=Quy_uoc_chung!$C$4,OR(G115="",G115&gt;Quy_uoc_chung!$C$4)),1,0)</f>
        <v>0</v>
      </c>
      <c r="K115" s="18">
        <f>IF(AND(E115&gt;=Quy_uoc_chung!$C$4-Quy_uoc_chung!$C$3+1,E115&lt;=Quy_uoc_chung!$C$4),1,0)</f>
        <v>0</v>
      </c>
      <c r="L115" s="19">
        <f t="shared" si="6"/>
        <v>20</v>
      </c>
      <c r="M115" s="20">
        <f t="shared" si="7"/>
        <v>0</v>
      </c>
      <c r="N115" s="21" t="str">
        <f t="shared" si="8"/>
        <v/>
      </c>
      <c r="O115" s="18">
        <f>IF(AND(H115&gt;0,J115=1,N115&gt;=Quy_uoc_chung!$C$4),1,0)</f>
        <v>0</v>
      </c>
      <c r="P115" s="22" t="str">
        <f t="shared" si="9"/>
        <v/>
      </c>
      <c r="Q115" s="20">
        <f t="shared" si="10"/>
        <v>0</v>
      </c>
      <c r="R115" s="28">
        <f>IF(J115=1,MAX(0,Quy_uoc_chung!$C$4-F115),0)</f>
        <v>0</v>
      </c>
      <c r="S115" s="28">
        <f t="shared" si="11"/>
        <v>0</v>
      </c>
      <c r="T115" s="28">
        <f>IF(AND(J115=1,F115=Quy_uoc_chung!$C$4),1,0)</f>
        <v>0</v>
      </c>
    </row>
    <row r="116" spans="1:20" x14ac:dyDescent="0.3">
      <c r="A116" s="15" t="s">
        <v>664</v>
      </c>
      <c r="B116" s="15" t="s">
        <v>55</v>
      </c>
      <c r="C116" s="15" t="s">
        <v>164</v>
      </c>
      <c r="D116" s="16">
        <v>135971000</v>
      </c>
      <c r="E116" s="17">
        <v>46127</v>
      </c>
      <c r="F116" s="17">
        <v>46147</v>
      </c>
      <c r="G116" s="17">
        <v>46147</v>
      </c>
      <c r="H116" s="15">
        <v>0</v>
      </c>
      <c r="I116" s="15">
        <v>0</v>
      </c>
      <c r="J116" s="18">
        <f>IF(AND(E116&lt;=Quy_uoc_chung!$C$4,OR(G116="",G116&gt;Quy_uoc_chung!$C$4)),1,0)</f>
        <v>0</v>
      </c>
      <c r="K116" s="18">
        <f>IF(AND(E116&gt;=Quy_uoc_chung!$C$4-Quy_uoc_chung!$C$3+1,E116&lt;=Quy_uoc_chung!$C$4),1,0)</f>
        <v>0</v>
      </c>
      <c r="L116" s="19">
        <f t="shared" si="6"/>
        <v>20</v>
      </c>
      <c r="M116" s="20">
        <f t="shared" si="7"/>
        <v>0</v>
      </c>
      <c r="N116" s="21" t="str">
        <f t="shared" si="8"/>
        <v/>
      </c>
      <c r="O116" s="18">
        <f>IF(AND(H116&gt;0,J116=1,N116&gt;=Quy_uoc_chung!$C$4),1,0)</f>
        <v>0</v>
      </c>
      <c r="P116" s="22" t="str">
        <f t="shared" si="9"/>
        <v/>
      </c>
      <c r="Q116" s="20">
        <f t="shared" si="10"/>
        <v>0</v>
      </c>
      <c r="R116" s="28">
        <f>IF(J116=1,MAX(0,Quy_uoc_chung!$C$4-F116),0)</f>
        <v>0</v>
      </c>
      <c r="S116" s="28">
        <f t="shared" si="11"/>
        <v>0</v>
      </c>
      <c r="T116" s="28">
        <f>IF(AND(J116=1,F116=Quy_uoc_chung!$C$4),1,0)</f>
        <v>0</v>
      </c>
    </row>
    <row r="117" spans="1:20" x14ac:dyDescent="0.3">
      <c r="A117" s="15" t="s">
        <v>665</v>
      </c>
      <c r="B117" s="15" t="s">
        <v>55</v>
      </c>
      <c r="C117" s="15" t="s">
        <v>162</v>
      </c>
      <c r="D117" s="16">
        <v>70065000</v>
      </c>
      <c r="E117" s="17">
        <v>46131</v>
      </c>
      <c r="F117" s="17">
        <v>46141</v>
      </c>
      <c r="G117" s="17">
        <v>46142</v>
      </c>
      <c r="H117" s="15">
        <v>0</v>
      </c>
      <c r="I117" s="15">
        <v>0</v>
      </c>
      <c r="J117" s="18">
        <f>IF(AND(E117&lt;=Quy_uoc_chung!$C$4,OR(G117="",G117&gt;Quy_uoc_chung!$C$4)),1,0)</f>
        <v>0</v>
      </c>
      <c r="K117" s="18">
        <f>IF(AND(E117&gt;=Quy_uoc_chung!$C$4-Quy_uoc_chung!$C$3+1,E117&lt;=Quy_uoc_chung!$C$4),1,0)</f>
        <v>0</v>
      </c>
      <c r="L117" s="19">
        <f t="shared" si="6"/>
        <v>10</v>
      </c>
      <c r="M117" s="20">
        <f t="shared" si="7"/>
        <v>0</v>
      </c>
      <c r="N117" s="21" t="str">
        <f t="shared" si="8"/>
        <v/>
      </c>
      <c r="O117" s="18">
        <f>IF(AND(H117&gt;0,J117=1,N117&gt;=Quy_uoc_chung!$C$4),1,0)</f>
        <v>0</v>
      </c>
      <c r="P117" s="22" t="str">
        <f t="shared" si="9"/>
        <v/>
      </c>
      <c r="Q117" s="20">
        <f t="shared" si="10"/>
        <v>0</v>
      </c>
      <c r="R117" s="28">
        <f>IF(J117=1,MAX(0,Quy_uoc_chung!$C$4-F117),0)</f>
        <v>0</v>
      </c>
      <c r="S117" s="28">
        <f t="shared" si="11"/>
        <v>0</v>
      </c>
      <c r="T117" s="28">
        <f>IF(AND(J117=1,F117=Quy_uoc_chung!$C$4),1,0)</f>
        <v>0</v>
      </c>
    </row>
    <row r="118" spans="1:20" x14ac:dyDescent="0.3">
      <c r="A118" s="15" t="s">
        <v>666</v>
      </c>
      <c r="B118" s="15" t="s">
        <v>55</v>
      </c>
      <c r="C118" s="15" t="s">
        <v>163</v>
      </c>
      <c r="D118" s="16">
        <v>467888000</v>
      </c>
      <c r="E118" s="17">
        <v>46137</v>
      </c>
      <c r="F118" s="17">
        <v>46157</v>
      </c>
      <c r="G118" s="17">
        <v>46158</v>
      </c>
      <c r="H118" s="15">
        <v>0</v>
      </c>
      <c r="I118" s="15">
        <v>0</v>
      </c>
      <c r="J118" s="18">
        <f>IF(AND(E118&lt;=Quy_uoc_chung!$C$4,OR(G118="",G118&gt;Quy_uoc_chung!$C$4)),1,0)</f>
        <v>0</v>
      </c>
      <c r="K118" s="18">
        <f>IF(AND(E118&gt;=Quy_uoc_chung!$C$4-Quy_uoc_chung!$C$3+1,E118&lt;=Quy_uoc_chung!$C$4),1,0)</f>
        <v>0</v>
      </c>
      <c r="L118" s="19">
        <f t="shared" si="6"/>
        <v>20</v>
      </c>
      <c r="M118" s="20">
        <f t="shared" si="7"/>
        <v>0</v>
      </c>
      <c r="N118" s="21" t="str">
        <f t="shared" si="8"/>
        <v/>
      </c>
      <c r="O118" s="18">
        <f>IF(AND(H118&gt;0,J118=1,N118&gt;=Quy_uoc_chung!$C$4),1,0)</f>
        <v>0</v>
      </c>
      <c r="P118" s="22" t="str">
        <f t="shared" si="9"/>
        <v/>
      </c>
      <c r="Q118" s="20">
        <f t="shared" si="10"/>
        <v>0</v>
      </c>
      <c r="R118" s="28">
        <f>IF(J118=1,MAX(0,Quy_uoc_chung!$C$4-F118),0)</f>
        <v>0</v>
      </c>
      <c r="S118" s="28">
        <f t="shared" si="11"/>
        <v>0</v>
      </c>
      <c r="T118" s="28">
        <f>IF(AND(J118=1,F118=Quy_uoc_chung!$C$4),1,0)</f>
        <v>0</v>
      </c>
    </row>
    <row r="119" spans="1:20" x14ac:dyDescent="0.3">
      <c r="A119" s="15" t="s">
        <v>667</v>
      </c>
      <c r="B119" s="15" t="s">
        <v>55</v>
      </c>
      <c r="C119" s="15" t="s">
        <v>164</v>
      </c>
      <c r="D119" s="16">
        <v>171745000</v>
      </c>
      <c r="E119" s="17">
        <v>46137</v>
      </c>
      <c r="F119" s="17">
        <v>46157</v>
      </c>
      <c r="G119" s="17">
        <v>46156</v>
      </c>
      <c r="H119" s="15">
        <v>0</v>
      </c>
      <c r="I119" s="15">
        <v>0</v>
      </c>
      <c r="J119" s="18">
        <f>IF(AND(E119&lt;=Quy_uoc_chung!$C$4,OR(G119="",G119&gt;Quy_uoc_chung!$C$4)),1,0)</f>
        <v>0</v>
      </c>
      <c r="K119" s="18">
        <f>IF(AND(E119&gt;=Quy_uoc_chung!$C$4-Quy_uoc_chung!$C$3+1,E119&lt;=Quy_uoc_chung!$C$4),1,0)</f>
        <v>0</v>
      </c>
      <c r="L119" s="19">
        <f t="shared" si="6"/>
        <v>20</v>
      </c>
      <c r="M119" s="20">
        <f t="shared" si="7"/>
        <v>0</v>
      </c>
      <c r="N119" s="21" t="str">
        <f t="shared" si="8"/>
        <v/>
      </c>
      <c r="O119" s="18">
        <f>IF(AND(H119&gt;0,J119=1,N119&gt;=Quy_uoc_chung!$C$4),1,0)</f>
        <v>0</v>
      </c>
      <c r="P119" s="22" t="str">
        <f t="shared" si="9"/>
        <v/>
      </c>
      <c r="Q119" s="20">
        <f t="shared" si="10"/>
        <v>0</v>
      </c>
      <c r="R119" s="28">
        <f>IF(J119=1,MAX(0,Quy_uoc_chung!$C$4-F119),0)</f>
        <v>0</v>
      </c>
      <c r="S119" s="28">
        <f t="shared" si="11"/>
        <v>0</v>
      </c>
      <c r="T119" s="28">
        <f>IF(AND(J119=1,F119=Quy_uoc_chung!$C$4),1,0)</f>
        <v>0</v>
      </c>
    </row>
    <row r="120" spans="1:20" x14ac:dyDescent="0.3">
      <c r="A120" s="15" t="s">
        <v>668</v>
      </c>
      <c r="B120" s="15" t="s">
        <v>55</v>
      </c>
      <c r="C120" s="15" t="s">
        <v>162</v>
      </c>
      <c r="D120" s="16">
        <v>97502000</v>
      </c>
      <c r="E120" s="17">
        <v>46136</v>
      </c>
      <c r="F120" s="17">
        <v>46146</v>
      </c>
      <c r="G120" s="17">
        <v>46147</v>
      </c>
      <c r="H120" s="15">
        <v>0</v>
      </c>
      <c r="I120" s="15">
        <v>0</v>
      </c>
      <c r="J120" s="18">
        <f>IF(AND(E120&lt;=Quy_uoc_chung!$C$4,OR(G120="",G120&gt;Quy_uoc_chung!$C$4)),1,0)</f>
        <v>0</v>
      </c>
      <c r="K120" s="18">
        <f>IF(AND(E120&gt;=Quy_uoc_chung!$C$4-Quy_uoc_chung!$C$3+1,E120&lt;=Quy_uoc_chung!$C$4),1,0)</f>
        <v>0</v>
      </c>
      <c r="L120" s="19">
        <f t="shared" si="6"/>
        <v>10</v>
      </c>
      <c r="M120" s="20">
        <f t="shared" si="7"/>
        <v>0</v>
      </c>
      <c r="N120" s="21" t="str">
        <f t="shared" si="8"/>
        <v/>
      </c>
      <c r="O120" s="18">
        <f>IF(AND(H120&gt;0,J120=1,N120&gt;=Quy_uoc_chung!$C$4),1,0)</f>
        <v>0</v>
      </c>
      <c r="P120" s="22" t="str">
        <f t="shared" si="9"/>
        <v/>
      </c>
      <c r="Q120" s="20">
        <f t="shared" si="10"/>
        <v>0</v>
      </c>
      <c r="R120" s="28">
        <f>IF(J120=1,MAX(0,Quy_uoc_chung!$C$4-F120),0)</f>
        <v>0</v>
      </c>
      <c r="S120" s="28">
        <f t="shared" si="11"/>
        <v>0</v>
      </c>
      <c r="T120" s="28">
        <f>IF(AND(J120=1,F120=Quy_uoc_chung!$C$4),1,0)</f>
        <v>0</v>
      </c>
    </row>
    <row r="121" spans="1:20" x14ac:dyDescent="0.3">
      <c r="A121" s="15" t="s">
        <v>669</v>
      </c>
      <c r="B121" s="15" t="s">
        <v>55</v>
      </c>
      <c r="C121" s="15" t="s">
        <v>163</v>
      </c>
      <c r="D121" s="16">
        <v>615604000</v>
      </c>
      <c r="E121" s="17">
        <v>46141</v>
      </c>
      <c r="F121" s="17">
        <v>46161</v>
      </c>
      <c r="G121" s="17">
        <v>46162</v>
      </c>
      <c r="H121" s="15">
        <v>0</v>
      </c>
      <c r="I121" s="15">
        <v>0</v>
      </c>
      <c r="J121" s="18">
        <f>IF(AND(E121&lt;=Quy_uoc_chung!$C$4,OR(G121="",G121&gt;Quy_uoc_chung!$C$4)),1,0)</f>
        <v>0</v>
      </c>
      <c r="K121" s="18">
        <f>IF(AND(E121&gt;=Quy_uoc_chung!$C$4-Quy_uoc_chung!$C$3+1,E121&lt;=Quy_uoc_chung!$C$4),1,0)</f>
        <v>0</v>
      </c>
      <c r="L121" s="19">
        <f t="shared" si="6"/>
        <v>20</v>
      </c>
      <c r="M121" s="20">
        <f t="shared" si="7"/>
        <v>0</v>
      </c>
      <c r="N121" s="21" t="str">
        <f t="shared" si="8"/>
        <v/>
      </c>
      <c r="O121" s="18">
        <f>IF(AND(H121&gt;0,J121=1,N121&gt;=Quy_uoc_chung!$C$4),1,0)</f>
        <v>0</v>
      </c>
      <c r="P121" s="22" t="str">
        <f t="shared" si="9"/>
        <v/>
      </c>
      <c r="Q121" s="20">
        <f t="shared" si="10"/>
        <v>0</v>
      </c>
      <c r="R121" s="28">
        <f>IF(J121=1,MAX(0,Quy_uoc_chung!$C$4-F121),0)</f>
        <v>0</v>
      </c>
      <c r="S121" s="28">
        <f t="shared" si="11"/>
        <v>0</v>
      </c>
      <c r="T121" s="28">
        <f>IF(AND(J121=1,F121=Quy_uoc_chung!$C$4),1,0)</f>
        <v>0</v>
      </c>
    </row>
    <row r="122" spans="1:20" x14ac:dyDescent="0.3">
      <c r="A122" s="15" t="s">
        <v>670</v>
      </c>
      <c r="B122" s="15" t="s">
        <v>55</v>
      </c>
      <c r="C122" s="15" t="s">
        <v>164</v>
      </c>
      <c r="D122" s="16">
        <v>188654000</v>
      </c>
      <c r="E122" s="17">
        <v>46145</v>
      </c>
      <c r="F122" s="17">
        <v>46165</v>
      </c>
      <c r="G122" s="17">
        <v>46165</v>
      </c>
      <c r="H122" s="15">
        <v>0</v>
      </c>
      <c r="I122" s="15">
        <v>0</v>
      </c>
      <c r="J122" s="18">
        <f>IF(AND(E122&lt;=Quy_uoc_chung!$C$4,OR(G122="",G122&gt;Quy_uoc_chung!$C$4)),1,0)</f>
        <v>0</v>
      </c>
      <c r="K122" s="18">
        <f>IF(AND(E122&gt;=Quy_uoc_chung!$C$4-Quy_uoc_chung!$C$3+1,E122&lt;=Quy_uoc_chung!$C$4),1,0)</f>
        <v>0</v>
      </c>
      <c r="L122" s="19">
        <f t="shared" si="6"/>
        <v>20</v>
      </c>
      <c r="M122" s="20">
        <f t="shared" si="7"/>
        <v>0</v>
      </c>
      <c r="N122" s="21" t="str">
        <f t="shared" si="8"/>
        <v/>
      </c>
      <c r="O122" s="18">
        <f>IF(AND(H122&gt;0,J122=1,N122&gt;=Quy_uoc_chung!$C$4),1,0)</f>
        <v>0</v>
      </c>
      <c r="P122" s="22" t="str">
        <f t="shared" si="9"/>
        <v/>
      </c>
      <c r="Q122" s="20">
        <f t="shared" si="10"/>
        <v>0</v>
      </c>
      <c r="R122" s="28">
        <f>IF(J122=1,MAX(0,Quy_uoc_chung!$C$4-F122),0)</f>
        <v>0</v>
      </c>
      <c r="S122" s="28">
        <f t="shared" si="11"/>
        <v>0</v>
      </c>
      <c r="T122" s="28">
        <f>IF(AND(J122=1,F122=Quy_uoc_chung!$C$4),1,0)</f>
        <v>0</v>
      </c>
    </row>
    <row r="123" spans="1:20" x14ac:dyDescent="0.3">
      <c r="A123" s="15" t="s">
        <v>671</v>
      </c>
      <c r="B123" s="15" t="s">
        <v>55</v>
      </c>
      <c r="C123" s="15" t="s">
        <v>162</v>
      </c>
      <c r="D123" s="16">
        <v>100380000</v>
      </c>
      <c r="E123" s="17">
        <v>46145</v>
      </c>
      <c r="F123" s="17">
        <v>46155</v>
      </c>
      <c r="G123" s="17">
        <v>46154</v>
      </c>
      <c r="H123" s="15">
        <v>0</v>
      </c>
      <c r="I123" s="15">
        <v>0</v>
      </c>
      <c r="J123" s="18">
        <f>IF(AND(E123&lt;=Quy_uoc_chung!$C$4,OR(G123="",G123&gt;Quy_uoc_chung!$C$4)),1,0)</f>
        <v>0</v>
      </c>
      <c r="K123" s="18">
        <f>IF(AND(E123&gt;=Quy_uoc_chung!$C$4-Quy_uoc_chung!$C$3+1,E123&lt;=Quy_uoc_chung!$C$4),1,0)</f>
        <v>0</v>
      </c>
      <c r="L123" s="19">
        <f t="shared" si="6"/>
        <v>10</v>
      </c>
      <c r="M123" s="20">
        <f t="shared" si="7"/>
        <v>0</v>
      </c>
      <c r="N123" s="21" t="str">
        <f t="shared" si="8"/>
        <v/>
      </c>
      <c r="O123" s="18">
        <f>IF(AND(H123&gt;0,J123=1,N123&gt;=Quy_uoc_chung!$C$4),1,0)</f>
        <v>0</v>
      </c>
      <c r="P123" s="22" t="str">
        <f t="shared" si="9"/>
        <v/>
      </c>
      <c r="Q123" s="20">
        <f t="shared" si="10"/>
        <v>0</v>
      </c>
      <c r="R123" s="28">
        <f>IF(J123=1,MAX(0,Quy_uoc_chung!$C$4-F123),0)</f>
        <v>0</v>
      </c>
      <c r="S123" s="28">
        <f t="shared" si="11"/>
        <v>0</v>
      </c>
      <c r="T123" s="28">
        <f>IF(AND(J123=1,F123=Quy_uoc_chung!$C$4),1,0)</f>
        <v>0</v>
      </c>
    </row>
    <row r="124" spans="1:20" x14ac:dyDescent="0.3">
      <c r="A124" s="15" t="s">
        <v>672</v>
      </c>
      <c r="B124" s="15" t="s">
        <v>55</v>
      </c>
      <c r="C124" s="15" t="s">
        <v>163</v>
      </c>
      <c r="D124" s="16">
        <v>611045000</v>
      </c>
      <c r="E124" s="17">
        <v>46152</v>
      </c>
      <c r="F124" s="17">
        <v>46172</v>
      </c>
      <c r="G124" s="17">
        <v>46173</v>
      </c>
      <c r="H124" s="15">
        <v>0</v>
      </c>
      <c r="I124" s="15">
        <v>0</v>
      </c>
      <c r="J124" s="18">
        <f>IF(AND(E124&lt;=Quy_uoc_chung!$C$4,OR(G124="",G124&gt;Quy_uoc_chung!$C$4)),1,0)</f>
        <v>0</v>
      </c>
      <c r="K124" s="18">
        <f>IF(AND(E124&gt;=Quy_uoc_chung!$C$4-Quy_uoc_chung!$C$3+1,E124&lt;=Quy_uoc_chung!$C$4),1,0)</f>
        <v>0</v>
      </c>
      <c r="L124" s="19">
        <f t="shared" si="6"/>
        <v>20</v>
      </c>
      <c r="M124" s="20">
        <f t="shared" si="7"/>
        <v>0</v>
      </c>
      <c r="N124" s="21" t="str">
        <f t="shared" si="8"/>
        <v/>
      </c>
      <c r="O124" s="18">
        <f>IF(AND(H124&gt;0,J124=1,N124&gt;=Quy_uoc_chung!$C$4),1,0)</f>
        <v>0</v>
      </c>
      <c r="P124" s="22" t="str">
        <f t="shared" si="9"/>
        <v/>
      </c>
      <c r="Q124" s="20">
        <f t="shared" si="10"/>
        <v>0</v>
      </c>
      <c r="R124" s="28">
        <f>IF(J124=1,MAX(0,Quy_uoc_chung!$C$4-F124),0)</f>
        <v>0</v>
      </c>
      <c r="S124" s="28">
        <f t="shared" si="11"/>
        <v>0</v>
      </c>
      <c r="T124" s="28">
        <f>IF(AND(J124=1,F124=Quy_uoc_chung!$C$4),1,0)</f>
        <v>0</v>
      </c>
    </row>
    <row r="125" spans="1:20" x14ac:dyDescent="0.3">
      <c r="A125" s="15" t="s">
        <v>673</v>
      </c>
      <c r="B125" s="15" t="s">
        <v>55</v>
      </c>
      <c r="C125" s="15" t="s">
        <v>164</v>
      </c>
      <c r="D125" s="16">
        <v>191992000</v>
      </c>
      <c r="E125" s="17">
        <v>46152</v>
      </c>
      <c r="F125" s="17">
        <v>46172</v>
      </c>
      <c r="G125" s="17">
        <v>46173</v>
      </c>
      <c r="H125" s="15">
        <v>0</v>
      </c>
      <c r="I125" s="15">
        <v>0</v>
      </c>
      <c r="J125" s="18">
        <f>IF(AND(E125&lt;=Quy_uoc_chung!$C$4,OR(G125="",G125&gt;Quy_uoc_chung!$C$4)),1,0)</f>
        <v>0</v>
      </c>
      <c r="K125" s="18">
        <f>IF(AND(E125&gt;=Quy_uoc_chung!$C$4-Quy_uoc_chung!$C$3+1,E125&lt;=Quy_uoc_chung!$C$4),1,0)</f>
        <v>0</v>
      </c>
      <c r="L125" s="19">
        <f t="shared" si="6"/>
        <v>20</v>
      </c>
      <c r="M125" s="20">
        <f t="shared" si="7"/>
        <v>0</v>
      </c>
      <c r="N125" s="21" t="str">
        <f t="shared" si="8"/>
        <v/>
      </c>
      <c r="O125" s="18">
        <f>IF(AND(H125&gt;0,J125=1,N125&gt;=Quy_uoc_chung!$C$4),1,0)</f>
        <v>0</v>
      </c>
      <c r="P125" s="22" t="str">
        <f t="shared" si="9"/>
        <v/>
      </c>
      <c r="Q125" s="20">
        <f t="shared" si="10"/>
        <v>0</v>
      </c>
      <c r="R125" s="28">
        <f>IF(J125=1,MAX(0,Quy_uoc_chung!$C$4-F125),0)</f>
        <v>0</v>
      </c>
      <c r="S125" s="28">
        <f t="shared" si="11"/>
        <v>0</v>
      </c>
      <c r="T125" s="28">
        <f>IF(AND(J125=1,F125=Quy_uoc_chung!$C$4),1,0)</f>
        <v>0</v>
      </c>
    </row>
    <row r="126" spans="1:20" x14ac:dyDescent="0.3">
      <c r="A126" s="15" t="s">
        <v>674</v>
      </c>
      <c r="B126" s="15" t="s">
        <v>55</v>
      </c>
      <c r="C126" s="15" t="s">
        <v>162</v>
      </c>
      <c r="D126" s="16">
        <v>95417000</v>
      </c>
      <c r="E126" s="17">
        <v>46148</v>
      </c>
      <c r="F126" s="17">
        <v>46158</v>
      </c>
      <c r="G126" s="17">
        <v>46159</v>
      </c>
      <c r="H126" s="15">
        <v>0</v>
      </c>
      <c r="I126" s="15">
        <v>0</v>
      </c>
      <c r="J126" s="18">
        <f>IF(AND(E126&lt;=Quy_uoc_chung!$C$4,OR(G126="",G126&gt;Quy_uoc_chung!$C$4)),1,0)</f>
        <v>0</v>
      </c>
      <c r="K126" s="18">
        <f>IF(AND(E126&gt;=Quy_uoc_chung!$C$4-Quy_uoc_chung!$C$3+1,E126&lt;=Quy_uoc_chung!$C$4),1,0)</f>
        <v>0</v>
      </c>
      <c r="L126" s="19">
        <f t="shared" si="6"/>
        <v>10</v>
      </c>
      <c r="M126" s="20">
        <f t="shared" si="7"/>
        <v>0</v>
      </c>
      <c r="N126" s="21" t="str">
        <f t="shared" si="8"/>
        <v/>
      </c>
      <c r="O126" s="18">
        <f>IF(AND(H126&gt;0,J126=1,N126&gt;=Quy_uoc_chung!$C$4),1,0)</f>
        <v>0</v>
      </c>
      <c r="P126" s="22" t="str">
        <f t="shared" si="9"/>
        <v/>
      </c>
      <c r="Q126" s="20">
        <f t="shared" si="10"/>
        <v>0</v>
      </c>
      <c r="R126" s="28">
        <f>IF(J126=1,MAX(0,Quy_uoc_chung!$C$4-F126),0)</f>
        <v>0</v>
      </c>
      <c r="S126" s="28">
        <f t="shared" si="11"/>
        <v>0</v>
      </c>
      <c r="T126" s="28">
        <f>IF(AND(J126=1,F126=Quy_uoc_chung!$C$4),1,0)</f>
        <v>0</v>
      </c>
    </row>
    <row r="127" spans="1:20" x14ac:dyDescent="0.3">
      <c r="A127" s="15" t="s">
        <v>675</v>
      </c>
      <c r="B127" s="15" t="s">
        <v>55</v>
      </c>
      <c r="C127" s="15" t="s">
        <v>163</v>
      </c>
      <c r="D127" s="16">
        <v>556025000</v>
      </c>
      <c r="E127" s="17">
        <v>46158</v>
      </c>
      <c r="F127" s="17">
        <v>46178</v>
      </c>
      <c r="G127" s="17">
        <v>46179</v>
      </c>
      <c r="H127" s="15">
        <v>0</v>
      </c>
      <c r="I127" s="15">
        <v>0</v>
      </c>
      <c r="J127" s="18">
        <f>IF(AND(E127&lt;=Quy_uoc_chung!$C$4,OR(G127="",G127&gt;Quy_uoc_chung!$C$4)),1,0)</f>
        <v>0</v>
      </c>
      <c r="K127" s="18">
        <f>IF(AND(E127&gt;=Quy_uoc_chung!$C$4-Quy_uoc_chung!$C$3+1,E127&lt;=Quy_uoc_chung!$C$4),1,0)</f>
        <v>0</v>
      </c>
      <c r="L127" s="19">
        <f t="shared" si="6"/>
        <v>20</v>
      </c>
      <c r="M127" s="20">
        <f t="shared" si="7"/>
        <v>0</v>
      </c>
      <c r="N127" s="21" t="str">
        <f t="shared" si="8"/>
        <v/>
      </c>
      <c r="O127" s="18">
        <f>IF(AND(H127&gt;0,J127=1,N127&gt;=Quy_uoc_chung!$C$4),1,0)</f>
        <v>0</v>
      </c>
      <c r="P127" s="22" t="str">
        <f t="shared" si="9"/>
        <v/>
      </c>
      <c r="Q127" s="20">
        <f t="shared" si="10"/>
        <v>0</v>
      </c>
      <c r="R127" s="28">
        <f>IF(J127=1,MAX(0,Quy_uoc_chung!$C$4-F127),0)</f>
        <v>0</v>
      </c>
      <c r="S127" s="28">
        <f t="shared" si="11"/>
        <v>0</v>
      </c>
      <c r="T127" s="28">
        <f>IF(AND(J127=1,F127=Quy_uoc_chung!$C$4),1,0)</f>
        <v>0</v>
      </c>
    </row>
    <row r="128" spans="1:20" x14ac:dyDescent="0.3">
      <c r="A128" s="15" t="s">
        <v>676</v>
      </c>
      <c r="B128" s="15" t="s">
        <v>55</v>
      </c>
      <c r="C128" s="15" t="s">
        <v>164</v>
      </c>
      <c r="D128" s="16">
        <v>130983000</v>
      </c>
      <c r="E128" s="17">
        <v>46159</v>
      </c>
      <c r="F128" s="17">
        <v>46179</v>
      </c>
      <c r="G128" s="17">
        <v>46177</v>
      </c>
      <c r="H128" s="15">
        <v>0</v>
      </c>
      <c r="I128" s="15">
        <v>0</v>
      </c>
      <c r="J128" s="18">
        <f>IF(AND(E128&lt;=Quy_uoc_chung!$C$4,OR(G128="",G128&gt;Quy_uoc_chung!$C$4)),1,0)</f>
        <v>0</v>
      </c>
      <c r="K128" s="18">
        <f>IF(AND(E128&gt;=Quy_uoc_chung!$C$4-Quy_uoc_chung!$C$3+1,E128&lt;=Quy_uoc_chung!$C$4),1,0)</f>
        <v>0</v>
      </c>
      <c r="L128" s="19">
        <f t="shared" si="6"/>
        <v>20</v>
      </c>
      <c r="M128" s="20">
        <f t="shared" si="7"/>
        <v>0</v>
      </c>
      <c r="N128" s="21" t="str">
        <f t="shared" si="8"/>
        <v/>
      </c>
      <c r="O128" s="18">
        <f>IF(AND(H128&gt;0,J128=1,N128&gt;=Quy_uoc_chung!$C$4),1,0)</f>
        <v>0</v>
      </c>
      <c r="P128" s="22" t="str">
        <f t="shared" si="9"/>
        <v/>
      </c>
      <c r="Q128" s="20">
        <f t="shared" si="10"/>
        <v>0</v>
      </c>
      <c r="R128" s="28">
        <f>IF(J128=1,MAX(0,Quy_uoc_chung!$C$4-F128),0)</f>
        <v>0</v>
      </c>
      <c r="S128" s="28">
        <f t="shared" si="11"/>
        <v>0</v>
      </c>
      <c r="T128" s="28">
        <f>IF(AND(J128=1,F128=Quy_uoc_chung!$C$4),1,0)</f>
        <v>0</v>
      </c>
    </row>
    <row r="129" spans="1:20" x14ac:dyDescent="0.3">
      <c r="A129" s="15" t="s">
        <v>677</v>
      </c>
      <c r="B129" s="15" t="s">
        <v>55</v>
      </c>
      <c r="C129" s="15" t="s">
        <v>162</v>
      </c>
      <c r="D129" s="16">
        <v>63040000</v>
      </c>
      <c r="E129" s="17">
        <v>46155</v>
      </c>
      <c r="F129" s="17">
        <v>46165</v>
      </c>
      <c r="G129" s="17">
        <v>46164</v>
      </c>
      <c r="H129" s="15">
        <v>0</v>
      </c>
      <c r="I129" s="15">
        <v>0</v>
      </c>
      <c r="J129" s="18">
        <f>IF(AND(E129&lt;=Quy_uoc_chung!$C$4,OR(G129="",G129&gt;Quy_uoc_chung!$C$4)),1,0)</f>
        <v>0</v>
      </c>
      <c r="K129" s="18">
        <f>IF(AND(E129&gt;=Quy_uoc_chung!$C$4-Quy_uoc_chung!$C$3+1,E129&lt;=Quy_uoc_chung!$C$4),1,0)</f>
        <v>0</v>
      </c>
      <c r="L129" s="19">
        <f t="shared" si="6"/>
        <v>10</v>
      </c>
      <c r="M129" s="20">
        <f t="shared" si="7"/>
        <v>0</v>
      </c>
      <c r="N129" s="21" t="str">
        <f t="shared" si="8"/>
        <v/>
      </c>
      <c r="O129" s="18">
        <f>IF(AND(H129&gt;0,J129=1,N129&gt;=Quy_uoc_chung!$C$4),1,0)</f>
        <v>0</v>
      </c>
      <c r="P129" s="22" t="str">
        <f t="shared" si="9"/>
        <v/>
      </c>
      <c r="Q129" s="20">
        <f t="shared" si="10"/>
        <v>0</v>
      </c>
      <c r="R129" s="28">
        <f>IF(J129=1,MAX(0,Quy_uoc_chung!$C$4-F129),0)</f>
        <v>0</v>
      </c>
      <c r="S129" s="28">
        <f t="shared" si="11"/>
        <v>0</v>
      </c>
      <c r="T129" s="28">
        <f>IF(AND(J129=1,F129=Quy_uoc_chung!$C$4),1,0)</f>
        <v>0</v>
      </c>
    </row>
    <row r="130" spans="1:20" x14ac:dyDescent="0.3">
      <c r="A130" s="15" t="s">
        <v>678</v>
      </c>
      <c r="B130" s="15" t="s">
        <v>55</v>
      </c>
      <c r="C130" s="15" t="s">
        <v>163</v>
      </c>
      <c r="D130" s="16">
        <v>646416000</v>
      </c>
      <c r="E130" s="17">
        <v>46166</v>
      </c>
      <c r="F130" s="17">
        <v>46186</v>
      </c>
      <c r="G130" s="17">
        <v>46188</v>
      </c>
      <c r="H130" s="15">
        <v>0</v>
      </c>
      <c r="I130" s="15">
        <v>0</v>
      </c>
      <c r="J130" s="18">
        <f>IF(AND(E130&lt;=Quy_uoc_chung!$C$4,OR(G130="",G130&gt;Quy_uoc_chung!$C$4)),1,0)</f>
        <v>0</v>
      </c>
      <c r="K130" s="18">
        <f>IF(AND(E130&gt;=Quy_uoc_chung!$C$4-Quy_uoc_chung!$C$3+1,E130&lt;=Quy_uoc_chung!$C$4),1,0)</f>
        <v>0</v>
      </c>
      <c r="L130" s="19">
        <f t="shared" si="6"/>
        <v>20</v>
      </c>
      <c r="M130" s="20">
        <f t="shared" si="7"/>
        <v>0</v>
      </c>
      <c r="N130" s="21" t="str">
        <f t="shared" si="8"/>
        <v/>
      </c>
      <c r="O130" s="18">
        <f>IF(AND(H130&gt;0,J130=1,N130&gt;=Quy_uoc_chung!$C$4),1,0)</f>
        <v>0</v>
      </c>
      <c r="P130" s="22" t="str">
        <f t="shared" si="9"/>
        <v/>
      </c>
      <c r="Q130" s="20">
        <f t="shared" si="10"/>
        <v>0</v>
      </c>
      <c r="R130" s="28">
        <f>IF(J130=1,MAX(0,Quy_uoc_chung!$C$4-F130),0)</f>
        <v>0</v>
      </c>
      <c r="S130" s="28">
        <f t="shared" si="11"/>
        <v>0</v>
      </c>
      <c r="T130" s="28">
        <f>IF(AND(J130=1,F130=Quy_uoc_chung!$C$4),1,0)</f>
        <v>0</v>
      </c>
    </row>
    <row r="131" spans="1:20" x14ac:dyDescent="0.3">
      <c r="A131" s="15" t="s">
        <v>679</v>
      </c>
      <c r="B131" s="15" t="s">
        <v>55</v>
      </c>
      <c r="C131" s="15" t="s">
        <v>164</v>
      </c>
      <c r="D131" s="16">
        <v>150824000</v>
      </c>
      <c r="E131" s="17">
        <v>46165</v>
      </c>
      <c r="F131" s="17">
        <v>46185</v>
      </c>
      <c r="G131" s="17">
        <v>46185</v>
      </c>
      <c r="H131" s="15">
        <v>0</v>
      </c>
      <c r="I131" s="15">
        <v>0</v>
      </c>
      <c r="J131" s="18">
        <f>IF(AND(E131&lt;=Quy_uoc_chung!$C$4,OR(G131="",G131&gt;Quy_uoc_chung!$C$4)),1,0)</f>
        <v>0</v>
      </c>
      <c r="K131" s="18">
        <f>IF(AND(E131&gt;=Quy_uoc_chung!$C$4-Quy_uoc_chung!$C$3+1,E131&lt;=Quy_uoc_chung!$C$4),1,0)</f>
        <v>0</v>
      </c>
      <c r="L131" s="19">
        <f t="shared" ref="L131:L194" si="12">F131-E131</f>
        <v>20</v>
      </c>
      <c r="M131" s="20">
        <f t="shared" ref="M131:M194" si="13">IF(K131=1,D131*L131,0)</f>
        <v>0</v>
      </c>
      <c r="N131" s="21" t="str">
        <f t="shared" ref="N131:N194" si="14">IF(H131&gt;0,E131+I131,"")</f>
        <v/>
      </c>
      <c r="O131" s="18">
        <f>IF(AND(H131&gt;0,J131=1,N131&gt;=Quy_uoc_chung!$C$4),1,0)</f>
        <v>0</v>
      </c>
      <c r="P131" s="22" t="str">
        <f t="shared" ref="P131:P194" si="15">IF(O131=1,H131/(1-H131)*365/(L131-I131),"")</f>
        <v/>
      </c>
      <c r="Q131" s="20">
        <f t="shared" ref="Q131:Q194" si="16">IF(O131=1,D131*H131,0)</f>
        <v>0</v>
      </c>
      <c r="R131" s="28">
        <f>IF(J131=1,MAX(0,Quy_uoc_chung!$C$4-F131),0)</f>
        <v>0</v>
      </c>
      <c r="S131" s="28">
        <f t="shared" ref="S131:S194" si="17">IF(AND(J131=1,R131&gt;0),1,0)</f>
        <v>0</v>
      </c>
      <c r="T131" s="28">
        <f>IF(AND(J131=1,F131=Quy_uoc_chung!$C$4),1,0)</f>
        <v>0</v>
      </c>
    </row>
    <row r="132" spans="1:20" x14ac:dyDescent="0.3">
      <c r="A132" s="15" t="s">
        <v>680</v>
      </c>
      <c r="B132" s="15" t="s">
        <v>55</v>
      </c>
      <c r="C132" s="15" t="s">
        <v>162</v>
      </c>
      <c r="D132" s="16">
        <v>86894000</v>
      </c>
      <c r="E132" s="17">
        <v>46163</v>
      </c>
      <c r="F132" s="17">
        <v>46173</v>
      </c>
      <c r="G132" s="17">
        <v>46173</v>
      </c>
      <c r="H132" s="15">
        <v>0</v>
      </c>
      <c r="I132" s="15">
        <v>0</v>
      </c>
      <c r="J132" s="18">
        <f>IF(AND(E132&lt;=Quy_uoc_chung!$C$4,OR(G132="",G132&gt;Quy_uoc_chung!$C$4)),1,0)</f>
        <v>0</v>
      </c>
      <c r="K132" s="18">
        <f>IF(AND(E132&gt;=Quy_uoc_chung!$C$4-Quy_uoc_chung!$C$3+1,E132&lt;=Quy_uoc_chung!$C$4),1,0)</f>
        <v>0</v>
      </c>
      <c r="L132" s="19">
        <f t="shared" si="12"/>
        <v>10</v>
      </c>
      <c r="M132" s="20">
        <f t="shared" si="13"/>
        <v>0</v>
      </c>
      <c r="N132" s="21" t="str">
        <f t="shared" si="14"/>
        <v/>
      </c>
      <c r="O132" s="18">
        <f>IF(AND(H132&gt;0,J132=1,N132&gt;=Quy_uoc_chung!$C$4),1,0)</f>
        <v>0</v>
      </c>
      <c r="P132" s="22" t="str">
        <f t="shared" si="15"/>
        <v/>
      </c>
      <c r="Q132" s="20">
        <f t="shared" si="16"/>
        <v>0</v>
      </c>
      <c r="R132" s="28">
        <f>IF(J132=1,MAX(0,Quy_uoc_chung!$C$4-F132),0)</f>
        <v>0</v>
      </c>
      <c r="S132" s="28">
        <f t="shared" si="17"/>
        <v>0</v>
      </c>
      <c r="T132" s="28">
        <f>IF(AND(J132=1,F132=Quy_uoc_chung!$C$4),1,0)</f>
        <v>0</v>
      </c>
    </row>
    <row r="133" spans="1:20" x14ac:dyDescent="0.3">
      <c r="A133" s="15" t="s">
        <v>681</v>
      </c>
      <c r="B133" s="15" t="s">
        <v>55</v>
      </c>
      <c r="C133" s="15" t="s">
        <v>163</v>
      </c>
      <c r="D133" s="16">
        <v>637094000</v>
      </c>
      <c r="E133" s="17">
        <v>46169</v>
      </c>
      <c r="F133" s="17">
        <v>46189</v>
      </c>
      <c r="G133" s="17">
        <v>46189</v>
      </c>
      <c r="H133" s="15">
        <v>0</v>
      </c>
      <c r="I133" s="15">
        <v>0</v>
      </c>
      <c r="J133" s="18">
        <f>IF(AND(E133&lt;=Quy_uoc_chung!$C$4,OR(G133="",G133&gt;Quy_uoc_chung!$C$4)),1,0)</f>
        <v>0</v>
      </c>
      <c r="K133" s="18">
        <f>IF(AND(E133&gt;=Quy_uoc_chung!$C$4-Quy_uoc_chung!$C$3+1,E133&lt;=Quy_uoc_chung!$C$4),1,0)</f>
        <v>0</v>
      </c>
      <c r="L133" s="19">
        <f t="shared" si="12"/>
        <v>20</v>
      </c>
      <c r="M133" s="20">
        <f t="shared" si="13"/>
        <v>0</v>
      </c>
      <c r="N133" s="21" t="str">
        <f t="shared" si="14"/>
        <v/>
      </c>
      <c r="O133" s="18">
        <f>IF(AND(H133&gt;0,J133=1,N133&gt;=Quy_uoc_chung!$C$4),1,0)</f>
        <v>0</v>
      </c>
      <c r="P133" s="22" t="str">
        <f t="shared" si="15"/>
        <v/>
      </c>
      <c r="Q133" s="20">
        <f t="shared" si="16"/>
        <v>0</v>
      </c>
      <c r="R133" s="28">
        <f>IF(J133=1,MAX(0,Quy_uoc_chung!$C$4-F133),0)</f>
        <v>0</v>
      </c>
      <c r="S133" s="28">
        <f t="shared" si="17"/>
        <v>0</v>
      </c>
      <c r="T133" s="28">
        <f>IF(AND(J133=1,F133=Quy_uoc_chung!$C$4),1,0)</f>
        <v>0</v>
      </c>
    </row>
    <row r="134" spans="1:20" x14ac:dyDescent="0.3">
      <c r="A134" s="15" t="s">
        <v>682</v>
      </c>
      <c r="B134" s="15" t="s">
        <v>55</v>
      </c>
      <c r="C134" s="15" t="s">
        <v>164</v>
      </c>
      <c r="D134" s="16">
        <v>166605000</v>
      </c>
      <c r="E134" s="17">
        <v>46169</v>
      </c>
      <c r="F134" s="17">
        <v>46189</v>
      </c>
      <c r="G134" s="17">
        <v>46189</v>
      </c>
      <c r="H134" s="15">
        <v>0</v>
      </c>
      <c r="I134" s="15">
        <v>0</v>
      </c>
      <c r="J134" s="18">
        <f>IF(AND(E134&lt;=Quy_uoc_chung!$C$4,OR(G134="",G134&gt;Quy_uoc_chung!$C$4)),1,0)</f>
        <v>0</v>
      </c>
      <c r="K134" s="18">
        <f>IF(AND(E134&gt;=Quy_uoc_chung!$C$4-Quy_uoc_chung!$C$3+1,E134&lt;=Quy_uoc_chung!$C$4),1,0)</f>
        <v>0</v>
      </c>
      <c r="L134" s="19">
        <f t="shared" si="12"/>
        <v>20</v>
      </c>
      <c r="M134" s="20">
        <f t="shared" si="13"/>
        <v>0</v>
      </c>
      <c r="N134" s="21" t="str">
        <f t="shared" si="14"/>
        <v/>
      </c>
      <c r="O134" s="18">
        <f>IF(AND(H134&gt;0,J134=1,N134&gt;=Quy_uoc_chung!$C$4),1,0)</f>
        <v>0</v>
      </c>
      <c r="P134" s="22" t="str">
        <f t="shared" si="15"/>
        <v/>
      </c>
      <c r="Q134" s="20">
        <f t="shared" si="16"/>
        <v>0</v>
      </c>
      <c r="R134" s="28">
        <f>IF(J134=1,MAX(0,Quy_uoc_chung!$C$4-F134),0)</f>
        <v>0</v>
      </c>
      <c r="S134" s="28">
        <f t="shared" si="17"/>
        <v>0</v>
      </c>
      <c r="T134" s="28">
        <f>IF(AND(J134=1,F134=Quy_uoc_chung!$C$4),1,0)</f>
        <v>0</v>
      </c>
    </row>
    <row r="135" spans="1:20" x14ac:dyDescent="0.3">
      <c r="A135" s="15" t="s">
        <v>683</v>
      </c>
      <c r="B135" s="15" t="s">
        <v>55</v>
      </c>
      <c r="C135" s="15" t="s">
        <v>162</v>
      </c>
      <c r="D135" s="16">
        <v>62938000</v>
      </c>
      <c r="E135" s="17">
        <v>46173</v>
      </c>
      <c r="F135" s="17">
        <v>46183</v>
      </c>
      <c r="G135" s="17">
        <v>46185</v>
      </c>
      <c r="H135" s="15">
        <v>0</v>
      </c>
      <c r="I135" s="15">
        <v>0</v>
      </c>
      <c r="J135" s="18">
        <f>IF(AND(E135&lt;=Quy_uoc_chung!$C$4,OR(G135="",G135&gt;Quy_uoc_chung!$C$4)),1,0)</f>
        <v>0</v>
      </c>
      <c r="K135" s="18">
        <f>IF(AND(E135&gt;=Quy_uoc_chung!$C$4-Quy_uoc_chung!$C$3+1,E135&lt;=Quy_uoc_chung!$C$4),1,0)</f>
        <v>0</v>
      </c>
      <c r="L135" s="19">
        <f t="shared" si="12"/>
        <v>10</v>
      </c>
      <c r="M135" s="20">
        <f t="shared" si="13"/>
        <v>0</v>
      </c>
      <c r="N135" s="21" t="str">
        <f t="shared" si="14"/>
        <v/>
      </c>
      <c r="O135" s="18">
        <f>IF(AND(H135&gt;0,J135=1,N135&gt;=Quy_uoc_chung!$C$4),1,0)</f>
        <v>0</v>
      </c>
      <c r="P135" s="22" t="str">
        <f t="shared" si="15"/>
        <v/>
      </c>
      <c r="Q135" s="20">
        <f t="shared" si="16"/>
        <v>0</v>
      </c>
      <c r="R135" s="28">
        <f>IF(J135=1,MAX(0,Quy_uoc_chung!$C$4-F135),0)</f>
        <v>0</v>
      </c>
      <c r="S135" s="28">
        <f t="shared" si="17"/>
        <v>0</v>
      </c>
      <c r="T135" s="28">
        <f>IF(AND(J135=1,F135=Quy_uoc_chung!$C$4),1,0)</f>
        <v>0</v>
      </c>
    </row>
    <row r="136" spans="1:20" x14ac:dyDescent="0.3">
      <c r="A136" s="15" t="s">
        <v>684</v>
      </c>
      <c r="B136" s="15" t="s">
        <v>55</v>
      </c>
      <c r="C136" s="15" t="s">
        <v>163</v>
      </c>
      <c r="D136" s="16">
        <v>605588000</v>
      </c>
      <c r="E136" s="17">
        <v>46177</v>
      </c>
      <c r="F136" s="17">
        <v>46197</v>
      </c>
      <c r="G136" s="17">
        <v>46197</v>
      </c>
      <c r="H136" s="15">
        <v>0</v>
      </c>
      <c r="I136" s="15">
        <v>0</v>
      </c>
      <c r="J136" s="18">
        <f>IF(AND(E136&lt;=Quy_uoc_chung!$C$4,OR(G136="",G136&gt;Quy_uoc_chung!$C$4)),1,0)</f>
        <v>0</v>
      </c>
      <c r="K136" s="18">
        <f>IF(AND(E136&gt;=Quy_uoc_chung!$C$4-Quy_uoc_chung!$C$3+1,E136&lt;=Quy_uoc_chung!$C$4),1,0)</f>
        <v>0</v>
      </c>
      <c r="L136" s="19">
        <f t="shared" si="12"/>
        <v>20</v>
      </c>
      <c r="M136" s="20">
        <f t="shared" si="13"/>
        <v>0</v>
      </c>
      <c r="N136" s="21" t="str">
        <f t="shared" si="14"/>
        <v/>
      </c>
      <c r="O136" s="18">
        <f>IF(AND(H136&gt;0,J136=1,N136&gt;=Quy_uoc_chung!$C$4),1,0)</f>
        <v>0</v>
      </c>
      <c r="P136" s="22" t="str">
        <f t="shared" si="15"/>
        <v/>
      </c>
      <c r="Q136" s="20">
        <f t="shared" si="16"/>
        <v>0</v>
      </c>
      <c r="R136" s="28">
        <f>IF(J136=1,MAX(0,Quy_uoc_chung!$C$4-F136),0)</f>
        <v>0</v>
      </c>
      <c r="S136" s="28">
        <f t="shared" si="17"/>
        <v>0</v>
      </c>
      <c r="T136" s="28">
        <f>IF(AND(J136=1,F136=Quy_uoc_chung!$C$4),1,0)</f>
        <v>0</v>
      </c>
    </row>
    <row r="137" spans="1:20" x14ac:dyDescent="0.3">
      <c r="A137" s="15" t="s">
        <v>685</v>
      </c>
      <c r="B137" s="15" t="s">
        <v>55</v>
      </c>
      <c r="C137" s="15" t="s">
        <v>164</v>
      </c>
      <c r="D137" s="16">
        <v>197572000</v>
      </c>
      <c r="E137" s="17">
        <v>46176</v>
      </c>
      <c r="F137" s="17">
        <v>46196</v>
      </c>
      <c r="G137" s="17">
        <v>46196</v>
      </c>
      <c r="H137" s="15">
        <v>0</v>
      </c>
      <c r="I137" s="15">
        <v>0</v>
      </c>
      <c r="J137" s="18">
        <f>IF(AND(E137&lt;=Quy_uoc_chung!$C$4,OR(G137="",G137&gt;Quy_uoc_chung!$C$4)),1,0)</f>
        <v>0</v>
      </c>
      <c r="K137" s="18">
        <f>IF(AND(E137&gt;=Quy_uoc_chung!$C$4-Quy_uoc_chung!$C$3+1,E137&lt;=Quy_uoc_chung!$C$4),1,0)</f>
        <v>0</v>
      </c>
      <c r="L137" s="19">
        <f t="shared" si="12"/>
        <v>20</v>
      </c>
      <c r="M137" s="20">
        <f t="shared" si="13"/>
        <v>0</v>
      </c>
      <c r="N137" s="21" t="str">
        <f t="shared" si="14"/>
        <v/>
      </c>
      <c r="O137" s="18">
        <f>IF(AND(H137&gt;0,J137=1,N137&gt;=Quy_uoc_chung!$C$4),1,0)</f>
        <v>0</v>
      </c>
      <c r="P137" s="22" t="str">
        <f t="shared" si="15"/>
        <v/>
      </c>
      <c r="Q137" s="20">
        <f t="shared" si="16"/>
        <v>0</v>
      </c>
      <c r="R137" s="28">
        <f>IF(J137=1,MAX(0,Quy_uoc_chung!$C$4-F137),0)</f>
        <v>0</v>
      </c>
      <c r="S137" s="28">
        <f t="shared" si="17"/>
        <v>0</v>
      </c>
      <c r="T137" s="28">
        <f>IF(AND(J137=1,F137=Quy_uoc_chung!$C$4),1,0)</f>
        <v>0</v>
      </c>
    </row>
    <row r="138" spans="1:20" x14ac:dyDescent="0.3">
      <c r="A138" s="15" t="s">
        <v>686</v>
      </c>
      <c r="B138" s="15" t="s">
        <v>55</v>
      </c>
      <c r="C138" s="15" t="s">
        <v>162</v>
      </c>
      <c r="D138" s="16">
        <v>88054000</v>
      </c>
      <c r="E138" s="17">
        <v>46176</v>
      </c>
      <c r="F138" s="17">
        <v>46186</v>
      </c>
      <c r="G138" s="17">
        <v>46185</v>
      </c>
      <c r="H138" s="15">
        <v>0</v>
      </c>
      <c r="I138" s="15">
        <v>0</v>
      </c>
      <c r="J138" s="18">
        <f>IF(AND(E138&lt;=Quy_uoc_chung!$C$4,OR(G138="",G138&gt;Quy_uoc_chung!$C$4)),1,0)</f>
        <v>0</v>
      </c>
      <c r="K138" s="18">
        <f>IF(AND(E138&gt;=Quy_uoc_chung!$C$4-Quy_uoc_chung!$C$3+1,E138&lt;=Quy_uoc_chung!$C$4),1,0)</f>
        <v>0</v>
      </c>
      <c r="L138" s="19">
        <f t="shared" si="12"/>
        <v>10</v>
      </c>
      <c r="M138" s="20">
        <f t="shared" si="13"/>
        <v>0</v>
      </c>
      <c r="N138" s="21" t="str">
        <f t="shared" si="14"/>
        <v/>
      </c>
      <c r="O138" s="18">
        <f>IF(AND(H138&gt;0,J138=1,N138&gt;=Quy_uoc_chung!$C$4),1,0)</f>
        <v>0</v>
      </c>
      <c r="P138" s="22" t="str">
        <f t="shared" si="15"/>
        <v/>
      </c>
      <c r="Q138" s="20">
        <f t="shared" si="16"/>
        <v>0</v>
      </c>
      <c r="R138" s="28">
        <f>IF(J138=1,MAX(0,Quy_uoc_chung!$C$4-F138),0)</f>
        <v>0</v>
      </c>
      <c r="S138" s="28">
        <f t="shared" si="17"/>
        <v>0</v>
      </c>
      <c r="T138" s="28">
        <f>IF(AND(J138=1,F138=Quy_uoc_chung!$C$4),1,0)</f>
        <v>0</v>
      </c>
    </row>
    <row r="139" spans="1:20" x14ac:dyDescent="0.3">
      <c r="A139" s="15" t="s">
        <v>687</v>
      </c>
      <c r="B139" s="15" t="s">
        <v>55</v>
      </c>
      <c r="C139" s="15" t="s">
        <v>163</v>
      </c>
      <c r="D139" s="16">
        <v>608472000</v>
      </c>
      <c r="E139" s="17">
        <v>46184</v>
      </c>
      <c r="F139" s="17">
        <v>46204</v>
      </c>
      <c r="G139" s="17">
        <v>46205</v>
      </c>
      <c r="H139" s="15">
        <v>0</v>
      </c>
      <c r="I139" s="15">
        <v>0</v>
      </c>
      <c r="J139" s="18">
        <f>IF(AND(E139&lt;=Quy_uoc_chung!$C$4,OR(G139="",G139&gt;Quy_uoc_chung!$C$4)),1,0)</f>
        <v>0</v>
      </c>
      <c r="K139" s="18">
        <f>IF(AND(E139&gt;=Quy_uoc_chung!$C$4-Quy_uoc_chung!$C$3+1,E139&lt;=Quy_uoc_chung!$C$4),1,0)</f>
        <v>0</v>
      </c>
      <c r="L139" s="19">
        <f t="shared" si="12"/>
        <v>20</v>
      </c>
      <c r="M139" s="20">
        <f t="shared" si="13"/>
        <v>0</v>
      </c>
      <c r="N139" s="21" t="str">
        <f t="shared" si="14"/>
        <v/>
      </c>
      <c r="O139" s="18">
        <f>IF(AND(H139&gt;0,J139=1,N139&gt;=Quy_uoc_chung!$C$4),1,0)</f>
        <v>0</v>
      </c>
      <c r="P139" s="22" t="str">
        <f t="shared" si="15"/>
        <v/>
      </c>
      <c r="Q139" s="20">
        <f t="shared" si="16"/>
        <v>0</v>
      </c>
      <c r="R139" s="28">
        <f>IF(J139=1,MAX(0,Quy_uoc_chung!$C$4-F139),0)</f>
        <v>0</v>
      </c>
      <c r="S139" s="28">
        <f t="shared" si="17"/>
        <v>0</v>
      </c>
      <c r="T139" s="28">
        <f>IF(AND(J139=1,F139=Quy_uoc_chung!$C$4),1,0)</f>
        <v>0</v>
      </c>
    </row>
    <row r="140" spans="1:20" x14ac:dyDescent="0.3">
      <c r="A140" s="15" t="s">
        <v>688</v>
      </c>
      <c r="B140" s="15" t="s">
        <v>55</v>
      </c>
      <c r="C140" s="15" t="s">
        <v>164</v>
      </c>
      <c r="D140" s="16">
        <v>179581000</v>
      </c>
      <c r="E140" s="17">
        <v>46187</v>
      </c>
      <c r="F140" s="17">
        <v>46207</v>
      </c>
      <c r="G140" s="17">
        <v>46207</v>
      </c>
      <c r="H140" s="15">
        <v>0</v>
      </c>
      <c r="I140" s="15">
        <v>0</v>
      </c>
      <c r="J140" s="18">
        <f>IF(AND(E140&lt;=Quy_uoc_chung!$C$4,OR(G140="",G140&gt;Quy_uoc_chung!$C$4)),1,0)</f>
        <v>0</v>
      </c>
      <c r="K140" s="18">
        <f>IF(AND(E140&gt;=Quy_uoc_chung!$C$4-Quy_uoc_chung!$C$3+1,E140&lt;=Quy_uoc_chung!$C$4),1,0)</f>
        <v>0</v>
      </c>
      <c r="L140" s="19">
        <f t="shared" si="12"/>
        <v>20</v>
      </c>
      <c r="M140" s="20">
        <f t="shared" si="13"/>
        <v>0</v>
      </c>
      <c r="N140" s="21" t="str">
        <f t="shared" si="14"/>
        <v/>
      </c>
      <c r="O140" s="18">
        <f>IF(AND(H140&gt;0,J140=1,N140&gt;=Quy_uoc_chung!$C$4),1,0)</f>
        <v>0</v>
      </c>
      <c r="P140" s="22" t="str">
        <f t="shared" si="15"/>
        <v/>
      </c>
      <c r="Q140" s="20">
        <f t="shared" si="16"/>
        <v>0</v>
      </c>
      <c r="R140" s="28">
        <f>IF(J140=1,MAX(0,Quy_uoc_chung!$C$4-F140),0)</f>
        <v>0</v>
      </c>
      <c r="S140" s="28">
        <f t="shared" si="17"/>
        <v>0</v>
      </c>
      <c r="T140" s="28">
        <f>IF(AND(J140=1,F140=Quy_uoc_chung!$C$4),1,0)</f>
        <v>0</v>
      </c>
    </row>
    <row r="141" spans="1:20" x14ac:dyDescent="0.3">
      <c r="A141" s="15" t="s">
        <v>689</v>
      </c>
      <c r="B141" s="15" t="s">
        <v>55</v>
      </c>
      <c r="C141" s="15" t="s">
        <v>162</v>
      </c>
      <c r="D141" s="16">
        <v>86972000</v>
      </c>
      <c r="E141" s="17">
        <v>46187</v>
      </c>
      <c r="F141" s="17">
        <v>46197</v>
      </c>
      <c r="G141" s="17">
        <v>46198</v>
      </c>
      <c r="H141" s="15">
        <v>0</v>
      </c>
      <c r="I141" s="15">
        <v>0</v>
      </c>
      <c r="J141" s="18">
        <f>IF(AND(E141&lt;=Quy_uoc_chung!$C$4,OR(G141="",G141&gt;Quy_uoc_chung!$C$4)),1,0)</f>
        <v>0</v>
      </c>
      <c r="K141" s="18">
        <f>IF(AND(E141&gt;=Quy_uoc_chung!$C$4-Quy_uoc_chung!$C$3+1,E141&lt;=Quy_uoc_chung!$C$4),1,0)</f>
        <v>0</v>
      </c>
      <c r="L141" s="19">
        <f t="shared" si="12"/>
        <v>10</v>
      </c>
      <c r="M141" s="20">
        <f t="shared" si="13"/>
        <v>0</v>
      </c>
      <c r="N141" s="21" t="str">
        <f t="shared" si="14"/>
        <v/>
      </c>
      <c r="O141" s="18">
        <f>IF(AND(H141&gt;0,J141=1,N141&gt;=Quy_uoc_chung!$C$4),1,0)</f>
        <v>0</v>
      </c>
      <c r="P141" s="22" t="str">
        <f t="shared" si="15"/>
        <v/>
      </c>
      <c r="Q141" s="20">
        <f t="shared" si="16"/>
        <v>0</v>
      </c>
      <c r="R141" s="28">
        <f>IF(J141=1,MAX(0,Quy_uoc_chung!$C$4-F141),0)</f>
        <v>0</v>
      </c>
      <c r="S141" s="28">
        <f t="shared" si="17"/>
        <v>0</v>
      </c>
      <c r="T141" s="28">
        <f>IF(AND(J141=1,F141=Quy_uoc_chung!$C$4),1,0)</f>
        <v>0</v>
      </c>
    </row>
    <row r="142" spans="1:20" x14ac:dyDescent="0.3">
      <c r="A142" s="15" t="s">
        <v>690</v>
      </c>
      <c r="B142" s="15" t="s">
        <v>55</v>
      </c>
      <c r="C142" s="15" t="s">
        <v>163</v>
      </c>
      <c r="D142" s="16">
        <v>689615000</v>
      </c>
      <c r="E142" s="17">
        <v>46194</v>
      </c>
      <c r="F142" s="17">
        <v>46214</v>
      </c>
      <c r="G142" s="17">
        <v>46213</v>
      </c>
      <c r="H142" s="15">
        <v>0</v>
      </c>
      <c r="I142" s="15">
        <v>0</v>
      </c>
      <c r="J142" s="18">
        <f>IF(AND(E142&lt;=Quy_uoc_chung!$C$4,OR(G142="",G142&gt;Quy_uoc_chung!$C$4)),1,0)</f>
        <v>0</v>
      </c>
      <c r="K142" s="18">
        <f>IF(AND(E142&gt;=Quy_uoc_chung!$C$4-Quy_uoc_chung!$C$3+1,E142&lt;=Quy_uoc_chung!$C$4),1,0)</f>
        <v>0</v>
      </c>
      <c r="L142" s="19">
        <f t="shared" si="12"/>
        <v>20</v>
      </c>
      <c r="M142" s="20">
        <f t="shared" si="13"/>
        <v>0</v>
      </c>
      <c r="N142" s="21" t="str">
        <f t="shared" si="14"/>
        <v/>
      </c>
      <c r="O142" s="18">
        <f>IF(AND(H142&gt;0,J142=1,N142&gt;=Quy_uoc_chung!$C$4),1,0)</f>
        <v>0</v>
      </c>
      <c r="P142" s="22" t="str">
        <f t="shared" si="15"/>
        <v/>
      </c>
      <c r="Q142" s="20">
        <f t="shared" si="16"/>
        <v>0</v>
      </c>
      <c r="R142" s="28">
        <f>IF(J142=1,MAX(0,Quy_uoc_chung!$C$4-F142),0)</f>
        <v>0</v>
      </c>
      <c r="S142" s="28">
        <f t="shared" si="17"/>
        <v>0</v>
      </c>
      <c r="T142" s="28">
        <f>IF(AND(J142=1,F142=Quy_uoc_chung!$C$4),1,0)</f>
        <v>0</v>
      </c>
    </row>
    <row r="143" spans="1:20" x14ac:dyDescent="0.3">
      <c r="A143" s="15" t="s">
        <v>691</v>
      </c>
      <c r="B143" s="15" t="s">
        <v>55</v>
      </c>
      <c r="C143" s="15" t="s">
        <v>164</v>
      </c>
      <c r="D143" s="16">
        <v>170444000</v>
      </c>
      <c r="E143" s="17">
        <v>46191</v>
      </c>
      <c r="F143" s="17">
        <v>46211</v>
      </c>
      <c r="G143" s="17">
        <v>46211</v>
      </c>
      <c r="H143" s="15">
        <v>0</v>
      </c>
      <c r="I143" s="15">
        <v>0</v>
      </c>
      <c r="J143" s="18">
        <f>IF(AND(E143&lt;=Quy_uoc_chung!$C$4,OR(G143="",G143&gt;Quy_uoc_chung!$C$4)),1,0)</f>
        <v>0</v>
      </c>
      <c r="K143" s="18">
        <f>IF(AND(E143&gt;=Quy_uoc_chung!$C$4-Quy_uoc_chung!$C$3+1,E143&lt;=Quy_uoc_chung!$C$4),1,0)</f>
        <v>0</v>
      </c>
      <c r="L143" s="19">
        <f t="shared" si="12"/>
        <v>20</v>
      </c>
      <c r="M143" s="20">
        <f t="shared" si="13"/>
        <v>0</v>
      </c>
      <c r="N143" s="21" t="str">
        <f t="shared" si="14"/>
        <v/>
      </c>
      <c r="O143" s="18">
        <f>IF(AND(H143&gt;0,J143=1,N143&gt;=Quy_uoc_chung!$C$4),1,0)</f>
        <v>0</v>
      </c>
      <c r="P143" s="22" t="str">
        <f t="shared" si="15"/>
        <v/>
      </c>
      <c r="Q143" s="20">
        <f t="shared" si="16"/>
        <v>0</v>
      </c>
      <c r="R143" s="28">
        <f>IF(J143=1,MAX(0,Quy_uoc_chung!$C$4-F143),0)</f>
        <v>0</v>
      </c>
      <c r="S143" s="28">
        <f t="shared" si="17"/>
        <v>0</v>
      </c>
      <c r="T143" s="28">
        <f>IF(AND(J143=1,F143=Quy_uoc_chung!$C$4),1,0)</f>
        <v>0</v>
      </c>
    </row>
    <row r="144" spans="1:20" x14ac:dyDescent="0.3">
      <c r="A144" s="15" t="s">
        <v>692</v>
      </c>
      <c r="B144" s="15" t="s">
        <v>55</v>
      </c>
      <c r="C144" s="15" t="s">
        <v>162</v>
      </c>
      <c r="D144" s="16">
        <v>90371000</v>
      </c>
      <c r="E144" s="17">
        <v>46192</v>
      </c>
      <c r="F144" s="17">
        <v>46202</v>
      </c>
      <c r="G144" s="17">
        <v>46203</v>
      </c>
      <c r="H144" s="15">
        <v>0</v>
      </c>
      <c r="I144" s="15">
        <v>0</v>
      </c>
      <c r="J144" s="18">
        <f>IF(AND(E144&lt;=Quy_uoc_chung!$C$4,OR(G144="",G144&gt;Quy_uoc_chung!$C$4)),1,0)</f>
        <v>0</v>
      </c>
      <c r="K144" s="18">
        <f>IF(AND(E144&gt;=Quy_uoc_chung!$C$4-Quy_uoc_chung!$C$3+1,E144&lt;=Quy_uoc_chung!$C$4),1,0)</f>
        <v>0</v>
      </c>
      <c r="L144" s="19">
        <f t="shared" si="12"/>
        <v>10</v>
      </c>
      <c r="M144" s="20">
        <f t="shared" si="13"/>
        <v>0</v>
      </c>
      <c r="N144" s="21" t="str">
        <f t="shared" si="14"/>
        <v/>
      </c>
      <c r="O144" s="18">
        <f>IF(AND(H144&gt;0,J144=1,N144&gt;=Quy_uoc_chung!$C$4),1,0)</f>
        <v>0</v>
      </c>
      <c r="P144" s="22" t="str">
        <f t="shared" si="15"/>
        <v/>
      </c>
      <c r="Q144" s="20">
        <f t="shared" si="16"/>
        <v>0</v>
      </c>
      <c r="R144" s="28">
        <f>IF(J144=1,MAX(0,Quy_uoc_chung!$C$4-F144),0)</f>
        <v>0</v>
      </c>
      <c r="S144" s="28">
        <f t="shared" si="17"/>
        <v>0</v>
      </c>
      <c r="T144" s="28">
        <f>IF(AND(J144=1,F144=Quy_uoc_chung!$C$4),1,0)</f>
        <v>0</v>
      </c>
    </row>
    <row r="145" spans="1:20" x14ac:dyDescent="0.3">
      <c r="A145" s="15" t="s">
        <v>693</v>
      </c>
      <c r="B145" s="15" t="s">
        <v>55</v>
      </c>
      <c r="C145" s="15" t="s">
        <v>163</v>
      </c>
      <c r="D145" s="16">
        <v>656072000</v>
      </c>
      <c r="E145" s="17">
        <v>46200</v>
      </c>
      <c r="F145" s="17">
        <v>46220</v>
      </c>
      <c r="G145" s="17">
        <v>46219</v>
      </c>
      <c r="H145" s="15">
        <v>0</v>
      </c>
      <c r="I145" s="15">
        <v>0</v>
      </c>
      <c r="J145" s="18">
        <f>IF(AND(E145&lt;=Quy_uoc_chung!$C$4,OR(G145="",G145&gt;Quy_uoc_chung!$C$4)),1,0)</f>
        <v>0</v>
      </c>
      <c r="K145" s="18">
        <f>IF(AND(E145&gt;=Quy_uoc_chung!$C$4-Quy_uoc_chung!$C$3+1,E145&lt;=Quy_uoc_chung!$C$4),1,0)</f>
        <v>0</v>
      </c>
      <c r="L145" s="19">
        <f t="shared" si="12"/>
        <v>20</v>
      </c>
      <c r="M145" s="20">
        <f t="shared" si="13"/>
        <v>0</v>
      </c>
      <c r="N145" s="21" t="str">
        <f t="shared" si="14"/>
        <v/>
      </c>
      <c r="O145" s="18">
        <f>IF(AND(H145&gt;0,J145=1,N145&gt;=Quy_uoc_chung!$C$4),1,0)</f>
        <v>0</v>
      </c>
      <c r="P145" s="22" t="str">
        <f t="shared" si="15"/>
        <v/>
      </c>
      <c r="Q145" s="20">
        <f t="shared" si="16"/>
        <v>0</v>
      </c>
      <c r="R145" s="28">
        <f>IF(J145=1,MAX(0,Quy_uoc_chung!$C$4-F145),0)</f>
        <v>0</v>
      </c>
      <c r="S145" s="28">
        <f t="shared" si="17"/>
        <v>0</v>
      </c>
      <c r="T145" s="28">
        <f>IF(AND(J145=1,F145=Quy_uoc_chung!$C$4),1,0)</f>
        <v>0</v>
      </c>
    </row>
    <row r="146" spans="1:20" x14ac:dyDescent="0.3">
      <c r="A146" s="15" t="s">
        <v>694</v>
      </c>
      <c r="B146" s="15" t="s">
        <v>55</v>
      </c>
      <c r="C146" s="15" t="s">
        <v>164</v>
      </c>
      <c r="D146" s="16">
        <v>159300000</v>
      </c>
      <c r="E146" s="17">
        <v>46201</v>
      </c>
      <c r="F146" s="17">
        <v>46221</v>
      </c>
      <c r="G146" s="17">
        <v>46221</v>
      </c>
      <c r="H146" s="15">
        <v>0</v>
      </c>
      <c r="I146" s="15">
        <v>0</v>
      </c>
      <c r="J146" s="18">
        <f>IF(AND(E146&lt;=Quy_uoc_chung!$C$4,OR(G146="",G146&gt;Quy_uoc_chung!$C$4)),1,0)</f>
        <v>0</v>
      </c>
      <c r="K146" s="18">
        <f>IF(AND(E146&gt;=Quy_uoc_chung!$C$4-Quy_uoc_chung!$C$3+1,E146&lt;=Quy_uoc_chung!$C$4),1,0)</f>
        <v>0</v>
      </c>
      <c r="L146" s="19">
        <f t="shared" si="12"/>
        <v>20</v>
      </c>
      <c r="M146" s="20">
        <f t="shared" si="13"/>
        <v>0</v>
      </c>
      <c r="N146" s="21" t="str">
        <f t="shared" si="14"/>
        <v/>
      </c>
      <c r="O146" s="18">
        <f>IF(AND(H146&gt;0,J146=1,N146&gt;=Quy_uoc_chung!$C$4),1,0)</f>
        <v>0</v>
      </c>
      <c r="P146" s="22" t="str">
        <f t="shared" si="15"/>
        <v/>
      </c>
      <c r="Q146" s="20">
        <f t="shared" si="16"/>
        <v>0</v>
      </c>
      <c r="R146" s="28">
        <f>IF(J146=1,MAX(0,Quy_uoc_chung!$C$4-F146),0)</f>
        <v>0</v>
      </c>
      <c r="S146" s="28">
        <f t="shared" si="17"/>
        <v>0</v>
      </c>
      <c r="T146" s="28">
        <f>IF(AND(J146=1,F146=Quy_uoc_chung!$C$4),1,0)</f>
        <v>0</v>
      </c>
    </row>
    <row r="147" spans="1:20" x14ac:dyDescent="0.3">
      <c r="A147" s="15" t="s">
        <v>695</v>
      </c>
      <c r="B147" s="15" t="s">
        <v>55</v>
      </c>
      <c r="C147" s="15" t="s">
        <v>162</v>
      </c>
      <c r="D147" s="16">
        <v>95285000</v>
      </c>
      <c r="E147" s="17">
        <v>46199</v>
      </c>
      <c r="F147" s="17">
        <v>46209</v>
      </c>
      <c r="G147" s="17">
        <v>46209</v>
      </c>
      <c r="H147" s="15">
        <v>0</v>
      </c>
      <c r="I147" s="15">
        <v>0</v>
      </c>
      <c r="J147" s="18">
        <f>IF(AND(E147&lt;=Quy_uoc_chung!$C$4,OR(G147="",G147&gt;Quy_uoc_chung!$C$4)),1,0)</f>
        <v>0</v>
      </c>
      <c r="K147" s="18">
        <f>IF(AND(E147&gt;=Quy_uoc_chung!$C$4-Quy_uoc_chung!$C$3+1,E147&lt;=Quy_uoc_chung!$C$4),1,0)</f>
        <v>0</v>
      </c>
      <c r="L147" s="19">
        <f t="shared" si="12"/>
        <v>10</v>
      </c>
      <c r="M147" s="20">
        <f t="shared" si="13"/>
        <v>0</v>
      </c>
      <c r="N147" s="21" t="str">
        <f t="shared" si="14"/>
        <v/>
      </c>
      <c r="O147" s="18">
        <f>IF(AND(H147&gt;0,J147=1,N147&gt;=Quy_uoc_chung!$C$4),1,0)</f>
        <v>0</v>
      </c>
      <c r="P147" s="22" t="str">
        <f t="shared" si="15"/>
        <v/>
      </c>
      <c r="Q147" s="20">
        <f t="shared" si="16"/>
        <v>0</v>
      </c>
      <c r="R147" s="28">
        <f>IF(J147=1,MAX(0,Quy_uoc_chung!$C$4-F147),0)</f>
        <v>0</v>
      </c>
      <c r="S147" s="28">
        <f t="shared" si="17"/>
        <v>0</v>
      </c>
      <c r="T147" s="28">
        <f>IF(AND(J147=1,F147=Quy_uoc_chung!$C$4),1,0)</f>
        <v>0</v>
      </c>
    </row>
    <row r="148" spans="1:20" x14ac:dyDescent="0.3">
      <c r="A148" s="15" t="s">
        <v>696</v>
      </c>
      <c r="B148" s="15" t="s">
        <v>55</v>
      </c>
      <c r="C148" s="15" t="s">
        <v>163</v>
      </c>
      <c r="D148" s="16">
        <v>554263000</v>
      </c>
      <c r="E148" s="17">
        <v>46208</v>
      </c>
      <c r="F148" s="17">
        <v>46228</v>
      </c>
      <c r="G148" s="17">
        <v>46228</v>
      </c>
      <c r="H148" s="15">
        <v>0</v>
      </c>
      <c r="I148" s="15">
        <v>0</v>
      </c>
      <c r="J148" s="18">
        <f>IF(AND(E148&lt;=Quy_uoc_chung!$C$4,OR(G148="",G148&gt;Quy_uoc_chung!$C$4)),1,0)</f>
        <v>0</v>
      </c>
      <c r="K148" s="18">
        <f>IF(AND(E148&gt;=Quy_uoc_chung!$C$4-Quy_uoc_chung!$C$3+1,E148&lt;=Quy_uoc_chung!$C$4),1,0)</f>
        <v>1</v>
      </c>
      <c r="L148" s="19">
        <f t="shared" si="12"/>
        <v>20</v>
      </c>
      <c r="M148" s="20">
        <f t="shared" si="13"/>
        <v>11085260000</v>
      </c>
      <c r="N148" s="21" t="str">
        <f t="shared" si="14"/>
        <v/>
      </c>
      <c r="O148" s="18">
        <f>IF(AND(H148&gt;0,J148=1,N148&gt;=Quy_uoc_chung!$C$4),1,0)</f>
        <v>0</v>
      </c>
      <c r="P148" s="22" t="str">
        <f t="shared" si="15"/>
        <v/>
      </c>
      <c r="Q148" s="20">
        <f t="shared" si="16"/>
        <v>0</v>
      </c>
      <c r="R148" s="28">
        <f>IF(J148=1,MAX(0,Quy_uoc_chung!$C$4-F148),0)</f>
        <v>0</v>
      </c>
      <c r="S148" s="28">
        <f t="shared" si="17"/>
        <v>0</v>
      </c>
      <c r="T148" s="28">
        <f>IF(AND(J148=1,F148=Quy_uoc_chung!$C$4),1,0)</f>
        <v>0</v>
      </c>
    </row>
    <row r="149" spans="1:20" x14ac:dyDescent="0.3">
      <c r="A149" s="15" t="s">
        <v>697</v>
      </c>
      <c r="B149" s="15" t="s">
        <v>55</v>
      </c>
      <c r="C149" s="15" t="s">
        <v>164</v>
      </c>
      <c r="D149" s="16">
        <v>157286000</v>
      </c>
      <c r="E149" s="17">
        <v>46204</v>
      </c>
      <c r="F149" s="17">
        <v>46224</v>
      </c>
      <c r="G149" s="17">
        <v>46224</v>
      </c>
      <c r="H149" s="15">
        <v>0</v>
      </c>
      <c r="I149" s="15">
        <v>0</v>
      </c>
      <c r="J149" s="18">
        <f>IF(AND(E149&lt;=Quy_uoc_chung!$C$4,OR(G149="",G149&gt;Quy_uoc_chung!$C$4)),1,0)</f>
        <v>0</v>
      </c>
      <c r="K149" s="18">
        <f>IF(AND(E149&gt;=Quy_uoc_chung!$C$4-Quy_uoc_chung!$C$3+1,E149&lt;=Quy_uoc_chung!$C$4),1,0)</f>
        <v>0</v>
      </c>
      <c r="L149" s="19">
        <f t="shared" si="12"/>
        <v>20</v>
      </c>
      <c r="M149" s="20">
        <f t="shared" si="13"/>
        <v>0</v>
      </c>
      <c r="N149" s="21" t="str">
        <f t="shared" si="14"/>
        <v/>
      </c>
      <c r="O149" s="18">
        <f>IF(AND(H149&gt;0,J149=1,N149&gt;=Quy_uoc_chung!$C$4),1,0)</f>
        <v>0</v>
      </c>
      <c r="P149" s="22" t="str">
        <f t="shared" si="15"/>
        <v/>
      </c>
      <c r="Q149" s="20">
        <f t="shared" si="16"/>
        <v>0</v>
      </c>
      <c r="R149" s="28">
        <f>IF(J149=1,MAX(0,Quy_uoc_chung!$C$4-F149),0)</f>
        <v>0</v>
      </c>
      <c r="S149" s="28">
        <f t="shared" si="17"/>
        <v>0</v>
      </c>
      <c r="T149" s="28">
        <f>IF(AND(J149=1,F149=Quy_uoc_chung!$C$4),1,0)</f>
        <v>0</v>
      </c>
    </row>
    <row r="150" spans="1:20" x14ac:dyDescent="0.3">
      <c r="A150" s="15" t="s">
        <v>698</v>
      </c>
      <c r="B150" s="15" t="s">
        <v>55</v>
      </c>
      <c r="C150" s="15" t="s">
        <v>162</v>
      </c>
      <c r="D150" s="16">
        <v>68449000</v>
      </c>
      <c r="E150" s="17">
        <v>46205</v>
      </c>
      <c r="F150" s="17">
        <v>46215</v>
      </c>
      <c r="G150" s="17">
        <v>46215</v>
      </c>
      <c r="H150" s="15">
        <v>0</v>
      </c>
      <c r="I150" s="15">
        <v>0</v>
      </c>
      <c r="J150" s="18">
        <f>IF(AND(E150&lt;=Quy_uoc_chung!$C$4,OR(G150="",G150&gt;Quy_uoc_chung!$C$4)),1,0)</f>
        <v>0</v>
      </c>
      <c r="K150" s="18">
        <f>IF(AND(E150&gt;=Quy_uoc_chung!$C$4-Quy_uoc_chung!$C$3+1,E150&lt;=Quy_uoc_chung!$C$4),1,0)</f>
        <v>0</v>
      </c>
      <c r="L150" s="19">
        <f t="shared" si="12"/>
        <v>10</v>
      </c>
      <c r="M150" s="20">
        <f t="shared" si="13"/>
        <v>0</v>
      </c>
      <c r="N150" s="21" t="str">
        <f t="shared" si="14"/>
        <v/>
      </c>
      <c r="O150" s="18">
        <f>IF(AND(H150&gt;0,J150=1,N150&gt;=Quy_uoc_chung!$C$4),1,0)</f>
        <v>0</v>
      </c>
      <c r="P150" s="22" t="str">
        <f t="shared" si="15"/>
        <v/>
      </c>
      <c r="Q150" s="20">
        <f t="shared" si="16"/>
        <v>0</v>
      </c>
      <c r="R150" s="28">
        <f>IF(J150=1,MAX(0,Quy_uoc_chung!$C$4-F150),0)</f>
        <v>0</v>
      </c>
      <c r="S150" s="28">
        <f t="shared" si="17"/>
        <v>0</v>
      </c>
      <c r="T150" s="28">
        <f>IF(AND(J150=1,F150=Quy_uoc_chung!$C$4),1,0)</f>
        <v>0</v>
      </c>
    </row>
    <row r="151" spans="1:20" x14ac:dyDescent="0.3">
      <c r="A151" s="15" t="s">
        <v>699</v>
      </c>
      <c r="B151" s="15" t="s">
        <v>55</v>
      </c>
      <c r="C151" s="15" t="s">
        <v>163</v>
      </c>
      <c r="D151" s="16">
        <v>493717000</v>
      </c>
      <c r="E151" s="17">
        <v>46215</v>
      </c>
      <c r="F151" s="17">
        <v>46235</v>
      </c>
      <c r="G151" s="17">
        <v>46234</v>
      </c>
      <c r="H151" s="15">
        <v>0</v>
      </c>
      <c r="I151" s="15">
        <v>0</v>
      </c>
      <c r="J151" s="18">
        <f>IF(AND(E151&lt;=Quy_uoc_chung!$C$4,OR(G151="",G151&gt;Quy_uoc_chung!$C$4)),1,0)</f>
        <v>0</v>
      </c>
      <c r="K151" s="18">
        <f>IF(AND(E151&gt;=Quy_uoc_chung!$C$4-Quy_uoc_chung!$C$3+1,E151&lt;=Quy_uoc_chung!$C$4),1,0)</f>
        <v>1</v>
      </c>
      <c r="L151" s="19">
        <f t="shared" si="12"/>
        <v>20</v>
      </c>
      <c r="M151" s="20">
        <f t="shared" si="13"/>
        <v>9874340000</v>
      </c>
      <c r="N151" s="21" t="str">
        <f t="shared" si="14"/>
        <v/>
      </c>
      <c r="O151" s="18">
        <f>IF(AND(H151&gt;0,J151=1,N151&gt;=Quy_uoc_chung!$C$4),1,0)</f>
        <v>0</v>
      </c>
      <c r="P151" s="22" t="str">
        <f t="shared" si="15"/>
        <v/>
      </c>
      <c r="Q151" s="20">
        <f t="shared" si="16"/>
        <v>0</v>
      </c>
      <c r="R151" s="28">
        <f>IF(J151=1,MAX(0,Quy_uoc_chung!$C$4-F151),0)</f>
        <v>0</v>
      </c>
      <c r="S151" s="28">
        <f t="shared" si="17"/>
        <v>0</v>
      </c>
      <c r="T151" s="28">
        <f>IF(AND(J151=1,F151=Quy_uoc_chung!$C$4),1,0)</f>
        <v>0</v>
      </c>
    </row>
    <row r="152" spans="1:20" x14ac:dyDescent="0.3">
      <c r="A152" s="15" t="s">
        <v>700</v>
      </c>
      <c r="B152" s="15" t="s">
        <v>55</v>
      </c>
      <c r="C152" s="15" t="s">
        <v>164</v>
      </c>
      <c r="D152" s="16">
        <v>163493000</v>
      </c>
      <c r="E152" s="17">
        <v>46215</v>
      </c>
      <c r="F152" s="17">
        <v>46235</v>
      </c>
      <c r="G152" s="17">
        <v>46235</v>
      </c>
      <c r="H152" s="15">
        <v>0</v>
      </c>
      <c r="I152" s="15">
        <v>0</v>
      </c>
      <c r="J152" s="18">
        <f>IF(AND(E152&lt;=Quy_uoc_chung!$C$4,OR(G152="",G152&gt;Quy_uoc_chung!$C$4)),1,0)</f>
        <v>0</v>
      </c>
      <c r="K152" s="18">
        <f>IF(AND(E152&gt;=Quy_uoc_chung!$C$4-Quy_uoc_chung!$C$3+1,E152&lt;=Quy_uoc_chung!$C$4),1,0)</f>
        <v>1</v>
      </c>
      <c r="L152" s="19">
        <f t="shared" si="12"/>
        <v>20</v>
      </c>
      <c r="M152" s="20">
        <f t="shared" si="13"/>
        <v>3269860000</v>
      </c>
      <c r="N152" s="21" t="str">
        <f t="shared" si="14"/>
        <v/>
      </c>
      <c r="O152" s="18">
        <f>IF(AND(H152&gt;0,J152=1,N152&gt;=Quy_uoc_chung!$C$4),1,0)</f>
        <v>0</v>
      </c>
      <c r="P152" s="22" t="str">
        <f t="shared" si="15"/>
        <v/>
      </c>
      <c r="Q152" s="20">
        <f t="shared" si="16"/>
        <v>0</v>
      </c>
      <c r="R152" s="28">
        <f>IF(J152=1,MAX(0,Quy_uoc_chung!$C$4-F152),0)</f>
        <v>0</v>
      </c>
      <c r="S152" s="28">
        <f t="shared" si="17"/>
        <v>0</v>
      </c>
      <c r="T152" s="28">
        <f>IF(AND(J152=1,F152=Quy_uoc_chung!$C$4),1,0)</f>
        <v>0</v>
      </c>
    </row>
    <row r="153" spans="1:20" x14ac:dyDescent="0.3">
      <c r="A153" s="15" t="s">
        <v>701</v>
      </c>
      <c r="B153" s="15" t="s">
        <v>55</v>
      </c>
      <c r="C153" s="15" t="s">
        <v>162</v>
      </c>
      <c r="D153" s="16">
        <v>77981000</v>
      </c>
      <c r="E153" s="17">
        <v>46214</v>
      </c>
      <c r="F153" s="17">
        <v>46224</v>
      </c>
      <c r="G153" s="17">
        <v>46224</v>
      </c>
      <c r="H153" s="15">
        <v>0</v>
      </c>
      <c r="I153" s="15">
        <v>0</v>
      </c>
      <c r="J153" s="18">
        <f>IF(AND(E153&lt;=Quy_uoc_chung!$C$4,OR(G153="",G153&gt;Quy_uoc_chung!$C$4)),1,0)</f>
        <v>0</v>
      </c>
      <c r="K153" s="18">
        <f>IF(AND(E153&gt;=Quy_uoc_chung!$C$4-Quy_uoc_chung!$C$3+1,E153&lt;=Quy_uoc_chung!$C$4),1,0)</f>
        <v>1</v>
      </c>
      <c r="L153" s="19">
        <f t="shared" si="12"/>
        <v>10</v>
      </c>
      <c r="M153" s="20">
        <f t="shared" si="13"/>
        <v>779810000</v>
      </c>
      <c r="N153" s="21" t="str">
        <f t="shared" si="14"/>
        <v/>
      </c>
      <c r="O153" s="18">
        <f>IF(AND(H153&gt;0,J153=1,N153&gt;=Quy_uoc_chung!$C$4),1,0)</f>
        <v>0</v>
      </c>
      <c r="P153" s="22" t="str">
        <f t="shared" si="15"/>
        <v/>
      </c>
      <c r="Q153" s="20">
        <f t="shared" si="16"/>
        <v>0</v>
      </c>
      <c r="R153" s="28">
        <f>IF(J153=1,MAX(0,Quy_uoc_chung!$C$4-F153),0)</f>
        <v>0</v>
      </c>
      <c r="S153" s="28">
        <f t="shared" si="17"/>
        <v>0</v>
      </c>
      <c r="T153" s="28">
        <f>IF(AND(J153=1,F153=Quy_uoc_chung!$C$4),1,0)</f>
        <v>0</v>
      </c>
    </row>
    <row r="154" spans="1:20" x14ac:dyDescent="0.3">
      <c r="A154" s="15" t="s">
        <v>702</v>
      </c>
      <c r="B154" s="15" t="s">
        <v>55</v>
      </c>
      <c r="C154" s="15" t="s">
        <v>163</v>
      </c>
      <c r="D154" s="16">
        <v>651219000</v>
      </c>
      <c r="E154" s="17">
        <v>46221</v>
      </c>
      <c r="F154" s="17">
        <v>46241</v>
      </c>
      <c r="G154" s="17">
        <v>46241</v>
      </c>
      <c r="H154" s="15">
        <v>0</v>
      </c>
      <c r="I154" s="15">
        <v>0</v>
      </c>
      <c r="J154" s="18">
        <f>IF(AND(E154&lt;=Quy_uoc_chung!$C$4,OR(G154="",G154&gt;Quy_uoc_chung!$C$4)),1,0)</f>
        <v>0</v>
      </c>
      <c r="K154" s="18">
        <f>IF(AND(E154&gt;=Quy_uoc_chung!$C$4-Quy_uoc_chung!$C$3+1,E154&lt;=Quy_uoc_chung!$C$4),1,0)</f>
        <v>1</v>
      </c>
      <c r="L154" s="19">
        <f t="shared" si="12"/>
        <v>20</v>
      </c>
      <c r="M154" s="20">
        <f t="shared" si="13"/>
        <v>13024380000</v>
      </c>
      <c r="N154" s="21" t="str">
        <f t="shared" si="14"/>
        <v/>
      </c>
      <c r="O154" s="18">
        <f>IF(AND(H154&gt;0,J154=1,N154&gt;=Quy_uoc_chung!$C$4),1,0)</f>
        <v>0</v>
      </c>
      <c r="P154" s="22" t="str">
        <f t="shared" si="15"/>
        <v/>
      </c>
      <c r="Q154" s="20">
        <f t="shared" si="16"/>
        <v>0</v>
      </c>
      <c r="R154" s="28">
        <f>IF(J154=1,MAX(0,Quy_uoc_chung!$C$4-F154),0)</f>
        <v>0</v>
      </c>
      <c r="S154" s="28">
        <f t="shared" si="17"/>
        <v>0</v>
      </c>
      <c r="T154" s="28">
        <f>IF(AND(J154=1,F154=Quy_uoc_chung!$C$4),1,0)</f>
        <v>0</v>
      </c>
    </row>
    <row r="155" spans="1:20" x14ac:dyDescent="0.3">
      <c r="A155" s="15" t="s">
        <v>703</v>
      </c>
      <c r="B155" s="15" t="s">
        <v>55</v>
      </c>
      <c r="C155" s="15" t="s">
        <v>164</v>
      </c>
      <c r="D155" s="16">
        <v>171805000</v>
      </c>
      <c r="E155" s="17">
        <v>46221</v>
      </c>
      <c r="F155" s="17">
        <v>46241</v>
      </c>
      <c r="G155" s="17">
        <v>46240</v>
      </c>
      <c r="H155" s="15">
        <v>0</v>
      </c>
      <c r="I155" s="15">
        <v>0</v>
      </c>
      <c r="J155" s="18">
        <f>IF(AND(E155&lt;=Quy_uoc_chung!$C$4,OR(G155="",G155&gt;Quy_uoc_chung!$C$4)),1,0)</f>
        <v>0</v>
      </c>
      <c r="K155" s="18">
        <f>IF(AND(E155&gt;=Quy_uoc_chung!$C$4-Quy_uoc_chung!$C$3+1,E155&lt;=Quy_uoc_chung!$C$4),1,0)</f>
        <v>1</v>
      </c>
      <c r="L155" s="19">
        <f t="shared" si="12"/>
        <v>20</v>
      </c>
      <c r="M155" s="20">
        <f t="shared" si="13"/>
        <v>3436100000</v>
      </c>
      <c r="N155" s="21" t="str">
        <f t="shared" si="14"/>
        <v/>
      </c>
      <c r="O155" s="18">
        <f>IF(AND(H155&gt;0,J155=1,N155&gt;=Quy_uoc_chung!$C$4),1,0)</f>
        <v>0</v>
      </c>
      <c r="P155" s="22" t="str">
        <f t="shared" si="15"/>
        <v/>
      </c>
      <c r="Q155" s="20">
        <f t="shared" si="16"/>
        <v>0</v>
      </c>
      <c r="R155" s="28">
        <f>IF(J155=1,MAX(0,Quy_uoc_chung!$C$4-F155),0)</f>
        <v>0</v>
      </c>
      <c r="S155" s="28">
        <f t="shared" si="17"/>
        <v>0</v>
      </c>
      <c r="T155" s="28">
        <f>IF(AND(J155=1,F155=Quy_uoc_chung!$C$4),1,0)</f>
        <v>0</v>
      </c>
    </row>
    <row r="156" spans="1:20" x14ac:dyDescent="0.3">
      <c r="A156" s="15" t="s">
        <v>704</v>
      </c>
      <c r="B156" s="15" t="s">
        <v>55</v>
      </c>
      <c r="C156" s="15" t="s">
        <v>162</v>
      </c>
      <c r="D156" s="16">
        <v>99765000</v>
      </c>
      <c r="E156" s="17">
        <v>46221</v>
      </c>
      <c r="F156" s="17">
        <v>46231</v>
      </c>
      <c r="G156" s="17">
        <v>46230</v>
      </c>
      <c r="H156" s="15">
        <v>0</v>
      </c>
      <c r="I156" s="15">
        <v>0</v>
      </c>
      <c r="J156" s="18">
        <f>IF(AND(E156&lt;=Quy_uoc_chung!$C$4,OR(G156="",G156&gt;Quy_uoc_chung!$C$4)),1,0)</f>
        <v>0</v>
      </c>
      <c r="K156" s="18">
        <f>IF(AND(E156&gt;=Quy_uoc_chung!$C$4-Quy_uoc_chung!$C$3+1,E156&lt;=Quy_uoc_chung!$C$4),1,0)</f>
        <v>1</v>
      </c>
      <c r="L156" s="19">
        <f t="shared" si="12"/>
        <v>10</v>
      </c>
      <c r="M156" s="20">
        <f t="shared" si="13"/>
        <v>997650000</v>
      </c>
      <c r="N156" s="21" t="str">
        <f t="shared" si="14"/>
        <v/>
      </c>
      <c r="O156" s="18">
        <f>IF(AND(H156&gt;0,J156=1,N156&gt;=Quy_uoc_chung!$C$4),1,0)</f>
        <v>0</v>
      </c>
      <c r="P156" s="22" t="str">
        <f t="shared" si="15"/>
        <v/>
      </c>
      <c r="Q156" s="20">
        <f t="shared" si="16"/>
        <v>0</v>
      </c>
      <c r="R156" s="28">
        <f>IF(J156=1,MAX(0,Quy_uoc_chung!$C$4-F156),0)</f>
        <v>0</v>
      </c>
      <c r="S156" s="28">
        <f t="shared" si="17"/>
        <v>0</v>
      </c>
      <c r="T156" s="28">
        <f>IF(AND(J156=1,F156=Quy_uoc_chung!$C$4),1,0)</f>
        <v>0</v>
      </c>
    </row>
    <row r="157" spans="1:20" x14ac:dyDescent="0.3">
      <c r="A157" s="15" t="s">
        <v>705</v>
      </c>
      <c r="B157" s="15" t="s">
        <v>55</v>
      </c>
      <c r="C157" s="15" t="s">
        <v>163</v>
      </c>
      <c r="D157" s="16">
        <v>464760000</v>
      </c>
      <c r="E157" s="17">
        <v>46229</v>
      </c>
      <c r="F157" s="17">
        <v>46249</v>
      </c>
      <c r="G157" s="17">
        <v>46250</v>
      </c>
      <c r="H157" s="15">
        <v>0</v>
      </c>
      <c r="I157" s="15">
        <v>0</v>
      </c>
      <c r="J157" s="18">
        <f>IF(AND(E157&lt;=Quy_uoc_chung!$C$4,OR(G157="",G157&gt;Quy_uoc_chung!$C$4)),1,0)</f>
        <v>0</v>
      </c>
      <c r="K157" s="18">
        <f>IF(AND(E157&gt;=Quy_uoc_chung!$C$4-Quy_uoc_chung!$C$3+1,E157&lt;=Quy_uoc_chung!$C$4),1,0)</f>
        <v>1</v>
      </c>
      <c r="L157" s="19">
        <f t="shared" si="12"/>
        <v>20</v>
      </c>
      <c r="M157" s="20">
        <f t="shared" si="13"/>
        <v>9295200000</v>
      </c>
      <c r="N157" s="21" t="str">
        <f t="shared" si="14"/>
        <v/>
      </c>
      <c r="O157" s="18">
        <f>IF(AND(H157&gt;0,J157=1,N157&gt;=Quy_uoc_chung!$C$4),1,0)</f>
        <v>0</v>
      </c>
      <c r="P157" s="22" t="str">
        <f t="shared" si="15"/>
        <v/>
      </c>
      <c r="Q157" s="20">
        <f t="shared" si="16"/>
        <v>0</v>
      </c>
      <c r="R157" s="28">
        <f>IF(J157=1,MAX(0,Quy_uoc_chung!$C$4-F157),0)</f>
        <v>0</v>
      </c>
      <c r="S157" s="28">
        <f t="shared" si="17"/>
        <v>0</v>
      </c>
      <c r="T157" s="28">
        <f>IF(AND(J157=1,F157=Quy_uoc_chung!$C$4),1,0)</f>
        <v>0</v>
      </c>
    </row>
    <row r="158" spans="1:20" x14ac:dyDescent="0.3">
      <c r="A158" s="15" t="s">
        <v>706</v>
      </c>
      <c r="B158" s="15" t="s">
        <v>55</v>
      </c>
      <c r="C158" s="15" t="s">
        <v>164</v>
      </c>
      <c r="D158" s="16">
        <v>186219000</v>
      </c>
      <c r="E158" s="17">
        <v>46227</v>
      </c>
      <c r="F158" s="17">
        <v>46247</v>
      </c>
      <c r="G158" s="17">
        <v>46249</v>
      </c>
      <c r="H158" s="15">
        <v>0</v>
      </c>
      <c r="I158" s="15">
        <v>0</v>
      </c>
      <c r="J158" s="18">
        <f>IF(AND(E158&lt;=Quy_uoc_chung!$C$4,OR(G158="",G158&gt;Quy_uoc_chung!$C$4)),1,0)</f>
        <v>0</v>
      </c>
      <c r="K158" s="18">
        <f>IF(AND(E158&gt;=Quy_uoc_chung!$C$4-Quy_uoc_chung!$C$3+1,E158&lt;=Quy_uoc_chung!$C$4),1,0)</f>
        <v>1</v>
      </c>
      <c r="L158" s="19">
        <f t="shared" si="12"/>
        <v>20</v>
      </c>
      <c r="M158" s="20">
        <f t="shared" si="13"/>
        <v>3724380000</v>
      </c>
      <c r="N158" s="21" t="str">
        <f t="shared" si="14"/>
        <v/>
      </c>
      <c r="O158" s="18">
        <f>IF(AND(H158&gt;0,J158=1,N158&gt;=Quy_uoc_chung!$C$4),1,0)</f>
        <v>0</v>
      </c>
      <c r="P158" s="22" t="str">
        <f t="shared" si="15"/>
        <v/>
      </c>
      <c r="Q158" s="20">
        <f t="shared" si="16"/>
        <v>0</v>
      </c>
      <c r="R158" s="28">
        <f>IF(J158=1,MAX(0,Quy_uoc_chung!$C$4-F158),0)</f>
        <v>0</v>
      </c>
      <c r="S158" s="28">
        <f t="shared" si="17"/>
        <v>0</v>
      </c>
      <c r="T158" s="28">
        <f>IF(AND(J158=1,F158=Quy_uoc_chung!$C$4),1,0)</f>
        <v>0</v>
      </c>
    </row>
    <row r="159" spans="1:20" x14ac:dyDescent="0.3">
      <c r="A159" s="15" t="s">
        <v>707</v>
      </c>
      <c r="B159" s="15" t="s">
        <v>55</v>
      </c>
      <c r="C159" s="15" t="s">
        <v>162</v>
      </c>
      <c r="D159" s="16">
        <v>77902000</v>
      </c>
      <c r="E159" s="17">
        <v>46225</v>
      </c>
      <c r="F159" s="17">
        <v>46235</v>
      </c>
      <c r="G159" s="17">
        <v>46237</v>
      </c>
      <c r="H159" s="15">
        <v>0</v>
      </c>
      <c r="I159" s="15">
        <v>0</v>
      </c>
      <c r="J159" s="18">
        <f>IF(AND(E159&lt;=Quy_uoc_chung!$C$4,OR(G159="",G159&gt;Quy_uoc_chung!$C$4)),1,0)</f>
        <v>0</v>
      </c>
      <c r="K159" s="18">
        <f>IF(AND(E159&gt;=Quy_uoc_chung!$C$4-Quy_uoc_chung!$C$3+1,E159&lt;=Quy_uoc_chung!$C$4),1,0)</f>
        <v>1</v>
      </c>
      <c r="L159" s="19">
        <f t="shared" si="12"/>
        <v>10</v>
      </c>
      <c r="M159" s="20">
        <f t="shared" si="13"/>
        <v>779020000</v>
      </c>
      <c r="N159" s="21" t="str">
        <f t="shared" si="14"/>
        <v/>
      </c>
      <c r="O159" s="18">
        <f>IF(AND(H159&gt;0,J159=1,N159&gt;=Quy_uoc_chung!$C$4),1,0)</f>
        <v>0</v>
      </c>
      <c r="P159" s="22" t="str">
        <f t="shared" si="15"/>
        <v/>
      </c>
      <c r="Q159" s="20">
        <f t="shared" si="16"/>
        <v>0</v>
      </c>
      <c r="R159" s="28">
        <f>IF(J159=1,MAX(0,Quy_uoc_chung!$C$4-F159),0)</f>
        <v>0</v>
      </c>
      <c r="S159" s="28">
        <f t="shared" si="17"/>
        <v>0</v>
      </c>
      <c r="T159" s="28">
        <f>IF(AND(J159=1,F159=Quy_uoc_chung!$C$4),1,0)</f>
        <v>0</v>
      </c>
    </row>
    <row r="160" spans="1:20" x14ac:dyDescent="0.3">
      <c r="A160" s="15" t="s">
        <v>708</v>
      </c>
      <c r="B160" s="15" t="s">
        <v>55</v>
      </c>
      <c r="C160" s="15" t="s">
        <v>163</v>
      </c>
      <c r="D160" s="16">
        <v>693589000</v>
      </c>
      <c r="E160" s="17">
        <v>46235</v>
      </c>
      <c r="F160" s="17">
        <v>46255</v>
      </c>
      <c r="G160" s="17">
        <v>46255</v>
      </c>
      <c r="H160" s="15">
        <v>0</v>
      </c>
      <c r="I160" s="15">
        <v>0</v>
      </c>
      <c r="J160" s="18">
        <f>IF(AND(E160&lt;=Quy_uoc_chung!$C$4,OR(G160="",G160&gt;Quy_uoc_chung!$C$4)),1,0)</f>
        <v>0</v>
      </c>
      <c r="K160" s="18">
        <f>IF(AND(E160&gt;=Quy_uoc_chung!$C$4-Quy_uoc_chung!$C$3+1,E160&lt;=Quy_uoc_chung!$C$4),1,0)</f>
        <v>1</v>
      </c>
      <c r="L160" s="19">
        <f t="shared" si="12"/>
        <v>20</v>
      </c>
      <c r="M160" s="20">
        <f t="shared" si="13"/>
        <v>13871780000</v>
      </c>
      <c r="N160" s="21" t="str">
        <f t="shared" si="14"/>
        <v/>
      </c>
      <c r="O160" s="18">
        <f>IF(AND(H160&gt;0,J160=1,N160&gt;=Quy_uoc_chung!$C$4),1,0)</f>
        <v>0</v>
      </c>
      <c r="P160" s="22" t="str">
        <f t="shared" si="15"/>
        <v/>
      </c>
      <c r="Q160" s="20">
        <f t="shared" si="16"/>
        <v>0</v>
      </c>
      <c r="R160" s="28">
        <f>IF(J160=1,MAX(0,Quy_uoc_chung!$C$4-F160),0)</f>
        <v>0</v>
      </c>
      <c r="S160" s="28">
        <f t="shared" si="17"/>
        <v>0</v>
      </c>
      <c r="T160" s="28">
        <f>IF(AND(J160=1,F160=Quy_uoc_chung!$C$4),1,0)</f>
        <v>0</v>
      </c>
    </row>
    <row r="161" spans="1:20" x14ac:dyDescent="0.3">
      <c r="A161" s="15" t="s">
        <v>709</v>
      </c>
      <c r="B161" s="15" t="s">
        <v>55</v>
      </c>
      <c r="C161" s="15" t="s">
        <v>164</v>
      </c>
      <c r="D161" s="16">
        <v>175026000</v>
      </c>
      <c r="E161" s="17">
        <v>46233</v>
      </c>
      <c r="F161" s="17">
        <v>46253</v>
      </c>
      <c r="G161" s="17">
        <v>46254</v>
      </c>
      <c r="H161" s="15">
        <v>0</v>
      </c>
      <c r="I161" s="15">
        <v>0</v>
      </c>
      <c r="J161" s="18">
        <f>IF(AND(E161&lt;=Quy_uoc_chung!$C$4,OR(G161="",G161&gt;Quy_uoc_chung!$C$4)),1,0)</f>
        <v>0</v>
      </c>
      <c r="K161" s="18">
        <f>IF(AND(E161&gt;=Quy_uoc_chung!$C$4-Quy_uoc_chung!$C$3+1,E161&lt;=Quy_uoc_chung!$C$4),1,0)</f>
        <v>1</v>
      </c>
      <c r="L161" s="19">
        <f t="shared" si="12"/>
        <v>20</v>
      </c>
      <c r="M161" s="20">
        <f t="shared" si="13"/>
        <v>3500520000</v>
      </c>
      <c r="N161" s="21" t="str">
        <f t="shared" si="14"/>
        <v/>
      </c>
      <c r="O161" s="18">
        <f>IF(AND(H161&gt;0,J161=1,N161&gt;=Quy_uoc_chung!$C$4),1,0)</f>
        <v>0</v>
      </c>
      <c r="P161" s="22" t="str">
        <f t="shared" si="15"/>
        <v/>
      </c>
      <c r="Q161" s="20">
        <f t="shared" si="16"/>
        <v>0</v>
      </c>
      <c r="R161" s="28">
        <f>IF(J161=1,MAX(0,Quy_uoc_chung!$C$4-F161),0)</f>
        <v>0</v>
      </c>
      <c r="S161" s="28">
        <f t="shared" si="17"/>
        <v>0</v>
      </c>
      <c r="T161" s="28">
        <f>IF(AND(J161=1,F161=Quy_uoc_chung!$C$4),1,0)</f>
        <v>0</v>
      </c>
    </row>
    <row r="162" spans="1:20" x14ac:dyDescent="0.3">
      <c r="A162" s="15" t="s">
        <v>710</v>
      </c>
      <c r="B162" s="15" t="s">
        <v>55</v>
      </c>
      <c r="C162" s="15" t="s">
        <v>162</v>
      </c>
      <c r="D162" s="16">
        <v>79229000</v>
      </c>
      <c r="E162" s="17">
        <v>46232</v>
      </c>
      <c r="F162" s="17">
        <v>46242</v>
      </c>
      <c r="G162" s="17">
        <v>46242</v>
      </c>
      <c r="H162" s="15">
        <v>0</v>
      </c>
      <c r="I162" s="15">
        <v>0</v>
      </c>
      <c r="J162" s="18">
        <f>IF(AND(E162&lt;=Quy_uoc_chung!$C$4,OR(G162="",G162&gt;Quy_uoc_chung!$C$4)),1,0)</f>
        <v>0</v>
      </c>
      <c r="K162" s="18">
        <f>IF(AND(E162&gt;=Quy_uoc_chung!$C$4-Quy_uoc_chung!$C$3+1,E162&lt;=Quy_uoc_chung!$C$4),1,0)</f>
        <v>1</v>
      </c>
      <c r="L162" s="19">
        <f t="shared" si="12"/>
        <v>10</v>
      </c>
      <c r="M162" s="20">
        <f t="shared" si="13"/>
        <v>792290000</v>
      </c>
      <c r="N162" s="21" t="str">
        <f t="shared" si="14"/>
        <v/>
      </c>
      <c r="O162" s="18">
        <f>IF(AND(H162&gt;0,J162=1,N162&gt;=Quy_uoc_chung!$C$4),1,0)</f>
        <v>0</v>
      </c>
      <c r="P162" s="22" t="str">
        <f t="shared" si="15"/>
        <v/>
      </c>
      <c r="Q162" s="20">
        <f t="shared" si="16"/>
        <v>0</v>
      </c>
      <c r="R162" s="28">
        <f>IF(J162=1,MAX(0,Quy_uoc_chung!$C$4-F162),0)</f>
        <v>0</v>
      </c>
      <c r="S162" s="28">
        <f t="shared" si="17"/>
        <v>0</v>
      </c>
      <c r="T162" s="28">
        <f>IF(AND(J162=1,F162=Quy_uoc_chung!$C$4),1,0)</f>
        <v>0</v>
      </c>
    </row>
    <row r="163" spans="1:20" x14ac:dyDescent="0.3">
      <c r="A163" s="15" t="s">
        <v>711</v>
      </c>
      <c r="B163" s="15" t="s">
        <v>55</v>
      </c>
      <c r="C163" s="15" t="s">
        <v>163</v>
      </c>
      <c r="D163" s="16">
        <v>571599000</v>
      </c>
      <c r="E163" s="17">
        <v>46242</v>
      </c>
      <c r="F163" s="17">
        <v>46262</v>
      </c>
      <c r="G163" s="17">
        <v>46263</v>
      </c>
      <c r="H163" s="15">
        <v>0</v>
      </c>
      <c r="I163" s="15">
        <v>0</v>
      </c>
      <c r="J163" s="18">
        <f>IF(AND(E163&lt;=Quy_uoc_chung!$C$4,OR(G163="",G163&gt;Quy_uoc_chung!$C$4)),1,0)</f>
        <v>0</v>
      </c>
      <c r="K163" s="18">
        <f>IF(AND(E163&gt;=Quy_uoc_chung!$C$4-Quy_uoc_chung!$C$3+1,E163&lt;=Quy_uoc_chung!$C$4),1,0)</f>
        <v>1</v>
      </c>
      <c r="L163" s="19">
        <f t="shared" si="12"/>
        <v>20</v>
      </c>
      <c r="M163" s="20">
        <f t="shared" si="13"/>
        <v>11431980000</v>
      </c>
      <c r="N163" s="21" t="str">
        <f t="shared" si="14"/>
        <v/>
      </c>
      <c r="O163" s="18">
        <f>IF(AND(H163&gt;0,J163=1,N163&gt;=Quy_uoc_chung!$C$4),1,0)</f>
        <v>0</v>
      </c>
      <c r="P163" s="22" t="str">
        <f t="shared" si="15"/>
        <v/>
      </c>
      <c r="Q163" s="20">
        <f t="shared" si="16"/>
        <v>0</v>
      </c>
      <c r="R163" s="28">
        <f>IF(J163=1,MAX(0,Quy_uoc_chung!$C$4-F163),0)</f>
        <v>0</v>
      </c>
      <c r="S163" s="28">
        <f t="shared" si="17"/>
        <v>0</v>
      </c>
      <c r="T163" s="28">
        <f>IF(AND(J163=1,F163=Quy_uoc_chung!$C$4),1,0)</f>
        <v>0</v>
      </c>
    </row>
    <row r="164" spans="1:20" x14ac:dyDescent="0.3">
      <c r="A164" s="15" t="s">
        <v>712</v>
      </c>
      <c r="B164" s="15" t="s">
        <v>55</v>
      </c>
      <c r="C164" s="15" t="s">
        <v>164</v>
      </c>
      <c r="D164" s="16">
        <v>155808000</v>
      </c>
      <c r="E164" s="17">
        <v>46240</v>
      </c>
      <c r="F164" s="17">
        <v>46260</v>
      </c>
      <c r="G164" s="17">
        <v>46260</v>
      </c>
      <c r="H164" s="15">
        <v>0</v>
      </c>
      <c r="I164" s="15">
        <v>0</v>
      </c>
      <c r="J164" s="18">
        <f>IF(AND(E164&lt;=Quy_uoc_chung!$C$4,OR(G164="",G164&gt;Quy_uoc_chung!$C$4)),1,0)</f>
        <v>0</v>
      </c>
      <c r="K164" s="18">
        <f>IF(AND(E164&gt;=Quy_uoc_chung!$C$4-Quy_uoc_chung!$C$3+1,E164&lt;=Quy_uoc_chung!$C$4),1,0)</f>
        <v>1</v>
      </c>
      <c r="L164" s="19">
        <f t="shared" si="12"/>
        <v>20</v>
      </c>
      <c r="M164" s="20">
        <f t="shared" si="13"/>
        <v>3116160000</v>
      </c>
      <c r="N164" s="21" t="str">
        <f t="shared" si="14"/>
        <v/>
      </c>
      <c r="O164" s="18">
        <f>IF(AND(H164&gt;0,J164=1,N164&gt;=Quy_uoc_chung!$C$4),1,0)</f>
        <v>0</v>
      </c>
      <c r="P164" s="22" t="str">
        <f t="shared" si="15"/>
        <v/>
      </c>
      <c r="Q164" s="20">
        <f t="shared" si="16"/>
        <v>0</v>
      </c>
      <c r="R164" s="28">
        <f>IF(J164=1,MAX(0,Quy_uoc_chung!$C$4-F164),0)</f>
        <v>0</v>
      </c>
      <c r="S164" s="28">
        <f t="shared" si="17"/>
        <v>0</v>
      </c>
      <c r="T164" s="28">
        <f>IF(AND(J164=1,F164=Quy_uoc_chung!$C$4),1,0)</f>
        <v>0</v>
      </c>
    </row>
    <row r="165" spans="1:20" x14ac:dyDescent="0.3">
      <c r="A165" s="15" t="s">
        <v>713</v>
      </c>
      <c r="B165" s="15" t="s">
        <v>55</v>
      </c>
      <c r="C165" s="15" t="s">
        <v>162</v>
      </c>
      <c r="D165" s="16">
        <v>69009000</v>
      </c>
      <c r="E165" s="17">
        <v>46240</v>
      </c>
      <c r="F165" s="17">
        <v>46250</v>
      </c>
      <c r="G165" s="17">
        <v>46250</v>
      </c>
      <c r="H165" s="15">
        <v>0</v>
      </c>
      <c r="I165" s="15">
        <v>0</v>
      </c>
      <c r="J165" s="18">
        <f>IF(AND(E165&lt;=Quy_uoc_chung!$C$4,OR(G165="",G165&gt;Quy_uoc_chung!$C$4)),1,0)</f>
        <v>0</v>
      </c>
      <c r="K165" s="18">
        <f>IF(AND(E165&gt;=Quy_uoc_chung!$C$4-Quy_uoc_chung!$C$3+1,E165&lt;=Quy_uoc_chung!$C$4),1,0)</f>
        <v>1</v>
      </c>
      <c r="L165" s="19">
        <f t="shared" si="12"/>
        <v>10</v>
      </c>
      <c r="M165" s="20">
        <f t="shared" si="13"/>
        <v>690090000</v>
      </c>
      <c r="N165" s="21" t="str">
        <f t="shared" si="14"/>
        <v/>
      </c>
      <c r="O165" s="18">
        <f>IF(AND(H165&gt;0,J165=1,N165&gt;=Quy_uoc_chung!$C$4),1,0)</f>
        <v>0</v>
      </c>
      <c r="P165" s="22" t="str">
        <f t="shared" si="15"/>
        <v/>
      </c>
      <c r="Q165" s="20">
        <f t="shared" si="16"/>
        <v>0</v>
      </c>
      <c r="R165" s="28">
        <f>IF(J165=1,MAX(0,Quy_uoc_chung!$C$4-F165),0)</f>
        <v>0</v>
      </c>
      <c r="S165" s="28">
        <f t="shared" si="17"/>
        <v>0</v>
      </c>
      <c r="T165" s="28">
        <f>IF(AND(J165=1,F165=Quy_uoc_chung!$C$4),1,0)</f>
        <v>0</v>
      </c>
    </row>
    <row r="166" spans="1:20" x14ac:dyDescent="0.3">
      <c r="A166" s="15" t="s">
        <v>714</v>
      </c>
      <c r="B166" s="15" t="s">
        <v>55</v>
      </c>
      <c r="C166" s="15" t="s">
        <v>163</v>
      </c>
      <c r="D166" s="16">
        <v>534368000</v>
      </c>
      <c r="E166" s="17">
        <v>46246</v>
      </c>
      <c r="F166" s="17">
        <v>46266</v>
      </c>
      <c r="G166" s="17">
        <v>46265</v>
      </c>
      <c r="H166" s="15">
        <v>0</v>
      </c>
      <c r="I166" s="15">
        <v>0</v>
      </c>
      <c r="J166" s="18">
        <f>IF(AND(E166&lt;=Quy_uoc_chung!$C$4,OR(G166="",G166&gt;Quy_uoc_chung!$C$4)),1,0)</f>
        <v>0</v>
      </c>
      <c r="K166" s="18">
        <f>IF(AND(E166&gt;=Quy_uoc_chung!$C$4-Quy_uoc_chung!$C$3+1,E166&lt;=Quy_uoc_chung!$C$4),1,0)</f>
        <v>1</v>
      </c>
      <c r="L166" s="19">
        <f t="shared" si="12"/>
        <v>20</v>
      </c>
      <c r="M166" s="20">
        <f t="shared" si="13"/>
        <v>10687360000</v>
      </c>
      <c r="N166" s="21" t="str">
        <f t="shared" si="14"/>
        <v/>
      </c>
      <c r="O166" s="18">
        <f>IF(AND(H166&gt;0,J166=1,N166&gt;=Quy_uoc_chung!$C$4),1,0)</f>
        <v>0</v>
      </c>
      <c r="P166" s="22" t="str">
        <f t="shared" si="15"/>
        <v/>
      </c>
      <c r="Q166" s="20">
        <f t="shared" si="16"/>
        <v>0</v>
      </c>
      <c r="R166" s="28">
        <f>IF(J166=1,MAX(0,Quy_uoc_chung!$C$4-F166),0)</f>
        <v>0</v>
      </c>
      <c r="S166" s="28">
        <f t="shared" si="17"/>
        <v>0</v>
      </c>
      <c r="T166" s="28">
        <f>IF(AND(J166=1,F166=Quy_uoc_chung!$C$4),1,0)</f>
        <v>0</v>
      </c>
    </row>
    <row r="167" spans="1:20" x14ac:dyDescent="0.3">
      <c r="A167" s="15" t="s">
        <v>715</v>
      </c>
      <c r="B167" s="15" t="s">
        <v>55</v>
      </c>
      <c r="C167" s="15" t="s">
        <v>164</v>
      </c>
      <c r="D167" s="16">
        <v>132711000</v>
      </c>
      <c r="E167" s="17">
        <v>46250</v>
      </c>
      <c r="F167" s="17">
        <v>46270</v>
      </c>
      <c r="G167" s="17">
        <v>46270</v>
      </c>
      <c r="H167" s="15">
        <v>0</v>
      </c>
      <c r="I167" s="15">
        <v>0</v>
      </c>
      <c r="J167" s="18">
        <f>IF(AND(E167&lt;=Quy_uoc_chung!$C$4,OR(G167="",G167&gt;Quy_uoc_chung!$C$4)),1,0)</f>
        <v>0</v>
      </c>
      <c r="K167" s="18">
        <f>IF(AND(E167&gt;=Quy_uoc_chung!$C$4-Quy_uoc_chung!$C$3+1,E167&lt;=Quy_uoc_chung!$C$4),1,0)</f>
        <v>1</v>
      </c>
      <c r="L167" s="19">
        <f t="shared" si="12"/>
        <v>20</v>
      </c>
      <c r="M167" s="20">
        <f t="shared" si="13"/>
        <v>2654220000</v>
      </c>
      <c r="N167" s="21" t="str">
        <f t="shared" si="14"/>
        <v/>
      </c>
      <c r="O167" s="18">
        <f>IF(AND(H167&gt;0,J167=1,N167&gt;=Quy_uoc_chung!$C$4),1,0)</f>
        <v>0</v>
      </c>
      <c r="P167" s="22" t="str">
        <f t="shared" si="15"/>
        <v/>
      </c>
      <c r="Q167" s="20">
        <f t="shared" si="16"/>
        <v>0</v>
      </c>
      <c r="R167" s="28">
        <f>IF(J167=1,MAX(0,Quy_uoc_chung!$C$4-F167),0)</f>
        <v>0</v>
      </c>
      <c r="S167" s="28">
        <f t="shared" si="17"/>
        <v>0</v>
      </c>
      <c r="T167" s="28">
        <f>IF(AND(J167=1,F167=Quy_uoc_chung!$C$4),1,0)</f>
        <v>0</v>
      </c>
    </row>
    <row r="168" spans="1:20" x14ac:dyDescent="0.3">
      <c r="A168" s="15" t="s">
        <v>716</v>
      </c>
      <c r="B168" s="15" t="s">
        <v>55</v>
      </c>
      <c r="C168" s="15" t="s">
        <v>162</v>
      </c>
      <c r="D168" s="16">
        <v>98813000</v>
      </c>
      <c r="E168" s="17">
        <v>46247</v>
      </c>
      <c r="F168" s="17">
        <v>46257</v>
      </c>
      <c r="G168" s="17">
        <v>46258</v>
      </c>
      <c r="H168" s="15">
        <v>0</v>
      </c>
      <c r="I168" s="15">
        <v>0</v>
      </c>
      <c r="J168" s="18">
        <f>IF(AND(E168&lt;=Quy_uoc_chung!$C$4,OR(G168="",G168&gt;Quy_uoc_chung!$C$4)),1,0)</f>
        <v>0</v>
      </c>
      <c r="K168" s="18">
        <f>IF(AND(E168&gt;=Quy_uoc_chung!$C$4-Quy_uoc_chung!$C$3+1,E168&lt;=Quy_uoc_chung!$C$4),1,0)</f>
        <v>1</v>
      </c>
      <c r="L168" s="19">
        <f t="shared" si="12"/>
        <v>10</v>
      </c>
      <c r="M168" s="20">
        <f t="shared" si="13"/>
        <v>988130000</v>
      </c>
      <c r="N168" s="21" t="str">
        <f t="shared" si="14"/>
        <v/>
      </c>
      <c r="O168" s="18">
        <f>IF(AND(H168&gt;0,J168=1,N168&gt;=Quy_uoc_chung!$C$4),1,0)</f>
        <v>0</v>
      </c>
      <c r="P168" s="22" t="str">
        <f t="shared" si="15"/>
        <v/>
      </c>
      <c r="Q168" s="20">
        <f t="shared" si="16"/>
        <v>0</v>
      </c>
      <c r="R168" s="28">
        <f>IF(J168=1,MAX(0,Quy_uoc_chung!$C$4-F168),0)</f>
        <v>0</v>
      </c>
      <c r="S168" s="28">
        <f t="shared" si="17"/>
        <v>0</v>
      </c>
      <c r="T168" s="28">
        <f>IF(AND(J168=1,F168=Quy_uoc_chung!$C$4),1,0)</f>
        <v>0</v>
      </c>
    </row>
    <row r="169" spans="1:20" x14ac:dyDescent="0.3">
      <c r="A169" s="15" t="s">
        <v>717</v>
      </c>
      <c r="B169" s="15" t="s">
        <v>55</v>
      </c>
      <c r="C169" s="15" t="s">
        <v>163</v>
      </c>
      <c r="D169" s="16">
        <v>489715000</v>
      </c>
      <c r="E169" s="17">
        <v>46254</v>
      </c>
      <c r="F169" s="17">
        <v>46274</v>
      </c>
      <c r="G169" s="17">
        <v>46274</v>
      </c>
      <c r="H169" s="15">
        <v>0</v>
      </c>
      <c r="I169" s="15">
        <v>0</v>
      </c>
      <c r="J169" s="18">
        <f>IF(AND(E169&lt;=Quy_uoc_chung!$C$4,OR(G169="",G169&gt;Quy_uoc_chung!$C$4)),1,0)</f>
        <v>0</v>
      </c>
      <c r="K169" s="18">
        <f>IF(AND(E169&gt;=Quy_uoc_chung!$C$4-Quy_uoc_chung!$C$3+1,E169&lt;=Quy_uoc_chung!$C$4),1,0)</f>
        <v>1</v>
      </c>
      <c r="L169" s="19">
        <f t="shared" si="12"/>
        <v>20</v>
      </c>
      <c r="M169" s="20">
        <f t="shared" si="13"/>
        <v>9794300000</v>
      </c>
      <c r="N169" s="21" t="str">
        <f t="shared" si="14"/>
        <v/>
      </c>
      <c r="O169" s="18">
        <f>IF(AND(H169&gt;0,J169=1,N169&gt;=Quy_uoc_chung!$C$4),1,0)</f>
        <v>0</v>
      </c>
      <c r="P169" s="22" t="str">
        <f t="shared" si="15"/>
        <v/>
      </c>
      <c r="Q169" s="20">
        <f t="shared" si="16"/>
        <v>0</v>
      </c>
      <c r="R169" s="28">
        <f>IF(J169=1,MAX(0,Quy_uoc_chung!$C$4-F169),0)</f>
        <v>0</v>
      </c>
      <c r="S169" s="28">
        <f t="shared" si="17"/>
        <v>0</v>
      </c>
      <c r="T169" s="28">
        <f>IF(AND(J169=1,F169=Quy_uoc_chung!$C$4),1,0)</f>
        <v>0</v>
      </c>
    </row>
    <row r="170" spans="1:20" x14ac:dyDescent="0.3">
      <c r="A170" s="15" t="s">
        <v>718</v>
      </c>
      <c r="B170" s="15" t="s">
        <v>55</v>
      </c>
      <c r="C170" s="15" t="s">
        <v>164</v>
      </c>
      <c r="D170" s="16">
        <v>163379000</v>
      </c>
      <c r="E170" s="17">
        <v>46255</v>
      </c>
      <c r="F170" s="17">
        <v>46275</v>
      </c>
      <c r="G170" s="17">
        <v>46275</v>
      </c>
      <c r="H170" s="15">
        <v>0</v>
      </c>
      <c r="I170" s="15">
        <v>0</v>
      </c>
      <c r="J170" s="18">
        <f>IF(AND(E170&lt;=Quy_uoc_chung!$C$4,OR(G170="",G170&gt;Quy_uoc_chung!$C$4)),1,0)</f>
        <v>0</v>
      </c>
      <c r="K170" s="18">
        <f>IF(AND(E170&gt;=Quy_uoc_chung!$C$4-Quy_uoc_chung!$C$3+1,E170&lt;=Quy_uoc_chung!$C$4),1,0)</f>
        <v>1</v>
      </c>
      <c r="L170" s="19">
        <f t="shared" si="12"/>
        <v>20</v>
      </c>
      <c r="M170" s="20">
        <f t="shared" si="13"/>
        <v>3267580000</v>
      </c>
      <c r="N170" s="21" t="str">
        <f t="shared" si="14"/>
        <v/>
      </c>
      <c r="O170" s="18">
        <f>IF(AND(H170&gt;0,J170=1,N170&gt;=Quy_uoc_chung!$C$4),1,0)</f>
        <v>0</v>
      </c>
      <c r="P170" s="22" t="str">
        <f t="shared" si="15"/>
        <v/>
      </c>
      <c r="Q170" s="20">
        <f t="shared" si="16"/>
        <v>0</v>
      </c>
      <c r="R170" s="28">
        <f>IF(J170=1,MAX(0,Quy_uoc_chung!$C$4-F170),0)</f>
        <v>0</v>
      </c>
      <c r="S170" s="28">
        <f t="shared" si="17"/>
        <v>0</v>
      </c>
      <c r="T170" s="28">
        <f>IF(AND(J170=1,F170=Quy_uoc_chung!$C$4),1,0)</f>
        <v>0</v>
      </c>
    </row>
    <row r="171" spans="1:20" x14ac:dyDescent="0.3">
      <c r="A171" s="15" t="s">
        <v>719</v>
      </c>
      <c r="B171" s="15" t="s">
        <v>55</v>
      </c>
      <c r="C171" s="15" t="s">
        <v>162</v>
      </c>
      <c r="D171" s="16">
        <v>82232000</v>
      </c>
      <c r="E171" s="17">
        <v>46254</v>
      </c>
      <c r="F171" s="17">
        <v>46264</v>
      </c>
      <c r="G171" s="17">
        <v>46265</v>
      </c>
      <c r="H171" s="15">
        <v>0</v>
      </c>
      <c r="I171" s="15">
        <v>0</v>
      </c>
      <c r="J171" s="18">
        <f>IF(AND(E171&lt;=Quy_uoc_chung!$C$4,OR(G171="",G171&gt;Quy_uoc_chung!$C$4)),1,0)</f>
        <v>0</v>
      </c>
      <c r="K171" s="18">
        <f>IF(AND(E171&gt;=Quy_uoc_chung!$C$4-Quy_uoc_chung!$C$3+1,E171&lt;=Quy_uoc_chung!$C$4),1,0)</f>
        <v>1</v>
      </c>
      <c r="L171" s="19">
        <f t="shared" si="12"/>
        <v>10</v>
      </c>
      <c r="M171" s="20">
        <f t="shared" si="13"/>
        <v>822320000</v>
      </c>
      <c r="N171" s="21" t="str">
        <f t="shared" si="14"/>
        <v/>
      </c>
      <c r="O171" s="18">
        <f>IF(AND(H171&gt;0,J171=1,N171&gt;=Quy_uoc_chung!$C$4),1,0)</f>
        <v>0</v>
      </c>
      <c r="P171" s="22" t="str">
        <f t="shared" si="15"/>
        <v/>
      </c>
      <c r="Q171" s="20">
        <f t="shared" si="16"/>
        <v>0</v>
      </c>
      <c r="R171" s="28">
        <f>IF(J171=1,MAX(0,Quy_uoc_chung!$C$4-F171),0)</f>
        <v>0</v>
      </c>
      <c r="S171" s="28">
        <f t="shared" si="17"/>
        <v>0</v>
      </c>
      <c r="T171" s="28">
        <f>IF(AND(J171=1,F171=Quy_uoc_chung!$C$4),1,0)</f>
        <v>0</v>
      </c>
    </row>
    <row r="172" spans="1:20" x14ac:dyDescent="0.3">
      <c r="A172" s="15" t="s">
        <v>720</v>
      </c>
      <c r="B172" s="15" t="s">
        <v>55</v>
      </c>
      <c r="C172" s="15" t="s">
        <v>163</v>
      </c>
      <c r="D172" s="16">
        <v>625307000</v>
      </c>
      <c r="E172" s="17">
        <v>46263</v>
      </c>
      <c r="F172" s="17">
        <v>46283</v>
      </c>
      <c r="G172" s="17">
        <v>46281</v>
      </c>
      <c r="H172" s="15">
        <v>0</v>
      </c>
      <c r="I172" s="15">
        <v>0</v>
      </c>
      <c r="J172" s="18">
        <f>IF(AND(E172&lt;=Quy_uoc_chung!$C$4,OR(G172="",G172&gt;Quy_uoc_chung!$C$4)),1,0)</f>
        <v>0</v>
      </c>
      <c r="K172" s="18">
        <f>IF(AND(E172&gt;=Quy_uoc_chung!$C$4-Quy_uoc_chung!$C$3+1,E172&lt;=Quy_uoc_chung!$C$4),1,0)</f>
        <v>1</v>
      </c>
      <c r="L172" s="19">
        <f t="shared" si="12"/>
        <v>20</v>
      </c>
      <c r="M172" s="20">
        <f t="shared" si="13"/>
        <v>12506140000</v>
      </c>
      <c r="N172" s="21" t="str">
        <f t="shared" si="14"/>
        <v/>
      </c>
      <c r="O172" s="18">
        <f>IF(AND(H172&gt;0,J172=1,N172&gt;=Quy_uoc_chung!$C$4),1,0)</f>
        <v>0</v>
      </c>
      <c r="P172" s="22" t="str">
        <f t="shared" si="15"/>
        <v/>
      </c>
      <c r="Q172" s="20">
        <f t="shared" si="16"/>
        <v>0</v>
      </c>
      <c r="R172" s="28">
        <f>IF(J172=1,MAX(0,Quy_uoc_chung!$C$4-F172),0)</f>
        <v>0</v>
      </c>
      <c r="S172" s="28">
        <f t="shared" si="17"/>
        <v>0</v>
      </c>
      <c r="T172" s="28">
        <f>IF(AND(J172=1,F172=Quy_uoc_chung!$C$4),1,0)</f>
        <v>0</v>
      </c>
    </row>
    <row r="173" spans="1:20" x14ac:dyDescent="0.3">
      <c r="A173" s="15" t="s">
        <v>721</v>
      </c>
      <c r="B173" s="15" t="s">
        <v>55</v>
      </c>
      <c r="C173" s="15" t="s">
        <v>164</v>
      </c>
      <c r="D173" s="16">
        <v>145452000</v>
      </c>
      <c r="E173" s="17">
        <v>46262</v>
      </c>
      <c r="F173" s="17">
        <v>46282</v>
      </c>
      <c r="G173" s="17">
        <v>46282</v>
      </c>
      <c r="H173" s="15">
        <v>0</v>
      </c>
      <c r="I173" s="15">
        <v>0</v>
      </c>
      <c r="J173" s="18">
        <f>IF(AND(E173&lt;=Quy_uoc_chung!$C$4,OR(G173="",G173&gt;Quy_uoc_chung!$C$4)),1,0)</f>
        <v>0</v>
      </c>
      <c r="K173" s="18">
        <f>IF(AND(E173&gt;=Quy_uoc_chung!$C$4-Quy_uoc_chung!$C$3+1,E173&lt;=Quy_uoc_chung!$C$4),1,0)</f>
        <v>1</v>
      </c>
      <c r="L173" s="19">
        <f t="shared" si="12"/>
        <v>20</v>
      </c>
      <c r="M173" s="20">
        <f t="shared" si="13"/>
        <v>2909040000</v>
      </c>
      <c r="N173" s="21" t="str">
        <f t="shared" si="14"/>
        <v/>
      </c>
      <c r="O173" s="18">
        <f>IF(AND(H173&gt;0,J173=1,N173&gt;=Quy_uoc_chung!$C$4),1,0)</f>
        <v>0</v>
      </c>
      <c r="P173" s="22" t="str">
        <f t="shared" si="15"/>
        <v/>
      </c>
      <c r="Q173" s="20">
        <f t="shared" si="16"/>
        <v>0</v>
      </c>
      <c r="R173" s="28">
        <f>IF(J173=1,MAX(0,Quy_uoc_chung!$C$4-F173),0)</f>
        <v>0</v>
      </c>
      <c r="S173" s="28">
        <f t="shared" si="17"/>
        <v>0</v>
      </c>
      <c r="T173" s="28">
        <f>IF(AND(J173=1,F173=Quy_uoc_chung!$C$4),1,0)</f>
        <v>0</v>
      </c>
    </row>
    <row r="174" spans="1:20" x14ac:dyDescent="0.3">
      <c r="A174" s="15" t="s">
        <v>722</v>
      </c>
      <c r="B174" s="15" t="s">
        <v>55</v>
      </c>
      <c r="C174" s="15" t="s">
        <v>162</v>
      </c>
      <c r="D174" s="16">
        <v>93989000</v>
      </c>
      <c r="E174" s="17">
        <v>46261</v>
      </c>
      <c r="F174" s="17">
        <v>46271</v>
      </c>
      <c r="G174" s="17">
        <v>46271</v>
      </c>
      <c r="H174" s="15">
        <v>0</v>
      </c>
      <c r="I174" s="15">
        <v>0</v>
      </c>
      <c r="J174" s="18">
        <f>IF(AND(E174&lt;=Quy_uoc_chung!$C$4,OR(G174="",G174&gt;Quy_uoc_chung!$C$4)),1,0)</f>
        <v>0</v>
      </c>
      <c r="K174" s="18">
        <f>IF(AND(E174&gt;=Quy_uoc_chung!$C$4-Quy_uoc_chung!$C$3+1,E174&lt;=Quy_uoc_chung!$C$4),1,0)</f>
        <v>1</v>
      </c>
      <c r="L174" s="19">
        <f t="shared" si="12"/>
        <v>10</v>
      </c>
      <c r="M174" s="20">
        <f t="shared" si="13"/>
        <v>939890000</v>
      </c>
      <c r="N174" s="21" t="str">
        <f t="shared" si="14"/>
        <v/>
      </c>
      <c r="O174" s="18">
        <f>IF(AND(H174&gt;0,J174=1,N174&gt;=Quy_uoc_chung!$C$4),1,0)</f>
        <v>0</v>
      </c>
      <c r="P174" s="22" t="str">
        <f t="shared" si="15"/>
        <v/>
      </c>
      <c r="Q174" s="20">
        <f t="shared" si="16"/>
        <v>0</v>
      </c>
      <c r="R174" s="28">
        <f>IF(J174=1,MAX(0,Quy_uoc_chung!$C$4-F174),0)</f>
        <v>0</v>
      </c>
      <c r="S174" s="28">
        <f t="shared" si="17"/>
        <v>0</v>
      </c>
      <c r="T174" s="28">
        <f>IF(AND(J174=1,F174=Quy_uoc_chung!$C$4),1,0)</f>
        <v>0</v>
      </c>
    </row>
    <row r="175" spans="1:20" x14ac:dyDescent="0.3">
      <c r="A175" s="15" t="s">
        <v>723</v>
      </c>
      <c r="B175" s="15" t="s">
        <v>55</v>
      </c>
      <c r="C175" s="15" t="s">
        <v>163</v>
      </c>
      <c r="D175" s="16">
        <v>721767000</v>
      </c>
      <c r="E175" s="17">
        <v>46271</v>
      </c>
      <c r="F175" s="17">
        <v>46291</v>
      </c>
      <c r="G175" s="17">
        <v>46290</v>
      </c>
      <c r="H175" s="15">
        <v>0</v>
      </c>
      <c r="I175" s="15">
        <v>0</v>
      </c>
      <c r="J175" s="18">
        <f>IF(AND(E175&lt;=Quy_uoc_chung!$C$4,OR(G175="",G175&gt;Quy_uoc_chung!$C$4)),1,0)</f>
        <v>0</v>
      </c>
      <c r="K175" s="18">
        <f>IF(AND(E175&gt;=Quy_uoc_chung!$C$4-Quy_uoc_chung!$C$3+1,E175&lt;=Quy_uoc_chung!$C$4),1,0)</f>
        <v>1</v>
      </c>
      <c r="L175" s="19">
        <f t="shared" si="12"/>
        <v>20</v>
      </c>
      <c r="M175" s="20">
        <f t="shared" si="13"/>
        <v>14435340000</v>
      </c>
      <c r="N175" s="21" t="str">
        <f t="shared" si="14"/>
        <v/>
      </c>
      <c r="O175" s="18">
        <f>IF(AND(H175&gt;0,J175=1,N175&gt;=Quy_uoc_chung!$C$4),1,0)</f>
        <v>0</v>
      </c>
      <c r="P175" s="22" t="str">
        <f t="shared" si="15"/>
        <v/>
      </c>
      <c r="Q175" s="20">
        <f t="shared" si="16"/>
        <v>0</v>
      </c>
      <c r="R175" s="28">
        <f>IF(J175=1,MAX(0,Quy_uoc_chung!$C$4-F175),0)</f>
        <v>0</v>
      </c>
      <c r="S175" s="28">
        <f t="shared" si="17"/>
        <v>0</v>
      </c>
      <c r="T175" s="28">
        <f>IF(AND(J175=1,F175=Quy_uoc_chung!$C$4),1,0)</f>
        <v>0</v>
      </c>
    </row>
    <row r="176" spans="1:20" x14ac:dyDescent="0.3">
      <c r="A176" s="15" t="s">
        <v>724</v>
      </c>
      <c r="B176" s="15" t="s">
        <v>55</v>
      </c>
      <c r="C176" s="15" t="s">
        <v>164</v>
      </c>
      <c r="D176" s="16">
        <v>203599000</v>
      </c>
      <c r="E176" s="17">
        <v>46269</v>
      </c>
      <c r="F176" s="17">
        <v>46289</v>
      </c>
      <c r="G176" s="17">
        <v>46289</v>
      </c>
      <c r="H176" s="15">
        <v>0</v>
      </c>
      <c r="I176" s="15">
        <v>0</v>
      </c>
      <c r="J176" s="18">
        <f>IF(AND(E176&lt;=Quy_uoc_chung!$C$4,OR(G176="",G176&gt;Quy_uoc_chung!$C$4)),1,0)</f>
        <v>0</v>
      </c>
      <c r="K176" s="18">
        <f>IF(AND(E176&gt;=Quy_uoc_chung!$C$4-Quy_uoc_chung!$C$3+1,E176&lt;=Quy_uoc_chung!$C$4),1,0)</f>
        <v>1</v>
      </c>
      <c r="L176" s="19">
        <f t="shared" si="12"/>
        <v>20</v>
      </c>
      <c r="M176" s="20">
        <f t="shared" si="13"/>
        <v>4071980000</v>
      </c>
      <c r="N176" s="21" t="str">
        <f t="shared" si="14"/>
        <v/>
      </c>
      <c r="O176" s="18">
        <f>IF(AND(H176&gt;0,J176=1,N176&gt;=Quy_uoc_chung!$C$4),1,0)</f>
        <v>0</v>
      </c>
      <c r="P176" s="22" t="str">
        <f t="shared" si="15"/>
        <v/>
      </c>
      <c r="Q176" s="20">
        <f t="shared" si="16"/>
        <v>0</v>
      </c>
      <c r="R176" s="28">
        <f>IF(J176=1,MAX(0,Quy_uoc_chung!$C$4-F176),0)</f>
        <v>0</v>
      </c>
      <c r="S176" s="28">
        <f t="shared" si="17"/>
        <v>0</v>
      </c>
      <c r="T176" s="28">
        <f>IF(AND(J176=1,F176=Quy_uoc_chung!$C$4),1,0)</f>
        <v>0</v>
      </c>
    </row>
    <row r="177" spans="1:20" x14ac:dyDescent="0.3">
      <c r="A177" s="15" t="s">
        <v>725</v>
      </c>
      <c r="B177" s="15" t="s">
        <v>55</v>
      </c>
      <c r="C177" s="15" t="s">
        <v>162</v>
      </c>
      <c r="D177" s="16">
        <v>74885000</v>
      </c>
      <c r="E177" s="17">
        <v>46267</v>
      </c>
      <c r="F177" s="17">
        <v>46277</v>
      </c>
      <c r="G177" s="17">
        <v>46277</v>
      </c>
      <c r="H177" s="15">
        <v>0</v>
      </c>
      <c r="I177" s="15">
        <v>0</v>
      </c>
      <c r="J177" s="18">
        <f>IF(AND(E177&lt;=Quy_uoc_chung!$C$4,OR(G177="",G177&gt;Quy_uoc_chung!$C$4)),1,0)</f>
        <v>0</v>
      </c>
      <c r="K177" s="18">
        <f>IF(AND(E177&gt;=Quy_uoc_chung!$C$4-Quy_uoc_chung!$C$3+1,E177&lt;=Quy_uoc_chung!$C$4),1,0)</f>
        <v>1</v>
      </c>
      <c r="L177" s="19">
        <f t="shared" si="12"/>
        <v>10</v>
      </c>
      <c r="M177" s="20">
        <f t="shared" si="13"/>
        <v>748850000</v>
      </c>
      <c r="N177" s="21" t="str">
        <f t="shared" si="14"/>
        <v/>
      </c>
      <c r="O177" s="18">
        <f>IF(AND(H177&gt;0,J177=1,N177&gt;=Quy_uoc_chung!$C$4),1,0)</f>
        <v>0</v>
      </c>
      <c r="P177" s="22" t="str">
        <f t="shared" si="15"/>
        <v/>
      </c>
      <c r="Q177" s="20">
        <f t="shared" si="16"/>
        <v>0</v>
      </c>
      <c r="R177" s="28">
        <f>IF(J177=1,MAX(0,Quy_uoc_chung!$C$4-F177),0)</f>
        <v>0</v>
      </c>
      <c r="S177" s="28">
        <f t="shared" si="17"/>
        <v>0</v>
      </c>
      <c r="T177" s="28">
        <f>IF(AND(J177=1,F177=Quy_uoc_chung!$C$4),1,0)</f>
        <v>0</v>
      </c>
    </row>
    <row r="178" spans="1:20" x14ac:dyDescent="0.3">
      <c r="A178" s="15" t="s">
        <v>726</v>
      </c>
      <c r="B178" s="15" t="s">
        <v>55</v>
      </c>
      <c r="C178" s="15" t="s">
        <v>163</v>
      </c>
      <c r="D178" s="16">
        <v>463922000</v>
      </c>
      <c r="E178" s="17">
        <v>46278</v>
      </c>
      <c r="F178" s="17">
        <v>46298</v>
      </c>
      <c r="G178" s="17"/>
      <c r="H178" s="15">
        <v>0</v>
      </c>
      <c r="I178" s="15">
        <v>0</v>
      </c>
      <c r="J178" s="18">
        <f>IF(AND(E178&lt;=Quy_uoc_chung!$C$4,OR(G178="",G178&gt;Quy_uoc_chung!$C$4)),1,0)</f>
        <v>1</v>
      </c>
      <c r="K178" s="18">
        <f>IF(AND(E178&gt;=Quy_uoc_chung!$C$4-Quy_uoc_chung!$C$3+1,E178&lt;=Quy_uoc_chung!$C$4),1,0)</f>
        <v>1</v>
      </c>
      <c r="L178" s="19">
        <f t="shared" si="12"/>
        <v>20</v>
      </c>
      <c r="M178" s="20">
        <f t="shared" si="13"/>
        <v>9278440000</v>
      </c>
      <c r="N178" s="21" t="str">
        <f t="shared" si="14"/>
        <v/>
      </c>
      <c r="O178" s="18">
        <f>IF(AND(H178&gt;0,J178=1,N178&gt;=Quy_uoc_chung!$C$4),1,0)</f>
        <v>0</v>
      </c>
      <c r="P178" s="22" t="str">
        <f t="shared" si="15"/>
        <v/>
      </c>
      <c r="Q178" s="20">
        <f t="shared" si="16"/>
        <v>0</v>
      </c>
      <c r="R178" s="28">
        <f>IF(J178=1,MAX(0,Quy_uoc_chung!$C$4-F178),0)</f>
        <v>0</v>
      </c>
      <c r="S178" s="28">
        <f t="shared" si="17"/>
        <v>0</v>
      </c>
      <c r="T178" s="28">
        <f>IF(AND(J178=1,F178=Quy_uoc_chung!$C$4),1,0)</f>
        <v>0</v>
      </c>
    </row>
    <row r="179" spans="1:20" x14ac:dyDescent="0.3">
      <c r="A179" s="15" t="s">
        <v>727</v>
      </c>
      <c r="B179" s="15" t="s">
        <v>55</v>
      </c>
      <c r="C179" s="15" t="s">
        <v>164</v>
      </c>
      <c r="D179" s="16">
        <v>169516000</v>
      </c>
      <c r="E179" s="17">
        <v>46278</v>
      </c>
      <c r="F179" s="17">
        <v>46298</v>
      </c>
      <c r="G179" s="17"/>
      <c r="H179" s="15">
        <v>0</v>
      </c>
      <c r="I179" s="15">
        <v>0</v>
      </c>
      <c r="J179" s="18">
        <f>IF(AND(E179&lt;=Quy_uoc_chung!$C$4,OR(G179="",G179&gt;Quy_uoc_chung!$C$4)),1,0)</f>
        <v>1</v>
      </c>
      <c r="K179" s="18">
        <f>IF(AND(E179&gt;=Quy_uoc_chung!$C$4-Quy_uoc_chung!$C$3+1,E179&lt;=Quy_uoc_chung!$C$4),1,0)</f>
        <v>1</v>
      </c>
      <c r="L179" s="19">
        <f t="shared" si="12"/>
        <v>20</v>
      </c>
      <c r="M179" s="20">
        <f t="shared" si="13"/>
        <v>3390320000</v>
      </c>
      <c r="N179" s="21" t="str">
        <f t="shared" si="14"/>
        <v/>
      </c>
      <c r="O179" s="18">
        <f>IF(AND(H179&gt;0,J179=1,N179&gt;=Quy_uoc_chung!$C$4),1,0)</f>
        <v>0</v>
      </c>
      <c r="P179" s="22" t="str">
        <f t="shared" si="15"/>
        <v/>
      </c>
      <c r="Q179" s="20">
        <f t="shared" si="16"/>
        <v>0</v>
      </c>
      <c r="R179" s="28">
        <f>IF(J179=1,MAX(0,Quy_uoc_chung!$C$4-F179),0)</f>
        <v>0</v>
      </c>
      <c r="S179" s="28">
        <f t="shared" si="17"/>
        <v>0</v>
      </c>
      <c r="T179" s="28">
        <f>IF(AND(J179=1,F179=Quy_uoc_chung!$C$4),1,0)</f>
        <v>0</v>
      </c>
    </row>
    <row r="180" spans="1:20" x14ac:dyDescent="0.3">
      <c r="A180" s="15" t="s">
        <v>728</v>
      </c>
      <c r="B180" s="15" t="s">
        <v>55</v>
      </c>
      <c r="C180" s="15" t="s">
        <v>162</v>
      </c>
      <c r="D180" s="16">
        <v>72760000</v>
      </c>
      <c r="E180" s="17">
        <v>46276</v>
      </c>
      <c r="F180" s="17">
        <v>46286</v>
      </c>
      <c r="G180" s="17">
        <v>46287</v>
      </c>
      <c r="H180" s="15">
        <v>0</v>
      </c>
      <c r="I180" s="15">
        <v>0</v>
      </c>
      <c r="J180" s="18">
        <f>IF(AND(E180&lt;=Quy_uoc_chung!$C$4,OR(G180="",G180&gt;Quy_uoc_chung!$C$4)),1,0)</f>
        <v>0</v>
      </c>
      <c r="K180" s="18">
        <f>IF(AND(E180&gt;=Quy_uoc_chung!$C$4-Quy_uoc_chung!$C$3+1,E180&lt;=Quy_uoc_chung!$C$4),1,0)</f>
        <v>1</v>
      </c>
      <c r="L180" s="19">
        <f t="shared" si="12"/>
        <v>10</v>
      </c>
      <c r="M180" s="20">
        <f t="shared" si="13"/>
        <v>727600000</v>
      </c>
      <c r="N180" s="21" t="str">
        <f t="shared" si="14"/>
        <v/>
      </c>
      <c r="O180" s="18">
        <f>IF(AND(H180&gt;0,J180=1,N180&gt;=Quy_uoc_chung!$C$4),1,0)</f>
        <v>0</v>
      </c>
      <c r="P180" s="22" t="str">
        <f t="shared" si="15"/>
        <v/>
      </c>
      <c r="Q180" s="20">
        <f t="shared" si="16"/>
        <v>0</v>
      </c>
      <c r="R180" s="28">
        <f>IF(J180=1,MAX(0,Quy_uoc_chung!$C$4-F180),0)</f>
        <v>0</v>
      </c>
      <c r="S180" s="28">
        <f t="shared" si="17"/>
        <v>0</v>
      </c>
      <c r="T180" s="28">
        <f>IF(AND(J180=1,F180=Quy_uoc_chung!$C$4),1,0)</f>
        <v>0</v>
      </c>
    </row>
    <row r="181" spans="1:20" x14ac:dyDescent="0.3">
      <c r="A181" s="15" t="s">
        <v>729</v>
      </c>
      <c r="B181" s="15" t="s">
        <v>55</v>
      </c>
      <c r="C181" s="15" t="s">
        <v>163</v>
      </c>
      <c r="D181" s="16">
        <v>605468000</v>
      </c>
      <c r="E181" s="17">
        <v>46281</v>
      </c>
      <c r="F181" s="17">
        <v>46301</v>
      </c>
      <c r="G181" s="17"/>
      <c r="H181" s="15">
        <v>0</v>
      </c>
      <c r="I181" s="15">
        <v>0</v>
      </c>
      <c r="J181" s="18">
        <f>IF(AND(E181&lt;=Quy_uoc_chung!$C$4,OR(G181="",G181&gt;Quy_uoc_chung!$C$4)),1,0)</f>
        <v>1</v>
      </c>
      <c r="K181" s="18">
        <f>IF(AND(E181&gt;=Quy_uoc_chung!$C$4-Quy_uoc_chung!$C$3+1,E181&lt;=Quy_uoc_chung!$C$4),1,0)</f>
        <v>1</v>
      </c>
      <c r="L181" s="19">
        <f t="shared" si="12"/>
        <v>20</v>
      </c>
      <c r="M181" s="20">
        <f t="shared" si="13"/>
        <v>12109360000</v>
      </c>
      <c r="N181" s="21" t="str">
        <f t="shared" si="14"/>
        <v/>
      </c>
      <c r="O181" s="18">
        <f>IF(AND(H181&gt;0,J181=1,N181&gt;=Quy_uoc_chung!$C$4),1,0)</f>
        <v>0</v>
      </c>
      <c r="P181" s="22" t="str">
        <f t="shared" si="15"/>
        <v/>
      </c>
      <c r="Q181" s="20">
        <f t="shared" si="16"/>
        <v>0</v>
      </c>
      <c r="R181" s="28">
        <f>IF(J181=1,MAX(0,Quy_uoc_chung!$C$4-F181),0)</f>
        <v>0</v>
      </c>
      <c r="S181" s="28">
        <f t="shared" si="17"/>
        <v>0</v>
      </c>
      <c r="T181" s="28">
        <f>IF(AND(J181=1,F181=Quy_uoc_chung!$C$4),1,0)</f>
        <v>0</v>
      </c>
    </row>
    <row r="182" spans="1:20" x14ac:dyDescent="0.3">
      <c r="A182" s="15" t="s">
        <v>730</v>
      </c>
      <c r="B182" s="15" t="s">
        <v>55</v>
      </c>
      <c r="C182" s="15" t="s">
        <v>164</v>
      </c>
      <c r="D182" s="16">
        <v>149071000</v>
      </c>
      <c r="E182" s="17">
        <v>46285</v>
      </c>
      <c r="F182" s="17">
        <v>46305</v>
      </c>
      <c r="G182" s="17"/>
      <c r="H182" s="15">
        <v>0</v>
      </c>
      <c r="I182" s="15">
        <v>0</v>
      </c>
      <c r="J182" s="18">
        <f>IF(AND(E182&lt;=Quy_uoc_chung!$C$4,OR(G182="",G182&gt;Quy_uoc_chung!$C$4)),1,0)</f>
        <v>1</v>
      </c>
      <c r="K182" s="18">
        <f>IF(AND(E182&gt;=Quy_uoc_chung!$C$4-Quy_uoc_chung!$C$3+1,E182&lt;=Quy_uoc_chung!$C$4),1,0)</f>
        <v>1</v>
      </c>
      <c r="L182" s="19">
        <f t="shared" si="12"/>
        <v>20</v>
      </c>
      <c r="M182" s="20">
        <f t="shared" si="13"/>
        <v>2981420000</v>
      </c>
      <c r="N182" s="21" t="str">
        <f t="shared" si="14"/>
        <v/>
      </c>
      <c r="O182" s="18">
        <f>IF(AND(H182&gt;0,J182=1,N182&gt;=Quy_uoc_chung!$C$4),1,0)</f>
        <v>0</v>
      </c>
      <c r="P182" s="22" t="str">
        <f t="shared" si="15"/>
        <v/>
      </c>
      <c r="Q182" s="20">
        <f t="shared" si="16"/>
        <v>0</v>
      </c>
      <c r="R182" s="28">
        <f>IF(J182=1,MAX(0,Quy_uoc_chung!$C$4-F182),0)</f>
        <v>0</v>
      </c>
      <c r="S182" s="28">
        <f t="shared" si="17"/>
        <v>0</v>
      </c>
      <c r="T182" s="28">
        <f>IF(AND(J182=1,F182=Quy_uoc_chung!$C$4),1,0)</f>
        <v>0</v>
      </c>
    </row>
    <row r="183" spans="1:20" x14ac:dyDescent="0.3">
      <c r="A183" s="15" t="s">
        <v>731</v>
      </c>
      <c r="B183" s="15" t="s">
        <v>55</v>
      </c>
      <c r="C183" s="15" t="s">
        <v>162</v>
      </c>
      <c r="D183" s="16">
        <v>93791000</v>
      </c>
      <c r="E183" s="17">
        <v>46282</v>
      </c>
      <c r="F183" s="17">
        <v>46292</v>
      </c>
      <c r="G183" s="17">
        <v>46292</v>
      </c>
      <c r="H183" s="15">
        <v>0</v>
      </c>
      <c r="I183" s="15">
        <v>0</v>
      </c>
      <c r="J183" s="18">
        <f>IF(AND(E183&lt;=Quy_uoc_chung!$C$4,OR(G183="",G183&gt;Quy_uoc_chung!$C$4)),1,0)</f>
        <v>0</v>
      </c>
      <c r="K183" s="18">
        <f>IF(AND(E183&gt;=Quy_uoc_chung!$C$4-Quy_uoc_chung!$C$3+1,E183&lt;=Quy_uoc_chung!$C$4),1,0)</f>
        <v>1</v>
      </c>
      <c r="L183" s="19">
        <f t="shared" si="12"/>
        <v>10</v>
      </c>
      <c r="M183" s="20">
        <f t="shared" si="13"/>
        <v>937910000</v>
      </c>
      <c r="N183" s="21" t="str">
        <f t="shared" si="14"/>
        <v/>
      </c>
      <c r="O183" s="18">
        <f>IF(AND(H183&gt;0,J183=1,N183&gt;=Quy_uoc_chung!$C$4),1,0)</f>
        <v>0</v>
      </c>
      <c r="P183" s="22" t="str">
        <f t="shared" si="15"/>
        <v/>
      </c>
      <c r="Q183" s="20">
        <f t="shared" si="16"/>
        <v>0</v>
      </c>
      <c r="R183" s="28">
        <f>IF(J183=1,MAX(0,Quy_uoc_chung!$C$4-F183),0)</f>
        <v>0</v>
      </c>
      <c r="S183" s="28">
        <f t="shared" si="17"/>
        <v>0</v>
      </c>
      <c r="T183" s="28">
        <f>IF(AND(J183=1,F183=Quy_uoc_chung!$C$4),1,0)</f>
        <v>0</v>
      </c>
    </row>
    <row r="184" spans="1:20" x14ac:dyDescent="0.3">
      <c r="A184" s="15" t="s">
        <v>732</v>
      </c>
      <c r="B184" s="15" t="s">
        <v>55</v>
      </c>
      <c r="C184" s="15" t="s">
        <v>163</v>
      </c>
      <c r="D184" s="16">
        <v>495829000</v>
      </c>
      <c r="E184" s="17">
        <v>46291</v>
      </c>
      <c r="F184" s="17">
        <v>46311</v>
      </c>
      <c r="G184" s="17"/>
      <c r="H184" s="15">
        <v>0</v>
      </c>
      <c r="I184" s="15">
        <v>0</v>
      </c>
      <c r="J184" s="18">
        <f>IF(AND(E184&lt;=Quy_uoc_chung!$C$4,OR(G184="",G184&gt;Quy_uoc_chung!$C$4)),1,0)</f>
        <v>1</v>
      </c>
      <c r="K184" s="18">
        <f>IF(AND(E184&gt;=Quy_uoc_chung!$C$4-Quy_uoc_chung!$C$3+1,E184&lt;=Quy_uoc_chung!$C$4),1,0)</f>
        <v>1</v>
      </c>
      <c r="L184" s="19">
        <f t="shared" si="12"/>
        <v>20</v>
      </c>
      <c r="M184" s="20">
        <f t="shared" si="13"/>
        <v>9916580000</v>
      </c>
      <c r="N184" s="21" t="str">
        <f t="shared" si="14"/>
        <v/>
      </c>
      <c r="O184" s="18">
        <f>IF(AND(H184&gt;0,J184=1,N184&gt;=Quy_uoc_chung!$C$4),1,0)</f>
        <v>0</v>
      </c>
      <c r="P184" s="22" t="str">
        <f t="shared" si="15"/>
        <v/>
      </c>
      <c r="Q184" s="20">
        <f t="shared" si="16"/>
        <v>0</v>
      </c>
      <c r="R184" s="28">
        <f>IF(J184=1,MAX(0,Quy_uoc_chung!$C$4-F184),0)</f>
        <v>0</v>
      </c>
      <c r="S184" s="28">
        <f t="shared" si="17"/>
        <v>0</v>
      </c>
      <c r="T184" s="28">
        <f>IF(AND(J184=1,F184=Quy_uoc_chung!$C$4),1,0)</f>
        <v>0</v>
      </c>
    </row>
    <row r="185" spans="1:20" x14ac:dyDescent="0.3">
      <c r="A185" s="15" t="s">
        <v>733</v>
      </c>
      <c r="B185" s="15" t="s">
        <v>55</v>
      </c>
      <c r="C185" s="15" t="s">
        <v>164</v>
      </c>
      <c r="D185" s="16">
        <v>198878000</v>
      </c>
      <c r="E185" s="17">
        <v>46292</v>
      </c>
      <c r="F185" s="17">
        <v>46312</v>
      </c>
      <c r="G185" s="17"/>
      <c r="H185" s="15">
        <v>0</v>
      </c>
      <c r="I185" s="15">
        <v>0</v>
      </c>
      <c r="J185" s="18">
        <f>IF(AND(E185&lt;=Quy_uoc_chung!$C$4,OR(G185="",G185&gt;Quy_uoc_chung!$C$4)),1,0)</f>
        <v>1</v>
      </c>
      <c r="K185" s="18">
        <f>IF(AND(E185&gt;=Quy_uoc_chung!$C$4-Quy_uoc_chung!$C$3+1,E185&lt;=Quy_uoc_chung!$C$4),1,0)</f>
        <v>1</v>
      </c>
      <c r="L185" s="19">
        <f t="shared" si="12"/>
        <v>20</v>
      </c>
      <c r="M185" s="20">
        <f t="shared" si="13"/>
        <v>3977560000</v>
      </c>
      <c r="N185" s="21" t="str">
        <f t="shared" si="14"/>
        <v/>
      </c>
      <c r="O185" s="18">
        <f>IF(AND(H185&gt;0,J185=1,N185&gt;=Quy_uoc_chung!$C$4),1,0)</f>
        <v>0</v>
      </c>
      <c r="P185" s="22" t="str">
        <f t="shared" si="15"/>
        <v/>
      </c>
      <c r="Q185" s="20">
        <f t="shared" si="16"/>
        <v>0</v>
      </c>
      <c r="R185" s="28">
        <f>IF(J185=1,MAX(0,Quy_uoc_chung!$C$4-F185),0)</f>
        <v>0</v>
      </c>
      <c r="S185" s="28">
        <f t="shared" si="17"/>
        <v>0</v>
      </c>
      <c r="T185" s="28">
        <f>IF(AND(J185=1,F185=Quy_uoc_chung!$C$4),1,0)</f>
        <v>0</v>
      </c>
    </row>
    <row r="186" spans="1:20" x14ac:dyDescent="0.3">
      <c r="A186" s="15" t="s">
        <v>734</v>
      </c>
      <c r="B186" s="15" t="s">
        <v>55</v>
      </c>
      <c r="C186" s="15" t="s">
        <v>162</v>
      </c>
      <c r="D186" s="16">
        <v>73228000</v>
      </c>
      <c r="E186" s="17">
        <v>46288</v>
      </c>
      <c r="F186" s="17">
        <v>46298</v>
      </c>
      <c r="G186" s="17"/>
      <c r="H186" s="15">
        <v>0</v>
      </c>
      <c r="I186" s="15">
        <v>0</v>
      </c>
      <c r="J186" s="18">
        <f>IF(AND(E186&lt;=Quy_uoc_chung!$C$4,OR(G186="",G186&gt;Quy_uoc_chung!$C$4)),1,0)</f>
        <v>1</v>
      </c>
      <c r="K186" s="18">
        <f>IF(AND(E186&gt;=Quy_uoc_chung!$C$4-Quy_uoc_chung!$C$3+1,E186&lt;=Quy_uoc_chung!$C$4),1,0)</f>
        <v>1</v>
      </c>
      <c r="L186" s="19">
        <f t="shared" si="12"/>
        <v>10</v>
      </c>
      <c r="M186" s="20">
        <f t="shared" si="13"/>
        <v>732280000</v>
      </c>
      <c r="N186" s="21" t="str">
        <f t="shared" si="14"/>
        <v/>
      </c>
      <c r="O186" s="18">
        <f>IF(AND(H186&gt;0,J186=1,N186&gt;=Quy_uoc_chung!$C$4),1,0)</f>
        <v>0</v>
      </c>
      <c r="P186" s="22" t="str">
        <f t="shared" si="15"/>
        <v/>
      </c>
      <c r="Q186" s="20">
        <f t="shared" si="16"/>
        <v>0</v>
      </c>
      <c r="R186" s="28">
        <f>IF(J186=1,MAX(0,Quy_uoc_chung!$C$4-F186),0)</f>
        <v>0</v>
      </c>
      <c r="S186" s="28">
        <f t="shared" si="17"/>
        <v>0</v>
      </c>
      <c r="T186" s="28">
        <f>IF(AND(J186=1,F186=Quy_uoc_chung!$C$4),1,0)</f>
        <v>0</v>
      </c>
    </row>
    <row r="187" spans="1:20" x14ac:dyDescent="0.3">
      <c r="A187" s="15" t="s">
        <v>735</v>
      </c>
      <c r="B187" s="15" t="s">
        <v>55</v>
      </c>
      <c r="C187" s="15" t="s">
        <v>164</v>
      </c>
      <c r="D187" s="16">
        <v>161838000</v>
      </c>
      <c r="E187" s="17">
        <v>46295</v>
      </c>
      <c r="F187" s="17">
        <v>46315</v>
      </c>
      <c r="G187" s="17"/>
      <c r="H187" s="15">
        <v>0</v>
      </c>
      <c r="I187" s="15">
        <v>0</v>
      </c>
      <c r="J187" s="18">
        <f>IF(AND(E187&lt;=Quy_uoc_chung!$C$4,OR(G187="",G187&gt;Quy_uoc_chung!$C$4)),1,0)</f>
        <v>1</v>
      </c>
      <c r="K187" s="18">
        <f>IF(AND(E187&gt;=Quy_uoc_chung!$C$4-Quy_uoc_chung!$C$3+1,E187&lt;=Quy_uoc_chung!$C$4),1,0)</f>
        <v>1</v>
      </c>
      <c r="L187" s="19">
        <f t="shared" si="12"/>
        <v>20</v>
      </c>
      <c r="M187" s="20">
        <f t="shared" si="13"/>
        <v>3236760000</v>
      </c>
      <c r="N187" s="21" t="str">
        <f t="shared" si="14"/>
        <v/>
      </c>
      <c r="O187" s="18">
        <f>IF(AND(H187&gt;0,J187=1,N187&gt;=Quy_uoc_chung!$C$4),1,0)</f>
        <v>0</v>
      </c>
      <c r="P187" s="22" t="str">
        <f t="shared" si="15"/>
        <v/>
      </c>
      <c r="Q187" s="20">
        <f t="shared" si="16"/>
        <v>0</v>
      </c>
      <c r="R187" s="28">
        <f>IF(J187=1,MAX(0,Quy_uoc_chung!$C$4-F187),0)</f>
        <v>0</v>
      </c>
      <c r="S187" s="28">
        <f t="shared" si="17"/>
        <v>0</v>
      </c>
      <c r="T187" s="28">
        <f>IF(AND(J187=1,F187=Quy_uoc_chung!$C$4),1,0)</f>
        <v>0</v>
      </c>
    </row>
    <row r="188" spans="1:20" x14ac:dyDescent="0.3">
      <c r="A188" s="15" t="s">
        <v>736</v>
      </c>
      <c r="B188" s="15" t="s">
        <v>56</v>
      </c>
      <c r="C188" s="15" t="s">
        <v>173</v>
      </c>
      <c r="D188" s="16">
        <v>132335000</v>
      </c>
      <c r="E188" s="17">
        <v>46115</v>
      </c>
      <c r="F188" s="17">
        <v>46145</v>
      </c>
      <c r="G188" s="17">
        <v>46145</v>
      </c>
      <c r="H188" s="15">
        <v>0</v>
      </c>
      <c r="I188" s="15">
        <v>0</v>
      </c>
      <c r="J188" s="18">
        <f>IF(AND(E188&lt;=Quy_uoc_chung!$C$4,OR(G188="",G188&gt;Quy_uoc_chung!$C$4)),1,0)</f>
        <v>0</v>
      </c>
      <c r="K188" s="18">
        <f>IF(AND(E188&gt;=Quy_uoc_chung!$C$4-Quy_uoc_chung!$C$3+1,E188&lt;=Quy_uoc_chung!$C$4),1,0)</f>
        <v>0</v>
      </c>
      <c r="L188" s="19">
        <f t="shared" si="12"/>
        <v>30</v>
      </c>
      <c r="M188" s="20">
        <f t="shared" si="13"/>
        <v>0</v>
      </c>
      <c r="N188" s="21" t="str">
        <f t="shared" si="14"/>
        <v/>
      </c>
      <c r="O188" s="18">
        <f>IF(AND(H188&gt;0,J188=1,N188&gt;=Quy_uoc_chung!$C$4),1,0)</f>
        <v>0</v>
      </c>
      <c r="P188" s="22" t="str">
        <f t="shared" si="15"/>
        <v/>
      </c>
      <c r="Q188" s="20">
        <f t="shared" si="16"/>
        <v>0</v>
      </c>
      <c r="R188" s="28">
        <f>IF(J188=1,MAX(0,Quy_uoc_chung!$C$4-F188),0)</f>
        <v>0</v>
      </c>
      <c r="S188" s="28">
        <f t="shared" si="17"/>
        <v>0</v>
      </c>
      <c r="T188" s="28">
        <f>IF(AND(J188=1,F188=Quy_uoc_chung!$C$4),1,0)</f>
        <v>0</v>
      </c>
    </row>
    <row r="189" spans="1:20" x14ac:dyDescent="0.3">
      <c r="A189" s="15" t="s">
        <v>737</v>
      </c>
      <c r="B189" s="15" t="s">
        <v>56</v>
      </c>
      <c r="C189" s="15" t="s">
        <v>174</v>
      </c>
      <c r="D189" s="16">
        <v>36710000</v>
      </c>
      <c r="E189" s="17">
        <v>46114</v>
      </c>
      <c r="F189" s="17">
        <v>46144</v>
      </c>
      <c r="G189" s="17">
        <v>46145</v>
      </c>
      <c r="H189" s="15">
        <v>0</v>
      </c>
      <c r="I189" s="15">
        <v>0</v>
      </c>
      <c r="J189" s="18">
        <f>IF(AND(E189&lt;=Quy_uoc_chung!$C$4,OR(G189="",G189&gt;Quy_uoc_chung!$C$4)),1,0)</f>
        <v>0</v>
      </c>
      <c r="K189" s="18">
        <f>IF(AND(E189&gt;=Quy_uoc_chung!$C$4-Quy_uoc_chung!$C$3+1,E189&lt;=Quy_uoc_chung!$C$4),1,0)</f>
        <v>0</v>
      </c>
      <c r="L189" s="19">
        <f t="shared" si="12"/>
        <v>30</v>
      </c>
      <c r="M189" s="20">
        <f t="shared" si="13"/>
        <v>0</v>
      </c>
      <c r="N189" s="21" t="str">
        <f t="shared" si="14"/>
        <v/>
      </c>
      <c r="O189" s="18">
        <f>IF(AND(H189&gt;0,J189=1,N189&gt;=Quy_uoc_chung!$C$4),1,0)</f>
        <v>0</v>
      </c>
      <c r="P189" s="22" t="str">
        <f t="shared" si="15"/>
        <v/>
      </c>
      <c r="Q189" s="20">
        <f t="shared" si="16"/>
        <v>0</v>
      </c>
      <c r="R189" s="28">
        <f>IF(J189=1,MAX(0,Quy_uoc_chung!$C$4-F189),0)</f>
        <v>0</v>
      </c>
      <c r="S189" s="28">
        <f t="shared" si="17"/>
        <v>0</v>
      </c>
      <c r="T189" s="28">
        <f>IF(AND(J189=1,F189=Quy_uoc_chung!$C$4),1,0)</f>
        <v>0</v>
      </c>
    </row>
    <row r="190" spans="1:20" x14ac:dyDescent="0.3">
      <c r="A190" s="15" t="s">
        <v>738</v>
      </c>
      <c r="B190" s="15" t="s">
        <v>56</v>
      </c>
      <c r="C190" s="15" t="s">
        <v>175</v>
      </c>
      <c r="D190" s="16">
        <v>18026000</v>
      </c>
      <c r="E190" s="17">
        <v>46113</v>
      </c>
      <c r="F190" s="17">
        <v>46123</v>
      </c>
      <c r="G190" s="17">
        <v>46123</v>
      </c>
      <c r="H190" s="15">
        <v>0</v>
      </c>
      <c r="I190" s="15">
        <v>0</v>
      </c>
      <c r="J190" s="18">
        <f>IF(AND(E190&lt;=Quy_uoc_chung!$C$4,OR(G190="",G190&gt;Quy_uoc_chung!$C$4)),1,0)</f>
        <v>0</v>
      </c>
      <c r="K190" s="18">
        <f>IF(AND(E190&gt;=Quy_uoc_chung!$C$4-Quy_uoc_chung!$C$3+1,E190&lt;=Quy_uoc_chung!$C$4),1,0)</f>
        <v>0</v>
      </c>
      <c r="L190" s="19">
        <f t="shared" si="12"/>
        <v>10</v>
      </c>
      <c r="M190" s="20">
        <f t="shared" si="13"/>
        <v>0</v>
      </c>
      <c r="N190" s="21" t="str">
        <f t="shared" si="14"/>
        <v/>
      </c>
      <c r="O190" s="18">
        <f>IF(AND(H190&gt;0,J190=1,N190&gt;=Quy_uoc_chung!$C$4),1,0)</f>
        <v>0</v>
      </c>
      <c r="P190" s="22" t="str">
        <f t="shared" si="15"/>
        <v/>
      </c>
      <c r="Q190" s="20">
        <f t="shared" si="16"/>
        <v>0</v>
      </c>
      <c r="R190" s="28">
        <f>IF(J190=1,MAX(0,Quy_uoc_chung!$C$4-F190),0)</f>
        <v>0</v>
      </c>
      <c r="S190" s="28">
        <f t="shared" si="17"/>
        <v>0</v>
      </c>
      <c r="T190" s="28">
        <f>IF(AND(J190=1,F190=Quy_uoc_chung!$C$4),1,0)</f>
        <v>0</v>
      </c>
    </row>
    <row r="191" spans="1:20" x14ac:dyDescent="0.3">
      <c r="A191" s="15" t="s">
        <v>739</v>
      </c>
      <c r="B191" s="15" t="s">
        <v>56</v>
      </c>
      <c r="C191" s="15" t="s">
        <v>173</v>
      </c>
      <c r="D191" s="16">
        <v>120792000</v>
      </c>
      <c r="E191" s="17">
        <v>46120</v>
      </c>
      <c r="F191" s="17">
        <v>46150</v>
      </c>
      <c r="G191" s="17">
        <v>46150</v>
      </c>
      <c r="H191" s="15">
        <v>0</v>
      </c>
      <c r="I191" s="15">
        <v>0</v>
      </c>
      <c r="J191" s="18">
        <f>IF(AND(E191&lt;=Quy_uoc_chung!$C$4,OR(G191="",G191&gt;Quy_uoc_chung!$C$4)),1,0)</f>
        <v>0</v>
      </c>
      <c r="K191" s="18">
        <f>IF(AND(E191&gt;=Quy_uoc_chung!$C$4-Quy_uoc_chung!$C$3+1,E191&lt;=Quy_uoc_chung!$C$4),1,0)</f>
        <v>0</v>
      </c>
      <c r="L191" s="19">
        <f t="shared" si="12"/>
        <v>30</v>
      </c>
      <c r="M191" s="20">
        <f t="shared" si="13"/>
        <v>0</v>
      </c>
      <c r="N191" s="21" t="str">
        <f t="shared" si="14"/>
        <v/>
      </c>
      <c r="O191" s="18">
        <f>IF(AND(H191&gt;0,J191=1,N191&gt;=Quy_uoc_chung!$C$4),1,0)</f>
        <v>0</v>
      </c>
      <c r="P191" s="22" t="str">
        <f t="shared" si="15"/>
        <v/>
      </c>
      <c r="Q191" s="20">
        <f t="shared" si="16"/>
        <v>0</v>
      </c>
      <c r="R191" s="28">
        <f>IF(J191=1,MAX(0,Quy_uoc_chung!$C$4-F191),0)</f>
        <v>0</v>
      </c>
      <c r="S191" s="28">
        <f t="shared" si="17"/>
        <v>0</v>
      </c>
      <c r="T191" s="28">
        <f>IF(AND(J191=1,F191=Quy_uoc_chung!$C$4),1,0)</f>
        <v>0</v>
      </c>
    </row>
    <row r="192" spans="1:20" x14ac:dyDescent="0.3">
      <c r="A192" s="15" t="s">
        <v>740</v>
      </c>
      <c r="B192" s="15" t="s">
        <v>56</v>
      </c>
      <c r="C192" s="15" t="s">
        <v>174</v>
      </c>
      <c r="D192" s="16">
        <v>35301000</v>
      </c>
      <c r="E192" s="17">
        <v>46122</v>
      </c>
      <c r="F192" s="17">
        <v>46152</v>
      </c>
      <c r="G192" s="17">
        <v>46151</v>
      </c>
      <c r="H192" s="15">
        <v>0</v>
      </c>
      <c r="I192" s="15">
        <v>0</v>
      </c>
      <c r="J192" s="18">
        <f>IF(AND(E192&lt;=Quy_uoc_chung!$C$4,OR(G192="",G192&gt;Quy_uoc_chung!$C$4)),1,0)</f>
        <v>0</v>
      </c>
      <c r="K192" s="18">
        <f>IF(AND(E192&gt;=Quy_uoc_chung!$C$4-Quy_uoc_chung!$C$3+1,E192&lt;=Quy_uoc_chung!$C$4),1,0)</f>
        <v>0</v>
      </c>
      <c r="L192" s="19">
        <f t="shared" si="12"/>
        <v>30</v>
      </c>
      <c r="M192" s="20">
        <f t="shared" si="13"/>
        <v>0</v>
      </c>
      <c r="N192" s="21" t="str">
        <f t="shared" si="14"/>
        <v/>
      </c>
      <c r="O192" s="18">
        <f>IF(AND(H192&gt;0,J192=1,N192&gt;=Quy_uoc_chung!$C$4),1,0)</f>
        <v>0</v>
      </c>
      <c r="P192" s="22" t="str">
        <f t="shared" si="15"/>
        <v/>
      </c>
      <c r="Q192" s="20">
        <f t="shared" si="16"/>
        <v>0</v>
      </c>
      <c r="R192" s="28">
        <f>IF(J192=1,MAX(0,Quy_uoc_chung!$C$4-F192),0)</f>
        <v>0</v>
      </c>
      <c r="S192" s="28">
        <f t="shared" si="17"/>
        <v>0</v>
      </c>
      <c r="T192" s="28">
        <f>IF(AND(J192=1,F192=Quy_uoc_chung!$C$4),1,0)</f>
        <v>0</v>
      </c>
    </row>
    <row r="193" spans="1:20" x14ac:dyDescent="0.3">
      <c r="A193" s="15" t="s">
        <v>741</v>
      </c>
      <c r="B193" s="15" t="s">
        <v>56</v>
      </c>
      <c r="C193" s="15" t="s">
        <v>175</v>
      </c>
      <c r="D193" s="16">
        <v>26716000</v>
      </c>
      <c r="E193" s="17">
        <v>46121</v>
      </c>
      <c r="F193" s="17">
        <v>46131</v>
      </c>
      <c r="G193" s="17">
        <v>46131</v>
      </c>
      <c r="H193" s="15">
        <v>0</v>
      </c>
      <c r="I193" s="15">
        <v>0</v>
      </c>
      <c r="J193" s="18">
        <f>IF(AND(E193&lt;=Quy_uoc_chung!$C$4,OR(G193="",G193&gt;Quy_uoc_chung!$C$4)),1,0)</f>
        <v>0</v>
      </c>
      <c r="K193" s="18">
        <f>IF(AND(E193&gt;=Quy_uoc_chung!$C$4-Quy_uoc_chung!$C$3+1,E193&lt;=Quy_uoc_chung!$C$4),1,0)</f>
        <v>0</v>
      </c>
      <c r="L193" s="19">
        <f t="shared" si="12"/>
        <v>10</v>
      </c>
      <c r="M193" s="20">
        <f t="shared" si="13"/>
        <v>0</v>
      </c>
      <c r="N193" s="21" t="str">
        <f t="shared" si="14"/>
        <v/>
      </c>
      <c r="O193" s="18">
        <f>IF(AND(H193&gt;0,J193=1,N193&gt;=Quy_uoc_chung!$C$4),1,0)</f>
        <v>0</v>
      </c>
      <c r="P193" s="22" t="str">
        <f t="shared" si="15"/>
        <v/>
      </c>
      <c r="Q193" s="20">
        <f t="shared" si="16"/>
        <v>0</v>
      </c>
      <c r="R193" s="28">
        <f>IF(J193=1,MAX(0,Quy_uoc_chung!$C$4-F193),0)</f>
        <v>0</v>
      </c>
      <c r="S193" s="28">
        <f t="shared" si="17"/>
        <v>0</v>
      </c>
      <c r="T193" s="28">
        <f>IF(AND(J193=1,F193=Quy_uoc_chung!$C$4),1,0)</f>
        <v>0</v>
      </c>
    </row>
    <row r="194" spans="1:20" x14ac:dyDescent="0.3">
      <c r="A194" s="15" t="s">
        <v>742</v>
      </c>
      <c r="B194" s="15" t="s">
        <v>56</v>
      </c>
      <c r="C194" s="15" t="s">
        <v>173</v>
      </c>
      <c r="D194" s="16">
        <v>190044000</v>
      </c>
      <c r="E194" s="17">
        <v>46127</v>
      </c>
      <c r="F194" s="17">
        <v>46157</v>
      </c>
      <c r="G194" s="17">
        <v>46155</v>
      </c>
      <c r="H194" s="15">
        <v>0</v>
      </c>
      <c r="I194" s="15">
        <v>0</v>
      </c>
      <c r="J194" s="18">
        <f>IF(AND(E194&lt;=Quy_uoc_chung!$C$4,OR(G194="",G194&gt;Quy_uoc_chung!$C$4)),1,0)</f>
        <v>0</v>
      </c>
      <c r="K194" s="18">
        <f>IF(AND(E194&gt;=Quy_uoc_chung!$C$4-Quy_uoc_chung!$C$3+1,E194&lt;=Quy_uoc_chung!$C$4),1,0)</f>
        <v>0</v>
      </c>
      <c r="L194" s="19">
        <f t="shared" si="12"/>
        <v>30</v>
      </c>
      <c r="M194" s="20">
        <f t="shared" si="13"/>
        <v>0</v>
      </c>
      <c r="N194" s="21" t="str">
        <f t="shared" si="14"/>
        <v/>
      </c>
      <c r="O194" s="18">
        <f>IF(AND(H194&gt;0,J194=1,N194&gt;=Quy_uoc_chung!$C$4),1,0)</f>
        <v>0</v>
      </c>
      <c r="P194" s="22" t="str">
        <f t="shared" si="15"/>
        <v/>
      </c>
      <c r="Q194" s="20">
        <f t="shared" si="16"/>
        <v>0</v>
      </c>
      <c r="R194" s="28">
        <f>IF(J194=1,MAX(0,Quy_uoc_chung!$C$4-F194),0)</f>
        <v>0</v>
      </c>
      <c r="S194" s="28">
        <f t="shared" si="17"/>
        <v>0</v>
      </c>
      <c r="T194" s="28">
        <f>IF(AND(J194=1,F194=Quy_uoc_chung!$C$4),1,0)</f>
        <v>0</v>
      </c>
    </row>
    <row r="195" spans="1:20" x14ac:dyDescent="0.3">
      <c r="A195" s="15" t="s">
        <v>743</v>
      </c>
      <c r="B195" s="15" t="s">
        <v>56</v>
      </c>
      <c r="C195" s="15" t="s">
        <v>174</v>
      </c>
      <c r="D195" s="16">
        <v>46896000</v>
      </c>
      <c r="E195" s="17">
        <v>46129</v>
      </c>
      <c r="F195" s="17">
        <v>46159</v>
      </c>
      <c r="G195" s="17">
        <v>46162</v>
      </c>
      <c r="H195" s="15">
        <v>0</v>
      </c>
      <c r="I195" s="15">
        <v>0</v>
      </c>
      <c r="J195" s="18">
        <f>IF(AND(E195&lt;=Quy_uoc_chung!$C$4,OR(G195="",G195&gt;Quy_uoc_chung!$C$4)),1,0)</f>
        <v>0</v>
      </c>
      <c r="K195" s="18">
        <f>IF(AND(E195&gt;=Quy_uoc_chung!$C$4-Quy_uoc_chung!$C$3+1,E195&lt;=Quy_uoc_chung!$C$4),1,0)</f>
        <v>0</v>
      </c>
      <c r="L195" s="19">
        <f t="shared" ref="L195:L258" si="18">F195-E195</f>
        <v>30</v>
      </c>
      <c r="M195" s="20">
        <f t="shared" ref="M195:M258" si="19">IF(K195=1,D195*L195,0)</f>
        <v>0</v>
      </c>
      <c r="N195" s="21" t="str">
        <f t="shared" ref="N195:N258" si="20">IF(H195&gt;0,E195+I195,"")</f>
        <v/>
      </c>
      <c r="O195" s="18">
        <f>IF(AND(H195&gt;0,J195=1,N195&gt;=Quy_uoc_chung!$C$4),1,0)</f>
        <v>0</v>
      </c>
      <c r="P195" s="22" t="str">
        <f t="shared" ref="P195:P258" si="21">IF(O195=1,H195/(1-H195)*365/(L195-I195),"")</f>
        <v/>
      </c>
      <c r="Q195" s="20">
        <f t="shared" ref="Q195:Q258" si="22">IF(O195=1,D195*H195,0)</f>
        <v>0</v>
      </c>
      <c r="R195" s="28">
        <f>IF(J195=1,MAX(0,Quy_uoc_chung!$C$4-F195),0)</f>
        <v>0</v>
      </c>
      <c r="S195" s="28">
        <f t="shared" ref="S195:S258" si="23">IF(AND(J195=1,R195&gt;0),1,0)</f>
        <v>0</v>
      </c>
      <c r="T195" s="28">
        <f>IF(AND(J195=1,F195=Quy_uoc_chung!$C$4),1,0)</f>
        <v>0</v>
      </c>
    </row>
    <row r="196" spans="1:20" x14ac:dyDescent="0.3">
      <c r="A196" s="15" t="s">
        <v>744</v>
      </c>
      <c r="B196" s="15" t="s">
        <v>56</v>
      </c>
      <c r="C196" s="15" t="s">
        <v>175</v>
      </c>
      <c r="D196" s="16">
        <v>21787000</v>
      </c>
      <c r="E196" s="17">
        <v>46131</v>
      </c>
      <c r="F196" s="17">
        <v>46141</v>
      </c>
      <c r="G196" s="17">
        <v>46142</v>
      </c>
      <c r="H196" s="15">
        <v>0</v>
      </c>
      <c r="I196" s="15">
        <v>0</v>
      </c>
      <c r="J196" s="18">
        <f>IF(AND(E196&lt;=Quy_uoc_chung!$C$4,OR(G196="",G196&gt;Quy_uoc_chung!$C$4)),1,0)</f>
        <v>0</v>
      </c>
      <c r="K196" s="18">
        <f>IF(AND(E196&gt;=Quy_uoc_chung!$C$4-Quy_uoc_chung!$C$3+1,E196&lt;=Quy_uoc_chung!$C$4),1,0)</f>
        <v>0</v>
      </c>
      <c r="L196" s="19">
        <f t="shared" si="18"/>
        <v>10</v>
      </c>
      <c r="M196" s="20">
        <f t="shared" si="19"/>
        <v>0</v>
      </c>
      <c r="N196" s="21" t="str">
        <f t="shared" si="20"/>
        <v/>
      </c>
      <c r="O196" s="18">
        <f>IF(AND(H196&gt;0,J196=1,N196&gt;=Quy_uoc_chung!$C$4),1,0)</f>
        <v>0</v>
      </c>
      <c r="P196" s="22" t="str">
        <f t="shared" si="21"/>
        <v/>
      </c>
      <c r="Q196" s="20">
        <f t="shared" si="22"/>
        <v>0</v>
      </c>
      <c r="R196" s="28">
        <f>IF(J196=1,MAX(0,Quy_uoc_chung!$C$4-F196),0)</f>
        <v>0</v>
      </c>
      <c r="S196" s="28">
        <f t="shared" si="23"/>
        <v>0</v>
      </c>
      <c r="T196" s="28">
        <f>IF(AND(J196=1,F196=Quy_uoc_chung!$C$4),1,0)</f>
        <v>0</v>
      </c>
    </row>
    <row r="197" spans="1:20" x14ac:dyDescent="0.3">
      <c r="A197" s="15" t="s">
        <v>745</v>
      </c>
      <c r="B197" s="15" t="s">
        <v>56</v>
      </c>
      <c r="C197" s="15" t="s">
        <v>173</v>
      </c>
      <c r="D197" s="16">
        <v>141475000</v>
      </c>
      <c r="E197" s="17">
        <v>46135</v>
      </c>
      <c r="F197" s="17">
        <v>46165</v>
      </c>
      <c r="G197" s="17">
        <v>46165</v>
      </c>
      <c r="H197" s="15">
        <v>0</v>
      </c>
      <c r="I197" s="15">
        <v>0</v>
      </c>
      <c r="J197" s="18">
        <f>IF(AND(E197&lt;=Quy_uoc_chung!$C$4,OR(G197="",G197&gt;Quy_uoc_chung!$C$4)),1,0)</f>
        <v>0</v>
      </c>
      <c r="K197" s="18">
        <f>IF(AND(E197&gt;=Quy_uoc_chung!$C$4-Quy_uoc_chung!$C$3+1,E197&lt;=Quy_uoc_chung!$C$4),1,0)</f>
        <v>0</v>
      </c>
      <c r="L197" s="19">
        <f t="shared" si="18"/>
        <v>30</v>
      </c>
      <c r="M197" s="20">
        <f t="shared" si="19"/>
        <v>0</v>
      </c>
      <c r="N197" s="21" t="str">
        <f t="shared" si="20"/>
        <v/>
      </c>
      <c r="O197" s="18">
        <f>IF(AND(H197&gt;0,J197=1,N197&gt;=Quy_uoc_chung!$C$4),1,0)</f>
        <v>0</v>
      </c>
      <c r="P197" s="22" t="str">
        <f t="shared" si="21"/>
        <v/>
      </c>
      <c r="Q197" s="20">
        <f t="shared" si="22"/>
        <v>0</v>
      </c>
      <c r="R197" s="28">
        <f>IF(J197=1,MAX(0,Quy_uoc_chung!$C$4-F197),0)</f>
        <v>0</v>
      </c>
      <c r="S197" s="28">
        <f t="shared" si="23"/>
        <v>0</v>
      </c>
      <c r="T197" s="28">
        <f>IF(AND(J197=1,F197=Quy_uoc_chung!$C$4),1,0)</f>
        <v>0</v>
      </c>
    </row>
    <row r="198" spans="1:20" x14ac:dyDescent="0.3">
      <c r="A198" s="15" t="s">
        <v>746</v>
      </c>
      <c r="B198" s="15" t="s">
        <v>56</v>
      </c>
      <c r="C198" s="15" t="s">
        <v>174</v>
      </c>
      <c r="D198" s="16">
        <v>51756000</v>
      </c>
      <c r="E198" s="17">
        <v>46137</v>
      </c>
      <c r="F198" s="17">
        <v>46167</v>
      </c>
      <c r="G198" s="17">
        <v>46170</v>
      </c>
      <c r="H198" s="15">
        <v>0</v>
      </c>
      <c r="I198" s="15">
        <v>0</v>
      </c>
      <c r="J198" s="18">
        <f>IF(AND(E198&lt;=Quy_uoc_chung!$C$4,OR(G198="",G198&gt;Quy_uoc_chung!$C$4)),1,0)</f>
        <v>0</v>
      </c>
      <c r="K198" s="18">
        <f>IF(AND(E198&gt;=Quy_uoc_chung!$C$4-Quy_uoc_chung!$C$3+1,E198&lt;=Quy_uoc_chung!$C$4),1,0)</f>
        <v>0</v>
      </c>
      <c r="L198" s="19">
        <f t="shared" si="18"/>
        <v>30</v>
      </c>
      <c r="M198" s="20">
        <f t="shared" si="19"/>
        <v>0</v>
      </c>
      <c r="N198" s="21" t="str">
        <f t="shared" si="20"/>
        <v/>
      </c>
      <c r="O198" s="18">
        <f>IF(AND(H198&gt;0,J198=1,N198&gt;=Quy_uoc_chung!$C$4),1,0)</f>
        <v>0</v>
      </c>
      <c r="P198" s="22" t="str">
        <f t="shared" si="21"/>
        <v/>
      </c>
      <c r="Q198" s="20">
        <f t="shared" si="22"/>
        <v>0</v>
      </c>
      <c r="R198" s="28">
        <f>IF(J198=1,MAX(0,Quy_uoc_chung!$C$4-F198),0)</f>
        <v>0</v>
      </c>
      <c r="S198" s="28">
        <f t="shared" si="23"/>
        <v>0</v>
      </c>
      <c r="T198" s="28">
        <f>IF(AND(J198=1,F198=Quy_uoc_chung!$C$4),1,0)</f>
        <v>0</v>
      </c>
    </row>
    <row r="199" spans="1:20" x14ac:dyDescent="0.3">
      <c r="A199" s="15" t="s">
        <v>747</v>
      </c>
      <c r="B199" s="15" t="s">
        <v>56</v>
      </c>
      <c r="C199" s="15" t="s">
        <v>175</v>
      </c>
      <c r="D199" s="16">
        <v>21481000</v>
      </c>
      <c r="E199" s="17">
        <v>46136</v>
      </c>
      <c r="F199" s="17">
        <v>46146</v>
      </c>
      <c r="G199" s="17">
        <v>46145</v>
      </c>
      <c r="H199" s="15">
        <v>0</v>
      </c>
      <c r="I199" s="15">
        <v>0</v>
      </c>
      <c r="J199" s="18">
        <f>IF(AND(E199&lt;=Quy_uoc_chung!$C$4,OR(G199="",G199&gt;Quy_uoc_chung!$C$4)),1,0)</f>
        <v>0</v>
      </c>
      <c r="K199" s="18">
        <f>IF(AND(E199&gt;=Quy_uoc_chung!$C$4-Quy_uoc_chung!$C$3+1,E199&lt;=Quy_uoc_chung!$C$4),1,0)</f>
        <v>0</v>
      </c>
      <c r="L199" s="19">
        <f t="shared" si="18"/>
        <v>10</v>
      </c>
      <c r="M199" s="20">
        <f t="shared" si="19"/>
        <v>0</v>
      </c>
      <c r="N199" s="21" t="str">
        <f t="shared" si="20"/>
        <v/>
      </c>
      <c r="O199" s="18">
        <f>IF(AND(H199&gt;0,J199=1,N199&gt;=Quy_uoc_chung!$C$4),1,0)</f>
        <v>0</v>
      </c>
      <c r="P199" s="22" t="str">
        <f t="shared" si="21"/>
        <v/>
      </c>
      <c r="Q199" s="20">
        <f t="shared" si="22"/>
        <v>0</v>
      </c>
      <c r="R199" s="28">
        <f>IF(J199=1,MAX(0,Quy_uoc_chung!$C$4-F199),0)</f>
        <v>0</v>
      </c>
      <c r="S199" s="28">
        <f t="shared" si="23"/>
        <v>0</v>
      </c>
      <c r="T199" s="28">
        <f>IF(AND(J199=1,F199=Quy_uoc_chung!$C$4),1,0)</f>
        <v>0</v>
      </c>
    </row>
    <row r="200" spans="1:20" x14ac:dyDescent="0.3">
      <c r="A200" s="15" t="s">
        <v>748</v>
      </c>
      <c r="B200" s="15" t="s">
        <v>56</v>
      </c>
      <c r="C200" s="15" t="s">
        <v>173</v>
      </c>
      <c r="D200" s="16">
        <v>181245000</v>
      </c>
      <c r="E200" s="17">
        <v>46142</v>
      </c>
      <c r="F200" s="17">
        <v>46172</v>
      </c>
      <c r="G200" s="17">
        <v>46173</v>
      </c>
      <c r="H200" s="15">
        <v>0</v>
      </c>
      <c r="I200" s="15">
        <v>0</v>
      </c>
      <c r="J200" s="18">
        <f>IF(AND(E200&lt;=Quy_uoc_chung!$C$4,OR(G200="",G200&gt;Quy_uoc_chung!$C$4)),1,0)</f>
        <v>0</v>
      </c>
      <c r="K200" s="18">
        <f>IF(AND(E200&gt;=Quy_uoc_chung!$C$4-Quy_uoc_chung!$C$3+1,E200&lt;=Quy_uoc_chung!$C$4),1,0)</f>
        <v>0</v>
      </c>
      <c r="L200" s="19">
        <f t="shared" si="18"/>
        <v>30</v>
      </c>
      <c r="M200" s="20">
        <f t="shared" si="19"/>
        <v>0</v>
      </c>
      <c r="N200" s="21" t="str">
        <f t="shared" si="20"/>
        <v/>
      </c>
      <c r="O200" s="18">
        <f>IF(AND(H200&gt;0,J200=1,N200&gt;=Quy_uoc_chung!$C$4),1,0)</f>
        <v>0</v>
      </c>
      <c r="P200" s="22" t="str">
        <f t="shared" si="21"/>
        <v/>
      </c>
      <c r="Q200" s="20">
        <f t="shared" si="22"/>
        <v>0</v>
      </c>
      <c r="R200" s="28">
        <f>IF(J200=1,MAX(0,Quy_uoc_chung!$C$4-F200),0)</f>
        <v>0</v>
      </c>
      <c r="S200" s="28">
        <f t="shared" si="23"/>
        <v>0</v>
      </c>
      <c r="T200" s="28">
        <f>IF(AND(J200=1,F200=Quy_uoc_chung!$C$4),1,0)</f>
        <v>0</v>
      </c>
    </row>
    <row r="201" spans="1:20" x14ac:dyDescent="0.3">
      <c r="A201" s="15" t="s">
        <v>749</v>
      </c>
      <c r="B201" s="15" t="s">
        <v>56</v>
      </c>
      <c r="C201" s="15" t="s">
        <v>174</v>
      </c>
      <c r="D201" s="16">
        <v>36478000</v>
      </c>
      <c r="E201" s="17">
        <v>46142</v>
      </c>
      <c r="F201" s="17">
        <v>46172</v>
      </c>
      <c r="G201" s="17">
        <v>46174</v>
      </c>
      <c r="H201" s="15">
        <v>0</v>
      </c>
      <c r="I201" s="15">
        <v>0</v>
      </c>
      <c r="J201" s="18">
        <f>IF(AND(E201&lt;=Quy_uoc_chung!$C$4,OR(G201="",G201&gt;Quy_uoc_chung!$C$4)),1,0)</f>
        <v>0</v>
      </c>
      <c r="K201" s="18">
        <f>IF(AND(E201&gt;=Quy_uoc_chung!$C$4-Quy_uoc_chung!$C$3+1,E201&lt;=Quy_uoc_chung!$C$4),1,0)</f>
        <v>0</v>
      </c>
      <c r="L201" s="19">
        <f t="shared" si="18"/>
        <v>30</v>
      </c>
      <c r="M201" s="20">
        <f t="shared" si="19"/>
        <v>0</v>
      </c>
      <c r="N201" s="21" t="str">
        <f t="shared" si="20"/>
        <v/>
      </c>
      <c r="O201" s="18">
        <f>IF(AND(H201&gt;0,J201=1,N201&gt;=Quy_uoc_chung!$C$4),1,0)</f>
        <v>0</v>
      </c>
      <c r="P201" s="22" t="str">
        <f t="shared" si="21"/>
        <v/>
      </c>
      <c r="Q201" s="20">
        <f t="shared" si="22"/>
        <v>0</v>
      </c>
      <c r="R201" s="28">
        <f>IF(J201=1,MAX(0,Quy_uoc_chung!$C$4-F201),0)</f>
        <v>0</v>
      </c>
      <c r="S201" s="28">
        <f t="shared" si="23"/>
        <v>0</v>
      </c>
      <c r="T201" s="28">
        <f>IF(AND(J201=1,F201=Quy_uoc_chung!$C$4),1,0)</f>
        <v>0</v>
      </c>
    </row>
    <row r="202" spans="1:20" x14ac:dyDescent="0.3">
      <c r="A202" s="15" t="s">
        <v>750</v>
      </c>
      <c r="B202" s="15" t="s">
        <v>56</v>
      </c>
      <c r="C202" s="15" t="s">
        <v>175</v>
      </c>
      <c r="D202" s="16">
        <v>26716000</v>
      </c>
      <c r="E202" s="17">
        <v>46141</v>
      </c>
      <c r="F202" s="17">
        <v>46151</v>
      </c>
      <c r="G202" s="17">
        <v>46151</v>
      </c>
      <c r="H202" s="15">
        <v>0</v>
      </c>
      <c r="I202" s="15">
        <v>0</v>
      </c>
      <c r="J202" s="18">
        <f>IF(AND(E202&lt;=Quy_uoc_chung!$C$4,OR(G202="",G202&gt;Quy_uoc_chung!$C$4)),1,0)</f>
        <v>0</v>
      </c>
      <c r="K202" s="18">
        <f>IF(AND(E202&gt;=Quy_uoc_chung!$C$4-Quy_uoc_chung!$C$3+1,E202&lt;=Quy_uoc_chung!$C$4),1,0)</f>
        <v>0</v>
      </c>
      <c r="L202" s="19">
        <f t="shared" si="18"/>
        <v>10</v>
      </c>
      <c r="M202" s="20">
        <f t="shared" si="19"/>
        <v>0</v>
      </c>
      <c r="N202" s="21" t="str">
        <f t="shared" si="20"/>
        <v/>
      </c>
      <c r="O202" s="18">
        <f>IF(AND(H202&gt;0,J202=1,N202&gt;=Quy_uoc_chung!$C$4),1,0)</f>
        <v>0</v>
      </c>
      <c r="P202" s="22" t="str">
        <f t="shared" si="21"/>
        <v/>
      </c>
      <c r="Q202" s="20">
        <f t="shared" si="22"/>
        <v>0</v>
      </c>
      <c r="R202" s="28">
        <f>IF(J202=1,MAX(0,Quy_uoc_chung!$C$4-F202),0)</f>
        <v>0</v>
      </c>
      <c r="S202" s="28">
        <f t="shared" si="23"/>
        <v>0</v>
      </c>
      <c r="T202" s="28">
        <f>IF(AND(J202=1,F202=Quy_uoc_chung!$C$4),1,0)</f>
        <v>0</v>
      </c>
    </row>
    <row r="203" spans="1:20" x14ac:dyDescent="0.3">
      <c r="A203" s="15" t="s">
        <v>751</v>
      </c>
      <c r="B203" s="15" t="s">
        <v>56</v>
      </c>
      <c r="C203" s="15" t="s">
        <v>173</v>
      </c>
      <c r="D203" s="16">
        <v>200476000</v>
      </c>
      <c r="E203" s="17">
        <v>46152</v>
      </c>
      <c r="F203" s="17">
        <v>46182</v>
      </c>
      <c r="G203" s="17">
        <v>46181</v>
      </c>
      <c r="H203" s="15">
        <v>0</v>
      </c>
      <c r="I203" s="15">
        <v>0</v>
      </c>
      <c r="J203" s="18">
        <f>IF(AND(E203&lt;=Quy_uoc_chung!$C$4,OR(G203="",G203&gt;Quy_uoc_chung!$C$4)),1,0)</f>
        <v>0</v>
      </c>
      <c r="K203" s="18">
        <f>IF(AND(E203&gt;=Quy_uoc_chung!$C$4-Quy_uoc_chung!$C$3+1,E203&lt;=Quy_uoc_chung!$C$4),1,0)</f>
        <v>0</v>
      </c>
      <c r="L203" s="19">
        <f t="shared" si="18"/>
        <v>30</v>
      </c>
      <c r="M203" s="20">
        <f t="shared" si="19"/>
        <v>0</v>
      </c>
      <c r="N203" s="21" t="str">
        <f t="shared" si="20"/>
        <v/>
      </c>
      <c r="O203" s="18">
        <f>IF(AND(H203&gt;0,J203=1,N203&gt;=Quy_uoc_chung!$C$4),1,0)</f>
        <v>0</v>
      </c>
      <c r="P203" s="22" t="str">
        <f t="shared" si="21"/>
        <v/>
      </c>
      <c r="Q203" s="20">
        <f t="shared" si="22"/>
        <v>0</v>
      </c>
      <c r="R203" s="28">
        <f>IF(J203=1,MAX(0,Quy_uoc_chung!$C$4-F203),0)</f>
        <v>0</v>
      </c>
      <c r="S203" s="28">
        <f t="shared" si="23"/>
        <v>0</v>
      </c>
      <c r="T203" s="28">
        <f>IF(AND(J203=1,F203=Quy_uoc_chung!$C$4),1,0)</f>
        <v>0</v>
      </c>
    </row>
    <row r="204" spans="1:20" x14ac:dyDescent="0.3">
      <c r="A204" s="15" t="s">
        <v>752</v>
      </c>
      <c r="B204" s="15" t="s">
        <v>56</v>
      </c>
      <c r="C204" s="15" t="s">
        <v>174</v>
      </c>
      <c r="D204" s="16">
        <v>44821000</v>
      </c>
      <c r="E204" s="17">
        <v>46148</v>
      </c>
      <c r="F204" s="17">
        <v>46178</v>
      </c>
      <c r="G204" s="17">
        <v>46178</v>
      </c>
      <c r="H204" s="15">
        <v>0</v>
      </c>
      <c r="I204" s="15">
        <v>0</v>
      </c>
      <c r="J204" s="18">
        <f>IF(AND(E204&lt;=Quy_uoc_chung!$C$4,OR(G204="",G204&gt;Quy_uoc_chung!$C$4)),1,0)</f>
        <v>0</v>
      </c>
      <c r="K204" s="18">
        <f>IF(AND(E204&gt;=Quy_uoc_chung!$C$4-Quy_uoc_chung!$C$3+1,E204&lt;=Quy_uoc_chung!$C$4),1,0)</f>
        <v>0</v>
      </c>
      <c r="L204" s="19">
        <f t="shared" si="18"/>
        <v>30</v>
      </c>
      <c r="M204" s="20">
        <f t="shared" si="19"/>
        <v>0</v>
      </c>
      <c r="N204" s="21" t="str">
        <f t="shared" si="20"/>
        <v/>
      </c>
      <c r="O204" s="18">
        <f>IF(AND(H204&gt;0,J204=1,N204&gt;=Quy_uoc_chung!$C$4),1,0)</f>
        <v>0</v>
      </c>
      <c r="P204" s="22" t="str">
        <f t="shared" si="21"/>
        <v/>
      </c>
      <c r="Q204" s="20">
        <f t="shared" si="22"/>
        <v>0</v>
      </c>
      <c r="R204" s="28">
        <f>IF(J204=1,MAX(0,Quy_uoc_chung!$C$4-F204),0)</f>
        <v>0</v>
      </c>
      <c r="S204" s="28">
        <f t="shared" si="23"/>
        <v>0</v>
      </c>
      <c r="T204" s="28">
        <f>IF(AND(J204=1,F204=Quy_uoc_chung!$C$4),1,0)</f>
        <v>0</v>
      </c>
    </row>
    <row r="205" spans="1:20" x14ac:dyDescent="0.3">
      <c r="A205" s="15" t="s">
        <v>753</v>
      </c>
      <c r="B205" s="15" t="s">
        <v>56</v>
      </c>
      <c r="C205" s="15" t="s">
        <v>175</v>
      </c>
      <c r="D205" s="16">
        <v>27313000</v>
      </c>
      <c r="E205" s="17">
        <v>46152</v>
      </c>
      <c r="F205" s="17">
        <v>46162</v>
      </c>
      <c r="G205" s="17">
        <v>46160</v>
      </c>
      <c r="H205" s="15">
        <v>0</v>
      </c>
      <c r="I205" s="15">
        <v>0</v>
      </c>
      <c r="J205" s="18">
        <f>IF(AND(E205&lt;=Quy_uoc_chung!$C$4,OR(G205="",G205&gt;Quy_uoc_chung!$C$4)),1,0)</f>
        <v>0</v>
      </c>
      <c r="K205" s="18">
        <f>IF(AND(E205&gt;=Quy_uoc_chung!$C$4-Quy_uoc_chung!$C$3+1,E205&lt;=Quy_uoc_chung!$C$4),1,0)</f>
        <v>0</v>
      </c>
      <c r="L205" s="19">
        <f t="shared" si="18"/>
        <v>10</v>
      </c>
      <c r="M205" s="20">
        <f t="shared" si="19"/>
        <v>0</v>
      </c>
      <c r="N205" s="21" t="str">
        <f t="shared" si="20"/>
        <v/>
      </c>
      <c r="O205" s="18">
        <f>IF(AND(H205&gt;0,J205=1,N205&gt;=Quy_uoc_chung!$C$4),1,0)</f>
        <v>0</v>
      </c>
      <c r="P205" s="22" t="str">
        <f t="shared" si="21"/>
        <v/>
      </c>
      <c r="Q205" s="20">
        <f t="shared" si="22"/>
        <v>0</v>
      </c>
      <c r="R205" s="28">
        <f>IF(J205=1,MAX(0,Quy_uoc_chung!$C$4-F205),0)</f>
        <v>0</v>
      </c>
      <c r="S205" s="28">
        <f t="shared" si="23"/>
        <v>0</v>
      </c>
      <c r="T205" s="28">
        <f>IF(AND(J205=1,F205=Quy_uoc_chung!$C$4),1,0)</f>
        <v>0</v>
      </c>
    </row>
    <row r="206" spans="1:20" x14ac:dyDescent="0.3">
      <c r="A206" s="15" t="s">
        <v>754</v>
      </c>
      <c r="B206" s="15" t="s">
        <v>56</v>
      </c>
      <c r="C206" s="15" t="s">
        <v>173</v>
      </c>
      <c r="D206" s="16">
        <v>136230000</v>
      </c>
      <c r="E206" s="17">
        <v>46159</v>
      </c>
      <c r="F206" s="17">
        <v>46189</v>
      </c>
      <c r="G206" s="17">
        <v>46187</v>
      </c>
      <c r="H206" s="15">
        <v>0</v>
      </c>
      <c r="I206" s="15">
        <v>0</v>
      </c>
      <c r="J206" s="18">
        <f>IF(AND(E206&lt;=Quy_uoc_chung!$C$4,OR(G206="",G206&gt;Quy_uoc_chung!$C$4)),1,0)</f>
        <v>0</v>
      </c>
      <c r="K206" s="18">
        <f>IF(AND(E206&gt;=Quy_uoc_chung!$C$4-Quy_uoc_chung!$C$3+1,E206&lt;=Quy_uoc_chung!$C$4),1,0)</f>
        <v>0</v>
      </c>
      <c r="L206" s="19">
        <f t="shared" si="18"/>
        <v>30</v>
      </c>
      <c r="M206" s="20">
        <f t="shared" si="19"/>
        <v>0</v>
      </c>
      <c r="N206" s="21" t="str">
        <f t="shared" si="20"/>
        <v/>
      </c>
      <c r="O206" s="18">
        <f>IF(AND(H206&gt;0,J206=1,N206&gt;=Quy_uoc_chung!$C$4),1,0)</f>
        <v>0</v>
      </c>
      <c r="P206" s="22" t="str">
        <f t="shared" si="21"/>
        <v/>
      </c>
      <c r="Q206" s="20">
        <f t="shared" si="22"/>
        <v>0</v>
      </c>
      <c r="R206" s="28">
        <f>IF(J206=1,MAX(0,Quy_uoc_chung!$C$4-F206),0)</f>
        <v>0</v>
      </c>
      <c r="S206" s="28">
        <f t="shared" si="23"/>
        <v>0</v>
      </c>
      <c r="T206" s="28">
        <f>IF(AND(J206=1,F206=Quy_uoc_chung!$C$4),1,0)</f>
        <v>0</v>
      </c>
    </row>
    <row r="207" spans="1:20" x14ac:dyDescent="0.3">
      <c r="A207" s="15" t="s">
        <v>755</v>
      </c>
      <c r="B207" s="15" t="s">
        <v>56</v>
      </c>
      <c r="C207" s="15" t="s">
        <v>174</v>
      </c>
      <c r="D207" s="16">
        <v>49590000</v>
      </c>
      <c r="E207" s="17">
        <v>46159</v>
      </c>
      <c r="F207" s="17">
        <v>46189</v>
      </c>
      <c r="G207" s="17">
        <v>46186</v>
      </c>
      <c r="H207" s="15">
        <v>0</v>
      </c>
      <c r="I207" s="15">
        <v>0</v>
      </c>
      <c r="J207" s="18">
        <f>IF(AND(E207&lt;=Quy_uoc_chung!$C$4,OR(G207="",G207&gt;Quy_uoc_chung!$C$4)),1,0)</f>
        <v>0</v>
      </c>
      <c r="K207" s="18">
        <f>IF(AND(E207&gt;=Quy_uoc_chung!$C$4-Quy_uoc_chung!$C$3+1,E207&lt;=Quy_uoc_chung!$C$4),1,0)</f>
        <v>0</v>
      </c>
      <c r="L207" s="19">
        <f t="shared" si="18"/>
        <v>30</v>
      </c>
      <c r="M207" s="20">
        <f t="shared" si="19"/>
        <v>0</v>
      </c>
      <c r="N207" s="21" t="str">
        <f t="shared" si="20"/>
        <v/>
      </c>
      <c r="O207" s="18">
        <f>IF(AND(H207&gt;0,J207=1,N207&gt;=Quy_uoc_chung!$C$4),1,0)</f>
        <v>0</v>
      </c>
      <c r="P207" s="22" t="str">
        <f t="shared" si="21"/>
        <v/>
      </c>
      <c r="Q207" s="20">
        <f t="shared" si="22"/>
        <v>0</v>
      </c>
      <c r="R207" s="28">
        <f>IF(J207=1,MAX(0,Quy_uoc_chung!$C$4-F207),0)</f>
        <v>0</v>
      </c>
      <c r="S207" s="28">
        <f t="shared" si="23"/>
        <v>0</v>
      </c>
      <c r="T207" s="28">
        <f>IF(AND(J207=1,F207=Quy_uoc_chung!$C$4),1,0)</f>
        <v>0</v>
      </c>
    </row>
    <row r="208" spans="1:20" x14ac:dyDescent="0.3">
      <c r="A208" s="15" t="s">
        <v>756</v>
      </c>
      <c r="B208" s="15" t="s">
        <v>56</v>
      </c>
      <c r="C208" s="15" t="s">
        <v>175</v>
      </c>
      <c r="D208" s="16">
        <v>23764000</v>
      </c>
      <c r="E208" s="17">
        <v>46156</v>
      </c>
      <c r="F208" s="17">
        <v>46166</v>
      </c>
      <c r="G208" s="17">
        <v>46165</v>
      </c>
      <c r="H208" s="15">
        <v>0</v>
      </c>
      <c r="I208" s="15">
        <v>0</v>
      </c>
      <c r="J208" s="18">
        <f>IF(AND(E208&lt;=Quy_uoc_chung!$C$4,OR(G208="",G208&gt;Quy_uoc_chung!$C$4)),1,0)</f>
        <v>0</v>
      </c>
      <c r="K208" s="18">
        <f>IF(AND(E208&gt;=Quy_uoc_chung!$C$4-Quy_uoc_chung!$C$3+1,E208&lt;=Quy_uoc_chung!$C$4),1,0)</f>
        <v>0</v>
      </c>
      <c r="L208" s="19">
        <f t="shared" si="18"/>
        <v>10</v>
      </c>
      <c r="M208" s="20">
        <f t="shared" si="19"/>
        <v>0</v>
      </c>
      <c r="N208" s="21" t="str">
        <f t="shared" si="20"/>
        <v/>
      </c>
      <c r="O208" s="18">
        <f>IF(AND(H208&gt;0,J208=1,N208&gt;=Quy_uoc_chung!$C$4),1,0)</f>
        <v>0</v>
      </c>
      <c r="P208" s="22" t="str">
        <f t="shared" si="21"/>
        <v/>
      </c>
      <c r="Q208" s="20">
        <f t="shared" si="22"/>
        <v>0</v>
      </c>
      <c r="R208" s="28">
        <f>IF(J208=1,MAX(0,Quy_uoc_chung!$C$4-F208),0)</f>
        <v>0</v>
      </c>
      <c r="S208" s="28">
        <f t="shared" si="23"/>
        <v>0</v>
      </c>
      <c r="T208" s="28">
        <f>IF(AND(J208=1,F208=Quy_uoc_chung!$C$4),1,0)</f>
        <v>0</v>
      </c>
    </row>
    <row r="209" spans="1:20" x14ac:dyDescent="0.3">
      <c r="A209" s="15" t="s">
        <v>757</v>
      </c>
      <c r="B209" s="15" t="s">
        <v>56</v>
      </c>
      <c r="C209" s="15" t="s">
        <v>173</v>
      </c>
      <c r="D209" s="16">
        <v>187448000</v>
      </c>
      <c r="E209" s="17">
        <v>46163</v>
      </c>
      <c r="F209" s="17">
        <v>46193</v>
      </c>
      <c r="G209" s="17">
        <v>46192</v>
      </c>
      <c r="H209" s="15">
        <v>0</v>
      </c>
      <c r="I209" s="15">
        <v>0</v>
      </c>
      <c r="J209" s="18">
        <f>IF(AND(E209&lt;=Quy_uoc_chung!$C$4,OR(G209="",G209&gt;Quy_uoc_chung!$C$4)),1,0)</f>
        <v>0</v>
      </c>
      <c r="K209" s="18">
        <f>IF(AND(E209&gt;=Quy_uoc_chung!$C$4-Quy_uoc_chung!$C$3+1,E209&lt;=Quy_uoc_chung!$C$4),1,0)</f>
        <v>0</v>
      </c>
      <c r="L209" s="19">
        <f t="shared" si="18"/>
        <v>30</v>
      </c>
      <c r="M209" s="20">
        <f t="shared" si="19"/>
        <v>0</v>
      </c>
      <c r="N209" s="21" t="str">
        <f t="shared" si="20"/>
        <v/>
      </c>
      <c r="O209" s="18">
        <f>IF(AND(H209&gt;0,J209=1,N209&gt;=Quy_uoc_chung!$C$4),1,0)</f>
        <v>0</v>
      </c>
      <c r="P209" s="22" t="str">
        <f t="shared" si="21"/>
        <v/>
      </c>
      <c r="Q209" s="20">
        <f t="shared" si="22"/>
        <v>0</v>
      </c>
      <c r="R209" s="28">
        <f>IF(J209=1,MAX(0,Quy_uoc_chung!$C$4-F209),0)</f>
        <v>0</v>
      </c>
      <c r="S209" s="28">
        <f t="shared" si="23"/>
        <v>0</v>
      </c>
      <c r="T209" s="28">
        <f>IF(AND(J209=1,F209=Quy_uoc_chung!$C$4),1,0)</f>
        <v>0</v>
      </c>
    </row>
    <row r="210" spans="1:20" x14ac:dyDescent="0.3">
      <c r="A210" s="15" t="s">
        <v>758</v>
      </c>
      <c r="B210" s="15" t="s">
        <v>56</v>
      </c>
      <c r="C210" s="15" t="s">
        <v>174</v>
      </c>
      <c r="D210" s="16">
        <v>35638000</v>
      </c>
      <c r="E210" s="17">
        <v>46165</v>
      </c>
      <c r="F210" s="17">
        <v>46195</v>
      </c>
      <c r="G210" s="17">
        <v>46193</v>
      </c>
      <c r="H210" s="15">
        <v>0</v>
      </c>
      <c r="I210" s="15">
        <v>0</v>
      </c>
      <c r="J210" s="18">
        <f>IF(AND(E210&lt;=Quy_uoc_chung!$C$4,OR(G210="",G210&gt;Quy_uoc_chung!$C$4)),1,0)</f>
        <v>0</v>
      </c>
      <c r="K210" s="18">
        <f>IF(AND(E210&gt;=Quy_uoc_chung!$C$4-Quy_uoc_chung!$C$3+1,E210&lt;=Quy_uoc_chung!$C$4),1,0)</f>
        <v>0</v>
      </c>
      <c r="L210" s="19">
        <f t="shared" si="18"/>
        <v>30</v>
      </c>
      <c r="M210" s="20">
        <f t="shared" si="19"/>
        <v>0</v>
      </c>
      <c r="N210" s="21" t="str">
        <f t="shared" si="20"/>
        <v/>
      </c>
      <c r="O210" s="18">
        <f>IF(AND(H210&gt;0,J210=1,N210&gt;=Quy_uoc_chung!$C$4),1,0)</f>
        <v>0</v>
      </c>
      <c r="P210" s="22" t="str">
        <f t="shared" si="21"/>
        <v/>
      </c>
      <c r="Q210" s="20">
        <f t="shared" si="22"/>
        <v>0</v>
      </c>
      <c r="R210" s="28">
        <f>IF(J210=1,MAX(0,Quy_uoc_chung!$C$4-F210),0)</f>
        <v>0</v>
      </c>
      <c r="S210" s="28">
        <f t="shared" si="23"/>
        <v>0</v>
      </c>
      <c r="T210" s="28">
        <f>IF(AND(J210=1,F210=Quy_uoc_chung!$C$4),1,0)</f>
        <v>0</v>
      </c>
    </row>
    <row r="211" spans="1:20" x14ac:dyDescent="0.3">
      <c r="A211" s="15" t="s">
        <v>759</v>
      </c>
      <c r="B211" s="15" t="s">
        <v>56</v>
      </c>
      <c r="C211" s="15" t="s">
        <v>175</v>
      </c>
      <c r="D211" s="16">
        <v>22841000</v>
      </c>
      <c r="E211" s="17">
        <v>46165</v>
      </c>
      <c r="F211" s="17">
        <v>46175</v>
      </c>
      <c r="G211" s="17">
        <v>46174</v>
      </c>
      <c r="H211" s="15">
        <v>0</v>
      </c>
      <c r="I211" s="15">
        <v>0</v>
      </c>
      <c r="J211" s="18">
        <f>IF(AND(E211&lt;=Quy_uoc_chung!$C$4,OR(G211="",G211&gt;Quy_uoc_chung!$C$4)),1,0)</f>
        <v>0</v>
      </c>
      <c r="K211" s="18">
        <f>IF(AND(E211&gt;=Quy_uoc_chung!$C$4-Quy_uoc_chung!$C$3+1,E211&lt;=Quy_uoc_chung!$C$4),1,0)</f>
        <v>0</v>
      </c>
      <c r="L211" s="19">
        <f t="shared" si="18"/>
        <v>10</v>
      </c>
      <c r="M211" s="20">
        <f t="shared" si="19"/>
        <v>0</v>
      </c>
      <c r="N211" s="21" t="str">
        <f t="shared" si="20"/>
        <v/>
      </c>
      <c r="O211" s="18">
        <f>IF(AND(H211&gt;0,J211=1,N211&gt;=Quy_uoc_chung!$C$4),1,0)</f>
        <v>0</v>
      </c>
      <c r="P211" s="22" t="str">
        <f t="shared" si="21"/>
        <v/>
      </c>
      <c r="Q211" s="20">
        <f t="shared" si="22"/>
        <v>0</v>
      </c>
      <c r="R211" s="28">
        <f>IF(J211=1,MAX(0,Quy_uoc_chung!$C$4-F211),0)</f>
        <v>0</v>
      </c>
      <c r="S211" s="28">
        <f t="shared" si="23"/>
        <v>0</v>
      </c>
      <c r="T211" s="28">
        <f>IF(AND(J211=1,F211=Quy_uoc_chung!$C$4),1,0)</f>
        <v>0</v>
      </c>
    </row>
    <row r="212" spans="1:20" x14ac:dyDescent="0.3">
      <c r="A212" s="15" t="s">
        <v>760</v>
      </c>
      <c r="B212" s="15" t="s">
        <v>56</v>
      </c>
      <c r="C212" s="15" t="s">
        <v>173</v>
      </c>
      <c r="D212" s="16">
        <v>181762000</v>
      </c>
      <c r="E212" s="17">
        <v>46170</v>
      </c>
      <c r="F212" s="17">
        <v>46200</v>
      </c>
      <c r="G212" s="17">
        <v>46197</v>
      </c>
      <c r="H212" s="15">
        <v>0</v>
      </c>
      <c r="I212" s="15">
        <v>0</v>
      </c>
      <c r="J212" s="18">
        <f>IF(AND(E212&lt;=Quy_uoc_chung!$C$4,OR(G212="",G212&gt;Quy_uoc_chung!$C$4)),1,0)</f>
        <v>0</v>
      </c>
      <c r="K212" s="18">
        <f>IF(AND(E212&gt;=Quy_uoc_chung!$C$4-Quy_uoc_chung!$C$3+1,E212&lt;=Quy_uoc_chung!$C$4),1,0)</f>
        <v>0</v>
      </c>
      <c r="L212" s="19">
        <f t="shared" si="18"/>
        <v>30</v>
      </c>
      <c r="M212" s="20">
        <f t="shared" si="19"/>
        <v>0</v>
      </c>
      <c r="N212" s="21" t="str">
        <f t="shared" si="20"/>
        <v/>
      </c>
      <c r="O212" s="18">
        <f>IF(AND(H212&gt;0,J212=1,N212&gt;=Quy_uoc_chung!$C$4),1,0)</f>
        <v>0</v>
      </c>
      <c r="P212" s="22" t="str">
        <f t="shared" si="21"/>
        <v/>
      </c>
      <c r="Q212" s="20">
        <f t="shared" si="22"/>
        <v>0</v>
      </c>
      <c r="R212" s="28">
        <f>IF(J212=1,MAX(0,Quy_uoc_chung!$C$4-F212),0)</f>
        <v>0</v>
      </c>
      <c r="S212" s="28">
        <f t="shared" si="23"/>
        <v>0</v>
      </c>
      <c r="T212" s="28">
        <f>IF(AND(J212=1,F212=Quy_uoc_chung!$C$4),1,0)</f>
        <v>0</v>
      </c>
    </row>
    <row r="213" spans="1:20" x14ac:dyDescent="0.3">
      <c r="A213" s="15" t="s">
        <v>761</v>
      </c>
      <c r="B213" s="15" t="s">
        <v>56</v>
      </c>
      <c r="C213" s="15" t="s">
        <v>174</v>
      </c>
      <c r="D213" s="16">
        <v>47408000</v>
      </c>
      <c r="E213" s="17">
        <v>46169</v>
      </c>
      <c r="F213" s="17">
        <v>46199</v>
      </c>
      <c r="G213" s="17">
        <v>46200</v>
      </c>
      <c r="H213" s="15">
        <v>0</v>
      </c>
      <c r="I213" s="15">
        <v>0</v>
      </c>
      <c r="J213" s="18">
        <f>IF(AND(E213&lt;=Quy_uoc_chung!$C$4,OR(G213="",G213&gt;Quy_uoc_chung!$C$4)),1,0)</f>
        <v>0</v>
      </c>
      <c r="K213" s="18">
        <f>IF(AND(E213&gt;=Quy_uoc_chung!$C$4-Quy_uoc_chung!$C$3+1,E213&lt;=Quy_uoc_chung!$C$4),1,0)</f>
        <v>0</v>
      </c>
      <c r="L213" s="19">
        <f t="shared" si="18"/>
        <v>30</v>
      </c>
      <c r="M213" s="20">
        <f t="shared" si="19"/>
        <v>0</v>
      </c>
      <c r="N213" s="21" t="str">
        <f t="shared" si="20"/>
        <v/>
      </c>
      <c r="O213" s="18">
        <f>IF(AND(H213&gt;0,J213=1,N213&gt;=Quy_uoc_chung!$C$4),1,0)</f>
        <v>0</v>
      </c>
      <c r="P213" s="22" t="str">
        <f t="shared" si="21"/>
        <v/>
      </c>
      <c r="Q213" s="20">
        <f t="shared" si="22"/>
        <v>0</v>
      </c>
      <c r="R213" s="28">
        <f>IF(J213=1,MAX(0,Quy_uoc_chung!$C$4-F213),0)</f>
        <v>0</v>
      </c>
      <c r="S213" s="28">
        <f t="shared" si="23"/>
        <v>0</v>
      </c>
      <c r="T213" s="28">
        <f>IF(AND(J213=1,F213=Quy_uoc_chung!$C$4),1,0)</f>
        <v>0</v>
      </c>
    </row>
    <row r="214" spans="1:20" x14ac:dyDescent="0.3">
      <c r="A214" s="15" t="s">
        <v>762</v>
      </c>
      <c r="B214" s="15" t="s">
        <v>56</v>
      </c>
      <c r="C214" s="15" t="s">
        <v>175</v>
      </c>
      <c r="D214" s="16">
        <v>23252000</v>
      </c>
      <c r="E214" s="17">
        <v>46170</v>
      </c>
      <c r="F214" s="17">
        <v>46180</v>
      </c>
      <c r="G214" s="17">
        <v>46179</v>
      </c>
      <c r="H214" s="15">
        <v>0</v>
      </c>
      <c r="I214" s="15">
        <v>0</v>
      </c>
      <c r="J214" s="18">
        <f>IF(AND(E214&lt;=Quy_uoc_chung!$C$4,OR(G214="",G214&gt;Quy_uoc_chung!$C$4)),1,0)</f>
        <v>0</v>
      </c>
      <c r="K214" s="18">
        <f>IF(AND(E214&gt;=Quy_uoc_chung!$C$4-Quy_uoc_chung!$C$3+1,E214&lt;=Quy_uoc_chung!$C$4),1,0)</f>
        <v>0</v>
      </c>
      <c r="L214" s="19">
        <f t="shared" si="18"/>
        <v>10</v>
      </c>
      <c r="M214" s="20">
        <f t="shared" si="19"/>
        <v>0</v>
      </c>
      <c r="N214" s="21" t="str">
        <f t="shared" si="20"/>
        <v/>
      </c>
      <c r="O214" s="18">
        <f>IF(AND(H214&gt;0,J214=1,N214&gt;=Quy_uoc_chung!$C$4),1,0)</f>
        <v>0</v>
      </c>
      <c r="P214" s="22" t="str">
        <f t="shared" si="21"/>
        <v/>
      </c>
      <c r="Q214" s="20">
        <f t="shared" si="22"/>
        <v>0</v>
      </c>
      <c r="R214" s="28">
        <f>IF(J214=1,MAX(0,Quy_uoc_chung!$C$4-F214),0)</f>
        <v>0</v>
      </c>
      <c r="S214" s="28">
        <f t="shared" si="23"/>
        <v>0</v>
      </c>
      <c r="T214" s="28">
        <f>IF(AND(J214=1,F214=Quy_uoc_chung!$C$4),1,0)</f>
        <v>0</v>
      </c>
    </row>
    <row r="215" spans="1:20" x14ac:dyDescent="0.3">
      <c r="A215" s="15" t="s">
        <v>763</v>
      </c>
      <c r="B215" s="15" t="s">
        <v>56</v>
      </c>
      <c r="C215" s="15" t="s">
        <v>173</v>
      </c>
      <c r="D215" s="16">
        <v>166160000</v>
      </c>
      <c r="E215" s="17">
        <v>46179</v>
      </c>
      <c r="F215" s="17">
        <v>46209</v>
      </c>
      <c r="G215" s="17">
        <v>46210</v>
      </c>
      <c r="H215" s="15">
        <v>0</v>
      </c>
      <c r="I215" s="15">
        <v>0</v>
      </c>
      <c r="J215" s="18">
        <f>IF(AND(E215&lt;=Quy_uoc_chung!$C$4,OR(G215="",G215&gt;Quy_uoc_chung!$C$4)),1,0)</f>
        <v>0</v>
      </c>
      <c r="K215" s="18">
        <f>IF(AND(E215&gt;=Quy_uoc_chung!$C$4-Quy_uoc_chung!$C$3+1,E215&lt;=Quy_uoc_chung!$C$4),1,0)</f>
        <v>0</v>
      </c>
      <c r="L215" s="19">
        <f t="shared" si="18"/>
        <v>30</v>
      </c>
      <c r="M215" s="20">
        <f t="shared" si="19"/>
        <v>0</v>
      </c>
      <c r="N215" s="21" t="str">
        <f t="shared" si="20"/>
        <v/>
      </c>
      <c r="O215" s="18">
        <f>IF(AND(H215&gt;0,J215=1,N215&gt;=Quy_uoc_chung!$C$4),1,0)</f>
        <v>0</v>
      </c>
      <c r="P215" s="22" t="str">
        <f t="shared" si="21"/>
        <v/>
      </c>
      <c r="Q215" s="20">
        <f t="shared" si="22"/>
        <v>0</v>
      </c>
      <c r="R215" s="28">
        <f>IF(J215=1,MAX(0,Quy_uoc_chung!$C$4-F215),0)</f>
        <v>0</v>
      </c>
      <c r="S215" s="28">
        <f t="shared" si="23"/>
        <v>0</v>
      </c>
      <c r="T215" s="28">
        <f>IF(AND(J215=1,F215=Quy_uoc_chung!$C$4),1,0)</f>
        <v>0</v>
      </c>
    </row>
    <row r="216" spans="1:20" x14ac:dyDescent="0.3">
      <c r="A216" s="15" t="s">
        <v>764</v>
      </c>
      <c r="B216" s="15" t="s">
        <v>56</v>
      </c>
      <c r="C216" s="15" t="s">
        <v>174</v>
      </c>
      <c r="D216" s="16">
        <v>34525000</v>
      </c>
      <c r="E216" s="17">
        <v>46179</v>
      </c>
      <c r="F216" s="17">
        <v>46209</v>
      </c>
      <c r="G216" s="17">
        <v>46206</v>
      </c>
      <c r="H216" s="15">
        <v>0</v>
      </c>
      <c r="I216" s="15">
        <v>0</v>
      </c>
      <c r="J216" s="18">
        <f>IF(AND(E216&lt;=Quy_uoc_chung!$C$4,OR(G216="",G216&gt;Quy_uoc_chung!$C$4)),1,0)</f>
        <v>0</v>
      </c>
      <c r="K216" s="18">
        <f>IF(AND(E216&gt;=Quy_uoc_chung!$C$4-Quy_uoc_chung!$C$3+1,E216&lt;=Quy_uoc_chung!$C$4),1,0)</f>
        <v>0</v>
      </c>
      <c r="L216" s="19">
        <f t="shared" si="18"/>
        <v>30</v>
      </c>
      <c r="M216" s="20">
        <f t="shared" si="19"/>
        <v>0</v>
      </c>
      <c r="N216" s="21" t="str">
        <f t="shared" si="20"/>
        <v/>
      </c>
      <c r="O216" s="18">
        <f>IF(AND(H216&gt;0,J216=1,N216&gt;=Quy_uoc_chung!$C$4),1,0)</f>
        <v>0</v>
      </c>
      <c r="P216" s="22" t="str">
        <f t="shared" si="21"/>
        <v/>
      </c>
      <c r="Q216" s="20">
        <f t="shared" si="22"/>
        <v>0</v>
      </c>
      <c r="R216" s="28">
        <f>IF(J216=1,MAX(0,Quy_uoc_chung!$C$4-F216),0)</f>
        <v>0</v>
      </c>
      <c r="S216" s="28">
        <f t="shared" si="23"/>
        <v>0</v>
      </c>
      <c r="T216" s="28">
        <f>IF(AND(J216=1,F216=Quy_uoc_chung!$C$4),1,0)</f>
        <v>0</v>
      </c>
    </row>
    <row r="217" spans="1:20" x14ac:dyDescent="0.3">
      <c r="A217" s="15" t="s">
        <v>765</v>
      </c>
      <c r="B217" s="15" t="s">
        <v>56</v>
      </c>
      <c r="C217" s="15" t="s">
        <v>175</v>
      </c>
      <c r="D217" s="16">
        <v>27537000</v>
      </c>
      <c r="E217" s="17">
        <v>46179</v>
      </c>
      <c r="F217" s="17">
        <v>46189</v>
      </c>
      <c r="G217" s="17">
        <v>46190</v>
      </c>
      <c r="H217" s="15">
        <v>0</v>
      </c>
      <c r="I217" s="15">
        <v>0</v>
      </c>
      <c r="J217" s="18">
        <f>IF(AND(E217&lt;=Quy_uoc_chung!$C$4,OR(G217="",G217&gt;Quy_uoc_chung!$C$4)),1,0)</f>
        <v>0</v>
      </c>
      <c r="K217" s="18">
        <f>IF(AND(E217&gt;=Quy_uoc_chung!$C$4-Quy_uoc_chung!$C$3+1,E217&lt;=Quy_uoc_chung!$C$4),1,0)</f>
        <v>0</v>
      </c>
      <c r="L217" s="19">
        <f t="shared" si="18"/>
        <v>10</v>
      </c>
      <c r="M217" s="20">
        <f t="shared" si="19"/>
        <v>0</v>
      </c>
      <c r="N217" s="21" t="str">
        <f t="shared" si="20"/>
        <v/>
      </c>
      <c r="O217" s="18">
        <f>IF(AND(H217&gt;0,J217=1,N217&gt;=Quy_uoc_chung!$C$4),1,0)</f>
        <v>0</v>
      </c>
      <c r="P217" s="22" t="str">
        <f t="shared" si="21"/>
        <v/>
      </c>
      <c r="Q217" s="20">
        <f t="shared" si="22"/>
        <v>0</v>
      </c>
      <c r="R217" s="28">
        <f>IF(J217=1,MAX(0,Quy_uoc_chung!$C$4-F217),0)</f>
        <v>0</v>
      </c>
      <c r="S217" s="28">
        <f t="shared" si="23"/>
        <v>0</v>
      </c>
      <c r="T217" s="28">
        <f>IF(AND(J217=1,F217=Quy_uoc_chung!$C$4),1,0)</f>
        <v>0</v>
      </c>
    </row>
    <row r="218" spans="1:20" x14ac:dyDescent="0.3">
      <c r="A218" s="15" t="s">
        <v>766</v>
      </c>
      <c r="B218" s="15" t="s">
        <v>56</v>
      </c>
      <c r="C218" s="15" t="s">
        <v>173</v>
      </c>
      <c r="D218" s="16">
        <v>192416000</v>
      </c>
      <c r="E218" s="17">
        <v>46186</v>
      </c>
      <c r="F218" s="17">
        <v>46216</v>
      </c>
      <c r="G218" s="17">
        <v>46219</v>
      </c>
      <c r="H218" s="15">
        <v>0</v>
      </c>
      <c r="I218" s="15">
        <v>0</v>
      </c>
      <c r="J218" s="18">
        <f>IF(AND(E218&lt;=Quy_uoc_chung!$C$4,OR(G218="",G218&gt;Quy_uoc_chung!$C$4)),1,0)</f>
        <v>0</v>
      </c>
      <c r="K218" s="18">
        <f>IF(AND(E218&gt;=Quy_uoc_chung!$C$4-Quy_uoc_chung!$C$3+1,E218&lt;=Quy_uoc_chung!$C$4),1,0)</f>
        <v>0</v>
      </c>
      <c r="L218" s="19">
        <f t="shared" si="18"/>
        <v>30</v>
      </c>
      <c r="M218" s="20">
        <f t="shared" si="19"/>
        <v>0</v>
      </c>
      <c r="N218" s="21" t="str">
        <f t="shared" si="20"/>
        <v/>
      </c>
      <c r="O218" s="18">
        <f>IF(AND(H218&gt;0,J218=1,N218&gt;=Quy_uoc_chung!$C$4),1,0)</f>
        <v>0</v>
      </c>
      <c r="P218" s="22" t="str">
        <f t="shared" si="21"/>
        <v/>
      </c>
      <c r="Q218" s="20">
        <f t="shared" si="22"/>
        <v>0</v>
      </c>
      <c r="R218" s="28">
        <f>IF(J218=1,MAX(0,Quy_uoc_chung!$C$4-F218),0)</f>
        <v>0</v>
      </c>
      <c r="S218" s="28">
        <f t="shared" si="23"/>
        <v>0</v>
      </c>
      <c r="T218" s="28">
        <f>IF(AND(J218=1,F218=Quy_uoc_chung!$C$4),1,0)</f>
        <v>0</v>
      </c>
    </row>
    <row r="219" spans="1:20" x14ac:dyDescent="0.3">
      <c r="A219" s="15" t="s">
        <v>767</v>
      </c>
      <c r="B219" s="15" t="s">
        <v>56</v>
      </c>
      <c r="C219" s="15" t="s">
        <v>174</v>
      </c>
      <c r="D219" s="16">
        <v>45450000</v>
      </c>
      <c r="E219" s="17">
        <v>46187</v>
      </c>
      <c r="F219" s="17">
        <v>46217</v>
      </c>
      <c r="G219" s="17">
        <v>46219</v>
      </c>
      <c r="H219" s="15">
        <v>0</v>
      </c>
      <c r="I219" s="15">
        <v>0</v>
      </c>
      <c r="J219" s="18">
        <f>IF(AND(E219&lt;=Quy_uoc_chung!$C$4,OR(G219="",G219&gt;Quy_uoc_chung!$C$4)),1,0)</f>
        <v>0</v>
      </c>
      <c r="K219" s="18">
        <f>IF(AND(E219&gt;=Quy_uoc_chung!$C$4-Quy_uoc_chung!$C$3+1,E219&lt;=Quy_uoc_chung!$C$4),1,0)</f>
        <v>0</v>
      </c>
      <c r="L219" s="19">
        <f t="shared" si="18"/>
        <v>30</v>
      </c>
      <c r="M219" s="20">
        <f t="shared" si="19"/>
        <v>0</v>
      </c>
      <c r="N219" s="21" t="str">
        <f t="shared" si="20"/>
        <v/>
      </c>
      <c r="O219" s="18">
        <f>IF(AND(H219&gt;0,J219=1,N219&gt;=Quy_uoc_chung!$C$4),1,0)</f>
        <v>0</v>
      </c>
      <c r="P219" s="22" t="str">
        <f t="shared" si="21"/>
        <v/>
      </c>
      <c r="Q219" s="20">
        <f t="shared" si="22"/>
        <v>0</v>
      </c>
      <c r="R219" s="28">
        <f>IF(J219=1,MAX(0,Quy_uoc_chung!$C$4-F219),0)</f>
        <v>0</v>
      </c>
      <c r="S219" s="28">
        <f t="shared" si="23"/>
        <v>0</v>
      </c>
      <c r="T219" s="28">
        <f>IF(AND(J219=1,F219=Quy_uoc_chung!$C$4),1,0)</f>
        <v>0</v>
      </c>
    </row>
    <row r="220" spans="1:20" x14ac:dyDescent="0.3">
      <c r="A220" s="15" t="s">
        <v>768</v>
      </c>
      <c r="B220" s="15" t="s">
        <v>56</v>
      </c>
      <c r="C220" s="15" t="s">
        <v>175</v>
      </c>
      <c r="D220" s="16">
        <v>19725000</v>
      </c>
      <c r="E220" s="17">
        <v>46187</v>
      </c>
      <c r="F220" s="17">
        <v>46197</v>
      </c>
      <c r="G220" s="17">
        <v>46199</v>
      </c>
      <c r="H220" s="15">
        <v>0</v>
      </c>
      <c r="I220" s="15">
        <v>0</v>
      </c>
      <c r="J220" s="18">
        <f>IF(AND(E220&lt;=Quy_uoc_chung!$C$4,OR(G220="",G220&gt;Quy_uoc_chung!$C$4)),1,0)</f>
        <v>0</v>
      </c>
      <c r="K220" s="18">
        <f>IF(AND(E220&gt;=Quy_uoc_chung!$C$4-Quy_uoc_chung!$C$3+1,E220&lt;=Quy_uoc_chung!$C$4),1,0)</f>
        <v>0</v>
      </c>
      <c r="L220" s="19">
        <f t="shared" si="18"/>
        <v>10</v>
      </c>
      <c r="M220" s="20">
        <f t="shared" si="19"/>
        <v>0</v>
      </c>
      <c r="N220" s="21" t="str">
        <f t="shared" si="20"/>
        <v/>
      </c>
      <c r="O220" s="18">
        <f>IF(AND(H220&gt;0,J220=1,N220&gt;=Quy_uoc_chung!$C$4),1,0)</f>
        <v>0</v>
      </c>
      <c r="P220" s="22" t="str">
        <f t="shared" si="21"/>
        <v/>
      </c>
      <c r="Q220" s="20">
        <f t="shared" si="22"/>
        <v>0</v>
      </c>
      <c r="R220" s="28">
        <f>IF(J220=1,MAX(0,Quy_uoc_chung!$C$4-F220),0)</f>
        <v>0</v>
      </c>
      <c r="S220" s="28">
        <f t="shared" si="23"/>
        <v>0</v>
      </c>
      <c r="T220" s="28">
        <f>IF(AND(J220=1,F220=Quy_uoc_chung!$C$4),1,0)</f>
        <v>0</v>
      </c>
    </row>
    <row r="221" spans="1:20" x14ac:dyDescent="0.3">
      <c r="A221" s="15" t="s">
        <v>769</v>
      </c>
      <c r="B221" s="15" t="s">
        <v>56</v>
      </c>
      <c r="C221" s="15" t="s">
        <v>173</v>
      </c>
      <c r="D221" s="16">
        <v>136487000</v>
      </c>
      <c r="E221" s="17">
        <v>46191</v>
      </c>
      <c r="F221" s="17">
        <v>46221</v>
      </c>
      <c r="G221" s="17">
        <v>46224</v>
      </c>
      <c r="H221" s="15">
        <v>0</v>
      </c>
      <c r="I221" s="15">
        <v>0</v>
      </c>
      <c r="J221" s="18">
        <f>IF(AND(E221&lt;=Quy_uoc_chung!$C$4,OR(G221="",G221&gt;Quy_uoc_chung!$C$4)),1,0)</f>
        <v>0</v>
      </c>
      <c r="K221" s="18">
        <f>IF(AND(E221&gt;=Quy_uoc_chung!$C$4-Quy_uoc_chung!$C$3+1,E221&lt;=Quy_uoc_chung!$C$4),1,0)</f>
        <v>0</v>
      </c>
      <c r="L221" s="19">
        <f t="shared" si="18"/>
        <v>30</v>
      </c>
      <c r="M221" s="20">
        <f t="shared" si="19"/>
        <v>0</v>
      </c>
      <c r="N221" s="21" t="str">
        <f t="shared" si="20"/>
        <v/>
      </c>
      <c r="O221" s="18">
        <f>IF(AND(H221&gt;0,J221=1,N221&gt;=Quy_uoc_chung!$C$4),1,0)</f>
        <v>0</v>
      </c>
      <c r="P221" s="22" t="str">
        <f t="shared" si="21"/>
        <v/>
      </c>
      <c r="Q221" s="20">
        <f t="shared" si="22"/>
        <v>0</v>
      </c>
      <c r="R221" s="28">
        <f>IF(J221=1,MAX(0,Quy_uoc_chung!$C$4-F221),0)</f>
        <v>0</v>
      </c>
      <c r="S221" s="28">
        <f t="shared" si="23"/>
        <v>0</v>
      </c>
      <c r="T221" s="28">
        <f>IF(AND(J221=1,F221=Quy_uoc_chung!$C$4),1,0)</f>
        <v>0</v>
      </c>
    </row>
    <row r="222" spans="1:20" x14ac:dyDescent="0.3">
      <c r="A222" s="15" t="s">
        <v>770</v>
      </c>
      <c r="B222" s="15" t="s">
        <v>56</v>
      </c>
      <c r="C222" s="15" t="s">
        <v>174</v>
      </c>
      <c r="D222" s="16">
        <v>36781000</v>
      </c>
      <c r="E222" s="17">
        <v>46193</v>
      </c>
      <c r="F222" s="17">
        <v>46223</v>
      </c>
      <c r="G222" s="17">
        <v>46220</v>
      </c>
      <c r="H222" s="15">
        <v>0</v>
      </c>
      <c r="I222" s="15">
        <v>0</v>
      </c>
      <c r="J222" s="18">
        <f>IF(AND(E222&lt;=Quy_uoc_chung!$C$4,OR(G222="",G222&gt;Quy_uoc_chung!$C$4)),1,0)</f>
        <v>0</v>
      </c>
      <c r="K222" s="18">
        <f>IF(AND(E222&gt;=Quy_uoc_chung!$C$4-Quy_uoc_chung!$C$3+1,E222&lt;=Quy_uoc_chung!$C$4),1,0)</f>
        <v>0</v>
      </c>
      <c r="L222" s="19">
        <f t="shared" si="18"/>
        <v>30</v>
      </c>
      <c r="M222" s="20">
        <f t="shared" si="19"/>
        <v>0</v>
      </c>
      <c r="N222" s="21" t="str">
        <f t="shared" si="20"/>
        <v/>
      </c>
      <c r="O222" s="18">
        <f>IF(AND(H222&gt;0,J222=1,N222&gt;=Quy_uoc_chung!$C$4),1,0)</f>
        <v>0</v>
      </c>
      <c r="P222" s="22" t="str">
        <f t="shared" si="21"/>
        <v/>
      </c>
      <c r="Q222" s="20">
        <f t="shared" si="22"/>
        <v>0</v>
      </c>
      <c r="R222" s="28">
        <f>IF(J222=1,MAX(0,Quy_uoc_chung!$C$4-F222),0)</f>
        <v>0</v>
      </c>
      <c r="S222" s="28">
        <f t="shared" si="23"/>
        <v>0</v>
      </c>
      <c r="T222" s="28">
        <f>IF(AND(J222=1,F222=Quy_uoc_chung!$C$4),1,0)</f>
        <v>0</v>
      </c>
    </row>
    <row r="223" spans="1:20" x14ac:dyDescent="0.3">
      <c r="A223" s="15" t="s">
        <v>771</v>
      </c>
      <c r="B223" s="15" t="s">
        <v>56</v>
      </c>
      <c r="C223" s="15" t="s">
        <v>175</v>
      </c>
      <c r="D223" s="16">
        <v>22111000</v>
      </c>
      <c r="E223" s="17">
        <v>46192</v>
      </c>
      <c r="F223" s="17">
        <v>46202</v>
      </c>
      <c r="G223" s="17">
        <v>46202</v>
      </c>
      <c r="H223" s="15">
        <v>0</v>
      </c>
      <c r="I223" s="15">
        <v>0</v>
      </c>
      <c r="J223" s="18">
        <f>IF(AND(E223&lt;=Quy_uoc_chung!$C$4,OR(G223="",G223&gt;Quy_uoc_chung!$C$4)),1,0)</f>
        <v>0</v>
      </c>
      <c r="K223" s="18">
        <f>IF(AND(E223&gt;=Quy_uoc_chung!$C$4-Quy_uoc_chung!$C$3+1,E223&lt;=Quy_uoc_chung!$C$4),1,0)</f>
        <v>0</v>
      </c>
      <c r="L223" s="19">
        <f t="shared" si="18"/>
        <v>10</v>
      </c>
      <c r="M223" s="20">
        <f t="shared" si="19"/>
        <v>0</v>
      </c>
      <c r="N223" s="21" t="str">
        <f t="shared" si="20"/>
        <v/>
      </c>
      <c r="O223" s="18">
        <f>IF(AND(H223&gt;0,J223=1,N223&gt;=Quy_uoc_chung!$C$4),1,0)</f>
        <v>0</v>
      </c>
      <c r="P223" s="22" t="str">
        <f t="shared" si="21"/>
        <v/>
      </c>
      <c r="Q223" s="20">
        <f t="shared" si="22"/>
        <v>0</v>
      </c>
      <c r="R223" s="28">
        <f>IF(J223=1,MAX(0,Quy_uoc_chung!$C$4-F223),0)</f>
        <v>0</v>
      </c>
      <c r="S223" s="28">
        <f t="shared" si="23"/>
        <v>0</v>
      </c>
      <c r="T223" s="28">
        <f>IF(AND(J223=1,F223=Quy_uoc_chung!$C$4),1,0)</f>
        <v>0</v>
      </c>
    </row>
    <row r="224" spans="1:20" x14ac:dyDescent="0.3">
      <c r="A224" s="15" t="s">
        <v>772</v>
      </c>
      <c r="B224" s="15" t="s">
        <v>56</v>
      </c>
      <c r="C224" s="15" t="s">
        <v>173</v>
      </c>
      <c r="D224" s="16">
        <v>190003000</v>
      </c>
      <c r="E224" s="17">
        <v>46197</v>
      </c>
      <c r="F224" s="17">
        <v>46227</v>
      </c>
      <c r="G224" s="17">
        <v>46226</v>
      </c>
      <c r="H224" s="15">
        <v>0</v>
      </c>
      <c r="I224" s="15">
        <v>0</v>
      </c>
      <c r="J224" s="18">
        <f>IF(AND(E224&lt;=Quy_uoc_chung!$C$4,OR(G224="",G224&gt;Quy_uoc_chung!$C$4)),1,0)</f>
        <v>0</v>
      </c>
      <c r="K224" s="18">
        <f>IF(AND(E224&gt;=Quy_uoc_chung!$C$4-Quy_uoc_chung!$C$3+1,E224&lt;=Quy_uoc_chung!$C$4),1,0)</f>
        <v>0</v>
      </c>
      <c r="L224" s="19">
        <f t="shared" si="18"/>
        <v>30</v>
      </c>
      <c r="M224" s="20">
        <f t="shared" si="19"/>
        <v>0</v>
      </c>
      <c r="N224" s="21" t="str">
        <f t="shared" si="20"/>
        <v/>
      </c>
      <c r="O224" s="18">
        <f>IF(AND(H224&gt;0,J224=1,N224&gt;=Quy_uoc_chung!$C$4),1,0)</f>
        <v>0</v>
      </c>
      <c r="P224" s="22" t="str">
        <f t="shared" si="21"/>
        <v/>
      </c>
      <c r="Q224" s="20">
        <f t="shared" si="22"/>
        <v>0</v>
      </c>
      <c r="R224" s="28">
        <f>IF(J224=1,MAX(0,Quy_uoc_chung!$C$4-F224),0)</f>
        <v>0</v>
      </c>
      <c r="S224" s="28">
        <f t="shared" si="23"/>
        <v>0</v>
      </c>
      <c r="T224" s="28">
        <f>IF(AND(J224=1,F224=Quy_uoc_chung!$C$4),1,0)</f>
        <v>0</v>
      </c>
    </row>
    <row r="225" spans="1:20" x14ac:dyDescent="0.3">
      <c r="A225" s="15" t="s">
        <v>773</v>
      </c>
      <c r="B225" s="15" t="s">
        <v>56</v>
      </c>
      <c r="C225" s="15" t="s">
        <v>174</v>
      </c>
      <c r="D225" s="16">
        <v>42797000</v>
      </c>
      <c r="E225" s="17">
        <v>46198</v>
      </c>
      <c r="F225" s="17">
        <v>46228</v>
      </c>
      <c r="G225" s="17">
        <v>46233</v>
      </c>
      <c r="H225" s="15">
        <v>0</v>
      </c>
      <c r="I225" s="15">
        <v>0</v>
      </c>
      <c r="J225" s="18">
        <f>IF(AND(E225&lt;=Quy_uoc_chung!$C$4,OR(G225="",G225&gt;Quy_uoc_chung!$C$4)),1,0)</f>
        <v>0</v>
      </c>
      <c r="K225" s="18">
        <f>IF(AND(E225&gt;=Quy_uoc_chung!$C$4-Quy_uoc_chung!$C$3+1,E225&lt;=Quy_uoc_chung!$C$4),1,0)</f>
        <v>0</v>
      </c>
      <c r="L225" s="19">
        <f t="shared" si="18"/>
        <v>30</v>
      </c>
      <c r="M225" s="20">
        <f t="shared" si="19"/>
        <v>0</v>
      </c>
      <c r="N225" s="21" t="str">
        <f t="shared" si="20"/>
        <v/>
      </c>
      <c r="O225" s="18">
        <f>IF(AND(H225&gt;0,J225=1,N225&gt;=Quy_uoc_chung!$C$4),1,0)</f>
        <v>0</v>
      </c>
      <c r="P225" s="22" t="str">
        <f t="shared" si="21"/>
        <v/>
      </c>
      <c r="Q225" s="20">
        <f t="shared" si="22"/>
        <v>0</v>
      </c>
      <c r="R225" s="28">
        <f>IF(J225=1,MAX(0,Quy_uoc_chung!$C$4-F225),0)</f>
        <v>0</v>
      </c>
      <c r="S225" s="28">
        <f t="shared" si="23"/>
        <v>0</v>
      </c>
      <c r="T225" s="28">
        <f>IF(AND(J225=1,F225=Quy_uoc_chung!$C$4),1,0)</f>
        <v>0</v>
      </c>
    </row>
    <row r="226" spans="1:20" x14ac:dyDescent="0.3">
      <c r="A226" s="15" t="s">
        <v>774</v>
      </c>
      <c r="B226" s="15" t="s">
        <v>56</v>
      </c>
      <c r="C226" s="15" t="s">
        <v>175</v>
      </c>
      <c r="D226" s="16">
        <v>20295000</v>
      </c>
      <c r="E226" s="17">
        <v>46197</v>
      </c>
      <c r="F226" s="17">
        <v>46207</v>
      </c>
      <c r="G226" s="17">
        <v>46208</v>
      </c>
      <c r="H226" s="15">
        <v>0</v>
      </c>
      <c r="I226" s="15">
        <v>0</v>
      </c>
      <c r="J226" s="18">
        <f>IF(AND(E226&lt;=Quy_uoc_chung!$C$4,OR(G226="",G226&gt;Quy_uoc_chung!$C$4)),1,0)</f>
        <v>0</v>
      </c>
      <c r="K226" s="18">
        <f>IF(AND(E226&gt;=Quy_uoc_chung!$C$4-Quy_uoc_chung!$C$3+1,E226&lt;=Quy_uoc_chung!$C$4),1,0)</f>
        <v>0</v>
      </c>
      <c r="L226" s="19">
        <f t="shared" si="18"/>
        <v>10</v>
      </c>
      <c r="M226" s="20">
        <f t="shared" si="19"/>
        <v>0</v>
      </c>
      <c r="N226" s="21" t="str">
        <f t="shared" si="20"/>
        <v/>
      </c>
      <c r="O226" s="18">
        <f>IF(AND(H226&gt;0,J226=1,N226&gt;=Quy_uoc_chung!$C$4),1,0)</f>
        <v>0</v>
      </c>
      <c r="P226" s="22" t="str">
        <f t="shared" si="21"/>
        <v/>
      </c>
      <c r="Q226" s="20">
        <f t="shared" si="22"/>
        <v>0</v>
      </c>
      <c r="R226" s="28">
        <f>IF(J226=1,MAX(0,Quy_uoc_chung!$C$4-F226),0)</f>
        <v>0</v>
      </c>
      <c r="S226" s="28">
        <f t="shared" si="23"/>
        <v>0</v>
      </c>
      <c r="T226" s="28">
        <f>IF(AND(J226=1,F226=Quy_uoc_chung!$C$4),1,0)</f>
        <v>0</v>
      </c>
    </row>
    <row r="227" spans="1:20" x14ac:dyDescent="0.3">
      <c r="A227" s="15" t="s">
        <v>775</v>
      </c>
      <c r="B227" s="15" t="s">
        <v>56</v>
      </c>
      <c r="C227" s="15" t="s">
        <v>173</v>
      </c>
      <c r="D227" s="16">
        <v>137284000</v>
      </c>
      <c r="E227" s="17">
        <v>46208</v>
      </c>
      <c r="F227" s="17">
        <v>46238</v>
      </c>
      <c r="G227" s="17">
        <v>46237</v>
      </c>
      <c r="H227" s="15">
        <v>0</v>
      </c>
      <c r="I227" s="15">
        <v>0</v>
      </c>
      <c r="J227" s="18">
        <f>IF(AND(E227&lt;=Quy_uoc_chung!$C$4,OR(G227="",G227&gt;Quy_uoc_chung!$C$4)),1,0)</f>
        <v>0</v>
      </c>
      <c r="K227" s="18">
        <f>IF(AND(E227&gt;=Quy_uoc_chung!$C$4-Quy_uoc_chung!$C$3+1,E227&lt;=Quy_uoc_chung!$C$4),1,0)</f>
        <v>1</v>
      </c>
      <c r="L227" s="19">
        <f t="shared" si="18"/>
        <v>30</v>
      </c>
      <c r="M227" s="20">
        <f t="shared" si="19"/>
        <v>4118520000</v>
      </c>
      <c r="N227" s="21" t="str">
        <f t="shared" si="20"/>
        <v/>
      </c>
      <c r="O227" s="18">
        <f>IF(AND(H227&gt;0,J227=1,N227&gt;=Quy_uoc_chung!$C$4),1,0)</f>
        <v>0</v>
      </c>
      <c r="P227" s="22" t="str">
        <f t="shared" si="21"/>
        <v/>
      </c>
      <c r="Q227" s="20">
        <f t="shared" si="22"/>
        <v>0</v>
      </c>
      <c r="R227" s="28">
        <f>IF(J227=1,MAX(0,Quy_uoc_chung!$C$4-F227),0)</f>
        <v>0</v>
      </c>
      <c r="S227" s="28">
        <f t="shared" si="23"/>
        <v>0</v>
      </c>
      <c r="T227" s="28">
        <f>IF(AND(J227=1,F227=Quy_uoc_chung!$C$4),1,0)</f>
        <v>0</v>
      </c>
    </row>
    <row r="228" spans="1:20" x14ac:dyDescent="0.3">
      <c r="A228" s="15" t="s">
        <v>776</v>
      </c>
      <c r="B228" s="15" t="s">
        <v>56</v>
      </c>
      <c r="C228" s="15" t="s">
        <v>174</v>
      </c>
      <c r="D228" s="16">
        <v>36796000</v>
      </c>
      <c r="E228" s="17">
        <v>46208</v>
      </c>
      <c r="F228" s="17">
        <v>46238</v>
      </c>
      <c r="G228" s="17">
        <v>46235</v>
      </c>
      <c r="H228" s="15">
        <v>0</v>
      </c>
      <c r="I228" s="15">
        <v>0</v>
      </c>
      <c r="J228" s="18">
        <f>IF(AND(E228&lt;=Quy_uoc_chung!$C$4,OR(G228="",G228&gt;Quy_uoc_chung!$C$4)),1,0)</f>
        <v>0</v>
      </c>
      <c r="K228" s="18">
        <f>IF(AND(E228&gt;=Quy_uoc_chung!$C$4-Quy_uoc_chung!$C$3+1,E228&lt;=Quy_uoc_chung!$C$4),1,0)</f>
        <v>1</v>
      </c>
      <c r="L228" s="19">
        <f t="shared" si="18"/>
        <v>30</v>
      </c>
      <c r="M228" s="20">
        <f t="shared" si="19"/>
        <v>1103880000</v>
      </c>
      <c r="N228" s="21" t="str">
        <f t="shared" si="20"/>
        <v/>
      </c>
      <c r="O228" s="18">
        <f>IF(AND(H228&gt;0,J228=1,N228&gt;=Quy_uoc_chung!$C$4),1,0)</f>
        <v>0</v>
      </c>
      <c r="P228" s="22" t="str">
        <f t="shared" si="21"/>
        <v/>
      </c>
      <c r="Q228" s="20">
        <f t="shared" si="22"/>
        <v>0</v>
      </c>
      <c r="R228" s="28">
        <f>IF(J228=1,MAX(0,Quy_uoc_chung!$C$4-F228),0)</f>
        <v>0</v>
      </c>
      <c r="S228" s="28">
        <f t="shared" si="23"/>
        <v>0</v>
      </c>
      <c r="T228" s="28">
        <f>IF(AND(J228=1,F228=Quy_uoc_chung!$C$4),1,0)</f>
        <v>0</v>
      </c>
    </row>
    <row r="229" spans="1:20" x14ac:dyDescent="0.3">
      <c r="A229" s="15" t="s">
        <v>777</v>
      </c>
      <c r="B229" s="15" t="s">
        <v>56</v>
      </c>
      <c r="C229" s="15" t="s">
        <v>175</v>
      </c>
      <c r="D229" s="16">
        <v>18576000</v>
      </c>
      <c r="E229" s="17">
        <v>46206</v>
      </c>
      <c r="F229" s="17">
        <v>46216</v>
      </c>
      <c r="G229" s="17">
        <v>46215</v>
      </c>
      <c r="H229" s="15">
        <v>0</v>
      </c>
      <c r="I229" s="15">
        <v>0</v>
      </c>
      <c r="J229" s="18">
        <f>IF(AND(E229&lt;=Quy_uoc_chung!$C$4,OR(G229="",G229&gt;Quy_uoc_chung!$C$4)),1,0)</f>
        <v>0</v>
      </c>
      <c r="K229" s="18">
        <f>IF(AND(E229&gt;=Quy_uoc_chung!$C$4-Quy_uoc_chung!$C$3+1,E229&lt;=Quy_uoc_chung!$C$4),1,0)</f>
        <v>1</v>
      </c>
      <c r="L229" s="19">
        <f t="shared" si="18"/>
        <v>10</v>
      </c>
      <c r="M229" s="20">
        <f t="shared" si="19"/>
        <v>185760000</v>
      </c>
      <c r="N229" s="21" t="str">
        <f t="shared" si="20"/>
        <v/>
      </c>
      <c r="O229" s="18">
        <f>IF(AND(H229&gt;0,J229=1,N229&gt;=Quy_uoc_chung!$C$4),1,0)</f>
        <v>0</v>
      </c>
      <c r="P229" s="22" t="str">
        <f t="shared" si="21"/>
        <v/>
      </c>
      <c r="Q229" s="20">
        <f t="shared" si="22"/>
        <v>0</v>
      </c>
      <c r="R229" s="28">
        <f>IF(J229=1,MAX(0,Quy_uoc_chung!$C$4-F229),0)</f>
        <v>0</v>
      </c>
      <c r="S229" s="28">
        <f t="shared" si="23"/>
        <v>0</v>
      </c>
      <c r="T229" s="28">
        <f>IF(AND(J229=1,F229=Quy_uoc_chung!$C$4),1,0)</f>
        <v>0</v>
      </c>
    </row>
    <row r="230" spans="1:20" x14ac:dyDescent="0.3">
      <c r="A230" s="15" t="s">
        <v>778</v>
      </c>
      <c r="B230" s="15" t="s">
        <v>56</v>
      </c>
      <c r="C230" s="15" t="s">
        <v>173</v>
      </c>
      <c r="D230" s="16">
        <v>189367000</v>
      </c>
      <c r="E230" s="17">
        <v>46214</v>
      </c>
      <c r="F230" s="17">
        <v>46244</v>
      </c>
      <c r="G230" s="17">
        <v>46244</v>
      </c>
      <c r="H230" s="15">
        <v>0</v>
      </c>
      <c r="I230" s="15">
        <v>0</v>
      </c>
      <c r="J230" s="18">
        <f>IF(AND(E230&lt;=Quy_uoc_chung!$C$4,OR(G230="",G230&gt;Quy_uoc_chung!$C$4)),1,0)</f>
        <v>0</v>
      </c>
      <c r="K230" s="18">
        <f>IF(AND(E230&gt;=Quy_uoc_chung!$C$4-Quy_uoc_chung!$C$3+1,E230&lt;=Quy_uoc_chung!$C$4),1,0)</f>
        <v>1</v>
      </c>
      <c r="L230" s="19">
        <f t="shared" si="18"/>
        <v>30</v>
      </c>
      <c r="M230" s="20">
        <f t="shared" si="19"/>
        <v>5681010000</v>
      </c>
      <c r="N230" s="21" t="str">
        <f t="shared" si="20"/>
        <v/>
      </c>
      <c r="O230" s="18">
        <f>IF(AND(H230&gt;0,J230=1,N230&gt;=Quy_uoc_chung!$C$4),1,0)</f>
        <v>0</v>
      </c>
      <c r="P230" s="22" t="str">
        <f t="shared" si="21"/>
        <v/>
      </c>
      <c r="Q230" s="20">
        <f t="shared" si="22"/>
        <v>0</v>
      </c>
      <c r="R230" s="28">
        <f>IF(J230=1,MAX(0,Quy_uoc_chung!$C$4-F230),0)</f>
        <v>0</v>
      </c>
      <c r="S230" s="28">
        <f t="shared" si="23"/>
        <v>0</v>
      </c>
      <c r="T230" s="28">
        <f>IF(AND(J230=1,F230=Quy_uoc_chung!$C$4),1,0)</f>
        <v>0</v>
      </c>
    </row>
    <row r="231" spans="1:20" x14ac:dyDescent="0.3">
      <c r="A231" s="15" t="s">
        <v>779</v>
      </c>
      <c r="B231" s="15" t="s">
        <v>56</v>
      </c>
      <c r="C231" s="15" t="s">
        <v>174</v>
      </c>
      <c r="D231" s="16">
        <v>53356000</v>
      </c>
      <c r="E231" s="17">
        <v>46214</v>
      </c>
      <c r="F231" s="17">
        <v>46244</v>
      </c>
      <c r="G231" s="17">
        <v>46246</v>
      </c>
      <c r="H231" s="15">
        <v>0</v>
      </c>
      <c r="I231" s="15">
        <v>0</v>
      </c>
      <c r="J231" s="18">
        <f>IF(AND(E231&lt;=Quy_uoc_chung!$C$4,OR(G231="",G231&gt;Quy_uoc_chung!$C$4)),1,0)</f>
        <v>0</v>
      </c>
      <c r="K231" s="18">
        <f>IF(AND(E231&gt;=Quy_uoc_chung!$C$4-Quy_uoc_chung!$C$3+1,E231&lt;=Quy_uoc_chung!$C$4),1,0)</f>
        <v>1</v>
      </c>
      <c r="L231" s="19">
        <f t="shared" si="18"/>
        <v>30</v>
      </c>
      <c r="M231" s="20">
        <f t="shared" si="19"/>
        <v>1600680000</v>
      </c>
      <c r="N231" s="21" t="str">
        <f t="shared" si="20"/>
        <v/>
      </c>
      <c r="O231" s="18">
        <f>IF(AND(H231&gt;0,J231=1,N231&gt;=Quy_uoc_chung!$C$4),1,0)</f>
        <v>0</v>
      </c>
      <c r="P231" s="22" t="str">
        <f t="shared" si="21"/>
        <v/>
      </c>
      <c r="Q231" s="20">
        <f t="shared" si="22"/>
        <v>0</v>
      </c>
      <c r="R231" s="28">
        <f>IF(J231=1,MAX(0,Quy_uoc_chung!$C$4-F231),0)</f>
        <v>0</v>
      </c>
      <c r="S231" s="28">
        <f t="shared" si="23"/>
        <v>0</v>
      </c>
      <c r="T231" s="28">
        <f>IF(AND(J231=1,F231=Quy_uoc_chung!$C$4),1,0)</f>
        <v>0</v>
      </c>
    </row>
    <row r="232" spans="1:20" x14ac:dyDescent="0.3">
      <c r="A232" s="15" t="s">
        <v>780</v>
      </c>
      <c r="B232" s="15" t="s">
        <v>56</v>
      </c>
      <c r="C232" s="15" t="s">
        <v>175</v>
      </c>
      <c r="D232" s="16">
        <v>17758000</v>
      </c>
      <c r="E232" s="17">
        <v>46213</v>
      </c>
      <c r="F232" s="17">
        <v>46223</v>
      </c>
      <c r="G232" s="17">
        <v>46224</v>
      </c>
      <c r="H232" s="15">
        <v>0</v>
      </c>
      <c r="I232" s="15">
        <v>0</v>
      </c>
      <c r="J232" s="18">
        <f>IF(AND(E232&lt;=Quy_uoc_chung!$C$4,OR(G232="",G232&gt;Quy_uoc_chung!$C$4)),1,0)</f>
        <v>0</v>
      </c>
      <c r="K232" s="18">
        <f>IF(AND(E232&gt;=Quy_uoc_chung!$C$4-Quy_uoc_chung!$C$3+1,E232&lt;=Quy_uoc_chung!$C$4),1,0)</f>
        <v>1</v>
      </c>
      <c r="L232" s="19">
        <f t="shared" si="18"/>
        <v>10</v>
      </c>
      <c r="M232" s="20">
        <f t="shared" si="19"/>
        <v>177580000</v>
      </c>
      <c r="N232" s="21" t="str">
        <f t="shared" si="20"/>
        <v/>
      </c>
      <c r="O232" s="18">
        <f>IF(AND(H232&gt;0,J232=1,N232&gt;=Quy_uoc_chung!$C$4),1,0)</f>
        <v>0</v>
      </c>
      <c r="P232" s="22" t="str">
        <f t="shared" si="21"/>
        <v/>
      </c>
      <c r="Q232" s="20">
        <f t="shared" si="22"/>
        <v>0</v>
      </c>
      <c r="R232" s="28">
        <f>IF(J232=1,MAX(0,Quy_uoc_chung!$C$4-F232),0)</f>
        <v>0</v>
      </c>
      <c r="S232" s="28">
        <f t="shared" si="23"/>
        <v>0</v>
      </c>
      <c r="T232" s="28">
        <f>IF(AND(J232=1,F232=Quy_uoc_chung!$C$4),1,0)</f>
        <v>0</v>
      </c>
    </row>
    <row r="233" spans="1:20" x14ac:dyDescent="0.3">
      <c r="A233" s="15" t="s">
        <v>781</v>
      </c>
      <c r="B233" s="15" t="s">
        <v>56</v>
      </c>
      <c r="C233" s="15" t="s">
        <v>173</v>
      </c>
      <c r="D233" s="16">
        <v>146827000</v>
      </c>
      <c r="E233" s="17">
        <v>46220</v>
      </c>
      <c r="F233" s="17">
        <v>46250</v>
      </c>
      <c r="G233" s="17">
        <v>46251</v>
      </c>
      <c r="H233" s="15">
        <v>0</v>
      </c>
      <c r="I233" s="15">
        <v>0</v>
      </c>
      <c r="J233" s="18">
        <f>IF(AND(E233&lt;=Quy_uoc_chung!$C$4,OR(G233="",G233&gt;Quy_uoc_chung!$C$4)),1,0)</f>
        <v>0</v>
      </c>
      <c r="K233" s="18">
        <f>IF(AND(E233&gt;=Quy_uoc_chung!$C$4-Quy_uoc_chung!$C$3+1,E233&lt;=Quy_uoc_chung!$C$4),1,0)</f>
        <v>1</v>
      </c>
      <c r="L233" s="19">
        <f t="shared" si="18"/>
        <v>30</v>
      </c>
      <c r="M233" s="20">
        <f t="shared" si="19"/>
        <v>4404810000</v>
      </c>
      <c r="N233" s="21" t="str">
        <f t="shared" si="20"/>
        <v/>
      </c>
      <c r="O233" s="18">
        <f>IF(AND(H233&gt;0,J233=1,N233&gt;=Quy_uoc_chung!$C$4),1,0)</f>
        <v>0</v>
      </c>
      <c r="P233" s="22" t="str">
        <f t="shared" si="21"/>
        <v/>
      </c>
      <c r="Q233" s="20">
        <f t="shared" si="22"/>
        <v>0</v>
      </c>
      <c r="R233" s="28">
        <f>IF(J233=1,MAX(0,Quy_uoc_chung!$C$4-F233),0)</f>
        <v>0</v>
      </c>
      <c r="S233" s="28">
        <f t="shared" si="23"/>
        <v>0</v>
      </c>
      <c r="T233" s="28">
        <f>IF(AND(J233=1,F233=Quy_uoc_chung!$C$4),1,0)</f>
        <v>0</v>
      </c>
    </row>
    <row r="234" spans="1:20" x14ac:dyDescent="0.3">
      <c r="A234" s="15" t="s">
        <v>782</v>
      </c>
      <c r="B234" s="15" t="s">
        <v>56</v>
      </c>
      <c r="C234" s="15" t="s">
        <v>174</v>
      </c>
      <c r="D234" s="16">
        <v>53042000</v>
      </c>
      <c r="E234" s="17">
        <v>46222</v>
      </c>
      <c r="F234" s="17">
        <v>46252</v>
      </c>
      <c r="G234" s="17">
        <v>46251</v>
      </c>
      <c r="H234" s="15">
        <v>0</v>
      </c>
      <c r="I234" s="15">
        <v>0</v>
      </c>
      <c r="J234" s="18">
        <f>IF(AND(E234&lt;=Quy_uoc_chung!$C$4,OR(G234="",G234&gt;Quy_uoc_chung!$C$4)),1,0)</f>
        <v>0</v>
      </c>
      <c r="K234" s="18">
        <f>IF(AND(E234&gt;=Quy_uoc_chung!$C$4-Quy_uoc_chung!$C$3+1,E234&lt;=Quy_uoc_chung!$C$4),1,0)</f>
        <v>1</v>
      </c>
      <c r="L234" s="19">
        <f t="shared" si="18"/>
        <v>30</v>
      </c>
      <c r="M234" s="20">
        <f t="shared" si="19"/>
        <v>1591260000</v>
      </c>
      <c r="N234" s="21" t="str">
        <f t="shared" si="20"/>
        <v/>
      </c>
      <c r="O234" s="18">
        <f>IF(AND(H234&gt;0,J234=1,N234&gt;=Quy_uoc_chung!$C$4),1,0)</f>
        <v>0</v>
      </c>
      <c r="P234" s="22" t="str">
        <f t="shared" si="21"/>
        <v/>
      </c>
      <c r="Q234" s="20">
        <f t="shared" si="22"/>
        <v>0</v>
      </c>
      <c r="R234" s="28">
        <f>IF(J234=1,MAX(0,Quy_uoc_chung!$C$4-F234),0)</f>
        <v>0</v>
      </c>
      <c r="S234" s="28">
        <f t="shared" si="23"/>
        <v>0</v>
      </c>
      <c r="T234" s="28">
        <f>IF(AND(J234=1,F234=Quy_uoc_chung!$C$4),1,0)</f>
        <v>0</v>
      </c>
    </row>
    <row r="235" spans="1:20" x14ac:dyDescent="0.3">
      <c r="A235" s="15" t="s">
        <v>783</v>
      </c>
      <c r="B235" s="15" t="s">
        <v>56</v>
      </c>
      <c r="C235" s="15" t="s">
        <v>175</v>
      </c>
      <c r="D235" s="16">
        <v>28504000</v>
      </c>
      <c r="E235" s="17">
        <v>46219</v>
      </c>
      <c r="F235" s="17">
        <v>46229</v>
      </c>
      <c r="G235" s="17">
        <v>46229</v>
      </c>
      <c r="H235" s="15">
        <v>0</v>
      </c>
      <c r="I235" s="15">
        <v>0</v>
      </c>
      <c r="J235" s="18">
        <f>IF(AND(E235&lt;=Quy_uoc_chung!$C$4,OR(G235="",G235&gt;Quy_uoc_chung!$C$4)),1,0)</f>
        <v>0</v>
      </c>
      <c r="K235" s="18">
        <f>IF(AND(E235&gt;=Quy_uoc_chung!$C$4-Quy_uoc_chung!$C$3+1,E235&lt;=Quy_uoc_chung!$C$4),1,0)</f>
        <v>1</v>
      </c>
      <c r="L235" s="19">
        <f t="shared" si="18"/>
        <v>10</v>
      </c>
      <c r="M235" s="20">
        <f t="shared" si="19"/>
        <v>285040000</v>
      </c>
      <c r="N235" s="21" t="str">
        <f t="shared" si="20"/>
        <v/>
      </c>
      <c r="O235" s="18">
        <f>IF(AND(H235&gt;0,J235=1,N235&gt;=Quy_uoc_chung!$C$4),1,0)</f>
        <v>0</v>
      </c>
      <c r="P235" s="22" t="str">
        <f t="shared" si="21"/>
        <v/>
      </c>
      <c r="Q235" s="20">
        <f t="shared" si="22"/>
        <v>0</v>
      </c>
      <c r="R235" s="28">
        <f>IF(J235=1,MAX(0,Quy_uoc_chung!$C$4-F235),0)</f>
        <v>0</v>
      </c>
      <c r="S235" s="28">
        <f t="shared" si="23"/>
        <v>0</v>
      </c>
      <c r="T235" s="28">
        <f>IF(AND(J235=1,F235=Quy_uoc_chung!$C$4),1,0)</f>
        <v>0</v>
      </c>
    </row>
    <row r="236" spans="1:20" x14ac:dyDescent="0.3">
      <c r="A236" s="15" t="s">
        <v>784</v>
      </c>
      <c r="B236" s="15" t="s">
        <v>56</v>
      </c>
      <c r="C236" s="15" t="s">
        <v>173</v>
      </c>
      <c r="D236" s="16">
        <v>152751000</v>
      </c>
      <c r="E236" s="17">
        <v>46227</v>
      </c>
      <c r="F236" s="17">
        <v>46257</v>
      </c>
      <c r="G236" s="17">
        <v>46255</v>
      </c>
      <c r="H236" s="15">
        <v>0</v>
      </c>
      <c r="I236" s="15">
        <v>0</v>
      </c>
      <c r="J236" s="18">
        <f>IF(AND(E236&lt;=Quy_uoc_chung!$C$4,OR(G236="",G236&gt;Quy_uoc_chung!$C$4)),1,0)</f>
        <v>0</v>
      </c>
      <c r="K236" s="18">
        <f>IF(AND(E236&gt;=Quy_uoc_chung!$C$4-Quy_uoc_chung!$C$3+1,E236&lt;=Quy_uoc_chung!$C$4),1,0)</f>
        <v>1</v>
      </c>
      <c r="L236" s="19">
        <f t="shared" si="18"/>
        <v>30</v>
      </c>
      <c r="M236" s="20">
        <f t="shared" si="19"/>
        <v>4582530000</v>
      </c>
      <c r="N236" s="21" t="str">
        <f t="shared" si="20"/>
        <v/>
      </c>
      <c r="O236" s="18">
        <f>IF(AND(H236&gt;0,J236=1,N236&gt;=Quy_uoc_chung!$C$4),1,0)</f>
        <v>0</v>
      </c>
      <c r="P236" s="22" t="str">
        <f t="shared" si="21"/>
        <v/>
      </c>
      <c r="Q236" s="20">
        <f t="shared" si="22"/>
        <v>0</v>
      </c>
      <c r="R236" s="28">
        <f>IF(J236=1,MAX(0,Quy_uoc_chung!$C$4-F236),0)</f>
        <v>0</v>
      </c>
      <c r="S236" s="28">
        <f t="shared" si="23"/>
        <v>0</v>
      </c>
      <c r="T236" s="28">
        <f>IF(AND(J236=1,F236=Quy_uoc_chung!$C$4),1,0)</f>
        <v>0</v>
      </c>
    </row>
    <row r="237" spans="1:20" x14ac:dyDescent="0.3">
      <c r="A237" s="15" t="s">
        <v>785</v>
      </c>
      <c r="B237" s="15" t="s">
        <v>56</v>
      </c>
      <c r="C237" s="15" t="s">
        <v>174</v>
      </c>
      <c r="D237" s="16">
        <v>37445000</v>
      </c>
      <c r="E237" s="17">
        <v>46228</v>
      </c>
      <c r="F237" s="17">
        <v>46258</v>
      </c>
      <c r="G237" s="17">
        <v>46259</v>
      </c>
      <c r="H237" s="15">
        <v>0</v>
      </c>
      <c r="I237" s="15">
        <v>0</v>
      </c>
      <c r="J237" s="18">
        <f>IF(AND(E237&lt;=Quy_uoc_chung!$C$4,OR(G237="",G237&gt;Quy_uoc_chung!$C$4)),1,0)</f>
        <v>0</v>
      </c>
      <c r="K237" s="18">
        <f>IF(AND(E237&gt;=Quy_uoc_chung!$C$4-Quy_uoc_chung!$C$3+1,E237&lt;=Quy_uoc_chung!$C$4),1,0)</f>
        <v>1</v>
      </c>
      <c r="L237" s="19">
        <f t="shared" si="18"/>
        <v>30</v>
      </c>
      <c r="M237" s="20">
        <f t="shared" si="19"/>
        <v>1123350000</v>
      </c>
      <c r="N237" s="21" t="str">
        <f t="shared" si="20"/>
        <v/>
      </c>
      <c r="O237" s="18">
        <f>IF(AND(H237&gt;0,J237=1,N237&gt;=Quy_uoc_chung!$C$4),1,0)</f>
        <v>0</v>
      </c>
      <c r="P237" s="22" t="str">
        <f t="shared" si="21"/>
        <v/>
      </c>
      <c r="Q237" s="20">
        <f t="shared" si="22"/>
        <v>0</v>
      </c>
      <c r="R237" s="28">
        <f>IF(J237=1,MAX(0,Quy_uoc_chung!$C$4-F237),0)</f>
        <v>0</v>
      </c>
      <c r="S237" s="28">
        <f t="shared" si="23"/>
        <v>0</v>
      </c>
      <c r="T237" s="28">
        <f>IF(AND(J237=1,F237=Quy_uoc_chung!$C$4),1,0)</f>
        <v>0</v>
      </c>
    </row>
    <row r="238" spans="1:20" x14ac:dyDescent="0.3">
      <c r="A238" s="15" t="s">
        <v>786</v>
      </c>
      <c r="B238" s="15" t="s">
        <v>56</v>
      </c>
      <c r="C238" s="15" t="s">
        <v>175</v>
      </c>
      <c r="D238" s="16">
        <v>18438000</v>
      </c>
      <c r="E238" s="17">
        <v>46226</v>
      </c>
      <c r="F238" s="17">
        <v>46236</v>
      </c>
      <c r="G238" s="17">
        <v>46237</v>
      </c>
      <c r="H238" s="15">
        <v>0</v>
      </c>
      <c r="I238" s="15">
        <v>0</v>
      </c>
      <c r="J238" s="18">
        <f>IF(AND(E238&lt;=Quy_uoc_chung!$C$4,OR(G238="",G238&gt;Quy_uoc_chung!$C$4)),1,0)</f>
        <v>0</v>
      </c>
      <c r="K238" s="18">
        <f>IF(AND(E238&gt;=Quy_uoc_chung!$C$4-Quy_uoc_chung!$C$3+1,E238&lt;=Quy_uoc_chung!$C$4),1,0)</f>
        <v>1</v>
      </c>
      <c r="L238" s="19">
        <f t="shared" si="18"/>
        <v>10</v>
      </c>
      <c r="M238" s="20">
        <f t="shared" si="19"/>
        <v>184380000</v>
      </c>
      <c r="N238" s="21" t="str">
        <f t="shared" si="20"/>
        <v/>
      </c>
      <c r="O238" s="18">
        <f>IF(AND(H238&gt;0,J238=1,N238&gt;=Quy_uoc_chung!$C$4),1,0)</f>
        <v>0</v>
      </c>
      <c r="P238" s="22" t="str">
        <f t="shared" si="21"/>
        <v/>
      </c>
      <c r="Q238" s="20">
        <f t="shared" si="22"/>
        <v>0</v>
      </c>
      <c r="R238" s="28">
        <f>IF(J238=1,MAX(0,Quy_uoc_chung!$C$4-F238),0)</f>
        <v>0</v>
      </c>
      <c r="S238" s="28">
        <f t="shared" si="23"/>
        <v>0</v>
      </c>
      <c r="T238" s="28">
        <f>IF(AND(J238=1,F238=Quy_uoc_chung!$C$4),1,0)</f>
        <v>0</v>
      </c>
    </row>
    <row r="239" spans="1:20" x14ac:dyDescent="0.3">
      <c r="A239" s="15" t="s">
        <v>787</v>
      </c>
      <c r="B239" s="15" t="s">
        <v>56</v>
      </c>
      <c r="C239" s="15" t="s">
        <v>173</v>
      </c>
      <c r="D239" s="16">
        <v>168191000</v>
      </c>
      <c r="E239" s="17">
        <v>46234</v>
      </c>
      <c r="F239" s="17">
        <v>46264</v>
      </c>
      <c r="G239" s="17">
        <v>46263</v>
      </c>
      <c r="H239" s="15">
        <v>0</v>
      </c>
      <c r="I239" s="15">
        <v>0</v>
      </c>
      <c r="J239" s="18">
        <f>IF(AND(E239&lt;=Quy_uoc_chung!$C$4,OR(G239="",G239&gt;Quy_uoc_chung!$C$4)),1,0)</f>
        <v>0</v>
      </c>
      <c r="K239" s="18">
        <f>IF(AND(E239&gt;=Quy_uoc_chung!$C$4-Quy_uoc_chung!$C$3+1,E239&lt;=Quy_uoc_chung!$C$4),1,0)</f>
        <v>1</v>
      </c>
      <c r="L239" s="19">
        <f t="shared" si="18"/>
        <v>30</v>
      </c>
      <c r="M239" s="20">
        <f t="shared" si="19"/>
        <v>5045730000</v>
      </c>
      <c r="N239" s="21" t="str">
        <f t="shared" si="20"/>
        <v/>
      </c>
      <c r="O239" s="18">
        <f>IF(AND(H239&gt;0,J239=1,N239&gt;=Quy_uoc_chung!$C$4),1,0)</f>
        <v>0</v>
      </c>
      <c r="P239" s="22" t="str">
        <f t="shared" si="21"/>
        <v/>
      </c>
      <c r="Q239" s="20">
        <f t="shared" si="22"/>
        <v>0</v>
      </c>
      <c r="R239" s="28">
        <f>IF(J239=1,MAX(0,Quy_uoc_chung!$C$4-F239),0)</f>
        <v>0</v>
      </c>
      <c r="S239" s="28">
        <f t="shared" si="23"/>
        <v>0</v>
      </c>
      <c r="T239" s="28">
        <f>IF(AND(J239=1,F239=Quy_uoc_chung!$C$4),1,0)</f>
        <v>0</v>
      </c>
    </row>
    <row r="240" spans="1:20" x14ac:dyDescent="0.3">
      <c r="A240" s="15" t="s">
        <v>788</v>
      </c>
      <c r="B240" s="15" t="s">
        <v>56</v>
      </c>
      <c r="C240" s="15" t="s">
        <v>174</v>
      </c>
      <c r="D240" s="16">
        <v>44425000</v>
      </c>
      <c r="E240" s="17">
        <v>46233</v>
      </c>
      <c r="F240" s="17">
        <v>46263</v>
      </c>
      <c r="G240" s="17">
        <v>46263</v>
      </c>
      <c r="H240" s="15">
        <v>0</v>
      </c>
      <c r="I240" s="15">
        <v>0</v>
      </c>
      <c r="J240" s="18">
        <f>IF(AND(E240&lt;=Quy_uoc_chung!$C$4,OR(G240="",G240&gt;Quy_uoc_chung!$C$4)),1,0)</f>
        <v>0</v>
      </c>
      <c r="K240" s="18">
        <f>IF(AND(E240&gt;=Quy_uoc_chung!$C$4-Quy_uoc_chung!$C$3+1,E240&lt;=Quy_uoc_chung!$C$4),1,0)</f>
        <v>1</v>
      </c>
      <c r="L240" s="19">
        <f t="shared" si="18"/>
        <v>30</v>
      </c>
      <c r="M240" s="20">
        <f t="shared" si="19"/>
        <v>1332750000</v>
      </c>
      <c r="N240" s="21" t="str">
        <f t="shared" si="20"/>
        <v/>
      </c>
      <c r="O240" s="18">
        <f>IF(AND(H240&gt;0,J240=1,N240&gt;=Quy_uoc_chung!$C$4),1,0)</f>
        <v>0</v>
      </c>
      <c r="P240" s="22" t="str">
        <f t="shared" si="21"/>
        <v/>
      </c>
      <c r="Q240" s="20">
        <f t="shared" si="22"/>
        <v>0</v>
      </c>
      <c r="R240" s="28">
        <f>IF(J240=1,MAX(0,Quy_uoc_chung!$C$4-F240),0)</f>
        <v>0</v>
      </c>
      <c r="S240" s="28">
        <f t="shared" si="23"/>
        <v>0</v>
      </c>
      <c r="T240" s="28">
        <f>IF(AND(J240=1,F240=Quy_uoc_chung!$C$4),1,0)</f>
        <v>0</v>
      </c>
    </row>
    <row r="241" spans="1:20" x14ac:dyDescent="0.3">
      <c r="A241" s="15" t="s">
        <v>789</v>
      </c>
      <c r="B241" s="15" t="s">
        <v>56</v>
      </c>
      <c r="C241" s="15" t="s">
        <v>175</v>
      </c>
      <c r="D241" s="16">
        <v>27908000</v>
      </c>
      <c r="E241" s="17">
        <v>46236</v>
      </c>
      <c r="F241" s="17">
        <v>46246</v>
      </c>
      <c r="G241" s="17">
        <v>46246</v>
      </c>
      <c r="H241" s="15">
        <v>0</v>
      </c>
      <c r="I241" s="15">
        <v>0</v>
      </c>
      <c r="J241" s="18">
        <f>IF(AND(E241&lt;=Quy_uoc_chung!$C$4,OR(G241="",G241&gt;Quy_uoc_chung!$C$4)),1,0)</f>
        <v>0</v>
      </c>
      <c r="K241" s="18">
        <f>IF(AND(E241&gt;=Quy_uoc_chung!$C$4-Quy_uoc_chung!$C$3+1,E241&lt;=Quy_uoc_chung!$C$4),1,0)</f>
        <v>1</v>
      </c>
      <c r="L241" s="19">
        <f t="shared" si="18"/>
        <v>10</v>
      </c>
      <c r="M241" s="20">
        <f t="shared" si="19"/>
        <v>279080000</v>
      </c>
      <c r="N241" s="21" t="str">
        <f t="shared" si="20"/>
        <v/>
      </c>
      <c r="O241" s="18">
        <f>IF(AND(H241&gt;0,J241=1,N241&gt;=Quy_uoc_chung!$C$4),1,0)</f>
        <v>0</v>
      </c>
      <c r="P241" s="22" t="str">
        <f t="shared" si="21"/>
        <v/>
      </c>
      <c r="Q241" s="20">
        <f t="shared" si="22"/>
        <v>0</v>
      </c>
      <c r="R241" s="28">
        <f>IF(J241=1,MAX(0,Quy_uoc_chung!$C$4-F241),0)</f>
        <v>0</v>
      </c>
      <c r="S241" s="28">
        <f t="shared" si="23"/>
        <v>0</v>
      </c>
      <c r="T241" s="28">
        <f>IF(AND(J241=1,F241=Quy_uoc_chung!$C$4),1,0)</f>
        <v>0</v>
      </c>
    </row>
    <row r="242" spans="1:20" x14ac:dyDescent="0.3">
      <c r="A242" s="15" t="s">
        <v>790</v>
      </c>
      <c r="B242" s="15" t="s">
        <v>56</v>
      </c>
      <c r="C242" s="15" t="s">
        <v>173</v>
      </c>
      <c r="D242" s="16">
        <v>147256000</v>
      </c>
      <c r="E242" s="17">
        <v>46243</v>
      </c>
      <c r="F242" s="17">
        <v>46273</v>
      </c>
      <c r="G242" s="17">
        <v>46275</v>
      </c>
      <c r="H242" s="15">
        <v>0</v>
      </c>
      <c r="I242" s="15">
        <v>0</v>
      </c>
      <c r="J242" s="18">
        <f>IF(AND(E242&lt;=Quy_uoc_chung!$C$4,OR(G242="",G242&gt;Quy_uoc_chung!$C$4)),1,0)</f>
        <v>0</v>
      </c>
      <c r="K242" s="18">
        <f>IF(AND(E242&gt;=Quy_uoc_chung!$C$4-Quy_uoc_chung!$C$3+1,E242&lt;=Quy_uoc_chung!$C$4),1,0)</f>
        <v>1</v>
      </c>
      <c r="L242" s="19">
        <f t="shared" si="18"/>
        <v>30</v>
      </c>
      <c r="M242" s="20">
        <f t="shared" si="19"/>
        <v>4417680000</v>
      </c>
      <c r="N242" s="21" t="str">
        <f t="shared" si="20"/>
        <v/>
      </c>
      <c r="O242" s="18">
        <f>IF(AND(H242&gt;0,J242=1,N242&gt;=Quy_uoc_chung!$C$4),1,0)</f>
        <v>0</v>
      </c>
      <c r="P242" s="22" t="str">
        <f t="shared" si="21"/>
        <v/>
      </c>
      <c r="Q242" s="20">
        <f t="shared" si="22"/>
        <v>0</v>
      </c>
      <c r="R242" s="28">
        <f>IF(J242=1,MAX(0,Quy_uoc_chung!$C$4-F242),0)</f>
        <v>0</v>
      </c>
      <c r="S242" s="28">
        <f t="shared" si="23"/>
        <v>0</v>
      </c>
      <c r="T242" s="28">
        <f>IF(AND(J242=1,F242=Quy_uoc_chung!$C$4),1,0)</f>
        <v>0</v>
      </c>
    </row>
    <row r="243" spans="1:20" x14ac:dyDescent="0.3">
      <c r="A243" s="15" t="s">
        <v>791</v>
      </c>
      <c r="B243" s="15" t="s">
        <v>56</v>
      </c>
      <c r="C243" s="15" t="s">
        <v>174</v>
      </c>
      <c r="D243" s="16">
        <v>47562000</v>
      </c>
      <c r="E243" s="17">
        <v>46240</v>
      </c>
      <c r="F243" s="17">
        <v>46270</v>
      </c>
      <c r="G243" s="17">
        <v>46271</v>
      </c>
      <c r="H243" s="15">
        <v>0</v>
      </c>
      <c r="I243" s="15">
        <v>0</v>
      </c>
      <c r="J243" s="18">
        <f>IF(AND(E243&lt;=Quy_uoc_chung!$C$4,OR(G243="",G243&gt;Quy_uoc_chung!$C$4)),1,0)</f>
        <v>0</v>
      </c>
      <c r="K243" s="18">
        <f>IF(AND(E243&gt;=Quy_uoc_chung!$C$4-Quy_uoc_chung!$C$3+1,E243&lt;=Quy_uoc_chung!$C$4),1,0)</f>
        <v>1</v>
      </c>
      <c r="L243" s="19">
        <f t="shared" si="18"/>
        <v>30</v>
      </c>
      <c r="M243" s="20">
        <f t="shared" si="19"/>
        <v>1426860000</v>
      </c>
      <c r="N243" s="21" t="str">
        <f t="shared" si="20"/>
        <v/>
      </c>
      <c r="O243" s="18">
        <f>IF(AND(H243&gt;0,J243=1,N243&gt;=Quy_uoc_chung!$C$4),1,0)</f>
        <v>0</v>
      </c>
      <c r="P243" s="22" t="str">
        <f t="shared" si="21"/>
        <v/>
      </c>
      <c r="Q243" s="20">
        <f t="shared" si="22"/>
        <v>0</v>
      </c>
      <c r="R243" s="28">
        <f>IF(J243=1,MAX(0,Quy_uoc_chung!$C$4-F243),0)</f>
        <v>0</v>
      </c>
      <c r="S243" s="28">
        <f t="shared" si="23"/>
        <v>0</v>
      </c>
      <c r="T243" s="28">
        <f>IF(AND(J243=1,F243=Quy_uoc_chung!$C$4),1,0)</f>
        <v>0</v>
      </c>
    </row>
    <row r="244" spans="1:20" x14ac:dyDescent="0.3">
      <c r="A244" s="15" t="s">
        <v>792</v>
      </c>
      <c r="B244" s="15" t="s">
        <v>56</v>
      </c>
      <c r="C244" s="15" t="s">
        <v>175</v>
      </c>
      <c r="D244" s="16">
        <v>23626000</v>
      </c>
      <c r="E244" s="17">
        <v>46241</v>
      </c>
      <c r="F244" s="17">
        <v>46251</v>
      </c>
      <c r="G244" s="17">
        <v>46250</v>
      </c>
      <c r="H244" s="15">
        <v>0</v>
      </c>
      <c r="I244" s="15">
        <v>0</v>
      </c>
      <c r="J244" s="18">
        <f>IF(AND(E244&lt;=Quy_uoc_chung!$C$4,OR(G244="",G244&gt;Quy_uoc_chung!$C$4)),1,0)</f>
        <v>0</v>
      </c>
      <c r="K244" s="18">
        <f>IF(AND(E244&gt;=Quy_uoc_chung!$C$4-Quy_uoc_chung!$C$3+1,E244&lt;=Quy_uoc_chung!$C$4),1,0)</f>
        <v>1</v>
      </c>
      <c r="L244" s="19">
        <f t="shared" si="18"/>
        <v>10</v>
      </c>
      <c r="M244" s="20">
        <f t="shared" si="19"/>
        <v>236260000</v>
      </c>
      <c r="N244" s="21" t="str">
        <f t="shared" si="20"/>
        <v/>
      </c>
      <c r="O244" s="18">
        <f>IF(AND(H244&gt;0,J244=1,N244&gt;=Quy_uoc_chung!$C$4),1,0)</f>
        <v>0</v>
      </c>
      <c r="P244" s="22" t="str">
        <f t="shared" si="21"/>
        <v/>
      </c>
      <c r="Q244" s="20">
        <f t="shared" si="22"/>
        <v>0</v>
      </c>
      <c r="R244" s="28">
        <f>IF(J244=1,MAX(0,Quy_uoc_chung!$C$4-F244),0)</f>
        <v>0</v>
      </c>
      <c r="S244" s="28">
        <f t="shared" si="23"/>
        <v>0</v>
      </c>
      <c r="T244" s="28">
        <f>IF(AND(J244=1,F244=Quy_uoc_chung!$C$4),1,0)</f>
        <v>0</v>
      </c>
    </row>
    <row r="245" spans="1:20" x14ac:dyDescent="0.3">
      <c r="A245" s="15" t="s">
        <v>793</v>
      </c>
      <c r="B245" s="15" t="s">
        <v>56</v>
      </c>
      <c r="C245" s="15" t="s">
        <v>173</v>
      </c>
      <c r="D245" s="16">
        <v>148581000</v>
      </c>
      <c r="E245" s="17">
        <v>46246</v>
      </c>
      <c r="F245" s="17">
        <v>46276</v>
      </c>
      <c r="G245" s="17">
        <v>46279</v>
      </c>
      <c r="H245" s="15">
        <v>0</v>
      </c>
      <c r="I245" s="15">
        <v>0</v>
      </c>
      <c r="J245" s="18">
        <f>IF(AND(E245&lt;=Quy_uoc_chung!$C$4,OR(G245="",G245&gt;Quy_uoc_chung!$C$4)),1,0)</f>
        <v>0</v>
      </c>
      <c r="K245" s="18">
        <f>IF(AND(E245&gt;=Quy_uoc_chung!$C$4-Quy_uoc_chung!$C$3+1,E245&lt;=Quy_uoc_chung!$C$4),1,0)</f>
        <v>1</v>
      </c>
      <c r="L245" s="19">
        <f t="shared" si="18"/>
        <v>30</v>
      </c>
      <c r="M245" s="20">
        <f t="shared" si="19"/>
        <v>4457430000</v>
      </c>
      <c r="N245" s="21" t="str">
        <f t="shared" si="20"/>
        <v/>
      </c>
      <c r="O245" s="18">
        <f>IF(AND(H245&gt;0,J245=1,N245&gt;=Quy_uoc_chung!$C$4),1,0)</f>
        <v>0</v>
      </c>
      <c r="P245" s="22" t="str">
        <f t="shared" si="21"/>
        <v/>
      </c>
      <c r="Q245" s="20">
        <f t="shared" si="22"/>
        <v>0</v>
      </c>
      <c r="R245" s="28">
        <f>IF(J245=1,MAX(0,Quy_uoc_chung!$C$4-F245),0)</f>
        <v>0</v>
      </c>
      <c r="S245" s="28">
        <f t="shared" si="23"/>
        <v>0</v>
      </c>
      <c r="T245" s="28">
        <f>IF(AND(J245=1,F245=Quy_uoc_chung!$C$4),1,0)</f>
        <v>0</v>
      </c>
    </row>
    <row r="246" spans="1:20" x14ac:dyDescent="0.3">
      <c r="A246" s="15" t="s">
        <v>794</v>
      </c>
      <c r="B246" s="15" t="s">
        <v>56</v>
      </c>
      <c r="C246" s="15" t="s">
        <v>174</v>
      </c>
      <c r="D246" s="16">
        <v>38319000</v>
      </c>
      <c r="E246" s="17">
        <v>46247</v>
      </c>
      <c r="F246" s="17">
        <v>46277</v>
      </c>
      <c r="G246" s="17">
        <v>46279</v>
      </c>
      <c r="H246" s="15">
        <v>0</v>
      </c>
      <c r="I246" s="15">
        <v>0</v>
      </c>
      <c r="J246" s="18">
        <f>IF(AND(E246&lt;=Quy_uoc_chung!$C$4,OR(G246="",G246&gt;Quy_uoc_chung!$C$4)),1,0)</f>
        <v>0</v>
      </c>
      <c r="K246" s="18">
        <f>IF(AND(E246&gt;=Quy_uoc_chung!$C$4-Quy_uoc_chung!$C$3+1,E246&lt;=Quy_uoc_chung!$C$4),1,0)</f>
        <v>1</v>
      </c>
      <c r="L246" s="19">
        <f t="shared" si="18"/>
        <v>30</v>
      </c>
      <c r="M246" s="20">
        <f t="shared" si="19"/>
        <v>1149570000</v>
      </c>
      <c r="N246" s="21" t="str">
        <f t="shared" si="20"/>
        <v/>
      </c>
      <c r="O246" s="18">
        <f>IF(AND(H246&gt;0,J246=1,N246&gt;=Quy_uoc_chung!$C$4),1,0)</f>
        <v>0</v>
      </c>
      <c r="P246" s="22" t="str">
        <f t="shared" si="21"/>
        <v/>
      </c>
      <c r="Q246" s="20">
        <f t="shared" si="22"/>
        <v>0</v>
      </c>
      <c r="R246" s="28">
        <f>IF(J246=1,MAX(0,Quy_uoc_chung!$C$4-F246),0)</f>
        <v>0</v>
      </c>
      <c r="S246" s="28">
        <f t="shared" si="23"/>
        <v>0</v>
      </c>
      <c r="T246" s="28">
        <f>IF(AND(J246=1,F246=Quy_uoc_chung!$C$4),1,0)</f>
        <v>0</v>
      </c>
    </row>
    <row r="247" spans="1:20" x14ac:dyDescent="0.3">
      <c r="A247" s="15" t="s">
        <v>795</v>
      </c>
      <c r="B247" s="15" t="s">
        <v>56</v>
      </c>
      <c r="C247" s="15" t="s">
        <v>175</v>
      </c>
      <c r="D247" s="16">
        <v>21725000</v>
      </c>
      <c r="E247" s="17">
        <v>46250</v>
      </c>
      <c r="F247" s="17">
        <v>46260</v>
      </c>
      <c r="G247" s="17">
        <v>46260</v>
      </c>
      <c r="H247" s="15">
        <v>0</v>
      </c>
      <c r="I247" s="15">
        <v>0</v>
      </c>
      <c r="J247" s="18">
        <f>IF(AND(E247&lt;=Quy_uoc_chung!$C$4,OR(G247="",G247&gt;Quy_uoc_chung!$C$4)),1,0)</f>
        <v>0</v>
      </c>
      <c r="K247" s="18">
        <f>IF(AND(E247&gt;=Quy_uoc_chung!$C$4-Quy_uoc_chung!$C$3+1,E247&lt;=Quy_uoc_chung!$C$4),1,0)</f>
        <v>1</v>
      </c>
      <c r="L247" s="19">
        <f t="shared" si="18"/>
        <v>10</v>
      </c>
      <c r="M247" s="20">
        <f t="shared" si="19"/>
        <v>217250000</v>
      </c>
      <c r="N247" s="21" t="str">
        <f t="shared" si="20"/>
        <v/>
      </c>
      <c r="O247" s="18">
        <f>IF(AND(H247&gt;0,J247=1,N247&gt;=Quy_uoc_chung!$C$4),1,0)</f>
        <v>0</v>
      </c>
      <c r="P247" s="22" t="str">
        <f t="shared" si="21"/>
        <v/>
      </c>
      <c r="Q247" s="20">
        <f t="shared" si="22"/>
        <v>0</v>
      </c>
      <c r="R247" s="28">
        <f>IF(J247=1,MAX(0,Quy_uoc_chung!$C$4-F247),0)</f>
        <v>0</v>
      </c>
      <c r="S247" s="28">
        <f t="shared" si="23"/>
        <v>0</v>
      </c>
      <c r="T247" s="28">
        <f>IF(AND(J247=1,F247=Quy_uoc_chung!$C$4),1,0)</f>
        <v>0</v>
      </c>
    </row>
    <row r="248" spans="1:20" x14ac:dyDescent="0.3">
      <c r="A248" s="15" t="s">
        <v>796</v>
      </c>
      <c r="B248" s="15" t="s">
        <v>56</v>
      </c>
      <c r="C248" s="15" t="s">
        <v>173</v>
      </c>
      <c r="D248" s="16">
        <v>181571000</v>
      </c>
      <c r="E248" s="17">
        <v>46254</v>
      </c>
      <c r="F248" s="17">
        <v>46284</v>
      </c>
      <c r="G248" s="17">
        <v>46284</v>
      </c>
      <c r="H248" s="15">
        <v>0</v>
      </c>
      <c r="I248" s="15">
        <v>0</v>
      </c>
      <c r="J248" s="18">
        <f>IF(AND(E248&lt;=Quy_uoc_chung!$C$4,OR(G248="",G248&gt;Quy_uoc_chung!$C$4)),1,0)</f>
        <v>0</v>
      </c>
      <c r="K248" s="18">
        <f>IF(AND(E248&gt;=Quy_uoc_chung!$C$4-Quy_uoc_chung!$C$3+1,E248&lt;=Quy_uoc_chung!$C$4),1,0)</f>
        <v>1</v>
      </c>
      <c r="L248" s="19">
        <f t="shared" si="18"/>
        <v>30</v>
      </c>
      <c r="M248" s="20">
        <f t="shared" si="19"/>
        <v>5447130000</v>
      </c>
      <c r="N248" s="21" t="str">
        <f t="shared" si="20"/>
        <v/>
      </c>
      <c r="O248" s="18">
        <f>IF(AND(H248&gt;0,J248=1,N248&gt;=Quy_uoc_chung!$C$4),1,0)</f>
        <v>0</v>
      </c>
      <c r="P248" s="22" t="str">
        <f t="shared" si="21"/>
        <v/>
      </c>
      <c r="Q248" s="20">
        <f t="shared" si="22"/>
        <v>0</v>
      </c>
      <c r="R248" s="28">
        <f>IF(J248=1,MAX(0,Quy_uoc_chung!$C$4-F248),0)</f>
        <v>0</v>
      </c>
      <c r="S248" s="28">
        <f t="shared" si="23"/>
        <v>0</v>
      </c>
      <c r="T248" s="28">
        <f>IF(AND(J248=1,F248=Quy_uoc_chung!$C$4),1,0)</f>
        <v>0</v>
      </c>
    </row>
    <row r="249" spans="1:20" x14ac:dyDescent="0.3">
      <c r="A249" s="15" t="s">
        <v>797</v>
      </c>
      <c r="B249" s="15" t="s">
        <v>56</v>
      </c>
      <c r="C249" s="15" t="s">
        <v>174</v>
      </c>
      <c r="D249" s="16">
        <v>53516000</v>
      </c>
      <c r="E249" s="17">
        <v>46257</v>
      </c>
      <c r="F249" s="17">
        <v>46287</v>
      </c>
      <c r="G249" s="17">
        <v>46288</v>
      </c>
      <c r="H249" s="15">
        <v>0</v>
      </c>
      <c r="I249" s="15">
        <v>0</v>
      </c>
      <c r="J249" s="18">
        <f>IF(AND(E249&lt;=Quy_uoc_chung!$C$4,OR(G249="",G249&gt;Quy_uoc_chung!$C$4)),1,0)</f>
        <v>0</v>
      </c>
      <c r="K249" s="18">
        <f>IF(AND(E249&gt;=Quy_uoc_chung!$C$4-Quy_uoc_chung!$C$3+1,E249&lt;=Quy_uoc_chung!$C$4),1,0)</f>
        <v>1</v>
      </c>
      <c r="L249" s="19">
        <f t="shared" si="18"/>
        <v>30</v>
      </c>
      <c r="M249" s="20">
        <f t="shared" si="19"/>
        <v>1605480000</v>
      </c>
      <c r="N249" s="21" t="str">
        <f t="shared" si="20"/>
        <v/>
      </c>
      <c r="O249" s="18">
        <f>IF(AND(H249&gt;0,J249=1,N249&gt;=Quy_uoc_chung!$C$4),1,0)</f>
        <v>0</v>
      </c>
      <c r="P249" s="22" t="str">
        <f t="shared" si="21"/>
        <v/>
      </c>
      <c r="Q249" s="20">
        <f t="shared" si="22"/>
        <v>0</v>
      </c>
      <c r="R249" s="28">
        <f>IF(J249=1,MAX(0,Quy_uoc_chung!$C$4-F249),0)</f>
        <v>0</v>
      </c>
      <c r="S249" s="28">
        <f t="shared" si="23"/>
        <v>0</v>
      </c>
      <c r="T249" s="28">
        <f>IF(AND(J249=1,F249=Quy_uoc_chung!$C$4),1,0)</f>
        <v>0</v>
      </c>
    </row>
    <row r="250" spans="1:20" x14ac:dyDescent="0.3">
      <c r="A250" s="15" t="s">
        <v>798</v>
      </c>
      <c r="B250" s="15" t="s">
        <v>56</v>
      </c>
      <c r="C250" s="15" t="s">
        <v>175</v>
      </c>
      <c r="D250" s="16">
        <v>24943000</v>
      </c>
      <c r="E250" s="17">
        <v>46257</v>
      </c>
      <c r="F250" s="17">
        <v>46267</v>
      </c>
      <c r="G250" s="17">
        <v>46269</v>
      </c>
      <c r="H250" s="15">
        <v>0</v>
      </c>
      <c r="I250" s="15">
        <v>0</v>
      </c>
      <c r="J250" s="18">
        <f>IF(AND(E250&lt;=Quy_uoc_chung!$C$4,OR(G250="",G250&gt;Quy_uoc_chung!$C$4)),1,0)</f>
        <v>0</v>
      </c>
      <c r="K250" s="18">
        <f>IF(AND(E250&gt;=Quy_uoc_chung!$C$4-Quy_uoc_chung!$C$3+1,E250&lt;=Quy_uoc_chung!$C$4),1,0)</f>
        <v>1</v>
      </c>
      <c r="L250" s="19">
        <f t="shared" si="18"/>
        <v>10</v>
      </c>
      <c r="M250" s="20">
        <f t="shared" si="19"/>
        <v>249430000</v>
      </c>
      <c r="N250" s="21" t="str">
        <f t="shared" si="20"/>
        <v/>
      </c>
      <c r="O250" s="18">
        <f>IF(AND(H250&gt;0,J250=1,N250&gt;=Quy_uoc_chung!$C$4),1,0)</f>
        <v>0</v>
      </c>
      <c r="P250" s="22" t="str">
        <f t="shared" si="21"/>
        <v/>
      </c>
      <c r="Q250" s="20">
        <f t="shared" si="22"/>
        <v>0</v>
      </c>
      <c r="R250" s="28">
        <f>IF(J250=1,MAX(0,Quy_uoc_chung!$C$4-F250),0)</f>
        <v>0</v>
      </c>
      <c r="S250" s="28">
        <f t="shared" si="23"/>
        <v>0</v>
      </c>
      <c r="T250" s="28">
        <f>IF(AND(J250=1,F250=Quy_uoc_chung!$C$4),1,0)</f>
        <v>0</v>
      </c>
    </row>
    <row r="251" spans="1:20" x14ac:dyDescent="0.3">
      <c r="A251" s="15" t="s">
        <v>799</v>
      </c>
      <c r="B251" s="15" t="s">
        <v>56</v>
      </c>
      <c r="C251" s="15" t="s">
        <v>173</v>
      </c>
      <c r="D251" s="16">
        <v>196864000</v>
      </c>
      <c r="E251" s="17">
        <v>46264</v>
      </c>
      <c r="F251" s="17">
        <v>46294</v>
      </c>
      <c r="G251" s="17">
        <v>46295</v>
      </c>
      <c r="H251" s="15">
        <v>0</v>
      </c>
      <c r="I251" s="15">
        <v>0</v>
      </c>
      <c r="J251" s="18">
        <f>IF(AND(E251&lt;=Quy_uoc_chung!$C$4,OR(G251="",G251&gt;Quy_uoc_chung!$C$4)),1,0)</f>
        <v>0</v>
      </c>
      <c r="K251" s="18">
        <f>IF(AND(E251&gt;=Quy_uoc_chung!$C$4-Quy_uoc_chung!$C$3+1,E251&lt;=Quy_uoc_chung!$C$4),1,0)</f>
        <v>1</v>
      </c>
      <c r="L251" s="19">
        <f t="shared" si="18"/>
        <v>30</v>
      </c>
      <c r="M251" s="20">
        <f t="shared" si="19"/>
        <v>5905920000</v>
      </c>
      <c r="N251" s="21" t="str">
        <f t="shared" si="20"/>
        <v/>
      </c>
      <c r="O251" s="18">
        <f>IF(AND(H251&gt;0,J251=1,N251&gt;=Quy_uoc_chung!$C$4),1,0)</f>
        <v>0</v>
      </c>
      <c r="P251" s="22" t="str">
        <f t="shared" si="21"/>
        <v/>
      </c>
      <c r="Q251" s="20">
        <f t="shared" si="22"/>
        <v>0</v>
      </c>
      <c r="R251" s="28">
        <f>IF(J251=1,MAX(0,Quy_uoc_chung!$C$4-F251),0)</f>
        <v>0</v>
      </c>
      <c r="S251" s="28">
        <f t="shared" si="23"/>
        <v>0</v>
      </c>
      <c r="T251" s="28">
        <f>IF(AND(J251=1,F251=Quy_uoc_chung!$C$4),1,0)</f>
        <v>0</v>
      </c>
    </row>
    <row r="252" spans="1:20" x14ac:dyDescent="0.3">
      <c r="A252" s="15" t="s">
        <v>800</v>
      </c>
      <c r="B252" s="15" t="s">
        <v>56</v>
      </c>
      <c r="C252" s="15" t="s">
        <v>174</v>
      </c>
      <c r="D252" s="16">
        <v>47816000</v>
      </c>
      <c r="E252" s="17">
        <v>46261</v>
      </c>
      <c r="F252" s="17">
        <v>46291</v>
      </c>
      <c r="G252" s="17">
        <v>46291</v>
      </c>
      <c r="H252" s="15">
        <v>0</v>
      </c>
      <c r="I252" s="15">
        <v>0</v>
      </c>
      <c r="J252" s="18">
        <f>IF(AND(E252&lt;=Quy_uoc_chung!$C$4,OR(G252="",G252&gt;Quy_uoc_chung!$C$4)),1,0)</f>
        <v>0</v>
      </c>
      <c r="K252" s="18">
        <f>IF(AND(E252&gt;=Quy_uoc_chung!$C$4-Quy_uoc_chung!$C$3+1,E252&lt;=Quy_uoc_chung!$C$4),1,0)</f>
        <v>1</v>
      </c>
      <c r="L252" s="19">
        <f t="shared" si="18"/>
        <v>30</v>
      </c>
      <c r="M252" s="20">
        <f t="shared" si="19"/>
        <v>1434480000</v>
      </c>
      <c r="N252" s="21" t="str">
        <f t="shared" si="20"/>
        <v/>
      </c>
      <c r="O252" s="18">
        <f>IF(AND(H252&gt;0,J252=1,N252&gt;=Quy_uoc_chung!$C$4),1,0)</f>
        <v>0</v>
      </c>
      <c r="P252" s="22" t="str">
        <f t="shared" si="21"/>
        <v/>
      </c>
      <c r="Q252" s="20">
        <f t="shared" si="22"/>
        <v>0</v>
      </c>
      <c r="R252" s="28">
        <f>IF(J252=1,MAX(0,Quy_uoc_chung!$C$4-F252),0)</f>
        <v>0</v>
      </c>
      <c r="S252" s="28">
        <f t="shared" si="23"/>
        <v>0</v>
      </c>
      <c r="T252" s="28">
        <f>IF(AND(J252=1,F252=Quy_uoc_chung!$C$4),1,0)</f>
        <v>0</v>
      </c>
    </row>
    <row r="253" spans="1:20" x14ac:dyDescent="0.3">
      <c r="A253" s="15" t="s">
        <v>801</v>
      </c>
      <c r="B253" s="15" t="s">
        <v>56</v>
      </c>
      <c r="C253" s="15" t="s">
        <v>175</v>
      </c>
      <c r="D253" s="16">
        <v>17693000</v>
      </c>
      <c r="E253" s="17">
        <v>46264</v>
      </c>
      <c r="F253" s="17">
        <v>46274</v>
      </c>
      <c r="G253" s="17">
        <v>46274</v>
      </c>
      <c r="H253" s="15">
        <v>0</v>
      </c>
      <c r="I253" s="15">
        <v>0</v>
      </c>
      <c r="J253" s="18">
        <f>IF(AND(E253&lt;=Quy_uoc_chung!$C$4,OR(G253="",G253&gt;Quy_uoc_chung!$C$4)),1,0)</f>
        <v>0</v>
      </c>
      <c r="K253" s="18">
        <f>IF(AND(E253&gt;=Quy_uoc_chung!$C$4-Quy_uoc_chung!$C$3+1,E253&lt;=Quy_uoc_chung!$C$4),1,0)</f>
        <v>1</v>
      </c>
      <c r="L253" s="19">
        <f t="shared" si="18"/>
        <v>10</v>
      </c>
      <c r="M253" s="20">
        <f t="shared" si="19"/>
        <v>176930000</v>
      </c>
      <c r="N253" s="21" t="str">
        <f t="shared" si="20"/>
        <v/>
      </c>
      <c r="O253" s="18">
        <f>IF(AND(H253&gt;0,J253=1,N253&gt;=Quy_uoc_chung!$C$4),1,0)</f>
        <v>0</v>
      </c>
      <c r="P253" s="22" t="str">
        <f t="shared" si="21"/>
        <v/>
      </c>
      <c r="Q253" s="20">
        <f t="shared" si="22"/>
        <v>0</v>
      </c>
      <c r="R253" s="28">
        <f>IF(J253=1,MAX(0,Quy_uoc_chung!$C$4-F253),0)</f>
        <v>0</v>
      </c>
      <c r="S253" s="28">
        <f t="shared" si="23"/>
        <v>0</v>
      </c>
      <c r="T253" s="28">
        <f>IF(AND(J253=1,F253=Quy_uoc_chung!$C$4),1,0)</f>
        <v>0</v>
      </c>
    </row>
    <row r="254" spans="1:20" x14ac:dyDescent="0.3">
      <c r="A254" s="15" t="s">
        <v>802</v>
      </c>
      <c r="B254" s="15" t="s">
        <v>56</v>
      </c>
      <c r="C254" s="15" t="s">
        <v>173</v>
      </c>
      <c r="D254" s="16">
        <v>122886000</v>
      </c>
      <c r="E254" s="17">
        <v>46270</v>
      </c>
      <c r="F254" s="17">
        <v>46300</v>
      </c>
      <c r="G254" s="17"/>
      <c r="H254" s="15">
        <v>0</v>
      </c>
      <c r="I254" s="15">
        <v>0</v>
      </c>
      <c r="J254" s="18">
        <f>IF(AND(E254&lt;=Quy_uoc_chung!$C$4,OR(G254="",G254&gt;Quy_uoc_chung!$C$4)),1,0)</f>
        <v>1</v>
      </c>
      <c r="K254" s="18">
        <f>IF(AND(E254&gt;=Quy_uoc_chung!$C$4-Quy_uoc_chung!$C$3+1,E254&lt;=Quy_uoc_chung!$C$4),1,0)</f>
        <v>1</v>
      </c>
      <c r="L254" s="19">
        <f t="shared" si="18"/>
        <v>30</v>
      </c>
      <c r="M254" s="20">
        <f t="shared" si="19"/>
        <v>3686580000</v>
      </c>
      <c r="N254" s="21" t="str">
        <f t="shared" si="20"/>
        <v/>
      </c>
      <c r="O254" s="18">
        <f>IF(AND(H254&gt;0,J254=1,N254&gt;=Quy_uoc_chung!$C$4),1,0)</f>
        <v>0</v>
      </c>
      <c r="P254" s="22" t="str">
        <f t="shared" si="21"/>
        <v/>
      </c>
      <c r="Q254" s="20">
        <f t="shared" si="22"/>
        <v>0</v>
      </c>
      <c r="R254" s="28">
        <f>IF(J254=1,MAX(0,Quy_uoc_chung!$C$4-F254),0)</f>
        <v>0</v>
      </c>
      <c r="S254" s="28">
        <f t="shared" si="23"/>
        <v>0</v>
      </c>
      <c r="T254" s="28">
        <f>IF(AND(J254=1,F254=Quy_uoc_chung!$C$4),1,0)</f>
        <v>0</v>
      </c>
    </row>
    <row r="255" spans="1:20" x14ac:dyDescent="0.3">
      <c r="A255" s="15" t="s">
        <v>803</v>
      </c>
      <c r="B255" s="15" t="s">
        <v>56</v>
      </c>
      <c r="C255" s="15" t="s">
        <v>174</v>
      </c>
      <c r="D255" s="16">
        <v>54099000</v>
      </c>
      <c r="E255" s="17">
        <v>46268</v>
      </c>
      <c r="F255" s="17">
        <v>46298</v>
      </c>
      <c r="G255" s="17"/>
      <c r="H255" s="15">
        <v>0</v>
      </c>
      <c r="I255" s="15">
        <v>0</v>
      </c>
      <c r="J255" s="18">
        <f>IF(AND(E255&lt;=Quy_uoc_chung!$C$4,OR(G255="",G255&gt;Quy_uoc_chung!$C$4)),1,0)</f>
        <v>1</v>
      </c>
      <c r="K255" s="18">
        <f>IF(AND(E255&gt;=Quy_uoc_chung!$C$4-Quy_uoc_chung!$C$3+1,E255&lt;=Quy_uoc_chung!$C$4),1,0)</f>
        <v>1</v>
      </c>
      <c r="L255" s="19">
        <f t="shared" si="18"/>
        <v>30</v>
      </c>
      <c r="M255" s="20">
        <f t="shared" si="19"/>
        <v>1622970000</v>
      </c>
      <c r="N255" s="21" t="str">
        <f t="shared" si="20"/>
        <v/>
      </c>
      <c r="O255" s="18">
        <f>IF(AND(H255&gt;0,J255=1,N255&gt;=Quy_uoc_chung!$C$4),1,0)</f>
        <v>0</v>
      </c>
      <c r="P255" s="22" t="str">
        <f t="shared" si="21"/>
        <v/>
      </c>
      <c r="Q255" s="20">
        <f t="shared" si="22"/>
        <v>0</v>
      </c>
      <c r="R255" s="28">
        <f>IF(J255=1,MAX(0,Quy_uoc_chung!$C$4-F255),0)</f>
        <v>0</v>
      </c>
      <c r="S255" s="28">
        <f t="shared" si="23"/>
        <v>0</v>
      </c>
      <c r="T255" s="28">
        <f>IF(AND(J255=1,F255=Quy_uoc_chung!$C$4),1,0)</f>
        <v>0</v>
      </c>
    </row>
    <row r="256" spans="1:20" x14ac:dyDescent="0.3">
      <c r="A256" s="15" t="s">
        <v>804</v>
      </c>
      <c r="B256" s="15" t="s">
        <v>56</v>
      </c>
      <c r="C256" s="15" t="s">
        <v>175</v>
      </c>
      <c r="D256" s="16">
        <v>17313000</v>
      </c>
      <c r="E256" s="17">
        <v>46269</v>
      </c>
      <c r="F256" s="17">
        <v>46279</v>
      </c>
      <c r="G256" s="17">
        <v>46279</v>
      </c>
      <c r="H256" s="15">
        <v>0</v>
      </c>
      <c r="I256" s="15">
        <v>0</v>
      </c>
      <c r="J256" s="18">
        <f>IF(AND(E256&lt;=Quy_uoc_chung!$C$4,OR(G256="",G256&gt;Quy_uoc_chung!$C$4)),1,0)</f>
        <v>0</v>
      </c>
      <c r="K256" s="18">
        <f>IF(AND(E256&gt;=Quy_uoc_chung!$C$4-Quy_uoc_chung!$C$3+1,E256&lt;=Quy_uoc_chung!$C$4),1,0)</f>
        <v>1</v>
      </c>
      <c r="L256" s="19">
        <f t="shared" si="18"/>
        <v>10</v>
      </c>
      <c r="M256" s="20">
        <f t="shared" si="19"/>
        <v>173130000</v>
      </c>
      <c r="N256" s="21" t="str">
        <f t="shared" si="20"/>
        <v/>
      </c>
      <c r="O256" s="18">
        <f>IF(AND(H256&gt;0,J256=1,N256&gt;=Quy_uoc_chung!$C$4),1,0)</f>
        <v>0</v>
      </c>
      <c r="P256" s="22" t="str">
        <f t="shared" si="21"/>
        <v/>
      </c>
      <c r="Q256" s="20">
        <f t="shared" si="22"/>
        <v>0</v>
      </c>
      <c r="R256" s="28">
        <f>IF(J256=1,MAX(0,Quy_uoc_chung!$C$4-F256),0)</f>
        <v>0</v>
      </c>
      <c r="S256" s="28">
        <f t="shared" si="23"/>
        <v>0</v>
      </c>
      <c r="T256" s="28">
        <f>IF(AND(J256=1,F256=Quy_uoc_chung!$C$4),1,0)</f>
        <v>0</v>
      </c>
    </row>
    <row r="257" spans="1:20" x14ac:dyDescent="0.3">
      <c r="A257" s="15" t="s">
        <v>805</v>
      </c>
      <c r="B257" s="15" t="s">
        <v>56</v>
      </c>
      <c r="C257" s="15" t="s">
        <v>173</v>
      </c>
      <c r="D257" s="16">
        <v>147373000</v>
      </c>
      <c r="E257" s="17">
        <v>46278</v>
      </c>
      <c r="F257" s="17">
        <v>46308</v>
      </c>
      <c r="G257" s="17"/>
      <c r="H257" s="15">
        <v>0</v>
      </c>
      <c r="I257" s="15">
        <v>0</v>
      </c>
      <c r="J257" s="18">
        <f>IF(AND(E257&lt;=Quy_uoc_chung!$C$4,OR(G257="",G257&gt;Quy_uoc_chung!$C$4)),1,0)</f>
        <v>1</v>
      </c>
      <c r="K257" s="18">
        <f>IF(AND(E257&gt;=Quy_uoc_chung!$C$4-Quy_uoc_chung!$C$3+1,E257&lt;=Quy_uoc_chung!$C$4),1,0)</f>
        <v>1</v>
      </c>
      <c r="L257" s="19">
        <f t="shared" si="18"/>
        <v>30</v>
      </c>
      <c r="M257" s="20">
        <f t="shared" si="19"/>
        <v>4421190000</v>
      </c>
      <c r="N257" s="21" t="str">
        <f t="shared" si="20"/>
        <v/>
      </c>
      <c r="O257" s="18">
        <f>IF(AND(H257&gt;0,J257=1,N257&gt;=Quy_uoc_chung!$C$4),1,0)</f>
        <v>0</v>
      </c>
      <c r="P257" s="22" t="str">
        <f t="shared" si="21"/>
        <v/>
      </c>
      <c r="Q257" s="20">
        <f t="shared" si="22"/>
        <v>0</v>
      </c>
      <c r="R257" s="28">
        <f>IF(J257=1,MAX(0,Quy_uoc_chung!$C$4-F257),0)</f>
        <v>0</v>
      </c>
      <c r="S257" s="28">
        <f t="shared" si="23"/>
        <v>0</v>
      </c>
      <c r="T257" s="28">
        <f>IF(AND(J257=1,F257=Quy_uoc_chung!$C$4),1,0)</f>
        <v>0</v>
      </c>
    </row>
    <row r="258" spans="1:20" x14ac:dyDescent="0.3">
      <c r="A258" s="15" t="s">
        <v>806</v>
      </c>
      <c r="B258" s="15" t="s">
        <v>56</v>
      </c>
      <c r="C258" s="15" t="s">
        <v>174</v>
      </c>
      <c r="D258" s="16">
        <v>47497000</v>
      </c>
      <c r="E258" s="17">
        <v>46278</v>
      </c>
      <c r="F258" s="17">
        <v>46308</v>
      </c>
      <c r="G258" s="17"/>
      <c r="H258" s="15">
        <v>0</v>
      </c>
      <c r="I258" s="15">
        <v>0</v>
      </c>
      <c r="J258" s="18">
        <f>IF(AND(E258&lt;=Quy_uoc_chung!$C$4,OR(G258="",G258&gt;Quy_uoc_chung!$C$4)),1,0)</f>
        <v>1</v>
      </c>
      <c r="K258" s="18">
        <f>IF(AND(E258&gt;=Quy_uoc_chung!$C$4-Quy_uoc_chung!$C$3+1,E258&lt;=Quy_uoc_chung!$C$4),1,0)</f>
        <v>1</v>
      </c>
      <c r="L258" s="19">
        <f t="shared" si="18"/>
        <v>30</v>
      </c>
      <c r="M258" s="20">
        <f t="shared" si="19"/>
        <v>1424910000</v>
      </c>
      <c r="N258" s="21" t="str">
        <f t="shared" si="20"/>
        <v/>
      </c>
      <c r="O258" s="18">
        <f>IF(AND(H258&gt;0,J258=1,N258&gt;=Quy_uoc_chung!$C$4),1,0)</f>
        <v>0</v>
      </c>
      <c r="P258" s="22" t="str">
        <f t="shared" si="21"/>
        <v/>
      </c>
      <c r="Q258" s="20">
        <f t="shared" si="22"/>
        <v>0</v>
      </c>
      <c r="R258" s="28">
        <f>IF(J258=1,MAX(0,Quy_uoc_chung!$C$4-F258),0)</f>
        <v>0</v>
      </c>
      <c r="S258" s="28">
        <f t="shared" si="23"/>
        <v>0</v>
      </c>
      <c r="T258" s="28">
        <f>IF(AND(J258=1,F258=Quy_uoc_chung!$C$4),1,0)</f>
        <v>0</v>
      </c>
    </row>
    <row r="259" spans="1:20" x14ac:dyDescent="0.3">
      <c r="A259" s="15" t="s">
        <v>807</v>
      </c>
      <c r="B259" s="15" t="s">
        <v>56</v>
      </c>
      <c r="C259" s="15" t="s">
        <v>175</v>
      </c>
      <c r="D259" s="16">
        <v>19097000</v>
      </c>
      <c r="E259" s="17">
        <v>46276</v>
      </c>
      <c r="F259" s="17">
        <v>46286</v>
      </c>
      <c r="G259" s="17">
        <v>46284</v>
      </c>
      <c r="H259" s="15">
        <v>0</v>
      </c>
      <c r="I259" s="15">
        <v>0</v>
      </c>
      <c r="J259" s="18">
        <f>IF(AND(E259&lt;=Quy_uoc_chung!$C$4,OR(G259="",G259&gt;Quy_uoc_chung!$C$4)),1,0)</f>
        <v>0</v>
      </c>
      <c r="K259" s="18">
        <f>IF(AND(E259&gt;=Quy_uoc_chung!$C$4-Quy_uoc_chung!$C$3+1,E259&lt;=Quy_uoc_chung!$C$4),1,0)</f>
        <v>1</v>
      </c>
      <c r="L259" s="19">
        <f t="shared" ref="L259:L267" si="24">F259-E259</f>
        <v>10</v>
      </c>
      <c r="M259" s="20">
        <f t="shared" ref="M259:M267" si="25">IF(K259=1,D259*L259,0)</f>
        <v>190970000</v>
      </c>
      <c r="N259" s="21" t="str">
        <f t="shared" ref="N259:N267" si="26">IF(H259&gt;0,E259+I259,"")</f>
        <v/>
      </c>
      <c r="O259" s="18">
        <f>IF(AND(H259&gt;0,J259=1,N259&gt;=Quy_uoc_chung!$C$4),1,0)</f>
        <v>0</v>
      </c>
      <c r="P259" s="22" t="str">
        <f t="shared" ref="P259:P267" si="27">IF(O259=1,H259/(1-H259)*365/(L259-I259),"")</f>
        <v/>
      </c>
      <c r="Q259" s="20">
        <f t="shared" ref="Q259:Q267" si="28">IF(O259=1,D259*H259,0)</f>
        <v>0</v>
      </c>
      <c r="R259" s="28">
        <f>IF(J259=1,MAX(0,Quy_uoc_chung!$C$4-F259),0)</f>
        <v>0</v>
      </c>
      <c r="S259" s="28">
        <f t="shared" ref="S259:S322" si="29">IF(AND(J259=1,R259&gt;0),1,0)</f>
        <v>0</v>
      </c>
      <c r="T259" s="28">
        <f>IF(AND(J259=1,F259=Quy_uoc_chung!$C$4),1,0)</f>
        <v>0</v>
      </c>
    </row>
    <row r="260" spans="1:20" x14ac:dyDescent="0.3">
      <c r="A260" s="15" t="s">
        <v>808</v>
      </c>
      <c r="B260" s="15" t="s">
        <v>56</v>
      </c>
      <c r="C260" s="15" t="s">
        <v>173</v>
      </c>
      <c r="D260" s="16">
        <v>163937000</v>
      </c>
      <c r="E260" s="17">
        <v>46284</v>
      </c>
      <c r="F260" s="17">
        <v>46314</v>
      </c>
      <c r="G260" s="17"/>
      <c r="H260" s="15">
        <v>0</v>
      </c>
      <c r="I260" s="15">
        <v>0</v>
      </c>
      <c r="J260" s="18">
        <f>IF(AND(E260&lt;=Quy_uoc_chung!$C$4,OR(G260="",G260&gt;Quy_uoc_chung!$C$4)),1,0)</f>
        <v>1</v>
      </c>
      <c r="K260" s="18">
        <f>IF(AND(E260&gt;=Quy_uoc_chung!$C$4-Quy_uoc_chung!$C$3+1,E260&lt;=Quy_uoc_chung!$C$4),1,0)</f>
        <v>1</v>
      </c>
      <c r="L260" s="19">
        <f t="shared" si="24"/>
        <v>30</v>
      </c>
      <c r="M260" s="20">
        <f t="shared" si="25"/>
        <v>4918110000</v>
      </c>
      <c r="N260" s="21" t="str">
        <f t="shared" si="26"/>
        <v/>
      </c>
      <c r="O260" s="18">
        <f>IF(AND(H260&gt;0,J260=1,N260&gt;=Quy_uoc_chung!$C$4),1,0)</f>
        <v>0</v>
      </c>
      <c r="P260" s="22" t="str">
        <f t="shared" si="27"/>
        <v/>
      </c>
      <c r="Q260" s="20">
        <f t="shared" si="28"/>
        <v>0</v>
      </c>
      <c r="R260" s="28">
        <f>IF(J260=1,MAX(0,Quy_uoc_chung!$C$4-F260),0)</f>
        <v>0</v>
      </c>
      <c r="S260" s="28">
        <f t="shared" si="29"/>
        <v>0</v>
      </c>
      <c r="T260" s="28">
        <f>IF(AND(J260=1,F260=Quy_uoc_chung!$C$4),1,0)</f>
        <v>0</v>
      </c>
    </row>
    <row r="261" spans="1:20" x14ac:dyDescent="0.3">
      <c r="A261" s="15" t="s">
        <v>809</v>
      </c>
      <c r="B261" s="15" t="s">
        <v>56</v>
      </c>
      <c r="C261" s="15" t="s">
        <v>174</v>
      </c>
      <c r="D261" s="16">
        <v>56662000</v>
      </c>
      <c r="E261" s="17">
        <v>46284</v>
      </c>
      <c r="F261" s="17">
        <v>46314</v>
      </c>
      <c r="G261" s="17"/>
      <c r="H261" s="15">
        <v>0</v>
      </c>
      <c r="I261" s="15">
        <v>0</v>
      </c>
      <c r="J261" s="18">
        <f>IF(AND(E261&lt;=Quy_uoc_chung!$C$4,OR(G261="",G261&gt;Quy_uoc_chung!$C$4)),1,0)</f>
        <v>1</v>
      </c>
      <c r="K261" s="18">
        <f>IF(AND(E261&gt;=Quy_uoc_chung!$C$4-Quy_uoc_chung!$C$3+1,E261&lt;=Quy_uoc_chung!$C$4),1,0)</f>
        <v>1</v>
      </c>
      <c r="L261" s="19">
        <f t="shared" si="24"/>
        <v>30</v>
      </c>
      <c r="M261" s="20">
        <f t="shared" si="25"/>
        <v>1699860000</v>
      </c>
      <c r="N261" s="21" t="str">
        <f t="shared" si="26"/>
        <v/>
      </c>
      <c r="O261" s="18">
        <f>IF(AND(H261&gt;0,J261=1,N261&gt;=Quy_uoc_chung!$C$4),1,0)</f>
        <v>0</v>
      </c>
      <c r="P261" s="22" t="str">
        <f t="shared" si="27"/>
        <v/>
      </c>
      <c r="Q261" s="20">
        <f t="shared" si="28"/>
        <v>0</v>
      </c>
      <c r="R261" s="28">
        <f>IF(J261=1,MAX(0,Quy_uoc_chung!$C$4-F261),0)</f>
        <v>0</v>
      </c>
      <c r="S261" s="28">
        <f t="shared" si="29"/>
        <v>0</v>
      </c>
      <c r="T261" s="28">
        <f>IF(AND(J261=1,F261=Quy_uoc_chung!$C$4),1,0)</f>
        <v>0</v>
      </c>
    </row>
    <row r="262" spans="1:20" x14ac:dyDescent="0.3">
      <c r="A262" s="15" t="s">
        <v>810</v>
      </c>
      <c r="B262" s="15" t="s">
        <v>56</v>
      </c>
      <c r="C262" s="15" t="s">
        <v>175</v>
      </c>
      <c r="D262" s="16">
        <v>24084000</v>
      </c>
      <c r="E262" s="17">
        <v>46285</v>
      </c>
      <c r="F262" s="17">
        <v>46295</v>
      </c>
      <c r="G262" s="17">
        <v>46295</v>
      </c>
      <c r="H262" s="15">
        <v>0</v>
      </c>
      <c r="I262" s="15">
        <v>0</v>
      </c>
      <c r="J262" s="18">
        <f>IF(AND(E262&lt;=Quy_uoc_chung!$C$4,OR(G262="",G262&gt;Quy_uoc_chung!$C$4)),1,0)</f>
        <v>0</v>
      </c>
      <c r="K262" s="18">
        <f>IF(AND(E262&gt;=Quy_uoc_chung!$C$4-Quy_uoc_chung!$C$3+1,E262&lt;=Quy_uoc_chung!$C$4),1,0)</f>
        <v>1</v>
      </c>
      <c r="L262" s="19">
        <f t="shared" si="24"/>
        <v>10</v>
      </c>
      <c r="M262" s="20">
        <f t="shared" si="25"/>
        <v>240840000</v>
      </c>
      <c r="N262" s="21" t="str">
        <f t="shared" si="26"/>
        <v/>
      </c>
      <c r="O262" s="18">
        <f>IF(AND(H262&gt;0,J262=1,N262&gt;=Quy_uoc_chung!$C$4),1,0)</f>
        <v>0</v>
      </c>
      <c r="P262" s="22" t="str">
        <f t="shared" si="27"/>
        <v/>
      </c>
      <c r="Q262" s="20">
        <f t="shared" si="28"/>
        <v>0</v>
      </c>
      <c r="R262" s="28">
        <f>IF(J262=1,MAX(0,Quy_uoc_chung!$C$4-F262),0)</f>
        <v>0</v>
      </c>
      <c r="S262" s="28">
        <f t="shared" si="29"/>
        <v>0</v>
      </c>
      <c r="T262" s="28">
        <f>IF(AND(J262=1,F262=Quy_uoc_chung!$C$4),1,0)</f>
        <v>0</v>
      </c>
    </row>
    <row r="263" spans="1:20" x14ac:dyDescent="0.3">
      <c r="A263" s="15" t="s">
        <v>811</v>
      </c>
      <c r="B263" s="15" t="s">
        <v>56</v>
      </c>
      <c r="C263" s="15" t="s">
        <v>173</v>
      </c>
      <c r="D263" s="16">
        <v>150894000</v>
      </c>
      <c r="E263" s="17">
        <v>46288</v>
      </c>
      <c r="F263" s="17">
        <v>46318</v>
      </c>
      <c r="G263" s="17"/>
      <c r="H263" s="15">
        <v>0</v>
      </c>
      <c r="I263" s="15">
        <v>0</v>
      </c>
      <c r="J263" s="18">
        <f>IF(AND(E263&lt;=Quy_uoc_chung!$C$4,OR(G263="",G263&gt;Quy_uoc_chung!$C$4)),1,0)</f>
        <v>1</v>
      </c>
      <c r="K263" s="18">
        <f>IF(AND(E263&gt;=Quy_uoc_chung!$C$4-Quy_uoc_chung!$C$3+1,E263&lt;=Quy_uoc_chung!$C$4),1,0)</f>
        <v>1</v>
      </c>
      <c r="L263" s="19">
        <f t="shared" si="24"/>
        <v>30</v>
      </c>
      <c r="M263" s="20">
        <f t="shared" si="25"/>
        <v>4526820000</v>
      </c>
      <c r="N263" s="21" t="str">
        <f t="shared" si="26"/>
        <v/>
      </c>
      <c r="O263" s="18">
        <f>IF(AND(H263&gt;0,J263=1,N263&gt;=Quy_uoc_chung!$C$4),1,0)</f>
        <v>0</v>
      </c>
      <c r="P263" s="22" t="str">
        <f t="shared" si="27"/>
        <v/>
      </c>
      <c r="Q263" s="20">
        <f t="shared" si="28"/>
        <v>0</v>
      </c>
      <c r="R263" s="28">
        <f>IF(J263=1,MAX(0,Quy_uoc_chung!$C$4-F263),0)</f>
        <v>0</v>
      </c>
      <c r="S263" s="28">
        <f t="shared" si="29"/>
        <v>0</v>
      </c>
      <c r="T263" s="28">
        <f>IF(AND(J263=1,F263=Quy_uoc_chung!$C$4),1,0)</f>
        <v>0</v>
      </c>
    </row>
    <row r="264" spans="1:20" x14ac:dyDescent="0.3">
      <c r="A264" s="15" t="s">
        <v>812</v>
      </c>
      <c r="B264" s="15" t="s">
        <v>56</v>
      </c>
      <c r="C264" s="15" t="s">
        <v>174</v>
      </c>
      <c r="D264" s="16">
        <v>45581000</v>
      </c>
      <c r="E264" s="17">
        <v>46288</v>
      </c>
      <c r="F264" s="17">
        <v>46318</v>
      </c>
      <c r="G264" s="17"/>
      <c r="H264" s="15">
        <v>0</v>
      </c>
      <c r="I264" s="15">
        <v>0</v>
      </c>
      <c r="J264" s="18">
        <f>IF(AND(E264&lt;=Quy_uoc_chung!$C$4,OR(G264="",G264&gt;Quy_uoc_chung!$C$4)),1,0)</f>
        <v>1</v>
      </c>
      <c r="K264" s="18">
        <f>IF(AND(E264&gt;=Quy_uoc_chung!$C$4-Quy_uoc_chung!$C$3+1,E264&lt;=Quy_uoc_chung!$C$4),1,0)</f>
        <v>1</v>
      </c>
      <c r="L264" s="19">
        <f t="shared" si="24"/>
        <v>30</v>
      </c>
      <c r="M264" s="20">
        <f t="shared" si="25"/>
        <v>1367430000</v>
      </c>
      <c r="N264" s="21" t="str">
        <f t="shared" si="26"/>
        <v/>
      </c>
      <c r="O264" s="18">
        <f>IF(AND(H264&gt;0,J264=1,N264&gt;=Quy_uoc_chung!$C$4),1,0)</f>
        <v>0</v>
      </c>
      <c r="P264" s="22" t="str">
        <f t="shared" si="27"/>
        <v/>
      </c>
      <c r="Q264" s="20">
        <f t="shared" si="28"/>
        <v>0</v>
      </c>
      <c r="R264" s="28">
        <f>IF(J264=1,MAX(0,Quy_uoc_chung!$C$4-F264),0)</f>
        <v>0</v>
      </c>
      <c r="S264" s="28">
        <f t="shared" si="29"/>
        <v>0</v>
      </c>
      <c r="T264" s="28">
        <f>IF(AND(J264=1,F264=Quy_uoc_chung!$C$4),1,0)</f>
        <v>0</v>
      </c>
    </row>
    <row r="265" spans="1:20" x14ac:dyDescent="0.3">
      <c r="A265" s="15" t="s">
        <v>813</v>
      </c>
      <c r="B265" s="15" t="s">
        <v>56</v>
      </c>
      <c r="C265" s="15" t="s">
        <v>175</v>
      </c>
      <c r="D265" s="16">
        <v>28545000</v>
      </c>
      <c r="E265" s="17">
        <v>46291</v>
      </c>
      <c r="F265" s="17">
        <v>46301</v>
      </c>
      <c r="G265" s="17"/>
      <c r="H265" s="15">
        <v>0</v>
      </c>
      <c r="I265" s="15">
        <v>0</v>
      </c>
      <c r="J265" s="18">
        <f>IF(AND(E265&lt;=Quy_uoc_chung!$C$4,OR(G265="",G265&gt;Quy_uoc_chung!$C$4)),1,0)</f>
        <v>1</v>
      </c>
      <c r="K265" s="18">
        <f>IF(AND(E265&gt;=Quy_uoc_chung!$C$4-Quy_uoc_chung!$C$3+1,E265&lt;=Quy_uoc_chung!$C$4),1,0)</f>
        <v>1</v>
      </c>
      <c r="L265" s="19">
        <f t="shared" si="24"/>
        <v>10</v>
      </c>
      <c r="M265" s="20">
        <f t="shared" si="25"/>
        <v>285450000</v>
      </c>
      <c r="N265" s="21" t="str">
        <f t="shared" si="26"/>
        <v/>
      </c>
      <c r="O265" s="18">
        <f>IF(AND(H265&gt;0,J265=1,N265&gt;=Quy_uoc_chung!$C$4),1,0)</f>
        <v>0</v>
      </c>
      <c r="P265" s="22" t="str">
        <f t="shared" si="27"/>
        <v/>
      </c>
      <c r="Q265" s="20">
        <f t="shared" si="28"/>
        <v>0</v>
      </c>
      <c r="R265" s="28">
        <f>IF(J265=1,MAX(0,Quy_uoc_chung!$C$4-F265),0)</f>
        <v>0</v>
      </c>
      <c r="S265" s="28">
        <f t="shared" si="29"/>
        <v>0</v>
      </c>
      <c r="T265" s="28">
        <f>IF(AND(J265=1,F265=Quy_uoc_chung!$C$4),1,0)</f>
        <v>0</v>
      </c>
    </row>
    <row r="266" spans="1:20" x14ac:dyDescent="0.3">
      <c r="A266" s="15" t="s">
        <v>814</v>
      </c>
      <c r="B266" s="15" t="s">
        <v>56</v>
      </c>
      <c r="C266" s="15" t="s">
        <v>174</v>
      </c>
      <c r="D266" s="16">
        <v>44105000</v>
      </c>
      <c r="E266" s="17">
        <v>46295</v>
      </c>
      <c r="F266" s="17">
        <v>46325</v>
      </c>
      <c r="G266" s="17"/>
      <c r="H266" s="15">
        <v>0</v>
      </c>
      <c r="I266" s="15">
        <v>0</v>
      </c>
      <c r="J266" s="18">
        <f>IF(AND(E266&lt;=Quy_uoc_chung!$C$4,OR(G266="",G266&gt;Quy_uoc_chung!$C$4)),1,0)</f>
        <v>1</v>
      </c>
      <c r="K266" s="18">
        <f>IF(AND(E266&gt;=Quy_uoc_chung!$C$4-Quy_uoc_chung!$C$3+1,E266&lt;=Quy_uoc_chung!$C$4),1,0)</f>
        <v>1</v>
      </c>
      <c r="L266" s="19">
        <f t="shared" si="24"/>
        <v>30</v>
      </c>
      <c r="M266" s="20">
        <f t="shared" si="25"/>
        <v>1323150000</v>
      </c>
      <c r="N266" s="21" t="str">
        <f t="shared" si="26"/>
        <v/>
      </c>
      <c r="O266" s="18">
        <f>IF(AND(H266&gt;0,J266=1,N266&gt;=Quy_uoc_chung!$C$4),1,0)</f>
        <v>0</v>
      </c>
      <c r="P266" s="22" t="str">
        <f t="shared" si="27"/>
        <v/>
      </c>
      <c r="Q266" s="20">
        <f t="shared" si="28"/>
        <v>0</v>
      </c>
      <c r="R266" s="28">
        <f>IF(J266=1,MAX(0,Quy_uoc_chung!$C$4-F266),0)</f>
        <v>0</v>
      </c>
      <c r="S266" s="28">
        <f t="shared" si="29"/>
        <v>0</v>
      </c>
      <c r="T266" s="28">
        <f>IF(AND(J266=1,F266=Quy_uoc_chung!$C$4),1,0)</f>
        <v>0</v>
      </c>
    </row>
    <row r="267" spans="1:20" x14ac:dyDescent="0.3">
      <c r="A267" s="15" t="s">
        <v>815</v>
      </c>
      <c r="B267" s="15" t="s">
        <v>56</v>
      </c>
      <c r="C267" s="15" t="s">
        <v>175</v>
      </c>
      <c r="D267" s="16">
        <v>26884000</v>
      </c>
      <c r="E267" s="17">
        <v>46295</v>
      </c>
      <c r="F267" s="17">
        <v>46305</v>
      </c>
      <c r="G267" s="17"/>
      <c r="H267" s="15">
        <v>0</v>
      </c>
      <c r="I267" s="15">
        <v>0</v>
      </c>
      <c r="J267" s="18">
        <f>IF(AND(E267&lt;=Quy_uoc_chung!$C$4,OR(G267="",G267&gt;Quy_uoc_chung!$C$4)),1,0)</f>
        <v>1</v>
      </c>
      <c r="K267" s="18">
        <f>IF(AND(E267&gt;=Quy_uoc_chung!$C$4-Quy_uoc_chung!$C$3+1,E267&lt;=Quy_uoc_chung!$C$4),1,0)</f>
        <v>1</v>
      </c>
      <c r="L267" s="19">
        <f t="shared" si="24"/>
        <v>10</v>
      </c>
      <c r="M267" s="20">
        <f t="shared" si="25"/>
        <v>268840000</v>
      </c>
      <c r="N267" s="21" t="str">
        <f t="shared" si="26"/>
        <v/>
      </c>
      <c r="O267" s="18">
        <f>IF(AND(H267&gt;0,J267=1,N267&gt;=Quy_uoc_chung!$C$4),1,0)</f>
        <v>0</v>
      </c>
      <c r="P267" s="22" t="str">
        <f t="shared" si="27"/>
        <v/>
      </c>
      <c r="Q267" s="20">
        <f t="shared" si="28"/>
        <v>0</v>
      </c>
      <c r="R267" s="28">
        <f>IF(J267=1,MAX(0,Quy_uoc_chung!$C$4-F267),0)</f>
        <v>0</v>
      </c>
      <c r="S267" s="28">
        <f t="shared" si="29"/>
        <v>0</v>
      </c>
      <c r="T267" s="28">
        <f>IF(AND(J267=1,F267=Quy_uoc_chung!$C$4),1,0)</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6"/>
  <sheetViews>
    <sheetView showGridLines="0" zoomScale="97" workbookViewId="0">
      <pane ySplit="2" topLeftCell="A3" activePane="bottomLeft" state="frozen"/>
      <selection pane="bottomLeft"/>
    </sheetView>
  </sheetViews>
  <sheetFormatPr defaultColWidth="8.6640625" defaultRowHeight="14.4" x14ac:dyDescent="0.3"/>
  <cols>
    <col min="1" max="1" width="16" customWidth="1"/>
    <col min="2" max="2" width="40" customWidth="1"/>
    <col min="3" max="3" width="12" customWidth="1"/>
    <col min="4" max="11" width="16" customWidth="1"/>
  </cols>
  <sheetData>
    <row r="1" spans="1:11" x14ac:dyDescent="0.3">
      <c r="A1" s="1" t="s">
        <v>816</v>
      </c>
    </row>
    <row r="2" spans="1:11" ht="27.6" x14ac:dyDescent="0.3">
      <c r="A2" s="2" t="s">
        <v>244</v>
      </c>
      <c r="B2" s="2" t="s">
        <v>817</v>
      </c>
      <c r="C2" s="2" t="s">
        <v>818</v>
      </c>
      <c r="D2" s="2" t="s">
        <v>819</v>
      </c>
      <c r="E2" s="2" t="s">
        <v>820</v>
      </c>
      <c r="F2" s="2" t="s">
        <v>821</v>
      </c>
      <c r="G2" s="2" t="s">
        <v>822</v>
      </c>
      <c r="H2" s="2" t="s">
        <v>823</v>
      </c>
      <c r="I2" s="2" t="s">
        <v>824</v>
      </c>
      <c r="J2" s="2" t="s">
        <v>825</v>
      </c>
      <c r="K2" s="2" t="s">
        <v>826</v>
      </c>
    </row>
    <row r="3" spans="1:11" x14ac:dyDescent="0.3">
      <c r="A3" s="15" t="s">
        <v>54</v>
      </c>
      <c r="B3" s="15" t="s">
        <v>136</v>
      </c>
      <c r="C3" s="15" t="s">
        <v>19</v>
      </c>
      <c r="D3" s="15">
        <v>1</v>
      </c>
      <c r="E3" s="16">
        <v>1150000000</v>
      </c>
      <c r="F3" s="15">
        <v>32</v>
      </c>
      <c r="G3" s="20">
        <f t="shared" ref="G3:G16" si="0">D3*E3</f>
        <v>1150000000</v>
      </c>
      <c r="H3" s="18">
        <f>IF(C3=TV1_Nguong!$C$14,1,0)</f>
        <v>0</v>
      </c>
      <c r="I3" s="18">
        <f>IFERROR(VLOOKUP(C3,TV1_Nguong!$B$8:$C$10,2,FALSE()),"")</f>
        <v>60</v>
      </c>
      <c r="J3" s="18">
        <f t="shared" ref="J3:J16" si="1">IF(AND(H3=0,I3&lt;&gt;"",F3&gt;I3),1,0)</f>
        <v>0</v>
      </c>
      <c r="K3" s="20">
        <f t="shared" ref="K3:K16" si="2">IF(H3=0,G3,0)</f>
        <v>1150000000</v>
      </c>
    </row>
    <row r="4" spans="1:11" x14ac:dyDescent="0.3">
      <c r="A4" s="15" t="s">
        <v>54</v>
      </c>
      <c r="B4" s="15" t="s">
        <v>137</v>
      </c>
      <c r="C4" s="15" t="s">
        <v>19</v>
      </c>
      <c r="D4" s="15">
        <v>1</v>
      </c>
      <c r="E4" s="16">
        <v>640000000</v>
      </c>
      <c r="F4" s="15">
        <v>28</v>
      </c>
      <c r="G4" s="20">
        <f t="shared" si="0"/>
        <v>640000000</v>
      </c>
      <c r="H4" s="18">
        <f>IF(C4=TV1_Nguong!$C$14,1,0)</f>
        <v>0</v>
      </c>
      <c r="I4" s="18">
        <f>IFERROR(VLOOKUP(C4,TV1_Nguong!$B$8:$C$10,2,FALSE()),"")</f>
        <v>60</v>
      </c>
      <c r="J4" s="18">
        <f t="shared" si="1"/>
        <v>0</v>
      </c>
      <c r="K4" s="20">
        <f t="shared" si="2"/>
        <v>640000000</v>
      </c>
    </row>
    <row r="5" spans="1:11" x14ac:dyDescent="0.3">
      <c r="A5" s="15" t="s">
        <v>54</v>
      </c>
      <c r="B5" s="15" t="s">
        <v>138</v>
      </c>
      <c r="C5" s="15" t="s">
        <v>21</v>
      </c>
      <c r="D5" s="15">
        <v>1</v>
      </c>
      <c r="E5" s="16">
        <v>820000000</v>
      </c>
      <c r="F5" s="15">
        <v>9</v>
      </c>
      <c r="G5" s="20">
        <f t="shared" si="0"/>
        <v>820000000</v>
      </c>
      <c r="H5" s="18">
        <f>IF(C5=TV1_Nguong!$C$14,1,0)</f>
        <v>0</v>
      </c>
      <c r="I5" s="18">
        <f>IFERROR(VLOOKUP(C5,TV1_Nguong!$B$8:$C$10,2,FALSE()),"")</f>
        <v>30</v>
      </c>
      <c r="J5" s="18">
        <f t="shared" si="1"/>
        <v>0</v>
      </c>
      <c r="K5" s="20">
        <f t="shared" si="2"/>
        <v>820000000</v>
      </c>
    </row>
    <row r="6" spans="1:11" x14ac:dyDescent="0.3">
      <c r="A6" s="15" t="s">
        <v>54</v>
      </c>
      <c r="B6" s="15" t="s">
        <v>139</v>
      </c>
      <c r="C6" s="15" t="s">
        <v>24</v>
      </c>
      <c r="D6" s="15">
        <v>1</v>
      </c>
      <c r="E6" s="16">
        <v>410000000</v>
      </c>
      <c r="F6" s="15">
        <v>16</v>
      </c>
      <c r="G6" s="20">
        <f t="shared" si="0"/>
        <v>410000000</v>
      </c>
      <c r="H6" s="18">
        <f>IF(C6=TV1_Nguong!$C$14,1,0)</f>
        <v>0</v>
      </c>
      <c r="I6" s="18">
        <f>IFERROR(VLOOKUP(C6,TV1_Nguong!$B$8:$C$10,2,FALSE()),"")</f>
        <v>30</v>
      </c>
      <c r="J6" s="18">
        <f t="shared" si="1"/>
        <v>0</v>
      </c>
      <c r="K6" s="20">
        <f t="shared" si="2"/>
        <v>410000000</v>
      </c>
    </row>
    <row r="7" spans="1:11" x14ac:dyDescent="0.3">
      <c r="A7" s="15" t="s">
        <v>54</v>
      </c>
      <c r="B7" s="15" t="s">
        <v>140</v>
      </c>
      <c r="C7" s="15" t="s">
        <v>19</v>
      </c>
      <c r="D7" s="15">
        <v>1</v>
      </c>
      <c r="E7" s="16">
        <v>430000000</v>
      </c>
      <c r="F7" s="15">
        <v>118</v>
      </c>
      <c r="G7" s="20">
        <f t="shared" si="0"/>
        <v>430000000</v>
      </c>
      <c r="H7" s="18">
        <f>IF(C7=TV1_Nguong!$C$14,1,0)</f>
        <v>0</v>
      </c>
      <c r="I7" s="18">
        <f>IFERROR(VLOOKUP(C7,TV1_Nguong!$B$8:$C$10,2,FALSE()),"")</f>
        <v>60</v>
      </c>
      <c r="J7" s="18">
        <f t="shared" si="1"/>
        <v>1</v>
      </c>
      <c r="K7" s="20">
        <f t="shared" si="2"/>
        <v>430000000</v>
      </c>
    </row>
    <row r="8" spans="1:11" x14ac:dyDescent="0.3">
      <c r="A8" s="15" t="s">
        <v>54</v>
      </c>
      <c r="B8" s="15" t="s">
        <v>141</v>
      </c>
      <c r="C8" s="15" t="s">
        <v>37</v>
      </c>
      <c r="D8" s="15">
        <v>1</v>
      </c>
      <c r="E8" s="16">
        <v>2600000000</v>
      </c>
      <c r="F8" s="15">
        <v>20</v>
      </c>
      <c r="G8" s="20">
        <f t="shared" si="0"/>
        <v>2600000000</v>
      </c>
      <c r="H8" s="18">
        <f>IF(C8=TV1_Nguong!$C$14,1,0)</f>
        <v>1</v>
      </c>
      <c r="I8" s="18" t="str">
        <f>IFERROR(VLOOKUP(C8,TV1_Nguong!$B$8:$C$10,2,FALSE()),"")</f>
        <v/>
      </c>
      <c r="J8" s="18">
        <f t="shared" si="1"/>
        <v>0</v>
      </c>
      <c r="K8" s="20">
        <f t="shared" si="2"/>
        <v>0</v>
      </c>
    </row>
    <row r="9" spans="1:11" x14ac:dyDescent="0.3">
      <c r="A9" s="15" t="s">
        <v>55</v>
      </c>
      <c r="B9" s="15" t="s">
        <v>157</v>
      </c>
      <c r="C9" s="15" t="s">
        <v>19</v>
      </c>
      <c r="D9" s="15">
        <v>1</v>
      </c>
      <c r="E9" s="16">
        <v>3200000000</v>
      </c>
      <c r="F9" s="15">
        <v>48</v>
      </c>
      <c r="G9" s="20">
        <f t="shared" si="0"/>
        <v>3200000000</v>
      </c>
      <c r="H9" s="18">
        <f>IF(C9=TV1_Nguong!$C$14,1,0)</f>
        <v>0</v>
      </c>
      <c r="I9" s="18">
        <f>IFERROR(VLOOKUP(C9,TV1_Nguong!$B$8:$C$10,2,FALSE()),"")</f>
        <v>60</v>
      </c>
      <c r="J9" s="18">
        <f t="shared" si="1"/>
        <v>0</v>
      </c>
      <c r="K9" s="20">
        <f t="shared" si="2"/>
        <v>3200000000</v>
      </c>
    </row>
    <row r="10" spans="1:11" x14ac:dyDescent="0.3">
      <c r="A10" s="15" t="s">
        <v>55</v>
      </c>
      <c r="B10" s="15" t="s">
        <v>158</v>
      </c>
      <c r="C10" s="15" t="s">
        <v>19</v>
      </c>
      <c r="D10" s="15">
        <v>1</v>
      </c>
      <c r="E10" s="16">
        <v>2500000000</v>
      </c>
      <c r="F10" s="15">
        <v>41</v>
      </c>
      <c r="G10" s="20">
        <f t="shared" si="0"/>
        <v>2500000000</v>
      </c>
      <c r="H10" s="18">
        <f>IF(C10=TV1_Nguong!$C$14,1,0)</f>
        <v>0</v>
      </c>
      <c r="I10" s="18">
        <f>IFERROR(VLOOKUP(C10,TV1_Nguong!$B$8:$C$10,2,FALSE()),"")</f>
        <v>60</v>
      </c>
      <c r="J10" s="18">
        <f t="shared" si="1"/>
        <v>0</v>
      </c>
      <c r="K10" s="20">
        <f t="shared" si="2"/>
        <v>2500000000</v>
      </c>
    </row>
    <row r="11" spans="1:11" x14ac:dyDescent="0.3">
      <c r="A11" s="15" t="s">
        <v>55</v>
      </c>
      <c r="B11" s="15" t="s">
        <v>159</v>
      </c>
      <c r="C11" s="15" t="s">
        <v>19</v>
      </c>
      <c r="D11" s="15">
        <v>1</v>
      </c>
      <c r="E11" s="16">
        <v>1450000000</v>
      </c>
      <c r="F11" s="15">
        <v>155</v>
      </c>
      <c r="G11" s="20">
        <f t="shared" si="0"/>
        <v>1450000000</v>
      </c>
      <c r="H11" s="18">
        <f>IF(C11=TV1_Nguong!$C$14,1,0)</f>
        <v>0</v>
      </c>
      <c r="I11" s="18">
        <f>IFERROR(VLOOKUP(C11,TV1_Nguong!$B$8:$C$10,2,FALSE()),"")</f>
        <v>60</v>
      </c>
      <c r="J11" s="18">
        <f t="shared" si="1"/>
        <v>1</v>
      </c>
      <c r="K11" s="20">
        <f t="shared" si="2"/>
        <v>1450000000</v>
      </c>
    </row>
    <row r="12" spans="1:11" x14ac:dyDescent="0.3">
      <c r="A12" s="15" t="s">
        <v>55</v>
      </c>
      <c r="B12" s="15" t="s">
        <v>160</v>
      </c>
      <c r="C12" s="15" t="s">
        <v>19</v>
      </c>
      <c r="D12" s="15">
        <v>1</v>
      </c>
      <c r="E12" s="16">
        <v>900000000</v>
      </c>
      <c r="F12" s="15">
        <v>12</v>
      </c>
      <c r="G12" s="20">
        <f t="shared" si="0"/>
        <v>900000000</v>
      </c>
      <c r="H12" s="18">
        <f>IF(C12=TV1_Nguong!$C$14,1,0)</f>
        <v>0</v>
      </c>
      <c r="I12" s="18">
        <f>IFERROR(VLOOKUP(C12,TV1_Nguong!$B$8:$C$10,2,FALSE()),"")</f>
        <v>60</v>
      </c>
      <c r="J12" s="18">
        <f t="shared" si="1"/>
        <v>0</v>
      </c>
      <c r="K12" s="20">
        <f t="shared" si="2"/>
        <v>900000000</v>
      </c>
    </row>
    <row r="13" spans="1:11" x14ac:dyDescent="0.3">
      <c r="A13" s="15" t="s">
        <v>56</v>
      </c>
      <c r="B13" s="15" t="s">
        <v>168</v>
      </c>
      <c r="C13" s="15" t="s">
        <v>19</v>
      </c>
      <c r="D13" s="15">
        <v>1</v>
      </c>
      <c r="E13" s="16">
        <v>1050000000</v>
      </c>
      <c r="F13" s="15">
        <v>30</v>
      </c>
      <c r="G13" s="20">
        <f t="shared" si="0"/>
        <v>1050000000</v>
      </c>
      <c r="H13" s="18">
        <f>IF(C13=TV1_Nguong!$C$14,1,0)</f>
        <v>0</v>
      </c>
      <c r="I13" s="18">
        <f>IFERROR(VLOOKUP(C13,TV1_Nguong!$B$8:$C$10,2,FALSE()),"")</f>
        <v>60</v>
      </c>
      <c r="J13" s="18">
        <f t="shared" si="1"/>
        <v>0</v>
      </c>
      <c r="K13" s="20">
        <f t="shared" si="2"/>
        <v>1050000000</v>
      </c>
    </row>
    <row r="14" spans="1:11" x14ac:dyDescent="0.3">
      <c r="A14" s="15" t="s">
        <v>56</v>
      </c>
      <c r="B14" s="15" t="s">
        <v>169</v>
      </c>
      <c r="C14" s="15" t="s">
        <v>19</v>
      </c>
      <c r="D14" s="15">
        <v>1</v>
      </c>
      <c r="E14" s="16">
        <v>260000000</v>
      </c>
      <c r="F14" s="15">
        <v>40</v>
      </c>
      <c r="G14" s="20">
        <f t="shared" si="0"/>
        <v>260000000</v>
      </c>
      <c r="H14" s="18">
        <f>IF(C14=TV1_Nguong!$C$14,1,0)</f>
        <v>0</v>
      </c>
      <c r="I14" s="18">
        <f>IFERROR(VLOOKUP(C14,TV1_Nguong!$B$8:$C$10,2,FALSE()),"")</f>
        <v>60</v>
      </c>
      <c r="J14" s="18">
        <f t="shared" si="1"/>
        <v>0</v>
      </c>
      <c r="K14" s="20">
        <f t="shared" si="2"/>
        <v>260000000</v>
      </c>
    </row>
    <row r="15" spans="1:11" x14ac:dyDescent="0.3">
      <c r="A15" s="15" t="s">
        <v>56</v>
      </c>
      <c r="B15" s="15" t="s">
        <v>170</v>
      </c>
      <c r="C15" s="15" t="s">
        <v>24</v>
      </c>
      <c r="D15" s="15">
        <v>1</v>
      </c>
      <c r="E15" s="16">
        <v>380000000</v>
      </c>
      <c r="F15" s="15">
        <v>14</v>
      </c>
      <c r="G15" s="20">
        <f t="shared" si="0"/>
        <v>380000000</v>
      </c>
      <c r="H15" s="18">
        <f>IF(C15=TV1_Nguong!$C$14,1,0)</f>
        <v>0</v>
      </c>
      <c r="I15" s="18">
        <f>IFERROR(VLOOKUP(C15,TV1_Nguong!$B$8:$C$10,2,FALSE()),"")</f>
        <v>30</v>
      </c>
      <c r="J15" s="18">
        <f t="shared" si="1"/>
        <v>0</v>
      </c>
      <c r="K15" s="20">
        <f t="shared" si="2"/>
        <v>380000000</v>
      </c>
    </row>
    <row r="16" spans="1:11" x14ac:dyDescent="0.3">
      <c r="A16" s="15" t="s">
        <v>56</v>
      </c>
      <c r="B16" s="15" t="s">
        <v>171</v>
      </c>
      <c r="C16" s="15" t="s">
        <v>24</v>
      </c>
      <c r="D16" s="15">
        <v>1</v>
      </c>
      <c r="E16" s="16">
        <v>170000000</v>
      </c>
      <c r="F16" s="15">
        <v>95</v>
      </c>
      <c r="G16" s="20">
        <f t="shared" si="0"/>
        <v>170000000</v>
      </c>
      <c r="H16" s="18">
        <f>IF(C16=TV1_Nguong!$C$14,1,0)</f>
        <v>0</v>
      </c>
      <c r="I16" s="18">
        <f>IFERROR(VLOOKUP(C16,TV1_Nguong!$B$8:$C$10,2,FALSE()),"")</f>
        <v>30</v>
      </c>
      <c r="J16" s="18">
        <f t="shared" si="1"/>
        <v>1</v>
      </c>
      <c r="K16" s="20">
        <f t="shared" si="2"/>
        <v>170000000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4"/>
  <sheetViews>
    <sheetView showGridLines="0" workbookViewId="0">
      <pane ySplit="4" topLeftCell="A24" activePane="bottomLeft" state="frozen"/>
      <selection pane="bottomLeft" sqref="A1:C1"/>
    </sheetView>
  </sheetViews>
  <sheetFormatPr defaultRowHeight="14.4" x14ac:dyDescent="0.3"/>
  <cols>
    <col min="1" max="1" width="35" customWidth="1"/>
    <col min="2" max="2" width="52" customWidth="1"/>
    <col min="3" max="3" width="92" customWidth="1"/>
  </cols>
  <sheetData>
    <row r="1" spans="1:3" ht="25.95" customHeight="1" x14ac:dyDescent="0.3">
      <c r="A1" s="41" t="s">
        <v>1429</v>
      </c>
      <c r="B1" s="41"/>
      <c r="C1" s="41"/>
    </row>
    <row r="4" spans="1:3" ht="31.95" customHeight="1" x14ac:dyDescent="0.3">
      <c r="A4" s="39" t="s">
        <v>1430</v>
      </c>
      <c r="B4" s="39" t="s">
        <v>1431</v>
      </c>
      <c r="C4" s="39" t="s">
        <v>1432</v>
      </c>
    </row>
    <row r="5" spans="1:3" ht="25.95" customHeight="1" x14ac:dyDescent="0.3">
      <c r="A5" s="23" t="s">
        <v>1433</v>
      </c>
      <c r="B5" s="23" t="s">
        <v>1434</v>
      </c>
      <c r="C5" s="23" t="s">
        <v>1435</v>
      </c>
    </row>
    <row r="6" spans="1:3" ht="25.95" customHeight="1" x14ac:dyDescent="0.3">
      <c r="A6" s="23" t="s">
        <v>1436</v>
      </c>
      <c r="B6" s="23" t="s">
        <v>1437</v>
      </c>
      <c r="C6" s="23" t="s">
        <v>1438</v>
      </c>
    </row>
    <row r="7" spans="1:3" ht="25.95" customHeight="1" x14ac:dyDescent="0.3">
      <c r="A7" s="23" t="s">
        <v>1439</v>
      </c>
      <c r="B7" s="23" t="s">
        <v>1440</v>
      </c>
      <c r="C7" s="23" t="s">
        <v>1441</v>
      </c>
    </row>
    <row r="8" spans="1:3" ht="25.95" customHeight="1" x14ac:dyDescent="0.3">
      <c r="A8" s="23" t="s">
        <v>1442</v>
      </c>
      <c r="B8" s="23" t="s">
        <v>1443</v>
      </c>
      <c r="C8" s="23" t="s">
        <v>1444</v>
      </c>
    </row>
    <row r="9" spans="1:3" ht="25.95" customHeight="1" x14ac:dyDescent="0.3">
      <c r="A9" s="23" t="s">
        <v>1445</v>
      </c>
      <c r="B9" s="23" t="s">
        <v>1446</v>
      </c>
      <c r="C9" s="23" t="s">
        <v>1447</v>
      </c>
    </row>
    <row r="10" spans="1:3" ht="25.95" customHeight="1" x14ac:dyDescent="0.3">
      <c r="A10" s="23" t="s">
        <v>1448</v>
      </c>
      <c r="B10" s="23" t="s">
        <v>1449</v>
      </c>
      <c r="C10" s="23" t="s">
        <v>1450</v>
      </c>
    </row>
    <row r="11" spans="1:3" ht="25.95" customHeight="1" x14ac:dyDescent="0.3">
      <c r="A11" s="23" t="s">
        <v>51</v>
      </c>
      <c r="B11" s="23" t="s">
        <v>1451</v>
      </c>
      <c r="C11" s="23" t="s">
        <v>1452</v>
      </c>
    </row>
    <row r="12" spans="1:3" ht="25.95" customHeight="1" x14ac:dyDescent="0.3">
      <c r="A12" s="23" t="s">
        <v>1453</v>
      </c>
      <c r="B12" s="23" t="s">
        <v>1167</v>
      </c>
      <c r="C12" s="23" t="s">
        <v>1454</v>
      </c>
    </row>
    <row r="13" spans="1:3" ht="25.95" customHeight="1" x14ac:dyDescent="0.3">
      <c r="A13" s="23" t="s">
        <v>1455</v>
      </c>
      <c r="B13" s="23" t="s">
        <v>1456</v>
      </c>
      <c r="C13" s="23" t="s">
        <v>1457</v>
      </c>
    </row>
    <row r="14" spans="1:3" ht="25.95" customHeight="1" x14ac:dyDescent="0.3">
      <c r="A14" s="23" t="s">
        <v>1458</v>
      </c>
      <c r="B14" s="23" t="s">
        <v>1459</v>
      </c>
      <c r="C14" s="23" t="s">
        <v>1460</v>
      </c>
    </row>
    <row r="15" spans="1:3" ht="25.95" customHeight="1" x14ac:dyDescent="0.3">
      <c r="A15" s="23" t="s">
        <v>1461</v>
      </c>
      <c r="B15" s="23" t="s">
        <v>1462</v>
      </c>
      <c r="C15" s="23" t="s">
        <v>1463</v>
      </c>
    </row>
    <row r="16" spans="1:3" ht="25.95" customHeight="1" x14ac:dyDescent="0.3">
      <c r="A16" s="23" t="s">
        <v>1464</v>
      </c>
      <c r="B16" s="23" t="s">
        <v>1465</v>
      </c>
      <c r="C16" s="23" t="s">
        <v>1466</v>
      </c>
    </row>
    <row r="17" spans="1:3" ht="25.95" customHeight="1" x14ac:dyDescent="0.3">
      <c r="A17" s="23" t="s">
        <v>1467</v>
      </c>
      <c r="B17" s="23" t="s">
        <v>1468</v>
      </c>
      <c r="C17" s="23" t="s">
        <v>1469</v>
      </c>
    </row>
    <row r="18" spans="1:3" ht="25.95" customHeight="1" x14ac:dyDescent="0.3">
      <c r="A18" s="23" t="s">
        <v>1470</v>
      </c>
      <c r="B18" s="23" t="s">
        <v>1471</v>
      </c>
      <c r="C18" s="23" t="s">
        <v>1472</v>
      </c>
    </row>
    <row r="19" spans="1:3" ht="37.049999999999997" customHeight="1" x14ac:dyDescent="0.3"/>
    <row r="20" spans="1:3" ht="25.95" customHeight="1" x14ac:dyDescent="0.3"/>
    <row r="21" spans="1:3" ht="25.95" customHeight="1" x14ac:dyDescent="0.3"/>
    <row r="22" spans="1:3" ht="25.95" customHeight="1" x14ac:dyDescent="0.3"/>
    <row r="23" spans="1:3" ht="37.049999999999997" customHeight="1" x14ac:dyDescent="0.3"/>
    <row r="24" spans="1:3" ht="25.95" customHeight="1" x14ac:dyDescent="0.3"/>
  </sheetData>
  <mergeCells count="1">
    <mergeCell ref="A1:C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20"/>
  <sheetViews>
    <sheetView showGridLines="0" workbookViewId="0">
      <pane ySplit="4" topLeftCell="A20" activePane="bottomLeft" state="frozen"/>
      <selection pane="bottomLeft" sqref="A1:C1"/>
    </sheetView>
  </sheetViews>
  <sheetFormatPr defaultRowHeight="14.4" x14ac:dyDescent="0.3"/>
  <cols>
    <col min="1" max="1" width="25" customWidth="1"/>
    <col min="2" max="2" width="62" customWidth="1"/>
    <col min="3" max="3" width="106" customWidth="1"/>
  </cols>
  <sheetData>
    <row r="1" spans="1:3" ht="25.95" customHeight="1" x14ac:dyDescent="0.3">
      <c r="A1" s="41" t="s">
        <v>1473</v>
      </c>
      <c r="B1" s="41"/>
      <c r="C1" s="41"/>
    </row>
    <row r="4" spans="1:3" ht="31.95" customHeight="1" x14ac:dyDescent="0.3">
      <c r="A4" s="36" t="s">
        <v>1400</v>
      </c>
      <c r="B4" s="36" t="s">
        <v>1474</v>
      </c>
      <c r="C4" s="36" t="s">
        <v>1475</v>
      </c>
    </row>
    <row r="5" spans="1:3" ht="37.049999999999997" customHeight="1" x14ac:dyDescent="0.3">
      <c r="A5" s="23" t="s">
        <v>1476</v>
      </c>
      <c r="B5" s="23" t="s">
        <v>1477</v>
      </c>
      <c r="C5" s="23" t="s">
        <v>1478</v>
      </c>
    </row>
    <row r="6" spans="1:3" ht="37.049999999999997" customHeight="1" x14ac:dyDescent="0.3">
      <c r="A6" s="23" t="s">
        <v>1479</v>
      </c>
      <c r="B6" s="23" t="s">
        <v>1480</v>
      </c>
      <c r="C6" s="23" t="s">
        <v>1481</v>
      </c>
    </row>
    <row r="7" spans="1:3" ht="37.049999999999997" customHeight="1" x14ac:dyDescent="0.3">
      <c r="A7" s="23" t="s">
        <v>1430</v>
      </c>
      <c r="B7" s="23" t="s">
        <v>1482</v>
      </c>
      <c r="C7" s="23" t="s">
        <v>1483</v>
      </c>
    </row>
    <row r="8" spans="1:3" ht="37.049999999999997" customHeight="1" x14ac:dyDescent="0.3">
      <c r="A8" s="23" t="s">
        <v>1484</v>
      </c>
      <c r="B8" s="23" t="s">
        <v>1485</v>
      </c>
      <c r="C8" s="23" t="s">
        <v>1486</v>
      </c>
    </row>
    <row r="9" spans="1:3" ht="25.95" customHeight="1" x14ac:dyDescent="0.3">
      <c r="A9" s="23" t="s">
        <v>1487</v>
      </c>
      <c r="B9" s="23" t="s">
        <v>1488</v>
      </c>
      <c r="C9" s="23" t="s">
        <v>1489</v>
      </c>
    </row>
    <row r="10" spans="1:3" ht="37.049999999999997" customHeight="1" x14ac:dyDescent="0.3">
      <c r="A10" s="23" t="s">
        <v>1490</v>
      </c>
      <c r="B10" s="23" t="s">
        <v>1491</v>
      </c>
      <c r="C10" s="23" t="s">
        <v>1492</v>
      </c>
    </row>
    <row r="11" spans="1:3" ht="37.049999999999997" customHeight="1" x14ac:dyDescent="0.3">
      <c r="A11" s="23" t="s">
        <v>1493</v>
      </c>
      <c r="B11" s="23" t="s">
        <v>1494</v>
      </c>
      <c r="C11" s="23" t="s">
        <v>1495</v>
      </c>
    </row>
    <row r="12" spans="1:3" ht="37.049999999999997" customHeight="1" x14ac:dyDescent="0.3">
      <c r="A12" s="23" t="s">
        <v>1496</v>
      </c>
      <c r="B12" s="23" t="s">
        <v>1497</v>
      </c>
      <c r="C12" s="23" t="s">
        <v>1498</v>
      </c>
    </row>
    <row r="13" spans="1:3" ht="37.049999999999997" customHeight="1" x14ac:dyDescent="0.3">
      <c r="A13" s="23" t="s">
        <v>44</v>
      </c>
      <c r="B13" s="23" t="s">
        <v>1499</v>
      </c>
      <c r="C13" s="23" t="s">
        <v>1500</v>
      </c>
    </row>
    <row r="14" spans="1:3" ht="37.049999999999997" customHeight="1" x14ac:dyDescent="0.3">
      <c r="A14" s="23" t="s">
        <v>1501</v>
      </c>
      <c r="B14" s="23" t="s">
        <v>1502</v>
      </c>
      <c r="C14" s="23" t="s">
        <v>1503</v>
      </c>
    </row>
    <row r="15" spans="1:3" ht="37.049999999999997" customHeight="1" x14ac:dyDescent="0.3">
      <c r="A15" s="23" t="s">
        <v>1504</v>
      </c>
      <c r="B15" s="23" t="s">
        <v>1505</v>
      </c>
      <c r="C15" s="23" t="s">
        <v>1506</v>
      </c>
    </row>
    <row r="16" spans="1:3" ht="37.049999999999997" customHeight="1" x14ac:dyDescent="0.3">
      <c r="A16" s="23" t="s">
        <v>1507</v>
      </c>
      <c r="B16" s="23" t="s">
        <v>1508</v>
      </c>
      <c r="C16" s="23" t="s">
        <v>1509</v>
      </c>
    </row>
    <row r="17" spans="1:3" ht="37.049999999999997" customHeight="1" x14ac:dyDescent="0.3">
      <c r="A17" s="23" t="s">
        <v>1510</v>
      </c>
      <c r="B17" s="23" t="s">
        <v>1511</v>
      </c>
      <c r="C17" s="23" t="s">
        <v>1512</v>
      </c>
    </row>
    <row r="18" spans="1:3" ht="37.049999999999997" customHeight="1" x14ac:dyDescent="0.3">
      <c r="A18" s="23" t="s">
        <v>1513</v>
      </c>
      <c r="B18" s="23" t="s">
        <v>1514</v>
      </c>
      <c r="C18" s="23" t="s">
        <v>1515</v>
      </c>
    </row>
    <row r="19" spans="1:3" ht="37.049999999999997" customHeight="1" x14ac:dyDescent="0.3">
      <c r="A19" s="23" t="s">
        <v>1516</v>
      </c>
      <c r="B19" s="23" t="s">
        <v>1517</v>
      </c>
      <c r="C19" s="23" t="s">
        <v>1518</v>
      </c>
    </row>
    <row r="20" spans="1:3" ht="51" customHeight="1" x14ac:dyDescent="0.3">
      <c r="A20" s="23" t="s">
        <v>1519</v>
      </c>
      <c r="B20" s="23" t="s">
        <v>1520</v>
      </c>
      <c r="C20" s="23" t="s">
        <v>1521</v>
      </c>
    </row>
  </sheetData>
  <mergeCells count="1">
    <mergeCell ref="A1:C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4"/>
  <sheetViews>
    <sheetView showGridLines="0" workbookViewId="0">
      <pane ySplit="4" topLeftCell="A11" activePane="bottomLeft" state="frozen"/>
      <selection pane="bottomLeft" sqref="A1:E1"/>
    </sheetView>
  </sheetViews>
  <sheetFormatPr defaultRowHeight="14.4" x14ac:dyDescent="0.3"/>
  <cols>
    <col min="1" max="1" width="27" customWidth="1"/>
    <col min="2" max="2" width="67" customWidth="1"/>
    <col min="3" max="3" width="100" customWidth="1"/>
    <col min="4" max="4" width="43" customWidth="1"/>
    <col min="5" max="5" width="72" customWidth="1"/>
  </cols>
  <sheetData>
    <row r="1" spans="1:5" ht="25.95" customHeight="1" x14ac:dyDescent="0.3">
      <c r="A1" s="41" t="s">
        <v>1522</v>
      </c>
      <c r="B1" s="41"/>
      <c r="C1" s="41"/>
      <c r="D1" s="41"/>
      <c r="E1" s="41"/>
    </row>
    <row r="4" spans="1:5" ht="31.95" customHeight="1" x14ac:dyDescent="0.3">
      <c r="A4" s="36" t="s">
        <v>1523</v>
      </c>
      <c r="B4" s="36" t="s">
        <v>1524</v>
      </c>
      <c r="C4" s="36" t="s">
        <v>1525</v>
      </c>
      <c r="D4" s="36" t="s">
        <v>1526</v>
      </c>
      <c r="E4" s="36" t="s">
        <v>1527</v>
      </c>
    </row>
    <row r="5" spans="1:5" ht="25.95" customHeight="1" x14ac:dyDescent="0.3">
      <c r="A5" s="23" t="s">
        <v>1528</v>
      </c>
      <c r="B5" s="23" t="s">
        <v>1529</v>
      </c>
      <c r="C5" s="23" t="s">
        <v>1530</v>
      </c>
      <c r="D5" s="23" t="s">
        <v>1531</v>
      </c>
      <c r="E5" s="23" t="s">
        <v>1532</v>
      </c>
    </row>
    <row r="6" spans="1:5" ht="37.049999999999997" customHeight="1" x14ac:dyDescent="0.3">
      <c r="A6" s="23" t="s">
        <v>1533</v>
      </c>
      <c r="B6" s="23" t="s">
        <v>1534</v>
      </c>
      <c r="C6" s="23" t="s">
        <v>1535</v>
      </c>
      <c r="D6" s="23" t="s">
        <v>1536</v>
      </c>
      <c r="E6" s="23" t="s">
        <v>1537</v>
      </c>
    </row>
    <row r="7" spans="1:5" ht="37.049999999999997" customHeight="1" x14ac:dyDescent="0.3">
      <c r="A7" s="23" t="s">
        <v>1538</v>
      </c>
      <c r="B7" s="23" t="s">
        <v>1539</v>
      </c>
      <c r="C7" s="23" t="s">
        <v>1540</v>
      </c>
      <c r="D7" s="23" t="s">
        <v>1541</v>
      </c>
      <c r="E7" s="23" t="s">
        <v>1542</v>
      </c>
    </row>
    <row r="8" spans="1:5" ht="37.049999999999997" customHeight="1" x14ac:dyDescent="0.3">
      <c r="A8" s="23" t="s">
        <v>1543</v>
      </c>
      <c r="B8" s="23" t="s">
        <v>1544</v>
      </c>
      <c r="C8" s="23" t="s">
        <v>1545</v>
      </c>
      <c r="D8" s="23" t="s">
        <v>1546</v>
      </c>
      <c r="E8" s="23" t="s">
        <v>1547</v>
      </c>
    </row>
    <row r="9" spans="1:5" ht="37.049999999999997" customHeight="1" x14ac:dyDescent="0.3">
      <c r="A9" s="23" t="s">
        <v>1548</v>
      </c>
      <c r="B9" s="23" t="s">
        <v>1549</v>
      </c>
      <c r="C9" s="23" t="s">
        <v>1550</v>
      </c>
      <c r="D9" s="23" t="s">
        <v>1551</v>
      </c>
      <c r="E9" s="23" t="s">
        <v>1552</v>
      </c>
    </row>
    <row r="10" spans="1:5" ht="37.049999999999997" customHeight="1" x14ac:dyDescent="0.3">
      <c r="A10" s="23" t="s">
        <v>1553</v>
      </c>
      <c r="B10" s="23" t="s">
        <v>1554</v>
      </c>
      <c r="C10" s="23" t="s">
        <v>1555</v>
      </c>
      <c r="D10" s="23" t="s">
        <v>1556</v>
      </c>
      <c r="E10" s="23" t="s">
        <v>1557</v>
      </c>
    </row>
    <row r="11" spans="1:5" ht="37.049999999999997" customHeight="1" x14ac:dyDescent="0.3">
      <c r="A11" s="23" t="s">
        <v>1558</v>
      </c>
      <c r="B11" s="23" t="s">
        <v>1559</v>
      </c>
      <c r="C11" s="23" t="s">
        <v>1560</v>
      </c>
      <c r="D11" s="23" t="s">
        <v>1561</v>
      </c>
      <c r="E11" s="23" t="s">
        <v>1562</v>
      </c>
    </row>
    <row r="12" spans="1:5" ht="37.049999999999997" customHeight="1" x14ac:dyDescent="0.3">
      <c r="A12" s="23" t="s">
        <v>1563</v>
      </c>
      <c r="B12" s="23" t="s">
        <v>1564</v>
      </c>
      <c r="C12" s="23" t="s">
        <v>1565</v>
      </c>
      <c r="D12" s="23" t="s">
        <v>1566</v>
      </c>
      <c r="E12" s="23" t="s">
        <v>1567</v>
      </c>
    </row>
    <row r="13" spans="1:5" ht="37.049999999999997" customHeight="1" x14ac:dyDescent="0.3">
      <c r="A13" s="23" t="s">
        <v>1568</v>
      </c>
      <c r="B13" s="23" t="s">
        <v>1569</v>
      </c>
      <c r="C13" s="23" t="s">
        <v>1570</v>
      </c>
      <c r="D13" s="23" t="s">
        <v>1346</v>
      </c>
      <c r="E13" s="23" t="s">
        <v>1571</v>
      </c>
    </row>
    <row r="14" spans="1:5" ht="37.049999999999997" customHeight="1" x14ac:dyDescent="0.3">
      <c r="A14" s="23" t="s">
        <v>1572</v>
      </c>
      <c r="B14" s="23" t="s">
        <v>1573</v>
      </c>
      <c r="C14" s="23" t="s">
        <v>1574</v>
      </c>
      <c r="D14" s="23" t="s">
        <v>1575</v>
      </c>
      <c r="E14" s="23" t="s">
        <v>1576</v>
      </c>
    </row>
  </sheetData>
  <mergeCells count="1">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44"/>
  <sheetViews>
    <sheetView showGridLines="0" zoomScale="78" workbookViewId="0">
      <pane ySplit="4" topLeftCell="A35" activePane="bottomLeft" state="frozen"/>
      <selection pane="bottomLeft" sqref="A1:D1"/>
    </sheetView>
  </sheetViews>
  <sheetFormatPr defaultRowHeight="14.4" x14ac:dyDescent="0.3"/>
  <cols>
    <col min="1" max="1" width="38" customWidth="1"/>
    <col min="2" max="2" width="72" customWidth="1"/>
    <col min="3" max="3" width="24" customWidth="1"/>
    <col min="4" max="4" width="104" customWidth="1"/>
  </cols>
  <sheetData>
    <row r="1" spans="1:4" ht="25.95" customHeight="1" x14ac:dyDescent="0.3">
      <c r="A1" s="41" t="s">
        <v>1577</v>
      </c>
      <c r="B1" s="41"/>
      <c r="C1" s="41"/>
      <c r="D1" s="41"/>
    </row>
    <row r="4" spans="1:4" ht="31.95" customHeight="1" x14ac:dyDescent="0.3">
      <c r="A4" s="36" t="s">
        <v>1578</v>
      </c>
      <c r="B4" s="36" t="s">
        <v>179</v>
      </c>
      <c r="C4" s="36" t="s">
        <v>3</v>
      </c>
      <c r="D4" s="36" t="s">
        <v>1579</v>
      </c>
    </row>
    <row r="5" spans="1:4" ht="25.05" customHeight="1" x14ac:dyDescent="0.3">
      <c r="A5" s="51" t="s">
        <v>1580</v>
      </c>
      <c r="B5" s="51"/>
      <c r="C5" s="51"/>
      <c r="D5" s="51"/>
    </row>
    <row r="6" spans="1:4" ht="25.95" customHeight="1" x14ac:dyDescent="0.3">
      <c r="A6" s="23" t="s">
        <v>1581</v>
      </c>
      <c r="B6" s="23">
        <f>Quy_uoc_chung!C3</f>
        <v>90</v>
      </c>
      <c r="C6" s="23" t="s">
        <v>7</v>
      </c>
      <c r="D6" s="23" t="s">
        <v>1582</v>
      </c>
    </row>
    <row r="7" spans="1:4" ht="25.95" customHeight="1" x14ac:dyDescent="0.3">
      <c r="A7" s="23" t="s">
        <v>46</v>
      </c>
      <c r="B7" s="37">
        <f>TV1_Tinh_tay!C12</f>
        <v>49.988585582352393</v>
      </c>
      <c r="C7" s="23" t="s">
        <v>7</v>
      </c>
      <c r="D7" s="23" t="s">
        <v>1583</v>
      </c>
    </row>
    <row r="8" spans="1:4" ht="25.95" customHeight="1" x14ac:dyDescent="0.3">
      <c r="A8" s="23" t="s">
        <v>49</v>
      </c>
      <c r="B8" s="37">
        <f>TV1_Tinh_tay!C13</f>
        <v>43.886925795053003</v>
      </c>
      <c r="C8" s="23" t="s">
        <v>7</v>
      </c>
      <c r="D8" s="23" t="s">
        <v>1584</v>
      </c>
    </row>
    <row r="9" spans="1:4" ht="25.95" customHeight="1" x14ac:dyDescent="0.3">
      <c r="A9" s="23" t="s">
        <v>1585</v>
      </c>
      <c r="B9" s="37">
        <f>TV1_Tinh_tay!C14</f>
        <v>24.825714487632506</v>
      </c>
      <c r="C9" s="23" t="s">
        <v>7</v>
      </c>
      <c r="D9" s="23" t="s">
        <v>1586</v>
      </c>
    </row>
    <row r="10" spans="1:4" ht="25.95" customHeight="1" x14ac:dyDescent="0.3">
      <c r="A10" s="23" t="s">
        <v>51</v>
      </c>
      <c r="B10" s="37">
        <f>TV1_Tinh_tay!C15</f>
        <v>69.049796889772878</v>
      </c>
      <c r="C10" s="23" t="s">
        <v>7</v>
      </c>
      <c r="D10" s="23" t="s">
        <v>1587</v>
      </c>
    </row>
    <row r="11" spans="1:4" ht="25.95" customHeight="1" x14ac:dyDescent="0.3">
      <c r="A11" s="23" t="s">
        <v>1453</v>
      </c>
      <c r="B11" s="38">
        <f>TV1_Tinh_tay!C20</f>
        <v>6410678000</v>
      </c>
      <c r="C11" s="23" t="s">
        <v>59</v>
      </c>
      <c r="D11" s="23" t="s">
        <v>1454</v>
      </c>
    </row>
    <row r="12" spans="1:4" ht="25.95" customHeight="1" x14ac:dyDescent="0.3">
      <c r="A12" s="23" t="s">
        <v>1588</v>
      </c>
      <c r="B12" s="38">
        <f>TV1_Tinh_tay!C5/Quy_uoc_chung!C3</f>
        <v>98267533.333333328</v>
      </c>
      <c r="C12" s="23" t="s">
        <v>1394</v>
      </c>
      <c r="D12" s="23" t="s">
        <v>1589</v>
      </c>
    </row>
    <row r="13" spans="1:4" ht="25.95" customHeight="1" x14ac:dyDescent="0.3">
      <c r="A13" s="23" t="s">
        <v>1388</v>
      </c>
      <c r="B13" s="38">
        <f>TV1_Tinh_tay!C103</f>
        <v>341170000</v>
      </c>
      <c r="C13" s="23" t="s">
        <v>59</v>
      </c>
      <c r="D13" s="23" t="s">
        <v>1590</v>
      </c>
    </row>
    <row r="14" spans="1:4" ht="25.95" customHeight="1" x14ac:dyDescent="0.3">
      <c r="A14" s="23" t="s">
        <v>1591</v>
      </c>
      <c r="B14" s="37">
        <f>TV1_Tinh_tay!C101</f>
        <v>14.050546468688546</v>
      </c>
      <c r="C14" s="23" t="s">
        <v>7</v>
      </c>
      <c r="D14" s="23" t="s">
        <v>1592</v>
      </c>
    </row>
    <row r="15" spans="1:4" ht="25.95" customHeight="1" x14ac:dyDescent="0.3">
      <c r="A15" s="23" t="s">
        <v>1593</v>
      </c>
      <c r="B15" s="37">
        <f>TV1_Tinh_tay!C102</f>
        <v>52.960721333970582</v>
      </c>
      <c r="C15" s="23" t="s">
        <v>7</v>
      </c>
      <c r="D15" s="23" t="s">
        <v>1594</v>
      </c>
    </row>
    <row r="16" spans="1:4" ht="25.95" customHeight="1" x14ac:dyDescent="0.3">
      <c r="A16" s="23" t="s">
        <v>1391</v>
      </c>
      <c r="B16" s="27">
        <f>TV1_Tinh_tay!C106</f>
        <v>0.20002966957098298</v>
      </c>
      <c r="C16" s="23" t="s">
        <v>94</v>
      </c>
      <c r="D16" s="23" t="s">
        <v>1595</v>
      </c>
    </row>
    <row r="17" spans="1:4" ht="25.05" customHeight="1" x14ac:dyDescent="0.3">
      <c r="A17" s="51" t="s">
        <v>1596</v>
      </c>
      <c r="B17" s="51"/>
      <c r="C17" s="51"/>
      <c r="D17" s="51"/>
    </row>
    <row r="18" spans="1:4" ht="25.95" customHeight="1" x14ac:dyDescent="0.3">
      <c r="A18" s="23" t="s">
        <v>1476</v>
      </c>
      <c r="B18" s="23" t="s">
        <v>1597</v>
      </c>
      <c r="C18" s="23" t="s">
        <v>1598</v>
      </c>
      <c r="D18" s="23" t="s">
        <v>1599</v>
      </c>
    </row>
    <row r="19" spans="1:4" ht="72" customHeight="1" x14ac:dyDescent="0.3">
      <c r="A19" s="23" t="s">
        <v>1600</v>
      </c>
      <c r="B19" s="23" t="str">
        <f>"CCC "&amp;TEXT(B10,"0.0")&amp;" ngày; DSO "&amp;TEXT(B7,"0.0")&amp;" + DIO "&amp;TEXT(B8,"0.0")&amp;" − DPO "&amp;TEXT(B9,"0.0")&amp;". TWC "&amp;TEXT(B11,"#,##0")&amp;" VND."</f>
        <v>CCC 69.0 ngày; DSO 50.0 + DIO 43.9 − DPO 24.8. TWC 6,410,678,000 VND.</v>
      </c>
      <c r="C19" s="23" t="s">
        <v>1601</v>
      </c>
      <c r="D19" s="23" t="s">
        <v>1602</v>
      </c>
    </row>
    <row r="20" spans="1:4" ht="72" customHeight="1" x14ac:dyDescent="0.3">
      <c r="A20" s="23" t="s">
        <v>1603</v>
      </c>
      <c r="B20" s="23" t="str">
        <f>"AP quá hạn "&amp;TEXT(B13,"#,##0")&amp;" VND. Trễ dương đã thu "&amp;TEXT(B14,"0.0")&amp;" ngày; thời gian thu thực tế "&amp;TEXT(B15,"0.0")&amp;" ngày."</f>
        <v>AP quá hạn 341,170,000 VND. Trễ dương đã thu 14.1 ngày; thời gian thu thực tế 53.0 ngày.</v>
      </c>
      <c r="C20" s="23" t="s">
        <v>1601</v>
      </c>
      <c r="D20" s="23" t="s">
        <v>1604</v>
      </c>
    </row>
    <row r="21" spans="1:4" ht="37.049999999999997" customHeight="1" x14ac:dyDescent="0.3">
      <c r="A21" s="23" t="s">
        <v>1605</v>
      </c>
      <c r="B21" s="23" t="s">
        <v>1606</v>
      </c>
      <c r="C21" s="23" t="s">
        <v>1607</v>
      </c>
      <c r="D21" s="23" t="s">
        <v>1608</v>
      </c>
    </row>
    <row r="22" spans="1:4" ht="25.95" customHeight="1" x14ac:dyDescent="0.3">
      <c r="A22" s="23" t="s">
        <v>1409</v>
      </c>
      <c r="B22" s="23" t="s">
        <v>1609</v>
      </c>
      <c r="C22" s="23" t="s">
        <v>1610</v>
      </c>
      <c r="D22" s="23" t="s">
        <v>1611</v>
      </c>
    </row>
    <row r="23" spans="1:4" ht="37.049999999999997" customHeight="1" x14ac:dyDescent="0.3">
      <c r="A23" s="23" t="s">
        <v>1612</v>
      </c>
      <c r="B23" s="23" t="s">
        <v>1613</v>
      </c>
      <c r="C23" s="23" t="s">
        <v>1614</v>
      </c>
      <c r="D23" s="23" t="s">
        <v>1615</v>
      </c>
    </row>
    <row r="27" spans="1:4" x14ac:dyDescent="0.3">
      <c r="A27" s="52" t="s">
        <v>1616</v>
      </c>
      <c r="B27" s="52"/>
      <c r="C27" s="52"/>
      <c r="D27" s="52"/>
    </row>
    <row r="28" spans="1:4" ht="36" customHeight="1" x14ac:dyDescent="0.3">
      <c r="A28" s="28" t="s">
        <v>1617</v>
      </c>
      <c r="B28" s="32">
        <f>TV1_Tinh_tay!B40</f>
        <v>3888513000</v>
      </c>
      <c r="C28" s="28" t="s">
        <v>59</v>
      </c>
      <c r="D28" s="28" t="s">
        <v>1618</v>
      </c>
    </row>
    <row r="29" spans="1:4" ht="36" customHeight="1" x14ac:dyDescent="0.3">
      <c r="A29" s="28" t="s">
        <v>1619</v>
      </c>
      <c r="B29" s="33">
        <f>TV1_Tinh_tay!C40</f>
        <v>0.79159428816297195</v>
      </c>
      <c r="C29" s="28" t="s">
        <v>16</v>
      </c>
      <c r="D29" s="28" t="s">
        <v>1620</v>
      </c>
    </row>
    <row r="30" spans="1:4" ht="36" customHeight="1" x14ac:dyDescent="0.3">
      <c r="A30" s="28" t="s">
        <v>1621</v>
      </c>
      <c r="B30" s="31">
        <f>TV1_Tinh_tay!D40</f>
        <v>39.570678820336049</v>
      </c>
      <c r="C30" s="28" t="s">
        <v>7</v>
      </c>
      <c r="D30" s="28" t="s">
        <v>1622</v>
      </c>
    </row>
    <row r="31" spans="1:4" ht="36" customHeight="1" x14ac:dyDescent="0.3">
      <c r="A31" s="28" t="s">
        <v>1623</v>
      </c>
      <c r="B31" s="31">
        <f>TV1_Tinh_tay!H40</f>
        <v>20.520664189056813</v>
      </c>
      <c r="C31" s="28" t="s">
        <v>7</v>
      </c>
      <c r="D31" s="28" t="s">
        <v>1624</v>
      </c>
    </row>
    <row r="32" spans="1:4" ht="36" customHeight="1" x14ac:dyDescent="0.3">
      <c r="A32" s="28" t="s">
        <v>1625</v>
      </c>
      <c r="B32" s="31">
        <f>SUMIFS(D_sales!R3:R263,D_sales!B3:B263,"F01",D_sales!C3:C263,TV1_Tinh_tay!A40)/SUMIFS(D_sales!D3:D263,D_sales!B3:B263,"F01",D_sales!C3:C263,TV1_Tinh_tay!A40,D_sales!L3:L263,1)</f>
        <v>20.520664189056813</v>
      </c>
      <c r="C32" s="28" t="s">
        <v>7</v>
      </c>
      <c r="D32" s="28" t="s">
        <v>1626</v>
      </c>
    </row>
    <row r="33" spans="1:4" ht="36" customHeight="1" x14ac:dyDescent="0.3">
      <c r="A33" s="28" t="s">
        <v>1627</v>
      </c>
      <c r="B33" s="32">
        <f>SUMIFS(D_sales!D3:D263,D_sales!B3:B263,"F01",D_sales!H3:H263,1,D_sales!J3:J263,"&gt;0")</f>
        <v>871565000</v>
      </c>
      <c r="C33" s="28" t="s">
        <v>59</v>
      </c>
      <c r="D33" s="28" t="s">
        <v>1628</v>
      </c>
    </row>
    <row r="34" spans="1:4" ht="36" customHeight="1" x14ac:dyDescent="0.3">
      <c r="A34" s="28" t="s">
        <v>1629</v>
      </c>
      <c r="B34" s="33">
        <f>B33/TV1_Tinh_tay!C7</f>
        <v>0.17742666046449135</v>
      </c>
      <c r="C34" s="28" t="s">
        <v>16</v>
      </c>
      <c r="D34" s="28" t="s">
        <v>1630</v>
      </c>
    </row>
    <row r="35" spans="1:4" ht="36" customHeight="1" x14ac:dyDescent="0.3">
      <c r="A35" s="28" t="s">
        <v>1631</v>
      </c>
      <c r="B35" s="32">
        <f>TV1_Tinh_tay!C49</f>
        <v>430000000</v>
      </c>
      <c r="C35" s="28" t="s">
        <v>59</v>
      </c>
      <c r="D35" s="28" t="s">
        <v>1632</v>
      </c>
    </row>
    <row r="36" spans="1:4" ht="36" customHeight="1" x14ac:dyDescent="0.3">
      <c r="A36" s="28" t="s">
        <v>1633</v>
      </c>
      <c r="B36" s="28">
        <f>TV1_Tinh_tay!E49</f>
        <v>118</v>
      </c>
      <c r="C36" s="28" t="s">
        <v>7</v>
      </c>
      <c r="D36" s="28" t="s">
        <v>1634</v>
      </c>
    </row>
    <row r="37" spans="1:4" ht="36" customHeight="1" x14ac:dyDescent="0.3">
      <c r="A37" s="28" t="s">
        <v>1635</v>
      </c>
      <c r="B37" s="31">
        <f>TV1_Tinh_tay!D49</f>
        <v>5.4699646643109539</v>
      </c>
      <c r="C37" s="28" t="s">
        <v>7</v>
      </c>
      <c r="D37" s="28" t="s">
        <v>1636</v>
      </c>
    </row>
    <row r="38" spans="1:4" ht="36" customHeight="1" x14ac:dyDescent="0.3">
      <c r="A38" s="28" t="s">
        <v>1637</v>
      </c>
      <c r="B38" s="33">
        <f>B35/TV1_Tinh_tay!C8</f>
        <v>0.1246376811594203</v>
      </c>
      <c r="C38" s="28" t="s">
        <v>16</v>
      </c>
      <c r="D38" s="28" t="s">
        <v>1638</v>
      </c>
    </row>
    <row r="39" spans="1:4" ht="36" customHeight="1" x14ac:dyDescent="0.3">
      <c r="A39" s="28" t="s">
        <v>1639</v>
      </c>
      <c r="B39" s="32">
        <f>SUMIFS(D_inventory!G3:G16,D_inventory!A3:A16,"F01",D_inventory!H3:H16,1)</f>
        <v>2600000000</v>
      </c>
      <c r="C39" s="28" t="s">
        <v>59</v>
      </c>
      <c r="D39" s="28" t="s">
        <v>1640</v>
      </c>
    </row>
    <row r="40" spans="1:4" ht="36" customHeight="1" x14ac:dyDescent="0.3">
      <c r="A40" s="28" t="s">
        <v>1641</v>
      </c>
      <c r="B40" s="33">
        <f>SUMIFS(D_purchases!H3:H267,D_purchases!A3:A267,"P-F01-0101")</f>
        <v>0.02</v>
      </c>
      <c r="C40" s="28" t="s">
        <v>16</v>
      </c>
      <c r="D40" s="28" t="s">
        <v>1642</v>
      </c>
    </row>
    <row r="41" spans="1:4" ht="36" customHeight="1" x14ac:dyDescent="0.3">
      <c r="A41" s="28" t="s">
        <v>1643</v>
      </c>
      <c r="B41" s="32">
        <f>SUMIFS(D_purchases!Q3:Q267,D_purchases!A3:A267,"P-F01-0101")</f>
        <v>4501240</v>
      </c>
      <c r="C41" s="28" t="s">
        <v>59</v>
      </c>
      <c r="D41" s="28" t="s">
        <v>1644</v>
      </c>
    </row>
    <row r="42" spans="1:4" ht="36" customHeight="1" x14ac:dyDescent="0.3">
      <c r="A42" s="28" t="s">
        <v>1645</v>
      </c>
      <c r="B42" s="33">
        <f>SUMIFS(D_purchases!P3:P267,D_purchases!A3:A267,"P-F01-0101")</f>
        <v>0.37244897959183676</v>
      </c>
      <c r="C42" s="28" t="s">
        <v>16</v>
      </c>
      <c r="D42" s="28" t="s">
        <v>1646</v>
      </c>
    </row>
    <row r="43" spans="1:4" ht="36" customHeight="1" x14ac:dyDescent="0.3">
      <c r="A43" s="28" t="s">
        <v>1647</v>
      </c>
      <c r="B43" s="40">
        <f>SUMIFS(D_purchases!N3:N267,D_purchases!A3:A267,"P-F01-0101")</f>
        <v>46298</v>
      </c>
      <c r="C43" s="28" t="s">
        <v>7</v>
      </c>
      <c r="D43" s="28" t="s">
        <v>1648</v>
      </c>
    </row>
    <row r="44" spans="1:4" ht="36" customHeight="1" x14ac:dyDescent="0.3">
      <c r="A44" s="28" t="s">
        <v>1649</v>
      </c>
      <c r="B44" s="28">
        <f>TV1_Tinh_tay!I40</f>
        <v>45</v>
      </c>
      <c r="C44" s="28" t="s">
        <v>7</v>
      </c>
      <c r="D44" s="28" t="s">
        <v>1650</v>
      </c>
    </row>
  </sheetData>
  <mergeCells count="4">
    <mergeCell ref="A1:D1"/>
    <mergeCell ref="A5:D5"/>
    <mergeCell ref="A17:D17"/>
    <mergeCell ref="A27:D2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showGridLines="0" workbookViewId="0">
      <pane ySplit="4" topLeftCell="A25" activePane="bottomLeft" state="frozen"/>
      <selection pane="bottomLeft" sqref="A1:D1"/>
    </sheetView>
  </sheetViews>
  <sheetFormatPr defaultRowHeight="14.4" x14ac:dyDescent="0.3"/>
  <cols>
    <col min="1" max="1" width="30" customWidth="1"/>
    <col min="2" max="2" width="98" customWidth="1"/>
    <col min="3" max="3" width="34" customWidth="1"/>
    <col min="4" max="4" width="98" customWidth="1"/>
  </cols>
  <sheetData>
    <row r="1" spans="1:4" ht="25.95" customHeight="1" x14ac:dyDescent="0.3">
      <c r="A1" s="41" t="s">
        <v>1651</v>
      </c>
      <c r="B1" s="41"/>
      <c r="C1" s="41"/>
      <c r="D1" s="41"/>
    </row>
    <row r="4" spans="1:4" ht="31.95" customHeight="1" x14ac:dyDescent="0.3">
      <c r="A4" s="39" t="s">
        <v>1652</v>
      </c>
      <c r="B4" s="39" t="s">
        <v>1653</v>
      </c>
      <c r="C4" s="39" t="s">
        <v>1654</v>
      </c>
      <c r="D4" s="39" t="s">
        <v>1655</v>
      </c>
    </row>
    <row r="5" spans="1:4" ht="25.95" customHeight="1" x14ac:dyDescent="0.3">
      <c r="A5" s="23" t="s">
        <v>1656</v>
      </c>
      <c r="B5" s="23" t="s">
        <v>1657</v>
      </c>
      <c r="C5" s="23" t="s">
        <v>1658</v>
      </c>
      <c r="D5" s="23" t="s">
        <v>1659</v>
      </c>
    </row>
    <row r="6" spans="1:4" ht="25.95" customHeight="1" x14ac:dyDescent="0.3">
      <c r="A6" s="23" t="s">
        <v>1660</v>
      </c>
      <c r="B6" s="23" t="s">
        <v>1661</v>
      </c>
      <c r="C6" s="23" t="s">
        <v>1662</v>
      </c>
      <c r="D6" s="23" t="s">
        <v>1663</v>
      </c>
    </row>
    <row r="7" spans="1:4" ht="25.95" customHeight="1" x14ac:dyDescent="0.3">
      <c r="A7" s="23" t="s">
        <v>1664</v>
      </c>
      <c r="B7" s="23" t="s">
        <v>1665</v>
      </c>
      <c r="C7" s="23" t="s">
        <v>1666</v>
      </c>
      <c r="D7" s="23" t="s">
        <v>1667</v>
      </c>
    </row>
    <row r="8" spans="1:4" ht="25.95" customHeight="1" x14ac:dyDescent="0.3">
      <c r="A8" s="23" t="s">
        <v>1668</v>
      </c>
      <c r="B8" s="23" t="s">
        <v>1669</v>
      </c>
      <c r="C8" s="23" t="s">
        <v>1670</v>
      </c>
      <c r="D8" s="23" t="s">
        <v>1671</v>
      </c>
    </row>
    <row r="9" spans="1:4" ht="25.95" customHeight="1" x14ac:dyDescent="0.3">
      <c r="A9" s="23" t="s">
        <v>1672</v>
      </c>
      <c r="B9" s="23" t="s">
        <v>1673</v>
      </c>
      <c r="C9" s="23" t="s">
        <v>1666</v>
      </c>
      <c r="D9" s="23" t="s">
        <v>1674</v>
      </c>
    </row>
    <row r="10" spans="1:4" ht="25.95" customHeight="1" x14ac:dyDescent="0.3">
      <c r="A10" s="23" t="s">
        <v>1675</v>
      </c>
      <c r="B10" s="23" t="s">
        <v>1676</v>
      </c>
      <c r="C10" s="23" t="s">
        <v>1677</v>
      </c>
      <c r="D10" s="23" t="s">
        <v>1678</v>
      </c>
    </row>
    <row r="11" spans="1:4" ht="25.95" customHeight="1" x14ac:dyDescent="0.3">
      <c r="A11" s="23" t="s">
        <v>1679</v>
      </c>
      <c r="B11" s="23" t="s">
        <v>1680</v>
      </c>
      <c r="C11" s="23" t="s">
        <v>1677</v>
      </c>
      <c r="D11" s="23" t="s">
        <v>1681</v>
      </c>
    </row>
    <row r="12" spans="1:4" ht="25.95" customHeight="1" x14ac:dyDescent="0.3">
      <c r="A12" s="23" t="s">
        <v>1682</v>
      </c>
      <c r="B12" s="23" t="s">
        <v>1683</v>
      </c>
      <c r="C12" s="23" t="s">
        <v>1684</v>
      </c>
      <c r="D12" s="23" t="s">
        <v>1685</v>
      </c>
    </row>
    <row r="13" spans="1:4" ht="25.95" customHeight="1" x14ac:dyDescent="0.3">
      <c r="A13" s="23" t="s">
        <v>1686</v>
      </c>
      <c r="B13" s="23" t="s">
        <v>1687</v>
      </c>
      <c r="C13" s="23" t="s">
        <v>1688</v>
      </c>
      <c r="D13" s="23" t="s">
        <v>1689</v>
      </c>
    </row>
    <row r="14" spans="1:4" ht="25.95" customHeight="1" x14ac:dyDescent="0.3">
      <c r="A14" s="23" t="s">
        <v>1690</v>
      </c>
      <c r="B14" s="23" t="s">
        <v>1691</v>
      </c>
      <c r="C14" s="23" t="s">
        <v>1692</v>
      </c>
      <c r="D14" s="23" t="s">
        <v>1693</v>
      </c>
    </row>
    <row r="15" spans="1:4" ht="51" customHeight="1" x14ac:dyDescent="0.3">
      <c r="A15" s="23" t="s">
        <v>1694</v>
      </c>
      <c r="B15" s="23" t="s">
        <v>1695</v>
      </c>
      <c r="C15" s="23" t="s">
        <v>1696</v>
      </c>
      <c r="D15" s="23" t="s">
        <v>1697</v>
      </c>
    </row>
  </sheetData>
  <mergeCells count="1">
    <mergeCell ref="A1:D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4"/>
  <sheetViews>
    <sheetView showGridLines="0" zoomScale="74" workbookViewId="0">
      <pane ySplit="4" topLeftCell="A5" activePane="bottomLeft" state="frozen"/>
      <selection pane="bottomLeft" sqref="A1:D1"/>
    </sheetView>
  </sheetViews>
  <sheetFormatPr defaultRowHeight="14.4" x14ac:dyDescent="0.3"/>
  <cols>
    <col min="1" max="1" width="17" customWidth="1"/>
    <col min="2" max="2" width="37" customWidth="1"/>
    <col min="3" max="3" width="130" customWidth="1"/>
    <col min="4" max="4" width="25" customWidth="1"/>
  </cols>
  <sheetData>
    <row r="1" spans="1:4" ht="25.95" customHeight="1" x14ac:dyDescent="0.3">
      <c r="A1" s="41" t="s">
        <v>1698</v>
      </c>
      <c r="B1" s="41"/>
      <c r="C1" s="41"/>
      <c r="D1" s="41"/>
    </row>
    <row r="2" spans="1:4" ht="36" customHeight="1" x14ac:dyDescent="0.3">
      <c r="A2" s="42" t="s">
        <v>1699</v>
      </c>
      <c r="B2" s="42"/>
      <c r="C2" s="42"/>
      <c r="D2" s="42"/>
    </row>
    <row r="4" spans="1:4" ht="31.95" customHeight="1" x14ac:dyDescent="0.3">
      <c r="A4" s="39" t="s">
        <v>52</v>
      </c>
      <c r="B4" s="39" t="s">
        <v>1700</v>
      </c>
      <c r="C4" s="39" t="s">
        <v>1701</v>
      </c>
      <c r="D4" s="39" t="s">
        <v>936</v>
      </c>
    </row>
    <row r="5" spans="1:4" ht="25.95" customHeight="1" x14ac:dyDescent="0.3">
      <c r="A5" s="23" t="s">
        <v>1702</v>
      </c>
      <c r="B5" s="23" t="s">
        <v>1703</v>
      </c>
      <c r="C5" s="23" t="s">
        <v>1704</v>
      </c>
      <c r="D5" s="23" t="s">
        <v>1705</v>
      </c>
    </row>
    <row r="6" spans="1:4" ht="25.95" customHeight="1" x14ac:dyDescent="0.3">
      <c r="A6" s="23" t="s">
        <v>1706</v>
      </c>
      <c r="B6" s="23" t="s">
        <v>1707</v>
      </c>
      <c r="C6" s="23" t="s">
        <v>1708</v>
      </c>
      <c r="D6" s="23" t="s">
        <v>1214</v>
      </c>
    </row>
    <row r="7" spans="1:4" ht="25.95" customHeight="1" x14ac:dyDescent="0.3">
      <c r="A7" s="23" t="s">
        <v>1709</v>
      </c>
      <c r="B7" s="23" t="s">
        <v>1710</v>
      </c>
      <c r="C7" s="23" t="s">
        <v>1711</v>
      </c>
      <c r="D7" s="23" t="s">
        <v>1712</v>
      </c>
    </row>
    <row r="8" spans="1:4" ht="25.95" customHeight="1" x14ac:dyDescent="0.3">
      <c r="A8" s="23" t="s">
        <v>1713</v>
      </c>
      <c r="B8" s="23" t="s">
        <v>1714</v>
      </c>
      <c r="C8" s="23" t="s">
        <v>1715</v>
      </c>
      <c r="D8" s="23" t="s">
        <v>1044</v>
      </c>
    </row>
    <row r="9" spans="1:4" ht="25.95" customHeight="1" x14ac:dyDescent="0.3">
      <c r="A9" s="23" t="s">
        <v>1716</v>
      </c>
      <c r="B9" s="23" t="s">
        <v>1717</v>
      </c>
      <c r="C9" s="23" t="s">
        <v>1718</v>
      </c>
      <c r="D9" s="23" t="s">
        <v>1060</v>
      </c>
    </row>
    <row r="10" spans="1:4" ht="25.95" customHeight="1" x14ac:dyDescent="0.3">
      <c r="A10" s="23" t="s">
        <v>1719</v>
      </c>
      <c r="B10" s="23" t="s">
        <v>1720</v>
      </c>
      <c r="C10" s="23" t="s">
        <v>1721</v>
      </c>
      <c r="D10" s="23" t="s">
        <v>1722</v>
      </c>
    </row>
    <row r="11" spans="1:4" ht="25.95" customHeight="1" x14ac:dyDescent="0.3">
      <c r="A11" s="23" t="s">
        <v>1723</v>
      </c>
      <c r="B11" s="23" t="s">
        <v>1724</v>
      </c>
      <c r="C11" s="23" t="s">
        <v>1725</v>
      </c>
      <c r="D11" s="23" t="s">
        <v>1214</v>
      </c>
    </row>
    <row r="12" spans="1:4" ht="25.95" customHeight="1" x14ac:dyDescent="0.3">
      <c r="A12" s="23" t="s">
        <v>1726</v>
      </c>
      <c r="B12" s="23" t="s">
        <v>1727</v>
      </c>
      <c r="C12" s="23" t="s">
        <v>1728</v>
      </c>
      <c r="D12" s="23" t="s">
        <v>1156</v>
      </c>
    </row>
    <row r="13" spans="1:4" ht="25.95" customHeight="1" x14ac:dyDescent="0.3">
      <c r="A13" s="23" t="s">
        <v>1729</v>
      </c>
      <c r="B13" s="23" t="s">
        <v>1730</v>
      </c>
      <c r="C13" s="23" t="s">
        <v>1731</v>
      </c>
      <c r="D13" s="23" t="s">
        <v>1222</v>
      </c>
    </row>
    <row r="14" spans="1:4" ht="25.95" customHeight="1" x14ac:dyDescent="0.3">
      <c r="A14" s="23" t="s">
        <v>1732</v>
      </c>
      <c r="B14" s="23" t="s">
        <v>1733</v>
      </c>
      <c r="C14" s="23" t="s">
        <v>1734</v>
      </c>
      <c r="D14" s="23" t="s">
        <v>1035</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Quy_uoc_chung</vt:lpstr>
      <vt:lpstr>TV1_Boi_canh_nganh</vt:lpstr>
      <vt:lpstr>TV1_Cong_thuc</vt:lpstr>
      <vt:lpstr>TV1_Nguong</vt:lpstr>
      <vt:lpstr>TV1_Output</vt:lpstr>
      <vt:lpstr>TV1_Tinh_tay</vt:lpstr>
      <vt:lpstr>TV1_Doi_chieu</vt:lpstr>
      <vt:lpstr>TV1_Ket_qua</vt:lpstr>
      <vt:lpstr>D_firms</vt:lpstr>
      <vt:lpstr>D_financials</vt:lpstr>
      <vt:lpstr>D_sales</vt:lpstr>
      <vt:lpstr>D_purchases</vt:lpstr>
      <vt:lpstr>D_inventory</vt:lpstr>
      <vt:lpstr>Thuat_ngu</vt:lpstr>
      <vt:lpstr>TV1_Quy_uoc</vt:lpstr>
      <vt:lpstr>TV1_Dien_giai</vt:lpstr>
      <vt:lpstr>TV1_Mau_ket_qua</vt:lpstr>
      <vt:lpstr>TV1_Du_lieu</vt:lpstr>
      <vt:lpstr>TV1_Kiem_thu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 Nguyen</dc:creator>
  <cp:lastModifiedBy>Thu Nguyen</cp:lastModifiedBy>
  <dcterms:created xsi:type="dcterms:W3CDTF">2026-10-09T18:33:19Z</dcterms:created>
  <dcterms:modified xsi:type="dcterms:W3CDTF">2026-10-09T18:35:04Z</dcterms:modified>
</cp:coreProperties>
</file>